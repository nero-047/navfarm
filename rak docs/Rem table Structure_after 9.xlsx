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al Project\navfarm_app\Final\"/>
    </mc:Choice>
  </mc:AlternateContent>
  <xr:revisionPtr revIDLastSave="0" documentId="8_{04893D0C-5C31-4474-96B8-4C5651370CD8}" xr6:coauthVersionLast="47" xr6:coauthVersionMax="47" xr10:uidLastSave="{00000000-0000-0000-0000-000000000000}"/>
  <bookViews>
    <workbookView xWindow="-110" yWindow="-110" windowWidth="19420" windowHeight="11500" xr2:uid="{AE62BE5F-92DD-4BFD-A9BD-944FD7C505F5}"/>
  </bookViews>
  <sheets>
    <sheet name="10. Poultry Data sets" sheetId="1" r:id="rId1"/>
    <sheet name="11. Livestock_Data sets" sheetId="2" r:id="rId2"/>
    <sheet name="12. Agri_Data sets" sheetId="3" r:id="rId3"/>
    <sheet name="13. Aqua Insect Feed_Data sets" sheetId="4" r:id="rId4"/>
    <sheet name="14. Variance engine" sheetId="5" r:id="rId5"/>
    <sheet name="15. test_dataset all lobs" sheetId="6" r:id="rId6"/>
    <sheet name="Sheet7" sheetId="7" r:id="rId7"/>
  </sheets>
  <calcPr calcId="191028" iterateDelta="1E-4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5" l="1"/>
  <c r="E31" i="5"/>
  <c r="D21" i="5"/>
  <c r="E20" i="5"/>
  <c r="I20" i="5" s="1"/>
  <c r="D20" i="5"/>
  <c r="C20" i="5"/>
  <c r="E19" i="5"/>
  <c r="I19" i="5" s="1"/>
  <c r="D19" i="5"/>
  <c r="C19" i="5"/>
  <c r="E18" i="5"/>
  <c r="E30" i="5" s="1"/>
  <c r="D18" i="5"/>
  <c r="C18" i="5"/>
  <c r="D17" i="5"/>
  <c r="C17" i="5"/>
  <c r="F9" i="5"/>
  <c r="I44" i="4"/>
  <c r="J42" i="4"/>
  <c r="I39" i="4"/>
  <c r="I38" i="4"/>
  <c r="J37" i="4"/>
  <c r="J40" i="4" s="1"/>
  <c r="I37" i="4"/>
  <c r="J36" i="4"/>
  <c r="I36" i="4"/>
  <c r="J38" i="4" s="1"/>
  <c r="J41" i="4" s="1"/>
  <c r="I28" i="4"/>
  <c r="J27" i="4"/>
  <c r="I27" i="4"/>
  <c r="J26" i="4"/>
  <c r="J25" i="4"/>
  <c r="I25" i="4"/>
  <c r="J24" i="4"/>
  <c r="I24" i="4"/>
  <c r="I18" i="4"/>
  <c r="I17" i="4"/>
  <c r="I16" i="4"/>
  <c r="J15" i="4"/>
  <c r="J14" i="4"/>
  <c r="I14" i="4"/>
  <c r="I6" i="4"/>
  <c r="J5" i="4"/>
  <c r="J7" i="4" s="1"/>
  <c r="I5" i="4"/>
  <c r="J6" i="4" s="1"/>
  <c r="J35" i="3"/>
  <c r="I35" i="3"/>
  <c r="J34" i="3"/>
  <c r="I34" i="3"/>
  <c r="J33" i="3"/>
  <c r="J32" i="3"/>
  <c r="I32" i="3"/>
  <c r="I25" i="3"/>
  <c r="J24" i="3"/>
  <c r="I24" i="3"/>
  <c r="J23" i="3"/>
  <c r="I23" i="3"/>
  <c r="J22" i="3"/>
  <c r="I22" i="3"/>
  <c r="J21" i="3"/>
  <c r="I21" i="3"/>
  <c r="I15" i="3"/>
  <c r="J12" i="3"/>
  <c r="J6" i="3"/>
  <c r="J5" i="3"/>
  <c r="I5" i="3"/>
  <c r="J26" i="2"/>
  <c r="I26" i="2"/>
  <c r="I20" i="2"/>
  <c r="I19" i="2"/>
  <c r="J18" i="2"/>
  <c r="J21" i="2" s="1"/>
  <c r="I18" i="2"/>
  <c r="J17" i="2"/>
  <c r="J20" i="2" s="1"/>
  <c r="I17" i="2"/>
  <c r="J19" i="2" s="1"/>
  <c r="I7" i="2"/>
  <c r="I6" i="2"/>
  <c r="J5" i="2"/>
  <c r="J7" i="2" s="1"/>
  <c r="I5" i="2"/>
  <c r="J6" i="2" s="1"/>
  <c r="J56" i="1"/>
  <c r="J55" i="1"/>
  <c r="H59" i="1" s="1"/>
  <c r="I55" i="1"/>
  <c r="I49" i="1"/>
  <c r="I48" i="1"/>
  <c r="J47" i="1"/>
  <c r="J49" i="1" s="1"/>
  <c r="I47" i="1"/>
  <c r="J48" i="1" s="1"/>
  <c r="I42" i="1"/>
  <c r="I41" i="1"/>
  <c r="J39" i="1"/>
  <c r="J38" i="1"/>
  <c r="I38" i="1"/>
  <c r="I32" i="1"/>
  <c r="J31" i="1"/>
  <c r="H31" i="1"/>
  <c r="I30" i="1"/>
  <c r="K31" i="1" s="1"/>
  <c r="I29" i="1"/>
  <c r="J30" i="1" s="1"/>
  <c r="J32" i="1" s="1"/>
  <c r="I28" i="1"/>
  <c r="I23" i="1"/>
  <c r="I22" i="1"/>
  <c r="I21" i="1"/>
  <c r="J19" i="1"/>
  <c r="J21" i="1" s="1"/>
  <c r="J18" i="1"/>
  <c r="J20" i="1" s="1"/>
  <c r="I18" i="1"/>
  <c r="I12" i="1"/>
  <c r="I11" i="1"/>
  <c r="I10" i="1"/>
  <c r="I9" i="1"/>
  <c r="I8" i="1"/>
  <c r="J7" i="1"/>
  <c r="J9" i="1" s="1"/>
  <c r="I7" i="1"/>
  <c r="J8" i="1" s="1"/>
  <c r="J10" i="1" s="1"/>
  <c r="F18" i="5" l="1"/>
  <c r="I18" i="5"/>
  <c r="E29" i="5"/>
  <c r="F19" i="5"/>
  <c r="F20" i="5"/>
  <c r="J39" i="4"/>
  <c r="H42" i="4" s="1"/>
  <c r="I42" i="4"/>
  <c r="H57" i="1"/>
  <c r="H58" i="1"/>
  <c r="C21" i="5"/>
  <c r="B13" i="5"/>
  <c r="E34" i="5"/>
  <c r="I21" i="5"/>
  <c r="F21" i="5"/>
  <c r="E21" i="5"/>
  <c r="E33" i="5"/>
  <c r="E39" i="5"/>
  <c r="E37" i="5"/>
  <c r="E27" i="5"/>
  <c r="F23" i="5"/>
  <c r="E23" i="5"/>
  <c r="I17" i="5"/>
  <c r="F17" i="5"/>
  <c r="D9" i="5"/>
  <c r="E17" i="5"/>
  <c r="E28" i="5"/>
  <c r="E38" i="5"/>
</calcChain>
</file>

<file path=xl/sharedStrings.xml><?xml version="1.0" encoding="utf-8"?>
<sst xmlns="http://schemas.openxmlformats.org/spreadsheetml/2006/main" count="1950" uniqueCount="911">
  <si>
    <t>Poultry- All LOBs Data Sets with Formulas  |  Rearing+Breeding | Laying(Std+FIFO) | Hatching | CB | Slaughter</t>
  </si>
  <si>
    <t xml:space="preserve">  LOB: Rearing &amp; Breeding  |  BATCH-REAR-2025-001  |  Method: STANDARD  |  5,000 DOC  |  35 Days</t>
  </si>
  <si>
    <t>Step</t>
  </si>
  <si>
    <t>Phase</t>
  </si>
  <si>
    <t>Event</t>
  </si>
  <si>
    <t>Entry Type</t>
  </si>
  <si>
    <t>Item</t>
  </si>
  <si>
    <t>Qty (signed)</t>
  </si>
  <si>
    <t>UOM</t>
  </si>
  <si>
    <t>Rate(rs )</t>
  </si>
  <si>
    <t>Amount(rs )</t>
  </si>
  <si>
    <t>Batch Cost (rs )</t>
  </si>
  <si>
    <t>Inv. Ledger Type</t>
  </si>
  <si>
    <t>GL Debit</t>
  </si>
  <si>
    <t>GL Credit</t>
  </si>
  <si>
    <t>Notes/Formula</t>
  </si>
  <si>
    <t>S1</t>
  </si>
  <si>
    <t>SETUP</t>
  </si>
  <si>
    <t>Standard Cost: Starter Feed rs 18/kg</t>
  </si>
  <si>
    <t>-</t>
  </si>
  <si>
    <t>FEED_STARTER</t>
  </si>
  <si>
    <t>KG</t>
  </si>
  <si>
    <t>18.00</t>
  </si>
  <si>
    <t>INSERT standard_cost_master: std_cost=18.00, lob=PLT_REARING</t>
  </si>
  <si>
    <t>S2</t>
  </si>
  <si>
    <t>Standard Cost: Grower Feed rs 20/kg</t>
  </si>
  <si>
    <t>FEED_GROWER</t>
  </si>
  <si>
    <t>20.00</t>
  </si>
  <si>
    <t>std_cost=20.00</t>
  </si>
  <si>
    <t>1</t>
  </si>
  <si>
    <t>DRAFT-&gt;APPROVED</t>
  </si>
  <si>
    <t>Create batch: 5,000 DOC placed</t>
  </si>
  <si>
    <t>PROD_INPUT</t>
  </si>
  <si>
    <t>DOC_CHICK</t>
  </si>
  <si>
    <t>NOS</t>
  </si>
  <si>
    <t>22.00</t>
  </si>
  <si>
    <t>1190 WIP</t>
  </si>
  <si>
    <t>1110 Inv.Birds</t>
  </si>
  <si>
    <t>5,000×rs 22=rs 1,10,000</t>
  </si>
  <si>
    <t>2</t>
  </si>
  <si>
    <t>DAY 1</t>
  </si>
  <si>
    <t>CONS_FEED Starter Feed 0.025kg/bird</t>
  </si>
  <si>
    <t>CONS_FEED</t>
  </si>
  <si>
    <t>BATCH_CONSUMPTION</t>
  </si>
  <si>
    <t>1100 Inv.Feed</t>
  </si>
  <si>
    <t>Exp: 0.025×5,000×1=125 KG. Actual 120. Var: -5 FAV.</t>
  </si>
  <si>
    <t>3</t>
  </si>
  <si>
    <t>DAY 7</t>
  </si>
  <si>
    <t>MORT_M: 5 male chicks died</t>
  </si>
  <si>
    <t>MORT_M</t>
  </si>
  <si>
    <t>MORTALITY</t>
  </si>
  <si>
    <t>7120 Mortality</t>
  </si>
  <si>
    <t>5×rs 22=rs 110 removed from WIP</t>
  </si>
  <si>
    <t>4</t>
  </si>
  <si>
    <t>DAY 35</t>
  </si>
  <si>
    <t>PROD_OUTPUT: 4,940 grower chicks</t>
  </si>
  <si>
    <t>PROD_CROP</t>
  </si>
  <si>
    <t>GROWER_CHICK</t>
  </si>
  <si>
    <t>+4,940</t>
  </si>
  <si>
    <t>85.00</t>
  </si>
  <si>
    <t>PROD_OUTPUT</t>
  </si>
  <si>
    <t>Output at std rs 85/chick. Closes WIP to inventory.</t>
  </si>
  <si>
    <t>5</t>
  </si>
  <si>
    <t>CLOSE</t>
  </si>
  <si>
    <t>Variance: Feed usage: (actual-expected)×std</t>
  </si>
  <si>
    <t>2,400 extra kg</t>
  </si>
  <si>
    <t>- (journal)</t>
  </si>
  <si>
    <t>6120 Usage Var</t>
  </si>
  <si>
    <t>Usage Var = (actual-std_qty)×rs 18</t>
  </si>
  <si>
    <t>6</t>
  </si>
  <si>
    <t>Output Variance: (4,975 exp - 4,940 act)×rs 85</t>
  </si>
  <si>
    <t>-35 birds</t>
  </si>
  <si>
    <t>6140 Output Var</t>
  </si>
  <si>
    <t>(std_output-actual_output)×std_cost = rs 2,975 UNFAV</t>
  </si>
  <si>
    <t xml:space="preserve">  LOB: Laying  |  BATCH-LAY-STD-2025-001  |  Method: STANDARD  |  8,000 Hens from BATCH-REAR-2025-001 (traceability)  |  52 Weeks</t>
  </si>
  <si>
    <t>L1</t>
  </si>
  <si>
    <t>BATCH HEADER</t>
  </si>
  <si>
    <t>Create Laying Batch. Input line links to BATCH-REAR-2025-001 for 8,000 hens.</t>
  </si>
  <si>
    <t>batch_input_lines: source_batch_id=BATCH-REAR-2025-001, item=LAYING_HEN, qty=8000</t>
  </si>
  <si>
    <t>L2</t>
  </si>
  <si>
    <t>CONS_FEED: Layer Mash 1,200 kg (std rs 19.50)</t>
  </si>
  <si>
    <t>FEED_LAYER</t>
  </si>
  <si>
    <t>19.50</t>
  </si>
  <si>
    <t>Exp: 0.150×8000=1,200 kg. Actual=Exp. Var=0.</t>
  </si>
  <si>
    <t>L3</t>
  </si>
  <si>
    <t>PROD_EGG: 6,800 eggs collected</t>
  </si>
  <si>
    <t>PROD_EGG</t>
  </si>
  <si>
    <t>EGGS_TRAY</t>
  </si>
  <si>
    <t>+6,800</t>
  </si>
  <si>
    <t>1120 Inv.Eggs</t>
  </si>
  <si>
    <t>Lay rate: 6800/8000=85%. KPI=85% ✓. unit_cost=running_cost/eggs</t>
  </si>
  <si>
    <t>L4</t>
  </si>
  <si>
    <t>DESC_LAY_RATE: observation</t>
  </si>
  <si>
    <t>DESC_LAY_RATE</t>
  </si>
  <si>
    <t>85</t>
  </si>
  <si>
    <t>PCT</t>
  </si>
  <si>
    <t>- (descriptive)</t>
  </si>
  <si>
    <t>No cost impact. KPI alert if &lt;80%.</t>
  </si>
  <si>
    <t>L5</t>
  </si>
  <si>
    <t>MORT_F: 8 hens died</t>
  </si>
  <si>
    <t>MORT_F</t>
  </si>
  <si>
    <t>LAYING_HEN</t>
  </si>
  <si>
    <t>35.00</t>
  </si>
  <si>
    <t>8×rs 35 running avg = rs 280 removed.</t>
  </si>
  <si>
    <t>L6</t>
  </si>
  <si>
    <t>WEEK 52</t>
  </si>
  <si>
    <t>Batch CLOSE: PRICE VAR = (actual-std)×actual_qty</t>
  </si>
  <si>
    <t>6100 Price Var</t>
  </si>
  <si>
    <t>Actual rs 20.50 vs std rs 19.50 -&gt; rs 86,400 UNFAV.</t>
  </si>
  <si>
    <t>L7</t>
  </si>
  <si>
    <t>USAGE VAR = (actual-std_qty)×std_rate</t>
  </si>
  <si>
    <t>2,160 extra kg</t>
  </si>
  <si>
    <t>rs 42,120 UNFAV. Extra feed consumed.</t>
  </si>
  <si>
    <t xml:space="preserve">  LOB: Laying  |  BATCH-LAY-FIFO-2025-001  |  Method: FIFO  |  8,000 Hens  |  Same batch, FIFO costing variant</t>
  </si>
  <si>
    <t>F1</t>
  </si>
  <si>
    <t>GRN</t>
  </si>
  <si>
    <t>Layer Mash Receipt Lot 1: 5,000 kg @ rs 19.50</t>
  </si>
  <si>
    <t>+5,000</t>
  </si>
  <si>
    <t>2100 AP</t>
  </si>
  <si>
    <t>FIFO Layer 1: 5000 kg @ rs 19.50. receipt_date=Jan 5.</t>
  </si>
  <si>
    <t>F2</t>
  </si>
  <si>
    <t>Layer Mash Receipt Lot 2: 3,000 kg @ rs 21.00</t>
  </si>
  <si>
    <t>+3,000</t>
  </si>
  <si>
    <t>21.00</t>
  </si>
  <si>
    <t>FIFO Layer 2: 3000 kg @ rs 21.00. receipt_date=Jan 15.</t>
  </si>
  <si>
    <t>F3</t>
  </si>
  <si>
    <t>DAY 1-4</t>
  </si>
  <si>
    <t>CONS_FEED: 1,200 kg/day from Layer 1</t>
  </si>
  <si>
    <t>FIFO: Layer 1 consumed. 4800×rs 19.50=rs 93,600. Layer 1 remaining: 200 kg.</t>
  </si>
  <si>
    <t>F4</t>
  </si>
  <si>
    <t>DAY 5
LAYER SWITCH</t>
  </si>
  <si>
    <t>Day 5: need 1,200. Layer 1 has 200. Layer 2 has rest.</t>
  </si>
  <si>
    <t>L1: 200×19.50=rs 3,900. L2: 1000×21=rs 21,000. Blended unit_cost=rs 20.75.</t>
  </si>
  <si>
    <t>F5</t>
  </si>
  <si>
    <t>DAY 6+</t>
  </si>
  <si>
    <t>CONS_FEED fully on Layer 2 @ rs 21.00</t>
  </si>
  <si>
    <t>Layer 1 CLOSED. All future consumption from Layer 2 @ rs 21.00.</t>
  </si>
  <si>
    <t>F6</t>
  </si>
  <si>
    <t>FIFO: NO variance entries. True cost only.</t>
  </si>
  <si>
    <t>FIFO does not create price/usage variance. Actual FIFO cost IS the batch cost.</t>
  </si>
  <si>
    <t xml:space="preserve">  LOB: Hatching  |  BATCH-HATCH-2025-001  |  Method: STANDARD  |  50,000 Eggs set  |  21 Days  |  Traceability from Laying/Breeding</t>
  </si>
  <si>
    <t>H1</t>
  </si>
  <si>
    <t>Create Hatching Batch. Input lines: Eggs from BATCH-LAY-2025-001 (30,000) + BATCH-BREED-2025-001 (20,000)</t>
  </si>
  <si>
    <t>HATCH_EGG</t>
  </si>
  <si>
    <t>3.20</t>
  </si>
  <si>
    <t>1100 Inv.Eggs</t>
  </si>
  <si>
    <t>batch_input_lines: 2 lines, each with source_batch_id for traceability</t>
  </si>
  <si>
    <t>H2</t>
  </si>
  <si>
    <t>DAY 1-21</t>
  </si>
  <si>
    <t>OVHD_POWER: Incubator electricity</t>
  </si>
  <si>
    <t>OVHD_POWER</t>
  </si>
  <si>
    <t>AMT</t>
  </si>
  <si>
    <t>- (overhead)</t>
  </si>
  <si>
    <t>rs 8,500 electricity for 21-day incubation</t>
  </si>
  <si>
    <t>H3</t>
  </si>
  <si>
    <t>DAY 21</t>
  </si>
  <si>
    <t>PROD_CHICK: 42,500 live chicks hatched</t>
  </si>
  <si>
    <t>PROD_CHICK</t>
  </si>
  <si>
    <t>+42,500</t>
  </si>
  <si>
    <t>Hatchability = 42500/50000 = 85%. Expected 87% -&gt; ⚠ below KPI.</t>
  </si>
  <si>
    <t>H4</t>
  </si>
  <si>
    <t>BY_PRODUCT: 7,500 infertile/dead-in-shell eggs</t>
  </si>
  <si>
    <t>INFERTILE_EGG</t>
  </si>
  <si>
    <t>+7,500</t>
  </si>
  <si>
    <t>0.50</t>
  </si>
  <si>
    <t>PROD_OUTPUT (BY_PRODUCT)</t>
  </si>
  <si>
    <t>1100 Inv.Infertile</t>
  </si>
  <si>
    <t>By-product at NRV rs 0.50/egg. Cost split: main=95%, by-product=5%.</t>
  </si>
  <si>
    <t>H5</t>
  </si>
  <si>
    <t>Output Var: (43,500 exp - 42,500 act) × std cost</t>
  </si>
  <si>
    <t>4.20</t>
  </si>
  <si>
    <t>std_output=50000×0.87=43,500. Var=rs 4,200 UNFAV.</t>
  </si>
  <si>
    <t xml:space="preserve">  LOB: CB Farming (Broiler)  |  BATCH-CB-2025-001  |  Method: STANDARD  |  10,000 Birds  |  42 Days  (detailed in separate simulation sheet)</t>
  </si>
  <si>
    <t>C1</t>
  </si>
  <si>
    <t>APPROVED</t>
  </si>
  <si>
    <t>10,000 DOC placed from BATCH-HATCH-2025-001 (traceability)</t>
  </si>
  <si>
    <t>DOC_BROILER</t>
  </si>
  <si>
    <t>25.00</t>
  </si>
  <si>
    <t>source_batch_id=BATCH-HATCH-2025-001</t>
  </si>
  <si>
    <t>C2</t>
  </si>
  <si>
    <t>DAY 15</t>
  </si>
  <si>
    <t>CONS_FEED: Grower Feed Day 15</t>
  </si>
  <si>
    <t>Exp: 0.120×9,985=1,198. Actual 1,199. Var: +1 kg.</t>
  </si>
  <si>
    <t>C3</t>
  </si>
  <si>
    <t>DAY 42</t>
  </si>
  <si>
    <t>PROD_OUTPUT: 9,750 live birds</t>
  </si>
  <si>
    <t>BROILER_LIVE</t>
  </si>
  <si>
    <t>+9,750</t>
  </si>
  <si>
    <t>Output at std rs 85/bird.</t>
  </si>
  <si>
    <t>C4</t>
  </si>
  <si>
    <t>ALL VARIANCES auto-created. See Sheet 22_Variance_Engine.</t>
  </si>
  <si>
    <t>Total: rs 1,84,730</t>
  </si>
  <si>
    <t>Various</t>
  </si>
  <si>
    <t>Price+Usage+Output+Overhead variances. See full broiler simulation for detail.</t>
  </si>
  <si>
    <t xml:space="preserve">  LOB: Poultry Slaughter  |  BATCH-SL-2025-001  |  Method: STANDARD  |  Input from BATCH-CB-2025-001  |  QC + QR + Joint Cost Split</t>
  </si>
  <si>
    <t>SL1</t>
  </si>
  <si>
    <t>INPUT</t>
  </si>
  <si>
    <t>9,750 live birds from BATCH-CB-2025-001 (traceability)</t>
  </si>
  <si>
    <t>Cost carried from CB batch @ rs 85/bird</t>
  </si>
  <si>
    <t>SL2</t>
  </si>
  <si>
    <t>SLAUGHTER</t>
  </si>
  <si>
    <t>Process birds: overhead, labour</t>
  </si>
  <si>
    <t>OVHD_LABOR</t>
  </si>
  <si>
    <t>Labour + utilities for slaughter line</t>
  </si>
  <si>
    <t>SL3</t>
  </si>
  <si>
    <t>OUTPUT</t>
  </si>
  <si>
    <t>Main: 15,356 kg Carcass (75% split)</t>
  </si>
  <si>
    <t>CARCASS</t>
  </si>
  <si>
    <t>+15,356</t>
  </si>
  <si>
    <t>1110 Inv.Carcass</t>
  </si>
  <si>
    <t>Cost = Total WIP × 75% = rs 7,31,000×0.75 = rs 5,48,250. unit_cost=rs 35.71/kg</t>
  </si>
  <si>
    <t>SL4</t>
  </si>
  <si>
    <t>By-product: 2,252 kg Offal (11% split)</t>
  </si>
  <si>
    <t>OFFAL</t>
  </si>
  <si>
    <t>+2,252</t>
  </si>
  <si>
    <t>1100 Inv.Offal</t>
  </si>
  <si>
    <t>Cost=rs 7,31,000×0.11=rs 80,410. unit_cost=rs 35.71/kg</t>
  </si>
  <si>
    <t>SL5</t>
  </si>
  <si>
    <t>By-product: 2,457 kg Feather (12% split)</t>
  </si>
  <si>
    <t>FEATHER</t>
  </si>
  <si>
    <t>+2,457</t>
  </si>
  <si>
    <t>1100 Inv.Feather</t>
  </si>
  <si>
    <t>Cost=rs 7,31,000×0.12=rs 87,720</t>
  </si>
  <si>
    <t>SL6</t>
  </si>
  <si>
    <t>QC BATCH</t>
  </si>
  <si>
    <t>Create QC Batch BATCH-QC-SL-001. Link to BATCH-SL-2025-001</t>
  </si>
  <si>
    <t>- (QC batch)</t>
  </si>
  <si>
    <t>QC parameters: weight check, visual inspection, grade assignment</t>
  </si>
  <si>
    <t>SL7</t>
  </si>
  <si>
    <t>QR CODE</t>
  </si>
  <si>
    <t>Pack and generate QR per box after QC PASS</t>
  </si>
  <si>
    <t>+9,500 PASS</t>
  </si>
  <si>
    <t>- (QR generation)</t>
  </si>
  <si>
    <t>QR fields: batch, lot, weight, grade, production_date, expiry, breed, vaccinations</t>
  </si>
  <si>
    <t>Livestock - All LOBs Data Sets  |  Cow/Buffalo (Bio Asset) | Piggery (Bio Asset+Std) | Goat/Sheep</t>
  </si>
  <si>
    <t xml:space="preserve">  LOB: Cow &amp; Buffallo  |  BATCH-COW-2025-001  |  Method: BIO ASSET  |  20 Cows  |  Stage: PREMATURE-&gt;MATURE  |  IAS 41</t>
  </si>
  <si>
    <t>CV1</t>
  </si>
  <si>
    <t>PURCHASE</t>
  </si>
  <si>
    <t>Purchase 5 heifers @ rs 25,000 each = rs 1,25,000 NCA</t>
  </si>
  <si>
    <t>HEIFER</t>
  </si>
  <si>
    <t>25000.00</t>
  </si>
  <si>
    <t>BIO_NCA_ACCUMULATE</t>
  </si>
  <si>
    <t>1220 Bio Asset Cattle</t>
  </si>
  <si>
    <t>NCA created. stage=PREMATURE. DOB recorded.</t>
  </si>
  <si>
    <t>CV2</t>
  </si>
  <si>
    <t>PREMATURE
(Months 1-24)</t>
  </si>
  <si>
    <t>CONS_FEED: daily feed rs 80/cow/day × 30 days</t>
  </si>
  <si>
    <t>CATTLE_FEED</t>
  </si>
  <si>
    <t>3.00</t>
  </si>
  <si>
    <t>BATCH_CONSUMPTION_BIO</t>
  </si>
  <si>
    <t>1220 Bio Asset</t>
  </si>
  <si>
    <t>rs 7,200/month feed CAPITALISED into NCA. Total per month per cow = rs 1,440.</t>
  </si>
  <si>
    <t>CV3</t>
  </si>
  <si>
    <t>PREMATURE</t>
  </si>
  <si>
    <t>CONS_MEDICINE: Vaccination</t>
  </si>
  <si>
    <t>CONS_MEDICINE</t>
  </si>
  <si>
    <t>VACCINE_FMD</t>
  </si>
  <si>
    <t>ML</t>
  </si>
  <si>
    <t>2.00</t>
  </si>
  <si>
    <t>1100 Inv.Med</t>
  </si>
  <si>
    <t>rs 1,000 medicine capitalised.</t>
  </si>
  <si>
    <t>CV4</t>
  </si>
  <si>
    <t>MATURE STAGE
(Month 24)</t>
  </si>
  <si>
    <t>Cow reaches maturity. bio_asset_stage-&gt;MATURE. Amortisation schedule created.</t>
  </si>
  <si>
    <t>BIO_NCA_TRANSFER</t>
  </si>
  <si>
    <t>1220-Mature</t>
  </si>
  <si>
    <t>1220-Premature</t>
  </si>
  <si>
    <t>NCA transferred to MATURE sub-account. Amort: (NCA-Residual)/Productive_Life_Months</t>
  </si>
  <si>
    <t>CV5</t>
  </si>
  <si>
    <t>MATURE
Monthly</t>
  </si>
  <si>
    <t>Monthly Amortisation rs 2,100/cow</t>
  </si>
  <si>
    <t>BIO_AMORT</t>
  </si>
  <si>
    <t>7100 Amort Exp</t>
  </si>
  <si>
    <t>1221 Accum Amort</t>
  </si>
  <si>
    <t>5 cows × rs 2,100/month. Dr 7100, Cr 1221.</t>
  </si>
  <si>
    <t>CV6</t>
  </si>
  <si>
    <t>DAILY
PRODUCTION</t>
  </si>
  <si>
    <t>PROD_MILK: 100 litres/day</t>
  </si>
  <si>
    <t>PROD_MILK</t>
  </si>
  <si>
    <t>MILK_RAW</t>
  </si>
  <si>
    <t>+100</t>
  </si>
  <si>
    <t>LITRE</t>
  </si>
  <si>
    <t>1170 Inv.Milk</t>
  </si>
  <si>
    <t>unit_cost = daily_running_cost/daily_litres. Milk enters inventory.</t>
  </si>
  <si>
    <t>CV7</t>
  </si>
  <si>
    <t>FAIR VALUE
MONTHLY</t>
  </si>
  <si>
    <t>Fair Value update via D365 BC. Gain: fair_value &gt; NCA cost.</t>
  </si>
  <si>
    <t>28000</t>
  </si>
  <si>
    <t>FAIR_VALUE_ADJUST</t>
  </si>
  <si>
    <t>4140 FV Gain</t>
  </si>
  <si>
    <t>(28000-25000)×5=rs 15,000 gain. Dr Bio Asset, Cr FV Gain P&amp;L.</t>
  </si>
  <si>
    <t>CV8</t>
  </si>
  <si>
    <t>SLAUGHTER
END OF LIFE</t>
  </si>
  <si>
    <t>Cow slaughtered. NCA closed. Meat = inventory.</t>
  </si>
  <si>
    <t>SOLD_F</t>
  </si>
  <si>
    <t>BIO_HARVEST</t>
  </si>
  <si>
    <t>1100 Inv.Meat</t>
  </si>
  <si>
    <t>Remaining NCA book value -&gt; cost of meat. Proceeds vs NBV = Gain/Loss.</t>
  </si>
  <si>
    <t xml:space="preserve">  LOB: Piggery  |  Multiple sub-batches: Imp.Gilt(Bio) + Imp.Boar(Bio) + Commercial(Std)  |  See earlier simulation for full detail</t>
  </si>
  <si>
    <t>PG1</t>
  </si>
  <si>
    <t>IMP GILT</t>
  </si>
  <si>
    <t>50 gilts purchased @ $2,857 = $1,42,850 NCA</t>
  </si>
  <si>
    <t>IMP_GILT</t>
  </si>
  <si>
    <t>50</t>
  </si>
  <si>
    <t>2857.00</t>
  </si>
  <si>
    <t>1210 Bio Asset Sow</t>
  </si>
  <si>
    <t>stage=QUARANTINE. Same 6-stage flow as previous simulation.</t>
  </si>
  <si>
    <t>PG2</t>
  </si>
  <si>
    <t>IMP BOAR</t>
  </si>
  <si>
    <t>5 boars @ $1,257 = $6,285 NCA</t>
  </si>
  <si>
    <t>IMP_BOAR</t>
  </si>
  <si>
    <t>1257.00</t>
  </si>
  <si>
    <t>Boar NCA. Semen=output inventory. Monthly amort.</t>
  </si>
  <si>
    <t>PG3</t>
  </si>
  <si>
    <t>COMMERCIAL</t>
  </si>
  <si>
    <t>Weaner pig batch 100 head. Method: STANDARD</t>
  </si>
  <si>
    <t>WEANER</t>
  </si>
  <si>
    <t>450.00</t>
  </si>
  <si>
    <t>1100 Inv.Pig</t>
  </si>
  <si>
    <t>Weaners from gilt farrowing batch. source_batch_id set.</t>
  </si>
  <si>
    <t>PG4</t>
  </si>
  <si>
    <t>COMMERCIAL
DAILY</t>
  </si>
  <si>
    <t>CONS_FEED: Grower feed 250 kg/day</t>
  </si>
  <si>
    <t>Exp: 2.5 kg/pig/day × 100 pigs. FCR tracked.</t>
  </si>
  <si>
    <t>PG5</t>
  </si>
  <si>
    <t>COMMERCIAL
CLOSE</t>
  </si>
  <si>
    <t>Market pig output: 98 head × 115 kg avg</t>
  </si>
  <si>
    <t>MARKET_PIG</t>
  </si>
  <si>
    <t>+98</t>
  </si>
  <si>
    <t>unit_cost=total_batch_cost/98. QR code generated on each animal.</t>
  </si>
  <si>
    <t xml:space="preserve">  LOB: Goat &amp; Sheep  |  BATCH-GOAT-2025-001  |  Method: BIO ASSET  |  30 Does  |  Milk + Kid output</t>
  </si>
  <si>
    <t>GS1</t>
  </si>
  <si>
    <t>30 dairy goats @ rs 8,000 = rs 2,40,000 NCA</t>
  </si>
  <si>
    <t>DAIRY_GOAT</t>
  </si>
  <si>
    <t>30</t>
  </si>
  <si>
    <t>8000.00</t>
  </si>
  <si>
    <t>Same IAS 41 treatment as cattle.</t>
  </si>
  <si>
    <t>GS2</t>
  </si>
  <si>
    <t>DAILY</t>
  </si>
  <si>
    <t>PROD_MILK: 60 L/day (2L/goat/day)</t>
  </si>
  <si>
    <t>GOAT_MILK</t>
  </si>
  <si>
    <t>+60</t>
  </si>
  <si>
    <t>unit_cost = running cost/litres. Lot=collection date.</t>
  </si>
  <si>
    <t>GS3</t>
  </si>
  <si>
    <t>KIDDING</t>
  </si>
  <si>
    <t>PROD: 25 kids born (0.83 kids/doe)</t>
  </si>
  <si>
    <t>PROD_PIGLET</t>
  </si>
  <si>
    <t>GOAT_KID</t>
  </si>
  <si>
    <t>+25</t>
  </si>
  <si>
    <t>1100 Inv.Kid</t>
  </si>
  <si>
    <t>Kids = new bio assets at birth. Opening NCA = fair value at birth.</t>
  </si>
  <si>
    <t>GS4</t>
  </si>
  <si>
    <t>SHEARING</t>
  </si>
  <si>
    <t>Wool harvest (sheep): 45 kg @ rs 150/kg</t>
  </si>
  <si>
    <t>WOOL</t>
  </si>
  <si>
    <t>+45</t>
  </si>
  <si>
    <t>1100 Inv.Wool</t>
  </si>
  <si>
    <t>Wool=inventory at NCA running rate.</t>
  </si>
  <si>
    <t>Agri- All LOBs  |  Fruits(Bio Asset Pre+Mature) | Crops | Flowers | Seeds  |  With Formulas</t>
  </si>
  <si>
    <t xml:space="preserve">  LOB: Fruit Farming  |  BATCH-FRUIT-PREMATURE-2020-001  |  Method: BIO ASSET  |  100 Mango Trees  |  PRE-MATURE (5 Years)</t>
  </si>
  <si>
    <t>FR1</t>
  </si>
  <si>
    <t>YEAR 1
PRE-MATURE</t>
  </si>
  <si>
    <t>Purchase &amp; plant 100 mango saplings @ rs 500 = rs 50,000 NCA</t>
  </si>
  <si>
    <t>MANGO_TREE</t>
  </si>
  <si>
    <t>100</t>
  </si>
  <si>
    <t>500.00</t>
  </si>
  <si>
    <t>1240 Bearer Plant</t>
  </si>
  <si>
    <t>stage=PREMATURE. bio_asset_stage_config: amort_applies=FALSE. NO amortisation yet.</t>
  </si>
  <si>
    <t>FR2</t>
  </si>
  <si>
    <t>YEAR 1-5
ANNUAL</t>
  </si>
  <si>
    <t>Annual costs: fertiliser+irrigation+labour rs 8,000/year</t>
  </si>
  <si>
    <t>CONS_OTHER</t>
  </si>
  <si>
    <t>FERTILISER</t>
  </si>
  <si>
    <t>1100/2100</t>
  </si>
  <si>
    <t>Capitalised into NCA. NO harvest during premature. Same batch runs Years 1-5.</t>
  </si>
  <si>
    <t>FR3</t>
  </si>
  <si>
    <t>YEAR 5 END</t>
  </si>
  <si>
    <t>Tree matures. Stage -&gt; MATURE. Amort schedule created. Batch does NOT close.</t>
  </si>
  <si>
    <t>1240-Mature</t>
  </si>
  <si>
    <t>1240-Premature</t>
  </si>
  <si>
    <t>NCA at maturity ≈ rs 50,000+(5×8,000)=rs 90,000. Amort: (90,000-10,000)/10 yrs=rs 8,000/yr</t>
  </si>
  <si>
    <t xml:space="preserve">  LOB: Fruit Farming  |  BATCH-FRUIT-MATURE-2025-001  |  Method: BIO ASSET  |  MATURE STAGE  |  Annual Batch + COPY EACH YEAR</t>
  </si>
  <si>
    <t>FM1</t>
  </si>
  <si>
    <t>YEAR 6
FIRST SEASON</t>
  </si>
  <si>
    <t>Annual maintenance costs: rs 8,000</t>
  </si>
  <si>
    <t>1100 Inv.Fert</t>
  </si>
  <si>
    <t>Productive feed cost accumulates. Amort ALSO runs monthly (rs 667/month).</t>
  </si>
  <si>
    <t>FM2</t>
  </si>
  <si>
    <t>YEAR 6
AMORT</t>
  </si>
  <si>
    <t>Monthly Amortisation rs 667/month</t>
  </si>
  <si>
    <t>1241 Accum Amort</t>
  </si>
  <si>
    <t>(rs 90,000-rs 10,000)/120 months=rs 667/month. IAS 16 bearer plant.</t>
  </si>
  <si>
    <t>FM3</t>
  </si>
  <si>
    <t>HARVEST
SEASON</t>
  </si>
  <si>
    <t>PROD_CROP: 15,000 kg mangoes harvested</t>
  </si>
  <si>
    <t>MANGO</t>
  </si>
  <si>
    <t>+15,000</t>
  </si>
  <si>
    <t>1180 Inv.Fruit</t>
  </si>
  <si>
    <t>unit_cost = (annual NCA running cost) / harvest_kg. NCA not fully consumed - continues.</t>
  </si>
  <si>
    <t>FM4</t>
  </si>
  <si>
    <t>FIFO SALE</t>
  </si>
  <si>
    <t>Mango sold from FIFO lots. Lot 1 @ rs 7.20/kg.</t>
  </si>
  <si>
    <t>SOLD</t>
  </si>
  <si>
    <t>7.20</t>
  </si>
  <si>
    <t>ISSUE (sale)</t>
  </si>
  <si>
    <t>5100 COGS</t>
  </si>
  <si>
    <t>FIFO: oldest harvest lot consumed first.</t>
  </si>
  <si>
    <t>FM5</t>
  </si>
  <si>
    <t>YEAR END
BATCH COPY</t>
  </si>
  <si>
    <t>Batch CLOSED for Year 6. COPY BATCH for Year 7.</t>
  </si>
  <si>
    <t>BATCH_COPY</t>
  </si>
  <si>
    <t>batch_copy_log: source=BATCH-FRUIT-MATURE-2025-001, new=BATCH-FRUIT-MATURE-2026-001. Scheduler copied too.</t>
  </si>
  <si>
    <t xml:space="preserve">  LOB: Crop Farming  |  BATCH-CROP-2025-001  |  Method: STANDARD  |  10 Acres Paddy  |  120 Days  |  QC + QR on harvest bags</t>
  </si>
  <si>
    <t>CR1</t>
  </si>
  <si>
    <t>Paddy seed sowed: 200 kg × rs 45/kg</t>
  </si>
  <si>
    <t>PADDY_SEED</t>
  </si>
  <si>
    <t>45.00</t>
  </si>
  <si>
    <t>1100 Inv.Seed</t>
  </si>
  <si>
    <t>Exp: 20 kg/acre × 10 acres = 200 kg. Actual = Exp. Var = 0.</t>
  </si>
  <si>
    <t>CR2</t>
  </si>
  <si>
    <t>DAY 30</t>
  </si>
  <si>
    <t>Fertiliser: 300 kg × rs 25/kg</t>
  </si>
  <si>
    <t>Exp=300. Actual=300. ✓</t>
  </si>
  <si>
    <t>CR3</t>
  </si>
  <si>
    <t>DAY 90</t>
  </si>
  <si>
    <t>Pesticide: 20 L × rs 120/L</t>
  </si>
  <si>
    <t>PESTICIDE</t>
  </si>
  <si>
    <t>120.00</t>
  </si>
  <si>
    <t>1100 Inv.Pest</t>
  </si>
  <si>
    <t>Exp=20L. Actual=20L. ✓</t>
  </si>
  <si>
    <t>CR4</t>
  </si>
  <si>
    <t>DAY 120</t>
  </si>
  <si>
    <t>HARVEST: 5,200 kg paddy (exp: 5,000 kg)</t>
  </si>
  <si>
    <t>PADDY</t>
  </si>
  <si>
    <t>+5,200</t>
  </si>
  <si>
    <t>6.00</t>
  </si>
  <si>
    <t>1180 Inv.Crop</t>
  </si>
  <si>
    <t>Actual &gt; expected -&gt; FAVOURABLE output variance.</t>
  </si>
  <si>
    <t>CR5</t>
  </si>
  <si>
    <t>Output Var FAV: (5,000-5,200)×rs 6 = -rs 1,200</t>
  </si>
  <si>
    <t>- (journal FAV)</t>
  </si>
  <si>
    <t>FAV: Dr Inventory, Cr Variance. Net saving rs 1,200.</t>
  </si>
  <si>
    <t>CR6</t>
  </si>
  <si>
    <t>QC</t>
  </si>
  <si>
    <t>Grain QC batch: moisture%, grain size, foreign matter</t>
  </si>
  <si>
    <t>5,200</t>
  </si>
  <si>
    <t>QC_BATCH</t>
  </si>
  <si>
    <t>QC parameters: moisture&lt;13%, foreign matter&lt;0.5%</t>
  </si>
  <si>
    <t>CR7</t>
  </si>
  <si>
    <t>QR</t>
  </si>
  <si>
    <t>Bag and QR: 50 kg bags -&gt; 104 bags</t>
  </si>
  <si>
    <t>+104</t>
  </si>
  <si>
    <t>BAGS</t>
  </si>
  <si>
    <t>QR_GENERATION</t>
  </si>
  <si>
    <t>QR: item, lot, harvest_date, field_location, crop_variety, net_weight=50kg</t>
  </si>
  <si>
    <t xml:space="preserve">  LOB: Seeds  |  BATCH-SEEDS-2025-001  |  Type 1: Produced from Crop Batch  |  Seed Processing  |  STANDARD</t>
  </si>
  <si>
    <t>SD1</t>
  </si>
  <si>
    <t>5,000 kg certified seed paddy from BATCH-CROP-2025-001 (traceability)</t>
  </si>
  <si>
    <t>PADDY_SEED_RAW</t>
  </si>
  <si>
    <t>source_batch_id=BATCH-CROP-2025-001. Seed processing batch.</t>
  </si>
  <si>
    <t>SD2</t>
  </si>
  <si>
    <t>PROCESSING</t>
  </si>
  <si>
    <t>Seed cleaning, treating, grading</t>
  </si>
  <si>
    <t>Processing overhead rs 3,000.</t>
  </si>
  <si>
    <t>SD3</t>
  </si>
  <si>
    <t>CHEMICAL</t>
  </si>
  <si>
    <t>Seed treatment chemical: 10 kg × rs 500</t>
  </si>
  <si>
    <t>SEED_TREATMENT</t>
  </si>
  <si>
    <t>1100 Inv.Chem</t>
  </si>
  <si>
    <t>rs 5,000 treatment cost.</t>
  </si>
  <si>
    <t>SD4</t>
  </si>
  <si>
    <t>4,750 kg certified seeds (5% processing loss)</t>
  </si>
  <si>
    <t>CERTIFIED_SEEDS</t>
  </si>
  <si>
    <t>+4,750</t>
  </si>
  <si>
    <t>1155 Inv.Seeds</t>
  </si>
  <si>
    <t>unit_cost=rs (30,000+3,000+5,000)/4,750=rs 8.00/kg. QC mandatory.</t>
  </si>
  <si>
    <t>SD5</t>
  </si>
  <si>
    <t>Seed QC: germination rate, moisture, purity</t>
  </si>
  <si>
    <t>4,750</t>
  </si>
  <si>
    <t>QC param: germination&gt;85%, moisture&lt;12%, purity&gt;99%</t>
  </si>
  <si>
    <t>SD6</t>
  </si>
  <si>
    <t>Bag certified seeds: 25 kg bags -&gt; 190 bags</t>
  </si>
  <si>
    <t>+190</t>
  </si>
  <si>
    <t>QR: crop_variety, lot, germination%, treatment_date, expiry_date</t>
  </si>
  <si>
    <t>Aqua + Insect + Feed Production Data Sets  |  Fish(Bio+FIFO) | Aqua Slaughter | Bee Keeping | Feed BOR Batch</t>
  </si>
  <si>
    <t xml:space="preserve">  LOB: Fish Farming  |  BATCH-FISH-2025-001  |  Method: BIO ASSET  |  10,000 Fingerlings  |  180 Days  |  Pond 1</t>
  </si>
  <si>
    <t>AQ1</t>
  </si>
  <si>
    <t>STOCKING</t>
  </si>
  <si>
    <t>10,000 fingerlings @ rs 5 = rs 50,000 NCA</t>
  </si>
  <si>
    <t>FINGERLING</t>
  </si>
  <si>
    <t>10,000</t>
  </si>
  <si>
    <t>5.00</t>
  </si>
  <si>
    <t>1230 Bio Asset Fish</t>
  </si>
  <si>
    <t>stage=GROWING. Pond 1 sub-location.</t>
  </si>
  <si>
    <t>AQ2</t>
  </si>
  <si>
    <t>DAILY
FEEDING</t>
  </si>
  <si>
    <t>CONS_FEED: 20 kg fish pellets/day × rs 30</t>
  </si>
  <si>
    <t>FISH_PELLET</t>
  </si>
  <si>
    <t>30.00</t>
  </si>
  <si>
    <t>1230 Bio Asset</t>
  </si>
  <si>
    <t>rs 600/day capitalised. FCR=1.5 target.</t>
  </si>
  <si>
    <t>AQ3</t>
  </si>
  <si>
    <t>WEEK 4</t>
  </si>
  <si>
    <t>DESC_WEIGHT: sample weight 45g</t>
  </si>
  <si>
    <t>DESC_WEIGHT</t>
  </si>
  <si>
    <t>45</t>
  </si>
  <si>
    <t>GRAMS</t>
  </si>
  <si>
    <t>KPI: 50g at week 4 -&gt; ⚠ lagging. Alert fired.</t>
  </si>
  <si>
    <t>AQ4</t>
  </si>
  <si>
    <t>MONTH 4
PARTIAL</t>
  </si>
  <si>
    <t>PARTIAL HARVEST: 2,000 kg</t>
  </si>
  <si>
    <t>PROD_FISH_HARVEST</t>
  </si>
  <si>
    <t>FISH_LIVE</t>
  </si>
  <si>
    <t>+2,000</t>
  </si>
  <si>
    <t>1140 Inv.Fish</t>
  </si>
  <si>
    <t>unit_cost=NCA_running/total_biomass. FIFO Lot 1 created.</t>
  </si>
  <si>
    <t>AQ5</t>
  </si>
  <si>
    <t>MONTH 6
FULL</t>
  </si>
  <si>
    <t>FULL HARVEST: 5,800 kg. Batch COMPLETED.</t>
  </si>
  <si>
    <t>+5,800</t>
  </si>
  <si>
    <t>FIFO Lot 2. NCA-&gt;0. Batch CLOSED. Annual batch copy NOT needed (new stocking each time).</t>
  </si>
  <si>
    <t xml:space="preserve">  LOB: Aqua Slaughter  |  BATCH-AQSL-2025-001  |  Input: live fish from BATCH-FISH-2025-001  |  QC + QR + Joint Cost Split</t>
  </si>
  <si>
    <t>AS1</t>
  </si>
  <si>
    <t>7,800 kg live fish from BATCH-FISH-2025-001</t>
  </si>
  <si>
    <t>14.50</t>
  </si>
  <si>
    <t>source_batch_id=BATCH-FISH-2025-001. Cost carried @ FIFO rate.</t>
  </si>
  <si>
    <t>AS2</t>
  </si>
  <si>
    <t>PROCESS</t>
  </si>
  <si>
    <t>Slaughter overhead: labour+ice+packaging</t>
  </si>
  <si>
    <t>rs 12,000 processing overhead.</t>
  </si>
  <si>
    <t>AS3</t>
  </si>
  <si>
    <t>OUTPUT 1</t>
  </si>
  <si>
    <t>Main: 5,460 kg Fish Fillet (70% split)</t>
  </si>
  <si>
    <t>FISH_FILLET</t>
  </si>
  <si>
    <t>+5,460</t>
  </si>
  <si>
    <t>1140 Inv.Fillet</t>
  </si>
  <si>
    <t>unit_cost = total_cost×0.70 / fillet_kg</t>
  </si>
  <si>
    <t>AS4</t>
  </si>
  <si>
    <t>OUTPUT 2</t>
  </si>
  <si>
    <t>By-product: 1,170 kg Fish Meal (15% split)</t>
  </si>
  <si>
    <t>FISH_MEAL</t>
  </si>
  <si>
    <t>+1,170</t>
  </si>
  <si>
    <t>1100 Inv.Meal</t>
  </si>
  <si>
    <t>AS5</t>
  </si>
  <si>
    <t>OUTPUT 3</t>
  </si>
  <si>
    <t>By-product: 780 kg Fish Skin (10% split)</t>
  </si>
  <si>
    <t>FISH_SKIN</t>
  </si>
  <si>
    <t>+780</t>
  </si>
  <si>
    <t>1100 Inv.Skin</t>
  </si>
  <si>
    <t>AS6</t>
  </si>
  <si>
    <t>QC+QR</t>
  </si>
  <si>
    <t>QC: freshness, size grade. QR on each pack.</t>
  </si>
  <si>
    <t>5,460</t>
  </si>
  <si>
    <t>QC_BATCH + QR</t>
  </si>
  <si>
    <t>QC: freshness score 1-5, fillet grade A/B/C. QR: harvest date, pond, weight.</t>
  </si>
  <si>
    <t xml:space="preserve">  LOB: Bee Keeping  |  BATCH-BEE-2025-001  |  Method: STANDARD  |  50 Hives  |  Annual Harvest  |  QR on honey jars</t>
  </si>
  <si>
    <t>BK1</t>
  </si>
  <si>
    <t>50 hives purchased + installed: rs 3,000/hive = rs 1,50,000</t>
  </si>
  <si>
    <t>BEE_HIVE</t>
  </si>
  <si>
    <t>3000.00</t>
  </si>
  <si>
    <t>- (fixed asset)</t>
  </si>
  <si>
    <t>Fixed Asset A/c</t>
  </si>
  <si>
    <t>Hive = fixed asset (not NCA). Bees = bio asset (optional). Standard costing for honey output.</t>
  </si>
  <si>
    <t>BK2</t>
  </si>
  <si>
    <t>MONTHLY</t>
  </si>
  <si>
    <t>Sugar feed for bees: 100 kg × rs 40</t>
  </si>
  <si>
    <t>SUGAR_FEED</t>
  </si>
  <si>
    <t>40.00</t>
  </si>
  <si>
    <t>rs 4,000/month feed cost.</t>
  </si>
  <si>
    <t>BK3</t>
  </si>
  <si>
    <t>Labour + hive maintenance</t>
  </si>
  <si>
    <t>rs 2,000/month.</t>
  </si>
  <si>
    <t>BK4</t>
  </si>
  <si>
    <t>HARVEST
(June)</t>
  </si>
  <si>
    <t>PROD_HONEY: 875 kg raw honey harvested</t>
  </si>
  <si>
    <t>PROD_HONEY</t>
  </si>
  <si>
    <t>HONEY_RAW</t>
  </si>
  <si>
    <t>+875</t>
  </si>
  <si>
    <t>1160 Inv.Honey</t>
  </si>
  <si>
    <t>unit_cost = total_batch_cost/875 kg. QC before QR.</t>
  </si>
  <si>
    <t>BK5</t>
  </si>
  <si>
    <t>BY-PRODUCT</t>
  </si>
  <si>
    <t>PROD: 45 kg beeswax</t>
  </si>
  <si>
    <t>BEESWAX</t>
  </si>
  <si>
    <t>1160 Inv.Beeswax</t>
  </si>
  <si>
    <t>5% cost split to beeswax by-product.</t>
  </si>
  <si>
    <t>BK6</t>
  </si>
  <si>
    <t>Honey QC: moisture %, colour, HMF level</t>
  </si>
  <si>
    <t>875</t>
  </si>
  <si>
    <t>QC params: moisture&lt;18%, HMF&lt;40mg/kg, colour Grade 1-5</t>
  </si>
  <si>
    <t>BK7</t>
  </si>
  <si>
    <t>Bottle and QR: 500g jars -&gt; 1,750 jars</t>
  </si>
  <si>
    <t>HONEY_JAR</t>
  </si>
  <si>
    <t>+1,750</t>
  </si>
  <si>
    <t>QR: harvest date, hive location, variety, moisture%, grade, lot</t>
  </si>
  <si>
    <t xml:space="preserve">  LOB: Feed Production (BOR)  |  BATCH-FEED-2025-001  |  Method: STANDARD  |  BOR-2025-001 V1  |  1000 KG Layer Mash</t>
  </si>
  <si>
    <t>FP1</t>
  </si>
  <si>
    <t>BATCH Setup</t>
  </si>
  <si>
    <t>Create batch. Attach BOR-2025-001-V1. Auto-populate input lines from BOR.</t>
  </si>
  <si>
    <t>bor_id=uuid-bor-001, version_no=1. System copies BOR lines to batch_input_lines.</t>
  </si>
  <si>
    <t>FP2</t>
  </si>
  <si>
    <t>ISSUE</t>
  </si>
  <si>
    <t>Issue Maize 520 kg × rs 0.35/kg = rs 182</t>
  </si>
  <si>
    <t>MAIZE</t>
  </si>
  <si>
    <t>0.35</t>
  </si>
  <si>
    <t>1100 Inv.RM</t>
  </si>
  <si>
    <t>BOR: 52% × 1000 = 520 kg. Actual = BOR.</t>
  </si>
  <si>
    <t>FP3</t>
  </si>
  <si>
    <t>Issue Soybean Meal 300 kg × rs 0.62/kg</t>
  </si>
  <si>
    <t>SOYBEAN_MEAL</t>
  </si>
  <si>
    <t>0.62</t>
  </si>
  <si>
    <t>BOR: 30% × 1000 = 300 kg. Actual = BOR.</t>
  </si>
  <si>
    <t>FP4</t>
  </si>
  <si>
    <t>Issue Rice Bran 50 kg × rs 0.25/kg</t>
  </si>
  <si>
    <t>RICE_BRAN</t>
  </si>
  <si>
    <t>0.25</t>
  </si>
  <si>
    <t>FP5</t>
  </si>
  <si>
    <t>Issue Limestone+DCP+Oil+Premix (remaining 5%)</t>
  </si>
  <si>
    <t>MICRO_INGREDIENTS</t>
  </si>
  <si>
    <t>Limestone rs 1+DCP rs 11+Oil rs 36+Premix rs 40=rs 88 total</t>
  </si>
  <si>
    <t>FP6</t>
  </si>
  <si>
    <t>RESOURCE</t>
  </si>
  <si>
    <t>Labour rs 25 + Electricity rs 15 + Steam rs 10</t>
  </si>
  <si>
    <t>Resource costs from BOR resource lines.</t>
  </si>
  <si>
    <t>FP7</t>
  </si>
  <si>
    <t>INDIRECT</t>
  </si>
  <si>
    <t>Packing cost rs 12</t>
  </si>
  <si>
    <t>OVHD_OTHER</t>
  </si>
  <si>
    <t>Indirect cost from BOR indirect lines.</t>
  </si>
  <si>
    <t>FP8</t>
  </si>
  <si>
    <t>Finished Feed 1,000 kg produced</t>
  </si>
  <si>
    <t>FINISHED_FEED</t>
  </si>
  <si>
    <t>+1,000</t>
  </si>
  <si>
    <t>1150 Inv.Feed</t>
  </si>
  <si>
    <t>unit_cost = rs 530.50/1000 = rs 0.5305/kg. QC before dispatch.</t>
  </si>
  <si>
    <t>FP9</t>
  </si>
  <si>
    <t>Feed QC: protein%, moisture, mesh size</t>
  </si>
  <si>
    <t>1,000</t>
  </si>
  <si>
    <t>QC: protein&gt;18%, moisture&lt;12%, pellet hardness</t>
  </si>
  <si>
    <t>FP10</t>
  </si>
  <si>
    <t>VARIANCE</t>
  </si>
  <si>
    <t>Usage Var if actual recipe differs from BOR</t>
  </si>
  <si>
    <t>SOYBEAN</t>
  </si>
  <si>
    <t>extra 10 kg</t>
  </si>
  <si>
    <t>BOR nutritional impact shown: actual protein% vs BOR protein%</t>
  </si>
  <si>
    <t>Variance Calculation Engine-  Standard Costing Auto variance on batch close  |  All Formulas  |  Full Worked Example</t>
  </si>
  <si>
    <t>ORANGE cells = inputs (change to test). WHITE cells = Excel formulas. TRIGGERED ON: batch status → CLOSED and resolved_costing_method = STANDARD. 4 variance types auto calculated: Price, Usage, Output, Overhead. Journal auto created. SUM(DR) must = SUM(CR) or journal rejected.</t>
  </si>
  <si>
    <t xml:space="preserve">  INPUTS (Standard Rates &amp; Actuals - ORANGE = change these to simulate)</t>
  </si>
  <si>
    <t>Batch</t>
  </si>
  <si>
    <t>BATCH-CB-2025-001</t>
  </si>
  <si>
    <t>Opening qty</t>
  </si>
  <si>
    <t>birds</t>
  </si>
  <si>
    <t>Method</t>
  </si>
  <si>
    <t>STANDARD</t>
  </si>
  <si>
    <t>Std Output Cost/Bird (rs )</t>
  </si>
  <si>
    <t xml:space="preserve">rs </t>
  </si>
  <si>
    <t>Std Feed Rate (rs /kg)</t>
  </si>
  <si>
    <t>Actual Feed Rate (rs /kg)</t>
  </si>
  <si>
    <t>21.50</t>
  </si>
  <si>
    <t>PRICE VAR driver</t>
  </si>
  <si>
    <t>Std Feed Qty/Bird/Day (kg)</t>
  </si>
  <si>
    <t>0.200</t>
  </si>
  <si>
    <t>Actual Total Feed Consumed (kg)</t>
  </si>
  <si>
    <t>86,400</t>
  </si>
  <si>
    <t>USAGE VAR driver</t>
  </si>
  <si>
    <t>Batch Duration (days)</t>
  </si>
  <si>
    <t>42</t>
  </si>
  <si>
    <t>Std Total Feed Qty (kg)</t>
  </si>
  <si>
    <t>Std Medicine/Batch (doses)</t>
  </si>
  <si>
    <t>Actual Medicine (doses)</t>
  </si>
  <si>
    <t>9,992</t>
  </si>
  <si>
    <t>DOSES</t>
  </si>
  <si>
    <t>Std Medicine Rate (rs /dose)</t>
  </si>
  <si>
    <t>15.00</t>
  </si>
  <si>
    <t>Actual Medicine Rate (rs /dose)</t>
  </si>
  <si>
    <t>Std Overhead (rs /bird)</t>
  </si>
  <si>
    <t>Actual Overhead Total (rs )</t>
  </si>
  <si>
    <t>55,000</t>
  </si>
  <si>
    <t>Expected Output Birds</t>
  </si>
  <si>
    <t>Actual Output Birds</t>
  </si>
  <si>
    <t>9,750</t>
  </si>
  <si>
    <t>2% expected mortality</t>
  </si>
  <si>
    <t xml:space="preserve">  VARIANCE CALCULATIONS  (WHITE = formulas; change ORANGE inputs above to see recalculation)</t>
  </si>
  <si>
    <t>Variance Type</t>
  </si>
  <si>
    <t>Formula (text)</t>
  </si>
  <si>
    <t>Std Value</t>
  </si>
  <si>
    <t>Actual Value</t>
  </si>
  <si>
    <t>Variance Amount</t>
  </si>
  <si>
    <t>FAV/UNFAV</t>
  </si>
  <si>
    <t>Dr Account</t>
  </si>
  <si>
    <t>Cr Account</t>
  </si>
  <si>
    <t>Journal Amt</t>
  </si>
  <si>
    <t>Condition</t>
  </si>
  <si>
    <t>LOB Applicability</t>
  </si>
  <si>
    <t>PRICE VAR - Feed</t>
  </si>
  <si>
    <t>(Actual Rate - Std Rate) × Actual Qty</t>
  </si>
  <si>
    <t>Always auto-created on CLOSE</t>
  </si>
  <si>
    <t>All Std LOBs</t>
  </si>
  <si>
    <t>USAGE VAR - Feed</t>
  </si>
  <si>
    <t>(Actual Qty - Std Qty) × Std Rate</t>
  </si>
  <si>
    <t>MEDICINE USAGE VAR</t>
  </si>
  <si>
    <t>(Actual Dose - Std Dose) × Std Rate</t>
  </si>
  <si>
    <t>6130 Med Usage Var</t>
  </si>
  <si>
    <t>Auto if medicine in scheduler</t>
  </si>
  <si>
    <t>Poultry, Livestock, Aqua</t>
  </si>
  <si>
    <t>OUTPUT VAR</t>
  </si>
  <si>
    <t>(Std Output - Actual Output) × Std Output Cost</t>
  </si>
  <si>
    <t>OVERHEAD VAR</t>
  </si>
  <si>
    <t>Actual OH - (Std OH Rate × Actual Output)</t>
  </si>
  <si>
    <t>6150 OH Var</t>
  </si>
  <si>
    <t>Auto on CLOSE</t>
  </si>
  <si>
    <t>NET TOTAL VARIANCE</t>
  </si>
  <si>
    <t xml:space="preserve">  AUTO-GENERATED JOURNAL ENTRIES  (based on variance amounts above)</t>
  </si>
  <si>
    <t>Jnl#</t>
  </si>
  <si>
    <t>Type</t>
  </si>
  <si>
    <t>Dr/Cr</t>
  </si>
  <si>
    <t>Account</t>
  </si>
  <si>
    <t>Amount</t>
  </si>
  <si>
    <t>Unfav treatment</t>
  </si>
  <si>
    <t>Fav treatment</t>
  </si>
  <si>
    <t>Source Table</t>
  </si>
  <si>
    <t>PRICE VAR</t>
  </si>
  <si>
    <t>DR</t>
  </si>
  <si>
    <t>6100 Price Variance</t>
  </si>
  <si>
    <t>if UNFAV</t>
  </si>
  <si>
    <t>Dr Variance A/c</t>
  </si>
  <si>
    <t>cost_variance_entries → gl_journal_lines</t>
  </si>
  <si>
    <t>CR</t>
  </si>
  <si>
    <t>1100 Inventory Feed</t>
  </si>
  <si>
    <t>Cr Inventory A/c</t>
  </si>
  <si>
    <t>USAGE VAR</t>
  </si>
  <si>
    <t>6120 Usage Variance</t>
  </si>
  <si>
    <t>Cr WIP</t>
  </si>
  <si>
    <t>6140 Output Variance</t>
  </si>
  <si>
    <t>OH VAR</t>
  </si>
  <si>
    <t>6150 Overhead Var</t>
  </si>
  <si>
    <t xml:space="preserve">  BALANCE CHECK  (DR must = CR)</t>
  </si>
  <si>
    <t>Total DR</t>
  </si>
  <si>
    <t>Total CR</t>
  </si>
  <si>
    <t>BALANCED?</t>
  </si>
  <si>
    <t>Test Dataset  -  All NOBs/LOBs  |  Complete Dummy Data  |  Expected End Results for DB Testing</t>
  </si>
  <si>
    <t>USE THIS SHEET TO TEST THE DATABASE: Load each dataset into the DB tables. Run the batch through all steps.
Compare DB output with the 'Expected Result' column. If all match -&gt; database structure and costing engine are correct.</t>
  </si>
  <si>
    <t>NOB</t>
  </si>
  <si>
    <t>LOB</t>
  </si>
  <si>
    <t>Batch Code</t>
  </si>
  <si>
    <t>Opening Qty</t>
  </si>
  <si>
    <t>Duration</t>
  </si>
  <si>
    <t>Total Input Cost</t>
  </si>
  <si>
    <t>Overhead</t>
  </si>
  <si>
    <t>Output Qty</t>
  </si>
  <si>
    <t>Output UOM</t>
  </si>
  <si>
    <t>Expected Unit Cost</t>
  </si>
  <si>
    <t>Expected Variance / Key Result</t>
  </si>
  <si>
    <t>Poultry</t>
  </si>
  <si>
    <t>Rearing &amp; Breeding</t>
  </si>
  <si>
    <t>BATCH-REAR-2025-001</t>
  </si>
  <si>
    <t>5,000</t>
  </si>
  <si>
    <t>NOS (Chicks)</t>
  </si>
  <si>
    <t>35 days</t>
  </si>
  <si>
    <t>rs 1,10,000</t>
  </si>
  <si>
    <t>rs 5,000</t>
  </si>
  <si>
    <t>4,940</t>
  </si>
  <si>
    <t>NOS (Grower Chick)</t>
  </si>
  <si>
    <t>rs 23.28/chick</t>
  </si>
  <si>
    <t>Output Var: (4,975-4,940)×rs 23.28=rs 814 UNFAV. Feed Usage Var: rs 1,800 UNFAV.</t>
  </si>
  <si>
    <t>Laying- Standard</t>
  </si>
  <si>
    <t>BATCH-LAY-STD-2025-001</t>
  </si>
  <si>
    <t>8,000</t>
  </si>
  <si>
    <t>NOS (Hens)</t>
  </si>
  <si>
    <t>52 weeks</t>
  </si>
  <si>
    <t>rs 2,87,000</t>
  </si>
  <si>
    <t>rs 25,200</t>
  </si>
  <si>
    <t>87,36,000</t>
  </si>
  <si>
    <t>NOS (Eggs)</t>
  </si>
  <si>
    <t>rs 0.036/egg</t>
  </si>
  <si>
    <t>Price Var Feed: rs 86,400 UNFAV. Usage Var: rs 42,120 UNFAV. Lay rate: 85%.</t>
  </si>
  <si>
    <t>Laying- FIFO</t>
  </si>
  <si>
    <t>BATCH-LAY-FIFO-2025-001</t>
  </si>
  <si>
    <t>FIFO</t>
  </si>
  <si>
    <t>FIFO cost</t>
  </si>
  <si>
    <t>rs 0.038/egg (weighted avg FIFO)</t>
  </si>
  <si>
    <t>No variance entries. L1: rs 19.50/kg, L2: rs 21.00/kg. Weighted avg rs 20.22/kg.</t>
  </si>
  <si>
    <t>Hatching</t>
  </si>
  <si>
    <t>BATCH-HATCH-2025-001</t>
  </si>
  <si>
    <t>50,000</t>
  </si>
  <si>
    <t>NOS (Eggs set)</t>
  </si>
  <si>
    <t>21 days</t>
  </si>
  <si>
    <t>rs 1,60,000</t>
  </si>
  <si>
    <t>rs 8,500</t>
  </si>
  <si>
    <t>42,500</t>
  </si>
  <si>
    <t>NOS (DOC Chick)</t>
  </si>
  <si>
    <t>rs 3.97/chick</t>
  </si>
  <si>
    <t>Hatchability 85%. Output Var: rs 4,200 UNFAV. By-product 7,500 infertile eggs @ rs 0.50.</t>
  </si>
  <si>
    <t>CB Farming</t>
  </si>
  <si>
    <t>NOS (DOC)</t>
  </si>
  <si>
    <t>42 days</t>
  </si>
  <si>
    <t>rs 4,88,780</t>
  </si>
  <si>
    <t>rs 30,100</t>
  </si>
  <si>
    <t>NOS (Live Bird)</t>
  </si>
  <si>
    <t>rs 53.21/bird</t>
  </si>
  <si>
    <t>Price Var: rs 1,29,600 UNFAV. Usage Var: rs 48,000 UNFAV. Output Var: rs 4,250 UNFAV. OH Var: rs 5,000 UNFAV.</t>
  </si>
  <si>
    <t>Slaughter</t>
  </si>
  <si>
    <t>BATCH-SL-2025-001</t>
  </si>
  <si>
    <t>NOS (Live Birds)</t>
  </si>
  <si>
    <t>1 day</t>
  </si>
  <si>
    <t>rs 8,28,750</t>
  </si>
  <si>
    <t>rs 18,500</t>
  </si>
  <si>
    <t>15,356 kg Carcass + 2,252 kg Offal</t>
  </si>
  <si>
    <t>Carcass: rs 35.71/kg (75%), Offal: rs 35.71/kg (11%)</t>
  </si>
  <si>
    <t>Joint cost split 75/11/12/2. QC: 9,500 PASS, 150 FAIL, 100 HOLD. QR: 9,500 packs.</t>
  </si>
  <si>
    <t>Livestock</t>
  </si>
  <si>
    <t>Cow &amp; Buffalo</t>
  </si>
  <si>
    <t>BATCH-COW-2025-001</t>
  </si>
  <si>
    <t>BIO_ASSET</t>
  </si>
  <si>
    <t>NOS (Heifers)</t>
  </si>
  <si>
    <t>Ongoing</t>
  </si>
  <si>
    <t>rs 1,25,000 NCA</t>
  </si>
  <si>
    <t>rs 14,400/yr feed</t>
  </si>
  <si>
    <t>100 L/day Milk</t>
  </si>
  <si>
    <t>rs 7.20/litre (running NCA rate)</t>
  </si>
  <si>
    <t>Monthly amort: rs 2,100. Fair value gain if market &gt; rs 25,000/cow. IAS 41 applied.</t>
  </si>
  <si>
    <t>Piggery- Gilts</t>
  </si>
  <si>
    <t>BATCH-GILT-2025-001</t>
  </si>
  <si>
    <t>NOS (Gilts)</t>
  </si>
  <si>
    <t>270 days</t>
  </si>
  <si>
    <t>$1,42,878 NCA</t>
  </si>
  <si>
    <t>$45,000 feed (9 months)</t>
  </si>
  <si>
    <t>539</t>
  </si>
  <si>
    <t>NOS (Piglets)</t>
  </si>
  <si>
    <t>$255/piglet (NCA running rate)</t>
  </si>
  <si>
    <t>NCA at month 9: rs 3,12,678. Residual: rs 15,362. Amort: rs 23,480/month × 18 months.</t>
  </si>
  <si>
    <t>Piggery- Commercial</t>
  </si>
  <si>
    <t>BATCH-COMM-2025-001</t>
  </si>
  <si>
    <t>NOS (Weaners)</t>
  </si>
  <si>
    <t>120 days</t>
  </si>
  <si>
    <t>rs 45,000</t>
  </si>
  <si>
    <t>rs 8,000</t>
  </si>
  <si>
    <t>98</t>
  </si>
  <si>
    <t>NOS (Market Pig)</t>
  </si>
  <si>
    <t>rs 540/pig</t>
  </si>
  <si>
    <t>FCR: 3.2 (target 3.0). QR on each pig. Usage var on feed: rs 4,000 UNFAV.</t>
  </si>
  <si>
    <t>Agri</t>
  </si>
  <si>
    <t>Fruit Farming - Premature</t>
  </si>
  <si>
    <t>BATCH-FRUIT-PRE-2020</t>
  </si>
  <si>
    <t>NOS (Trees)</t>
  </si>
  <si>
    <t>5 years</t>
  </si>
  <si>
    <t>rs 90,000 NCA (5yr total)</t>
  </si>
  <si>
    <t>No output in premature stage</t>
  </si>
  <si>
    <t>All costs capitalised. NO amortisation during premature. Batch does NOT close.</t>
  </si>
  <si>
    <t>Fruit Farming - Mature</t>
  </si>
  <si>
    <t>BATCH-FRUIT-MAT-2025</t>
  </si>
  <si>
    <t>Annual</t>
  </si>
  <si>
    <t>rs 8,000/year maintenance</t>
  </si>
  <si>
    <t>15,000</t>
  </si>
  <si>
    <t>KG (Mangoes)</t>
  </si>
  <si>
    <t>rs 7.20/kg</t>
  </si>
  <si>
    <t>Annual amort rs 8,000. Batch CLOSES after harvest. COPY for next year. FIFO lots for fruit sales.</t>
  </si>
  <si>
    <t>Crop Farming</t>
  </si>
  <si>
    <t>BATCH-CROP-2025-001</t>
  </si>
  <si>
    <t>10</t>
  </si>
  <si>
    <t>ACRE</t>
  </si>
  <si>
    <t>rs 30,850</t>
  </si>
  <si>
    <t>rs 5,200</t>
  </si>
  <si>
    <t>KG (Paddy)</t>
  </si>
  <si>
    <t>rs 6.94/kg</t>
  </si>
  <si>
    <t>Output Var FAV: rs 1,200. Top-dress fertiliser Price Var: rs 500 UNFAV. QC: moisture 12%. QR: 104 bags.</t>
  </si>
  <si>
    <t>Seeds</t>
  </si>
  <si>
    <t>BATCH-SEEDS-2025-001</t>
  </si>
  <si>
    <t>KG (Raw Paddy)</t>
  </si>
  <si>
    <t>3 days processing</t>
  </si>
  <si>
    <t>rs 38,000</t>
  </si>
  <si>
    <t>KG (Certified Seeds)</t>
  </si>
  <si>
    <t>rs 9.68/kg</t>
  </si>
  <si>
    <t>5% processing loss. QC: germination 88% (min 85% ✓). QR: 190 bags @ 25kg each.</t>
  </si>
  <si>
    <t>Aqua</t>
  </si>
  <si>
    <t>Fish Farming</t>
  </si>
  <si>
    <t>BATCH-FISH-2025-001</t>
  </si>
  <si>
    <t>NOS (Fingerlings)</t>
  </si>
  <si>
    <t>180 days</t>
  </si>
  <si>
    <t>rs 50,000 NCA</t>
  </si>
  <si>
    <t>rs 1,08,000 feed</t>
  </si>
  <si>
    <t>7,800</t>
  </si>
  <si>
    <t>KG (Live Fish)</t>
  </si>
  <si>
    <t>rs 14.50/kg (FIFO weighted avg)</t>
  </si>
  <si>
    <t>2 harvest lots: Lot1 rs 21/kg, Lot2 rs 14.66/kg. FIFO consumed in order.</t>
  </si>
  <si>
    <t>Aqua Slaughter</t>
  </si>
  <si>
    <t>BATCH-AQSL-2025-001</t>
  </si>
  <si>
    <t>rs 1,13,100</t>
  </si>
  <si>
    <t>rs 12,000</t>
  </si>
  <si>
    <t>5,460 kg Fillet + 1,170 kg Meal</t>
  </si>
  <si>
    <t>Fillet: rs 15.75/kg (70%), Meal: rs 14.36/kg (15%)</t>
  </si>
  <si>
    <t>QC: freshness grade A. QR per pack.</t>
  </si>
  <si>
    <t>Insect</t>
  </si>
  <si>
    <t>Bee Keeping</t>
  </si>
  <si>
    <t>BATCH-BEE-2025-001</t>
  </si>
  <si>
    <t>NOS (Hives)</t>
  </si>
  <si>
    <t>rs 72,000</t>
  </si>
  <si>
    <t>rs 24,000</t>
  </si>
  <si>
    <t>KG (Honey)</t>
  </si>
  <si>
    <t>rs 109.71/kg (rs 0.110/g)</t>
  </si>
  <si>
    <t>By-product: 45 kg beeswax @ rs 1,371/kg (5% split). QC: moisture 16% ✓. QR: 1,750 jars.</t>
  </si>
  <si>
    <t>Feed</t>
  </si>
  <si>
    <t>Feed Production</t>
  </si>
  <si>
    <t>BATCH-FEED-2025-001</t>
  </si>
  <si>
    <t>KG (Target output)</t>
  </si>
  <si>
    <t>1 day (batch run)</t>
  </si>
  <si>
    <t>rs 468.50 (RM)</t>
  </si>
  <si>
    <t>rs 62 (resource+indirect)</t>
  </si>
  <si>
    <t>KG (Finished Feed)</t>
  </si>
  <si>
    <t>rs 0.5305/kg  ≡  rs 530.50/tonne</t>
  </si>
  <si>
    <t>Usage Var Soya: rs 6.20 UNFAV (extra 10kg). QC: protein 18.2% ✓. BOR V1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</si>
</sst>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4">
    <font>
      <sz val="11"/>
      <color theme="1"/>
      <name val="Calibri"/>
      <family val="2"/>
      <scheme val="minor"/>
    </font>
    <font>
      <b/>
      <sz val="9"/>
      <color rgb="FFFFFFFF"/>
      <name val="Calibri Light"/>
      <family val="2"/>
      <scheme val="major"/>
    </font>
    <font>
      <b/>
      <sz val="9"/>
      <color rgb="FF000000"/>
      <name val="Calibri Light"/>
      <family val="2"/>
      <scheme val="major"/>
    </font>
    <font>
      <sz val="9"/>
      <color rgb="FF000000"/>
      <name val="Calibri Light"/>
      <family val="2"/>
      <scheme val="major"/>
    </font>
    <font>
      <sz val="9"/>
      <color rgb="FF922B21"/>
      <name val="Calibri Light"/>
      <family val="2"/>
      <scheme val="major"/>
    </font>
    <font>
      <sz val="9"/>
      <color rgb="FF1E8449"/>
      <name val="Calibri Light"/>
      <family val="2"/>
      <scheme val="major"/>
    </font>
    <font>
      <sz val="9"/>
      <color theme="1"/>
      <name val="Calibri Light"/>
      <family val="2"/>
      <scheme val="major"/>
    </font>
    <font>
      <i/>
      <sz val="9"/>
      <color rgb="FF000000"/>
      <name val="Calibri Light"/>
      <family val="2"/>
      <scheme val="major"/>
    </font>
    <font>
      <b/>
      <sz val="9"/>
      <color rgb="FF922B21"/>
      <name val="Calibri Light"/>
      <family val="2"/>
      <scheme val="major"/>
    </font>
    <font>
      <b/>
      <sz val="9"/>
      <color rgb="FF1E8449"/>
      <name val="Calibri Light"/>
      <family val="2"/>
      <scheme val="major"/>
    </font>
    <font>
      <i/>
      <sz val="9"/>
      <color rgb="FFFFFFFF"/>
      <name val="Calibri Light"/>
      <family val="2"/>
      <scheme val="major"/>
    </font>
    <font>
      <sz val="9"/>
      <color rgb="FF1A5276"/>
      <name val="Calibri Light"/>
      <family val="2"/>
      <scheme val="major"/>
    </font>
    <font>
      <b/>
      <sz val="9"/>
      <name val="Calibri Light"/>
      <family val="2"/>
      <scheme val="major"/>
    </font>
    <font>
      <sz val="9"/>
      <name val="Calibri Light"/>
      <family val="2"/>
      <scheme val="major"/>
    </font>
  </fonts>
  <fills count="18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FFFFFF"/>
      </patternFill>
    </fill>
    <fill>
      <patternFill patternType="solid">
        <fgColor rgb="FFF2F3F4"/>
      </patternFill>
    </fill>
    <fill>
      <patternFill patternType="solid">
        <fgColor rgb="FF2E86C1"/>
      </patternFill>
    </fill>
    <fill>
      <patternFill patternType="solid">
        <fgColor rgb="FF1E8449"/>
      </patternFill>
    </fill>
    <fill>
      <patternFill patternType="solid">
        <fgColor rgb="FF117A65"/>
      </patternFill>
    </fill>
    <fill>
      <patternFill patternType="solid">
        <fgColor rgb="FFD35400"/>
      </patternFill>
    </fill>
    <fill>
      <patternFill patternType="solid">
        <fgColor rgb="FF922B21"/>
      </patternFill>
    </fill>
    <fill>
      <patternFill patternType="solid">
        <fgColor rgb="FFFFC000"/>
        <bgColor indexed="64"/>
      </patternFill>
    </fill>
    <fill>
      <patternFill patternType="solid">
        <fgColor rgb="FF6C3483"/>
      </patternFill>
    </fill>
    <fill>
      <patternFill patternType="solid">
        <fgColor rgb="FFB7950B"/>
      </patternFill>
    </fill>
    <fill>
      <patternFill patternType="solid">
        <fgColor rgb="FFFCF3CF"/>
      </patternFill>
    </fill>
    <fill>
      <patternFill patternType="solid">
        <fgColor rgb="FFFDEBD0"/>
      </patternFill>
    </fill>
    <fill>
      <patternFill patternType="solid">
        <fgColor rgb="FFFADBD8"/>
      </patternFill>
    </fill>
    <fill>
      <patternFill patternType="solid">
        <fgColor rgb="FFD5F5E3"/>
      </patternFill>
    </fill>
    <fill>
      <patternFill patternType="solid">
        <fgColor rgb="FF566573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4" fontId="3" fillId="3" borderId="1" xfId="0" applyNumberFormat="1" applyFont="1" applyFill="1" applyBorder="1" applyAlignment="1">
      <alignment horizontal="right" vertical="center"/>
    </xf>
    <xf numFmtId="4" fontId="3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6" fillId="0" borderId="0" xfId="0" applyFont="1"/>
    <xf numFmtId="3" fontId="4" fillId="3" borderId="1" xfId="0" applyNumberFormat="1" applyFont="1" applyFill="1" applyBorder="1" applyAlignment="1">
      <alignment horizontal="left" vertical="center" wrapText="1"/>
    </xf>
    <xf numFmtId="3" fontId="4" fillId="4" borderId="1" xfId="0" applyNumberFormat="1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left" vertical="center" wrapText="1"/>
    </xf>
    <xf numFmtId="3" fontId="2" fillId="4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right" vertical="center" wrapText="1"/>
    </xf>
    <xf numFmtId="164" fontId="2" fillId="13" borderId="1" xfId="0" applyNumberFormat="1" applyFont="1" applyFill="1" applyBorder="1" applyAlignment="1">
      <alignment horizontal="right" vertical="center"/>
    </xf>
    <xf numFmtId="4" fontId="3" fillId="14" borderId="1" xfId="0" applyNumberFormat="1" applyFont="1" applyFill="1" applyBorder="1" applyAlignment="1">
      <alignment horizontal="right" vertical="center"/>
    </xf>
    <xf numFmtId="4" fontId="2" fillId="14" borderId="1" xfId="0" applyNumberFormat="1" applyFont="1" applyFill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center" vertical="center"/>
    </xf>
    <xf numFmtId="4" fontId="2" fillId="15" borderId="1" xfId="0" applyNumberFormat="1" applyFont="1" applyFill="1" applyBorder="1" applyAlignment="1">
      <alignment horizontal="right" vertical="center"/>
    </xf>
    <xf numFmtId="4" fontId="2" fillId="16" borderId="1" xfId="0" applyNumberFormat="1" applyFont="1" applyFill="1" applyBorder="1" applyAlignment="1">
      <alignment horizontal="right" vertical="center"/>
    </xf>
    <xf numFmtId="4" fontId="8" fillId="15" borderId="1" xfId="0" applyNumberFormat="1" applyFont="1" applyFill="1" applyBorder="1" applyAlignment="1">
      <alignment horizontal="right" vertical="center"/>
    </xf>
    <xf numFmtId="4" fontId="9" fillId="16" borderId="1" xfId="0" applyNumberFormat="1" applyFont="1" applyFill="1" applyBorder="1" applyAlignment="1">
      <alignment horizontal="right" vertical="center"/>
    </xf>
    <xf numFmtId="49" fontId="9" fillId="1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/>
    </xf>
    <xf numFmtId="0" fontId="12" fillId="1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1" fillId="17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3" fillId="10" borderId="2" xfId="0" applyFont="1" applyFill="1" applyBorder="1" applyAlignment="1"/>
    <xf numFmtId="0" fontId="13" fillId="10" borderId="3" xfId="0" applyFont="1" applyFill="1" applyBorder="1" applyAlignment="1"/>
    <xf numFmtId="0" fontId="6" fillId="0" borderId="2" xfId="0" applyFont="1" applyBorder="1" applyAlignment="1"/>
    <xf numFmtId="0" fontId="6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863A-D34D-4A2F-B790-9874BCB27FAD}">
  <dimension ref="A1:O61"/>
  <sheetViews>
    <sheetView tabSelected="1" workbookViewId="0">
      <selection activeCell="C10" sqref="C10"/>
    </sheetView>
  </sheetViews>
  <sheetFormatPr defaultColWidth="8.7109375" defaultRowHeight="12"/>
  <cols>
    <col min="1" max="1" width="4" style="17" customWidth="1"/>
    <col min="2" max="2" width="19.42578125" style="17" customWidth="1"/>
    <col min="3" max="3" width="32" style="17" customWidth="1"/>
    <col min="4" max="4" width="14" style="17" customWidth="1"/>
    <col min="5" max="5" width="16" style="17" customWidth="1"/>
    <col min="6" max="6" width="12" style="17" customWidth="1"/>
    <col min="7" max="7" width="7" style="17" customWidth="1"/>
    <col min="8" max="8" width="10" style="17" customWidth="1"/>
    <col min="9" max="9" width="14" style="17" customWidth="1"/>
    <col min="10" max="10" width="16" style="17" customWidth="1"/>
    <col min="11" max="11" width="22" style="17" customWidth="1"/>
    <col min="12" max="13" width="18" style="17" customWidth="1"/>
    <col min="14" max="14" width="40" style="17" customWidth="1"/>
    <col min="15" max="16384" width="8.7109375" style="17"/>
  </cols>
  <sheetData>
    <row r="1" spans="1:14">
      <c r="A1" s="49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3" spans="1:14">
      <c r="A3" s="50" t="s">
        <v>1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</row>
    <row r="4" spans="1:14" ht="2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24">
      <c r="A5" s="2" t="s">
        <v>16</v>
      </c>
      <c r="B5" s="2" t="s">
        <v>17</v>
      </c>
      <c r="C5" s="3" t="s">
        <v>18</v>
      </c>
      <c r="D5" s="3" t="s">
        <v>19</v>
      </c>
      <c r="E5" s="3" t="s">
        <v>20</v>
      </c>
      <c r="F5" s="4" t="s">
        <v>19</v>
      </c>
      <c r="G5" s="3" t="s">
        <v>21</v>
      </c>
      <c r="H5" s="3" t="s">
        <v>22</v>
      </c>
      <c r="I5" s="2" t="s">
        <v>19</v>
      </c>
      <c r="J5" s="2" t="s">
        <v>19</v>
      </c>
      <c r="K5" s="3" t="s">
        <v>19</v>
      </c>
      <c r="L5" s="3" t="s">
        <v>19</v>
      </c>
      <c r="M5" s="3" t="s">
        <v>19</v>
      </c>
      <c r="N5" s="3" t="s">
        <v>23</v>
      </c>
    </row>
    <row r="6" spans="1:14">
      <c r="A6" s="5" t="s">
        <v>24</v>
      </c>
      <c r="B6" s="5" t="s">
        <v>17</v>
      </c>
      <c r="C6" s="6" t="s">
        <v>25</v>
      </c>
      <c r="D6" s="6" t="s">
        <v>19</v>
      </c>
      <c r="E6" s="6" t="s">
        <v>26</v>
      </c>
      <c r="F6" s="7" t="s">
        <v>19</v>
      </c>
      <c r="G6" s="6" t="s">
        <v>21</v>
      </c>
      <c r="H6" s="6" t="s">
        <v>27</v>
      </c>
      <c r="I6" s="5" t="s">
        <v>19</v>
      </c>
      <c r="J6" s="5" t="s">
        <v>19</v>
      </c>
      <c r="K6" s="6" t="s">
        <v>19</v>
      </c>
      <c r="L6" s="6" t="s">
        <v>19</v>
      </c>
      <c r="M6" s="6" t="s">
        <v>19</v>
      </c>
      <c r="N6" s="6" t="s">
        <v>28</v>
      </c>
    </row>
    <row r="7" spans="1:14">
      <c r="A7" s="2" t="s">
        <v>29</v>
      </c>
      <c r="B7" s="2" t="s">
        <v>30</v>
      </c>
      <c r="C7" s="3" t="s">
        <v>31</v>
      </c>
      <c r="D7" s="3" t="s">
        <v>32</v>
      </c>
      <c r="E7" s="3" t="s">
        <v>33</v>
      </c>
      <c r="F7" s="18">
        <v>-5000</v>
      </c>
      <c r="G7" s="3" t="s">
        <v>34</v>
      </c>
      <c r="H7" s="3" t="s">
        <v>35</v>
      </c>
      <c r="I7" s="8" t="e">
        <f>F5*G5</f>
        <v>#VALUE!</v>
      </c>
      <c r="J7" s="8" t="str">
        <f>I5</f>
        <v>-</v>
      </c>
      <c r="K7" s="3" t="s">
        <v>32</v>
      </c>
      <c r="L7" s="3" t="s">
        <v>36</v>
      </c>
      <c r="M7" s="3" t="s">
        <v>37</v>
      </c>
      <c r="N7" s="3" t="s">
        <v>38</v>
      </c>
    </row>
    <row r="8" spans="1:14">
      <c r="A8" s="5" t="s">
        <v>39</v>
      </c>
      <c r="B8" s="5" t="s">
        <v>40</v>
      </c>
      <c r="C8" s="6" t="s">
        <v>41</v>
      </c>
      <c r="D8" s="6" t="s">
        <v>42</v>
      </c>
      <c r="E8" s="6" t="s">
        <v>20</v>
      </c>
      <c r="F8" s="7">
        <v>-120</v>
      </c>
      <c r="G8" s="6" t="s">
        <v>21</v>
      </c>
      <c r="H8" s="6" t="s">
        <v>22</v>
      </c>
      <c r="I8" s="9" t="e">
        <f>F7*G7</f>
        <v>#VALUE!</v>
      </c>
      <c r="J8" s="9" t="e">
        <f>J6+I7</f>
        <v>#VALUE!</v>
      </c>
      <c r="K8" s="6" t="s">
        <v>43</v>
      </c>
      <c r="L8" s="6" t="s">
        <v>36</v>
      </c>
      <c r="M8" s="6" t="s">
        <v>44</v>
      </c>
      <c r="N8" s="6" t="s">
        <v>45</v>
      </c>
    </row>
    <row r="9" spans="1:14">
      <c r="A9" s="2" t="s">
        <v>46</v>
      </c>
      <c r="B9" s="2" t="s">
        <v>47</v>
      </c>
      <c r="C9" s="3" t="s">
        <v>48</v>
      </c>
      <c r="D9" s="3" t="s">
        <v>49</v>
      </c>
      <c r="E9" s="3" t="s">
        <v>33</v>
      </c>
      <c r="F9" s="4">
        <v>-5</v>
      </c>
      <c r="G9" s="3" t="s">
        <v>34</v>
      </c>
      <c r="H9" s="3" t="s">
        <v>35</v>
      </c>
      <c r="I9" s="8" t="e">
        <f>F8*G8</f>
        <v>#VALUE!</v>
      </c>
      <c r="J9" s="8" t="e">
        <f>J7-I8</f>
        <v>#VALUE!</v>
      </c>
      <c r="K9" s="3" t="s">
        <v>50</v>
      </c>
      <c r="L9" s="3" t="s">
        <v>51</v>
      </c>
      <c r="M9" s="3" t="s">
        <v>36</v>
      </c>
      <c r="N9" s="3" t="s">
        <v>52</v>
      </c>
    </row>
    <row r="10" spans="1:14">
      <c r="A10" s="5" t="s">
        <v>53</v>
      </c>
      <c r="B10" s="5" t="s">
        <v>54</v>
      </c>
      <c r="C10" s="6" t="s">
        <v>55</v>
      </c>
      <c r="D10" s="6" t="s">
        <v>56</v>
      </c>
      <c r="E10" s="6" t="s">
        <v>57</v>
      </c>
      <c r="F10" s="10" t="s">
        <v>58</v>
      </c>
      <c r="G10" s="6" t="s">
        <v>34</v>
      </c>
      <c r="H10" s="6" t="s">
        <v>59</v>
      </c>
      <c r="I10" s="9">
        <f>4940*85</f>
        <v>419900</v>
      </c>
      <c r="J10" s="9" t="e">
        <f>J8-I9</f>
        <v>#VALUE!</v>
      </c>
      <c r="K10" s="6" t="s">
        <v>60</v>
      </c>
      <c r="L10" s="6" t="s">
        <v>37</v>
      </c>
      <c r="M10" s="6" t="s">
        <v>36</v>
      </c>
      <c r="N10" s="6" t="s">
        <v>61</v>
      </c>
    </row>
    <row r="11" spans="1:14">
      <c r="A11" s="2" t="s">
        <v>62</v>
      </c>
      <c r="B11" s="2" t="s">
        <v>63</v>
      </c>
      <c r="C11" s="3" t="s">
        <v>64</v>
      </c>
      <c r="D11" s="3" t="s">
        <v>19</v>
      </c>
      <c r="E11" s="3" t="s">
        <v>20</v>
      </c>
      <c r="F11" s="3" t="s">
        <v>65</v>
      </c>
      <c r="G11" s="3" t="s">
        <v>21</v>
      </c>
      <c r="H11" s="3" t="s">
        <v>22</v>
      </c>
      <c r="I11" s="8">
        <f>2400*18</f>
        <v>43200</v>
      </c>
      <c r="J11" s="2" t="s">
        <v>19</v>
      </c>
      <c r="K11" s="3" t="s">
        <v>66</v>
      </c>
      <c r="L11" s="3" t="s">
        <v>67</v>
      </c>
      <c r="M11" s="3" t="s">
        <v>36</v>
      </c>
      <c r="N11" s="3" t="s">
        <v>68</v>
      </c>
    </row>
    <row r="12" spans="1:14">
      <c r="A12" s="5" t="s">
        <v>69</v>
      </c>
      <c r="B12" s="5" t="s">
        <v>63</v>
      </c>
      <c r="C12" s="6" t="s">
        <v>70</v>
      </c>
      <c r="D12" s="6" t="s">
        <v>19</v>
      </c>
      <c r="E12" s="6" t="s">
        <v>57</v>
      </c>
      <c r="F12" s="7" t="s">
        <v>71</v>
      </c>
      <c r="G12" s="6" t="s">
        <v>34</v>
      </c>
      <c r="H12" s="6" t="s">
        <v>59</v>
      </c>
      <c r="I12" s="9">
        <f>35*85</f>
        <v>2975</v>
      </c>
      <c r="J12" s="5" t="s">
        <v>19</v>
      </c>
      <c r="K12" s="6" t="s">
        <v>66</v>
      </c>
      <c r="L12" s="6" t="s">
        <v>72</v>
      </c>
      <c r="M12" s="6" t="s">
        <v>36</v>
      </c>
      <c r="N12" s="6" t="s">
        <v>73</v>
      </c>
    </row>
    <row r="15" spans="1:14">
      <c r="A15" s="51" t="s">
        <v>74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4"/>
    </row>
    <row r="16" spans="1:14" ht="24">
      <c r="A16" s="11" t="s">
        <v>2</v>
      </c>
      <c r="B16" s="11" t="s">
        <v>3</v>
      </c>
      <c r="C16" s="11" t="s">
        <v>4</v>
      </c>
      <c r="D16" s="11" t="s">
        <v>5</v>
      </c>
      <c r="E16" s="11" t="s">
        <v>6</v>
      </c>
      <c r="F16" s="11" t="s">
        <v>7</v>
      </c>
      <c r="G16" s="11" t="s">
        <v>8</v>
      </c>
      <c r="H16" s="11" t="s">
        <v>9</v>
      </c>
      <c r="I16" s="11" t="s">
        <v>10</v>
      </c>
      <c r="J16" s="11" t="s">
        <v>11</v>
      </c>
      <c r="K16" s="11" t="s">
        <v>12</v>
      </c>
      <c r="L16" s="11" t="s">
        <v>13</v>
      </c>
      <c r="M16" s="11" t="s">
        <v>14</v>
      </c>
      <c r="N16" s="11" t="s">
        <v>15</v>
      </c>
    </row>
    <row r="17" spans="1:15" ht="24">
      <c r="A17" s="2" t="s">
        <v>75</v>
      </c>
      <c r="B17" s="2" t="s">
        <v>76</v>
      </c>
      <c r="C17" s="3" t="s">
        <v>77</v>
      </c>
      <c r="D17" s="3" t="s">
        <v>19</v>
      </c>
      <c r="E17" s="3" t="s">
        <v>19</v>
      </c>
      <c r="F17" s="4" t="s">
        <v>19</v>
      </c>
      <c r="G17" s="3" t="s">
        <v>19</v>
      </c>
      <c r="H17" s="3" t="s">
        <v>19</v>
      </c>
      <c r="I17" s="2" t="s">
        <v>19</v>
      </c>
      <c r="J17" s="2" t="s">
        <v>19</v>
      </c>
      <c r="K17" s="3" t="s">
        <v>19</v>
      </c>
      <c r="L17" s="3" t="s">
        <v>19</v>
      </c>
      <c r="M17" s="3" t="s">
        <v>19</v>
      </c>
      <c r="N17" s="3" t="s">
        <v>78</v>
      </c>
    </row>
    <row r="18" spans="1:15">
      <c r="A18" s="5" t="s">
        <v>79</v>
      </c>
      <c r="B18" s="5" t="s">
        <v>40</v>
      </c>
      <c r="C18" s="6" t="s">
        <v>80</v>
      </c>
      <c r="D18" s="6" t="s">
        <v>42</v>
      </c>
      <c r="E18" s="6" t="s">
        <v>81</v>
      </c>
      <c r="F18" s="19">
        <v>-1200</v>
      </c>
      <c r="G18" s="6" t="s">
        <v>21</v>
      </c>
      <c r="H18" s="6" t="s">
        <v>82</v>
      </c>
      <c r="I18" s="9" t="e">
        <f>F16*G16</f>
        <v>#VALUE!</v>
      </c>
      <c r="J18" s="9" t="str">
        <f>I16</f>
        <v>Amount(rs )</v>
      </c>
      <c r="K18" s="6" t="s">
        <v>43</v>
      </c>
      <c r="L18" s="6" t="s">
        <v>36</v>
      </c>
      <c r="M18" s="6" t="s">
        <v>44</v>
      </c>
      <c r="N18" s="6" t="s">
        <v>83</v>
      </c>
    </row>
    <row r="19" spans="1:15" ht="24">
      <c r="A19" s="2" t="s">
        <v>84</v>
      </c>
      <c r="B19" s="2" t="s">
        <v>40</v>
      </c>
      <c r="C19" s="3" t="s">
        <v>85</v>
      </c>
      <c r="D19" s="3" t="s">
        <v>86</v>
      </c>
      <c r="E19" s="3" t="s">
        <v>87</v>
      </c>
      <c r="F19" s="12" t="s">
        <v>88</v>
      </c>
      <c r="G19" s="3" t="s">
        <v>34</v>
      </c>
      <c r="H19" s="3" t="s">
        <v>19</v>
      </c>
      <c r="I19" s="2" t="s">
        <v>19</v>
      </c>
      <c r="J19" s="8" t="e">
        <f>J17+I16</f>
        <v>#VALUE!</v>
      </c>
      <c r="K19" s="3" t="s">
        <v>60</v>
      </c>
      <c r="L19" s="3" t="s">
        <v>89</v>
      </c>
      <c r="M19" s="3" t="s">
        <v>36</v>
      </c>
      <c r="N19" s="3" t="s">
        <v>90</v>
      </c>
    </row>
    <row r="20" spans="1:15">
      <c r="A20" s="5" t="s">
        <v>91</v>
      </c>
      <c r="B20" s="5" t="s">
        <v>40</v>
      </c>
      <c r="C20" s="6" t="s">
        <v>92</v>
      </c>
      <c r="D20" s="6" t="s">
        <v>93</v>
      </c>
      <c r="E20" s="6" t="s">
        <v>19</v>
      </c>
      <c r="F20" s="6" t="s">
        <v>94</v>
      </c>
      <c r="G20" s="6" t="s">
        <v>95</v>
      </c>
      <c r="H20" s="6" t="s">
        <v>19</v>
      </c>
      <c r="I20" s="5" t="s">
        <v>19</v>
      </c>
      <c r="J20" s="9" t="str">
        <f>J18</f>
        <v>Amount(rs )</v>
      </c>
      <c r="K20" s="6" t="s">
        <v>96</v>
      </c>
      <c r="L20" s="6" t="s">
        <v>19</v>
      </c>
      <c r="M20" s="6" t="s">
        <v>19</v>
      </c>
      <c r="N20" s="6" t="s">
        <v>97</v>
      </c>
    </row>
    <row r="21" spans="1:15">
      <c r="A21" s="2" t="s">
        <v>98</v>
      </c>
      <c r="B21" s="2" t="s">
        <v>47</v>
      </c>
      <c r="C21" s="3" t="s">
        <v>99</v>
      </c>
      <c r="D21" s="3" t="s">
        <v>100</v>
      </c>
      <c r="E21" s="3" t="s">
        <v>101</v>
      </c>
      <c r="F21" s="4">
        <v>-8</v>
      </c>
      <c r="G21" s="3" t="s">
        <v>34</v>
      </c>
      <c r="H21" s="3" t="s">
        <v>102</v>
      </c>
      <c r="I21" s="8" t="e">
        <f>F20*G20</f>
        <v>#VALUE!</v>
      </c>
      <c r="J21" s="8" t="e">
        <f>J19-I20</f>
        <v>#VALUE!</v>
      </c>
      <c r="K21" s="3" t="s">
        <v>50</v>
      </c>
      <c r="L21" s="3" t="s">
        <v>51</v>
      </c>
      <c r="M21" s="3" t="s">
        <v>36</v>
      </c>
      <c r="N21" s="3" t="s">
        <v>103</v>
      </c>
    </row>
    <row r="22" spans="1:15" ht="24">
      <c r="A22" s="5" t="s">
        <v>104</v>
      </c>
      <c r="B22" s="5" t="s">
        <v>105</v>
      </c>
      <c r="C22" s="6" t="s">
        <v>106</v>
      </c>
      <c r="D22" s="6" t="s">
        <v>19</v>
      </c>
      <c r="E22" s="6" t="s">
        <v>81</v>
      </c>
      <c r="F22" s="7" t="s">
        <v>19</v>
      </c>
      <c r="G22" s="6" t="s">
        <v>21</v>
      </c>
      <c r="H22" s="6" t="s">
        <v>19</v>
      </c>
      <c r="I22" s="9">
        <f>86400*(20.5-19.5)</f>
        <v>86400</v>
      </c>
      <c r="J22" s="5" t="s">
        <v>19</v>
      </c>
      <c r="K22" s="6" t="s">
        <v>66</v>
      </c>
      <c r="L22" s="6" t="s">
        <v>107</v>
      </c>
      <c r="M22" s="6" t="s">
        <v>44</v>
      </c>
      <c r="N22" s="6" t="s">
        <v>108</v>
      </c>
    </row>
    <row r="23" spans="1:15">
      <c r="A23" s="2" t="s">
        <v>109</v>
      </c>
      <c r="B23" s="2" t="s">
        <v>105</v>
      </c>
      <c r="C23" s="3" t="s">
        <v>110</v>
      </c>
      <c r="D23" s="3" t="s">
        <v>19</v>
      </c>
      <c r="E23" s="3" t="s">
        <v>81</v>
      </c>
      <c r="F23" s="3" t="s">
        <v>111</v>
      </c>
      <c r="G23" s="3" t="s">
        <v>21</v>
      </c>
      <c r="H23" s="3" t="s">
        <v>82</v>
      </c>
      <c r="I23" s="8">
        <f>2160*19.5</f>
        <v>42120</v>
      </c>
      <c r="J23" s="2" t="s">
        <v>19</v>
      </c>
      <c r="K23" s="3" t="s">
        <v>66</v>
      </c>
      <c r="L23" s="3" t="s">
        <v>67</v>
      </c>
      <c r="M23" s="3" t="s">
        <v>36</v>
      </c>
      <c r="N23" s="3" t="s">
        <v>112</v>
      </c>
    </row>
    <row r="26" spans="1:15">
      <c r="A26" s="52" t="s">
        <v>113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4"/>
    </row>
    <row r="27" spans="1:15" ht="24">
      <c r="A27" s="13" t="s">
        <v>2</v>
      </c>
      <c r="B27" s="13" t="s">
        <v>3</v>
      </c>
      <c r="C27" s="13" t="s">
        <v>4</v>
      </c>
      <c r="D27" s="13" t="s">
        <v>5</v>
      </c>
      <c r="E27" s="13" t="s">
        <v>6</v>
      </c>
      <c r="F27" s="13" t="s">
        <v>7</v>
      </c>
      <c r="G27" s="13" t="s">
        <v>8</v>
      </c>
      <c r="H27" s="13" t="s">
        <v>9</v>
      </c>
      <c r="I27" s="13" t="s">
        <v>10</v>
      </c>
      <c r="J27" s="13" t="s">
        <v>11</v>
      </c>
      <c r="K27" s="13" t="s">
        <v>12</v>
      </c>
      <c r="L27" s="13" t="s">
        <v>13</v>
      </c>
      <c r="M27" s="13" t="s">
        <v>14</v>
      </c>
      <c r="N27" s="13" t="s">
        <v>15</v>
      </c>
    </row>
    <row r="28" spans="1:15">
      <c r="A28" s="5" t="s">
        <v>114</v>
      </c>
      <c r="B28" s="5" t="s">
        <v>115</v>
      </c>
      <c r="C28" s="6" t="s">
        <v>116</v>
      </c>
      <c r="D28" s="6" t="s">
        <v>42</v>
      </c>
      <c r="E28" s="6" t="s">
        <v>81</v>
      </c>
      <c r="F28" s="10" t="s">
        <v>117</v>
      </c>
      <c r="G28" s="6" t="s">
        <v>21</v>
      </c>
      <c r="H28" s="6" t="s">
        <v>82</v>
      </c>
      <c r="I28" s="9" t="e">
        <f>F27*G27</f>
        <v>#VALUE!</v>
      </c>
      <c r="J28" s="5" t="s">
        <v>19</v>
      </c>
      <c r="K28" s="6" t="s">
        <v>115</v>
      </c>
      <c r="L28" s="6" t="s">
        <v>44</v>
      </c>
      <c r="M28" s="6" t="s">
        <v>118</v>
      </c>
      <c r="N28" s="6" t="s">
        <v>119</v>
      </c>
    </row>
    <row r="29" spans="1:15">
      <c r="A29" s="2" t="s">
        <v>120</v>
      </c>
      <c r="B29" s="2" t="s">
        <v>115</v>
      </c>
      <c r="C29" s="3" t="s">
        <v>121</v>
      </c>
      <c r="D29" s="3" t="s">
        <v>42</v>
      </c>
      <c r="E29" s="3" t="s">
        <v>81</v>
      </c>
      <c r="F29" s="12" t="s">
        <v>122</v>
      </c>
      <c r="G29" s="3" t="s">
        <v>21</v>
      </c>
      <c r="H29" s="3" t="s">
        <v>123</v>
      </c>
      <c r="I29" s="8" t="e">
        <f>F28*G28</f>
        <v>#VALUE!</v>
      </c>
      <c r="J29" s="2" t="s">
        <v>19</v>
      </c>
      <c r="K29" s="3" t="s">
        <v>115</v>
      </c>
      <c r="L29" s="3" t="s">
        <v>44</v>
      </c>
      <c r="M29" s="3" t="s">
        <v>118</v>
      </c>
      <c r="N29" s="3" t="s">
        <v>124</v>
      </c>
    </row>
    <row r="30" spans="1:15" ht="24">
      <c r="A30" s="5" t="s">
        <v>125</v>
      </c>
      <c r="B30" s="5" t="s">
        <v>126</v>
      </c>
      <c r="C30" s="6" t="s">
        <v>127</v>
      </c>
      <c r="D30" s="6" t="s">
        <v>42</v>
      </c>
      <c r="E30" s="6" t="s">
        <v>81</v>
      </c>
      <c r="F30" s="19">
        <v>-4800</v>
      </c>
      <c r="G30" s="6" t="s">
        <v>21</v>
      </c>
      <c r="H30" s="6" t="s">
        <v>82</v>
      </c>
      <c r="I30" s="9" t="e">
        <f>F29*G29</f>
        <v>#VALUE!</v>
      </c>
      <c r="J30" s="9" t="e">
        <f>I29</f>
        <v>#VALUE!</v>
      </c>
      <c r="K30" s="6" t="s">
        <v>43</v>
      </c>
      <c r="L30" s="6" t="s">
        <v>36</v>
      </c>
      <c r="M30" s="6" t="s">
        <v>44</v>
      </c>
      <c r="N30" s="6" t="s">
        <v>128</v>
      </c>
    </row>
    <row r="31" spans="1:15" ht="96">
      <c r="A31" s="2" t="s">
        <v>129</v>
      </c>
      <c r="B31" s="2" t="s">
        <v>130</v>
      </c>
      <c r="C31" s="3" t="s">
        <v>131</v>
      </c>
      <c r="D31" s="3" t="s">
        <v>42</v>
      </c>
      <c r="E31" s="3" t="s">
        <v>81</v>
      </c>
      <c r="F31" s="18">
        <v>-1200</v>
      </c>
      <c r="G31" s="3" t="s">
        <v>21</v>
      </c>
      <c r="H31" s="8">
        <f>200*19.5+1000*21</f>
        <v>24900</v>
      </c>
      <c r="I31" s="2" t="s">
        <v>19</v>
      </c>
      <c r="J31" s="8" t="e">
        <f>F30*G30</f>
        <v>#VALUE!</v>
      </c>
      <c r="K31" s="8" t="e">
        <f>J29+I30</f>
        <v>#VALUE!</v>
      </c>
      <c r="L31" s="3" t="s">
        <v>43</v>
      </c>
      <c r="M31" s="3" t="s">
        <v>36</v>
      </c>
      <c r="N31" s="3" t="s">
        <v>44</v>
      </c>
      <c r="O31" s="3" t="s">
        <v>132</v>
      </c>
    </row>
    <row r="32" spans="1:15" ht="24">
      <c r="A32" s="5" t="s">
        <v>133</v>
      </c>
      <c r="B32" s="5" t="s">
        <v>134</v>
      </c>
      <c r="C32" s="6" t="s">
        <v>135</v>
      </c>
      <c r="D32" s="6" t="s">
        <v>42</v>
      </c>
      <c r="E32" s="6" t="s">
        <v>81</v>
      </c>
      <c r="F32" s="19">
        <v>-1200</v>
      </c>
      <c r="G32" s="6" t="s">
        <v>21</v>
      </c>
      <c r="H32" s="6" t="s">
        <v>123</v>
      </c>
      <c r="I32" s="9" t="e">
        <f>F31*G31</f>
        <v>#VALUE!</v>
      </c>
      <c r="J32" s="9" t="e">
        <f>J30+I31</f>
        <v>#VALUE!</v>
      </c>
      <c r="K32" s="6" t="s">
        <v>43</v>
      </c>
      <c r="L32" s="6" t="s">
        <v>36</v>
      </c>
      <c r="M32" s="6" t="s">
        <v>44</v>
      </c>
      <c r="N32" s="6" t="s">
        <v>136</v>
      </c>
    </row>
    <row r="33" spans="1:14" ht="24">
      <c r="A33" s="2" t="s">
        <v>137</v>
      </c>
      <c r="B33" s="2" t="s">
        <v>63</v>
      </c>
      <c r="C33" s="3" t="s">
        <v>138</v>
      </c>
      <c r="D33" s="3" t="s">
        <v>19</v>
      </c>
      <c r="E33" s="3" t="s">
        <v>19</v>
      </c>
      <c r="F33" s="4" t="s">
        <v>19</v>
      </c>
      <c r="G33" s="3" t="s">
        <v>19</v>
      </c>
      <c r="H33" s="3" t="s">
        <v>19</v>
      </c>
      <c r="I33" s="2" t="s">
        <v>19</v>
      </c>
      <c r="J33" s="2" t="s">
        <v>19</v>
      </c>
      <c r="K33" s="3" t="s">
        <v>19</v>
      </c>
      <c r="L33" s="3" t="s">
        <v>19</v>
      </c>
      <c r="M33" s="3" t="s">
        <v>19</v>
      </c>
      <c r="N33" s="3" t="s">
        <v>139</v>
      </c>
    </row>
    <row r="36" spans="1:14">
      <c r="A36" s="53" t="s">
        <v>140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4"/>
    </row>
    <row r="37" spans="1:14" ht="24">
      <c r="A37" s="14" t="s">
        <v>2</v>
      </c>
      <c r="B37" s="14" t="s">
        <v>3</v>
      </c>
      <c r="C37" s="14" t="s">
        <v>4</v>
      </c>
      <c r="D37" s="14" t="s">
        <v>5</v>
      </c>
      <c r="E37" s="14" t="s">
        <v>6</v>
      </c>
      <c r="F37" s="14" t="s">
        <v>7</v>
      </c>
      <c r="G37" s="14" t="s">
        <v>8</v>
      </c>
      <c r="H37" s="14" t="s">
        <v>9</v>
      </c>
      <c r="I37" s="14" t="s">
        <v>10</v>
      </c>
      <c r="J37" s="14" t="s">
        <v>11</v>
      </c>
      <c r="K37" s="14" t="s">
        <v>12</v>
      </c>
      <c r="L37" s="14" t="s">
        <v>13</v>
      </c>
      <c r="M37" s="14" t="s">
        <v>14</v>
      </c>
      <c r="N37" s="14" t="s">
        <v>15</v>
      </c>
    </row>
    <row r="38" spans="1:14" ht="36">
      <c r="A38" s="5" t="s">
        <v>141</v>
      </c>
      <c r="B38" s="5" t="s">
        <v>76</v>
      </c>
      <c r="C38" s="6" t="s">
        <v>142</v>
      </c>
      <c r="D38" s="6" t="s">
        <v>32</v>
      </c>
      <c r="E38" s="6" t="s">
        <v>143</v>
      </c>
      <c r="F38" s="19">
        <v>-50000</v>
      </c>
      <c r="G38" s="6" t="s">
        <v>34</v>
      </c>
      <c r="H38" s="6" t="s">
        <v>144</v>
      </c>
      <c r="I38" s="9" t="e">
        <f>F37*G37</f>
        <v>#VALUE!</v>
      </c>
      <c r="J38" s="9" t="str">
        <f>I37</f>
        <v>Amount(rs )</v>
      </c>
      <c r="K38" s="6" t="s">
        <v>32</v>
      </c>
      <c r="L38" s="6" t="s">
        <v>36</v>
      </c>
      <c r="M38" s="6" t="s">
        <v>145</v>
      </c>
      <c r="N38" s="6" t="s">
        <v>146</v>
      </c>
    </row>
    <row r="39" spans="1:14">
      <c r="A39" s="2" t="s">
        <v>147</v>
      </c>
      <c r="B39" s="2" t="s">
        <v>148</v>
      </c>
      <c r="C39" s="3" t="s">
        <v>149</v>
      </c>
      <c r="D39" s="3" t="s">
        <v>150</v>
      </c>
      <c r="E39" s="3" t="s">
        <v>19</v>
      </c>
      <c r="F39" s="4" t="s">
        <v>19</v>
      </c>
      <c r="G39" s="3" t="s">
        <v>151</v>
      </c>
      <c r="H39" s="3" t="s">
        <v>19</v>
      </c>
      <c r="I39" s="20">
        <v>-8500</v>
      </c>
      <c r="J39" s="8" t="e">
        <f>J37+8500</f>
        <v>#VALUE!</v>
      </c>
      <c r="K39" s="3" t="s">
        <v>152</v>
      </c>
      <c r="L39" s="3" t="s">
        <v>36</v>
      </c>
      <c r="M39" s="3" t="s">
        <v>118</v>
      </c>
      <c r="N39" s="3" t="s">
        <v>153</v>
      </c>
    </row>
    <row r="40" spans="1:14" ht="24">
      <c r="A40" s="5" t="s">
        <v>154</v>
      </c>
      <c r="B40" s="5" t="s">
        <v>155</v>
      </c>
      <c r="C40" s="6" t="s">
        <v>156</v>
      </c>
      <c r="D40" s="6" t="s">
        <v>157</v>
      </c>
      <c r="E40" s="6" t="s">
        <v>33</v>
      </c>
      <c r="F40" s="10" t="s">
        <v>158</v>
      </c>
      <c r="G40" s="6" t="s">
        <v>34</v>
      </c>
      <c r="H40" s="6" t="s">
        <v>19</v>
      </c>
      <c r="I40" s="5" t="s">
        <v>19</v>
      </c>
      <c r="J40" s="5" t="s">
        <v>19</v>
      </c>
      <c r="K40" s="6" t="s">
        <v>60</v>
      </c>
      <c r="L40" s="6" t="s">
        <v>37</v>
      </c>
      <c r="M40" s="6" t="s">
        <v>36</v>
      </c>
      <c r="N40" s="6" t="s">
        <v>159</v>
      </c>
    </row>
    <row r="41" spans="1:14" ht="24">
      <c r="A41" s="2" t="s">
        <v>160</v>
      </c>
      <c r="B41" s="2" t="s">
        <v>155</v>
      </c>
      <c r="C41" s="3" t="s">
        <v>161</v>
      </c>
      <c r="D41" s="3" t="s">
        <v>56</v>
      </c>
      <c r="E41" s="3" t="s">
        <v>162</v>
      </c>
      <c r="F41" s="12" t="s">
        <v>163</v>
      </c>
      <c r="G41" s="3" t="s">
        <v>34</v>
      </c>
      <c r="H41" s="3" t="s">
        <v>164</v>
      </c>
      <c r="I41" s="8" t="e">
        <f>F40*G40</f>
        <v>#VALUE!</v>
      </c>
      <c r="J41" s="2" t="s">
        <v>19</v>
      </c>
      <c r="K41" s="3" t="s">
        <v>165</v>
      </c>
      <c r="L41" s="3" t="s">
        <v>166</v>
      </c>
      <c r="M41" s="3" t="s">
        <v>36</v>
      </c>
      <c r="N41" s="3" t="s">
        <v>167</v>
      </c>
    </row>
    <row r="42" spans="1:14" ht="24">
      <c r="A42" s="5" t="s">
        <v>168</v>
      </c>
      <c r="B42" s="5" t="s">
        <v>63</v>
      </c>
      <c r="C42" s="6" t="s">
        <v>169</v>
      </c>
      <c r="D42" s="6" t="s">
        <v>19</v>
      </c>
      <c r="E42" s="6" t="s">
        <v>33</v>
      </c>
      <c r="F42" s="19">
        <v>-1000</v>
      </c>
      <c r="G42" s="6" t="s">
        <v>34</v>
      </c>
      <c r="H42" s="6" t="s">
        <v>170</v>
      </c>
      <c r="I42" s="9">
        <f>1000*4.2</f>
        <v>4200</v>
      </c>
      <c r="J42" s="5" t="s">
        <v>19</v>
      </c>
      <c r="K42" s="6" t="s">
        <v>66</v>
      </c>
      <c r="L42" s="6" t="s">
        <v>72</v>
      </c>
      <c r="M42" s="6" t="s">
        <v>36</v>
      </c>
      <c r="N42" s="6" t="s">
        <v>171</v>
      </c>
    </row>
    <row r="45" spans="1:14">
      <c r="A45" s="54" t="s">
        <v>172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4"/>
    </row>
    <row r="46" spans="1:14" ht="24">
      <c r="A46" s="15" t="s">
        <v>2</v>
      </c>
      <c r="B46" s="15" t="s">
        <v>3</v>
      </c>
      <c r="C46" s="15" t="s">
        <v>4</v>
      </c>
      <c r="D46" s="15" t="s">
        <v>5</v>
      </c>
      <c r="E46" s="15" t="s">
        <v>6</v>
      </c>
      <c r="F46" s="15" t="s">
        <v>7</v>
      </c>
      <c r="G46" s="15" t="s">
        <v>8</v>
      </c>
      <c r="H46" s="15" t="s">
        <v>9</v>
      </c>
      <c r="I46" s="15" t="s">
        <v>10</v>
      </c>
      <c r="J46" s="15" t="s">
        <v>11</v>
      </c>
      <c r="K46" s="15" t="s">
        <v>12</v>
      </c>
      <c r="L46" s="15" t="s">
        <v>13</v>
      </c>
      <c r="M46" s="15" t="s">
        <v>14</v>
      </c>
      <c r="N46" s="15" t="s">
        <v>15</v>
      </c>
    </row>
    <row r="47" spans="1:14" ht="24">
      <c r="A47" s="2" t="s">
        <v>173</v>
      </c>
      <c r="B47" s="2" t="s">
        <v>174</v>
      </c>
      <c r="C47" s="3" t="s">
        <v>175</v>
      </c>
      <c r="D47" s="3" t="s">
        <v>32</v>
      </c>
      <c r="E47" s="3" t="s">
        <v>176</v>
      </c>
      <c r="F47" s="18">
        <v>-10000</v>
      </c>
      <c r="G47" s="3" t="s">
        <v>34</v>
      </c>
      <c r="H47" s="3" t="s">
        <v>177</v>
      </c>
      <c r="I47" s="8" t="e">
        <f>F46*G46</f>
        <v>#VALUE!</v>
      </c>
      <c r="J47" s="8" t="str">
        <f>I46</f>
        <v>Amount(rs )</v>
      </c>
      <c r="K47" s="3" t="s">
        <v>32</v>
      </c>
      <c r="L47" s="3" t="s">
        <v>36</v>
      </c>
      <c r="M47" s="3" t="s">
        <v>37</v>
      </c>
      <c r="N47" s="3" t="s">
        <v>178</v>
      </c>
    </row>
    <row r="48" spans="1:14">
      <c r="A48" s="5" t="s">
        <v>179</v>
      </c>
      <c r="B48" s="5" t="s">
        <v>180</v>
      </c>
      <c r="C48" s="6" t="s">
        <v>181</v>
      </c>
      <c r="D48" s="6" t="s">
        <v>42</v>
      </c>
      <c r="E48" s="6" t="s">
        <v>26</v>
      </c>
      <c r="F48" s="19">
        <v>-1199</v>
      </c>
      <c r="G48" s="6" t="s">
        <v>21</v>
      </c>
      <c r="H48" s="6" t="s">
        <v>27</v>
      </c>
      <c r="I48" s="9" t="e">
        <f>F47*G47</f>
        <v>#VALUE!</v>
      </c>
      <c r="J48" s="9" t="e">
        <f>J46+I47</f>
        <v>#VALUE!</v>
      </c>
      <c r="K48" s="6" t="s">
        <v>43</v>
      </c>
      <c r="L48" s="6" t="s">
        <v>36</v>
      </c>
      <c r="M48" s="6" t="s">
        <v>44</v>
      </c>
      <c r="N48" s="6" t="s">
        <v>182</v>
      </c>
    </row>
    <row r="49" spans="1:14">
      <c r="A49" s="2" t="s">
        <v>183</v>
      </c>
      <c r="B49" s="2" t="s">
        <v>184</v>
      </c>
      <c r="C49" s="3" t="s">
        <v>185</v>
      </c>
      <c r="D49" s="3" t="s">
        <v>56</v>
      </c>
      <c r="E49" s="3" t="s">
        <v>186</v>
      </c>
      <c r="F49" s="12" t="s">
        <v>187</v>
      </c>
      <c r="G49" s="3" t="s">
        <v>34</v>
      </c>
      <c r="H49" s="3" t="s">
        <v>59</v>
      </c>
      <c r="I49" s="8" t="e">
        <f>F48*G48</f>
        <v>#VALUE!</v>
      </c>
      <c r="J49" s="8" t="e">
        <f>J47-I48</f>
        <v>#VALUE!</v>
      </c>
      <c r="K49" s="3" t="s">
        <v>60</v>
      </c>
      <c r="L49" s="3" t="s">
        <v>37</v>
      </c>
      <c r="M49" s="3" t="s">
        <v>36</v>
      </c>
      <c r="N49" s="3" t="s">
        <v>188</v>
      </c>
    </row>
    <row r="50" spans="1:14" ht="24">
      <c r="A50" s="5" t="s">
        <v>189</v>
      </c>
      <c r="B50" s="5" t="s">
        <v>63</v>
      </c>
      <c r="C50" s="6" t="s">
        <v>190</v>
      </c>
      <c r="D50" s="6" t="s">
        <v>19</v>
      </c>
      <c r="E50" s="6" t="s">
        <v>19</v>
      </c>
      <c r="F50" s="7" t="s">
        <v>19</v>
      </c>
      <c r="G50" s="6" t="s">
        <v>19</v>
      </c>
      <c r="H50" s="6" t="s">
        <v>19</v>
      </c>
      <c r="I50" s="5" t="s">
        <v>191</v>
      </c>
      <c r="J50" s="5" t="s">
        <v>19</v>
      </c>
      <c r="K50" s="6" t="s">
        <v>66</v>
      </c>
      <c r="L50" s="6" t="s">
        <v>192</v>
      </c>
      <c r="M50" s="6" t="s">
        <v>192</v>
      </c>
      <c r="N50" s="6" t="s">
        <v>193</v>
      </c>
    </row>
    <row r="53" spans="1:14">
      <c r="A53" s="48" t="s">
        <v>194</v>
      </c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4"/>
    </row>
    <row r="54" spans="1:14" ht="24">
      <c r="A54" s="16" t="s">
        <v>2</v>
      </c>
      <c r="B54" s="16" t="s">
        <v>3</v>
      </c>
      <c r="C54" s="16" t="s">
        <v>4</v>
      </c>
      <c r="D54" s="16" t="s">
        <v>5</v>
      </c>
      <c r="E54" s="16" t="s">
        <v>6</v>
      </c>
      <c r="F54" s="16" t="s">
        <v>7</v>
      </c>
      <c r="G54" s="16" t="s">
        <v>8</v>
      </c>
      <c r="H54" s="16" t="s">
        <v>9</v>
      </c>
      <c r="I54" s="16" t="s">
        <v>10</v>
      </c>
      <c r="J54" s="16" t="s">
        <v>11</v>
      </c>
      <c r="K54" s="16" t="s">
        <v>12</v>
      </c>
      <c r="L54" s="16" t="s">
        <v>13</v>
      </c>
      <c r="M54" s="16" t="s">
        <v>14</v>
      </c>
      <c r="N54" s="16" t="s">
        <v>15</v>
      </c>
    </row>
    <row r="55" spans="1:14" ht="24">
      <c r="A55" s="2" t="s">
        <v>195</v>
      </c>
      <c r="B55" s="2" t="s">
        <v>196</v>
      </c>
      <c r="C55" s="3" t="s">
        <v>197</v>
      </c>
      <c r="D55" s="3" t="s">
        <v>32</v>
      </c>
      <c r="E55" s="3" t="s">
        <v>186</v>
      </c>
      <c r="F55" s="18">
        <v>-9750</v>
      </c>
      <c r="G55" s="3" t="s">
        <v>34</v>
      </c>
      <c r="H55" s="3" t="s">
        <v>59</v>
      </c>
      <c r="I55" s="8" t="e">
        <f>F54*G54</f>
        <v>#VALUE!</v>
      </c>
      <c r="J55" s="8" t="str">
        <f>I54</f>
        <v>Amount(rs )</v>
      </c>
      <c r="K55" s="3" t="s">
        <v>32</v>
      </c>
      <c r="L55" s="3" t="s">
        <v>36</v>
      </c>
      <c r="M55" s="3" t="s">
        <v>37</v>
      </c>
      <c r="N55" s="3" t="s">
        <v>198</v>
      </c>
    </row>
    <row r="56" spans="1:14">
      <c r="A56" s="5" t="s">
        <v>199</v>
      </c>
      <c r="B56" s="5" t="s">
        <v>200</v>
      </c>
      <c r="C56" s="6" t="s">
        <v>201</v>
      </c>
      <c r="D56" s="6" t="s">
        <v>202</v>
      </c>
      <c r="E56" s="6" t="s">
        <v>19</v>
      </c>
      <c r="F56" s="7" t="s">
        <v>19</v>
      </c>
      <c r="G56" s="6" t="s">
        <v>151</v>
      </c>
      <c r="H56" s="6" t="s">
        <v>19</v>
      </c>
      <c r="I56" s="21">
        <v>-18500</v>
      </c>
      <c r="J56" s="9" t="e">
        <f>J54+18500</f>
        <v>#VALUE!</v>
      </c>
      <c r="K56" s="6" t="s">
        <v>152</v>
      </c>
      <c r="L56" s="6" t="s">
        <v>36</v>
      </c>
      <c r="M56" s="6" t="s">
        <v>118</v>
      </c>
      <c r="N56" s="6" t="s">
        <v>203</v>
      </c>
    </row>
    <row r="57" spans="1:14" ht="24">
      <c r="A57" s="2" t="s">
        <v>204</v>
      </c>
      <c r="B57" s="2" t="s">
        <v>205</v>
      </c>
      <c r="C57" s="3" t="s">
        <v>206</v>
      </c>
      <c r="D57" s="3" t="s">
        <v>56</v>
      </c>
      <c r="E57" s="3" t="s">
        <v>207</v>
      </c>
      <c r="F57" s="12" t="s">
        <v>208</v>
      </c>
      <c r="G57" s="3" t="s">
        <v>21</v>
      </c>
      <c r="H57" s="8" t="e">
        <f>J55*0.75/15356</f>
        <v>#VALUE!</v>
      </c>
      <c r="I57" s="2" t="s">
        <v>19</v>
      </c>
      <c r="J57" s="2" t="s">
        <v>19</v>
      </c>
      <c r="K57" s="3" t="s">
        <v>60</v>
      </c>
      <c r="L57" s="3" t="s">
        <v>209</v>
      </c>
      <c r="M57" s="3" t="s">
        <v>36</v>
      </c>
      <c r="N57" s="3" t="s">
        <v>210</v>
      </c>
    </row>
    <row r="58" spans="1:14">
      <c r="A58" s="5" t="s">
        <v>211</v>
      </c>
      <c r="B58" s="5" t="s">
        <v>205</v>
      </c>
      <c r="C58" s="6" t="s">
        <v>212</v>
      </c>
      <c r="D58" s="6" t="s">
        <v>56</v>
      </c>
      <c r="E58" s="6" t="s">
        <v>213</v>
      </c>
      <c r="F58" s="10" t="s">
        <v>214</v>
      </c>
      <c r="G58" s="6" t="s">
        <v>21</v>
      </c>
      <c r="H58" s="9" t="e">
        <f>J55*0.11/2252</f>
        <v>#VALUE!</v>
      </c>
      <c r="I58" s="5" t="s">
        <v>19</v>
      </c>
      <c r="J58" s="5" t="s">
        <v>19</v>
      </c>
      <c r="K58" s="6" t="s">
        <v>165</v>
      </c>
      <c r="L58" s="6" t="s">
        <v>215</v>
      </c>
      <c r="M58" s="6" t="s">
        <v>36</v>
      </c>
      <c r="N58" s="6" t="s">
        <v>216</v>
      </c>
    </row>
    <row r="59" spans="1:14">
      <c r="A59" s="2" t="s">
        <v>217</v>
      </c>
      <c r="B59" s="2" t="s">
        <v>205</v>
      </c>
      <c r="C59" s="3" t="s">
        <v>218</v>
      </c>
      <c r="D59" s="3" t="s">
        <v>56</v>
      </c>
      <c r="E59" s="3" t="s">
        <v>219</v>
      </c>
      <c r="F59" s="12" t="s">
        <v>220</v>
      </c>
      <c r="G59" s="3" t="s">
        <v>21</v>
      </c>
      <c r="H59" s="8" t="e">
        <f>J55*0.12/2457</f>
        <v>#VALUE!</v>
      </c>
      <c r="I59" s="2" t="s">
        <v>19</v>
      </c>
      <c r="J59" s="2" t="s">
        <v>19</v>
      </c>
      <c r="K59" s="3" t="s">
        <v>165</v>
      </c>
      <c r="L59" s="3" t="s">
        <v>221</v>
      </c>
      <c r="M59" s="3" t="s">
        <v>36</v>
      </c>
      <c r="N59" s="3" t="s">
        <v>222</v>
      </c>
    </row>
    <row r="60" spans="1:14" ht="24">
      <c r="A60" s="5" t="s">
        <v>223</v>
      </c>
      <c r="B60" s="5" t="s">
        <v>224</v>
      </c>
      <c r="C60" s="6" t="s">
        <v>225</v>
      </c>
      <c r="D60" s="6" t="s">
        <v>19</v>
      </c>
      <c r="E60" s="6" t="s">
        <v>19</v>
      </c>
      <c r="F60" s="7" t="s">
        <v>19</v>
      </c>
      <c r="G60" s="6" t="s">
        <v>19</v>
      </c>
      <c r="H60" s="6" t="s">
        <v>19</v>
      </c>
      <c r="I60" s="5" t="s">
        <v>19</v>
      </c>
      <c r="J60" s="5" t="s">
        <v>19</v>
      </c>
      <c r="K60" s="6" t="s">
        <v>226</v>
      </c>
      <c r="L60" s="6" t="s">
        <v>19</v>
      </c>
      <c r="M60" s="6" t="s">
        <v>19</v>
      </c>
      <c r="N60" s="6" t="s">
        <v>227</v>
      </c>
    </row>
    <row r="61" spans="1:14" ht="24">
      <c r="A61" s="2" t="s">
        <v>228</v>
      </c>
      <c r="B61" s="2" t="s">
        <v>229</v>
      </c>
      <c r="C61" s="3" t="s">
        <v>230</v>
      </c>
      <c r="D61" s="3" t="s">
        <v>19</v>
      </c>
      <c r="E61" s="3" t="s">
        <v>207</v>
      </c>
      <c r="F61" s="12" t="s">
        <v>231</v>
      </c>
      <c r="G61" s="3" t="s">
        <v>34</v>
      </c>
      <c r="H61" s="3" t="s">
        <v>19</v>
      </c>
      <c r="I61" s="2" t="s">
        <v>19</v>
      </c>
      <c r="J61" s="2" t="s">
        <v>19</v>
      </c>
      <c r="K61" s="3" t="s">
        <v>232</v>
      </c>
      <c r="L61" s="3" t="s">
        <v>19</v>
      </c>
      <c r="M61" s="3" t="s">
        <v>19</v>
      </c>
      <c r="N61" s="3" t="s">
        <v>233</v>
      </c>
    </row>
  </sheetData>
  <mergeCells count="7">
    <mergeCell ref="A53:N53"/>
    <mergeCell ref="A1:N1"/>
    <mergeCell ref="A3:N3"/>
    <mergeCell ref="A15:N15"/>
    <mergeCell ref="A26:N26"/>
    <mergeCell ref="A36:N36"/>
    <mergeCell ref="A45:N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F30CB-C434-41D9-81A3-10593F83F7FC}">
  <dimension ref="A1:N29"/>
  <sheetViews>
    <sheetView workbookViewId="0">
      <selection activeCell="C5" sqref="C5"/>
    </sheetView>
  </sheetViews>
  <sheetFormatPr defaultColWidth="8.7109375" defaultRowHeight="12"/>
  <cols>
    <col min="1" max="1" width="4" style="17" customWidth="1"/>
    <col min="2" max="2" width="12" style="17" customWidth="1"/>
    <col min="3" max="3" width="32" style="17" customWidth="1"/>
    <col min="4" max="4" width="14" style="17" customWidth="1"/>
    <col min="5" max="5" width="16" style="17" customWidth="1"/>
    <col min="6" max="6" width="12" style="17" customWidth="1"/>
    <col min="7" max="7" width="7" style="17" customWidth="1"/>
    <col min="8" max="8" width="10" style="17" customWidth="1"/>
    <col min="9" max="9" width="14" style="17" customWidth="1"/>
    <col min="10" max="10" width="16" style="17" customWidth="1"/>
    <col min="11" max="11" width="22" style="17" customWidth="1"/>
    <col min="12" max="13" width="18" style="17" customWidth="1"/>
    <col min="14" max="14" width="40" style="17" customWidth="1"/>
    <col min="15" max="16384" width="8.7109375" style="17"/>
  </cols>
  <sheetData>
    <row r="1" spans="1:14">
      <c r="A1" s="55" t="s">
        <v>234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3" spans="1:14">
      <c r="A3" s="50" t="s">
        <v>235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</row>
    <row r="4" spans="1:14" ht="2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24">
      <c r="A5" s="2" t="s">
        <v>236</v>
      </c>
      <c r="B5" s="2" t="s">
        <v>237</v>
      </c>
      <c r="C5" s="3" t="s">
        <v>238</v>
      </c>
      <c r="D5" s="3" t="s">
        <v>19</v>
      </c>
      <c r="E5" s="3" t="s">
        <v>239</v>
      </c>
      <c r="F5" s="3" t="s">
        <v>62</v>
      </c>
      <c r="G5" s="3" t="s">
        <v>34</v>
      </c>
      <c r="H5" s="3" t="s">
        <v>240</v>
      </c>
      <c r="I5" s="8" t="e">
        <f>F4*G4</f>
        <v>#VALUE!</v>
      </c>
      <c r="J5" s="8" t="str">
        <f>I4</f>
        <v>Amount(rs )</v>
      </c>
      <c r="K5" s="3" t="s">
        <v>241</v>
      </c>
      <c r="L5" s="3" t="s">
        <v>242</v>
      </c>
      <c r="M5" s="3" t="s">
        <v>118</v>
      </c>
      <c r="N5" s="3" t="s">
        <v>243</v>
      </c>
    </row>
    <row r="6" spans="1:14" ht="24">
      <c r="A6" s="5" t="s">
        <v>244</v>
      </c>
      <c r="B6" s="5" t="s">
        <v>245</v>
      </c>
      <c r="C6" s="6" t="s">
        <v>246</v>
      </c>
      <c r="D6" s="6" t="s">
        <v>42</v>
      </c>
      <c r="E6" s="6" t="s">
        <v>247</v>
      </c>
      <c r="F6" s="19">
        <v>-2400</v>
      </c>
      <c r="G6" s="6" t="s">
        <v>21</v>
      </c>
      <c r="H6" s="6" t="s">
        <v>248</v>
      </c>
      <c r="I6" s="9" t="e">
        <f>F5*G5</f>
        <v>#VALUE!</v>
      </c>
      <c r="J6" s="9" t="e">
        <f>J4+I5</f>
        <v>#VALUE!</v>
      </c>
      <c r="K6" s="6" t="s">
        <v>249</v>
      </c>
      <c r="L6" s="6" t="s">
        <v>250</v>
      </c>
      <c r="M6" s="6" t="s">
        <v>44</v>
      </c>
      <c r="N6" s="6" t="s">
        <v>251</v>
      </c>
    </row>
    <row r="7" spans="1:14">
      <c r="A7" s="2" t="s">
        <v>252</v>
      </c>
      <c r="B7" s="2" t="s">
        <v>253</v>
      </c>
      <c r="C7" s="3" t="s">
        <v>254</v>
      </c>
      <c r="D7" s="3" t="s">
        <v>255</v>
      </c>
      <c r="E7" s="3" t="s">
        <v>256</v>
      </c>
      <c r="F7" s="4">
        <v>-500</v>
      </c>
      <c r="G7" s="3" t="s">
        <v>257</v>
      </c>
      <c r="H7" s="3" t="s">
        <v>258</v>
      </c>
      <c r="I7" s="8" t="e">
        <f>F6*G6</f>
        <v>#VALUE!</v>
      </c>
      <c r="J7" s="8" t="e">
        <f>J5+I6</f>
        <v>#VALUE!</v>
      </c>
      <c r="K7" s="3" t="s">
        <v>249</v>
      </c>
      <c r="L7" s="3" t="s">
        <v>250</v>
      </c>
      <c r="M7" s="3" t="s">
        <v>259</v>
      </c>
      <c r="N7" s="3" t="s">
        <v>260</v>
      </c>
    </row>
    <row r="8" spans="1:14" ht="36">
      <c r="A8" s="5" t="s">
        <v>261</v>
      </c>
      <c r="B8" s="5" t="s">
        <v>262</v>
      </c>
      <c r="C8" s="6" t="s">
        <v>263</v>
      </c>
      <c r="D8" s="6" t="s">
        <v>19</v>
      </c>
      <c r="E8" s="6" t="s">
        <v>19</v>
      </c>
      <c r="F8" s="7" t="s">
        <v>19</v>
      </c>
      <c r="G8" s="6" t="s">
        <v>19</v>
      </c>
      <c r="H8" s="6" t="s">
        <v>19</v>
      </c>
      <c r="I8" s="5" t="s">
        <v>19</v>
      </c>
      <c r="J8" s="5" t="s">
        <v>19</v>
      </c>
      <c r="K8" s="6" t="s">
        <v>264</v>
      </c>
      <c r="L8" s="6" t="s">
        <v>265</v>
      </c>
      <c r="M8" s="6" t="s">
        <v>266</v>
      </c>
      <c r="N8" s="6" t="s">
        <v>267</v>
      </c>
    </row>
    <row r="9" spans="1:14" ht="24">
      <c r="A9" s="2" t="s">
        <v>268</v>
      </c>
      <c r="B9" s="2" t="s">
        <v>269</v>
      </c>
      <c r="C9" s="3" t="s">
        <v>270</v>
      </c>
      <c r="D9" s="3" t="s">
        <v>19</v>
      </c>
      <c r="E9" s="3" t="s">
        <v>239</v>
      </c>
      <c r="F9" s="4" t="s">
        <v>19</v>
      </c>
      <c r="G9" s="3" t="s">
        <v>19</v>
      </c>
      <c r="H9" s="3" t="s">
        <v>19</v>
      </c>
      <c r="I9" s="20">
        <v>-10500</v>
      </c>
      <c r="J9" s="2" t="s">
        <v>19</v>
      </c>
      <c r="K9" s="3" t="s">
        <v>271</v>
      </c>
      <c r="L9" s="3" t="s">
        <v>272</v>
      </c>
      <c r="M9" s="3" t="s">
        <v>273</v>
      </c>
      <c r="N9" s="3" t="s">
        <v>274</v>
      </c>
    </row>
    <row r="10" spans="1:14" ht="24">
      <c r="A10" s="5" t="s">
        <v>275</v>
      </c>
      <c r="B10" s="5" t="s">
        <v>276</v>
      </c>
      <c r="C10" s="6" t="s">
        <v>277</v>
      </c>
      <c r="D10" s="6" t="s">
        <v>278</v>
      </c>
      <c r="E10" s="6" t="s">
        <v>279</v>
      </c>
      <c r="F10" s="10" t="s">
        <v>280</v>
      </c>
      <c r="G10" s="6" t="s">
        <v>281</v>
      </c>
      <c r="H10" s="6" t="s">
        <v>19</v>
      </c>
      <c r="I10" s="5" t="s">
        <v>19</v>
      </c>
      <c r="J10" s="5" t="s">
        <v>19</v>
      </c>
      <c r="K10" s="6" t="s">
        <v>60</v>
      </c>
      <c r="L10" s="6" t="s">
        <v>282</v>
      </c>
      <c r="M10" s="6" t="s">
        <v>250</v>
      </c>
      <c r="N10" s="6" t="s">
        <v>283</v>
      </c>
    </row>
    <row r="11" spans="1:14" ht="24">
      <c r="A11" s="2" t="s">
        <v>284</v>
      </c>
      <c r="B11" s="2" t="s">
        <v>285</v>
      </c>
      <c r="C11" s="3" t="s">
        <v>286</v>
      </c>
      <c r="D11" s="3" t="s">
        <v>19</v>
      </c>
      <c r="E11" s="3" t="s">
        <v>239</v>
      </c>
      <c r="F11" s="3" t="s">
        <v>62</v>
      </c>
      <c r="G11" s="3" t="s">
        <v>34</v>
      </c>
      <c r="H11" s="3" t="s">
        <v>287</v>
      </c>
      <c r="I11" s="2" t="s">
        <v>19</v>
      </c>
      <c r="J11" s="2" t="s">
        <v>19</v>
      </c>
      <c r="K11" s="3" t="s">
        <v>288</v>
      </c>
      <c r="L11" s="3" t="s">
        <v>250</v>
      </c>
      <c r="M11" s="3" t="s">
        <v>289</v>
      </c>
      <c r="N11" s="3" t="s">
        <v>290</v>
      </c>
    </row>
    <row r="12" spans="1:14" ht="24">
      <c r="A12" s="5" t="s">
        <v>291</v>
      </c>
      <c r="B12" s="5" t="s">
        <v>292</v>
      </c>
      <c r="C12" s="6" t="s">
        <v>293</v>
      </c>
      <c r="D12" s="6" t="s">
        <v>294</v>
      </c>
      <c r="E12" s="6" t="s">
        <v>239</v>
      </c>
      <c r="F12" s="7">
        <v>-5</v>
      </c>
      <c r="G12" s="6" t="s">
        <v>34</v>
      </c>
      <c r="H12" s="6" t="s">
        <v>19</v>
      </c>
      <c r="I12" s="5" t="s">
        <v>19</v>
      </c>
      <c r="J12" s="5" t="s">
        <v>19</v>
      </c>
      <c r="K12" s="6" t="s">
        <v>295</v>
      </c>
      <c r="L12" s="6" t="s">
        <v>296</v>
      </c>
      <c r="M12" s="6" t="s">
        <v>250</v>
      </c>
      <c r="N12" s="6" t="s">
        <v>297</v>
      </c>
    </row>
    <row r="15" spans="1:14">
      <c r="A15" s="54" t="s">
        <v>298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4"/>
    </row>
    <row r="16" spans="1:14" ht="24">
      <c r="A16" s="15" t="s">
        <v>2</v>
      </c>
      <c r="B16" s="15" t="s">
        <v>3</v>
      </c>
      <c r="C16" s="15" t="s">
        <v>4</v>
      </c>
      <c r="D16" s="15" t="s">
        <v>5</v>
      </c>
      <c r="E16" s="15" t="s">
        <v>6</v>
      </c>
      <c r="F16" s="15" t="s">
        <v>7</v>
      </c>
      <c r="G16" s="15" t="s">
        <v>8</v>
      </c>
      <c r="H16" s="15" t="s">
        <v>9</v>
      </c>
      <c r="I16" s="15" t="s">
        <v>10</v>
      </c>
      <c r="J16" s="15" t="s">
        <v>11</v>
      </c>
      <c r="K16" s="15" t="s">
        <v>12</v>
      </c>
      <c r="L16" s="15" t="s">
        <v>13</v>
      </c>
      <c r="M16" s="15" t="s">
        <v>14</v>
      </c>
      <c r="N16" s="15" t="s">
        <v>15</v>
      </c>
    </row>
    <row r="17" spans="1:14" ht="24">
      <c r="A17" s="2" t="s">
        <v>299</v>
      </c>
      <c r="B17" s="2" t="s">
        <v>300</v>
      </c>
      <c r="C17" s="3" t="s">
        <v>301</v>
      </c>
      <c r="D17" s="3" t="s">
        <v>19</v>
      </c>
      <c r="E17" s="3" t="s">
        <v>302</v>
      </c>
      <c r="F17" s="3" t="s">
        <v>303</v>
      </c>
      <c r="G17" s="3" t="s">
        <v>34</v>
      </c>
      <c r="H17" s="3" t="s">
        <v>304</v>
      </c>
      <c r="I17" s="8">
        <f>F15*G15</f>
        <v>0</v>
      </c>
      <c r="J17" s="8">
        <f>I15</f>
        <v>0</v>
      </c>
      <c r="K17" s="3" t="s">
        <v>241</v>
      </c>
      <c r="L17" s="3" t="s">
        <v>305</v>
      </c>
      <c r="M17" s="3" t="s">
        <v>118</v>
      </c>
      <c r="N17" s="3" t="s">
        <v>306</v>
      </c>
    </row>
    <row r="18" spans="1:14">
      <c r="A18" s="5" t="s">
        <v>307</v>
      </c>
      <c r="B18" s="5" t="s">
        <v>308</v>
      </c>
      <c r="C18" s="6" t="s">
        <v>309</v>
      </c>
      <c r="D18" s="6" t="s">
        <v>19</v>
      </c>
      <c r="E18" s="6" t="s">
        <v>310</v>
      </c>
      <c r="F18" s="6" t="s">
        <v>62</v>
      </c>
      <c r="G18" s="6" t="s">
        <v>34</v>
      </c>
      <c r="H18" s="6" t="s">
        <v>311</v>
      </c>
      <c r="I18" s="9" t="e">
        <f>F16*G16</f>
        <v>#VALUE!</v>
      </c>
      <c r="J18" s="9" t="str">
        <f>I16</f>
        <v>Amount(rs )</v>
      </c>
      <c r="K18" s="6" t="s">
        <v>241</v>
      </c>
      <c r="L18" s="6" t="s">
        <v>305</v>
      </c>
      <c r="M18" s="6" t="s">
        <v>118</v>
      </c>
      <c r="N18" s="6" t="s">
        <v>312</v>
      </c>
    </row>
    <row r="19" spans="1:14" ht="24">
      <c r="A19" s="2" t="s">
        <v>313</v>
      </c>
      <c r="B19" s="2" t="s">
        <v>314</v>
      </c>
      <c r="C19" s="3" t="s">
        <v>315</v>
      </c>
      <c r="D19" s="3" t="s">
        <v>32</v>
      </c>
      <c r="E19" s="3" t="s">
        <v>316</v>
      </c>
      <c r="F19" s="4">
        <v>-100</v>
      </c>
      <c r="G19" s="3" t="s">
        <v>34</v>
      </c>
      <c r="H19" s="3" t="s">
        <v>317</v>
      </c>
      <c r="I19" s="8" t="e">
        <f>F17*G17</f>
        <v>#VALUE!</v>
      </c>
      <c r="J19" s="8" t="e">
        <f>J16+I17</f>
        <v>#VALUE!</v>
      </c>
      <c r="K19" s="3" t="s">
        <v>32</v>
      </c>
      <c r="L19" s="3" t="s">
        <v>36</v>
      </c>
      <c r="M19" s="3" t="s">
        <v>318</v>
      </c>
      <c r="N19" s="3" t="s">
        <v>319</v>
      </c>
    </row>
    <row r="20" spans="1:14" ht="24">
      <c r="A20" s="5" t="s">
        <v>320</v>
      </c>
      <c r="B20" s="5" t="s">
        <v>321</v>
      </c>
      <c r="C20" s="6" t="s">
        <v>322</v>
      </c>
      <c r="D20" s="6" t="s">
        <v>42</v>
      </c>
      <c r="E20" s="6" t="s">
        <v>26</v>
      </c>
      <c r="F20" s="7">
        <v>-250</v>
      </c>
      <c r="G20" s="6" t="s">
        <v>21</v>
      </c>
      <c r="H20" s="6" t="s">
        <v>27</v>
      </c>
      <c r="I20" s="9" t="e">
        <f>F18*G18</f>
        <v>#VALUE!</v>
      </c>
      <c r="J20" s="9" t="e">
        <f>J17+I18</f>
        <v>#VALUE!</v>
      </c>
      <c r="K20" s="6" t="s">
        <v>43</v>
      </c>
      <c r="L20" s="6" t="s">
        <v>36</v>
      </c>
      <c r="M20" s="6" t="s">
        <v>44</v>
      </c>
      <c r="N20" s="6" t="s">
        <v>323</v>
      </c>
    </row>
    <row r="21" spans="1:14" ht="24">
      <c r="A21" s="2" t="s">
        <v>324</v>
      </c>
      <c r="B21" s="2" t="s">
        <v>325</v>
      </c>
      <c r="C21" s="3" t="s">
        <v>326</v>
      </c>
      <c r="D21" s="3" t="s">
        <v>56</v>
      </c>
      <c r="E21" s="3" t="s">
        <v>327</v>
      </c>
      <c r="F21" s="12" t="s">
        <v>328</v>
      </c>
      <c r="G21" s="3" t="s">
        <v>34</v>
      </c>
      <c r="H21" s="3" t="s">
        <v>19</v>
      </c>
      <c r="I21" s="2" t="s">
        <v>19</v>
      </c>
      <c r="J21" s="8" t="e">
        <f>J18-I19</f>
        <v>#VALUE!</v>
      </c>
      <c r="K21" s="3" t="s">
        <v>60</v>
      </c>
      <c r="L21" s="3" t="s">
        <v>318</v>
      </c>
      <c r="M21" s="3" t="s">
        <v>36</v>
      </c>
      <c r="N21" s="3" t="s">
        <v>329</v>
      </c>
    </row>
    <row r="24" spans="1:14">
      <c r="A24" s="53" t="s">
        <v>330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4"/>
    </row>
    <row r="25" spans="1:14" ht="24">
      <c r="A25" s="14" t="s">
        <v>2</v>
      </c>
      <c r="B25" s="14" t="s">
        <v>3</v>
      </c>
      <c r="C25" s="14" t="s">
        <v>4</v>
      </c>
      <c r="D25" s="14" t="s">
        <v>5</v>
      </c>
      <c r="E25" s="14" t="s">
        <v>6</v>
      </c>
      <c r="F25" s="14" t="s">
        <v>7</v>
      </c>
      <c r="G25" s="14" t="s">
        <v>8</v>
      </c>
      <c r="H25" s="14" t="s">
        <v>9</v>
      </c>
      <c r="I25" s="14" t="s">
        <v>10</v>
      </c>
      <c r="J25" s="14" t="s">
        <v>11</v>
      </c>
      <c r="K25" s="14" t="s">
        <v>12</v>
      </c>
      <c r="L25" s="14" t="s">
        <v>13</v>
      </c>
      <c r="M25" s="14" t="s">
        <v>14</v>
      </c>
      <c r="N25" s="14" t="s">
        <v>15</v>
      </c>
    </row>
    <row r="26" spans="1:14">
      <c r="A26" s="5" t="s">
        <v>331</v>
      </c>
      <c r="B26" s="5" t="s">
        <v>237</v>
      </c>
      <c r="C26" s="6" t="s">
        <v>332</v>
      </c>
      <c r="D26" s="6" t="s">
        <v>19</v>
      </c>
      <c r="E26" s="6" t="s">
        <v>333</v>
      </c>
      <c r="F26" s="6" t="s">
        <v>334</v>
      </c>
      <c r="G26" s="6" t="s">
        <v>34</v>
      </c>
      <c r="H26" s="6" t="s">
        <v>335</v>
      </c>
      <c r="I26" s="9">
        <f>F22*G22</f>
        <v>0</v>
      </c>
      <c r="J26" s="9">
        <f>I22</f>
        <v>0</v>
      </c>
      <c r="K26" s="6" t="s">
        <v>241</v>
      </c>
      <c r="L26" s="6" t="s">
        <v>242</v>
      </c>
      <c r="M26" s="6" t="s">
        <v>118</v>
      </c>
      <c r="N26" s="6" t="s">
        <v>336</v>
      </c>
    </row>
    <row r="27" spans="1:14">
      <c r="A27" s="2" t="s">
        <v>337</v>
      </c>
      <c r="B27" s="2" t="s">
        <v>338</v>
      </c>
      <c r="C27" s="3" t="s">
        <v>339</v>
      </c>
      <c r="D27" s="3" t="s">
        <v>278</v>
      </c>
      <c r="E27" s="3" t="s">
        <v>340</v>
      </c>
      <c r="F27" s="12" t="s">
        <v>341</v>
      </c>
      <c r="G27" s="3" t="s">
        <v>281</v>
      </c>
      <c r="H27" s="3" t="s">
        <v>19</v>
      </c>
      <c r="I27" s="2" t="s">
        <v>19</v>
      </c>
      <c r="J27" s="2" t="s">
        <v>19</v>
      </c>
      <c r="K27" s="3" t="s">
        <v>60</v>
      </c>
      <c r="L27" s="3" t="s">
        <v>282</v>
      </c>
      <c r="M27" s="3" t="s">
        <v>250</v>
      </c>
      <c r="N27" s="3" t="s">
        <v>342</v>
      </c>
    </row>
    <row r="28" spans="1:14" ht="24">
      <c r="A28" s="5" t="s">
        <v>343</v>
      </c>
      <c r="B28" s="5" t="s">
        <v>344</v>
      </c>
      <c r="C28" s="6" t="s">
        <v>345</v>
      </c>
      <c r="D28" s="6" t="s">
        <v>346</v>
      </c>
      <c r="E28" s="6" t="s">
        <v>347</v>
      </c>
      <c r="F28" s="10" t="s">
        <v>348</v>
      </c>
      <c r="G28" s="6" t="s">
        <v>34</v>
      </c>
      <c r="H28" s="6" t="s">
        <v>19</v>
      </c>
      <c r="I28" s="5" t="s">
        <v>19</v>
      </c>
      <c r="J28" s="5" t="s">
        <v>19</v>
      </c>
      <c r="K28" s="6" t="s">
        <v>60</v>
      </c>
      <c r="L28" s="6" t="s">
        <v>349</v>
      </c>
      <c r="M28" s="6" t="s">
        <v>250</v>
      </c>
      <c r="N28" s="6" t="s">
        <v>350</v>
      </c>
    </row>
    <row r="29" spans="1:14">
      <c r="A29" s="2" t="s">
        <v>351</v>
      </c>
      <c r="B29" s="2" t="s">
        <v>352</v>
      </c>
      <c r="C29" s="3" t="s">
        <v>353</v>
      </c>
      <c r="D29" s="3" t="s">
        <v>56</v>
      </c>
      <c r="E29" s="3" t="s">
        <v>354</v>
      </c>
      <c r="F29" s="12" t="s">
        <v>355</v>
      </c>
      <c r="G29" s="3" t="s">
        <v>21</v>
      </c>
      <c r="H29" s="3" t="s">
        <v>19</v>
      </c>
      <c r="I29" s="2" t="s">
        <v>19</v>
      </c>
      <c r="J29" s="2" t="s">
        <v>19</v>
      </c>
      <c r="K29" s="3" t="s">
        <v>60</v>
      </c>
      <c r="L29" s="3" t="s">
        <v>356</v>
      </c>
      <c r="M29" s="3" t="s">
        <v>250</v>
      </c>
      <c r="N29" s="3" t="s">
        <v>357</v>
      </c>
    </row>
  </sheetData>
  <mergeCells count="4">
    <mergeCell ref="A1:N1"/>
    <mergeCell ref="A3:N3"/>
    <mergeCell ref="A15:N15"/>
    <mergeCell ref="A24:N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26A0-B012-40A8-9351-110F49B803A5}">
  <dimension ref="A1:N37"/>
  <sheetViews>
    <sheetView workbookViewId="0">
      <selection activeCell="C8" sqref="C8"/>
    </sheetView>
  </sheetViews>
  <sheetFormatPr defaultColWidth="8.7109375" defaultRowHeight="12"/>
  <cols>
    <col min="1" max="1" width="4" style="17" customWidth="1"/>
    <col min="2" max="2" width="12" style="17" customWidth="1"/>
    <col min="3" max="3" width="32" style="17" customWidth="1"/>
    <col min="4" max="4" width="14" style="17" customWidth="1"/>
    <col min="5" max="5" width="16" style="17" customWidth="1"/>
    <col min="6" max="6" width="12" style="17" customWidth="1"/>
    <col min="7" max="7" width="7" style="17" customWidth="1"/>
    <col min="8" max="8" width="10" style="17" customWidth="1"/>
    <col min="9" max="9" width="14" style="17" customWidth="1"/>
    <col min="10" max="10" width="16" style="17" customWidth="1"/>
    <col min="11" max="11" width="22" style="17" customWidth="1"/>
    <col min="12" max="13" width="18" style="17" customWidth="1"/>
    <col min="14" max="14" width="40" style="17" customWidth="1"/>
    <col min="15" max="16384" width="8.7109375" style="17"/>
  </cols>
  <sheetData>
    <row r="1" spans="1:14">
      <c r="A1" s="55" t="s">
        <v>358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3" spans="1:14">
      <c r="A3" s="50" t="s">
        <v>359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</row>
    <row r="4" spans="1:14" ht="2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24">
      <c r="A5" s="2" t="s">
        <v>360</v>
      </c>
      <c r="B5" s="2" t="s">
        <v>361</v>
      </c>
      <c r="C5" s="3" t="s">
        <v>362</v>
      </c>
      <c r="D5" s="3" t="s">
        <v>19</v>
      </c>
      <c r="E5" s="3" t="s">
        <v>363</v>
      </c>
      <c r="F5" s="3" t="s">
        <v>364</v>
      </c>
      <c r="G5" s="3" t="s">
        <v>34</v>
      </c>
      <c r="H5" s="3" t="s">
        <v>365</v>
      </c>
      <c r="I5" s="8" t="e">
        <f>F4*G4</f>
        <v>#VALUE!</v>
      </c>
      <c r="J5" s="8" t="str">
        <f>I4</f>
        <v>Amount(rs )</v>
      </c>
      <c r="K5" s="3" t="s">
        <v>241</v>
      </c>
      <c r="L5" s="3" t="s">
        <v>366</v>
      </c>
      <c r="M5" s="3" t="s">
        <v>118</v>
      </c>
      <c r="N5" s="3" t="s">
        <v>367</v>
      </c>
    </row>
    <row r="6" spans="1:14" ht="24">
      <c r="A6" s="5" t="s">
        <v>368</v>
      </c>
      <c r="B6" s="5" t="s">
        <v>369</v>
      </c>
      <c r="C6" s="6" t="s">
        <v>370</v>
      </c>
      <c r="D6" s="6" t="s">
        <v>371</v>
      </c>
      <c r="E6" s="6" t="s">
        <v>372</v>
      </c>
      <c r="F6" s="7" t="s">
        <v>19</v>
      </c>
      <c r="G6" s="6" t="s">
        <v>151</v>
      </c>
      <c r="H6" s="6" t="s">
        <v>19</v>
      </c>
      <c r="I6" s="21">
        <v>-8000</v>
      </c>
      <c r="J6" s="9" t="e">
        <f>J4+8000</f>
        <v>#VALUE!</v>
      </c>
      <c r="K6" s="6" t="s">
        <v>249</v>
      </c>
      <c r="L6" s="6" t="s">
        <v>366</v>
      </c>
      <c r="M6" s="6" t="s">
        <v>373</v>
      </c>
      <c r="N6" s="6" t="s">
        <v>374</v>
      </c>
    </row>
    <row r="7" spans="1:14" ht="24">
      <c r="A7" s="2" t="s">
        <v>375</v>
      </c>
      <c r="B7" s="2" t="s">
        <v>376</v>
      </c>
      <c r="C7" s="3" t="s">
        <v>377</v>
      </c>
      <c r="D7" s="3" t="s">
        <v>19</v>
      </c>
      <c r="E7" s="3" t="s">
        <v>19</v>
      </c>
      <c r="F7" s="4" t="s">
        <v>19</v>
      </c>
      <c r="G7" s="3" t="s">
        <v>19</v>
      </c>
      <c r="H7" s="3" t="s">
        <v>19</v>
      </c>
      <c r="I7" s="2" t="s">
        <v>19</v>
      </c>
      <c r="J7" s="2" t="s">
        <v>19</v>
      </c>
      <c r="K7" s="3" t="s">
        <v>264</v>
      </c>
      <c r="L7" s="3" t="s">
        <v>378</v>
      </c>
      <c r="M7" s="3" t="s">
        <v>379</v>
      </c>
      <c r="N7" s="3" t="s">
        <v>380</v>
      </c>
    </row>
    <row r="10" spans="1:14">
      <c r="A10" s="52" t="s">
        <v>381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4"/>
    </row>
    <row r="11" spans="1:14" ht="24">
      <c r="A11" s="13" t="s">
        <v>2</v>
      </c>
      <c r="B11" s="13" t="s">
        <v>3</v>
      </c>
      <c r="C11" s="13" t="s">
        <v>4</v>
      </c>
      <c r="D11" s="13" t="s">
        <v>5</v>
      </c>
      <c r="E11" s="13" t="s">
        <v>6</v>
      </c>
      <c r="F11" s="13" t="s">
        <v>7</v>
      </c>
      <c r="G11" s="13" t="s">
        <v>8</v>
      </c>
      <c r="H11" s="13" t="s">
        <v>9</v>
      </c>
      <c r="I11" s="13" t="s">
        <v>10</v>
      </c>
      <c r="J11" s="13" t="s">
        <v>11</v>
      </c>
      <c r="K11" s="13" t="s">
        <v>12</v>
      </c>
      <c r="L11" s="13" t="s">
        <v>13</v>
      </c>
      <c r="M11" s="13" t="s">
        <v>14</v>
      </c>
      <c r="N11" s="13" t="s">
        <v>15</v>
      </c>
    </row>
    <row r="12" spans="1:14" ht="24">
      <c r="A12" s="5" t="s">
        <v>382</v>
      </c>
      <c r="B12" s="5" t="s">
        <v>383</v>
      </c>
      <c r="C12" s="6" t="s">
        <v>384</v>
      </c>
      <c r="D12" s="6" t="s">
        <v>371</v>
      </c>
      <c r="E12" s="6" t="s">
        <v>372</v>
      </c>
      <c r="F12" s="7" t="s">
        <v>19</v>
      </c>
      <c r="G12" s="6" t="s">
        <v>151</v>
      </c>
      <c r="H12" s="6" t="s">
        <v>19</v>
      </c>
      <c r="I12" s="21">
        <v>-8000</v>
      </c>
      <c r="J12" s="9">
        <f>I10</f>
        <v>0</v>
      </c>
      <c r="K12" s="6" t="s">
        <v>249</v>
      </c>
      <c r="L12" s="6" t="s">
        <v>366</v>
      </c>
      <c r="M12" s="6" t="s">
        <v>385</v>
      </c>
      <c r="N12" s="6" t="s">
        <v>386</v>
      </c>
    </row>
    <row r="13" spans="1:14" ht="24">
      <c r="A13" s="2" t="s">
        <v>387</v>
      </c>
      <c r="B13" s="2" t="s">
        <v>388</v>
      </c>
      <c r="C13" s="3" t="s">
        <v>389</v>
      </c>
      <c r="D13" s="3" t="s">
        <v>19</v>
      </c>
      <c r="E13" s="3" t="s">
        <v>363</v>
      </c>
      <c r="F13" s="4" t="s">
        <v>19</v>
      </c>
      <c r="G13" s="3" t="s">
        <v>19</v>
      </c>
      <c r="H13" s="3" t="s">
        <v>19</v>
      </c>
      <c r="I13" s="2">
        <v>-667</v>
      </c>
      <c r="J13" s="2" t="s">
        <v>19</v>
      </c>
      <c r="K13" s="3" t="s">
        <v>271</v>
      </c>
      <c r="L13" s="3" t="s">
        <v>272</v>
      </c>
      <c r="M13" s="3" t="s">
        <v>390</v>
      </c>
      <c r="N13" s="3" t="s">
        <v>391</v>
      </c>
    </row>
    <row r="14" spans="1:14" ht="24">
      <c r="A14" s="5" t="s">
        <v>392</v>
      </c>
      <c r="B14" s="5" t="s">
        <v>393</v>
      </c>
      <c r="C14" s="6" t="s">
        <v>394</v>
      </c>
      <c r="D14" s="6" t="s">
        <v>56</v>
      </c>
      <c r="E14" s="6" t="s">
        <v>395</v>
      </c>
      <c r="F14" s="10" t="s">
        <v>396</v>
      </c>
      <c r="G14" s="6" t="s">
        <v>21</v>
      </c>
      <c r="H14" s="6" t="s">
        <v>19</v>
      </c>
      <c r="I14" s="5" t="s">
        <v>19</v>
      </c>
      <c r="J14" s="5" t="s">
        <v>19</v>
      </c>
      <c r="K14" s="6" t="s">
        <v>295</v>
      </c>
      <c r="L14" s="6" t="s">
        <v>397</v>
      </c>
      <c r="M14" s="6" t="s">
        <v>366</v>
      </c>
      <c r="N14" s="6" t="s">
        <v>398</v>
      </c>
    </row>
    <row r="15" spans="1:14">
      <c r="A15" s="2" t="s">
        <v>399</v>
      </c>
      <c r="B15" s="2" t="s">
        <v>400</v>
      </c>
      <c r="C15" s="3" t="s">
        <v>401</v>
      </c>
      <c r="D15" s="3" t="s">
        <v>402</v>
      </c>
      <c r="E15" s="3" t="s">
        <v>395</v>
      </c>
      <c r="F15" s="18">
        <v>-10000</v>
      </c>
      <c r="G15" s="3" t="s">
        <v>21</v>
      </c>
      <c r="H15" s="3" t="s">
        <v>403</v>
      </c>
      <c r="I15" s="8" t="e">
        <f>F13*G13</f>
        <v>#VALUE!</v>
      </c>
      <c r="J15" s="2" t="s">
        <v>19</v>
      </c>
      <c r="K15" s="3" t="s">
        <v>404</v>
      </c>
      <c r="L15" s="3" t="s">
        <v>405</v>
      </c>
      <c r="M15" s="3" t="s">
        <v>397</v>
      </c>
      <c r="N15" s="3" t="s">
        <v>406</v>
      </c>
    </row>
    <row r="16" spans="1:14" ht="36">
      <c r="A16" s="5" t="s">
        <v>407</v>
      </c>
      <c r="B16" s="5" t="s">
        <v>408</v>
      </c>
      <c r="C16" s="6" t="s">
        <v>409</v>
      </c>
      <c r="D16" s="6" t="s">
        <v>19</v>
      </c>
      <c r="E16" s="6" t="s">
        <v>19</v>
      </c>
      <c r="F16" s="7" t="s">
        <v>19</v>
      </c>
      <c r="G16" s="6" t="s">
        <v>19</v>
      </c>
      <c r="H16" s="6" t="s">
        <v>19</v>
      </c>
      <c r="I16" s="5" t="s">
        <v>19</v>
      </c>
      <c r="J16" s="5" t="s">
        <v>19</v>
      </c>
      <c r="K16" s="6" t="s">
        <v>410</v>
      </c>
      <c r="L16" s="6" t="s">
        <v>19</v>
      </c>
      <c r="M16" s="6" t="s">
        <v>19</v>
      </c>
      <c r="N16" s="6" t="s">
        <v>411</v>
      </c>
    </row>
    <row r="19" spans="1:14">
      <c r="A19" s="53" t="s">
        <v>412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4"/>
    </row>
    <row r="20" spans="1:14" ht="24">
      <c r="A20" s="14" t="s">
        <v>2</v>
      </c>
      <c r="B20" s="14" t="s">
        <v>3</v>
      </c>
      <c r="C20" s="14" t="s">
        <v>4</v>
      </c>
      <c r="D20" s="14" t="s">
        <v>5</v>
      </c>
      <c r="E20" s="14" t="s">
        <v>6</v>
      </c>
      <c r="F20" s="14" t="s">
        <v>7</v>
      </c>
      <c r="G20" s="14" t="s">
        <v>8</v>
      </c>
      <c r="H20" s="14" t="s">
        <v>9</v>
      </c>
      <c r="I20" s="14" t="s">
        <v>10</v>
      </c>
      <c r="J20" s="14" t="s">
        <v>11</v>
      </c>
      <c r="K20" s="14" t="s">
        <v>12</v>
      </c>
      <c r="L20" s="14" t="s">
        <v>13</v>
      </c>
      <c r="M20" s="14" t="s">
        <v>14</v>
      </c>
      <c r="N20" s="14" t="s">
        <v>15</v>
      </c>
    </row>
    <row r="21" spans="1:14">
      <c r="A21" s="2" t="s">
        <v>413</v>
      </c>
      <c r="B21" s="2" t="s">
        <v>40</v>
      </c>
      <c r="C21" s="3" t="s">
        <v>414</v>
      </c>
      <c r="D21" s="3" t="s">
        <v>371</v>
      </c>
      <c r="E21" s="3" t="s">
        <v>415</v>
      </c>
      <c r="F21" s="4">
        <v>-200</v>
      </c>
      <c r="G21" s="3" t="s">
        <v>21</v>
      </c>
      <c r="H21" s="3" t="s">
        <v>416</v>
      </c>
      <c r="I21" s="8">
        <f>F18*G18</f>
        <v>0</v>
      </c>
      <c r="J21" s="8">
        <f>I18</f>
        <v>0</v>
      </c>
      <c r="K21" s="3" t="s">
        <v>32</v>
      </c>
      <c r="L21" s="3" t="s">
        <v>36</v>
      </c>
      <c r="M21" s="3" t="s">
        <v>417</v>
      </c>
      <c r="N21" s="3" t="s">
        <v>418</v>
      </c>
    </row>
    <row r="22" spans="1:14">
      <c r="A22" s="5" t="s">
        <v>419</v>
      </c>
      <c r="B22" s="5" t="s">
        <v>420</v>
      </c>
      <c r="C22" s="6" t="s">
        <v>421</v>
      </c>
      <c r="D22" s="6" t="s">
        <v>371</v>
      </c>
      <c r="E22" s="6" t="s">
        <v>372</v>
      </c>
      <c r="F22" s="7">
        <v>-300</v>
      </c>
      <c r="G22" s="6" t="s">
        <v>21</v>
      </c>
      <c r="H22" s="6" t="s">
        <v>177</v>
      </c>
      <c r="I22" s="9">
        <f>F19*G19</f>
        <v>0</v>
      </c>
      <c r="J22" s="9">
        <f>J18+I19</f>
        <v>0</v>
      </c>
      <c r="K22" s="6" t="s">
        <v>43</v>
      </c>
      <c r="L22" s="6" t="s">
        <v>36</v>
      </c>
      <c r="M22" s="6" t="s">
        <v>385</v>
      </c>
      <c r="N22" s="6" t="s">
        <v>422</v>
      </c>
    </row>
    <row r="23" spans="1:14">
      <c r="A23" s="2" t="s">
        <v>423</v>
      </c>
      <c r="B23" s="2" t="s">
        <v>424</v>
      </c>
      <c r="C23" s="3" t="s">
        <v>425</v>
      </c>
      <c r="D23" s="3" t="s">
        <v>371</v>
      </c>
      <c r="E23" s="3" t="s">
        <v>426</v>
      </c>
      <c r="F23" s="4">
        <v>-20</v>
      </c>
      <c r="G23" s="3" t="s">
        <v>281</v>
      </c>
      <c r="H23" s="3" t="s">
        <v>427</v>
      </c>
      <c r="I23" s="8" t="e">
        <f>F20*G20</f>
        <v>#VALUE!</v>
      </c>
      <c r="J23" s="8" t="e">
        <f>J19+I20</f>
        <v>#VALUE!</v>
      </c>
      <c r="K23" s="3" t="s">
        <v>43</v>
      </c>
      <c r="L23" s="3" t="s">
        <v>36</v>
      </c>
      <c r="M23" s="3" t="s">
        <v>428</v>
      </c>
      <c r="N23" s="3" t="s">
        <v>429</v>
      </c>
    </row>
    <row r="24" spans="1:14">
      <c r="A24" s="5" t="s">
        <v>430</v>
      </c>
      <c r="B24" s="5" t="s">
        <v>431</v>
      </c>
      <c r="C24" s="6" t="s">
        <v>432</v>
      </c>
      <c r="D24" s="6" t="s">
        <v>56</v>
      </c>
      <c r="E24" s="6" t="s">
        <v>433</v>
      </c>
      <c r="F24" s="10" t="s">
        <v>434</v>
      </c>
      <c r="G24" s="6" t="s">
        <v>21</v>
      </c>
      <c r="H24" s="6" t="s">
        <v>435</v>
      </c>
      <c r="I24" s="9" t="e">
        <f>F21*G21</f>
        <v>#VALUE!</v>
      </c>
      <c r="J24" s="9" t="str">
        <f>J20</f>
        <v>Batch Cost (rs )</v>
      </c>
      <c r="K24" s="6" t="s">
        <v>60</v>
      </c>
      <c r="L24" s="6" t="s">
        <v>436</v>
      </c>
      <c r="M24" s="6" t="s">
        <v>36</v>
      </c>
      <c r="N24" s="6" t="s">
        <v>437</v>
      </c>
    </row>
    <row r="25" spans="1:14">
      <c r="A25" s="2" t="s">
        <v>438</v>
      </c>
      <c r="B25" s="2" t="s">
        <v>63</v>
      </c>
      <c r="C25" s="3" t="s">
        <v>439</v>
      </c>
      <c r="D25" s="3" t="s">
        <v>19</v>
      </c>
      <c r="E25" s="3" t="s">
        <v>433</v>
      </c>
      <c r="F25" s="4">
        <v>-200</v>
      </c>
      <c r="G25" s="3" t="s">
        <v>21</v>
      </c>
      <c r="H25" s="3" t="s">
        <v>435</v>
      </c>
      <c r="I25" s="8">
        <f>200*6</f>
        <v>1200</v>
      </c>
      <c r="J25" s="2" t="s">
        <v>19</v>
      </c>
      <c r="K25" s="3" t="s">
        <v>440</v>
      </c>
      <c r="L25" s="3" t="s">
        <v>436</v>
      </c>
      <c r="M25" s="3" t="s">
        <v>72</v>
      </c>
      <c r="N25" s="3" t="s">
        <v>441</v>
      </c>
    </row>
    <row r="26" spans="1:14" ht="24">
      <c r="A26" s="5" t="s">
        <v>442</v>
      </c>
      <c r="B26" s="5" t="s">
        <v>443</v>
      </c>
      <c r="C26" s="6" t="s">
        <v>444</v>
      </c>
      <c r="D26" s="6" t="s">
        <v>19</v>
      </c>
      <c r="E26" s="6" t="s">
        <v>19</v>
      </c>
      <c r="F26" s="6" t="s">
        <v>445</v>
      </c>
      <c r="G26" s="6" t="s">
        <v>21</v>
      </c>
      <c r="H26" s="6" t="s">
        <v>19</v>
      </c>
      <c r="I26" s="5" t="s">
        <v>19</v>
      </c>
      <c r="J26" s="5" t="s">
        <v>19</v>
      </c>
      <c r="K26" s="6" t="s">
        <v>446</v>
      </c>
      <c r="L26" s="6" t="s">
        <v>19</v>
      </c>
      <c r="M26" s="6" t="s">
        <v>19</v>
      </c>
      <c r="N26" s="6" t="s">
        <v>447</v>
      </c>
    </row>
    <row r="27" spans="1:14" ht="24">
      <c r="A27" s="2" t="s">
        <v>448</v>
      </c>
      <c r="B27" s="2" t="s">
        <v>449</v>
      </c>
      <c r="C27" s="3" t="s">
        <v>450</v>
      </c>
      <c r="D27" s="3" t="s">
        <v>19</v>
      </c>
      <c r="E27" s="3" t="s">
        <v>433</v>
      </c>
      <c r="F27" s="12" t="s">
        <v>451</v>
      </c>
      <c r="G27" s="3" t="s">
        <v>452</v>
      </c>
      <c r="H27" s="3" t="s">
        <v>19</v>
      </c>
      <c r="I27" s="2" t="s">
        <v>19</v>
      </c>
      <c r="J27" s="2" t="s">
        <v>19</v>
      </c>
      <c r="K27" s="3" t="s">
        <v>453</v>
      </c>
      <c r="L27" s="3" t="s">
        <v>19</v>
      </c>
      <c r="M27" s="3" t="s">
        <v>19</v>
      </c>
      <c r="N27" s="3" t="s">
        <v>454</v>
      </c>
    </row>
    <row r="30" spans="1:14">
      <c r="A30" s="56" t="s">
        <v>455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4"/>
    </row>
    <row r="31" spans="1:14" ht="24">
      <c r="A31" s="23" t="s">
        <v>2</v>
      </c>
      <c r="B31" s="23" t="s">
        <v>3</v>
      </c>
      <c r="C31" s="23" t="s">
        <v>4</v>
      </c>
      <c r="D31" s="23" t="s">
        <v>5</v>
      </c>
      <c r="E31" s="23" t="s">
        <v>6</v>
      </c>
      <c r="F31" s="23" t="s">
        <v>7</v>
      </c>
      <c r="G31" s="23" t="s">
        <v>8</v>
      </c>
      <c r="H31" s="23" t="s">
        <v>9</v>
      </c>
      <c r="I31" s="23" t="s">
        <v>10</v>
      </c>
      <c r="J31" s="23" t="s">
        <v>11</v>
      </c>
      <c r="K31" s="23" t="s">
        <v>12</v>
      </c>
      <c r="L31" s="23" t="s">
        <v>13</v>
      </c>
      <c r="M31" s="23" t="s">
        <v>14</v>
      </c>
      <c r="N31" s="23" t="s">
        <v>15</v>
      </c>
    </row>
    <row r="32" spans="1:14" ht="24">
      <c r="A32" s="5" t="s">
        <v>456</v>
      </c>
      <c r="B32" s="5" t="s">
        <v>196</v>
      </c>
      <c r="C32" s="6" t="s">
        <v>457</v>
      </c>
      <c r="D32" s="6" t="s">
        <v>32</v>
      </c>
      <c r="E32" s="6" t="s">
        <v>458</v>
      </c>
      <c r="F32" s="19">
        <v>-5000</v>
      </c>
      <c r="G32" s="6" t="s">
        <v>21</v>
      </c>
      <c r="H32" s="6" t="s">
        <v>435</v>
      </c>
      <c r="I32" s="9">
        <f>F28*G28</f>
        <v>0</v>
      </c>
      <c r="J32" s="9">
        <f>I28</f>
        <v>0</v>
      </c>
      <c r="K32" s="6" t="s">
        <v>32</v>
      </c>
      <c r="L32" s="6" t="s">
        <v>36</v>
      </c>
      <c r="M32" s="6" t="s">
        <v>436</v>
      </c>
      <c r="N32" s="6" t="s">
        <v>459</v>
      </c>
    </row>
    <row r="33" spans="1:14">
      <c r="A33" s="2" t="s">
        <v>460</v>
      </c>
      <c r="B33" s="2" t="s">
        <v>461</v>
      </c>
      <c r="C33" s="3" t="s">
        <v>462</v>
      </c>
      <c r="D33" s="3" t="s">
        <v>150</v>
      </c>
      <c r="E33" s="3" t="s">
        <v>19</v>
      </c>
      <c r="F33" s="4" t="s">
        <v>19</v>
      </c>
      <c r="G33" s="3" t="s">
        <v>151</v>
      </c>
      <c r="H33" s="3" t="s">
        <v>19</v>
      </c>
      <c r="I33" s="20">
        <v>-3000</v>
      </c>
      <c r="J33" s="8">
        <f>J28+3000</f>
        <v>3000</v>
      </c>
      <c r="K33" s="3" t="s">
        <v>152</v>
      </c>
      <c r="L33" s="3" t="s">
        <v>36</v>
      </c>
      <c r="M33" s="3" t="s">
        <v>118</v>
      </c>
      <c r="N33" s="3" t="s">
        <v>463</v>
      </c>
    </row>
    <row r="34" spans="1:14">
      <c r="A34" s="5" t="s">
        <v>464</v>
      </c>
      <c r="B34" s="5" t="s">
        <v>465</v>
      </c>
      <c r="C34" s="6" t="s">
        <v>466</v>
      </c>
      <c r="D34" s="6" t="s">
        <v>255</v>
      </c>
      <c r="E34" s="6" t="s">
        <v>467</v>
      </c>
      <c r="F34" s="7">
        <v>-10</v>
      </c>
      <c r="G34" s="6" t="s">
        <v>21</v>
      </c>
      <c r="H34" s="6" t="s">
        <v>365</v>
      </c>
      <c r="I34" s="9">
        <f>F30*G30</f>
        <v>0</v>
      </c>
      <c r="J34" s="9">
        <f>J29+I30</f>
        <v>0</v>
      </c>
      <c r="K34" s="6" t="s">
        <v>43</v>
      </c>
      <c r="L34" s="6" t="s">
        <v>36</v>
      </c>
      <c r="M34" s="6" t="s">
        <v>468</v>
      </c>
      <c r="N34" s="6" t="s">
        <v>469</v>
      </c>
    </row>
    <row r="35" spans="1:14" ht="24">
      <c r="A35" s="2" t="s">
        <v>470</v>
      </c>
      <c r="B35" s="2" t="s">
        <v>205</v>
      </c>
      <c r="C35" s="3" t="s">
        <v>471</v>
      </c>
      <c r="D35" s="3" t="s">
        <v>56</v>
      </c>
      <c r="E35" s="3" t="s">
        <v>472</v>
      </c>
      <c r="F35" s="12" t="s">
        <v>473</v>
      </c>
      <c r="G35" s="3" t="s">
        <v>21</v>
      </c>
      <c r="H35" s="3" t="s">
        <v>19</v>
      </c>
      <c r="I35" s="8">
        <f>J30/4750</f>
        <v>0</v>
      </c>
      <c r="J35" s="8">
        <f>0</f>
        <v>0</v>
      </c>
      <c r="K35" s="3" t="s">
        <v>60</v>
      </c>
      <c r="L35" s="3" t="s">
        <v>474</v>
      </c>
      <c r="M35" s="3" t="s">
        <v>36</v>
      </c>
      <c r="N35" s="3" t="s">
        <v>475</v>
      </c>
    </row>
    <row r="36" spans="1:14">
      <c r="A36" s="5" t="s">
        <v>476</v>
      </c>
      <c r="B36" s="5" t="s">
        <v>443</v>
      </c>
      <c r="C36" s="6" t="s">
        <v>477</v>
      </c>
      <c r="D36" s="6" t="s">
        <v>19</v>
      </c>
      <c r="E36" s="6" t="s">
        <v>19</v>
      </c>
      <c r="F36" s="6" t="s">
        <v>478</v>
      </c>
      <c r="G36" s="6" t="s">
        <v>21</v>
      </c>
      <c r="H36" s="6" t="s">
        <v>19</v>
      </c>
      <c r="I36" s="5" t="s">
        <v>19</v>
      </c>
      <c r="J36" s="5" t="s">
        <v>19</v>
      </c>
      <c r="K36" s="6" t="s">
        <v>446</v>
      </c>
      <c r="L36" s="6" t="s">
        <v>19</v>
      </c>
      <c r="M36" s="6" t="s">
        <v>19</v>
      </c>
      <c r="N36" s="6" t="s">
        <v>479</v>
      </c>
    </row>
    <row r="37" spans="1:14" ht="24">
      <c r="A37" s="2" t="s">
        <v>480</v>
      </c>
      <c r="B37" s="2" t="s">
        <v>449</v>
      </c>
      <c r="C37" s="3" t="s">
        <v>481</v>
      </c>
      <c r="D37" s="3" t="s">
        <v>19</v>
      </c>
      <c r="E37" s="3" t="s">
        <v>472</v>
      </c>
      <c r="F37" s="12" t="s">
        <v>482</v>
      </c>
      <c r="G37" s="3" t="s">
        <v>452</v>
      </c>
      <c r="H37" s="3" t="s">
        <v>19</v>
      </c>
      <c r="I37" s="2" t="s">
        <v>19</v>
      </c>
      <c r="J37" s="2" t="s">
        <v>19</v>
      </c>
      <c r="K37" s="3" t="s">
        <v>453</v>
      </c>
      <c r="L37" s="3" t="s">
        <v>19</v>
      </c>
      <c r="M37" s="3" t="s">
        <v>19</v>
      </c>
      <c r="N37" s="3" t="s">
        <v>483</v>
      </c>
    </row>
  </sheetData>
  <mergeCells count="5">
    <mergeCell ref="A1:N1"/>
    <mergeCell ref="A3:N3"/>
    <mergeCell ref="A10:N10"/>
    <mergeCell ref="A19:N19"/>
    <mergeCell ref="A30:N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AB1C6-45E0-428D-B697-95356F85099C}">
  <dimension ref="A1:N44"/>
  <sheetViews>
    <sheetView topLeftCell="A28" workbookViewId="0">
      <selection activeCell="G41" sqref="G41"/>
    </sheetView>
  </sheetViews>
  <sheetFormatPr defaultColWidth="8.7109375" defaultRowHeight="12"/>
  <cols>
    <col min="1" max="1" width="4" style="17" customWidth="1"/>
    <col min="2" max="2" width="12" style="17" customWidth="1"/>
    <col min="3" max="3" width="32" style="17" customWidth="1"/>
    <col min="4" max="4" width="14" style="17" customWidth="1"/>
    <col min="5" max="5" width="16" style="17" customWidth="1"/>
    <col min="6" max="6" width="12" style="17" customWidth="1"/>
    <col min="7" max="7" width="7" style="17" customWidth="1"/>
    <col min="8" max="8" width="10" style="17" customWidth="1"/>
    <col min="9" max="9" width="14" style="17" customWidth="1"/>
    <col min="10" max="10" width="16" style="17" customWidth="1"/>
    <col min="11" max="11" width="22" style="17" customWidth="1"/>
    <col min="12" max="13" width="18" style="17" customWidth="1"/>
    <col min="14" max="14" width="40" style="17" customWidth="1"/>
    <col min="15" max="16384" width="8.7109375" style="17"/>
  </cols>
  <sheetData>
    <row r="1" spans="1:14">
      <c r="A1" s="55" t="s">
        <v>484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3" spans="1:14">
      <c r="A3" s="53" t="s">
        <v>485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</row>
    <row r="4" spans="1:14" ht="24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  <c r="H4" s="14" t="s">
        <v>9</v>
      </c>
      <c r="I4" s="14" t="s">
        <v>10</v>
      </c>
      <c r="J4" s="14" t="s">
        <v>11</v>
      </c>
      <c r="K4" s="14" t="s">
        <v>12</v>
      </c>
      <c r="L4" s="14" t="s">
        <v>13</v>
      </c>
      <c r="M4" s="14" t="s">
        <v>14</v>
      </c>
      <c r="N4" s="14" t="s">
        <v>15</v>
      </c>
    </row>
    <row r="5" spans="1:14">
      <c r="A5" s="2" t="s">
        <v>486</v>
      </c>
      <c r="B5" s="2" t="s">
        <v>487</v>
      </c>
      <c r="C5" s="3" t="s">
        <v>488</v>
      </c>
      <c r="D5" s="3" t="s">
        <v>19</v>
      </c>
      <c r="E5" s="3" t="s">
        <v>489</v>
      </c>
      <c r="F5" s="3" t="s">
        <v>490</v>
      </c>
      <c r="G5" s="3" t="s">
        <v>34</v>
      </c>
      <c r="H5" s="3" t="s">
        <v>491</v>
      </c>
      <c r="I5" s="8" t="e">
        <f>F4*G4</f>
        <v>#VALUE!</v>
      </c>
      <c r="J5" s="8" t="str">
        <f>I4</f>
        <v>Amount(rs )</v>
      </c>
      <c r="K5" s="3" t="s">
        <v>241</v>
      </c>
      <c r="L5" s="3" t="s">
        <v>492</v>
      </c>
      <c r="M5" s="3" t="s">
        <v>118</v>
      </c>
      <c r="N5" s="3" t="s">
        <v>493</v>
      </c>
    </row>
    <row r="6" spans="1:14" ht="24">
      <c r="A6" s="5" t="s">
        <v>494</v>
      </c>
      <c r="B6" s="5" t="s">
        <v>495</v>
      </c>
      <c r="C6" s="6" t="s">
        <v>496</v>
      </c>
      <c r="D6" s="6" t="s">
        <v>42</v>
      </c>
      <c r="E6" s="6" t="s">
        <v>497</v>
      </c>
      <c r="F6" s="7">
        <v>-20</v>
      </c>
      <c r="G6" s="6" t="s">
        <v>21</v>
      </c>
      <c r="H6" s="6" t="s">
        <v>498</v>
      </c>
      <c r="I6" s="9" t="e">
        <f>F5*G5</f>
        <v>#VALUE!</v>
      </c>
      <c r="J6" s="9" t="e">
        <f>J4+I5</f>
        <v>#VALUE!</v>
      </c>
      <c r="K6" s="6" t="s">
        <v>249</v>
      </c>
      <c r="L6" s="6" t="s">
        <v>499</v>
      </c>
      <c r="M6" s="6" t="s">
        <v>44</v>
      </c>
      <c r="N6" s="6" t="s">
        <v>500</v>
      </c>
    </row>
    <row r="7" spans="1:14">
      <c r="A7" s="2" t="s">
        <v>501</v>
      </c>
      <c r="B7" s="2" t="s">
        <v>502</v>
      </c>
      <c r="C7" s="3" t="s">
        <v>503</v>
      </c>
      <c r="D7" s="3" t="s">
        <v>504</v>
      </c>
      <c r="E7" s="3" t="s">
        <v>19</v>
      </c>
      <c r="F7" s="3" t="s">
        <v>505</v>
      </c>
      <c r="G7" s="3" t="s">
        <v>506</v>
      </c>
      <c r="H7" s="3" t="s">
        <v>19</v>
      </c>
      <c r="I7" s="2" t="s">
        <v>19</v>
      </c>
      <c r="J7" s="8" t="str">
        <f>J5</f>
        <v>Amount(rs )</v>
      </c>
      <c r="K7" s="3" t="s">
        <v>96</v>
      </c>
      <c r="L7" s="3" t="s">
        <v>19</v>
      </c>
      <c r="M7" s="3" t="s">
        <v>19</v>
      </c>
      <c r="N7" s="3" t="s">
        <v>507</v>
      </c>
    </row>
    <row r="8" spans="1:14" ht="24">
      <c r="A8" s="5" t="s">
        <v>508</v>
      </c>
      <c r="B8" s="5" t="s">
        <v>509</v>
      </c>
      <c r="C8" s="6" t="s">
        <v>510</v>
      </c>
      <c r="D8" s="6" t="s">
        <v>511</v>
      </c>
      <c r="E8" s="6" t="s">
        <v>512</v>
      </c>
      <c r="F8" s="10" t="s">
        <v>513</v>
      </c>
      <c r="G8" s="6" t="s">
        <v>21</v>
      </c>
      <c r="H8" s="6" t="s">
        <v>19</v>
      </c>
      <c r="I8" s="5" t="s">
        <v>19</v>
      </c>
      <c r="J8" s="5" t="s">
        <v>19</v>
      </c>
      <c r="K8" s="6" t="s">
        <v>295</v>
      </c>
      <c r="L8" s="6" t="s">
        <v>514</v>
      </c>
      <c r="M8" s="6" t="s">
        <v>499</v>
      </c>
      <c r="N8" s="6" t="s">
        <v>515</v>
      </c>
    </row>
    <row r="9" spans="1:14" ht="24">
      <c r="A9" s="2" t="s">
        <v>516</v>
      </c>
      <c r="B9" s="2" t="s">
        <v>517</v>
      </c>
      <c r="C9" s="3" t="s">
        <v>518</v>
      </c>
      <c r="D9" s="3" t="s">
        <v>511</v>
      </c>
      <c r="E9" s="3" t="s">
        <v>512</v>
      </c>
      <c r="F9" s="12" t="s">
        <v>519</v>
      </c>
      <c r="G9" s="3" t="s">
        <v>21</v>
      </c>
      <c r="H9" s="3" t="s">
        <v>19</v>
      </c>
      <c r="I9" s="2" t="s">
        <v>19</v>
      </c>
      <c r="J9" s="2" t="s">
        <v>19</v>
      </c>
      <c r="K9" s="3" t="s">
        <v>295</v>
      </c>
      <c r="L9" s="3" t="s">
        <v>514</v>
      </c>
      <c r="M9" s="3" t="s">
        <v>499</v>
      </c>
      <c r="N9" s="3" t="s">
        <v>520</v>
      </c>
    </row>
    <row r="12" spans="1:14">
      <c r="A12" s="51" t="s">
        <v>521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/>
    </row>
    <row r="13" spans="1:14" ht="24">
      <c r="A13" s="11" t="s">
        <v>2</v>
      </c>
      <c r="B13" s="11" t="s">
        <v>3</v>
      </c>
      <c r="C13" s="11" t="s">
        <v>4</v>
      </c>
      <c r="D13" s="11" t="s">
        <v>5</v>
      </c>
      <c r="E13" s="11" t="s">
        <v>6</v>
      </c>
      <c r="F13" s="11" t="s">
        <v>7</v>
      </c>
      <c r="G13" s="11" t="s">
        <v>8</v>
      </c>
      <c r="H13" s="11" t="s">
        <v>9</v>
      </c>
      <c r="I13" s="11" t="s">
        <v>10</v>
      </c>
      <c r="J13" s="11" t="s">
        <v>11</v>
      </c>
      <c r="K13" s="11" t="s">
        <v>12</v>
      </c>
      <c r="L13" s="11" t="s">
        <v>13</v>
      </c>
      <c r="M13" s="11" t="s">
        <v>14</v>
      </c>
      <c r="N13" s="11" t="s">
        <v>15</v>
      </c>
    </row>
    <row r="14" spans="1:14" ht="24">
      <c r="A14" s="5" t="s">
        <v>522</v>
      </c>
      <c r="B14" s="5" t="s">
        <v>196</v>
      </c>
      <c r="C14" s="6" t="s">
        <v>523</v>
      </c>
      <c r="D14" s="6" t="s">
        <v>32</v>
      </c>
      <c r="E14" s="6" t="s">
        <v>512</v>
      </c>
      <c r="F14" s="19">
        <v>-7800</v>
      </c>
      <c r="G14" s="6" t="s">
        <v>21</v>
      </c>
      <c r="H14" s="6" t="s">
        <v>524</v>
      </c>
      <c r="I14" s="9">
        <f>F12*G12</f>
        <v>0</v>
      </c>
      <c r="J14" s="9">
        <f>I12</f>
        <v>0</v>
      </c>
      <c r="K14" s="6" t="s">
        <v>32</v>
      </c>
      <c r="L14" s="6" t="s">
        <v>36</v>
      </c>
      <c r="M14" s="6" t="s">
        <v>514</v>
      </c>
      <c r="N14" s="6" t="s">
        <v>525</v>
      </c>
    </row>
    <row r="15" spans="1:14">
      <c r="A15" s="2" t="s">
        <v>526</v>
      </c>
      <c r="B15" s="2" t="s">
        <v>527</v>
      </c>
      <c r="C15" s="3" t="s">
        <v>528</v>
      </c>
      <c r="D15" s="3" t="s">
        <v>202</v>
      </c>
      <c r="E15" s="3" t="s">
        <v>19</v>
      </c>
      <c r="F15" s="4" t="s">
        <v>19</v>
      </c>
      <c r="G15" s="3" t="s">
        <v>151</v>
      </c>
      <c r="H15" s="3" t="s">
        <v>19</v>
      </c>
      <c r="I15" s="20">
        <v>-12000</v>
      </c>
      <c r="J15" s="8">
        <f>J12+12000</f>
        <v>12000</v>
      </c>
      <c r="K15" s="3" t="s">
        <v>152</v>
      </c>
      <c r="L15" s="3" t="s">
        <v>36</v>
      </c>
      <c r="M15" s="3" t="s">
        <v>118</v>
      </c>
      <c r="N15" s="3" t="s">
        <v>529</v>
      </c>
    </row>
    <row r="16" spans="1:14">
      <c r="A16" s="5" t="s">
        <v>530</v>
      </c>
      <c r="B16" s="5" t="s">
        <v>531</v>
      </c>
      <c r="C16" s="6" t="s">
        <v>532</v>
      </c>
      <c r="D16" s="6" t="s">
        <v>56</v>
      </c>
      <c r="E16" s="6" t="s">
        <v>533</v>
      </c>
      <c r="F16" s="10" t="s">
        <v>534</v>
      </c>
      <c r="G16" s="6" t="s">
        <v>21</v>
      </c>
      <c r="H16" s="6" t="s">
        <v>19</v>
      </c>
      <c r="I16" s="9" t="e">
        <f>J13*0.7/5460</f>
        <v>#VALUE!</v>
      </c>
      <c r="J16" s="5" t="s">
        <v>19</v>
      </c>
      <c r="K16" s="6" t="s">
        <v>60</v>
      </c>
      <c r="L16" s="6" t="s">
        <v>535</v>
      </c>
      <c r="M16" s="6" t="s">
        <v>36</v>
      </c>
      <c r="N16" s="6" t="s">
        <v>536</v>
      </c>
    </row>
    <row r="17" spans="1:14">
      <c r="A17" s="2" t="s">
        <v>537</v>
      </c>
      <c r="B17" s="2" t="s">
        <v>538</v>
      </c>
      <c r="C17" s="3" t="s">
        <v>539</v>
      </c>
      <c r="D17" s="3" t="s">
        <v>56</v>
      </c>
      <c r="E17" s="3" t="s">
        <v>540</v>
      </c>
      <c r="F17" s="12" t="s">
        <v>541</v>
      </c>
      <c r="G17" s="3" t="s">
        <v>21</v>
      </c>
      <c r="H17" s="3" t="s">
        <v>19</v>
      </c>
      <c r="I17" s="8" t="e">
        <f>J13*0.15/1170</f>
        <v>#VALUE!</v>
      </c>
      <c r="J17" s="2" t="s">
        <v>19</v>
      </c>
      <c r="K17" s="3" t="s">
        <v>165</v>
      </c>
      <c r="L17" s="3" t="s">
        <v>542</v>
      </c>
      <c r="M17" s="3" t="s">
        <v>36</v>
      </c>
      <c r="N17" s="3" t="s">
        <v>19</v>
      </c>
    </row>
    <row r="18" spans="1:14">
      <c r="A18" s="5" t="s">
        <v>543</v>
      </c>
      <c r="B18" s="5" t="s">
        <v>544</v>
      </c>
      <c r="C18" s="6" t="s">
        <v>545</v>
      </c>
      <c r="D18" s="6" t="s">
        <v>56</v>
      </c>
      <c r="E18" s="6" t="s">
        <v>546</v>
      </c>
      <c r="F18" s="10" t="s">
        <v>547</v>
      </c>
      <c r="G18" s="6" t="s">
        <v>21</v>
      </c>
      <c r="H18" s="6" t="s">
        <v>19</v>
      </c>
      <c r="I18" s="9" t="e">
        <f>J13*0.1/780</f>
        <v>#VALUE!</v>
      </c>
      <c r="J18" s="5" t="s">
        <v>19</v>
      </c>
      <c r="K18" s="6" t="s">
        <v>165</v>
      </c>
      <c r="L18" s="6" t="s">
        <v>548</v>
      </c>
      <c r="M18" s="6" t="s">
        <v>36</v>
      </c>
      <c r="N18" s="6" t="s">
        <v>19</v>
      </c>
    </row>
    <row r="19" spans="1:14" ht="24">
      <c r="A19" s="2" t="s">
        <v>549</v>
      </c>
      <c r="B19" s="2" t="s">
        <v>550</v>
      </c>
      <c r="C19" s="3" t="s">
        <v>551</v>
      </c>
      <c r="D19" s="3" t="s">
        <v>19</v>
      </c>
      <c r="E19" s="3" t="s">
        <v>533</v>
      </c>
      <c r="F19" s="3" t="s">
        <v>552</v>
      </c>
      <c r="G19" s="3" t="s">
        <v>21</v>
      </c>
      <c r="H19" s="3" t="s">
        <v>19</v>
      </c>
      <c r="I19" s="2" t="s">
        <v>19</v>
      </c>
      <c r="J19" s="2" t="s">
        <v>19</v>
      </c>
      <c r="K19" s="3" t="s">
        <v>553</v>
      </c>
      <c r="L19" s="3" t="s">
        <v>19</v>
      </c>
      <c r="M19" s="3" t="s">
        <v>19</v>
      </c>
      <c r="N19" s="3" t="s">
        <v>554</v>
      </c>
    </row>
    <row r="22" spans="1:14">
      <c r="A22" s="57" t="s">
        <v>555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4"/>
    </row>
    <row r="23" spans="1:14" ht="24">
      <c r="A23" s="24" t="s">
        <v>2</v>
      </c>
      <c r="B23" s="24" t="s">
        <v>3</v>
      </c>
      <c r="C23" s="24" t="s">
        <v>4</v>
      </c>
      <c r="D23" s="24" t="s">
        <v>5</v>
      </c>
      <c r="E23" s="24" t="s">
        <v>6</v>
      </c>
      <c r="F23" s="24" t="s">
        <v>7</v>
      </c>
      <c r="G23" s="24" t="s">
        <v>8</v>
      </c>
      <c r="H23" s="24" t="s">
        <v>9</v>
      </c>
      <c r="I23" s="24" t="s">
        <v>10</v>
      </c>
      <c r="J23" s="24" t="s">
        <v>11</v>
      </c>
      <c r="K23" s="24" t="s">
        <v>12</v>
      </c>
      <c r="L23" s="24" t="s">
        <v>13</v>
      </c>
      <c r="M23" s="24" t="s">
        <v>14</v>
      </c>
      <c r="N23" s="24" t="s">
        <v>15</v>
      </c>
    </row>
    <row r="24" spans="1:14" ht="24">
      <c r="A24" s="5" t="s">
        <v>556</v>
      </c>
      <c r="B24" s="5" t="s">
        <v>17</v>
      </c>
      <c r="C24" s="6" t="s">
        <v>557</v>
      </c>
      <c r="D24" s="6" t="s">
        <v>19</v>
      </c>
      <c r="E24" s="6" t="s">
        <v>558</v>
      </c>
      <c r="F24" s="6" t="s">
        <v>303</v>
      </c>
      <c r="G24" s="6" t="s">
        <v>34</v>
      </c>
      <c r="H24" s="6" t="s">
        <v>559</v>
      </c>
      <c r="I24" s="9">
        <f>F20*G20</f>
        <v>0</v>
      </c>
      <c r="J24" s="9">
        <f>I20</f>
        <v>0</v>
      </c>
      <c r="K24" s="6" t="s">
        <v>560</v>
      </c>
      <c r="L24" s="6" t="s">
        <v>561</v>
      </c>
      <c r="M24" s="6" t="s">
        <v>118</v>
      </c>
      <c r="N24" s="6" t="s">
        <v>562</v>
      </c>
    </row>
    <row r="25" spans="1:14">
      <c r="A25" s="2" t="s">
        <v>563</v>
      </c>
      <c r="B25" s="2" t="s">
        <v>564</v>
      </c>
      <c r="C25" s="3" t="s">
        <v>565</v>
      </c>
      <c r="D25" s="3" t="s">
        <v>42</v>
      </c>
      <c r="E25" s="3" t="s">
        <v>566</v>
      </c>
      <c r="F25" s="4">
        <v>-100</v>
      </c>
      <c r="G25" s="3" t="s">
        <v>21</v>
      </c>
      <c r="H25" s="3" t="s">
        <v>567</v>
      </c>
      <c r="I25" s="8">
        <f>F21*G21</f>
        <v>0</v>
      </c>
      <c r="J25" s="8">
        <f>J20+I21</f>
        <v>0</v>
      </c>
      <c r="K25" s="3" t="s">
        <v>43</v>
      </c>
      <c r="L25" s="3" t="s">
        <v>36</v>
      </c>
      <c r="M25" s="3" t="s">
        <v>44</v>
      </c>
      <c r="N25" s="3" t="s">
        <v>568</v>
      </c>
    </row>
    <row r="26" spans="1:14">
      <c r="A26" s="5" t="s">
        <v>569</v>
      </c>
      <c r="B26" s="5" t="s">
        <v>564</v>
      </c>
      <c r="C26" s="6" t="s">
        <v>570</v>
      </c>
      <c r="D26" s="6" t="s">
        <v>202</v>
      </c>
      <c r="E26" s="6" t="s">
        <v>19</v>
      </c>
      <c r="F26" s="7" t="s">
        <v>19</v>
      </c>
      <c r="G26" s="6" t="s">
        <v>151</v>
      </c>
      <c r="H26" s="6" t="s">
        <v>19</v>
      </c>
      <c r="I26" s="21">
        <v>-2000</v>
      </c>
      <c r="J26" s="9">
        <f>J21+2000</f>
        <v>2000</v>
      </c>
      <c r="K26" s="6" t="s">
        <v>152</v>
      </c>
      <c r="L26" s="6" t="s">
        <v>36</v>
      </c>
      <c r="M26" s="6" t="s">
        <v>118</v>
      </c>
      <c r="N26" s="6" t="s">
        <v>571</v>
      </c>
    </row>
    <row r="27" spans="1:14" ht="24">
      <c r="A27" s="2" t="s">
        <v>572</v>
      </c>
      <c r="B27" s="2" t="s">
        <v>573</v>
      </c>
      <c r="C27" s="3" t="s">
        <v>574</v>
      </c>
      <c r="D27" s="3" t="s">
        <v>575</v>
      </c>
      <c r="E27" s="3" t="s">
        <v>576</v>
      </c>
      <c r="F27" s="12" t="s">
        <v>577</v>
      </c>
      <c r="G27" s="3" t="s">
        <v>21</v>
      </c>
      <c r="H27" s="3" t="s">
        <v>19</v>
      </c>
      <c r="I27" s="8">
        <f>J22/875</f>
        <v>0</v>
      </c>
      <c r="J27" s="8">
        <f>0</f>
        <v>0</v>
      </c>
      <c r="K27" s="3" t="s">
        <v>60</v>
      </c>
      <c r="L27" s="3" t="s">
        <v>578</v>
      </c>
      <c r="M27" s="3" t="s">
        <v>36</v>
      </c>
      <c r="N27" s="3" t="s">
        <v>579</v>
      </c>
    </row>
    <row r="28" spans="1:14">
      <c r="A28" s="5" t="s">
        <v>580</v>
      </c>
      <c r="B28" s="5" t="s">
        <v>581</v>
      </c>
      <c r="C28" s="6" t="s">
        <v>582</v>
      </c>
      <c r="D28" s="6" t="s">
        <v>56</v>
      </c>
      <c r="E28" s="6" t="s">
        <v>583</v>
      </c>
      <c r="F28" s="10" t="s">
        <v>355</v>
      </c>
      <c r="G28" s="6" t="s">
        <v>21</v>
      </c>
      <c r="H28" s="6" t="s">
        <v>19</v>
      </c>
      <c r="I28" s="9">
        <f>(J22)*0.05/45</f>
        <v>0</v>
      </c>
      <c r="J28" s="5" t="s">
        <v>19</v>
      </c>
      <c r="K28" s="6" t="s">
        <v>165</v>
      </c>
      <c r="L28" s="6" t="s">
        <v>584</v>
      </c>
      <c r="M28" s="6" t="s">
        <v>36</v>
      </c>
      <c r="N28" s="6" t="s">
        <v>585</v>
      </c>
    </row>
    <row r="29" spans="1:14" ht="24">
      <c r="A29" s="2" t="s">
        <v>586</v>
      </c>
      <c r="B29" s="2" t="s">
        <v>443</v>
      </c>
      <c r="C29" s="3" t="s">
        <v>587</v>
      </c>
      <c r="D29" s="3" t="s">
        <v>19</v>
      </c>
      <c r="E29" s="3" t="s">
        <v>576</v>
      </c>
      <c r="F29" s="3" t="s">
        <v>588</v>
      </c>
      <c r="G29" s="3" t="s">
        <v>21</v>
      </c>
      <c r="H29" s="3" t="s">
        <v>19</v>
      </c>
      <c r="I29" s="2" t="s">
        <v>19</v>
      </c>
      <c r="J29" s="2" t="s">
        <v>19</v>
      </c>
      <c r="K29" s="3" t="s">
        <v>446</v>
      </c>
      <c r="L29" s="3" t="s">
        <v>19</v>
      </c>
      <c r="M29" s="3" t="s">
        <v>19</v>
      </c>
      <c r="N29" s="3" t="s">
        <v>589</v>
      </c>
    </row>
    <row r="30" spans="1:14" ht="24">
      <c r="A30" s="5" t="s">
        <v>590</v>
      </c>
      <c r="B30" s="5" t="s">
        <v>449</v>
      </c>
      <c r="C30" s="6" t="s">
        <v>591</v>
      </c>
      <c r="D30" s="6" t="s">
        <v>19</v>
      </c>
      <c r="E30" s="6" t="s">
        <v>592</v>
      </c>
      <c r="F30" s="10" t="s">
        <v>593</v>
      </c>
      <c r="G30" s="6" t="s">
        <v>34</v>
      </c>
      <c r="H30" s="6" t="s">
        <v>19</v>
      </c>
      <c r="I30" s="5" t="s">
        <v>19</v>
      </c>
      <c r="J30" s="5" t="s">
        <v>19</v>
      </c>
      <c r="K30" s="6" t="s">
        <v>453</v>
      </c>
      <c r="L30" s="6" t="s">
        <v>19</v>
      </c>
      <c r="M30" s="6" t="s">
        <v>19</v>
      </c>
      <c r="N30" s="6" t="s">
        <v>594</v>
      </c>
    </row>
    <row r="33" spans="1:14">
      <c r="A33" s="50" t="s">
        <v>595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4"/>
    </row>
    <row r="34" spans="1:14" ht="24">
      <c r="A34" s="1" t="s">
        <v>2</v>
      </c>
      <c r="B34" s="1" t="s">
        <v>3</v>
      </c>
      <c r="C34" s="1" t="s">
        <v>4</v>
      </c>
      <c r="D34" s="1" t="s">
        <v>5</v>
      </c>
      <c r="E34" s="1" t="s">
        <v>6</v>
      </c>
      <c r="F34" s="1" t="s">
        <v>7</v>
      </c>
      <c r="G34" s="1" t="s">
        <v>8</v>
      </c>
      <c r="H34" s="1" t="s">
        <v>9</v>
      </c>
      <c r="I34" s="1" t="s">
        <v>10</v>
      </c>
      <c r="J34" s="1" t="s">
        <v>11</v>
      </c>
      <c r="K34" s="1" t="s">
        <v>12</v>
      </c>
      <c r="L34" s="1" t="s">
        <v>13</v>
      </c>
      <c r="M34" s="1" t="s">
        <v>14</v>
      </c>
      <c r="N34" s="1" t="s">
        <v>15</v>
      </c>
    </row>
    <row r="35" spans="1:14" ht="24">
      <c r="A35" s="2" t="s">
        <v>596</v>
      </c>
      <c r="B35" s="2" t="s">
        <v>597</v>
      </c>
      <c r="C35" s="3" t="s">
        <v>598</v>
      </c>
      <c r="D35" s="3" t="s">
        <v>19</v>
      </c>
      <c r="E35" s="3" t="s">
        <v>19</v>
      </c>
      <c r="F35" s="4" t="s">
        <v>19</v>
      </c>
      <c r="G35" s="3" t="s">
        <v>19</v>
      </c>
      <c r="H35" s="3" t="s">
        <v>19</v>
      </c>
      <c r="I35" s="2" t="s">
        <v>19</v>
      </c>
      <c r="J35" s="2" t="s">
        <v>19</v>
      </c>
      <c r="K35" s="3" t="s">
        <v>19</v>
      </c>
      <c r="L35" s="3" t="s">
        <v>19</v>
      </c>
      <c r="M35" s="3" t="s">
        <v>19</v>
      </c>
      <c r="N35" s="3" t="s">
        <v>599</v>
      </c>
    </row>
    <row r="36" spans="1:14">
      <c r="A36" s="5" t="s">
        <v>600</v>
      </c>
      <c r="B36" s="5" t="s">
        <v>601</v>
      </c>
      <c r="C36" s="6" t="s">
        <v>602</v>
      </c>
      <c r="D36" s="6" t="s">
        <v>371</v>
      </c>
      <c r="E36" s="6" t="s">
        <v>603</v>
      </c>
      <c r="F36" s="7">
        <v>-520</v>
      </c>
      <c r="G36" s="6" t="s">
        <v>21</v>
      </c>
      <c r="H36" s="6" t="s">
        <v>604</v>
      </c>
      <c r="I36" s="9" t="e">
        <f>F34*G34</f>
        <v>#VALUE!</v>
      </c>
      <c r="J36" s="9" t="str">
        <f>I34</f>
        <v>Amount(rs )</v>
      </c>
      <c r="K36" s="6" t="s">
        <v>43</v>
      </c>
      <c r="L36" s="6" t="s">
        <v>36</v>
      </c>
      <c r="M36" s="6" t="s">
        <v>605</v>
      </c>
      <c r="N36" s="6" t="s">
        <v>606</v>
      </c>
    </row>
    <row r="37" spans="1:14">
      <c r="A37" s="2" t="s">
        <v>607</v>
      </c>
      <c r="B37" s="2" t="s">
        <v>601</v>
      </c>
      <c r="C37" s="3" t="s">
        <v>608</v>
      </c>
      <c r="D37" s="3" t="s">
        <v>371</v>
      </c>
      <c r="E37" s="3" t="s">
        <v>609</v>
      </c>
      <c r="F37" s="4">
        <v>-300</v>
      </c>
      <c r="G37" s="3" t="s">
        <v>21</v>
      </c>
      <c r="H37" s="3" t="s">
        <v>610</v>
      </c>
      <c r="I37" s="8" t="e">
        <f>F35*G35</f>
        <v>#VALUE!</v>
      </c>
      <c r="J37" s="8" t="e">
        <f>J34+I35</f>
        <v>#VALUE!</v>
      </c>
      <c r="K37" s="3" t="s">
        <v>43</v>
      </c>
      <c r="L37" s="3" t="s">
        <v>36</v>
      </c>
      <c r="M37" s="3" t="s">
        <v>605</v>
      </c>
      <c r="N37" s="3" t="s">
        <v>611</v>
      </c>
    </row>
    <row r="38" spans="1:14">
      <c r="A38" s="5" t="s">
        <v>612</v>
      </c>
      <c r="B38" s="5" t="s">
        <v>601</v>
      </c>
      <c r="C38" s="6" t="s">
        <v>613</v>
      </c>
      <c r="D38" s="6" t="s">
        <v>371</v>
      </c>
      <c r="E38" s="6" t="s">
        <v>614</v>
      </c>
      <c r="F38" s="7">
        <v>-50</v>
      </c>
      <c r="G38" s="6" t="s">
        <v>21</v>
      </c>
      <c r="H38" s="6" t="s">
        <v>615</v>
      </c>
      <c r="I38" s="9" t="e">
        <f>F36*G36</f>
        <v>#VALUE!</v>
      </c>
      <c r="J38" s="9" t="e">
        <f>J35+I36</f>
        <v>#VALUE!</v>
      </c>
      <c r="K38" s="6" t="s">
        <v>43</v>
      </c>
      <c r="L38" s="6" t="s">
        <v>36</v>
      </c>
      <c r="M38" s="6" t="s">
        <v>605</v>
      </c>
      <c r="N38" s="6" t="s">
        <v>19</v>
      </c>
    </row>
    <row r="39" spans="1:14" ht="24">
      <c r="A39" s="2" t="s">
        <v>616</v>
      </c>
      <c r="B39" s="2" t="s">
        <v>601</v>
      </c>
      <c r="C39" s="3" t="s">
        <v>617</v>
      </c>
      <c r="D39" s="3" t="s">
        <v>371</v>
      </c>
      <c r="E39" s="3" t="s">
        <v>618</v>
      </c>
      <c r="F39" s="4">
        <v>-80</v>
      </c>
      <c r="G39" s="3" t="s">
        <v>21</v>
      </c>
      <c r="H39" s="3" t="s">
        <v>19</v>
      </c>
      <c r="I39" s="8">
        <f>10*0.1+20*0.55+30*1.2+20*2</f>
        <v>88</v>
      </c>
      <c r="J39" s="8" t="e">
        <f>J36+I37</f>
        <v>#VALUE!</v>
      </c>
      <c r="K39" s="3" t="s">
        <v>43</v>
      </c>
      <c r="L39" s="3" t="s">
        <v>36</v>
      </c>
      <c r="M39" s="3" t="s">
        <v>605</v>
      </c>
      <c r="N39" s="3" t="s">
        <v>619</v>
      </c>
    </row>
    <row r="40" spans="1:14">
      <c r="A40" s="5" t="s">
        <v>620</v>
      </c>
      <c r="B40" s="5" t="s">
        <v>621</v>
      </c>
      <c r="C40" s="6" t="s">
        <v>622</v>
      </c>
      <c r="D40" s="6" t="s">
        <v>202</v>
      </c>
      <c r="E40" s="6" t="s">
        <v>19</v>
      </c>
      <c r="F40" s="7" t="s">
        <v>19</v>
      </c>
      <c r="G40" s="6" t="s">
        <v>151</v>
      </c>
      <c r="H40" s="6" t="s">
        <v>19</v>
      </c>
      <c r="I40" s="5">
        <v>-50</v>
      </c>
      <c r="J40" s="9" t="e">
        <f>J37+50</f>
        <v>#VALUE!</v>
      </c>
      <c r="K40" s="6" t="s">
        <v>152</v>
      </c>
      <c r="L40" s="6" t="s">
        <v>36</v>
      </c>
      <c r="M40" s="6" t="s">
        <v>118</v>
      </c>
      <c r="N40" s="6" t="s">
        <v>623</v>
      </c>
    </row>
    <row r="41" spans="1:14">
      <c r="A41" s="2" t="s">
        <v>624</v>
      </c>
      <c r="B41" s="2" t="s">
        <v>625</v>
      </c>
      <c r="C41" s="3" t="s">
        <v>626</v>
      </c>
      <c r="D41" s="3" t="s">
        <v>627</v>
      </c>
      <c r="E41" s="3" t="s">
        <v>19</v>
      </c>
      <c r="F41" s="4" t="s">
        <v>19</v>
      </c>
      <c r="G41" s="3" t="s">
        <v>151</v>
      </c>
      <c r="H41" s="3" t="s">
        <v>19</v>
      </c>
      <c r="I41" s="2">
        <v>-12</v>
      </c>
      <c r="J41" s="8" t="e">
        <f>J38+12</f>
        <v>#VALUE!</v>
      </c>
      <c r="K41" s="3" t="s">
        <v>152</v>
      </c>
      <c r="L41" s="3" t="s">
        <v>36</v>
      </c>
      <c r="M41" s="3" t="s">
        <v>118</v>
      </c>
      <c r="N41" s="3" t="s">
        <v>628</v>
      </c>
    </row>
    <row r="42" spans="1:14" ht="24">
      <c r="A42" s="5" t="s">
        <v>629</v>
      </c>
      <c r="B42" s="5" t="s">
        <v>205</v>
      </c>
      <c r="C42" s="6" t="s">
        <v>630</v>
      </c>
      <c r="D42" s="6" t="s">
        <v>56</v>
      </c>
      <c r="E42" s="6" t="s">
        <v>631</v>
      </c>
      <c r="F42" s="10" t="s">
        <v>632</v>
      </c>
      <c r="G42" s="6" t="s">
        <v>21</v>
      </c>
      <c r="H42" s="9" t="e">
        <f>J39/1000</f>
        <v>#VALUE!</v>
      </c>
      <c r="I42" s="9" t="e">
        <f>J39</f>
        <v>#VALUE!</v>
      </c>
      <c r="J42" s="9">
        <f>0</f>
        <v>0</v>
      </c>
      <c r="K42" s="6" t="s">
        <v>60</v>
      </c>
      <c r="L42" s="6" t="s">
        <v>633</v>
      </c>
      <c r="M42" s="6" t="s">
        <v>36</v>
      </c>
      <c r="N42" s="6" t="s">
        <v>634</v>
      </c>
    </row>
    <row r="43" spans="1:14">
      <c r="A43" s="2" t="s">
        <v>635</v>
      </c>
      <c r="B43" s="2" t="s">
        <v>443</v>
      </c>
      <c r="C43" s="3" t="s">
        <v>636</v>
      </c>
      <c r="D43" s="3" t="s">
        <v>19</v>
      </c>
      <c r="E43" s="3" t="s">
        <v>631</v>
      </c>
      <c r="F43" s="3" t="s">
        <v>637</v>
      </c>
      <c r="G43" s="3" t="s">
        <v>21</v>
      </c>
      <c r="H43" s="3" t="s">
        <v>19</v>
      </c>
      <c r="I43" s="2" t="s">
        <v>19</v>
      </c>
      <c r="J43" s="2" t="s">
        <v>19</v>
      </c>
      <c r="K43" s="3" t="s">
        <v>446</v>
      </c>
      <c r="L43" s="3" t="s">
        <v>19</v>
      </c>
      <c r="M43" s="3" t="s">
        <v>19</v>
      </c>
      <c r="N43" s="3" t="s">
        <v>638</v>
      </c>
    </row>
    <row r="44" spans="1:14" ht="24">
      <c r="A44" s="5" t="s">
        <v>639</v>
      </c>
      <c r="B44" s="5" t="s">
        <v>640</v>
      </c>
      <c r="C44" s="6" t="s">
        <v>641</v>
      </c>
      <c r="D44" s="6" t="s">
        <v>19</v>
      </c>
      <c r="E44" s="6" t="s">
        <v>642</v>
      </c>
      <c r="F44" s="6" t="s">
        <v>643</v>
      </c>
      <c r="G44" s="6" t="s">
        <v>21</v>
      </c>
      <c r="H44" s="6" t="s">
        <v>610</v>
      </c>
      <c r="I44" s="9">
        <f>10*0.62</f>
        <v>6.2</v>
      </c>
      <c r="J44" s="5" t="s">
        <v>19</v>
      </c>
      <c r="K44" s="6" t="s">
        <v>66</v>
      </c>
      <c r="L44" s="6" t="s">
        <v>67</v>
      </c>
      <c r="M44" s="6" t="s">
        <v>36</v>
      </c>
      <c r="N44" s="6" t="s">
        <v>644</v>
      </c>
    </row>
  </sheetData>
  <mergeCells count="5">
    <mergeCell ref="A1:N1"/>
    <mergeCell ref="A3:N3"/>
    <mergeCell ref="A12:N12"/>
    <mergeCell ref="A22:N22"/>
    <mergeCell ref="A33:N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FDCC-3F6A-4DDF-8A28-69A9963DF60B}">
  <dimension ref="A1:N39"/>
  <sheetViews>
    <sheetView workbookViewId="0">
      <selection activeCell="B11" sqref="B11"/>
    </sheetView>
  </sheetViews>
  <sheetFormatPr defaultColWidth="32.85546875" defaultRowHeight="12"/>
  <cols>
    <col min="1" max="16384" width="32.85546875" style="17"/>
  </cols>
  <sheetData>
    <row r="1" spans="1:14">
      <c r="A1" s="55" t="s">
        <v>645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4">
      <c r="A2" s="60" t="s">
        <v>646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4"/>
    </row>
    <row r="4" spans="1:14">
      <c r="A4" s="54" t="s">
        <v>647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4"/>
    </row>
    <row r="5" spans="1:14">
      <c r="A5" s="34" t="s">
        <v>648</v>
      </c>
      <c r="B5" s="35" t="s">
        <v>649</v>
      </c>
      <c r="C5" s="34" t="s">
        <v>650</v>
      </c>
      <c r="D5" s="35" t="s">
        <v>490</v>
      </c>
      <c r="E5" s="25" t="s">
        <v>651</v>
      </c>
      <c r="F5" s="59"/>
      <c r="G5" s="63"/>
      <c r="H5" s="63"/>
      <c r="I5" s="63"/>
      <c r="J5" s="63"/>
      <c r="K5" s="63"/>
      <c r="L5" s="63"/>
      <c r="M5" s="63"/>
      <c r="N5" s="64"/>
    </row>
    <row r="6" spans="1:14">
      <c r="A6" s="34" t="s">
        <v>652</v>
      </c>
      <c r="B6" s="35" t="s">
        <v>653</v>
      </c>
      <c r="C6" s="34" t="s">
        <v>654</v>
      </c>
      <c r="D6" s="35" t="s">
        <v>59</v>
      </c>
      <c r="E6" s="25" t="s">
        <v>655</v>
      </c>
      <c r="F6" s="59"/>
      <c r="G6" s="63"/>
      <c r="H6" s="63"/>
      <c r="I6" s="63"/>
      <c r="J6" s="63"/>
      <c r="K6" s="63"/>
      <c r="L6" s="63"/>
      <c r="M6" s="63"/>
      <c r="N6" s="64"/>
    </row>
    <row r="7" spans="1:14">
      <c r="A7" s="34" t="s">
        <v>656</v>
      </c>
      <c r="B7" s="35" t="s">
        <v>27</v>
      </c>
      <c r="C7" s="34" t="s">
        <v>657</v>
      </c>
      <c r="D7" s="35" t="s">
        <v>658</v>
      </c>
      <c r="E7" s="25" t="s">
        <v>655</v>
      </c>
      <c r="F7" s="59" t="s">
        <v>659</v>
      </c>
      <c r="G7" s="63"/>
      <c r="H7" s="63"/>
      <c r="I7" s="63"/>
      <c r="J7" s="63"/>
      <c r="K7" s="63"/>
      <c r="L7" s="63"/>
      <c r="M7" s="63"/>
      <c r="N7" s="64"/>
    </row>
    <row r="8" spans="1:14">
      <c r="A8" s="34" t="s">
        <v>660</v>
      </c>
      <c r="B8" s="35" t="s">
        <v>661</v>
      </c>
      <c r="C8" s="34" t="s">
        <v>662</v>
      </c>
      <c r="D8" s="35" t="s">
        <v>663</v>
      </c>
      <c r="E8" s="25" t="s">
        <v>21</v>
      </c>
      <c r="F8" s="59" t="s">
        <v>664</v>
      </c>
      <c r="G8" s="63"/>
      <c r="H8" s="63"/>
      <c r="I8" s="63"/>
      <c r="J8" s="63"/>
      <c r="K8" s="63"/>
      <c r="L8" s="63"/>
      <c r="M8" s="63"/>
      <c r="N8" s="64"/>
    </row>
    <row r="9" spans="1:14">
      <c r="A9" s="34" t="s">
        <v>665</v>
      </c>
      <c r="B9" s="35" t="s">
        <v>666</v>
      </c>
      <c r="C9" s="34" t="s">
        <v>667</v>
      </c>
      <c r="D9" s="36" t="str">
        <f ca="1">D12*D9*D11</f>
        <v/>
      </c>
      <c r="E9" s="25" t="s">
        <v>21</v>
      </c>
      <c r="F9" s="59" t="e">
        <f ca="1">Std _xludf.rate * _xludf.days * opening Qty</f>
        <v>#NAME?</v>
      </c>
      <c r="G9" s="63"/>
      <c r="H9" s="63"/>
      <c r="I9" s="63"/>
      <c r="J9" s="63"/>
      <c r="K9" s="63"/>
      <c r="L9" s="63"/>
      <c r="M9" s="63"/>
      <c r="N9" s="64"/>
    </row>
    <row r="10" spans="1:14">
      <c r="A10" s="34" t="s">
        <v>668</v>
      </c>
      <c r="B10" s="35" t="s">
        <v>490</v>
      </c>
      <c r="C10" s="34" t="s">
        <v>669</v>
      </c>
      <c r="D10" s="35" t="s">
        <v>670</v>
      </c>
      <c r="E10" s="25" t="s">
        <v>671</v>
      </c>
      <c r="F10" s="59"/>
      <c r="G10" s="63"/>
      <c r="H10" s="63"/>
      <c r="I10" s="63"/>
      <c r="J10" s="63"/>
      <c r="K10" s="63"/>
      <c r="L10" s="63"/>
      <c r="M10" s="63"/>
      <c r="N10" s="64"/>
    </row>
    <row r="11" spans="1:14">
      <c r="A11" s="34" t="s">
        <v>672</v>
      </c>
      <c r="B11" s="35" t="s">
        <v>673</v>
      </c>
      <c r="C11" s="34" t="s">
        <v>674</v>
      </c>
      <c r="D11" s="35" t="s">
        <v>673</v>
      </c>
      <c r="E11" s="25" t="s">
        <v>655</v>
      </c>
      <c r="F11" s="59"/>
      <c r="G11" s="63"/>
      <c r="H11" s="63"/>
      <c r="I11" s="63"/>
      <c r="J11" s="63"/>
      <c r="K11" s="63"/>
      <c r="L11" s="63"/>
      <c r="M11" s="63"/>
      <c r="N11" s="64"/>
    </row>
    <row r="12" spans="1:14">
      <c r="A12" s="34" t="s">
        <v>675</v>
      </c>
      <c r="B12" s="35" t="s">
        <v>491</v>
      </c>
      <c r="C12" s="34" t="s">
        <v>676</v>
      </c>
      <c r="D12" s="35" t="s">
        <v>677</v>
      </c>
      <c r="E12" s="25" t="s">
        <v>655</v>
      </c>
      <c r="F12" s="59"/>
      <c r="G12" s="63"/>
      <c r="H12" s="63"/>
      <c r="I12" s="63"/>
      <c r="J12" s="63"/>
      <c r="K12" s="63"/>
      <c r="L12" s="63"/>
      <c r="M12" s="63"/>
      <c r="N12" s="64"/>
    </row>
    <row r="13" spans="1:14">
      <c r="A13" s="34" t="s">
        <v>678</v>
      </c>
      <c r="B13" s="36" t="str">
        <f ca="1">D9*(1-0.02)</f>
        <v/>
      </c>
      <c r="C13" s="34" t="s">
        <v>679</v>
      </c>
      <c r="D13" s="35" t="s">
        <v>680</v>
      </c>
      <c r="E13" s="25" t="s">
        <v>34</v>
      </c>
      <c r="F13" s="59" t="s">
        <v>681</v>
      </c>
      <c r="G13" s="63"/>
      <c r="H13" s="63"/>
      <c r="I13" s="63"/>
      <c r="J13" s="63"/>
      <c r="K13" s="63"/>
      <c r="L13" s="63"/>
      <c r="M13" s="63"/>
      <c r="N13" s="64"/>
    </row>
    <row r="15" spans="1:14">
      <c r="A15" s="50" t="s">
        <v>682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4"/>
    </row>
    <row r="16" spans="1:14">
      <c r="A16" s="1" t="s">
        <v>683</v>
      </c>
      <c r="B16" s="1" t="s">
        <v>684</v>
      </c>
      <c r="C16" s="1" t="s">
        <v>685</v>
      </c>
      <c r="D16" s="1" t="s">
        <v>686</v>
      </c>
      <c r="E16" s="1" t="s">
        <v>687</v>
      </c>
      <c r="F16" s="1" t="s">
        <v>688</v>
      </c>
      <c r="G16" s="1" t="s">
        <v>689</v>
      </c>
      <c r="H16" s="1" t="s">
        <v>690</v>
      </c>
      <c r="I16" s="1" t="s">
        <v>691</v>
      </c>
      <c r="J16" s="1" t="s">
        <v>692</v>
      </c>
      <c r="K16" s="1" t="s">
        <v>693</v>
      </c>
    </row>
    <row r="17" spans="1:14">
      <c r="A17" s="26" t="s">
        <v>694</v>
      </c>
      <c r="B17" s="27" t="s">
        <v>695</v>
      </c>
      <c r="C17" s="37" t="str">
        <f>D7</f>
        <v>21.50</v>
      </c>
      <c r="D17" s="37" t="str">
        <f>D7</f>
        <v>21.50</v>
      </c>
      <c r="E17" s="38" t="str">
        <f ca="1">(D9-C9)*D12</f>
        <v/>
      </c>
      <c r="F17" s="37" t="str">
        <f ca="1">IF(E17&gt;0,"UNFAV ▲","FAV ▼")</f>
        <v/>
      </c>
      <c r="G17" s="27" t="s">
        <v>107</v>
      </c>
      <c r="H17" s="27" t="s">
        <v>44</v>
      </c>
      <c r="I17" s="38" t="str">
        <f ca="1">ABS(E17)</f>
        <v/>
      </c>
      <c r="J17" s="27" t="s">
        <v>696</v>
      </c>
      <c r="K17" s="27" t="s">
        <v>697</v>
      </c>
    </row>
    <row r="18" spans="1:14">
      <c r="A18" s="26" t="s">
        <v>698</v>
      </c>
      <c r="B18" s="27" t="s">
        <v>699</v>
      </c>
      <c r="C18" s="37" t="str">
        <f>D12</f>
        <v>55,000</v>
      </c>
      <c r="D18" s="37" t="str">
        <f>D12</f>
        <v>55,000</v>
      </c>
      <c r="E18" s="38" t="e">
        <f>(D12-D13)*C7</f>
        <v>#VALUE!</v>
      </c>
      <c r="F18" s="37" t="e">
        <f>IF(E18&gt;0,"UNFAV ▲","FAV ▼")</f>
        <v>#VALUE!</v>
      </c>
      <c r="G18" s="27" t="s">
        <v>67</v>
      </c>
      <c r="H18" s="27" t="s">
        <v>36</v>
      </c>
      <c r="I18" s="38" t="e">
        <f>ABS(E18)</f>
        <v>#VALUE!</v>
      </c>
      <c r="J18" s="27" t="s">
        <v>696</v>
      </c>
      <c r="K18" s="27" t="s">
        <v>697</v>
      </c>
    </row>
    <row r="19" spans="1:14">
      <c r="A19" s="26" t="s">
        <v>700</v>
      </c>
      <c r="B19" s="27" t="s">
        <v>701</v>
      </c>
      <c r="C19" s="37">
        <f>D14</f>
        <v>0</v>
      </c>
      <c r="D19" s="37">
        <f>D14</f>
        <v>0</v>
      </c>
      <c r="E19" s="38">
        <f>(D14-D14)*D15</f>
        <v>0</v>
      </c>
      <c r="F19" s="37" t="str">
        <f>IF(E19&gt;0,"UNFAV ▲","FAV ▼")</f>
        <v>FAV ▼</v>
      </c>
      <c r="G19" s="27" t="s">
        <v>702</v>
      </c>
      <c r="H19" s="27" t="s">
        <v>36</v>
      </c>
      <c r="I19" s="38">
        <f>ABS(E19)</f>
        <v>0</v>
      </c>
      <c r="J19" s="27" t="s">
        <v>703</v>
      </c>
      <c r="K19" s="27" t="s">
        <v>704</v>
      </c>
    </row>
    <row r="20" spans="1:14">
      <c r="A20" s="26" t="s">
        <v>705</v>
      </c>
      <c r="B20" s="27" t="s">
        <v>706</v>
      </c>
      <c r="C20" s="37" t="str">
        <f>D17</f>
        <v>21.50</v>
      </c>
      <c r="D20" s="37" t="str">
        <f>D17</f>
        <v>21.50</v>
      </c>
      <c r="E20" s="38" t="e">
        <f>(D17-D16)*D8</f>
        <v>#VALUE!</v>
      </c>
      <c r="F20" s="37" t="e">
        <f>IF(E20&gt;0,"UNFAV ▲","FAV ▼")</f>
        <v>#VALUE!</v>
      </c>
      <c r="G20" s="27" t="s">
        <v>72</v>
      </c>
      <c r="H20" s="27" t="s">
        <v>36</v>
      </c>
      <c r="I20" s="38" t="e">
        <f>ABS(E20)</f>
        <v>#VALUE!</v>
      </c>
      <c r="J20" s="27" t="s">
        <v>696</v>
      </c>
      <c r="K20" s="27" t="s">
        <v>697</v>
      </c>
    </row>
    <row r="21" spans="1:14">
      <c r="A21" s="26" t="s">
        <v>707</v>
      </c>
      <c r="B21" s="27" t="s">
        <v>708</v>
      </c>
      <c r="C21" s="37" t="str">
        <f ca="1">D9*D16</f>
        <v/>
      </c>
      <c r="D21" s="37" t="str">
        <f>D18</f>
        <v>55,000</v>
      </c>
      <c r="E21" s="38" t="str">
        <f ca="1">D18-(D9*D16)</f>
        <v/>
      </c>
      <c r="F21" s="37" t="str">
        <f ca="1">IF(E21&gt;0,"UNFAV ▲","FAV ▼")</f>
        <v/>
      </c>
      <c r="G21" s="27" t="s">
        <v>709</v>
      </c>
      <c r="H21" s="27" t="s">
        <v>36</v>
      </c>
      <c r="I21" s="38" t="str">
        <f ca="1">ABS(E21)</f>
        <v/>
      </c>
      <c r="J21" s="27" t="s">
        <v>710</v>
      </c>
      <c r="K21" s="27" t="s">
        <v>697</v>
      </c>
    </row>
    <row r="23" spans="1:14">
      <c r="A23" s="22" t="s">
        <v>711</v>
      </c>
      <c r="E23" s="39" t="str">
        <f ca="1">SUM(E17:E21)</f>
        <v/>
      </c>
      <c r="F23" s="40" t="str">
        <f ca="1">IF(E23&gt;0,"TOTAL UNFAV ▲","TOTAL FAV ▼")</f>
        <v/>
      </c>
    </row>
    <row r="25" spans="1:14">
      <c r="A25" s="52" t="s">
        <v>712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4"/>
    </row>
    <row r="26" spans="1:14">
      <c r="A26" s="13" t="s">
        <v>713</v>
      </c>
      <c r="B26" s="13" t="s">
        <v>714</v>
      </c>
      <c r="C26" s="13" t="s">
        <v>715</v>
      </c>
      <c r="D26" s="13" t="s">
        <v>716</v>
      </c>
      <c r="E26" s="13" t="s">
        <v>717</v>
      </c>
      <c r="F26" s="13" t="s">
        <v>692</v>
      </c>
      <c r="G26" s="13" t="s">
        <v>718</v>
      </c>
      <c r="H26" s="13" t="s">
        <v>719</v>
      </c>
      <c r="I26" s="13" t="s">
        <v>720</v>
      </c>
    </row>
    <row r="27" spans="1:14">
      <c r="A27" s="28" t="s">
        <v>29</v>
      </c>
      <c r="B27" s="29" t="s">
        <v>721</v>
      </c>
      <c r="C27" s="30" t="s">
        <v>722</v>
      </c>
      <c r="D27" s="29" t="s">
        <v>723</v>
      </c>
      <c r="E27" s="41" t="str">
        <f ca="1">ABS(E17)</f>
        <v/>
      </c>
      <c r="F27" s="29" t="s">
        <v>724</v>
      </c>
      <c r="G27" s="29" t="s">
        <v>725</v>
      </c>
      <c r="H27" s="29" t="s">
        <v>19</v>
      </c>
      <c r="I27" s="29" t="s">
        <v>726</v>
      </c>
    </row>
    <row r="28" spans="1:14">
      <c r="A28" s="31" t="s">
        <v>29</v>
      </c>
      <c r="B28" s="32" t="s">
        <v>721</v>
      </c>
      <c r="C28" s="33" t="s">
        <v>727</v>
      </c>
      <c r="D28" s="32" t="s">
        <v>728</v>
      </c>
      <c r="E28" s="42" t="str">
        <f ca="1">ABS(E17)</f>
        <v/>
      </c>
      <c r="F28" s="32" t="s">
        <v>724</v>
      </c>
      <c r="G28" s="32" t="s">
        <v>729</v>
      </c>
      <c r="H28" s="32" t="s">
        <v>19</v>
      </c>
      <c r="I28" s="32" t="s">
        <v>19</v>
      </c>
    </row>
    <row r="29" spans="1:14">
      <c r="A29" s="28" t="s">
        <v>39</v>
      </c>
      <c r="B29" s="29" t="s">
        <v>730</v>
      </c>
      <c r="C29" s="30" t="s">
        <v>722</v>
      </c>
      <c r="D29" s="29" t="s">
        <v>731</v>
      </c>
      <c r="E29" s="41" t="e">
        <f>ABS(E18)</f>
        <v>#VALUE!</v>
      </c>
      <c r="F29" s="29" t="s">
        <v>724</v>
      </c>
      <c r="G29" s="29" t="s">
        <v>725</v>
      </c>
      <c r="H29" s="29" t="s">
        <v>19</v>
      </c>
      <c r="I29" s="29" t="s">
        <v>726</v>
      </c>
    </row>
    <row r="30" spans="1:14">
      <c r="A30" s="31" t="s">
        <v>39</v>
      </c>
      <c r="B30" s="32" t="s">
        <v>730</v>
      </c>
      <c r="C30" s="33" t="s">
        <v>727</v>
      </c>
      <c r="D30" s="32" t="s">
        <v>36</v>
      </c>
      <c r="E30" s="42" t="e">
        <f>ABS(E18)</f>
        <v>#VALUE!</v>
      </c>
      <c r="F30" s="32" t="s">
        <v>724</v>
      </c>
      <c r="G30" s="32" t="s">
        <v>732</v>
      </c>
      <c r="H30" s="32" t="s">
        <v>19</v>
      </c>
      <c r="I30" s="32" t="s">
        <v>19</v>
      </c>
    </row>
    <row r="31" spans="1:14">
      <c r="A31" s="28" t="s">
        <v>46</v>
      </c>
      <c r="B31" s="29" t="s">
        <v>705</v>
      </c>
      <c r="C31" s="30" t="s">
        <v>722</v>
      </c>
      <c r="D31" s="29" t="s">
        <v>733</v>
      </c>
      <c r="E31" s="41" t="e">
        <f>ABS(E20)</f>
        <v>#VALUE!</v>
      </c>
      <c r="F31" s="29" t="s">
        <v>724</v>
      </c>
      <c r="G31" s="29" t="s">
        <v>725</v>
      </c>
      <c r="H31" s="29" t="s">
        <v>19</v>
      </c>
      <c r="I31" s="29" t="s">
        <v>726</v>
      </c>
    </row>
    <row r="32" spans="1:14">
      <c r="A32" s="31" t="s">
        <v>46</v>
      </c>
      <c r="B32" s="32" t="s">
        <v>705</v>
      </c>
      <c r="C32" s="33" t="s">
        <v>727</v>
      </c>
      <c r="D32" s="32" t="s">
        <v>36</v>
      </c>
      <c r="E32" s="42" t="e">
        <f>ABS(E20)</f>
        <v>#VALUE!</v>
      </c>
      <c r="F32" s="32" t="s">
        <v>724</v>
      </c>
      <c r="G32" s="32" t="s">
        <v>732</v>
      </c>
      <c r="H32" s="32" t="s">
        <v>19</v>
      </c>
      <c r="I32" s="32" t="s">
        <v>19</v>
      </c>
    </row>
    <row r="33" spans="1:14">
      <c r="A33" s="28" t="s">
        <v>53</v>
      </c>
      <c r="B33" s="29" t="s">
        <v>734</v>
      </c>
      <c r="C33" s="30" t="s">
        <v>722</v>
      </c>
      <c r="D33" s="29" t="s">
        <v>735</v>
      </c>
      <c r="E33" s="41" t="str">
        <f ca="1">ABS(E21)</f>
        <v/>
      </c>
      <c r="F33" s="29" t="s">
        <v>724</v>
      </c>
      <c r="G33" s="29" t="s">
        <v>725</v>
      </c>
      <c r="H33" s="29" t="s">
        <v>19</v>
      </c>
      <c r="I33" s="29" t="s">
        <v>726</v>
      </c>
    </row>
    <row r="34" spans="1:14">
      <c r="A34" s="31" t="s">
        <v>53</v>
      </c>
      <c r="B34" s="32" t="s">
        <v>734</v>
      </c>
      <c r="C34" s="33" t="s">
        <v>727</v>
      </c>
      <c r="D34" s="32" t="s">
        <v>36</v>
      </c>
      <c r="E34" s="42" t="str">
        <f ca="1">ABS(E21)</f>
        <v/>
      </c>
      <c r="F34" s="32" t="s">
        <v>724</v>
      </c>
      <c r="G34" s="32" t="s">
        <v>732</v>
      </c>
      <c r="H34" s="32" t="s">
        <v>19</v>
      </c>
      <c r="I34" s="32" t="s">
        <v>19</v>
      </c>
    </row>
    <row r="36" spans="1:14">
      <c r="A36" s="58" t="s">
        <v>736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4"/>
    </row>
    <row r="37" spans="1:14">
      <c r="A37" s="28" t="s">
        <v>737</v>
      </c>
      <c r="E37" s="43" t="str">
        <f ca="1">SUM(E27,E29,E31,E33)</f>
        <v/>
      </c>
    </row>
    <row r="38" spans="1:14">
      <c r="A38" s="31" t="s">
        <v>738</v>
      </c>
      <c r="E38" s="44" t="str">
        <f ca="1">SUM(E28,E30,E32,E34)</f>
        <v/>
      </c>
    </row>
    <row r="39" spans="1:14">
      <c r="A39" s="34" t="s">
        <v>739</v>
      </c>
      <c r="E39" s="45" t="str">
        <f ca="1">IF(E37=E38,"✓ BALANCED","✗ ERROR")</f>
        <v/>
      </c>
    </row>
  </sheetData>
  <mergeCells count="15">
    <mergeCell ref="F7:N7"/>
    <mergeCell ref="A1:N1"/>
    <mergeCell ref="A2:N2"/>
    <mergeCell ref="A4:N4"/>
    <mergeCell ref="F5:N5"/>
    <mergeCell ref="F6:N6"/>
    <mergeCell ref="A15:N15"/>
    <mergeCell ref="A25:N25"/>
    <mergeCell ref="A36:N36"/>
    <mergeCell ref="F8:N8"/>
    <mergeCell ref="F9:N9"/>
    <mergeCell ref="F10:N10"/>
    <mergeCell ref="F11:N11"/>
    <mergeCell ref="F12:N12"/>
    <mergeCell ref="F13:N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E8D6A-05A5-47BF-8C06-8015FADB6481}">
  <dimension ref="A1:M21"/>
  <sheetViews>
    <sheetView topLeftCell="A2" workbookViewId="0">
      <selection activeCell="C9" sqref="C9"/>
    </sheetView>
  </sheetViews>
  <sheetFormatPr defaultColWidth="8.7109375" defaultRowHeight="12"/>
  <cols>
    <col min="1" max="1" width="6.85546875" style="17" bestFit="1" customWidth="1"/>
    <col min="2" max="2" width="17.7109375" style="17" bestFit="1" customWidth="1"/>
    <col min="3" max="3" width="20.85546875" style="17" bestFit="1" customWidth="1"/>
    <col min="4" max="4" width="8.140625" style="17" bestFit="1" customWidth="1"/>
    <col min="5" max="5" width="10" style="17" bestFit="1" customWidth="1"/>
    <col min="6" max="6" width="12.85546875" style="17" bestFit="1" customWidth="1"/>
    <col min="7" max="7" width="12.140625" style="17" bestFit="1" customWidth="1"/>
    <col min="8" max="8" width="18.42578125" style="17" bestFit="1" customWidth="1"/>
    <col min="9" max="9" width="13.42578125" style="17" bestFit="1" customWidth="1"/>
    <col min="10" max="10" width="19.85546875" style="17" bestFit="1" customWidth="1"/>
    <col min="11" max="11" width="13.85546875" style="17" bestFit="1" customWidth="1"/>
    <col min="12" max="12" width="24" style="17" customWidth="1"/>
    <col min="13" max="13" width="59.5703125" style="17" bestFit="1" customWidth="1"/>
    <col min="14" max="16384" width="8.7109375" style="17"/>
  </cols>
  <sheetData>
    <row r="1" spans="1:13">
      <c r="A1" s="55" t="s">
        <v>740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4"/>
    </row>
    <row r="2" spans="1:13" ht="30.6" customHeight="1">
      <c r="A2" s="60" t="s">
        <v>741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4"/>
    </row>
    <row r="4" spans="1:13">
      <c r="A4" s="1" t="s">
        <v>742</v>
      </c>
      <c r="B4" s="1" t="s">
        <v>743</v>
      </c>
      <c r="C4" s="1" t="s">
        <v>744</v>
      </c>
      <c r="D4" s="1" t="s">
        <v>652</v>
      </c>
      <c r="E4" s="1" t="s">
        <v>745</v>
      </c>
      <c r="F4" s="1" t="s">
        <v>8</v>
      </c>
      <c r="G4" s="1" t="s">
        <v>746</v>
      </c>
      <c r="H4" s="1" t="s">
        <v>747</v>
      </c>
      <c r="I4" s="1" t="s">
        <v>748</v>
      </c>
      <c r="J4" s="1" t="s">
        <v>749</v>
      </c>
      <c r="K4" s="1" t="s">
        <v>750</v>
      </c>
      <c r="L4" s="1" t="s">
        <v>751</v>
      </c>
      <c r="M4" s="1" t="s">
        <v>752</v>
      </c>
    </row>
    <row r="5" spans="1:13">
      <c r="A5" s="46" t="s">
        <v>753</v>
      </c>
      <c r="B5" s="46" t="s">
        <v>754</v>
      </c>
      <c r="C5" s="2" t="s">
        <v>755</v>
      </c>
      <c r="D5" s="3" t="s">
        <v>653</v>
      </c>
      <c r="E5" s="3" t="s">
        <v>756</v>
      </c>
      <c r="F5" s="3" t="s">
        <v>757</v>
      </c>
      <c r="G5" s="3" t="s">
        <v>758</v>
      </c>
      <c r="H5" s="3" t="s">
        <v>759</v>
      </c>
      <c r="I5" s="3" t="s">
        <v>760</v>
      </c>
      <c r="J5" s="3" t="s">
        <v>761</v>
      </c>
      <c r="K5" s="3" t="s">
        <v>762</v>
      </c>
      <c r="L5" s="2" t="s">
        <v>763</v>
      </c>
      <c r="M5" s="3" t="s">
        <v>764</v>
      </c>
    </row>
    <row r="6" spans="1:13">
      <c r="A6" s="47" t="s">
        <v>753</v>
      </c>
      <c r="B6" s="47" t="s">
        <v>765</v>
      </c>
      <c r="C6" s="5" t="s">
        <v>766</v>
      </c>
      <c r="D6" s="6" t="s">
        <v>653</v>
      </c>
      <c r="E6" s="6" t="s">
        <v>767</v>
      </c>
      <c r="F6" s="6" t="s">
        <v>768</v>
      </c>
      <c r="G6" s="6" t="s">
        <v>769</v>
      </c>
      <c r="H6" s="6" t="s">
        <v>770</v>
      </c>
      <c r="I6" s="6" t="s">
        <v>771</v>
      </c>
      <c r="J6" s="6" t="s">
        <v>772</v>
      </c>
      <c r="K6" s="6" t="s">
        <v>773</v>
      </c>
      <c r="L6" s="5" t="s">
        <v>774</v>
      </c>
      <c r="M6" s="6" t="s">
        <v>775</v>
      </c>
    </row>
    <row r="7" spans="1:13" ht="24">
      <c r="A7" s="46" t="s">
        <v>753</v>
      </c>
      <c r="B7" s="46" t="s">
        <v>776</v>
      </c>
      <c r="C7" s="2" t="s">
        <v>777</v>
      </c>
      <c r="D7" s="3" t="s">
        <v>778</v>
      </c>
      <c r="E7" s="3" t="s">
        <v>767</v>
      </c>
      <c r="F7" s="3" t="s">
        <v>768</v>
      </c>
      <c r="G7" s="3" t="s">
        <v>769</v>
      </c>
      <c r="H7" s="3" t="s">
        <v>779</v>
      </c>
      <c r="I7" s="3" t="s">
        <v>771</v>
      </c>
      <c r="J7" s="3" t="s">
        <v>772</v>
      </c>
      <c r="K7" s="3" t="s">
        <v>773</v>
      </c>
      <c r="L7" s="2" t="s">
        <v>780</v>
      </c>
      <c r="M7" s="3" t="s">
        <v>781</v>
      </c>
    </row>
    <row r="8" spans="1:13">
      <c r="A8" s="47" t="s">
        <v>753</v>
      </c>
      <c r="B8" s="47" t="s">
        <v>782</v>
      </c>
      <c r="C8" s="5" t="s">
        <v>783</v>
      </c>
      <c r="D8" s="6" t="s">
        <v>653</v>
      </c>
      <c r="E8" s="6" t="s">
        <v>784</v>
      </c>
      <c r="F8" s="6" t="s">
        <v>785</v>
      </c>
      <c r="G8" s="6" t="s">
        <v>786</v>
      </c>
      <c r="H8" s="6" t="s">
        <v>787</v>
      </c>
      <c r="I8" s="6" t="s">
        <v>788</v>
      </c>
      <c r="J8" s="6" t="s">
        <v>789</v>
      </c>
      <c r="K8" s="6" t="s">
        <v>790</v>
      </c>
      <c r="L8" s="5" t="s">
        <v>791</v>
      </c>
      <c r="M8" s="6" t="s">
        <v>792</v>
      </c>
    </row>
    <row r="9" spans="1:13" ht="24">
      <c r="A9" s="46" t="s">
        <v>753</v>
      </c>
      <c r="B9" s="46" t="s">
        <v>793</v>
      </c>
      <c r="C9" s="2" t="s">
        <v>649</v>
      </c>
      <c r="D9" s="3" t="s">
        <v>653</v>
      </c>
      <c r="E9" s="3" t="s">
        <v>490</v>
      </c>
      <c r="F9" s="3" t="s">
        <v>794</v>
      </c>
      <c r="G9" s="3" t="s">
        <v>795</v>
      </c>
      <c r="H9" s="3" t="s">
        <v>796</v>
      </c>
      <c r="I9" s="3" t="s">
        <v>797</v>
      </c>
      <c r="J9" s="3" t="s">
        <v>680</v>
      </c>
      <c r="K9" s="3" t="s">
        <v>798</v>
      </c>
      <c r="L9" s="2" t="s">
        <v>799</v>
      </c>
      <c r="M9" s="3" t="s">
        <v>800</v>
      </c>
    </row>
    <row r="10" spans="1:13" ht="24">
      <c r="A10" s="47" t="s">
        <v>753</v>
      </c>
      <c r="B10" s="47" t="s">
        <v>801</v>
      </c>
      <c r="C10" s="5" t="s">
        <v>802</v>
      </c>
      <c r="D10" s="6" t="s">
        <v>653</v>
      </c>
      <c r="E10" s="6" t="s">
        <v>680</v>
      </c>
      <c r="F10" s="6" t="s">
        <v>803</v>
      </c>
      <c r="G10" s="6" t="s">
        <v>804</v>
      </c>
      <c r="H10" s="6" t="s">
        <v>805</v>
      </c>
      <c r="I10" s="6" t="s">
        <v>806</v>
      </c>
      <c r="J10" s="6" t="s">
        <v>807</v>
      </c>
      <c r="K10" s="6" t="s">
        <v>21</v>
      </c>
      <c r="L10" s="5" t="s">
        <v>808</v>
      </c>
      <c r="M10" s="6" t="s">
        <v>809</v>
      </c>
    </row>
    <row r="11" spans="1:13">
      <c r="A11" s="46" t="s">
        <v>810</v>
      </c>
      <c r="B11" s="46" t="s">
        <v>811</v>
      </c>
      <c r="C11" s="2" t="s">
        <v>812</v>
      </c>
      <c r="D11" s="3" t="s">
        <v>813</v>
      </c>
      <c r="E11" s="3" t="s">
        <v>62</v>
      </c>
      <c r="F11" s="3" t="s">
        <v>814</v>
      </c>
      <c r="G11" s="3" t="s">
        <v>815</v>
      </c>
      <c r="H11" s="3" t="s">
        <v>816</v>
      </c>
      <c r="I11" s="3" t="s">
        <v>817</v>
      </c>
      <c r="J11" s="3" t="s">
        <v>818</v>
      </c>
      <c r="K11" s="3" t="s">
        <v>281</v>
      </c>
      <c r="L11" s="2" t="s">
        <v>819</v>
      </c>
      <c r="M11" s="3" t="s">
        <v>820</v>
      </c>
    </row>
    <row r="12" spans="1:13" ht="24">
      <c r="A12" s="47" t="s">
        <v>810</v>
      </c>
      <c r="B12" s="47" t="s">
        <v>821</v>
      </c>
      <c r="C12" s="5" t="s">
        <v>822</v>
      </c>
      <c r="D12" s="6" t="s">
        <v>813</v>
      </c>
      <c r="E12" s="6" t="s">
        <v>303</v>
      </c>
      <c r="F12" s="6" t="s">
        <v>823</v>
      </c>
      <c r="G12" s="6" t="s">
        <v>824</v>
      </c>
      <c r="H12" s="6" t="s">
        <v>825</v>
      </c>
      <c r="I12" s="6" t="s">
        <v>826</v>
      </c>
      <c r="J12" s="6" t="s">
        <v>827</v>
      </c>
      <c r="K12" s="6" t="s">
        <v>828</v>
      </c>
      <c r="L12" s="5" t="s">
        <v>829</v>
      </c>
      <c r="M12" s="6" t="s">
        <v>830</v>
      </c>
    </row>
    <row r="13" spans="1:13">
      <c r="A13" s="46" t="s">
        <v>810</v>
      </c>
      <c r="B13" s="46" t="s">
        <v>831</v>
      </c>
      <c r="C13" s="2" t="s">
        <v>832</v>
      </c>
      <c r="D13" s="3" t="s">
        <v>653</v>
      </c>
      <c r="E13" s="3" t="s">
        <v>364</v>
      </c>
      <c r="F13" s="3" t="s">
        <v>833</v>
      </c>
      <c r="G13" s="3" t="s">
        <v>834</v>
      </c>
      <c r="H13" s="3" t="s">
        <v>835</v>
      </c>
      <c r="I13" s="3" t="s">
        <v>836</v>
      </c>
      <c r="J13" s="3" t="s">
        <v>837</v>
      </c>
      <c r="K13" s="3" t="s">
        <v>838</v>
      </c>
      <c r="L13" s="2" t="s">
        <v>839</v>
      </c>
      <c r="M13" s="3" t="s">
        <v>840</v>
      </c>
    </row>
    <row r="14" spans="1:13">
      <c r="A14" s="47" t="s">
        <v>841</v>
      </c>
      <c r="B14" s="47" t="s">
        <v>842</v>
      </c>
      <c r="C14" s="5" t="s">
        <v>843</v>
      </c>
      <c r="D14" s="6" t="s">
        <v>813</v>
      </c>
      <c r="E14" s="6" t="s">
        <v>364</v>
      </c>
      <c r="F14" s="6" t="s">
        <v>844</v>
      </c>
      <c r="G14" s="6" t="s">
        <v>845</v>
      </c>
      <c r="H14" s="6" t="s">
        <v>846</v>
      </c>
      <c r="I14" s="6" t="s">
        <v>19</v>
      </c>
      <c r="J14" s="6" t="s">
        <v>19</v>
      </c>
      <c r="K14" s="6" t="s">
        <v>19</v>
      </c>
      <c r="L14" s="5" t="s">
        <v>847</v>
      </c>
      <c r="M14" s="6" t="s">
        <v>848</v>
      </c>
    </row>
    <row r="15" spans="1:13" ht="24">
      <c r="A15" s="46" t="s">
        <v>841</v>
      </c>
      <c r="B15" s="46" t="s">
        <v>849</v>
      </c>
      <c r="C15" s="2" t="s">
        <v>850</v>
      </c>
      <c r="D15" s="3" t="s">
        <v>813</v>
      </c>
      <c r="E15" s="3" t="s">
        <v>364</v>
      </c>
      <c r="F15" s="3" t="s">
        <v>844</v>
      </c>
      <c r="G15" s="3" t="s">
        <v>851</v>
      </c>
      <c r="H15" s="3" t="s">
        <v>852</v>
      </c>
      <c r="I15" s="3" t="s">
        <v>19</v>
      </c>
      <c r="J15" s="3" t="s">
        <v>853</v>
      </c>
      <c r="K15" s="3" t="s">
        <v>854</v>
      </c>
      <c r="L15" s="2" t="s">
        <v>855</v>
      </c>
      <c r="M15" s="3" t="s">
        <v>856</v>
      </c>
    </row>
    <row r="16" spans="1:13" ht="24">
      <c r="A16" s="47" t="s">
        <v>841</v>
      </c>
      <c r="B16" s="47" t="s">
        <v>857</v>
      </c>
      <c r="C16" s="5" t="s">
        <v>858</v>
      </c>
      <c r="D16" s="6" t="s">
        <v>653</v>
      </c>
      <c r="E16" s="6" t="s">
        <v>859</v>
      </c>
      <c r="F16" s="6" t="s">
        <v>860</v>
      </c>
      <c r="G16" s="6" t="s">
        <v>834</v>
      </c>
      <c r="H16" s="6" t="s">
        <v>861</v>
      </c>
      <c r="I16" s="6" t="s">
        <v>862</v>
      </c>
      <c r="J16" s="6" t="s">
        <v>445</v>
      </c>
      <c r="K16" s="6" t="s">
        <v>863</v>
      </c>
      <c r="L16" s="5" t="s">
        <v>864</v>
      </c>
      <c r="M16" s="6" t="s">
        <v>865</v>
      </c>
    </row>
    <row r="17" spans="1:13">
      <c r="A17" s="46" t="s">
        <v>841</v>
      </c>
      <c r="B17" s="46" t="s">
        <v>866</v>
      </c>
      <c r="C17" s="2" t="s">
        <v>867</v>
      </c>
      <c r="D17" s="3" t="s">
        <v>653</v>
      </c>
      <c r="E17" s="3" t="s">
        <v>756</v>
      </c>
      <c r="F17" s="3" t="s">
        <v>868</v>
      </c>
      <c r="G17" s="3" t="s">
        <v>869</v>
      </c>
      <c r="H17" s="3" t="s">
        <v>870</v>
      </c>
      <c r="I17" s="3" t="s">
        <v>836</v>
      </c>
      <c r="J17" s="3" t="s">
        <v>478</v>
      </c>
      <c r="K17" s="3" t="s">
        <v>871</v>
      </c>
      <c r="L17" s="2" t="s">
        <v>872</v>
      </c>
      <c r="M17" s="3" t="s">
        <v>873</v>
      </c>
    </row>
    <row r="18" spans="1:13" ht="24">
      <c r="A18" s="47" t="s">
        <v>874</v>
      </c>
      <c r="B18" s="47" t="s">
        <v>875</v>
      </c>
      <c r="C18" s="5" t="s">
        <v>876</v>
      </c>
      <c r="D18" s="6" t="s">
        <v>813</v>
      </c>
      <c r="E18" s="6" t="s">
        <v>490</v>
      </c>
      <c r="F18" s="6" t="s">
        <v>877</v>
      </c>
      <c r="G18" s="6" t="s">
        <v>878</v>
      </c>
      <c r="H18" s="6" t="s">
        <v>879</v>
      </c>
      <c r="I18" s="6" t="s">
        <v>880</v>
      </c>
      <c r="J18" s="6" t="s">
        <v>881</v>
      </c>
      <c r="K18" s="6" t="s">
        <v>882</v>
      </c>
      <c r="L18" s="5" t="s">
        <v>883</v>
      </c>
      <c r="M18" s="6" t="s">
        <v>884</v>
      </c>
    </row>
    <row r="19" spans="1:13" ht="24">
      <c r="A19" s="46" t="s">
        <v>874</v>
      </c>
      <c r="B19" s="46" t="s">
        <v>885</v>
      </c>
      <c r="C19" s="2" t="s">
        <v>886</v>
      </c>
      <c r="D19" s="3" t="s">
        <v>653</v>
      </c>
      <c r="E19" s="3" t="s">
        <v>881</v>
      </c>
      <c r="F19" s="3" t="s">
        <v>882</v>
      </c>
      <c r="G19" s="3" t="s">
        <v>804</v>
      </c>
      <c r="H19" s="3" t="s">
        <v>887</v>
      </c>
      <c r="I19" s="3" t="s">
        <v>888</v>
      </c>
      <c r="J19" s="3" t="s">
        <v>889</v>
      </c>
      <c r="K19" s="3" t="s">
        <v>21</v>
      </c>
      <c r="L19" s="2" t="s">
        <v>890</v>
      </c>
      <c r="M19" s="3" t="s">
        <v>891</v>
      </c>
    </row>
    <row r="20" spans="1:13">
      <c r="A20" s="47" t="s">
        <v>892</v>
      </c>
      <c r="B20" s="47" t="s">
        <v>893</v>
      </c>
      <c r="C20" s="5" t="s">
        <v>894</v>
      </c>
      <c r="D20" s="6" t="s">
        <v>653</v>
      </c>
      <c r="E20" s="6" t="s">
        <v>303</v>
      </c>
      <c r="F20" s="6" t="s">
        <v>895</v>
      </c>
      <c r="G20" s="6" t="s">
        <v>851</v>
      </c>
      <c r="H20" s="6" t="s">
        <v>896</v>
      </c>
      <c r="I20" s="6" t="s">
        <v>897</v>
      </c>
      <c r="J20" s="6" t="s">
        <v>588</v>
      </c>
      <c r="K20" s="6" t="s">
        <v>898</v>
      </c>
      <c r="L20" s="5" t="s">
        <v>899</v>
      </c>
      <c r="M20" s="6" t="s">
        <v>900</v>
      </c>
    </row>
    <row r="21" spans="1:13" ht="24">
      <c r="A21" s="46" t="s">
        <v>901</v>
      </c>
      <c r="B21" s="46" t="s">
        <v>902</v>
      </c>
      <c r="C21" s="2" t="s">
        <v>903</v>
      </c>
      <c r="D21" s="3" t="s">
        <v>653</v>
      </c>
      <c r="E21" s="3" t="s">
        <v>637</v>
      </c>
      <c r="F21" s="3" t="s">
        <v>904</v>
      </c>
      <c r="G21" s="3" t="s">
        <v>905</v>
      </c>
      <c r="H21" s="3" t="s">
        <v>906</v>
      </c>
      <c r="I21" s="3" t="s">
        <v>907</v>
      </c>
      <c r="J21" s="3" t="s">
        <v>637</v>
      </c>
      <c r="K21" s="3" t="s">
        <v>908</v>
      </c>
      <c r="L21" s="2" t="s">
        <v>909</v>
      </c>
      <c r="M21" s="3" t="s">
        <v>910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A5B2-04BE-4691-AC93-168A700A217A}">
  <dimension ref="A1"/>
  <sheetViews>
    <sheetView workbookViewId="0">
      <selection activeCell="J17" sqref="J17"/>
    </sheetView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Abhinav Singh</cp:lastModifiedBy>
  <cp:revision/>
  <dcterms:created xsi:type="dcterms:W3CDTF">2026-06-07T07:40:01Z</dcterms:created>
  <dcterms:modified xsi:type="dcterms:W3CDTF">2026-06-29T09:57:01Z</dcterms:modified>
  <cp:category/>
  <cp:contentStatus/>
</cp:coreProperties>
</file>