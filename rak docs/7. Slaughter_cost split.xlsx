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8_{80860538-8264-449F-900B-EF9D1156F52F}" xr6:coauthVersionLast="47" xr6:coauthVersionMax="47" xr10:uidLastSave="{00000000-0000-0000-0000-000000000000}"/>
  <bookViews>
    <workbookView xWindow="-110" yWindow="-110" windowWidth="19420" windowHeight="11500" xr2:uid="{A6C6357D-DE33-4CF9-8A67-553A60CD099B}"/>
  </bookViews>
  <sheets>
    <sheet name="7. Slaughter_cost spli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1" l="1"/>
  <c r="F55" i="1"/>
  <c r="C55" i="1"/>
  <c r="H54" i="1"/>
  <c r="C54" i="1"/>
  <c r="D54" i="1" s="1"/>
  <c r="C53" i="1"/>
  <c r="H53" i="1" s="1"/>
  <c r="C52" i="1"/>
  <c r="H52" i="1" s="1"/>
  <c r="C51" i="1"/>
  <c r="H51" i="1" s="1"/>
  <c r="D51" i="1" l="1"/>
  <c r="D52" i="1"/>
  <c r="D53" i="1"/>
  <c r="D55" i="1" l="1"/>
</calcChain>
</file>

<file path=xl/sharedStrings.xml><?xml version="1.0" encoding="utf-8"?>
<sst xmlns="http://schemas.openxmlformats.org/spreadsheetml/2006/main" count="305" uniqueCount="151">
  <si>
    <t>field</t>
  </si>
  <si>
    <t>data_type</t>
  </si>
  <si>
    <t>pk_fk</t>
  </si>
  <si>
    <t>mandatory</t>
  </si>
  <si>
    <t>description</t>
  </si>
  <si>
    <t>example</t>
  </si>
  <si>
    <t>split_config_id</t>
  </si>
  <si>
    <t>UUID</t>
  </si>
  <si>
    <t>PK</t>
  </si>
  <si>
    <t>YES</t>
  </si>
  <si>
    <t>Unique config</t>
  </si>
  <si>
    <t>uuid-scs-001</t>
  </si>
  <si>
    <t>tenant_id</t>
  </si>
  <si>
    <t>FK</t>
  </si>
  <si>
    <t>Tenant</t>
  </si>
  <si>
    <t>uuid-ten-01</t>
  </si>
  <si>
    <t>batch_id</t>
  </si>
  <si>
    <t>FK→batch_master</t>
  </si>
  <si>
    <t>Slaughter batch</t>
  </si>
  <si>
    <t>uuid-batch-sl-001</t>
  </si>
  <si>
    <t>lob_id</t>
  </si>
  <si>
    <t>Slaughter LOB</t>
  </si>
  <si>
    <t>uuid-lob-05</t>
  </si>
  <si>
    <t>split_method</t>
  </si>
  <si>
    <t>VARCHAR(20)</t>
  </si>
  <si>
    <t>IDX</t>
  </si>
  <si>
    <t>FIXED_PCT / BY_WEIGHT / MAIN_ALL / CUSTOM_FORMULA</t>
  </si>
  <si>
    <t>FIXED_PCT</t>
  </si>
  <si>
    <t>suggested_by_system</t>
  </si>
  <si>
    <t>BOOLEAN</t>
  </si>
  <si>
    <t>TRUE if % suggested from historical data</t>
  </si>
  <si>
    <t>TRUE</t>
  </si>
  <si>
    <t>System queries slaughter_cost_split_history</t>
  </si>
  <si>
    <t>user_confirmed</t>
  </si>
  <si>
    <t>User confirmed or modified the suggestion</t>
  </si>
  <si>
    <t>confirmed_by</t>
  </si>
  <si>
    <t>FK→users</t>
  </si>
  <si>
    <t>User who confirmed</t>
  </si>
  <si>
    <t>uuid-user-mgr</t>
  </si>
  <si>
    <t>confirmed_at</t>
  </si>
  <si>
    <t>TIMESTAMPTZ</t>
  </si>
  <si>
    <t>When confirmed</t>
  </si>
  <si>
    <t>2025-02-12 08:00</t>
  </si>
  <si>
    <t>custom_formula</t>
  </si>
  <si>
    <t>TEXT</t>
  </si>
  <si>
    <t>CONDITIONAL</t>
  </si>
  <si>
    <t>For CUSTOM_FORMULA method</t>
  </si>
  <si>
    <t>(actual_weight/total_weight)*100</t>
  </si>
  <si>
    <t>nrv_for_byproducts</t>
  </si>
  <si>
    <t>Use Net Realisable Value for by-products (MAIN_ALL method)?</t>
  </si>
  <si>
    <t>FALSE</t>
  </si>
  <si>
    <t>TRUE=by-products at NRV, diff to P&amp;L</t>
  </si>
  <si>
    <t>NO</t>
  </si>
  <si>
    <t>Based on last 6 batches average</t>
  </si>
  <si>
    <t>split_line_id</t>
  </si>
  <si>
    <t>Unique line</t>
  </si>
  <si>
    <t>uuid-sol-001</t>
  </si>
  <si>
    <t>FK→slaughter_cost_split_config</t>
  </si>
  <si>
    <t>Parent config</t>
  </si>
  <si>
    <t>output_item_id</t>
  </si>
  <si>
    <t>FK→item_master</t>
  </si>
  <si>
    <t>Output item</t>
  </si>
  <si>
    <t>uuid-item-carcass</t>
  </si>
  <si>
    <t>output_type</t>
  </si>
  <si>
    <t>PRIMARY/BY_PRODUCT/WASTE</t>
  </si>
  <si>
    <t>PRIMARY</t>
  </si>
  <si>
    <t>split_pct_suggested</t>
  </si>
  <si>
    <t>DECIMAL(6,2)</t>
  </si>
  <si>
    <t>System-suggested %</t>
  </si>
  <si>
    <t>72.50</t>
  </si>
  <si>
    <t>From history</t>
  </si>
  <si>
    <t>split_pct_confirmed</t>
  </si>
  <si>
    <t>User-confirmed % (sum must=100)</t>
  </si>
  <si>
    <t>75.00</t>
  </si>
  <si>
    <t>actual_output_weight</t>
  </si>
  <si>
    <t>DECIMAL(18,4)</t>
  </si>
  <si>
    <t>Actual weight of this output</t>
  </si>
  <si>
    <t>7,312.50</t>
  </si>
  <si>
    <t>KG</t>
  </si>
  <si>
    <t>weight_pct_of_total</t>
  </si>
  <si>
    <t>YES(calc)</t>
  </si>
  <si>
    <t>actual_weight/total_input_weight × 100</t>
  </si>
  <si>
    <t>For BY_WEIGHT method</t>
  </si>
  <si>
    <t>allocated_cost</t>
  </si>
  <si>
    <t>Total batch cost × split_pct_confirmed/100</t>
  </si>
  <si>
    <t>5,48,437.50</t>
  </si>
  <si>
    <t>unit_cost</t>
  </si>
  <si>
    <t>DECIMAL(18,6)</t>
  </si>
  <si>
    <t>allocated_cost / actual_output_weight</t>
  </si>
  <si>
    <t>75.003000</t>
  </si>
  <si>
    <t>₹/KG</t>
  </si>
  <si>
    <t>nrv_per_unit</t>
  </si>
  <si>
    <t>Net Realisable Value (for MAIN_ALL by-products)</t>
  </si>
  <si>
    <t>12.000000</t>
  </si>
  <si>
    <t>Offal market price</t>
  </si>
  <si>
    <t>history_id</t>
  </si>
  <si>
    <t>Unique</t>
  </si>
  <si>
    <t>uuid-sph-001</t>
  </si>
  <si>
    <t>Source slaughter batch</t>
  </si>
  <si>
    <t>actual_split_pct</t>
  </si>
  <si>
    <t>Confirmed split % used</t>
  </si>
  <si>
    <t>actual_weight_pct</t>
  </si>
  <si>
    <t>Actual weight % of total</t>
  </si>
  <si>
    <t>74.80</t>
  </si>
  <si>
    <t>slaughter_date</t>
  </si>
  <si>
    <t>DATE</t>
  </si>
  <si>
    <t>Date of slaughter</t>
  </si>
  <si>
    <t>2025-02-11</t>
  </si>
  <si>
    <t>breed_id</t>
  </si>
  <si>
    <t>FK→breed_master</t>
  </si>
  <si>
    <t>Bird breed</t>
  </si>
  <si>
    <t>uuid-breed-ross308</t>
  </si>
  <si>
    <t>Suggestion filtered by breed</t>
  </si>
  <si>
    <t>avg_live_weight</t>
  </si>
  <si>
    <t>DECIMAL(10,4)</t>
  </si>
  <si>
    <t>Avg live weight</t>
  </si>
  <si>
    <t>2.10</t>
  </si>
  <si>
    <t>Output Item</t>
  </si>
  <si>
    <t>Output Type</t>
  </si>
  <si>
    <t>Actual Weight (KG)</t>
  </si>
  <si>
    <t>Weight %</t>
  </si>
  <si>
    <t>Split Method</t>
  </si>
  <si>
    <t>Confirmed %</t>
  </si>
  <si>
    <t>Allocated Cost (₹)</t>
  </si>
  <si>
    <t>Unit Cost (₹/KG)</t>
  </si>
  <si>
    <t>GL Dr Account</t>
  </si>
  <si>
    <t>GL Cr Account</t>
  </si>
  <si>
    <t>Whole Carcass</t>
  </si>
  <si>
    <t>1110 Inv.Birds</t>
  </si>
  <si>
    <t>1190 WIP</t>
  </si>
  <si>
    <t>Offal (Heart/Liver/Gizzard)</t>
  </si>
  <si>
    <t>BY_PRODUCT</t>
  </si>
  <si>
    <t>11.00</t>
  </si>
  <si>
    <t>1100 Inv.Offal</t>
  </si>
  <si>
    <t>Feather (wet)</t>
  </si>
  <si>
    <t>12.00</t>
  </si>
  <si>
    <t>1100 Inv.Feather</t>
  </si>
  <si>
    <t>Waste / Blood</t>
  </si>
  <si>
    <t>WASTE</t>
  </si>
  <si>
    <t>2.00</t>
  </si>
  <si>
    <t>7130 Adj.Loss</t>
  </si>
  <si>
    <t>TOTAL</t>
  </si>
  <si>
    <t>SLAUGHTER: 1 bird/fish input -&gt; multiple output items (main product + by-products). Cost split method configured on slaughter batch header. System suggests % from historical data. User can override. Method A=Fixed%, B=By Weight, C=Main product gets all cost (by-products at zero or NRV).</t>
  </si>
  <si>
    <t>Slaughter Batch- Dynamic Cost Split  |  3 Methods: Fixed% / By Weight / Main-All  |  Historical AI Suggestion</t>
  </si>
  <si>
    <t xml:space="preserve">  TABLE: slaughter_output_cost_split- Per-Output Cost Split Lines</t>
  </si>
  <si>
    <t>comments</t>
  </si>
  <si>
    <t>comments on split decision</t>
  </si>
  <si>
    <t xml:space="preserve">  TABLE: slaughter_cost_split_config  -  Split Method Setup per Slaughter Batch</t>
  </si>
  <si>
    <t>-</t>
  </si>
  <si>
    <t xml:space="preserve">  TABLE: slaughter_cost_split_history  -  Historical % for AI Suggestion</t>
  </si>
  <si>
    <t xml:space="preserve">  WORKED EXAMPLE:-  Poultry Slaughter  |  9,750 birds × 2.1 kg avg = 20,475 kg input  |  Total Batch Cost ₹7,31,000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</si>
</sst>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i/>
      <sz val="9"/>
      <color rgb="FFFFFFFF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D35400"/>
      </patternFill>
    </fill>
    <fill>
      <patternFill patternType="solid">
        <fgColor rgb="FFFDEBD0"/>
      </patternFill>
    </fill>
    <fill>
      <patternFill patternType="solid">
        <fgColor rgb="FFFCF3CF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right" vertical="center"/>
    </xf>
    <xf numFmtId="4" fontId="2" fillId="8" borderId="1" xfId="0" applyNumberFormat="1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left" vertical="center" wrapText="1"/>
    </xf>
    <xf numFmtId="0" fontId="4" fillId="9" borderId="2" xfId="0" applyFont="1" applyFill="1" applyBorder="1"/>
    <xf numFmtId="0" fontId="4" fillId="9" borderId="3" xfId="0" applyFont="1" applyFill="1" applyBorder="1"/>
    <xf numFmtId="0" fontId="4" fillId="0" borderId="2" xfId="0" applyFont="1" applyFill="1" applyBorder="1" applyAlignment="1"/>
    <xf numFmtId="0" fontId="4" fillId="0" borderId="3" xfId="0" applyFont="1" applyFill="1" applyBorder="1" applyAlignment="1"/>
    <xf numFmtId="0" fontId="1" fillId="9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vertical="center"/>
    </xf>
    <xf numFmtId="0" fontId="4" fillId="10" borderId="2" xfId="0" applyFont="1" applyFill="1" applyBorder="1" applyAlignment="1"/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major"/>
      </font>
      <fill>
        <patternFill patternType="solid">
          <fgColor indexed="64"/>
          <bgColor rgb="FF1A527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5C459-DECE-44BB-98AB-0CFFE0C16E61}" name="Table1" displayName="Table1" ref="A4:G16" totalsRowShown="0" headerRowDxfId="24" dataDxfId="25" headerRowBorderDxfId="34" tableBorderDxfId="35" totalsRowBorderDxfId="33">
  <autoFilter ref="A4:G16" xr:uid="{BA45C459-DECE-44BB-98AB-0CFFE0C16E61}"/>
  <tableColumns count="7">
    <tableColumn id="1" xr3:uid="{A6C0E963-6363-4939-9FC0-795313480A92}" name="field" dataDxfId="32"/>
    <tableColumn id="2" xr3:uid="{8A36F711-FFD0-4743-8474-FA9F71D416D6}" name="data_type" dataDxfId="31"/>
    <tableColumn id="3" xr3:uid="{351005C2-30B9-4474-87CE-13880B4443E7}" name="pk_fk" dataDxfId="30"/>
    <tableColumn id="4" xr3:uid="{FAFFD181-6A5D-4DFA-BAC6-D4840E55C5AC}" name="mandatory" dataDxfId="29"/>
    <tableColumn id="5" xr3:uid="{D60D0F1E-D453-4AA7-BAF6-9F772C9A2C25}" name="description" dataDxfId="28"/>
    <tableColumn id="6" xr3:uid="{210454A6-4B3F-4965-BF02-989DB3691F10}" name="example" dataDxfId="27"/>
    <tableColumn id="7" xr3:uid="{D2212597-32F5-4D21-9698-9A0029C96BC6}" name="comments" dataDxfId="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736617-2FA6-4C30-B506-318EF10B8D1D}" name="Table2" displayName="Table2" ref="A20:G32" totalsRowShown="0" headerRowDxfId="12" dataDxfId="13" headerRowBorderDxfId="22" tableBorderDxfId="23" totalsRowBorderDxfId="21">
  <autoFilter ref="A20:G32" xr:uid="{89736617-2FA6-4C30-B506-318EF10B8D1D}"/>
  <tableColumns count="7">
    <tableColumn id="1" xr3:uid="{EF5DD153-8050-494A-B3A7-34970B9A5FEF}" name="field" dataDxfId="20"/>
    <tableColumn id="2" xr3:uid="{793722F9-4D66-410F-8B46-B3780C4A4F06}" name="data_type" dataDxfId="19"/>
    <tableColumn id="3" xr3:uid="{8E77692F-9569-4650-AAB7-9D5C59BD15F9}" name="pk_fk" dataDxfId="18"/>
    <tableColumn id="4" xr3:uid="{80863AA0-A9E1-4A13-BCCB-51578FA6452E}" name="mandatory" dataDxfId="17"/>
    <tableColumn id="5" xr3:uid="{323F7032-4431-421D-A4F5-93EB958F89AC}" name="description" dataDxfId="16"/>
    <tableColumn id="6" xr3:uid="{0959B0FA-715A-463C-B37F-F09B9914D7AB}" name="example" dataDxfId="15"/>
    <tableColumn id="7" xr3:uid="{D28B5A8F-C70F-4ED4-B913-3A480FCA8CD0}" name="comments" dataDxfId="1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4FE4F9-B58A-4DB9-AF7D-10FC6F2B3950}" name="Table3" displayName="Table3" ref="A36:G46" totalsRowShown="0" headerRowDxfId="0" dataDxfId="1" headerRowBorderDxfId="10" tableBorderDxfId="11" totalsRowBorderDxfId="9">
  <autoFilter ref="A36:G46" xr:uid="{104FE4F9-B58A-4DB9-AF7D-10FC6F2B3950}"/>
  <tableColumns count="7">
    <tableColumn id="1" xr3:uid="{2BA2384C-5A84-4333-8BC7-CB76D50F098D}" name="field" dataDxfId="8"/>
    <tableColumn id="2" xr3:uid="{8DFA460C-D899-494C-B0B3-12C00F9E2225}" name="data_type" dataDxfId="7"/>
    <tableColumn id="3" xr3:uid="{76EB442A-872E-4094-B354-915938867647}" name="pk_fk" dataDxfId="6"/>
    <tableColumn id="4" xr3:uid="{3BF2F748-3ADD-4356-BA09-3908E36E7FCB}" name="mandatory" dataDxfId="5"/>
    <tableColumn id="5" xr3:uid="{DCEA1A8F-0717-4118-8C8D-B92BD445DD2D}" name="description" dataDxfId="4"/>
    <tableColumn id="6" xr3:uid="{B6261AC3-AAA7-40FD-BCDE-6298E2873A89}" name="example" dataDxfId="3"/>
    <tableColumn id="7" xr3:uid="{56DC96DB-A25A-4D21-80BF-BA2188144906}" name="comments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F724-736A-4AFB-9E92-6DB95C3BD288}">
  <dimension ref="A1:J55"/>
  <sheetViews>
    <sheetView tabSelected="1" topLeftCell="A40" workbookViewId="0">
      <selection activeCell="C45" sqref="C45"/>
    </sheetView>
  </sheetViews>
  <sheetFormatPr defaultRowHeight="12" x14ac:dyDescent="0.3"/>
  <cols>
    <col min="1" max="1" width="18.1796875" style="7" bestFit="1" customWidth="1"/>
    <col min="2" max="2" width="10.6328125" style="7" bestFit="1" customWidth="1"/>
    <col min="3" max="3" width="17.90625" style="7" bestFit="1" customWidth="1"/>
    <col min="4" max="4" width="10.6328125" style="7" customWidth="1"/>
    <col min="5" max="5" width="22.7265625" style="7" bestFit="1" customWidth="1"/>
    <col min="6" max="6" width="12.26953125" style="7" bestFit="1" customWidth="1"/>
    <col min="7" max="7" width="19.36328125" style="7" bestFit="1" customWidth="1"/>
    <col min="8" max="8" width="12.7265625" style="7" bestFit="1" customWidth="1"/>
    <col min="9" max="9" width="11.7265625" style="7" bestFit="1" customWidth="1"/>
    <col min="10" max="10" width="11.26953125" style="7" bestFit="1" customWidth="1"/>
    <col min="11" max="16384" width="8.7265625" style="7"/>
  </cols>
  <sheetData>
    <row r="1" spans="1:10" x14ac:dyDescent="0.3">
      <c r="A1" s="13" t="s">
        <v>143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31.5" customHeight="1" x14ac:dyDescent="0.3">
      <c r="A2" s="8" t="s">
        <v>142</v>
      </c>
      <c r="B2" s="5"/>
      <c r="C2" s="5"/>
      <c r="D2" s="5"/>
      <c r="E2" s="5"/>
      <c r="F2" s="5"/>
      <c r="G2" s="5"/>
      <c r="H2" s="5"/>
      <c r="I2" s="5"/>
      <c r="J2" s="6"/>
    </row>
    <row r="3" spans="1:10" ht="22" customHeight="1" x14ac:dyDescent="0.3">
      <c r="A3" s="18" t="s">
        <v>147</v>
      </c>
      <c r="B3" s="19"/>
      <c r="C3" s="19"/>
      <c r="D3" s="19"/>
      <c r="E3" s="19"/>
      <c r="F3" s="19"/>
      <c r="G3" s="19"/>
      <c r="H3" s="16"/>
      <c r="I3" s="16"/>
      <c r="J3" s="17"/>
    </row>
    <row r="4" spans="1:10" x14ac:dyDescent="0.3">
      <c r="A4" s="23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5" t="s">
        <v>145</v>
      </c>
    </row>
    <row r="5" spans="1:10" ht="26" customHeight="1" x14ac:dyDescent="0.3">
      <c r="A5" s="21" t="s">
        <v>6</v>
      </c>
      <c r="B5" s="20" t="s">
        <v>7</v>
      </c>
      <c r="C5" s="20" t="s">
        <v>8</v>
      </c>
      <c r="D5" s="20" t="s">
        <v>9</v>
      </c>
      <c r="E5" s="20" t="s">
        <v>10</v>
      </c>
      <c r="F5" s="20" t="s">
        <v>11</v>
      </c>
      <c r="G5" s="22" t="s">
        <v>148</v>
      </c>
    </row>
    <row r="6" spans="1:10" ht="26" customHeight="1" x14ac:dyDescent="0.3">
      <c r="A6" s="21" t="s">
        <v>12</v>
      </c>
      <c r="B6" s="20" t="s">
        <v>7</v>
      </c>
      <c r="C6" s="20" t="s">
        <v>13</v>
      </c>
      <c r="D6" s="20" t="s">
        <v>9</v>
      </c>
      <c r="E6" s="20" t="s">
        <v>14</v>
      </c>
      <c r="F6" s="20" t="s">
        <v>15</v>
      </c>
      <c r="G6" s="22" t="s">
        <v>148</v>
      </c>
    </row>
    <row r="7" spans="1:10" ht="26" customHeight="1" x14ac:dyDescent="0.3">
      <c r="A7" s="21" t="s">
        <v>16</v>
      </c>
      <c r="B7" s="20" t="s">
        <v>7</v>
      </c>
      <c r="C7" s="20" t="s">
        <v>17</v>
      </c>
      <c r="D7" s="20" t="s">
        <v>9</v>
      </c>
      <c r="E7" s="20" t="s">
        <v>18</v>
      </c>
      <c r="F7" s="20" t="s">
        <v>19</v>
      </c>
      <c r="G7" s="22" t="s">
        <v>148</v>
      </c>
    </row>
    <row r="8" spans="1:10" ht="26" customHeight="1" x14ac:dyDescent="0.3">
      <c r="A8" s="21" t="s">
        <v>20</v>
      </c>
      <c r="B8" s="20" t="s">
        <v>7</v>
      </c>
      <c r="C8" s="20" t="s">
        <v>13</v>
      </c>
      <c r="D8" s="20" t="s">
        <v>9</v>
      </c>
      <c r="E8" s="20" t="s">
        <v>21</v>
      </c>
      <c r="F8" s="20" t="s">
        <v>22</v>
      </c>
      <c r="G8" s="22" t="s">
        <v>148</v>
      </c>
    </row>
    <row r="9" spans="1:10" ht="26" customHeight="1" x14ac:dyDescent="0.3">
      <c r="A9" s="21" t="s">
        <v>23</v>
      </c>
      <c r="B9" s="20" t="s">
        <v>24</v>
      </c>
      <c r="C9" s="20" t="s">
        <v>25</v>
      </c>
      <c r="D9" s="20" t="s">
        <v>9</v>
      </c>
      <c r="E9" s="20" t="s">
        <v>26</v>
      </c>
      <c r="F9" s="20" t="s">
        <v>27</v>
      </c>
      <c r="G9" s="22" t="s">
        <v>148</v>
      </c>
    </row>
    <row r="10" spans="1:10" ht="26" customHeight="1" x14ac:dyDescent="0.3">
      <c r="A10" s="21" t="s">
        <v>28</v>
      </c>
      <c r="B10" s="20" t="s">
        <v>29</v>
      </c>
      <c r="C10" s="20" t="s">
        <v>148</v>
      </c>
      <c r="D10" s="20" t="s">
        <v>9</v>
      </c>
      <c r="E10" s="20" t="s">
        <v>30</v>
      </c>
      <c r="F10" s="20" t="s">
        <v>31</v>
      </c>
      <c r="G10" s="22" t="s">
        <v>32</v>
      </c>
    </row>
    <row r="11" spans="1:10" ht="26" customHeight="1" x14ac:dyDescent="0.3">
      <c r="A11" s="21" t="s">
        <v>33</v>
      </c>
      <c r="B11" s="20" t="s">
        <v>29</v>
      </c>
      <c r="C11" s="20" t="s">
        <v>148</v>
      </c>
      <c r="D11" s="20" t="s">
        <v>9</v>
      </c>
      <c r="E11" s="20" t="s">
        <v>34</v>
      </c>
      <c r="F11" s="20" t="s">
        <v>31</v>
      </c>
      <c r="G11" s="22" t="s">
        <v>148</v>
      </c>
    </row>
    <row r="12" spans="1:10" ht="26" customHeight="1" x14ac:dyDescent="0.3">
      <c r="A12" s="21" t="s">
        <v>35</v>
      </c>
      <c r="B12" s="20" t="s">
        <v>7</v>
      </c>
      <c r="C12" s="20" t="s">
        <v>36</v>
      </c>
      <c r="D12" s="20" t="s">
        <v>9</v>
      </c>
      <c r="E12" s="20" t="s">
        <v>37</v>
      </c>
      <c r="F12" s="20" t="s">
        <v>38</v>
      </c>
      <c r="G12" s="22" t="s">
        <v>148</v>
      </c>
    </row>
    <row r="13" spans="1:10" ht="26" customHeight="1" x14ac:dyDescent="0.3">
      <c r="A13" s="21" t="s">
        <v>39</v>
      </c>
      <c r="B13" s="20" t="s">
        <v>40</v>
      </c>
      <c r="C13" s="20" t="s">
        <v>148</v>
      </c>
      <c r="D13" s="20" t="s">
        <v>9</v>
      </c>
      <c r="E13" s="20" t="s">
        <v>41</v>
      </c>
      <c r="F13" s="20" t="s">
        <v>42</v>
      </c>
      <c r="G13" s="22" t="s">
        <v>148</v>
      </c>
    </row>
    <row r="14" spans="1:10" ht="26" customHeight="1" x14ac:dyDescent="0.3">
      <c r="A14" s="21" t="s">
        <v>43</v>
      </c>
      <c r="B14" s="20" t="s">
        <v>44</v>
      </c>
      <c r="C14" s="20" t="s">
        <v>148</v>
      </c>
      <c r="D14" s="20" t="s">
        <v>45</v>
      </c>
      <c r="E14" s="20" t="s">
        <v>46</v>
      </c>
      <c r="F14" s="20" t="s">
        <v>47</v>
      </c>
      <c r="G14" s="22" t="s">
        <v>148</v>
      </c>
    </row>
    <row r="15" spans="1:10" ht="26" customHeight="1" x14ac:dyDescent="0.3">
      <c r="A15" s="21" t="s">
        <v>48</v>
      </c>
      <c r="B15" s="20" t="s">
        <v>29</v>
      </c>
      <c r="C15" s="20" t="s">
        <v>148</v>
      </c>
      <c r="D15" s="20" t="s">
        <v>9</v>
      </c>
      <c r="E15" s="20" t="s">
        <v>49</v>
      </c>
      <c r="F15" s="20" t="s">
        <v>50</v>
      </c>
      <c r="G15" s="22" t="s">
        <v>51</v>
      </c>
    </row>
    <row r="16" spans="1:10" ht="26" customHeight="1" x14ac:dyDescent="0.3">
      <c r="A16" s="26" t="s">
        <v>145</v>
      </c>
      <c r="B16" s="27" t="s">
        <v>44</v>
      </c>
      <c r="C16" s="27" t="s">
        <v>148</v>
      </c>
      <c r="D16" s="27" t="s">
        <v>52</v>
      </c>
      <c r="E16" s="27" t="s">
        <v>146</v>
      </c>
      <c r="F16" s="27" t="s">
        <v>53</v>
      </c>
      <c r="G16" s="28" t="s">
        <v>148</v>
      </c>
    </row>
    <row r="19" spans="1:10" ht="22" customHeight="1" x14ac:dyDescent="0.3">
      <c r="A19" s="31" t="s">
        <v>144</v>
      </c>
      <c r="B19" s="32"/>
      <c r="C19" s="32"/>
      <c r="D19" s="32"/>
      <c r="E19" s="32"/>
      <c r="F19" s="32"/>
      <c r="G19" s="32"/>
      <c r="H19" s="29"/>
      <c r="I19" s="29"/>
      <c r="J19" s="30"/>
    </row>
    <row r="20" spans="1:10" x14ac:dyDescent="0.3">
      <c r="A20" s="37" t="s">
        <v>0</v>
      </c>
      <c r="B20" s="38" t="s">
        <v>1</v>
      </c>
      <c r="C20" s="38" t="s">
        <v>2</v>
      </c>
      <c r="D20" s="38" t="s">
        <v>3</v>
      </c>
      <c r="E20" s="38" t="s">
        <v>4</v>
      </c>
      <c r="F20" s="38" t="s">
        <v>5</v>
      </c>
      <c r="G20" s="39" t="s">
        <v>145</v>
      </c>
    </row>
    <row r="21" spans="1:10" ht="26" customHeight="1" x14ac:dyDescent="0.3">
      <c r="A21" s="33" t="s">
        <v>54</v>
      </c>
      <c r="B21" s="1" t="s">
        <v>7</v>
      </c>
      <c r="C21" s="1" t="s">
        <v>8</v>
      </c>
      <c r="D21" s="1" t="s">
        <v>9</v>
      </c>
      <c r="E21" s="1" t="s">
        <v>55</v>
      </c>
      <c r="F21" s="1" t="s">
        <v>56</v>
      </c>
      <c r="G21" s="35" t="s">
        <v>148</v>
      </c>
    </row>
    <row r="22" spans="1:10" ht="26" customHeight="1" x14ac:dyDescent="0.3">
      <c r="A22" s="34" t="s">
        <v>6</v>
      </c>
      <c r="B22" s="2" t="s">
        <v>7</v>
      </c>
      <c r="C22" s="2" t="s">
        <v>57</v>
      </c>
      <c r="D22" s="2" t="s">
        <v>9</v>
      </c>
      <c r="E22" s="2" t="s">
        <v>58</v>
      </c>
      <c r="F22" s="2" t="s">
        <v>11</v>
      </c>
      <c r="G22" s="36" t="s">
        <v>148</v>
      </c>
    </row>
    <row r="23" spans="1:10" ht="26" customHeight="1" x14ac:dyDescent="0.3">
      <c r="A23" s="33" t="s">
        <v>16</v>
      </c>
      <c r="B23" s="1" t="s">
        <v>7</v>
      </c>
      <c r="C23" s="1" t="s">
        <v>17</v>
      </c>
      <c r="D23" s="1" t="s">
        <v>9</v>
      </c>
      <c r="E23" s="1" t="s">
        <v>18</v>
      </c>
      <c r="F23" s="1" t="s">
        <v>19</v>
      </c>
      <c r="G23" s="35" t="s">
        <v>148</v>
      </c>
    </row>
    <row r="24" spans="1:10" ht="26" customHeight="1" x14ac:dyDescent="0.3">
      <c r="A24" s="34" t="s">
        <v>59</v>
      </c>
      <c r="B24" s="2" t="s">
        <v>7</v>
      </c>
      <c r="C24" s="2" t="s">
        <v>60</v>
      </c>
      <c r="D24" s="2" t="s">
        <v>9</v>
      </c>
      <c r="E24" s="2" t="s">
        <v>61</v>
      </c>
      <c r="F24" s="2" t="s">
        <v>62</v>
      </c>
      <c r="G24" s="36" t="s">
        <v>148</v>
      </c>
    </row>
    <row r="25" spans="1:10" ht="26" customHeight="1" x14ac:dyDescent="0.3">
      <c r="A25" s="33" t="s">
        <v>63</v>
      </c>
      <c r="B25" s="1" t="s">
        <v>24</v>
      </c>
      <c r="C25" s="1" t="s">
        <v>25</v>
      </c>
      <c r="D25" s="1" t="s">
        <v>9</v>
      </c>
      <c r="E25" s="1" t="s">
        <v>64</v>
      </c>
      <c r="F25" s="1" t="s">
        <v>65</v>
      </c>
      <c r="G25" s="35" t="s">
        <v>148</v>
      </c>
    </row>
    <row r="26" spans="1:10" ht="26" customHeight="1" x14ac:dyDescent="0.3">
      <c r="A26" s="34" t="s">
        <v>66</v>
      </c>
      <c r="B26" s="2" t="s">
        <v>67</v>
      </c>
      <c r="C26" s="2" t="s">
        <v>148</v>
      </c>
      <c r="D26" s="2" t="s">
        <v>52</v>
      </c>
      <c r="E26" s="2" t="s">
        <v>68</v>
      </c>
      <c r="F26" s="2" t="s">
        <v>69</v>
      </c>
      <c r="G26" s="36" t="s">
        <v>70</v>
      </c>
    </row>
    <row r="27" spans="1:10" ht="26" customHeight="1" x14ac:dyDescent="0.3">
      <c r="A27" s="33" t="s">
        <v>71</v>
      </c>
      <c r="B27" s="1" t="s">
        <v>67</v>
      </c>
      <c r="C27" s="1" t="s">
        <v>148</v>
      </c>
      <c r="D27" s="1" t="s">
        <v>9</v>
      </c>
      <c r="E27" s="1" t="s">
        <v>72</v>
      </c>
      <c r="F27" s="1" t="s">
        <v>73</v>
      </c>
      <c r="G27" s="35" t="s">
        <v>148</v>
      </c>
    </row>
    <row r="28" spans="1:10" ht="26" customHeight="1" x14ac:dyDescent="0.3">
      <c r="A28" s="34" t="s">
        <v>74</v>
      </c>
      <c r="B28" s="2" t="s">
        <v>75</v>
      </c>
      <c r="C28" s="2" t="s">
        <v>148</v>
      </c>
      <c r="D28" s="2" t="s">
        <v>9</v>
      </c>
      <c r="E28" s="2" t="s">
        <v>76</v>
      </c>
      <c r="F28" s="2" t="s">
        <v>77</v>
      </c>
      <c r="G28" s="36" t="s">
        <v>78</v>
      </c>
    </row>
    <row r="29" spans="1:10" ht="26" customHeight="1" x14ac:dyDescent="0.3">
      <c r="A29" s="33" t="s">
        <v>79</v>
      </c>
      <c r="B29" s="1" t="s">
        <v>67</v>
      </c>
      <c r="C29" s="1" t="s">
        <v>148</v>
      </c>
      <c r="D29" s="1" t="s">
        <v>80</v>
      </c>
      <c r="E29" s="1" t="s">
        <v>81</v>
      </c>
      <c r="F29" s="1" t="s">
        <v>73</v>
      </c>
      <c r="G29" s="35" t="s">
        <v>82</v>
      </c>
    </row>
    <row r="30" spans="1:10" ht="26" customHeight="1" x14ac:dyDescent="0.3">
      <c r="A30" s="34" t="s">
        <v>83</v>
      </c>
      <c r="B30" s="2" t="s">
        <v>75</v>
      </c>
      <c r="C30" s="2" t="s">
        <v>148</v>
      </c>
      <c r="D30" s="2" t="s">
        <v>80</v>
      </c>
      <c r="E30" s="2" t="s">
        <v>84</v>
      </c>
      <c r="F30" s="2" t="s">
        <v>85</v>
      </c>
      <c r="G30" s="36" t="s">
        <v>148</v>
      </c>
    </row>
    <row r="31" spans="1:10" ht="26" customHeight="1" x14ac:dyDescent="0.3">
      <c r="A31" s="33" t="s">
        <v>86</v>
      </c>
      <c r="B31" s="1" t="s">
        <v>87</v>
      </c>
      <c r="C31" s="1" t="s">
        <v>148</v>
      </c>
      <c r="D31" s="1" t="s">
        <v>80</v>
      </c>
      <c r="E31" s="1" t="s">
        <v>88</v>
      </c>
      <c r="F31" s="1" t="s">
        <v>89</v>
      </c>
      <c r="G31" s="35" t="s">
        <v>90</v>
      </c>
    </row>
    <row r="32" spans="1:10" ht="26" customHeight="1" x14ac:dyDescent="0.3">
      <c r="A32" s="40" t="s">
        <v>91</v>
      </c>
      <c r="B32" s="41" t="s">
        <v>87</v>
      </c>
      <c r="C32" s="41" t="s">
        <v>148</v>
      </c>
      <c r="D32" s="41" t="s">
        <v>45</v>
      </c>
      <c r="E32" s="41" t="s">
        <v>92</v>
      </c>
      <c r="F32" s="41" t="s">
        <v>93</v>
      </c>
      <c r="G32" s="42" t="s">
        <v>94</v>
      </c>
    </row>
    <row r="35" spans="1:10" ht="22" customHeight="1" x14ac:dyDescent="0.3">
      <c r="A35" s="43" t="s">
        <v>149</v>
      </c>
      <c r="B35" s="44"/>
      <c r="C35" s="44"/>
      <c r="D35" s="44"/>
      <c r="E35" s="44"/>
      <c r="F35" s="44"/>
      <c r="G35" s="44"/>
      <c r="H35" s="29"/>
      <c r="I35" s="29"/>
      <c r="J35" s="30"/>
    </row>
    <row r="36" spans="1:10" x14ac:dyDescent="0.3">
      <c r="A36" s="23" t="s">
        <v>0</v>
      </c>
      <c r="B36" s="24" t="s">
        <v>1</v>
      </c>
      <c r="C36" s="24" t="s">
        <v>2</v>
      </c>
      <c r="D36" s="24" t="s">
        <v>3</v>
      </c>
      <c r="E36" s="24" t="s">
        <v>4</v>
      </c>
      <c r="F36" s="24" t="s">
        <v>5</v>
      </c>
      <c r="G36" s="25" t="s">
        <v>145</v>
      </c>
    </row>
    <row r="37" spans="1:10" ht="26" customHeight="1" x14ac:dyDescent="0.3">
      <c r="A37" s="21" t="s">
        <v>95</v>
      </c>
      <c r="B37" s="20" t="s">
        <v>7</v>
      </c>
      <c r="C37" s="20" t="s">
        <v>8</v>
      </c>
      <c r="D37" s="20" t="s">
        <v>9</v>
      </c>
      <c r="E37" s="20" t="s">
        <v>96</v>
      </c>
      <c r="F37" s="20" t="s">
        <v>97</v>
      </c>
      <c r="G37" s="22" t="s">
        <v>148</v>
      </c>
    </row>
    <row r="38" spans="1:10" ht="26" customHeight="1" x14ac:dyDescent="0.3">
      <c r="A38" s="21" t="s">
        <v>12</v>
      </c>
      <c r="B38" s="20" t="s">
        <v>7</v>
      </c>
      <c r="C38" s="20" t="s">
        <v>13</v>
      </c>
      <c r="D38" s="20" t="s">
        <v>9</v>
      </c>
      <c r="E38" s="20" t="s">
        <v>14</v>
      </c>
      <c r="F38" s="20" t="s">
        <v>15</v>
      </c>
      <c r="G38" s="22" t="s">
        <v>148</v>
      </c>
    </row>
    <row r="39" spans="1:10" ht="26" customHeight="1" x14ac:dyDescent="0.3">
      <c r="A39" s="21" t="s">
        <v>20</v>
      </c>
      <c r="B39" s="20" t="s">
        <v>7</v>
      </c>
      <c r="C39" s="20" t="s">
        <v>13</v>
      </c>
      <c r="D39" s="20" t="s">
        <v>9</v>
      </c>
      <c r="E39" s="20" t="s">
        <v>21</v>
      </c>
      <c r="F39" s="20" t="s">
        <v>22</v>
      </c>
      <c r="G39" s="22" t="s">
        <v>148</v>
      </c>
    </row>
    <row r="40" spans="1:10" ht="26" customHeight="1" x14ac:dyDescent="0.3">
      <c r="A40" s="21" t="s">
        <v>59</v>
      </c>
      <c r="B40" s="20" t="s">
        <v>7</v>
      </c>
      <c r="C40" s="20" t="s">
        <v>60</v>
      </c>
      <c r="D40" s="20" t="s">
        <v>9</v>
      </c>
      <c r="E40" s="20" t="s">
        <v>61</v>
      </c>
      <c r="F40" s="20" t="s">
        <v>62</v>
      </c>
      <c r="G40" s="22" t="s">
        <v>148</v>
      </c>
    </row>
    <row r="41" spans="1:10" ht="26" customHeight="1" x14ac:dyDescent="0.3">
      <c r="A41" s="21" t="s">
        <v>16</v>
      </c>
      <c r="B41" s="20" t="s">
        <v>7</v>
      </c>
      <c r="C41" s="20" t="s">
        <v>17</v>
      </c>
      <c r="D41" s="20" t="s">
        <v>9</v>
      </c>
      <c r="E41" s="20" t="s">
        <v>98</v>
      </c>
      <c r="F41" s="20" t="s">
        <v>19</v>
      </c>
      <c r="G41" s="22" t="s">
        <v>148</v>
      </c>
    </row>
    <row r="42" spans="1:10" ht="26" customHeight="1" x14ac:dyDescent="0.3">
      <c r="A42" s="21" t="s">
        <v>99</v>
      </c>
      <c r="B42" s="20" t="s">
        <v>67</v>
      </c>
      <c r="C42" s="20" t="s">
        <v>148</v>
      </c>
      <c r="D42" s="20" t="s">
        <v>9</v>
      </c>
      <c r="E42" s="20" t="s">
        <v>100</v>
      </c>
      <c r="F42" s="20" t="s">
        <v>73</v>
      </c>
      <c r="G42" s="22" t="s">
        <v>148</v>
      </c>
    </row>
    <row r="43" spans="1:10" ht="26" customHeight="1" x14ac:dyDescent="0.3">
      <c r="A43" s="21" t="s">
        <v>101</v>
      </c>
      <c r="B43" s="20" t="s">
        <v>67</v>
      </c>
      <c r="C43" s="20" t="s">
        <v>148</v>
      </c>
      <c r="D43" s="20" t="s">
        <v>9</v>
      </c>
      <c r="E43" s="20" t="s">
        <v>102</v>
      </c>
      <c r="F43" s="20" t="s">
        <v>103</v>
      </c>
      <c r="G43" s="22" t="s">
        <v>148</v>
      </c>
    </row>
    <row r="44" spans="1:10" ht="26" customHeight="1" x14ac:dyDescent="0.3">
      <c r="A44" s="21" t="s">
        <v>104</v>
      </c>
      <c r="B44" s="20" t="s">
        <v>105</v>
      </c>
      <c r="C44" s="20" t="s">
        <v>25</v>
      </c>
      <c r="D44" s="20" t="s">
        <v>9</v>
      </c>
      <c r="E44" s="20" t="s">
        <v>106</v>
      </c>
      <c r="F44" s="20" t="s">
        <v>107</v>
      </c>
      <c r="G44" s="22" t="s">
        <v>148</v>
      </c>
    </row>
    <row r="45" spans="1:10" ht="26" customHeight="1" x14ac:dyDescent="0.3">
      <c r="A45" s="21" t="s">
        <v>108</v>
      </c>
      <c r="B45" s="20" t="s">
        <v>7</v>
      </c>
      <c r="C45" s="20" t="s">
        <v>109</v>
      </c>
      <c r="D45" s="20" t="s">
        <v>52</v>
      </c>
      <c r="E45" s="20" t="s">
        <v>110</v>
      </c>
      <c r="F45" s="20" t="s">
        <v>111</v>
      </c>
      <c r="G45" s="22" t="s">
        <v>112</v>
      </c>
    </row>
    <row r="46" spans="1:10" ht="26" customHeight="1" x14ac:dyDescent="0.3">
      <c r="A46" s="26" t="s">
        <v>113</v>
      </c>
      <c r="B46" s="27" t="s">
        <v>114</v>
      </c>
      <c r="C46" s="27" t="s">
        <v>148</v>
      </c>
      <c r="D46" s="27" t="s">
        <v>52</v>
      </c>
      <c r="E46" s="27" t="s">
        <v>115</v>
      </c>
      <c r="F46" s="27" t="s">
        <v>116</v>
      </c>
      <c r="G46" s="28" t="s">
        <v>78</v>
      </c>
    </row>
    <row r="49" spans="1:10" ht="22" customHeight="1" x14ac:dyDescent="0.3">
      <c r="A49" s="9" t="s">
        <v>150</v>
      </c>
      <c r="B49" s="5"/>
      <c r="C49" s="5"/>
      <c r="D49" s="5"/>
      <c r="E49" s="5"/>
      <c r="F49" s="5"/>
      <c r="G49" s="5"/>
      <c r="H49" s="5"/>
      <c r="I49" s="5"/>
      <c r="J49" s="6"/>
    </row>
    <row r="50" spans="1:10" x14ac:dyDescent="0.3">
      <c r="A50" s="10" t="s">
        <v>117</v>
      </c>
      <c r="B50" s="10" t="s">
        <v>118</v>
      </c>
      <c r="C50" s="10" t="s">
        <v>119</v>
      </c>
      <c r="D50" s="10" t="s">
        <v>120</v>
      </c>
      <c r="E50" s="10" t="s">
        <v>121</v>
      </c>
      <c r="F50" s="10" t="s">
        <v>122</v>
      </c>
      <c r="G50" s="10" t="s">
        <v>123</v>
      </c>
      <c r="H50" s="10" t="s">
        <v>124</v>
      </c>
      <c r="I50" s="10" t="s">
        <v>125</v>
      </c>
      <c r="J50" s="10" t="s">
        <v>126</v>
      </c>
    </row>
    <row r="51" spans="1:10" x14ac:dyDescent="0.3">
      <c r="A51" s="3" t="s">
        <v>127</v>
      </c>
      <c r="B51" s="3" t="s">
        <v>65</v>
      </c>
      <c r="C51" s="11">
        <f>15356.25</f>
        <v>15356.25</v>
      </c>
      <c r="D51" s="11">
        <f>C51/20475*100</f>
        <v>75</v>
      </c>
      <c r="E51" s="3" t="s">
        <v>27</v>
      </c>
      <c r="F51" s="3" t="s">
        <v>73</v>
      </c>
      <c r="G51" s="11"/>
      <c r="H51" s="11">
        <f>G51/C51</f>
        <v>0</v>
      </c>
      <c r="I51" s="3" t="s">
        <v>128</v>
      </c>
      <c r="J51" s="3" t="s">
        <v>129</v>
      </c>
    </row>
    <row r="52" spans="1:10" x14ac:dyDescent="0.3">
      <c r="A52" s="3" t="s">
        <v>130</v>
      </c>
      <c r="B52" s="3" t="s">
        <v>131</v>
      </c>
      <c r="C52" s="11">
        <f>2252.25</f>
        <v>2252.25</v>
      </c>
      <c r="D52" s="11">
        <f>C52/20475*100</f>
        <v>11</v>
      </c>
      <c r="E52" s="3" t="s">
        <v>27</v>
      </c>
      <c r="F52" s="3" t="s">
        <v>132</v>
      </c>
      <c r="G52" s="11"/>
      <c r="H52" s="11">
        <f>G52/C52</f>
        <v>0</v>
      </c>
      <c r="I52" s="3" t="s">
        <v>133</v>
      </c>
      <c r="J52" s="3" t="s">
        <v>129</v>
      </c>
    </row>
    <row r="53" spans="1:10" x14ac:dyDescent="0.3">
      <c r="A53" s="3" t="s">
        <v>134</v>
      </c>
      <c r="B53" s="3" t="s">
        <v>131</v>
      </c>
      <c r="C53" s="11">
        <f>2457</f>
        <v>2457</v>
      </c>
      <c r="D53" s="11">
        <f>C53/20475*100</f>
        <v>12</v>
      </c>
      <c r="E53" s="3" t="s">
        <v>27</v>
      </c>
      <c r="F53" s="3" t="s">
        <v>135</v>
      </c>
      <c r="G53" s="11"/>
      <c r="H53" s="11">
        <f>G53/C53</f>
        <v>0</v>
      </c>
      <c r="I53" s="3" t="s">
        <v>136</v>
      </c>
      <c r="J53" s="3" t="s">
        <v>129</v>
      </c>
    </row>
    <row r="54" spans="1:10" x14ac:dyDescent="0.3">
      <c r="A54" s="3" t="s">
        <v>137</v>
      </c>
      <c r="B54" s="3" t="s">
        <v>138</v>
      </c>
      <c r="C54" s="11">
        <f>409.5</f>
        <v>409.5</v>
      </c>
      <c r="D54" s="11">
        <f>C54/20475*100</f>
        <v>2</v>
      </c>
      <c r="E54" s="3" t="s">
        <v>27</v>
      </c>
      <c r="F54" s="3" t="s">
        <v>139</v>
      </c>
      <c r="G54" s="11"/>
      <c r="H54" s="11">
        <f>G54/C54</f>
        <v>0</v>
      </c>
      <c r="I54" s="3" t="s">
        <v>140</v>
      </c>
      <c r="J54" s="3" t="s">
        <v>129</v>
      </c>
    </row>
    <row r="55" spans="1:10" x14ac:dyDescent="0.3">
      <c r="A55" s="4" t="s">
        <v>141</v>
      </c>
      <c r="B55" s="4" t="s">
        <v>148</v>
      </c>
      <c r="C55" s="12">
        <f>SUM(C51:C54)</f>
        <v>20475</v>
      </c>
      <c r="D55" s="12">
        <f>SUM(D51:D54)</f>
        <v>100</v>
      </c>
      <c r="E55" s="4" t="s">
        <v>148</v>
      </c>
      <c r="F55" s="12">
        <f>SUM(F51:F54)</f>
        <v>0</v>
      </c>
      <c r="G55" s="12">
        <f>SUM(G51:G54)</f>
        <v>0</v>
      </c>
      <c r="H55" s="4" t="s">
        <v>148</v>
      </c>
      <c r="I55" s="4" t="s">
        <v>148</v>
      </c>
      <c r="J55" s="4" t="s">
        <v>148</v>
      </c>
    </row>
  </sheetData>
  <mergeCells count="5">
    <mergeCell ref="A1:J1"/>
    <mergeCell ref="A2:J2"/>
    <mergeCell ref="A49:J49"/>
    <mergeCell ref="A3:G3"/>
    <mergeCell ref="A19:G19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 Slaughter_cost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Singh</dc:creator>
  <cp:lastModifiedBy>Abhinav Singh</cp:lastModifiedBy>
  <dcterms:created xsi:type="dcterms:W3CDTF">2026-06-07T07:31:03Z</dcterms:created>
  <dcterms:modified xsi:type="dcterms:W3CDTF">2026-06-07T07:39:59Z</dcterms:modified>
</cp:coreProperties>
</file>