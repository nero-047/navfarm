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\Current Implementation Projects\REVAMP - NAVFARM\"/>
    </mc:Choice>
  </mc:AlternateContent>
  <bookViews>
    <workbookView xWindow="-108" yWindow="-108" windowWidth="19416" windowHeight="11496"/>
  </bookViews>
  <sheets>
    <sheet name="3_GL_COA_Item_mapping" sheetId="1" r:id="rId1"/>
    <sheet name="Transaction type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5" i="2" s="1"/>
  <c r="I6" i="2" l="1"/>
  <c r="I7" i="2" s="1"/>
  <c r="I8" i="2" s="1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</calcChain>
</file>

<file path=xl/sharedStrings.xml><?xml version="1.0" encoding="utf-8"?>
<sst xmlns="http://schemas.openxmlformats.org/spreadsheetml/2006/main" count="415" uniqueCount="247">
  <si>
    <t>account_code</t>
  </si>
  <si>
    <t>account_name</t>
  </si>
  <si>
    <t>account_type</t>
  </si>
  <si>
    <t>category</t>
  </si>
  <si>
    <t>normal_balance</t>
  </si>
  <si>
    <t>lob_scope</t>
  </si>
  <si>
    <t>erp_code</t>
  </si>
  <si>
    <t>description</t>
  </si>
  <si>
    <t>used_for</t>
  </si>
  <si>
    <t>1100</t>
  </si>
  <si>
    <t>ASSET</t>
  </si>
  <si>
    <t>CURRENT_ASSET</t>
  </si>
  <si>
    <t>DEBIT</t>
  </si>
  <si>
    <t>All</t>
  </si>
  <si>
    <t>110001</t>
  </si>
  <si>
    <t>All feed,medicine,consumables in store</t>
  </si>
  <si>
    <t>GRN IN; Consumption OUT</t>
  </si>
  <si>
    <t>1110</t>
  </si>
  <si>
    <t>Poultry</t>
  </si>
  <si>
    <t>110002</t>
  </si>
  <si>
    <t>Live poultry output stock</t>
  </si>
  <si>
    <t>PROD_OUTPUT for birds</t>
  </si>
  <si>
    <t>1120</t>
  </si>
  <si>
    <t>Laying</t>
  </si>
  <si>
    <t>110003</t>
  </si>
  <si>
    <t>Egg inventory</t>
  </si>
  <si>
    <t>PROD_EGG entries</t>
  </si>
  <si>
    <t>1130</t>
  </si>
  <si>
    <t>Piggery</t>
  </si>
  <si>
    <t>110004</t>
  </si>
  <si>
    <t>AI semen doses</t>
  </si>
  <si>
    <t>PROD_SEMEN</t>
  </si>
  <si>
    <t>1140</t>
  </si>
  <si>
    <t>Aqua</t>
  </si>
  <si>
    <t>110005</t>
  </si>
  <si>
    <t>Harvested fish, fillet</t>
  </si>
  <si>
    <t>BIO_HARVEST</t>
  </si>
  <si>
    <t>1150</t>
  </si>
  <si>
    <t>Feed</t>
  </si>
  <si>
    <t>110006</t>
  </si>
  <si>
    <t>Compound feed bags</t>
  </si>
  <si>
    <t>PROD_OUTPUT Feed</t>
  </si>
  <si>
    <t>1155</t>
  </si>
  <si>
    <t>Agri</t>
  </si>
  <si>
    <t>110007</t>
  </si>
  <si>
    <t>Seed inventory</t>
  </si>
  <si>
    <t>Seed processing output</t>
  </si>
  <si>
    <t>1160</t>
  </si>
  <si>
    <t>Insect</t>
  </si>
  <si>
    <t>110008</t>
  </si>
  <si>
    <t>Honey, beeswax</t>
  </si>
  <si>
    <t>PROD_HONEY</t>
  </si>
  <si>
    <t>1170</t>
  </si>
  <si>
    <t>Livestock</t>
  </si>
  <si>
    <t>110009</t>
  </si>
  <si>
    <t>Raw milk</t>
  </si>
  <si>
    <t>PROD_MILK</t>
  </si>
  <si>
    <t>1180</t>
  </si>
  <si>
    <t>110010</t>
  </si>
  <si>
    <t>Harvested fruit, crop</t>
  </si>
  <si>
    <t>BIO_HARVEST/PROD_OUTPUT</t>
  </si>
  <si>
    <t>1190</t>
  </si>
  <si>
    <t>110020</t>
  </si>
  <si>
    <t>Active batch cost accumulation</t>
  </si>
  <si>
    <t>ALL batch inputs; clears on CLOSE</t>
  </si>
  <si>
    <t>1200</t>
  </si>
  <si>
    <t>FIXED_ASSET</t>
  </si>
  <si>
    <t>120001</t>
  </si>
  <si>
    <t>Parent breeder NCA</t>
  </si>
  <si>
    <t>Breeder flock NCA</t>
  </si>
  <si>
    <t>1210</t>
  </si>
  <si>
    <t>120002</t>
  </si>
  <si>
    <t>Sow NCA from import</t>
  </si>
  <si>
    <t>Gilt/sow NCA</t>
  </si>
  <si>
    <t>1211</t>
  </si>
  <si>
    <t>CONTRA_ASSET</t>
  </si>
  <si>
    <t>CREDIT</t>
  </si>
  <si>
    <t>120003</t>
  </si>
  <si>
    <t>Contra to 1210</t>
  </si>
  <si>
    <t>Monthly amort Cr</t>
  </si>
  <si>
    <t>1220</t>
  </si>
  <si>
    <t>120004</t>
  </si>
  <si>
    <t>Cow/buffalo NCA</t>
  </si>
  <si>
    <t>IAS 41</t>
  </si>
  <si>
    <t>1221</t>
  </si>
  <si>
    <t>120005</t>
  </si>
  <si>
    <t>Contra to 1220</t>
  </si>
  <si>
    <t>–</t>
  </si>
  <si>
    <t>1230</t>
  </si>
  <si>
    <t>120006</t>
  </si>
  <si>
    <t>Fish pond NCA</t>
  </si>
  <si>
    <t>Fingerling NCA</t>
  </si>
  <si>
    <t>1240</t>
  </si>
  <si>
    <t>Agri-Fruit</t>
  </si>
  <si>
    <t>120007</t>
  </si>
  <si>
    <t>Fruit tree NCA</t>
  </si>
  <si>
    <t>IAS 16/IAS 41</t>
  </si>
  <si>
    <t>1241</t>
  </si>
  <si>
    <t>120008</t>
  </si>
  <si>
    <t>Contra to 1240</t>
  </si>
  <si>
    <t>After maturity</t>
  </si>
  <si>
    <t>1250</t>
  </si>
  <si>
    <t>120009</t>
  </si>
  <si>
    <t>Hive/colony NCA</t>
  </si>
  <si>
    <t>2100</t>
  </si>
  <si>
    <t>Accounts Payable</t>
  </si>
  <si>
    <t>LIABILITY</t>
  </si>
  <si>
    <t>CURRENT_LIABILITY</t>
  </si>
  <si>
    <t>210001</t>
  </si>
  <si>
    <t>Supplier invoices</t>
  </si>
  <si>
    <t>GRN Cr</t>
  </si>
  <si>
    <t>4100</t>
  </si>
  <si>
    <t>INCOME</t>
  </si>
  <si>
    <t>REVENUE</t>
  </si>
  <si>
    <t>410001</t>
  </si>
  <si>
    <t>Live bird/egg sales</t>
  </si>
  <si>
    <t>4110</t>
  </si>
  <si>
    <t>410002</t>
  </si>
  <si>
    <t>Milk/meat sales</t>
  </si>
  <si>
    <t>4120</t>
  </si>
  <si>
    <t>410003</t>
  </si>
  <si>
    <t>Crop/fruit/seed sales</t>
  </si>
  <si>
    <t>4130</t>
  </si>
  <si>
    <t>410004</t>
  </si>
  <si>
    <t>Fish/fillet sales</t>
  </si>
  <si>
    <t>4140</t>
  </si>
  <si>
    <t>All Bio</t>
  </si>
  <si>
    <t>410010</t>
  </si>
  <si>
    <t>Unrealised gain on bio asset</t>
  </si>
  <si>
    <t>Fair value model only</t>
  </si>
  <si>
    <t>5100</t>
  </si>
  <si>
    <t>EXPENSE</t>
  </si>
  <si>
    <t>COGS</t>
  </si>
  <si>
    <t>510001</t>
  </si>
  <si>
    <t>Standard material cost in output</t>
  </si>
  <si>
    <t>Batch close</t>
  </si>
  <si>
    <t>6100</t>
  </si>
  <si>
    <t>Price Variance</t>
  </si>
  <si>
    <t>VARIANCE</t>
  </si>
  <si>
    <t>Std LOBs</t>
  </si>
  <si>
    <t>610001</t>
  </si>
  <si>
    <t>Actual vs std price × actual qty</t>
  </si>
  <si>
    <t>Auto batch close</t>
  </si>
  <si>
    <t>6120</t>
  </si>
  <si>
    <t>Usage Variance</t>
  </si>
  <si>
    <t>610002</t>
  </si>
  <si>
    <t>Actual vs std qty × std rate</t>
  </si>
  <si>
    <t>6140</t>
  </si>
  <si>
    <t>Output Variance</t>
  </si>
  <si>
    <t>610003</t>
  </si>
  <si>
    <t>Std output vs actual × std cost</t>
  </si>
  <si>
    <t>6150</t>
  </si>
  <si>
    <t>Overhead Variance</t>
  </si>
  <si>
    <t>610004</t>
  </si>
  <si>
    <t>Actual vs std overhead</t>
  </si>
  <si>
    <t>7100</t>
  </si>
  <si>
    <t>Amortisation Expense</t>
  </si>
  <si>
    <t>AMORTISATION</t>
  </si>
  <si>
    <t>Bio LOBs</t>
  </si>
  <si>
    <t>710001</t>
  </si>
  <si>
    <t>Monthly bio asset amort</t>
  </si>
  <si>
    <t>Dr this, Cr Accum Amort</t>
  </si>
  <si>
    <t>7110</t>
  </si>
  <si>
    <t>710002</t>
  </si>
  <si>
    <t>Unrealised loss on bio asset</t>
  </si>
  <si>
    <t>Fair value model</t>
  </si>
  <si>
    <t>7120</t>
  </si>
  <si>
    <t>Mortality Loss</t>
  </si>
  <si>
    <t>OVERHEAD</t>
  </si>
  <si>
    <t>710003</t>
  </si>
  <si>
    <t>Animal/fish deaths</t>
  </si>
  <si>
    <t>MORTALITY entries</t>
  </si>
  <si>
    <t>7130</t>
  </si>
  <si>
    <t>Stock Adjustment Loss</t>
  </si>
  <si>
    <t>710004</t>
  </si>
  <si>
    <t>Physical count short</t>
  </si>
  <si>
    <t>ADJUSTMENT_OUT</t>
  </si>
  <si>
    <t xml:space="preserve">  TABLE: gl_account_master- COA</t>
  </si>
  <si>
    <t>Inventory- Feed &amp; Consumables</t>
  </si>
  <si>
    <t>Inventory- Live Birds</t>
  </si>
  <si>
    <t>Inventory- Eggs</t>
  </si>
  <si>
    <t>Inventory- Semen</t>
  </si>
  <si>
    <t>Inventory- Fish/Aqua</t>
  </si>
  <si>
    <t>Inventory- Finished Feed</t>
  </si>
  <si>
    <t>Inventory- Seeds</t>
  </si>
  <si>
    <t>Inventory- Honey/Wax</t>
  </si>
  <si>
    <t>Inventory- Milk</t>
  </si>
  <si>
    <t>Inventory- Fruit/Crop</t>
  </si>
  <si>
    <t>Work In Progress (Batch WIP)</t>
  </si>
  <si>
    <t>Biological Asset- Poultry Parent Flock</t>
  </si>
  <si>
    <t>Biological Asset- Sow/Gilt</t>
  </si>
  <si>
    <t>Accumulated Amort- Sow</t>
  </si>
  <si>
    <t>Biological Asset- Cattle</t>
  </si>
  <si>
    <t>Accumulated Amort- Cattle</t>
  </si>
  <si>
    <t>Biological Asset- Fish</t>
  </si>
  <si>
    <t>Biological Asset- Bearer Plant (Tree)</t>
  </si>
  <si>
    <t>Accumulated Amort- Bearer Plant</t>
  </si>
  <si>
    <t>Biological Asset- Bee Colony</t>
  </si>
  <si>
    <t>Sales Revenue- Poultry</t>
  </si>
  <si>
    <t>Sales Revenue- Livestock</t>
  </si>
  <si>
    <t>Sales Revenue- Agri</t>
  </si>
  <si>
    <t>Sales Revenue- Aqua</t>
  </si>
  <si>
    <t>Fair Value Gain- Bio Asset</t>
  </si>
  <si>
    <t>COGS- Material</t>
  </si>
  <si>
    <t>Fair Value Loss- Bio Asset</t>
  </si>
  <si>
    <t>G/L Chart of Accounts + Item GL Mapping- items linked with GL</t>
  </si>
  <si>
    <t>NOB</t>
  </si>
  <si>
    <t>LOB</t>
  </si>
  <si>
    <t>PERIOD</t>
  </si>
  <si>
    <t xml:space="preserve">From </t>
  </si>
  <si>
    <t>to</t>
  </si>
  <si>
    <t>Live Stock</t>
  </si>
  <si>
    <t>Debit -net change</t>
  </si>
  <si>
    <t>Credit net change</t>
  </si>
  <si>
    <t>Opening</t>
  </si>
  <si>
    <t>Closing</t>
  </si>
  <si>
    <t>net change</t>
  </si>
  <si>
    <t>output</t>
  </si>
  <si>
    <t>poulty</t>
  </si>
  <si>
    <t>breeding</t>
  </si>
  <si>
    <t>item cat</t>
  </si>
  <si>
    <t>feed-gower</t>
  </si>
  <si>
    <t>Der</t>
  </si>
  <si>
    <t>Cr</t>
  </si>
  <si>
    <t>Purchase</t>
  </si>
  <si>
    <t>Item Journal-Line</t>
  </si>
  <si>
    <t>Item Ledger</t>
  </si>
  <si>
    <t>Gl Ledger</t>
  </si>
  <si>
    <t>Y</t>
  </si>
  <si>
    <t>Consumption</t>
  </si>
  <si>
    <t>Output</t>
  </si>
  <si>
    <t>Positive</t>
  </si>
  <si>
    <t>Entry Type - Inventory Ledger</t>
  </si>
  <si>
    <t>Negative</t>
  </si>
  <si>
    <t>Sales</t>
  </si>
  <si>
    <t>Descriptive</t>
  </si>
  <si>
    <t>Overhead</t>
  </si>
  <si>
    <t>N</t>
  </si>
  <si>
    <t>Variance-Positive</t>
  </si>
  <si>
    <t>Variance-Negative</t>
  </si>
  <si>
    <t>Transaction Type</t>
  </si>
  <si>
    <t>INVentory_Adj</t>
  </si>
  <si>
    <t>Sales Return</t>
  </si>
  <si>
    <t>Purchase Return</t>
  </si>
  <si>
    <t>Transfer_in</t>
  </si>
  <si>
    <t>Transfer_OUT</t>
  </si>
  <si>
    <t>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</si>
</sst>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name val="Calibri Light"/>
      <family val="2"/>
    </font>
    <font>
      <b/>
      <sz val="9"/>
      <color rgb="FFFFFFFF"/>
      <name val="Calibri Light"/>
      <family val="2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</font>
    <font>
      <b/>
      <sz val="9"/>
      <color rgb="FFFFFFFF"/>
      <name val="Calibri Light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5" fillId="4" borderId="2" xfId="0" applyFont="1" applyFill="1" applyBorder="1"/>
    <xf numFmtId="0" fontId="5" fillId="4" borderId="3" xfId="0" applyFont="1" applyFill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4:N39" totalsRowShown="0" headerRowDxfId="18" dataDxfId="16" headerRowBorderDxfId="17" tableBorderDxfId="15" totalsRowBorderDxfId="14">
  <autoFilter ref="A4:N39"/>
  <tableColumns count="14">
    <tableColumn id="1" name="account_code" dataDxfId="13"/>
    <tableColumn id="2" name="account_name" dataDxfId="12"/>
    <tableColumn id="3" name="account_type" dataDxfId="11"/>
    <tableColumn id="4" name="category" dataDxfId="10"/>
    <tableColumn id="5" name="normal_balance" dataDxfId="9"/>
    <tableColumn id="6" name="lob_scope" dataDxfId="8"/>
    <tableColumn id="7" name="erp_code" dataDxfId="7"/>
    <tableColumn id="8" name="description" dataDxfId="6"/>
    <tableColumn id="9" name="used_for" dataDxfId="5"/>
    <tableColumn id="10" name="Debit -net change" dataDxfId="4"/>
    <tableColumn id="11" name="Credit net change" dataDxfId="3"/>
    <tableColumn id="12" name="net change" dataDxfId="2"/>
    <tableColumn id="13" name="Opening" dataDxfId="1"/>
    <tableColumn id="14" name="Closing" dataDxfId="0">
      <calculatedColumnFormula>Table1[[#This Row],[net change]]+Table1[[#This Row],[Opening]]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abSelected="1" topLeftCell="A11" zoomScale="85" zoomScaleNormal="85" workbookViewId="0">
      <selection activeCell="E29" sqref="E29"/>
    </sheetView>
  </sheetViews>
  <sheetFormatPr defaultColWidth="8.77734375" defaultRowHeight="12" x14ac:dyDescent="0.25"/>
  <cols>
    <col min="1" max="2" width="20" style="3" customWidth="1"/>
    <col min="3" max="4" width="16" style="3" customWidth="1"/>
    <col min="5" max="5" width="16.44140625" style="3" customWidth="1"/>
    <col min="6" max="7" width="18" style="3" customWidth="1"/>
    <col min="8" max="8" width="20" style="3" customWidth="1"/>
    <col min="9" max="9" width="18" style="3" customWidth="1"/>
    <col min="10" max="16384" width="8.77734375" style="3"/>
  </cols>
  <sheetData>
    <row r="1" spans="1:22" ht="37.950000000000003" customHeight="1" x14ac:dyDescent="0.25">
      <c r="A1" s="20" t="s">
        <v>205</v>
      </c>
      <c r="B1" s="21"/>
      <c r="C1" s="21"/>
      <c r="D1" s="21"/>
      <c r="E1" s="21"/>
      <c r="F1" s="21"/>
      <c r="G1" s="21"/>
      <c r="H1" s="21"/>
      <c r="I1" s="21"/>
    </row>
    <row r="2" spans="1:22" x14ac:dyDescent="0.25">
      <c r="J2" s="3" t="s">
        <v>206</v>
      </c>
      <c r="K2" s="3" t="s">
        <v>207</v>
      </c>
      <c r="L2" s="3" t="s">
        <v>208</v>
      </c>
      <c r="M2" s="3" t="s">
        <v>209</v>
      </c>
      <c r="N2" s="3" t="s">
        <v>210</v>
      </c>
    </row>
    <row r="3" spans="1:22" ht="22.05" customHeight="1" x14ac:dyDescent="0.25">
      <c r="A3" s="22" t="s">
        <v>177</v>
      </c>
      <c r="B3" s="23"/>
      <c r="C3" s="23"/>
      <c r="D3" s="23"/>
      <c r="E3" s="23"/>
      <c r="F3" s="23"/>
      <c r="G3" s="23"/>
      <c r="H3" s="23"/>
      <c r="I3" s="24"/>
      <c r="J3" s="3" t="s">
        <v>211</v>
      </c>
      <c r="M3" s="3">
        <v>1</v>
      </c>
    </row>
    <row r="4" spans="1:22" ht="24" x14ac:dyDescent="0.25">
      <c r="A4" s="8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10" t="s">
        <v>8</v>
      </c>
      <c r="J4" s="17" t="s">
        <v>212</v>
      </c>
      <c r="K4" s="17" t="s">
        <v>213</v>
      </c>
      <c r="L4" s="17" t="s">
        <v>216</v>
      </c>
      <c r="M4" s="17" t="s">
        <v>214</v>
      </c>
      <c r="N4" s="17" t="s">
        <v>215</v>
      </c>
    </row>
    <row r="5" spans="1:22" ht="25.95" customHeight="1" x14ac:dyDescent="0.25">
      <c r="A5" s="4" t="s">
        <v>9</v>
      </c>
      <c r="B5" s="1" t="s">
        <v>178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6" t="s">
        <v>16</v>
      </c>
      <c r="J5" s="15"/>
      <c r="K5" s="15"/>
      <c r="L5" s="15"/>
      <c r="M5" s="15"/>
      <c r="N5" s="15">
        <f>Table1[[#This Row],[net change]]+Table1[[#This Row],[Opening]]</f>
        <v>0</v>
      </c>
    </row>
    <row r="6" spans="1:22" ht="25.95" customHeight="1" x14ac:dyDescent="0.25">
      <c r="A6" s="5" t="s">
        <v>17</v>
      </c>
      <c r="B6" s="2" t="s">
        <v>179</v>
      </c>
      <c r="C6" s="2" t="s">
        <v>10</v>
      </c>
      <c r="D6" s="2" t="s">
        <v>11</v>
      </c>
      <c r="E6" s="2" t="s">
        <v>12</v>
      </c>
      <c r="F6" s="2" t="s">
        <v>18</v>
      </c>
      <c r="G6" s="2" t="s">
        <v>19</v>
      </c>
      <c r="H6" s="2" t="s">
        <v>20</v>
      </c>
      <c r="I6" s="7" t="s">
        <v>21</v>
      </c>
      <c r="J6" s="14"/>
      <c r="K6" s="14"/>
      <c r="L6" s="14"/>
      <c r="M6" s="14"/>
      <c r="N6" s="14">
        <f>Table1[[#This Row],[net change]]+Table1[[#This Row],[Opening]]</f>
        <v>0</v>
      </c>
      <c r="Q6" s="3" t="s">
        <v>217</v>
      </c>
      <c r="R6" s="3" t="s">
        <v>218</v>
      </c>
      <c r="S6" s="3" t="s">
        <v>219</v>
      </c>
      <c r="T6" s="3" t="s">
        <v>220</v>
      </c>
      <c r="U6" s="3" t="s">
        <v>222</v>
      </c>
      <c r="V6" s="3" t="s">
        <v>223</v>
      </c>
    </row>
    <row r="7" spans="1:22" ht="25.95" customHeight="1" x14ac:dyDescent="0.25">
      <c r="A7" s="4" t="s">
        <v>22</v>
      </c>
      <c r="B7" s="1" t="s">
        <v>180</v>
      </c>
      <c r="C7" s="1" t="s">
        <v>10</v>
      </c>
      <c r="D7" s="1" t="s">
        <v>11</v>
      </c>
      <c r="E7" s="1" t="s">
        <v>12</v>
      </c>
      <c r="F7" s="1" t="s">
        <v>23</v>
      </c>
      <c r="G7" s="1" t="s">
        <v>24</v>
      </c>
      <c r="H7" s="1" t="s">
        <v>25</v>
      </c>
      <c r="I7" s="6" t="s">
        <v>26</v>
      </c>
      <c r="J7" s="14"/>
      <c r="K7" s="14"/>
      <c r="L7" s="14"/>
      <c r="M7" s="14"/>
      <c r="N7" s="14">
        <f>Table1[[#This Row],[net change]]+Table1[[#This Row],[Opening]]</f>
        <v>0</v>
      </c>
      <c r="T7" s="3" t="s">
        <v>221</v>
      </c>
    </row>
    <row r="8" spans="1:22" ht="25.95" customHeight="1" x14ac:dyDescent="0.25">
      <c r="A8" s="5" t="s">
        <v>27</v>
      </c>
      <c r="B8" s="2" t="s">
        <v>181</v>
      </c>
      <c r="C8" s="2" t="s">
        <v>10</v>
      </c>
      <c r="D8" s="2" t="s">
        <v>11</v>
      </c>
      <c r="E8" s="2" t="s">
        <v>12</v>
      </c>
      <c r="F8" s="2" t="s">
        <v>28</v>
      </c>
      <c r="G8" s="2" t="s">
        <v>29</v>
      </c>
      <c r="H8" s="2" t="s">
        <v>30</v>
      </c>
      <c r="I8" s="7" t="s">
        <v>31</v>
      </c>
      <c r="J8" s="14"/>
      <c r="K8" s="14"/>
      <c r="L8" s="14"/>
      <c r="M8" s="14"/>
      <c r="N8" s="14">
        <f>Table1[[#This Row],[net change]]+Table1[[#This Row],[Opening]]</f>
        <v>0</v>
      </c>
    </row>
    <row r="9" spans="1:22" ht="25.95" customHeight="1" x14ac:dyDescent="0.25">
      <c r="A9" s="4" t="s">
        <v>32</v>
      </c>
      <c r="B9" s="1" t="s">
        <v>182</v>
      </c>
      <c r="C9" s="1" t="s">
        <v>10</v>
      </c>
      <c r="D9" s="1" t="s">
        <v>11</v>
      </c>
      <c r="E9" s="1" t="s">
        <v>12</v>
      </c>
      <c r="F9" s="1" t="s">
        <v>33</v>
      </c>
      <c r="G9" s="1" t="s">
        <v>34</v>
      </c>
      <c r="H9" s="1" t="s">
        <v>35</v>
      </c>
      <c r="I9" s="6" t="s">
        <v>36</v>
      </c>
      <c r="J9" s="14"/>
      <c r="K9" s="14"/>
      <c r="L9" s="14"/>
      <c r="M9" s="14"/>
      <c r="N9" s="14">
        <f>Table1[[#This Row],[net change]]+Table1[[#This Row],[Opening]]</f>
        <v>0</v>
      </c>
    </row>
    <row r="10" spans="1:22" ht="25.95" customHeight="1" x14ac:dyDescent="0.25">
      <c r="A10" s="5" t="s">
        <v>37</v>
      </c>
      <c r="B10" s="2" t="s">
        <v>183</v>
      </c>
      <c r="C10" s="2" t="s">
        <v>10</v>
      </c>
      <c r="D10" s="2" t="s">
        <v>11</v>
      </c>
      <c r="E10" s="2" t="s">
        <v>12</v>
      </c>
      <c r="F10" s="2" t="s">
        <v>38</v>
      </c>
      <c r="G10" s="2" t="s">
        <v>39</v>
      </c>
      <c r="H10" s="2" t="s">
        <v>40</v>
      </c>
      <c r="I10" s="7" t="s">
        <v>41</v>
      </c>
      <c r="J10" s="14"/>
      <c r="K10" s="14"/>
      <c r="L10" s="14"/>
      <c r="M10" s="14"/>
      <c r="N10" s="14">
        <f>Table1[[#This Row],[net change]]+Table1[[#This Row],[Opening]]</f>
        <v>0</v>
      </c>
    </row>
    <row r="11" spans="1:22" ht="25.95" customHeight="1" x14ac:dyDescent="0.25">
      <c r="A11" s="4" t="s">
        <v>42</v>
      </c>
      <c r="B11" s="1" t="s">
        <v>184</v>
      </c>
      <c r="C11" s="1" t="s">
        <v>10</v>
      </c>
      <c r="D11" s="1" t="s">
        <v>11</v>
      </c>
      <c r="E11" s="1" t="s">
        <v>12</v>
      </c>
      <c r="F11" s="1" t="s">
        <v>43</v>
      </c>
      <c r="G11" s="1" t="s">
        <v>44</v>
      </c>
      <c r="H11" s="1" t="s">
        <v>45</v>
      </c>
      <c r="I11" s="6" t="s">
        <v>46</v>
      </c>
      <c r="J11" s="14"/>
      <c r="K11" s="14"/>
      <c r="L11" s="14"/>
      <c r="M11" s="14"/>
      <c r="N11" s="14">
        <f>Table1[[#This Row],[net change]]+Table1[[#This Row],[Opening]]</f>
        <v>0</v>
      </c>
    </row>
    <row r="12" spans="1:22" ht="25.95" customHeight="1" x14ac:dyDescent="0.25">
      <c r="A12" s="5" t="s">
        <v>47</v>
      </c>
      <c r="B12" s="2" t="s">
        <v>185</v>
      </c>
      <c r="C12" s="2" t="s">
        <v>10</v>
      </c>
      <c r="D12" s="2" t="s">
        <v>11</v>
      </c>
      <c r="E12" s="2" t="s">
        <v>12</v>
      </c>
      <c r="F12" s="2" t="s">
        <v>48</v>
      </c>
      <c r="G12" s="2" t="s">
        <v>49</v>
      </c>
      <c r="H12" s="2" t="s">
        <v>50</v>
      </c>
      <c r="I12" s="7" t="s">
        <v>51</v>
      </c>
      <c r="J12" s="14"/>
      <c r="K12" s="14"/>
      <c r="L12" s="14"/>
      <c r="M12" s="14"/>
      <c r="N12" s="14">
        <f>Table1[[#This Row],[net change]]+Table1[[#This Row],[Opening]]</f>
        <v>0</v>
      </c>
    </row>
    <row r="13" spans="1:22" ht="25.95" customHeight="1" x14ac:dyDescent="0.25">
      <c r="A13" s="4" t="s">
        <v>52</v>
      </c>
      <c r="B13" s="1" t="s">
        <v>186</v>
      </c>
      <c r="C13" s="1" t="s">
        <v>10</v>
      </c>
      <c r="D13" s="1" t="s">
        <v>11</v>
      </c>
      <c r="E13" s="1" t="s">
        <v>12</v>
      </c>
      <c r="F13" s="1" t="s">
        <v>53</v>
      </c>
      <c r="G13" s="1" t="s">
        <v>54</v>
      </c>
      <c r="H13" s="1" t="s">
        <v>55</v>
      </c>
      <c r="I13" s="6" t="s">
        <v>56</v>
      </c>
      <c r="J13" s="14"/>
      <c r="K13" s="14"/>
      <c r="L13" s="14"/>
      <c r="M13" s="14"/>
      <c r="N13" s="14">
        <f>Table1[[#This Row],[net change]]+Table1[[#This Row],[Opening]]</f>
        <v>0</v>
      </c>
    </row>
    <row r="14" spans="1:22" ht="25.95" customHeight="1" x14ac:dyDescent="0.25">
      <c r="A14" s="5" t="s">
        <v>57</v>
      </c>
      <c r="B14" s="2" t="s">
        <v>187</v>
      </c>
      <c r="C14" s="2" t="s">
        <v>10</v>
      </c>
      <c r="D14" s="2" t="s">
        <v>11</v>
      </c>
      <c r="E14" s="2" t="s">
        <v>12</v>
      </c>
      <c r="F14" s="2" t="s">
        <v>43</v>
      </c>
      <c r="G14" s="2" t="s">
        <v>58</v>
      </c>
      <c r="H14" s="2" t="s">
        <v>59</v>
      </c>
      <c r="I14" s="7" t="s">
        <v>60</v>
      </c>
      <c r="J14" s="14"/>
      <c r="K14" s="14"/>
      <c r="L14" s="14"/>
      <c r="M14" s="14"/>
      <c r="N14" s="14">
        <f>Table1[[#This Row],[net change]]+Table1[[#This Row],[Opening]]</f>
        <v>0</v>
      </c>
    </row>
    <row r="15" spans="1:22" ht="25.95" customHeight="1" x14ac:dyDescent="0.25">
      <c r="A15" s="4" t="s">
        <v>61</v>
      </c>
      <c r="B15" s="1" t="s">
        <v>188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62</v>
      </c>
      <c r="H15" s="1" t="s">
        <v>63</v>
      </c>
      <c r="I15" s="6" t="s">
        <v>64</v>
      </c>
      <c r="J15" s="14"/>
      <c r="K15" s="14"/>
      <c r="L15" s="14"/>
      <c r="M15" s="14"/>
      <c r="N15" s="14">
        <f>Table1[[#This Row],[net change]]+Table1[[#This Row],[Opening]]</f>
        <v>0</v>
      </c>
    </row>
    <row r="16" spans="1:22" ht="25.95" customHeight="1" x14ac:dyDescent="0.25">
      <c r="A16" s="5" t="s">
        <v>65</v>
      </c>
      <c r="B16" s="2" t="s">
        <v>189</v>
      </c>
      <c r="C16" s="2" t="s">
        <v>10</v>
      </c>
      <c r="D16" s="2" t="s">
        <v>66</v>
      </c>
      <c r="E16" s="2" t="s">
        <v>12</v>
      </c>
      <c r="F16" s="2" t="s">
        <v>18</v>
      </c>
      <c r="G16" s="2" t="s">
        <v>67</v>
      </c>
      <c r="H16" s="2" t="s">
        <v>68</v>
      </c>
      <c r="I16" s="7" t="s">
        <v>69</v>
      </c>
      <c r="J16" s="14"/>
      <c r="K16" s="14"/>
      <c r="L16" s="14"/>
      <c r="M16" s="14"/>
      <c r="N16" s="14">
        <f>Table1[[#This Row],[net change]]+Table1[[#This Row],[Opening]]</f>
        <v>0</v>
      </c>
    </row>
    <row r="17" spans="1:14" ht="25.95" customHeight="1" x14ac:dyDescent="0.25">
      <c r="A17" s="4" t="s">
        <v>70</v>
      </c>
      <c r="B17" s="1" t="s">
        <v>190</v>
      </c>
      <c r="C17" s="1" t="s">
        <v>10</v>
      </c>
      <c r="D17" s="1" t="s">
        <v>66</v>
      </c>
      <c r="E17" s="1" t="s">
        <v>12</v>
      </c>
      <c r="F17" s="1" t="s">
        <v>28</v>
      </c>
      <c r="G17" s="1" t="s">
        <v>71</v>
      </c>
      <c r="H17" s="1" t="s">
        <v>72</v>
      </c>
      <c r="I17" s="6" t="s">
        <v>73</v>
      </c>
      <c r="J17" s="14"/>
      <c r="K17" s="14"/>
      <c r="L17" s="14"/>
      <c r="M17" s="14"/>
      <c r="N17" s="14">
        <f>Table1[[#This Row],[net change]]+Table1[[#This Row],[Opening]]</f>
        <v>0</v>
      </c>
    </row>
    <row r="18" spans="1:14" ht="25.95" customHeight="1" x14ac:dyDescent="0.25">
      <c r="A18" s="5" t="s">
        <v>74</v>
      </c>
      <c r="B18" s="2" t="s">
        <v>191</v>
      </c>
      <c r="C18" s="2" t="s">
        <v>75</v>
      </c>
      <c r="D18" s="2" t="s">
        <v>66</v>
      </c>
      <c r="E18" s="2" t="s">
        <v>76</v>
      </c>
      <c r="F18" s="2" t="s">
        <v>28</v>
      </c>
      <c r="G18" s="2" t="s">
        <v>77</v>
      </c>
      <c r="H18" s="2" t="s">
        <v>78</v>
      </c>
      <c r="I18" s="7" t="s">
        <v>79</v>
      </c>
      <c r="J18" s="14"/>
      <c r="K18" s="14"/>
      <c r="L18" s="14"/>
      <c r="M18" s="14"/>
      <c r="N18" s="14">
        <f>Table1[[#This Row],[net change]]+Table1[[#This Row],[Opening]]</f>
        <v>0</v>
      </c>
    </row>
    <row r="19" spans="1:14" ht="25.95" customHeight="1" x14ac:dyDescent="0.25">
      <c r="A19" s="4" t="s">
        <v>80</v>
      </c>
      <c r="B19" s="1" t="s">
        <v>192</v>
      </c>
      <c r="C19" s="1" t="s">
        <v>10</v>
      </c>
      <c r="D19" s="1" t="s">
        <v>66</v>
      </c>
      <c r="E19" s="1" t="s">
        <v>12</v>
      </c>
      <c r="F19" s="1" t="s">
        <v>53</v>
      </c>
      <c r="G19" s="1" t="s">
        <v>81</v>
      </c>
      <c r="H19" s="1" t="s">
        <v>82</v>
      </c>
      <c r="I19" s="6" t="s">
        <v>83</v>
      </c>
      <c r="J19" s="14"/>
      <c r="K19" s="14"/>
      <c r="L19" s="14"/>
      <c r="M19" s="14"/>
      <c r="N19" s="14">
        <f>Table1[[#This Row],[net change]]+Table1[[#This Row],[Opening]]</f>
        <v>0</v>
      </c>
    </row>
    <row r="20" spans="1:14" ht="25.95" customHeight="1" x14ac:dyDescent="0.25">
      <c r="A20" s="5" t="s">
        <v>84</v>
      </c>
      <c r="B20" s="2" t="s">
        <v>193</v>
      </c>
      <c r="C20" s="2" t="s">
        <v>75</v>
      </c>
      <c r="D20" s="2" t="s">
        <v>66</v>
      </c>
      <c r="E20" s="2" t="s">
        <v>76</v>
      </c>
      <c r="F20" s="2" t="s">
        <v>53</v>
      </c>
      <c r="G20" s="2" t="s">
        <v>85</v>
      </c>
      <c r="H20" s="2" t="s">
        <v>86</v>
      </c>
      <c r="I20" s="7" t="s">
        <v>87</v>
      </c>
      <c r="J20" s="14"/>
      <c r="K20" s="14"/>
      <c r="L20" s="14"/>
      <c r="M20" s="14"/>
      <c r="N20" s="14">
        <f>Table1[[#This Row],[net change]]+Table1[[#This Row],[Opening]]</f>
        <v>0</v>
      </c>
    </row>
    <row r="21" spans="1:14" ht="25.95" customHeight="1" x14ac:dyDescent="0.25">
      <c r="A21" s="4" t="s">
        <v>88</v>
      </c>
      <c r="B21" s="1" t="s">
        <v>194</v>
      </c>
      <c r="C21" s="1" t="s">
        <v>10</v>
      </c>
      <c r="D21" s="1" t="s">
        <v>66</v>
      </c>
      <c r="E21" s="1" t="s">
        <v>12</v>
      </c>
      <c r="F21" s="1" t="s">
        <v>33</v>
      </c>
      <c r="G21" s="1" t="s">
        <v>89</v>
      </c>
      <c r="H21" s="1" t="s">
        <v>90</v>
      </c>
      <c r="I21" s="6" t="s">
        <v>91</v>
      </c>
      <c r="J21" s="14"/>
      <c r="K21" s="14"/>
      <c r="L21" s="14"/>
      <c r="M21" s="14"/>
      <c r="N21" s="14">
        <f>Table1[[#This Row],[net change]]+Table1[[#This Row],[Opening]]</f>
        <v>0</v>
      </c>
    </row>
    <row r="22" spans="1:14" ht="25.95" customHeight="1" x14ac:dyDescent="0.25">
      <c r="A22" s="5" t="s">
        <v>92</v>
      </c>
      <c r="B22" s="2" t="s">
        <v>195</v>
      </c>
      <c r="C22" s="2" t="s">
        <v>10</v>
      </c>
      <c r="D22" s="2" t="s">
        <v>66</v>
      </c>
      <c r="E22" s="2" t="s">
        <v>12</v>
      </c>
      <c r="F22" s="2" t="s">
        <v>93</v>
      </c>
      <c r="G22" s="2" t="s">
        <v>94</v>
      </c>
      <c r="H22" s="2" t="s">
        <v>95</v>
      </c>
      <c r="I22" s="7" t="s">
        <v>96</v>
      </c>
      <c r="J22" s="14"/>
      <c r="K22" s="14"/>
      <c r="L22" s="14"/>
      <c r="M22" s="14"/>
      <c r="N22" s="14">
        <f>Table1[[#This Row],[net change]]+Table1[[#This Row],[Opening]]</f>
        <v>0</v>
      </c>
    </row>
    <row r="23" spans="1:14" ht="25.95" customHeight="1" x14ac:dyDescent="0.25">
      <c r="A23" s="4" t="s">
        <v>97</v>
      </c>
      <c r="B23" s="1" t="s">
        <v>196</v>
      </c>
      <c r="C23" s="1" t="s">
        <v>75</v>
      </c>
      <c r="D23" s="1" t="s">
        <v>66</v>
      </c>
      <c r="E23" s="1" t="s">
        <v>76</v>
      </c>
      <c r="F23" s="1" t="s">
        <v>93</v>
      </c>
      <c r="G23" s="1" t="s">
        <v>98</v>
      </c>
      <c r="H23" s="1" t="s">
        <v>99</v>
      </c>
      <c r="I23" s="6" t="s">
        <v>100</v>
      </c>
      <c r="J23" s="14"/>
      <c r="K23" s="14"/>
      <c r="L23" s="14"/>
      <c r="M23" s="14"/>
      <c r="N23" s="14">
        <f>Table1[[#This Row],[net change]]+Table1[[#This Row],[Opening]]</f>
        <v>0</v>
      </c>
    </row>
    <row r="24" spans="1:14" ht="25.95" customHeight="1" x14ac:dyDescent="0.25">
      <c r="A24" s="5" t="s">
        <v>101</v>
      </c>
      <c r="B24" s="2" t="s">
        <v>197</v>
      </c>
      <c r="C24" s="2" t="s">
        <v>10</v>
      </c>
      <c r="D24" s="2" t="s">
        <v>66</v>
      </c>
      <c r="E24" s="2" t="s">
        <v>12</v>
      </c>
      <c r="F24" s="2" t="s">
        <v>48</v>
      </c>
      <c r="G24" s="2" t="s">
        <v>102</v>
      </c>
      <c r="H24" s="2" t="s">
        <v>103</v>
      </c>
      <c r="I24" s="7" t="s">
        <v>87</v>
      </c>
      <c r="J24" s="14"/>
      <c r="K24" s="14"/>
      <c r="L24" s="14"/>
      <c r="M24" s="14"/>
      <c r="N24" s="14">
        <f>Table1[[#This Row],[net change]]+Table1[[#This Row],[Opening]]</f>
        <v>0</v>
      </c>
    </row>
    <row r="25" spans="1:14" ht="25.95" customHeight="1" x14ac:dyDescent="0.25">
      <c r="A25" s="4" t="s">
        <v>104</v>
      </c>
      <c r="B25" s="1" t="s">
        <v>105</v>
      </c>
      <c r="C25" s="1" t="s">
        <v>106</v>
      </c>
      <c r="D25" s="1" t="s">
        <v>107</v>
      </c>
      <c r="E25" s="1" t="s">
        <v>76</v>
      </c>
      <c r="F25" s="1" t="s">
        <v>13</v>
      </c>
      <c r="G25" s="1" t="s">
        <v>108</v>
      </c>
      <c r="H25" s="1" t="s">
        <v>109</v>
      </c>
      <c r="I25" s="6" t="s">
        <v>110</v>
      </c>
      <c r="J25" s="14"/>
      <c r="K25" s="14"/>
      <c r="L25" s="14"/>
      <c r="M25" s="14"/>
      <c r="N25" s="14">
        <f>Table1[[#This Row],[net change]]+Table1[[#This Row],[Opening]]</f>
        <v>0</v>
      </c>
    </row>
    <row r="26" spans="1:14" ht="25.95" customHeight="1" x14ac:dyDescent="0.25">
      <c r="A26" s="5" t="s">
        <v>111</v>
      </c>
      <c r="B26" s="2" t="s">
        <v>198</v>
      </c>
      <c r="C26" s="2" t="s">
        <v>112</v>
      </c>
      <c r="D26" s="2" t="s">
        <v>113</v>
      </c>
      <c r="E26" s="2" t="s">
        <v>76</v>
      </c>
      <c r="F26" s="2" t="s">
        <v>18</v>
      </c>
      <c r="G26" s="2" t="s">
        <v>114</v>
      </c>
      <c r="H26" s="2" t="s">
        <v>115</v>
      </c>
      <c r="I26" s="7" t="s">
        <v>87</v>
      </c>
      <c r="J26" s="14"/>
      <c r="K26" s="14"/>
      <c r="L26" s="14"/>
      <c r="M26" s="14"/>
      <c r="N26" s="14">
        <f>Table1[[#This Row],[net change]]+Table1[[#This Row],[Opening]]</f>
        <v>0</v>
      </c>
    </row>
    <row r="27" spans="1:14" ht="25.95" customHeight="1" x14ac:dyDescent="0.25">
      <c r="A27" s="4" t="s">
        <v>116</v>
      </c>
      <c r="B27" s="1" t="s">
        <v>199</v>
      </c>
      <c r="C27" s="1" t="s">
        <v>112</v>
      </c>
      <c r="D27" s="1" t="s">
        <v>113</v>
      </c>
      <c r="E27" s="1" t="s">
        <v>76</v>
      </c>
      <c r="F27" s="1" t="s">
        <v>53</v>
      </c>
      <c r="G27" s="1" t="s">
        <v>117</v>
      </c>
      <c r="H27" s="1" t="s">
        <v>118</v>
      </c>
      <c r="I27" s="6" t="s">
        <v>87</v>
      </c>
      <c r="J27" s="14"/>
      <c r="K27" s="14"/>
      <c r="L27" s="14"/>
      <c r="M27" s="14"/>
      <c r="N27" s="14">
        <f>Table1[[#This Row],[net change]]+Table1[[#This Row],[Opening]]</f>
        <v>0</v>
      </c>
    </row>
    <row r="28" spans="1:14" ht="25.95" customHeight="1" x14ac:dyDescent="0.25">
      <c r="A28" s="5" t="s">
        <v>119</v>
      </c>
      <c r="B28" s="2" t="s">
        <v>200</v>
      </c>
      <c r="C28" s="2" t="s">
        <v>112</v>
      </c>
      <c r="D28" s="2" t="s">
        <v>113</v>
      </c>
      <c r="E28" s="2" t="s">
        <v>76</v>
      </c>
      <c r="F28" s="2" t="s">
        <v>43</v>
      </c>
      <c r="G28" s="2" t="s">
        <v>120</v>
      </c>
      <c r="H28" s="2" t="s">
        <v>121</v>
      </c>
      <c r="I28" s="7" t="s">
        <v>87</v>
      </c>
      <c r="J28" s="14"/>
      <c r="K28" s="14"/>
      <c r="L28" s="14"/>
      <c r="M28" s="14"/>
      <c r="N28" s="14">
        <f>Table1[[#This Row],[net change]]+Table1[[#This Row],[Opening]]</f>
        <v>0</v>
      </c>
    </row>
    <row r="29" spans="1:14" ht="25.95" customHeight="1" x14ac:dyDescent="0.25">
      <c r="A29" s="4" t="s">
        <v>122</v>
      </c>
      <c r="B29" s="1" t="s">
        <v>201</v>
      </c>
      <c r="C29" s="1" t="s">
        <v>112</v>
      </c>
      <c r="D29" s="1" t="s">
        <v>113</v>
      </c>
      <c r="E29" s="1" t="s">
        <v>76</v>
      </c>
      <c r="F29" s="1" t="s">
        <v>33</v>
      </c>
      <c r="G29" s="1" t="s">
        <v>123</v>
      </c>
      <c r="H29" s="1" t="s">
        <v>124</v>
      </c>
      <c r="I29" s="6" t="s">
        <v>87</v>
      </c>
      <c r="J29" s="14"/>
      <c r="K29" s="14"/>
      <c r="L29" s="14"/>
      <c r="M29" s="14"/>
      <c r="N29" s="14">
        <f>Table1[[#This Row],[net change]]+Table1[[#This Row],[Opening]]</f>
        <v>0</v>
      </c>
    </row>
    <row r="30" spans="1:14" ht="25.95" customHeight="1" x14ac:dyDescent="0.25">
      <c r="A30" s="5" t="s">
        <v>125</v>
      </c>
      <c r="B30" s="2" t="s">
        <v>202</v>
      </c>
      <c r="C30" s="2" t="s">
        <v>112</v>
      </c>
      <c r="D30" s="2" t="s">
        <v>113</v>
      </c>
      <c r="E30" s="2" t="s">
        <v>76</v>
      </c>
      <c r="F30" s="2" t="s">
        <v>126</v>
      </c>
      <c r="G30" s="2" t="s">
        <v>127</v>
      </c>
      <c r="H30" s="2" t="s">
        <v>128</v>
      </c>
      <c r="I30" s="7" t="s">
        <v>129</v>
      </c>
      <c r="J30" s="14"/>
      <c r="K30" s="14"/>
      <c r="L30" s="14"/>
      <c r="M30" s="14"/>
      <c r="N30" s="14">
        <f>Table1[[#This Row],[net change]]+Table1[[#This Row],[Opening]]</f>
        <v>0</v>
      </c>
    </row>
    <row r="31" spans="1:14" ht="25.95" customHeight="1" x14ac:dyDescent="0.25">
      <c r="A31" s="4" t="s">
        <v>130</v>
      </c>
      <c r="B31" s="1" t="s">
        <v>203</v>
      </c>
      <c r="C31" s="1" t="s">
        <v>131</v>
      </c>
      <c r="D31" s="1" t="s">
        <v>132</v>
      </c>
      <c r="E31" s="1" t="s">
        <v>12</v>
      </c>
      <c r="F31" s="1" t="s">
        <v>13</v>
      </c>
      <c r="G31" s="1" t="s">
        <v>133</v>
      </c>
      <c r="H31" s="1" t="s">
        <v>134</v>
      </c>
      <c r="I31" s="6" t="s">
        <v>135</v>
      </c>
      <c r="J31" s="14"/>
      <c r="K31" s="14"/>
      <c r="L31" s="14"/>
      <c r="M31" s="14"/>
      <c r="N31" s="14">
        <f>Table1[[#This Row],[net change]]+Table1[[#This Row],[Opening]]</f>
        <v>0</v>
      </c>
    </row>
    <row r="32" spans="1:14" ht="25.95" customHeight="1" x14ac:dyDescent="0.25">
      <c r="A32" s="5" t="s">
        <v>136</v>
      </c>
      <c r="B32" s="2" t="s">
        <v>137</v>
      </c>
      <c r="C32" s="2" t="s">
        <v>131</v>
      </c>
      <c r="D32" s="2" t="s">
        <v>138</v>
      </c>
      <c r="E32" s="2" t="s">
        <v>12</v>
      </c>
      <c r="F32" s="2" t="s">
        <v>139</v>
      </c>
      <c r="G32" s="2" t="s">
        <v>140</v>
      </c>
      <c r="H32" s="2" t="s">
        <v>141</v>
      </c>
      <c r="I32" s="7" t="s">
        <v>142</v>
      </c>
      <c r="J32" s="14"/>
      <c r="K32" s="14"/>
      <c r="L32" s="14"/>
      <c r="M32" s="14"/>
      <c r="N32" s="14">
        <f>Table1[[#This Row],[net change]]+Table1[[#This Row],[Opening]]</f>
        <v>0</v>
      </c>
    </row>
    <row r="33" spans="1:14" ht="25.95" customHeight="1" x14ac:dyDescent="0.25">
      <c r="A33" s="4" t="s">
        <v>143</v>
      </c>
      <c r="B33" s="1" t="s">
        <v>144</v>
      </c>
      <c r="C33" s="1" t="s">
        <v>131</v>
      </c>
      <c r="D33" s="1" t="s">
        <v>138</v>
      </c>
      <c r="E33" s="1" t="s">
        <v>12</v>
      </c>
      <c r="F33" s="1" t="s">
        <v>139</v>
      </c>
      <c r="G33" s="1" t="s">
        <v>145</v>
      </c>
      <c r="H33" s="1" t="s">
        <v>146</v>
      </c>
      <c r="I33" s="6" t="s">
        <v>142</v>
      </c>
      <c r="J33" s="14"/>
      <c r="K33" s="14"/>
      <c r="L33" s="14"/>
      <c r="M33" s="14"/>
      <c r="N33" s="14">
        <f>Table1[[#This Row],[net change]]+Table1[[#This Row],[Opening]]</f>
        <v>0</v>
      </c>
    </row>
    <row r="34" spans="1:14" ht="25.95" customHeight="1" x14ac:dyDescent="0.25">
      <c r="A34" s="5" t="s">
        <v>147</v>
      </c>
      <c r="B34" s="2" t="s">
        <v>148</v>
      </c>
      <c r="C34" s="2" t="s">
        <v>131</v>
      </c>
      <c r="D34" s="2" t="s">
        <v>138</v>
      </c>
      <c r="E34" s="2" t="s">
        <v>12</v>
      </c>
      <c r="F34" s="2" t="s">
        <v>139</v>
      </c>
      <c r="G34" s="2" t="s">
        <v>149</v>
      </c>
      <c r="H34" s="2" t="s">
        <v>150</v>
      </c>
      <c r="I34" s="7" t="s">
        <v>142</v>
      </c>
      <c r="J34" s="14"/>
      <c r="K34" s="14"/>
      <c r="L34" s="14"/>
      <c r="M34" s="14"/>
      <c r="N34" s="14">
        <f>Table1[[#This Row],[net change]]+Table1[[#This Row],[Opening]]</f>
        <v>0</v>
      </c>
    </row>
    <row r="35" spans="1:14" ht="25.95" customHeight="1" x14ac:dyDescent="0.25">
      <c r="A35" s="4" t="s">
        <v>151</v>
      </c>
      <c r="B35" s="1" t="s">
        <v>152</v>
      </c>
      <c r="C35" s="1" t="s">
        <v>131</v>
      </c>
      <c r="D35" s="1" t="s">
        <v>138</v>
      </c>
      <c r="E35" s="1" t="s">
        <v>12</v>
      </c>
      <c r="F35" s="1" t="s">
        <v>139</v>
      </c>
      <c r="G35" s="1" t="s">
        <v>153</v>
      </c>
      <c r="H35" s="1" t="s">
        <v>154</v>
      </c>
      <c r="I35" s="6" t="s">
        <v>142</v>
      </c>
      <c r="J35" s="14"/>
      <c r="K35" s="14"/>
      <c r="L35" s="14"/>
      <c r="M35" s="14"/>
      <c r="N35" s="14">
        <f>Table1[[#This Row],[net change]]+Table1[[#This Row],[Opening]]</f>
        <v>0</v>
      </c>
    </row>
    <row r="36" spans="1:14" ht="25.95" customHeight="1" x14ac:dyDescent="0.25">
      <c r="A36" s="5" t="s">
        <v>155</v>
      </c>
      <c r="B36" s="2" t="s">
        <v>156</v>
      </c>
      <c r="C36" s="2" t="s">
        <v>131</v>
      </c>
      <c r="D36" s="2" t="s">
        <v>157</v>
      </c>
      <c r="E36" s="2" t="s">
        <v>12</v>
      </c>
      <c r="F36" s="2" t="s">
        <v>158</v>
      </c>
      <c r="G36" s="2" t="s">
        <v>159</v>
      </c>
      <c r="H36" s="2" t="s">
        <v>160</v>
      </c>
      <c r="I36" s="7" t="s">
        <v>161</v>
      </c>
      <c r="J36" s="14"/>
      <c r="K36" s="14"/>
      <c r="L36" s="14"/>
      <c r="M36" s="14"/>
      <c r="N36" s="14">
        <f>Table1[[#This Row],[net change]]+Table1[[#This Row],[Opening]]</f>
        <v>0</v>
      </c>
    </row>
    <row r="37" spans="1:14" ht="25.95" customHeight="1" x14ac:dyDescent="0.25">
      <c r="A37" s="4" t="s">
        <v>162</v>
      </c>
      <c r="B37" s="1" t="s">
        <v>204</v>
      </c>
      <c r="C37" s="1" t="s">
        <v>131</v>
      </c>
      <c r="D37" s="1" t="s">
        <v>138</v>
      </c>
      <c r="E37" s="1" t="s">
        <v>12</v>
      </c>
      <c r="F37" s="1" t="s">
        <v>158</v>
      </c>
      <c r="G37" s="1" t="s">
        <v>163</v>
      </c>
      <c r="H37" s="1" t="s">
        <v>164</v>
      </c>
      <c r="I37" s="6" t="s">
        <v>165</v>
      </c>
      <c r="J37" s="14"/>
      <c r="K37" s="14"/>
      <c r="L37" s="14"/>
      <c r="M37" s="14"/>
      <c r="N37" s="14">
        <f>Table1[[#This Row],[net change]]+Table1[[#This Row],[Opening]]</f>
        <v>0</v>
      </c>
    </row>
    <row r="38" spans="1:14" ht="25.95" customHeight="1" x14ac:dyDescent="0.25">
      <c r="A38" s="5" t="s">
        <v>166</v>
      </c>
      <c r="B38" s="2" t="s">
        <v>167</v>
      </c>
      <c r="C38" s="2" t="s">
        <v>131</v>
      </c>
      <c r="D38" s="2" t="s">
        <v>168</v>
      </c>
      <c r="E38" s="2" t="s">
        <v>12</v>
      </c>
      <c r="F38" s="2" t="s">
        <v>13</v>
      </c>
      <c r="G38" s="2" t="s">
        <v>169</v>
      </c>
      <c r="H38" s="2" t="s">
        <v>170</v>
      </c>
      <c r="I38" s="7" t="s">
        <v>171</v>
      </c>
      <c r="J38" s="14"/>
      <c r="K38" s="14"/>
      <c r="L38" s="14"/>
      <c r="M38" s="14"/>
      <c r="N38" s="14">
        <f>Table1[[#This Row],[net change]]+Table1[[#This Row],[Opening]]</f>
        <v>0</v>
      </c>
    </row>
    <row r="39" spans="1:14" ht="25.95" customHeight="1" x14ac:dyDescent="0.25">
      <c r="A39" s="11" t="s">
        <v>172</v>
      </c>
      <c r="B39" s="12" t="s">
        <v>173</v>
      </c>
      <c r="C39" s="12" t="s">
        <v>131</v>
      </c>
      <c r="D39" s="12" t="s">
        <v>168</v>
      </c>
      <c r="E39" s="12" t="s">
        <v>12</v>
      </c>
      <c r="F39" s="12" t="s">
        <v>13</v>
      </c>
      <c r="G39" s="12" t="s">
        <v>174</v>
      </c>
      <c r="H39" s="12" t="s">
        <v>175</v>
      </c>
      <c r="I39" s="13" t="s">
        <v>176</v>
      </c>
      <c r="J39" s="16"/>
      <c r="K39" s="16"/>
      <c r="L39" s="16"/>
      <c r="M39" s="16"/>
      <c r="N39" s="16">
        <f>Table1[[#This Row],[net change]]+Table1[[#This Row],[Opening]]</f>
        <v>0</v>
      </c>
    </row>
  </sheetData>
  <mergeCells count="2">
    <mergeCell ref="A1:I1"/>
    <mergeCell ref="A3:I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32"/>
  <sheetViews>
    <sheetView workbookViewId="0">
      <selection activeCell="B5" sqref="B5"/>
    </sheetView>
  </sheetViews>
  <sheetFormatPr defaultRowHeight="14.4" x14ac:dyDescent="0.3"/>
  <cols>
    <col min="2" max="2" width="16.109375" bestFit="1" customWidth="1"/>
    <col min="3" max="3" width="25.109375" bestFit="1" customWidth="1"/>
    <col min="4" max="4" width="14.6640625" bestFit="1" customWidth="1"/>
    <col min="5" max="5" width="15.21875" bestFit="1" customWidth="1"/>
    <col min="6" max="6" width="10.6640625" bestFit="1" customWidth="1"/>
    <col min="7" max="7" width="8.5546875" customWidth="1"/>
    <col min="9" max="9" width="30.21875" bestFit="1" customWidth="1"/>
  </cols>
  <sheetData>
    <row r="3" spans="3:9" x14ac:dyDescent="0.3">
      <c r="C3" t="s">
        <v>232</v>
      </c>
      <c r="D3" t="s">
        <v>240</v>
      </c>
      <c r="E3" t="s">
        <v>225</v>
      </c>
      <c r="F3" t="s">
        <v>226</v>
      </c>
      <c r="G3" t="s">
        <v>227</v>
      </c>
      <c r="H3" t="s">
        <v>235</v>
      </c>
    </row>
    <row r="4" spans="3:9" x14ac:dyDescent="0.3">
      <c r="C4" s="19" t="s">
        <v>231</v>
      </c>
      <c r="D4" s="19" t="s">
        <v>224</v>
      </c>
      <c r="F4" t="s">
        <v>228</v>
      </c>
      <c r="G4" t="s">
        <v>228</v>
      </c>
      <c r="H4" t="s">
        <v>237</v>
      </c>
      <c r="I4" t="str">
        <f>D4</f>
        <v>Purchase</v>
      </c>
    </row>
    <row r="5" spans="3:9" x14ac:dyDescent="0.3">
      <c r="C5" s="19" t="s">
        <v>233</v>
      </c>
      <c r="D5" s="19" t="s">
        <v>229</v>
      </c>
      <c r="F5" t="s">
        <v>228</v>
      </c>
      <c r="G5" t="s">
        <v>228</v>
      </c>
      <c r="H5" t="s">
        <v>237</v>
      </c>
      <c r="I5" t="str">
        <f>I4&amp;" "&amp;D5</f>
        <v>Purchase Consumption</v>
      </c>
    </row>
    <row r="6" spans="3:9" x14ac:dyDescent="0.3">
      <c r="C6" s="19" t="s">
        <v>231</v>
      </c>
      <c r="D6" s="19" t="s">
        <v>230</v>
      </c>
      <c r="F6" t="s">
        <v>228</v>
      </c>
      <c r="G6" t="s">
        <v>228</v>
      </c>
      <c r="H6" t="s">
        <v>237</v>
      </c>
      <c r="I6" t="str">
        <f>I5&amp;" "&amp;D6</f>
        <v>Purchase Consumption Output</v>
      </c>
    </row>
    <row r="7" spans="3:9" x14ac:dyDescent="0.3">
      <c r="C7" s="19" t="s">
        <v>233</v>
      </c>
      <c r="D7" s="19" t="s">
        <v>244</v>
      </c>
      <c r="F7" t="s">
        <v>228</v>
      </c>
      <c r="G7" t="s">
        <v>228</v>
      </c>
      <c r="H7" t="s">
        <v>237</v>
      </c>
      <c r="I7" t="str">
        <f>I6&amp;" "&amp;D7</f>
        <v>Purchase Consumption Output Transfer_in</v>
      </c>
    </row>
    <row r="8" spans="3:9" x14ac:dyDescent="0.3">
      <c r="C8" s="19" t="s">
        <v>233</v>
      </c>
      <c r="D8" s="19" t="s">
        <v>234</v>
      </c>
      <c r="F8" t="s">
        <v>228</v>
      </c>
      <c r="G8" t="s">
        <v>228</v>
      </c>
      <c r="H8" t="s">
        <v>237</v>
      </c>
      <c r="I8" t="str">
        <f>I7&amp;" "&amp;D8</f>
        <v>Purchase Consumption Output Transfer_in Sales</v>
      </c>
    </row>
    <row r="9" spans="3:9" x14ac:dyDescent="0.3">
      <c r="C9" s="19"/>
      <c r="D9" s="19" t="s">
        <v>236</v>
      </c>
      <c r="F9" t="s">
        <v>237</v>
      </c>
      <c r="G9" t="s">
        <v>228</v>
      </c>
      <c r="H9" t="s">
        <v>237</v>
      </c>
    </row>
    <row r="10" spans="3:9" x14ac:dyDescent="0.3">
      <c r="C10" s="19" t="s">
        <v>235</v>
      </c>
      <c r="D10" s="19"/>
      <c r="F10" t="s">
        <v>237</v>
      </c>
      <c r="G10" t="s">
        <v>237</v>
      </c>
      <c r="H10" t="s">
        <v>228</v>
      </c>
    </row>
    <row r="11" spans="3:9" x14ac:dyDescent="0.3">
      <c r="C11" s="19"/>
      <c r="D11" s="19" t="s">
        <v>238</v>
      </c>
      <c r="F11" t="s">
        <v>237</v>
      </c>
      <c r="G11" t="s">
        <v>228</v>
      </c>
      <c r="H11" t="s">
        <v>237</v>
      </c>
    </row>
    <row r="12" spans="3:9" x14ac:dyDescent="0.3">
      <c r="C12" s="19"/>
      <c r="D12" s="19" t="s">
        <v>239</v>
      </c>
      <c r="F12" t="s">
        <v>237</v>
      </c>
      <c r="G12" t="s">
        <v>228</v>
      </c>
      <c r="H12" t="s">
        <v>237</v>
      </c>
    </row>
    <row r="13" spans="3:9" x14ac:dyDescent="0.3">
      <c r="C13" s="19" t="s">
        <v>231</v>
      </c>
      <c r="D13" s="19" t="s">
        <v>245</v>
      </c>
      <c r="F13" t="s">
        <v>237</v>
      </c>
      <c r="G13" t="s">
        <v>228</v>
      </c>
      <c r="H13" t="s">
        <v>237</v>
      </c>
    </row>
    <row r="14" spans="3:9" x14ac:dyDescent="0.3">
      <c r="C14" t="s">
        <v>231</v>
      </c>
      <c r="D14" s="19" t="s">
        <v>241</v>
      </c>
      <c r="F14" t="s">
        <v>228</v>
      </c>
      <c r="G14" t="s">
        <v>228</v>
      </c>
    </row>
    <row r="15" spans="3:9" x14ac:dyDescent="0.3">
      <c r="C15" t="s">
        <v>233</v>
      </c>
      <c r="D15" s="19" t="s">
        <v>241</v>
      </c>
      <c r="F15" t="s">
        <v>228</v>
      </c>
      <c r="G15" t="s">
        <v>228</v>
      </c>
    </row>
    <row r="16" spans="3:9" x14ac:dyDescent="0.3">
      <c r="C16" t="s">
        <v>231</v>
      </c>
      <c r="D16" s="19" t="s">
        <v>242</v>
      </c>
      <c r="F16" t="s">
        <v>228</v>
      </c>
      <c r="G16" t="s">
        <v>228</v>
      </c>
    </row>
    <row r="17" spans="3:9" x14ac:dyDescent="0.3">
      <c r="C17" t="s">
        <v>233</v>
      </c>
      <c r="D17" s="19" t="s">
        <v>243</v>
      </c>
      <c r="F17" t="s">
        <v>228</v>
      </c>
      <c r="G17" t="s">
        <v>228</v>
      </c>
    </row>
    <row r="18" spans="3:9" x14ac:dyDescent="0.3">
      <c r="D18" s="19" t="s">
        <v>246</v>
      </c>
      <c r="F18" t="s">
        <v>228</v>
      </c>
      <c r="G18" t="s">
        <v>228</v>
      </c>
    </row>
    <row r="19" spans="3:9" x14ac:dyDescent="0.3">
      <c r="C19" s="18"/>
      <c r="D19" s="18"/>
      <c r="E19" s="18"/>
      <c r="F19" s="18"/>
      <c r="G19" s="18"/>
      <c r="H19" s="18"/>
      <c r="I19" s="18"/>
    </row>
    <row r="24" spans="3:9" x14ac:dyDescent="0.3">
      <c r="C24" s="18"/>
    </row>
    <row r="25" spans="3:9" x14ac:dyDescent="0.3">
      <c r="C25" s="18"/>
    </row>
    <row r="26" spans="3:9" x14ac:dyDescent="0.3">
      <c r="C26" s="18"/>
    </row>
    <row r="27" spans="3:9" x14ac:dyDescent="0.3">
      <c r="C27" s="18"/>
    </row>
    <row r="28" spans="3:9" x14ac:dyDescent="0.3">
      <c r="C28" s="18"/>
    </row>
    <row r="29" spans="3:9" x14ac:dyDescent="0.3">
      <c r="C29" s="18"/>
    </row>
    <row r="30" spans="3:9" x14ac:dyDescent="0.3">
      <c r="C30" s="18"/>
    </row>
    <row r="31" spans="3:9" x14ac:dyDescent="0.3">
      <c r="C31" s="18"/>
    </row>
    <row r="32" spans="3:9" x14ac:dyDescent="0.3">
      <c r="C3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3_GL_COA_Item_mapping</vt:lpstr>
      <vt:lpstr>Transaction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Singh</dc:creator>
  <cp:lastModifiedBy>Lenovo</cp:lastModifiedBy>
  <dcterms:created xsi:type="dcterms:W3CDTF">2026-06-07T07:09:39Z</dcterms:created>
  <dcterms:modified xsi:type="dcterms:W3CDTF">2026-07-17T13:54:17Z</dcterms:modified>
</cp:coreProperties>
</file>