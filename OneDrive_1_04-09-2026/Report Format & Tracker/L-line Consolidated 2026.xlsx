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theme/themeOverride1.xml" ContentType="application/vnd.openxmlformats-officedocument.themeOverride+xml"/>
  <Override PartName="/xl/charts/chart6.xml" ContentType="application/vnd.openxmlformats-officedocument.drawingml.chart+xml"/>
  <Override PartName="/xl/theme/themeOverride2.xml" ContentType="application/vnd.openxmlformats-officedocument.themeOverride+xml"/>
  <Override PartName="/xl/charts/chart7.xml" ContentType="application/vnd.openxmlformats-officedocument.drawingml.chart+xml"/>
  <Override PartName="/xl/theme/themeOverride3.xml" ContentType="application/vnd.openxmlformats-officedocument.themeOverride+xml"/>
  <Override PartName="/xl/charts/chart8.xml" ContentType="application/vnd.openxmlformats-officedocument.drawingml.chart+xml"/>
  <Override PartName="/xl/theme/themeOverride4.xml" ContentType="application/vnd.openxmlformats-officedocument.themeOverride+xml"/>
  <Override PartName="/xl/charts/chart9.xml" ContentType="application/vnd.openxmlformats-officedocument.drawingml.chart+xml"/>
  <Override PartName="/xl/theme/themeOverride5.xml" ContentType="application/vnd.openxmlformats-officedocument.themeOverride+xml"/>
  <Override PartName="/xl/charts/chart10.xml" ContentType="application/vnd.openxmlformats-officedocument.drawingml.chart+xml"/>
  <Override PartName="/xl/worksheets/sheet15.xml" ContentType="application/vnd.openxmlformats-officedocument.spreadsheetml.worksheet+xml"/>
  <Override PartName="/xl/charts/chart11.xml" ContentType="application/vnd.openxmlformats-officedocument.drawingml.chart+xml"/>
  <Override PartName="/xl/theme/themeOverride7.xml" ContentType="application/vnd.openxmlformats-officedocument.themeOverride+xml"/>
  <Override PartName="/xl/charts/chart12.xml" ContentType="application/vnd.openxmlformats-officedocument.drawingml.chart+xml"/>
  <Override PartName="/xl/theme/themeOverride8.xml" ContentType="application/vnd.openxmlformats-officedocument.themeOverride+xml"/>
  <Override PartName="/xl/charts/chart13.xml" ContentType="application/vnd.openxmlformats-officedocument.drawingml.chart+xml"/>
  <Override PartName="/xl/theme/themeOverride9.xml" ContentType="application/vnd.openxmlformats-officedocument.themeOverride+xml"/>
  <Override PartName="/xl/charts/chart14.xml" ContentType="application/vnd.openxmlformats-officedocument.drawingml.chart+xml"/>
  <Override PartName="/xl/theme/themeOverride10.xml" ContentType="application/vnd.openxmlformats-officedocument.themeOverride+xml"/>
  <Override PartName="/xl/charts/chart15.xml" ContentType="application/vnd.openxmlformats-officedocument.drawingml.chart+xml"/>
  <Override PartName="/xl/theme/themeOverride11.xml" ContentType="application/vnd.openxmlformats-officedocument.themeOverride+xml"/>
  <Override PartName="/xl/charts/chart16.xml" ContentType="application/vnd.openxmlformats-officedocument.drawingml.chart+xml"/>
  <Override PartName="/xl/theme/themeOverride12.xml" ContentType="application/vnd.openxmlformats-officedocument.themeOverride+xml"/>
  <Override PartName="/xl/charts/chart17.xml" ContentType="application/vnd.openxmlformats-officedocument.drawingml.chart+xml"/>
  <Override PartName="/xl/theme/themeOverride13.xml" ContentType="application/vnd.openxmlformats-officedocument.themeOverride+xml"/>
  <Override PartName="/xl/charts/chart18.xml" ContentType="application/vnd.openxmlformats-officedocument.drawingml.chart+xml"/>
  <Override PartName="/xl/theme/themeOverride14.xml" ContentType="application/vnd.openxmlformats-officedocument.themeOverrid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heme/themeOverride6.xml" ContentType="application/vnd.openxmlformats-officedocument.themeOverride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terrence.GRASMERE\Dropbox\Triple C Pigs Production Folder\7. AI Station - good\"/>
    </mc:Choice>
  </mc:AlternateContent>
  <xr:revisionPtr revIDLastSave="0" documentId="13_ncr:1_{E51F8CAD-4B51-4B12-9E1E-568D48940452}" xr6:coauthVersionLast="47" xr6:coauthVersionMax="47" xr10:uidLastSave="{00000000-0000-0000-0000-000000000000}"/>
  <bookViews>
    <workbookView xWindow="-108" yWindow="-108" windowWidth="23256" windowHeight="12456" firstSheet="31" activeTab="35" xr2:uid="{00000000-000D-0000-FFFF-FFFF00000000}"/>
  </bookViews>
  <sheets>
    <sheet name="week 01" sheetId="63" r:id="rId1"/>
    <sheet name="week 02" sheetId="62" r:id="rId2"/>
    <sheet name="week 03" sheetId="64" r:id="rId3"/>
    <sheet name="week 04" sheetId="65" r:id="rId4"/>
    <sheet name="week 05" sheetId="66" r:id="rId5"/>
    <sheet name="week 06" sheetId="67" r:id="rId6"/>
    <sheet name="week 07" sheetId="68" r:id="rId7"/>
    <sheet name="week 08" sheetId="69" r:id="rId8"/>
    <sheet name="week 09" sheetId="70" r:id="rId9"/>
    <sheet name="week 10" sheetId="76" r:id="rId10"/>
    <sheet name="week 11" sheetId="77" r:id="rId11"/>
    <sheet name="week 12" sheetId="78" r:id="rId12"/>
    <sheet name="week 13" sheetId="79" r:id="rId13"/>
    <sheet name="week 14" sheetId="81" r:id="rId14"/>
    <sheet name="week 15" sheetId="80" r:id="rId15"/>
    <sheet name="week 16" sheetId="82" r:id="rId16"/>
    <sheet name="week 17" sheetId="83" r:id="rId17"/>
    <sheet name="week 18" sheetId="84" r:id="rId18"/>
    <sheet name="week 19" sheetId="85" r:id="rId19"/>
    <sheet name="week 20" sheetId="86" r:id="rId20"/>
    <sheet name="week 21" sheetId="88" r:id="rId21"/>
    <sheet name="week 22" sheetId="89" r:id="rId22"/>
    <sheet name="week 23" sheetId="90" r:id="rId23"/>
    <sheet name="week 24" sheetId="91" r:id="rId24"/>
    <sheet name="week 25" sheetId="92" r:id="rId25"/>
    <sheet name="week 26 " sheetId="96" r:id="rId26"/>
    <sheet name="week 27" sheetId="95" r:id="rId27"/>
    <sheet name="week 28" sheetId="94" r:id="rId28"/>
    <sheet name="week 29" sheetId="98" r:id="rId29"/>
    <sheet name="week 30" sheetId="97" r:id="rId30"/>
    <sheet name="week 31" sheetId="99" r:id="rId31"/>
    <sheet name="week 32" sheetId="101" r:id="rId32"/>
    <sheet name="week 33" sheetId="102" r:id="rId33"/>
    <sheet name="week 34" sheetId="103" r:id="rId34"/>
    <sheet name="week 35" sheetId="104" r:id="rId35"/>
    <sheet name="L line boars manual" sheetId="61" r:id="rId36"/>
    <sheet name="TSI ranking" sheetId="60" r:id="rId37"/>
    <sheet name="Collection Analysis Report" sheetId="71" r:id="rId38"/>
    <sheet name="Raw data and pivot tables " sheetId="72" r:id="rId39"/>
    <sheet name="Predictive Model" sheetId="75" r:id="rId40"/>
  </sheets>
  <externalReferences>
    <externalReference r:id="rId41"/>
  </externalReferences>
  <calcPr calcId="191028"/>
  <pivotCaches>
    <pivotCache cacheId="1" r:id="rId4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6" i="103" l="1"/>
  <c r="N5" i="103"/>
  <c r="N4" i="103"/>
  <c r="N3" i="103"/>
  <c r="L6" i="103"/>
  <c r="L5" i="103"/>
  <c r="L4" i="103"/>
  <c r="L3" i="103"/>
  <c r="N6" i="102"/>
  <c r="N5" i="102"/>
  <c r="N4" i="102"/>
  <c r="N3" i="102"/>
  <c r="L6" i="102"/>
  <c r="L5" i="102"/>
  <c r="L4" i="102"/>
  <c r="L3" i="102"/>
  <c r="J6" i="102"/>
  <c r="J5" i="102"/>
  <c r="J4" i="102"/>
  <c r="J3" i="102"/>
  <c r="N6" i="101"/>
  <c r="N5" i="101"/>
  <c r="N4" i="101"/>
  <c r="N3" i="101"/>
  <c r="L6" i="101"/>
  <c r="L5" i="101"/>
  <c r="L4" i="101"/>
  <c r="L3" i="101"/>
  <c r="J6" i="101"/>
  <c r="J5" i="101"/>
  <c r="J4" i="101"/>
  <c r="J6" i="103" l="1"/>
  <c r="J5" i="103"/>
  <c r="J4" i="103"/>
  <c r="J3" i="103"/>
  <c r="J6" i="104"/>
  <c r="J7" i="104"/>
  <c r="J4" i="104"/>
  <c r="J3" i="104"/>
  <c r="J5" i="104"/>
  <c r="L7" i="104"/>
  <c r="M7" i="104" s="1"/>
  <c r="D7" i="104"/>
  <c r="V7" i="104"/>
  <c r="U7" i="104"/>
  <c r="L6" i="104"/>
  <c r="M6" i="104" s="1"/>
  <c r="N6" i="104" s="1"/>
  <c r="D6" i="104"/>
  <c r="L5" i="104"/>
  <c r="M5" i="104" s="1"/>
  <c r="D5" i="104"/>
  <c r="L4" i="104"/>
  <c r="M4" i="104" s="1"/>
  <c r="D4" i="104"/>
  <c r="L3" i="104"/>
  <c r="M3" i="104" s="1"/>
  <c r="D3" i="104"/>
  <c r="V7" i="103"/>
  <c r="U7" i="103"/>
  <c r="M6" i="103"/>
  <c r="D6" i="103"/>
  <c r="M5" i="103"/>
  <c r="D5" i="103"/>
  <c r="M4" i="103"/>
  <c r="D4" i="103"/>
  <c r="M3" i="103"/>
  <c r="D3" i="103"/>
  <c r="N6" i="99"/>
  <c r="N5" i="99"/>
  <c r="N4" i="99"/>
  <c r="N3" i="99"/>
  <c r="J6" i="99"/>
  <c r="J5" i="99"/>
  <c r="J4" i="99"/>
  <c r="J3" i="99"/>
  <c r="L6" i="99"/>
  <c r="L5" i="99"/>
  <c r="L4" i="99"/>
  <c r="L3" i="99"/>
  <c r="N7" i="104" l="1"/>
  <c r="N5" i="104"/>
  <c r="N3" i="104"/>
  <c r="N4" i="104"/>
  <c r="J3" i="101"/>
  <c r="V7" i="102"/>
  <c r="U7" i="102"/>
  <c r="M6" i="102"/>
  <c r="D6" i="102"/>
  <c r="M5" i="102"/>
  <c r="D5" i="102"/>
  <c r="M4" i="102"/>
  <c r="D4" i="102"/>
  <c r="M3" i="102"/>
  <c r="D3" i="102"/>
  <c r="V7" i="101"/>
  <c r="U7" i="101"/>
  <c r="M6" i="101"/>
  <c r="D6" i="101"/>
  <c r="M5" i="101"/>
  <c r="D5" i="101"/>
  <c r="M4" i="101"/>
  <c r="D4" i="101"/>
  <c r="M3" i="101"/>
  <c r="D3" i="101"/>
  <c r="D6" i="97"/>
  <c r="D5" i="97"/>
  <c r="D4" i="97"/>
  <c r="D3" i="97"/>
  <c r="D3" i="99"/>
  <c r="D6" i="99"/>
  <c r="D5" i="99"/>
  <c r="D4" i="99"/>
  <c r="V7" i="99"/>
  <c r="U7" i="99"/>
  <c r="M6" i="99"/>
  <c r="M5" i="99"/>
  <c r="M4" i="99"/>
  <c r="M3" i="99"/>
  <c r="W7" i="98"/>
  <c r="V7" i="98"/>
  <c r="K6" i="98"/>
  <c r="L6" i="98" s="1"/>
  <c r="I6" i="98"/>
  <c r="K5" i="98"/>
  <c r="L5" i="98" s="1"/>
  <c r="I5" i="98"/>
  <c r="K4" i="98"/>
  <c r="L4" i="98" s="1"/>
  <c r="I4" i="98"/>
  <c r="K3" i="98"/>
  <c r="L3" i="98" s="1"/>
  <c r="I3" i="98"/>
  <c r="X7" i="97"/>
  <c r="W7" i="97"/>
  <c r="L6" i="97"/>
  <c r="M6" i="97" s="1"/>
  <c r="J6" i="97"/>
  <c r="L5" i="97"/>
  <c r="M5" i="97" s="1"/>
  <c r="J5" i="97"/>
  <c r="L4" i="97"/>
  <c r="M4" i="97" s="1"/>
  <c r="J4" i="97"/>
  <c r="L3" i="97"/>
  <c r="M3" i="97" s="1"/>
  <c r="J3" i="97"/>
  <c r="Z73" i="61"/>
  <c r="Z70" i="61"/>
  <c r="Z57" i="61"/>
  <c r="Z54" i="61"/>
  <c r="Z41" i="61"/>
  <c r="Z38" i="61"/>
  <c r="Z25" i="61"/>
  <c r="Z22" i="61"/>
  <c r="W7" i="96"/>
  <c r="V7" i="96"/>
  <c r="K6" i="96"/>
  <c r="L6" i="96" s="1"/>
  <c r="I6" i="96"/>
  <c r="K5" i="96"/>
  <c r="L5" i="96" s="1"/>
  <c r="I5" i="96"/>
  <c r="K4" i="96"/>
  <c r="L4" i="96" s="1"/>
  <c r="I4" i="96"/>
  <c r="K3" i="96"/>
  <c r="L3" i="96" s="1"/>
  <c r="M3" i="96" s="1"/>
  <c r="I3" i="96"/>
  <c r="W7" i="95"/>
  <c r="V7" i="95"/>
  <c r="K6" i="95"/>
  <c r="L6" i="95" s="1"/>
  <c r="I6" i="95"/>
  <c r="K5" i="95"/>
  <c r="L5" i="95" s="1"/>
  <c r="I5" i="95"/>
  <c r="K4" i="95"/>
  <c r="L4" i="95" s="1"/>
  <c r="M4" i="95" s="1"/>
  <c r="I4" i="95"/>
  <c r="K3" i="95"/>
  <c r="L3" i="95" s="1"/>
  <c r="I3" i="95"/>
  <c r="W7" i="94"/>
  <c r="V7" i="94"/>
  <c r="K6" i="94"/>
  <c r="L6" i="94" s="1"/>
  <c r="M6" i="94" s="1"/>
  <c r="I6" i="94"/>
  <c r="K5" i="94"/>
  <c r="L5" i="94" s="1"/>
  <c r="I5" i="94"/>
  <c r="K4" i="94"/>
  <c r="L4" i="94" s="1"/>
  <c r="I4" i="94"/>
  <c r="K3" i="94"/>
  <c r="L3" i="94" s="1"/>
  <c r="I3" i="94"/>
  <c r="N6" i="97" l="1"/>
  <c r="N5" i="97"/>
  <c r="N3" i="97"/>
  <c r="N4" i="97"/>
  <c r="M6" i="98"/>
  <c r="M5" i="98"/>
  <c r="M4" i="98"/>
  <c r="M6" i="95"/>
  <c r="M5" i="95"/>
  <c r="M3" i="95"/>
  <c r="M3" i="98"/>
  <c r="M5" i="96"/>
  <c r="M4" i="96"/>
  <c r="M6" i="96"/>
  <c r="M4" i="94"/>
  <c r="M3" i="94"/>
  <c r="M5" i="94"/>
  <c r="Y73" i="61" l="1"/>
  <c r="X73" i="61"/>
  <c r="W73" i="61"/>
  <c r="V73" i="61"/>
  <c r="U73" i="61"/>
  <c r="T73" i="61"/>
  <c r="S73" i="61"/>
  <c r="R73" i="61"/>
  <c r="Q73" i="61"/>
  <c r="Y57" i="61"/>
  <c r="X57" i="61"/>
  <c r="W57" i="61"/>
  <c r="V57" i="61"/>
  <c r="U57" i="61"/>
  <c r="T57" i="61"/>
  <c r="S57" i="61"/>
  <c r="R57" i="61"/>
  <c r="Q57" i="61"/>
  <c r="P57" i="61"/>
  <c r="O57" i="61"/>
  <c r="N57" i="61"/>
  <c r="M57" i="61"/>
  <c r="L57" i="61"/>
  <c r="K57" i="61"/>
  <c r="J57" i="61"/>
  <c r="I57" i="61"/>
  <c r="H57" i="61"/>
  <c r="G57" i="61"/>
  <c r="F57" i="61"/>
  <c r="E57" i="61"/>
  <c r="D57" i="61"/>
  <c r="C57" i="61"/>
  <c r="B57" i="61"/>
  <c r="Y41" i="61"/>
  <c r="X41" i="61"/>
  <c r="W41" i="61"/>
  <c r="V41" i="61"/>
  <c r="U41" i="61"/>
  <c r="T41" i="61"/>
  <c r="S41" i="61"/>
  <c r="R41" i="61"/>
  <c r="Q41" i="61"/>
  <c r="P41" i="61"/>
  <c r="O41" i="61"/>
  <c r="N41" i="61"/>
  <c r="M41" i="61"/>
  <c r="L41" i="61"/>
  <c r="K41" i="61"/>
  <c r="J41" i="61"/>
  <c r="I41" i="61"/>
  <c r="H41" i="61"/>
  <c r="G41" i="61"/>
  <c r="F41" i="61"/>
  <c r="E41" i="61"/>
  <c r="D41" i="61"/>
  <c r="C41" i="61"/>
  <c r="B41" i="61"/>
  <c r="G25" i="61"/>
  <c r="H25" i="61"/>
  <c r="I25" i="61"/>
  <c r="J25" i="61"/>
  <c r="K25" i="61"/>
  <c r="L25" i="61"/>
  <c r="M25" i="61"/>
  <c r="N25" i="61"/>
  <c r="O25" i="61"/>
  <c r="P25" i="61"/>
  <c r="Q25" i="61"/>
  <c r="R25" i="61"/>
  <c r="T25" i="61"/>
  <c r="U25" i="61"/>
  <c r="V25" i="61"/>
  <c r="W25" i="61"/>
  <c r="X25" i="61"/>
  <c r="Y25" i="61"/>
  <c r="Y70" i="61"/>
  <c r="X70" i="61"/>
  <c r="W70" i="61"/>
  <c r="V70" i="61"/>
  <c r="U70" i="61"/>
  <c r="T70" i="61"/>
  <c r="S70" i="61"/>
  <c r="R70" i="61"/>
  <c r="Q70" i="61"/>
  <c r="P70" i="61"/>
  <c r="O70" i="61"/>
  <c r="N70" i="61"/>
  <c r="M70" i="61"/>
  <c r="L70" i="61"/>
  <c r="K70" i="61"/>
  <c r="J70" i="61"/>
  <c r="I70" i="61"/>
  <c r="H70" i="61"/>
  <c r="G70" i="61"/>
  <c r="Y54" i="61"/>
  <c r="X54" i="61"/>
  <c r="W54" i="61"/>
  <c r="V54" i="61"/>
  <c r="U54" i="61"/>
  <c r="T54" i="61"/>
  <c r="S54" i="61"/>
  <c r="R54" i="61"/>
  <c r="Q54" i="61"/>
  <c r="P54" i="61"/>
  <c r="O54" i="61"/>
  <c r="N54" i="61"/>
  <c r="M54" i="61"/>
  <c r="L54" i="61"/>
  <c r="K54" i="61"/>
  <c r="J54" i="61"/>
  <c r="I54" i="61"/>
  <c r="H54" i="61"/>
  <c r="G54" i="61"/>
  <c r="Y38" i="61"/>
  <c r="X38" i="61"/>
  <c r="W38" i="61"/>
  <c r="V38" i="61"/>
  <c r="U38" i="61"/>
  <c r="T38" i="61"/>
  <c r="S38" i="61"/>
  <c r="R38" i="61"/>
  <c r="Q38" i="61"/>
  <c r="P38" i="61"/>
  <c r="O38" i="61"/>
  <c r="N38" i="61"/>
  <c r="M38" i="61"/>
  <c r="L38" i="61"/>
  <c r="K38" i="61"/>
  <c r="J38" i="61"/>
  <c r="I38" i="61"/>
  <c r="H38" i="61"/>
  <c r="G38" i="61"/>
  <c r="H22" i="61"/>
  <c r="I22" i="61"/>
  <c r="J22" i="61"/>
  <c r="K22" i="61"/>
  <c r="L22" i="61"/>
  <c r="M22" i="61"/>
  <c r="N22" i="61"/>
  <c r="O22" i="61"/>
  <c r="P22" i="61"/>
  <c r="Q22" i="61"/>
  <c r="R22" i="61"/>
  <c r="S22" i="61"/>
  <c r="T22" i="61"/>
  <c r="U22" i="61"/>
  <c r="V22" i="61"/>
  <c r="W22" i="61"/>
  <c r="X22" i="61"/>
  <c r="Y22" i="61"/>
  <c r="G22" i="61"/>
  <c r="H8" i="86"/>
  <c r="W7" i="92"/>
  <c r="V7" i="92"/>
  <c r="K6" i="92"/>
  <c r="L6" i="92" s="1"/>
  <c r="M6" i="92" s="1"/>
  <c r="I6" i="92"/>
  <c r="K5" i="92"/>
  <c r="L5" i="92" s="1"/>
  <c r="I5" i="92"/>
  <c r="K4" i="92"/>
  <c r="L4" i="92" s="1"/>
  <c r="I4" i="92"/>
  <c r="K3" i="92"/>
  <c r="L3" i="92" s="1"/>
  <c r="I3" i="92"/>
  <c r="W7" i="91"/>
  <c r="V7" i="91"/>
  <c r="K7" i="91"/>
  <c r="L7" i="91" s="1"/>
  <c r="I7" i="91"/>
  <c r="K6" i="91"/>
  <c r="L6" i="91" s="1"/>
  <c r="I6" i="91"/>
  <c r="K5" i="91"/>
  <c r="L5" i="91" s="1"/>
  <c r="I5" i="91"/>
  <c r="K4" i="91"/>
  <c r="L4" i="91" s="1"/>
  <c r="I4" i="91"/>
  <c r="K3" i="91"/>
  <c r="L3" i="91" s="1"/>
  <c r="I3" i="91"/>
  <c r="W7" i="90"/>
  <c r="V7" i="90"/>
  <c r="K7" i="90"/>
  <c r="L7" i="90" s="1"/>
  <c r="I7" i="90"/>
  <c r="K6" i="90"/>
  <c r="L6" i="90" s="1"/>
  <c r="I6" i="90"/>
  <c r="K5" i="90"/>
  <c r="L5" i="90" s="1"/>
  <c r="I5" i="90"/>
  <c r="K4" i="90"/>
  <c r="L4" i="90" s="1"/>
  <c r="I4" i="90"/>
  <c r="K3" i="90"/>
  <c r="L3" i="90" s="1"/>
  <c r="I3" i="90"/>
  <c r="W7" i="89"/>
  <c r="V7" i="89"/>
  <c r="K7" i="89"/>
  <c r="L7" i="89" s="1"/>
  <c r="I7" i="89"/>
  <c r="K6" i="89"/>
  <c r="L6" i="89" s="1"/>
  <c r="I6" i="89"/>
  <c r="K5" i="89"/>
  <c r="L5" i="89" s="1"/>
  <c r="I5" i="89"/>
  <c r="K4" i="89"/>
  <c r="L4" i="89" s="1"/>
  <c r="I4" i="89"/>
  <c r="K3" i="89"/>
  <c r="L3" i="89" s="1"/>
  <c r="I3" i="89"/>
  <c r="W7" i="88"/>
  <c r="V7" i="88"/>
  <c r="K7" i="88"/>
  <c r="L7" i="88" s="1"/>
  <c r="I7" i="88"/>
  <c r="K6" i="88"/>
  <c r="L6" i="88" s="1"/>
  <c r="I6" i="88"/>
  <c r="K5" i="88"/>
  <c r="L5" i="88" s="1"/>
  <c r="I5" i="88"/>
  <c r="K4" i="88"/>
  <c r="L4" i="88" s="1"/>
  <c r="I4" i="88"/>
  <c r="K3" i="88"/>
  <c r="L3" i="88" s="1"/>
  <c r="I3" i="88"/>
  <c r="M6" i="88" l="1"/>
  <c r="M5" i="88"/>
  <c r="M5" i="89"/>
  <c r="M6" i="89"/>
  <c r="M6" i="90"/>
  <c r="M5" i="90"/>
  <c r="M6" i="91"/>
  <c r="M5" i="91"/>
  <c r="M7" i="91"/>
  <c r="M5" i="92"/>
  <c r="M3" i="92"/>
  <c r="M4" i="92"/>
  <c r="M3" i="91"/>
  <c r="M4" i="91"/>
  <c r="M7" i="90"/>
  <c r="M3" i="90"/>
  <c r="M4" i="90"/>
  <c r="M3" i="89"/>
  <c r="M7" i="89"/>
  <c r="M4" i="89"/>
  <c r="M3" i="88"/>
  <c r="M4" i="88"/>
  <c r="M7" i="88"/>
  <c r="V7" i="86" l="1"/>
  <c r="U7" i="86"/>
  <c r="J7" i="86"/>
  <c r="K7" i="86" s="1"/>
  <c r="H7" i="86"/>
  <c r="J6" i="86"/>
  <c r="K6" i="86" s="1"/>
  <c r="H6" i="86"/>
  <c r="J5" i="86"/>
  <c r="K5" i="86" s="1"/>
  <c r="H5" i="86"/>
  <c r="J4" i="86"/>
  <c r="K4" i="86" s="1"/>
  <c r="H4" i="86"/>
  <c r="J3" i="86"/>
  <c r="K3" i="86" s="1"/>
  <c r="H3" i="86"/>
  <c r="H8" i="85"/>
  <c r="V7" i="85"/>
  <c r="U7" i="85"/>
  <c r="J7" i="85"/>
  <c r="K7" i="85" s="1"/>
  <c r="H7" i="85"/>
  <c r="J6" i="85"/>
  <c r="K6" i="85" s="1"/>
  <c r="L6" i="85" s="1"/>
  <c r="H6" i="85"/>
  <c r="J5" i="85"/>
  <c r="K5" i="85" s="1"/>
  <c r="L5" i="85" s="1"/>
  <c r="H5" i="85"/>
  <c r="J4" i="85"/>
  <c r="K4" i="85" s="1"/>
  <c r="H4" i="85"/>
  <c r="J3" i="85"/>
  <c r="K3" i="85" s="1"/>
  <c r="H3" i="85"/>
  <c r="H8" i="84"/>
  <c r="J8" i="83"/>
  <c r="K8" i="83" s="1"/>
  <c r="L8" i="83" s="1"/>
  <c r="J8" i="82"/>
  <c r="K8" i="82" s="1"/>
  <c r="L8" i="82" s="1"/>
  <c r="J8" i="80"/>
  <c r="K8" i="80" s="1"/>
  <c r="L8" i="80" s="1"/>
  <c r="J8" i="81"/>
  <c r="K8" i="81"/>
  <c r="L8" i="81" s="1"/>
  <c r="J8" i="79"/>
  <c r="K8" i="79" s="1"/>
  <c r="L8" i="79" s="1"/>
  <c r="J8" i="78"/>
  <c r="K8" i="78" s="1"/>
  <c r="L8" i="78" s="1"/>
  <c r="H8" i="78"/>
  <c r="H8" i="79"/>
  <c r="H8" i="81"/>
  <c r="H8" i="82"/>
  <c r="H8" i="83"/>
  <c r="L6" i="86" l="1"/>
  <c r="L5" i="86"/>
  <c r="L7" i="86"/>
  <c r="L3" i="86"/>
  <c r="L4" i="86"/>
  <c r="L7" i="85"/>
  <c r="L3" i="85"/>
  <c r="L4" i="85"/>
  <c r="H6" i="84"/>
  <c r="H7" i="84"/>
  <c r="J6" i="84"/>
  <c r="K6" i="84" s="1"/>
  <c r="V7" i="84"/>
  <c r="U7" i="84"/>
  <c r="J7" i="84"/>
  <c r="K7" i="84" s="1"/>
  <c r="J5" i="84"/>
  <c r="K5" i="84" s="1"/>
  <c r="H5" i="84"/>
  <c r="J4" i="84"/>
  <c r="K4" i="84" s="1"/>
  <c r="H4" i="84"/>
  <c r="J3" i="84"/>
  <c r="K3" i="84" s="1"/>
  <c r="H3" i="84"/>
  <c r="V7" i="83"/>
  <c r="U7" i="83"/>
  <c r="J7" i="83"/>
  <c r="K7" i="83" s="1"/>
  <c r="L7" i="83" s="1"/>
  <c r="H7" i="83"/>
  <c r="J5" i="83"/>
  <c r="K5" i="83" s="1"/>
  <c r="L5" i="83" s="1"/>
  <c r="H5" i="83"/>
  <c r="J4" i="83"/>
  <c r="K4" i="83" s="1"/>
  <c r="H4" i="83"/>
  <c r="J3" i="83"/>
  <c r="K3" i="83" s="1"/>
  <c r="H3" i="83"/>
  <c r="V7" i="82"/>
  <c r="U7" i="82"/>
  <c r="J7" i="82"/>
  <c r="K7" i="82" s="1"/>
  <c r="H7" i="82"/>
  <c r="J5" i="82"/>
  <c r="K5" i="82" s="1"/>
  <c r="H5" i="82"/>
  <c r="J4" i="82"/>
  <c r="K4" i="82" s="1"/>
  <c r="H4" i="82"/>
  <c r="J3" i="82"/>
  <c r="K3" i="82" s="1"/>
  <c r="H3" i="82"/>
  <c r="V7" i="81"/>
  <c r="U7" i="81"/>
  <c r="J7" i="81"/>
  <c r="K7" i="81" s="1"/>
  <c r="H7" i="81"/>
  <c r="J5" i="81"/>
  <c r="K5" i="81" s="1"/>
  <c r="L5" i="81" s="1"/>
  <c r="H5" i="81"/>
  <c r="J4" i="81"/>
  <c r="K4" i="81" s="1"/>
  <c r="L4" i="81" s="1"/>
  <c r="H4" i="81"/>
  <c r="J3" i="81"/>
  <c r="K3" i="81" s="1"/>
  <c r="H3" i="81"/>
  <c r="V7" i="80"/>
  <c r="U7" i="80"/>
  <c r="J7" i="80"/>
  <c r="K7" i="80" s="1"/>
  <c r="H7" i="80"/>
  <c r="J5" i="80"/>
  <c r="K5" i="80" s="1"/>
  <c r="H5" i="80"/>
  <c r="J4" i="80"/>
  <c r="K4" i="80" s="1"/>
  <c r="L4" i="80" s="1"/>
  <c r="H4" i="80"/>
  <c r="J3" i="80"/>
  <c r="K3" i="80" s="1"/>
  <c r="H3" i="80"/>
  <c r="V7" i="79"/>
  <c r="U7" i="79"/>
  <c r="J7" i="79"/>
  <c r="K7" i="79" s="1"/>
  <c r="H7" i="79"/>
  <c r="J5" i="79"/>
  <c r="K5" i="79" s="1"/>
  <c r="H5" i="79"/>
  <c r="J4" i="79"/>
  <c r="K4" i="79" s="1"/>
  <c r="H4" i="79"/>
  <c r="J3" i="79"/>
  <c r="K3" i="79" s="1"/>
  <c r="H3" i="79"/>
  <c r="V7" i="78"/>
  <c r="U7" i="78"/>
  <c r="J7" i="78"/>
  <c r="K7" i="78" s="1"/>
  <c r="H7" i="78"/>
  <c r="J5" i="78"/>
  <c r="K5" i="78" s="1"/>
  <c r="L5" i="78" s="1"/>
  <c r="H5" i="78"/>
  <c r="J4" i="78"/>
  <c r="K4" i="78" s="1"/>
  <c r="L4" i="78" s="1"/>
  <c r="H4" i="78"/>
  <c r="J3" i="78"/>
  <c r="K3" i="78" s="1"/>
  <c r="H3" i="78"/>
  <c r="K8" i="77"/>
  <c r="L8" i="77" s="1"/>
  <c r="I8" i="77"/>
  <c r="W7" i="77"/>
  <c r="V7" i="77"/>
  <c r="K7" i="77"/>
  <c r="L7" i="77" s="1"/>
  <c r="I7" i="77"/>
  <c r="K5" i="77"/>
  <c r="L5" i="77" s="1"/>
  <c r="I5" i="77"/>
  <c r="K4" i="77"/>
  <c r="L4" i="77" s="1"/>
  <c r="M4" i="77" s="1"/>
  <c r="I4" i="77"/>
  <c r="K3" i="77"/>
  <c r="L3" i="77" s="1"/>
  <c r="I3" i="77"/>
  <c r="J8" i="76"/>
  <c r="K8" i="76" s="1"/>
  <c r="H8" i="76"/>
  <c r="V7" i="76"/>
  <c r="U7" i="76"/>
  <c r="J7" i="76"/>
  <c r="K7" i="76" s="1"/>
  <c r="H7" i="76"/>
  <c r="J5" i="76"/>
  <c r="K5" i="76" s="1"/>
  <c r="H5" i="76"/>
  <c r="J4" i="76"/>
  <c r="K4" i="76" s="1"/>
  <c r="H4" i="76"/>
  <c r="J3" i="76"/>
  <c r="K3" i="76" s="1"/>
  <c r="H3" i="76"/>
  <c r="L7" i="82" l="1"/>
  <c r="L5" i="82"/>
  <c r="L6" i="84"/>
  <c r="L3" i="82"/>
  <c r="L4" i="82"/>
  <c r="L5" i="84"/>
  <c r="L4" i="84"/>
  <c r="L7" i="84"/>
  <c r="L3" i="84"/>
  <c r="L3" i="83"/>
  <c r="L4" i="83"/>
  <c r="L7" i="80"/>
  <c r="L5" i="80"/>
  <c r="L3" i="81"/>
  <c r="L7" i="81"/>
  <c r="M5" i="77"/>
  <c r="M7" i="77"/>
  <c r="M3" i="77"/>
  <c r="L3" i="80"/>
  <c r="L7" i="79"/>
  <c r="L4" i="79"/>
  <c r="L5" i="79"/>
  <c r="L3" i="79"/>
  <c r="L7" i="78"/>
  <c r="L3" i="78"/>
  <c r="M8" i="77"/>
  <c r="L8" i="76"/>
  <c r="L7" i="76"/>
  <c r="L5" i="76"/>
  <c r="L3" i="76"/>
  <c r="L4" i="76"/>
  <c r="B31" i="71" l="1"/>
  <c r="C31" i="71"/>
  <c r="B32" i="71"/>
  <c r="C32" i="71"/>
  <c r="B33" i="71"/>
  <c r="C33" i="71"/>
  <c r="B40" i="71"/>
  <c r="C40" i="71"/>
  <c r="B41" i="71"/>
  <c r="C41" i="71"/>
  <c r="B42" i="71"/>
  <c r="C42" i="71"/>
  <c r="B43" i="71"/>
  <c r="C43" i="71"/>
  <c r="B44" i="71"/>
  <c r="C44" i="71"/>
  <c r="B45" i="71"/>
  <c r="C45" i="71"/>
  <c r="D31" i="71"/>
  <c r="E31" i="71"/>
  <c r="F31" i="71"/>
  <c r="G31" i="71"/>
  <c r="H31" i="71"/>
  <c r="D32" i="71"/>
  <c r="E32" i="71"/>
  <c r="F32" i="71"/>
  <c r="G32" i="71"/>
  <c r="H32" i="71"/>
  <c r="D33" i="71"/>
  <c r="E33" i="71"/>
  <c r="F33" i="71"/>
  <c r="G33" i="71"/>
  <c r="H33" i="71"/>
  <c r="D45" i="71"/>
  <c r="D44" i="71"/>
  <c r="D43" i="71"/>
  <c r="D42" i="71"/>
  <c r="D41" i="71"/>
  <c r="D40" i="71"/>
  <c r="H21" i="71"/>
  <c r="G21" i="71"/>
  <c r="F21" i="71"/>
  <c r="D21" i="71"/>
  <c r="C21" i="71"/>
  <c r="B21" i="71"/>
  <c r="H20" i="71"/>
  <c r="G20" i="71"/>
  <c r="D20" i="71"/>
  <c r="F20" i="71" s="1"/>
  <c r="C20" i="71"/>
  <c r="B20" i="71"/>
  <c r="H19" i="71"/>
  <c r="G19" i="71"/>
  <c r="D19" i="71"/>
  <c r="F19" i="71" s="1"/>
  <c r="C19" i="71"/>
  <c r="B19" i="71"/>
  <c r="H18" i="71"/>
  <c r="G18" i="71"/>
  <c r="D18" i="71"/>
  <c r="F18" i="71" s="1"/>
  <c r="C18" i="71"/>
  <c r="B18" i="71"/>
  <c r="H17" i="71"/>
  <c r="G17" i="71"/>
  <c r="D17" i="71"/>
  <c r="F17" i="71" s="1"/>
  <c r="C17" i="71"/>
  <c r="B17" i="71"/>
  <c r="H16" i="71"/>
  <c r="G16" i="71"/>
  <c r="D16" i="71"/>
  <c r="C16" i="71"/>
  <c r="B16" i="71"/>
  <c r="H8" i="71"/>
  <c r="G8" i="71"/>
  <c r="D8" i="71"/>
  <c r="F8" i="71" s="1"/>
  <c r="C8" i="71"/>
  <c r="B8" i="71"/>
  <c r="H7" i="71"/>
  <c r="G7" i="71"/>
  <c r="D7" i="71"/>
  <c r="F7" i="71" s="1"/>
  <c r="C7" i="71"/>
  <c r="B7" i="71"/>
  <c r="H6" i="71"/>
  <c r="G6" i="71"/>
  <c r="D6" i="71"/>
  <c r="F6" i="71" s="1"/>
  <c r="C6" i="71"/>
  <c r="B53" i="71" s="1"/>
  <c r="B6" i="71"/>
  <c r="C119" i="61"/>
  <c r="D119" i="61" s="1"/>
  <c r="E119" i="61" s="1"/>
  <c r="F119" i="61" s="1"/>
  <c r="G119" i="61" s="1"/>
  <c r="H119" i="61" s="1"/>
  <c r="I119" i="61" s="1"/>
  <c r="J119" i="61" s="1"/>
  <c r="K119" i="61" s="1"/>
  <c r="L119" i="61" s="1"/>
  <c r="M119" i="61" s="1"/>
  <c r="N119" i="61" s="1"/>
  <c r="O119" i="61" s="1"/>
  <c r="P119" i="61" s="1"/>
  <c r="Q119" i="61" s="1"/>
  <c r="R119" i="61" s="1"/>
  <c r="S119" i="61" s="1"/>
  <c r="T119" i="61" s="1"/>
  <c r="U119" i="61" s="1"/>
  <c r="V119" i="61" s="1"/>
  <c r="W119" i="61" s="1"/>
  <c r="X119" i="61" s="1"/>
  <c r="Y119" i="61" s="1"/>
  <c r="Z119" i="61" s="1"/>
  <c r="AA119" i="61" s="1"/>
  <c r="AB119" i="61" s="1"/>
  <c r="AC119" i="61" s="1"/>
  <c r="AD119" i="61" s="1"/>
  <c r="AE119" i="61" s="1"/>
  <c r="AF119" i="61" s="1"/>
  <c r="AG119" i="61" s="1"/>
  <c r="AH119" i="61" s="1"/>
  <c r="AI119" i="61" s="1"/>
  <c r="AJ119" i="61" s="1"/>
  <c r="AK119" i="61" s="1"/>
  <c r="AL119" i="61" s="1"/>
  <c r="AM119" i="61" s="1"/>
  <c r="AN119" i="61" s="1"/>
  <c r="AO119" i="61" s="1"/>
  <c r="AP119" i="61" s="1"/>
  <c r="AQ119" i="61" s="1"/>
  <c r="AR119" i="61" s="1"/>
  <c r="AS119" i="61" s="1"/>
  <c r="AT119" i="61" s="1"/>
  <c r="AU119" i="61" s="1"/>
  <c r="AV119" i="61" s="1"/>
  <c r="AW119" i="61" s="1"/>
  <c r="AX119" i="61" s="1"/>
  <c r="AY119" i="61" s="1"/>
  <c r="AZ119" i="61" s="1"/>
  <c r="BA119" i="61" s="1"/>
  <c r="C40" i="61"/>
  <c r="D40" i="61" s="1"/>
  <c r="E40" i="61" s="1"/>
  <c r="F40" i="61" s="1"/>
  <c r="G40" i="61" s="1"/>
  <c r="H40" i="61" s="1"/>
  <c r="I40" i="61" s="1"/>
  <c r="J40" i="61" s="1"/>
  <c r="K40" i="61" s="1"/>
  <c r="L40" i="61" s="1"/>
  <c r="M40" i="61" s="1"/>
  <c r="N40" i="61" s="1"/>
  <c r="O40" i="61" s="1"/>
  <c r="P40" i="61" s="1"/>
  <c r="Q40" i="61" s="1"/>
  <c r="R40" i="61" s="1"/>
  <c r="S40" i="61" s="1"/>
  <c r="T40" i="61" s="1"/>
  <c r="U40" i="61" s="1"/>
  <c r="V40" i="61" s="1"/>
  <c r="W40" i="61" s="1"/>
  <c r="X40" i="61" s="1"/>
  <c r="Y40" i="61" s="1"/>
  <c r="Z40" i="61" s="1"/>
  <c r="AA40" i="61" s="1"/>
  <c r="AB40" i="61" s="1"/>
  <c r="AC40" i="61" s="1"/>
  <c r="AD40" i="61" s="1"/>
  <c r="AE40" i="61" s="1"/>
  <c r="AF40" i="61" s="1"/>
  <c r="AG40" i="61" s="1"/>
  <c r="AH40" i="61" s="1"/>
  <c r="AI40" i="61" s="1"/>
  <c r="AJ40" i="61" s="1"/>
  <c r="AK40" i="61" s="1"/>
  <c r="AL40" i="61" s="1"/>
  <c r="AM40" i="61" s="1"/>
  <c r="AN40" i="61" s="1"/>
  <c r="AO40" i="61" s="1"/>
  <c r="AP40" i="61" s="1"/>
  <c r="AQ40" i="61" s="1"/>
  <c r="AR40" i="61" s="1"/>
  <c r="AS40" i="61" s="1"/>
  <c r="AT40" i="61" s="1"/>
  <c r="AU40" i="61" s="1"/>
  <c r="AV40" i="61" s="1"/>
  <c r="AW40" i="61" s="1"/>
  <c r="AX40" i="61" s="1"/>
  <c r="AY40" i="61" s="1"/>
  <c r="AZ40" i="61" s="1"/>
  <c r="BA40" i="61" s="1"/>
  <c r="F38" i="61"/>
  <c r="E38" i="61"/>
  <c r="D38" i="61"/>
  <c r="C38" i="61"/>
  <c r="B38" i="61"/>
  <c r="C56" i="61"/>
  <c r="D56" i="61" s="1"/>
  <c r="E56" i="61" s="1"/>
  <c r="F56" i="61" s="1"/>
  <c r="G56" i="61" s="1"/>
  <c r="H56" i="61" s="1"/>
  <c r="I56" i="61" s="1"/>
  <c r="J56" i="61" s="1"/>
  <c r="K56" i="61" s="1"/>
  <c r="L56" i="61" s="1"/>
  <c r="M56" i="61" s="1"/>
  <c r="N56" i="61" s="1"/>
  <c r="O56" i="61" s="1"/>
  <c r="P56" i="61" s="1"/>
  <c r="Q56" i="61" s="1"/>
  <c r="R56" i="61" s="1"/>
  <c r="S56" i="61" s="1"/>
  <c r="T56" i="61" s="1"/>
  <c r="U56" i="61" s="1"/>
  <c r="V56" i="61" s="1"/>
  <c r="W56" i="61" s="1"/>
  <c r="X56" i="61" s="1"/>
  <c r="Y56" i="61" s="1"/>
  <c r="Z56" i="61" s="1"/>
  <c r="AA56" i="61" s="1"/>
  <c r="AB56" i="61" s="1"/>
  <c r="AC56" i="61" s="1"/>
  <c r="AD56" i="61" s="1"/>
  <c r="AE56" i="61" s="1"/>
  <c r="AF56" i="61" s="1"/>
  <c r="AG56" i="61" s="1"/>
  <c r="AH56" i="61" s="1"/>
  <c r="AI56" i="61" s="1"/>
  <c r="AJ56" i="61" s="1"/>
  <c r="AK56" i="61" s="1"/>
  <c r="AL56" i="61" s="1"/>
  <c r="AM56" i="61" s="1"/>
  <c r="AN56" i="61" s="1"/>
  <c r="AO56" i="61" s="1"/>
  <c r="AP56" i="61" s="1"/>
  <c r="AQ56" i="61" s="1"/>
  <c r="AR56" i="61" s="1"/>
  <c r="AS56" i="61" s="1"/>
  <c r="AT56" i="61" s="1"/>
  <c r="AU56" i="61" s="1"/>
  <c r="AV56" i="61" s="1"/>
  <c r="AW56" i="61" s="1"/>
  <c r="AX56" i="61" s="1"/>
  <c r="AY56" i="61" s="1"/>
  <c r="AZ56" i="61" s="1"/>
  <c r="BA56" i="61" s="1"/>
  <c r="F54" i="61"/>
  <c r="E54" i="61"/>
  <c r="D54" i="61"/>
  <c r="C54" i="61"/>
  <c r="B54" i="61"/>
  <c r="F25" i="61"/>
  <c r="E25" i="61"/>
  <c r="D25" i="61"/>
  <c r="C25" i="61"/>
  <c r="B25" i="61"/>
  <c r="F22" i="61"/>
  <c r="E22" i="61"/>
  <c r="D22" i="61"/>
  <c r="C22" i="61"/>
  <c r="B22" i="61"/>
  <c r="J8" i="70"/>
  <c r="K8" i="70" s="1"/>
  <c r="H8" i="70"/>
  <c r="V7" i="70"/>
  <c r="U7" i="70"/>
  <c r="J7" i="70"/>
  <c r="K7" i="70" s="1"/>
  <c r="H7" i="70"/>
  <c r="J6" i="70"/>
  <c r="K6" i="70" s="1"/>
  <c r="H6" i="70"/>
  <c r="J5" i="70"/>
  <c r="K5" i="70" s="1"/>
  <c r="H5" i="70"/>
  <c r="J4" i="70"/>
  <c r="K4" i="70" s="1"/>
  <c r="H4" i="70"/>
  <c r="J3" i="70"/>
  <c r="K3" i="70" s="1"/>
  <c r="H3" i="70"/>
  <c r="J8" i="69"/>
  <c r="K8" i="69" s="1"/>
  <c r="H8" i="69"/>
  <c r="V7" i="69"/>
  <c r="U7" i="69"/>
  <c r="J7" i="69"/>
  <c r="K7" i="69" s="1"/>
  <c r="H7" i="69"/>
  <c r="J6" i="69"/>
  <c r="K6" i="69" s="1"/>
  <c r="H6" i="69"/>
  <c r="J5" i="69"/>
  <c r="K5" i="69" s="1"/>
  <c r="H5" i="69"/>
  <c r="J4" i="69"/>
  <c r="K4" i="69" s="1"/>
  <c r="H4" i="69"/>
  <c r="J3" i="69"/>
  <c r="K3" i="69" s="1"/>
  <c r="H3" i="69"/>
  <c r="J8" i="68"/>
  <c r="K8" i="68" s="1"/>
  <c r="H8" i="68"/>
  <c r="V7" i="68"/>
  <c r="U7" i="68"/>
  <c r="J7" i="68"/>
  <c r="K7" i="68" s="1"/>
  <c r="H7" i="68"/>
  <c r="J6" i="68"/>
  <c r="K6" i="68" s="1"/>
  <c r="H6" i="68"/>
  <c r="J5" i="68"/>
  <c r="K5" i="68" s="1"/>
  <c r="H5" i="68"/>
  <c r="J4" i="68"/>
  <c r="K4" i="68" s="1"/>
  <c r="L4" i="68" s="1"/>
  <c r="H4" i="68"/>
  <c r="J3" i="68"/>
  <c r="K3" i="68" s="1"/>
  <c r="H3" i="68"/>
  <c r="J8" i="67"/>
  <c r="K8" i="67" s="1"/>
  <c r="H8" i="67"/>
  <c r="V7" i="67"/>
  <c r="U7" i="67"/>
  <c r="J7" i="67"/>
  <c r="K7" i="67" s="1"/>
  <c r="H7" i="67"/>
  <c r="J6" i="67"/>
  <c r="K6" i="67" s="1"/>
  <c r="H6" i="67"/>
  <c r="J5" i="67"/>
  <c r="K5" i="67" s="1"/>
  <c r="H5" i="67"/>
  <c r="J4" i="67"/>
  <c r="K4" i="67" s="1"/>
  <c r="H4" i="67"/>
  <c r="J3" i="67"/>
  <c r="K3" i="67" s="1"/>
  <c r="L3" i="67" s="1"/>
  <c r="H3" i="67"/>
  <c r="J8" i="66"/>
  <c r="K8" i="66" s="1"/>
  <c r="H8" i="66"/>
  <c r="V7" i="66"/>
  <c r="U7" i="66"/>
  <c r="J7" i="66"/>
  <c r="K7" i="66" s="1"/>
  <c r="H7" i="66"/>
  <c r="J6" i="66"/>
  <c r="K6" i="66" s="1"/>
  <c r="L6" i="66" s="1"/>
  <c r="H6" i="66"/>
  <c r="J5" i="66"/>
  <c r="K5" i="66" s="1"/>
  <c r="H5" i="66"/>
  <c r="J4" i="66"/>
  <c r="K4" i="66" s="1"/>
  <c r="H4" i="66"/>
  <c r="J3" i="66"/>
  <c r="K3" i="66" s="1"/>
  <c r="H3" i="66"/>
  <c r="J8" i="65"/>
  <c r="K8" i="65" s="1"/>
  <c r="H8" i="65"/>
  <c r="J7" i="65"/>
  <c r="K7" i="65" s="1"/>
  <c r="H7" i="65"/>
  <c r="V6" i="65"/>
  <c r="U6" i="65"/>
  <c r="J6" i="65"/>
  <c r="K6" i="65" s="1"/>
  <c r="H6" i="65"/>
  <c r="J5" i="65"/>
  <c r="K5" i="65" s="1"/>
  <c r="L5" i="65" s="1"/>
  <c r="H5" i="65"/>
  <c r="J4" i="65"/>
  <c r="K4" i="65" s="1"/>
  <c r="H4" i="65"/>
  <c r="J3" i="65"/>
  <c r="K3" i="65" s="1"/>
  <c r="H3" i="65"/>
  <c r="K9" i="64"/>
  <c r="J8" i="64"/>
  <c r="K8" i="64" s="1"/>
  <c r="H8" i="64"/>
  <c r="V7" i="64"/>
  <c r="U7" i="64"/>
  <c r="J7" i="64"/>
  <c r="K7" i="64" s="1"/>
  <c r="H7" i="64"/>
  <c r="J6" i="64"/>
  <c r="K6" i="64" s="1"/>
  <c r="L6" i="64" s="1"/>
  <c r="H6" i="64"/>
  <c r="J5" i="64"/>
  <c r="K5" i="64" s="1"/>
  <c r="H5" i="64"/>
  <c r="J4" i="64"/>
  <c r="K4" i="64" s="1"/>
  <c r="H4" i="64"/>
  <c r="J3" i="64"/>
  <c r="K3" i="64" s="1"/>
  <c r="H3" i="64"/>
  <c r="J9" i="62"/>
  <c r="K8" i="62"/>
  <c r="L8" i="62" s="1"/>
  <c r="J8" i="62"/>
  <c r="H8" i="62"/>
  <c r="U7" i="62"/>
  <c r="T7" i="62"/>
  <c r="K7" i="62"/>
  <c r="L7" i="62" s="1"/>
  <c r="J7" i="62"/>
  <c r="H7" i="62"/>
  <c r="K6" i="62"/>
  <c r="L6" i="62" s="1"/>
  <c r="J6" i="62"/>
  <c r="H6" i="62"/>
  <c r="K5" i="62"/>
  <c r="L5" i="62" s="1"/>
  <c r="J5" i="62"/>
  <c r="H5" i="62"/>
  <c r="K4" i="62"/>
  <c r="L4" i="62" s="1"/>
  <c r="J4" i="62"/>
  <c r="H4" i="62"/>
  <c r="K3" i="62"/>
  <c r="L3" i="62" s="1"/>
  <c r="J3" i="62"/>
  <c r="H3" i="62"/>
  <c r="J9" i="63"/>
  <c r="J8" i="63"/>
  <c r="K8" i="63" s="1"/>
  <c r="H8" i="63"/>
  <c r="J7" i="63"/>
  <c r="K7" i="63" s="1"/>
  <c r="H7" i="63"/>
  <c r="U6" i="63"/>
  <c r="T6" i="63"/>
  <c r="J6" i="63"/>
  <c r="K6" i="63" s="1"/>
  <c r="H6" i="63"/>
  <c r="K5" i="63"/>
  <c r="J5" i="63"/>
  <c r="H5" i="63"/>
  <c r="J4" i="63"/>
  <c r="K4" i="63" s="1"/>
  <c r="L4" i="63" s="1"/>
  <c r="H4" i="63"/>
  <c r="K3" i="63"/>
  <c r="L3" i="63" s="1"/>
  <c r="J3" i="63"/>
  <c r="H3" i="63"/>
  <c r="L6" i="70" l="1"/>
  <c r="L6" i="69"/>
  <c r="L5" i="69"/>
  <c r="L8" i="69"/>
  <c r="B52" i="71"/>
  <c r="B34" i="71"/>
  <c r="C34" i="71"/>
  <c r="I20" i="71"/>
  <c r="E44" i="71"/>
  <c r="B59" i="71"/>
  <c r="C46" i="71"/>
  <c r="E45" i="71"/>
  <c r="I18" i="71"/>
  <c r="I21" i="71"/>
  <c r="I16" i="71"/>
  <c r="B60" i="71"/>
  <c r="E43" i="71"/>
  <c r="I19" i="71"/>
  <c r="B46" i="71"/>
  <c r="I6" i="71"/>
  <c r="J8" i="71"/>
  <c r="I17" i="71"/>
  <c r="I7" i="71"/>
  <c r="I8" i="71"/>
  <c r="E34" i="71"/>
  <c r="G34" i="71"/>
  <c r="F34" i="71"/>
  <c r="D34" i="71"/>
  <c r="E41" i="71"/>
  <c r="I31" i="71"/>
  <c r="H34" i="71"/>
  <c r="E42" i="71"/>
  <c r="I33" i="71"/>
  <c r="J33" i="71" s="1"/>
  <c r="I32" i="71"/>
  <c r="J32" i="71" s="1"/>
  <c r="D46" i="71"/>
  <c r="L7" i="67"/>
  <c r="L3" i="65"/>
  <c r="L8" i="67"/>
  <c r="L3" i="69"/>
  <c r="L7" i="69"/>
  <c r="L8" i="65"/>
  <c r="L4" i="66"/>
  <c r="L5" i="67"/>
  <c r="L6" i="68"/>
  <c r="L4" i="70"/>
  <c r="L5" i="63"/>
  <c r="L8" i="63"/>
  <c r="L9" i="64"/>
  <c r="L3" i="64"/>
  <c r="L7" i="64"/>
  <c r="L4" i="65"/>
  <c r="L7" i="65"/>
  <c r="L5" i="66"/>
  <c r="L8" i="66"/>
  <c r="L6" i="67"/>
  <c r="L3" i="68"/>
  <c r="L7" i="68"/>
  <c r="L4" i="69"/>
  <c r="L5" i="70"/>
  <c r="L8" i="70"/>
  <c r="J7" i="71"/>
  <c r="L6" i="63"/>
  <c r="L4" i="64"/>
  <c r="L5" i="64"/>
  <c r="L8" i="64"/>
  <c r="J6" i="71"/>
  <c r="L6" i="65"/>
  <c r="L3" i="66"/>
  <c r="L7" i="66"/>
  <c r="L4" i="67"/>
  <c r="L5" i="68"/>
  <c r="L8" i="68"/>
  <c r="L3" i="70"/>
  <c r="L7" i="70"/>
  <c r="L7" i="63"/>
  <c r="E40" i="71"/>
  <c r="B54" i="71"/>
  <c r="F16" i="71"/>
  <c r="J18" i="71" s="1"/>
  <c r="J20" i="71" l="1"/>
  <c r="J17" i="71"/>
  <c r="J19" i="71"/>
  <c r="J21" i="71"/>
  <c r="E46" i="71"/>
  <c r="I34" i="71"/>
  <c r="J31" i="71"/>
  <c r="B58" i="71"/>
  <c r="B57" i="71"/>
  <c r="J16" i="71"/>
</calcChain>
</file>

<file path=xl/sharedStrings.xml><?xml version="1.0" encoding="utf-8"?>
<sst xmlns="http://schemas.openxmlformats.org/spreadsheetml/2006/main" count="2196" uniqueCount="153">
  <si>
    <t>Collector</t>
  </si>
  <si>
    <t>Boar</t>
  </si>
  <si>
    <t>TSI</t>
  </si>
  <si>
    <t>Genetic level</t>
  </si>
  <si>
    <t>Genetic Rank</t>
  </si>
  <si>
    <t>Last recorded raw Semen collected (mls)</t>
  </si>
  <si>
    <t>Last recorded Doses</t>
  </si>
  <si>
    <t>Dose rank</t>
  </si>
  <si>
    <t>Last recorded Morphology</t>
  </si>
  <si>
    <t>Morphology  rank</t>
  </si>
  <si>
    <t>Overal Grading</t>
  </si>
  <si>
    <t>Overal Rank</t>
  </si>
  <si>
    <t>MULTIPLER SITE</t>
  </si>
  <si>
    <t>Sunday</t>
  </si>
  <si>
    <t>Wed</t>
  </si>
  <si>
    <t>AW</t>
  </si>
  <si>
    <t>LA0499</t>
  </si>
  <si>
    <t>Above average</t>
  </si>
  <si>
    <t>required</t>
  </si>
  <si>
    <t>estimate</t>
  </si>
  <si>
    <t>actual</t>
  </si>
  <si>
    <t>LA0752</t>
  </si>
  <si>
    <t>Average</t>
  </si>
  <si>
    <t>TOTAL OF THE WEEK</t>
  </si>
  <si>
    <t>LA0724</t>
  </si>
  <si>
    <t>Estimated total</t>
  </si>
  <si>
    <t>Actual total</t>
  </si>
  <si>
    <t>CM</t>
  </si>
  <si>
    <t>CL1114</t>
  </si>
  <si>
    <t>Low</t>
  </si>
  <si>
    <t>LA0117</t>
  </si>
  <si>
    <t>CL6865</t>
  </si>
  <si>
    <t>CL6866</t>
  </si>
  <si>
    <t>SUNDAY</t>
  </si>
  <si>
    <t>WEDNESDAY</t>
  </si>
  <si>
    <t>L1</t>
  </si>
  <si>
    <t>L2</t>
  </si>
  <si>
    <t>NO LONGER IN USE AWAITING TOBE TEASER BOARS</t>
  </si>
  <si>
    <t>TA</t>
  </si>
  <si>
    <t>NO LONGER IN USE AWAITING TO BE TEASER BOARS</t>
  </si>
  <si>
    <t>Comment</t>
  </si>
  <si>
    <t>LA17;CL65 rested</t>
  </si>
  <si>
    <t>LA99 rested</t>
  </si>
  <si>
    <t>Nolonger in use waiting to be teaser boar</t>
  </si>
  <si>
    <t>CL14,CL65 rested</t>
  </si>
  <si>
    <t>LA0946</t>
  </si>
  <si>
    <t>Very low</t>
  </si>
  <si>
    <t xml:space="preserve">Not yet in use </t>
  </si>
  <si>
    <t>Rank</t>
  </si>
  <si>
    <t>level</t>
  </si>
  <si>
    <t>week</t>
  </si>
  <si>
    <t>morphology target top</t>
  </si>
  <si>
    <t>Actual</t>
  </si>
  <si>
    <t>boars avg # of doses</t>
  </si>
  <si>
    <t>doses actual</t>
  </si>
  <si>
    <t>comment</t>
  </si>
  <si>
    <t>Tenability - Day 1</t>
  </si>
  <si>
    <t>tenability - Day 2</t>
  </si>
  <si>
    <t>tenability - Day 3</t>
  </si>
  <si>
    <t>Vaccinated and recovered well</t>
  </si>
  <si>
    <t>Max</t>
  </si>
  <si>
    <t>Min</t>
  </si>
  <si>
    <t>`</t>
  </si>
  <si>
    <t>Date of Birth</t>
  </si>
  <si>
    <t>AGE</t>
  </si>
  <si>
    <t>COLLECTOR PERFORMANCE ANALYSIS DASHBOARD</t>
  </si>
  <si>
    <t>SUMMARY STATISTICS BY COLLECTOR</t>
  </si>
  <si>
    <t>Total Collections</t>
  </si>
  <si>
    <t>Total Volume (mls)</t>
  </si>
  <si>
    <t>Average (mls)</t>
  </si>
  <si>
    <t>Std Deviation</t>
  </si>
  <si>
    <t>CV %</t>
  </si>
  <si>
    <t>Range</t>
  </si>
  <si>
    <t>Consistency Rank</t>
  </si>
  <si>
    <t>BOAR COLLECTION ANALYSIS</t>
  </si>
  <si>
    <t>Collections</t>
  </si>
  <si>
    <t>Total Vol (mls)</t>
  </si>
  <si>
    <t>Std Dev</t>
  </si>
  <si>
    <t xml:space="preserve">WEEKLY VOLUME BY COLLECTOR </t>
  </si>
  <si>
    <t>Wk 1</t>
  </si>
  <si>
    <t>Wk 2</t>
  </si>
  <si>
    <t>Wk 3</t>
  </si>
  <si>
    <t>Wk 4</t>
  </si>
  <si>
    <t>Wk 5</t>
  </si>
  <si>
    <t>Wk 6</t>
  </si>
  <si>
    <t>Wk 7</t>
  </si>
  <si>
    <t>Total</t>
  </si>
  <si>
    <t>Avg/Week</t>
  </si>
  <si>
    <t>COLLECTOR-BOAR CROSS REFERENCE (Collections Count)</t>
  </si>
  <si>
    <t>KEY FINDINGS &amp; CONCLUSIONS</t>
  </si>
  <si>
    <t>COLLECTOR ANALYSIS:</t>
  </si>
  <si>
    <t>Most Consistent Collector:</t>
  </si>
  <si>
    <t>(lowest CV%)</t>
  </si>
  <si>
    <t>Highest Volume Collector:</t>
  </si>
  <si>
    <t>Highest Avg per Collection:</t>
  </si>
  <si>
    <t>BOAR ANALYSIS:</t>
  </si>
  <si>
    <t>Most Consistent Boar:</t>
  </si>
  <si>
    <t>Least Consistent Boar:</t>
  </si>
  <si>
    <t>(highest CV%)</t>
  </si>
  <si>
    <t>Most Collected Boar:</t>
  </si>
  <si>
    <t>Highest Yield Boar:</t>
  </si>
  <si>
    <t>Week</t>
  </si>
  <si>
    <t>(All)</t>
  </si>
  <si>
    <t>RAW DATA - ALL COLLECTIONS</t>
  </si>
  <si>
    <t>Raw Semen (mls)</t>
  </si>
  <si>
    <t>Sum of Raw Semen (mls)</t>
  </si>
  <si>
    <t>Grand Total</t>
  </si>
  <si>
    <t>Week number</t>
  </si>
  <si>
    <t>Column Labels</t>
  </si>
  <si>
    <t>Row Labels</t>
  </si>
  <si>
    <t>PREDICTIVE OPTIMIZATION MODEL</t>
  </si>
  <si>
    <t>BASELINE (Weeks 1-7)</t>
  </si>
  <si>
    <t>Column1</t>
  </si>
  <si>
    <t>Column2</t>
  </si>
  <si>
    <t>Column3</t>
  </si>
  <si>
    <t>Total Volume</t>
  </si>
  <si>
    <t>9,323 mL</t>
  </si>
  <si>
    <t>Avg per Collection</t>
  </si>
  <si>
    <t>266.4 mL</t>
  </si>
  <si>
    <t>Weekly Average</t>
  </si>
  <si>
    <t>1,332 mL</t>
  </si>
  <si>
    <t>OPTIMIZATION SCENARIOS</t>
  </si>
  <si>
    <t>Scenario</t>
  </si>
  <si>
    <t>Total Gain</t>
  </si>
  <si>
    <t>% Improvement</t>
  </si>
  <si>
    <t>Top 3 Priority</t>
  </si>
  <si>
    <t>+790 mL</t>
  </si>
  <si>
    <t>+8.47%</t>
  </si>
  <si>
    <t>Full Optimization</t>
  </si>
  <si>
    <t>+1,405 mL</t>
  </si>
  <si>
    <t>+15.07%</t>
  </si>
  <si>
    <t>ANNUAL PROJECTION</t>
  </si>
  <si>
    <t>Current Annual</t>
  </si>
  <si>
    <t>69,257 mL</t>
  </si>
  <si>
    <t>Optimized Annual</t>
  </si>
  <si>
    <t>79,694 mL</t>
  </si>
  <si>
    <t>Annual Gain</t>
  </si>
  <si>
    <t>+10,437 mL</t>
  </si>
  <si>
    <t>CONFIDENCE INTERVALS</t>
  </si>
  <si>
    <t>Conservative (80%)</t>
  </si>
  <si>
    <t>+1,124 mL</t>
  </si>
  <si>
    <t>Most Likely (100%)</t>
  </si>
  <si>
    <t>Optimistic (110%)</t>
  </si>
  <si>
    <t>+1,545 mL</t>
  </si>
  <si>
    <t>cl66</t>
  </si>
  <si>
    <t>CL65</t>
  </si>
  <si>
    <t>CULL</t>
  </si>
  <si>
    <t xml:space="preserve">AW </t>
  </si>
  <si>
    <t>DoB</t>
  </si>
  <si>
    <t>Age</t>
  </si>
  <si>
    <t>Below average</t>
  </si>
  <si>
    <t>LA1342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</si>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</sst>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1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4"/>
      <color rgb="FF000000"/>
      <name val="Aptos Narrow"/>
      <family val="2"/>
      <scheme val="minor"/>
    </font>
    <font>
      <sz val="10"/>
      <color rgb="FF000000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b/>
      <sz val="10"/>
      <color rgb="FFFFFFFF"/>
      <name val="Aptos Narrow"/>
      <family val="2"/>
      <scheme val="minor"/>
    </font>
    <font>
      <b/>
      <sz val="10"/>
      <color rgb="FF2563EB"/>
      <name val="Aptos Narrow"/>
      <family val="2"/>
      <scheme val="minor"/>
    </font>
    <font>
      <b/>
      <sz val="18"/>
      <color rgb="FFFFFFFF"/>
      <name val="Aptos Narrow"/>
      <family val="2"/>
      <scheme val="minor"/>
    </font>
    <font>
      <b/>
      <sz val="14"/>
      <color theme="0"/>
      <name val="Calibri"/>
      <family val="2"/>
    </font>
  </fonts>
  <fills count="2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BFBFBF"/>
      </patternFill>
    </fill>
    <fill>
      <patternFill patternType="solid">
        <fgColor rgb="FFD0CECE"/>
      </patternFill>
    </fill>
    <fill>
      <patternFill patternType="solid">
        <fgColor rgb="FFFFFFFF"/>
      </patternFill>
    </fill>
    <fill>
      <patternFill patternType="solid">
        <fgColor rgb="FF00B0F0"/>
      </patternFill>
    </fill>
    <fill>
      <patternFill patternType="solid">
        <fgColor rgb="FF92D050"/>
      </patternFill>
    </fill>
    <fill>
      <patternFill patternType="solid">
        <fgColor rgb="FFFF0000"/>
      </patternFill>
    </fill>
    <fill>
      <patternFill patternType="solid">
        <fgColor rgb="FFE7E6E6"/>
      </patternFill>
    </fill>
    <fill>
      <patternFill patternType="solid">
        <fgColor rgb="FF00B050"/>
      </patternFill>
    </fill>
    <fill>
      <patternFill patternType="solid">
        <fgColor rgb="FFFFC000"/>
      </patternFill>
    </fill>
    <fill>
      <patternFill patternType="solid">
        <fgColor rgb="FFE0E7FF"/>
      </patternFill>
    </fill>
    <fill>
      <patternFill patternType="solid">
        <fgColor rgb="FFD1D5DB"/>
      </patternFill>
    </fill>
    <fill>
      <patternFill patternType="solid">
        <fgColor rgb="FF1E3A8A"/>
      </patternFill>
    </fill>
    <fill>
      <patternFill patternType="solid">
        <fgColor rgb="FF16A34A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499984740745262"/>
        <bgColor indexed="64"/>
      </patternFill>
    </fill>
  </fills>
  <borders count="4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double">
        <color rgb="FF000000"/>
      </bottom>
      <diagonal/>
    </border>
    <border>
      <left style="medium">
        <color rgb="FF000000"/>
      </left>
      <right/>
      <top/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/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0" fontId="4" fillId="0" borderId="0"/>
    <xf numFmtId="0" fontId="2" fillId="0" borderId="0"/>
    <xf numFmtId="0" fontId="6" fillId="0" borderId="0"/>
    <xf numFmtId="0" fontId="2" fillId="0" borderId="0"/>
    <xf numFmtId="0" fontId="1" fillId="0" borderId="0"/>
  </cellStyleXfs>
  <cellXfs count="225">
    <xf numFmtId="0" fontId="0" fillId="0" borderId="0" xfId="0"/>
    <xf numFmtId="0" fontId="0" fillId="6" borderId="0" xfId="0" applyFill="1" applyAlignment="1">
      <alignment horizontal="center"/>
    </xf>
    <xf numFmtId="0" fontId="0" fillId="0" borderId="0" xfId="0" applyAlignment="1">
      <alignment horizontal="center"/>
    </xf>
    <xf numFmtId="0" fontId="2" fillId="0" borderId="0" xfId="2"/>
    <xf numFmtId="0" fontId="5" fillId="0" borderId="1" xfId="2" applyFont="1" applyBorder="1" applyAlignment="1">
      <alignment horizontal="center"/>
    </xf>
    <xf numFmtId="0" fontId="5" fillId="0" borderId="3" xfId="2" applyFont="1" applyBorder="1" applyAlignment="1">
      <alignment horizontal="center"/>
    </xf>
    <xf numFmtId="0" fontId="5" fillId="0" borderId="4" xfId="2" applyFont="1" applyBorder="1" applyAlignment="1">
      <alignment horizontal="center"/>
    </xf>
    <xf numFmtId="0" fontId="5" fillId="0" borderId="0" xfId="2" applyFont="1" applyAlignment="1">
      <alignment horizontal="center"/>
    </xf>
    <xf numFmtId="0" fontId="5" fillId="0" borderId="17" xfId="2" applyFont="1" applyBorder="1" applyAlignment="1">
      <alignment horizontal="center"/>
    </xf>
    <xf numFmtId="0" fontId="5" fillId="0" borderId="18" xfId="2" applyFont="1" applyBorder="1" applyAlignment="1">
      <alignment horizontal="center"/>
    </xf>
    <xf numFmtId="0" fontId="3" fillId="0" borderId="1" xfId="2" applyFont="1" applyBorder="1"/>
    <xf numFmtId="0" fontId="2" fillId="0" borderId="3" xfId="2" applyBorder="1" applyAlignment="1">
      <alignment horizontal="center"/>
    </xf>
    <xf numFmtId="0" fontId="2" fillId="0" borderId="4" xfId="2" applyBorder="1" applyAlignment="1">
      <alignment horizontal="center"/>
    </xf>
    <xf numFmtId="0" fontId="3" fillId="9" borderId="17" xfId="2" applyFont="1" applyFill="1" applyBorder="1"/>
    <xf numFmtId="0" fontId="2" fillId="9" borderId="0" xfId="2" applyFill="1" applyAlignment="1">
      <alignment horizontal="center"/>
    </xf>
    <xf numFmtId="0" fontId="3" fillId="0" borderId="5" xfId="2" applyFont="1" applyBorder="1"/>
    <xf numFmtId="0" fontId="3" fillId="0" borderId="7" xfId="2" applyFont="1" applyBorder="1" applyAlignment="1">
      <alignment horizontal="center"/>
    </xf>
    <xf numFmtId="0" fontId="3" fillId="0" borderId="8" xfId="2" applyFont="1" applyBorder="1" applyAlignment="1">
      <alignment horizontal="center"/>
    </xf>
    <xf numFmtId="0" fontId="3" fillId="0" borderId="17" xfId="2" applyFont="1" applyBorder="1"/>
    <xf numFmtId="0" fontId="2" fillId="0" borderId="0" xfId="2" applyAlignment="1">
      <alignment horizontal="center"/>
    </xf>
    <xf numFmtId="0" fontId="2" fillId="0" borderId="18" xfId="2" applyBorder="1" applyAlignment="1">
      <alignment horizontal="center"/>
    </xf>
    <xf numFmtId="1" fontId="2" fillId="9" borderId="0" xfId="2" applyNumberFormat="1" applyFill="1" applyAlignment="1">
      <alignment horizontal="center"/>
    </xf>
    <xf numFmtId="0" fontId="3" fillId="0" borderId="0" xfId="2" applyFont="1" applyAlignment="1">
      <alignment horizontal="center"/>
    </xf>
    <xf numFmtId="0" fontId="3" fillId="0" borderId="18" xfId="2" applyFont="1" applyBorder="1" applyAlignment="1">
      <alignment horizontal="center"/>
    </xf>
    <xf numFmtId="0" fontId="3" fillId="0" borderId="7" xfId="2" applyFont="1" applyBorder="1" applyAlignment="1">
      <alignment horizontal="center" wrapText="1"/>
    </xf>
    <xf numFmtId="0" fontId="2" fillId="0" borderId="7" xfId="2" applyBorder="1" applyAlignment="1">
      <alignment horizontal="center"/>
    </xf>
    <xf numFmtId="0" fontId="3" fillId="0" borderId="0" xfId="2" applyFont="1"/>
    <xf numFmtId="0" fontId="0" fillId="10" borderId="0" xfId="0" applyFill="1" applyAlignment="1">
      <alignment horizontal="center"/>
    </xf>
    <xf numFmtId="0" fontId="2" fillId="0" borderId="0" xfId="4"/>
    <xf numFmtId="14" fontId="2" fillId="0" borderId="0" xfId="4" applyNumberFormat="1"/>
    <xf numFmtId="0" fontId="0" fillId="0" borderId="2" xfId="4" applyFont="1" applyBorder="1" applyAlignment="1">
      <alignment horizontal="center"/>
    </xf>
    <xf numFmtId="0" fontId="2" fillId="3" borderId="16" xfId="4" applyFill="1" applyBorder="1" applyAlignment="1">
      <alignment horizontal="center"/>
    </xf>
    <xf numFmtId="0" fontId="2" fillId="4" borderId="2" xfId="4" applyFill="1" applyBorder="1" applyAlignment="1">
      <alignment horizontal="center"/>
    </xf>
    <xf numFmtId="0" fontId="0" fillId="0" borderId="16" xfId="4" applyFont="1" applyBorder="1" applyAlignment="1">
      <alignment horizontal="center"/>
    </xf>
    <xf numFmtId="0" fontId="2" fillId="4" borderId="16" xfId="4" applyFill="1" applyBorder="1" applyAlignment="1">
      <alignment horizontal="center"/>
    </xf>
    <xf numFmtId="0" fontId="2" fillId="0" borderId="16" xfId="4" applyBorder="1" applyAlignment="1">
      <alignment horizontal="center"/>
    </xf>
    <xf numFmtId="0" fontId="2" fillId="0" borderId="6" xfId="4" applyBorder="1" applyAlignment="1">
      <alignment horizontal="center"/>
    </xf>
    <xf numFmtId="0" fontId="2" fillId="3" borderId="6" xfId="4" applyFill="1" applyBorder="1" applyAlignment="1">
      <alignment horizontal="center"/>
    </xf>
    <xf numFmtId="0" fontId="2" fillId="4" borderId="6" xfId="4" applyFill="1" applyBorder="1" applyAlignment="1">
      <alignment horizontal="center"/>
    </xf>
    <xf numFmtId="0" fontId="2" fillId="2" borderId="0" xfId="4" applyFill="1"/>
    <xf numFmtId="0" fontId="2" fillId="10" borderId="2" xfId="4" applyFill="1" applyBorder="1" applyAlignment="1">
      <alignment horizontal="center"/>
    </xf>
    <xf numFmtId="0" fontId="2" fillId="8" borderId="16" xfId="4" applyFill="1" applyBorder="1" applyAlignment="1">
      <alignment horizontal="center"/>
    </xf>
    <xf numFmtId="0" fontId="2" fillId="11" borderId="16" xfId="4" applyFill="1" applyBorder="1" applyAlignment="1">
      <alignment horizontal="center"/>
    </xf>
    <xf numFmtId="0" fontId="2" fillId="11" borderId="6" xfId="4" applyFill="1" applyBorder="1" applyAlignment="1">
      <alignment horizontal="center"/>
    </xf>
    <xf numFmtId="0" fontId="2" fillId="8" borderId="0" xfId="4" applyFill="1" applyAlignment="1">
      <alignment horizontal="center"/>
    </xf>
    <xf numFmtId="0" fontId="2" fillId="8" borderId="17" xfId="4" applyFill="1" applyBorder="1" applyAlignment="1">
      <alignment horizontal="center"/>
    </xf>
    <xf numFmtId="164" fontId="2" fillId="8" borderId="16" xfId="4" applyNumberFormat="1" applyFill="1" applyBorder="1" applyAlignment="1">
      <alignment horizontal="center"/>
    </xf>
    <xf numFmtId="1" fontId="2" fillId="8" borderId="16" xfId="4" applyNumberFormat="1" applyFill="1" applyBorder="1" applyAlignment="1">
      <alignment horizontal="center"/>
    </xf>
    <xf numFmtId="0" fontId="2" fillId="6" borderId="5" xfId="4" applyFill="1" applyBorder="1" applyAlignment="1">
      <alignment horizontal="center"/>
    </xf>
    <xf numFmtId="0" fontId="2" fillId="7" borderId="23" xfId="4" applyFill="1" applyBorder="1" applyAlignment="1">
      <alignment horizontal="center"/>
    </xf>
    <xf numFmtId="0" fontId="2" fillId="6" borderId="2" xfId="4" applyFill="1" applyBorder="1" applyAlignment="1">
      <alignment horizontal="center"/>
    </xf>
    <xf numFmtId="0" fontId="2" fillId="6" borderId="16" xfId="4" applyFill="1" applyBorder="1" applyAlignment="1">
      <alignment horizontal="center"/>
    </xf>
    <xf numFmtId="0" fontId="2" fillId="10" borderId="16" xfId="4" applyFill="1" applyBorder="1" applyAlignment="1">
      <alignment horizontal="center"/>
    </xf>
    <xf numFmtId="0" fontId="7" fillId="12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0" fontId="7" fillId="12" borderId="0" xfId="0" applyFont="1" applyFill="1" applyAlignment="1">
      <alignment horizontal="center"/>
    </xf>
    <xf numFmtId="0" fontId="7" fillId="13" borderId="0" xfId="0" applyFont="1" applyFill="1" applyAlignment="1">
      <alignment horizontal="center"/>
    </xf>
    <xf numFmtId="0" fontId="9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7" fillId="0" borderId="0" xfId="0" applyFont="1" applyAlignment="1">
      <alignment horizontal="center"/>
    </xf>
    <xf numFmtId="0" fontId="1" fillId="0" borderId="0" xfId="5"/>
    <xf numFmtId="0" fontId="0" fillId="0" borderId="25" xfId="4" applyFont="1" applyBorder="1" applyAlignment="1">
      <alignment horizontal="center"/>
    </xf>
    <xf numFmtId="0" fontId="2" fillId="3" borderId="26" xfId="4" applyFill="1" applyBorder="1" applyAlignment="1">
      <alignment horizontal="center"/>
    </xf>
    <xf numFmtId="0" fontId="2" fillId="4" borderId="26" xfId="4" applyFill="1" applyBorder="1" applyAlignment="1">
      <alignment horizontal="center"/>
    </xf>
    <xf numFmtId="0" fontId="0" fillId="0" borderId="29" xfId="4" applyFont="1" applyBorder="1" applyAlignment="1">
      <alignment horizontal="center"/>
    </xf>
    <xf numFmtId="0" fontId="2" fillId="0" borderId="29" xfId="4" applyBorder="1" applyAlignment="1">
      <alignment horizontal="center"/>
    </xf>
    <xf numFmtId="0" fontId="2" fillId="0" borderId="31" xfId="4" applyBorder="1" applyAlignment="1">
      <alignment horizontal="center"/>
    </xf>
    <xf numFmtId="0" fontId="2" fillId="3" borderId="32" xfId="4" applyFill="1" applyBorder="1" applyAlignment="1">
      <alignment horizontal="center"/>
    </xf>
    <xf numFmtId="0" fontId="2" fillId="4" borderId="32" xfId="4" applyFill="1" applyBorder="1" applyAlignment="1">
      <alignment horizontal="center"/>
    </xf>
    <xf numFmtId="0" fontId="2" fillId="17" borderId="26" xfId="4" applyFill="1" applyBorder="1" applyAlignment="1">
      <alignment horizontal="center"/>
    </xf>
    <xf numFmtId="0" fontId="2" fillId="17" borderId="16" xfId="4" applyFill="1" applyBorder="1" applyAlignment="1">
      <alignment horizontal="center"/>
    </xf>
    <xf numFmtId="0" fontId="2" fillId="17" borderId="32" xfId="4" applyFill="1" applyBorder="1" applyAlignment="1">
      <alignment horizontal="center"/>
    </xf>
    <xf numFmtId="0" fontId="2" fillId="3" borderId="37" xfId="4" applyFill="1" applyBorder="1" applyAlignment="1">
      <alignment horizontal="center" vertical="center" wrapText="1"/>
    </xf>
    <xf numFmtId="0" fontId="2" fillId="3" borderId="38" xfId="4" applyFill="1" applyBorder="1" applyAlignment="1">
      <alignment horizontal="center" vertical="center" wrapText="1"/>
    </xf>
    <xf numFmtId="0" fontId="2" fillId="3" borderId="39" xfId="4" applyFill="1" applyBorder="1" applyAlignment="1">
      <alignment horizontal="center" vertical="center" wrapText="1"/>
    </xf>
    <xf numFmtId="0" fontId="2" fillId="0" borderId="0" xfId="4" applyAlignment="1">
      <alignment horizontal="center"/>
    </xf>
    <xf numFmtId="0" fontId="2" fillId="18" borderId="2" xfId="4" applyFill="1" applyBorder="1" applyAlignment="1">
      <alignment horizontal="center"/>
    </xf>
    <xf numFmtId="0" fontId="2" fillId="18" borderId="16" xfId="4" applyFill="1" applyBorder="1" applyAlignment="1">
      <alignment horizontal="center"/>
    </xf>
    <xf numFmtId="0" fontId="2" fillId="19" borderId="26" xfId="4" applyFill="1" applyBorder="1" applyAlignment="1">
      <alignment horizontal="center"/>
    </xf>
    <xf numFmtId="0" fontId="2" fillId="19" borderId="16" xfId="4" applyFill="1" applyBorder="1" applyAlignment="1">
      <alignment horizontal="center"/>
    </xf>
    <xf numFmtId="0" fontId="2" fillId="3" borderId="2" xfId="4" applyFill="1" applyBorder="1" applyAlignment="1">
      <alignment horizontal="center" vertical="center" wrapText="1"/>
    </xf>
    <xf numFmtId="0" fontId="2" fillId="3" borderId="16" xfId="4" applyFill="1" applyBorder="1" applyAlignment="1">
      <alignment horizontal="center" vertical="center" wrapText="1"/>
    </xf>
    <xf numFmtId="0" fontId="2" fillId="20" borderId="16" xfId="4" applyFill="1" applyBorder="1" applyAlignment="1">
      <alignment horizontal="center"/>
    </xf>
    <xf numFmtId="0" fontId="2" fillId="21" borderId="16" xfId="4" applyFill="1" applyBorder="1" applyAlignment="1">
      <alignment horizontal="center"/>
    </xf>
    <xf numFmtId="0" fontId="2" fillId="21" borderId="0" xfId="4" applyFill="1" applyAlignment="1">
      <alignment horizontal="center"/>
    </xf>
    <xf numFmtId="0" fontId="2" fillId="21" borderId="38" xfId="4" applyFill="1" applyBorder="1" applyAlignment="1">
      <alignment horizontal="center" vertical="center" wrapText="1"/>
    </xf>
    <xf numFmtId="0" fontId="2" fillId="21" borderId="18" xfId="4" applyFill="1" applyBorder="1" applyAlignment="1">
      <alignment horizontal="center" vertical="center" wrapText="1"/>
    </xf>
    <xf numFmtId="0" fontId="2" fillId="21" borderId="29" xfId="4" applyFill="1" applyBorder="1" applyAlignment="1">
      <alignment horizontal="center"/>
    </xf>
    <xf numFmtId="164" fontId="2" fillId="21" borderId="16" xfId="4" applyNumberFormat="1" applyFill="1" applyBorder="1" applyAlignment="1">
      <alignment horizontal="center"/>
    </xf>
    <xf numFmtId="164" fontId="2" fillId="21" borderId="30" xfId="4" applyNumberFormat="1" applyFill="1" applyBorder="1" applyAlignment="1">
      <alignment horizontal="center"/>
    </xf>
    <xf numFmtId="0" fontId="0" fillId="21" borderId="0" xfId="0" applyFill="1" applyAlignment="1">
      <alignment horizontal="center"/>
    </xf>
    <xf numFmtId="0" fontId="2" fillId="5" borderId="2" xfId="4" applyFill="1" applyBorder="1" applyAlignment="1">
      <alignment horizontal="center" vertical="center"/>
    </xf>
    <xf numFmtId="0" fontId="2" fillId="5" borderId="2" xfId="4" applyFill="1" applyBorder="1" applyAlignment="1">
      <alignment horizontal="center" vertical="center" wrapText="1"/>
    </xf>
    <xf numFmtId="0" fontId="2" fillId="5" borderId="0" xfId="4" applyFill="1" applyAlignment="1">
      <alignment horizontal="center"/>
    </xf>
    <xf numFmtId="0" fontId="2" fillId="5" borderId="6" xfId="4" applyFill="1" applyBorder="1" applyAlignment="1">
      <alignment horizontal="center" vertical="center"/>
    </xf>
    <xf numFmtId="0" fontId="2" fillId="5" borderId="9" xfId="4" applyFill="1" applyBorder="1" applyAlignment="1">
      <alignment horizontal="center"/>
    </xf>
    <xf numFmtId="0" fontId="2" fillId="5" borderId="10" xfId="4" applyFill="1" applyBorder="1" applyAlignment="1">
      <alignment horizontal="center"/>
    </xf>
    <xf numFmtId="0" fontId="2" fillId="5" borderId="11" xfId="4" applyFill="1" applyBorder="1" applyAlignment="1">
      <alignment horizontal="center"/>
    </xf>
    <xf numFmtId="0" fontId="6" fillId="0" borderId="0" xfId="0" applyFont="1" applyAlignment="1">
      <alignment horizontal="center"/>
    </xf>
    <xf numFmtId="0" fontId="2" fillId="5" borderId="2" xfId="4" applyFill="1" applyBorder="1" applyAlignment="1">
      <alignment horizontal="center"/>
    </xf>
    <xf numFmtId="0" fontId="2" fillId="5" borderId="3" xfId="4" applyFill="1" applyBorder="1" applyAlignment="1">
      <alignment horizontal="center"/>
    </xf>
    <xf numFmtId="164" fontId="2" fillId="5" borderId="2" xfId="4" applyNumberFormat="1" applyFill="1" applyBorder="1" applyAlignment="1">
      <alignment horizontal="center"/>
    </xf>
    <xf numFmtId="0" fontId="2" fillId="5" borderId="12" xfId="4" applyFill="1" applyBorder="1" applyAlignment="1">
      <alignment horizontal="center"/>
    </xf>
    <xf numFmtId="0" fontId="2" fillId="5" borderId="13" xfId="4" applyFill="1" applyBorder="1" applyAlignment="1">
      <alignment horizontal="center"/>
    </xf>
    <xf numFmtId="0" fontId="2" fillId="5" borderId="14" xfId="4" applyFill="1" applyBorder="1" applyAlignment="1">
      <alignment horizontal="center"/>
    </xf>
    <xf numFmtId="0" fontId="2" fillId="5" borderId="15" xfId="4" applyFill="1" applyBorder="1" applyAlignment="1">
      <alignment horizontal="center"/>
    </xf>
    <xf numFmtId="0" fontId="2" fillId="5" borderId="16" xfId="4" applyFill="1" applyBorder="1" applyAlignment="1">
      <alignment horizontal="center" vertical="center" wrapText="1"/>
    </xf>
    <xf numFmtId="0" fontId="2" fillId="5" borderId="16" xfId="4" applyFill="1" applyBorder="1" applyAlignment="1">
      <alignment horizontal="center"/>
    </xf>
    <xf numFmtId="164" fontId="2" fillId="5" borderId="16" xfId="4" applyNumberFormat="1" applyFill="1" applyBorder="1" applyAlignment="1">
      <alignment horizontal="center"/>
    </xf>
    <xf numFmtId="0" fontId="2" fillId="5" borderId="21" xfId="4" applyFill="1" applyBorder="1" applyAlignment="1">
      <alignment horizontal="center"/>
    </xf>
    <xf numFmtId="0" fontId="2" fillId="5" borderId="22" xfId="4" applyFill="1" applyBorder="1" applyAlignment="1">
      <alignment horizontal="center"/>
    </xf>
    <xf numFmtId="0" fontId="2" fillId="5" borderId="7" xfId="4" applyFill="1" applyBorder="1" applyAlignment="1">
      <alignment horizontal="center"/>
    </xf>
    <xf numFmtId="0" fontId="2" fillId="5" borderId="24" xfId="4" applyFill="1" applyBorder="1" applyAlignment="1">
      <alignment horizontal="center"/>
    </xf>
    <xf numFmtId="0" fontId="2" fillId="5" borderId="5" xfId="4" applyFill="1" applyBorder="1" applyAlignment="1">
      <alignment horizontal="center"/>
    </xf>
    <xf numFmtId="0" fontId="3" fillId="5" borderId="1" xfId="4" applyFont="1" applyFill="1" applyBorder="1" applyAlignment="1">
      <alignment horizontal="center"/>
    </xf>
    <xf numFmtId="0" fontId="3" fillId="5" borderId="2" xfId="4" applyFont="1" applyFill="1" applyBorder="1" applyAlignment="1">
      <alignment horizontal="center"/>
    </xf>
    <xf numFmtId="0" fontId="3" fillId="5" borderId="20" xfId="4" applyFont="1" applyFill="1" applyBorder="1" applyAlignment="1">
      <alignment horizontal="center"/>
    </xf>
    <xf numFmtId="0" fontId="3" fillId="5" borderId="19" xfId="4" applyFont="1" applyFill="1" applyBorder="1" applyAlignment="1">
      <alignment horizontal="center"/>
    </xf>
    <xf numFmtId="0" fontId="2" fillId="5" borderId="17" xfId="4" applyFill="1" applyBorder="1" applyAlignment="1">
      <alignment horizontal="center"/>
    </xf>
    <xf numFmtId="0" fontId="2" fillId="5" borderId="6" xfId="4" applyFill="1" applyBorder="1" applyAlignment="1">
      <alignment horizontal="center"/>
    </xf>
    <xf numFmtId="164" fontId="2" fillId="5" borderId="6" xfId="4" applyNumberFormat="1" applyFill="1" applyBorder="1" applyAlignment="1">
      <alignment horizontal="center"/>
    </xf>
    <xf numFmtId="0" fontId="0" fillId="5" borderId="0" xfId="0" applyFill="1" applyAlignment="1">
      <alignment horizontal="center"/>
    </xf>
    <xf numFmtId="0" fontId="2" fillId="5" borderId="0" xfId="4" applyFill="1"/>
    <xf numFmtId="0" fontId="2" fillId="5" borderId="0" xfId="4" applyFill="1" applyAlignment="1">
      <alignment horizontal="center" wrapText="1"/>
    </xf>
    <xf numFmtId="1" fontId="2" fillId="5" borderId="2" xfId="4" applyNumberFormat="1" applyFill="1" applyBorder="1" applyAlignment="1">
      <alignment horizontal="center"/>
    </xf>
    <xf numFmtId="1" fontId="2" fillId="5" borderId="16" xfId="4" applyNumberFormat="1" applyFill="1" applyBorder="1" applyAlignment="1">
      <alignment horizontal="center"/>
    </xf>
    <xf numFmtId="0" fontId="0" fillId="5" borderId="2" xfId="4" applyFont="1" applyFill="1" applyBorder="1" applyAlignment="1">
      <alignment horizontal="center"/>
    </xf>
    <xf numFmtId="0" fontId="0" fillId="5" borderId="16" xfId="4" applyFont="1" applyFill="1" applyBorder="1" applyAlignment="1">
      <alignment horizontal="center"/>
    </xf>
    <xf numFmtId="0" fontId="2" fillId="5" borderId="16" xfId="4" applyFill="1" applyBorder="1" applyAlignment="1">
      <alignment horizontal="center" vertical="center"/>
    </xf>
    <xf numFmtId="0" fontId="2" fillId="5" borderId="18" xfId="4" applyFill="1" applyBorder="1" applyAlignment="1">
      <alignment horizontal="center" vertical="center" wrapText="1"/>
    </xf>
    <xf numFmtId="0" fontId="6" fillId="0" borderId="27" xfId="0" applyFont="1" applyBorder="1" applyAlignment="1">
      <alignment horizontal="center"/>
    </xf>
    <xf numFmtId="0" fontId="2" fillId="5" borderId="35" xfId="4" applyFill="1" applyBorder="1" applyAlignment="1">
      <alignment horizontal="center" vertical="center" wrapText="1"/>
    </xf>
    <xf numFmtId="0" fontId="2" fillId="5" borderId="40" xfId="4" applyFill="1" applyBorder="1" applyAlignment="1">
      <alignment horizontal="center"/>
    </xf>
    <xf numFmtId="0" fontId="2" fillId="5" borderId="25" xfId="4" applyFill="1" applyBorder="1" applyAlignment="1">
      <alignment horizontal="center"/>
    </xf>
    <xf numFmtId="0" fontId="2" fillId="5" borderId="27" xfId="4" applyFill="1" applyBorder="1" applyAlignment="1">
      <alignment horizontal="center"/>
    </xf>
    <xf numFmtId="164" fontId="2" fillId="5" borderId="26" xfId="4" applyNumberFormat="1" applyFill="1" applyBorder="1" applyAlignment="1">
      <alignment horizontal="center"/>
    </xf>
    <xf numFmtId="164" fontId="2" fillId="5" borderId="28" xfId="4" applyNumberFormat="1" applyFill="1" applyBorder="1" applyAlignment="1">
      <alignment horizontal="center"/>
    </xf>
    <xf numFmtId="0" fontId="2" fillId="5" borderId="29" xfId="4" applyFill="1" applyBorder="1" applyAlignment="1">
      <alignment horizontal="center"/>
    </xf>
    <xf numFmtId="164" fontId="2" fillId="5" borderId="30" xfId="4" applyNumberFormat="1" applyFill="1" applyBorder="1" applyAlignment="1">
      <alignment horizontal="center"/>
    </xf>
    <xf numFmtId="0" fontId="3" fillId="5" borderId="0" xfId="4" applyFont="1" applyFill="1" applyAlignment="1">
      <alignment horizontal="center"/>
    </xf>
    <xf numFmtId="0" fontId="2" fillId="5" borderId="33" xfId="4" applyFill="1" applyBorder="1" applyAlignment="1">
      <alignment horizontal="center"/>
    </xf>
    <xf numFmtId="0" fontId="2" fillId="5" borderId="36" xfId="4" applyFill="1" applyBorder="1" applyAlignment="1">
      <alignment horizontal="center" vertical="center" wrapText="1"/>
    </xf>
    <xf numFmtId="0" fontId="2" fillId="5" borderId="31" xfId="4" applyFill="1" applyBorder="1" applyAlignment="1">
      <alignment horizontal="center"/>
    </xf>
    <xf numFmtId="164" fontId="2" fillId="5" borderId="32" xfId="4" applyNumberFormat="1" applyFill="1" applyBorder="1" applyAlignment="1">
      <alignment horizontal="center"/>
    </xf>
    <xf numFmtId="164" fontId="2" fillId="5" borderId="34" xfId="4" applyNumberFormat="1" applyFill="1" applyBorder="1" applyAlignment="1">
      <alignment horizontal="center"/>
    </xf>
    <xf numFmtId="0" fontId="2" fillId="5" borderId="0" xfId="2" applyFill="1"/>
    <xf numFmtId="0" fontId="3" fillId="5" borderId="17" xfId="2" applyFont="1" applyFill="1" applyBorder="1"/>
    <xf numFmtId="0" fontId="3" fillId="0" borderId="7" xfId="4" applyFont="1" applyBorder="1" applyAlignment="1">
      <alignment horizontal="center" wrapText="1"/>
    </xf>
    <xf numFmtId="0" fontId="3" fillId="5" borderId="1" xfId="4" applyFont="1" applyFill="1" applyBorder="1" applyAlignment="1">
      <alignment horizontal="center" vertical="center"/>
    </xf>
    <xf numFmtId="0" fontId="3" fillId="5" borderId="4" xfId="4" applyFont="1" applyFill="1" applyBorder="1" applyAlignment="1">
      <alignment horizontal="center" vertical="center"/>
    </xf>
    <xf numFmtId="0" fontId="3" fillId="5" borderId="5" xfId="4" applyFont="1" applyFill="1" applyBorder="1" applyAlignment="1">
      <alignment horizontal="center" vertical="center"/>
    </xf>
    <xf numFmtId="0" fontId="3" fillId="5" borderId="8" xfId="4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2" fontId="2" fillId="5" borderId="2" xfId="4" applyNumberFormat="1" applyFill="1" applyBorder="1" applyAlignment="1">
      <alignment horizontal="center" vertical="center" wrapText="1"/>
    </xf>
    <xf numFmtId="0" fontId="2" fillId="5" borderId="18" xfId="4" applyFill="1" applyBorder="1" applyAlignment="1">
      <alignment horizontal="center"/>
    </xf>
    <xf numFmtId="14" fontId="2" fillId="5" borderId="16" xfId="4" applyNumberFormat="1" applyFill="1" applyBorder="1" applyAlignment="1">
      <alignment horizontal="center" vertical="center" wrapText="1"/>
    </xf>
    <xf numFmtId="0" fontId="2" fillId="5" borderId="8" xfId="4" applyFill="1" applyBorder="1" applyAlignment="1">
      <alignment horizontal="center"/>
    </xf>
    <xf numFmtId="0" fontId="2" fillId="22" borderId="29" xfId="4" applyFill="1" applyBorder="1" applyAlignment="1">
      <alignment horizontal="center"/>
    </xf>
    <xf numFmtId="0" fontId="2" fillId="17" borderId="0" xfId="4" applyFill="1" applyAlignment="1">
      <alignment horizontal="center"/>
    </xf>
    <xf numFmtId="0" fontId="2" fillId="17" borderId="18" xfId="4" applyFill="1" applyBorder="1" applyAlignment="1">
      <alignment horizontal="center" vertical="center" wrapText="1"/>
    </xf>
    <xf numFmtId="0" fontId="2" fillId="20" borderId="26" xfId="4" applyFill="1" applyBorder="1" applyAlignment="1">
      <alignment horizontal="center"/>
    </xf>
    <xf numFmtId="0" fontId="2" fillId="23" borderId="16" xfId="4" applyFill="1" applyBorder="1" applyAlignment="1">
      <alignment horizontal="center"/>
    </xf>
    <xf numFmtId="0" fontId="2" fillId="23" borderId="26" xfId="4" applyFill="1" applyBorder="1" applyAlignment="1">
      <alignment horizontal="center"/>
    </xf>
    <xf numFmtId="14" fontId="2" fillId="5" borderId="0" xfId="4" applyNumberFormat="1" applyFill="1" applyAlignment="1">
      <alignment horizontal="center"/>
    </xf>
    <xf numFmtId="0" fontId="3" fillId="5" borderId="26" xfId="2" applyFont="1" applyFill="1" applyBorder="1" applyAlignment="1">
      <alignment horizontal="center" vertical="center"/>
    </xf>
    <xf numFmtId="0" fontId="3" fillId="5" borderId="32" xfId="2" applyFont="1" applyFill="1" applyBorder="1" applyAlignment="1">
      <alignment horizontal="center" vertical="center"/>
    </xf>
    <xf numFmtId="14" fontId="0" fillId="17" borderId="17" xfId="2" applyNumberFormat="1" applyFont="1" applyFill="1" applyBorder="1" applyAlignment="1">
      <alignment horizontal="center"/>
    </xf>
    <xf numFmtId="0" fontId="0" fillId="17" borderId="37" xfId="2" applyFont="1" applyFill="1" applyBorder="1" applyAlignment="1">
      <alignment horizontal="center"/>
    </xf>
    <xf numFmtId="14" fontId="2" fillId="17" borderId="17" xfId="2" applyNumberFormat="1" applyFill="1" applyBorder="1" applyAlignment="1">
      <alignment horizontal="center"/>
    </xf>
    <xf numFmtId="0" fontId="0" fillId="17" borderId="38" xfId="2" applyFont="1" applyFill="1" applyBorder="1" applyAlignment="1">
      <alignment horizontal="center"/>
    </xf>
    <xf numFmtId="0" fontId="2" fillId="4" borderId="40" xfId="4" applyFill="1" applyBorder="1" applyAlignment="1">
      <alignment horizontal="center"/>
    </xf>
    <xf numFmtId="0" fontId="2" fillId="4" borderId="17" xfId="4" applyFill="1" applyBorder="1" applyAlignment="1">
      <alignment horizontal="center"/>
    </xf>
    <xf numFmtId="164" fontId="2" fillId="5" borderId="17" xfId="4" applyNumberFormat="1" applyFill="1" applyBorder="1" applyAlignment="1">
      <alignment horizontal="center"/>
    </xf>
    <xf numFmtId="164" fontId="2" fillId="5" borderId="41" xfId="4" applyNumberFormat="1" applyFill="1" applyBorder="1" applyAlignment="1">
      <alignment horizontal="center"/>
    </xf>
    <xf numFmtId="164" fontId="2" fillId="5" borderId="37" xfId="4" applyNumberFormat="1" applyFill="1" applyBorder="1" applyAlignment="1">
      <alignment horizontal="center"/>
    </xf>
    <xf numFmtId="164" fontId="2" fillId="5" borderId="38" xfId="4" applyNumberFormat="1" applyFill="1" applyBorder="1" applyAlignment="1">
      <alignment horizontal="center"/>
    </xf>
    <xf numFmtId="0" fontId="2" fillId="5" borderId="38" xfId="4" applyFill="1" applyBorder="1" applyAlignment="1">
      <alignment horizontal="center"/>
    </xf>
    <xf numFmtId="0" fontId="2" fillId="5" borderId="39" xfId="4" applyFill="1" applyBorder="1" applyAlignment="1">
      <alignment horizontal="center"/>
    </xf>
    <xf numFmtId="0" fontId="2" fillId="5" borderId="2" xfId="4" applyFill="1" applyBorder="1" applyAlignment="1">
      <alignment horizontal="center" vertical="center" wrapText="1"/>
    </xf>
    <xf numFmtId="0" fontId="2" fillId="5" borderId="6" xfId="4" applyFill="1" applyBorder="1" applyAlignment="1">
      <alignment horizontal="center" vertical="center" wrapText="1"/>
    </xf>
    <xf numFmtId="0" fontId="2" fillId="5" borderId="0" xfId="4" applyFill="1" applyAlignment="1">
      <alignment horizontal="center" wrapText="1"/>
    </xf>
    <xf numFmtId="0" fontId="5" fillId="0" borderId="7" xfId="4" applyFont="1" applyBorder="1" applyAlignment="1">
      <alignment horizontal="center"/>
    </xf>
    <xf numFmtId="0" fontId="2" fillId="5" borderId="5" xfId="4" applyFill="1" applyBorder="1" applyAlignment="1">
      <alignment horizontal="center"/>
    </xf>
    <xf numFmtId="0" fontId="2" fillId="5" borderId="7" xfId="4" applyFill="1" applyBorder="1" applyAlignment="1">
      <alignment horizontal="center"/>
    </xf>
    <xf numFmtId="0" fontId="2" fillId="0" borderId="2" xfId="4" applyBorder="1" applyAlignment="1">
      <alignment horizontal="center" vertical="center"/>
    </xf>
    <xf numFmtId="0" fontId="2" fillId="0" borderId="6" xfId="4" applyBorder="1" applyAlignment="1">
      <alignment horizontal="center" vertical="center"/>
    </xf>
    <xf numFmtId="0" fontId="2" fillId="5" borderId="2" xfId="4" applyFill="1" applyBorder="1" applyAlignment="1">
      <alignment horizontal="center" vertical="center"/>
    </xf>
    <xf numFmtId="0" fontId="2" fillId="5" borderId="6" xfId="4" applyFill="1" applyBorder="1" applyAlignment="1">
      <alignment horizontal="center" vertical="center"/>
    </xf>
    <xf numFmtId="0" fontId="0" fillId="3" borderId="2" xfId="4" applyFont="1" applyFill="1" applyBorder="1" applyAlignment="1">
      <alignment horizontal="center" vertical="center"/>
    </xf>
    <xf numFmtId="0" fontId="0" fillId="3" borderId="6" xfId="4" applyFont="1" applyFill="1" applyBorder="1" applyAlignment="1">
      <alignment horizontal="center" vertical="center"/>
    </xf>
    <xf numFmtId="0" fontId="2" fillId="5" borderId="4" xfId="4" applyFill="1" applyBorder="1" applyAlignment="1">
      <alignment horizontal="center" vertical="center" wrapText="1"/>
    </xf>
    <xf numFmtId="0" fontId="2" fillId="5" borderId="8" xfId="4" applyFill="1" applyBorder="1" applyAlignment="1">
      <alignment horizontal="center" vertical="center" wrapText="1"/>
    </xf>
    <xf numFmtId="0" fontId="2" fillId="3" borderId="2" xfId="4" applyFill="1" applyBorder="1" applyAlignment="1">
      <alignment horizontal="center" vertical="center" wrapText="1"/>
    </xf>
    <xf numFmtId="0" fontId="2" fillId="3" borderId="6" xfId="4" applyFill="1" applyBorder="1" applyAlignment="1">
      <alignment horizontal="center" vertical="center" wrapText="1"/>
    </xf>
    <xf numFmtId="0" fontId="0" fillId="5" borderId="2" xfId="4" applyFont="1" applyFill="1" applyBorder="1" applyAlignment="1">
      <alignment horizontal="center" vertical="center" wrapText="1"/>
    </xf>
    <xf numFmtId="0" fontId="0" fillId="4" borderId="2" xfId="4" applyFont="1" applyFill="1" applyBorder="1" applyAlignment="1">
      <alignment horizontal="center" vertical="center" wrapText="1"/>
    </xf>
    <xf numFmtId="0" fontId="0" fillId="4" borderId="6" xfId="4" applyFont="1" applyFill="1" applyBorder="1" applyAlignment="1">
      <alignment horizontal="center" vertical="center" wrapText="1"/>
    </xf>
    <xf numFmtId="0" fontId="2" fillId="5" borderId="16" xfId="4" applyFill="1" applyBorder="1" applyAlignment="1">
      <alignment horizontal="center" vertical="center" wrapText="1"/>
    </xf>
    <xf numFmtId="0" fontId="2" fillId="0" borderId="16" xfId="4" applyBorder="1" applyAlignment="1">
      <alignment horizontal="center" vertical="center"/>
    </xf>
    <xf numFmtId="0" fontId="2" fillId="5" borderId="16" xfId="4" applyFill="1" applyBorder="1" applyAlignment="1">
      <alignment horizontal="center" vertical="center"/>
    </xf>
    <xf numFmtId="0" fontId="0" fillId="3" borderId="16" xfId="4" applyFont="1" applyFill="1" applyBorder="1" applyAlignment="1">
      <alignment horizontal="center" vertical="center"/>
    </xf>
    <xf numFmtId="0" fontId="2" fillId="5" borderId="18" xfId="4" applyFill="1" applyBorder="1" applyAlignment="1">
      <alignment horizontal="center" vertical="center" wrapText="1"/>
    </xf>
    <xf numFmtId="0" fontId="2" fillId="3" borderId="16" xfId="4" applyFill="1" applyBorder="1" applyAlignment="1">
      <alignment horizontal="center" vertical="center" wrapText="1"/>
    </xf>
    <xf numFmtId="0" fontId="0" fillId="4" borderId="16" xfId="4" applyFont="1" applyFill="1" applyBorder="1" applyAlignment="1">
      <alignment horizontal="center" vertical="center" wrapText="1"/>
    </xf>
    <xf numFmtId="0" fontId="3" fillId="5" borderId="2" xfId="4" applyFont="1" applyFill="1" applyBorder="1" applyAlignment="1">
      <alignment horizontal="center" vertical="center" wrapText="1"/>
    </xf>
    <xf numFmtId="0" fontId="3" fillId="5" borderId="6" xfId="4" applyFont="1" applyFill="1" applyBorder="1" applyAlignment="1">
      <alignment horizontal="center" vertical="center" wrapText="1"/>
    </xf>
    <xf numFmtId="0" fontId="3" fillId="3" borderId="2" xfId="4" applyFont="1" applyFill="1" applyBorder="1" applyAlignment="1">
      <alignment horizontal="center" vertical="center" wrapText="1"/>
    </xf>
    <xf numFmtId="0" fontId="3" fillId="3" borderId="6" xfId="4" applyFont="1" applyFill="1" applyBorder="1" applyAlignment="1">
      <alignment horizontal="center" vertical="center" wrapText="1"/>
    </xf>
    <xf numFmtId="0" fontId="8" fillId="15" borderId="0" xfId="0" applyFont="1" applyFill="1" applyAlignment="1">
      <alignment horizontal="center"/>
    </xf>
    <xf numFmtId="0" fontId="10" fillId="14" borderId="0" xfId="0" applyFont="1" applyFill="1" applyAlignment="1">
      <alignment horizontal="center"/>
    </xf>
    <xf numFmtId="0" fontId="8" fillId="14" borderId="0" xfId="0" applyFont="1" applyFill="1" applyAlignment="1">
      <alignment horizontal="center"/>
    </xf>
    <xf numFmtId="0" fontId="11" fillId="16" borderId="0" xfId="5" applyFont="1" applyFill="1" applyAlignment="1">
      <alignment horizontal="center"/>
    </xf>
    <xf numFmtId="14" fontId="2" fillId="0" borderId="0" xfId="4" applyNumberFormat="1" applyAlignment="1">
      <alignment horizontal="center"/>
    </xf>
    <xf numFmtId="0" fontId="2" fillId="17" borderId="17" xfId="4" applyFill="1" applyBorder="1" applyAlignment="1">
      <alignment horizontal="center"/>
    </xf>
    <xf numFmtId="0" fontId="2" fillId="3" borderId="42" xfId="4" applyFill="1" applyBorder="1" applyAlignment="1">
      <alignment horizontal="center" vertical="center" wrapText="1"/>
    </xf>
    <xf numFmtId="14" fontId="2" fillId="17" borderId="17" xfId="4" applyNumberFormat="1" applyFill="1" applyBorder="1" applyAlignment="1">
      <alignment horizontal="center"/>
    </xf>
    <xf numFmtId="0" fontId="2" fillId="3" borderId="35" xfId="4" applyFill="1" applyBorder="1" applyAlignment="1">
      <alignment horizontal="center"/>
    </xf>
    <xf numFmtId="0" fontId="2" fillId="3" borderId="18" xfId="4" applyFill="1" applyBorder="1" applyAlignment="1">
      <alignment horizontal="center"/>
    </xf>
    <xf numFmtId="0" fontId="2" fillId="3" borderId="43" xfId="4" applyFill="1" applyBorder="1" applyAlignment="1">
      <alignment horizontal="center" vertical="center" wrapText="1"/>
    </xf>
    <xf numFmtId="0" fontId="3" fillId="0" borderId="0" xfId="2" applyFont="1" applyBorder="1"/>
    <xf numFmtId="0" fontId="2" fillId="0" borderId="0" xfId="2" applyBorder="1" applyAlignment="1">
      <alignment horizontal="center"/>
    </xf>
    <xf numFmtId="0" fontId="5" fillId="0" borderId="37" xfId="2" applyFont="1" applyBorder="1" applyAlignment="1">
      <alignment horizontal="center"/>
    </xf>
    <xf numFmtId="0" fontId="5" fillId="17" borderId="39" xfId="4" applyFont="1" applyFill="1" applyBorder="1" applyAlignment="1">
      <alignment horizontal="center"/>
    </xf>
    <xf numFmtId="0" fontId="5" fillId="0" borderId="39" xfId="2" applyFont="1" applyBorder="1" applyAlignment="1">
      <alignment horizontal="center"/>
    </xf>
  </cellXfs>
  <cellStyles count="6">
    <cellStyle name="Normal" xfId="0" builtinId="0"/>
    <cellStyle name="Normal 2" xfId="3" xr:uid="{00000000-0005-0000-0000-000001000000}"/>
    <cellStyle name="Normal 3" xfId="2" xr:uid="{00000000-0005-0000-0000-000002000000}"/>
    <cellStyle name="Normal 4" xfId="1" xr:uid="{00000000-0005-0000-0000-000003000000}"/>
    <cellStyle name="Normal 5" xfId="4" xr:uid="{00000000-0005-0000-0000-000004000000}"/>
    <cellStyle name="Normal 6" xfId="5" xr:uid="{EC6261BD-3BA3-4150-A0FF-22F42DD812DD}"/>
  </cellStyles>
  <dxfs count="3"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pivotCacheDefinition" Target="pivotCache/pivotCacheDefinition1.xml"/><Relationship Id="rId47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theme" Target="theme/theme1.xml"/><Relationship Id="rId48" Type="http://schemas.openxmlformats.org/officeDocument/2006/relationships/customXml" Target="../customXml/item2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3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4.xml"/></Relationships>
</file>

<file path=xl/charts/_rels/chart9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5.xml"/></Relationships>
</file>

<file path=xl/charts/_rels/chart10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6.xml"/></Relationships>
</file>

<file path=xl/charts/_rels/chart1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7.xml"/></Relationships>
</file>

<file path=xl/charts/_rels/chart1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8.xml"/></Relationships>
</file>

<file path=xl/charts/_rels/chart1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9.xml"/></Relationships>
</file>

<file path=xl/charts/_rels/chart14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0.xml"/></Relationships>
</file>

<file path=xl/charts/_rels/chart15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1.xml"/></Relationships>
</file>

<file path=xl/charts/_rels/chart16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2.xml"/></Relationships>
</file>

<file path=xl/charts/_rels/chart17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3.xml"/></Relationships>
</file>

<file path=xl/charts/_rels/chart18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4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 sz="1800"/>
              <a:t>MORPHOLOGY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'L line boars manual'!$A$21</c:f>
              <c:strCache>
                <c:ptCount val="1"/>
                <c:pt idx="0">
                  <c:v>morphology target top</c:v>
                </c:pt>
              </c:strCache>
            </c:strRef>
          </c:tx>
          <c:marker>
            <c:symbol val="none"/>
          </c:marker>
          <c:val>
            <c:numRef>
              <c:f>'L line boars manual'!$B$21:$BA$21</c:f>
              <c:numCache>
                <c:formatCode>General</c:formatCode>
                <c:ptCount val="52"/>
                <c:pt idx="0">
                  <c:v>85</c:v>
                </c:pt>
                <c:pt idx="1">
                  <c:v>85</c:v>
                </c:pt>
                <c:pt idx="2">
                  <c:v>85</c:v>
                </c:pt>
                <c:pt idx="3">
                  <c:v>85</c:v>
                </c:pt>
                <c:pt idx="4">
                  <c:v>85</c:v>
                </c:pt>
                <c:pt idx="5">
                  <c:v>85</c:v>
                </c:pt>
                <c:pt idx="6">
                  <c:v>85</c:v>
                </c:pt>
                <c:pt idx="7">
                  <c:v>85</c:v>
                </c:pt>
                <c:pt idx="8">
                  <c:v>85</c:v>
                </c:pt>
                <c:pt idx="9">
                  <c:v>85</c:v>
                </c:pt>
                <c:pt idx="10">
                  <c:v>85</c:v>
                </c:pt>
                <c:pt idx="11">
                  <c:v>85</c:v>
                </c:pt>
                <c:pt idx="12">
                  <c:v>85</c:v>
                </c:pt>
                <c:pt idx="13">
                  <c:v>85</c:v>
                </c:pt>
                <c:pt idx="14">
                  <c:v>85</c:v>
                </c:pt>
                <c:pt idx="15">
                  <c:v>85</c:v>
                </c:pt>
                <c:pt idx="16">
                  <c:v>85</c:v>
                </c:pt>
                <c:pt idx="17">
                  <c:v>85</c:v>
                </c:pt>
                <c:pt idx="18">
                  <c:v>85</c:v>
                </c:pt>
                <c:pt idx="19">
                  <c:v>85</c:v>
                </c:pt>
                <c:pt idx="20">
                  <c:v>85</c:v>
                </c:pt>
                <c:pt idx="21">
                  <c:v>85</c:v>
                </c:pt>
                <c:pt idx="22">
                  <c:v>85</c:v>
                </c:pt>
                <c:pt idx="23">
                  <c:v>85</c:v>
                </c:pt>
                <c:pt idx="24">
                  <c:v>85</c:v>
                </c:pt>
                <c:pt idx="25">
                  <c:v>85</c:v>
                </c:pt>
                <c:pt idx="26">
                  <c:v>85</c:v>
                </c:pt>
                <c:pt idx="27">
                  <c:v>85</c:v>
                </c:pt>
                <c:pt idx="28">
                  <c:v>85</c:v>
                </c:pt>
                <c:pt idx="29">
                  <c:v>85</c:v>
                </c:pt>
                <c:pt idx="30">
                  <c:v>85</c:v>
                </c:pt>
                <c:pt idx="31">
                  <c:v>85</c:v>
                </c:pt>
                <c:pt idx="32">
                  <c:v>85</c:v>
                </c:pt>
                <c:pt idx="33">
                  <c:v>85</c:v>
                </c:pt>
                <c:pt idx="34">
                  <c:v>85</c:v>
                </c:pt>
                <c:pt idx="35">
                  <c:v>85</c:v>
                </c:pt>
                <c:pt idx="36">
                  <c:v>85</c:v>
                </c:pt>
                <c:pt idx="37">
                  <c:v>85</c:v>
                </c:pt>
                <c:pt idx="38">
                  <c:v>85</c:v>
                </c:pt>
                <c:pt idx="39">
                  <c:v>85</c:v>
                </c:pt>
                <c:pt idx="40">
                  <c:v>85</c:v>
                </c:pt>
                <c:pt idx="41">
                  <c:v>85</c:v>
                </c:pt>
                <c:pt idx="42">
                  <c:v>85</c:v>
                </c:pt>
                <c:pt idx="43">
                  <c:v>85</c:v>
                </c:pt>
                <c:pt idx="44">
                  <c:v>85</c:v>
                </c:pt>
                <c:pt idx="45">
                  <c:v>85</c:v>
                </c:pt>
                <c:pt idx="46">
                  <c:v>85</c:v>
                </c:pt>
                <c:pt idx="47">
                  <c:v>85</c:v>
                </c:pt>
                <c:pt idx="48">
                  <c:v>85</c:v>
                </c:pt>
                <c:pt idx="49">
                  <c:v>85</c:v>
                </c:pt>
                <c:pt idx="50">
                  <c:v>85</c:v>
                </c:pt>
                <c:pt idx="51">
                  <c:v>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F6-42B4-8CB8-9E3CF4563C84}"/>
            </c:ext>
          </c:extLst>
        </c:ser>
        <c:ser>
          <c:idx val="1"/>
          <c:order val="1"/>
          <c:tx>
            <c:strRef>
              <c:f>'L line boars manual'!$A$22</c:f>
              <c:strCache>
                <c:ptCount val="1"/>
                <c:pt idx="0">
                  <c:v>Actual</c:v>
                </c:pt>
              </c:strCache>
            </c:strRef>
          </c:tx>
          <c:marker>
            <c:symbol val="none"/>
          </c:marker>
          <c:trendline>
            <c:spPr>
              <a:ln w="6350">
                <a:prstDash val="sysDot"/>
              </a:ln>
            </c:spPr>
            <c:trendlineType val="linear"/>
            <c:dispRSqr val="0"/>
            <c:dispEq val="0"/>
          </c:trendline>
          <c:val>
            <c:numRef>
              <c:f>'L line boars manual'!$B$22:$BA$22</c:f>
              <c:numCache>
                <c:formatCode>General</c:formatCode>
                <c:ptCount val="52"/>
                <c:pt idx="0">
                  <c:v>89</c:v>
                </c:pt>
                <c:pt idx="1">
                  <c:v>89</c:v>
                </c:pt>
                <c:pt idx="2">
                  <c:v>88</c:v>
                </c:pt>
                <c:pt idx="3">
                  <c:v>88</c:v>
                </c:pt>
                <c:pt idx="4">
                  <c:v>87</c:v>
                </c:pt>
                <c:pt idx="5">
                  <c:v>88</c:v>
                </c:pt>
                <c:pt idx="6">
                  <c:v>88</c:v>
                </c:pt>
                <c:pt idx="7">
                  <c:v>88</c:v>
                </c:pt>
                <c:pt idx="8">
                  <c:v>88</c:v>
                </c:pt>
                <c:pt idx="9">
                  <c:v>87</c:v>
                </c:pt>
                <c:pt idx="10">
                  <c:v>87</c:v>
                </c:pt>
                <c:pt idx="11">
                  <c:v>89</c:v>
                </c:pt>
                <c:pt idx="12">
                  <c:v>88</c:v>
                </c:pt>
                <c:pt idx="13">
                  <c:v>87</c:v>
                </c:pt>
                <c:pt idx="14">
                  <c:v>88</c:v>
                </c:pt>
                <c:pt idx="15">
                  <c:v>89</c:v>
                </c:pt>
                <c:pt idx="16">
                  <c:v>88</c:v>
                </c:pt>
                <c:pt idx="17">
                  <c:v>88</c:v>
                </c:pt>
                <c:pt idx="18">
                  <c:v>89</c:v>
                </c:pt>
                <c:pt idx="19">
                  <c:v>89</c:v>
                </c:pt>
                <c:pt idx="20">
                  <c:v>89</c:v>
                </c:pt>
                <c:pt idx="21">
                  <c:v>89</c:v>
                </c:pt>
                <c:pt idx="22">
                  <c:v>87</c:v>
                </c:pt>
                <c:pt idx="23">
                  <c:v>88</c:v>
                </c:pt>
                <c:pt idx="24">
                  <c:v>89</c:v>
                </c:pt>
                <c:pt idx="25">
                  <c:v>87</c:v>
                </c:pt>
                <c:pt idx="26">
                  <c:v>86</c:v>
                </c:pt>
                <c:pt idx="27">
                  <c:v>88</c:v>
                </c:pt>
                <c:pt idx="28">
                  <c:v>87</c:v>
                </c:pt>
                <c:pt idx="29">
                  <c:v>87</c:v>
                </c:pt>
                <c:pt idx="30">
                  <c:v>87</c:v>
                </c:pt>
                <c:pt idx="31">
                  <c:v>87</c:v>
                </c:pt>
                <c:pt idx="32">
                  <c:v>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F6-42B4-8CB8-9E3CF4563C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33945856"/>
        <c:axId val="1"/>
      </c:lineChart>
      <c:catAx>
        <c:axId val="14339458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week 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crossAx val="1"/>
        <c:crosses val="autoZero"/>
        <c:auto val="1"/>
        <c:lblAlgn val="ctr"/>
        <c:lblOffset val="100"/>
        <c:noMultiLvlLbl val="1"/>
      </c:catAx>
      <c:valAx>
        <c:axId val="1"/>
        <c:scaling>
          <c:orientation val="minMax"/>
          <c:min val="80"/>
        </c:scaling>
        <c:delete val="0"/>
        <c:axPos val="l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Morphology</a:t>
                </a:r>
                <a:r>
                  <a:rPr lang="en-US" baseline="0"/>
                  <a:t> Score %</a:t>
                </a: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433945856"/>
        <c:crosses val="autoZero"/>
        <c:crossBetween val="between"/>
        <c:majorUnit val="2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 sz="1800"/>
              <a:t>SEMEN DOSES  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'L line boars manual'!$A$24</c:f>
              <c:strCache>
                <c:ptCount val="1"/>
                <c:pt idx="0">
                  <c:v>boars avg # of doses</c:v>
                </c:pt>
              </c:strCache>
            </c:strRef>
          </c:tx>
          <c:marker>
            <c:symbol val="none"/>
          </c:marker>
          <c:val>
            <c:numRef>
              <c:f>'L line boars manual'!$B$24:$BA$24</c:f>
              <c:numCache>
                <c:formatCode>0</c:formatCode>
                <c:ptCount val="52"/>
                <c:pt idx="0">
                  <c:v>68</c:v>
                </c:pt>
                <c:pt idx="1">
                  <c:v>68</c:v>
                </c:pt>
                <c:pt idx="2">
                  <c:v>68</c:v>
                </c:pt>
                <c:pt idx="3">
                  <c:v>68</c:v>
                </c:pt>
                <c:pt idx="4">
                  <c:v>68</c:v>
                </c:pt>
                <c:pt idx="5">
                  <c:v>68</c:v>
                </c:pt>
                <c:pt idx="6">
                  <c:v>68</c:v>
                </c:pt>
                <c:pt idx="7">
                  <c:v>68</c:v>
                </c:pt>
                <c:pt idx="8">
                  <c:v>68</c:v>
                </c:pt>
                <c:pt idx="9">
                  <c:v>68</c:v>
                </c:pt>
                <c:pt idx="10">
                  <c:v>68</c:v>
                </c:pt>
                <c:pt idx="11">
                  <c:v>68</c:v>
                </c:pt>
                <c:pt idx="12">
                  <c:v>68</c:v>
                </c:pt>
                <c:pt idx="13">
                  <c:v>68</c:v>
                </c:pt>
                <c:pt idx="14">
                  <c:v>68</c:v>
                </c:pt>
                <c:pt idx="15">
                  <c:v>68</c:v>
                </c:pt>
                <c:pt idx="16">
                  <c:v>68</c:v>
                </c:pt>
                <c:pt idx="17">
                  <c:v>68</c:v>
                </c:pt>
                <c:pt idx="18">
                  <c:v>68</c:v>
                </c:pt>
                <c:pt idx="19">
                  <c:v>68</c:v>
                </c:pt>
                <c:pt idx="20">
                  <c:v>68</c:v>
                </c:pt>
                <c:pt idx="21">
                  <c:v>68</c:v>
                </c:pt>
                <c:pt idx="22">
                  <c:v>68</c:v>
                </c:pt>
                <c:pt idx="23">
                  <c:v>68</c:v>
                </c:pt>
                <c:pt idx="24">
                  <c:v>68</c:v>
                </c:pt>
                <c:pt idx="25">
                  <c:v>68</c:v>
                </c:pt>
                <c:pt idx="26">
                  <c:v>68</c:v>
                </c:pt>
                <c:pt idx="27">
                  <c:v>68</c:v>
                </c:pt>
                <c:pt idx="28">
                  <c:v>68</c:v>
                </c:pt>
                <c:pt idx="29">
                  <c:v>68</c:v>
                </c:pt>
                <c:pt idx="30">
                  <c:v>68</c:v>
                </c:pt>
                <c:pt idx="31">
                  <c:v>68</c:v>
                </c:pt>
                <c:pt idx="32">
                  <c:v>68</c:v>
                </c:pt>
                <c:pt idx="33">
                  <c:v>68</c:v>
                </c:pt>
                <c:pt idx="34">
                  <c:v>68</c:v>
                </c:pt>
                <c:pt idx="35">
                  <c:v>68</c:v>
                </c:pt>
                <c:pt idx="36">
                  <c:v>68</c:v>
                </c:pt>
                <c:pt idx="37">
                  <c:v>68</c:v>
                </c:pt>
                <c:pt idx="38">
                  <c:v>68</c:v>
                </c:pt>
                <c:pt idx="39">
                  <c:v>68</c:v>
                </c:pt>
                <c:pt idx="40">
                  <c:v>68</c:v>
                </c:pt>
                <c:pt idx="41">
                  <c:v>68</c:v>
                </c:pt>
                <c:pt idx="42">
                  <c:v>68</c:v>
                </c:pt>
                <c:pt idx="43">
                  <c:v>68</c:v>
                </c:pt>
                <c:pt idx="44">
                  <c:v>68</c:v>
                </c:pt>
                <c:pt idx="45">
                  <c:v>68</c:v>
                </c:pt>
                <c:pt idx="46">
                  <c:v>68</c:v>
                </c:pt>
                <c:pt idx="47">
                  <c:v>68</c:v>
                </c:pt>
                <c:pt idx="48">
                  <c:v>68</c:v>
                </c:pt>
                <c:pt idx="49">
                  <c:v>68</c:v>
                </c:pt>
                <c:pt idx="50">
                  <c:v>68</c:v>
                </c:pt>
                <c:pt idx="51">
                  <c:v>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3F-46ED-8F2F-ABB866F8BBEF}"/>
            </c:ext>
          </c:extLst>
        </c:ser>
        <c:ser>
          <c:idx val="1"/>
          <c:order val="1"/>
          <c:tx>
            <c:strRef>
              <c:f>'L line boars manual'!$A$25</c:f>
              <c:strCache>
                <c:ptCount val="1"/>
                <c:pt idx="0">
                  <c:v>doses actual</c:v>
                </c:pt>
              </c:strCache>
            </c:strRef>
          </c:tx>
          <c:marker>
            <c:symbol val="none"/>
          </c:marker>
          <c:trendline>
            <c:spPr>
              <a:ln>
                <a:prstDash val="sysDot"/>
              </a:ln>
            </c:spPr>
            <c:trendlineType val="linear"/>
            <c:dispRSqr val="0"/>
            <c:dispEq val="0"/>
          </c:trendline>
          <c:val>
            <c:numRef>
              <c:f>'L line boars manual'!$B$25:$BA$25</c:f>
              <c:numCache>
                <c:formatCode>General</c:formatCode>
                <c:ptCount val="52"/>
                <c:pt idx="0">
                  <c:v>39</c:v>
                </c:pt>
                <c:pt idx="1">
                  <c:v>30</c:v>
                </c:pt>
                <c:pt idx="2">
                  <c:v>28</c:v>
                </c:pt>
                <c:pt idx="3">
                  <c:v>47</c:v>
                </c:pt>
                <c:pt idx="4">
                  <c:v>47</c:v>
                </c:pt>
                <c:pt idx="5">
                  <c:v>65</c:v>
                </c:pt>
                <c:pt idx="6">
                  <c:v>78</c:v>
                </c:pt>
                <c:pt idx="7">
                  <c:v>45</c:v>
                </c:pt>
                <c:pt idx="8">
                  <c:v>48</c:v>
                </c:pt>
                <c:pt idx="9">
                  <c:v>75</c:v>
                </c:pt>
                <c:pt idx="10">
                  <c:v>46</c:v>
                </c:pt>
                <c:pt idx="11">
                  <c:v>42</c:v>
                </c:pt>
                <c:pt idx="12">
                  <c:v>59</c:v>
                </c:pt>
                <c:pt idx="13">
                  <c:v>51</c:v>
                </c:pt>
                <c:pt idx="14">
                  <c:v>25</c:v>
                </c:pt>
                <c:pt idx="15">
                  <c:v>34</c:v>
                </c:pt>
                <c:pt idx="16">
                  <c:v>51</c:v>
                </c:pt>
                <c:pt idx="17">
                  <c:v>20</c:v>
                </c:pt>
                <c:pt idx="18">
                  <c:v>22</c:v>
                </c:pt>
                <c:pt idx="19">
                  <c:v>42</c:v>
                </c:pt>
                <c:pt idx="20">
                  <c:v>40</c:v>
                </c:pt>
                <c:pt idx="21">
                  <c:v>73</c:v>
                </c:pt>
                <c:pt idx="22">
                  <c:v>29</c:v>
                </c:pt>
                <c:pt idx="23">
                  <c:v>41</c:v>
                </c:pt>
                <c:pt idx="24">
                  <c:v>50</c:v>
                </c:pt>
                <c:pt idx="25">
                  <c:v>38</c:v>
                </c:pt>
                <c:pt idx="26">
                  <c:v>22</c:v>
                </c:pt>
                <c:pt idx="27">
                  <c:v>23</c:v>
                </c:pt>
                <c:pt idx="28">
                  <c:v>71</c:v>
                </c:pt>
                <c:pt idx="29">
                  <c:v>54</c:v>
                </c:pt>
                <c:pt idx="30">
                  <c:v>42</c:v>
                </c:pt>
                <c:pt idx="31">
                  <c:v>47</c:v>
                </c:pt>
                <c:pt idx="32">
                  <c:v>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C3F-46ED-8F2F-ABB866F8BB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53366160"/>
        <c:axId val="1"/>
      </c:lineChart>
      <c:catAx>
        <c:axId val="17533661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week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crossAx val="1"/>
        <c:crosses val="autoZero"/>
        <c:auto val="1"/>
        <c:lblAlgn val="ctr"/>
        <c:lblOffset val="100"/>
        <c:noMultiLvlLbl val="1"/>
      </c:catAx>
      <c:valAx>
        <c:axId val="1"/>
        <c:scaling>
          <c:orientation val="minMax"/>
          <c:max val="80"/>
          <c:min val="5"/>
        </c:scaling>
        <c:delete val="0"/>
        <c:axPos val="l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Semen</a:t>
                </a:r>
                <a:r>
                  <a:rPr lang="en-US" baseline="0"/>
                  <a:t> Doses %</a:t>
                </a:r>
              </a:p>
            </c:rich>
          </c:tx>
          <c:overlay val="0"/>
        </c:title>
        <c:numFmt formatCode="0" sourceLinked="1"/>
        <c:majorTickMark val="none"/>
        <c:minorTickMark val="none"/>
        <c:tickLblPos val="nextTo"/>
        <c:crossAx val="175336616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TENABILITY 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invertIfNegative val="1"/>
          <c:cat>
            <c:strRef>
              <c:f>[1]Sheet1!$A$1</c:f>
              <c:strCache>
                <c:ptCount val="1"/>
                <c:pt idx="0">
                  <c:v>#REF!</c:v>
                </c:pt>
              </c:strCache>
            </c:strRef>
          </c:cat>
          <c:val>
            <c:numRef>
              <c:f>''L line boars manual ''!#REF!</c:f>
              <c:numCache>
                <c:formatCode>General</c:formatCode>
                <c:ptCount val="5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''L line boars manual ''!REF1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67FA-4CC1-B109-0EC42230ECC5}"/>
            </c:ext>
          </c:extLst>
        </c:ser>
        <c:ser>
          <c:idx val="1"/>
          <c:order val="1"/>
          <c:invertIfNegative val="1"/>
          <c:cat>
            <c:strRef>
              <c:f>[1]Sheet1!$A$1</c:f>
              <c:strCache>
                <c:ptCount val="1"/>
                <c:pt idx="0">
                  <c:v>#REF!</c:v>
                </c:pt>
              </c:strCache>
            </c:strRef>
          </c:cat>
          <c:val>
            <c:numRef>
              <c:f>''L line boars manual ''!#REF!</c:f>
              <c:numCache>
                <c:formatCode>General</c:formatCode>
                <c:ptCount val="5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''L line boars manual ''!REF1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67FA-4CC1-B109-0EC42230ECC5}"/>
            </c:ext>
          </c:extLst>
        </c:ser>
        <c:ser>
          <c:idx val="2"/>
          <c:order val="2"/>
          <c:invertIfNegative val="1"/>
          <c:cat>
            <c:strRef>
              <c:f>[1]Sheet1!$A$1</c:f>
              <c:strCache>
                <c:ptCount val="1"/>
                <c:pt idx="0">
                  <c:v>#REF!</c:v>
                </c:pt>
              </c:strCache>
            </c:strRef>
          </c:cat>
          <c:val>
            <c:numRef>
              <c:f>''L line boars manual ''!#REF!</c:f>
              <c:numCache>
                <c:formatCode>General</c:formatCode>
                <c:ptCount val="5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''L line boars manual ''!REF1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2-67FA-4CC1-B109-0EC42230EC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22194160"/>
        <c:axId val="1"/>
      </c:barChart>
      <c:catAx>
        <c:axId val="12221941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WEEK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crossAx val="1"/>
        <c:crosses val="autoZero"/>
        <c:auto val="1"/>
        <c:lblAlgn val="ctr"/>
        <c:lblOffset val="100"/>
        <c:noMultiLvlLbl val="1"/>
      </c:catAx>
      <c:valAx>
        <c:axId val="1"/>
        <c:scaling>
          <c:orientation val="minMax"/>
        </c:scaling>
        <c:delete val="0"/>
        <c:axPos val="l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Values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22219416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 sz="1800"/>
              <a:t>Tenability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'L line boars manual'!$A$27</c:f>
              <c:strCache>
                <c:ptCount val="1"/>
                <c:pt idx="0">
                  <c:v>Tenability - Day 1</c:v>
                </c:pt>
              </c:strCache>
            </c:strRef>
          </c:tx>
          <c:invertIfNegative val="0"/>
          <c:val>
            <c:numRef>
              <c:f>'L line boars manual'!$B$27:$BA$27</c:f>
              <c:numCache>
                <c:formatCode>General</c:formatCode>
                <c:ptCount val="52"/>
                <c:pt idx="0">
                  <c:v>9</c:v>
                </c:pt>
                <c:pt idx="1">
                  <c:v>9</c:v>
                </c:pt>
                <c:pt idx="2">
                  <c:v>9</c:v>
                </c:pt>
                <c:pt idx="3">
                  <c:v>9</c:v>
                </c:pt>
                <c:pt idx="4">
                  <c:v>9</c:v>
                </c:pt>
                <c:pt idx="5">
                  <c:v>9</c:v>
                </c:pt>
                <c:pt idx="6">
                  <c:v>9</c:v>
                </c:pt>
                <c:pt idx="7">
                  <c:v>9</c:v>
                </c:pt>
                <c:pt idx="8">
                  <c:v>9</c:v>
                </c:pt>
                <c:pt idx="9">
                  <c:v>9</c:v>
                </c:pt>
                <c:pt idx="10">
                  <c:v>9</c:v>
                </c:pt>
                <c:pt idx="11">
                  <c:v>9</c:v>
                </c:pt>
                <c:pt idx="12">
                  <c:v>9</c:v>
                </c:pt>
                <c:pt idx="13">
                  <c:v>9</c:v>
                </c:pt>
                <c:pt idx="14">
                  <c:v>9</c:v>
                </c:pt>
                <c:pt idx="15">
                  <c:v>9</c:v>
                </c:pt>
                <c:pt idx="16">
                  <c:v>9</c:v>
                </c:pt>
                <c:pt idx="17">
                  <c:v>9</c:v>
                </c:pt>
                <c:pt idx="18">
                  <c:v>9</c:v>
                </c:pt>
                <c:pt idx="19">
                  <c:v>9</c:v>
                </c:pt>
                <c:pt idx="20">
                  <c:v>9</c:v>
                </c:pt>
                <c:pt idx="21">
                  <c:v>9</c:v>
                </c:pt>
                <c:pt idx="22">
                  <c:v>9</c:v>
                </c:pt>
                <c:pt idx="23">
                  <c:v>9</c:v>
                </c:pt>
                <c:pt idx="24">
                  <c:v>9</c:v>
                </c:pt>
                <c:pt idx="25">
                  <c:v>9</c:v>
                </c:pt>
                <c:pt idx="26">
                  <c:v>9</c:v>
                </c:pt>
                <c:pt idx="27">
                  <c:v>9</c:v>
                </c:pt>
                <c:pt idx="28">
                  <c:v>9</c:v>
                </c:pt>
                <c:pt idx="29">
                  <c:v>9</c:v>
                </c:pt>
                <c:pt idx="30">
                  <c:v>9</c:v>
                </c:pt>
                <c:pt idx="31">
                  <c:v>9</c:v>
                </c:pt>
                <c:pt idx="32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BF-40CB-B693-E2F2824F83A5}"/>
            </c:ext>
          </c:extLst>
        </c:ser>
        <c:ser>
          <c:idx val="1"/>
          <c:order val="1"/>
          <c:tx>
            <c:strRef>
              <c:f>'L line boars manual'!$A$28</c:f>
              <c:strCache>
                <c:ptCount val="1"/>
                <c:pt idx="0">
                  <c:v>tenability - Day 2</c:v>
                </c:pt>
              </c:strCache>
            </c:strRef>
          </c:tx>
          <c:invertIfNegative val="0"/>
          <c:val>
            <c:numRef>
              <c:f>'L line boars manual'!$B$28:$BA$28</c:f>
              <c:numCache>
                <c:formatCode>General</c:formatCode>
                <c:ptCount val="52"/>
                <c:pt idx="0">
                  <c:v>9</c:v>
                </c:pt>
                <c:pt idx="1">
                  <c:v>9</c:v>
                </c:pt>
                <c:pt idx="2">
                  <c:v>9</c:v>
                </c:pt>
                <c:pt idx="3">
                  <c:v>9</c:v>
                </c:pt>
                <c:pt idx="4">
                  <c:v>9</c:v>
                </c:pt>
                <c:pt idx="5">
                  <c:v>9</c:v>
                </c:pt>
                <c:pt idx="6">
                  <c:v>9</c:v>
                </c:pt>
                <c:pt idx="7">
                  <c:v>9</c:v>
                </c:pt>
                <c:pt idx="8">
                  <c:v>9</c:v>
                </c:pt>
                <c:pt idx="9">
                  <c:v>9</c:v>
                </c:pt>
                <c:pt idx="10">
                  <c:v>9</c:v>
                </c:pt>
                <c:pt idx="11">
                  <c:v>9</c:v>
                </c:pt>
                <c:pt idx="12">
                  <c:v>9</c:v>
                </c:pt>
                <c:pt idx="13">
                  <c:v>9</c:v>
                </c:pt>
                <c:pt idx="14">
                  <c:v>9</c:v>
                </c:pt>
                <c:pt idx="15">
                  <c:v>9</c:v>
                </c:pt>
                <c:pt idx="16">
                  <c:v>9</c:v>
                </c:pt>
                <c:pt idx="17">
                  <c:v>9</c:v>
                </c:pt>
                <c:pt idx="18">
                  <c:v>9</c:v>
                </c:pt>
                <c:pt idx="19">
                  <c:v>9</c:v>
                </c:pt>
                <c:pt idx="20">
                  <c:v>9</c:v>
                </c:pt>
                <c:pt idx="21">
                  <c:v>9</c:v>
                </c:pt>
                <c:pt idx="22">
                  <c:v>9</c:v>
                </c:pt>
                <c:pt idx="23">
                  <c:v>9</c:v>
                </c:pt>
                <c:pt idx="24">
                  <c:v>9</c:v>
                </c:pt>
                <c:pt idx="25">
                  <c:v>9</c:v>
                </c:pt>
                <c:pt idx="26">
                  <c:v>9</c:v>
                </c:pt>
                <c:pt idx="27">
                  <c:v>9</c:v>
                </c:pt>
                <c:pt idx="28">
                  <c:v>9</c:v>
                </c:pt>
                <c:pt idx="29">
                  <c:v>9</c:v>
                </c:pt>
                <c:pt idx="30">
                  <c:v>9</c:v>
                </c:pt>
                <c:pt idx="31">
                  <c:v>9</c:v>
                </c:pt>
                <c:pt idx="32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BF-40CB-B693-E2F2824F83A5}"/>
            </c:ext>
          </c:extLst>
        </c:ser>
        <c:ser>
          <c:idx val="2"/>
          <c:order val="2"/>
          <c:tx>
            <c:strRef>
              <c:f>'L line boars manual'!$A$29</c:f>
              <c:strCache>
                <c:ptCount val="1"/>
                <c:pt idx="0">
                  <c:v>tenability - Day 3</c:v>
                </c:pt>
              </c:strCache>
            </c:strRef>
          </c:tx>
          <c:invertIfNegative val="0"/>
          <c:val>
            <c:numRef>
              <c:f>'L line boars manual'!$B$29:$BA$29</c:f>
              <c:numCache>
                <c:formatCode>General</c:formatCode>
                <c:ptCount val="52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8</c:v>
                </c:pt>
                <c:pt idx="7">
                  <c:v>8</c:v>
                </c:pt>
                <c:pt idx="8">
                  <c:v>8</c:v>
                </c:pt>
                <c:pt idx="9">
                  <c:v>8</c:v>
                </c:pt>
                <c:pt idx="10">
                  <c:v>8</c:v>
                </c:pt>
                <c:pt idx="11">
                  <c:v>8</c:v>
                </c:pt>
                <c:pt idx="12">
                  <c:v>8</c:v>
                </c:pt>
                <c:pt idx="13">
                  <c:v>8</c:v>
                </c:pt>
                <c:pt idx="14">
                  <c:v>8</c:v>
                </c:pt>
                <c:pt idx="15">
                  <c:v>8</c:v>
                </c:pt>
                <c:pt idx="16">
                  <c:v>8</c:v>
                </c:pt>
                <c:pt idx="17">
                  <c:v>8</c:v>
                </c:pt>
                <c:pt idx="18">
                  <c:v>8</c:v>
                </c:pt>
                <c:pt idx="19">
                  <c:v>8</c:v>
                </c:pt>
                <c:pt idx="20">
                  <c:v>8</c:v>
                </c:pt>
                <c:pt idx="21">
                  <c:v>8</c:v>
                </c:pt>
                <c:pt idx="22">
                  <c:v>8</c:v>
                </c:pt>
                <c:pt idx="23">
                  <c:v>8</c:v>
                </c:pt>
                <c:pt idx="24">
                  <c:v>8</c:v>
                </c:pt>
                <c:pt idx="25">
                  <c:v>8</c:v>
                </c:pt>
                <c:pt idx="26">
                  <c:v>8</c:v>
                </c:pt>
                <c:pt idx="27">
                  <c:v>8</c:v>
                </c:pt>
                <c:pt idx="28">
                  <c:v>8</c:v>
                </c:pt>
                <c:pt idx="29">
                  <c:v>8</c:v>
                </c:pt>
                <c:pt idx="30">
                  <c:v>8</c:v>
                </c:pt>
                <c:pt idx="31">
                  <c:v>8</c:v>
                </c:pt>
                <c:pt idx="32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ABF-40CB-B693-E2F2824F83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22215280"/>
        <c:axId val="1"/>
      </c:barChart>
      <c:catAx>
        <c:axId val="12222152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Week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crossAx val="1"/>
        <c:crosses val="autoZero"/>
        <c:auto val="1"/>
        <c:lblAlgn val="ctr"/>
        <c:lblOffset val="100"/>
        <c:noMultiLvlLbl val="1"/>
      </c:catAx>
      <c:valAx>
        <c:axId val="1"/>
        <c:scaling>
          <c:orientation val="minMax"/>
        </c:scaling>
        <c:delete val="0"/>
        <c:axPos val="l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Score</a:t>
                </a:r>
                <a:r>
                  <a:rPr lang="en-US" baseline="0"/>
                  <a:t> %</a:t>
                </a: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22221528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US"/>
              <a:t>MORPHOLOGY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'L line boars manual'!$A$37</c:f>
              <c:strCache>
                <c:ptCount val="1"/>
                <c:pt idx="0">
                  <c:v>morphology target top</c:v>
                </c:pt>
              </c:strCache>
            </c:strRef>
          </c:tx>
          <c:marker>
            <c:symbol val="none"/>
          </c:marker>
          <c:val>
            <c:numRef>
              <c:f>'L line boars manual'!$B$37:$BA$37</c:f>
              <c:numCache>
                <c:formatCode>General</c:formatCode>
                <c:ptCount val="52"/>
                <c:pt idx="0">
                  <c:v>85</c:v>
                </c:pt>
                <c:pt idx="1">
                  <c:v>85</c:v>
                </c:pt>
                <c:pt idx="2">
                  <c:v>85</c:v>
                </c:pt>
                <c:pt idx="3">
                  <c:v>85</c:v>
                </c:pt>
                <c:pt idx="4">
                  <c:v>85</c:v>
                </c:pt>
                <c:pt idx="5">
                  <c:v>85</c:v>
                </c:pt>
                <c:pt idx="6">
                  <c:v>85</c:v>
                </c:pt>
                <c:pt idx="7">
                  <c:v>85</c:v>
                </c:pt>
                <c:pt idx="8">
                  <c:v>85</c:v>
                </c:pt>
                <c:pt idx="9">
                  <c:v>85</c:v>
                </c:pt>
                <c:pt idx="10">
                  <c:v>85</c:v>
                </c:pt>
                <c:pt idx="11">
                  <c:v>85</c:v>
                </c:pt>
                <c:pt idx="12">
                  <c:v>85</c:v>
                </c:pt>
                <c:pt idx="13">
                  <c:v>85</c:v>
                </c:pt>
                <c:pt idx="14">
                  <c:v>85</c:v>
                </c:pt>
                <c:pt idx="15">
                  <c:v>85</c:v>
                </c:pt>
                <c:pt idx="16">
                  <c:v>85</c:v>
                </c:pt>
                <c:pt idx="17">
                  <c:v>85</c:v>
                </c:pt>
                <c:pt idx="18">
                  <c:v>85</c:v>
                </c:pt>
                <c:pt idx="19">
                  <c:v>85</c:v>
                </c:pt>
                <c:pt idx="20">
                  <c:v>85</c:v>
                </c:pt>
                <c:pt idx="21">
                  <c:v>85</c:v>
                </c:pt>
                <c:pt idx="22">
                  <c:v>85</c:v>
                </c:pt>
                <c:pt idx="23">
                  <c:v>85</c:v>
                </c:pt>
                <c:pt idx="24">
                  <c:v>85</c:v>
                </c:pt>
                <c:pt idx="25">
                  <c:v>85</c:v>
                </c:pt>
                <c:pt idx="26">
                  <c:v>85</c:v>
                </c:pt>
                <c:pt idx="27">
                  <c:v>85</c:v>
                </c:pt>
                <c:pt idx="28">
                  <c:v>85</c:v>
                </c:pt>
                <c:pt idx="29">
                  <c:v>85</c:v>
                </c:pt>
                <c:pt idx="30">
                  <c:v>85</c:v>
                </c:pt>
                <c:pt idx="31">
                  <c:v>85</c:v>
                </c:pt>
                <c:pt idx="32">
                  <c:v>85</c:v>
                </c:pt>
                <c:pt idx="33">
                  <c:v>85</c:v>
                </c:pt>
                <c:pt idx="34">
                  <c:v>85</c:v>
                </c:pt>
                <c:pt idx="35">
                  <c:v>85</c:v>
                </c:pt>
                <c:pt idx="36">
                  <c:v>85</c:v>
                </c:pt>
                <c:pt idx="37">
                  <c:v>85</c:v>
                </c:pt>
                <c:pt idx="38">
                  <c:v>85</c:v>
                </c:pt>
                <c:pt idx="39">
                  <c:v>85</c:v>
                </c:pt>
                <c:pt idx="40">
                  <c:v>85</c:v>
                </c:pt>
                <c:pt idx="41">
                  <c:v>85</c:v>
                </c:pt>
                <c:pt idx="42">
                  <c:v>85</c:v>
                </c:pt>
                <c:pt idx="43">
                  <c:v>85</c:v>
                </c:pt>
                <c:pt idx="44">
                  <c:v>85</c:v>
                </c:pt>
                <c:pt idx="45">
                  <c:v>85</c:v>
                </c:pt>
                <c:pt idx="46">
                  <c:v>85</c:v>
                </c:pt>
                <c:pt idx="47">
                  <c:v>85</c:v>
                </c:pt>
                <c:pt idx="48">
                  <c:v>85</c:v>
                </c:pt>
                <c:pt idx="49">
                  <c:v>85</c:v>
                </c:pt>
                <c:pt idx="50">
                  <c:v>85</c:v>
                </c:pt>
                <c:pt idx="51">
                  <c:v>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63-4673-9AFA-366ABD1652B1}"/>
            </c:ext>
          </c:extLst>
        </c:ser>
        <c:ser>
          <c:idx val="1"/>
          <c:order val="1"/>
          <c:tx>
            <c:strRef>
              <c:f>'L line boars manual'!$A$38</c:f>
              <c:strCache>
                <c:ptCount val="1"/>
                <c:pt idx="0">
                  <c:v>Actual</c:v>
                </c:pt>
              </c:strCache>
            </c:strRef>
          </c:tx>
          <c:marker>
            <c:symbol val="none"/>
          </c:marker>
          <c:trendline>
            <c:spPr>
              <a:ln>
                <a:prstDash val="sysDot"/>
              </a:ln>
            </c:spPr>
            <c:trendlineType val="linear"/>
            <c:dispRSqr val="0"/>
            <c:dispEq val="0"/>
          </c:trendline>
          <c:val>
            <c:numRef>
              <c:f>'L line boars manual'!$B$38:$BA$38</c:f>
              <c:numCache>
                <c:formatCode>General</c:formatCode>
                <c:ptCount val="52"/>
                <c:pt idx="0">
                  <c:v>88</c:v>
                </c:pt>
                <c:pt idx="1">
                  <c:v>89</c:v>
                </c:pt>
                <c:pt idx="2">
                  <c:v>88</c:v>
                </c:pt>
                <c:pt idx="3">
                  <c:v>88</c:v>
                </c:pt>
                <c:pt idx="4">
                  <c:v>87</c:v>
                </c:pt>
                <c:pt idx="5">
                  <c:v>87</c:v>
                </c:pt>
                <c:pt idx="6">
                  <c:v>88</c:v>
                </c:pt>
                <c:pt idx="7">
                  <c:v>87</c:v>
                </c:pt>
                <c:pt idx="8">
                  <c:v>88</c:v>
                </c:pt>
                <c:pt idx="9">
                  <c:v>86</c:v>
                </c:pt>
                <c:pt idx="10">
                  <c:v>88</c:v>
                </c:pt>
                <c:pt idx="11">
                  <c:v>87</c:v>
                </c:pt>
                <c:pt idx="12">
                  <c:v>88</c:v>
                </c:pt>
                <c:pt idx="13">
                  <c:v>88</c:v>
                </c:pt>
                <c:pt idx="14">
                  <c:v>87</c:v>
                </c:pt>
                <c:pt idx="15">
                  <c:v>87</c:v>
                </c:pt>
                <c:pt idx="16">
                  <c:v>88</c:v>
                </c:pt>
                <c:pt idx="17">
                  <c:v>88</c:v>
                </c:pt>
                <c:pt idx="18">
                  <c:v>88</c:v>
                </c:pt>
                <c:pt idx="19">
                  <c:v>89</c:v>
                </c:pt>
                <c:pt idx="20">
                  <c:v>87</c:v>
                </c:pt>
                <c:pt idx="21">
                  <c:v>88</c:v>
                </c:pt>
                <c:pt idx="22">
                  <c:v>89</c:v>
                </c:pt>
                <c:pt idx="23">
                  <c:v>88</c:v>
                </c:pt>
                <c:pt idx="24">
                  <c:v>88</c:v>
                </c:pt>
                <c:pt idx="25">
                  <c:v>88</c:v>
                </c:pt>
                <c:pt idx="26">
                  <c:v>85</c:v>
                </c:pt>
                <c:pt idx="27">
                  <c:v>87</c:v>
                </c:pt>
                <c:pt idx="28">
                  <c:v>86</c:v>
                </c:pt>
                <c:pt idx="29">
                  <c:v>88</c:v>
                </c:pt>
                <c:pt idx="30">
                  <c:v>88</c:v>
                </c:pt>
                <c:pt idx="31">
                  <c:v>86</c:v>
                </c:pt>
                <c:pt idx="32">
                  <c:v>86</c:v>
                </c:pt>
                <c:pt idx="33">
                  <c:v>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D63-4673-9AFA-366ABD1652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33945856"/>
        <c:axId val="1"/>
      </c:lineChart>
      <c:catAx>
        <c:axId val="14339458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week 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crossAx val="1"/>
        <c:crosses val="autoZero"/>
        <c:auto val="1"/>
        <c:lblAlgn val="ctr"/>
        <c:lblOffset val="100"/>
        <c:noMultiLvlLbl val="1"/>
      </c:catAx>
      <c:valAx>
        <c:axId val="1"/>
        <c:scaling>
          <c:orientation val="minMax"/>
          <c:min val="84"/>
        </c:scaling>
        <c:delete val="0"/>
        <c:axPos val="l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Morphology</a:t>
                </a:r>
                <a:r>
                  <a:rPr lang="en-US" baseline="0"/>
                  <a:t> Score %</a:t>
                </a: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433945856"/>
        <c:crosses val="autoZero"/>
        <c:crossBetween val="between"/>
        <c:majorUnit val="2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US"/>
              <a:t>MORPHOLOGY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'L line boars manual'!$A$53</c:f>
              <c:strCache>
                <c:ptCount val="1"/>
                <c:pt idx="0">
                  <c:v>morphology target top</c:v>
                </c:pt>
              </c:strCache>
            </c:strRef>
          </c:tx>
          <c:marker>
            <c:symbol val="none"/>
          </c:marker>
          <c:val>
            <c:numRef>
              <c:f>'L line boars manual'!$B$53:$BA$53</c:f>
              <c:numCache>
                <c:formatCode>General</c:formatCode>
                <c:ptCount val="52"/>
                <c:pt idx="0">
                  <c:v>85</c:v>
                </c:pt>
                <c:pt idx="1">
                  <c:v>85</c:v>
                </c:pt>
                <c:pt idx="2">
                  <c:v>85</c:v>
                </c:pt>
                <c:pt idx="3">
                  <c:v>85</c:v>
                </c:pt>
                <c:pt idx="4">
                  <c:v>85</c:v>
                </c:pt>
                <c:pt idx="5">
                  <c:v>85</c:v>
                </c:pt>
                <c:pt idx="6">
                  <c:v>85</c:v>
                </c:pt>
                <c:pt idx="7">
                  <c:v>85</c:v>
                </c:pt>
                <c:pt idx="8">
                  <c:v>85</c:v>
                </c:pt>
                <c:pt idx="9">
                  <c:v>85</c:v>
                </c:pt>
                <c:pt idx="10">
                  <c:v>85</c:v>
                </c:pt>
                <c:pt idx="11">
                  <c:v>85</c:v>
                </c:pt>
                <c:pt idx="12">
                  <c:v>85</c:v>
                </c:pt>
                <c:pt idx="13">
                  <c:v>85</c:v>
                </c:pt>
                <c:pt idx="14">
                  <c:v>85</c:v>
                </c:pt>
                <c:pt idx="15">
                  <c:v>85</c:v>
                </c:pt>
                <c:pt idx="16">
                  <c:v>85</c:v>
                </c:pt>
                <c:pt idx="17">
                  <c:v>85</c:v>
                </c:pt>
                <c:pt idx="18">
                  <c:v>85</c:v>
                </c:pt>
                <c:pt idx="19">
                  <c:v>85</c:v>
                </c:pt>
                <c:pt idx="20">
                  <c:v>85</c:v>
                </c:pt>
                <c:pt idx="21">
                  <c:v>85</c:v>
                </c:pt>
                <c:pt idx="22">
                  <c:v>85</c:v>
                </c:pt>
                <c:pt idx="23">
                  <c:v>85</c:v>
                </c:pt>
                <c:pt idx="24">
                  <c:v>85</c:v>
                </c:pt>
                <c:pt idx="25">
                  <c:v>85</c:v>
                </c:pt>
                <c:pt idx="26">
                  <c:v>85</c:v>
                </c:pt>
                <c:pt idx="27">
                  <c:v>85</c:v>
                </c:pt>
                <c:pt idx="28">
                  <c:v>85</c:v>
                </c:pt>
                <c:pt idx="29">
                  <c:v>85</c:v>
                </c:pt>
                <c:pt idx="30">
                  <c:v>85</c:v>
                </c:pt>
                <c:pt idx="31">
                  <c:v>85</c:v>
                </c:pt>
                <c:pt idx="32">
                  <c:v>85</c:v>
                </c:pt>
                <c:pt idx="33">
                  <c:v>85</c:v>
                </c:pt>
                <c:pt idx="34">
                  <c:v>85</c:v>
                </c:pt>
                <c:pt idx="35">
                  <c:v>85</c:v>
                </c:pt>
                <c:pt idx="36">
                  <c:v>85</c:v>
                </c:pt>
                <c:pt idx="37">
                  <c:v>85</c:v>
                </c:pt>
                <c:pt idx="38">
                  <c:v>85</c:v>
                </c:pt>
                <c:pt idx="39">
                  <c:v>85</c:v>
                </c:pt>
                <c:pt idx="40">
                  <c:v>85</c:v>
                </c:pt>
                <c:pt idx="41">
                  <c:v>85</c:v>
                </c:pt>
                <c:pt idx="42">
                  <c:v>85</c:v>
                </c:pt>
                <c:pt idx="43">
                  <c:v>85</c:v>
                </c:pt>
                <c:pt idx="44">
                  <c:v>85</c:v>
                </c:pt>
                <c:pt idx="45">
                  <c:v>85</c:v>
                </c:pt>
                <c:pt idx="46">
                  <c:v>85</c:v>
                </c:pt>
                <c:pt idx="47">
                  <c:v>85</c:v>
                </c:pt>
                <c:pt idx="48">
                  <c:v>85</c:v>
                </c:pt>
                <c:pt idx="49">
                  <c:v>85</c:v>
                </c:pt>
                <c:pt idx="50">
                  <c:v>85</c:v>
                </c:pt>
                <c:pt idx="51">
                  <c:v>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AB9-46A5-8151-C0F897336637}"/>
            </c:ext>
          </c:extLst>
        </c:ser>
        <c:ser>
          <c:idx val="1"/>
          <c:order val="1"/>
          <c:tx>
            <c:strRef>
              <c:f>'L line boars manual'!$A$54</c:f>
              <c:strCache>
                <c:ptCount val="1"/>
                <c:pt idx="0">
                  <c:v>Actual</c:v>
                </c:pt>
              </c:strCache>
            </c:strRef>
          </c:tx>
          <c:marker>
            <c:symbol val="none"/>
          </c:marker>
          <c:trendline>
            <c:spPr>
              <a:ln>
                <a:prstDash val="sysDot"/>
              </a:ln>
            </c:spPr>
            <c:trendlineType val="linear"/>
            <c:dispRSqr val="0"/>
            <c:dispEq val="0"/>
          </c:trendline>
          <c:val>
            <c:numRef>
              <c:f>'L line boars manual'!$B$54:$BA$54</c:f>
              <c:numCache>
                <c:formatCode>General</c:formatCode>
                <c:ptCount val="52"/>
                <c:pt idx="0">
                  <c:v>87</c:v>
                </c:pt>
                <c:pt idx="1">
                  <c:v>88</c:v>
                </c:pt>
                <c:pt idx="2">
                  <c:v>90</c:v>
                </c:pt>
                <c:pt idx="3">
                  <c:v>89</c:v>
                </c:pt>
                <c:pt idx="4">
                  <c:v>88</c:v>
                </c:pt>
                <c:pt idx="5">
                  <c:v>89</c:v>
                </c:pt>
                <c:pt idx="6">
                  <c:v>87</c:v>
                </c:pt>
                <c:pt idx="7">
                  <c:v>89</c:v>
                </c:pt>
                <c:pt idx="8">
                  <c:v>87</c:v>
                </c:pt>
                <c:pt idx="9">
                  <c:v>86</c:v>
                </c:pt>
                <c:pt idx="10">
                  <c:v>88</c:v>
                </c:pt>
                <c:pt idx="11">
                  <c:v>88</c:v>
                </c:pt>
                <c:pt idx="12">
                  <c:v>87</c:v>
                </c:pt>
                <c:pt idx="13">
                  <c:v>89</c:v>
                </c:pt>
                <c:pt idx="14">
                  <c:v>88</c:v>
                </c:pt>
                <c:pt idx="15">
                  <c:v>88</c:v>
                </c:pt>
                <c:pt idx="16">
                  <c:v>87</c:v>
                </c:pt>
                <c:pt idx="17">
                  <c:v>87</c:v>
                </c:pt>
                <c:pt idx="18">
                  <c:v>87</c:v>
                </c:pt>
                <c:pt idx="19">
                  <c:v>87</c:v>
                </c:pt>
                <c:pt idx="20">
                  <c:v>89</c:v>
                </c:pt>
                <c:pt idx="21">
                  <c:v>87</c:v>
                </c:pt>
                <c:pt idx="22">
                  <c:v>88</c:v>
                </c:pt>
                <c:pt idx="23">
                  <c:v>87</c:v>
                </c:pt>
                <c:pt idx="24">
                  <c:v>87</c:v>
                </c:pt>
                <c:pt idx="25">
                  <c:v>87</c:v>
                </c:pt>
                <c:pt idx="26">
                  <c:v>87</c:v>
                </c:pt>
                <c:pt idx="27">
                  <c:v>86</c:v>
                </c:pt>
                <c:pt idx="28">
                  <c:v>87</c:v>
                </c:pt>
                <c:pt idx="29">
                  <c:v>87</c:v>
                </c:pt>
                <c:pt idx="30">
                  <c:v>86</c:v>
                </c:pt>
                <c:pt idx="31">
                  <c:v>87</c:v>
                </c:pt>
                <c:pt idx="32">
                  <c:v>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AB9-46A5-8151-C0F8973366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33945856"/>
        <c:axId val="1"/>
      </c:lineChart>
      <c:catAx>
        <c:axId val="14339458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week 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crossAx val="1"/>
        <c:crosses val="autoZero"/>
        <c:auto val="1"/>
        <c:lblAlgn val="ctr"/>
        <c:lblOffset val="100"/>
        <c:noMultiLvlLbl val="1"/>
      </c:catAx>
      <c:valAx>
        <c:axId val="1"/>
        <c:scaling>
          <c:orientation val="minMax"/>
          <c:max val="92"/>
          <c:min val="84"/>
        </c:scaling>
        <c:delete val="0"/>
        <c:axPos val="l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Morphology</a:t>
                </a:r>
                <a:r>
                  <a:rPr lang="en-US" baseline="0"/>
                  <a:t> Score %</a:t>
                </a: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43394585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US"/>
              <a:t>MORPHOLOGY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'L line boars manual'!$A$69</c:f>
              <c:strCache>
                <c:ptCount val="1"/>
                <c:pt idx="0">
                  <c:v>morphology target top</c:v>
                </c:pt>
              </c:strCache>
            </c:strRef>
          </c:tx>
          <c:marker>
            <c:symbol val="none"/>
          </c:marker>
          <c:val>
            <c:numRef>
              <c:f>'L line boars manual'!$B$69:$BA$69</c:f>
              <c:numCache>
                <c:formatCode>General</c:formatCode>
                <c:ptCount val="52"/>
                <c:pt idx="0">
                  <c:v>85</c:v>
                </c:pt>
                <c:pt idx="1">
                  <c:v>85</c:v>
                </c:pt>
                <c:pt idx="2">
                  <c:v>85</c:v>
                </c:pt>
                <c:pt idx="3">
                  <c:v>85</c:v>
                </c:pt>
                <c:pt idx="4">
                  <c:v>85</c:v>
                </c:pt>
                <c:pt idx="5">
                  <c:v>85</c:v>
                </c:pt>
                <c:pt idx="6">
                  <c:v>85</c:v>
                </c:pt>
                <c:pt idx="7">
                  <c:v>85</c:v>
                </c:pt>
                <c:pt idx="8">
                  <c:v>85</c:v>
                </c:pt>
                <c:pt idx="9">
                  <c:v>85</c:v>
                </c:pt>
                <c:pt idx="10">
                  <c:v>85</c:v>
                </c:pt>
                <c:pt idx="11">
                  <c:v>85</c:v>
                </c:pt>
                <c:pt idx="12">
                  <c:v>85</c:v>
                </c:pt>
                <c:pt idx="13">
                  <c:v>85</c:v>
                </c:pt>
                <c:pt idx="14">
                  <c:v>85</c:v>
                </c:pt>
                <c:pt idx="15">
                  <c:v>85</c:v>
                </c:pt>
                <c:pt idx="16">
                  <c:v>85</c:v>
                </c:pt>
                <c:pt idx="17">
                  <c:v>85</c:v>
                </c:pt>
                <c:pt idx="18">
                  <c:v>85</c:v>
                </c:pt>
                <c:pt idx="19">
                  <c:v>85</c:v>
                </c:pt>
                <c:pt idx="20">
                  <c:v>85</c:v>
                </c:pt>
                <c:pt idx="21">
                  <c:v>85</c:v>
                </c:pt>
                <c:pt idx="22">
                  <c:v>85</c:v>
                </c:pt>
                <c:pt idx="23">
                  <c:v>85</c:v>
                </c:pt>
                <c:pt idx="24">
                  <c:v>85</c:v>
                </c:pt>
                <c:pt idx="25">
                  <c:v>85</c:v>
                </c:pt>
                <c:pt idx="26">
                  <c:v>85</c:v>
                </c:pt>
                <c:pt idx="27">
                  <c:v>85</c:v>
                </c:pt>
                <c:pt idx="28">
                  <c:v>85</c:v>
                </c:pt>
                <c:pt idx="29">
                  <c:v>85</c:v>
                </c:pt>
                <c:pt idx="30">
                  <c:v>85</c:v>
                </c:pt>
                <c:pt idx="31">
                  <c:v>85</c:v>
                </c:pt>
                <c:pt idx="32">
                  <c:v>85</c:v>
                </c:pt>
                <c:pt idx="33">
                  <c:v>85</c:v>
                </c:pt>
                <c:pt idx="34">
                  <c:v>85</c:v>
                </c:pt>
                <c:pt idx="35">
                  <c:v>85</c:v>
                </c:pt>
                <c:pt idx="36">
                  <c:v>85</c:v>
                </c:pt>
                <c:pt idx="37">
                  <c:v>85</c:v>
                </c:pt>
                <c:pt idx="38">
                  <c:v>85</c:v>
                </c:pt>
                <c:pt idx="39">
                  <c:v>85</c:v>
                </c:pt>
                <c:pt idx="40">
                  <c:v>85</c:v>
                </c:pt>
                <c:pt idx="41">
                  <c:v>85</c:v>
                </c:pt>
                <c:pt idx="42">
                  <c:v>85</c:v>
                </c:pt>
                <c:pt idx="43">
                  <c:v>85</c:v>
                </c:pt>
                <c:pt idx="44">
                  <c:v>85</c:v>
                </c:pt>
                <c:pt idx="45">
                  <c:v>85</c:v>
                </c:pt>
                <c:pt idx="46">
                  <c:v>85</c:v>
                </c:pt>
                <c:pt idx="47">
                  <c:v>85</c:v>
                </c:pt>
                <c:pt idx="48">
                  <c:v>85</c:v>
                </c:pt>
                <c:pt idx="49">
                  <c:v>85</c:v>
                </c:pt>
                <c:pt idx="50">
                  <c:v>85</c:v>
                </c:pt>
                <c:pt idx="51">
                  <c:v>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61-4ED4-9A8B-0A73CFA420D5}"/>
            </c:ext>
          </c:extLst>
        </c:ser>
        <c:ser>
          <c:idx val="1"/>
          <c:order val="1"/>
          <c:tx>
            <c:strRef>
              <c:f>'L line boars manual'!$A$70</c:f>
              <c:strCache>
                <c:ptCount val="1"/>
                <c:pt idx="0">
                  <c:v>Actual</c:v>
                </c:pt>
              </c:strCache>
            </c:strRef>
          </c:tx>
          <c:marker>
            <c:symbol val="none"/>
          </c:marker>
          <c:val>
            <c:numRef>
              <c:f>'L line boars manual'!$B$70:$BA$70</c:f>
              <c:numCache>
                <c:formatCode>General</c:formatCode>
                <c:ptCount val="52"/>
                <c:pt idx="5">
                  <c:v>87</c:v>
                </c:pt>
                <c:pt idx="6">
                  <c:v>88</c:v>
                </c:pt>
                <c:pt idx="7">
                  <c:v>87</c:v>
                </c:pt>
                <c:pt idx="8">
                  <c:v>88</c:v>
                </c:pt>
                <c:pt idx="9">
                  <c:v>86</c:v>
                </c:pt>
                <c:pt idx="10">
                  <c:v>88</c:v>
                </c:pt>
                <c:pt idx="11">
                  <c:v>87</c:v>
                </c:pt>
                <c:pt idx="12">
                  <c:v>88</c:v>
                </c:pt>
                <c:pt idx="13">
                  <c:v>88</c:v>
                </c:pt>
                <c:pt idx="14">
                  <c:v>87</c:v>
                </c:pt>
                <c:pt idx="15">
                  <c:v>87</c:v>
                </c:pt>
                <c:pt idx="16">
                  <c:v>88</c:v>
                </c:pt>
                <c:pt idx="17">
                  <c:v>88</c:v>
                </c:pt>
                <c:pt idx="18">
                  <c:v>88</c:v>
                </c:pt>
                <c:pt idx="19">
                  <c:v>89</c:v>
                </c:pt>
                <c:pt idx="20">
                  <c:v>87</c:v>
                </c:pt>
                <c:pt idx="21">
                  <c:v>88</c:v>
                </c:pt>
                <c:pt idx="22">
                  <c:v>89</c:v>
                </c:pt>
                <c:pt idx="23">
                  <c:v>88</c:v>
                </c:pt>
                <c:pt idx="24">
                  <c:v>88</c:v>
                </c:pt>
                <c:pt idx="25">
                  <c:v>87</c:v>
                </c:pt>
                <c:pt idx="26">
                  <c:v>88</c:v>
                </c:pt>
                <c:pt idx="27">
                  <c:v>87</c:v>
                </c:pt>
                <c:pt idx="28">
                  <c:v>88</c:v>
                </c:pt>
                <c:pt idx="29">
                  <c:v>87</c:v>
                </c:pt>
                <c:pt idx="30">
                  <c:v>87</c:v>
                </c:pt>
                <c:pt idx="31">
                  <c:v>87</c:v>
                </c:pt>
                <c:pt idx="32">
                  <c:v>87</c:v>
                </c:pt>
                <c:pt idx="33">
                  <c:v>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D61-4ED4-9A8B-0A73CFA420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33945856"/>
        <c:axId val="1"/>
      </c:lineChart>
      <c:catAx>
        <c:axId val="14339458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week 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crossAx val="1"/>
        <c:crosses val="autoZero"/>
        <c:auto val="1"/>
        <c:lblAlgn val="ctr"/>
        <c:lblOffset val="100"/>
        <c:noMultiLvlLbl val="1"/>
      </c:catAx>
      <c:valAx>
        <c:axId val="1"/>
        <c:scaling>
          <c:orientation val="minMax"/>
        </c:scaling>
        <c:delete val="0"/>
        <c:axPos val="l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Morphology</a:t>
                </a:r>
                <a:r>
                  <a:rPr lang="en-US" baseline="0"/>
                  <a:t> Score %</a:t>
                </a: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43394585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US"/>
              <a:t>MORPHOLOGY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'L line boars manual'!$A$85</c:f>
              <c:strCache>
                <c:ptCount val="1"/>
                <c:pt idx="0">
                  <c:v>morphology target top</c:v>
                </c:pt>
              </c:strCache>
            </c:strRef>
          </c:tx>
          <c:marker>
            <c:symbol val="none"/>
          </c:marker>
          <c:val>
            <c:numRef>
              <c:f>'L line boars manual'!$B$85:$BA$85</c:f>
              <c:numCache>
                <c:formatCode>General</c:formatCode>
                <c:ptCount val="52"/>
                <c:pt idx="0">
                  <c:v>85</c:v>
                </c:pt>
                <c:pt idx="1">
                  <c:v>85</c:v>
                </c:pt>
                <c:pt idx="2">
                  <c:v>85</c:v>
                </c:pt>
                <c:pt idx="3">
                  <c:v>85</c:v>
                </c:pt>
                <c:pt idx="4">
                  <c:v>85</c:v>
                </c:pt>
                <c:pt idx="5">
                  <c:v>85</c:v>
                </c:pt>
                <c:pt idx="6">
                  <c:v>85</c:v>
                </c:pt>
                <c:pt idx="7">
                  <c:v>85</c:v>
                </c:pt>
                <c:pt idx="8">
                  <c:v>85</c:v>
                </c:pt>
                <c:pt idx="9">
                  <c:v>85</c:v>
                </c:pt>
                <c:pt idx="10">
                  <c:v>85</c:v>
                </c:pt>
                <c:pt idx="11">
                  <c:v>85</c:v>
                </c:pt>
                <c:pt idx="12">
                  <c:v>85</c:v>
                </c:pt>
                <c:pt idx="13">
                  <c:v>85</c:v>
                </c:pt>
                <c:pt idx="14">
                  <c:v>85</c:v>
                </c:pt>
                <c:pt idx="15">
                  <c:v>85</c:v>
                </c:pt>
                <c:pt idx="16">
                  <c:v>85</c:v>
                </c:pt>
                <c:pt idx="17">
                  <c:v>85</c:v>
                </c:pt>
                <c:pt idx="18">
                  <c:v>85</c:v>
                </c:pt>
                <c:pt idx="19">
                  <c:v>85</c:v>
                </c:pt>
                <c:pt idx="20">
                  <c:v>85</c:v>
                </c:pt>
                <c:pt idx="21">
                  <c:v>85</c:v>
                </c:pt>
                <c:pt idx="22">
                  <c:v>85</c:v>
                </c:pt>
                <c:pt idx="23">
                  <c:v>85</c:v>
                </c:pt>
                <c:pt idx="24">
                  <c:v>85</c:v>
                </c:pt>
                <c:pt idx="25">
                  <c:v>85</c:v>
                </c:pt>
                <c:pt idx="26">
                  <c:v>85</c:v>
                </c:pt>
                <c:pt idx="27">
                  <c:v>85</c:v>
                </c:pt>
                <c:pt idx="28">
                  <c:v>85</c:v>
                </c:pt>
                <c:pt idx="29">
                  <c:v>85</c:v>
                </c:pt>
                <c:pt idx="30">
                  <c:v>85</c:v>
                </c:pt>
                <c:pt idx="31">
                  <c:v>85</c:v>
                </c:pt>
                <c:pt idx="32">
                  <c:v>85</c:v>
                </c:pt>
                <c:pt idx="33">
                  <c:v>85</c:v>
                </c:pt>
                <c:pt idx="34">
                  <c:v>85</c:v>
                </c:pt>
                <c:pt idx="35">
                  <c:v>85</c:v>
                </c:pt>
                <c:pt idx="36">
                  <c:v>85</c:v>
                </c:pt>
                <c:pt idx="37">
                  <c:v>85</c:v>
                </c:pt>
                <c:pt idx="38">
                  <c:v>85</c:v>
                </c:pt>
                <c:pt idx="39">
                  <c:v>85</c:v>
                </c:pt>
                <c:pt idx="40">
                  <c:v>85</c:v>
                </c:pt>
                <c:pt idx="41">
                  <c:v>85</c:v>
                </c:pt>
                <c:pt idx="42">
                  <c:v>85</c:v>
                </c:pt>
                <c:pt idx="43">
                  <c:v>85</c:v>
                </c:pt>
                <c:pt idx="44">
                  <c:v>85</c:v>
                </c:pt>
                <c:pt idx="45">
                  <c:v>85</c:v>
                </c:pt>
                <c:pt idx="46">
                  <c:v>85</c:v>
                </c:pt>
                <c:pt idx="47">
                  <c:v>85</c:v>
                </c:pt>
                <c:pt idx="48">
                  <c:v>85</c:v>
                </c:pt>
                <c:pt idx="49">
                  <c:v>85</c:v>
                </c:pt>
                <c:pt idx="50">
                  <c:v>85</c:v>
                </c:pt>
                <c:pt idx="51">
                  <c:v>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54-4734-8CEB-DFDD827C153B}"/>
            </c:ext>
          </c:extLst>
        </c:ser>
        <c:ser>
          <c:idx val="1"/>
          <c:order val="1"/>
          <c:tx>
            <c:strRef>
              <c:f>'L line boars manual'!$A$86</c:f>
              <c:strCache>
                <c:ptCount val="1"/>
                <c:pt idx="0">
                  <c:v>Actual</c:v>
                </c:pt>
              </c:strCache>
            </c:strRef>
          </c:tx>
          <c:marker>
            <c:symbol val="none"/>
          </c:marker>
          <c:trendline>
            <c:spPr>
              <a:ln>
                <a:prstDash val="sysDot"/>
              </a:ln>
            </c:spPr>
            <c:trendlineType val="linear"/>
            <c:dispRSqr val="0"/>
            <c:dispEq val="0"/>
          </c:trendline>
          <c:val>
            <c:numRef>
              <c:f>'L line boars manual'!$B$86:$BA$86</c:f>
              <c:numCache>
                <c:formatCode>General</c:formatCode>
                <c:ptCount val="5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054-4734-8CEB-DFDD827C15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33945856"/>
        <c:axId val="1"/>
      </c:lineChart>
      <c:catAx>
        <c:axId val="14339458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week 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crossAx val="1"/>
        <c:crosses val="autoZero"/>
        <c:auto val="1"/>
        <c:lblAlgn val="ctr"/>
        <c:lblOffset val="100"/>
        <c:noMultiLvlLbl val="1"/>
      </c:catAx>
      <c:valAx>
        <c:axId val="1"/>
        <c:scaling>
          <c:orientation val="minMax"/>
          <c:min val="84"/>
        </c:scaling>
        <c:delete val="0"/>
        <c:axPos val="l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Morphology</a:t>
                </a:r>
                <a:r>
                  <a:rPr lang="en-US" baseline="0"/>
                  <a:t> Score %</a:t>
                </a: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433945856"/>
        <c:crosses val="autoZero"/>
        <c:crossBetween val="between"/>
        <c:majorUnit val="2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US"/>
              <a:t>SEMEN DOSES  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'L line boars manual'!$A$40</c:f>
              <c:strCache>
                <c:ptCount val="1"/>
                <c:pt idx="0">
                  <c:v>boars avg # of doses</c:v>
                </c:pt>
              </c:strCache>
            </c:strRef>
          </c:tx>
          <c:marker>
            <c:symbol val="none"/>
          </c:marker>
          <c:val>
            <c:numRef>
              <c:f>'L line boars manual'!$B$40:$BA$40</c:f>
              <c:numCache>
                <c:formatCode>0</c:formatCode>
                <c:ptCount val="52"/>
                <c:pt idx="0">
                  <c:v>68</c:v>
                </c:pt>
                <c:pt idx="1">
                  <c:v>68</c:v>
                </c:pt>
                <c:pt idx="2">
                  <c:v>68</c:v>
                </c:pt>
                <c:pt idx="3">
                  <c:v>68</c:v>
                </c:pt>
                <c:pt idx="4">
                  <c:v>68</c:v>
                </c:pt>
                <c:pt idx="5">
                  <c:v>68</c:v>
                </c:pt>
                <c:pt idx="6">
                  <c:v>68</c:v>
                </c:pt>
                <c:pt idx="7">
                  <c:v>68</c:v>
                </c:pt>
                <c:pt idx="8">
                  <c:v>68</c:v>
                </c:pt>
                <c:pt idx="9">
                  <c:v>68</c:v>
                </c:pt>
                <c:pt idx="10">
                  <c:v>68</c:v>
                </c:pt>
                <c:pt idx="11">
                  <c:v>68</c:v>
                </c:pt>
                <c:pt idx="12">
                  <c:v>68</c:v>
                </c:pt>
                <c:pt idx="13">
                  <c:v>68</c:v>
                </c:pt>
                <c:pt idx="14">
                  <c:v>68</c:v>
                </c:pt>
                <c:pt idx="15">
                  <c:v>68</c:v>
                </c:pt>
                <c:pt idx="16">
                  <c:v>68</c:v>
                </c:pt>
                <c:pt idx="17">
                  <c:v>68</c:v>
                </c:pt>
                <c:pt idx="18">
                  <c:v>68</c:v>
                </c:pt>
                <c:pt idx="19">
                  <c:v>68</c:v>
                </c:pt>
                <c:pt idx="20">
                  <c:v>68</c:v>
                </c:pt>
                <c:pt idx="21">
                  <c:v>68</c:v>
                </c:pt>
                <c:pt idx="22">
                  <c:v>68</c:v>
                </c:pt>
                <c:pt idx="23">
                  <c:v>68</c:v>
                </c:pt>
                <c:pt idx="24">
                  <c:v>68</c:v>
                </c:pt>
                <c:pt idx="25">
                  <c:v>68</c:v>
                </c:pt>
                <c:pt idx="26">
                  <c:v>68</c:v>
                </c:pt>
                <c:pt idx="27">
                  <c:v>68</c:v>
                </c:pt>
                <c:pt idx="28">
                  <c:v>68</c:v>
                </c:pt>
                <c:pt idx="29">
                  <c:v>68</c:v>
                </c:pt>
                <c:pt idx="30">
                  <c:v>68</c:v>
                </c:pt>
                <c:pt idx="31">
                  <c:v>68</c:v>
                </c:pt>
                <c:pt idx="32">
                  <c:v>68</c:v>
                </c:pt>
                <c:pt idx="33">
                  <c:v>68</c:v>
                </c:pt>
                <c:pt idx="34">
                  <c:v>68</c:v>
                </c:pt>
                <c:pt idx="35">
                  <c:v>68</c:v>
                </c:pt>
                <c:pt idx="36">
                  <c:v>68</c:v>
                </c:pt>
                <c:pt idx="37">
                  <c:v>68</c:v>
                </c:pt>
                <c:pt idx="38">
                  <c:v>68</c:v>
                </c:pt>
                <c:pt idx="39">
                  <c:v>68</c:v>
                </c:pt>
                <c:pt idx="40">
                  <c:v>68</c:v>
                </c:pt>
                <c:pt idx="41">
                  <c:v>68</c:v>
                </c:pt>
                <c:pt idx="42">
                  <c:v>68</c:v>
                </c:pt>
                <c:pt idx="43">
                  <c:v>68</c:v>
                </c:pt>
                <c:pt idx="44">
                  <c:v>68</c:v>
                </c:pt>
                <c:pt idx="45">
                  <c:v>68</c:v>
                </c:pt>
                <c:pt idx="46">
                  <c:v>68</c:v>
                </c:pt>
                <c:pt idx="47">
                  <c:v>68</c:v>
                </c:pt>
                <c:pt idx="48">
                  <c:v>68</c:v>
                </c:pt>
                <c:pt idx="49">
                  <c:v>68</c:v>
                </c:pt>
                <c:pt idx="50">
                  <c:v>68</c:v>
                </c:pt>
                <c:pt idx="51">
                  <c:v>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4F-4C08-901D-25668A76EFD6}"/>
            </c:ext>
          </c:extLst>
        </c:ser>
        <c:ser>
          <c:idx val="1"/>
          <c:order val="1"/>
          <c:tx>
            <c:strRef>
              <c:f>'L line boars manual'!$A$41</c:f>
              <c:strCache>
                <c:ptCount val="1"/>
                <c:pt idx="0">
                  <c:v>doses actual</c:v>
                </c:pt>
              </c:strCache>
            </c:strRef>
          </c:tx>
          <c:marker>
            <c:symbol val="none"/>
          </c:marker>
          <c:trendline>
            <c:spPr>
              <a:ln>
                <a:prstDash val="sysDot"/>
              </a:ln>
            </c:spPr>
            <c:trendlineType val="linear"/>
            <c:dispRSqr val="0"/>
            <c:dispEq val="0"/>
          </c:trendline>
          <c:val>
            <c:numRef>
              <c:f>'L line boars manual'!$B$41:$BA$41</c:f>
              <c:numCache>
                <c:formatCode>General</c:formatCode>
                <c:ptCount val="52"/>
                <c:pt idx="0">
                  <c:v>30</c:v>
                </c:pt>
                <c:pt idx="1">
                  <c:v>39</c:v>
                </c:pt>
                <c:pt idx="2">
                  <c:v>70</c:v>
                </c:pt>
                <c:pt idx="3">
                  <c:v>44</c:v>
                </c:pt>
                <c:pt idx="4">
                  <c:v>51</c:v>
                </c:pt>
                <c:pt idx="5">
                  <c:v>52</c:v>
                </c:pt>
                <c:pt idx="6">
                  <c:v>34</c:v>
                </c:pt>
                <c:pt idx="7">
                  <c:v>52</c:v>
                </c:pt>
                <c:pt idx="8">
                  <c:v>73</c:v>
                </c:pt>
                <c:pt idx="9">
                  <c:v>64</c:v>
                </c:pt>
                <c:pt idx="10">
                  <c:v>41</c:v>
                </c:pt>
                <c:pt idx="11">
                  <c:v>26</c:v>
                </c:pt>
                <c:pt idx="12">
                  <c:v>51</c:v>
                </c:pt>
                <c:pt idx="13">
                  <c:v>21</c:v>
                </c:pt>
                <c:pt idx="14">
                  <c:v>41</c:v>
                </c:pt>
                <c:pt idx="15">
                  <c:v>41</c:v>
                </c:pt>
                <c:pt idx="16">
                  <c:v>67</c:v>
                </c:pt>
                <c:pt idx="17">
                  <c:v>50</c:v>
                </c:pt>
                <c:pt idx="18">
                  <c:v>28</c:v>
                </c:pt>
                <c:pt idx="19">
                  <c:v>71</c:v>
                </c:pt>
                <c:pt idx="20">
                  <c:v>42</c:v>
                </c:pt>
                <c:pt idx="21">
                  <c:v>70</c:v>
                </c:pt>
                <c:pt idx="22">
                  <c:v>90</c:v>
                </c:pt>
                <c:pt idx="23">
                  <c:v>47</c:v>
                </c:pt>
                <c:pt idx="24">
                  <c:v>29</c:v>
                </c:pt>
                <c:pt idx="25">
                  <c:v>76</c:v>
                </c:pt>
                <c:pt idx="26">
                  <c:v>37</c:v>
                </c:pt>
                <c:pt idx="27">
                  <c:v>37</c:v>
                </c:pt>
                <c:pt idx="28">
                  <c:v>60</c:v>
                </c:pt>
                <c:pt idx="29">
                  <c:v>24</c:v>
                </c:pt>
                <c:pt idx="30">
                  <c:v>42</c:v>
                </c:pt>
                <c:pt idx="31">
                  <c:v>32</c:v>
                </c:pt>
                <c:pt idx="32">
                  <c:v>27</c:v>
                </c:pt>
                <c:pt idx="33">
                  <c:v>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F4F-4C08-901D-25668A76EF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53366160"/>
        <c:axId val="1"/>
      </c:lineChart>
      <c:catAx>
        <c:axId val="17533661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week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crossAx val="1"/>
        <c:crosses val="autoZero"/>
        <c:auto val="1"/>
        <c:lblAlgn val="ctr"/>
        <c:lblOffset val="100"/>
        <c:noMultiLvlLbl val="1"/>
      </c:catAx>
      <c:valAx>
        <c:axId val="1"/>
        <c:scaling>
          <c:orientation val="minMax"/>
          <c:min val="20"/>
        </c:scaling>
        <c:delete val="0"/>
        <c:axPos val="l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Semen</a:t>
                </a:r>
                <a:r>
                  <a:rPr lang="en-US" baseline="0"/>
                  <a:t> Doses %</a:t>
                </a:r>
              </a:p>
            </c:rich>
          </c:tx>
          <c:overlay val="0"/>
        </c:title>
        <c:numFmt formatCode="0" sourceLinked="1"/>
        <c:majorTickMark val="none"/>
        <c:minorTickMark val="none"/>
        <c:tickLblPos val="nextTo"/>
        <c:crossAx val="175336616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US"/>
              <a:t>SEMEN DOSES  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'L line boars manual'!$A$56</c:f>
              <c:strCache>
                <c:ptCount val="1"/>
                <c:pt idx="0">
                  <c:v>boars avg # of doses</c:v>
                </c:pt>
              </c:strCache>
            </c:strRef>
          </c:tx>
          <c:marker>
            <c:symbol val="none"/>
          </c:marker>
          <c:val>
            <c:numRef>
              <c:f>'L line boars manual'!$B$56:$BA$56</c:f>
              <c:numCache>
                <c:formatCode>0</c:formatCode>
                <c:ptCount val="52"/>
                <c:pt idx="0">
                  <c:v>68</c:v>
                </c:pt>
                <c:pt idx="1">
                  <c:v>68</c:v>
                </c:pt>
                <c:pt idx="2">
                  <c:v>68</c:v>
                </c:pt>
                <c:pt idx="3">
                  <c:v>68</c:v>
                </c:pt>
                <c:pt idx="4">
                  <c:v>68</c:v>
                </c:pt>
                <c:pt idx="5">
                  <c:v>68</c:v>
                </c:pt>
                <c:pt idx="6">
                  <c:v>68</c:v>
                </c:pt>
                <c:pt idx="7">
                  <c:v>68</c:v>
                </c:pt>
                <c:pt idx="8">
                  <c:v>68</c:v>
                </c:pt>
                <c:pt idx="9">
                  <c:v>68</c:v>
                </c:pt>
                <c:pt idx="10">
                  <c:v>68</c:v>
                </c:pt>
                <c:pt idx="11">
                  <c:v>68</c:v>
                </c:pt>
                <c:pt idx="12">
                  <c:v>68</c:v>
                </c:pt>
                <c:pt idx="13">
                  <c:v>68</c:v>
                </c:pt>
                <c:pt idx="14">
                  <c:v>68</c:v>
                </c:pt>
                <c:pt idx="15">
                  <c:v>68</c:v>
                </c:pt>
                <c:pt idx="16">
                  <c:v>68</c:v>
                </c:pt>
                <c:pt idx="17">
                  <c:v>68</c:v>
                </c:pt>
                <c:pt idx="18">
                  <c:v>68</c:v>
                </c:pt>
                <c:pt idx="19">
                  <c:v>68</c:v>
                </c:pt>
                <c:pt idx="20">
                  <c:v>68</c:v>
                </c:pt>
                <c:pt idx="21">
                  <c:v>68</c:v>
                </c:pt>
                <c:pt idx="22">
                  <c:v>68</c:v>
                </c:pt>
                <c:pt idx="23">
                  <c:v>68</c:v>
                </c:pt>
                <c:pt idx="24">
                  <c:v>68</c:v>
                </c:pt>
                <c:pt idx="25">
                  <c:v>68</c:v>
                </c:pt>
                <c:pt idx="26">
                  <c:v>68</c:v>
                </c:pt>
                <c:pt idx="27">
                  <c:v>68</c:v>
                </c:pt>
                <c:pt idx="28">
                  <c:v>68</c:v>
                </c:pt>
                <c:pt idx="29">
                  <c:v>68</c:v>
                </c:pt>
                <c:pt idx="30">
                  <c:v>68</c:v>
                </c:pt>
                <c:pt idx="31">
                  <c:v>68</c:v>
                </c:pt>
                <c:pt idx="32">
                  <c:v>68</c:v>
                </c:pt>
                <c:pt idx="33">
                  <c:v>68</c:v>
                </c:pt>
                <c:pt idx="34">
                  <c:v>68</c:v>
                </c:pt>
                <c:pt idx="35">
                  <c:v>68</c:v>
                </c:pt>
                <c:pt idx="36">
                  <c:v>68</c:v>
                </c:pt>
                <c:pt idx="37">
                  <c:v>68</c:v>
                </c:pt>
                <c:pt idx="38">
                  <c:v>68</c:v>
                </c:pt>
                <c:pt idx="39">
                  <c:v>68</c:v>
                </c:pt>
                <c:pt idx="40">
                  <c:v>68</c:v>
                </c:pt>
                <c:pt idx="41">
                  <c:v>68</c:v>
                </c:pt>
                <c:pt idx="42">
                  <c:v>68</c:v>
                </c:pt>
                <c:pt idx="43">
                  <c:v>68</c:v>
                </c:pt>
                <c:pt idx="44">
                  <c:v>68</c:v>
                </c:pt>
                <c:pt idx="45">
                  <c:v>68</c:v>
                </c:pt>
                <c:pt idx="46">
                  <c:v>68</c:v>
                </c:pt>
                <c:pt idx="47">
                  <c:v>68</c:v>
                </c:pt>
                <c:pt idx="48">
                  <c:v>68</c:v>
                </c:pt>
                <c:pt idx="49">
                  <c:v>68</c:v>
                </c:pt>
                <c:pt idx="50">
                  <c:v>68</c:v>
                </c:pt>
                <c:pt idx="51">
                  <c:v>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A5-4B03-B813-23D01CFCCFAF}"/>
            </c:ext>
          </c:extLst>
        </c:ser>
        <c:ser>
          <c:idx val="1"/>
          <c:order val="1"/>
          <c:tx>
            <c:strRef>
              <c:f>'L line boars manual'!$A$57</c:f>
              <c:strCache>
                <c:ptCount val="1"/>
                <c:pt idx="0">
                  <c:v>doses actual</c:v>
                </c:pt>
              </c:strCache>
            </c:strRef>
          </c:tx>
          <c:marker>
            <c:symbol val="none"/>
          </c:marker>
          <c:trendline>
            <c:spPr>
              <a:ln>
                <a:prstDash val="sysDot"/>
              </a:ln>
            </c:spPr>
            <c:trendlineType val="linear"/>
            <c:dispRSqr val="0"/>
            <c:dispEq val="0"/>
          </c:trendline>
          <c:val>
            <c:numRef>
              <c:f>'L line boars manual'!$B$57:$BA$57</c:f>
              <c:numCache>
                <c:formatCode>General</c:formatCode>
                <c:ptCount val="52"/>
                <c:pt idx="0">
                  <c:v>66</c:v>
                </c:pt>
                <c:pt idx="1">
                  <c:v>37</c:v>
                </c:pt>
                <c:pt idx="2">
                  <c:v>50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39</c:v>
                </c:pt>
                <c:pt idx="7">
                  <c:v>30</c:v>
                </c:pt>
                <c:pt idx="8">
                  <c:v>52</c:v>
                </c:pt>
                <c:pt idx="9">
                  <c:v>52</c:v>
                </c:pt>
                <c:pt idx="10">
                  <c:v>45</c:v>
                </c:pt>
                <c:pt idx="11">
                  <c:v>34</c:v>
                </c:pt>
                <c:pt idx="12">
                  <c:v>47</c:v>
                </c:pt>
                <c:pt idx="13">
                  <c:v>16</c:v>
                </c:pt>
                <c:pt idx="14">
                  <c:v>25</c:v>
                </c:pt>
                <c:pt idx="15">
                  <c:v>29</c:v>
                </c:pt>
                <c:pt idx="16">
                  <c:v>36</c:v>
                </c:pt>
                <c:pt idx="17">
                  <c:v>36</c:v>
                </c:pt>
                <c:pt idx="18">
                  <c:v>34</c:v>
                </c:pt>
                <c:pt idx="19">
                  <c:v>45</c:v>
                </c:pt>
                <c:pt idx="20">
                  <c:v>55</c:v>
                </c:pt>
                <c:pt idx="21">
                  <c:v>19</c:v>
                </c:pt>
                <c:pt idx="22">
                  <c:v>50</c:v>
                </c:pt>
                <c:pt idx="23">
                  <c:v>39</c:v>
                </c:pt>
                <c:pt idx="24">
                  <c:v>41</c:v>
                </c:pt>
                <c:pt idx="25">
                  <c:v>38</c:v>
                </c:pt>
                <c:pt idx="26">
                  <c:v>47</c:v>
                </c:pt>
                <c:pt idx="27">
                  <c:v>41</c:v>
                </c:pt>
                <c:pt idx="28">
                  <c:v>28</c:v>
                </c:pt>
                <c:pt idx="29">
                  <c:v>72</c:v>
                </c:pt>
                <c:pt idx="30">
                  <c:v>42</c:v>
                </c:pt>
                <c:pt idx="31">
                  <c:v>28</c:v>
                </c:pt>
                <c:pt idx="32">
                  <c:v>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A5-4B03-B813-23D01CFCCF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53366160"/>
        <c:axId val="1"/>
      </c:lineChart>
      <c:catAx>
        <c:axId val="17533661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week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crossAx val="1"/>
        <c:crosses val="autoZero"/>
        <c:auto val="1"/>
        <c:lblAlgn val="ctr"/>
        <c:lblOffset val="100"/>
        <c:noMultiLvlLbl val="1"/>
      </c:catAx>
      <c:valAx>
        <c:axId val="1"/>
        <c:scaling>
          <c:orientation val="minMax"/>
          <c:max val="80"/>
          <c:min val="10"/>
        </c:scaling>
        <c:delete val="0"/>
        <c:axPos val="l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Semen</a:t>
                </a:r>
                <a:r>
                  <a:rPr lang="en-US" baseline="0"/>
                  <a:t> Doses %</a:t>
                </a:r>
              </a:p>
            </c:rich>
          </c:tx>
          <c:overlay val="0"/>
        </c:title>
        <c:numFmt formatCode="0" sourceLinked="1"/>
        <c:majorTickMark val="none"/>
        <c:minorTickMark val="none"/>
        <c:tickLblPos val="nextTo"/>
        <c:crossAx val="175336616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US"/>
              <a:t>SEMEN DOSES  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'L line boars manual'!$A$72</c:f>
              <c:strCache>
                <c:ptCount val="1"/>
                <c:pt idx="0">
                  <c:v>boars avg # of doses</c:v>
                </c:pt>
              </c:strCache>
            </c:strRef>
          </c:tx>
          <c:marker>
            <c:symbol val="none"/>
          </c:marker>
          <c:val>
            <c:numRef>
              <c:f>'L line boars manual'!$B$72:$BA$72</c:f>
              <c:numCache>
                <c:formatCode>0</c:formatCode>
                <c:ptCount val="52"/>
                <c:pt idx="0">
                  <c:v>68</c:v>
                </c:pt>
                <c:pt idx="1">
                  <c:v>68</c:v>
                </c:pt>
                <c:pt idx="2">
                  <c:v>68</c:v>
                </c:pt>
                <c:pt idx="3">
                  <c:v>68</c:v>
                </c:pt>
                <c:pt idx="4">
                  <c:v>68</c:v>
                </c:pt>
                <c:pt idx="5">
                  <c:v>68</c:v>
                </c:pt>
                <c:pt idx="6">
                  <c:v>68</c:v>
                </c:pt>
                <c:pt idx="7">
                  <c:v>68</c:v>
                </c:pt>
                <c:pt idx="8">
                  <c:v>68</c:v>
                </c:pt>
                <c:pt idx="9">
                  <c:v>68</c:v>
                </c:pt>
                <c:pt idx="10">
                  <c:v>68</c:v>
                </c:pt>
                <c:pt idx="11">
                  <c:v>68</c:v>
                </c:pt>
                <c:pt idx="12">
                  <c:v>68</c:v>
                </c:pt>
                <c:pt idx="13">
                  <c:v>68</c:v>
                </c:pt>
                <c:pt idx="14">
                  <c:v>68</c:v>
                </c:pt>
                <c:pt idx="15">
                  <c:v>68</c:v>
                </c:pt>
                <c:pt idx="16">
                  <c:v>68</c:v>
                </c:pt>
                <c:pt idx="17">
                  <c:v>68</c:v>
                </c:pt>
                <c:pt idx="18">
                  <c:v>68</c:v>
                </c:pt>
                <c:pt idx="19">
                  <c:v>68</c:v>
                </c:pt>
                <c:pt idx="20">
                  <c:v>68</c:v>
                </c:pt>
                <c:pt idx="21">
                  <c:v>68</c:v>
                </c:pt>
                <c:pt idx="22">
                  <c:v>68</c:v>
                </c:pt>
                <c:pt idx="23">
                  <c:v>68</c:v>
                </c:pt>
                <c:pt idx="24">
                  <c:v>68</c:v>
                </c:pt>
                <c:pt idx="25">
                  <c:v>68</c:v>
                </c:pt>
                <c:pt idx="26">
                  <c:v>68</c:v>
                </c:pt>
                <c:pt idx="27">
                  <c:v>68</c:v>
                </c:pt>
                <c:pt idx="28">
                  <c:v>68</c:v>
                </c:pt>
                <c:pt idx="29">
                  <c:v>68</c:v>
                </c:pt>
                <c:pt idx="30">
                  <c:v>68</c:v>
                </c:pt>
                <c:pt idx="31">
                  <c:v>68</c:v>
                </c:pt>
                <c:pt idx="32">
                  <c:v>68</c:v>
                </c:pt>
                <c:pt idx="33">
                  <c:v>68</c:v>
                </c:pt>
                <c:pt idx="34">
                  <c:v>68</c:v>
                </c:pt>
                <c:pt idx="35">
                  <c:v>68</c:v>
                </c:pt>
                <c:pt idx="36">
                  <c:v>68</c:v>
                </c:pt>
                <c:pt idx="37">
                  <c:v>68</c:v>
                </c:pt>
                <c:pt idx="38">
                  <c:v>68</c:v>
                </c:pt>
                <c:pt idx="39">
                  <c:v>68</c:v>
                </c:pt>
                <c:pt idx="40">
                  <c:v>68</c:v>
                </c:pt>
                <c:pt idx="41">
                  <c:v>68</c:v>
                </c:pt>
                <c:pt idx="42">
                  <c:v>68</c:v>
                </c:pt>
                <c:pt idx="43">
                  <c:v>68</c:v>
                </c:pt>
                <c:pt idx="44">
                  <c:v>68</c:v>
                </c:pt>
                <c:pt idx="45">
                  <c:v>68</c:v>
                </c:pt>
                <c:pt idx="46">
                  <c:v>68</c:v>
                </c:pt>
                <c:pt idx="47">
                  <c:v>68</c:v>
                </c:pt>
                <c:pt idx="48">
                  <c:v>68</c:v>
                </c:pt>
                <c:pt idx="49">
                  <c:v>68</c:v>
                </c:pt>
                <c:pt idx="50">
                  <c:v>68</c:v>
                </c:pt>
                <c:pt idx="51">
                  <c:v>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DF-4B9A-8293-D7F94608C633}"/>
            </c:ext>
          </c:extLst>
        </c:ser>
        <c:ser>
          <c:idx val="1"/>
          <c:order val="1"/>
          <c:tx>
            <c:strRef>
              <c:f>'L line boars manual'!$A$73</c:f>
              <c:strCache>
                <c:ptCount val="1"/>
                <c:pt idx="0">
                  <c:v>doses actual</c:v>
                </c:pt>
              </c:strCache>
            </c:strRef>
          </c:tx>
          <c:marker>
            <c:symbol val="none"/>
          </c:marker>
          <c:val>
            <c:numRef>
              <c:f>'L line boars manual'!$B$73:$BA$73</c:f>
              <c:numCache>
                <c:formatCode>General</c:formatCode>
                <c:ptCount val="52"/>
                <c:pt idx="15">
                  <c:v>11</c:v>
                </c:pt>
                <c:pt idx="16">
                  <c:v>10</c:v>
                </c:pt>
                <c:pt idx="17">
                  <c:v>24</c:v>
                </c:pt>
                <c:pt idx="18">
                  <c:v>23</c:v>
                </c:pt>
                <c:pt idx="19">
                  <c:v>71</c:v>
                </c:pt>
                <c:pt idx="20">
                  <c:v>72</c:v>
                </c:pt>
                <c:pt idx="21">
                  <c:v>71</c:v>
                </c:pt>
                <c:pt idx="22">
                  <c:v>21</c:v>
                </c:pt>
                <c:pt idx="23">
                  <c:v>48</c:v>
                </c:pt>
                <c:pt idx="24">
                  <c:v>91</c:v>
                </c:pt>
                <c:pt idx="25">
                  <c:v>45</c:v>
                </c:pt>
                <c:pt idx="26">
                  <c:v>64</c:v>
                </c:pt>
                <c:pt idx="27">
                  <c:v>67</c:v>
                </c:pt>
                <c:pt idx="28">
                  <c:v>40</c:v>
                </c:pt>
                <c:pt idx="29">
                  <c:v>68</c:v>
                </c:pt>
                <c:pt idx="30">
                  <c:v>84</c:v>
                </c:pt>
                <c:pt idx="31">
                  <c:v>51</c:v>
                </c:pt>
                <c:pt idx="32">
                  <c:v>51</c:v>
                </c:pt>
                <c:pt idx="33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8DF-4B9A-8293-D7F94608C6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53366160"/>
        <c:axId val="1"/>
      </c:lineChart>
      <c:catAx>
        <c:axId val="17533661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week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crossAx val="1"/>
        <c:crosses val="autoZero"/>
        <c:auto val="1"/>
        <c:lblAlgn val="ctr"/>
        <c:lblOffset val="100"/>
        <c:noMultiLvlLbl val="1"/>
      </c:catAx>
      <c:valAx>
        <c:axId val="1"/>
        <c:scaling>
          <c:orientation val="minMax"/>
        </c:scaling>
        <c:delete val="0"/>
        <c:axPos val="l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Semen</a:t>
                </a:r>
                <a:r>
                  <a:rPr lang="en-US" baseline="0"/>
                  <a:t> Doses %</a:t>
                </a:r>
              </a:p>
            </c:rich>
          </c:tx>
          <c:overlay val="0"/>
        </c:title>
        <c:numFmt formatCode="0" sourceLinked="1"/>
        <c:majorTickMark val="none"/>
        <c:minorTickMark val="none"/>
        <c:tickLblPos val="nextTo"/>
        <c:crossAx val="175336616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US"/>
              <a:t>SEMEN DOSES  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'L line boars manual'!$A$88</c:f>
              <c:strCache>
                <c:ptCount val="1"/>
                <c:pt idx="0">
                  <c:v>boars avg # of doses</c:v>
                </c:pt>
              </c:strCache>
            </c:strRef>
          </c:tx>
          <c:marker>
            <c:symbol val="none"/>
          </c:marker>
          <c:val>
            <c:numRef>
              <c:f>'L line boars manual'!$B$88:$BA$88</c:f>
              <c:numCache>
                <c:formatCode>0</c:formatCode>
                <c:ptCount val="52"/>
                <c:pt idx="0">
                  <c:v>68</c:v>
                </c:pt>
                <c:pt idx="1">
                  <c:v>68</c:v>
                </c:pt>
                <c:pt idx="2">
                  <c:v>68</c:v>
                </c:pt>
                <c:pt idx="3">
                  <c:v>68</c:v>
                </c:pt>
                <c:pt idx="4">
                  <c:v>68</c:v>
                </c:pt>
                <c:pt idx="5">
                  <c:v>68</c:v>
                </c:pt>
                <c:pt idx="6">
                  <c:v>68</c:v>
                </c:pt>
                <c:pt idx="7">
                  <c:v>68</c:v>
                </c:pt>
                <c:pt idx="8">
                  <c:v>68</c:v>
                </c:pt>
                <c:pt idx="9">
                  <c:v>68</c:v>
                </c:pt>
                <c:pt idx="10">
                  <c:v>68</c:v>
                </c:pt>
                <c:pt idx="11">
                  <c:v>68</c:v>
                </c:pt>
                <c:pt idx="12">
                  <c:v>68</c:v>
                </c:pt>
                <c:pt idx="13">
                  <c:v>68</c:v>
                </c:pt>
                <c:pt idx="14">
                  <c:v>68</c:v>
                </c:pt>
                <c:pt idx="15">
                  <c:v>68</c:v>
                </c:pt>
                <c:pt idx="16">
                  <c:v>68</c:v>
                </c:pt>
                <c:pt idx="17">
                  <c:v>68</c:v>
                </c:pt>
                <c:pt idx="18">
                  <c:v>68</c:v>
                </c:pt>
                <c:pt idx="19">
                  <c:v>68</c:v>
                </c:pt>
                <c:pt idx="20">
                  <c:v>68</c:v>
                </c:pt>
                <c:pt idx="21">
                  <c:v>68</c:v>
                </c:pt>
                <c:pt idx="22">
                  <c:v>68</c:v>
                </c:pt>
                <c:pt idx="23">
                  <c:v>68</c:v>
                </c:pt>
                <c:pt idx="24">
                  <c:v>68</c:v>
                </c:pt>
                <c:pt idx="25">
                  <c:v>68</c:v>
                </c:pt>
                <c:pt idx="26">
                  <c:v>68</c:v>
                </c:pt>
                <c:pt idx="27">
                  <c:v>68</c:v>
                </c:pt>
                <c:pt idx="28">
                  <c:v>68</c:v>
                </c:pt>
                <c:pt idx="29">
                  <c:v>68</c:v>
                </c:pt>
                <c:pt idx="30">
                  <c:v>68</c:v>
                </c:pt>
                <c:pt idx="31">
                  <c:v>68</c:v>
                </c:pt>
                <c:pt idx="32">
                  <c:v>68</c:v>
                </c:pt>
                <c:pt idx="33">
                  <c:v>68</c:v>
                </c:pt>
                <c:pt idx="34">
                  <c:v>68</c:v>
                </c:pt>
                <c:pt idx="35">
                  <c:v>68</c:v>
                </c:pt>
                <c:pt idx="36">
                  <c:v>68</c:v>
                </c:pt>
                <c:pt idx="37">
                  <c:v>68</c:v>
                </c:pt>
                <c:pt idx="38">
                  <c:v>68</c:v>
                </c:pt>
                <c:pt idx="39">
                  <c:v>68</c:v>
                </c:pt>
                <c:pt idx="40">
                  <c:v>68</c:v>
                </c:pt>
                <c:pt idx="41">
                  <c:v>68</c:v>
                </c:pt>
                <c:pt idx="42">
                  <c:v>68</c:v>
                </c:pt>
                <c:pt idx="43">
                  <c:v>68</c:v>
                </c:pt>
                <c:pt idx="44">
                  <c:v>68</c:v>
                </c:pt>
                <c:pt idx="45">
                  <c:v>68</c:v>
                </c:pt>
                <c:pt idx="46">
                  <c:v>68</c:v>
                </c:pt>
                <c:pt idx="47">
                  <c:v>68</c:v>
                </c:pt>
                <c:pt idx="48">
                  <c:v>68</c:v>
                </c:pt>
                <c:pt idx="49">
                  <c:v>68</c:v>
                </c:pt>
                <c:pt idx="50">
                  <c:v>68</c:v>
                </c:pt>
                <c:pt idx="51">
                  <c:v>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E0-4687-AA01-2AE900196A26}"/>
            </c:ext>
          </c:extLst>
        </c:ser>
        <c:ser>
          <c:idx val="1"/>
          <c:order val="1"/>
          <c:tx>
            <c:strRef>
              <c:f>'L line boars manual'!$A$89</c:f>
              <c:strCache>
                <c:ptCount val="1"/>
                <c:pt idx="0">
                  <c:v>doses actual</c:v>
                </c:pt>
              </c:strCache>
            </c:strRef>
          </c:tx>
          <c:marker>
            <c:symbol val="none"/>
          </c:marker>
          <c:trendline>
            <c:spPr>
              <a:ln>
                <a:prstDash val="sysDot"/>
              </a:ln>
            </c:spPr>
            <c:trendlineType val="linear"/>
            <c:dispRSqr val="0"/>
            <c:dispEq val="0"/>
          </c:trendline>
          <c:val>
            <c:numRef>
              <c:f>'L line boars manual'!$B$89:$BA$89</c:f>
              <c:numCache>
                <c:formatCode>General</c:formatCode>
                <c:ptCount val="5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6E0-4687-AA01-2AE900196A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53366160"/>
        <c:axId val="1"/>
      </c:lineChart>
      <c:catAx>
        <c:axId val="17533661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week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crossAx val="1"/>
        <c:crosses val="autoZero"/>
        <c:auto val="1"/>
        <c:lblAlgn val="ctr"/>
        <c:lblOffset val="100"/>
        <c:noMultiLvlLbl val="1"/>
      </c:catAx>
      <c:valAx>
        <c:axId val="1"/>
        <c:scaling>
          <c:orientation val="minMax"/>
          <c:min val="20"/>
        </c:scaling>
        <c:delete val="0"/>
        <c:axPos val="l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Semen</a:t>
                </a:r>
                <a:r>
                  <a:rPr lang="en-US" baseline="0"/>
                  <a:t> Doses %</a:t>
                </a:r>
              </a:p>
            </c:rich>
          </c:tx>
          <c:overlay val="0"/>
        </c:title>
        <c:numFmt formatCode="0" sourceLinked="1"/>
        <c:majorTickMark val="none"/>
        <c:minorTickMark val="none"/>
        <c:tickLblPos val="nextTo"/>
        <c:crossAx val="175336616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US"/>
              <a:t>Tenability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'L line boars manual'!$A$43</c:f>
              <c:strCache>
                <c:ptCount val="1"/>
                <c:pt idx="0">
                  <c:v>Tenability - Day 1</c:v>
                </c:pt>
              </c:strCache>
            </c:strRef>
          </c:tx>
          <c:invertIfNegative val="0"/>
          <c:val>
            <c:numRef>
              <c:f>'L line boars manual'!$B$43:$BA$43</c:f>
              <c:numCache>
                <c:formatCode>General</c:formatCode>
                <c:ptCount val="52"/>
                <c:pt idx="0">
                  <c:v>9</c:v>
                </c:pt>
                <c:pt idx="1">
                  <c:v>9</c:v>
                </c:pt>
                <c:pt idx="2">
                  <c:v>9</c:v>
                </c:pt>
                <c:pt idx="3">
                  <c:v>9</c:v>
                </c:pt>
                <c:pt idx="4">
                  <c:v>9</c:v>
                </c:pt>
                <c:pt idx="5">
                  <c:v>9</c:v>
                </c:pt>
                <c:pt idx="6">
                  <c:v>9</c:v>
                </c:pt>
                <c:pt idx="7">
                  <c:v>9</c:v>
                </c:pt>
                <c:pt idx="8">
                  <c:v>9</c:v>
                </c:pt>
                <c:pt idx="9">
                  <c:v>9</c:v>
                </c:pt>
                <c:pt idx="10">
                  <c:v>9</c:v>
                </c:pt>
                <c:pt idx="11">
                  <c:v>9</c:v>
                </c:pt>
                <c:pt idx="12">
                  <c:v>9</c:v>
                </c:pt>
                <c:pt idx="13">
                  <c:v>9</c:v>
                </c:pt>
                <c:pt idx="14">
                  <c:v>9</c:v>
                </c:pt>
                <c:pt idx="15">
                  <c:v>9</c:v>
                </c:pt>
                <c:pt idx="16">
                  <c:v>9</c:v>
                </c:pt>
                <c:pt idx="17">
                  <c:v>9</c:v>
                </c:pt>
                <c:pt idx="18">
                  <c:v>9</c:v>
                </c:pt>
                <c:pt idx="19">
                  <c:v>9</c:v>
                </c:pt>
                <c:pt idx="20">
                  <c:v>9</c:v>
                </c:pt>
                <c:pt idx="21">
                  <c:v>9</c:v>
                </c:pt>
                <c:pt idx="22">
                  <c:v>9</c:v>
                </c:pt>
                <c:pt idx="23">
                  <c:v>9</c:v>
                </c:pt>
                <c:pt idx="24">
                  <c:v>9</c:v>
                </c:pt>
                <c:pt idx="25">
                  <c:v>9</c:v>
                </c:pt>
                <c:pt idx="26">
                  <c:v>9</c:v>
                </c:pt>
                <c:pt idx="27">
                  <c:v>9</c:v>
                </c:pt>
                <c:pt idx="28">
                  <c:v>9</c:v>
                </c:pt>
                <c:pt idx="29">
                  <c:v>9</c:v>
                </c:pt>
                <c:pt idx="30">
                  <c:v>9</c:v>
                </c:pt>
                <c:pt idx="31">
                  <c:v>9</c:v>
                </c:pt>
                <c:pt idx="32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35-4F9C-AA07-809D2005C617}"/>
            </c:ext>
          </c:extLst>
        </c:ser>
        <c:ser>
          <c:idx val="1"/>
          <c:order val="1"/>
          <c:tx>
            <c:strRef>
              <c:f>'L line boars manual'!$A$44</c:f>
              <c:strCache>
                <c:ptCount val="1"/>
                <c:pt idx="0">
                  <c:v>tenability - Day 2</c:v>
                </c:pt>
              </c:strCache>
            </c:strRef>
          </c:tx>
          <c:invertIfNegative val="0"/>
          <c:val>
            <c:numRef>
              <c:f>'L line boars manual'!$B$44:$BA$44</c:f>
              <c:numCache>
                <c:formatCode>General</c:formatCode>
                <c:ptCount val="52"/>
                <c:pt idx="0">
                  <c:v>9</c:v>
                </c:pt>
                <c:pt idx="1">
                  <c:v>9</c:v>
                </c:pt>
                <c:pt idx="2">
                  <c:v>9</c:v>
                </c:pt>
                <c:pt idx="3">
                  <c:v>9</c:v>
                </c:pt>
                <c:pt idx="4">
                  <c:v>9</c:v>
                </c:pt>
                <c:pt idx="5">
                  <c:v>9</c:v>
                </c:pt>
                <c:pt idx="6">
                  <c:v>9</c:v>
                </c:pt>
                <c:pt idx="7">
                  <c:v>9</c:v>
                </c:pt>
                <c:pt idx="8">
                  <c:v>9</c:v>
                </c:pt>
                <c:pt idx="9">
                  <c:v>9</c:v>
                </c:pt>
                <c:pt idx="10">
                  <c:v>9</c:v>
                </c:pt>
                <c:pt idx="11">
                  <c:v>9</c:v>
                </c:pt>
                <c:pt idx="12">
                  <c:v>9</c:v>
                </c:pt>
                <c:pt idx="13">
                  <c:v>9</c:v>
                </c:pt>
                <c:pt idx="14">
                  <c:v>9</c:v>
                </c:pt>
                <c:pt idx="15">
                  <c:v>9</c:v>
                </c:pt>
                <c:pt idx="16">
                  <c:v>9</c:v>
                </c:pt>
                <c:pt idx="17">
                  <c:v>9</c:v>
                </c:pt>
                <c:pt idx="18">
                  <c:v>9</c:v>
                </c:pt>
                <c:pt idx="19">
                  <c:v>9</c:v>
                </c:pt>
                <c:pt idx="20">
                  <c:v>9</c:v>
                </c:pt>
                <c:pt idx="21">
                  <c:v>9</c:v>
                </c:pt>
                <c:pt idx="22">
                  <c:v>9</c:v>
                </c:pt>
                <c:pt idx="23">
                  <c:v>9</c:v>
                </c:pt>
                <c:pt idx="24">
                  <c:v>9</c:v>
                </c:pt>
                <c:pt idx="25">
                  <c:v>9</c:v>
                </c:pt>
                <c:pt idx="26">
                  <c:v>9</c:v>
                </c:pt>
                <c:pt idx="27">
                  <c:v>9</c:v>
                </c:pt>
                <c:pt idx="28">
                  <c:v>9</c:v>
                </c:pt>
                <c:pt idx="29">
                  <c:v>9</c:v>
                </c:pt>
                <c:pt idx="30">
                  <c:v>9</c:v>
                </c:pt>
                <c:pt idx="31">
                  <c:v>9</c:v>
                </c:pt>
                <c:pt idx="32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735-4F9C-AA07-809D2005C617}"/>
            </c:ext>
          </c:extLst>
        </c:ser>
        <c:ser>
          <c:idx val="2"/>
          <c:order val="2"/>
          <c:tx>
            <c:strRef>
              <c:f>'L line boars manual'!$A$45</c:f>
              <c:strCache>
                <c:ptCount val="1"/>
                <c:pt idx="0">
                  <c:v>tenability - Day 3</c:v>
                </c:pt>
              </c:strCache>
            </c:strRef>
          </c:tx>
          <c:invertIfNegative val="0"/>
          <c:val>
            <c:numRef>
              <c:f>'L line boars manual'!$B$45:$BA$45</c:f>
              <c:numCache>
                <c:formatCode>General</c:formatCode>
                <c:ptCount val="52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8</c:v>
                </c:pt>
                <c:pt idx="7">
                  <c:v>8</c:v>
                </c:pt>
                <c:pt idx="8">
                  <c:v>8</c:v>
                </c:pt>
                <c:pt idx="9">
                  <c:v>8</c:v>
                </c:pt>
                <c:pt idx="10">
                  <c:v>8</c:v>
                </c:pt>
                <c:pt idx="11">
                  <c:v>8</c:v>
                </c:pt>
                <c:pt idx="12">
                  <c:v>8</c:v>
                </c:pt>
                <c:pt idx="13">
                  <c:v>8</c:v>
                </c:pt>
                <c:pt idx="14">
                  <c:v>8</c:v>
                </c:pt>
                <c:pt idx="15">
                  <c:v>8</c:v>
                </c:pt>
                <c:pt idx="16">
                  <c:v>8</c:v>
                </c:pt>
                <c:pt idx="17">
                  <c:v>8</c:v>
                </c:pt>
                <c:pt idx="18">
                  <c:v>8</c:v>
                </c:pt>
                <c:pt idx="19">
                  <c:v>8</c:v>
                </c:pt>
                <c:pt idx="20">
                  <c:v>8</c:v>
                </c:pt>
                <c:pt idx="21">
                  <c:v>8</c:v>
                </c:pt>
                <c:pt idx="22">
                  <c:v>8</c:v>
                </c:pt>
                <c:pt idx="23">
                  <c:v>8</c:v>
                </c:pt>
                <c:pt idx="24">
                  <c:v>8</c:v>
                </c:pt>
                <c:pt idx="25">
                  <c:v>8</c:v>
                </c:pt>
                <c:pt idx="26">
                  <c:v>8</c:v>
                </c:pt>
                <c:pt idx="27">
                  <c:v>8</c:v>
                </c:pt>
                <c:pt idx="28">
                  <c:v>8</c:v>
                </c:pt>
                <c:pt idx="29">
                  <c:v>8</c:v>
                </c:pt>
                <c:pt idx="30">
                  <c:v>8</c:v>
                </c:pt>
                <c:pt idx="31">
                  <c:v>8</c:v>
                </c:pt>
                <c:pt idx="32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735-4F9C-AA07-809D2005C6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22215280"/>
        <c:axId val="1"/>
      </c:barChart>
      <c:catAx>
        <c:axId val="12222152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Week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crossAx val="1"/>
        <c:crosses val="autoZero"/>
        <c:auto val="1"/>
        <c:lblAlgn val="ctr"/>
        <c:lblOffset val="100"/>
        <c:noMultiLvlLbl val="1"/>
      </c:catAx>
      <c:valAx>
        <c:axId val="1"/>
        <c:scaling>
          <c:orientation val="minMax"/>
        </c:scaling>
        <c:delete val="0"/>
        <c:axPos val="l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Score</a:t>
                </a:r>
                <a:r>
                  <a:rPr lang="en-US" baseline="0"/>
                  <a:t> %</a:t>
                </a: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22221528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US"/>
              <a:t>Tenability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'L line boars manual'!$A$59</c:f>
              <c:strCache>
                <c:ptCount val="1"/>
                <c:pt idx="0">
                  <c:v>Tenability - Day 1</c:v>
                </c:pt>
              </c:strCache>
            </c:strRef>
          </c:tx>
          <c:invertIfNegative val="0"/>
          <c:val>
            <c:numRef>
              <c:f>'L line boars manual'!$B$59:$BA$59</c:f>
              <c:numCache>
                <c:formatCode>General</c:formatCode>
                <c:ptCount val="52"/>
                <c:pt idx="0">
                  <c:v>9</c:v>
                </c:pt>
                <c:pt idx="1">
                  <c:v>9</c:v>
                </c:pt>
                <c:pt idx="2">
                  <c:v>9</c:v>
                </c:pt>
                <c:pt idx="3">
                  <c:v>9</c:v>
                </c:pt>
                <c:pt idx="4">
                  <c:v>9</c:v>
                </c:pt>
                <c:pt idx="5">
                  <c:v>9</c:v>
                </c:pt>
                <c:pt idx="6">
                  <c:v>9</c:v>
                </c:pt>
                <c:pt idx="7">
                  <c:v>9</c:v>
                </c:pt>
                <c:pt idx="8">
                  <c:v>9</c:v>
                </c:pt>
                <c:pt idx="9">
                  <c:v>9</c:v>
                </c:pt>
                <c:pt idx="10">
                  <c:v>9</c:v>
                </c:pt>
                <c:pt idx="11">
                  <c:v>9</c:v>
                </c:pt>
                <c:pt idx="12">
                  <c:v>9</c:v>
                </c:pt>
                <c:pt idx="13">
                  <c:v>9</c:v>
                </c:pt>
                <c:pt idx="14">
                  <c:v>9</c:v>
                </c:pt>
                <c:pt idx="15">
                  <c:v>9</c:v>
                </c:pt>
                <c:pt idx="16">
                  <c:v>9</c:v>
                </c:pt>
                <c:pt idx="17">
                  <c:v>9</c:v>
                </c:pt>
                <c:pt idx="18">
                  <c:v>9</c:v>
                </c:pt>
                <c:pt idx="19">
                  <c:v>9</c:v>
                </c:pt>
                <c:pt idx="20">
                  <c:v>9</c:v>
                </c:pt>
                <c:pt idx="21">
                  <c:v>9</c:v>
                </c:pt>
                <c:pt idx="22">
                  <c:v>9</c:v>
                </c:pt>
                <c:pt idx="23">
                  <c:v>9</c:v>
                </c:pt>
                <c:pt idx="24">
                  <c:v>9</c:v>
                </c:pt>
                <c:pt idx="25">
                  <c:v>9</c:v>
                </c:pt>
                <c:pt idx="26">
                  <c:v>9</c:v>
                </c:pt>
                <c:pt idx="27">
                  <c:v>9</c:v>
                </c:pt>
                <c:pt idx="28">
                  <c:v>9</c:v>
                </c:pt>
                <c:pt idx="29">
                  <c:v>9</c:v>
                </c:pt>
                <c:pt idx="30">
                  <c:v>9</c:v>
                </c:pt>
                <c:pt idx="31">
                  <c:v>9</c:v>
                </c:pt>
                <c:pt idx="32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0B-48DA-993D-DE5673F5E29E}"/>
            </c:ext>
          </c:extLst>
        </c:ser>
        <c:ser>
          <c:idx val="1"/>
          <c:order val="1"/>
          <c:tx>
            <c:strRef>
              <c:f>'L line boars manual'!$A$60</c:f>
              <c:strCache>
                <c:ptCount val="1"/>
                <c:pt idx="0">
                  <c:v>tenability - Day 2</c:v>
                </c:pt>
              </c:strCache>
            </c:strRef>
          </c:tx>
          <c:invertIfNegative val="0"/>
          <c:val>
            <c:numRef>
              <c:f>'L line boars manual'!$B$60:$BA$60</c:f>
              <c:numCache>
                <c:formatCode>General</c:formatCode>
                <c:ptCount val="52"/>
                <c:pt idx="0">
                  <c:v>9</c:v>
                </c:pt>
                <c:pt idx="1">
                  <c:v>9</c:v>
                </c:pt>
                <c:pt idx="2">
                  <c:v>9</c:v>
                </c:pt>
                <c:pt idx="3">
                  <c:v>9</c:v>
                </c:pt>
                <c:pt idx="4">
                  <c:v>9</c:v>
                </c:pt>
                <c:pt idx="5">
                  <c:v>9</c:v>
                </c:pt>
                <c:pt idx="6">
                  <c:v>9</c:v>
                </c:pt>
                <c:pt idx="7">
                  <c:v>9</c:v>
                </c:pt>
                <c:pt idx="8">
                  <c:v>9</c:v>
                </c:pt>
                <c:pt idx="9">
                  <c:v>9</c:v>
                </c:pt>
                <c:pt idx="10">
                  <c:v>9</c:v>
                </c:pt>
                <c:pt idx="11">
                  <c:v>9</c:v>
                </c:pt>
                <c:pt idx="12">
                  <c:v>9</c:v>
                </c:pt>
                <c:pt idx="13">
                  <c:v>9</c:v>
                </c:pt>
                <c:pt idx="14">
                  <c:v>9</c:v>
                </c:pt>
                <c:pt idx="15">
                  <c:v>9</c:v>
                </c:pt>
                <c:pt idx="16">
                  <c:v>9</c:v>
                </c:pt>
                <c:pt idx="17">
                  <c:v>9</c:v>
                </c:pt>
                <c:pt idx="18">
                  <c:v>9</c:v>
                </c:pt>
                <c:pt idx="19">
                  <c:v>9</c:v>
                </c:pt>
                <c:pt idx="20">
                  <c:v>9</c:v>
                </c:pt>
                <c:pt idx="21">
                  <c:v>9</c:v>
                </c:pt>
                <c:pt idx="22">
                  <c:v>9</c:v>
                </c:pt>
                <c:pt idx="23">
                  <c:v>9</c:v>
                </c:pt>
                <c:pt idx="24">
                  <c:v>9</c:v>
                </c:pt>
                <c:pt idx="25">
                  <c:v>9</c:v>
                </c:pt>
                <c:pt idx="26">
                  <c:v>9</c:v>
                </c:pt>
                <c:pt idx="27">
                  <c:v>9</c:v>
                </c:pt>
                <c:pt idx="28">
                  <c:v>9</c:v>
                </c:pt>
                <c:pt idx="29">
                  <c:v>9</c:v>
                </c:pt>
                <c:pt idx="30">
                  <c:v>9</c:v>
                </c:pt>
                <c:pt idx="31">
                  <c:v>9</c:v>
                </c:pt>
                <c:pt idx="32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80B-48DA-993D-DE5673F5E29E}"/>
            </c:ext>
          </c:extLst>
        </c:ser>
        <c:ser>
          <c:idx val="2"/>
          <c:order val="2"/>
          <c:tx>
            <c:strRef>
              <c:f>'L line boars manual'!$A$61</c:f>
              <c:strCache>
                <c:ptCount val="1"/>
                <c:pt idx="0">
                  <c:v>tenability - Day 3</c:v>
                </c:pt>
              </c:strCache>
            </c:strRef>
          </c:tx>
          <c:invertIfNegative val="0"/>
          <c:val>
            <c:numRef>
              <c:f>'L line boars manual'!$B$61:$BA$61</c:f>
              <c:numCache>
                <c:formatCode>General</c:formatCode>
                <c:ptCount val="52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8</c:v>
                </c:pt>
                <c:pt idx="7">
                  <c:v>8</c:v>
                </c:pt>
                <c:pt idx="8">
                  <c:v>8</c:v>
                </c:pt>
                <c:pt idx="9">
                  <c:v>8</c:v>
                </c:pt>
                <c:pt idx="10">
                  <c:v>8</c:v>
                </c:pt>
                <c:pt idx="11">
                  <c:v>8</c:v>
                </c:pt>
                <c:pt idx="12">
                  <c:v>8</c:v>
                </c:pt>
                <c:pt idx="13">
                  <c:v>8</c:v>
                </c:pt>
                <c:pt idx="14">
                  <c:v>8</c:v>
                </c:pt>
                <c:pt idx="15">
                  <c:v>8</c:v>
                </c:pt>
                <c:pt idx="16">
                  <c:v>8</c:v>
                </c:pt>
                <c:pt idx="17">
                  <c:v>8</c:v>
                </c:pt>
                <c:pt idx="18">
                  <c:v>8</c:v>
                </c:pt>
                <c:pt idx="19">
                  <c:v>8</c:v>
                </c:pt>
                <c:pt idx="20">
                  <c:v>8</c:v>
                </c:pt>
                <c:pt idx="21">
                  <c:v>8</c:v>
                </c:pt>
                <c:pt idx="22">
                  <c:v>8</c:v>
                </c:pt>
                <c:pt idx="23">
                  <c:v>8</c:v>
                </c:pt>
                <c:pt idx="24">
                  <c:v>8</c:v>
                </c:pt>
                <c:pt idx="25">
                  <c:v>8</c:v>
                </c:pt>
                <c:pt idx="26">
                  <c:v>8</c:v>
                </c:pt>
                <c:pt idx="27">
                  <c:v>8</c:v>
                </c:pt>
                <c:pt idx="28">
                  <c:v>8</c:v>
                </c:pt>
                <c:pt idx="29">
                  <c:v>8</c:v>
                </c:pt>
                <c:pt idx="30">
                  <c:v>8</c:v>
                </c:pt>
                <c:pt idx="31">
                  <c:v>8</c:v>
                </c:pt>
                <c:pt idx="32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80B-48DA-993D-DE5673F5E2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22215280"/>
        <c:axId val="1"/>
      </c:barChart>
      <c:catAx>
        <c:axId val="12222152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Week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crossAx val="1"/>
        <c:crosses val="autoZero"/>
        <c:auto val="1"/>
        <c:lblAlgn val="ctr"/>
        <c:lblOffset val="100"/>
        <c:noMultiLvlLbl val="1"/>
      </c:catAx>
      <c:valAx>
        <c:axId val="1"/>
        <c:scaling>
          <c:orientation val="minMax"/>
        </c:scaling>
        <c:delete val="0"/>
        <c:axPos val="l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Score</a:t>
                </a:r>
                <a:r>
                  <a:rPr lang="en-US" baseline="0"/>
                  <a:t> %</a:t>
                </a: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22221528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US"/>
              <a:t>Tenability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'L line boars manual'!$A$75</c:f>
              <c:strCache>
                <c:ptCount val="1"/>
                <c:pt idx="0">
                  <c:v>Tenability - Day 1</c:v>
                </c:pt>
              </c:strCache>
            </c:strRef>
          </c:tx>
          <c:invertIfNegative val="0"/>
          <c:val>
            <c:numRef>
              <c:f>'L line boars manual'!$B$75:$BA$75</c:f>
              <c:numCache>
                <c:formatCode>General</c:formatCode>
                <c:ptCount val="52"/>
                <c:pt idx="5">
                  <c:v>9</c:v>
                </c:pt>
                <c:pt idx="6">
                  <c:v>9</c:v>
                </c:pt>
                <c:pt idx="7">
                  <c:v>9</c:v>
                </c:pt>
                <c:pt idx="8">
                  <c:v>9</c:v>
                </c:pt>
                <c:pt idx="9">
                  <c:v>9</c:v>
                </c:pt>
                <c:pt idx="10">
                  <c:v>9</c:v>
                </c:pt>
                <c:pt idx="11">
                  <c:v>9</c:v>
                </c:pt>
                <c:pt idx="12">
                  <c:v>9</c:v>
                </c:pt>
                <c:pt idx="13">
                  <c:v>9</c:v>
                </c:pt>
                <c:pt idx="14">
                  <c:v>9</c:v>
                </c:pt>
                <c:pt idx="15">
                  <c:v>9</c:v>
                </c:pt>
                <c:pt idx="16">
                  <c:v>9</c:v>
                </c:pt>
                <c:pt idx="17">
                  <c:v>9</c:v>
                </c:pt>
                <c:pt idx="18">
                  <c:v>9</c:v>
                </c:pt>
                <c:pt idx="19">
                  <c:v>9</c:v>
                </c:pt>
                <c:pt idx="20">
                  <c:v>9</c:v>
                </c:pt>
                <c:pt idx="21">
                  <c:v>9</c:v>
                </c:pt>
                <c:pt idx="22">
                  <c:v>9</c:v>
                </c:pt>
                <c:pt idx="23">
                  <c:v>9</c:v>
                </c:pt>
                <c:pt idx="24">
                  <c:v>9</c:v>
                </c:pt>
                <c:pt idx="25">
                  <c:v>9</c:v>
                </c:pt>
                <c:pt idx="26">
                  <c:v>9</c:v>
                </c:pt>
                <c:pt idx="27">
                  <c:v>9</c:v>
                </c:pt>
                <c:pt idx="28">
                  <c:v>9</c:v>
                </c:pt>
                <c:pt idx="29">
                  <c:v>9</c:v>
                </c:pt>
                <c:pt idx="30">
                  <c:v>9</c:v>
                </c:pt>
                <c:pt idx="31">
                  <c:v>9</c:v>
                </c:pt>
                <c:pt idx="32">
                  <c:v>9</c:v>
                </c:pt>
                <c:pt idx="33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79-4CD9-BA24-79E5ECDA2BE9}"/>
            </c:ext>
          </c:extLst>
        </c:ser>
        <c:ser>
          <c:idx val="1"/>
          <c:order val="1"/>
          <c:tx>
            <c:strRef>
              <c:f>'L line boars manual'!$A$76</c:f>
              <c:strCache>
                <c:ptCount val="1"/>
                <c:pt idx="0">
                  <c:v>tenability - Day 2</c:v>
                </c:pt>
              </c:strCache>
            </c:strRef>
          </c:tx>
          <c:invertIfNegative val="0"/>
          <c:val>
            <c:numRef>
              <c:f>'L line boars manual'!$B$76:$BA$76</c:f>
              <c:numCache>
                <c:formatCode>General</c:formatCode>
                <c:ptCount val="52"/>
                <c:pt idx="5">
                  <c:v>9</c:v>
                </c:pt>
                <c:pt idx="6">
                  <c:v>9</c:v>
                </c:pt>
                <c:pt idx="7">
                  <c:v>9</c:v>
                </c:pt>
                <c:pt idx="8">
                  <c:v>9</c:v>
                </c:pt>
                <c:pt idx="9">
                  <c:v>9</c:v>
                </c:pt>
                <c:pt idx="10">
                  <c:v>9</c:v>
                </c:pt>
                <c:pt idx="11">
                  <c:v>9</c:v>
                </c:pt>
                <c:pt idx="12">
                  <c:v>9</c:v>
                </c:pt>
                <c:pt idx="13">
                  <c:v>9</c:v>
                </c:pt>
                <c:pt idx="14">
                  <c:v>9</c:v>
                </c:pt>
                <c:pt idx="15">
                  <c:v>9</c:v>
                </c:pt>
                <c:pt idx="16">
                  <c:v>9</c:v>
                </c:pt>
                <c:pt idx="17">
                  <c:v>9</c:v>
                </c:pt>
                <c:pt idx="18">
                  <c:v>9</c:v>
                </c:pt>
                <c:pt idx="19">
                  <c:v>9</c:v>
                </c:pt>
                <c:pt idx="20">
                  <c:v>9</c:v>
                </c:pt>
                <c:pt idx="21">
                  <c:v>9</c:v>
                </c:pt>
                <c:pt idx="22">
                  <c:v>9</c:v>
                </c:pt>
                <c:pt idx="23">
                  <c:v>9</c:v>
                </c:pt>
                <c:pt idx="24">
                  <c:v>9</c:v>
                </c:pt>
                <c:pt idx="25">
                  <c:v>9</c:v>
                </c:pt>
                <c:pt idx="26">
                  <c:v>9</c:v>
                </c:pt>
                <c:pt idx="27">
                  <c:v>9</c:v>
                </c:pt>
                <c:pt idx="28">
                  <c:v>9</c:v>
                </c:pt>
                <c:pt idx="29">
                  <c:v>9</c:v>
                </c:pt>
                <c:pt idx="30">
                  <c:v>9</c:v>
                </c:pt>
                <c:pt idx="31">
                  <c:v>9</c:v>
                </c:pt>
                <c:pt idx="32">
                  <c:v>9</c:v>
                </c:pt>
                <c:pt idx="33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79-4CD9-BA24-79E5ECDA2BE9}"/>
            </c:ext>
          </c:extLst>
        </c:ser>
        <c:ser>
          <c:idx val="2"/>
          <c:order val="2"/>
          <c:tx>
            <c:strRef>
              <c:f>'L line boars manual'!$A$77</c:f>
              <c:strCache>
                <c:ptCount val="1"/>
                <c:pt idx="0">
                  <c:v>tenability - Day 3</c:v>
                </c:pt>
              </c:strCache>
            </c:strRef>
          </c:tx>
          <c:invertIfNegative val="0"/>
          <c:val>
            <c:numRef>
              <c:f>'L line boars manual'!$B$77:$BA$77</c:f>
              <c:numCache>
                <c:formatCode>General</c:formatCode>
                <c:ptCount val="52"/>
                <c:pt idx="5">
                  <c:v>8</c:v>
                </c:pt>
                <c:pt idx="6">
                  <c:v>8</c:v>
                </c:pt>
                <c:pt idx="7">
                  <c:v>8</c:v>
                </c:pt>
                <c:pt idx="8">
                  <c:v>8</c:v>
                </c:pt>
                <c:pt idx="9">
                  <c:v>8</c:v>
                </c:pt>
                <c:pt idx="10">
                  <c:v>8</c:v>
                </c:pt>
                <c:pt idx="11">
                  <c:v>8</c:v>
                </c:pt>
                <c:pt idx="12">
                  <c:v>8</c:v>
                </c:pt>
                <c:pt idx="13">
                  <c:v>8</c:v>
                </c:pt>
                <c:pt idx="14">
                  <c:v>8</c:v>
                </c:pt>
                <c:pt idx="15">
                  <c:v>8</c:v>
                </c:pt>
                <c:pt idx="16">
                  <c:v>8</c:v>
                </c:pt>
                <c:pt idx="17">
                  <c:v>8</c:v>
                </c:pt>
                <c:pt idx="18">
                  <c:v>8</c:v>
                </c:pt>
                <c:pt idx="19">
                  <c:v>8</c:v>
                </c:pt>
                <c:pt idx="20">
                  <c:v>8</c:v>
                </c:pt>
                <c:pt idx="21">
                  <c:v>8</c:v>
                </c:pt>
                <c:pt idx="22">
                  <c:v>8</c:v>
                </c:pt>
                <c:pt idx="23">
                  <c:v>8</c:v>
                </c:pt>
                <c:pt idx="24">
                  <c:v>8</c:v>
                </c:pt>
                <c:pt idx="25">
                  <c:v>8</c:v>
                </c:pt>
                <c:pt idx="26">
                  <c:v>8</c:v>
                </c:pt>
                <c:pt idx="27">
                  <c:v>8</c:v>
                </c:pt>
                <c:pt idx="28">
                  <c:v>8</c:v>
                </c:pt>
                <c:pt idx="29">
                  <c:v>8</c:v>
                </c:pt>
                <c:pt idx="30">
                  <c:v>8</c:v>
                </c:pt>
                <c:pt idx="31">
                  <c:v>8</c:v>
                </c:pt>
                <c:pt idx="32">
                  <c:v>8</c:v>
                </c:pt>
                <c:pt idx="33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A79-4CD9-BA24-79E5ECDA2B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22215280"/>
        <c:axId val="1"/>
      </c:barChart>
      <c:catAx>
        <c:axId val="12222152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Week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crossAx val="1"/>
        <c:crosses val="autoZero"/>
        <c:auto val="1"/>
        <c:lblAlgn val="ctr"/>
        <c:lblOffset val="100"/>
        <c:noMultiLvlLbl val="1"/>
      </c:catAx>
      <c:valAx>
        <c:axId val="1"/>
        <c:scaling>
          <c:orientation val="minMax"/>
        </c:scaling>
        <c:delete val="0"/>
        <c:axPos val="l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Score</a:t>
                </a:r>
                <a:r>
                  <a:rPr lang="en-US" baseline="0"/>
                  <a:t> %</a:t>
                </a: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22221528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US"/>
              <a:t>Tenability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'L line boars manual'!$A$91</c:f>
              <c:strCache>
                <c:ptCount val="1"/>
                <c:pt idx="0">
                  <c:v>Tenability - Day 1</c:v>
                </c:pt>
              </c:strCache>
            </c:strRef>
          </c:tx>
          <c:invertIfNegative val="0"/>
          <c:val>
            <c:numRef>
              <c:f>'L line boars manual'!$B$91:$BA$91</c:f>
              <c:numCache>
                <c:formatCode>General</c:formatCode>
                <c:ptCount val="52"/>
              </c:numCache>
            </c:numRef>
          </c:val>
          <c:extLst>
            <c:ext xmlns:c16="http://schemas.microsoft.com/office/drawing/2014/chart" uri="{C3380CC4-5D6E-409C-BE32-E72D297353CC}">
              <c16:uniqueId val="{00000000-9936-45A1-9CE3-0BC109D9808F}"/>
            </c:ext>
          </c:extLst>
        </c:ser>
        <c:ser>
          <c:idx val="1"/>
          <c:order val="1"/>
          <c:tx>
            <c:strRef>
              <c:f>'L line boars manual'!$A$92</c:f>
              <c:strCache>
                <c:ptCount val="1"/>
                <c:pt idx="0">
                  <c:v>tenability - Day 2</c:v>
                </c:pt>
              </c:strCache>
            </c:strRef>
          </c:tx>
          <c:invertIfNegative val="0"/>
          <c:val>
            <c:numRef>
              <c:f>'L line boars manual'!$B$92:$BA$92</c:f>
              <c:numCache>
                <c:formatCode>General</c:formatCode>
                <c:ptCount val="52"/>
              </c:numCache>
            </c:numRef>
          </c:val>
          <c:extLst>
            <c:ext xmlns:c16="http://schemas.microsoft.com/office/drawing/2014/chart" uri="{C3380CC4-5D6E-409C-BE32-E72D297353CC}">
              <c16:uniqueId val="{00000001-9936-45A1-9CE3-0BC109D9808F}"/>
            </c:ext>
          </c:extLst>
        </c:ser>
        <c:ser>
          <c:idx val="2"/>
          <c:order val="2"/>
          <c:tx>
            <c:strRef>
              <c:f>'L line boars manual'!$A$93</c:f>
              <c:strCache>
                <c:ptCount val="1"/>
                <c:pt idx="0">
                  <c:v>tenability - Day 3</c:v>
                </c:pt>
              </c:strCache>
            </c:strRef>
          </c:tx>
          <c:invertIfNegative val="0"/>
          <c:val>
            <c:numRef>
              <c:f>'L line boars manual'!$B$93:$BA$93</c:f>
              <c:numCache>
                <c:formatCode>General</c:formatCode>
                <c:ptCount val="52"/>
              </c:numCache>
            </c:numRef>
          </c:val>
          <c:extLst>
            <c:ext xmlns:c16="http://schemas.microsoft.com/office/drawing/2014/chart" uri="{C3380CC4-5D6E-409C-BE32-E72D297353CC}">
              <c16:uniqueId val="{00000002-9936-45A1-9CE3-0BC109D980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22215280"/>
        <c:axId val="1"/>
      </c:barChart>
      <c:catAx>
        <c:axId val="12222152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Week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crossAx val="1"/>
        <c:crosses val="autoZero"/>
        <c:auto val="1"/>
        <c:lblAlgn val="ctr"/>
        <c:lblOffset val="100"/>
        <c:noMultiLvlLbl val="1"/>
      </c:catAx>
      <c:valAx>
        <c:axId val="1"/>
        <c:scaling>
          <c:orientation val="minMax"/>
        </c:scaling>
        <c:delete val="0"/>
        <c:axPos val="l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Score</a:t>
                </a:r>
                <a:r>
                  <a:rPr lang="en-US" baseline="0"/>
                  <a:t> %</a:t>
                </a: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22221528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US"/>
              <a:t>SEMEN DOSES  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'L line boars manual'!$A$8</c:f>
              <c:strCache>
                <c:ptCount val="1"/>
                <c:pt idx="0">
                  <c:v>boars avg # of doses</c:v>
                </c:pt>
              </c:strCache>
            </c:strRef>
          </c:tx>
          <c:marker>
            <c:symbol val="none"/>
          </c:marker>
          <c:val>
            <c:numRef>
              <c:f>'L line boars manual'!$B$8:$BA$8</c:f>
              <c:numCache>
                <c:formatCode>0</c:formatCode>
                <c:ptCount val="52"/>
                <c:pt idx="0">
                  <c:v>68</c:v>
                </c:pt>
                <c:pt idx="1">
                  <c:v>68</c:v>
                </c:pt>
                <c:pt idx="2">
                  <c:v>68</c:v>
                </c:pt>
                <c:pt idx="3">
                  <c:v>68</c:v>
                </c:pt>
                <c:pt idx="4">
                  <c:v>68</c:v>
                </c:pt>
                <c:pt idx="5">
                  <c:v>68</c:v>
                </c:pt>
                <c:pt idx="6">
                  <c:v>68</c:v>
                </c:pt>
                <c:pt idx="7">
                  <c:v>68</c:v>
                </c:pt>
                <c:pt idx="8">
                  <c:v>68</c:v>
                </c:pt>
                <c:pt idx="9">
                  <c:v>68</c:v>
                </c:pt>
                <c:pt idx="10">
                  <c:v>68</c:v>
                </c:pt>
                <c:pt idx="11">
                  <c:v>68</c:v>
                </c:pt>
                <c:pt idx="12">
                  <c:v>68</c:v>
                </c:pt>
                <c:pt idx="13">
                  <c:v>68</c:v>
                </c:pt>
                <c:pt idx="14">
                  <c:v>68</c:v>
                </c:pt>
                <c:pt idx="15">
                  <c:v>68</c:v>
                </c:pt>
                <c:pt idx="16">
                  <c:v>68</c:v>
                </c:pt>
                <c:pt idx="17">
                  <c:v>68</c:v>
                </c:pt>
                <c:pt idx="18">
                  <c:v>68</c:v>
                </c:pt>
                <c:pt idx="19">
                  <c:v>68</c:v>
                </c:pt>
                <c:pt idx="20">
                  <c:v>68</c:v>
                </c:pt>
                <c:pt idx="21">
                  <c:v>68</c:v>
                </c:pt>
                <c:pt idx="22">
                  <c:v>68</c:v>
                </c:pt>
                <c:pt idx="23">
                  <c:v>68</c:v>
                </c:pt>
                <c:pt idx="24">
                  <c:v>68</c:v>
                </c:pt>
                <c:pt idx="25">
                  <c:v>68</c:v>
                </c:pt>
                <c:pt idx="26">
                  <c:v>68</c:v>
                </c:pt>
                <c:pt idx="27">
                  <c:v>68</c:v>
                </c:pt>
                <c:pt idx="28">
                  <c:v>68</c:v>
                </c:pt>
                <c:pt idx="29">
                  <c:v>68</c:v>
                </c:pt>
                <c:pt idx="30">
                  <c:v>68</c:v>
                </c:pt>
                <c:pt idx="31">
                  <c:v>68</c:v>
                </c:pt>
                <c:pt idx="32">
                  <c:v>68</c:v>
                </c:pt>
                <c:pt idx="33">
                  <c:v>68</c:v>
                </c:pt>
                <c:pt idx="34">
                  <c:v>68</c:v>
                </c:pt>
                <c:pt idx="35">
                  <c:v>68</c:v>
                </c:pt>
                <c:pt idx="36">
                  <c:v>68</c:v>
                </c:pt>
                <c:pt idx="37">
                  <c:v>68</c:v>
                </c:pt>
                <c:pt idx="38">
                  <c:v>68</c:v>
                </c:pt>
                <c:pt idx="39">
                  <c:v>68</c:v>
                </c:pt>
                <c:pt idx="40">
                  <c:v>68</c:v>
                </c:pt>
                <c:pt idx="41">
                  <c:v>68</c:v>
                </c:pt>
                <c:pt idx="42">
                  <c:v>68</c:v>
                </c:pt>
                <c:pt idx="43">
                  <c:v>68</c:v>
                </c:pt>
                <c:pt idx="44">
                  <c:v>68</c:v>
                </c:pt>
                <c:pt idx="45">
                  <c:v>68</c:v>
                </c:pt>
                <c:pt idx="46">
                  <c:v>68</c:v>
                </c:pt>
                <c:pt idx="47">
                  <c:v>68</c:v>
                </c:pt>
                <c:pt idx="48">
                  <c:v>68</c:v>
                </c:pt>
                <c:pt idx="49">
                  <c:v>68</c:v>
                </c:pt>
                <c:pt idx="50">
                  <c:v>68</c:v>
                </c:pt>
                <c:pt idx="51">
                  <c:v>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3F-4033-8C47-BDAB4D1622E2}"/>
            </c:ext>
          </c:extLst>
        </c:ser>
        <c:ser>
          <c:idx val="1"/>
          <c:order val="1"/>
          <c:tx>
            <c:strRef>
              <c:f>'L line boars manual'!$A$9</c:f>
              <c:strCache>
                <c:ptCount val="1"/>
                <c:pt idx="0">
                  <c:v>doses actual</c:v>
                </c:pt>
              </c:strCache>
            </c:strRef>
          </c:tx>
          <c:marker>
            <c:symbol val="none"/>
          </c:marker>
          <c:trendline>
            <c:spPr>
              <a:ln>
                <a:prstDash val="sysDot"/>
              </a:ln>
            </c:spPr>
            <c:trendlineType val="linear"/>
            <c:dispRSqr val="0"/>
            <c:dispEq val="0"/>
          </c:trendline>
          <c:val>
            <c:numRef>
              <c:f>'L line boars manual'!$B$9:$BA$9</c:f>
              <c:numCache>
                <c:formatCode>General</c:formatCode>
                <c:ptCount val="5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83F-4033-8C47-BDAB4D1622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53366160"/>
        <c:axId val="1"/>
      </c:lineChart>
      <c:catAx>
        <c:axId val="17533661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week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crossAx val="1"/>
        <c:crosses val="autoZero"/>
        <c:auto val="1"/>
        <c:lblAlgn val="ctr"/>
        <c:lblOffset val="100"/>
        <c:noMultiLvlLbl val="1"/>
      </c:catAx>
      <c:valAx>
        <c:axId val="1"/>
        <c:scaling>
          <c:orientation val="minMax"/>
          <c:min val="20"/>
        </c:scaling>
        <c:delete val="0"/>
        <c:axPos val="l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Semen</a:t>
                </a:r>
                <a:r>
                  <a:rPr lang="en-US" baseline="0"/>
                  <a:t> Doses %</a:t>
                </a:r>
              </a:p>
            </c:rich>
          </c:tx>
          <c:overlay val="0"/>
        </c:title>
        <c:numFmt formatCode="0" sourceLinked="1"/>
        <c:majorTickMark val="none"/>
        <c:minorTickMark val="none"/>
        <c:tickLblPos val="nextTo"/>
        <c:crossAx val="175336616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US"/>
              <a:t>MORPHOLOGY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'L line boars manual'!$A$5</c:f>
              <c:strCache>
                <c:ptCount val="1"/>
                <c:pt idx="0">
                  <c:v>morphology target top</c:v>
                </c:pt>
              </c:strCache>
            </c:strRef>
          </c:tx>
          <c:marker>
            <c:symbol val="none"/>
          </c:marker>
          <c:val>
            <c:numRef>
              <c:f>'L line boars manual'!$B$5:$BA$5</c:f>
              <c:numCache>
                <c:formatCode>General</c:formatCode>
                <c:ptCount val="52"/>
                <c:pt idx="0">
                  <c:v>85</c:v>
                </c:pt>
                <c:pt idx="1">
                  <c:v>85</c:v>
                </c:pt>
                <c:pt idx="2">
                  <c:v>85</c:v>
                </c:pt>
                <c:pt idx="3">
                  <c:v>85</c:v>
                </c:pt>
                <c:pt idx="4">
                  <c:v>85</c:v>
                </c:pt>
                <c:pt idx="5">
                  <c:v>85</c:v>
                </c:pt>
                <c:pt idx="6">
                  <c:v>85</c:v>
                </c:pt>
                <c:pt idx="7">
                  <c:v>85</c:v>
                </c:pt>
                <c:pt idx="8">
                  <c:v>85</c:v>
                </c:pt>
                <c:pt idx="9">
                  <c:v>85</c:v>
                </c:pt>
                <c:pt idx="10">
                  <c:v>85</c:v>
                </c:pt>
                <c:pt idx="11">
                  <c:v>85</c:v>
                </c:pt>
                <c:pt idx="12">
                  <c:v>85</c:v>
                </c:pt>
                <c:pt idx="13">
                  <c:v>85</c:v>
                </c:pt>
                <c:pt idx="14">
                  <c:v>85</c:v>
                </c:pt>
                <c:pt idx="15">
                  <c:v>85</c:v>
                </c:pt>
                <c:pt idx="16">
                  <c:v>85</c:v>
                </c:pt>
                <c:pt idx="17">
                  <c:v>85</c:v>
                </c:pt>
                <c:pt idx="18">
                  <c:v>85</c:v>
                </c:pt>
                <c:pt idx="19">
                  <c:v>85</c:v>
                </c:pt>
                <c:pt idx="20">
                  <c:v>85</c:v>
                </c:pt>
                <c:pt idx="21">
                  <c:v>85</c:v>
                </c:pt>
                <c:pt idx="22">
                  <c:v>85</c:v>
                </c:pt>
                <c:pt idx="23">
                  <c:v>85</c:v>
                </c:pt>
                <c:pt idx="24">
                  <c:v>85</c:v>
                </c:pt>
                <c:pt idx="25">
                  <c:v>85</c:v>
                </c:pt>
                <c:pt idx="26">
                  <c:v>85</c:v>
                </c:pt>
                <c:pt idx="27">
                  <c:v>85</c:v>
                </c:pt>
                <c:pt idx="28">
                  <c:v>85</c:v>
                </c:pt>
                <c:pt idx="29">
                  <c:v>85</c:v>
                </c:pt>
                <c:pt idx="30">
                  <c:v>85</c:v>
                </c:pt>
                <c:pt idx="31">
                  <c:v>85</c:v>
                </c:pt>
                <c:pt idx="32">
                  <c:v>85</c:v>
                </c:pt>
                <c:pt idx="33">
                  <c:v>85</c:v>
                </c:pt>
                <c:pt idx="34">
                  <c:v>85</c:v>
                </c:pt>
                <c:pt idx="35">
                  <c:v>85</c:v>
                </c:pt>
                <c:pt idx="36">
                  <c:v>85</c:v>
                </c:pt>
                <c:pt idx="37">
                  <c:v>85</c:v>
                </c:pt>
                <c:pt idx="38">
                  <c:v>85</c:v>
                </c:pt>
                <c:pt idx="39">
                  <c:v>85</c:v>
                </c:pt>
                <c:pt idx="40">
                  <c:v>85</c:v>
                </c:pt>
                <c:pt idx="41">
                  <c:v>85</c:v>
                </c:pt>
                <c:pt idx="42">
                  <c:v>85</c:v>
                </c:pt>
                <c:pt idx="43">
                  <c:v>85</c:v>
                </c:pt>
                <c:pt idx="44">
                  <c:v>85</c:v>
                </c:pt>
                <c:pt idx="45">
                  <c:v>85</c:v>
                </c:pt>
                <c:pt idx="46">
                  <c:v>85</c:v>
                </c:pt>
                <c:pt idx="47">
                  <c:v>85</c:v>
                </c:pt>
                <c:pt idx="48">
                  <c:v>85</c:v>
                </c:pt>
                <c:pt idx="49">
                  <c:v>85</c:v>
                </c:pt>
                <c:pt idx="50">
                  <c:v>85</c:v>
                </c:pt>
                <c:pt idx="51">
                  <c:v>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45-44BC-BBAA-8EC863C17063}"/>
            </c:ext>
          </c:extLst>
        </c:ser>
        <c:ser>
          <c:idx val="1"/>
          <c:order val="1"/>
          <c:tx>
            <c:strRef>
              <c:f>'L line boars manual'!$A$6</c:f>
              <c:strCache>
                <c:ptCount val="1"/>
                <c:pt idx="0">
                  <c:v>Actual</c:v>
                </c:pt>
              </c:strCache>
            </c:strRef>
          </c:tx>
          <c:marker>
            <c:symbol val="none"/>
          </c:marker>
          <c:trendline>
            <c:spPr>
              <a:ln>
                <a:prstDash val="sysDot"/>
              </a:ln>
            </c:spPr>
            <c:trendlineType val="linear"/>
            <c:dispRSqr val="0"/>
            <c:dispEq val="0"/>
          </c:trendline>
          <c:val>
            <c:numRef>
              <c:f>'L line boars manual'!$B$6:$BA$6</c:f>
              <c:numCache>
                <c:formatCode>General</c:formatCode>
                <c:ptCount val="5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245-44BC-BBAA-8EC863C170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33945856"/>
        <c:axId val="1"/>
      </c:lineChart>
      <c:catAx>
        <c:axId val="14339458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week 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crossAx val="1"/>
        <c:crosses val="autoZero"/>
        <c:auto val="1"/>
        <c:lblAlgn val="ctr"/>
        <c:lblOffset val="100"/>
        <c:noMultiLvlLbl val="1"/>
      </c:catAx>
      <c:valAx>
        <c:axId val="1"/>
        <c:scaling>
          <c:orientation val="minMax"/>
          <c:min val="84"/>
        </c:scaling>
        <c:delete val="0"/>
        <c:axPos val="l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Morphology</a:t>
                </a:r>
                <a:r>
                  <a:rPr lang="en-US" baseline="0"/>
                  <a:t> Score %</a:t>
                </a: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433945856"/>
        <c:crosses val="autoZero"/>
        <c:crossBetween val="between"/>
        <c:majorUnit val="2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Average Collection Volume by Boar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'Collection Analysis Report'!$D$15</c:f>
              <c:strCache>
                <c:ptCount val="1"/>
                <c:pt idx="0">
                  <c:v>Average (mls)</c:v>
                </c:pt>
              </c:strCache>
            </c:strRef>
          </c:tx>
          <c:spPr>
            <a:solidFill>
              <a:srgbClr val="4472C4"/>
            </a:solidFill>
            <a:ln/>
          </c:spPr>
          <c:invertIfNegative val="1"/>
          <c:cat>
            <c:strRef>
              <c:f>'Collection Analysis Report'!$A$16:$A$21</c:f>
              <c:strCache>
                <c:ptCount val="6"/>
                <c:pt idx="0">
                  <c:v>LA0499</c:v>
                </c:pt>
                <c:pt idx="1">
                  <c:v>LA0752</c:v>
                </c:pt>
                <c:pt idx="2">
                  <c:v>LA0724</c:v>
                </c:pt>
                <c:pt idx="3">
                  <c:v>CL1114</c:v>
                </c:pt>
                <c:pt idx="4">
                  <c:v>LA0117</c:v>
                </c:pt>
                <c:pt idx="5">
                  <c:v>CL6865</c:v>
                </c:pt>
              </c:strCache>
            </c:strRef>
          </c:cat>
          <c:val>
            <c:numRef>
              <c:f>'Collection Analysis Report'!$D$16:$D$21</c:f>
              <c:numCache>
                <c:formatCode>0</c:formatCode>
                <c:ptCount val="6"/>
                <c:pt idx="0">
                  <c:v>275.71428571428572</c:v>
                </c:pt>
                <c:pt idx="1">
                  <c:v>252.28571428571428</c:v>
                </c:pt>
                <c:pt idx="2">
                  <c:v>280.85714285714283</c:v>
                </c:pt>
                <c:pt idx="3">
                  <c:v>214.83333333333334</c:v>
                </c:pt>
                <c:pt idx="4">
                  <c:v>328.66666666666669</c:v>
                </c:pt>
                <c:pt idx="5" formatCode="General">
                  <c:v>200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/>
                </c14:spPr>
              </c14:invertSolidFillFmt>
            </c:ext>
            <c:ext xmlns:c16="http://schemas.microsoft.com/office/drawing/2014/chart" uri="{C3380CC4-5D6E-409C-BE32-E72D297353CC}">
              <c16:uniqueId val="{00000000-A0A2-4DDF-BDE2-943F269263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22245040"/>
        <c:axId val="1"/>
      </c:barChart>
      <c:catAx>
        <c:axId val="1222245040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crossAx val="1"/>
        <c:crosses val="autoZero"/>
        <c:auto val="1"/>
        <c:lblAlgn val="ctr"/>
        <c:lblOffset val="100"/>
        <c:noMultiLvlLbl val="1"/>
      </c:catAx>
      <c:valAx>
        <c:axId val="1"/>
        <c:scaling>
          <c:orientation val="minMax"/>
        </c:scaling>
        <c:delete val="0"/>
        <c:axPos val="b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Average (mls)</a:t>
                </a:r>
              </a:p>
            </c:rich>
          </c:tx>
          <c:overlay val="0"/>
        </c:title>
        <c:numFmt formatCode="0" sourceLinked="1"/>
        <c:majorTickMark val="none"/>
        <c:minorTickMark val="none"/>
        <c:tickLblPos val="nextTo"/>
        <c:crossAx val="122224504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Collector Performance Trend (Weeks 1-7)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'Collection Analysis Report'!$A$31</c:f>
              <c:strCache>
                <c:ptCount val="1"/>
                <c:pt idx="0">
                  <c:v>AW</c:v>
                </c:pt>
              </c:strCache>
            </c:strRef>
          </c:tx>
          <c:spPr>
            <a:ln>
              <a:solidFill>
                <a:srgbClr val="4472C4"/>
              </a:solidFill>
            </a:ln>
          </c:spPr>
          <c:marker>
            <c:symbol val="circle"/>
            <c:size val="4"/>
          </c:marker>
          <c:cat>
            <c:strRef>
              <c:f>'Collection Analysis Report'!$B$30:$H$30</c:f>
              <c:strCache>
                <c:ptCount val="7"/>
                <c:pt idx="0">
                  <c:v>Wk 1</c:v>
                </c:pt>
                <c:pt idx="1">
                  <c:v>Wk 2</c:v>
                </c:pt>
                <c:pt idx="2">
                  <c:v>Wk 3</c:v>
                </c:pt>
                <c:pt idx="3">
                  <c:v>Wk 4</c:v>
                </c:pt>
                <c:pt idx="4">
                  <c:v>Wk 5</c:v>
                </c:pt>
                <c:pt idx="5">
                  <c:v>Wk 6</c:v>
                </c:pt>
                <c:pt idx="6">
                  <c:v>Wk 7</c:v>
                </c:pt>
              </c:strCache>
            </c:strRef>
          </c:cat>
          <c:val>
            <c:numRef>
              <c:f>'Collection Analysis Report'!$B$31:$H$31</c:f>
              <c:numCache>
                <c:formatCode>General</c:formatCode>
                <c:ptCount val="7"/>
                <c:pt idx="0">
                  <c:v>712</c:v>
                </c:pt>
                <c:pt idx="1">
                  <c:v>810</c:v>
                </c:pt>
                <c:pt idx="2">
                  <c:v>637</c:v>
                </c:pt>
                <c:pt idx="3">
                  <c:v>668</c:v>
                </c:pt>
                <c:pt idx="4">
                  <c:v>624</c:v>
                </c:pt>
                <c:pt idx="5">
                  <c:v>384</c:v>
                </c:pt>
                <c:pt idx="6">
                  <c:v>200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5BF-48F3-B7FA-9DD2EA21D876}"/>
            </c:ext>
          </c:extLst>
        </c:ser>
        <c:ser>
          <c:idx val="1"/>
          <c:order val="1"/>
          <c:tx>
            <c:strRef>
              <c:f>'Collection Analysis Report'!$A$32</c:f>
              <c:strCache>
                <c:ptCount val="1"/>
                <c:pt idx="0">
                  <c:v>CM</c:v>
                </c:pt>
              </c:strCache>
            </c:strRef>
          </c:tx>
          <c:spPr>
            <a:ln>
              <a:solidFill>
                <a:srgbClr val="ED7D31"/>
              </a:solidFill>
            </a:ln>
          </c:spPr>
          <c:marker>
            <c:symbol val="circle"/>
            <c:size val="4"/>
          </c:marker>
          <c:cat>
            <c:strRef>
              <c:f>'Collection Analysis Report'!$B$30:$H$30</c:f>
              <c:strCache>
                <c:ptCount val="7"/>
                <c:pt idx="0">
                  <c:v>Wk 1</c:v>
                </c:pt>
                <c:pt idx="1">
                  <c:v>Wk 2</c:v>
                </c:pt>
                <c:pt idx="2">
                  <c:v>Wk 3</c:v>
                </c:pt>
                <c:pt idx="3">
                  <c:v>Wk 4</c:v>
                </c:pt>
                <c:pt idx="4">
                  <c:v>Wk 5</c:v>
                </c:pt>
                <c:pt idx="5">
                  <c:v>Wk 6</c:v>
                </c:pt>
                <c:pt idx="6">
                  <c:v>Wk 7</c:v>
                </c:pt>
              </c:strCache>
            </c:strRef>
          </c:cat>
          <c:val>
            <c:numRef>
              <c:f>'Collection Analysis Report'!$B$32:$H$32</c:f>
              <c:numCache>
                <c:formatCode>General</c:formatCode>
                <c:ptCount val="7"/>
                <c:pt idx="0">
                  <c:v>760</c:v>
                </c:pt>
                <c:pt idx="1">
                  <c:v>438</c:v>
                </c:pt>
                <c:pt idx="2">
                  <c:v>452</c:v>
                </c:pt>
                <c:pt idx="3">
                  <c:v>606</c:v>
                </c:pt>
                <c:pt idx="4">
                  <c:v>302</c:v>
                </c:pt>
                <c:pt idx="5">
                  <c:v>890</c:v>
                </c:pt>
                <c:pt idx="6">
                  <c:v>862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5BF-48F3-B7FA-9DD2EA21D876}"/>
            </c:ext>
          </c:extLst>
        </c:ser>
        <c:ser>
          <c:idx val="2"/>
          <c:order val="2"/>
          <c:tx>
            <c:strRef>
              <c:f>'Collection Analysis Report'!$A$33</c:f>
              <c:strCache>
                <c:ptCount val="1"/>
                <c:pt idx="0">
                  <c:v>TA</c:v>
                </c:pt>
              </c:strCache>
            </c:strRef>
          </c:tx>
          <c:spPr>
            <a:ln>
              <a:solidFill>
                <a:srgbClr val="A5A5A5"/>
              </a:solidFill>
            </a:ln>
          </c:spPr>
          <c:marker>
            <c:symbol val="circle"/>
            <c:size val="4"/>
          </c:marker>
          <c:cat>
            <c:strRef>
              <c:f>'Collection Analysis Report'!$B$30:$H$30</c:f>
              <c:strCache>
                <c:ptCount val="7"/>
                <c:pt idx="0">
                  <c:v>Wk 1</c:v>
                </c:pt>
                <c:pt idx="1">
                  <c:v>Wk 2</c:v>
                </c:pt>
                <c:pt idx="2">
                  <c:v>Wk 3</c:v>
                </c:pt>
                <c:pt idx="3">
                  <c:v>Wk 4</c:v>
                </c:pt>
                <c:pt idx="4">
                  <c:v>Wk 5</c:v>
                </c:pt>
                <c:pt idx="5">
                  <c:v>Wk 6</c:v>
                </c:pt>
                <c:pt idx="6">
                  <c:v>Wk 7</c:v>
                </c:pt>
              </c:strCache>
            </c:strRef>
          </c:cat>
          <c:val>
            <c:numRef>
              <c:f>'Collection Analysis Report'!$B$33:$H$33</c:f>
              <c:numCache>
                <c:formatCode>General</c:formatCode>
                <c:ptCount val="7"/>
                <c:pt idx="0">
                  <c:v>0</c:v>
                </c:pt>
                <c:pt idx="1">
                  <c:v>201</c:v>
                </c:pt>
                <c:pt idx="2">
                  <c:v>168</c:v>
                </c:pt>
                <c:pt idx="3">
                  <c:v>321</c:v>
                </c:pt>
                <c:pt idx="4">
                  <c:v>0</c:v>
                </c:pt>
                <c:pt idx="5">
                  <c:v>140</c:v>
                </c:pt>
                <c:pt idx="6">
                  <c:v>148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A5BF-48F3-B7FA-9DD2EA21D8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2245520"/>
        <c:axId val="1"/>
      </c:lineChart>
      <c:catAx>
        <c:axId val="122224552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1"/>
        <c:crosses val="autoZero"/>
        <c:auto val="1"/>
        <c:lblAlgn val="ctr"/>
        <c:lblOffset val="100"/>
        <c:noMultiLvlLbl val="1"/>
      </c:catAx>
      <c:valAx>
        <c:axId val="1"/>
        <c:scaling>
          <c:orientation val="minMax"/>
        </c:scaling>
        <c:delete val="0"/>
        <c:axPos val="l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Values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22224552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Volume Distribution by Collector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'Collection Analysis Report'!$C$5</c:f>
              <c:strCache>
                <c:ptCount val="1"/>
                <c:pt idx="0">
                  <c:v>Total Volume (mls)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71A-4F8A-B7D6-26D2FB7D080D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71A-4F8A-B7D6-26D2FB7D080D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C71A-4F8A-B7D6-26D2FB7D080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'Collection Analysis Report'!$A$6:$A$8</c:f>
              <c:strCache>
                <c:ptCount val="3"/>
                <c:pt idx="0">
                  <c:v>AW</c:v>
                </c:pt>
                <c:pt idx="1">
                  <c:v>CM</c:v>
                </c:pt>
                <c:pt idx="2">
                  <c:v>TA</c:v>
                </c:pt>
              </c:strCache>
            </c:strRef>
          </c:cat>
          <c:val>
            <c:numRef>
              <c:f>'Collection Analysis Report'!$C$6:$C$8</c:f>
              <c:numCache>
                <c:formatCode>General</c:formatCode>
                <c:ptCount val="3"/>
                <c:pt idx="0">
                  <c:v>4035</c:v>
                </c:pt>
                <c:pt idx="1">
                  <c:v>4310</c:v>
                </c:pt>
                <c:pt idx="2">
                  <c:v>978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BF-40D8-A8FC-AF0A25105C22}"/>
            </c:ext>
          </c:extLst>
        </c:ser>
        <c:ser>
          <c:idx val="1"/>
          <c:order val="1"/>
          <c:tx>
            <c:strRef>
              <c:f>'Collection Analysis Report'!$A$5</c:f>
              <c:strCache>
                <c:ptCount val="1"/>
                <c:pt idx="0">
                  <c:v>Collector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C71A-4F8A-B7D6-26D2FB7D080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Lit>
              <c:formatCode>General</c:formatCode>
              <c:ptCount val="1"/>
              <c:pt idx="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1-F7BF-40D8-A8FC-AF0A25105C2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1.xml"/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53</xdr:col>
      <xdr:colOff>365760</xdr:colOff>
      <xdr:row>17</xdr:row>
      <xdr:rowOff>83820</xdr:rowOff>
    </xdr:from>
    <xdr:to>
      <xdr:col>63</xdr:col>
      <xdr:colOff>272415</xdr:colOff>
      <xdr:row>27</xdr:row>
      <xdr:rowOff>175260</xdr:rowOff>
    </xdr:to>
    <xdr:graphicFrame macro="">
      <xdr:nvGraphicFramePr>
        <xdr:cNvPr id="9" name="Chart 1">
          <a:extLst>
            <a:ext uri="{FF2B5EF4-FFF2-40B4-BE49-F238E27FC236}">
              <a16:creationId xmlns:a16="http://schemas.microsoft.com/office/drawing/2014/main" id="{00000000-0008-0000-0A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64</xdr:col>
      <xdr:colOff>506730</xdr:colOff>
      <xdr:row>17</xdr:row>
      <xdr:rowOff>142875</xdr:rowOff>
    </xdr:from>
    <xdr:to>
      <xdr:col>73</xdr:col>
      <xdr:colOff>593090</xdr:colOff>
      <xdr:row>28</xdr:row>
      <xdr:rowOff>91440</xdr:rowOff>
    </xdr:to>
    <xdr:graphicFrame macro="">
      <xdr:nvGraphicFramePr>
        <xdr:cNvPr id="10" name="Chart 1">
          <a:extLst>
            <a:ext uri="{FF2B5EF4-FFF2-40B4-BE49-F238E27FC236}">
              <a16:creationId xmlns:a16="http://schemas.microsoft.com/office/drawing/2014/main" id="{00000000-0008-0000-0A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76</xdr:col>
      <xdr:colOff>0</xdr:colOff>
      <xdr:row>94</xdr:row>
      <xdr:rowOff>0</xdr:rowOff>
    </xdr:from>
    <xdr:to>
      <xdr:col>90</xdr:col>
      <xdr:colOff>26671</xdr:colOff>
      <xdr:row>94</xdr:row>
      <xdr:rowOff>49530</xdr:rowOff>
    </xdr:to>
    <xdr:graphicFrame macro="">
      <xdr:nvGraphicFramePr>
        <xdr:cNvPr id="18" name="Chart 1">
          <a:extLst>
            <a:ext uri="{FF2B5EF4-FFF2-40B4-BE49-F238E27FC236}">
              <a16:creationId xmlns:a16="http://schemas.microsoft.com/office/drawing/2014/main" id="{00000000-0008-0000-0A00-00001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76</xdr:col>
      <xdr:colOff>0</xdr:colOff>
      <xdr:row>17</xdr:row>
      <xdr:rowOff>0</xdr:rowOff>
    </xdr:from>
    <xdr:to>
      <xdr:col>91</xdr:col>
      <xdr:colOff>177800</xdr:colOff>
      <xdr:row>28</xdr:row>
      <xdr:rowOff>160020</xdr:rowOff>
    </xdr:to>
    <xdr:graphicFrame macro="">
      <xdr:nvGraphicFramePr>
        <xdr:cNvPr id="20" name="Chart 1">
          <a:extLst>
            <a:ext uri="{FF2B5EF4-FFF2-40B4-BE49-F238E27FC236}">
              <a16:creationId xmlns:a16="http://schemas.microsoft.com/office/drawing/2014/main" id="{00000000-0008-0000-0A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53</xdr:col>
      <xdr:colOff>213360</xdr:colOff>
      <xdr:row>31</xdr:row>
      <xdr:rowOff>175260</xdr:rowOff>
    </xdr:from>
    <xdr:to>
      <xdr:col>63</xdr:col>
      <xdr:colOff>120015</xdr:colOff>
      <xdr:row>45</xdr:row>
      <xdr:rowOff>163830</xdr:rowOff>
    </xdr:to>
    <xdr:graphicFrame macro="">
      <xdr:nvGraphicFramePr>
        <xdr:cNvPr id="31" name="Chart 1">
          <a:extLst>
            <a:ext uri="{FF2B5EF4-FFF2-40B4-BE49-F238E27FC236}">
              <a16:creationId xmlns:a16="http://schemas.microsoft.com/office/drawing/2014/main" id="{96F8C085-5EF2-43D3-AA50-DF385D69EE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53</xdr:col>
      <xdr:colOff>236220</xdr:colOff>
      <xdr:row>48</xdr:row>
      <xdr:rowOff>175260</xdr:rowOff>
    </xdr:from>
    <xdr:to>
      <xdr:col>63</xdr:col>
      <xdr:colOff>142875</xdr:colOff>
      <xdr:row>62</xdr:row>
      <xdr:rowOff>163830</xdr:rowOff>
    </xdr:to>
    <xdr:graphicFrame macro="">
      <xdr:nvGraphicFramePr>
        <xdr:cNvPr id="32" name="Chart 1">
          <a:extLst>
            <a:ext uri="{FF2B5EF4-FFF2-40B4-BE49-F238E27FC236}">
              <a16:creationId xmlns:a16="http://schemas.microsoft.com/office/drawing/2014/main" id="{221E3AEF-BD77-44A2-905F-2C3FC54F1C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53</xdr:col>
      <xdr:colOff>251460</xdr:colOff>
      <xdr:row>65</xdr:row>
      <xdr:rowOff>190500</xdr:rowOff>
    </xdr:from>
    <xdr:to>
      <xdr:col>63</xdr:col>
      <xdr:colOff>158115</xdr:colOff>
      <xdr:row>78</xdr:row>
      <xdr:rowOff>72390</xdr:rowOff>
    </xdr:to>
    <xdr:graphicFrame macro="">
      <xdr:nvGraphicFramePr>
        <xdr:cNvPr id="33" name="Chart 1">
          <a:extLst>
            <a:ext uri="{FF2B5EF4-FFF2-40B4-BE49-F238E27FC236}">
              <a16:creationId xmlns:a16="http://schemas.microsoft.com/office/drawing/2014/main" id="{3DB66B96-2777-47B4-A726-3526FFA218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53</xdr:col>
      <xdr:colOff>251460</xdr:colOff>
      <xdr:row>80</xdr:row>
      <xdr:rowOff>121920</xdr:rowOff>
    </xdr:from>
    <xdr:to>
      <xdr:col>63</xdr:col>
      <xdr:colOff>304800</xdr:colOff>
      <xdr:row>94</xdr:row>
      <xdr:rowOff>26670</xdr:rowOff>
    </xdr:to>
    <xdr:graphicFrame macro="">
      <xdr:nvGraphicFramePr>
        <xdr:cNvPr id="36" name="Chart 1">
          <a:extLst>
            <a:ext uri="{FF2B5EF4-FFF2-40B4-BE49-F238E27FC236}">
              <a16:creationId xmlns:a16="http://schemas.microsoft.com/office/drawing/2014/main" id="{84C34828-AABC-4B89-867F-F32129DE6D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65</xdr:col>
      <xdr:colOff>22860</xdr:colOff>
      <xdr:row>32</xdr:row>
      <xdr:rowOff>7620</xdr:rowOff>
    </xdr:from>
    <xdr:to>
      <xdr:col>74</xdr:col>
      <xdr:colOff>109220</xdr:colOff>
      <xdr:row>45</xdr:row>
      <xdr:rowOff>106680</xdr:rowOff>
    </xdr:to>
    <xdr:graphicFrame macro="">
      <xdr:nvGraphicFramePr>
        <xdr:cNvPr id="37" name="Chart 1">
          <a:extLst>
            <a:ext uri="{FF2B5EF4-FFF2-40B4-BE49-F238E27FC236}">
              <a16:creationId xmlns:a16="http://schemas.microsoft.com/office/drawing/2014/main" id="{040634AF-4F9C-4EDF-85C6-E36096297F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65</xdr:col>
      <xdr:colOff>38100</xdr:colOff>
      <xdr:row>49</xdr:row>
      <xdr:rowOff>152400</xdr:rowOff>
    </xdr:from>
    <xdr:to>
      <xdr:col>74</xdr:col>
      <xdr:colOff>124460</xdr:colOff>
      <xdr:row>62</xdr:row>
      <xdr:rowOff>78105</xdr:rowOff>
    </xdr:to>
    <xdr:graphicFrame macro="">
      <xdr:nvGraphicFramePr>
        <xdr:cNvPr id="38" name="Chart 1">
          <a:extLst>
            <a:ext uri="{FF2B5EF4-FFF2-40B4-BE49-F238E27FC236}">
              <a16:creationId xmlns:a16="http://schemas.microsoft.com/office/drawing/2014/main" id="{B4CD83E1-B943-49D4-AEF2-BFF498969D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65</xdr:col>
      <xdr:colOff>76200</xdr:colOff>
      <xdr:row>67</xdr:row>
      <xdr:rowOff>38100</xdr:rowOff>
    </xdr:from>
    <xdr:to>
      <xdr:col>74</xdr:col>
      <xdr:colOff>162560</xdr:colOff>
      <xdr:row>78</xdr:row>
      <xdr:rowOff>139065</xdr:rowOff>
    </xdr:to>
    <xdr:graphicFrame macro="">
      <xdr:nvGraphicFramePr>
        <xdr:cNvPr id="39" name="Chart 1">
          <a:extLst>
            <a:ext uri="{FF2B5EF4-FFF2-40B4-BE49-F238E27FC236}">
              <a16:creationId xmlns:a16="http://schemas.microsoft.com/office/drawing/2014/main" id="{9E771955-A817-4DCB-B127-21CF79240D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65</xdr:col>
      <xdr:colOff>0</xdr:colOff>
      <xdr:row>81</xdr:row>
      <xdr:rowOff>0</xdr:rowOff>
    </xdr:from>
    <xdr:to>
      <xdr:col>74</xdr:col>
      <xdr:colOff>86360</xdr:colOff>
      <xdr:row>93</xdr:row>
      <xdr:rowOff>24765</xdr:rowOff>
    </xdr:to>
    <xdr:graphicFrame macro="">
      <xdr:nvGraphicFramePr>
        <xdr:cNvPr id="42" name="Chart 1">
          <a:extLst>
            <a:ext uri="{FF2B5EF4-FFF2-40B4-BE49-F238E27FC236}">
              <a16:creationId xmlns:a16="http://schemas.microsoft.com/office/drawing/2014/main" id="{0ABB670B-2C69-469D-8E76-AA85814297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76</xdr:col>
      <xdr:colOff>0</xdr:colOff>
      <xdr:row>33</xdr:row>
      <xdr:rowOff>0</xdr:rowOff>
    </xdr:from>
    <xdr:to>
      <xdr:col>91</xdr:col>
      <xdr:colOff>177800</xdr:colOff>
      <xdr:row>46</xdr:row>
      <xdr:rowOff>144780</xdr:rowOff>
    </xdr:to>
    <xdr:graphicFrame macro="">
      <xdr:nvGraphicFramePr>
        <xdr:cNvPr id="43" name="Chart 1">
          <a:extLst>
            <a:ext uri="{FF2B5EF4-FFF2-40B4-BE49-F238E27FC236}">
              <a16:creationId xmlns:a16="http://schemas.microsoft.com/office/drawing/2014/main" id="{4F93CA30-D010-4388-A2FC-59F1E2C893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76</xdr:col>
      <xdr:colOff>0</xdr:colOff>
      <xdr:row>49</xdr:row>
      <xdr:rowOff>0</xdr:rowOff>
    </xdr:from>
    <xdr:to>
      <xdr:col>91</xdr:col>
      <xdr:colOff>177800</xdr:colOff>
      <xdr:row>62</xdr:row>
      <xdr:rowOff>144780</xdr:rowOff>
    </xdr:to>
    <xdr:graphicFrame macro="">
      <xdr:nvGraphicFramePr>
        <xdr:cNvPr id="44" name="Chart 1">
          <a:extLst>
            <a:ext uri="{FF2B5EF4-FFF2-40B4-BE49-F238E27FC236}">
              <a16:creationId xmlns:a16="http://schemas.microsoft.com/office/drawing/2014/main" id="{F46FA58C-66F0-4283-8684-8C86D24DF4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76</xdr:col>
      <xdr:colOff>0</xdr:colOff>
      <xdr:row>65</xdr:row>
      <xdr:rowOff>0</xdr:rowOff>
    </xdr:from>
    <xdr:to>
      <xdr:col>91</xdr:col>
      <xdr:colOff>177800</xdr:colOff>
      <xdr:row>77</xdr:row>
      <xdr:rowOff>38100</xdr:rowOff>
    </xdr:to>
    <xdr:graphicFrame macro="">
      <xdr:nvGraphicFramePr>
        <xdr:cNvPr id="45" name="Chart 1">
          <a:extLst>
            <a:ext uri="{FF2B5EF4-FFF2-40B4-BE49-F238E27FC236}">
              <a16:creationId xmlns:a16="http://schemas.microsoft.com/office/drawing/2014/main" id="{44401925-F338-430A-BDC0-6855EB5F26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76</xdr:col>
      <xdr:colOff>0</xdr:colOff>
      <xdr:row>81</xdr:row>
      <xdr:rowOff>0</xdr:rowOff>
    </xdr:from>
    <xdr:to>
      <xdr:col>91</xdr:col>
      <xdr:colOff>177800</xdr:colOff>
      <xdr:row>94</xdr:row>
      <xdr:rowOff>60960</xdr:rowOff>
    </xdr:to>
    <xdr:graphicFrame macro="">
      <xdr:nvGraphicFramePr>
        <xdr:cNvPr id="48" name="Chart 1">
          <a:extLst>
            <a:ext uri="{FF2B5EF4-FFF2-40B4-BE49-F238E27FC236}">
              <a16:creationId xmlns:a16="http://schemas.microsoft.com/office/drawing/2014/main" id="{4825A8E5-7DB3-46FF-A349-5349965192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65</xdr:col>
      <xdr:colOff>0</xdr:colOff>
      <xdr:row>1</xdr:row>
      <xdr:rowOff>0</xdr:rowOff>
    </xdr:from>
    <xdr:to>
      <xdr:col>74</xdr:col>
      <xdr:colOff>86360</xdr:colOff>
      <xdr:row>16</xdr:row>
      <xdr:rowOff>24765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E0EDB14-CA4E-4469-901A-F649A8E5F9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53</xdr:col>
      <xdr:colOff>289560</xdr:colOff>
      <xdr:row>0</xdr:row>
      <xdr:rowOff>60960</xdr:rowOff>
    </xdr:from>
    <xdr:to>
      <xdr:col>63</xdr:col>
      <xdr:colOff>342900</xdr:colOff>
      <xdr:row>10</xdr:row>
      <xdr:rowOff>167640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51C9E38F-B418-436B-A9B5-57E1641C64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205740</xdr:colOff>
      <xdr:row>10</xdr:row>
      <xdr:rowOff>22860</xdr:rowOff>
    </xdr:from>
    <xdr:to>
      <xdr:col>3</xdr:col>
      <xdr:colOff>647956</xdr:colOff>
      <xdr:row>20</xdr:row>
      <xdr:rowOff>175432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236220</xdr:colOff>
      <xdr:row>13</xdr:row>
      <xdr:rowOff>167640</xdr:rowOff>
    </xdr:from>
    <xdr:to>
      <xdr:col>17</xdr:col>
      <xdr:colOff>556260</xdr:colOff>
      <xdr:row>27</xdr:row>
      <xdr:rowOff>53340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266700</xdr:colOff>
      <xdr:row>28</xdr:row>
      <xdr:rowOff>45720</xdr:rowOff>
    </xdr:from>
    <xdr:to>
      <xdr:col>18</xdr:col>
      <xdr:colOff>15240</xdr:colOff>
      <xdr:row>41</xdr:row>
      <xdr:rowOff>160020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2</xdr:row>
      <xdr:rowOff>45720</xdr:rowOff>
    </xdr:from>
    <xdr:to>
      <xdr:col>18</xdr:col>
      <xdr:colOff>7620</xdr:colOff>
      <xdr:row>13</xdr:row>
      <xdr:rowOff>0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errence Burekeni" refreshedDate="46063.355441087966" createdVersion="8" refreshedVersion="8" minRefreshableVersion="3" recordCount="35" xr:uid="{FB117FA3-B0BF-4BF0-8A26-B41605960948}">
  <cacheSource type="worksheet">
    <worksheetSource ref="A3:D38" sheet="Raw data and pivot tables "/>
  </cacheSource>
  <cacheFields count="4">
    <cacheField name="Week" numFmtId="0">
      <sharedItems containsSemiMixedTypes="0" containsString="0" containsNumber="1" containsInteger="1" minValue="1" maxValue="7" count="7">
        <n v="1"/>
        <n v="2"/>
        <n v="3"/>
        <n v="4"/>
        <n v="5"/>
        <n v="6"/>
        <n v="7"/>
      </sharedItems>
    </cacheField>
    <cacheField name="Collector" numFmtId="0">
      <sharedItems count="3">
        <s v="AW"/>
        <s v="CM"/>
        <s v="TA"/>
      </sharedItems>
    </cacheField>
    <cacheField name="Boar" numFmtId="0">
      <sharedItems count="6">
        <s v="LA0499"/>
        <s v="LA0752"/>
        <s v="LA0724"/>
        <s v="CL1114"/>
        <s v="LA0117"/>
        <s v="CL6865"/>
      </sharedItems>
    </cacheField>
    <cacheField name="Raw Semen (mls)" numFmtId="0">
      <sharedItems containsSemiMixedTypes="0" containsString="0" containsNumber="1" containsInteger="1" minValue="140" maxValue="54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">
  <r>
    <x v="0"/>
    <x v="0"/>
    <x v="0"/>
    <n v="250"/>
  </r>
  <r>
    <x v="0"/>
    <x v="0"/>
    <x v="1"/>
    <n v="152"/>
  </r>
  <r>
    <x v="0"/>
    <x v="0"/>
    <x v="2"/>
    <n v="310"/>
  </r>
  <r>
    <x v="0"/>
    <x v="1"/>
    <x v="3"/>
    <n v="326"/>
  </r>
  <r>
    <x v="0"/>
    <x v="1"/>
    <x v="4"/>
    <n v="434"/>
  </r>
  <r>
    <x v="1"/>
    <x v="0"/>
    <x v="0"/>
    <n v="546"/>
  </r>
  <r>
    <x v="1"/>
    <x v="0"/>
    <x v="1"/>
    <n v="264"/>
  </r>
  <r>
    <x v="1"/>
    <x v="1"/>
    <x v="2"/>
    <n v="262"/>
  </r>
  <r>
    <x v="1"/>
    <x v="2"/>
    <x v="3"/>
    <n v="201"/>
  </r>
  <r>
    <x v="1"/>
    <x v="1"/>
    <x v="4"/>
    <n v="176"/>
  </r>
  <r>
    <x v="2"/>
    <x v="0"/>
    <x v="0"/>
    <n v="203"/>
  </r>
  <r>
    <x v="2"/>
    <x v="2"/>
    <x v="1"/>
    <n v="168"/>
  </r>
  <r>
    <x v="2"/>
    <x v="1"/>
    <x v="2"/>
    <n v="310"/>
  </r>
  <r>
    <x v="2"/>
    <x v="1"/>
    <x v="3"/>
    <n v="142"/>
  </r>
  <r>
    <x v="2"/>
    <x v="0"/>
    <x v="4"/>
    <n v="434"/>
  </r>
  <r>
    <x v="3"/>
    <x v="2"/>
    <x v="0"/>
    <n v="321"/>
  </r>
  <r>
    <x v="3"/>
    <x v="0"/>
    <x v="1"/>
    <n v="338"/>
  </r>
  <r>
    <x v="3"/>
    <x v="1"/>
    <x v="2"/>
    <n v="332"/>
  </r>
  <r>
    <x v="3"/>
    <x v="1"/>
    <x v="3"/>
    <n v="274"/>
  </r>
  <r>
    <x v="3"/>
    <x v="0"/>
    <x v="4"/>
    <n v="330"/>
  </r>
  <r>
    <x v="4"/>
    <x v="0"/>
    <x v="0"/>
    <n v="184"/>
  </r>
  <r>
    <x v="4"/>
    <x v="0"/>
    <x v="1"/>
    <n v="234"/>
  </r>
  <r>
    <x v="4"/>
    <x v="1"/>
    <x v="2"/>
    <n v="302"/>
  </r>
  <r>
    <x v="4"/>
    <x v="0"/>
    <x v="3"/>
    <n v="206"/>
  </r>
  <r>
    <x v="5"/>
    <x v="0"/>
    <x v="0"/>
    <n v="184"/>
  </r>
  <r>
    <x v="5"/>
    <x v="1"/>
    <x v="1"/>
    <n v="292"/>
  </r>
  <r>
    <x v="5"/>
    <x v="1"/>
    <x v="2"/>
    <n v="302"/>
  </r>
  <r>
    <x v="5"/>
    <x v="2"/>
    <x v="3"/>
    <n v="140"/>
  </r>
  <r>
    <x v="5"/>
    <x v="1"/>
    <x v="4"/>
    <n v="296"/>
  </r>
  <r>
    <x v="5"/>
    <x v="0"/>
    <x v="5"/>
    <n v="200"/>
  </r>
  <r>
    <x v="6"/>
    <x v="1"/>
    <x v="0"/>
    <n v="242"/>
  </r>
  <r>
    <x v="6"/>
    <x v="1"/>
    <x v="1"/>
    <n v="318"/>
  </r>
  <r>
    <x v="6"/>
    <x v="2"/>
    <x v="2"/>
    <n v="148"/>
  </r>
  <r>
    <x v="6"/>
    <x v="1"/>
    <x v="4"/>
    <n v="302"/>
  </r>
  <r>
    <x v="6"/>
    <x v="0"/>
    <x v="5"/>
    <n v="2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EE424F-374C-4507-8CBC-A583CBCF90E2}" name="PivotTable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ollector" colHeaderCaption="Week number">
  <location ref="H15:P20" firstHeaderRow="1" firstDataRow="2" firstDataCol="1" rowPageCount="1" colPageCount="1"/>
  <pivotFields count="4">
    <pivotField axis="axisCol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Row" showAll="0">
      <items count="4">
        <item x="0"/>
        <item x="1"/>
        <item x="2"/>
        <item t="default"/>
      </items>
    </pivotField>
    <pivotField axis="axisPage" showAll="0">
      <items count="7">
        <item x="3"/>
        <item x="5"/>
        <item x="4"/>
        <item x="0"/>
        <item x="2"/>
        <item x="1"/>
        <item t="default"/>
      </items>
    </pivotField>
    <pivotField dataField="1"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0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1">
    <pageField fld="2" hier="-1"/>
  </pageFields>
  <dataFields count="1">
    <dataField name="Sum of Raw Semen (mls)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6671CC-37F7-44B9-B31F-1620E3DE420C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ollector" colHeaderCaption="Boar">
  <location ref="H3:O8" firstHeaderRow="1" firstDataRow="2" firstDataCol="1" rowPageCount="1" colPageCount="1"/>
  <pivotFields count="4">
    <pivotField axis="axisPage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Row" showAll="0">
      <items count="4">
        <item x="0"/>
        <item x="1"/>
        <item x="2"/>
        <item t="default"/>
      </items>
    </pivotField>
    <pivotField axis="axisCol" showAll="0">
      <items count="7">
        <item x="3"/>
        <item x="5"/>
        <item x="4"/>
        <item x="0"/>
        <item x="2"/>
        <item x="1"/>
        <item t="default"/>
      </items>
    </pivotField>
    <pivotField dataField="1"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2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pageFields count="1">
    <pageField fld="0" hier="-1"/>
  </pageFields>
  <dataFields count="1">
    <dataField name="Sum of Raw Semen (mls)" fld="3" baseField="0" baseItem="0"/>
  </dataFields>
  <formats count="3">
    <format dxfId="2">
      <pivotArea outline="0" collapsedLevelsAreSubtotals="1" fieldPosition="0"/>
    </format>
    <format dxfId="1">
      <pivotArea dataOnly="0" labelOnly="1" fieldPosition="0">
        <references count="1">
          <reference field="2" count="0"/>
        </references>
      </pivotArea>
    </format>
    <format dxfId="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349C09-F260-4278-839C-4F5F80AA9D9E}" name="PivotTable10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26:P34" firstHeaderRow="1" firstDataRow="2" firstDataCol="1" rowPageCount="1" colPageCount="1"/>
  <pivotFields count="4">
    <pivotField axis="axisCol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Page" showAll="0">
      <items count="4">
        <item x="0"/>
        <item x="1"/>
        <item x="2"/>
        <item t="default"/>
      </items>
    </pivotField>
    <pivotField axis="axisRow" showAll="0">
      <items count="7">
        <item x="3"/>
        <item x="5"/>
        <item x="4"/>
        <item x="0"/>
        <item x="2"/>
        <item x="1"/>
        <item t="default"/>
      </items>
    </pivotField>
    <pivotField dataField="1"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0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1">
    <pageField fld="1" hier="-1"/>
  </pageFields>
  <dataFields count="1">
    <dataField name="Sum of Raw Semen (mls)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D951C62-5486-4587-9D25-AA4611953C0D}" name="Table2" displayName="Table2" ref="A3:D7" totalsRowShown="0" headerRowCellStyle="Normal 6" dataCellStyle="Normal 6">
  <autoFilter ref="A3:D7" xr:uid="{BD951C62-5486-4587-9D25-AA4611953C0D}"/>
  <tableColumns count="4">
    <tableColumn id="1" xr3:uid="{AE144179-6DCE-441C-9E93-78E3CD08DA5B}" name="BASELINE (Weeks 1-7)" dataCellStyle="Normal 6"/>
    <tableColumn id="2" xr3:uid="{3584B344-D2EE-4E68-96D3-9163F40DE59C}" name="Column1" dataCellStyle="Normal 6"/>
    <tableColumn id="3" xr3:uid="{433347F3-88C7-4BA0-9F90-BA9756FE5094}" name="Column2" dataCellStyle="Normal 6"/>
    <tableColumn id="4" xr3:uid="{278626E7-64E6-4DFE-B491-49D66060F154}" name="Column3" dataCellStyle="Normal 6"/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91AFE66-43A1-4632-9B76-13E0EC33813E}" name="Table3" displayName="Table3" ref="A10:D12" totalsRowShown="0" headerRowCellStyle="Normal 6" dataCellStyle="Normal 6">
  <autoFilter ref="A10:D12" xr:uid="{691AFE66-43A1-4632-9B76-13E0EC33813E}"/>
  <tableColumns count="4">
    <tableColumn id="1" xr3:uid="{170CC6D8-D369-4099-9585-57825BE75DDE}" name="Scenario" dataCellStyle="Normal 6"/>
    <tableColumn id="2" xr3:uid="{17207E4E-2646-4791-97C5-2F1831F965F7}" name="Collections" dataCellStyle="Normal 6"/>
    <tableColumn id="3" xr3:uid="{9D11FD87-D89F-46AD-A3DF-C4FA481A5043}" name="Total Gain" dataCellStyle="Normal 6"/>
    <tableColumn id="4" xr3:uid="{04203225-9FBF-4BE5-A538-556EF5F7D22C}" name="% Improvement" dataCellStyle="Normal 6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Y48"/>
  <sheetViews>
    <sheetView workbookViewId="0">
      <selection activeCell="F23" sqref="F23"/>
    </sheetView>
  </sheetViews>
  <sheetFormatPr defaultColWidth="9.109375" defaultRowHeight="14.4" x14ac:dyDescent="0.3"/>
  <cols>
    <col min="1" max="2" width="9.109375" style="28"/>
    <col min="3" max="3" width="11.109375" style="28" customWidth="1"/>
    <col min="4" max="4" width="15.44140625" style="28" customWidth="1"/>
    <col min="5" max="5" width="12" style="28" customWidth="1"/>
    <col min="6" max="6" width="17.109375" style="39" customWidth="1"/>
    <col min="7" max="7" width="13.33203125" style="28" customWidth="1"/>
    <col min="8" max="8" width="11.44140625" style="28" customWidth="1"/>
    <col min="9" max="9" width="17.33203125" style="28" customWidth="1"/>
    <col min="10" max="10" width="11.6640625" style="28" customWidth="1"/>
    <col min="11" max="11" width="16.109375" style="28" customWidth="1"/>
    <col min="12" max="12" width="13.5546875" style="28" customWidth="1"/>
    <col min="13" max="13" width="9.109375" style="28"/>
    <col min="14" max="14" width="9.109375" style="28" customWidth="1"/>
    <col min="15" max="19" width="9.109375" style="28"/>
    <col min="20" max="20" width="14.33203125" style="28" customWidth="1"/>
    <col min="21" max="21" width="14.6640625" style="28" customWidth="1"/>
    <col min="22" max="24" width="9.109375" style="28"/>
    <col min="25" max="25" width="9.5546875" style="28" customWidth="1"/>
    <col min="26" max="16384" width="9.109375" style="28"/>
  </cols>
  <sheetData>
    <row r="1" spans="1:25" ht="45" customHeight="1" x14ac:dyDescent="0.35">
      <c r="A1" s="185" t="s">
        <v>0</v>
      </c>
      <c r="B1" s="187" t="s">
        <v>1</v>
      </c>
      <c r="C1" s="189" t="s">
        <v>2</v>
      </c>
      <c r="D1" s="191" t="s">
        <v>3</v>
      </c>
      <c r="E1" s="193" t="s">
        <v>4</v>
      </c>
      <c r="F1" s="179" t="s">
        <v>5</v>
      </c>
      <c r="G1" s="195" t="s">
        <v>6</v>
      </c>
      <c r="H1" s="92" t="s">
        <v>7</v>
      </c>
      <c r="I1" s="195" t="s">
        <v>8</v>
      </c>
      <c r="J1" s="196" t="s">
        <v>9</v>
      </c>
      <c r="K1" s="187" t="s">
        <v>10</v>
      </c>
      <c r="L1" s="187" t="s">
        <v>11</v>
      </c>
      <c r="M1" s="94"/>
      <c r="N1" s="182" t="s">
        <v>12</v>
      </c>
      <c r="O1" s="182"/>
      <c r="P1" s="182"/>
      <c r="Q1" s="182"/>
      <c r="R1" s="182"/>
      <c r="S1" s="182"/>
      <c r="Y1" s="29">
        <v>45677</v>
      </c>
    </row>
    <row r="2" spans="1:25" ht="17.100000000000001" customHeight="1" x14ac:dyDescent="0.3">
      <c r="A2" s="186"/>
      <c r="B2" s="188"/>
      <c r="C2" s="190"/>
      <c r="D2" s="192"/>
      <c r="E2" s="194"/>
      <c r="F2" s="180"/>
      <c r="G2" s="180"/>
      <c r="H2" s="95"/>
      <c r="I2" s="180"/>
      <c r="J2" s="197"/>
      <c r="K2" s="188"/>
      <c r="L2" s="188"/>
      <c r="M2" s="94"/>
      <c r="N2" s="96" t="s">
        <v>13</v>
      </c>
      <c r="O2" s="97" t="s">
        <v>13</v>
      </c>
      <c r="P2" s="98" t="s">
        <v>13</v>
      </c>
      <c r="Q2" s="96" t="s">
        <v>14</v>
      </c>
      <c r="R2" s="97" t="s">
        <v>14</v>
      </c>
      <c r="S2" s="98" t="s">
        <v>14</v>
      </c>
      <c r="T2" s="94"/>
      <c r="U2" s="94"/>
    </row>
    <row r="3" spans="1:25" ht="17.100000000000001" customHeight="1" x14ac:dyDescent="0.3">
      <c r="A3" s="30" t="s">
        <v>15</v>
      </c>
      <c r="B3" s="50" t="s">
        <v>16</v>
      </c>
      <c r="C3" s="31">
        <v>114</v>
      </c>
      <c r="D3" s="99" t="s">
        <v>17</v>
      </c>
      <c r="E3" s="81">
        <v>1</v>
      </c>
      <c r="F3" s="93">
        <v>250</v>
      </c>
      <c r="G3" s="100">
        <v>41</v>
      </c>
      <c r="H3" s="100">
        <f t="shared" ref="H3:H8" si="0">RANK(G3,$G$3:$G$10)</f>
        <v>3</v>
      </c>
      <c r="I3" s="101">
        <v>89</v>
      </c>
      <c r="J3" s="32">
        <f>RANK(I3,$I$3:$I$10)+COUNTIF(I3:$I$3,I3)-1</f>
        <v>1</v>
      </c>
      <c r="K3" s="102">
        <f t="shared" ref="K3:K8" si="1">(E3+J3)/2</f>
        <v>1</v>
      </c>
      <c r="L3" s="102">
        <f>RANK(K3,$K$3:$K$10,1)+COUNTIF(K3:$K$6,K3)-1</f>
        <v>1</v>
      </c>
      <c r="M3" s="94"/>
      <c r="N3" s="103" t="s">
        <v>18</v>
      </c>
      <c r="O3" s="104" t="s">
        <v>19</v>
      </c>
      <c r="P3" s="105" t="s">
        <v>20</v>
      </c>
      <c r="Q3" s="103" t="s">
        <v>18</v>
      </c>
      <c r="R3" s="104" t="s">
        <v>19</v>
      </c>
      <c r="S3" s="106" t="s">
        <v>20</v>
      </c>
      <c r="T3" s="94"/>
      <c r="U3" s="94"/>
    </row>
    <row r="4" spans="1:25" ht="17.100000000000001" customHeight="1" x14ac:dyDescent="0.3">
      <c r="A4" s="33" t="s">
        <v>15</v>
      </c>
      <c r="B4" s="52" t="s">
        <v>21</v>
      </c>
      <c r="C4" s="31">
        <v>108</v>
      </c>
      <c r="D4" s="94" t="s">
        <v>22</v>
      </c>
      <c r="E4" s="82">
        <v>2</v>
      </c>
      <c r="F4" s="107">
        <v>152</v>
      </c>
      <c r="G4" s="94">
        <v>34</v>
      </c>
      <c r="H4" s="108">
        <f t="shared" si="0"/>
        <v>5</v>
      </c>
      <c r="I4" s="94">
        <v>88</v>
      </c>
      <c r="J4" s="34">
        <f>RANK(I4,$I$3:$I$10)+COUNTIF(I$3:$I4,I4)-1</f>
        <v>3</v>
      </c>
      <c r="K4" s="109">
        <f t="shared" si="1"/>
        <v>2.5</v>
      </c>
      <c r="L4" s="109">
        <f>RANK(K4,$K$3:$K$10,1)+COUNTIF(K4:$K$6,K4)-1</f>
        <v>3</v>
      </c>
      <c r="M4" s="94"/>
      <c r="N4" s="48">
        <v>50</v>
      </c>
      <c r="O4" s="110">
        <v>120</v>
      </c>
      <c r="P4" s="111">
        <v>127</v>
      </c>
      <c r="Q4" s="49">
        <v>20</v>
      </c>
      <c r="R4" s="112">
        <v>30</v>
      </c>
      <c r="S4" s="113">
        <v>48</v>
      </c>
      <c r="T4" s="183" t="s">
        <v>23</v>
      </c>
      <c r="U4" s="184"/>
    </row>
    <row r="5" spans="1:25" ht="17.100000000000001" customHeight="1" x14ac:dyDescent="0.3">
      <c r="A5" s="33" t="s">
        <v>15</v>
      </c>
      <c r="B5" s="51" t="s">
        <v>24</v>
      </c>
      <c r="C5" s="31">
        <v>108</v>
      </c>
      <c r="D5" s="94" t="s">
        <v>22</v>
      </c>
      <c r="E5" s="82">
        <v>3</v>
      </c>
      <c r="F5" s="107">
        <v>310</v>
      </c>
      <c r="G5" s="94">
        <v>37</v>
      </c>
      <c r="H5" s="108">
        <f t="shared" si="0"/>
        <v>4</v>
      </c>
      <c r="I5" s="94">
        <v>89</v>
      </c>
      <c r="J5" s="34">
        <f>RANK(I5,$I$3:$I$10)+COUNTIF(I$3:$I5,I5)-1</f>
        <v>2</v>
      </c>
      <c r="K5" s="109">
        <f t="shared" si="1"/>
        <v>2.5</v>
      </c>
      <c r="L5" s="109">
        <f>RANK(K5,$K$3:$K$10,1)+COUNTIF(K5:$K$6,K5)-1</f>
        <v>2</v>
      </c>
      <c r="M5" s="94"/>
      <c r="T5" s="115" t="s">
        <v>25</v>
      </c>
      <c r="U5" s="116" t="s">
        <v>26</v>
      </c>
    </row>
    <row r="6" spans="1:25" x14ac:dyDescent="0.3">
      <c r="A6" s="33" t="s">
        <v>27</v>
      </c>
      <c r="B6" s="52" t="s">
        <v>28</v>
      </c>
      <c r="C6" s="31">
        <v>92</v>
      </c>
      <c r="D6" s="94" t="s">
        <v>29</v>
      </c>
      <c r="E6" s="82">
        <v>4</v>
      </c>
      <c r="F6" s="107">
        <v>326</v>
      </c>
      <c r="G6" s="94">
        <v>14</v>
      </c>
      <c r="H6" s="108">
        <f t="shared" si="0"/>
        <v>6</v>
      </c>
      <c r="I6" s="108">
        <v>87</v>
      </c>
      <c r="J6" s="34">
        <f>RANK(I6,$I$3:$I$10)+COUNTIF(I$3:$I6,I6)-1</f>
        <v>5</v>
      </c>
      <c r="K6" s="109">
        <f t="shared" si="1"/>
        <v>4.5</v>
      </c>
      <c r="L6" s="109">
        <f>RANK(K6,$K$3:$K$10,1)+COUNTIF(K6:$K$6,K6)-1</f>
        <v>4</v>
      </c>
      <c r="M6" s="94"/>
      <c r="T6" s="117">
        <f>O4+R4</f>
        <v>150</v>
      </c>
      <c r="U6" s="118">
        <f>P4+S4</f>
        <v>175</v>
      </c>
    </row>
    <row r="7" spans="1:25" x14ac:dyDescent="0.3">
      <c r="A7" s="35" t="s">
        <v>27</v>
      </c>
      <c r="B7" s="51" t="s">
        <v>30</v>
      </c>
      <c r="C7" s="31">
        <v>85</v>
      </c>
      <c r="D7" s="94" t="s">
        <v>29</v>
      </c>
      <c r="E7" s="82">
        <v>5</v>
      </c>
      <c r="F7" s="107">
        <v>434</v>
      </c>
      <c r="G7" s="94">
        <v>49</v>
      </c>
      <c r="H7" s="108">
        <f t="shared" si="0"/>
        <v>1</v>
      </c>
      <c r="I7" s="94">
        <v>87</v>
      </c>
      <c r="J7" s="34">
        <f>RANK(I7,$I$3:$I$10)+COUNTIF(I$3:$I7,I7)-1</f>
        <v>6</v>
      </c>
      <c r="K7" s="109">
        <f t="shared" si="1"/>
        <v>5.5</v>
      </c>
      <c r="L7" s="109">
        <f>RANK(K7,$K$3:$K$10,1)+COUNTIF(K$6:$K7,K7)-1</f>
        <v>6</v>
      </c>
      <c r="M7" s="94"/>
    </row>
    <row r="8" spans="1:25" x14ac:dyDescent="0.3">
      <c r="A8" s="108"/>
      <c r="B8" s="108" t="s">
        <v>31</v>
      </c>
      <c r="C8" s="31">
        <v>85</v>
      </c>
      <c r="D8" s="94" t="s">
        <v>29</v>
      </c>
      <c r="E8" s="82">
        <v>6</v>
      </c>
      <c r="F8" s="108">
        <v>321</v>
      </c>
      <c r="G8" s="94">
        <v>47</v>
      </c>
      <c r="H8" s="108">
        <f t="shared" si="0"/>
        <v>2</v>
      </c>
      <c r="I8" s="119">
        <v>88</v>
      </c>
      <c r="J8" s="108">
        <f>RANK(I8,$I$3:$I$10)+COUNTIF(I$3:$I8,I8)-1</f>
        <v>4</v>
      </c>
      <c r="K8" s="109">
        <f t="shared" si="1"/>
        <v>5</v>
      </c>
      <c r="L8" s="109">
        <f>RANK(K8,$K$3:$K$10,1)+COUNTIF(K$6:$K8,K8)-1</f>
        <v>5</v>
      </c>
      <c r="M8" s="94"/>
    </row>
    <row r="9" spans="1:25" x14ac:dyDescent="0.3">
      <c r="A9" s="41"/>
      <c r="B9" s="41" t="s">
        <v>32</v>
      </c>
      <c r="C9" s="41">
        <v>83</v>
      </c>
      <c r="D9" s="44" t="s">
        <v>29</v>
      </c>
      <c r="E9" s="41">
        <v>7</v>
      </c>
      <c r="F9" s="41"/>
      <c r="G9" s="44"/>
      <c r="H9" s="41"/>
      <c r="I9" s="45"/>
      <c r="J9" s="41" t="e">
        <f>RANK(I9,$I$3:$I$10)+COUNTIF(I$6:$I9,I9)-1</f>
        <v>#N/A</v>
      </c>
      <c r="K9" s="46"/>
      <c r="L9" s="47"/>
      <c r="M9" s="94"/>
    </row>
    <row r="10" spans="1:25" x14ac:dyDescent="0.3">
      <c r="A10" s="36"/>
      <c r="B10" s="120"/>
      <c r="C10" s="37"/>
      <c r="D10" s="112"/>
      <c r="E10" s="37"/>
      <c r="F10" s="120"/>
      <c r="G10" s="112"/>
      <c r="H10" s="120"/>
      <c r="I10" s="114"/>
      <c r="J10" s="38"/>
      <c r="K10" s="121"/>
      <c r="L10" s="121"/>
      <c r="M10" s="94"/>
      <c r="N10" s="94"/>
    </row>
    <row r="11" spans="1:25" x14ac:dyDescent="0.3">
      <c r="B11" s="122" t="s">
        <v>33</v>
      </c>
      <c r="C11" s="122" t="s">
        <v>34</v>
      </c>
      <c r="D11" s="122"/>
      <c r="F11" s="94"/>
      <c r="G11" s="94"/>
      <c r="H11" s="94"/>
      <c r="I11" s="94"/>
      <c r="J11" s="94"/>
      <c r="K11" s="94"/>
      <c r="L11" s="94"/>
      <c r="M11" s="94"/>
      <c r="N11" s="94"/>
    </row>
    <row r="12" spans="1:25" x14ac:dyDescent="0.3">
      <c r="B12" s="122" t="s">
        <v>35</v>
      </c>
      <c r="C12" t="s">
        <v>36</v>
      </c>
      <c r="D12" s="122"/>
      <c r="F12" s="123"/>
      <c r="G12" s="94"/>
      <c r="H12" s="94"/>
      <c r="I12" s="94"/>
      <c r="J12" s="94"/>
      <c r="K12" s="94"/>
      <c r="L12" s="94"/>
      <c r="M12" s="94"/>
      <c r="N12" s="94"/>
    </row>
    <row r="13" spans="1:25" x14ac:dyDescent="0.3">
      <c r="B13" s="1" t="s">
        <v>33</v>
      </c>
      <c r="C13" s="27" t="s">
        <v>34</v>
      </c>
      <c r="D13" s="122"/>
      <c r="F13" s="94"/>
      <c r="G13" s="94"/>
      <c r="H13" s="94"/>
      <c r="I13" s="94"/>
      <c r="J13" s="94"/>
      <c r="K13" s="94"/>
      <c r="L13" s="94"/>
      <c r="M13" s="94"/>
    </row>
    <row r="14" spans="1:25" x14ac:dyDescent="0.3">
      <c r="B14" s="2"/>
      <c r="C14" s="2"/>
      <c r="D14" s="2"/>
      <c r="E14" s="2"/>
      <c r="F14" s="94"/>
      <c r="G14" s="94"/>
      <c r="H14" s="94"/>
      <c r="I14" s="94"/>
      <c r="J14" s="94"/>
      <c r="K14" s="94"/>
      <c r="L14" s="94"/>
      <c r="M14" s="94"/>
    </row>
    <row r="15" spans="1:25" ht="15" customHeight="1" x14ac:dyDescent="0.3">
      <c r="B15" s="44"/>
      <c r="C15" s="181" t="s">
        <v>37</v>
      </c>
      <c r="D15" s="181"/>
      <c r="E15" s="181"/>
      <c r="F15" s="181"/>
      <c r="G15" s="94"/>
      <c r="H15" s="94"/>
      <c r="I15" s="94"/>
      <c r="J15" s="94"/>
      <c r="K15" s="94"/>
      <c r="L15" s="94"/>
      <c r="M15" s="94"/>
    </row>
    <row r="16" spans="1:25" x14ac:dyDescent="0.3">
      <c r="B16" s="94"/>
      <c r="C16" s="94"/>
      <c r="D16" s="94"/>
      <c r="E16" s="94"/>
      <c r="F16" s="94"/>
      <c r="G16" s="94"/>
      <c r="H16" s="94"/>
      <c r="I16" s="94"/>
      <c r="J16" s="94"/>
      <c r="K16" s="94"/>
      <c r="L16" s="94"/>
      <c r="M16" s="94"/>
    </row>
    <row r="17" spans="2:14" x14ac:dyDescent="0.3">
      <c r="B17" s="94"/>
      <c r="C17" s="94"/>
      <c r="D17" s="94"/>
      <c r="E17" s="94"/>
      <c r="F17" s="94"/>
      <c r="G17" s="94"/>
      <c r="H17" s="94"/>
      <c r="I17" s="94"/>
      <c r="J17" s="94"/>
      <c r="K17" s="94"/>
      <c r="L17" s="94"/>
      <c r="M17" s="94"/>
    </row>
    <row r="18" spans="2:14" x14ac:dyDescent="0.3">
      <c r="B18" s="94"/>
      <c r="C18" s="94"/>
      <c r="D18" s="94"/>
      <c r="E18" s="94"/>
      <c r="F18" s="94"/>
      <c r="G18" s="94"/>
      <c r="H18" s="94"/>
      <c r="I18" s="94"/>
      <c r="J18" s="94"/>
      <c r="K18" s="94"/>
      <c r="L18" s="94"/>
      <c r="M18" s="94"/>
    </row>
    <row r="19" spans="2:14" x14ac:dyDescent="0.3">
      <c r="B19" s="94"/>
      <c r="C19" s="94"/>
      <c r="D19" s="94"/>
      <c r="E19" s="94"/>
      <c r="F19" s="94"/>
      <c r="G19" s="94"/>
      <c r="H19" s="94"/>
      <c r="I19" s="94"/>
      <c r="J19" s="94"/>
      <c r="K19" s="94"/>
      <c r="L19" s="94"/>
      <c r="M19" s="94"/>
    </row>
    <row r="20" spans="2:14" x14ac:dyDescent="0.3">
      <c r="B20" s="94"/>
      <c r="C20" s="94"/>
      <c r="D20" s="94"/>
      <c r="E20" s="94"/>
      <c r="F20" s="94"/>
      <c r="G20" s="94"/>
      <c r="H20" s="94"/>
      <c r="I20" s="94"/>
      <c r="J20" s="94"/>
      <c r="K20" s="94"/>
      <c r="L20" s="94"/>
      <c r="M20" s="94"/>
    </row>
    <row r="21" spans="2:14" x14ac:dyDescent="0.3">
      <c r="B21" s="94"/>
      <c r="C21" s="94"/>
      <c r="D21" s="94"/>
      <c r="E21" s="94"/>
      <c r="F21" s="94"/>
      <c r="G21" s="94"/>
      <c r="H21" s="94"/>
      <c r="I21" s="94"/>
      <c r="J21" s="94"/>
      <c r="K21" s="94"/>
      <c r="L21" s="94"/>
      <c r="M21" s="94"/>
    </row>
    <row r="22" spans="2:14" x14ac:dyDescent="0.3">
      <c r="B22" s="94"/>
      <c r="C22" s="94"/>
      <c r="D22" s="94"/>
      <c r="E22" s="94"/>
      <c r="F22" s="94"/>
      <c r="G22" s="94"/>
      <c r="H22" s="94"/>
      <c r="I22" s="94"/>
      <c r="J22" s="94"/>
      <c r="K22" s="94"/>
      <c r="L22" s="94"/>
      <c r="M22" s="94"/>
    </row>
    <row r="23" spans="2:14" x14ac:dyDescent="0.3">
      <c r="B23" s="94"/>
      <c r="C23" s="94"/>
      <c r="D23" s="94"/>
      <c r="E23" s="94"/>
      <c r="F23" s="94"/>
      <c r="G23" s="94"/>
      <c r="H23" s="94"/>
      <c r="I23" s="94"/>
      <c r="J23" s="94"/>
      <c r="K23" s="94"/>
      <c r="L23" s="94"/>
      <c r="M23" s="94"/>
    </row>
    <row r="24" spans="2:14" x14ac:dyDescent="0.3">
      <c r="B24" s="94"/>
      <c r="C24" s="94"/>
      <c r="D24" s="94"/>
      <c r="E24" s="94"/>
      <c r="F24" s="94"/>
      <c r="G24" s="94"/>
      <c r="H24" s="94"/>
      <c r="I24" s="94"/>
      <c r="J24" s="94"/>
      <c r="K24" s="94"/>
      <c r="L24" s="94"/>
      <c r="M24" s="94"/>
    </row>
    <row r="25" spans="2:14" x14ac:dyDescent="0.3">
      <c r="B25" s="94"/>
      <c r="C25" s="94"/>
      <c r="D25" s="94"/>
      <c r="E25" s="94"/>
      <c r="F25" s="94"/>
      <c r="G25" s="94"/>
      <c r="H25" s="94"/>
      <c r="I25" s="94"/>
      <c r="J25" s="94"/>
      <c r="K25" s="94"/>
      <c r="L25" s="94"/>
      <c r="M25" s="94"/>
      <c r="N25" s="94"/>
    </row>
    <row r="26" spans="2:14" x14ac:dyDescent="0.3">
      <c r="B26" s="94"/>
      <c r="C26" s="94"/>
      <c r="D26" s="94"/>
      <c r="E26" s="94"/>
      <c r="F26" s="94"/>
      <c r="G26" s="94"/>
      <c r="H26" s="94"/>
      <c r="I26" s="94"/>
      <c r="J26" s="94"/>
      <c r="K26" s="94"/>
      <c r="L26" s="94"/>
      <c r="M26" s="94"/>
      <c r="N26" s="94"/>
    </row>
    <row r="27" spans="2:14" x14ac:dyDescent="0.3">
      <c r="B27" s="94"/>
      <c r="C27" s="94"/>
      <c r="D27" s="94"/>
      <c r="E27" s="94"/>
      <c r="F27" s="94"/>
      <c r="G27" s="94"/>
      <c r="H27" s="94"/>
      <c r="I27" s="94"/>
      <c r="J27" s="94"/>
      <c r="K27" s="94"/>
      <c r="L27" s="94"/>
      <c r="M27" s="94"/>
      <c r="N27" s="94"/>
    </row>
    <row r="28" spans="2:14" x14ac:dyDescent="0.3">
      <c r="B28" s="94"/>
      <c r="C28" s="94"/>
      <c r="D28" s="94"/>
      <c r="E28" s="94"/>
      <c r="F28" s="94"/>
      <c r="G28" s="94"/>
      <c r="H28" s="94"/>
      <c r="I28" s="94"/>
      <c r="J28" s="94"/>
      <c r="K28" s="94"/>
      <c r="L28" s="94"/>
      <c r="M28" s="94"/>
      <c r="N28" s="94"/>
    </row>
    <row r="29" spans="2:14" x14ac:dyDescent="0.3">
      <c r="B29" s="94"/>
      <c r="C29" s="94"/>
      <c r="D29" s="94"/>
      <c r="E29" s="94"/>
      <c r="F29" s="94"/>
      <c r="G29" s="94"/>
      <c r="H29" s="94"/>
      <c r="I29" s="94"/>
      <c r="J29" s="94"/>
      <c r="K29" s="94"/>
      <c r="L29" s="94"/>
      <c r="M29" s="94"/>
      <c r="N29" s="94"/>
    </row>
    <row r="30" spans="2:14" x14ac:dyDescent="0.3">
      <c r="B30" s="94"/>
      <c r="C30" s="94"/>
      <c r="D30" s="94"/>
      <c r="E30" s="94"/>
      <c r="F30" s="94"/>
      <c r="G30" s="94"/>
      <c r="H30" s="94"/>
      <c r="I30" s="94"/>
      <c r="J30" s="94"/>
      <c r="K30" s="94"/>
      <c r="L30" s="94"/>
      <c r="M30" s="94"/>
      <c r="N30" s="94"/>
    </row>
    <row r="31" spans="2:14" x14ac:dyDescent="0.3">
      <c r="B31" s="94"/>
      <c r="C31" s="94"/>
      <c r="D31" s="94"/>
      <c r="E31" s="94"/>
      <c r="F31" s="94"/>
      <c r="G31" s="94"/>
      <c r="H31" s="94"/>
      <c r="I31" s="94"/>
      <c r="J31" s="94"/>
      <c r="K31" s="94"/>
      <c r="L31" s="94"/>
      <c r="M31" s="94"/>
      <c r="N31" s="94"/>
    </row>
    <row r="32" spans="2:14" x14ac:dyDescent="0.3">
      <c r="B32" s="94"/>
      <c r="C32" s="94"/>
      <c r="D32" s="94"/>
      <c r="E32" s="94"/>
      <c r="F32" s="94"/>
      <c r="G32" s="94"/>
      <c r="H32" s="94"/>
      <c r="I32" s="94"/>
      <c r="J32" s="94"/>
      <c r="K32" s="94"/>
      <c r="L32" s="94"/>
      <c r="M32" s="94"/>
      <c r="N32" s="94"/>
    </row>
    <row r="33" spans="2:14" x14ac:dyDescent="0.3">
      <c r="B33" s="94"/>
      <c r="C33" s="94"/>
      <c r="D33" s="94"/>
      <c r="E33" s="94"/>
      <c r="F33" s="94"/>
      <c r="G33" s="94"/>
      <c r="H33" s="94"/>
      <c r="I33" s="94"/>
      <c r="J33" s="94"/>
      <c r="K33" s="94"/>
      <c r="L33" s="94"/>
      <c r="M33" s="94"/>
      <c r="N33" s="94"/>
    </row>
    <row r="34" spans="2:14" x14ac:dyDescent="0.3">
      <c r="B34" s="94"/>
      <c r="C34" s="94"/>
      <c r="D34" s="94"/>
      <c r="E34" s="94"/>
      <c r="F34" s="94"/>
      <c r="G34" s="94"/>
      <c r="H34" s="94"/>
      <c r="I34" s="94"/>
      <c r="J34" s="94"/>
      <c r="K34" s="94"/>
      <c r="L34" s="94"/>
      <c r="M34" s="94"/>
      <c r="N34" s="94"/>
    </row>
    <row r="35" spans="2:14" x14ac:dyDescent="0.3">
      <c r="B35" s="94"/>
      <c r="C35" s="94"/>
      <c r="D35" s="94"/>
      <c r="E35" s="94"/>
      <c r="F35" s="94"/>
      <c r="G35" s="94"/>
      <c r="H35" s="94"/>
      <c r="I35" s="94"/>
      <c r="J35" s="94"/>
      <c r="K35" s="94"/>
      <c r="L35" s="94"/>
      <c r="M35" s="94"/>
      <c r="N35" s="94"/>
    </row>
    <row r="36" spans="2:14" x14ac:dyDescent="0.3">
      <c r="B36" s="94"/>
      <c r="C36" s="94"/>
      <c r="D36" s="94"/>
      <c r="E36" s="94"/>
      <c r="F36" s="94"/>
      <c r="G36" s="94"/>
      <c r="H36" s="94"/>
      <c r="I36" s="94"/>
      <c r="J36" s="94"/>
      <c r="K36" s="94"/>
      <c r="L36" s="94"/>
      <c r="M36" s="94"/>
      <c r="N36" s="94"/>
    </row>
    <row r="37" spans="2:14" x14ac:dyDescent="0.3">
      <c r="B37" s="94"/>
      <c r="C37" s="94"/>
      <c r="D37" s="94"/>
      <c r="E37" s="94"/>
      <c r="F37" s="94"/>
      <c r="G37" s="94"/>
      <c r="H37" s="94"/>
      <c r="I37" s="94"/>
      <c r="J37" s="94"/>
      <c r="K37" s="94"/>
      <c r="L37" s="94"/>
      <c r="M37" s="94"/>
      <c r="N37" s="94"/>
    </row>
    <row r="38" spans="2:14" x14ac:dyDescent="0.3">
      <c r="B38" s="94"/>
      <c r="C38" s="94"/>
      <c r="D38" s="94"/>
      <c r="E38" s="94"/>
      <c r="F38" s="94"/>
      <c r="G38" s="94"/>
      <c r="H38" s="94"/>
      <c r="I38" s="94"/>
      <c r="J38" s="94"/>
      <c r="K38" s="94"/>
      <c r="L38" s="94"/>
      <c r="M38" s="94"/>
      <c r="N38" s="94"/>
    </row>
    <row r="39" spans="2:14" x14ac:dyDescent="0.3">
      <c r="B39" s="94"/>
      <c r="C39" s="94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</row>
    <row r="40" spans="2:14" x14ac:dyDescent="0.3">
      <c r="B40" s="94"/>
      <c r="C40" s="94"/>
      <c r="D40" s="94"/>
      <c r="E40" s="94"/>
      <c r="F40" s="94"/>
      <c r="G40" s="94"/>
      <c r="H40" s="94"/>
      <c r="I40" s="94"/>
      <c r="J40" s="94"/>
      <c r="K40" s="94"/>
      <c r="L40" s="94"/>
      <c r="M40" s="94"/>
      <c r="N40" s="94"/>
    </row>
    <row r="41" spans="2:14" x14ac:dyDescent="0.3">
      <c r="B41" s="94"/>
      <c r="C41" s="94"/>
      <c r="D41" s="94"/>
      <c r="E41" s="94"/>
      <c r="F41" s="94"/>
      <c r="G41" s="94"/>
      <c r="H41" s="94"/>
      <c r="I41" s="94"/>
      <c r="J41" s="94"/>
      <c r="K41" s="94"/>
      <c r="L41" s="94"/>
      <c r="M41" s="94"/>
      <c r="N41" s="94"/>
    </row>
    <row r="42" spans="2:14" x14ac:dyDescent="0.3">
      <c r="B42" s="94"/>
      <c r="C42" s="94"/>
      <c r="D42" s="94"/>
      <c r="E42" s="94"/>
      <c r="F42" s="94"/>
      <c r="G42" s="94"/>
      <c r="H42" s="94"/>
      <c r="I42" s="94"/>
      <c r="J42" s="94"/>
      <c r="K42" s="94"/>
      <c r="L42" s="94"/>
      <c r="M42" s="94"/>
      <c r="N42" s="94"/>
    </row>
    <row r="43" spans="2:14" x14ac:dyDescent="0.3">
      <c r="F43" s="123"/>
      <c r="L43" s="94"/>
    </row>
    <row r="44" spans="2:14" x14ac:dyDescent="0.3">
      <c r="F44" s="123"/>
      <c r="L44" s="94"/>
    </row>
    <row r="45" spans="2:14" x14ac:dyDescent="0.3">
      <c r="F45" s="123"/>
      <c r="L45" s="94"/>
    </row>
    <row r="46" spans="2:14" x14ac:dyDescent="0.3">
      <c r="F46" s="123"/>
      <c r="L46" s="94"/>
    </row>
    <row r="47" spans="2:14" x14ac:dyDescent="0.3">
      <c r="F47" s="123"/>
      <c r="L47" s="94"/>
    </row>
    <row r="48" spans="2:14" x14ac:dyDescent="0.3">
      <c r="F48" s="123"/>
      <c r="L48" s="94"/>
    </row>
  </sheetData>
  <mergeCells count="14">
    <mergeCell ref="F1:F2"/>
    <mergeCell ref="C15:F15"/>
    <mergeCell ref="N1:S1"/>
    <mergeCell ref="T4:U4"/>
    <mergeCell ref="A1:A2"/>
    <mergeCell ref="B1:B2"/>
    <mergeCell ref="C1:C2"/>
    <mergeCell ref="D1:D2"/>
    <mergeCell ref="E1:E2"/>
    <mergeCell ref="G1:G2"/>
    <mergeCell ref="I1:I2"/>
    <mergeCell ref="J1:J2"/>
    <mergeCell ref="K1:K2"/>
    <mergeCell ref="L1:L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Y48"/>
  <sheetViews>
    <sheetView workbookViewId="0">
      <selection activeCell="I3" sqref="I3:I8"/>
    </sheetView>
  </sheetViews>
  <sheetFormatPr defaultColWidth="9.109375" defaultRowHeight="14.4" x14ac:dyDescent="0.3"/>
  <cols>
    <col min="1" max="2" width="9.109375" style="28"/>
    <col min="3" max="3" width="11.109375" style="28" customWidth="1"/>
    <col min="4" max="4" width="15.44140625" style="28" customWidth="1"/>
    <col min="5" max="5" width="12" style="28" customWidth="1"/>
    <col min="6" max="6" width="17.109375" style="39" customWidth="1"/>
    <col min="7" max="7" width="13.33203125" style="28" customWidth="1"/>
    <col min="8" max="8" width="11.44140625" style="28" customWidth="1"/>
    <col min="9" max="9" width="17.33203125" style="28" customWidth="1"/>
    <col min="10" max="10" width="11.6640625" style="28" customWidth="1"/>
    <col min="11" max="11" width="16.109375" style="28" customWidth="1"/>
    <col min="12" max="12" width="13.5546875" style="28" customWidth="1"/>
    <col min="13" max="13" width="9.109375" style="28" customWidth="1"/>
    <col min="14" max="19" width="9.109375" style="28"/>
    <col min="20" max="20" width="14.33203125" style="28" customWidth="1"/>
    <col min="21" max="21" width="15.33203125" style="28" customWidth="1"/>
    <col min="22" max="24" width="9.109375" style="28"/>
    <col min="25" max="25" width="9.5546875" style="28" customWidth="1"/>
    <col min="26" max="16384" width="9.109375" style="28"/>
  </cols>
  <sheetData>
    <row r="1" spans="1:25" ht="45" customHeight="1" x14ac:dyDescent="0.35">
      <c r="A1" s="185" t="s">
        <v>0</v>
      </c>
      <c r="B1" s="187" t="s">
        <v>1</v>
      </c>
      <c r="C1" s="189" t="s">
        <v>2</v>
      </c>
      <c r="D1" s="191" t="s">
        <v>3</v>
      </c>
      <c r="E1" s="193" t="s">
        <v>4</v>
      </c>
      <c r="F1" s="179" t="s">
        <v>5</v>
      </c>
      <c r="G1" s="195" t="s">
        <v>6</v>
      </c>
      <c r="H1" s="92" t="s">
        <v>7</v>
      </c>
      <c r="I1" s="195" t="s">
        <v>8</v>
      </c>
      <c r="J1" s="196" t="s">
        <v>9</v>
      </c>
      <c r="K1" s="187" t="s">
        <v>10</v>
      </c>
      <c r="L1" s="187" t="s">
        <v>11</v>
      </c>
      <c r="M1" s="94"/>
      <c r="N1" s="182" t="s">
        <v>12</v>
      </c>
      <c r="O1" s="182"/>
      <c r="P1" s="182"/>
      <c r="Q1" s="182"/>
      <c r="R1" s="182"/>
      <c r="S1" s="182"/>
      <c r="Y1" s="29">
        <v>45677</v>
      </c>
    </row>
    <row r="2" spans="1:25" ht="17.100000000000001" customHeight="1" x14ac:dyDescent="0.3">
      <c r="A2" s="186"/>
      <c r="B2" s="188"/>
      <c r="C2" s="190"/>
      <c r="D2" s="192"/>
      <c r="E2" s="194"/>
      <c r="F2" s="180"/>
      <c r="G2" s="180"/>
      <c r="H2" s="95"/>
      <c r="I2" s="180"/>
      <c r="J2" s="197"/>
      <c r="K2" s="188"/>
      <c r="L2" s="188"/>
      <c r="M2" s="94"/>
      <c r="N2" s="96" t="s">
        <v>13</v>
      </c>
      <c r="O2" s="97" t="s">
        <v>13</v>
      </c>
      <c r="P2" s="98" t="s">
        <v>13</v>
      </c>
      <c r="Q2" s="96" t="s">
        <v>14</v>
      </c>
      <c r="R2" s="97" t="s">
        <v>14</v>
      </c>
      <c r="S2" s="98" t="s">
        <v>14</v>
      </c>
      <c r="T2" s="94"/>
      <c r="U2" s="94"/>
    </row>
    <row r="3" spans="1:25" ht="17.100000000000001" customHeight="1" x14ac:dyDescent="0.3">
      <c r="A3" s="30" t="s">
        <v>15</v>
      </c>
      <c r="B3" s="50" t="s">
        <v>16</v>
      </c>
      <c r="C3" s="31">
        <v>114</v>
      </c>
      <c r="D3" s="99" t="s">
        <v>17</v>
      </c>
      <c r="E3" s="81">
        <v>1</v>
      </c>
      <c r="F3" s="93">
        <v>546</v>
      </c>
      <c r="G3" s="100">
        <v>39</v>
      </c>
      <c r="H3" s="100">
        <f t="shared" ref="H3:H8" si="0">RANK(G3,$G$3:$G$10)</f>
        <v>3</v>
      </c>
      <c r="I3" s="101">
        <v>89</v>
      </c>
      <c r="J3" s="32">
        <f>RANK(I3,$I$3:$I$10)+COUNTIF(I3:$I$3,I3)-1</f>
        <v>1</v>
      </c>
      <c r="K3" s="102">
        <f t="shared" ref="K3:K8" si="1">(E3+J3)/2</f>
        <v>1</v>
      </c>
      <c r="L3" s="125">
        <f>RANK(K3,$K$3:$K$10,1)+COUNTIF(K3:$K$6,K3)-1</f>
        <v>1</v>
      </c>
      <c r="M3" s="94"/>
      <c r="N3" s="103" t="s">
        <v>18</v>
      </c>
      <c r="O3" s="104" t="s">
        <v>19</v>
      </c>
      <c r="P3" s="105" t="s">
        <v>20</v>
      </c>
      <c r="Q3" s="103" t="s">
        <v>18</v>
      </c>
      <c r="R3" s="104" t="s">
        <v>19</v>
      </c>
      <c r="S3" s="106" t="s">
        <v>20</v>
      </c>
      <c r="T3" s="94"/>
      <c r="U3" s="94"/>
    </row>
    <row r="4" spans="1:25" ht="17.100000000000001" customHeight="1" x14ac:dyDescent="0.3">
      <c r="A4" s="33" t="s">
        <v>15</v>
      </c>
      <c r="B4" s="52" t="s">
        <v>21</v>
      </c>
      <c r="C4" s="31">
        <v>108</v>
      </c>
      <c r="D4" s="94" t="s">
        <v>22</v>
      </c>
      <c r="E4" s="82">
        <v>2</v>
      </c>
      <c r="F4" s="107">
        <v>264</v>
      </c>
      <c r="G4" s="94">
        <v>30</v>
      </c>
      <c r="H4" s="108">
        <f t="shared" si="0"/>
        <v>4</v>
      </c>
      <c r="I4" s="94">
        <v>87</v>
      </c>
      <c r="J4" s="34">
        <f>RANK(I4,$I$3:$I$10)+COUNTIF(I$3:$I4,I4)-1</f>
        <v>6</v>
      </c>
      <c r="K4" s="109">
        <f t="shared" si="1"/>
        <v>4</v>
      </c>
      <c r="L4" s="126">
        <f>RANK(K4,$K$3:$K$10,1)+COUNTIF(K4:$K$6,K4)-1</f>
        <v>5</v>
      </c>
      <c r="M4" s="94"/>
      <c r="N4" s="48">
        <v>50</v>
      </c>
      <c r="O4" s="110">
        <v>127</v>
      </c>
      <c r="P4" s="111">
        <v>84</v>
      </c>
      <c r="Q4" s="49">
        <v>20</v>
      </c>
      <c r="R4" s="112">
        <v>48</v>
      </c>
      <c r="S4" s="113">
        <v>96</v>
      </c>
    </row>
    <row r="5" spans="1:25" ht="17.100000000000001" customHeight="1" x14ac:dyDescent="0.3">
      <c r="A5" s="33" t="s">
        <v>27</v>
      </c>
      <c r="B5" s="52" t="s">
        <v>24</v>
      </c>
      <c r="C5" s="31">
        <v>108</v>
      </c>
      <c r="D5" s="94" t="s">
        <v>22</v>
      </c>
      <c r="E5" s="82">
        <v>3</v>
      </c>
      <c r="F5" s="107">
        <v>262</v>
      </c>
      <c r="G5" s="94">
        <v>66</v>
      </c>
      <c r="H5" s="108">
        <f t="shared" si="0"/>
        <v>1</v>
      </c>
      <c r="I5" s="94">
        <v>88</v>
      </c>
      <c r="J5" s="34">
        <f>RANK(I5,$I$3:$I$10)+COUNTIF(I$3:$I5,I5)-1</f>
        <v>3</v>
      </c>
      <c r="K5" s="109">
        <f t="shared" si="1"/>
        <v>3</v>
      </c>
      <c r="L5" s="126">
        <f>RANK(K5,$K$3:$K$10,1)+COUNTIF(K5:$K$6,K5)-1</f>
        <v>2</v>
      </c>
      <c r="M5" s="94"/>
      <c r="T5" s="183" t="s">
        <v>23</v>
      </c>
      <c r="U5" s="184"/>
    </row>
    <row r="6" spans="1:25" x14ac:dyDescent="0.3">
      <c r="A6" s="33" t="s">
        <v>38</v>
      </c>
      <c r="B6" s="51" t="s">
        <v>28</v>
      </c>
      <c r="C6" s="31">
        <v>92</v>
      </c>
      <c r="D6" s="94" t="s">
        <v>29</v>
      </c>
      <c r="E6" s="82">
        <v>4</v>
      </c>
      <c r="F6" s="107">
        <v>201</v>
      </c>
      <c r="G6" s="94">
        <v>15</v>
      </c>
      <c r="H6" s="108">
        <f t="shared" si="0"/>
        <v>6</v>
      </c>
      <c r="I6" s="108">
        <v>88</v>
      </c>
      <c r="J6" s="34">
        <f>RANK(I6,$I$3:$I$10)+COUNTIF(I$3:$I6,I6)-1</f>
        <v>4</v>
      </c>
      <c r="K6" s="109">
        <f t="shared" si="1"/>
        <v>4</v>
      </c>
      <c r="L6" s="126">
        <f>RANK(K6,$K$3:$K$10,1)+COUNTIF(K6:$K$6,K6)-1</f>
        <v>4</v>
      </c>
      <c r="M6" s="94"/>
      <c r="T6" s="115" t="s">
        <v>25</v>
      </c>
      <c r="U6" s="116" t="s">
        <v>26</v>
      </c>
    </row>
    <row r="7" spans="1:25" x14ac:dyDescent="0.3">
      <c r="A7" s="35" t="s">
        <v>27</v>
      </c>
      <c r="B7" s="51" t="s">
        <v>30</v>
      </c>
      <c r="C7" s="31">
        <v>85</v>
      </c>
      <c r="D7" s="94" t="s">
        <v>29</v>
      </c>
      <c r="E7" s="82">
        <v>5</v>
      </c>
      <c r="F7" s="107">
        <v>176</v>
      </c>
      <c r="G7" s="94">
        <v>30</v>
      </c>
      <c r="H7" s="108">
        <f t="shared" si="0"/>
        <v>4</v>
      </c>
      <c r="I7" s="94">
        <v>89</v>
      </c>
      <c r="J7" s="34">
        <f>RANK(I7,$I$3:$I$10)+COUNTIF(I$3:$I7,I7)-1</f>
        <v>2</v>
      </c>
      <c r="K7" s="109">
        <f t="shared" si="1"/>
        <v>3.5</v>
      </c>
      <c r="L7" s="126">
        <f>RANK(K7,$K$3:$K$10,1)+COUNTIF(K$6:$K7,K7)-1</f>
        <v>3</v>
      </c>
      <c r="M7" s="94"/>
      <c r="T7" s="117">
        <f>O4+R4</f>
        <v>175</v>
      </c>
      <c r="U7" s="118">
        <f>P4+S4</f>
        <v>180</v>
      </c>
    </row>
    <row r="8" spans="1:25" x14ac:dyDescent="0.3">
      <c r="A8" s="108"/>
      <c r="B8" s="108" t="s">
        <v>31</v>
      </c>
      <c r="C8" s="31">
        <v>85</v>
      </c>
      <c r="D8" s="94" t="s">
        <v>29</v>
      </c>
      <c r="E8" s="82">
        <v>6</v>
      </c>
      <c r="F8" s="108">
        <v>210</v>
      </c>
      <c r="G8" s="94">
        <v>47</v>
      </c>
      <c r="H8" s="108">
        <f t="shared" si="0"/>
        <v>2</v>
      </c>
      <c r="I8" s="119">
        <v>88</v>
      </c>
      <c r="J8" s="34">
        <f>RANK(I8,$I$3:$I$10)+COUNTIF(I$3:$I8,I8)-1</f>
        <v>5</v>
      </c>
      <c r="K8" s="109">
        <f t="shared" si="1"/>
        <v>5.5</v>
      </c>
      <c r="L8" s="126">
        <f>RANK(K8,$K$3:$K$10,1)+COUNTIF(K$6:$K8,K8)-1</f>
        <v>6</v>
      </c>
      <c r="M8" s="94"/>
    </row>
    <row r="9" spans="1:25" x14ac:dyDescent="0.3">
      <c r="A9" s="41"/>
      <c r="B9" s="41" t="s">
        <v>32</v>
      </c>
      <c r="C9" s="41">
        <v>83</v>
      </c>
      <c r="D9" s="44" t="s">
        <v>29</v>
      </c>
      <c r="E9" s="41">
        <v>7</v>
      </c>
      <c r="F9" s="41"/>
      <c r="G9" s="44"/>
      <c r="H9" s="41"/>
      <c r="I9" s="45"/>
      <c r="J9" s="41" t="e">
        <f>RANK(I9,$I$3:$I$10)+COUNTIF(I$6:$I9,I9)-1</f>
        <v>#N/A</v>
      </c>
      <c r="K9" s="46"/>
      <c r="L9" s="47"/>
      <c r="M9" s="94"/>
    </row>
    <row r="10" spans="1:25" x14ac:dyDescent="0.3">
      <c r="A10" s="36"/>
      <c r="B10" s="120"/>
      <c r="C10" s="37"/>
      <c r="D10" s="112"/>
      <c r="E10" s="37"/>
      <c r="F10" s="120"/>
      <c r="G10" s="112"/>
      <c r="H10" s="120"/>
      <c r="I10" s="114"/>
      <c r="J10" s="38"/>
      <c r="K10" s="121"/>
      <c r="L10" s="121"/>
      <c r="M10" s="94"/>
    </row>
    <row r="11" spans="1:25" x14ac:dyDescent="0.3">
      <c r="B11" s="122" t="s">
        <v>33</v>
      </c>
      <c r="C11" s="122" t="s">
        <v>34</v>
      </c>
      <c r="D11" s="122"/>
      <c r="F11" s="94"/>
      <c r="G11" s="94"/>
      <c r="H11" s="94"/>
      <c r="I11" s="94"/>
      <c r="J11" s="94"/>
      <c r="K11" s="94"/>
      <c r="L11" s="94"/>
      <c r="M11" s="94"/>
    </row>
    <row r="12" spans="1:25" x14ac:dyDescent="0.3">
      <c r="B12" s="122" t="s">
        <v>35</v>
      </c>
      <c r="C12" t="s">
        <v>36</v>
      </c>
      <c r="D12" s="122"/>
      <c r="F12" s="123"/>
      <c r="G12" s="94"/>
      <c r="H12" s="94"/>
      <c r="I12" s="94"/>
      <c r="J12" s="94"/>
      <c r="K12" s="94"/>
      <c r="L12" s="94"/>
      <c r="M12" s="94"/>
    </row>
    <row r="13" spans="1:25" x14ac:dyDescent="0.3">
      <c r="B13" s="1" t="s">
        <v>33</v>
      </c>
      <c r="C13" s="27" t="s">
        <v>34</v>
      </c>
      <c r="D13" s="122"/>
      <c r="F13" s="94"/>
      <c r="G13" s="94"/>
      <c r="H13" s="94"/>
      <c r="I13" s="94"/>
      <c r="J13" s="94"/>
      <c r="K13" s="94"/>
      <c r="L13" s="94"/>
    </row>
    <row r="14" spans="1:25" x14ac:dyDescent="0.3">
      <c r="B14" s="2"/>
      <c r="C14" s="2"/>
      <c r="D14" s="2"/>
      <c r="E14" s="2"/>
      <c r="F14" s="94"/>
      <c r="G14" s="94"/>
      <c r="H14" s="94"/>
      <c r="I14" s="94"/>
      <c r="J14" s="94"/>
      <c r="K14" s="94"/>
      <c r="L14" s="94"/>
    </row>
    <row r="15" spans="1:25" x14ac:dyDescent="0.3">
      <c r="B15" s="44"/>
      <c r="C15" s="181" t="s">
        <v>37</v>
      </c>
      <c r="D15" s="181"/>
      <c r="E15" s="181"/>
      <c r="F15" s="181"/>
      <c r="G15" s="94"/>
      <c r="H15" s="94"/>
      <c r="I15" s="94"/>
      <c r="J15" s="94"/>
      <c r="K15" s="94"/>
      <c r="L15" s="94"/>
    </row>
    <row r="16" spans="1:25" x14ac:dyDescent="0.3">
      <c r="B16" s="94"/>
      <c r="C16" s="94"/>
      <c r="D16" s="94"/>
      <c r="E16" s="94"/>
      <c r="F16" s="94"/>
      <c r="G16" s="94"/>
      <c r="H16" s="94"/>
      <c r="I16" s="94"/>
      <c r="J16" s="94"/>
      <c r="K16" s="94"/>
      <c r="L16" s="94"/>
    </row>
    <row r="17" spans="2:13" x14ac:dyDescent="0.3">
      <c r="B17" s="94"/>
      <c r="C17" s="94"/>
      <c r="D17" s="94"/>
      <c r="E17" s="94"/>
      <c r="F17" s="94"/>
      <c r="G17" s="94"/>
      <c r="H17" s="94"/>
      <c r="I17" s="94"/>
      <c r="J17" s="94"/>
      <c r="K17" s="94"/>
      <c r="L17" s="94"/>
    </row>
    <row r="18" spans="2:13" x14ac:dyDescent="0.3">
      <c r="B18" s="94"/>
      <c r="C18" s="94"/>
      <c r="D18" s="94"/>
      <c r="E18" s="94"/>
      <c r="F18" s="94"/>
      <c r="G18" s="94"/>
      <c r="H18" s="94"/>
      <c r="I18" s="94"/>
      <c r="J18" s="94"/>
      <c r="K18" s="94"/>
      <c r="L18" s="94"/>
    </row>
    <row r="19" spans="2:13" x14ac:dyDescent="0.3">
      <c r="B19" s="94"/>
      <c r="C19" s="94"/>
      <c r="D19" s="94"/>
      <c r="E19" s="94"/>
      <c r="F19" s="94"/>
      <c r="G19" s="94"/>
      <c r="H19" s="94"/>
      <c r="I19" s="94"/>
      <c r="J19" s="94"/>
      <c r="K19" s="94"/>
      <c r="L19" s="94"/>
    </row>
    <row r="20" spans="2:13" x14ac:dyDescent="0.3">
      <c r="B20" s="94"/>
      <c r="C20" s="94"/>
      <c r="D20" s="94"/>
      <c r="E20" s="94"/>
      <c r="F20" s="94"/>
      <c r="G20" s="94"/>
      <c r="H20" s="94"/>
      <c r="I20" s="94"/>
      <c r="J20" s="94"/>
      <c r="K20" s="94"/>
      <c r="L20" s="94"/>
    </row>
    <row r="21" spans="2:13" x14ac:dyDescent="0.3">
      <c r="B21" s="94"/>
      <c r="C21" s="94"/>
      <c r="D21" s="94"/>
      <c r="E21" s="94"/>
      <c r="F21" s="94"/>
      <c r="G21" s="94"/>
      <c r="H21" s="94"/>
      <c r="I21" s="94"/>
      <c r="J21" s="94"/>
      <c r="K21" s="94"/>
      <c r="L21" s="94"/>
    </row>
    <row r="22" spans="2:13" x14ac:dyDescent="0.3">
      <c r="B22" s="94"/>
      <c r="C22" s="94"/>
      <c r="D22" s="94"/>
      <c r="E22" s="94"/>
      <c r="F22" s="94"/>
      <c r="G22" s="94"/>
      <c r="H22" s="94"/>
      <c r="I22" s="94"/>
      <c r="J22" s="94"/>
      <c r="K22" s="94"/>
      <c r="L22" s="94"/>
    </row>
    <row r="23" spans="2:13" x14ac:dyDescent="0.3">
      <c r="B23" s="94"/>
      <c r="C23" s="94"/>
      <c r="D23" s="94"/>
      <c r="E23" s="94"/>
      <c r="F23" s="94"/>
      <c r="G23" s="94"/>
      <c r="H23" s="94"/>
      <c r="I23" s="94"/>
      <c r="J23" s="94"/>
      <c r="K23" s="94"/>
      <c r="L23" s="94"/>
    </row>
    <row r="24" spans="2:13" x14ac:dyDescent="0.3">
      <c r="B24" s="94"/>
      <c r="C24" s="94"/>
      <c r="D24" s="94"/>
      <c r="E24" s="94"/>
      <c r="F24" s="94"/>
      <c r="G24" s="94"/>
      <c r="H24" s="94"/>
      <c r="I24" s="94"/>
      <c r="J24" s="94"/>
      <c r="K24" s="94"/>
      <c r="L24" s="94"/>
    </row>
    <row r="25" spans="2:13" x14ac:dyDescent="0.3">
      <c r="B25" s="94"/>
      <c r="C25" s="94"/>
      <c r="D25" s="94"/>
      <c r="E25" s="94"/>
      <c r="F25" s="94"/>
      <c r="G25" s="94"/>
      <c r="H25" s="94"/>
      <c r="I25" s="94"/>
      <c r="J25" s="94"/>
      <c r="K25" s="94"/>
      <c r="L25" s="94"/>
      <c r="M25" s="94"/>
    </row>
    <row r="26" spans="2:13" x14ac:dyDescent="0.3">
      <c r="B26" s="94"/>
      <c r="C26" s="94"/>
      <c r="D26" s="94"/>
      <c r="E26" s="94"/>
      <c r="F26" s="94"/>
      <c r="G26" s="94"/>
      <c r="H26" s="94"/>
      <c r="I26" s="94"/>
      <c r="J26" s="94"/>
      <c r="K26" s="94"/>
      <c r="L26" s="94"/>
      <c r="M26" s="94"/>
    </row>
    <row r="27" spans="2:13" x14ac:dyDescent="0.3">
      <c r="B27" s="94"/>
      <c r="C27" s="94"/>
      <c r="D27" s="94"/>
      <c r="E27" s="94"/>
      <c r="F27" s="94"/>
      <c r="G27" s="94"/>
      <c r="H27" s="94"/>
      <c r="I27" s="94"/>
      <c r="J27" s="94"/>
      <c r="K27" s="94"/>
      <c r="L27" s="94"/>
      <c r="M27" s="94"/>
    </row>
    <row r="28" spans="2:13" x14ac:dyDescent="0.3">
      <c r="B28" s="94"/>
      <c r="C28" s="94"/>
      <c r="D28" s="94"/>
      <c r="E28" s="94"/>
      <c r="F28" s="94"/>
      <c r="G28" s="94"/>
      <c r="H28" s="94"/>
      <c r="I28" s="94"/>
      <c r="J28" s="94"/>
      <c r="K28" s="94"/>
      <c r="L28" s="94"/>
      <c r="M28" s="94"/>
    </row>
    <row r="29" spans="2:13" x14ac:dyDescent="0.3">
      <c r="B29" s="94"/>
      <c r="C29" s="94"/>
      <c r="D29" s="94"/>
      <c r="E29" s="94"/>
      <c r="F29" s="94"/>
      <c r="G29" s="94"/>
      <c r="H29" s="94"/>
      <c r="I29" s="94"/>
      <c r="J29" s="94"/>
      <c r="K29" s="94"/>
      <c r="L29" s="94"/>
      <c r="M29" s="94"/>
    </row>
    <row r="30" spans="2:13" x14ac:dyDescent="0.3">
      <c r="B30" s="94"/>
      <c r="C30" s="94"/>
      <c r="D30" s="94"/>
      <c r="E30" s="94"/>
      <c r="F30" s="94"/>
      <c r="G30" s="94"/>
      <c r="H30" s="94"/>
      <c r="I30" s="94"/>
      <c r="J30" s="94"/>
      <c r="K30" s="94"/>
      <c r="L30" s="94"/>
      <c r="M30" s="94"/>
    </row>
    <row r="31" spans="2:13" x14ac:dyDescent="0.3">
      <c r="B31" s="94"/>
      <c r="C31" s="94"/>
      <c r="D31" s="94"/>
      <c r="E31" s="94"/>
      <c r="F31" s="94"/>
      <c r="G31" s="94"/>
      <c r="H31" s="94"/>
      <c r="I31" s="94"/>
      <c r="J31" s="94"/>
      <c r="K31" s="94"/>
      <c r="L31" s="94"/>
      <c r="M31" s="94"/>
    </row>
    <row r="32" spans="2:13" x14ac:dyDescent="0.3">
      <c r="B32" s="94"/>
      <c r="C32" s="94"/>
      <c r="D32" s="94"/>
      <c r="E32" s="94"/>
      <c r="F32" s="94"/>
      <c r="G32" s="94"/>
      <c r="H32" s="94"/>
      <c r="I32" s="94"/>
      <c r="J32" s="94"/>
      <c r="K32" s="94"/>
      <c r="L32" s="94"/>
      <c r="M32" s="94"/>
    </row>
    <row r="33" spans="2:13" x14ac:dyDescent="0.3">
      <c r="B33" s="94"/>
      <c r="C33" s="94"/>
      <c r="D33" s="94"/>
      <c r="E33" s="94"/>
      <c r="F33" s="94"/>
      <c r="G33" s="94"/>
      <c r="H33" s="94"/>
      <c r="I33" s="94"/>
      <c r="J33" s="94"/>
      <c r="K33" s="94"/>
      <c r="L33" s="94"/>
      <c r="M33" s="94"/>
    </row>
    <row r="34" spans="2:13" x14ac:dyDescent="0.3">
      <c r="B34" s="94"/>
      <c r="C34" s="94"/>
      <c r="D34" s="94"/>
      <c r="E34" s="94"/>
      <c r="F34" s="94"/>
      <c r="G34" s="94"/>
      <c r="H34" s="94"/>
      <c r="I34" s="94"/>
      <c r="J34" s="94"/>
      <c r="K34" s="94"/>
      <c r="L34" s="94"/>
      <c r="M34" s="94"/>
    </row>
    <row r="35" spans="2:13" x14ac:dyDescent="0.3">
      <c r="B35" s="94"/>
      <c r="C35" s="94"/>
      <c r="D35" s="94"/>
      <c r="E35" s="94"/>
      <c r="F35" s="94"/>
      <c r="G35" s="94"/>
      <c r="H35" s="94"/>
      <c r="I35" s="94"/>
      <c r="J35" s="94"/>
      <c r="K35" s="94"/>
      <c r="L35" s="94"/>
      <c r="M35" s="94"/>
    </row>
    <row r="36" spans="2:13" x14ac:dyDescent="0.3">
      <c r="B36" s="94"/>
      <c r="C36" s="94"/>
      <c r="D36" s="94"/>
      <c r="E36" s="94"/>
      <c r="F36" s="94"/>
      <c r="G36" s="94"/>
      <c r="H36" s="94"/>
      <c r="I36" s="94"/>
      <c r="J36" s="94"/>
      <c r="K36" s="94"/>
      <c r="L36" s="94"/>
      <c r="M36" s="94"/>
    </row>
    <row r="37" spans="2:13" x14ac:dyDescent="0.3">
      <c r="B37" s="94"/>
      <c r="C37" s="94"/>
      <c r="D37" s="94"/>
      <c r="E37" s="94"/>
      <c r="F37" s="94"/>
      <c r="G37" s="94"/>
      <c r="H37" s="94"/>
      <c r="I37" s="94"/>
      <c r="J37" s="94"/>
      <c r="K37" s="94"/>
      <c r="L37" s="94"/>
      <c r="M37" s="94"/>
    </row>
    <row r="38" spans="2:13" x14ac:dyDescent="0.3">
      <c r="B38" s="94"/>
      <c r="C38" s="94"/>
      <c r="D38" s="94"/>
      <c r="E38" s="94"/>
      <c r="F38" s="94"/>
      <c r="G38" s="94"/>
      <c r="H38" s="94"/>
      <c r="I38" s="94"/>
      <c r="J38" s="94"/>
      <c r="K38" s="94"/>
      <c r="L38" s="94"/>
      <c r="M38" s="94"/>
    </row>
    <row r="39" spans="2:13" x14ac:dyDescent="0.3">
      <c r="B39" s="94"/>
      <c r="C39" s="94"/>
      <c r="D39" s="94"/>
      <c r="E39" s="94"/>
      <c r="F39" s="94"/>
      <c r="G39" s="94"/>
      <c r="H39" s="94"/>
      <c r="I39" s="94"/>
      <c r="J39" s="94"/>
      <c r="K39" s="94"/>
      <c r="L39" s="94"/>
      <c r="M39" s="94"/>
    </row>
    <row r="40" spans="2:13" x14ac:dyDescent="0.3">
      <c r="B40" s="94"/>
      <c r="C40" s="94"/>
      <c r="D40" s="94"/>
      <c r="E40" s="94"/>
      <c r="F40" s="94"/>
      <c r="G40" s="94"/>
      <c r="H40" s="94"/>
      <c r="I40" s="94"/>
      <c r="J40" s="94"/>
      <c r="K40" s="94"/>
      <c r="L40" s="94"/>
      <c r="M40" s="94"/>
    </row>
    <row r="41" spans="2:13" x14ac:dyDescent="0.3">
      <c r="B41" s="94"/>
      <c r="C41" s="94"/>
      <c r="D41" s="94"/>
      <c r="E41" s="94"/>
      <c r="F41" s="94"/>
      <c r="G41" s="94"/>
      <c r="H41" s="94"/>
      <c r="I41" s="94"/>
      <c r="J41" s="94"/>
      <c r="K41" s="94"/>
      <c r="L41" s="94"/>
      <c r="M41" s="94"/>
    </row>
    <row r="42" spans="2:13" x14ac:dyDescent="0.3">
      <c r="B42" s="94"/>
      <c r="C42" s="94"/>
      <c r="D42" s="94"/>
      <c r="E42" s="94"/>
      <c r="F42" s="94"/>
      <c r="G42" s="94"/>
      <c r="H42" s="94"/>
      <c r="I42" s="94"/>
      <c r="J42" s="94"/>
      <c r="K42" s="94"/>
      <c r="L42" s="94"/>
      <c r="M42" s="94"/>
    </row>
    <row r="43" spans="2:13" x14ac:dyDescent="0.3">
      <c r="F43" s="123"/>
      <c r="L43" s="94"/>
    </row>
    <row r="44" spans="2:13" x14ac:dyDescent="0.3">
      <c r="F44" s="123"/>
      <c r="L44" s="94"/>
    </row>
    <row r="45" spans="2:13" x14ac:dyDescent="0.3">
      <c r="F45" s="123"/>
      <c r="L45" s="94"/>
    </row>
    <row r="46" spans="2:13" x14ac:dyDescent="0.3">
      <c r="F46" s="123"/>
      <c r="L46" s="94"/>
    </row>
    <row r="47" spans="2:13" x14ac:dyDescent="0.3">
      <c r="F47" s="123"/>
      <c r="L47" s="94"/>
    </row>
    <row r="48" spans="2:13" x14ac:dyDescent="0.3">
      <c r="F48" s="123"/>
      <c r="L48" s="94"/>
    </row>
  </sheetData>
  <mergeCells count="14">
    <mergeCell ref="F1:F2"/>
    <mergeCell ref="C15:F15"/>
    <mergeCell ref="N1:S1"/>
    <mergeCell ref="T5:U5"/>
    <mergeCell ref="A1:A2"/>
    <mergeCell ref="B1:B2"/>
    <mergeCell ref="C1:C2"/>
    <mergeCell ref="D1:D2"/>
    <mergeCell ref="E1:E2"/>
    <mergeCell ref="G1:G2"/>
    <mergeCell ref="I1:I2"/>
    <mergeCell ref="J1:J2"/>
    <mergeCell ref="K1:K2"/>
    <mergeCell ref="L1:L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Z48"/>
  <sheetViews>
    <sheetView workbookViewId="0">
      <selection activeCell="I3" sqref="I3:I8"/>
    </sheetView>
  </sheetViews>
  <sheetFormatPr defaultColWidth="9.109375" defaultRowHeight="14.4" x14ac:dyDescent="0.3"/>
  <cols>
    <col min="1" max="2" width="9.109375" style="28"/>
    <col min="3" max="3" width="11.109375" style="28" customWidth="1"/>
    <col min="4" max="4" width="15.44140625" style="28" customWidth="1"/>
    <col min="5" max="5" width="12" style="28" customWidth="1"/>
    <col min="6" max="6" width="17.109375" style="39" customWidth="1"/>
    <col min="7" max="7" width="13.33203125" style="28" customWidth="1"/>
    <col min="8" max="8" width="11.44140625" style="28" customWidth="1"/>
    <col min="9" max="9" width="17.33203125" style="28" customWidth="1"/>
    <col min="10" max="10" width="11.6640625" style="28" customWidth="1"/>
    <col min="11" max="11" width="16.109375" style="28" customWidth="1"/>
    <col min="12" max="12" width="13.5546875" style="28" customWidth="1"/>
    <col min="13" max="13" width="9.109375" style="28"/>
    <col min="14" max="14" width="9.109375" style="28" customWidth="1"/>
    <col min="15" max="20" width="9.109375" style="28"/>
    <col min="21" max="21" width="13.33203125" style="28" customWidth="1"/>
    <col min="22" max="22" width="14.33203125" style="28" customWidth="1"/>
    <col min="23" max="25" width="9.109375" style="28"/>
    <col min="26" max="26" width="9.5546875" style="28" customWidth="1"/>
    <col min="27" max="16384" width="9.109375" style="28"/>
  </cols>
  <sheetData>
    <row r="1" spans="1:26" ht="45" customHeight="1" x14ac:dyDescent="0.35">
      <c r="A1" s="185" t="s">
        <v>0</v>
      </c>
      <c r="B1" s="187" t="s">
        <v>1</v>
      </c>
      <c r="C1" s="189" t="s">
        <v>2</v>
      </c>
      <c r="D1" s="191" t="s">
        <v>3</v>
      </c>
      <c r="E1" s="193" t="s">
        <v>4</v>
      </c>
      <c r="F1" s="179" t="s">
        <v>5</v>
      </c>
      <c r="G1" s="195" t="s">
        <v>6</v>
      </c>
      <c r="H1" s="92" t="s">
        <v>7</v>
      </c>
      <c r="I1" s="195" t="s">
        <v>8</v>
      </c>
      <c r="J1" s="196" t="s">
        <v>9</v>
      </c>
      <c r="K1" s="187" t="s">
        <v>10</v>
      </c>
      <c r="L1" s="187" t="s">
        <v>11</v>
      </c>
      <c r="M1" s="94"/>
      <c r="N1" s="94"/>
      <c r="O1" s="182" t="s">
        <v>12</v>
      </c>
      <c r="P1" s="182"/>
      <c r="Q1" s="182"/>
      <c r="R1" s="182"/>
      <c r="S1" s="182"/>
      <c r="T1" s="182"/>
      <c r="Z1" s="29">
        <v>45677</v>
      </c>
    </row>
    <row r="2" spans="1:26" ht="17.100000000000001" customHeight="1" x14ac:dyDescent="0.3">
      <c r="A2" s="186"/>
      <c r="B2" s="188"/>
      <c r="C2" s="190"/>
      <c r="D2" s="192"/>
      <c r="E2" s="194"/>
      <c r="F2" s="180"/>
      <c r="G2" s="180"/>
      <c r="H2" s="95"/>
      <c r="I2" s="180"/>
      <c r="J2" s="197"/>
      <c r="K2" s="188"/>
      <c r="L2" s="188"/>
      <c r="M2" s="94"/>
      <c r="N2" s="94"/>
      <c r="O2" s="96" t="s">
        <v>13</v>
      </c>
      <c r="P2" s="97" t="s">
        <v>13</v>
      </c>
      <c r="Q2" s="98" t="s">
        <v>13</v>
      </c>
      <c r="R2" s="96" t="s">
        <v>14</v>
      </c>
      <c r="S2" s="97" t="s">
        <v>14</v>
      </c>
      <c r="T2" s="98" t="s">
        <v>14</v>
      </c>
      <c r="U2" s="94"/>
      <c r="V2" s="94"/>
    </row>
    <row r="3" spans="1:26" ht="17.100000000000001" customHeight="1" x14ac:dyDescent="0.3">
      <c r="A3" s="30" t="s">
        <v>15</v>
      </c>
      <c r="B3" s="40" t="s">
        <v>16</v>
      </c>
      <c r="C3" s="31">
        <v>114</v>
      </c>
      <c r="D3" s="99" t="s">
        <v>17</v>
      </c>
      <c r="E3" s="81">
        <v>1</v>
      </c>
      <c r="F3" s="93">
        <v>203</v>
      </c>
      <c r="G3" s="100">
        <v>30</v>
      </c>
      <c r="H3" s="100">
        <f t="shared" ref="H3:H8" si="0">RANK(G3,$G$3:$G$10)</f>
        <v>5</v>
      </c>
      <c r="I3" s="101">
        <v>89</v>
      </c>
      <c r="J3" s="32">
        <f>RANK(I3,$I$3:$I$10)+COUNTIF(I3:$I$3,I3)-1</f>
        <v>1</v>
      </c>
      <c r="K3" s="102">
        <f t="shared" ref="K3:K9" si="1">(E3+J3)/2</f>
        <v>1</v>
      </c>
      <c r="L3" s="102">
        <f>RANK(K3,$K$3:$K$10,1)+COUNTIF(K3:$K$6,K3)-1</f>
        <v>1</v>
      </c>
      <c r="M3" s="94"/>
      <c r="N3" s="94"/>
      <c r="O3" s="103" t="s">
        <v>18</v>
      </c>
      <c r="P3" s="104" t="s">
        <v>19</v>
      </c>
      <c r="Q3" s="105" t="s">
        <v>20</v>
      </c>
      <c r="R3" s="103" t="s">
        <v>18</v>
      </c>
      <c r="S3" s="104" t="s">
        <v>19</v>
      </c>
      <c r="T3" s="106" t="s">
        <v>20</v>
      </c>
      <c r="U3" s="94"/>
      <c r="V3" s="94"/>
    </row>
    <row r="4" spans="1:26" ht="17.100000000000001" customHeight="1" x14ac:dyDescent="0.3">
      <c r="A4" s="33" t="s">
        <v>38</v>
      </c>
      <c r="B4" s="51" t="s">
        <v>21</v>
      </c>
      <c r="C4" s="31">
        <v>108</v>
      </c>
      <c r="D4" s="94" t="s">
        <v>22</v>
      </c>
      <c r="E4" s="82">
        <v>2</v>
      </c>
      <c r="F4" s="107">
        <v>168</v>
      </c>
      <c r="G4" s="94">
        <v>39</v>
      </c>
      <c r="H4" s="108">
        <f t="shared" si="0"/>
        <v>3</v>
      </c>
      <c r="I4" s="94">
        <v>88</v>
      </c>
      <c r="J4" s="34">
        <f>RANK(I4,$I$3:$I$10)+COUNTIF(I$3:$I4,I4)-1</f>
        <v>3</v>
      </c>
      <c r="K4" s="109">
        <f t="shared" si="1"/>
        <v>2.5</v>
      </c>
      <c r="L4" s="109">
        <f>RANK(K4,$K$3:$K$10,1)+COUNTIF(K4:$K$6,K4)-1</f>
        <v>3</v>
      </c>
      <c r="M4" s="94"/>
      <c r="N4" s="94"/>
      <c r="O4" s="48">
        <v>50</v>
      </c>
      <c r="P4" s="110">
        <v>84</v>
      </c>
      <c r="Q4" s="111">
        <v>98</v>
      </c>
      <c r="R4" s="49">
        <v>20</v>
      </c>
      <c r="S4" s="112">
        <v>96</v>
      </c>
      <c r="T4" s="113">
        <v>67</v>
      </c>
    </row>
    <row r="5" spans="1:26" ht="17.100000000000001" customHeight="1" x14ac:dyDescent="0.3">
      <c r="A5" s="33" t="s">
        <v>27</v>
      </c>
      <c r="B5" s="52" t="s">
        <v>24</v>
      </c>
      <c r="C5" s="31">
        <v>108</v>
      </c>
      <c r="D5" s="94" t="s">
        <v>22</v>
      </c>
      <c r="E5" s="82">
        <v>3</v>
      </c>
      <c r="F5" s="107">
        <v>310</v>
      </c>
      <c r="G5" s="94">
        <v>37</v>
      </c>
      <c r="H5" s="108">
        <f t="shared" si="0"/>
        <v>4</v>
      </c>
      <c r="I5" s="94">
        <v>89</v>
      </c>
      <c r="J5" s="34">
        <f>RANK(I5,$I$3:$I$10)+COUNTIF(I$3:$I5,I5)-1</f>
        <v>2</v>
      </c>
      <c r="K5" s="109">
        <f t="shared" si="1"/>
        <v>2.5</v>
      </c>
      <c r="L5" s="109">
        <f>RANK(K5,$K$3:$K$10,1)+COUNTIF(K5:$K$6,K5)-1</f>
        <v>2</v>
      </c>
      <c r="M5" s="94"/>
      <c r="N5" s="94"/>
      <c r="U5" s="183" t="s">
        <v>23</v>
      </c>
      <c r="V5" s="184"/>
    </row>
    <row r="6" spans="1:26" x14ac:dyDescent="0.3">
      <c r="A6" s="33" t="s">
        <v>27</v>
      </c>
      <c r="B6" s="51" t="s">
        <v>28</v>
      </c>
      <c r="C6" s="31">
        <v>92</v>
      </c>
      <c r="D6" s="94" t="s">
        <v>29</v>
      </c>
      <c r="E6" s="82">
        <v>4</v>
      </c>
      <c r="F6" s="107">
        <v>142</v>
      </c>
      <c r="G6" s="94">
        <v>10</v>
      </c>
      <c r="H6" s="108">
        <f t="shared" si="0"/>
        <v>6</v>
      </c>
      <c r="I6" s="108">
        <v>87</v>
      </c>
      <c r="J6" s="34">
        <f>RANK(I6,$I$3:$I$10)+COUNTIF(I$3:$I6,I6)-1</f>
        <v>6</v>
      </c>
      <c r="K6" s="109">
        <f t="shared" si="1"/>
        <v>5</v>
      </c>
      <c r="L6" s="109">
        <f>RANK(K6,$K$3:$K$10,1)+COUNTIF(K6:$K$6,K6)-1</f>
        <v>6</v>
      </c>
      <c r="M6" s="94"/>
      <c r="N6" s="94"/>
      <c r="U6" s="115" t="s">
        <v>25</v>
      </c>
      <c r="V6" s="116" t="s">
        <v>26</v>
      </c>
    </row>
    <row r="7" spans="1:26" x14ac:dyDescent="0.3">
      <c r="A7" s="35" t="s">
        <v>15</v>
      </c>
      <c r="B7" s="51" t="s">
        <v>30</v>
      </c>
      <c r="C7" s="31">
        <v>85</v>
      </c>
      <c r="D7" s="94" t="s">
        <v>29</v>
      </c>
      <c r="E7" s="82">
        <v>5</v>
      </c>
      <c r="F7" s="107">
        <v>434</v>
      </c>
      <c r="G7" s="94">
        <v>49</v>
      </c>
      <c r="H7" s="108">
        <f t="shared" si="0"/>
        <v>1</v>
      </c>
      <c r="I7" s="94">
        <v>88</v>
      </c>
      <c r="J7" s="34">
        <f>RANK(I7,$I$3:$I$10)+COUNTIF(I$3:$I7,I7)-1</f>
        <v>4</v>
      </c>
      <c r="K7" s="109">
        <f t="shared" si="1"/>
        <v>4.5</v>
      </c>
      <c r="L7" s="109">
        <f>RANK(K7,$K$3:$K$10,1)+COUNTIF(K$6:$K7,K7)-1</f>
        <v>5</v>
      </c>
      <c r="M7" s="94"/>
      <c r="N7" s="94"/>
      <c r="U7" s="117">
        <f>P4+S4</f>
        <v>180</v>
      </c>
      <c r="V7" s="118">
        <f>Q4+T4</f>
        <v>165</v>
      </c>
    </row>
    <row r="8" spans="1:26" x14ac:dyDescent="0.3">
      <c r="A8" s="108"/>
      <c r="B8" s="108" t="s">
        <v>31</v>
      </c>
      <c r="C8" s="108">
        <v>85</v>
      </c>
      <c r="D8" s="94" t="s">
        <v>29</v>
      </c>
      <c r="E8" s="82">
        <v>6</v>
      </c>
      <c r="F8" s="108">
        <v>321</v>
      </c>
      <c r="G8" s="94">
        <v>47</v>
      </c>
      <c r="H8" s="108">
        <f t="shared" si="0"/>
        <v>2</v>
      </c>
      <c r="I8" s="119">
        <v>88</v>
      </c>
      <c r="J8" s="108">
        <f>RANK(I8,$I$3:$I$10)+COUNTIF(I$3:$I8,I8)-1</f>
        <v>5</v>
      </c>
      <c r="K8" s="109">
        <f t="shared" si="1"/>
        <v>5.5</v>
      </c>
      <c r="L8" s="109">
        <f>RANK(K8,$K$3:$K$10,1)+COUNTIF(K$6:$K8,K8)-1</f>
        <v>7</v>
      </c>
      <c r="M8" s="94"/>
      <c r="N8" s="94"/>
    </row>
    <row r="9" spans="1:26" x14ac:dyDescent="0.3">
      <c r="A9" s="41"/>
      <c r="B9" s="41" t="s">
        <v>32</v>
      </c>
      <c r="C9" s="41">
        <v>83</v>
      </c>
      <c r="D9" s="44" t="s">
        <v>29</v>
      </c>
      <c r="E9" s="41">
        <v>7</v>
      </c>
      <c r="F9" s="41"/>
      <c r="G9" s="44"/>
      <c r="H9" s="41"/>
      <c r="I9" s="45"/>
      <c r="J9" s="41"/>
      <c r="K9" s="46">
        <f t="shared" si="1"/>
        <v>3.5</v>
      </c>
      <c r="L9" s="47">
        <f>RANK(K9,$K$3:$K$10,1)+COUNTIF(K$6:$K9,K9)-1</f>
        <v>4</v>
      </c>
      <c r="M9" s="94"/>
      <c r="N9" s="94"/>
    </row>
    <row r="10" spans="1:26" x14ac:dyDescent="0.3">
      <c r="A10" s="36"/>
      <c r="B10" s="120"/>
      <c r="C10" s="37"/>
      <c r="D10" s="112"/>
      <c r="E10" s="37"/>
      <c r="F10" s="120"/>
      <c r="G10" s="112"/>
      <c r="H10" s="120"/>
      <c r="I10" s="114"/>
      <c r="J10" s="38"/>
      <c r="K10" s="121"/>
      <c r="L10" s="121"/>
      <c r="M10" s="94"/>
      <c r="N10" s="94"/>
    </row>
    <row r="11" spans="1:26" x14ac:dyDescent="0.3">
      <c r="B11" s="122" t="s">
        <v>33</v>
      </c>
      <c r="C11" s="122" t="s">
        <v>34</v>
      </c>
      <c r="D11" s="122"/>
      <c r="F11" s="94"/>
      <c r="G11" s="94"/>
      <c r="H11" s="94"/>
      <c r="I11" s="94"/>
      <c r="J11" s="94"/>
      <c r="K11" s="94"/>
      <c r="L11" s="94"/>
      <c r="M11" s="94"/>
      <c r="N11" s="94"/>
    </row>
    <row r="12" spans="1:26" x14ac:dyDescent="0.3">
      <c r="B12" s="122" t="s">
        <v>35</v>
      </c>
      <c r="C12" t="s">
        <v>36</v>
      </c>
      <c r="D12" s="122"/>
      <c r="F12" s="123"/>
      <c r="G12" s="94"/>
      <c r="H12" s="94"/>
      <c r="I12" s="94"/>
      <c r="J12" s="94"/>
      <c r="K12" s="94"/>
      <c r="L12" s="94"/>
      <c r="M12" s="94"/>
      <c r="N12" s="94"/>
    </row>
    <row r="13" spans="1:26" x14ac:dyDescent="0.3">
      <c r="B13" s="1" t="s">
        <v>33</v>
      </c>
      <c r="C13" s="27" t="s">
        <v>34</v>
      </c>
      <c r="D13" s="122"/>
      <c r="F13" s="94"/>
      <c r="G13" s="94"/>
      <c r="H13" s="94"/>
      <c r="I13" s="94"/>
      <c r="J13" s="94"/>
      <c r="K13" s="94"/>
      <c r="L13" s="94"/>
      <c r="M13" s="94"/>
    </row>
    <row r="14" spans="1:26" x14ac:dyDescent="0.3">
      <c r="B14" s="2"/>
      <c r="C14" s="2"/>
      <c r="D14" s="2"/>
      <c r="E14" s="2"/>
      <c r="F14" s="94"/>
      <c r="G14" s="94"/>
      <c r="H14" s="94"/>
      <c r="I14" s="94"/>
      <c r="J14" s="94"/>
      <c r="K14" s="94"/>
      <c r="L14" s="94"/>
      <c r="M14" s="94"/>
    </row>
    <row r="15" spans="1:26" x14ac:dyDescent="0.3">
      <c r="B15" s="44"/>
      <c r="C15" s="181" t="s">
        <v>39</v>
      </c>
      <c r="D15" s="181"/>
      <c r="E15" s="181"/>
      <c r="F15" s="181"/>
      <c r="G15" s="94"/>
      <c r="H15" s="94"/>
      <c r="I15" s="94"/>
      <c r="J15" s="94"/>
      <c r="K15" s="94"/>
      <c r="L15" s="94"/>
      <c r="M15" s="94"/>
    </row>
    <row r="16" spans="1:26" x14ac:dyDescent="0.3">
      <c r="B16" s="94"/>
      <c r="C16" s="94"/>
      <c r="D16" s="94"/>
      <c r="E16" s="94"/>
      <c r="F16" s="94"/>
      <c r="G16" s="94"/>
      <c r="H16" s="94"/>
      <c r="I16" s="94"/>
      <c r="J16" s="94"/>
      <c r="K16" s="94"/>
      <c r="L16" s="94"/>
      <c r="M16" s="94"/>
    </row>
    <row r="17" spans="2:14" x14ac:dyDescent="0.3">
      <c r="B17" s="94"/>
      <c r="C17" s="94"/>
      <c r="D17" s="94"/>
      <c r="E17" s="94"/>
      <c r="F17" s="94"/>
      <c r="G17" s="94"/>
      <c r="H17" s="94"/>
      <c r="I17" s="94"/>
      <c r="J17" s="94"/>
      <c r="K17" s="94"/>
      <c r="L17" s="94"/>
      <c r="M17" s="94"/>
    </row>
    <row r="18" spans="2:14" x14ac:dyDescent="0.3">
      <c r="B18" s="94"/>
      <c r="C18" s="94"/>
      <c r="D18" s="94"/>
      <c r="E18" s="94"/>
      <c r="F18" s="94"/>
      <c r="G18" s="94"/>
      <c r="H18" s="94"/>
      <c r="I18" s="94"/>
      <c r="J18" s="94"/>
      <c r="K18" s="94"/>
      <c r="L18" s="94"/>
      <c r="M18" s="94"/>
    </row>
    <row r="19" spans="2:14" x14ac:dyDescent="0.3">
      <c r="B19" s="94"/>
      <c r="C19" s="94"/>
      <c r="D19" s="94"/>
      <c r="E19" s="94"/>
      <c r="F19" s="94"/>
      <c r="G19" s="94"/>
      <c r="H19" s="94"/>
      <c r="I19" s="94"/>
      <c r="J19" s="94"/>
      <c r="K19" s="94"/>
      <c r="L19" s="94"/>
      <c r="M19" s="94"/>
    </row>
    <row r="20" spans="2:14" x14ac:dyDescent="0.3">
      <c r="B20" s="94"/>
      <c r="C20" s="94"/>
      <c r="D20" s="94"/>
      <c r="E20" s="94"/>
      <c r="F20" s="94"/>
      <c r="G20" s="94"/>
      <c r="H20" s="94"/>
      <c r="I20" s="94"/>
      <c r="J20" s="94"/>
      <c r="K20" s="94"/>
      <c r="L20" s="94"/>
      <c r="M20" s="94"/>
    </row>
    <row r="21" spans="2:14" x14ac:dyDescent="0.3">
      <c r="B21" s="94"/>
      <c r="C21" s="94"/>
      <c r="D21" s="94"/>
      <c r="E21" s="94"/>
      <c r="F21" s="94"/>
      <c r="G21" s="94"/>
      <c r="H21" s="94"/>
      <c r="I21" s="94"/>
      <c r="J21" s="94"/>
      <c r="K21" s="94"/>
      <c r="L21" s="94"/>
      <c r="M21" s="94"/>
    </row>
    <row r="22" spans="2:14" x14ac:dyDescent="0.3">
      <c r="B22" s="94"/>
      <c r="C22" s="94"/>
      <c r="D22" s="94"/>
      <c r="E22" s="94"/>
      <c r="F22" s="94"/>
      <c r="G22" s="94"/>
      <c r="H22" s="94"/>
      <c r="I22" s="94"/>
      <c r="J22" s="94"/>
      <c r="K22" s="94"/>
      <c r="L22" s="94"/>
      <c r="M22" s="94"/>
    </row>
    <row r="23" spans="2:14" x14ac:dyDescent="0.3">
      <c r="B23" s="94"/>
      <c r="C23" s="94"/>
      <c r="D23" s="94"/>
      <c r="E23" s="94"/>
      <c r="F23" s="94"/>
      <c r="G23" s="94"/>
      <c r="H23" s="94"/>
      <c r="I23" s="94"/>
      <c r="J23" s="94"/>
      <c r="K23" s="94"/>
      <c r="L23" s="94"/>
      <c r="M23" s="94"/>
    </row>
    <row r="24" spans="2:14" x14ac:dyDescent="0.3">
      <c r="B24" s="94"/>
      <c r="C24" s="94"/>
      <c r="D24" s="94"/>
      <c r="E24" s="94"/>
      <c r="F24" s="94"/>
      <c r="G24" s="94"/>
      <c r="H24" s="94"/>
      <c r="I24" s="94"/>
      <c r="J24" s="94"/>
      <c r="K24" s="94"/>
      <c r="L24" s="94"/>
      <c r="M24" s="94"/>
    </row>
    <row r="25" spans="2:14" x14ac:dyDescent="0.3">
      <c r="B25" s="94"/>
      <c r="C25" s="94"/>
      <c r="D25" s="94"/>
      <c r="E25" s="94"/>
      <c r="F25" s="94"/>
      <c r="G25" s="94"/>
      <c r="H25" s="94"/>
      <c r="I25" s="94"/>
      <c r="J25" s="94"/>
      <c r="K25" s="94"/>
      <c r="L25" s="94"/>
      <c r="M25" s="94"/>
      <c r="N25" s="94"/>
    </row>
    <row r="26" spans="2:14" x14ac:dyDescent="0.3">
      <c r="B26" s="94"/>
      <c r="C26" s="94"/>
      <c r="D26" s="94"/>
      <c r="E26" s="94"/>
      <c r="F26" s="94"/>
      <c r="G26" s="94"/>
      <c r="H26" s="94"/>
      <c r="I26" s="94"/>
      <c r="J26" s="94"/>
      <c r="K26" s="94"/>
      <c r="L26" s="94"/>
      <c r="M26" s="94"/>
      <c r="N26" s="94"/>
    </row>
    <row r="27" spans="2:14" x14ac:dyDescent="0.3">
      <c r="B27" s="94"/>
      <c r="C27" s="94"/>
      <c r="D27" s="94"/>
      <c r="E27" s="94"/>
      <c r="F27" s="94"/>
      <c r="G27" s="94"/>
      <c r="H27" s="94"/>
      <c r="I27" s="94"/>
      <c r="J27" s="94"/>
      <c r="K27" s="94"/>
      <c r="L27" s="94"/>
      <c r="M27" s="94"/>
      <c r="N27" s="94"/>
    </row>
    <row r="28" spans="2:14" x14ac:dyDescent="0.3">
      <c r="B28" s="94"/>
      <c r="C28" s="94"/>
      <c r="D28" s="94"/>
      <c r="E28" s="94"/>
      <c r="F28" s="94"/>
      <c r="G28" s="94"/>
      <c r="H28" s="94"/>
      <c r="I28" s="94"/>
      <c r="J28" s="94"/>
      <c r="K28" s="94"/>
      <c r="L28" s="94"/>
      <c r="M28" s="94"/>
      <c r="N28" s="94"/>
    </row>
    <row r="29" spans="2:14" x14ac:dyDescent="0.3">
      <c r="B29" s="94"/>
      <c r="C29" s="94"/>
      <c r="D29" s="94"/>
      <c r="E29" s="94"/>
      <c r="F29" s="94"/>
      <c r="G29" s="94"/>
      <c r="H29" s="94"/>
      <c r="I29" s="94"/>
      <c r="J29" s="94"/>
      <c r="K29" s="94"/>
      <c r="L29" s="94"/>
      <c r="M29" s="94"/>
      <c r="N29" s="94"/>
    </row>
    <row r="30" spans="2:14" x14ac:dyDescent="0.3">
      <c r="B30" s="94"/>
      <c r="C30" s="94"/>
      <c r="D30" s="94"/>
      <c r="E30" s="94"/>
      <c r="F30" s="94"/>
      <c r="G30" s="94"/>
      <c r="H30" s="94"/>
      <c r="I30" s="94"/>
      <c r="J30" s="94"/>
      <c r="K30" s="94"/>
      <c r="L30" s="94"/>
      <c r="M30" s="94"/>
      <c r="N30" s="94"/>
    </row>
    <row r="31" spans="2:14" x14ac:dyDescent="0.3">
      <c r="B31" s="94"/>
      <c r="C31" s="94"/>
      <c r="D31" s="94"/>
      <c r="E31" s="94"/>
      <c r="F31" s="94"/>
      <c r="G31" s="94"/>
      <c r="H31" s="94"/>
      <c r="I31" s="94"/>
      <c r="J31" s="94"/>
      <c r="K31" s="94"/>
      <c r="L31" s="94"/>
      <c r="M31" s="94"/>
      <c r="N31" s="94"/>
    </row>
    <row r="32" spans="2:14" x14ac:dyDescent="0.3">
      <c r="B32" s="94"/>
      <c r="C32" s="94"/>
      <c r="D32" s="94"/>
      <c r="E32" s="94"/>
      <c r="F32" s="94"/>
      <c r="G32" s="94"/>
      <c r="H32" s="94"/>
      <c r="I32" s="94"/>
      <c r="J32" s="94"/>
      <c r="K32" s="94"/>
      <c r="L32" s="94"/>
      <c r="M32" s="94"/>
      <c r="N32" s="94"/>
    </row>
    <row r="33" spans="2:14" x14ac:dyDescent="0.3">
      <c r="B33" s="94"/>
      <c r="C33" s="94"/>
      <c r="D33" s="94"/>
      <c r="E33" s="94"/>
      <c r="F33" s="94"/>
      <c r="G33" s="94"/>
      <c r="H33" s="94"/>
      <c r="I33" s="94"/>
      <c r="J33" s="94"/>
      <c r="K33" s="94"/>
      <c r="L33" s="94"/>
      <c r="M33" s="94"/>
      <c r="N33" s="94"/>
    </row>
    <row r="34" spans="2:14" x14ac:dyDescent="0.3">
      <c r="B34" s="94"/>
      <c r="C34" s="94"/>
      <c r="D34" s="94"/>
      <c r="E34" s="94"/>
      <c r="F34" s="94"/>
      <c r="G34" s="94"/>
      <c r="H34" s="94"/>
      <c r="I34" s="94"/>
      <c r="J34" s="94"/>
      <c r="K34" s="94"/>
      <c r="L34" s="94"/>
      <c r="M34" s="94"/>
      <c r="N34" s="94"/>
    </row>
    <row r="35" spans="2:14" x14ac:dyDescent="0.3">
      <c r="B35" s="94"/>
      <c r="C35" s="94"/>
      <c r="D35" s="94"/>
      <c r="E35" s="94"/>
      <c r="F35" s="94"/>
      <c r="G35" s="94"/>
      <c r="H35" s="94"/>
      <c r="I35" s="94"/>
      <c r="J35" s="94"/>
      <c r="K35" s="94"/>
      <c r="L35" s="94"/>
      <c r="M35" s="94"/>
      <c r="N35" s="94"/>
    </row>
    <row r="36" spans="2:14" x14ac:dyDescent="0.3">
      <c r="B36" s="94"/>
      <c r="C36" s="94"/>
      <c r="D36" s="94"/>
      <c r="E36" s="94"/>
      <c r="F36" s="94"/>
      <c r="G36" s="94"/>
      <c r="H36" s="94"/>
      <c r="I36" s="94"/>
      <c r="J36" s="94"/>
      <c r="K36" s="94"/>
      <c r="L36" s="94"/>
      <c r="M36" s="94"/>
      <c r="N36" s="94"/>
    </row>
    <row r="37" spans="2:14" x14ac:dyDescent="0.3">
      <c r="B37" s="94"/>
      <c r="C37" s="94"/>
      <c r="D37" s="94"/>
      <c r="E37" s="94"/>
      <c r="F37" s="94"/>
      <c r="G37" s="94"/>
      <c r="H37" s="94"/>
      <c r="I37" s="94"/>
      <c r="J37" s="94"/>
      <c r="K37" s="94"/>
      <c r="L37" s="94"/>
      <c r="M37" s="94"/>
      <c r="N37" s="94"/>
    </row>
    <row r="38" spans="2:14" x14ac:dyDescent="0.3">
      <c r="B38" s="94"/>
      <c r="C38" s="94"/>
      <c r="D38" s="94"/>
      <c r="E38" s="94"/>
      <c r="F38" s="94"/>
      <c r="G38" s="94"/>
      <c r="H38" s="94"/>
      <c r="I38" s="94"/>
      <c r="J38" s="94"/>
      <c r="K38" s="94"/>
      <c r="L38" s="94"/>
      <c r="M38" s="94"/>
      <c r="N38" s="94"/>
    </row>
    <row r="39" spans="2:14" x14ac:dyDescent="0.3">
      <c r="B39" s="94"/>
      <c r="C39" s="94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</row>
    <row r="40" spans="2:14" x14ac:dyDescent="0.3">
      <c r="B40" s="94"/>
      <c r="C40" s="94"/>
      <c r="D40" s="94"/>
      <c r="E40" s="94"/>
      <c r="F40" s="94"/>
      <c r="G40" s="94"/>
      <c r="H40" s="94"/>
      <c r="I40" s="94"/>
      <c r="J40" s="94"/>
      <c r="K40" s="94"/>
      <c r="L40" s="94"/>
      <c r="M40" s="94"/>
      <c r="N40" s="94"/>
    </row>
    <row r="41" spans="2:14" x14ac:dyDescent="0.3">
      <c r="B41" s="94"/>
      <c r="C41" s="94"/>
      <c r="D41" s="94"/>
      <c r="E41" s="94"/>
      <c r="F41" s="94"/>
      <c r="G41" s="94"/>
      <c r="H41" s="94"/>
      <c r="I41" s="94"/>
      <c r="J41" s="94"/>
      <c r="K41" s="94"/>
      <c r="L41" s="94"/>
      <c r="M41" s="94"/>
      <c r="N41" s="94"/>
    </row>
    <row r="42" spans="2:14" x14ac:dyDescent="0.3">
      <c r="B42" s="94"/>
      <c r="C42" s="94"/>
      <c r="D42" s="94"/>
      <c r="E42" s="94"/>
      <c r="F42" s="94"/>
      <c r="G42" s="94"/>
      <c r="H42" s="94"/>
      <c r="I42" s="94"/>
      <c r="J42" s="94"/>
      <c r="K42" s="94"/>
      <c r="L42" s="94"/>
      <c r="M42" s="94"/>
      <c r="N42" s="94"/>
    </row>
    <row r="43" spans="2:14" x14ac:dyDescent="0.3">
      <c r="F43" s="123"/>
      <c r="L43" s="94"/>
    </row>
    <row r="44" spans="2:14" x14ac:dyDescent="0.3">
      <c r="F44" s="123"/>
      <c r="L44" s="94"/>
    </row>
    <row r="45" spans="2:14" x14ac:dyDescent="0.3">
      <c r="F45" s="123"/>
      <c r="L45" s="94"/>
    </row>
    <row r="46" spans="2:14" x14ac:dyDescent="0.3">
      <c r="F46" s="123"/>
      <c r="L46" s="94"/>
    </row>
    <row r="47" spans="2:14" x14ac:dyDescent="0.3">
      <c r="F47" s="123"/>
      <c r="L47" s="94"/>
    </row>
    <row r="48" spans="2:14" x14ac:dyDescent="0.3">
      <c r="F48" s="123"/>
      <c r="L48" s="94"/>
    </row>
  </sheetData>
  <mergeCells count="14">
    <mergeCell ref="F1:F2"/>
    <mergeCell ref="C15:F15"/>
    <mergeCell ref="O1:T1"/>
    <mergeCell ref="U5:V5"/>
    <mergeCell ref="G1:G2"/>
    <mergeCell ref="I1:I2"/>
    <mergeCell ref="J1:J2"/>
    <mergeCell ref="K1:K2"/>
    <mergeCell ref="L1:L2"/>
    <mergeCell ref="A1:A2"/>
    <mergeCell ref="B1:B2"/>
    <mergeCell ref="C1:C2"/>
    <mergeCell ref="D1:D2"/>
    <mergeCell ref="E1:E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Z48"/>
  <sheetViews>
    <sheetView workbookViewId="0">
      <selection activeCell="E20" sqref="E20"/>
    </sheetView>
  </sheetViews>
  <sheetFormatPr defaultColWidth="9.109375" defaultRowHeight="14.4" x14ac:dyDescent="0.3"/>
  <cols>
    <col min="1" max="2" width="9.109375" style="28"/>
    <col min="3" max="3" width="11.109375" style="28" customWidth="1"/>
    <col min="4" max="4" width="15.44140625" style="28" customWidth="1"/>
    <col min="5" max="5" width="12" style="28" customWidth="1"/>
    <col min="6" max="6" width="17.109375" style="39" customWidth="1"/>
    <col min="7" max="7" width="13.33203125" style="28" customWidth="1"/>
    <col min="8" max="8" width="11.44140625" style="28" customWidth="1"/>
    <col min="9" max="9" width="17.33203125" style="28" customWidth="1"/>
    <col min="10" max="10" width="11.6640625" style="28" customWidth="1"/>
    <col min="11" max="11" width="16.109375" style="28" customWidth="1"/>
    <col min="12" max="12" width="13.5546875" style="28" customWidth="1"/>
    <col min="13" max="13" width="9.109375" style="28"/>
    <col min="14" max="14" width="9.109375" style="28" customWidth="1"/>
    <col min="15" max="20" width="9.109375" style="28"/>
    <col min="21" max="21" width="14.33203125" style="28" customWidth="1"/>
    <col min="22" max="22" width="16.33203125" style="28" customWidth="1"/>
    <col min="23" max="25" width="9.109375" style="28"/>
    <col min="26" max="26" width="9.5546875" style="28" customWidth="1"/>
    <col min="27" max="16384" width="9.109375" style="28"/>
  </cols>
  <sheetData>
    <row r="1" spans="1:26" ht="45" customHeight="1" x14ac:dyDescent="0.35">
      <c r="A1" s="185" t="s">
        <v>0</v>
      </c>
      <c r="B1" s="187" t="s">
        <v>1</v>
      </c>
      <c r="C1" s="189" t="s">
        <v>2</v>
      </c>
      <c r="D1" s="191" t="s">
        <v>3</v>
      </c>
      <c r="E1" s="193" t="s">
        <v>4</v>
      </c>
      <c r="F1" s="179" t="s">
        <v>5</v>
      </c>
      <c r="G1" s="195" t="s">
        <v>6</v>
      </c>
      <c r="H1" s="92" t="s">
        <v>7</v>
      </c>
      <c r="I1" s="195" t="s">
        <v>8</v>
      </c>
      <c r="J1" s="196" t="s">
        <v>9</v>
      </c>
      <c r="K1" s="187" t="s">
        <v>10</v>
      </c>
      <c r="L1" s="187" t="s">
        <v>11</v>
      </c>
      <c r="M1" s="94"/>
      <c r="N1" s="94"/>
      <c r="O1" s="182" t="s">
        <v>12</v>
      </c>
      <c r="P1" s="182"/>
      <c r="Q1" s="182"/>
      <c r="R1" s="182"/>
      <c r="S1" s="182"/>
      <c r="T1" s="182"/>
      <c r="Z1" s="29">
        <v>45677</v>
      </c>
    </row>
    <row r="2" spans="1:26" ht="17.100000000000001" customHeight="1" x14ac:dyDescent="0.3">
      <c r="A2" s="186"/>
      <c r="B2" s="188"/>
      <c r="C2" s="190"/>
      <c r="D2" s="192"/>
      <c r="E2" s="194"/>
      <c r="F2" s="180"/>
      <c r="G2" s="180"/>
      <c r="H2" s="95"/>
      <c r="I2" s="180"/>
      <c r="J2" s="197"/>
      <c r="K2" s="188"/>
      <c r="L2" s="188"/>
      <c r="M2" s="94"/>
      <c r="N2" s="94"/>
      <c r="O2" s="96" t="s">
        <v>13</v>
      </c>
      <c r="P2" s="97" t="s">
        <v>13</v>
      </c>
      <c r="Q2" s="98" t="s">
        <v>13</v>
      </c>
      <c r="R2" s="96" t="s">
        <v>14</v>
      </c>
      <c r="S2" s="97" t="s">
        <v>14</v>
      </c>
      <c r="T2" s="98" t="s">
        <v>14</v>
      </c>
      <c r="U2" s="94"/>
      <c r="V2" s="94"/>
    </row>
    <row r="3" spans="1:26" ht="17.100000000000001" customHeight="1" x14ac:dyDescent="0.3">
      <c r="A3" s="127" t="s">
        <v>38</v>
      </c>
      <c r="B3" s="50" t="s">
        <v>16</v>
      </c>
      <c r="C3" s="31">
        <v>114</v>
      </c>
      <c r="D3" s="99" t="s">
        <v>17</v>
      </c>
      <c r="E3" s="81">
        <v>1</v>
      </c>
      <c r="F3" s="93">
        <v>321</v>
      </c>
      <c r="G3" s="100">
        <v>28</v>
      </c>
      <c r="H3" s="100">
        <f t="shared" ref="H3:H8" si="0">RANK(G3,$G$3:$G$10)</f>
        <v>5</v>
      </c>
      <c r="I3" s="101">
        <v>88</v>
      </c>
      <c r="J3" s="32">
        <f>RANK(I3,$I$3:$I$10)+COUNTIF(I3:$I$3,I3)-1</f>
        <v>2</v>
      </c>
      <c r="K3" s="102">
        <f t="shared" ref="K3:K8" si="1">(E3+J3)/2</f>
        <v>1.5</v>
      </c>
      <c r="L3" s="102">
        <f>RANK(K3,$K$3:$K$10,1)+COUNTIF(K3:$K$6,K3)-1</f>
        <v>2</v>
      </c>
      <c r="M3" s="94"/>
      <c r="N3" s="94"/>
      <c r="O3" s="103" t="s">
        <v>18</v>
      </c>
      <c r="P3" s="104" t="s">
        <v>19</v>
      </c>
      <c r="Q3" s="105" t="s">
        <v>20</v>
      </c>
      <c r="R3" s="103" t="s">
        <v>18</v>
      </c>
      <c r="S3" s="104" t="s">
        <v>19</v>
      </c>
      <c r="T3" s="106" t="s">
        <v>20</v>
      </c>
      <c r="U3" s="94"/>
      <c r="V3" s="94"/>
    </row>
    <row r="4" spans="1:26" ht="17.100000000000001" customHeight="1" x14ac:dyDescent="0.3">
      <c r="A4" s="128" t="s">
        <v>15</v>
      </c>
      <c r="B4" s="52" t="s">
        <v>21</v>
      </c>
      <c r="C4" s="31">
        <v>108</v>
      </c>
      <c r="D4" s="94" t="s">
        <v>22</v>
      </c>
      <c r="E4" s="82">
        <v>2</v>
      </c>
      <c r="F4" s="107">
        <v>338</v>
      </c>
      <c r="G4" s="94">
        <v>70</v>
      </c>
      <c r="H4" s="108">
        <f t="shared" si="0"/>
        <v>1</v>
      </c>
      <c r="I4" s="94">
        <v>90</v>
      </c>
      <c r="J4" s="34">
        <f>RANK(I4,$I$3:$I$10)+COUNTIF(I$3:$I4,I4)-1</f>
        <v>1</v>
      </c>
      <c r="K4" s="109">
        <f t="shared" si="1"/>
        <v>1.5</v>
      </c>
      <c r="L4" s="109">
        <f>RANK(K4,$K$3:$K$10,1)+COUNTIF(K4:$K$6,K4)-1</f>
        <v>1</v>
      </c>
      <c r="M4" s="94"/>
      <c r="N4" s="94"/>
      <c r="O4" s="48">
        <v>50</v>
      </c>
      <c r="P4" s="110">
        <v>98</v>
      </c>
      <c r="Q4" s="111">
        <v>121</v>
      </c>
      <c r="R4" s="49">
        <v>20</v>
      </c>
      <c r="S4" s="112">
        <v>67</v>
      </c>
      <c r="T4" s="113">
        <v>97</v>
      </c>
      <c r="U4" s="183" t="s">
        <v>23</v>
      </c>
      <c r="V4" s="184"/>
    </row>
    <row r="5" spans="1:26" ht="17.100000000000001" customHeight="1" x14ac:dyDescent="0.3">
      <c r="A5" s="128" t="s">
        <v>27</v>
      </c>
      <c r="B5" s="51" t="s">
        <v>24</v>
      </c>
      <c r="C5" s="31">
        <v>108</v>
      </c>
      <c r="D5" s="94" t="s">
        <v>22</v>
      </c>
      <c r="E5" s="82">
        <v>3</v>
      </c>
      <c r="F5" s="107">
        <v>332</v>
      </c>
      <c r="G5" s="94">
        <v>50</v>
      </c>
      <c r="H5" s="108">
        <f t="shared" si="0"/>
        <v>2</v>
      </c>
      <c r="I5" s="94">
        <v>88</v>
      </c>
      <c r="J5" s="34">
        <f>RANK(I5,$I$3:$I$10)+COUNTIF(I$3:$I5,I5)-1</f>
        <v>3</v>
      </c>
      <c r="K5" s="109">
        <f t="shared" si="1"/>
        <v>3</v>
      </c>
      <c r="L5" s="109">
        <f>RANK(K5,$K$3:$K$10,1)+COUNTIF(K5:$K$6,K5)-1</f>
        <v>3</v>
      </c>
      <c r="M5" s="94"/>
      <c r="N5" s="94"/>
      <c r="U5" s="115" t="s">
        <v>25</v>
      </c>
      <c r="V5" s="116" t="s">
        <v>26</v>
      </c>
    </row>
    <row r="6" spans="1:26" x14ac:dyDescent="0.3">
      <c r="A6" s="128" t="s">
        <v>27</v>
      </c>
      <c r="B6" s="52" t="s">
        <v>28</v>
      </c>
      <c r="C6" s="31">
        <v>92</v>
      </c>
      <c r="D6" s="94" t="s">
        <v>29</v>
      </c>
      <c r="E6" s="82">
        <v>4</v>
      </c>
      <c r="F6" s="107">
        <v>274</v>
      </c>
      <c r="G6" s="94">
        <v>27</v>
      </c>
      <c r="H6" s="108">
        <f t="shared" si="0"/>
        <v>6</v>
      </c>
      <c r="I6" s="108">
        <v>87</v>
      </c>
      <c r="J6" s="34">
        <f>RANK(I6,$I$3:$I$10)+COUNTIF(I$3:$I6,I6)-1</f>
        <v>5</v>
      </c>
      <c r="K6" s="109">
        <f t="shared" si="1"/>
        <v>4.5</v>
      </c>
      <c r="L6" s="109">
        <f>RANK(K6,$K$3:$K$10,1)+COUNTIF(K6:$K$6,K6)-1</f>
        <v>4</v>
      </c>
      <c r="M6" s="94"/>
      <c r="N6" s="94"/>
      <c r="U6" s="117">
        <f>P4+S4</f>
        <v>165</v>
      </c>
      <c r="V6" s="118">
        <f>Q4+T4</f>
        <v>218</v>
      </c>
    </row>
    <row r="7" spans="1:26" x14ac:dyDescent="0.3">
      <c r="A7" s="108" t="s">
        <v>15</v>
      </c>
      <c r="B7" s="51" t="s">
        <v>30</v>
      </c>
      <c r="C7" s="31">
        <v>85</v>
      </c>
      <c r="D7" s="94" t="s">
        <v>29</v>
      </c>
      <c r="E7" s="82">
        <v>5</v>
      </c>
      <c r="F7" s="107">
        <v>330</v>
      </c>
      <c r="G7" s="94">
        <v>43</v>
      </c>
      <c r="H7" s="108">
        <f t="shared" si="0"/>
        <v>4</v>
      </c>
      <c r="I7" s="94">
        <v>86</v>
      </c>
      <c r="J7" s="34">
        <f>RANK(I7,$I$3:$I$10)+COUNTIF(I$3:$I7,I7)-1</f>
        <v>6</v>
      </c>
      <c r="K7" s="109">
        <f t="shared" si="1"/>
        <v>5.5</v>
      </c>
      <c r="L7" s="109">
        <f>RANK(K7,$K$3:$K$10,1)+COUNTIF(K$6:$K7,K7)-1</f>
        <v>6</v>
      </c>
      <c r="M7" s="94"/>
      <c r="N7" s="94"/>
    </row>
    <row r="8" spans="1:26" x14ac:dyDescent="0.3">
      <c r="A8" s="108"/>
      <c r="B8" s="108" t="s">
        <v>31</v>
      </c>
      <c r="C8" s="108">
        <v>85</v>
      </c>
      <c r="D8" s="94" t="s">
        <v>29</v>
      </c>
      <c r="E8" s="82">
        <v>6</v>
      </c>
      <c r="F8" s="108">
        <v>321</v>
      </c>
      <c r="G8" s="94">
        <v>47</v>
      </c>
      <c r="H8" s="108">
        <f t="shared" si="0"/>
        <v>3</v>
      </c>
      <c r="I8" s="119">
        <v>88</v>
      </c>
      <c r="J8" s="108">
        <f>RANK(I8,$I$3:$I$10)+COUNTIF(I$3:$I8,I8)-1</f>
        <v>4</v>
      </c>
      <c r="K8" s="109">
        <f t="shared" si="1"/>
        <v>5</v>
      </c>
      <c r="L8" s="109">
        <f>RANK(K8,$K$3:$K$10,1)+COUNTIF(K$6:$K8,K8)-1</f>
        <v>5</v>
      </c>
      <c r="M8" s="94"/>
      <c r="N8" s="94"/>
    </row>
    <row r="9" spans="1:26" x14ac:dyDescent="0.3">
      <c r="A9" s="41"/>
      <c r="B9" s="41" t="s">
        <v>32</v>
      </c>
      <c r="C9" s="41">
        <v>83</v>
      </c>
      <c r="D9" s="44" t="s">
        <v>29</v>
      </c>
      <c r="E9" s="41">
        <v>7</v>
      </c>
      <c r="F9" s="41"/>
      <c r="G9" s="44"/>
      <c r="H9" s="41"/>
      <c r="I9" s="45"/>
      <c r="J9" s="41"/>
      <c r="K9" s="46"/>
      <c r="L9" s="47"/>
      <c r="M9" s="94"/>
      <c r="N9" s="94"/>
    </row>
    <row r="10" spans="1:26" x14ac:dyDescent="0.3">
      <c r="A10" s="36"/>
      <c r="B10" s="120"/>
      <c r="C10" s="37"/>
      <c r="D10" s="112"/>
      <c r="E10" s="37"/>
      <c r="F10" s="120"/>
      <c r="G10" s="112"/>
      <c r="H10" s="120"/>
      <c r="I10" s="114"/>
      <c r="J10" s="38"/>
      <c r="K10" s="121"/>
      <c r="L10" s="121"/>
      <c r="M10" s="94"/>
      <c r="N10" s="94"/>
    </row>
    <row r="11" spans="1:26" x14ac:dyDescent="0.3">
      <c r="B11" s="122" t="s">
        <v>33</v>
      </c>
      <c r="C11" s="122" t="s">
        <v>34</v>
      </c>
      <c r="D11" s="122"/>
      <c r="F11" s="94"/>
      <c r="G11" s="94"/>
      <c r="H11" s="94"/>
      <c r="I11" s="94"/>
      <c r="J11" s="94"/>
      <c r="K11" s="94"/>
      <c r="L11" s="94"/>
      <c r="M11" s="94"/>
      <c r="N11" s="94"/>
    </row>
    <row r="12" spans="1:26" x14ac:dyDescent="0.3">
      <c r="B12" s="122" t="s">
        <v>35</v>
      </c>
      <c r="C12" t="s">
        <v>36</v>
      </c>
      <c r="D12" s="122"/>
      <c r="F12" s="123"/>
      <c r="G12" s="94"/>
      <c r="H12" s="94"/>
      <c r="I12" s="94"/>
      <c r="J12" s="94"/>
      <c r="K12" s="94"/>
      <c r="L12" s="94"/>
      <c r="M12" s="94"/>
      <c r="N12" s="94"/>
    </row>
    <row r="13" spans="1:26" x14ac:dyDescent="0.3">
      <c r="B13" s="1" t="s">
        <v>33</v>
      </c>
      <c r="C13" s="27" t="s">
        <v>34</v>
      </c>
      <c r="D13" s="122"/>
      <c r="F13" s="94"/>
      <c r="G13" s="94"/>
      <c r="H13" s="94"/>
      <c r="I13" s="94"/>
      <c r="J13" s="94"/>
      <c r="K13" s="94"/>
      <c r="L13" s="94"/>
      <c r="M13" s="94"/>
    </row>
    <row r="14" spans="1:26" x14ac:dyDescent="0.3">
      <c r="B14" s="2"/>
      <c r="C14" s="2"/>
      <c r="D14" s="2"/>
      <c r="E14" s="2"/>
      <c r="F14" s="94"/>
      <c r="G14" s="94"/>
      <c r="H14" s="94"/>
      <c r="I14" s="94"/>
      <c r="J14" s="94"/>
      <c r="K14" s="94"/>
      <c r="L14" s="94"/>
      <c r="M14" s="94"/>
    </row>
    <row r="15" spans="1:26" x14ac:dyDescent="0.3">
      <c r="B15" s="44"/>
      <c r="C15" s="181" t="s">
        <v>39</v>
      </c>
      <c r="D15" s="181"/>
      <c r="E15" s="181"/>
      <c r="F15" s="181"/>
      <c r="G15" s="94"/>
      <c r="H15" s="94"/>
      <c r="I15" s="94"/>
      <c r="J15" s="94"/>
      <c r="K15" s="94"/>
      <c r="L15" s="94"/>
      <c r="M15" s="94"/>
    </row>
    <row r="16" spans="1:26" x14ac:dyDescent="0.3">
      <c r="B16" s="94"/>
      <c r="C16" s="94"/>
      <c r="D16" s="94"/>
      <c r="E16" s="94"/>
      <c r="F16" s="94"/>
      <c r="G16" s="94"/>
      <c r="H16" s="94"/>
      <c r="I16" s="94"/>
      <c r="J16" s="94"/>
      <c r="K16" s="94"/>
      <c r="L16" s="94"/>
      <c r="M16" s="94"/>
    </row>
    <row r="17" spans="2:14" x14ac:dyDescent="0.3">
      <c r="B17" s="94"/>
      <c r="C17" s="94"/>
      <c r="D17" s="94"/>
      <c r="E17" s="94"/>
      <c r="F17" s="94"/>
      <c r="G17" s="94"/>
      <c r="H17" s="94"/>
      <c r="I17" s="94"/>
      <c r="J17" s="94"/>
      <c r="K17" s="94"/>
      <c r="L17" s="94"/>
      <c r="M17" s="94"/>
    </row>
    <row r="18" spans="2:14" x14ac:dyDescent="0.3">
      <c r="B18" s="94"/>
      <c r="C18" s="94"/>
      <c r="D18" s="94"/>
      <c r="E18" s="94"/>
      <c r="F18" s="94"/>
      <c r="G18" s="94"/>
      <c r="H18" s="94"/>
      <c r="I18" s="94"/>
      <c r="J18" s="94"/>
      <c r="K18" s="94"/>
      <c r="L18" s="94"/>
      <c r="M18" s="94"/>
    </row>
    <row r="19" spans="2:14" x14ac:dyDescent="0.3">
      <c r="B19" s="94"/>
      <c r="C19" s="94"/>
      <c r="D19" s="94"/>
      <c r="E19" s="94"/>
      <c r="F19" s="94"/>
      <c r="G19" s="94"/>
      <c r="H19" s="94"/>
      <c r="I19" s="94"/>
      <c r="J19" s="94"/>
      <c r="K19" s="94"/>
      <c r="L19" s="94"/>
      <c r="M19" s="94"/>
    </row>
    <row r="20" spans="2:14" x14ac:dyDescent="0.3">
      <c r="B20" s="94"/>
      <c r="C20" s="94"/>
      <c r="D20" s="94"/>
      <c r="E20" s="94"/>
      <c r="F20" s="94"/>
      <c r="G20" s="94"/>
      <c r="H20" s="94"/>
      <c r="I20" s="94"/>
      <c r="J20" s="94"/>
      <c r="K20" s="94"/>
      <c r="L20" s="94"/>
      <c r="M20" s="94"/>
    </row>
    <row r="21" spans="2:14" x14ac:dyDescent="0.3">
      <c r="B21" s="94"/>
      <c r="C21" s="94"/>
      <c r="D21" s="94"/>
      <c r="E21" s="94"/>
      <c r="F21" s="94"/>
      <c r="G21" s="94"/>
      <c r="H21" s="94"/>
      <c r="I21" s="94"/>
      <c r="J21" s="94"/>
      <c r="K21" s="94"/>
      <c r="L21" s="94"/>
      <c r="M21" s="94"/>
    </row>
    <row r="22" spans="2:14" x14ac:dyDescent="0.3">
      <c r="B22" s="94"/>
      <c r="C22" s="94"/>
      <c r="D22" s="94"/>
      <c r="E22" s="94"/>
      <c r="F22" s="94"/>
      <c r="G22" s="94"/>
      <c r="H22" s="94"/>
      <c r="I22" s="94"/>
      <c r="J22" s="94"/>
      <c r="K22" s="94"/>
      <c r="L22" s="94"/>
      <c r="M22" s="94"/>
    </row>
    <row r="23" spans="2:14" x14ac:dyDescent="0.3">
      <c r="B23" s="94"/>
      <c r="C23" s="94"/>
      <c r="D23" s="94"/>
      <c r="E23" s="94"/>
      <c r="F23" s="94"/>
      <c r="G23" s="94"/>
      <c r="H23" s="94"/>
      <c r="I23" s="94"/>
      <c r="J23" s="94"/>
      <c r="K23" s="94"/>
      <c r="L23" s="94"/>
      <c r="M23" s="94"/>
    </row>
    <row r="24" spans="2:14" x14ac:dyDescent="0.3">
      <c r="B24" s="94"/>
      <c r="C24" s="94"/>
      <c r="D24" s="94"/>
      <c r="E24" s="94"/>
      <c r="F24" s="94"/>
      <c r="G24" s="94"/>
      <c r="H24" s="94"/>
      <c r="I24" s="94"/>
      <c r="J24" s="94"/>
      <c r="K24" s="94"/>
      <c r="L24" s="94"/>
      <c r="M24" s="94"/>
    </row>
    <row r="25" spans="2:14" x14ac:dyDescent="0.3">
      <c r="B25" s="94"/>
      <c r="C25" s="94"/>
      <c r="D25" s="94"/>
      <c r="E25" s="94"/>
      <c r="F25" s="94"/>
      <c r="G25" s="94"/>
      <c r="H25" s="94"/>
      <c r="I25" s="94"/>
      <c r="J25" s="94"/>
      <c r="K25" s="94"/>
      <c r="L25" s="94"/>
      <c r="M25" s="94"/>
      <c r="N25" s="94"/>
    </row>
    <row r="26" spans="2:14" x14ac:dyDescent="0.3">
      <c r="B26" s="94"/>
      <c r="C26" s="94"/>
      <c r="D26" s="94"/>
      <c r="E26" s="94"/>
      <c r="F26" s="94"/>
      <c r="G26" s="94"/>
      <c r="H26" s="94"/>
      <c r="I26" s="94"/>
      <c r="J26" s="94"/>
      <c r="K26" s="94"/>
      <c r="L26" s="94"/>
      <c r="M26" s="94"/>
      <c r="N26" s="94"/>
    </row>
    <row r="27" spans="2:14" x14ac:dyDescent="0.3">
      <c r="B27" s="94"/>
      <c r="C27" s="94"/>
      <c r="D27" s="94"/>
      <c r="E27" s="94"/>
      <c r="F27" s="94"/>
      <c r="G27" s="94"/>
      <c r="H27" s="94"/>
      <c r="I27" s="94"/>
      <c r="J27" s="94"/>
      <c r="K27" s="94"/>
      <c r="L27" s="94"/>
      <c r="M27" s="94"/>
      <c r="N27" s="94"/>
    </row>
    <row r="28" spans="2:14" x14ac:dyDescent="0.3">
      <c r="B28" s="94"/>
      <c r="C28" s="94"/>
      <c r="D28" s="94"/>
      <c r="E28" s="94"/>
      <c r="F28" s="94"/>
      <c r="G28" s="94"/>
      <c r="H28" s="94"/>
      <c r="I28" s="94"/>
      <c r="J28" s="94"/>
      <c r="K28" s="94"/>
      <c r="L28" s="94"/>
      <c r="M28" s="94"/>
      <c r="N28" s="94"/>
    </row>
    <row r="29" spans="2:14" x14ac:dyDescent="0.3">
      <c r="B29" s="94"/>
      <c r="C29" s="94"/>
      <c r="D29" s="94"/>
      <c r="E29" s="94"/>
      <c r="F29" s="94"/>
      <c r="G29" s="94"/>
      <c r="H29" s="94"/>
      <c r="I29" s="94"/>
      <c r="J29" s="94"/>
      <c r="K29" s="94"/>
      <c r="L29" s="94"/>
      <c r="M29" s="94"/>
      <c r="N29" s="94"/>
    </row>
    <row r="30" spans="2:14" x14ac:dyDescent="0.3">
      <c r="B30" s="94"/>
      <c r="C30" s="94"/>
      <c r="D30" s="94"/>
      <c r="E30" s="94"/>
      <c r="F30" s="94"/>
      <c r="G30" s="94"/>
      <c r="H30" s="94"/>
      <c r="I30" s="94"/>
      <c r="J30" s="94"/>
      <c r="K30" s="94"/>
      <c r="L30" s="94"/>
      <c r="M30" s="94"/>
      <c r="N30" s="94"/>
    </row>
    <row r="31" spans="2:14" x14ac:dyDescent="0.3">
      <c r="B31" s="94"/>
      <c r="C31" s="94"/>
      <c r="D31" s="94"/>
      <c r="E31" s="94"/>
      <c r="F31" s="94"/>
      <c r="G31" s="94"/>
      <c r="H31" s="94"/>
      <c r="I31" s="94"/>
      <c r="J31" s="94"/>
      <c r="K31" s="94"/>
      <c r="L31" s="94"/>
      <c r="M31" s="94"/>
      <c r="N31" s="94"/>
    </row>
    <row r="32" spans="2:14" x14ac:dyDescent="0.3">
      <c r="B32" s="94"/>
      <c r="C32" s="94"/>
      <c r="D32" s="94"/>
      <c r="E32" s="94"/>
      <c r="F32" s="94"/>
      <c r="G32" s="94"/>
      <c r="H32" s="94"/>
      <c r="I32" s="94"/>
      <c r="J32" s="94"/>
      <c r="K32" s="94"/>
      <c r="L32" s="94"/>
      <c r="M32" s="94"/>
      <c r="N32" s="94"/>
    </row>
    <row r="33" spans="2:14" x14ac:dyDescent="0.3">
      <c r="B33" s="94"/>
      <c r="C33" s="94"/>
      <c r="D33" s="94"/>
      <c r="E33" s="94"/>
      <c r="F33" s="94"/>
      <c r="G33" s="94"/>
      <c r="H33" s="94"/>
      <c r="I33" s="94"/>
      <c r="J33" s="94"/>
      <c r="K33" s="94"/>
      <c r="L33" s="94"/>
      <c r="M33" s="94"/>
      <c r="N33" s="94"/>
    </row>
    <row r="34" spans="2:14" x14ac:dyDescent="0.3">
      <c r="B34" s="94"/>
      <c r="C34" s="94"/>
      <c r="D34" s="94"/>
      <c r="E34" s="94"/>
      <c r="F34" s="94"/>
      <c r="G34" s="94"/>
      <c r="H34" s="94"/>
      <c r="I34" s="94"/>
      <c r="J34" s="94"/>
      <c r="K34" s="94"/>
      <c r="L34" s="94"/>
      <c r="M34" s="94"/>
      <c r="N34" s="94"/>
    </row>
    <row r="35" spans="2:14" x14ac:dyDescent="0.3">
      <c r="B35" s="94"/>
      <c r="C35" s="94"/>
      <c r="D35" s="94"/>
      <c r="E35" s="94"/>
      <c r="F35" s="94"/>
      <c r="G35" s="94"/>
      <c r="H35" s="94"/>
      <c r="I35" s="94"/>
      <c r="J35" s="94"/>
      <c r="K35" s="94"/>
      <c r="L35" s="94"/>
      <c r="M35" s="94"/>
      <c r="N35" s="94"/>
    </row>
    <row r="36" spans="2:14" x14ac:dyDescent="0.3">
      <c r="B36" s="94"/>
      <c r="C36" s="94"/>
      <c r="D36" s="94"/>
      <c r="E36" s="94"/>
      <c r="F36" s="94"/>
      <c r="G36" s="94"/>
      <c r="H36" s="94"/>
      <c r="I36" s="94"/>
      <c r="J36" s="94"/>
      <c r="K36" s="94"/>
      <c r="L36" s="94"/>
      <c r="M36" s="94"/>
      <c r="N36" s="94"/>
    </row>
    <row r="37" spans="2:14" x14ac:dyDescent="0.3">
      <c r="B37" s="94"/>
      <c r="C37" s="94"/>
      <c r="D37" s="94"/>
      <c r="E37" s="94"/>
      <c r="F37" s="94"/>
      <c r="G37" s="94"/>
      <c r="H37" s="94"/>
      <c r="I37" s="94"/>
      <c r="J37" s="94"/>
      <c r="K37" s="94"/>
      <c r="L37" s="94"/>
      <c r="M37" s="94"/>
      <c r="N37" s="94"/>
    </row>
    <row r="38" spans="2:14" x14ac:dyDescent="0.3">
      <c r="B38" s="94"/>
      <c r="C38" s="94"/>
      <c r="D38" s="94"/>
      <c r="E38" s="94"/>
      <c r="F38" s="94"/>
      <c r="G38" s="94"/>
      <c r="H38" s="94"/>
      <c r="I38" s="94"/>
      <c r="J38" s="94"/>
      <c r="K38" s="94"/>
      <c r="L38" s="94"/>
      <c r="M38" s="94"/>
      <c r="N38" s="94"/>
    </row>
    <row r="39" spans="2:14" x14ac:dyDescent="0.3">
      <c r="B39" s="94"/>
      <c r="C39" s="94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</row>
    <row r="40" spans="2:14" x14ac:dyDescent="0.3">
      <c r="B40" s="94"/>
      <c r="C40" s="94"/>
      <c r="D40" s="94"/>
      <c r="E40" s="94"/>
      <c r="F40" s="94"/>
      <c r="G40" s="94"/>
      <c r="H40" s="94"/>
      <c r="I40" s="94"/>
      <c r="J40" s="94"/>
      <c r="K40" s="94"/>
      <c r="L40" s="94"/>
      <c r="M40" s="94"/>
      <c r="N40" s="94"/>
    </row>
    <row r="41" spans="2:14" x14ac:dyDescent="0.3">
      <c r="B41" s="94"/>
      <c r="C41" s="94"/>
      <c r="D41" s="94"/>
      <c r="E41" s="94"/>
      <c r="F41" s="94"/>
      <c r="G41" s="94"/>
      <c r="H41" s="94"/>
      <c r="I41" s="94"/>
      <c r="J41" s="94"/>
      <c r="K41" s="94"/>
      <c r="L41" s="94"/>
      <c r="M41" s="94"/>
      <c r="N41" s="94"/>
    </row>
    <row r="42" spans="2:14" x14ac:dyDescent="0.3">
      <c r="B42" s="94"/>
      <c r="C42" s="94"/>
      <c r="D42" s="94"/>
      <c r="E42" s="94"/>
      <c r="F42" s="94"/>
      <c r="G42" s="94"/>
      <c r="H42" s="94"/>
      <c r="I42" s="94"/>
      <c r="J42" s="94"/>
      <c r="K42" s="94"/>
      <c r="L42" s="94"/>
      <c r="M42" s="94"/>
      <c r="N42" s="94"/>
    </row>
    <row r="43" spans="2:14" x14ac:dyDescent="0.3">
      <c r="F43" s="123"/>
      <c r="L43" s="94"/>
    </row>
    <row r="44" spans="2:14" x14ac:dyDescent="0.3">
      <c r="F44" s="123"/>
      <c r="L44" s="94"/>
    </row>
    <row r="45" spans="2:14" x14ac:dyDescent="0.3">
      <c r="F45" s="123"/>
      <c r="L45" s="94"/>
    </row>
    <row r="46" spans="2:14" x14ac:dyDescent="0.3">
      <c r="F46" s="123"/>
      <c r="L46" s="94"/>
    </row>
    <row r="47" spans="2:14" x14ac:dyDescent="0.3">
      <c r="F47" s="123"/>
      <c r="L47" s="94"/>
    </row>
    <row r="48" spans="2:14" x14ac:dyDescent="0.3">
      <c r="F48" s="123"/>
      <c r="L48" s="94"/>
    </row>
  </sheetData>
  <mergeCells count="14">
    <mergeCell ref="O1:T1"/>
    <mergeCell ref="U4:V4"/>
    <mergeCell ref="G1:G2"/>
    <mergeCell ref="I1:I2"/>
    <mergeCell ref="J1:J2"/>
    <mergeCell ref="K1:K2"/>
    <mergeCell ref="L1:L2"/>
    <mergeCell ref="C15:F15"/>
    <mergeCell ref="A1:A2"/>
    <mergeCell ref="B1:B2"/>
    <mergeCell ref="C1:C2"/>
    <mergeCell ref="D1:D2"/>
    <mergeCell ref="E1:E2"/>
    <mergeCell ref="F1:F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Z50"/>
  <sheetViews>
    <sheetView workbookViewId="0">
      <selection activeCell="T5" sqref="T5"/>
    </sheetView>
  </sheetViews>
  <sheetFormatPr defaultColWidth="9.109375" defaultRowHeight="14.4" x14ac:dyDescent="0.3"/>
  <cols>
    <col min="1" max="2" width="9.109375" style="28"/>
    <col min="3" max="3" width="11.109375" style="28" customWidth="1"/>
    <col min="4" max="4" width="15.44140625" style="28" customWidth="1"/>
    <col min="5" max="5" width="12" style="28" customWidth="1"/>
    <col min="6" max="6" width="17.109375" style="39" customWidth="1"/>
    <col min="7" max="7" width="13.33203125" style="28" customWidth="1"/>
    <col min="8" max="8" width="11.44140625" style="28" customWidth="1"/>
    <col min="9" max="9" width="17.33203125" style="28" customWidth="1"/>
    <col min="10" max="10" width="11.6640625" style="28" customWidth="1"/>
    <col min="11" max="11" width="16.109375" style="28" customWidth="1"/>
    <col min="12" max="12" width="13.5546875" style="28" customWidth="1"/>
    <col min="13" max="13" width="9.109375" style="28"/>
    <col min="14" max="14" width="9.109375" style="28" customWidth="1"/>
    <col min="15" max="20" width="9.109375" style="28"/>
    <col min="21" max="21" width="15.109375" style="28" customWidth="1"/>
    <col min="22" max="22" width="13.6640625" style="28" customWidth="1"/>
    <col min="23" max="25" width="9.109375" style="28"/>
    <col min="26" max="26" width="9.5546875" style="28" customWidth="1"/>
    <col min="27" max="16384" width="9.109375" style="28"/>
  </cols>
  <sheetData>
    <row r="1" spans="1:26" ht="45" customHeight="1" x14ac:dyDescent="0.35">
      <c r="A1" s="185" t="s">
        <v>0</v>
      </c>
      <c r="B1" s="187" t="s">
        <v>1</v>
      </c>
      <c r="C1" s="189" t="s">
        <v>2</v>
      </c>
      <c r="D1" s="191" t="s">
        <v>3</v>
      </c>
      <c r="E1" s="193" t="s">
        <v>4</v>
      </c>
      <c r="F1" s="179" t="s">
        <v>5</v>
      </c>
      <c r="G1" s="195" t="s">
        <v>6</v>
      </c>
      <c r="H1" s="92" t="s">
        <v>7</v>
      </c>
      <c r="I1" s="195" t="s">
        <v>8</v>
      </c>
      <c r="J1" s="196" t="s">
        <v>9</v>
      </c>
      <c r="K1" s="187" t="s">
        <v>10</v>
      </c>
      <c r="L1" s="187" t="s">
        <v>11</v>
      </c>
      <c r="M1" s="94"/>
      <c r="N1" s="94"/>
      <c r="O1" s="182" t="s">
        <v>12</v>
      </c>
      <c r="P1" s="182"/>
      <c r="Q1" s="182"/>
      <c r="R1" s="182"/>
      <c r="S1" s="182"/>
      <c r="T1" s="182"/>
      <c r="Z1" s="29">
        <v>45677</v>
      </c>
    </row>
    <row r="2" spans="1:26" ht="17.100000000000001" customHeight="1" x14ac:dyDescent="0.3">
      <c r="A2" s="186"/>
      <c r="B2" s="188"/>
      <c r="C2" s="190"/>
      <c r="D2" s="192"/>
      <c r="E2" s="194"/>
      <c r="F2" s="180"/>
      <c r="G2" s="180"/>
      <c r="H2" s="95"/>
      <c r="I2" s="180"/>
      <c r="J2" s="197"/>
      <c r="K2" s="188"/>
      <c r="L2" s="188"/>
      <c r="M2" s="94"/>
      <c r="N2" s="94"/>
      <c r="O2" s="96" t="s">
        <v>13</v>
      </c>
      <c r="P2" s="97" t="s">
        <v>13</v>
      </c>
      <c r="Q2" s="98" t="s">
        <v>13</v>
      </c>
      <c r="R2" s="96" t="s">
        <v>14</v>
      </c>
      <c r="S2" s="97" t="s">
        <v>14</v>
      </c>
      <c r="T2" s="98" t="s">
        <v>14</v>
      </c>
      <c r="U2" s="94"/>
      <c r="V2" s="94"/>
    </row>
    <row r="3" spans="1:26" ht="17.100000000000001" customHeight="1" x14ac:dyDescent="0.3">
      <c r="A3" s="30" t="s">
        <v>15</v>
      </c>
      <c r="B3" s="40" t="s">
        <v>16</v>
      </c>
      <c r="C3" s="31">
        <v>114</v>
      </c>
      <c r="D3" s="99" t="s">
        <v>17</v>
      </c>
      <c r="E3" s="81">
        <v>1</v>
      </c>
      <c r="F3" s="93">
        <v>184</v>
      </c>
      <c r="G3" s="100">
        <v>47</v>
      </c>
      <c r="H3" s="100">
        <f t="shared" ref="H3:H8" si="0">RANK(G3,$G$3:$G$10)</f>
        <v>1</v>
      </c>
      <c r="I3" s="101">
        <v>88</v>
      </c>
      <c r="J3" s="32">
        <f>RANK(I3,$I$3:$I$10)+COUNTIF(I3:$I$3,I3)-1</f>
        <v>2</v>
      </c>
      <c r="K3" s="102">
        <f t="shared" ref="K3:K8" si="1">(E3+J3)/2</f>
        <v>1.5</v>
      </c>
      <c r="L3" s="102">
        <f>RANK(K3,$K$3:$K$10,1)+COUNTIF(K3:$K$6,K3)-1</f>
        <v>2</v>
      </c>
      <c r="M3" s="94"/>
      <c r="N3" s="94"/>
      <c r="O3" s="103" t="s">
        <v>18</v>
      </c>
      <c r="P3" s="104" t="s">
        <v>19</v>
      </c>
      <c r="Q3" s="105" t="s">
        <v>20</v>
      </c>
      <c r="R3" s="103" t="s">
        <v>18</v>
      </c>
      <c r="S3" s="104" t="s">
        <v>19</v>
      </c>
      <c r="T3" s="106" t="s">
        <v>20</v>
      </c>
      <c r="U3" s="94"/>
      <c r="V3" s="94"/>
    </row>
    <row r="4" spans="1:26" ht="17.100000000000001" customHeight="1" x14ac:dyDescent="0.3">
      <c r="A4" s="33" t="s">
        <v>15</v>
      </c>
      <c r="B4" s="51" t="s">
        <v>21</v>
      </c>
      <c r="C4" s="31">
        <v>108</v>
      </c>
      <c r="D4" s="94" t="s">
        <v>22</v>
      </c>
      <c r="E4" s="82">
        <v>2</v>
      </c>
      <c r="F4" s="107">
        <v>234</v>
      </c>
      <c r="G4" s="94">
        <v>44</v>
      </c>
      <c r="H4" s="108">
        <f t="shared" si="0"/>
        <v>3</v>
      </c>
      <c r="I4" s="94">
        <v>89</v>
      </c>
      <c r="J4" s="34">
        <f>RANK(I4,$I$3:$I$10)+COUNTIF(I$3:$I4,I4)-1</f>
        <v>1</v>
      </c>
      <c r="K4" s="109">
        <f t="shared" si="1"/>
        <v>1.5</v>
      </c>
      <c r="L4" s="109">
        <f>RANK(K4,$K$3:$K$10,1)+COUNTIF(K4:$K$6,K4)-1</f>
        <v>1</v>
      </c>
      <c r="M4" s="94"/>
      <c r="N4" s="94"/>
      <c r="O4" s="48">
        <v>50</v>
      </c>
      <c r="P4" s="110">
        <v>121</v>
      </c>
      <c r="Q4" s="111">
        <v>74</v>
      </c>
      <c r="R4" s="49">
        <v>20</v>
      </c>
      <c r="S4" s="112">
        <v>97</v>
      </c>
      <c r="T4" s="113">
        <v>84</v>
      </c>
    </row>
    <row r="5" spans="1:26" ht="17.100000000000001" customHeight="1" x14ac:dyDescent="0.3">
      <c r="A5" s="33" t="s">
        <v>27</v>
      </c>
      <c r="B5" s="51" t="s">
        <v>24</v>
      </c>
      <c r="C5" s="31">
        <v>108</v>
      </c>
      <c r="D5" s="94" t="s">
        <v>22</v>
      </c>
      <c r="E5" s="82">
        <v>3</v>
      </c>
      <c r="F5" s="107">
        <v>302</v>
      </c>
      <c r="G5" s="94">
        <v>30</v>
      </c>
      <c r="H5" s="108">
        <f t="shared" si="0"/>
        <v>6</v>
      </c>
      <c r="I5" s="94">
        <v>88</v>
      </c>
      <c r="J5" s="34">
        <f>RANK(I5,$I$3:$I$10)+COUNTIF(I$3:$I5,I5)-1</f>
        <v>3</v>
      </c>
      <c r="K5" s="109">
        <f t="shared" si="1"/>
        <v>3</v>
      </c>
      <c r="L5" s="109">
        <f>RANK(K5,$K$3:$K$10,1)+COUNTIF(K5:$K$6,K5)-1</f>
        <v>3</v>
      </c>
      <c r="M5" s="94"/>
      <c r="N5" s="94"/>
      <c r="U5" s="183" t="s">
        <v>23</v>
      </c>
      <c r="V5" s="184"/>
    </row>
    <row r="6" spans="1:26" x14ac:dyDescent="0.3">
      <c r="A6" s="33" t="s">
        <v>15</v>
      </c>
      <c r="B6" s="52" t="s">
        <v>28</v>
      </c>
      <c r="C6" s="31">
        <v>92</v>
      </c>
      <c r="D6" s="94" t="s">
        <v>29</v>
      </c>
      <c r="E6" s="82">
        <v>4</v>
      </c>
      <c r="F6" s="107">
        <v>206</v>
      </c>
      <c r="G6" s="94">
        <v>37</v>
      </c>
      <c r="H6" s="108">
        <f t="shared" si="0"/>
        <v>5</v>
      </c>
      <c r="I6" s="108">
        <v>88</v>
      </c>
      <c r="J6" s="34">
        <f>RANK(I6,$I$3:$I$10)+COUNTIF(I$3:$I6,I6)-1</f>
        <v>4</v>
      </c>
      <c r="K6" s="109">
        <f t="shared" si="1"/>
        <v>4</v>
      </c>
      <c r="L6" s="109">
        <f>RANK(K6,$K$3:$K$10,1)+COUNTIF(K6:$K$6,K6)-1</f>
        <v>4</v>
      </c>
      <c r="M6" s="94"/>
      <c r="N6" s="94"/>
      <c r="U6" s="115" t="s">
        <v>25</v>
      </c>
      <c r="V6" s="116" t="s">
        <v>26</v>
      </c>
    </row>
    <row r="7" spans="1:26" x14ac:dyDescent="0.3">
      <c r="A7" s="35"/>
      <c r="B7" s="108" t="s">
        <v>30</v>
      </c>
      <c r="C7" s="31">
        <v>85</v>
      </c>
      <c r="D7" s="94" t="s">
        <v>29</v>
      </c>
      <c r="E7" s="82">
        <v>5</v>
      </c>
      <c r="F7" s="107">
        <v>330</v>
      </c>
      <c r="G7" s="94">
        <v>43</v>
      </c>
      <c r="H7" s="108">
        <f t="shared" si="0"/>
        <v>4</v>
      </c>
      <c r="I7" s="94">
        <v>86</v>
      </c>
      <c r="J7" s="34">
        <f>RANK(I7,$I$3:$I$10)+COUNTIF(I$3:$I7,I7)-1</f>
        <v>6</v>
      </c>
      <c r="K7" s="109">
        <f t="shared" si="1"/>
        <v>5.5</v>
      </c>
      <c r="L7" s="109">
        <f>RANK(K7,$K$3:$K$10,1)+COUNTIF(K$6:$K7,K7)-1</f>
        <v>5</v>
      </c>
      <c r="M7" s="94"/>
      <c r="N7" s="94"/>
      <c r="U7" s="117">
        <f>P4+S4</f>
        <v>218</v>
      </c>
      <c r="V7" s="118">
        <f>Q4+T4</f>
        <v>158</v>
      </c>
    </row>
    <row r="8" spans="1:26" x14ac:dyDescent="0.3">
      <c r="A8" s="108"/>
      <c r="B8" s="108" t="s">
        <v>31</v>
      </c>
      <c r="C8" s="108">
        <v>85</v>
      </c>
      <c r="D8" s="94" t="s">
        <v>29</v>
      </c>
      <c r="E8" s="82">
        <v>6</v>
      </c>
      <c r="F8" s="108">
        <v>321</v>
      </c>
      <c r="G8" s="94">
        <v>47</v>
      </c>
      <c r="H8" s="108">
        <f t="shared" si="0"/>
        <v>1</v>
      </c>
      <c r="I8" s="119">
        <v>88</v>
      </c>
      <c r="J8" s="108">
        <f>RANK(I8,$I$3:$I$10)+COUNTIF(I$3:$I8,I8)-1</f>
        <v>5</v>
      </c>
      <c r="K8" s="109">
        <f t="shared" si="1"/>
        <v>5.5</v>
      </c>
      <c r="L8" s="109">
        <f>RANK(K8,$K$3:$K$10,1)+COUNTIF(K$6:$K8,K8)-1</f>
        <v>6</v>
      </c>
      <c r="M8" s="94"/>
      <c r="N8" s="94"/>
    </row>
    <row r="9" spans="1:26" x14ac:dyDescent="0.3">
      <c r="A9" s="41"/>
      <c r="B9" s="41" t="s">
        <v>32</v>
      </c>
      <c r="C9" s="41">
        <v>83</v>
      </c>
      <c r="D9" s="44" t="s">
        <v>29</v>
      </c>
      <c r="E9" s="41">
        <v>7</v>
      </c>
      <c r="F9" s="41"/>
      <c r="G9" s="44"/>
      <c r="H9" s="41"/>
      <c r="I9" s="45"/>
      <c r="J9" s="41"/>
      <c r="K9" s="46"/>
      <c r="L9" s="47"/>
      <c r="M9" s="94"/>
      <c r="N9" s="94"/>
    </row>
    <row r="10" spans="1:26" x14ac:dyDescent="0.3">
      <c r="A10" s="36"/>
      <c r="B10" s="120"/>
      <c r="C10" s="37"/>
      <c r="D10" s="112"/>
      <c r="E10" s="37"/>
      <c r="F10" s="120"/>
      <c r="G10" s="112"/>
      <c r="H10" s="120"/>
      <c r="I10" s="114"/>
      <c r="J10" s="38"/>
      <c r="K10" s="121"/>
      <c r="L10" s="121"/>
      <c r="M10" s="94"/>
      <c r="N10" s="94"/>
    </row>
    <row r="11" spans="1:26" x14ac:dyDescent="0.3">
      <c r="B11" s="122" t="s">
        <v>33</v>
      </c>
      <c r="C11" s="122" t="s">
        <v>34</v>
      </c>
      <c r="D11" s="122"/>
      <c r="F11" s="94"/>
      <c r="G11" s="94"/>
      <c r="H11" s="94"/>
      <c r="I11" s="94"/>
      <c r="J11" s="94"/>
      <c r="K11" s="94"/>
      <c r="L11" s="94"/>
      <c r="M11" s="94"/>
      <c r="N11" s="94"/>
    </row>
    <row r="12" spans="1:26" x14ac:dyDescent="0.3">
      <c r="B12" s="122" t="s">
        <v>35</v>
      </c>
      <c r="C12" t="s">
        <v>36</v>
      </c>
      <c r="D12" s="122"/>
      <c r="F12" s="123"/>
      <c r="G12" s="94"/>
      <c r="H12" s="94"/>
      <c r="I12" s="94"/>
      <c r="K12" s="94"/>
      <c r="L12" s="94"/>
      <c r="M12" s="94"/>
      <c r="N12" s="94"/>
    </row>
    <row r="13" spans="1:26" x14ac:dyDescent="0.3">
      <c r="B13" s="1" t="s">
        <v>33</v>
      </c>
      <c r="C13" s="27" t="s">
        <v>34</v>
      </c>
      <c r="D13" s="122"/>
      <c r="F13" s="94"/>
      <c r="G13" s="94"/>
      <c r="H13" s="94"/>
      <c r="I13" s="94"/>
      <c r="J13" s="94"/>
      <c r="K13" s="94"/>
      <c r="L13" s="94"/>
      <c r="M13" s="94"/>
    </row>
    <row r="14" spans="1:26" x14ac:dyDescent="0.3">
      <c r="B14" s="122" t="s">
        <v>40</v>
      </c>
      <c r="C14" s="122"/>
      <c r="D14" s="122"/>
      <c r="F14" s="94"/>
      <c r="G14" s="94"/>
      <c r="H14" s="94"/>
      <c r="I14" s="94"/>
      <c r="J14" s="94"/>
      <c r="K14" s="94"/>
      <c r="L14" s="94"/>
      <c r="M14" s="94"/>
    </row>
    <row r="15" spans="1:26" x14ac:dyDescent="0.3">
      <c r="B15" s="122" t="s">
        <v>41</v>
      </c>
      <c r="C15" s="122"/>
      <c r="D15" s="122"/>
      <c r="F15" s="94"/>
      <c r="G15" s="94"/>
      <c r="H15" s="94"/>
      <c r="I15" s="94"/>
      <c r="J15" s="94"/>
      <c r="K15" s="94"/>
      <c r="L15" s="94"/>
      <c r="M15" s="94"/>
    </row>
    <row r="16" spans="1:26" x14ac:dyDescent="0.3">
      <c r="B16" s="2"/>
      <c r="C16" s="2"/>
      <c r="D16" s="2"/>
      <c r="E16" s="2"/>
      <c r="F16" s="94"/>
      <c r="G16" s="94"/>
      <c r="H16" s="94"/>
      <c r="I16" s="94"/>
      <c r="J16" s="94"/>
      <c r="K16" s="94"/>
      <c r="L16" s="94"/>
      <c r="M16" s="94"/>
    </row>
    <row r="17" spans="2:14" x14ac:dyDescent="0.3">
      <c r="B17" s="44"/>
      <c r="C17" s="181" t="s">
        <v>37</v>
      </c>
      <c r="D17" s="181"/>
      <c r="E17" s="181"/>
      <c r="F17" s="181"/>
      <c r="G17" s="94"/>
      <c r="H17" s="94"/>
      <c r="I17" s="94"/>
      <c r="J17" s="94"/>
      <c r="K17" s="94"/>
      <c r="L17" s="94"/>
      <c r="M17" s="94"/>
    </row>
    <row r="18" spans="2:14" x14ac:dyDescent="0.3">
      <c r="B18" s="94"/>
      <c r="C18" s="94"/>
      <c r="D18" s="94"/>
      <c r="E18" s="94"/>
      <c r="F18" s="94"/>
      <c r="G18" s="94"/>
      <c r="H18" s="94"/>
      <c r="I18" s="94"/>
      <c r="J18" s="94"/>
      <c r="K18" s="94"/>
      <c r="L18" s="94"/>
      <c r="M18" s="94"/>
    </row>
    <row r="19" spans="2:14" x14ac:dyDescent="0.3">
      <c r="B19" s="94"/>
      <c r="C19" s="94"/>
      <c r="D19" s="94"/>
      <c r="E19" s="94"/>
      <c r="F19" s="94"/>
      <c r="G19" s="94"/>
      <c r="H19" s="94"/>
      <c r="I19" s="94"/>
      <c r="J19" s="94"/>
      <c r="K19" s="94"/>
      <c r="L19" s="94"/>
      <c r="M19" s="94"/>
    </row>
    <row r="20" spans="2:14" x14ac:dyDescent="0.3">
      <c r="B20" s="94"/>
      <c r="C20" s="94"/>
      <c r="D20" s="94"/>
      <c r="E20" s="94"/>
      <c r="F20" s="94"/>
      <c r="G20" s="94"/>
      <c r="H20" s="94"/>
      <c r="I20" s="94"/>
      <c r="J20" s="94"/>
      <c r="K20" s="94"/>
      <c r="L20" s="94"/>
      <c r="M20" s="94"/>
    </row>
    <row r="21" spans="2:14" x14ac:dyDescent="0.3">
      <c r="B21" s="94"/>
      <c r="C21" s="94"/>
      <c r="D21" s="94"/>
      <c r="E21" s="94"/>
      <c r="F21" s="94"/>
      <c r="G21" s="94"/>
      <c r="H21" s="94"/>
      <c r="I21" s="94"/>
      <c r="J21" s="94"/>
      <c r="K21" s="94"/>
      <c r="L21" s="94"/>
      <c r="M21" s="94"/>
    </row>
    <row r="22" spans="2:14" x14ac:dyDescent="0.3">
      <c r="B22" s="94"/>
      <c r="C22" s="94"/>
      <c r="D22" s="94"/>
      <c r="E22" s="94"/>
      <c r="F22" s="94"/>
      <c r="G22" s="94"/>
      <c r="H22" s="94"/>
      <c r="I22" s="94"/>
      <c r="J22" s="94"/>
      <c r="K22" s="94"/>
      <c r="L22" s="94"/>
      <c r="M22" s="94"/>
    </row>
    <row r="23" spans="2:14" x14ac:dyDescent="0.3">
      <c r="B23" s="94"/>
      <c r="C23" s="94"/>
      <c r="D23" s="94"/>
      <c r="E23" s="94"/>
      <c r="F23" s="94"/>
      <c r="G23" s="94"/>
      <c r="H23" s="94"/>
      <c r="I23" s="94"/>
      <c r="J23" s="94"/>
      <c r="K23" s="94"/>
      <c r="L23" s="94"/>
      <c r="M23" s="94"/>
    </row>
    <row r="24" spans="2:14" x14ac:dyDescent="0.3">
      <c r="B24" s="94"/>
      <c r="C24" s="94"/>
      <c r="D24" s="94"/>
      <c r="E24" s="94"/>
      <c r="F24" s="94"/>
      <c r="G24" s="94"/>
      <c r="H24" s="94"/>
      <c r="I24" s="94"/>
      <c r="J24" s="94"/>
      <c r="K24" s="94"/>
      <c r="L24" s="94"/>
      <c r="M24" s="94"/>
    </row>
    <row r="25" spans="2:14" x14ac:dyDescent="0.3">
      <c r="B25" s="94"/>
      <c r="C25" s="94"/>
      <c r="D25" s="94"/>
      <c r="E25" s="94"/>
      <c r="F25" s="94"/>
      <c r="G25" s="94"/>
      <c r="H25" s="94"/>
      <c r="I25" s="94"/>
      <c r="J25" s="94"/>
      <c r="K25" s="94"/>
      <c r="L25" s="94"/>
      <c r="M25" s="94"/>
    </row>
    <row r="26" spans="2:14" x14ac:dyDescent="0.3">
      <c r="B26" s="94"/>
      <c r="C26" s="94"/>
      <c r="D26" s="94"/>
      <c r="E26" s="94"/>
      <c r="F26" s="94"/>
      <c r="G26" s="94"/>
      <c r="H26" s="94"/>
      <c r="I26" s="94"/>
      <c r="J26" s="94"/>
      <c r="K26" s="94"/>
      <c r="L26" s="94"/>
      <c r="M26" s="94"/>
    </row>
    <row r="27" spans="2:14" x14ac:dyDescent="0.3">
      <c r="B27" s="94"/>
      <c r="C27" s="94"/>
      <c r="D27" s="94"/>
      <c r="E27" s="94"/>
      <c r="F27" s="94"/>
      <c r="G27" s="94"/>
      <c r="H27" s="94"/>
      <c r="I27" s="94"/>
      <c r="J27" s="94"/>
      <c r="K27" s="94"/>
      <c r="L27" s="94"/>
      <c r="M27" s="94"/>
      <c r="N27" s="94"/>
    </row>
    <row r="28" spans="2:14" x14ac:dyDescent="0.3">
      <c r="B28" s="94"/>
      <c r="C28" s="94"/>
      <c r="D28" s="94"/>
      <c r="E28" s="94"/>
      <c r="F28" s="94"/>
      <c r="G28" s="94"/>
      <c r="H28" s="94"/>
      <c r="I28" s="94"/>
      <c r="J28" s="94"/>
      <c r="K28" s="94"/>
      <c r="L28" s="94"/>
      <c r="M28" s="94"/>
      <c r="N28" s="94"/>
    </row>
    <row r="29" spans="2:14" x14ac:dyDescent="0.3">
      <c r="B29" s="94"/>
      <c r="C29" s="94"/>
      <c r="D29" s="94"/>
      <c r="E29" s="94"/>
      <c r="F29" s="94"/>
      <c r="G29" s="94"/>
      <c r="H29" s="94"/>
      <c r="I29" s="94"/>
      <c r="J29" s="94"/>
      <c r="K29" s="94"/>
      <c r="L29" s="94"/>
      <c r="M29" s="94"/>
      <c r="N29" s="94"/>
    </row>
    <row r="30" spans="2:14" x14ac:dyDescent="0.3">
      <c r="B30" s="94"/>
      <c r="C30" s="94"/>
      <c r="D30" s="94"/>
      <c r="E30" s="94"/>
      <c r="F30" s="94"/>
      <c r="G30" s="94"/>
      <c r="H30" s="94"/>
      <c r="I30" s="94"/>
      <c r="J30" s="94"/>
      <c r="K30" s="94"/>
      <c r="L30" s="94"/>
      <c r="M30" s="94"/>
      <c r="N30" s="94"/>
    </row>
    <row r="31" spans="2:14" x14ac:dyDescent="0.3">
      <c r="B31" s="94"/>
      <c r="C31" s="94"/>
      <c r="D31" s="94"/>
      <c r="E31" s="94"/>
      <c r="F31" s="94"/>
      <c r="G31" s="94"/>
      <c r="H31" s="94"/>
      <c r="I31" s="94"/>
      <c r="J31" s="94"/>
      <c r="K31" s="94"/>
      <c r="L31" s="94"/>
      <c r="M31" s="94"/>
      <c r="N31" s="94"/>
    </row>
    <row r="32" spans="2:14" x14ac:dyDescent="0.3">
      <c r="B32" s="94"/>
      <c r="C32" s="94"/>
      <c r="D32" s="94"/>
      <c r="E32" s="94"/>
      <c r="F32" s="94"/>
      <c r="G32" s="94"/>
      <c r="H32" s="94"/>
      <c r="I32" s="94"/>
      <c r="J32" s="94"/>
      <c r="K32" s="94"/>
      <c r="L32" s="94"/>
      <c r="M32" s="94"/>
      <c r="N32" s="94"/>
    </row>
    <row r="33" spans="2:14" x14ac:dyDescent="0.3">
      <c r="B33" s="94"/>
      <c r="C33" s="94"/>
      <c r="D33" s="94"/>
      <c r="E33" s="94"/>
      <c r="F33" s="94"/>
      <c r="G33" s="94"/>
      <c r="H33" s="94"/>
      <c r="I33" s="94"/>
      <c r="J33" s="94"/>
      <c r="K33" s="94"/>
      <c r="L33" s="94"/>
      <c r="M33" s="94"/>
      <c r="N33" s="94"/>
    </row>
    <row r="34" spans="2:14" x14ac:dyDescent="0.3">
      <c r="B34" s="94"/>
      <c r="C34" s="94"/>
      <c r="D34" s="94"/>
      <c r="E34" s="94"/>
      <c r="F34" s="94"/>
      <c r="G34" s="94"/>
      <c r="H34" s="94"/>
      <c r="I34" s="94"/>
      <c r="J34" s="94"/>
      <c r="K34" s="94"/>
      <c r="L34" s="94"/>
      <c r="M34" s="94"/>
      <c r="N34" s="94"/>
    </row>
    <row r="35" spans="2:14" x14ac:dyDescent="0.3">
      <c r="B35" s="94"/>
      <c r="C35" s="94"/>
      <c r="D35" s="94"/>
      <c r="E35" s="94"/>
      <c r="F35" s="94"/>
      <c r="G35" s="94"/>
      <c r="H35" s="94"/>
      <c r="I35" s="94"/>
      <c r="J35" s="94"/>
      <c r="K35" s="94"/>
      <c r="L35" s="94"/>
      <c r="M35" s="94"/>
      <c r="N35" s="94"/>
    </row>
    <row r="36" spans="2:14" x14ac:dyDescent="0.3">
      <c r="B36" s="94"/>
      <c r="C36" s="94"/>
      <c r="D36" s="94"/>
      <c r="E36" s="94"/>
      <c r="F36" s="94"/>
      <c r="G36" s="94"/>
      <c r="H36" s="94"/>
      <c r="I36" s="94"/>
      <c r="J36" s="94"/>
      <c r="K36" s="94"/>
      <c r="L36" s="94"/>
      <c r="M36" s="94"/>
      <c r="N36" s="94"/>
    </row>
    <row r="37" spans="2:14" x14ac:dyDescent="0.3">
      <c r="B37" s="94"/>
      <c r="C37" s="94"/>
      <c r="D37" s="94"/>
      <c r="E37" s="94"/>
      <c r="F37" s="94"/>
      <c r="G37" s="94"/>
      <c r="H37" s="94"/>
      <c r="I37" s="94"/>
      <c r="J37" s="94"/>
      <c r="K37" s="94"/>
      <c r="L37" s="94"/>
      <c r="M37" s="94"/>
      <c r="N37" s="94"/>
    </row>
    <row r="38" spans="2:14" x14ac:dyDescent="0.3">
      <c r="B38" s="94"/>
      <c r="C38" s="94"/>
      <c r="D38" s="94"/>
      <c r="E38" s="94"/>
      <c r="F38" s="94"/>
      <c r="G38" s="94"/>
      <c r="H38" s="94"/>
      <c r="I38" s="94"/>
      <c r="J38" s="94"/>
      <c r="K38" s="94"/>
      <c r="L38" s="94"/>
      <c r="M38" s="94"/>
      <c r="N38" s="94"/>
    </row>
    <row r="39" spans="2:14" x14ac:dyDescent="0.3">
      <c r="B39" s="94"/>
      <c r="C39" s="94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</row>
    <row r="40" spans="2:14" x14ac:dyDescent="0.3">
      <c r="B40" s="94"/>
      <c r="C40" s="94"/>
      <c r="D40" s="94"/>
      <c r="E40" s="94"/>
      <c r="F40" s="94"/>
      <c r="G40" s="94"/>
      <c r="H40" s="94"/>
      <c r="I40" s="94"/>
      <c r="J40" s="94"/>
      <c r="K40" s="94"/>
      <c r="L40" s="94"/>
      <c r="M40" s="94"/>
      <c r="N40" s="94"/>
    </row>
    <row r="41" spans="2:14" x14ac:dyDescent="0.3">
      <c r="B41" s="94"/>
      <c r="C41" s="94"/>
      <c r="D41" s="94"/>
      <c r="E41" s="94"/>
      <c r="F41" s="94"/>
      <c r="G41" s="94"/>
      <c r="H41" s="94"/>
      <c r="I41" s="94"/>
      <c r="J41" s="94"/>
      <c r="K41" s="94"/>
      <c r="L41" s="94"/>
      <c r="M41" s="94"/>
      <c r="N41" s="94"/>
    </row>
    <row r="42" spans="2:14" x14ac:dyDescent="0.3">
      <c r="B42" s="94"/>
      <c r="C42" s="94"/>
      <c r="D42" s="94"/>
      <c r="E42" s="94"/>
      <c r="F42" s="94"/>
      <c r="G42" s="94"/>
      <c r="H42" s="94"/>
      <c r="I42" s="94"/>
      <c r="J42" s="94"/>
      <c r="K42" s="94"/>
      <c r="L42" s="94"/>
      <c r="M42" s="94"/>
      <c r="N42" s="94"/>
    </row>
    <row r="43" spans="2:14" x14ac:dyDescent="0.3">
      <c r="B43" s="94"/>
      <c r="C43" s="94"/>
      <c r="D43" s="94"/>
      <c r="E43" s="94"/>
      <c r="F43" s="94"/>
      <c r="G43" s="94"/>
      <c r="H43" s="94"/>
      <c r="I43" s="94"/>
      <c r="J43" s="94"/>
      <c r="K43" s="94"/>
      <c r="L43" s="94"/>
      <c r="M43" s="94"/>
      <c r="N43" s="94"/>
    </row>
    <row r="44" spans="2:14" x14ac:dyDescent="0.3">
      <c r="B44" s="94"/>
      <c r="C44" s="94"/>
      <c r="D44" s="94"/>
      <c r="E44" s="94"/>
      <c r="F44" s="94"/>
      <c r="G44" s="94"/>
      <c r="H44" s="94"/>
      <c r="I44" s="94"/>
      <c r="J44" s="94"/>
      <c r="K44" s="94"/>
      <c r="L44" s="94"/>
      <c r="M44" s="94"/>
      <c r="N44" s="94"/>
    </row>
    <row r="45" spans="2:14" x14ac:dyDescent="0.3">
      <c r="F45" s="123"/>
      <c r="L45" s="94"/>
    </row>
    <row r="46" spans="2:14" x14ac:dyDescent="0.3">
      <c r="F46" s="123"/>
      <c r="L46" s="94"/>
    </row>
    <row r="47" spans="2:14" x14ac:dyDescent="0.3">
      <c r="F47" s="123"/>
      <c r="L47" s="94"/>
    </row>
    <row r="48" spans="2:14" x14ac:dyDescent="0.3">
      <c r="F48" s="123"/>
      <c r="L48" s="94"/>
    </row>
    <row r="49" spans="12:12" x14ac:dyDescent="0.3">
      <c r="L49" s="94"/>
    </row>
    <row r="50" spans="12:12" x14ac:dyDescent="0.3">
      <c r="L50" s="94"/>
    </row>
  </sheetData>
  <mergeCells count="14">
    <mergeCell ref="O1:T1"/>
    <mergeCell ref="U5:V5"/>
    <mergeCell ref="G1:G2"/>
    <mergeCell ref="I1:I2"/>
    <mergeCell ref="J1:J2"/>
    <mergeCell ref="K1:K2"/>
    <mergeCell ref="L1:L2"/>
    <mergeCell ref="C17:F17"/>
    <mergeCell ref="A1:A2"/>
    <mergeCell ref="B1:B2"/>
    <mergeCell ref="C1:C2"/>
    <mergeCell ref="D1:D2"/>
    <mergeCell ref="E1:E2"/>
    <mergeCell ref="F1:F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Z47"/>
  <sheetViews>
    <sheetView workbookViewId="0">
      <selection activeCell="P14" sqref="P14"/>
    </sheetView>
  </sheetViews>
  <sheetFormatPr defaultColWidth="9.109375" defaultRowHeight="14.4" x14ac:dyDescent="0.3"/>
  <cols>
    <col min="1" max="2" width="9.109375" style="28"/>
    <col min="3" max="3" width="11.109375" style="28" customWidth="1"/>
    <col min="4" max="4" width="15.44140625" style="28" customWidth="1"/>
    <col min="5" max="5" width="12" style="28" customWidth="1"/>
    <col min="6" max="6" width="17.109375" style="39" customWidth="1"/>
    <col min="7" max="7" width="13.33203125" style="28" customWidth="1"/>
    <col min="8" max="8" width="11.44140625" style="28" customWidth="1"/>
    <col min="9" max="9" width="17.33203125" style="28" customWidth="1"/>
    <col min="10" max="10" width="11.6640625" style="28" customWidth="1"/>
    <col min="11" max="11" width="16.109375" style="28" customWidth="1"/>
    <col min="12" max="12" width="13.5546875" style="28" customWidth="1"/>
    <col min="13" max="13" width="9.109375" style="28"/>
    <col min="14" max="14" width="9.109375" style="28" customWidth="1"/>
    <col min="15" max="20" width="9.109375" style="28"/>
    <col min="21" max="21" width="15.109375" style="28" customWidth="1"/>
    <col min="22" max="22" width="13.6640625" style="28" customWidth="1"/>
    <col min="23" max="25" width="9.109375" style="28"/>
    <col min="26" max="26" width="9.5546875" style="28" customWidth="1"/>
    <col min="27" max="16384" width="9.109375" style="28"/>
  </cols>
  <sheetData>
    <row r="1" spans="1:26" ht="45" customHeight="1" x14ac:dyDescent="0.35">
      <c r="A1" s="185" t="s">
        <v>0</v>
      </c>
      <c r="B1" s="187" t="s">
        <v>1</v>
      </c>
      <c r="C1" s="189" t="s">
        <v>2</v>
      </c>
      <c r="D1" s="191" t="s">
        <v>3</v>
      </c>
      <c r="E1" s="193" t="s">
        <v>4</v>
      </c>
      <c r="F1" s="179" t="s">
        <v>5</v>
      </c>
      <c r="G1" s="195" t="s">
        <v>6</v>
      </c>
      <c r="H1" s="92" t="s">
        <v>7</v>
      </c>
      <c r="I1" s="195" t="s">
        <v>8</v>
      </c>
      <c r="J1" s="196" t="s">
        <v>9</v>
      </c>
      <c r="K1" s="187" t="s">
        <v>10</v>
      </c>
      <c r="L1" s="187" t="s">
        <v>11</v>
      </c>
      <c r="M1" s="94"/>
      <c r="N1" s="94"/>
      <c r="O1" s="182" t="s">
        <v>12</v>
      </c>
      <c r="P1" s="182"/>
      <c r="Q1" s="182"/>
      <c r="R1" s="182"/>
      <c r="S1" s="182"/>
      <c r="T1" s="182"/>
      <c r="Z1" s="29">
        <v>45677</v>
      </c>
    </row>
    <row r="2" spans="1:26" ht="17.100000000000001" customHeight="1" x14ac:dyDescent="0.3">
      <c r="A2" s="186"/>
      <c r="B2" s="188"/>
      <c r="C2" s="190"/>
      <c r="D2" s="192"/>
      <c r="E2" s="194"/>
      <c r="F2" s="180"/>
      <c r="G2" s="180"/>
      <c r="H2" s="95"/>
      <c r="I2" s="180"/>
      <c r="J2" s="197"/>
      <c r="K2" s="188"/>
      <c r="L2" s="188"/>
      <c r="M2" s="94"/>
      <c r="N2" s="94"/>
      <c r="O2" s="96" t="s">
        <v>13</v>
      </c>
      <c r="P2" s="97" t="s">
        <v>13</v>
      </c>
      <c r="Q2" s="98" t="s">
        <v>13</v>
      </c>
      <c r="R2" s="96" t="s">
        <v>14</v>
      </c>
      <c r="S2" s="97" t="s">
        <v>14</v>
      </c>
      <c r="T2" s="98" t="s">
        <v>14</v>
      </c>
      <c r="U2" s="94"/>
      <c r="V2" s="94"/>
    </row>
    <row r="3" spans="1:26" ht="17.100000000000001" customHeight="1" x14ac:dyDescent="0.3">
      <c r="A3" s="30" t="s">
        <v>15</v>
      </c>
      <c r="B3" s="100" t="s">
        <v>16</v>
      </c>
      <c r="C3" s="31">
        <v>114</v>
      </c>
      <c r="D3" s="99" t="s">
        <v>17</v>
      </c>
      <c r="E3" s="81">
        <v>1</v>
      </c>
      <c r="F3" s="93">
        <v>184</v>
      </c>
      <c r="G3" s="100">
        <v>47</v>
      </c>
      <c r="H3" s="100">
        <f t="shared" ref="H3:H8" si="0">RANK(G3,$G$3:$G$10)</f>
        <v>2</v>
      </c>
      <c r="I3" s="101">
        <v>87</v>
      </c>
      <c r="J3" s="32">
        <f>RANK(I3,$I$3:$I$10)+COUNTIF(I3:$I$3,I3)-1</f>
        <v>4</v>
      </c>
      <c r="K3" s="102">
        <f t="shared" ref="K3:K8" si="1">(E3+J3)/2</f>
        <v>2.5</v>
      </c>
      <c r="L3" s="102">
        <f>RANK(K3,$K$3:$K$10,1)+COUNTIF(K3:$K$6,K3)-1</f>
        <v>3</v>
      </c>
      <c r="M3" s="94"/>
      <c r="N3" s="94"/>
      <c r="O3" s="103" t="s">
        <v>18</v>
      </c>
      <c r="P3" s="104" t="s">
        <v>19</v>
      </c>
      <c r="Q3" s="105" t="s">
        <v>20</v>
      </c>
      <c r="R3" s="103" t="s">
        <v>18</v>
      </c>
      <c r="S3" s="104" t="s">
        <v>19</v>
      </c>
      <c r="T3" s="106" t="s">
        <v>20</v>
      </c>
      <c r="U3" s="94"/>
      <c r="V3" s="94"/>
    </row>
    <row r="4" spans="1:26" ht="17.100000000000001" customHeight="1" x14ac:dyDescent="0.3">
      <c r="A4" s="33" t="s">
        <v>27</v>
      </c>
      <c r="B4" s="51" t="s">
        <v>21</v>
      </c>
      <c r="C4" s="31">
        <v>108</v>
      </c>
      <c r="D4" s="94" t="s">
        <v>22</v>
      </c>
      <c r="E4" s="82">
        <v>2</v>
      </c>
      <c r="F4" s="107">
        <v>292</v>
      </c>
      <c r="G4" s="94">
        <v>51</v>
      </c>
      <c r="H4" s="108">
        <f t="shared" si="0"/>
        <v>1</v>
      </c>
      <c r="I4" s="94">
        <v>88</v>
      </c>
      <c r="J4" s="34">
        <f>RANK(I4,$I$3:$I$10)+COUNTIF(I$3:$I4,I4)-1</f>
        <v>2</v>
      </c>
      <c r="K4" s="109">
        <f t="shared" si="1"/>
        <v>2</v>
      </c>
      <c r="L4" s="109">
        <f>RANK(K4,$K$3:$K$10,1)+COUNTIF(K4:$K$6,K4)-1</f>
        <v>1</v>
      </c>
      <c r="M4" s="94"/>
      <c r="N4" s="94"/>
      <c r="O4" s="48">
        <v>50</v>
      </c>
      <c r="P4" s="110">
        <v>74</v>
      </c>
      <c r="Q4" s="111">
        <v>88</v>
      </c>
      <c r="R4" s="49">
        <v>20</v>
      </c>
      <c r="S4" s="112">
        <v>84</v>
      </c>
      <c r="T4" s="113">
        <v>83</v>
      </c>
    </row>
    <row r="5" spans="1:26" ht="17.100000000000001" customHeight="1" x14ac:dyDescent="0.3">
      <c r="A5" s="33" t="s">
        <v>27</v>
      </c>
      <c r="B5" s="52" t="s">
        <v>24</v>
      </c>
      <c r="C5" s="31">
        <v>108</v>
      </c>
      <c r="D5" s="94" t="s">
        <v>22</v>
      </c>
      <c r="E5" s="82">
        <v>3</v>
      </c>
      <c r="F5" s="107">
        <v>302</v>
      </c>
      <c r="G5" s="94">
        <v>30</v>
      </c>
      <c r="H5" s="108">
        <f t="shared" si="0"/>
        <v>5</v>
      </c>
      <c r="I5" s="94">
        <v>87</v>
      </c>
      <c r="J5" s="34">
        <f>RANK(I5,$I$3:$I$10)+COUNTIF(I$3:$I5,I5)-1</f>
        <v>5</v>
      </c>
      <c r="K5" s="109">
        <f t="shared" si="1"/>
        <v>4</v>
      </c>
      <c r="L5" s="109">
        <f>RANK(K5,$K$3:$K$10,1)+COUNTIF(K5:$K$6,K5)-1</f>
        <v>4</v>
      </c>
      <c r="M5" s="94"/>
      <c r="N5" s="94"/>
      <c r="U5" s="183" t="s">
        <v>23</v>
      </c>
      <c r="V5" s="184"/>
    </row>
    <row r="6" spans="1:26" x14ac:dyDescent="0.3">
      <c r="A6" s="33" t="s">
        <v>38</v>
      </c>
      <c r="B6" s="52" t="s">
        <v>28</v>
      </c>
      <c r="C6" s="31">
        <v>92</v>
      </c>
      <c r="D6" s="94" t="s">
        <v>29</v>
      </c>
      <c r="E6" s="82">
        <v>4</v>
      </c>
      <c r="F6" s="107">
        <v>140</v>
      </c>
      <c r="G6" s="94">
        <v>17</v>
      </c>
      <c r="H6" s="108">
        <f t="shared" si="0"/>
        <v>6</v>
      </c>
      <c r="I6" s="108">
        <v>89</v>
      </c>
      <c r="J6" s="34">
        <f>RANK(I6,$I$3:$I$10)+COUNTIF(I$3:$I6,I6)-1</f>
        <v>1</v>
      </c>
      <c r="K6" s="109">
        <f t="shared" si="1"/>
        <v>2.5</v>
      </c>
      <c r="L6" s="109">
        <f>RANK(K6,$K$3:$K$10,1)+COUNTIF(K6:$K$6,K6)-1</f>
        <v>2</v>
      </c>
      <c r="M6" s="94"/>
      <c r="N6" s="94"/>
      <c r="U6" s="115" t="s">
        <v>25</v>
      </c>
      <c r="V6" s="116" t="s">
        <v>26</v>
      </c>
    </row>
    <row r="7" spans="1:26" x14ac:dyDescent="0.3">
      <c r="A7" s="35" t="s">
        <v>27</v>
      </c>
      <c r="B7" s="52" t="s">
        <v>30</v>
      </c>
      <c r="C7" s="31">
        <v>85</v>
      </c>
      <c r="D7" s="94" t="s">
        <v>29</v>
      </c>
      <c r="E7" s="82">
        <v>5</v>
      </c>
      <c r="F7" s="107">
        <v>296</v>
      </c>
      <c r="G7" s="94">
        <v>36</v>
      </c>
      <c r="H7" s="108">
        <f t="shared" si="0"/>
        <v>4</v>
      </c>
      <c r="I7" s="94">
        <v>88</v>
      </c>
      <c r="J7" s="34">
        <f>RANK(I7,$I$3:$I$10)+COUNTIF(I$3:$I7,I7)-1</f>
        <v>3</v>
      </c>
      <c r="K7" s="109">
        <f t="shared" si="1"/>
        <v>4</v>
      </c>
      <c r="L7" s="109">
        <f>RANK(K7,$K$3:$K$10,1)+COUNTIF(K$6:$K7,K7)-1</f>
        <v>4</v>
      </c>
      <c r="M7" s="94"/>
      <c r="N7" s="94"/>
      <c r="U7" s="117">
        <f>P4+S4</f>
        <v>158</v>
      </c>
      <c r="V7" s="118">
        <f>Q4+T4</f>
        <v>171</v>
      </c>
    </row>
    <row r="8" spans="1:26" x14ac:dyDescent="0.3">
      <c r="A8" s="108" t="s">
        <v>15</v>
      </c>
      <c r="B8" s="51" t="s">
        <v>31</v>
      </c>
      <c r="C8" s="108">
        <v>85</v>
      </c>
      <c r="D8" s="94" t="s">
        <v>29</v>
      </c>
      <c r="E8" s="82">
        <v>6</v>
      </c>
      <c r="F8" s="108">
        <v>200</v>
      </c>
      <c r="G8" s="94">
        <v>37</v>
      </c>
      <c r="H8" s="108">
        <f t="shared" si="0"/>
        <v>3</v>
      </c>
      <c r="I8" s="119">
        <v>87</v>
      </c>
      <c r="J8" s="108">
        <f>RANK(I8,$I$3:$I$10)+COUNTIF(I$3:$I8,I8)-1</f>
        <v>6</v>
      </c>
      <c r="K8" s="109">
        <f t="shared" si="1"/>
        <v>6</v>
      </c>
      <c r="L8" s="109">
        <f>RANK(K8,$K$3:$K$10,1)+COUNTIF(K$6:$K8,K8)-1</f>
        <v>6</v>
      </c>
      <c r="M8" s="94"/>
      <c r="N8" s="94"/>
    </row>
    <row r="9" spans="1:26" x14ac:dyDescent="0.3">
      <c r="A9" s="41"/>
      <c r="B9" s="41" t="s">
        <v>32</v>
      </c>
      <c r="C9" s="41">
        <v>83</v>
      </c>
      <c r="D9" s="44" t="s">
        <v>29</v>
      </c>
      <c r="E9" s="41">
        <v>7</v>
      </c>
      <c r="F9" s="41"/>
      <c r="G9" s="44"/>
      <c r="H9" s="41"/>
      <c r="I9" s="45"/>
      <c r="J9" s="41"/>
      <c r="K9" s="46"/>
      <c r="L9" s="47"/>
      <c r="M9" s="94"/>
      <c r="N9" s="94"/>
    </row>
    <row r="10" spans="1:26" x14ac:dyDescent="0.3">
      <c r="A10" s="36"/>
      <c r="B10" s="120"/>
      <c r="C10" s="37"/>
      <c r="D10" s="112"/>
      <c r="E10" s="37"/>
      <c r="F10" s="120"/>
      <c r="G10" s="112"/>
      <c r="H10" s="120"/>
      <c r="I10" s="114"/>
      <c r="J10" s="38"/>
      <c r="K10" s="121"/>
      <c r="L10" s="121"/>
      <c r="M10" s="94"/>
      <c r="N10" s="94"/>
    </row>
    <row r="11" spans="1:26" x14ac:dyDescent="0.3">
      <c r="B11" s="122" t="s">
        <v>33</v>
      </c>
      <c r="C11" s="122" t="s">
        <v>34</v>
      </c>
      <c r="D11" s="122"/>
      <c r="F11" s="94"/>
      <c r="G11" s="94"/>
      <c r="H11" s="94"/>
      <c r="I11" s="94"/>
      <c r="J11" s="94"/>
      <c r="K11" s="94"/>
      <c r="L11" s="94"/>
      <c r="M11" s="94"/>
      <c r="N11" s="94"/>
    </row>
    <row r="12" spans="1:26" x14ac:dyDescent="0.3">
      <c r="B12" s="122" t="s">
        <v>35</v>
      </c>
      <c r="C12" t="s">
        <v>36</v>
      </c>
      <c r="D12" s="122"/>
      <c r="F12" s="123"/>
      <c r="G12" s="94"/>
      <c r="H12" s="94"/>
      <c r="I12" s="94"/>
      <c r="K12" s="94"/>
      <c r="L12" s="94"/>
      <c r="M12" s="94"/>
      <c r="N12" s="94"/>
    </row>
    <row r="13" spans="1:26" x14ac:dyDescent="0.3">
      <c r="B13" s="1" t="s">
        <v>33</v>
      </c>
      <c r="C13" s="27" t="s">
        <v>34</v>
      </c>
      <c r="D13" s="122"/>
      <c r="F13" s="94"/>
      <c r="G13" s="94"/>
      <c r="H13" s="94"/>
      <c r="I13" s="94"/>
      <c r="J13" s="94"/>
      <c r="K13" s="94"/>
      <c r="L13" s="94"/>
      <c r="M13" s="94"/>
    </row>
    <row r="14" spans="1:26" x14ac:dyDescent="0.3">
      <c r="A14" s="123"/>
      <c r="B14" s="2"/>
      <c r="C14" s="2"/>
      <c r="D14" s="2"/>
      <c r="E14" s="2"/>
      <c r="F14" s="94"/>
      <c r="G14" s="94"/>
      <c r="H14" s="94"/>
      <c r="I14" s="94"/>
      <c r="J14" s="94"/>
      <c r="K14" s="94"/>
      <c r="L14" s="94"/>
      <c r="M14" s="94"/>
    </row>
    <row r="15" spans="1:26" x14ac:dyDescent="0.3">
      <c r="A15" s="122"/>
      <c r="B15" s="122" t="s">
        <v>40</v>
      </c>
      <c r="C15" s="122"/>
      <c r="D15" s="122"/>
      <c r="F15" s="94"/>
      <c r="G15" s="94"/>
      <c r="H15" s="181"/>
      <c r="I15" s="181"/>
      <c r="J15" s="181"/>
      <c r="K15" s="181"/>
      <c r="L15" s="94"/>
      <c r="M15" s="94"/>
      <c r="N15" s="94"/>
      <c r="O15" s="94"/>
      <c r="P15" s="94"/>
      <c r="Q15" s="94"/>
      <c r="R15" s="94"/>
    </row>
    <row r="16" spans="1:26" x14ac:dyDescent="0.3">
      <c r="A16" s="122"/>
      <c r="B16" s="2" t="s">
        <v>42</v>
      </c>
      <c r="C16" s="2"/>
      <c r="D16" s="2"/>
      <c r="E16" s="2"/>
      <c r="F16" s="94"/>
      <c r="G16" s="94"/>
      <c r="H16" s="94"/>
      <c r="I16" s="94"/>
      <c r="J16" s="94"/>
      <c r="K16" s="94"/>
      <c r="L16" s="94"/>
      <c r="M16" s="94"/>
      <c r="N16" s="94"/>
      <c r="O16" s="94"/>
      <c r="P16" s="94"/>
      <c r="Q16" s="94"/>
      <c r="R16" s="94"/>
    </row>
    <row r="17" spans="1:18" ht="14.4" customHeight="1" x14ac:dyDescent="0.3">
      <c r="B17" s="44"/>
      <c r="C17" s="28" t="s">
        <v>43</v>
      </c>
      <c r="D17" s="124"/>
      <c r="E17" s="124"/>
      <c r="F17" s="124"/>
      <c r="G17" s="94"/>
      <c r="H17" s="94"/>
      <c r="I17" s="94"/>
      <c r="J17" s="94"/>
      <c r="K17" s="94"/>
      <c r="L17" s="94"/>
      <c r="M17" s="94"/>
      <c r="N17" s="94"/>
      <c r="O17" s="94"/>
      <c r="P17" s="94"/>
      <c r="Q17" s="94"/>
      <c r="R17" s="94"/>
    </row>
    <row r="18" spans="1:18" x14ac:dyDescent="0.3">
      <c r="A18" s="123"/>
      <c r="B18" s="94"/>
      <c r="C18" s="94"/>
      <c r="D18" s="94"/>
      <c r="E18" s="94"/>
      <c r="F18" s="94"/>
      <c r="G18" s="94"/>
      <c r="H18" s="94"/>
      <c r="I18" s="94"/>
      <c r="J18" s="94"/>
      <c r="K18" s="94"/>
      <c r="L18" s="94"/>
      <c r="M18" s="94"/>
    </row>
    <row r="19" spans="1:18" x14ac:dyDescent="0.3">
      <c r="A19" s="123"/>
      <c r="B19" s="94"/>
      <c r="C19" s="94"/>
      <c r="D19" s="94"/>
      <c r="E19" s="94"/>
      <c r="F19" s="94"/>
      <c r="G19" s="94"/>
      <c r="H19" s="94"/>
      <c r="I19" s="94"/>
      <c r="J19" s="94"/>
      <c r="K19" s="94"/>
      <c r="L19" s="94"/>
      <c r="M19" s="94"/>
    </row>
    <row r="20" spans="1:18" x14ac:dyDescent="0.3">
      <c r="B20" s="94"/>
      <c r="C20" s="94"/>
      <c r="D20" s="94"/>
      <c r="E20" s="94"/>
      <c r="F20" s="94"/>
      <c r="G20" s="94"/>
      <c r="H20" s="94"/>
      <c r="I20" s="94"/>
      <c r="J20" s="94"/>
      <c r="K20" s="94"/>
      <c r="L20" s="94"/>
      <c r="M20" s="94"/>
    </row>
    <row r="21" spans="1:18" x14ac:dyDescent="0.3">
      <c r="B21" s="94"/>
      <c r="C21" s="94"/>
      <c r="D21" s="94"/>
      <c r="E21" s="94"/>
      <c r="F21" s="94"/>
      <c r="G21" s="94"/>
      <c r="H21" s="94"/>
      <c r="I21" s="94"/>
      <c r="J21" s="94"/>
      <c r="K21" s="94"/>
      <c r="L21" s="94"/>
      <c r="M21" s="94"/>
    </row>
    <row r="22" spans="1:18" x14ac:dyDescent="0.3">
      <c r="B22" s="94"/>
      <c r="C22" s="94"/>
      <c r="D22" s="94"/>
      <c r="E22" s="94"/>
      <c r="F22" s="94"/>
      <c r="G22" s="94"/>
      <c r="H22" s="94"/>
      <c r="I22" s="94"/>
      <c r="J22" s="94"/>
      <c r="K22" s="94"/>
      <c r="L22" s="94"/>
      <c r="M22" s="94"/>
    </row>
    <row r="23" spans="1:18" x14ac:dyDescent="0.3">
      <c r="B23" s="94"/>
      <c r="C23" s="94"/>
      <c r="D23" s="94"/>
      <c r="E23" s="94"/>
      <c r="F23" s="94"/>
      <c r="G23" s="94"/>
      <c r="H23" s="94"/>
      <c r="I23" s="94"/>
      <c r="J23" s="94"/>
      <c r="K23" s="94"/>
      <c r="L23" s="94"/>
      <c r="M23" s="94"/>
    </row>
    <row r="24" spans="1:18" x14ac:dyDescent="0.3">
      <c r="B24" s="94"/>
      <c r="C24" s="94"/>
      <c r="D24" s="94"/>
      <c r="E24" s="94"/>
      <c r="F24" s="94"/>
      <c r="G24" s="94"/>
      <c r="H24" s="94"/>
      <c r="I24" s="94"/>
      <c r="J24" s="94"/>
      <c r="K24" s="94"/>
      <c r="L24" s="94"/>
      <c r="M24" s="94"/>
      <c r="N24" s="94"/>
    </row>
    <row r="25" spans="1:18" x14ac:dyDescent="0.3">
      <c r="B25" s="94"/>
      <c r="C25" s="94"/>
      <c r="D25" s="94"/>
      <c r="E25" s="94"/>
      <c r="F25" s="94"/>
      <c r="G25" s="94"/>
      <c r="H25" s="94"/>
      <c r="I25" s="94"/>
      <c r="J25" s="94"/>
      <c r="K25" s="94"/>
      <c r="L25" s="94"/>
      <c r="M25" s="94"/>
      <c r="N25" s="94"/>
    </row>
    <row r="26" spans="1:18" x14ac:dyDescent="0.3">
      <c r="B26" s="94"/>
      <c r="C26" s="94"/>
      <c r="D26" s="94"/>
      <c r="E26" s="94"/>
      <c r="F26" s="94"/>
      <c r="G26" s="94"/>
      <c r="H26" s="94"/>
      <c r="I26" s="94"/>
      <c r="J26" s="94"/>
      <c r="K26" s="94"/>
      <c r="L26" s="94"/>
      <c r="M26" s="94"/>
      <c r="N26" s="94"/>
    </row>
    <row r="27" spans="1:18" x14ac:dyDescent="0.3">
      <c r="B27" s="94"/>
      <c r="C27" s="94"/>
      <c r="D27" s="94"/>
      <c r="E27" s="94"/>
      <c r="F27" s="94"/>
      <c r="G27" s="94"/>
      <c r="H27" s="94"/>
      <c r="I27" s="94"/>
      <c r="J27" s="94"/>
      <c r="K27" s="94"/>
      <c r="L27" s="94"/>
      <c r="M27" s="94"/>
      <c r="N27" s="94"/>
    </row>
    <row r="28" spans="1:18" x14ac:dyDescent="0.3">
      <c r="B28" s="94"/>
      <c r="C28" s="94"/>
      <c r="D28" s="94"/>
      <c r="E28" s="94"/>
      <c r="F28" s="94"/>
      <c r="G28" s="94"/>
      <c r="H28" s="94"/>
      <c r="I28" s="94"/>
      <c r="J28" s="94"/>
      <c r="K28" s="94"/>
      <c r="L28" s="94"/>
      <c r="M28" s="94"/>
      <c r="N28" s="94"/>
    </row>
    <row r="29" spans="1:18" x14ac:dyDescent="0.3">
      <c r="B29" s="94"/>
      <c r="C29" s="94"/>
      <c r="D29" s="94"/>
      <c r="E29" s="94"/>
      <c r="F29" s="94"/>
      <c r="G29" s="94"/>
      <c r="H29" s="94"/>
      <c r="I29" s="94"/>
      <c r="J29" s="94"/>
      <c r="K29" s="94"/>
      <c r="L29" s="94"/>
      <c r="M29" s="94"/>
      <c r="N29" s="94"/>
    </row>
    <row r="30" spans="1:18" x14ac:dyDescent="0.3">
      <c r="B30" s="94"/>
      <c r="C30" s="94"/>
      <c r="D30" s="94"/>
      <c r="E30" s="94"/>
      <c r="F30" s="94"/>
      <c r="G30" s="94"/>
      <c r="H30" s="94"/>
      <c r="I30" s="94"/>
      <c r="J30" s="94"/>
      <c r="K30" s="94"/>
      <c r="L30" s="94"/>
      <c r="M30" s="94"/>
      <c r="N30" s="94"/>
    </row>
    <row r="31" spans="1:18" x14ac:dyDescent="0.3">
      <c r="B31" s="94"/>
      <c r="C31" s="94"/>
      <c r="D31" s="94"/>
      <c r="E31" s="94"/>
      <c r="F31" s="94"/>
      <c r="G31" s="94"/>
      <c r="H31" s="94"/>
      <c r="I31" s="94"/>
      <c r="J31" s="94"/>
      <c r="K31" s="94"/>
      <c r="L31" s="94"/>
      <c r="M31" s="94"/>
      <c r="N31" s="94"/>
    </row>
    <row r="32" spans="1:18" x14ac:dyDescent="0.3">
      <c r="B32" s="94"/>
      <c r="C32" s="94"/>
      <c r="D32" s="94"/>
      <c r="E32" s="94"/>
      <c r="F32" s="94"/>
      <c r="G32" s="94"/>
      <c r="H32" s="94"/>
      <c r="I32" s="94"/>
      <c r="J32" s="94"/>
      <c r="K32" s="94"/>
      <c r="L32" s="94"/>
      <c r="M32" s="94"/>
      <c r="N32" s="94"/>
    </row>
    <row r="33" spans="2:14" x14ac:dyDescent="0.3">
      <c r="B33" s="94"/>
      <c r="C33" s="94"/>
      <c r="D33" s="94"/>
      <c r="E33" s="94"/>
      <c r="F33" s="94"/>
      <c r="G33" s="94"/>
      <c r="H33" s="94"/>
      <c r="I33" s="94"/>
      <c r="J33" s="94"/>
      <c r="K33" s="94"/>
      <c r="L33" s="94"/>
      <c r="M33" s="94"/>
      <c r="N33" s="94"/>
    </row>
    <row r="34" spans="2:14" x14ac:dyDescent="0.3">
      <c r="B34" s="94"/>
      <c r="C34" s="94"/>
      <c r="D34" s="94"/>
      <c r="E34" s="94"/>
      <c r="F34" s="94"/>
      <c r="G34" s="94"/>
      <c r="H34" s="94"/>
      <c r="I34" s="94"/>
      <c r="J34" s="94"/>
      <c r="K34" s="94"/>
      <c r="L34" s="94"/>
      <c r="M34" s="94"/>
      <c r="N34" s="94"/>
    </row>
    <row r="35" spans="2:14" x14ac:dyDescent="0.3">
      <c r="B35" s="94"/>
      <c r="C35" s="94"/>
      <c r="D35" s="94"/>
      <c r="E35" s="94"/>
      <c r="F35" s="94"/>
      <c r="G35" s="94"/>
      <c r="H35" s="94"/>
      <c r="I35" s="94"/>
      <c r="J35" s="94"/>
      <c r="K35" s="94"/>
      <c r="L35" s="94"/>
      <c r="M35" s="94"/>
      <c r="N35" s="94"/>
    </row>
    <row r="36" spans="2:14" x14ac:dyDescent="0.3">
      <c r="B36" s="94"/>
      <c r="C36" s="94"/>
      <c r="D36" s="94"/>
      <c r="E36" s="94"/>
      <c r="F36" s="94"/>
      <c r="G36" s="94"/>
      <c r="H36" s="94"/>
      <c r="I36" s="94"/>
      <c r="J36" s="94"/>
      <c r="K36" s="94"/>
      <c r="L36" s="94"/>
      <c r="M36" s="94"/>
      <c r="N36" s="94"/>
    </row>
    <row r="37" spans="2:14" x14ac:dyDescent="0.3">
      <c r="B37" s="94"/>
      <c r="C37" s="94"/>
      <c r="D37" s="94"/>
      <c r="E37" s="94"/>
      <c r="F37" s="94"/>
      <c r="G37" s="94"/>
      <c r="H37" s="94"/>
      <c r="I37" s="94"/>
      <c r="J37" s="94"/>
      <c r="K37" s="94"/>
      <c r="L37" s="94"/>
      <c r="M37" s="94"/>
      <c r="N37" s="94"/>
    </row>
    <row r="38" spans="2:14" x14ac:dyDescent="0.3">
      <c r="B38" s="94"/>
      <c r="C38" s="94"/>
      <c r="D38" s="94"/>
      <c r="E38" s="94"/>
      <c r="F38" s="94"/>
      <c r="G38" s="94"/>
      <c r="H38" s="94"/>
      <c r="I38" s="94"/>
      <c r="J38" s="94"/>
      <c r="K38" s="94"/>
      <c r="L38" s="94"/>
      <c r="M38" s="94"/>
      <c r="N38" s="94"/>
    </row>
    <row r="39" spans="2:14" x14ac:dyDescent="0.3">
      <c r="B39" s="94"/>
      <c r="C39" s="94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</row>
    <row r="40" spans="2:14" x14ac:dyDescent="0.3">
      <c r="B40" s="94"/>
      <c r="C40" s="94"/>
      <c r="D40" s="94"/>
      <c r="E40" s="94"/>
      <c r="F40" s="94"/>
      <c r="G40" s="94"/>
      <c r="H40" s="94"/>
      <c r="I40" s="94"/>
      <c r="J40" s="94"/>
      <c r="K40" s="94"/>
      <c r="L40" s="94"/>
      <c r="M40" s="94"/>
      <c r="N40" s="94"/>
    </row>
    <row r="41" spans="2:14" x14ac:dyDescent="0.3">
      <c r="B41" s="94"/>
      <c r="C41" s="94"/>
      <c r="D41" s="94"/>
      <c r="E41" s="94"/>
      <c r="F41" s="94"/>
      <c r="G41" s="94"/>
      <c r="H41" s="94"/>
      <c r="I41" s="94"/>
      <c r="J41" s="94"/>
      <c r="K41" s="94"/>
      <c r="L41" s="94"/>
      <c r="M41" s="94"/>
      <c r="N41" s="94"/>
    </row>
    <row r="42" spans="2:14" x14ac:dyDescent="0.3">
      <c r="F42" s="123"/>
      <c r="L42" s="94"/>
    </row>
    <row r="43" spans="2:14" x14ac:dyDescent="0.3">
      <c r="F43" s="123"/>
      <c r="L43" s="94"/>
    </row>
    <row r="44" spans="2:14" x14ac:dyDescent="0.3">
      <c r="F44" s="123"/>
      <c r="L44" s="94"/>
    </row>
    <row r="45" spans="2:14" x14ac:dyDescent="0.3">
      <c r="F45" s="123"/>
      <c r="L45" s="94"/>
    </row>
    <row r="46" spans="2:14" x14ac:dyDescent="0.3">
      <c r="F46" s="123"/>
      <c r="L46" s="94"/>
    </row>
    <row r="47" spans="2:14" x14ac:dyDescent="0.3">
      <c r="F47" s="123"/>
      <c r="L47" s="94"/>
    </row>
  </sheetData>
  <mergeCells count="14">
    <mergeCell ref="F1:F2"/>
    <mergeCell ref="A1:A2"/>
    <mergeCell ref="B1:B2"/>
    <mergeCell ref="C1:C2"/>
    <mergeCell ref="D1:D2"/>
    <mergeCell ref="E1:E2"/>
    <mergeCell ref="U5:V5"/>
    <mergeCell ref="H15:K15"/>
    <mergeCell ref="G1:G2"/>
    <mergeCell ref="I1:I2"/>
    <mergeCell ref="J1:J2"/>
    <mergeCell ref="K1:K2"/>
    <mergeCell ref="L1:L2"/>
    <mergeCell ref="O1:T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47"/>
  <sheetViews>
    <sheetView workbookViewId="0">
      <selection activeCell="T5" sqref="T5"/>
    </sheetView>
  </sheetViews>
  <sheetFormatPr defaultColWidth="9.109375" defaultRowHeight="14.4" x14ac:dyDescent="0.3"/>
  <cols>
    <col min="1" max="2" width="9.109375" style="28"/>
    <col min="3" max="3" width="11.109375" style="28" customWidth="1"/>
    <col min="4" max="4" width="15.44140625" style="28" customWidth="1"/>
    <col min="5" max="5" width="12" style="28" customWidth="1"/>
    <col min="6" max="6" width="17.109375" style="39" customWidth="1"/>
    <col min="7" max="7" width="13.33203125" style="28" customWidth="1"/>
    <col min="8" max="8" width="11.44140625" style="28" customWidth="1"/>
    <col min="9" max="9" width="17.33203125" style="28" customWidth="1"/>
    <col min="10" max="10" width="11.6640625" style="28" customWidth="1"/>
    <col min="11" max="11" width="16.109375" style="28" customWidth="1"/>
    <col min="12" max="12" width="13.5546875" style="28" customWidth="1"/>
    <col min="13" max="13" width="9.109375" style="28"/>
    <col min="14" max="14" width="9.109375" style="28" customWidth="1"/>
    <col min="15" max="20" width="9.109375" style="28"/>
    <col min="21" max="21" width="15.109375" style="28" customWidth="1"/>
    <col min="22" max="22" width="13.6640625" style="28" customWidth="1"/>
    <col min="23" max="25" width="9.109375" style="28"/>
    <col min="26" max="26" width="9.5546875" style="28" customWidth="1"/>
    <col min="27" max="16384" width="9.109375" style="28"/>
  </cols>
  <sheetData>
    <row r="1" spans="1:26" ht="45" customHeight="1" x14ac:dyDescent="0.35">
      <c r="A1" s="185" t="s">
        <v>0</v>
      </c>
      <c r="B1" s="187" t="s">
        <v>1</v>
      </c>
      <c r="C1" s="189" t="s">
        <v>2</v>
      </c>
      <c r="D1" s="191" t="s">
        <v>3</v>
      </c>
      <c r="E1" s="193" t="s">
        <v>4</v>
      </c>
      <c r="F1" s="179" t="s">
        <v>5</v>
      </c>
      <c r="G1" s="195" t="s">
        <v>6</v>
      </c>
      <c r="H1" s="92" t="s">
        <v>7</v>
      </c>
      <c r="I1" s="195" t="s">
        <v>8</v>
      </c>
      <c r="J1" s="196" t="s">
        <v>9</v>
      </c>
      <c r="K1" s="187" t="s">
        <v>10</v>
      </c>
      <c r="L1" s="187" t="s">
        <v>11</v>
      </c>
      <c r="M1" s="94"/>
      <c r="N1" s="94"/>
      <c r="O1" s="182" t="s">
        <v>12</v>
      </c>
      <c r="P1" s="182"/>
      <c r="Q1" s="182"/>
      <c r="R1" s="182"/>
      <c r="S1" s="182"/>
      <c r="T1" s="182"/>
      <c r="Z1" s="29">
        <v>45677</v>
      </c>
    </row>
    <row r="2" spans="1:26" ht="17.100000000000001" customHeight="1" x14ac:dyDescent="0.3">
      <c r="A2" s="186"/>
      <c r="B2" s="188"/>
      <c r="C2" s="190"/>
      <c r="D2" s="192"/>
      <c r="E2" s="194"/>
      <c r="F2" s="180"/>
      <c r="G2" s="180"/>
      <c r="H2" s="95"/>
      <c r="I2" s="180"/>
      <c r="J2" s="197"/>
      <c r="K2" s="188"/>
      <c r="L2" s="188"/>
      <c r="M2" s="94"/>
      <c r="N2" s="94"/>
      <c r="O2" s="96" t="s">
        <v>13</v>
      </c>
      <c r="P2" s="97" t="s">
        <v>13</v>
      </c>
      <c r="Q2" s="98" t="s">
        <v>13</v>
      </c>
      <c r="R2" s="96" t="s">
        <v>14</v>
      </c>
      <c r="S2" s="97" t="s">
        <v>14</v>
      </c>
      <c r="T2" s="98" t="s">
        <v>14</v>
      </c>
      <c r="U2" s="94"/>
      <c r="V2" s="94"/>
    </row>
    <row r="3" spans="1:26" ht="17.100000000000001" customHeight="1" x14ac:dyDescent="0.3">
      <c r="A3" s="30" t="s">
        <v>27</v>
      </c>
      <c r="B3" s="40" t="s">
        <v>16</v>
      </c>
      <c r="C3" s="31">
        <v>114</v>
      </c>
      <c r="D3" s="99" t="s">
        <v>17</v>
      </c>
      <c r="E3" s="81">
        <v>1</v>
      </c>
      <c r="F3" s="93">
        <v>242</v>
      </c>
      <c r="G3" s="100">
        <v>65</v>
      </c>
      <c r="H3" s="100">
        <f t="shared" ref="H3:H8" si="0">RANK(G3,$G$3:$G$10)</f>
        <v>1</v>
      </c>
      <c r="I3" s="101">
        <v>88</v>
      </c>
      <c r="J3" s="32">
        <f>RANK(I3,$I$3:$I$10)+COUNTIF(I3:$I$3,I3)-1</f>
        <v>3</v>
      </c>
      <c r="K3" s="102">
        <f t="shared" ref="K3:K8" si="1">(E3+J3)/2</f>
        <v>2</v>
      </c>
      <c r="L3" s="102">
        <f>RANK(K3,$K$3:$K$10,1)+COUNTIF(K3:$K$6,K3)-1</f>
        <v>2</v>
      </c>
      <c r="M3" s="94"/>
      <c r="N3" s="94"/>
      <c r="O3" s="103" t="s">
        <v>18</v>
      </c>
      <c r="P3" s="104" t="s">
        <v>19</v>
      </c>
      <c r="Q3" s="105" t="s">
        <v>20</v>
      </c>
      <c r="R3" s="103" t="s">
        <v>18</v>
      </c>
      <c r="S3" s="104" t="s">
        <v>19</v>
      </c>
      <c r="T3" s="106" t="s">
        <v>20</v>
      </c>
      <c r="U3" s="94"/>
      <c r="V3" s="94"/>
    </row>
    <row r="4" spans="1:26" ht="17.100000000000001" customHeight="1" x14ac:dyDescent="0.3">
      <c r="A4" s="33" t="s">
        <v>27</v>
      </c>
      <c r="B4" s="51" t="s">
        <v>21</v>
      </c>
      <c r="C4" s="31">
        <v>108</v>
      </c>
      <c r="D4" s="94" t="s">
        <v>22</v>
      </c>
      <c r="E4" s="82">
        <v>2</v>
      </c>
      <c r="F4" s="107">
        <v>318</v>
      </c>
      <c r="G4" s="94">
        <v>52</v>
      </c>
      <c r="H4" s="108">
        <f t="shared" si="0"/>
        <v>2</v>
      </c>
      <c r="I4" s="94">
        <v>89</v>
      </c>
      <c r="J4" s="34">
        <f>RANK(I4,$I$3:$I$10)+COUNTIF(I$3:$I4,I4)-1</f>
        <v>1</v>
      </c>
      <c r="K4" s="109">
        <f t="shared" si="1"/>
        <v>1.5</v>
      </c>
      <c r="L4" s="109">
        <f>RANK(K4,$K$3:$K$10,1)+COUNTIF(K4:$K$6,K4)-1</f>
        <v>1</v>
      </c>
      <c r="M4" s="94"/>
      <c r="N4" s="94"/>
      <c r="O4" s="48">
        <v>50</v>
      </c>
      <c r="P4" s="110">
        <v>88</v>
      </c>
      <c r="Q4" s="111">
        <v>82</v>
      </c>
      <c r="R4" s="49">
        <v>20</v>
      </c>
      <c r="S4" s="112">
        <v>83</v>
      </c>
      <c r="T4" s="113">
        <v>107</v>
      </c>
    </row>
    <row r="5" spans="1:26" ht="17.100000000000001" customHeight="1" x14ac:dyDescent="0.3">
      <c r="A5" s="33" t="s">
        <v>38</v>
      </c>
      <c r="B5" s="51" t="s">
        <v>24</v>
      </c>
      <c r="C5" s="31">
        <v>108</v>
      </c>
      <c r="D5" s="94" t="s">
        <v>22</v>
      </c>
      <c r="E5" s="82">
        <v>3</v>
      </c>
      <c r="F5" s="107">
        <v>148</v>
      </c>
      <c r="G5" s="94">
        <v>30</v>
      </c>
      <c r="H5" s="108">
        <f t="shared" si="0"/>
        <v>5</v>
      </c>
      <c r="I5" s="94">
        <v>87</v>
      </c>
      <c r="J5" s="34">
        <f>RANK(I5,$I$3:$I$10)+COUNTIF(I$3:$I5,I5)-1</f>
        <v>6</v>
      </c>
      <c r="K5" s="109">
        <f t="shared" si="1"/>
        <v>4.5</v>
      </c>
      <c r="L5" s="109">
        <f>RANK(K5,$K$3:$K$10,1)+COUNTIF(K5:$K$6,K5)-1</f>
        <v>5</v>
      </c>
      <c r="M5" s="94"/>
      <c r="N5" s="94"/>
      <c r="U5" s="183" t="s">
        <v>23</v>
      </c>
      <c r="V5" s="184"/>
    </row>
    <row r="6" spans="1:26" x14ac:dyDescent="0.3">
      <c r="A6" s="33"/>
      <c r="B6" s="108" t="s">
        <v>28</v>
      </c>
      <c r="C6" s="31">
        <v>92</v>
      </c>
      <c r="D6" s="94" t="s">
        <v>29</v>
      </c>
      <c r="E6" s="82">
        <v>4</v>
      </c>
      <c r="F6" s="107">
        <v>140</v>
      </c>
      <c r="G6" s="94">
        <v>17</v>
      </c>
      <c r="H6" s="108">
        <f t="shared" si="0"/>
        <v>6</v>
      </c>
      <c r="I6" s="108">
        <v>88</v>
      </c>
      <c r="J6" s="34">
        <f>RANK(I6,$I$3:$I$10)+COUNTIF(I$3:$I6,I6)-1</f>
        <v>4</v>
      </c>
      <c r="K6" s="109">
        <f t="shared" si="1"/>
        <v>4</v>
      </c>
      <c r="L6" s="109">
        <f>RANK(K6,$K$3:$K$10,1)+COUNTIF(K6:$K$6,K6)-1</f>
        <v>4</v>
      </c>
      <c r="M6" s="94"/>
      <c r="N6" s="94"/>
      <c r="U6" s="115" t="s">
        <v>25</v>
      </c>
      <c r="V6" s="116" t="s">
        <v>26</v>
      </c>
    </row>
    <row r="7" spans="1:26" x14ac:dyDescent="0.3">
      <c r="A7" s="35" t="s">
        <v>27</v>
      </c>
      <c r="B7" s="52" t="s">
        <v>30</v>
      </c>
      <c r="C7" s="31">
        <v>85</v>
      </c>
      <c r="D7" s="94" t="s">
        <v>29</v>
      </c>
      <c r="E7" s="82">
        <v>5</v>
      </c>
      <c r="F7" s="107">
        <v>302</v>
      </c>
      <c r="G7" s="94">
        <v>42</v>
      </c>
      <c r="H7" s="108">
        <f t="shared" si="0"/>
        <v>3</v>
      </c>
      <c r="I7" s="94">
        <v>89</v>
      </c>
      <c r="J7" s="34">
        <f>RANK(I7,$I$3:$I$10)+COUNTIF(I$3:$I7,I7)-1</f>
        <v>2</v>
      </c>
      <c r="K7" s="109">
        <f t="shared" si="1"/>
        <v>3.5</v>
      </c>
      <c r="L7" s="109">
        <f>RANK(K7,$K$3:$K$10,1)+COUNTIF(K$6:$K7,K7)-1</f>
        <v>3</v>
      </c>
      <c r="M7" s="94"/>
      <c r="N7" s="94"/>
      <c r="U7" s="117">
        <f>P4+S4</f>
        <v>171</v>
      </c>
      <c r="V7" s="118">
        <f>Q4+T4</f>
        <v>189</v>
      </c>
    </row>
    <row r="8" spans="1:26" x14ac:dyDescent="0.3">
      <c r="A8" s="108" t="s">
        <v>15</v>
      </c>
      <c r="B8" s="108" t="s">
        <v>31</v>
      </c>
      <c r="C8" s="108">
        <v>85</v>
      </c>
      <c r="D8" s="94" t="s">
        <v>29</v>
      </c>
      <c r="E8" s="82">
        <v>6</v>
      </c>
      <c r="F8" s="108">
        <v>200</v>
      </c>
      <c r="G8" s="94">
        <v>37</v>
      </c>
      <c r="H8" s="108">
        <f t="shared" si="0"/>
        <v>4</v>
      </c>
      <c r="I8" s="119">
        <v>88</v>
      </c>
      <c r="J8" s="108">
        <f>RANK(I8,$I$3:$I$10)+COUNTIF(I$3:$I8,I8)-1</f>
        <v>5</v>
      </c>
      <c r="K8" s="109">
        <f t="shared" si="1"/>
        <v>5.5</v>
      </c>
      <c r="L8" s="109">
        <f>RANK(K8,$K$3:$K$10,1)+COUNTIF(K$6:$K8,K8)-1</f>
        <v>6</v>
      </c>
      <c r="M8" s="94"/>
      <c r="N8" s="94"/>
    </row>
    <row r="9" spans="1:26" x14ac:dyDescent="0.3">
      <c r="A9" s="41"/>
      <c r="B9" s="41" t="s">
        <v>32</v>
      </c>
      <c r="C9" s="41">
        <v>83</v>
      </c>
      <c r="D9" s="44" t="s">
        <v>29</v>
      </c>
      <c r="E9" s="41">
        <v>7</v>
      </c>
      <c r="F9" s="41"/>
      <c r="G9" s="44"/>
      <c r="H9" s="41"/>
      <c r="I9" s="45"/>
      <c r="J9" s="41"/>
      <c r="K9" s="46"/>
      <c r="L9" s="47"/>
      <c r="M9" s="94"/>
      <c r="N9" s="94"/>
    </row>
    <row r="10" spans="1:26" x14ac:dyDescent="0.3">
      <c r="A10" s="36"/>
      <c r="B10" s="120"/>
      <c r="C10" s="37"/>
      <c r="D10" s="112"/>
      <c r="E10" s="37"/>
      <c r="F10" s="120"/>
      <c r="G10" s="112"/>
      <c r="H10" s="120"/>
      <c r="I10" s="114"/>
      <c r="J10" s="38"/>
      <c r="K10" s="121"/>
      <c r="L10" s="121"/>
      <c r="M10" s="94"/>
      <c r="N10" s="94"/>
    </row>
    <row r="11" spans="1:26" x14ac:dyDescent="0.3">
      <c r="B11" s="122" t="s">
        <v>33</v>
      </c>
      <c r="C11" s="122" t="s">
        <v>34</v>
      </c>
      <c r="D11" s="122"/>
      <c r="F11" s="94"/>
      <c r="G11" s="94"/>
      <c r="H11" s="94"/>
      <c r="I11" s="94"/>
      <c r="J11" s="94"/>
      <c r="K11" s="94"/>
      <c r="L11" s="94"/>
      <c r="M11" s="94"/>
      <c r="N11" s="94"/>
    </row>
    <row r="12" spans="1:26" x14ac:dyDescent="0.3">
      <c r="B12" s="122" t="s">
        <v>35</v>
      </c>
      <c r="C12" t="s">
        <v>36</v>
      </c>
      <c r="D12" s="122"/>
      <c r="F12" s="123"/>
      <c r="G12" s="94"/>
      <c r="H12" s="94"/>
      <c r="I12" s="94"/>
      <c r="K12" s="94"/>
      <c r="L12" s="94"/>
      <c r="M12" s="94"/>
      <c r="N12" s="94"/>
    </row>
    <row r="13" spans="1:26" x14ac:dyDescent="0.3">
      <c r="B13" s="1" t="s">
        <v>33</v>
      </c>
      <c r="C13" s="27" t="s">
        <v>34</v>
      </c>
      <c r="D13" s="122"/>
      <c r="F13" s="94"/>
      <c r="G13" s="94"/>
      <c r="H13" s="94"/>
      <c r="I13" s="94"/>
      <c r="J13" s="94"/>
      <c r="K13" s="94"/>
      <c r="L13" s="94"/>
      <c r="M13" s="94"/>
    </row>
    <row r="14" spans="1:26" x14ac:dyDescent="0.3">
      <c r="A14" s="123"/>
      <c r="B14" s="2"/>
      <c r="C14" s="2"/>
      <c r="D14" s="2"/>
      <c r="E14" s="2"/>
      <c r="F14" s="94"/>
      <c r="G14" s="94"/>
      <c r="H14" s="94"/>
      <c r="I14" s="94"/>
      <c r="J14" s="94"/>
      <c r="K14" s="94"/>
      <c r="L14" s="94"/>
      <c r="M14" s="94"/>
    </row>
    <row r="15" spans="1:26" x14ac:dyDescent="0.3">
      <c r="A15" s="122"/>
      <c r="B15" s="122" t="s">
        <v>40</v>
      </c>
      <c r="C15" s="122"/>
      <c r="D15" s="122"/>
      <c r="F15" s="94"/>
      <c r="G15" s="94"/>
      <c r="H15" s="181"/>
      <c r="I15" s="181"/>
      <c r="J15" s="181"/>
      <c r="K15" s="181"/>
      <c r="L15" s="94"/>
      <c r="M15" s="94"/>
      <c r="N15" s="94"/>
      <c r="O15" s="94"/>
      <c r="P15" s="94"/>
      <c r="Q15" s="94"/>
      <c r="R15" s="94"/>
    </row>
    <row r="16" spans="1:26" x14ac:dyDescent="0.3">
      <c r="A16" s="122"/>
      <c r="B16" s="2" t="s">
        <v>44</v>
      </c>
      <c r="C16" s="2"/>
      <c r="D16" s="2"/>
      <c r="E16" s="2"/>
      <c r="F16" s="94"/>
      <c r="G16" s="94"/>
      <c r="H16" s="94"/>
      <c r="I16" s="94"/>
      <c r="J16" s="94"/>
      <c r="K16" s="94"/>
      <c r="L16" s="94"/>
      <c r="M16" s="94"/>
      <c r="N16" s="94"/>
      <c r="O16" s="94"/>
      <c r="P16" s="94"/>
      <c r="Q16" s="94"/>
      <c r="R16" s="94"/>
    </row>
    <row r="17" spans="1:18" ht="14.4" customHeight="1" x14ac:dyDescent="0.3">
      <c r="B17" s="44"/>
      <c r="C17" s="28" t="s">
        <v>43</v>
      </c>
      <c r="D17" s="124"/>
      <c r="E17" s="124"/>
      <c r="F17" s="124"/>
      <c r="G17" s="94"/>
      <c r="H17" s="94"/>
      <c r="I17" s="94"/>
      <c r="J17" s="94"/>
      <c r="K17" s="94"/>
      <c r="L17" s="94"/>
      <c r="M17" s="94"/>
      <c r="N17" s="94"/>
      <c r="O17" s="94"/>
      <c r="P17" s="94"/>
      <c r="Q17" s="94"/>
      <c r="R17" s="94"/>
    </row>
    <row r="18" spans="1:18" x14ac:dyDescent="0.3">
      <c r="A18" s="123"/>
      <c r="B18" s="94"/>
      <c r="C18" s="94"/>
      <c r="D18" s="94"/>
      <c r="E18" s="94"/>
      <c r="F18" s="94"/>
      <c r="G18" s="94"/>
      <c r="H18" s="94"/>
      <c r="I18" s="94"/>
      <c r="J18" s="94"/>
      <c r="K18" s="94"/>
      <c r="L18" s="94"/>
      <c r="M18" s="94"/>
    </row>
    <row r="19" spans="1:18" x14ac:dyDescent="0.3">
      <c r="A19" s="123"/>
      <c r="B19" s="94"/>
      <c r="C19" s="94"/>
      <c r="D19" s="94"/>
      <c r="E19" s="94"/>
      <c r="F19" s="94"/>
      <c r="G19" s="94"/>
      <c r="H19" s="94"/>
      <c r="I19" s="94"/>
      <c r="J19" s="94"/>
      <c r="K19" s="94"/>
      <c r="L19" s="94"/>
      <c r="M19" s="94"/>
    </row>
    <row r="20" spans="1:18" x14ac:dyDescent="0.3">
      <c r="B20" s="94"/>
      <c r="C20" s="94"/>
      <c r="D20" s="94"/>
      <c r="E20" s="94"/>
      <c r="F20" s="94"/>
      <c r="G20" s="94"/>
      <c r="H20" s="94"/>
      <c r="I20" s="94"/>
      <c r="J20" s="94"/>
      <c r="K20" s="94"/>
      <c r="L20" s="94"/>
      <c r="M20" s="94"/>
    </row>
    <row r="21" spans="1:18" x14ac:dyDescent="0.3">
      <c r="B21" s="94"/>
      <c r="C21" s="94"/>
      <c r="D21" s="94"/>
      <c r="E21" s="94"/>
      <c r="F21" s="94"/>
      <c r="G21" s="94"/>
      <c r="H21" s="94"/>
      <c r="I21" s="94"/>
      <c r="J21" s="94"/>
      <c r="K21" s="94"/>
      <c r="L21" s="94"/>
      <c r="M21" s="94"/>
    </row>
    <row r="22" spans="1:18" x14ac:dyDescent="0.3">
      <c r="B22" s="94"/>
      <c r="C22" s="94"/>
      <c r="D22" s="94"/>
      <c r="E22" s="94"/>
      <c r="F22" s="94"/>
      <c r="G22" s="94"/>
      <c r="H22" s="94"/>
      <c r="I22" s="94"/>
      <c r="J22" s="94"/>
      <c r="K22" s="94"/>
      <c r="L22" s="94"/>
      <c r="M22" s="94"/>
    </row>
    <row r="23" spans="1:18" x14ac:dyDescent="0.3">
      <c r="B23" s="94"/>
      <c r="C23" s="94"/>
      <c r="D23" s="94"/>
      <c r="E23" s="94"/>
      <c r="F23" s="94"/>
      <c r="G23" s="94"/>
      <c r="H23" s="94"/>
      <c r="I23" s="94"/>
      <c r="J23" s="94"/>
      <c r="K23" s="94"/>
      <c r="L23" s="94"/>
      <c r="M23" s="94"/>
    </row>
    <row r="24" spans="1:18" x14ac:dyDescent="0.3">
      <c r="B24" s="94"/>
      <c r="C24" s="94"/>
      <c r="D24" s="94"/>
      <c r="E24" s="94"/>
      <c r="F24" s="94"/>
      <c r="G24" s="94"/>
      <c r="H24" s="94"/>
      <c r="I24" s="94"/>
      <c r="J24" s="94"/>
      <c r="K24" s="94"/>
      <c r="L24" s="94"/>
      <c r="M24" s="94"/>
      <c r="N24" s="94"/>
    </row>
    <row r="25" spans="1:18" x14ac:dyDescent="0.3">
      <c r="B25" s="94"/>
      <c r="C25" s="94"/>
      <c r="D25" s="94"/>
      <c r="E25" s="94"/>
      <c r="F25" s="94"/>
      <c r="G25" s="94"/>
      <c r="H25" s="94"/>
      <c r="I25" s="94"/>
      <c r="J25" s="94"/>
      <c r="K25" s="94"/>
      <c r="L25" s="94"/>
      <c r="M25" s="94"/>
      <c r="N25" s="94"/>
    </row>
    <row r="26" spans="1:18" x14ac:dyDescent="0.3">
      <c r="B26" s="94"/>
      <c r="C26" s="94"/>
      <c r="D26" s="94"/>
      <c r="E26" s="94"/>
      <c r="F26" s="94"/>
      <c r="G26" s="94"/>
      <c r="H26" s="94"/>
      <c r="I26" s="94"/>
      <c r="J26" s="94"/>
      <c r="K26" s="94"/>
      <c r="L26" s="94"/>
      <c r="M26" s="94"/>
      <c r="N26" s="94"/>
    </row>
    <row r="27" spans="1:18" x14ac:dyDescent="0.3">
      <c r="B27" s="94"/>
      <c r="C27" s="94"/>
      <c r="D27" s="94"/>
      <c r="E27" s="94"/>
      <c r="F27" s="94"/>
      <c r="G27" s="94"/>
      <c r="H27" s="94"/>
      <c r="I27" s="94"/>
      <c r="J27" s="94"/>
      <c r="K27" s="94"/>
      <c r="L27" s="94"/>
      <c r="M27" s="94"/>
      <c r="N27" s="94"/>
    </row>
    <row r="28" spans="1:18" x14ac:dyDescent="0.3">
      <c r="B28" s="94"/>
      <c r="C28" s="94"/>
      <c r="D28" s="94"/>
      <c r="E28" s="94"/>
      <c r="F28" s="94"/>
      <c r="G28" s="94"/>
      <c r="H28" s="94"/>
      <c r="I28" s="94"/>
      <c r="J28" s="94"/>
      <c r="K28" s="94"/>
      <c r="L28" s="94"/>
      <c r="M28" s="94"/>
      <c r="N28" s="94"/>
    </row>
    <row r="29" spans="1:18" x14ac:dyDescent="0.3">
      <c r="B29" s="94"/>
      <c r="C29" s="94"/>
      <c r="D29" s="94"/>
      <c r="E29" s="94"/>
      <c r="F29" s="94"/>
      <c r="G29" s="94"/>
      <c r="H29" s="94"/>
      <c r="I29" s="94"/>
      <c r="J29" s="94"/>
      <c r="K29" s="94"/>
      <c r="L29" s="94"/>
      <c r="M29" s="94"/>
      <c r="N29" s="94"/>
    </row>
    <row r="30" spans="1:18" x14ac:dyDescent="0.3">
      <c r="B30" s="94"/>
      <c r="C30" s="94"/>
      <c r="D30" s="94"/>
      <c r="E30" s="94"/>
      <c r="F30" s="94"/>
      <c r="G30" s="94"/>
      <c r="H30" s="94"/>
      <c r="I30" s="94"/>
      <c r="J30" s="94"/>
      <c r="K30" s="94"/>
      <c r="L30" s="94"/>
      <c r="M30" s="94"/>
      <c r="N30" s="94"/>
    </row>
    <row r="31" spans="1:18" x14ac:dyDescent="0.3">
      <c r="B31" s="94"/>
      <c r="C31" s="94"/>
      <c r="D31" s="94"/>
      <c r="E31" s="94"/>
      <c r="F31" s="94"/>
      <c r="G31" s="94"/>
      <c r="H31" s="94"/>
      <c r="I31" s="94"/>
      <c r="J31" s="94"/>
      <c r="K31" s="94"/>
      <c r="L31" s="94"/>
      <c r="M31" s="94"/>
      <c r="N31" s="94"/>
    </row>
    <row r="32" spans="1:18" x14ac:dyDescent="0.3">
      <c r="B32" s="94"/>
      <c r="C32" s="94"/>
      <c r="D32" s="94"/>
      <c r="E32" s="94"/>
      <c r="F32" s="94"/>
      <c r="G32" s="94"/>
      <c r="H32" s="94"/>
      <c r="I32" s="94"/>
      <c r="J32" s="94"/>
      <c r="K32" s="94"/>
      <c r="L32" s="94"/>
      <c r="M32" s="94"/>
      <c r="N32" s="94"/>
    </row>
    <row r="33" spans="2:14" x14ac:dyDescent="0.3">
      <c r="B33" s="94"/>
      <c r="C33" s="94"/>
      <c r="D33" s="94"/>
      <c r="E33" s="94"/>
      <c r="F33" s="94"/>
      <c r="G33" s="94"/>
      <c r="H33" s="94"/>
      <c r="I33" s="94"/>
      <c r="J33" s="94"/>
      <c r="K33" s="94"/>
      <c r="L33" s="94"/>
      <c r="M33" s="94"/>
      <c r="N33" s="94"/>
    </row>
    <row r="34" spans="2:14" x14ac:dyDescent="0.3">
      <c r="B34" s="94"/>
      <c r="C34" s="94"/>
      <c r="D34" s="94"/>
      <c r="E34" s="94"/>
      <c r="F34" s="94"/>
      <c r="G34" s="94"/>
      <c r="H34" s="94"/>
      <c r="I34" s="94"/>
      <c r="J34" s="94"/>
      <c r="K34" s="94"/>
      <c r="L34" s="94"/>
      <c r="M34" s="94"/>
      <c r="N34" s="94"/>
    </row>
    <row r="35" spans="2:14" x14ac:dyDescent="0.3">
      <c r="B35" s="94"/>
      <c r="C35" s="94"/>
      <c r="D35" s="94"/>
      <c r="E35" s="94"/>
      <c r="F35" s="94"/>
      <c r="G35" s="94"/>
      <c r="H35" s="94"/>
      <c r="I35" s="94"/>
      <c r="J35" s="94"/>
      <c r="K35" s="94"/>
      <c r="L35" s="94"/>
      <c r="M35" s="94"/>
      <c r="N35" s="94"/>
    </row>
    <row r="36" spans="2:14" x14ac:dyDescent="0.3">
      <c r="B36" s="94"/>
      <c r="C36" s="94"/>
      <c r="D36" s="94"/>
      <c r="E36" s="94"/>
      <c r="F36" s="94"/>
      <c r="G36" s="94"/>
      <c r="H36" s="94"/>
      <c r="I36" s="94"/>
      <c r="J36" s="94"/>
      <c r="K36" s="94"/>
      <c r="L36" s="94"/>
      <c r="M36" s="94"/>
      <c r="N36" s="94"/>
    </row>
    <row r="37" spans="2:14" x14ac:dyDescent="0.3">
      <c r="B37" s="94"/>
      <c r="C37" s="94"/>
      <c r="D37" s="94"/>
      <c r="E37" s="94"/>
      <c r="F37" s="94"/>
      <c r="G37" s="94"/>
      <c r="H37" s="94"/>
      <c r="I37" s="94"/>
      <c r="J37" s="94"/>
      <c r="K37" s="94"/>
      <c r="L37" s="94"/>
      <c r="M37" s="94"/>
      <c r="N37" s="94"/>
    </row>
    <row r="38" spans="2:14" x14ac:dyDescent="0.3">
      <c r="B38" s="94"/>
      <c r="C38" s="94"/>
      <c r="D38" s="94"/>
      <c r="E38" s="94"/>
      <c r="F38" s="94"/>
      <c r="G38" s="94"/>
      <c r="H38" s="94"/>
      <c r="I38" s="94"/>
      <c r="J38" s="94"/>
      <c r="K38" s="94"/>
      <c r="L38" s="94"/>
      <c r="M38" s="94"/>
      <c r="N38" s="94"/>
    </row>
    <row r="39" spans="2:14" x14ac:dyDescent="0.3">
      <c r="B39" s="94"/>
      <c r="C39" s="94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</row>
    <row r="40" spans="2:14" x14ac:dyDescent="0.3">
      <c r="B40" s="94"/>
      <c r="C40" s="94"/>
      <c r="D40" s="94"/>
      <c r="E40" s="94"/>
      <c r="F40" s="94"/>
      <c r="G40" s="94"/>
      <c r="H40" s="94"/>
      <c r="I40" s="94"/>
      <c r="J40" s="94"/>
      <c r="K40" s="94"/>
      <c r="L40" s="94"/>
      <c r="M40" s="94"/>
      <c r="N40" s="94"/>
    </row>
    <row r="41" spans="2:14" x14ac:dyDescent="0.3">
      <c r="B41" s="94"/>
      <c r="C41" s="94"/>
      <c r="D41" s="94"/>
      <c r="E41" s="94"/>
      <c r="F41" s="94"/>
      <c r="G41" s="94"/>
      <c r="H41" s="94"/>
      <c r="I41" s="94"/>
      <c r="J41" s="94"/>
      <c r="K41" s="94"/>
      <c r="L41" s="94"/>
      <c r="M41" s="94"/>
      <c r="N41" s="94"/>
    </row>
    <row r="42" spans="2:14" x14ac:dyDescent="0.3">
      <c r="F42" s="123"/>
      <c r="L42" s="94"/>
    </row>
    <row r="43" spans="2:14" x14ac:dyDescent="0.3">
      <c r="F43" s="123"/>
      <c r="L43" s="94"/>
    </row>
    <row r="44" spans="2:14" x14ac:dyDescent="0.3">
      <c r="F44" s="123"/>
      <c r="L44" s="94"/>
    </row>
    <row r="45" spans="2:14" x14ac:dyDescent="0.3">
      <c r="F45" s="123"/>
      <c r="L45" s="94"/>
    </row>
    <row r="46" spans="2:14" x14ac:dyDescent="0.3">
      <c r="F46" s="123"/>
      <c r="L46" s="94"/>
    </row>
    <row r="47" spans="2:14" x14ac:dyDescent="0.3">
      <c r="F47" s="123"/>
      <c r="L47" s="94"/>
    </row>
  </sheetData>
  <mergeCells count="14">
    <mergeCell ref="F1:F2"/>
    <mergeCell ref="A1:A2"/>
    <mergeCell ref="B1:B2"/>
    <mergeCell ref="C1:C2"/>
    <mergeCell ref="D1:D2"/>
    <mergeCell ref="E1:E2"/>
    <mergeCell ref="U5:V5"/>
    <mergeCell ref="H15:K15"/>
    <mergeCell ref="G1:G2"/>
    <mergeCell ref="I1:I2"/>
    <mergeCell ref="J1:J2"/>
    <mergeCell ref="K1:K2"/>
    <mergeCell ref="L1:L2"/>
    <mergeCell ref="O1:T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Z47"/>
  <sheetViews>
    <sheetView workbookViewId="0">
      <selection activeCell="I4" sqref="I4:I5"/>
    </sheetView>
  </sheetViews>
  <sheetFormatPr defaultColWidth="9.109375" defaultRowHeight="14.4" x14ac:dyDescent="0.3"/>
  <cols>
    <col min="1" max="2" width="9.109375" style="28"/>
    <col min="3" max="3" width="11.109375" style="28" customWidth="1"/>
    <col min="4" max="4" width="15.44140625" style="28" customWidth="1"/>
    <col min="5" max="5" width="12" style="28" customWidth="1"/>
    <col min="6" max="6" width="17.109375" style="39" customWidth="1"/>
    <col min="7" max="7" width="13.33203125" style="28" customWidth="1"/>
    <col min="8" max="8" width="11.44140625" style="28" customWidth="1"/>
    <col min="9" max="9" width="17.33203125" style="28" customWidth="1"/>
    <col min="10" max="10" width="11.6640625" style="28" customWidth="1"/>
    <col min="11" max="11" width="16.109375" style="28" customWidth="1"/>
    <col min="12" max="12" width="13.5546875" style="28" customWidth="1"/>
    <col min="13" max="13" width="9.109375" style="28"/>
    <col min="14" max="14" width="9.109375" style="28" customWidth="1"/>
    <col min="15" max="20" width="9.109375" style="28"/>
    <col min="21" max="21" width="15.109375" style="28" customWidth="1"/>
    <col min="22" max="22" width="13.6640625" style="28" customWidth="1"/>
    <col min="23" max="25" width="9.109375" style="28"/>
    <col min="26" max="26" width="9.5546875" style="28" customWidth="1"/>
    <col min="27" max="16384" width="9.109375" style="28"/>
  </cols>
  <sheetData>
    <row r="1" spans="1:26" ht="45" customHeight="1" x14ac:dyDescent="0.35">
      <c r="A1" s="185" t="s">
        <v>0</v>
      </c>
      <c r="B1" s="187" t="s">
        <v>1</v>
      </c>
      <c r="C1" s="189" t="s">
        <v>2</v>
      </c>
      <c r="D1" s="191" t="s">
        <v>3</v>
      </c>
      <c r="E1" s="193" t="s">
        <v>4</v>
      </c>
      <c r="F1" s="179" t="s">
        <v>5</v>
      </c>
      <c r="G1" s="195" t="s">
        <v>6</v>
      </c>
      <c r="H1" s="92" t="s">
        <v>7</v>
      </c>
      <c r="I1" s="195" t="s">
        <v>8</v>
      </c>
      <c r="J1" s="196" t="s">
        <v>9</v>
      </c>
      <c r="K1" s="187" t="s">
        <v>10</v>
      </c>
      <c r="L1" s="187" t="s">
        <v>11</v>
      </c>
      <c r="M1" s="94"/>
      <c r="N1" s="94"/>
      <c r="O1" s="182" t="s">
        <v>12</v>
      </c>
      <c r="P1" s="182"/>
      <c r="Q1" s="182"/>
      <c r="R1" s="182"/>
      <c r="S1" s="182"/>
      <c r="T1" s="182"/>
      <c r="Z1" s="29">
        <v>45677</v>
      </c>
    </row>
    <row r="2" spans="1:26" ht="17.100000000000001" customHeight="1" x14ac:dyDescent="0.3">
      <c r="A2" s="186"/>
      <c r="B2" s="188"/>
      <c r="C2" s="190"/>
      <c r="D2" s="192"/>
      <c r="E2" s="194"/>
      <c r="F2" s="180"/>
      <c r="G2" s="180"/>
      <c r="H2" s="95"/>
      <c r="I2" s="180"/>
      <c r="J2" s="197"/>
      <c r="K2" s="188"/>
      <c r="L2" s="188"/>
      <c r="M2" s="94"/>
      <c r="N2" s="94"/>
      <c r="O2" s="96" t="s">
        <v>13</v>
      </c>
      <c r="P2" s="97" t="s">
        <v>13</v>
      </c>
      <c r="Q2" s="98" t="s">
        <v>13</v>
      </c>
      <c r="R2" s="96" t="s">
        <v>14</v>
      </c>
      <c r="S2" s="97" t="s">
        <v>14</v>
      </c>
      <c r="T2" s="98" t="s">
        <v>14</v>
      </c>
      <c r="U2" s="94"/>
      <c r="V2" s="94"/>
    </row>
    <row r="3" spans="1:26" ht="17.100000000000001" customHeight="1" x14ac:dyDescent="0.3">
      <c r="A3" s="30" t="s">
        <v>27</v>
      </c>
      <c r="B3" s="40" t="s">
        <v>16</v>
      </c>
      <c r="C3" s="31">
        <v>114</v>
      </c>
      <c r="D3" s="99" t="s">
        <v>17</v>
      </c>
      <c r="E3" s="81">
        <v>1</v>
      </c>
      <c r="F3" s="93">
        <v>250</v>
      </c>
      <c r="G3" s="100">
        <v>78</v>
      </c>
      <c r="H3" s="100">
        <f t="shared" ref="H3:H8" si="0">RANK(G3,$G$3:$G$10)</f>
        <v>1</v>
      </c>
      <c r="I3" s="101">
        <v>88</v>
      </c>
      <c r="J3" s="32">
        <f>RANK(I3,$I$3:$I$10)+COUNTIF(I3:$I$3,I3)-1</f>
        <v>3</v>
      </c>
      <c r="K3" s="102">
        <f t="shared" ref="K3:K8" si="1">(E3+J3)/2</f>
        <v>2</v>
      </c>
      <c r="L3" s="102">
        <f>RANK(K3,$K$3:$K$10,1)+COUNTIF(K3:$K$6,K3)-1</f>
        <v>1</v>
      </c>
      <c r="M3" s="94"/>
      <c r="N3" s="94"/>
      <c r="O3" s="103" t="s">
        <v>18</v>
      </c>
      <c r="P3" s="104" t="s">
        <v>19</v>
      </c>
      <c r="Q3" s="105" t="s">
        <v>20</v>
      </c>
      <c r="R3" s="103" t="s">
        <v>18</v>
      </c>
      <c r="S3" s="104" t="s">
        <v>19</v>
      </c>
      <c r="T3" s="106" t="s">
        <v>20</v>
      </c>
      <c r="U3" s="94"/>
      <c r="V3" s="94"/>
    </row>
    <row r="4" spans="1:26" ht="17.100000000000001" customHeight="1" x14ac:dyDescent="0.3">
      <c r="A4" s="33" t="s">
        <v>38</v>
      </c>
      <c r="B4" s="51" t="s">
        <v>21</v>
      </c>
      <c r="C4" s="31">
        <v>108</v>
      </c>
      <c r="D4" s="94" t="s">
        <v>22</v>
      </c>
      <c r="E4" s="82">
        <v>2</v>
      </c>
      <c r="F4" s="107">
        <v>200</v>
      </c>
      <c r="G4" s="94">
        <v>34</v>
      </c>
      <c r="H4" s="108">
        <f t="shared" si="0"/>
        <v>6</v>
      </c>
      <c r="I4" s="94">
        <v>87</v>
      </c>
      <c r="J4" s="34">
        <f>RANK(I4,$I$3:$I$10)+COUNTIF(I$3:$I4,I4)-1</f>
        <v>6</v>
      </c>
      <c r="K4" s="109">
        <f t="shared" si="1"/>
        <v>4</v>
      </c>
      <c r="L4" s="109">
        <f>RANK(K4,$K$3:$K$10,1)+COUNTIF(K4:$K$6,K4)-1</f>
        <v>4</v>
      </c>
      <c r="M4" s="94"/>
      <c r="N4" s="94"/>
      <c r="O4" s="48">
        <v>50</v>
      </c>
      <c r="P4" s="110">
        <v>73</v>
      </c>
      <c r="Q4" s="111"/>
      <c r="R4" s="49">
        <v>20</v>
      </c>
      <c r="S4" s="112"/>
      <c r="T4" s="113"/>
    </row>
    <row r="5" spans="1:26" ht="17.100000000000001" customHeight="1" x14ac:dyDescent="0.3">
      <c r="A5" s="33" t="s">
        <v>38</v>
      </c>
      <c r="B5" s="51" t="s">
        <v>24</v>
      </c>
      <c r="C5" s="31">
        <v>108</v>
      </c>
      <c r="D5" s="94" t="s">
        <v>22</v>
      </c>
      <c r="E5" s="82">
        <v>3</v>
      </c>
      <c r="F5" s="107">
        <v>136</v>
      </c>
      <c r="G5" s="94">
        <v>39</v>
      </c>
      <c r="H5" s="108">
        <f t="shared" si="0"/>
        <v>5</v>
      </c>
      <c r="I5" s="94">
        <v>88</v>
      </c>
      <c r="J5" s="34">
        <f>RANK(I5,$I$3:$I$10)+COUNTIF(I$3:$I5,I5)-1</f>
        <v>4</v>
      </c>
      <c r="K5" s="109">
        <f t="shared" si="1"/>
        <v>3.5</v>
      </c>
      <c r="L5" s="109">
        <f>RANK(K5,$K$3:$K$10,1)+COUNTIF(K5:$K$6,K5)-1</f>
        <v>3</v>
      </c>
      <c r="M5" s="94"/>
      <c r="N5" s="94"/>
      <c r="U5" s="183" t="s">
        <v>23</v>
      </c>
      <c r="V5" s="184"/>
    </row>
    <row r="6" spans="1:26" x14ac:dyDescent="0.3">
      <c r="A6" s="33" t="s">
        <v>27</v>
      </c>
      <c r="B6" s="108" t="s">
        <v>28</v>
      </c>
      <c r="C6" s="31">
        <v>92</v>
      </c>
      <c r="D6" s="94" t="s">
        <v>29</v>
      </c>
      <c r="E6" s="82">
        <v>4</v>
      </c>
      <c r="F6" s="107">
        <v>105</v>
      </c>
      <c r="G6" s="94">
        <v>45</v>
      </c>
      <c r="H6" s="108">
        <f t="shared" si="0"/>
        <v>4</v>
      </c>
      <c r="I6" s="108">
        <v>89</v>
      </c>
      <c r="J6" s="34">
        <f>RANK(I6,$I$3:$I$10)+COUNTIF(I$3:$I6,I6)-1</f>
        <v>1</v>
      </c>
      <c r="K6" s="109">
        <f t="shared" si="1"/>
        <v>2.5</v>
      </c>
      <c r="L6" s="109">
        <f>RANK(K6,$K$3:$K$10,1)+COUNTIF(K6:$K$6,K6)-1</f>
        <v>2</v>
      </c>
      <c r="M6" s="94"/>
      <c r="N6" s="94"/>
      <c r="U6" s="115" t="s">
        <v>25</v>
      </c>
      <c r="V6" s="116" t="s">
        <v>26</v>
      </c>
    </row>
    <row r="7" spans="1:26" x14ac:dyDescent="0.3">
      <c r="A7" s="35" t="s">
        <v>38</v>
      </c>
      <c r="B7" s="52" t="s">
        <v>30</v>
      </c>
      <c r="C7" s="31">
        <v>85</v>
      </c>
      <c r="D7" s="94" t="s">
        <v>29</v>
      </c>
      <c r="E7" s="82">
        <v>5</v>
      </c>
      <c r="F7" s="107">
        <v>260</v>
      </c>
      <c r="G7" s="94">
        <v>66</v>
      </c>
      <c r="H7" s="108">
        <f t="shared" si="0"/>
        <v>2</v>
      </c>
      <c r="I7" s="94">
        <v>88</v>
      </c>
      <c r="J7" s="34">
        <f>RANK(I7,$I$3:$I$10)+COUNTIF(I$3:$I7,I7)-1</f>
        <v>5</v>
      </c>
      <c r="K7" s="109">
        <f t="shared" si="1"/>
        <v>5</v>
      </c>
      <c r="L7" s="109">
        <f>RANK(K7,$K$3:$K$10,1)+COUNTIF(K$6:$K7,K7)-1</f>
        <v>6</v>
      </c>
      <c r="M7" s="94"/>
      <c r="N7" s="94"/>
      <c r="U7" s="117">
        <f>P4+S4</f>
        <v>73</v>
      </c>
      <c r="V7" s="118">
        <f>Q4+T4</f>
        <v>0</v>
      </c>
    </row>
    <row r="8" spans="1:26" x14ac:dyDescent="0.3">
      <c r="A8" s="108" t="s">
        <v>15</v>
      </c>
      <c r="B8" s="108" t="s">
        <v>31</v>
      </c>
      <c r="C8" s="108">
        <v>85</v>
      </c>
      <c r="D8" s="94" t="s">
        <v>29</v>
      </c>
      <c r="E8" s="82">
        <v>6</v>
      </c>
      <c r="F8" s="108">
        <v>294</v>
      </c>
      <c r="G8" s="94">
        <v>64</v>
      </c>
      <c r="H8" s="108">
        <f t="shared" si="0"/>
        <v>3</v>
      </c>
      <c r="I8" s="119">
        <v>89</v>
      </c>
      <c r="J8" s="108">
        <f>RANK(I8,$I$3:$I$10)+COUNTIF(I$3:$I8,I8)-1</f>
        <v>2</v>
      </c>
      <c r="K8" s="109">
        <f t="shared" si="1"/>
        <v>4</v>
      </c>
      <c r="L8" s="109">
        <f>RANK(K8,$K$3:$K$10,1)+COUNTIF(K$6:$K8,K8)-1</f>
        <v>4</v>
      </c>
      <c r="M8" s="94"/>
      <c r="N8" s="94"/>
    </row>
    <row r="9" spans="1:26" x14ac:dyDescent="0.3">
      <c r="A9" s="41"/>
      <c r="B9" s="41" t="s">
        <v>32</v>
      </c>
      <c r="C9" s="41">
        <v>83</v>
      </c>
      <c r="D9" s="44" t="s">
        <v>29</v>
      </c>
      <c r="E9" s="41">
        <v>7</v>
      </c>
      <c r="F9" s="41"/>
      <c r="G9" s="44"/>
      <c r="H9" s="41"/>
      <c r="I9" s="45"/>
      <c r="J9" s="41"/>
      <c r="K9" s="46"/>
      <c r="L9" s="47"/>
      <c r="M9" s="94"/>
      <c r="N9" s="94"/>
    </row>
    <row r="10" spans="1:26" x14ac:dyDescent="0.3">
      <c r="A10" s="36"/>
      <c r="B10" s="120"/>
      <c r="C10" s="37"/>
      <c r="D10" s="112"/>
      <c r="E10" s="37"/>
      <c r="F10" s="120"/>
      <c r="G10" s="112"/>
      <c r="H10" s="120"/>
      <c r="I10" s="114"/>
      <c r="J10" s="38"/>
      <c r="K10" s="121"/>
      <c r="L10" s="121"/>
      <c r="M10" s="94"/>
      <c r="N10" s="94"/>
    </row>
    <row r="11" spans="1:26" x14ac:dyDescent="0.3">
      <c r="B11" s="122" t="s">
        <v>33</v>
      </c>
      <c r="C11" s="122" t="s">
        <v>34</v>
      </c>
      <c r="D11" s="122"/>
      <c r="F11" s="94"/>
      <c r="G11" s="94"/>
      <c r="H11" s="94"/>
      <c r="I11" s="94"/>
      <c r="J11" s="94"/>
      <c r="K11" s="94"/>
      <c r="L11" s="94"/>
      <c r="M11" s="94"/>
      <c r="N11" s="94"/>
    </row>
    <row r="12" spans="1:26" x14ac:dyDescent="0.3">
      <c r="B12" s="122" t="s">
        <v>35</v>
      </c>
      <c r="C12" t="s">
        <v>36</v>
      </c>
      <c r="D12" s="122"/>
      <c r="F12" s="123"/>
      <c r="G12" s="94"/>
      <c r="H12" s="94"/>
      <c r="I12" s="94"/>
      <c r="K12" s="94"/>
      <c r="L12" s="94"/>
      <c r="M12" s="94"/>
      <c r="N12" s="94"/>
    </row>
    <row r="13" spans="1:26" x14ac:dyDescent="0.3">
      <c r="B13" s="1" t="s">
        <v>33</v>
      </c>
      <c r="C13" s="27" t="s">
        <v>34</v>
      </c>
      <c r="D13" s="122"/>
      <c r="F13" s="94"/>
      <c r="G13" s="94"/>
      <c r="H13" s="94"/>
      <c r="I13" s="94"/>
      <c r="J13" s="94"/>
      <c r="K13" s="94"/>
      <c r="L13" s="94"/>
      <c r="M13" s="94"/>
    </row>
    <row r="14" spans="1:26" x14ac:dyDescent="0.3">
      <c r="A14" s="123"/>
      <c r="B14" s="2"/>
      <c r="C14" s="2"/>
      <c r="D14" s="2"/>
      <c r="E14" s="2"/>
      <c r="F14" s="94"/>
      <c r="G14" s="94"/>
      <c r="H14" s="94"/>
      <c r="I14" s="94"/>
      <c r="J14" s="94"/>
      <c r="K14" s="94"/>
      <c r="L14" s="94"/>
      <c r="M14" s="94"/>
    </row>
    <row r="15" spans="1:26" x14ac:dyDescent="0.3">
      <c r="A15" s="122"/>
      <c r="B15" s="122" t="s">
        <v>40</v>
      </c>
      <c r="C15" s="122"/>
      <c r="D15" s="122"/>
      <c r="F15" s="94"/>
      <c r="G15" s="94"/>
      <c r="H15" s="181"/>
      <c r="I15" s="181"/>
      <c r="J15" s="181"/>
      <c r="K15" s="181"/>
      <c r="L15" s="94"/>
      <c r="M15" s="94"/>
      <c r="N15" s="94"/>
      <c r="O15" s="94"/>
      <c r="P15" s="94"/>
      <c r="Q15" s="94"/>
      <c r="R15" s="94"/>
    </row>
    <row r="16" spans="1:26" x14ac:dyDescent="0.3">
      <c r="A16" s="122"/>
      <c r="B16" s="2" t="s">
        <v>44</v>
      </c>
      <c r="C16" s="2"/>
      <c r="D16" s="2"/>
      <c r="E16" s="2"/>
      <c r="F16" s="94"/>
      <c r="G16" s="94"/>
      <c r="H16" s="94"/>
      <c r="I16" s="94"/>
      <c r="J16" s="94"/>
      <c r="K16" s="94"/>
      <c r="L16" s="94"/>
      <c r="M16" s="94"/>
      <c r="N16" s="94"/>
      <c r="O16" s="94"/>
      <c r="P16" s="94"/>
      <c r="Q16" s="94"/>
      <c r="R16" s="94"/>
    </row>
    <row r="17" spans="1:18" ht="14.4" customHeight="1" x14ac:dyDescent="0.3">
      <c r="B17" s="44"/>
      <c r="C17" s="28" t="s">
        <v>43</v>
      </c>
      <c r="D17" s="124"/>
      <c r="E17" s="124"/>
      <c r="F17" s="124"/>
      <c r="G17" s="94"/>
      <c r="H17" s="94"/>
      <c r="I17" s="94"/>
      <c r="J17" s="94"/>
      <c r="K17" s="94"/>
      <c r="L17" s="94"/>
      <c r="M17" s="94"/>
      <c r="N17" s="94"/>
      <c r="O17" s="94"/>
      <c r="P17" s="94"/>
      <c r="Q17" s="94"/>
      <c r="R17" s="94"/>
    </row>
    <row r="18" spans="1:18" x14ac:dyDescent="0.3">
      <c r="A18" s="123"/>
      <c r="B18" s="94"/>
      <c r="C18" s="94"/>
      <c r="D18" s="94"/>
      <c r="E18" s="94"/>
      <c r="F18" s="94"/>
      <c r="G18" s="94"/>
      <c r="H18" s="94"/>
      <c r="I18" s="94"/>
      <c r="J18" s="94"/>
      <c r="K18" s="94"/>
      <c r="L18" s="94"/>
      <c r="M18" s="94"/>
    </row>
    <row r="19" spans="1:18" x14ac:dyDescent="0.3">
      <c r="A19" s="123"/>
      <c r="B19" s="94"/>
      <c r="C19" s="94"/>
      <c r="D19" s="94"/>
      <c r="E19" s="94"/>
      <c r="F19" s="94"/>
      <c r="G19" s="94"/>
      <c r="H19" s="94"/>
      <c r="I19" s="94"/>
      <c r="J19" s="94"/>
      <c r="K19" s="94"/>
      <c r="L19" s="94"/>
      <c r="M19" s="94"/>
    </row>
    <row r="20" spans="1:18" x14ac:dyDescent="0.3">
      <c r="B20" s="94"/>
      <c r="C20" s="94"/>
      <c r="D20" s="94"/>
      <c r="E20" s="94"/>
      <c r="F20" s="94"/>
      <c r="G20" s="94"/>
      <c r="H20" s="94"/>
      <c r="I20" s="94"/>
      <c r="J20" s="94"/>
      <c r="K20" s="94"/>
      <c r="L20" s="94"/>
      <c r="M20" s="94"/>
    </row>
    <row r="21" spans="1:18" x14ac:dyDescent="0.3">
      <c r="B21" s="94"/>
      <c r="C21" s="94"/>
      <c r="D21" s="94"/>
      <c r="E21" s="94"/>
      <c r="F21" s="94"/>
      <c r="G21" s="94"/>
      <c r="H21" s="94"/>
      <c r="I21" s="94"/>
      <c r="J21" s="94"/>
      <c r="K21" s="94"/>
      <c r="L21" s="94"/>
      <c r="M21" s="94"/>
    </row>
    <row r="22" spans="1:18" x14ac:dyDescent="0.3">
      <c r="B22" s="94"/>
      <c r="C22" s="94"/>
      <c r="D22" s="94"/>
      <c r="E22" s="94"/>
      <c r="F22" s="94"/>
      <c r="G22" s="94"/>
      <c r="H22" s="94"/>
      <c r="I22" s="94"/>
      <c r="J22" s="94"/>
      <c r="K22" s="94"/>
      <c r="L22" s="94"/>
      <c r="M22" s="94"/>
    </row>
    <row r="23" spans="1:18" x14ac:dyDescent="0.3">
      <c r="B23" s="94"/>
      <c r="C23" s="94"/>
      <c r="D23" s="94"/>
      <c r="E23" s="94"/>
      <c r="F23" s="94"/>
      <c r="G23" s="94"/>
      <c r="H23" s="94"/>
      <c r="I23" s="94"/>
      <c r="J23" s="94"/>
      <c r="K23" s="94"/>
      <c r="L23" s="94"/>
      <c r="M23" s="94"/>
    </row>
    <row r="24" spans="1:18" x14ac:dyDescent="0.3">
      <c r="B24" s="94"/>
      <c r="C24" s="94"/>
      <c r="D24" s="94"/>
      <c r="E24" s="94"/>
      <c r="F24" s="94"/>
      <c r="G24" s="94"/>
      <c r="H24" s="94"/>
      <c r="I24" s="94"/>
      <c r="J24" s="94"/>
      <c r="K24" s="94"/>
      <c r="L24" s="94"/>
      <c r="M24" s="94"/>
      <c r="N24" s="94"/>
    </row>
    <row r="25" spans="1:18" x14ac:dyDescent="0.3">
      <c r="B25" s="94"/>
      <c r="C25" s="94"/>
      <c r="D25" s="94"/>
      <c r="E25" s="94"/>
      <c r="F25" s="94"/>
      <c r="G25" s="94"/>
      <c r="H25" s="94"/>
      <c r="I25" s="94"/>
      <c r="J25" s="94"/>
      <c r="K25" s="94"/>
      <c r="L25" s="94"/>
      <c r="M25" s="94"/>
      <c r="N25" s="94"/>
    </row>
    <row r="26" spans="1:18" x14ac:dyDescent="0.3">
      <c r="B26" s="94"/>
      <c r="C26" s="94"/>
      <c r="D26" s="94"/>
      <c r="E26" s="94"/>
      <c r="F26" s="94"/>
      <c r="G26" s="94"/>
      <c r="H26" s="94"/>
      <c r="I26" s="94"/>
      <c r="J26" s="94"/>
      <c r="K26" s="94"/>
      <c r="L26" s="94"/>
      <c r="M26" s="94"/>
      <c r="N26" s="94"/>
    </row>
    <row r="27" spans="1:18" x14ac:dyDescent="0.3">
      <c r="B27" s="94"/>
      <c r="C27" s="94"/>
      <c r="D27" s="94"/>
      <c r="E27" s="94"/>
      <c r="F27" s="94"/>
      <c r="G27" s="94"/>
      <c r="H27" s="94"/>
      <c r="I27" s="94"/>
      <c r="J27" s="94"/>
      <c r="K27" s="94"/>
      <c r="L27" s="94"/>
      <c r="M27" s="94"/>
      <c r="N27" s="94"/>
    </row>
    <row r="28" spans="1:18" x14ac:dyDescent="0.3">
      <c r="B28" s="94"/>
      <c r="C28" s="94"/>
      <c r="D28" s="94"/>
      <c r="E28" s="94"/>
      <c r="F28" s="94"/>
      <c r="G28" s="94"/>
      <c r="H28" s="94"/>
      <c r="I28" s="94"/>
      <c r="J28" s="94"/>
      <c r="K28" s="94"/>
      <c r="L28" s="94"/>
      <c r="M28" s="94"/>
      <c r="N28" s="94"/>
    </row>
    <row r="29" spans="1:18" x14ac:dyDescent="0.3">
      <c r="B29" s="94"/>
      <c r="C29" s="94"/>
      <c r="D29" s="94"/>
      <c r="E29" s="94"/>
      <c r="F29" s="94"/>
      <c r="G29" s="94"/>
      <c r="H29" s="94"/>
      <c r="I29" s="94"/>
      <c r="J29" s="94"/>
      <c r="K29" s="94"/>
      <c r="L29" s="94"/>
      <c r="M29" s="94"/>
      <c r="N29" s="94"/>
    </row>
    <row r="30" spans="1:18" x14ac:dyDescent="0.3">
      <c r="B30" s="94"/>
      <c r="C30" s="94"/>
      <c r="D30" s="94"/>
      <c r="E30" s="94"/>
      <c r="F30" s="94"/>
      <c r="G30" s="94"/>
      <c r="H30" s="94"/>
      <c r="I30" s="94"/>
      <c r="J30" s="94"/>
      <c r="K30" s="94"/>
      <c r="L30" s="94"/>
      <c r="M30" s="94"/>
      <c r="N30" s="94"/>
    </row>
    <row r="31" spans="1:18" x14ac:dyDescent="0.3">
      <c r="B31" s="94"/>
      <c r="C31" s="94"/>
      <c r="D31" s="94"/>
      <c r="E31" s="94"/>
      <c r="F31" s="94"/>
      <c r="G31" s="94"/>
      <c r="H31" s="94"/>
      <c r="I31" s="94"/>
      <c r="J31" s="94"/>
      <c r="K31" s="94"/>
      <c r="L31" s="94"/>
      <c r="M31" s="94"/>
      <c r="N31" s="94"/>
    </row>
    <row r="32" spans="1:18" x14ac:dyDescent="0.3">
      <c r="B32" s="94"/>
      <c r="C32" s="94"/>
      <c r="D32" s="94"/>
      <c r="E32" s="94"/>
      <c r="F32" s="94"/>
      <c r="G32" s="94"/>
      <c r="H32" s="94"/>
      <c r="I32" s="94"/>
      <c r="J32" s="94"/>
      <c r="K32" s="94"/>
      <c r="L32" s="94"/>
      <c r="M32" s="94"/>
      <c r="N32" s="94"/>
    </row>
    <row r="33" spans="2:14" x14ac:dyDescent="0.3">
      <c r="B33" s="94"/>
      <c r="C33" s="94"/>
      <c r="D33" s="94"/>
      <c r="E33" s="94"/>
      <c r="F33" s="94"/>
      <c r="G33" s="94"/>
      <c r="H33" s="94"/>
      <c r="I33" s="94"/>
      <c r="J33" s="94"/>
      <c r="K33" s="94"/>
      <c r="L33" s="94"/>
      <c r="M33" s="94"/>
      <c r="N33" s="94"/>
    </row>
    <row r="34" spans="2:14" x14ac:dyDescent="0.3">
      <c r="B34" s="94"/>
      <c r="C34" s="94"/>
      <c r="D34" s="94"/>
      <c r="E34" s="94"/>
      <c r="F34" s="94"/>
      <c r="G34" s="94"/>
      <c r="H34" s="94"/>
      <c r="I34" s="94"/>
      <c r="J34" s="94"/>
      <c r="K34" s="94"/>
      <c r="L34" s="94"/>
      <c r="M34" s="94"/>
      <c r="N34" s="94"/>
    </row>
    <row r="35" spans="2:14" x14ac:dyDescent="0.3">
      <c r="B35" s="94"/>
      <c r="C35" s="94"/>
      <c r="D35" s="94"/>
      <c r="E35" s="94"/>
      <c r="F35" s="94"/>
      <c r="G35" s="94"/>
      <c r="H35" s="94"/>
      <c r="I35" s="94"/>
      <c r="J35" s="94"/>
      <c r="K35" s="94"/>
      <c r="L35" s="94"/>
      <c r="M35" s="94"/>
      <c r="N35" s="94"/>
    </row>
    <row r="36" spans="2:14" x14ac:dyDescent="0.3">
      <c r="B36" s="94"/>
      <c r="C36" s="94"/>
      <c r="D36" s="94"/>
      <c r="E36" s="94"/>
      <c r="F36" s="94"/>
      <c r="G36" s="94"/>
      <c r="H36" s="94"/>
      <c r="I36" s="94"/>
      <c r="J36" s="94"/>
      <c r="K36" s="94"/>
      <c r="L36" s="94"/>
      <c r="M36" s="94"/>
      <c r="N36" s="94"/>
    </row>
    <row r="37" spans="2:14" x14ac:dyDescent="0.3">
      <c r="B37" s="94"/>
      <c r="C37" s="94"/>
      <c r="D37" s="94"/>
      <c r="E37" s="94"/>
      <c r="F37" s="94"/>
      <c r="G37" s="94"/>
      <c r="H37" s="94"/>
      <c r="I37" s="94"/>
      <c r="J37" s="94"/>
      <c r="K37" s="94"/>
      <c r="L37" s="94"/>
      <c r="M37" s="94"/>
      <c r="N37" s="94"/>
    </row>
    <row r="38" spans="2:14" x14ac:dyDescent="0.3">
      <c r="B38" s="94"/>
      <c r="C38" s="94"/>
      <c r="D38" s="94"/>
      <c r="E38" s="94"/>
      <c r="F38" s="94"/>
      <c r="G38" s="94"/>
      <c r="H38" s="94"/>
      <c r="I38" s="94"/>
      <c r="J38" s="94"/>
      <c r="K38" s="94"/>
      <c r="L38" s="94"/>
      <c r="M38" s="94"/>
      <c r="N38" s="94"/>
    </row>
    <row r="39" spans="2:14" x14ac:dyDescent="0.3">
      <c r="B39" s="94"/>
      <c r="C39" s="94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</row>
    <row r="40" spans="2:14" x14ac:dyDescent="0.3">
      <c r="B40" s="94"/>
      <c r="C40" s="94"/>
      <c r="D40" s="94"/>
      <c r="E40" s="94"/>
      <c r="F40" s="94"/>
      <c r="G40" s="94"/>
      <c r="H40" s="94"/>
      <c r="I40" s="94"/>
      <c r="J40" s="94"/>
      <c r="K40" s="94"/>
      <c r="L40" s="94"/>
      <c r="M40" s="94"/>
      <c r="N40" s="94"/>
    </row>
    <row r="41" spans="2:14" x14ac:dyDescent="0.3">
      <c r="B41" s="94"/>
      <c r="C41" s="94"/>
      <c r="D41" s="94"/>
      <c r="E41" s="94"/>
      <c r="F41" s="94"/>
      <c r="G41" s="94"/>
      <c r="H41" s="94"/>
      <c r="I41" s="94"/>
      <c r="J41" s="94"/>
      <c r="K41" s="94"/>
      <c r="L41" s="94"/>
      <c r="M41" s="94"/>
      <c r="N41" s="94"/>
    </row>
    <row r="42" spans="2:14" x14ac:dyDescent="0.3">
      <c r="F42" s="123"/>
      <c r="L42" s="94"/>
    </row>
    <row r="43" spans="2:14" x14ac:dyDescent="0.3">
      <c r="F43" s="123"/>
      <c r="L43" s="94"/>
    </row>
    <row r="44" spans="2:14" x14ac:dyDescent="0.3">
      <c r="F44" s="123"/>
      <c r="L44" s="94"/>
    </row>
    <row r="45" spans="2:14" x14ac:dyDescent="0.3">
      <c r="F45" s="123"/>
      <c r="L45" s="94"/>
    </row>
    <row r="46" spans="2:14" x14ac:dyDescent="0.3">
      <c r="F46" s="123"/>
      <c r="L46" s="94"/>
    </row>
    <row r="47" spans="2:14" x14ac:dyDescent="0.3">
      <c r="F47" s="123"/>
      <c r="L47" s="94"/>
    </row>
  </sheetData>
  <mergeCells count="14">
    <mergeCell ref="U5:V5"/>
    <mergeCell ref="H15:K15"/>
    <mergeCell ref="G1:G2"/>
    <mergeCell ref="I1:I2"/>
    <mergeCell ref="J1:J2"/>
    <mergeCell ref="K1:K2"/>
    <mergeCell ref="L1:L2"/>
    <mergeCell ref="O1:T1"/>
    <mergeCell ref="F1:F2"/>
    <mergeCell ref="A1:A2"/>
    <mergeCell ref="B1:B2"/>
    <mergeCell ref="C1:C2"/>
    <mergeCell ref="D1:D2"/>
    <mergeCell ref="E1:E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Z47"/>
  <sheetViews>
    <sheetView workbookViewId="0">
      <selection activeCell="D21" sqref="D21"/>
    </sheetView>
  </sheetViews>
  <sheetFormatPr defaultColWidth="9.109375" defaultRowHeight="14.4" x14ac:dyDescent="0.3"/>
  <cols>
    <col min="1" max="2" width="9.109375" style="28"/>
    <col min="3" max="3" width="11.109375" style="28" customWidth="1"/>
    <col min="4" max="4" width="15.44140625" style="28" customWidth="1"/>
    <col min="5" max="5" width="12" style="28" customWidth="1"/>
    <col min="6" max="6" width="17.109375" style="39" customWidth="1"/>
    <col min="7" max="7" width="13.33203125" style="28" customWidth="1"/>
    <col min="8" max="8" width="11.44140625" style="28" customWidth="1"/>
    <col min="9" max="9" width="17.33203125" style="28" customWidth="1"/>
    <col min="10" max="10" width="11.6640625" style="28" customWidth="1"/>
    <col min="11" max="11" width="16.109375" style="28" customWidth="1"/>
    <col min="12" max="12" width="13.5546875" style="28" customWidth="1"/>
    <col min="13" max="13" width="9.109375" style="28"/>
    <col min="14" max="14" width="9.109375" style="28" customWidth="1"/>
    <col min="15" max="20" width="9.109375" style="28"/>
    <col min="21" max="21" width="15.109375" style="28" customWidth="1"/>
    <col min="22" max="22" width="13.6640625" style="28" customWidth="1"/>
    <col min="23" max="25" width="9.109375" style="28"/>
    <col min="26" max="26" width="9.5546875" style="28" customWidth="1"/>
    <col min="27" max="16384" width="9.109375" style="28"/>
  </cols>
  <sheetData>
    <row r="1" spans="1:26" ht="45" customHeight="1" x14ac:dyDescent="0.35">
      <c r="A1" s="185" t="s">
        <v>0</v>
      </c>
      <c r="B1" s="187" t="s">
        <v>1</v>
      </c>
      <c r="C1" s="189" t="s">
        <v>2</v>
      </c>
      <c r="D1" s="191" t="s">
        <v>3</v>
      </c>
      <c r="E1" s="193" t="s">
        <v>4</v>
      </c>
      <c r="F1" s="179" t="s">
        <v>5</v>
      </c>
      <c r="G1" s="195" t="s">
        <v>6</v>
      </c>
      <c r="H1" s="92" t="s">
        <v>7</v>
      </c>
      <c r="I1" s="195" t="s">
        <v>8</v>
      </c>
      <c r="J1" s="196" t="s">
        <v>9</v>
      </c>
      <c r="K1" s="187" t="s">
        <v>10</v>
      </c>
      <c r="L1" s="187" t="s">
        <v>11</v>
      </c>
      <c r="M1" s="94"/>
      <c r="N1" s="94"/>
      <c r="O1" s="182" t="s">
        <v>12</v>
      </c>
      <c r="P1" s="182"/>
      <c r="Q1" s="182"/>
      <c r="R1" s="182"/>
      <c r="S1" s="182"/>
      <c r="T1" s="182"/>
      <c r="Z1" s="29">
        <v>45677</v>
      </c>
    </row>
    <row r="2" spans="1:26" ht="17.100000000000001" customHeight="1" x14ac:dyDescent="0.3">
      <c r="A2" s="186"/>
      <c r="B2" s="188"/>
      <c r="C2" s="190"/>
      <c r="D2" s="192"/>
      <c r="E2" s="194"/>
      <c r="F2" s="180"/>
      <c r="G2" s="180"/>
      <c r="H2" s="95"/>
      <c r="I2" s="180"/>
      <c r="J2" s="197"/>
      <c r="K2" s="188"/>
      <c r="L2" s="188"/>
      <c r="M2" s="94"/>
      <c r="N2" s="94"/>
      <c r="O2" s="96" t="s">
        <v>13</v>
      </c>
      <c r="P2" s="97" t="s">
        <v>13</v>
      </c>
      <c r="Q2" s="98" t="s">
        <v>13</v>
      </c>
      <c r="R2" s="96" t="s">
        <v>14</v>
      </c>
      <c r="S2" s="97" t="s">
        <v>14</v>
      </c>
      <c r="T2" s="98" t="s">
        <v>14</v>
      </c>
      <c r="U2" s="94"/>
      <c r="V2" s="94"/>
    </row>
    <row r="3" spans="1:26" ht="17.100000000000001" customHeight="1" x14ac:dyDescent="0.3">
      <c r="A3" s="30" t="s">
        <v>27</v>
      </c>
      <c r="B3" s="40" t="s">
        <v>16</v>
      </c>
      <c r="C3" s="31">
        <v>114</v>
      </c>
      <c r="D3" s="99" t="s">
        <v>17</v>
      </c>
      <c r="E3" s="81">
        <v>1</v>
      </c>
      <c r="F3" s="93">
        <v>274</v>
      </c>
      <c r="G3" s="100">
        <v>45</v>
      </c>
      <c r="H3" s="100">
        <f t="shared" ref="H3:H8" si="0">RANK(G3,$G$3:$G$10)</f>
        <v>3</v>
      </c>
      <c r="I3" s="101">
        <v>88</v>
      </c>
      <c r="J3" s="32">
        <f>RANK(I3,$I$3:$I$10)+COUNTIF(I3:$I$3,I3)-1</f>
        <v>2</v>
      </c>
      <c r="K3" s="102">
        <f t="shared" ref="K3:K8" si="1">(E3+J3)/2</f>
        <v>1.5</v>
      </c>
      <c r="L3" s="102">
        <f>RANK(K3,$K$3:$K$10,1)+COUNTIF(K3:$K$6,K3)-1</f>
        <v>2</v>
      </c>
      <c r="M3" s="94"/>
      <c r="N3" s="94"/>
      <c r="O3" s="103" t="s">
        <v>18</v>
      </c>
      <c r="P3" s="104" t="s">
        <v>19</v>
      </c>
      <c r="Q3" s="105" t="s">
        <v>20</v>
      </c>
      <c r="R3" s="103" t="s">
        <v>18</v>
      </c>
      <c r="S3" s="104" t="s">
        <v>19</v>
      </c>
      <c r="T3" s="106" t="s">
        <v>20</v>
      </c>
      <c r="U3" s="94"/>
      <c r="V3" s="94"/>
    </row>
    <row r="4" spans="1:26" ht="17.100000000000001" customHeight="1" x14ac:dyDescent="0.3">
      <c r="A4" s="33" t="s">
        <v>27</v>
      </c>
      <c r="B4" s="51" t="s">
        <v>21</v>
      </c>
      <c r="C4" s="31">
        <v>108</v>
      </c>
      <c r="D4" s="94" t="s">
        <v>22</v>
      </c>
      <c r="E4" s="82">
        <v>2</v>
      </c>
      <c r="F4" s="107">
        <v>318</v>
      </c>
      <c r="G4" s="94">
        <v>52</v>
      </c>
      <c r="H4" s="108">
        <f t="shared" si="0"/>
        <v>1</v>
      </c>
      <c r="I4" s="94">
        <v>89</v>
      </c>
      <c r="J4" s="34">
        <f>RANK(I4,$I$3:$I$10)+COUNTIF(I$3:$I4,I4)-1</f>
        <v>1</v>
      </c>
      <c r="K4" s="109">
        <f t="shared" si="1"/>
        <v>1.5</v>
      </c>
      <c r="L4" s="109">
        <f>RANK(K4,$K$3:$K$10,1)+COUNTIF(K4:$K$6,K4)-1</f>
        <v>1</v>
      </c>
      <c r="M4" s="94"/>
      <c r="N4" s="94"/>
      <c r="O4" s="48">
        <v>50</v>
      </c>
      <c r="P4" s="110"/>
      <c r="Q4" s="111"/>
      <c r="R4" s="49">
        <v>20</v>
      </c>
      <c r="S4" s="112"/>
      <c r="T4" s="113"/>
    </row>
    <row r="5" spans="1:26" ht="17.100000000000001" customHeight="1" x14ac:dyDescent="0.3">
      <c r="A5" s="33" t="s">
        <v>38</v>
      </c>
      <c r="B5" s="51" t="s">
        <v>24</v>
      </c>
      <c r="C5" s="31">
        <v>108</v>
      </c>
      <c r="D5" s="94" t="s">
        <v>22</v>
      </c>
      <c r="E5" s="82">
        <v>3</v>
      </c>
      <c r="F5" s="107">
        <v>148</v>
      </c>
      <c r="G5" s="94">
        <v>30</v>
      </c>
      <c r="H5" s="108">
        <f t="shared" si="0"/>
        <v>6</v>
      </c>
      <c r="I5" s="94">
        <v>87</v>
      </c>
      <c r="J5" s="34">
        <f>RANK(I5,$I$3:$I$10)+COUNTIF(I$3:$I5,I5)-1</f>
        <v>5</v>
      </c>
      <c r="K5" s="109">
        <f t="shared" si="1"/>
        <v>4</v>
      </c>
      <c r="L5" s="109">
        <f>RANK(K5,$K$3:$K$10,1)+COUNTIF(K5:$K$6,K5)-1</f>
        <v>4</v>
      </c>
      <c r="M5" s="94"/>
      <c r="N5" s="94"/>
      <c r="U5" s="183" t="s">
        <v>23</v>
      </c>
      <c r="V5" s="184"/>
    </row>
    <row r="6" spans="1:26" x14ac:dyDescent="0.3">
      <c r="A6" s="33" t="s">
        <v>38</v>
      </c>
      <c r="B6" s="108" t="s">
        <v>28</v>
      </c>
      <c r="C6" s="31">
        <v>92</v>
      </c>
      <c r="D6" s="94" t="s">
        <v>29</v>
      </c>
      <c r="E6" s="82">
        <v>4</v>
      </c>
      <c r="F6" s="107">
        <v>118</v>
      </c>
      <c r="G6" s="94">
        <v>37</v>
      </c>
      <c r="H6" s="108">
        <f t="shared" si="0"/>
        <v>5</v>
      </c>
      <c r="I6" s="108">
        <v>88</v>
      </c>
      <c r="J6" s="34">
        <f>RANK(I6,$I$3:$I$10)+COUNTIF(I$3:$I6,I6)-1</f>
        <v>3</v>
      </c>
      <c r="K6" s="109">
        <f t="shared" si="1"/>
        <v>3.5</v>
      </c>
      <c r="L6" s="109">
        <f>RANK(K6,$K$3:$K$10,1)+COUNTIF(K6:$K$6,K6)-1</f>
        <v>3</v>
      </c>
      <c r="M6" s="94"/>
      <c r="N6" s="94"/>
      <c r="U6" s="115" t="s">
        <v>25</v>
      </c>
      <c r="V6" s="116" t="s">
        <v>26</v>
      </c>
    </row>
    <row r="7" spans="1:26" x14ac:dyDescent="0.3">
      <c r="A7" s="35" t="s">
        <v>27</v>
      </c>
      <c r="B7" s="52" t="s">
        <v>30</v>
      </c>
      <c r="C7" s="31">
        <v>85</v>
      </c>
      <c r="D7" s="94" t="s">
        <v>29</v>
      </c>
      <c r="E7" s="82">
        <v>5</v>
      </c>
      <c r="F7" s="107">
        <v>204</v>
      </c>
      <c r="G7" s="94">
        <v>40</v>
      </c>
      <c r="H7" s="108">
        <f t="shared" si="0"/>
        <v>4</v>
      </c>
      <c r="I7" s="94">
        <v>88</v>
      </c>
      <c r="J7" s="34">
        <f>RANK(I7,$I$3:$I$10)+COUNTIF(I$3:$I7,I7)-1</f>
        <v>4</v>
      </c>
      <c r="K7" s="109">
        <f t="shared" si="1"/>
        <v>4.5</v>
      </c>
      <c r="L7" s="109">
        <f>RANK(K7,$K$3:$K$10,1)+COUNTIF(K$6:$K7,K7)-1</f>
        <v>5</v>
      </c>
      <c r="M7" s="94"/>
      <c r="N7" s="94"/>
      <c r="U7" s="117">
        <f>P4+S4</f>
        <v>0</v>
      </c>
      <c r="V7" s="118">
        <f>Q4+T4</f>
        <v>0</v>
      </c>
    </row>
    <row r="8" spans="1:26" x14ac:dyDescent="0.3">
      <c r="A8" s="108" t="s">
        <v>15</v>
      </c>
      <c r="B8" s="108" t="s">
        <v>31</v>
      </c>
      <c r="C8" s="108">
        <v>85</v>
      </c>
      <c r="D8" s="94" t="s">
        <v>29</v>
      </c>
      <c r="E8" s="82">
        <v>6</v>
      </c>
      <c r="F8" s="108">
        <v>201</v>
      </c>
      <c r="G8" s="94">
        <v>50</v>
      </c>
      <c r="H8" s="108">
        <f t="shared" si="0"/>
        <v>2</v>
      </c>
      <c r="I8" s="119">
        <v>87</v>
      </c>
      <c r="J8" s="108">
        <f>RANK(I8,$I$3:$I$10)+COUNTIF(I$3:$I8,I8)-1</f>
        <v>6</v>
      </c>
      <c r="K8" s="109">
        <f t="shared" si="1"/>
        <v>6</v>
      </c>
      <c r="L8" s="109">
        <f>RANK(K8,$K$3:$K$10,1)+COUNTIF(K$6:$K8,K8)-1</f>
        <v>6</v>
      </c>
      <c r="M8" s="94"/>
      <c r="N8" s="94"/>
    </row>
    <row r="9" spans="1:26" x14ac:dyDescent="0.3">
      <c r="A9" s="41"/>
      <c r="B9" s="41" t="s">
        <v>32</v>
      </c>
      <c r="C9" s="41">
        <v>83</v>
      </c>
      <c r="D9" s="44" t="s">
        <v>29</v>
      </c>
      <c r="E9" s="41">
        <v>7</v>
      </c>
      <c r="F9" s="41"/>
      <c r="G9" s="44"/>
      <c r="H9" s="41"/>
      <c r="I9" s="45"/>
      <c r="J9" s="41"/>
      <c r="K9" s="46"/>
      <c r="L9" s="47"/>
      <c r="M9" s="94"/>
      <c r="N9" s="94"/>
    </row>
    <row r="10" spans="1:26" x14ac:dyDescent="0.3">
      <c r="A10" s="36"/>
      <c r="B10" s="120"/>
      <c r="C10" s="37"/>
      <c r="D10" s="112"/>
      <c r="E10" s="37"/>
      <c r="F10" s="120"/>
      <c r="G10" s="112"/>
      <c r="H10" s="120"/>
      <c r="I10" s="114"/>
      <c r="J10" s="38"/>
      <c r="K10" s="121"/>
      <c r="L10" s="121"/>
      <c r="M10" s="94"/>
      <c r="N10" s="94"/>
    </row>
    <row r="11" spans="1:26" x14ac:dyDescent="0.3">
      <c r="B11" s="122" t="s">
        <v>33</v>
      </c>
      <c r="C11" s="122" t="s">
        <v>34</v>
      </c>
      <c r="D11" s="122"/>
      <c r="F11" s="94"/>
      <c r="G11" s="94"/>
      <c r="H11" s="94"/>
      <c r="I11" s="94"/>
      <c r="J11" s="94"/>
      <c r="K11" s="94"/>
      <c r="L11" s="94"/>
      <c r="M11" s="94"/>
      <c r="N11" s="94"/>
    </row>
    <row r="12" spans="1:26" x14ac:dyDescent="0.3">
      <c r="B12" s="122" t="s">
        <v>35</v>
      </c>
      <c r="C12" t="s">
        <v>36</v>
      </c>
      <c r="D12" s="122"/>
      <c r="F12" s="123"/>
      <c r="G12" s="94"/>
      <c r="H12" s="94"/>
      <c r="I12" s="94"/>
      <c r="K12" s="94"/>
      <c r="L12" s="94"/>
      <c r="M12" s="94"/>
      <c r="N12" s="94"/>
    </row>
    <row r="13" spans="1:26" x14ac:dyDescent="0.3">
      <c r="B13" s="1" t="s">
        <v>33</v>
      </c>
      <c r="C13" s="27" t="s">
        <v>34</v>
      </c>
      <c r="D13" s="122"/>
      <c r="F13" s="94"/>
      <c r="G13" s="94"/>
      <c r="H13" s="94"/>
      <c r="I13" s="94"/>
      <c r="J13" s="94"/>
      <c r="K13" s="94"/>
      <c r="L13" s="94"/>
      <c r="M13" s="94"/>
    </row>
    <row r="14" spans="1:26" x14ac:dyDescent="0.3">
      <c r="A14" s="123"/>
      <c r="B14" s="2"/>
      <c r="C14" s="2"/>
      <c r="D14" s="2"/>
      <c r="E14" s="2"/>
      <c r="F14" s="94"/>
      <c r="G14" s="94"/>
      <c r="H14" s="94"/>
      <c r="I14" s="94"/>
      <c r="J14" s="94"/>
      <c r="K14" s="94"/>
      <c r="L14" s="94"/>
      <c r="M14" s="94"/>
    </row>
    <row r="15" spans="1:26" x14ac:dyDescent="0.3">
      <c r="A15" s="122"/>
      <c r="B15" s="122" t="s">
        <v>40</v>
      </c>
      <c r="C15" s="122"/>
      <c r="D15" s="122"/>
      <c r="F15" s="94"/>
      <c r="G15" s="94"/>
      <c r="H15" s="181"/>
      <c r="I15" s="181"/>
      <c r="J15" s="181"/>
      <c r="K15" s="181"/>
      <c r="L15" s="94"/>
      <c r="M15" s="94"/>
      <c r="N15" s="94"/>
      <c r="O15" s="94"/>
      <c r="P15" s="94"/>
      <c r="Q15" s="94"/>
      <c r="R15" s="94"/>
    </row>
    <row r="16" spans="1:26" x14ac:dyDescent="0.3">
      <c r="A16" s="122"/>
      <c r="B16" s="2" t="s">
        <v>44</v>
      </c>
      <c r="C16" s="2"/>
      <c r="D16" s="2"/>
      <c r="E16" s="2"/>
      <c r="F16" s="94"/>
      <c r="G16" s="94"/>
      <c r="H16" s="94"/>
      <c r="I16" s="94"/>
      <c r="J16" s="94"/>
      <c r="K16" s="94"/>
      <c r="L16" s="94"/>
      <c r="M16" s="94"/>
      <c r="N16" s="94"/>
      <c r="O16" s="94"/>
      <c r="P16" s="94"/>
      <c r="Q16" s="94"/>
      <c r="R16" s="94"/>
    </row>
    <row r="17" spans="1:18" ht="14.4" customHeight="1" x14ac:dyDescent="0.3">
      <c r="B17" s="44"/>
      <c r="C17" s="28" t="s">
        <v>43</v>
      </c>
      <c r="D17" s="124"/>
      <c r="E17" s="124"/>
      <c r="F17" s="124"/>
      <c r="G17" s="94"/>
      <c r="H17" s="94"/>
      <c r="I17" s="94"/>
      <c r="J17" s="94"/>
      <c r="K17" s="94"/>
      <c r="L17" s="94"/>
      <c r="M17" s="94"/>
      <c r="N17" s="94"/>
      <c r="O17" s="94"/>
      <c r="P17" s="94"/>
      <c r="Q17" s="94"/>
      <c r="R17" s="94"/>
    </row>
    <row r="18" spans="1:18" x14ac:dyDescent="0.3">
      <c r="A18" s="123"/>
      <c r="B18" s="94"/>
      <c r="C18" s="94"/>
      <c r="D18" s="94"/>
      <c r="E18" s="94"/>
      <c r="F18" s="94"/>
      <c r="G18" s="94"/>
      <c r="H18" s="94"/>
      <c r="I18" s="94"/>
      <c r="J18" s="94"/>
      <c r="K18" s="94"/>
      <c r="L18" s="94"/>
      <c r="M18" s="94"/>
    </row>
    <row r="19" spans="1:18" x14ac:dyDescent="0.3">
      <c r="A19" s="123"/>
      <c r="B19" s="94"/>
      <c r="C19" s="94"/>
      <c r="D19" s="94"/>
      <c r="E19" s="94"/>
      <c r="F19" s="94"/>
      <c r="G19" s="94"/>
      <c r="H19" s="94"/>
      <c r="I19" s="94"/>
      <c r="J19" s="94"/>
      <c r="K19" s="94"/>
      <c r="L19" s="94"/>
      <c r="M19" s="94"/>
    </row>
    <row r="20" spans="1:18" x14ac:dyDescent="0.3">
      <c r="B20" s="94"/>
      <c r="C20" s="94"/>
      <c r="D20" s="94"/>
      <c r="E20" s="94"/>
      <c r="F20" s="94"/>
      <c r="G20" s="94"/>
      <c r="H20" s="94"/>
      <c r="I20" s="94"/>
      <c r="J20" s="94"/>
      <c r="K20" s="94"/>
      <c r="L20" s="94"/>
      <c r="M20" s="94"/>
    </row>
    <row r="21" spans="1:18" x14ac:dyDescent="0.3">
      <c r="B21" s="94"/>
      <c r="C21" s="94"/>
      <c r="D21" s="94"/>
      <c r="E21" s="94"/>
      <c r="F21" s="94"/>
      <c r="G21" s="94"/>
      <c r="H21" s="94"/>
      <c r="I21" s="94"/>
      <c r="J21" s="94"/>
      <c r="K21" s="94"/>
      <c r="L21" s="94"/>
      <c r="M21" s="94"/>
    </row>
    <row r="22" spans="1:18" x14ac:dyDescent="0.3">
      <c r="B22" s="94"/>
      <c r="C22" s="94"/>
      <c r="D22" s="94"/>
      <c r="E22" s="94"/>
      <c r="F22" s="94"/>
      <c r="G22" s="94"/>
      <c r="H22" s="94"/>
      <c r="I22" s="94"/>
      <c r="J22" s="94"/>
      <c r="K22" s="94"/>
      <c r="L22" s="94"/>
      <c r="M22" s="94"/>
    </row>
    <row r="23" spans="1:18" x14ac:dyDescent="0.3">
      <c r="B23" s="94"/>
      <c r="C23" s="94"/>
      <c r="D23" s="94"/>
      <c r="E23" s="94"/>
      <c r="F23" s="94"/>
      <c r="G23" s="94"/>
      <c r="H23" s="94"/>
      <c r="I23" s="94"/>
      <c r="J23" s="94"/>
      <c r="K23" s="94"/>
      <c r="L23" s="94"/>
      <c r="M23" s="94"/>
    </row>
    <row r="24" spans="1:18" x14ac:dyDescent="0.3">
      <c r="B24" s="94"/>
      <c r="C24" s="94"/>
      <c r="D24" s="94"/>
      <c r="E24" s="94"/>
      <c r="F24" s="94"/>
      <c r="G24" s="94"/>
      <c r="H24" s="94"/>
      <c r="I24" s="94"/>
      <c r="J24" s="94"/>
      <c r="K24" s="94"/>
      <c r="L24" s="94"/>
      <c r="M24" s="94"/>
      <c r="N24" s="94"/>
    </row>
    <row r="25" spans="1:18" x14ac:dyDescent="0.3">
      <c r="B25" s="94"/>
      <c r="C25" s="94"/>
      <c r="D25" s="94"/>
      <c r="E25" s="94"/>
      <c r="F25" s="94"/>
      <c r="G25" s="94"/>
      <c r="H25" s="94"/>
      <c r="I25" s="94"/>
      <c r="J25" s="94"/>
      <c r="K25" s="94"/>
      <c r="L25" s="94"/>
      <c r="M25" s="94"/>
      <c r="N25" s="94"/>
    </row>
    <row r="26" spans="1:18" x14ac:dyDescent="0.3">
      <c r="B26" s="94"/>
      <c r="C26" s="94"/>
      <c r="D26" s="94"/>
      <c r="E26" s="94"/>
      <c r="F26" s="94"/>
      <c r="G26" s="94"/>
      <c r="H26" s="94"/>
      <c r="I26" s="94"/>
      <c r="J26" s="94"/>
      <c r="K26" s="94"/>
      <c r="L26" s="94"/>
      <c r="M26" s="94"/>
      <c r="N26" s="94"/>
    </row>
    <row r="27" spans="1:18" x14ac:dyDescent="0.3">
      <c r="B27" s="94"/>
      <c r="C27" s="94"/>
      <c r="D27" s="94"/>
      <c r="E27" s="94"/>
      <c r="F27" s="94"/>
      <c r="G27" s="94"/>
      <c r="H27" s="94"/>
      <c r="I27" s="94"/>
      <c r="J27" s="94"/>
      <c r="K27" s="94"/>
      <c r="L27" s="94"/>
      <c r="M27" s="94"/>
      <c r="N27" s="94"/>
    </row>
    <row r="28" spans="1:18" x14ac:dyDescent="0.3">
      <c r="B28" s="94"/>
      <c r="C28" s="94"/>
      <c r="D28" s="94"/>
      <c r="E28" s="94"/>
      <c r="F28" s="94"/>
      <c r="G28" s="94"/>
      <c r="H28" s="94"/>
      <c r="I28" s="94"/>
      <c r="J28" s="94"/>
      <c r="K28" s="94"/>
      <c r="L28" s="94"/>
      <c r="M28" s="94"/>
      <c r="N28" s="94"/>
    </row>
    <row r="29" spans="1:18" x14ac:dyDescent="0.3">
      <c r="B29" s="94"/>
      <c r="C29" s="94"/>
      <c r="D29" s="94"/>
      <c r="E29" s="94"/>
      <c r="F29" s="94"/>
      <c r="G29" s="94"/>
      <c r="H29" s="94"/>
      <c r="I29" s="94"/>
      <c r="J29" s="94"/>
      <c r="K29" s="94"/>
      <c r="L29" s="94"/>
      <c r="M29" s="94"/>
      <c r="N29" s="94"/>
    </row>
    <row r="30" spans="1:18" x14ac:dyDescent="0.3">
      <c r="B30" s="94"/>
      <c r="C30" s="94"/>
      <c r="D30" s="94"/>
      <c r="E30" s="94"/>
      <c r="F30" s="94"/>
      <c r="G30" s="94"/>
      <c r="H30" s="94"/>
      <c r="I30" s="94"/>
      <c r="J30" s="94"/>
      <c r="K30" s="94"/>
      <c r="L30" s="94"/>
      <c r="M30" s="94"/>
      <c r="N30" s="94"/>
    </row>
    <row r="31" spans="1:18" x14ac:dyDescent="0.3">
      <c r="B31" s="94"/>
      <c r="C31" s="94"/>
      <c r="D31" s="94"/>
      <c r="E31" s="94"/>
      <c r="F31" s="94"/>
      <c r="G31" s="94"/>
      <c r="H31" s="94"/>
      <c r="I31" s="94"/>
      <c r="J31" s="94"/>
      <c r="K31" s="94"/>
      <c r="L31" s="94"/>
      <c r="M31" s="94"/>
      <c r="N31" s="94"/>
    </row>
    <row r="32" spans="1:18" x14ac:dyDescent="0.3">
      <c r="B32" s="94"/>
      <c r="C32" s="94"/>
      <c r="D32" s="94"/>
      <c r="E32" s="94"/>
      <c r="F32" s="94"/>
      <c r="G32" s="94"/>
      <c r="H32" s="94"/>
      <c r="I32" s="94"/>
      <c r="J32" s="94"/>
      <c r="K32" s="94"/>
      <c r="L32" s="94"/>
      <c r="M32" s="94"/>
      <c r="N32" s="94"/>
    </row>
    <row r="33" spans="2:14" x14ac:dyDescent="0.3">
      <c r="B33" s="94"/>
      <c r="C33" s="94"/>
      <c r="D33" s="94"/>
      <c r="E33" s="94"/>
      <c r="F33" s="94"/>
      <c r="G33" s="94"/>
      <c r="H33" s="94"/>
      <c r="I33" s="94"/>
      <c r="J33" s="94"/>
      <c r="K33" s="94"/>
      <c r="L33" s="94"/>
      <c r="M33" s="94"/>
      <c r="N33" s="94"/>
    </row>
    <row r="34" spans="2:14" x14ac:dyDescent="0.3">
      <c r="B34" s="94"/>
      <c r="C34" s="94"/>
      <c r="D34" s="94"/>
      <c r="E34" s="94"/>
      <c r="F34" s="94"/>
      <c r="G34" s="94"/>
      <c r="H34" s="94"/>
      <c r="I34" s="94"/>
      <c r="J34" s="94"/>
      <c r="K34" s="94"/>
      <c r="L34" s="94"/>
      <c r="M34" s="94"/>
      <c r="N34" s="94"/>
    </row>
    <row r="35" spans="2:14" x14ac:dyDescent="0.3">
      <c r="B35" s="94"/>
      <c r="C35" s="94"/>
      <c r="D35" s="94"/>
      <c r="E35" s="94"/>
      <c r="F35" s="94"/>
      <c r="G35" s="94"/>
      <c r="H35" s="94"/>
      <c r="I35" s="94"/>
      <c r="J35" s="94"/>
      <c r="K35" s="94"/>
      <c r="L35" s="94"/>
      <c r="M35" s="94"/>
      <c r="N35" s="94"/>
    </row>
    <row r="36" spans="2:14" x14ac:dyDescent="0.3">
      <c r="B36" s="94"/>
      <c r="C36" s="94"/>
      <c r="D36" s="94"/>
      <c r="E36" s="94"/>
      <c r="F36" s="94"/>
      <c r="G36" s="94"/>
      <c r="H36" s="94"/>
      <c r="I36" s="94"/>
      <c r="J36" s="94"/>
      <c r="K36" s="94"/>
      <c r="L36" s="94"/>
      <c r="M36" s="94"/>
      <c r="N36" s="94"/>
    </row>
    <row r="37" spans="2:14" x14ac:dyDescent="0.3">
      <c r="B37" s="94"/>
      <c r="C37" s="94"/>
      <c r="D37" s="94"/>
      <c r="E37" s="94"/>
      <c r="F37" s="94"/>
      <c r="G37" s="94"/>
      <c r="H37" s="94"/>
      <c r="I37" s="94"/>
      <c r="J37" s="94"/>
      <c r="K37" s="94"/>
      <c r="L37" s="94"/>
      <c r="M37" s="94"/>
      <c r="N37" s="94"/>
    </row>
    <row r="38" spans="2:14" x14ac:dyDescent="0.3">
      <c r="B38" s="94"/>
      <c r="C38" s="94"/>
      <c r="D38" s="94"/>
      <c r="E38" s="94"/>
      <c r="F38" s="94"/>
      <c r="G38" s="94"/>
      <c r="H38" s="94"/>
      <c r="I38" s="94"/>
      <c r="J38" s="94"/>
      <c r="K38" s="94"/>
      <c r="L38" s="94"/>
      <c r="M38" s="94"/>
      <c r="N38" s="94"/>
    </row>
    <row r="39" spans="2:14" x14ac:dyDescent="0.3">
      <c r="B39" s="94"/>
      <c r="C39" s="94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</row>
    <row r="40" spans="2:14" x14ac:dyDescent="0.3">
      <c r="B40" s="94"/>
      <c r="C40" s="94"/>
      <c r="D40" s="94"/>
      <c r="E40" s="94"/>
      <c r="F40" s="94"/>
      <c r="G40" s="94"/>
      <c r="H40" s="94"/>
      <c r="I40" s="94"/>
      <c r="J40" s="94"/>
      <c r="K40" s="94"/>
      <c r="L40" s="94"/>
      <c r="M40" s="94"/>
      <c r="N40" s="94"/>
    </row>
    <row r="41" spans="2:14" x14ac:dyDescent="0.3">
      <c r="B41" s="94"/>
      <c r="C41" s="94"/>
      <c r="D41" s="94"/>
      <c r="E41" s="94"/>
      <c r="F41" s="94"/>
      <c r="G41" s="94"/>
      <c r="H41" s="94"/>
      <c r="I41" s="94"/>
      <c r="J41" s="94"/>
      <c r="K41" s="94"/>
      <c r="L41" s="94"/>
      <c r="M41" s="94"/>
      <c r="N41" s="94"/>
    </row>
    <row r="42" spans="2:14" x14ac:dyDescent="0.3">
      <c r="F42" s="123"/>
      <c r="L42" s="94"/>
    </row>
    <row r="43" spans="2:14" x14ac:dyDescent="0.3">
      <c r="F43" s="123"/>
      <c r="L43" s="94"/>
    </row>
    <row r="44" spans="2:14" x14ac:dyDescent="0.3">
      <c r="F44" s="123"/>
      <c r="L44" s="94"/>
    </row>
    <row r="45" spans="2:14" x14ac:dyDescent="0.3">
      <c r="F45" s="123"/>
      <c r="L45" s="94"/>
    </row>
    <row r="46" spans="2:14" x14ac:dyDescent="0.3">
      <c r="F46" s="123"/>
      <c r="L46" s="94"/>
    </row>
    <row r="47" spans="2:14" x14ac:dyDescent="0.3">
      <c r="F47" s="123"/>
      <c r="L47" s="94"/>
    </row>
  </sheetData>
  <mergeCells count="14">
    <mergeCell ref="U5:V5"/>
    <mergeCell ref="H15:K15"/>
    <mergeCell ref="G1:G2"/>
    <mergeCell ref="I1:I2"/>
    <mergeCell ref="J1:J2"/>
    <mergeCell ref="K1:K2"/>
    <mergeCell ref="L1:L2"/>
    <mergeCell ref="O1:T1"/>
    <mergeCell ref="F1:F2"/>
    <mergeCell ref="A1:A2"/>
    <mergeCell ref="B1:B2"/>
    <mergeCell ref="C1:C2"/>
    <mergeCell ref="D1:D2"/>
    <mergeCell ref="E1:E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E74AB-157A-4B61-B0D8-8E88C6464B88}">
  <sheetPr codeName="Sheet10"/>
  <dimension ref="A1:Z48"/>
  <sheetViews>
    <sheetView workbookViewId="0">
      <selection activeCell="D21" sqref="D21"/>
    </sheetView>
  </sheetViews>
  <sheetFormatPr defaultColWidth="9.109375" defaultRowHeight="14.4" x14ac:dyDescent="0.3"/>
  <cols>
    <col min="1" max="2" width="9.109375" style="28"/>
    <col min="3" max="3" width="11.109375" style="28" customWidth="1"/>
    <col min="4" max="4" width="15.44140625" style="28" customWidth="1"/>
    <col min="5" max="5" width="12" style="28" customWidth="1"/>
    <col min="6" max="6" width="17.109375" style="39" customWidth="1"/>
    <col min="7" max="7" width="13.33203125" style="28" customWidth="1"/>
    <col min="8" max="8" width="11.44140625" style="28" customWidth="1"/>
    <col min="9" max="9" width="17.33203125" style="28" customWidth="1"/>
    <col min="10" max="10" width="11.6640625" style="28" customWidth="1"/>
    <col min="11" max="11" width="16.109375" style="28" customWidth="1"/>
    <col min="12" max="12" width="13.5546875" style="28" customWidth="1"/>
    <col min="13" max="13" width="9.109375" style="28"/>
    <col min="14" max="14" width="9.109375" style="28" customWidth="1"/>
    <col min="15" max="20" width="9.109375" style="28"/>
    <col min="21" max="21" width="15.109375" style="28" customWidth="1"/>
    <col min="22" max="22" width="13.6640625" style="28" customWidth="1"/>
    <col min="23" max="25" width="9.109375" style="28"/>
    <col min="26" max="26" width="9.5546875" style="28" customWidth="1"/>
    <col min="27" max="16384" width="9.109375" style="28"/>
  </cols>
  <sheetData>
    <row r="1" spans="1:26" ht="45" customHeight="1" thickBot="1" x14ac:dyDescent="0.4">
      <c r="A1" s="185" t="s">
        <v>0</v>
      </c>
      <c r="B1" s="187" t="s">
        <v>1</v>
      </c>
      <c r="C1" s="189" t="s">
        <v>2</v>
      </c>
      <c r="D1" s="191" t="s">
        <v>3</v>
      </c>
      <c r="E1" s="193" t="s">
        <v>4</v>
      </c>
      <c r="F1" s="179" t="s">
        <v>5</v>
      </c>
      <c r="G1" s="195" t="s">
        <v>6</v>
      </c>
      <c r="H1" s="92" t="s">
        <v>7</v>
      </c>
      <c r="I1" s="195" t="s">
        <v>8</v>
      </c>
      <c r="J1" s="196" t="s">
        <v>9</v>
      </c>
      <c r="K1" s="187" t="s">
        <v>10</v>
      </c>
      <c r="L1" s="187" t="s">
        <v>11</v>
      </c>
      <c r="M1" s="94"/>
      <c r="N1" s="94"/>
      <c r="O1" s="182" t="s">
        <v>12</v>
      </c>
      <c r="P1" s="182"/>
      <c r="Q1" s="182"/>
      <c r="R1" s="182"/>
      <c r="S1" s="182"/>
      <c r="T1" s="182"/>
      <c r="Z1" s="29">
        <v>45677</v>
      </c>
    </row>
    <row r="2" spans="1:26" ht="17.100000000000001" customHeight="1" thickBot="1" x14ac:dyDescent="0.35">
      <c r="A2" s="199"/>
      <c r="B2" s="200"/>
      <c r="C2" s="201"/>
      <c r="D2" s="202"/>
      <c r="E2" s="203"/>
      <c r="F2" s="198"/>
      <c r="G2" s="198"/>
      <c r="H2" s="129"/>
      <c r="I2" s="198"/>
      <c r="J2" s="204"/>
      <c r="K2" s="200"/>
      <c r="L2" s="200"/>
      <c r="M2" s="94"/>
      <c r="N2" s="94"/>
      <c r="O2" s="96" t="s">
        <v>13</v>
      </c>
      <c r="P2" s="97" t="s">
        <v>13</v>
      </c>
      <c r="Q2" s="98" t="s">
        <v>13</v>
      </c>
      <c r="R2" s="96" t="s">
        <v>14</v>
      </c>
      <c r="S2" s="97" t="s">
        <v>14</v>
      </c>
      <c r="T2" s="98" t="s">
        <v>14</v>
      </c>
      <c r="U2" s="94"/>
      <c r="V2" s="94"/>
    </row>
    <row r="3" spans="1:26" ht="17.100000000000001" customHeight="1" thickBot="1" x14ac:dyDescent="0.35">
      <c r="A3" s="62" t="s">
        <v>38</v>
      </c>
      <c r="B3" s="79" t="s">
        <v>16</v>
      </c>
      <c r="C3" s="63">
        <v>107</v>
      </c>
      <c r="D3" s="131" t="s">
        <v>22</v>
      </c>
      <c r="E3" s="73">
        <v>1</v>
      </c>
      <c r="F3" s="132">
        <v>264</v>
      </c>
      <c r="G3" s="133">
        <v>48</v>
      </c>
      <c r="H3" s="134">
        <f>RANK(G3,$G$3:$G$9)</f>
        <v>3</v>
      </c>
      <c r="I3" s="135">
        <v>88</v>
      </c>
      <c r="J3" s="64">
        <f>RANK(I3,$I$3:$I$9)+COUNTIF(I3:$I$3,I3)-1</f>
        <v>1</v>
      </c>
      <c r="K3" s="136">
        <f t="shared" ref="K3:K8" si="0">(E3+J3)/2</f>
        <v>1</v>
      </c>
      <c r="L3" s="137">
        <f>RANK(K3,$K$3:$K$9,1)+COUNTIF(K3:$K$6,K3)-1</f>
        <v>1</v>
      </c>
      <c r="M3" s="94"/>
      <c r="N3" s="94"/>
      <c r="O3" s="103" t="s">
        <v>18</v>
      </c>
      <c r="P3" s="104" t="s">
        <v>19</v>
      </c>
      <c r="Q3" s="105" t="s">
        <v>20</v>
      </c>
      <c r="R3" s="103" t="s">
        <v>18</v>
      </c>
      <c r="S3" s="104" t="s">
        <v>19</v>
      </c>
      <c r="T3" s="106" t="s">
        <v>20</v>
      </c>
      <c r="U3" s="94"/>
      <c r="V3" s="94"/>
    </row>
    <row r="4" spans="1:26" ht="17.100000000000001" customHeight="1" thickBot="1" x14ac:dyDescent="0.35">
      <c r="A4" s="65" t="s">
        <v>15</v>
      </c>
      <c r="B4" s="83" t="s">
        <v>24</v>
      </c>
      <c r="C4" s="31">
        <v>104</v>
      </c>
      <c r="D4" s="94" t="s">
        <v>22</v>
      </c>
      <c r="E4" s="74">
        <v>2</v>
      </c>
      <c r="F4" s="130">
        <v>250</v>
      </c>
      <c r="G4" s="94">
        <v>73</v>
      </c>
      <c r="H4" s="138">
        <f>RANK(G4,$G$3:$G$9)</f>
        <v>1</v>
      </c>
      <c r="I4" s="94">
        <v>87</v>
      </c>
      <c r="J4" s="34">
        <f>RANK(I4,$I$3:$I$9)+COUNTIF(I$3:$I4,I4)-1</f>
        <v>3</v>
      </c>
      <c r="K4" s="109">
        <f t="shared" si="0"/>
        <v>2.5</v>
      </c>
      <c r="L4" s="139">
        <f>RANK(K4,$K$3:$K$9,1)+COUNTIF(K4:$K$6,K4)-1</f>
        <v>3</v>
      </c>
      <c r="M4" s="94"/>
      <c r="N4" s="94"/>
      <c r="O4" s="48">
        <v>50</v>
      </c>
      <c r="P4" s="110"/>
      <c r="Q4" s="111"/>
      <c r="R4" s="49">
        <v>20</v>
      </c>
      <c r="S4" s="112"/>
      <c r="T4" s="113"/>
    </row>
    <row r="5" spans="1:26" ht="17.100000000000001" customHeight="1" thickBot="1" x14ac:dyDescent="0.35">
      <c r="A5" s="65" t="s">
        <v>27</v>
      </c>
      <c r="B5" s="71" t="s">
        <v>21</v>
      </c>
      <c r="C5" s="31">
        <v>103</v>
      </c>
      <c r="D5" s="94" t="s">
        <v>22</v>
      </c>
      <c r="E5" s="74">
        <v>3</v>
      </c>
      <c r="F5" s="130">
        <v>318</v>
      </c>
      <c r="G5" s="94">
        <v>52</v>
      </c>
      <c r="H5" s="138">
        <f>RANK(G5,$G$3:$G$9)</f>
        <v>2</v>
      </c>
      <c r="I5" s="94">
        <v>88</v>
      </c>
      <c r="J5" s="34">
        <f>RANK(I5,$I$3:$I$9)+COUNTIF(I$3:$I5,I5)-1</f>
        <v>2</v>
      </c>
      <c r="K5" s="109">
        <f t="shared" si="0"/>
        <v>2.5</v>
      </c>
      <c r="L5" s="139">
        <f>RANK(K5,$K$3:$K$9,1)+COUNTIF(K5:$K$6,K5)-1</f>
        <v>2</v>
      </c>
      <c r="M5" s="94"/>
      <c r="N5" s="94"/>
      <c r="U5" s="183" t="s">
        <v>23</v>
      </c>
      <c r="V5" s="184"/>
    </row>
    <row r="6" spans="1:26" x14ac:dyDescent="0.3">
      <c r="A6" s="65"/>
      <c r="B6" s="84" t="s">
        <v>45</v>
      </c>
      <c r="C6" s="84">
        <v>102</v>
      </c>
      <c r="D6" s="85" t="s">
        <v>22</v>
      </c>
      <c r="E6" s="86">
        <v>4</v>
      </c>
      <c r="F6" s="87"/>
      <c r="G6" s="85"/>
      <c r="H6" s="88"/>
      <c r="I6" s="84"/>
      <c r="J6" s="84"/>
      <c r="K6" s="89"/>
      <c r="L6" s="90"/>
      <c r="M6" s="94"/>
      <c r="N6" s="94"/>
      <c r="U6" s="115" t="s">
        <v>25</v>
      </c>
      <c r="V6" s="116" t="s">
        <v>26</v>
      </c>
    </row>
    <row r="7" spans="1:26" ht="15" thickBot="1" x14ac:dyDescent="0.35">
      <c r="A7" s="66" t="s">
        <v>15</v>
      </c>
      <c r="B7" s="80" t="s">
        <v>28</v>
      </c>
      <c r="C7" s="31">
        <v>86</v>
      </c>
      <c r="D7" s="94" t="s">
        <v>46</v>
      </c>
      <c r="E7" s="74">
        <v>5</v>
      </c>
      <c r="F7" s="130">
        <v>320</v>
      </c>
      <c r="G7" s="94">
        <v>29</v>
      </c>
      <c r="H7" s="138">
        <f>RANK(G7,$G$3:$G$9)</f>
        <v>5</v>
      </c>
      <c r="I7" s="94">
        <v>87</v>
      </c>
      <c r="J7" s="34">
        <f>RANK(I7,$I$3:$I$9)+COUNTIF(I$3:$I7,I7)-1</f>
        <v>4</v>
      </c>
      <c r="K7" s="109">
        <f t="shared" si="0"/>
        <v>4.5</v>
      </c>
      <c r="L7" s="139">
        <f>RANK(K7,$K$3:$K$9,1)+COUNTIF(K$6:$K7,K7)-1</f>
        <v>4</v>
      </c>
      <c r="M7" s="94"/>
      <c r="N7" s="94"/>
      <c r="U7" s="117">
        <f>P4+S4</f>
        <v>0</v>
      </c>
      <c r="V7" s="118">
        <f>Q4+T4</f>
        <v>0</v>
      </c>
    </row>
    <row r="8" spans="1:26" ht="15" thickTop="1" x14ac:dyDescent="0.3">
      <c r="A8" s="66" t="s">
        <v>38</v>
      </c>
      <c r="B8" s="83" t="s">
        <v>30</v>
      </c>
      <c r="C8" s="31">
        <v>82</v>
      </c>
      <c r="D8" s="94" t="s">
        <v>46</v>
      </c>
      <c r="E8" s="74">
        <v>6</v>
      </c>
      <c r="F8" s="130">
        <v>600</v>
      </c>
      <c r="G8" s="94">
        <v>36</v>
      </c>
      <c r="H8" s="138">
        <f>RANK(G8,$G$3:$G$9)</f>
        <v>4</v>
      </c>
      <c r="I8" s="94">
        <v>86</v>
      </c>
      <c r="J8" s="34">
        <f>RANK(I8,$I$3:$I$9)+COUNTIF(I$3:$I8,I8)-1</f>
        <v>5</v>
      </c>
      <c r="K8" s="109">
        <f t="shared" si="0"/>
        <v>5.5</v>
      </c>
      <c r="L8" s="139">
        <f>RANK(K8,$K$3:$K$9,1)+COUNTIF(K$6:$K8,K8)-1</f>
        <v>5</v>
      </c>
      <c r="M8" s="94"/>
      <c r="N8" s="94"/>
      <c r="U8" s="140"/>
      <c r="V8" s="140"/>
    </row>
    <row r="9" spans="1:26" ht="15" thickBot="1" x14ac:dyDescent="0.35">
      <c r="A9" s="67"/>
      <c r="B9" s="72"/>
      <c r="C9" s="68"/>
      <c r="D9" s="141"/>
      <c r="E9" s="75"/>
      <c r="F9" s="142"/>
      <c r="G9" s="141"/>
      <c r="H9" s="143"/>
      <c r="I9" s="141"/>
      <c r="J9" s="69"/>
      <c r="K9" s="144"/>
      <c r="L9" s="145"/>
      <c r="M9" s="94"/>
      <c r="N9" s="94"/>
      <c r="U9" s="140"/>
      <c r="V9" s="140"/>
    </row>
    <row r="10" spans="1:26" x14ac:dyDescent="0.3">
      <c r="A10" s="76"/>
      <c r="B10" s="76"/>
      <c r="C10" s="76"/>
      <c r="D10" s="76"/>
      <c r="E10" s="76"/>
      <c r="F10" s="76"/>
      <c r="G10" s="76"/>
      <c r="H10" s="76"/>
      <c r="I10" s="76"/>
      <c r="J10" s="76"/>
      <c r="K10" s="76"/>
      <c r="L10" s="76"/>
      <c r="M10" s="94"/>
      <c r="N10" s="94"/>
      <c r="U10" s="140"/>
      <c r="V10" s="140"/>
    </row>
    <row r="11" spans="1:26" x14ac:dyDescent="0.3">
      <c r="A11" s="76"/>
      <c r="B11" s="76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94"/>
      <c r="N11" s="94"/>
      <c r="U11" s="140"/>
      <c r="V11" s="140"/>
    </row>
    <row r="12" spans="1:26" x14ac:dyDescent="0.3">
      <c r="B12" s="122" t="s">
        <v>33</v>
      </c>
      <c r="C12" s="122" t="s">
        <v>34</v>
      </c>
      <c r="D12" s="122"/>
      <c r="F12" s="94"/>
      <c r="G12" s="94"/>
      <c r="H12" s="94"/>
      <c r="I12" s="94"/>
      <c r="J12" s="94"/>
      <c r="K12" s="94"/>
      <c r="L12" s="94"/>
      <c r="M12" s="94"/>
      <c r="N12" s="94"/>
    </row>
    <row r="13" spans="1:26" x14ac:dyDescent="0.3">
      <c r="B13" s="122" t="s">
        <v>35</v>
      </c>
      <c r="C13" t="s">
        <v>36</v>
      </c>
      <c r="D13" s="122"/>
      <c r="F13" s="123"/>
      <c r="G13" s="94"/>
      <c r="H13" s="94"/>
      <c r="I13" s="94"/>
      <c r="K13" s="94"/>
      <c r="L13" s="94"/>
      <c r="M13" s="94"/>
      <c r="N13" s="94"/>
    </row>
    <row r="14" spans="1:26" x14ac:dyDescent="0.3">
      <c r="B14" s="1" t="s">
        <v>33</v>
      </c>
      <c r="C14" s="27" t="s">
        <v>34</v>
      </c>
      <c r="D14" s="122"/>
      <c r="F14" s="94"/>
      <c r="G14" s="94"/>
      <c r="H14" s="94"/>
      <c r="I14" s="94"/>
      <c r="J14" s="94"/>
      <c r="K14" s="94"/>
      <c r="L14" s="94"/>
      <c r="M14" s="94"/>
    </row>
    <row r="15" spans="1:26" x14ac:dyDescent="0.3">
      <c r="A15" s="123"/>
      <c r="B15" s="2"/>
      <c r="C15" s="2"/>
      <c r="D15" s="2"/>
      <c r="E15" s="2"/>
      <c r="F15" s="94"/>
      <c r="G15" s="94"/>
      <c r="H15" s="94"/>
      <c r="I15" s="94"/>
      <c r="J15" s="94"/>
      <c r="K15" s="94"/>
      <c r="L15" s="94"/>
      <c r="M15" s="94"/>
    </row>
    <row r="16" spans="1:26" x14ac:dyDescent="0.3">
      <c r="A16" s="122"/>
      <c r="B16" s="122" t="s">
        <v>40</v>
      </c>
      <c r="C16" s="122"/>
      <c r="D16" s="122"/>
      <c r="F16" s="94"/>
      <c r="G16" s="94"/>
      <c r="H16" s="181"/>
      <c r="I16" s="181"/>
      <c r="J16" s="181"/>
      <c r="K16" s="181"/>
      <c r="L16" s="94"/>
      <c r="M16" s="94"/>
      <c r="N16" s="94"/>
      <c r="O16" s="94"/>
      <c r="P16" s="94"/>
      <c r="Q16" s="94"/>
      <c r="R16" s="94"/>
    </row>
    <row r="17" spans="1:18" x14ac:dyDescent="0.3">
      <c r="A17" s="122"/>
      <c r="B17" s="91"/>
      <c r="C17" s="2" t="s">
        <v>47</v>
      </c>
      <c r="D17" s="2"/>
      <c r="E17" s="2"/>
      <c r="F17" s="94"/>
      <c r="G17" s="94"/>
      <c r="H17" s="94"/>
      <c r="I17" s="94"/>
      <c r="J17" s="94"/>
      <c r="K17" s="94"/>
      <c r="L17" s="94"/>
      <c r="M17" s="94"/>
      <c r="N17" s="94"/>
      <c r="O17" s="94"/>
      <c r="P17" s="94"/>
      <c r="Q17" s="94"/>
      <c r="R17" s="94"/>
    </row>
    <row r="18" spans="1:18" ht="14.4" customHeight="1" x14ac:dyDescent="0.3">
      <c r="D18" s="124"/>
      <c r="E18" s="124"/>
      <c r="F18" s="124"/>
      <c r="G18" s="94"/>
      <c r="H18" s="94"/>
      <c r="I18" s="94"/>
      <c r="J18" s="94"/>
      <c r="K18" s="94"/>
      <c r="L18" s="94"/>
      <c r="M18" s="94"/>
      <c r="N18" s="94"/>
      <c r="O18" s="94"/>
      <c r="P18" s="94"/>
      <c r="Q18" s="94"/>
      <c r="R18" s="94"/>
    </row>
    <row r="19" spans="1:18" x14ac:dyDescent="0.3">
      <c r="A19" s="123"/>
      <c r="B19" s="94"/>
      <c r="C19" s="94"/>
      <c r="D19" s="94"/>
      <c r="E19" s="94"/>
      <c r="F19" s="94"/>
      <c r="G19" s="94"/>
      <c r="H19" s="94"/>
      <c r="I19" s="94"/>
      <c r="J19" s="94"/>
      <c r="K19" s="94"/>
      <c r="L19" s="94"/>
      <c r="M19" s="94"/>
    </row>
    <row r="20" spans="1:18" x14ac:dyDescent="0.3">
      <c r="A20" s="123"/>
      <c r="B20" s="94"/>
      <c r="C20" s="94"/>
      <c r="D20" s="94"/>
      <c r="E20" s="94"/>
      <c r="F20" s="94"/>
      <c r="G20" s="94"/>
      <c r="H20" s="94"/>
      <c r="I20" s="94"/>
      <c r="J20" s="94"/>
      <c r="K20" s="94"/>
      <c r="L20" s="94"/>
      <c r="M20" s="94"/>
    </row>
    <row r="21" spans="1:18" x14ac:dyDescent="0.3">
      <c r="B21" s="94"/>
      <c r="C21" s="94"/>
      <c r="D21" s="94"/>
      <c r="E21" s="94"/>
      <c r="F21" s="94"/>
      <c r="G21" s="94"/>
      <c r="H21" s="94"/>
      <c r="I21" s="94"/>
      <c r="J21" s="94"/>
      <c r="K21" s="94"/>
      <c r="L21" s="94"/>
      <c r="M21" s="94"/>
    </row>
    <row r="22" spans="1:18" x14ac:dyDescent="0.3">
      <c r="B22" s="94"/>
      <c r="C22" s="94"/>
      <c r="D22" s="94"/>
      <c r="E22" s="94"/>
      <c r="F22" s="94"/>
      <c r="G22" s="94"/>
      <c r="H22" s="94"/>
      <c r="I22" s="94"/>
      <c r="J22" s="94"/>
      <c r="K22" s="94"/>
      <c r="L22" s="94"/>
      <c r="M22" s="94"/>
    </row>
    <row r="23" spans="1:18" x14ac:dyDescent="0.3">
      <c r="B23" s="94"/>
      <c r="C23" s="94"/>
      <c r="D23" s="94"/>
      <c r="E23" s="94"/>
      <c r="F23" s="94"/>
      <c r="G23" s="94"/>
      <c r="H23" s="94"/>
      <c r="I23" s="94"/>
      <c r="J23" s="94"/>
      <c r="K23" s="94"/>
      <c r="L23" s="94"/>
      <c r="M23" s="94"/>
    </row>
    <row r="24" spans="1:18" x14ac:dyDescent="0.3">
      <c r="B24" s="94"/>
      <c r="C24" s="94"/>
      <c r="D24" s="94"/>
      <c r="E24" s="94"/>
      <c r="F24" s="94"/>
      <c r="G24" s="94"/>
      <c r="H24" s="94"/>
      <c r="I24" s="94"/>
      <c r="J24" s="94"/>
      <c r="K24" s="94"/>
      <c r="L24" s="94"/>
      <c r="M24" s="94"/>
    </row>
    <row r="25" spans="1:18" x14ac:dyDescent="0.3">
      <c r="B25" s="94"/>
      <c r="C25" s="94"/>
      <c r="D25" s="94"/>
      <c r="E25" s="94"/>
      <c r="F25" s="94"/>
      <c r="G25" s="94"/>
      <c r="H25" s="94"/>
      <c r="I25" s="94"/>
      <c r="J25" s="94"/>
      <c r="K25" s="94"/>
      <c r="L25" s="94"/>
      <c r="M25" s="94"/>
      <c r="N25" s="94"/>
    </row>
    <row r="26" spans="1:18" x14ac:dyDescent="0.3">
      <c r="B26" s="94"/>
      <c r="C26" s="94"/>
      <c r="D26" s="94"/>
      <c r="E26" s="94"/>
      <c r="F26" s="94"/>
      <c r="G26" s="94"/>
      <c r="H26" s="94"/>
      <c r="I26" s="94"/>
      <c r="J26" s="94"/>
      <c r="K26" s="94"/>
      <c r="L26" s="94"/>
      <c r="M26" s="94"/>
      <c r="N26" s="94"/>
    </row>
    <row r="27" spans="1:18" x14ac:dyDescent="0.3">
      <c r="B27" s="94"/>
      <c r="C27" s="94"/>
      <c r="D27" s="94"/>
      <c r="E27" s="94"/>
      <c r="F27" s="94"/>
      <c r="G27" s="94"/>
      <c r="H27" s="94"/>
      <c r="I27" s="94"/>
      <c r="J27" s="94"/>
      <c r="K27" s="94"/>
      <c r="L27" s="94"/>
      <c r="M27" s="94"/>
      <c r="N27" s="94"/>
    </row>
    <row r="28" spans="1:18" x14ac:dyDescent="0.3">
      <c r="B28" s="94"/>
      <c r="C28" s="94"/>
      <c r="D28" s="94"/>
      <c r="E28" s="94"/>
      <c r="F28" s="94"/>
      <c r="G28" s="94"/>
      <c r="H28" s="94"/>
      <c r="I28" s="94"/>
      <c r="J28" s="94"/>
      <c r="K28" s="94"/>
      <c r="L28" s="94"/>
      <c r="M28" s="94"/>
      <c r="N28" s="94"/>
    </row>
    <row r="29" spans="1:18" x14ac:dyDescent="0.3">
      <c r="B29" s="94"/>
      <c r="C29" s="94"/>
      <c r="D29" s="94"/>
      <c r="E29" s="94"/>
      <c r="F29" s="94"/>
      <c r="G29" s="94"/>
      <c r="H29" s="94"/>
      <c r="I29" s="94"/>
      <c r="J29" s="94"/>
      <c r="K29" s="94"/>
      <c r="L29" s="94"/>
      <c r="M29" s="94"/>
      <c r="N29" s="94"/>
    </row>
    <row r="30" spans="1:18" x14ac:dyDescent="0.3">
      <c r="B30" s="94"/>
      <c r="C30" s="94"/>
      <c r="D30" s="94"/>
      <c r="E30" s="94"/>
      <c r="F30" s="94"/>
      <c r="G30" s="94"/>
      <c r="H30" s="94"/>
      <c r="I30" s="94"/>
      <c r="J30" s="94"/>
      <c r="K30" s="94"/>
      <c r="L30" s="94"/>
      <c r="M30" s="94"/>
      <c r="N30" s="94"/>
    </row>
    <row r="31" spans="1:18" x14ac:dyDescent="0.3">
      <c r="B31" s="94"/>
      <c r="C31" s="94"/>
      <c r="D31" s="94"/>
      <c r="E31" s="94"/>
      <c r="F31" s="94"/>
      <c r="G31" s="94"/>
      <c r="H31" s="94"/>
      <c r="I31" s="94"/>
      <c r="J31" s="94"/>
      <c r="K31" s="94"/>
      <c r="L31" s="94"/>
      <c r="M31" s="94"/>
      <c r="N31" s="94"/>
    </row>
    <row r="32" spans="1:18" x14ac:dyDescent="0.3">
      <c r="B32" s="94"/>
      <c r="C32" s="94"/>
      <c r="D32" s="94"/>
      <c r="E32" s="94"/>
      <c r="F32" s="94"/>
      <c r="G32" s="94"/>
      <c r="H32" s="94"/>
      <c r="I32" s="94"/>
      <c r="J32" s="94"/>
      <c r="K32" s="94"/>
      <c r="L32" s="94"/>
      <c r="M32" s="94"/>
      <c r="N32" s="94"/>
    </row>
    <row r="33" spans="2:14" x14ac:dyDescent="0.3">
      <c r="B33" s="94"/>
      <c r="C33" s="94"/>
      <c r="D33" s="94"/>
      <c r="E33" s="94"/>
      <c r="F33" s="94"/>
      <c r="G33" s="94"/>
      <c r="H33" s="94"/>
      <c r="I33" s="94"/>
      <c r="J33" s="94"/>
      <c r="K33" s="94"/>
      <c r="L33" s="94"/>
      <c r="M33" s="94"/>
      <c r="N33" s="94"/>
    </row>
    <row r="34" spans="2:14" x14ac:dyDescent="0.3">
      <c r="B34" s="94"/>
      <c r="C34" s="94"/>
      <c r="D34" s="94"/>
      <c r="E34" s="94"/>
      <c r="F34" s="94"/>
      <c r="G34" s="94"/>
      <c r="H34" s="94"/>
      <c r="I34" s="94"/>
      <c r="J34" s="94"/>
      <c r="K34" s="94"/>
      <c r="L34" s="94"/>
      <c r="M34" s="94"/>
      <c r="N34" s="94"/>
    </row>
    <row r="35" spans="2:14" x14ac:dyDescent="0.3">
      <c r="B35" s="94"/>
      <c r="C35" s="94"/>
      <c r="D35" s="94"/>
      <c r="E35" s="94"/>
      <c r="F35" s="94"/>
      <c r="G35" s="94"/>
      <c r="H35" s="94"/>
      <c r="I35" s="94"/>
      <c r="J35" s="94"/>
      <c r="K35" s="94"/>
      <c r="L35" s="94"/>
      <c r="M35" s="94"/>
      <c r="N35" s="94"/>
    </row>
    <row r="36" spans="2:14" x14ac:dyDescent="0.3">
      <c r="B36" s="94"/>
      <c r="C36" s="94"/>
      <c r="D36" s="94"/>
      <c r="E36" s="94"/>
      <c r="F36" s="94"/>
      <c r="G36" s="94"/>
      <c r="H36" s="94"/>
      <c r="I36" s="94"/>
      <c r="J36" s="94"/>
      <c r="K36" s="94"/>
      <c r="L36" s="94"/>
      <c r="M36" s="94"/>
      <c r="N36" s="94"/>
    </row>
    <row r="37" spans="2:14" x14ac:dyDescent="0.3">
      <c r="B37" s="94"/>
      <c r="C37" s="94"/>
      <c r="D37" s="94"/>
      <c r="E37" s="94"/>
      <c r="F37" s="94"/>
      <c r="G37" s="94"/>
      <c r="H37" s="94"/>
      <c r="I37" s="94"/>
      <c r="J37" s="94"/>
      <c r="K37" s="94"/>
      <c r="L37" s="94"/>
      <c r="M37" s="94"/>
      <c r="N37" s="94"/>
    </row>
    <row r="38" spans="2:14" x14ac:dyDescent="0.3">
      <c r="B38" s="94"/>
      <c r="C38" s="94"/>
      <c r="D38" s="94"/>
      <c r="E38" s="94"/>
      <c r="F38" s="94"/>
      <c r="G38" s="94"/>
      <c r="H38" s="94"/>
      <c r="I38" s="94"/>
      <c r="J38" s="94"/>
      <c r="K38" s="94"/>
      <c r="L38" s="94"/>
      <c r="M38" s="94"/>
      <c r="N38" s="94"/>
    </row>
    <row r="39" spans="2:14" x14ac:dyDescent="0.3">
      <c r="B39" s="94"/>
      <c r="C39" s="94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</row>
    <row r="40" spans="2:14" x14ac:dyDescent="0.3">
      <c r="B40" s="94"/>
      <c r="C40" s="94"/>
      <c r="D40" s="94"/>
      <c r="E40" s="94"/>
      <c r="F40" s="94"/>
      <c r="G40" s="94"/>
      <c r="H40" s="94"/>
      <c r="I40" s="94"/>
      <c r="J40" s="94"/>
      <c r="K40" s="94"/>
      <c r="L40" s="94"/>
      <c r="M40" s="94"/>
      <c r="N40" s="94"/>
    </row>
    <row r="41" spans="2:14" x14ac:dyDescent="0.3">
      <c r="B41" s="94"/>
      <c r="C41" s="94"/>
      <c r="D41" s="94"/>
      <c r="E41" s="94"/>
      <c r="F41" s="94"/>
      <c r="G41" s="94"/>
      <c r="H41" s="94"/>
      <c r="I41" s="94"/>
      <c r="J41" s="94"/>
      <c r="K41" s="94"/>
      <c r="L41" s="94"/>
      <c r="M41" s="94"/>
      <c r="N41" s="94"/>
    </row>
    <row r="42" spans="2:14" x14ac:dyDescent="0.3">
      <c r="B42" s="94"/>
      <c r="C42" s="94"/>
      <c r="D42" s="94"/>
      <c r="E42" s="94"/>
      <c r="F42" s="94"/>
      <c r="G42" s="94"/>
      <c r="H42" s="94"/>
      <c r="I42" s="94"/>
      <c r="J42" s="94"/>
      <c r="K42" s="94"/>
      <c r="L42" s="94"/>
      <c r="M42" s="94"/>
      <c r="N42" s="94"/>
    </row>
    <row r="43" spans="2:14" x14ac:dyDescent="0.3">
      <c r="F43" s="123"/>
      <c r="L43" s="94"/>
    </row>
    <row r="44" spans="2:14" x14ac:dyDescent="0.3">
      <c r="F44" s="123"/>
      <c r="L44" s="94"/>
    </row>
    <row r="45" spans="2:14" x14ac:dyDescent="0.3">
      <c r="F45" s="123"/>
      <c r="L45" s="94"/>
    </row>
    <row r="46" spans="2:14" x14ac:dyDescent="0.3">
      <c r="F46" s="123"/>
      <c r="L46" s="94"/>
    </row>
    <row r="47" spans="2:14" x14ac:dyDescent="0.3">
      <c r="F47" s="123"/>
      <c r="L47" s="94"/>
    </row>
    <row r="48" spans="2:14" x14ac:dyDescent="0.3">
      <c r="F48" s="123"/>
      <c r="L48" s="94"/>
    </row>
  </sheetData>
  <mergeCells count="14">
    <mergeCell ref="U5:V5"/>
    <mergeCell ref="H16:K16"/>
    <mergeCell ref="G1:G2"/>
    <mergeCell ref="I1:I2"/>
    <mergeCell ref="J1:J2"/>
    <mergeCell ref="K1:K2"/>
    <mergeCell ref="L1:L2"/>
    <mergeCell ref="O1:T1"/>
    <mergeCell ref="F1:F2"/>
    <mergeCell ref="A1:A2"/>
    <mergeCell ref="B1:B2"/>
    <mergeCell ref="C1:C2"/>
    <mergeCell ref="D1:D2"/>
    <mergeCell ref="E1:E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97173-D874-4EC0-A5C2-7B16ADA50516}">
  <sheetPr codeName="Sheet11"/>
  <dimension ref="A1:AA48"/>
  <sheetViews>
    <sheetView workbookViewId="0">
      <selection activeCell="F20" sqref="F20"/>
    </sheetView>
  </sheetViews>
  <sheetFormatPr defaultColWidth="9.109375" defaultRowHeight="14.4" x14ac:dyDescent="0.3"/>
  <cols>
    <col min="1" max="3" width="9.109375" style="28"/>
    <col min="4" max="4" width="11.109375" style="28" customWidth="1"/>
    <col min="5" max="5" width="15.44140625" style="28" customWidth="1"/>
    <col min="6" max="6" width="12" style="28" customWidth="1"/>
    <col min="7" max="7" width="17.109375" style="39" customWidth="1"/>
    <col min="8" max="8" width="13.33203125" style="28" customWidth="1"/>
    <col min="9" max="9" width="11.44140625" style="28" customWidth="1"/>
    <col min="10" max="10" width="17.33203125" style="28" customWidth="1"/>
    <col min="11" max="11" width="11.6640625" style="28" customWidth="1"/>
    <col min="12" max="12" width="16.109375" style="28" customWidth="1"/>
    <col min="13" max="13" width="13.5546875" style="28" customWidth="1"/>
    <col min="14" max="14" width="9.109375" style="28"/>
    <col min="15" max="15" width="9.109375" style="28" customWidth="1"/>
    <col min="16" max="21" width="9.109375" style="28"/>
    <col min="22" max="22" width="15.109375" style="28" customWidth="1"/>
    <col min="23" max="23" width="13.6640625" style="28" customWidth="1"/>
    <col min="24" max="26" width="9.109375" style="28"/>
    <col min="27" max="27" width="9.5546875" style="28" customWidth="1"/>
    <col min="28" max="16384" width="9.109375" style="28"/>
  </cols>
  <sheetData>
    <row r="1" spans="1:27" ht="45" customHeight="1" thickBot="1" x14ac:dyDescent="0.4">
      <c r="B1" s="185" t="s">
        <v>0</v>
      </c>
      <c r="C1" s="187" t="s">
        <v>1</v>
      </c>
      <c r="D1" s="189" t="s">
        <v>2</v>
      </c>
      <c r="E1" s="191" t="s">
        <v>3</v>
      </c>
      <c r="F1" s="193" t="s">
        <v>4</v>
      </c>
      <c r="G1" s="179" t="s">
        <v>5</v>
      </c>
      <c r="H1" s="195" t="s">
        <v>6</v>
      </c>
      <c r="I1" s="92" t="s">
        <v>7</v>
      </c>
      <c r="J1" s="195" t="s">
        <v>8</v>
      </c>
      <c r="K1" s="196" t="s">
        <v>9</v>
      </c>
      <c r="L1" s="187" t="s">
        <v>10</v>
      </c>
      <c r="M1" s="187" t="s">
        <v>11</v>
      </c>
      <c r="N1" s="94"/>
      <c r="O1" s="94"/>
      <c r="P1" s="182" t="s">
        <v>12</v>
      </c>
      <c r="Q1" s="182"/>
      <c r="R1" s="182"/>
      <c r="S1" s="182"/>
      <c r="T1" s="182"/>
      <c r="U1" s="182"/>
      <c r="AA1" s="29">
        <v>45677</v>
      </c>
    </row>
    <row r="2" spans="1:27" ht="17.100000000000001" customHeight="1" thickBot="1" x14ac:dyDescent="0.35">
      <c r="B2" s="199"/>
      <c r="C2" s="200"/>
      <c r="D2" s="201"/>
      <c r="E2" s="202"/>
      <c r="F2" s="203"/>
      <c r="G2" s="198"/>
      <c r="H2" s="198"/>
      <c r="I2" s="129"/>
      <c r="J2" s="198"/>
      <c r="K2" s="204"/>
      <c r="L2" s="200"/>
      <c r="M2" s="200"/>
      <c r="N2" s="94"/>
      <c r="O2" s="94"/>
      <c r="P2" s="96" t="s">
        <v>13</v>
      </c>
      <c r="Q2" s="97" t="s">
        <v>13</v>
      </c>
      <c r="R2" s="98" t="s">
        <v>13</v>
      </c>
      <c r="S2" s="96" t="s">
        <v>14</v>
      </c>
      <c r="T2" s="97" t="s">
        <v>14</v>
      </c>
      <c r="U2" s="98" t="s">
        <v>14</v>
      </c>
      <c r="V2" s="94"/>
      <c r="W2" s="94"/>
    </row>
    <row r="3" spans="1:27" ht="17.100000000000001" customHeight="1" thickBot="1" x14ac:dyDescent="0.35">
      <c r="B3" s="62" t="s">
        <v>15</v>
      </c>
      <c r="C3" s="70" t="s">
        <v>16</v>
      </c>
      <c r="D3" s="63">
        <v>107</v>
      </c>
      <c r="E3" s="131" t="s">
        <v>22</v>
      </c>
      <c r="F3" s="73">
        <v>1</v>
      </c>
      <c r="G3" s="132">
        <v>362</v>
      </c>
      <c r="H3" s="133">
        <v>75</v>
      </c>
      <c r="I3" s="134">
        <f>RANK(H3,$H$3:$H$9)</f>
        <v>1</v>
      </c>
      <c r="J3" s="135">
        <v>87</v>
      </c>
      <c r="K3" s="64">
        <f>RANK(J3,$J$3:$J$9)+COUNTIF(J3:$J$3,J3)-1</f>
        <v>3</v>
      </c>
      <c r="L3" s="136">
        <f t="shared" ref="L3:L8" si="0">(F3+K3)/2</f>
        <v>2</v>
      </c>
      <c r="M3" s="137">
        <f>RANK(L3,$L$3:$L$9,1)+COUNTIF(L3:$L$6,L3)-1</f>
        <v>1</v>
      </c>
      <c r="N3" s="94"/>
      <c r="O3" s="94"/>
      <c r="P3" s="103" t="s">
        <v>18</v>
      </c>
      <c r="Q3" s="104" t="s">
        <v>19</v>
      </c>
      <c r="R3" s="105" t="s">
        <v>20</v>
      </c>
      <c r="S3" s="103" t="s">
        <v>18</v>
      </c>
      <c r="T3" s="104" t="s">
        <v>19</v>
      </c>
      <c r="U3" s="106" t="s">
        <v>20</v>
      </c>
      <c r="V3" s="94"/>
      <c r="W3" s="94"/>
    </row>
    <row r="4" spans="1:27" ht="17.100000000000001" customHeight="1" thickBot="1" x14ac:dyDescent="0.35">
      <c r="B4" s="65" t="s">
        <v>38</v>
      </c>
      <c r="C4" s="71" t="s">
        <v>24</v>
      </c>
      <c r="D4" s="31">
        <v>104</v>
      </c>
      <c r="E4" s="94" t="s">
        <v>22</v>
      </c>
      <c r="F4" s="74">
        <v>2</v>
      </c>
      <c r="G4" s="130">
        <v>164</v>
      </c>
      <c r="H4" s="94">
        <v>64</v>
      </c>
      <c r="I4" s="138">
        <f>RANK(H4,$H$3:$H$9)</f>
        <v>2</v>
      </c>
      <c r="J4" s="94">
        <v>86</v>
      </c>
      <c r="K4" s="34">
        <f>RANK(J4,$J$3:$J$9)+COUNTIF(J$3:$J4,J4)-1</f>
        <v>4</v>
      </c>
      <c r="L4" s="109">
        <f t="shared" si="0"/>
        <v>3</v>
      </c>
      <c r="M4" s="139">
        <f>RANK(L4,$L$3:$L$9,1)+COUNTIF(L4:$L$6,L4)-1</f>
        <v>2</v>
      </c>
      <c r="N4" s="94"/>
      <c r="O4" s="94"/>
      <c r="P4" s="48">
        <v>50</v>
      </c>
      <c r="Q4" s="110"/>
      <c r="R4" s="111"/>
      <c r="S4" s="49">
        <v>20</v>
      </c>
      <c r="T4" s="112"/>
      <c r="U4" s="113"/>
    </row>
    <row r="5" spans="1:27" ht="17.100000000000001" customHeight="1" thickBot="1" x14ac:dyDescent="0.35">
      <c r="B5" s="65" t="s">
        <v>27</v>
      </c>
      <c r="C5" s="71" t="s">
        <v>21</v>
      </c>
      <c r="D5" s="31">
        <v>103</v>
      </c>
      <c r="E5" s="94" t="s">
        <v>22</v>
      </c>
      <c r="F5" s="74">
        <v>3</v>
      </c>
      <c r="G5" s="130">
        <v>318</v>
      </c>
      <c r="H5" s="94">
        <v>52</v>
      </c>
      <c r="I5" s="138">
        <f>RANK(H5,$H$3:$H$9)</f>
        <v>3</v>
      </c>
      <c r="J5" s="94">
        <v>86</v>
      </c>
      <c r="K5" s="34">
        <f>RANK(J5,$J$3:$J$9)+COUNTIF(J$3:$J5,J5)-1</f>
        <v>5</v>
      </c>
      <c r="L5" s="109">
        <f t="shared" si="0"/>
        <v>4</v>
      </c>
      <c r="M5" s="139">
        <f>RANK(L5,$L$3:$L$9,1)+COUNTIF(L5:$L$6,L5)-1</f>
        <v>4</v>
      </c>
      <c r="N5" s="94"/>
      <c r="O5" s="94"/>
      <c r="V5" s="183" t="s">
        <v>23</v>
      </c>
      <c r="W5" s="184"/>
    </row>
    <row r="6" spans="1:27" x14ac:dyDescent="0.3">
      <c r="B6" s="65"/>
      <c r="C6" s="84" t="s">
        <v>45</v>
      </c>
      <c r="D6" s="84">
        <v>102</v>
      </c>
      <c r="E6" s="85" t="s">
        <v>22</v>
      </c>
      <c r="F6" s="86">
        <v>4</v>
      </c>
      <c r="G6" s="87"/>
      <c r="H6" s="85"/>
      <c r="I6" s="88"/>
      <c r="J6" s="84"/>
      <c r="K6" s="84"/>
      <c r="L6" s="89"/>
      <c r="M6" s="90"/>
      <c r="N6" s="94"/>
      <c r="O6" s="94"/>
      <c r="V6" s="115" t="s">
        <v>25</v>
      </c>
      <c r="W6" s="116" t="s">
        <v>26</v>
      </c>
    </row>
    <row r="7" spans="1:27" ht="15" thickBot="1" x14ac:dyDescent="0.35">
      <c r="B7" s="158" t="s">
        <v>27</v>
      </c>
      <c r="C7" s="71" t="s">
        <v>28</v>
      </c>
      <c r="D7" s="31">
        <v>86</v>
      </c>
      <c r="E7" s="94" t="s">
        <v>46</v>
      </c>
      <c r="F7" s="74">
        <v>5</v>
      </c>
      <c r="G7" s="130">
        <v>246</v>
      </c>
      <c r="H7" s="94">
        <v>20</v>
      </c>
      <c r="I7" s="138">
        <f>RANK(H7,$H$3:$H$9)</f>
        <v>5</v>
      </c>
      <c r="J7" s="94">
        <v>88</v>
      </c>
      <c r="K7" s="34">
        <f>RANK(J7,$J$3:$J$9)+COUNTIF(J$3:$J7,J7)-1</f>
        <v>1</v>
      </c>
      <c r="L7" s="109">
        <f t="shared" si="0"/>
        <v>3</v>
      </c>
      <c r="M7" s="139">
        <f>RANK(L7,$L$3:$L$9,1)+COUNTIF(L$6:$L7,L7)-1</f>
        <v>2</v>
      </c>
      <c r="N7" s="94"/>
      <c r="O7" s="94"/>
      <c r="V7" s="117">
        <f>Q4+T4</f>
        <v>0</v>
      </c>
      <c r="W7" s="118">
        <f>R4+U4</f>
        <v>0</v>
      </c>
    </row>
    <row r="8" spans="1:27" ht="15" thickTop="1" x14ac:dyDescent="0.3">
      <c r="A8" s="28" t="s">
        <v>146</v>
      </c>
      <c r="B8" s="66" t="s">
        <v>27</v>
      </c>
      <c r="C8" s="71" t="s">
        <v>30</v>
      </c>
      <c r="D8" s="31">
        <v>82</v>
      </c>
      <c r="E8" s="94" t="s">
        <v>46</v>
      </c>
      <c r="F8" s="74">
        <v>6</v>
      </c>
      <c r="G8" s="130">
        <v>384</v>
      </c>
      <c r="H8" s="94">
        <v>43</v>
      </c>
      <c r="I8" s="138">
        <f>RANK(H8,$H$3:$H$9)</f>
        <v>4</v>
      </c>
      <c r="J8" s="94">
        <v>88</v>
      </c>
      <c r="K8" s="34">
        <f>RANK(J8,$J$3:$J$9)+COUNTIF(J$3:$J8,J8)-1</f>
        <v>2</v>
      </c>
      <c r="L8" s="109">
        <f t="shared" si="0"/>
        <v>4</v>
      </c>
      <c r="M8" s="139">
        <f>RANK(L8,$L$3:$L$9,1)+COUNTIF(L$6:$L8,L8)-1</f>
        <v>4</v>
      </c>
      <c r="N8" s="94"/>
      <c r="O8" s="94"/>
      <c r="V8" s="140"/>
      <c r="W8" s="140"/>
    </row>
    <row r="9" spans="1:27" ht="15" thickBot="1" x14ac:dyDescent="0.35">
      <c r="B9" s="67"/>
      <c r="C9" s="72"/>
      <c r="D9" s="68"/>
      <c r="E9" s="141"/>
      <c r="F9" s="75"/>
      <c r="G9" s="142"/>
      <c r="H9" s="141"/>
      <c r="I9" s="143"/>
      <c r="J9" s="141"/>
      <c r="K9" s="69"/>
      <c r="L9" s="144"/>
      <c r="M9" s="145"/>
      <c r="N9" s="94"/>
      <c r="O9" s="94"/>
      <c r="V9" s="140"/>
      <c r="W9" s="140"/>
    </row>
    <row r="10" spans="1:27" x14ac:dyDescent="0.3">
      <c r="A10" s="28" t="s">
        <v>146</v>
      </c>
      <c r="B10" s="76"/>
      <c r="C10" s="76" t="s">
        <v>144</v>
      </c>
      <c r="D10" s="76"/>
      <c r="E10" s="76"/>
      <c r="F10" s="76"/>
      <c r="G10" s="76"/>
      <c r="H10" s="76"/>
      <c r="I10" s="76"/>
      <c r="J10" s="76"/>
      <c r="K10" s="76"/>
      <c r="L10" s="76"/>
      <c r="M10" s="76"/>
      <c r="N10" s="94"/>
      <c r="O10" s="94"/>
      <c r="V10" s="140"/>
      <c r="W10" s="140"/>
    </row>
    <row r="11" spans="1:27" x14ac:dyDescent="0.3">
      <c r="A11" s="28" t="s">
        <v>146</v>
      </c>
      <c r="B11" s="76"/>
      <c r="C11" s="76" t="s">
        <v>145</v>
      </c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94"/>
      <c r="O11" s="94"/>
      <c r="V11" s="140"/>
      <c r="W11" s="140"/>
    </row>
    <row r="12" spans="1:27" x14ac:dyDescent="0.3">
      <c r="C12" s="122" t="s">
        <v>33</v>
      </c>
      <c r="D12" s="122" t="s">
        <v>34</v>
      </c>
      <c r="E12" s="122"/>
      <c r="G12" s="94"/>
      <c r="H12" s="94"/>
      <c r="I12" s="94"/>
      <c r="J12" s="94"/>
      <c r="K12" s="94"/>
      <c r="L12" s="94"/>
      <c r="M12" s="94"/>
      <c r="N12" s="94"/>
      <c r="O12" s="94"/>
    </row>
    <row r="13" spans="1:27" x14ac:dyDescent="0.3">
      <c r="C13" s="122" t="s">
        <v>35</v>
      </c>
      <c r="D13" t="s">
        <v>36</v>
      </c>
      <c r="E13" s="122"/>
      <c r="G13" s="123"/>
      <c r="H13" s="94"/>
      <c r="I13" s="94"/>
      <c r="J13" s="94"/>
      <c r="L13" s="94"/>
      <c r="M13" s="94"/>
      <c r="N13" s="94"/>
      <c r="O13" s="94"/>
    </row>
    <row r="14" spans="1:27" x14ac:dyDescent="0.3">
      <c r="C14" s="1" t="s">
        <v>33</v>
      </c>
      <c r="D14" s="27" t="s">
        <v>34</v>
      </c>
      <c r="E14" s="122"/>
      <c r="G14" s="94"/>
      <c r="H14" s="94"/>
      <c r="I14" s="94"/>
      <c r="J14" s="94"/>
      <c r="K14" s="94"/>
      <c r="L14" s="94"/>
      <c r="M14" s="94"/>
      <c r="N14" s="94"/>
    </row>
    <row r="15" spans="1:27" x14ac:dyDescent="0.3">
      <c r="B15" s="123"/>
      <c r="C15" s="2"/>
      <c r="D15" s="2"/>
      <c r="E15" s="2"/>
      <c r="F15" s="2"/>
      <c r="G15" s="94"/>
      <c r="H15" s="94"/>
      <c r="I15" s="94"/>
      <c r="J15" s="94"/>
      <c r="K15" s="94"/>
      <c r="L15" s="94"/>
      <c r="M15" s="94"/>
      <c r="N15" s="94"/>
    </row>
    <row r="16" spans="1:27" x14ac:dyDescent="0.3">
      <c r="B16" s="122"/>
      <c r="C16" s="122" t="s">
        <v>40</v>
      </c>
      <c r="D16" s="122"/>
      <c r="E16" s="122"/>
      <c r="G16" s="94"/>
      <c r="H16" s="94"/>
      <c r="I16" s="181"/>
      <c r="J16" s="181"/>
      <c r="K16" s="181"/>
      <c r="L16" s="181"/>
      <c r="M16" s="94"/>
      <c r="N16" s="94"/>
      <c r="O16" s="94"/>
      <c r="P16" s="94"/>
      <c r="Q16" s="94"/>
      <c r="R16" s="94"/>
      <c r="S16" s="94"/>
    </row>
    <row r="17" spans="2:19" x14ac:dyDescent="0.3">
      <c r="B17" s="122"/>
      <c r="C17" s="91"/>
      <c r="D17" s="2" t="s">
        <v>47</v>
      </c>
      <c r="E17" s="2"/>
      <c r="F17" s="2"/>
      <c r="G17" s="94"/>
      <c r="H17" s="94"/>
      <c r="I17" s="94"/>
      <c r="J17" s="94"/>
      <c r="K17" s="94"/>
      <c r="L17" s="94"/>
      <c r="M17" s="94"/>
      <c r="N17" s="94"/>
      <c r="O17" s="94"/>
      <c r="P17" s="94"/>
      <c r="Q17" s="94"/>
      <c r="R17" s="94"/>
      <c r="S17" s="94"/>
    </row>
    <row r="18" spans="2:19" ht="14.4" customHeight="1" x14ac:dyDescent="0.3">
      <c r="E18" s="124"/>
      <c r="F18" s="124"/>
      <c r="G18" s="124"/>
      <c r="H18" s="94"/>
      <c r="I18" s="94"/>
      <c r="J18" s="94"/>
      <c r="K18" s="94"/>
      <c r="L18" s="94"/>
      <c r="M18" s="94"/>
      <c r="N18" s="94"/>
      <c r="O18" s="94"/>
      <c r="P18" s="94"/>
      <c r="Q18" s="94"/>
      <c r="R18" s="94"/>
      <c r="S18" s="94"/>
    </row>
    <row r="19" spans="2:19" x14ac:dyDescent="0.3">
      <c r="B19" s="123"/>
      <c r="C19" s="94"/>
      <c r="D19" s="94"/>
      <c r="E19" s="94"/>
      <c r="F19" s="94"/>
      <c r="G19" s="94"/>
      <c r="H19" s="94"/>
      <c r="I19" s="94"/>
      <c r="J19" s="94"/>
      <c r="K19" s="94"/>
      <c r="L19" s="94"/>
      <c r="M19" s="94"/>
      <c r="N19" s="94"/>
    </row>
    <row r="20" spans="2:19" x14ac:dyDescent="0.3">
      <c r="B20" s="123"/>
      <c r="C20" s="94"/>
      <c r="D20" s="94"/>
      <c r="E20" s="94"/>
      <c r="F20" s="94"/>
      <c r="G20" s="94"/>
      <c r="H20" s="94"/>
      <c r="I20" s="94"/>
      <c r="J20" s="94"/>
      <c r="K20" s="94"/>
      <c r="L20" s="94"/>
      <c r="M20" s="94"/>
      <c r="N20" s="94"/>
    </row>
    <row r="21" spans="2:19" x14ac:dyDescent="0.3">
      <c r="C21" s="94"/>
      <c r="D21" s="94"/>
      <c r="E21" s="94"/>
      <c r="F21" s="94"/>
      <c r="G21" s="94"/>
      <c r="H21" s="94"/>
      <c r="I21" s="94"/>
      <c r="J21" s="94"/>
      <c r="K21" s="94"/>
      <c r="L21" s="94"/>
      <c r="M21" s="94"/>
      <c r="N21" s="94"/>
    </row>
    <row r="22" spans="2:19" x14ac:dyDescent="0.3">
      <c r="C22" s="94"/>
      <c r="D22" s="94"/>
      <c r="E22" s="94"/>
      <c r="F22" s="94"/>
      <c r="G22" s="94"/>
      <c r="H22" s="94"/>
      <c r="I22" s="94"/>
      <c r="J22" s="94"/>
      <c r="K22" s="94"/>
      <c r="L22" s="94"/>
      <c r="M22" s="94"/>
      <c r="N22" s="94"/>
    </row>
    <row r="23" spans="2:19" x14ac:dyDescent="0.3">
      <c r="C23" s="94"/>
      <c r="D23" s="94"/>
      <c r="E23" s="94"/>
      <c r="F23" s="94"/>
      <c r="G23" s="94"/>
      <c r="H23" s="94"/>
      <c r="I23" s="94"/>
      <c r="J23" s="94"/>
      <c r="K23" s="94"/>
      <c r="L23" s="94"/>
      <c r="M23" s="94"/>
      <c r="N23" s="94"/>
    </row>
    <row r="24" spans="2:19" x14ac:dyDescent="0.3">
      <c r="C24" s="94"/>
      <c r="D24" s="94"/>
      <c r="E24" s="94"/>
      <c r="F24" s="94"/>
      <c r="G24" s="94"/>
      <c r="H24" s="94"/>
      <c r="I24" s="94"/>
      <c r="J24" s="94"/>
      <c r="K24" s="94"/>
      <c r="L24" s="94"/>
      <c r="M24" s="94"/>
      <c r="N24" s="94"/>
    </row>
    <row r="25" spans="2:19" x14ac:dyDescent="0.3">
      <c r="C25" s="94"/>
      <c r="D25" s="94"/>
      <c r="E25" s="94"/>
      <c r="F25" s="94"/>
      <c r="G25" s="94"/>
      <c r="H25" s="94"/>
      <c r="I25" s="94"/>
      <c r="J25" s="94"/>
      <c r="K25" s="94"/>
      <c r="L25" s="94"/>
      <c r="M25" s="94"/>
      <c r="N25" s="94"/>
      <c r="O25" s="94"/>
    </row>
    <row r="26" spans="2:19" x14ac:dyDescent="0.3">
      <c r="C26" s="94"/>
      <c r="D26" s="94"/>
      <c r="E26" s="94"/>
      <c r="F26" s="94"/>
      <c r="G26" s="94"/>
      <c r="H26" s="94"/>
      <c r="I26" s="94"/>
      <c r="J26" s="94"/>
      <c r="K26" s="94"/>
      <c r="L26" s="94"/>
      <c r="M26" s="94"/>
      <c r="N26" s="94"/>
      <c r="O26" s="94"/>
    </row>
    <row r="27" spans="2:19" x14ac:dyDescent="0.3">
      <c r="C27" s="94"/>
      <c r="D27" s="94"/>
      <c r="E27" s="94"/>
      <c r="F27" s="94"/>
      <c r="G27" s="94"/>
      <c r="H27" s="94"/>
      <c r="I27" s="94"/>
      <c r="J27" s="94"/>
      <c r="K27" s="94"/>
      <c r="L27" s="94"/>
      <c r="M27" s="94"/>
      <c r="N27" s="94"/>
      <c r="O27" s="94"/>
    </row>
    <row r="28" spans="2:19" x14ac:dyDescent="0.3">
      <c r="C28" s="94"/>
      <c r="D28" s="94"/>
      <c r="E28" s="94"/>
      <c r="F28" s="94"/>
      <c r="G28" s="94"/>
      <c r="H28" s="94"/>
      <c r="I28" s="94"/>
      <c r="J28" s="94"/>
      <c r="K28" s="94"/>
      <c r="L28" s="94"/>
      <c r="M28" s="94"/>
      <c r="N28" s="94"/>
      <c r="O28" s="94"/>
    </row>
    <row r="29" spans="2:19" x14ac:dyDescent="0.3">
      <c r="C29" s="94"/>
      <c r="D29" s="94"/>
      <c r="E29" s="94"/>
      <c r="F29" s="94"/>
      <c r="G29" s="94"/>
      <c r="H29" s="94"/>
      <c r="I29" s="94"/>
      <c r="J29" s="94"/>
      <c r="K29" s="94"/>
      <c r="L29" s="94"/>
      <c r="M29" s="94"/>
      <c r="N29" s="94"/>
      <c r="O29" s="94"/>
    </row>
    <row r="30" spans="2:19" x14ac:dyDescent="0.3">
      <c r="C30" s="94"/>
      <c r="D30" s="94"/>
      <c r="E30" s="94"/>
      <c r="F30" s="94"/>
      <c r="G30" s="94"/>
      <c r="H30" s="94"/>
      <c r="I30" s="94"/>
      <c r="J30" s="94"/>
      <c r="K30" s="94"/>
      <c r="L30" s="94"/>
      <c r="M30" s="94"/>
      <c r="N30" s="94"/>
      <c r="O30" s="94"/>
    </row>
    <row r="31" spans="2:19" x14ac:dyDescent="0.3">
      <c r="C31" s="94"/>
      <c r="D31" s="94"/>
      <c r="E31" s="94"/>
      <c r="F31" s="94"/>
      <c r="G31" s="94"/>
      <c r="H31" s="94"/>
      <c r="I31" s="94"/>
      <c r="J31" s="94"/>
      <c r="K31" s="94"/>
      <c r="L31" s="94"/>
      <c r="M31" s="94"/>
      <c r="N31" s="94"/>
      <c r="O31" s="94"/>
    </row>
    <row r="32" spans="2:19" x14ac:dyDescent="0.3">
      <c r="C32" s="94"/>
      <c r="D32" s="94"/>
      <c r="E32" s="94"/>
      <c r="F32" s="94"/>
      <c r="G32" s="94"/>
      <c r="H32" s="94"/>
      <c r="I32" s="94"/>
      <c r="J32" s="94"/>
      <c r="K32" s="94"/>
      <c r="L32" s="94"/>
      <c r="M32" s="94"/>
      <c r="N32" s="94"/>
      <c r="O32" s="94"/>
    </row>
    <row r="33" spans="3:15" x14ac:dyDescent="0.3">
      <c r="C33" s="94"/>
      <c r="D33" s="94"/>
      <c r="E33" s="94"/>
      <c r="F33" s="94"/>
      <c r="G33" s="94"/>
      <c r="H33" s="94"/>
      <c r="I33" s="94"/>
      <c r="J33" s="94"/>
      <c r="K33" s="94"/>
      <c r="L33" s="94"/>
      <c r="M33" s="94"/>
      <c r="N33" s="94"/>
      <c r="O33" s="94"/>
    </row>
    <row r="34" spans="3:15" x14ac:dyDescent="0.3">
      <c r="C34" s="94"/>
      <c r="D34" s="94"/>
      <c r="E34" s="94"/>
      <c r="F34" s="94"/>
      <c r="G34" s="94"/>
      <c r="H34" s="94"/>
      <c r="I34" s="94"/>
      <c r="J34" s="94"/>
      <c r="K34" s="94"/>
      <c r="L34" s="94"/>
      <c r="M34" s="94"/>
      <c r="N34" s="94"/>
      <c r="O34" s="94"/>
    </row>
    <row r="35" spans="3:15" x14ac:dyDescent="0.3">
      <c r="C35" s="94"/>
      <c r="D35" s="94"/>
      <c r="E35" s="94"/>
      <c r="F35" s="94"/>
      <c r="G35" s="94"/>
      <c r="H35" s="94"/>
      <c r="I35" s="94"/>
      <c r="J35" s="94"/>
      <c r="K35" s="94"/>
      <c r="L35" s="94"/>
      <c r="M35" s="94"/>
      <c r="N35" s="94"/>
      <c r="O35" s="94"/>
    </row>
    <row r="36" spans="3:15" x14ac:dyDescent="0.3">
      <c r="C36" s="94"/>
      <c r="D36" s="94"/>
      <c r="E36" s="94"/>
      <c r="F36" s="94"/>
      <c r="G36" s="94"/>
      <c r="H36" s="94"/>
      <c r="I36" s="94"/>
      <c r="J36" s="94"/>
      <c r="K36" s="94"/>
      <c r="L36" s="94"/>
      <c r="M36" s="94"/>
      <c r="N36" s="94"/>
      <c r="O36" s="94"/>
    </row>
    <row r="37" spans="3:15" x14ac:dyDescent="0.3">
      <c r="C37" s="94"/>
      <c r="D37" s="94"/>
      <c r="E37" s="94"/>
      <c r="F37" s="94"/>
      <c r="G37" s="94"/>
      <c r="H37" s="94"/>
      <c r="I37" s="94"/>
      <c r="J37" s="94"/>
      <c r="K37" s="94"/>
      <c r="L37" s="94"/>
      <c r="M37" s="94"/>
      <c r="N37" s="94"/>
      <c r="O37" s="94"/>
    </row>
    <row r="38" spans="3:15" x14ac:dyDescent="0.3">
      <c r="C38" s="94"/>
      <c r="D38" s="94"/>
      <c r="E38" s="94"/>
      <c r="F38" s="94"/>
      <c r="G38" s="94"/>
      <c r="H38" s="94"/>
      <c r="I38" s="94"/>
      <c r="J38" s="94"/>
      <c r="K38" s="94"/>
      <c r="L38" s="94"/>
      <c r="M38" s="94"/>
      <c r="N38" s="94"/>
      <c r="O38" s="94"/>
    </row>
    <row r="39" spans="3:15" x14ac:dyDescent="0.3">
      <c r="C39" s="94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</row>
    <row r="40" spans="3:15" x14ac:dyDescent="0.3">
      <c r="C40" s="94"/>
      <c r="D40" s="94"/>
      <c r="E40" s="94"/>
      <c r="F40" s="94"/>
      <c r="G40" s="94"/>
      <c r="H40" s="94"/>
      <c r="I40" s="94"/>
      <c r="J40" s="94"/>
      <c r="K40" s="94"/>
      <c r="L40" s="94"/>
      <c r="M40" s="94"/>
      <c r="N40" s="94"/>
      <c r="O40" s="94"/>
    </row>
    <row r="41" spans="3:15" x14ac:dyDescent="0.3">
      <c r="C41" s="94"/>
      <c r="D41" s="94"/>
      <c r="E41" s="94"/>
      <c r="F41" s="94"/>
      <c r="G41" s="94"/>
      <c r="H41" s="94"/>
      <c r="I41" s="94"/>
      <c r="J41" s="94"/>
      <c r="K41" s="94"/>
      <c r="L41" s="94"/>
      <c r="M41" s="94"/>
      <c r="N41" s="94"/>
      <c r="O41" s="94"/>
    </row>
    <row r="42" spans="3:15" x14ac:dyDescent="0.3">
      <c r="C42" s="94"/>
      <c r="D42" s="94"/>
      <c r="E42" s="94"/>
      <c r="F42" s="94"/>
      <c r="G42" s="94"/>
      <c r="H42" s="94"/>
      <c r="I42" s="94"/>
      <c r="J42" s="94"/>
      <c r="K42" s="94"/>
      <c r="L42" s="94"/>
      <c r="M42" s="94"/>
      <c r="N42" s="94"/>
      <c r="O42" s="94"/>
    </row>
    <row r="43" spans="3:15" x14ac:dyDescent="0.3">
      <c r="G43" s="123"/>
      <c r="M43" s="94"/>
    </row>
    <row r="44" spans="3:15" x14ac:dyDescent="0.3">
      <c r="G44" s="123"/>
      <c r="M44" s="94"/>
    </row>
    <row r="45" spans="3:15" x14ac:dyDescent="0.3">
      <c r="G45" s="123"/>
      <c r="M45" s="94"/>
    </row>
    <row r="46" spans="3:15" x14ac:dyDescent="0.3">
      <c r="G46" s="123"/>
      <c r="M46" s="94"/>
    </row>
    <row r="47" spans="3:15" x14ac:dyDescent="0.3">
      <c r="G47" s="123"/>
      <c r="M47" s="94"/>
    </row>
    <row r="48" spans="3:15" x14ac:dyDescent="0.3">
      <c r="G48" s="123"/>
      <c r="M48" s="94"/>
    </row>
  </sheetData>
  <mergeCells count="14">
    <mergeCell ref="V5:W5"/>
    <mergeCell ref="I16:L16"/>
    <mergeCell ref="H1:H2"/>
    <mergeCell ref="J1:J2"/>
    <mergeCell ref="K1:K2"/>
    <mergeCell ref="L1:L2"/>
    <mergeCell ref="M1:M2"/>
    <mergeCell ref="P1:U1"/>
    <mergeCell ref="G1:G2"/>
    <mergeCell ref="B1:B2"/>
    <mergeCell ref="C1:C2"/>
    <mergeCell ref="D1:D2"/>
    <mergeCell ref="E1:E2"/>
    <mergeCell ref="F1:F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B3009-6BCF-461B-8994-3289557B892C}">
  <sheetPr codeName="Sheet12"/>
  <dimension ref="A1:Z49"/>
  <sheetViews>
    <sheetView workbookViewId="0">
      <selection activeCell="F18" sqref="F18"/>
    </sheetView>
  </sheetViews>
  <sheetFormatPr defaultColWidth="9.109375" defaultRowHeight="14.4" x14ac:dyDescent="0.3"/>
  <cols>
    <col min="1" max="2" width="9.109375" style="28"/>
    <col min="3" max="3" width="11.109375" style="28" customWidth="1"/>
    <col min="4" max="4" width="15.44140625" style="28" customWidth="1"/>
    <col min="5" max="5" width="12" style="28" customWidth="1"/>
    <col min="6" max="6" width="17.109375" style="39" customWidth="1"/>
    <col min="7" max="7" width="13.33203125" style="28" customWidth="1"/>
    <col min="8" max="8" width="11.44140625" style="28" customWidth="1"/>
    <col min="9" max="9" width="17.33203125" style="28" customWidth="1"/>
    <col min="10" max="10" width="11.6640625" style="28" customWidth="1"/>
    <col min="11" max="11" width="16.109375" style="28" customWidth="1"/>
    <col min="12" max="12" width="13.5546875" style="28" customWidth="1"/>
    <col min="13" max="13" width="9.109375" style="28"/>
    <col min="14" max="14" width="9.109375" style="28" customWidth="1"/>
    <col min="15" max="20" width="9.109375" style="28"/>
    <col min="21" max="21" width="15.109375" style="28" customWidth="1"/>
    <col min="22" max="22" width="13.6640625" style="28" customWidth="1"/>
    <col min="23" max="25" width="9.109375" style="28"/>
    <col min="26" max="26" width="9.5546875" style="28" customWidth="1"/>
    <col min="27" max="16384" width="9.109375" style="28"/>
  </cols>
  <sheetData>
    <row r="1" spans="1:26" ht="45" customHeight="1" thickBot="1" x14ac:dyDescent="0.4">
      <c r="A1" s="185" t="s">
        <v>0</v>
      </c>
      <c r="B1" s="187" t="s">
        <v>1</v>
      </c>
      <c r="C1" s="189" t="s">
        <v>2</v>
      </c>
      <c r="D1" s="191" t="s">
        <v>3</v>
      </c>
      <c r="E1" s="193" t="s">
        <v>4</v>
      </c>
      <c r="F1" s="179" t="s">
        <v>5</v>
      </c>
      <c r="G1" s="195" t="s">
        <v>6</v>
      </c>
      <c r="H1" s="92" t="s">
        <v>7</v>
      </c>
      <c r="I1" s="195" t="s">
        <v>8</v>
      </c>
      <c r="J1" s="196" t="s">
        <v>9</v>
      </c>
      <c r="K1" s="187" t="s">
        <v>10</v>
      </c>
      <c r="L1" s="187" t="s">
        <v>11</v>
      </c>
      <c r="M1" s="94"/>
      <c r="N1" s="94"/>
      <c r="O1" s="182" t="s">
        <v>12</v>
      </c>
      <c r="P1" s="182"/>
      <c r="Q1" s="182"/>
      <c r="R1" s="182"/>
      <c r="S1" s="182"/>
      <c r="T1" s="182"/>
      <c r="Z1" s="29">
        <v>45677</v>
      </c>
    </row>
    <row r="2" spans="1:26" ht="17.100000000000001" customHeight="1" thickBot="1" x14ac:dyDescent="0.35">
      <c r="A2" s="199"/>
      <c r="B2" s="200"/>
      <c r="C2" s="201"/>
      <c r="D2" s="202"/>
      <c r="E2" s="203"/>
      <c r="F2" s="198"/>
      <c r="G2" s="198"/>
      <c r="H2" s="129"/>
      <c r="I2" s="198"/>
      <c r="J2" s="204"/>
      <c r="K2" s="200"/>
      <c r="L2" s="200"/>
      <c r="M2" s="94"/>
      <c r="N2" s="94"/>
      <c r="O2" s="96" t="s">
        <v>13</v>
      </c>
      <c r="P2" s="97" t="s">
        <v>13</v>
      </c>
      <c r="Q2" s="98" t="s">
        <v>13</v>
      </c>
      <c r="R2" s="96" t="s">
        <v>14</v>
      </c>
      <c r="S2" s="97" t="s">
        <v>14</v>
      </c>
      <c r="T2" s="98" t="s">
        <v>14</v>
      </c>
      <c r="U2" s="94"/>
      <c r="V2" s="94"/>
    </row>
    <row r="3" spans="1:26" ht="17.100000000000001" customHeight="1" thickBot="1" x14ac:dyDescent="0.35">
      <c r="A3" s="62" t="s">
        <v>38</v>
      </c>
      <c r="B3" s="70" t="s">
        <v>16</v>
      </c>
      <c r="C3" s="63">
        <v>107</v>
      </c>
      <c r="D3" s="131" t="s">
        <v>22</v>
      </c>
      <c r="E3" s="73">
        <v>1</v>
      </c>
      <c r="F3" s="132">
        <v>266</v>
      </c>
      <c r="G3" s="133">
        <v>46</v>
      </c>
      <c r="H3" s="134">
        <f>RANK(G3,$G$3:$G$9)</f>
        <v>1</v>
      </c>
      <c r="I3" s="135">
        <v>87</v>
      </c>
      <c r="J3" s="64">
        <f>RANK(I3,$I$3:$I$9)+COUNTIF(I3:$I$3,I3)-1</f>
        <v>4</v>
      </c>
      <c r="K3" s="136">
        <f>(E3+J3)/2</f>
        <v>2.5</v>
      </c>
      <c r="L3" s="137">
        <f>RANK(K3,$K$3:$K$9,1)+COUNTIF(K3:$K$6,K3)-1</f>
        <v>2</v>
      </c>
      <c r="M3" s="94"/>
      <c r="N3" s="94"/>
      <c r="O3" s="103" t="s">
        <v>18</v>
      </c>
      <c r="P3" s="104" t="s">
        <v>19</v>
      </c>
      <c r="Q3" s="105" t="s">
        <v>20</v>
      </c>
      <c r="R3" s="103" t="s">
        <v>18</v>
      </c>
      <c r="S3" s="104" t="s">
        <v>19</v>
      </c>
      <c r="T3" s="106" t="s">
        <v>20</v>
      </c>
      <c r="U3" s="94"/>
      <c r="V3" s="94"/>
    </row>
    <row r="4" spans="1:26" ht="17.100000000000001" customHeight="1" thickBot="1" x14ac:dyDescent="0.35">
      <c r="A4" s="65" t="s">
        <v>27</v>
      </c>
      <c r="B4" s="71" t="s">
        <v>24</v>
      </c>
      <c r="C4" s="31">
        <v>104</v>
      </c>
      <c r="D4" s="94" t="s">
        <v>22</v>
      </c>
      <c r="E4" s="74">
        <v>2</v>
      </c>
      <c r="F4" s="130">
        <v>201</v>
      </c>
      <c r="G4" s="94">
        <v>41</v>
      </c>
      <c r="H4" s="138">
        <f>RANK(G4,$G$3:$G$9)</f>
        <v>3</v>
      </c>
      <c r="I4" s="94">
        <v>88</v>
      </c>
      <c r="J4" s="34">
        <f>RANK(I4,$I$3:$I$9)+COUNTIF(I$3:$I4,I4)-1</f>
        <v>2</v>
      </c>
      <c r="K4" s="109">
        <f>(E4+J4)/2</f>
        <v>2</v>
      </c>
      <c r="L4" s="139">
        <f>RANK(K4,$K$3:$K$9,1)+COUNTIF(K4:$K$6,K4)-1</f>
        <v>1</v>
      </c>
      <c r="M4" s="94"/>
      <c r="N4" s="94"/>
      <c r="O4" s="48">
        <v>50</v>
      </c>
      <c r="P4" s="110"/>
      <c r="Q4" s="111"/>
      <c r="R4" s="49">
        <v>20</v>
      </c>
      <c r="S4" s="112"/>
      <c r="T4" s="113"/>
    </row>
    <row r="5" spans="1:26" ht="17.100000000000001" customHeight="1" thickBot="1" x14ac:dyDescent="0.35">
      <c r="A5" s="65" t="s">
        <v>15</v>
      </c>
      <c r="B5" s="71" t="s">
        <v>21</v>
      </c>
      <c r="C5" s="31">
        <v>103</v>
      </c>
      <c r="D5" s="94" t="s">
        <v>22</v>
      </c>
      <c r="E5" s="74">
        <v>3</v>
      </c>
      <c r="F5" s="130">
        <v>201</v>
      </c>
      <c r="G5" s="94">
        <v>45</v>
      </c>
      <c r="H5" s="138">
        <f>RANK(G5,$G$3:$G$9)</f>
        <v>2</v>
      </c>
      <c r="I5" s="94">
        <v>88</v>
      </c>
      <c r="J5" s="34">
        <f>RANK(I5,$I$3:$I$9)+COUNTIF(I$3:$I5,I5)-1</f>
        <v>3</v>
      </c>
      <c r="K5" s="109">
        <f>(E5+J5)/2</f>
        <v>3</v>
      </c>
      <c r="L5" s="139">
        <f>RANK(K5,$K$3:$K$9,1)+COUNTIF(K5:$K$6,K5)-1</f>
        <v>3</v>
      </c>
      <c r="M5" s="94"/>
      <c r="N5" s="94"/>
      <c r="U5" s="183" t="s">
        <v>23</v>
      </c>
      <c r="V5" s="184"/>
    </row>
    <row r="6" spans="1:26" x14ac:dyDescent="0.3">
      <c r="A6" s="65"/>
      <c r="B6" s="84" t="s">
        <v>45</v>
      </c>
      <c r="C6" s="84">
        <v>102</v>
      </c>
      <c r="D6" s="85" t="s">
        <v>22</v>
      </c>
      <c r="E6" s="86">
        <v>4</v>
      </c>
      <c r="F6" s="87"/>
      <c r="G6" s="85"/>
      <c r="H6" s="88"/>
      <c r="I6" s="84">
        <v>87</v>
      </c>
      <c r="J6" s="84"/>
      <c r="K6" s="89"/>
      <c r="L6" s="90"/>
      <c r="M6" s="94"/>
      <c r="N6" s="94"/>
      <c r="U6" s="115" t="s">
        <v>25</v>
      </c>
      <c r="V6" s="116" t="s">
        <v>26</v>
      </c>
    </row>
    <row r="7" spans="1:26" ht="15" thickBot="1" x14ac:dyDescent="0.35">
      <c r="A7" s="66" t="s">
        <v>38</v>
      </c>
      <c r="B7" s="71" t="s">
        <v>28</v>
      </c>
      <c r="C7" s="31">
        <v>86</v>
      </c>
      <c r="D7" s="94" t="s">
        <v>46</v>
      </c>
      <c r="E7" s="74">
        <v>5</v>
      </c>
      <c r="F7" s="130">
        <v>210</v>
      </c>
      <c r="G7" s="94">
        <v>22</v>
      </c>
      <c r="H7" s="138">
        <f>RANK(G7,$G$3:$G$9)</f>
        <v>5</v>
      </c>
      <c r="I7" s="94">
        <v>87</v>
      </c>
      <c r="J7" s="34">
        <f>RANK(I7,$I$3:$I$9)+COUNTIF(I$3:$I7,I7)-1</f>
        <v>6</v>
      </c>
      <c r="K7" s="109">
        <f>(E7+J7)/2</f>
        <v>5.5</v>
      </c>
      <c r="L7" s="139">
        <f>RANK(K7,$K$3:$K$9,1)+COUNTIF(K$6:$K7,K7)-1</f>
        <v>5</v>
      </c>
      <c r="M7" s="94"/>
      <c r="N7" s="94"/>
      <c r="U7" s="117">
        <f>P4+S4</f>
        <v>0</v>
      </c>
      <c r="V7" s="118">
        <f>Q4+T4</f>
        <v>0</v>
      </c>
    </row>
    <row r="8" spans="1:26" ht="15" thickTop="1" x14ac:dyDescent="0.3">
      <c r="A8" s="66" t="s">
        <v>15</v>
      </c>
      <c r="B8" s="71" t="s">
        <v>30</v>
      </c>
      <c r="C8" s="31">
        <v>82</v>
      </c>
      <c r="D8" s="94" t="s">
        <v>46</v>
      </c>
      <c r="E8" s="74">
        <v>6</v>
      </c>
      <c r="F8" s="130">
        <v>203</v>
      </c>
      <c r="G8" s="94">
        <v>23</v>
      </c>
      <c r="H8" s="138">
        <f>RANK(G8,$G$3:$G$9)</f>
        <v>4</v>
      </c>
      <c r="I8" s="94">
        <v>89</v>
      </c>
      <c r="J8" s="34">
        <f>RANK(I8,$I$3:$I$9)+COUNTIF(I$3:$I8,I8)-1</f>
        <v>1</v>
      </c>
      <c r="K8" s="109">
        <f>(E8+J8)/2</f>
        <v>3.5</v>
      </c>
      <c r="L8" s="139">
        <f>RANK(K8,$K$3:$K$9,1)+COUNTIF(K$6:$K8,K8)-1</f>
        <v>4</v>
      </c>
      <c r="M8" s="94"/>
      <c r="N8" s="94"/>
      <c r="U8" s="140"/>
      <c r="V8" s="140"/>
    </row>
    <row r="9" spans="1:26" ht="15" thickBot="1" x14ac:dyDescent="0.35">
      <c r="A9" s="67"/>
      <c r="B9" s="72"/>
      <c r="C9" s="68"/>
      <c r="D9" s="141"/>
      <c r="E9" s="75"/>
      <c r="F9" s="142"/>
      <c r="G9" s="141"/>
      <c r="H9" s="143"/>
      <c r="I9" s="141"/>
      <c r="J9" s="69"/>
      <c r="K9" s="144"/>
      <c r="L9" s="145"/>
      <c r="M9" s="94"/>
      <c r="N9" s="94"/>
      <c r="U9" s="140"/>
      <c r="V9" s="140"/>
    </row>
    <row r="10" spans="1:26" x14ac:dyDescent="0.3">
      <c r="A10" s="76"/>
      <c r="C10" s="76"/>
      <c r="D10" s="76"/>
      <c r="E10" s="76"/>
      <c r="F10" s="76"/>
      <c r="G10" s="76"/>
      <c r="H10" s="76"/>
      <c r="I10" s="76"/>
      <c r="J10" s="76"/>
      <c r="K10" s="76"/>
      <c r="L10" s="76"/>
      <c r="M10" s="94"/>
      <c r="N10" s="94"/>
      <c r="U10" s="140"/>
      <c r="V10" s="140"/>
    </row>
    <row r="11" spans="1:26" x14ac:dyDescent="0.3">
      <c r="A11" s="76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94"/>
      <c r="N11" s="94"/>
      <c r="U11" s="140"/>
      <c r="V11" s="140"/>
    </row>
    <row r="12" spans="1:26" x14ac:dyDescent="0.3">
      <c r="A12" s="76"/>
      <c r="B12" s="76"/>
      <c r="C12" s="76"/>
      <c r="D12" s="76"/>
      <c r="E12" s="76"/>
      <c r="F12" s="76"/>
      <c r="G12" s="76"/>
      <c r="H12" s="76"/>
      <c r="I12" s="76"/>
      <c r="J12" s="76"/>
      <c r="K12" s="76"/>
      <c r="L12" s="76"/>
      <c r="M12" s="94"/>
      <c r="N12" s="94"/>
      <c r="U12" s="140"/>
      <c r="V12" s="140"/>
    </row>
    <row r="13" spans="1:26" x14ac:dyDescent="0.3">
      <c r="B13" s="122" t="s">
        <v>33</v>
      </c>
      <c r="C13" s="122" t="s">
        <v>34</v>
      </c>
      <c r="D13" s="122"/>
      <c r="F13" s="94"/>
      <c r="G13" s="94"/>
      <c r="H13" s="94"/>
      <c r="I13" s="94"/>
      <c r="J13" s="94"/>
      <c r="K13" s="94"/>
      <c r="L13" s="94"/>
      <c r="M13" s="94"/>
      <c r="N13" s="94"/>
    </row>
    <row r="14" spans="1:26" x14ac:dyDescent="0.3">
      <c r="B14" s="122" t="s">
        <v>35</v>
      </c>
      <c r="C14" t="s">
        <v>36</v>
      </c>
      <c r="D14" s="122"/>
      <c r="F14" s="123"/>
      <c r="G14" s="94"/>
      <c r="H14" s="94"/>
      <c r="I14" s="94"/>
      <c r="K14" s="94"/>
      <c r="L14" s="94"/>
      <c r="M14" s="94"/>
      <c r="N14" s="94"/>
    </row>
    <row r="15" spans="1:26" x14ac:dyDescent="0.3">
      <c r="B15" s="1" t="s">
        <v>33</v>
      </c>
      <c r="C15" s="27" t="s">
        <v>34</v>
      </c>
      <c r="D15" s="122"/>
      <c r="F15" s="94"/>
      <c r="G15" s="94"/>
      <c r="H15" s="94"/>
      <c r="I15" s="94"/>
      <c r="J15" s="94"/>
      <c r="K15" s="94"/>
      <c r="L15" s="94"/>
      <c r="M15" s="94"/>
    </row>
    <row r="16" spans="1:26" x14ac:dyDescent="0.3">
      <c r="A16" s="123"/>
      <c r="B16" s="2"/>
      <c r="C16" s="2"/>
      <c r="D16" s="2"/>
      <c r="E16" s="2"/>
      <c r="F16" s="94"/>
      <c r="G16" s="94"/>
      <c r="H16" s="94"/>
      <c r="I16" s="94"/>
      <c r="J16" s="94"/>
      <c r="K16" s="94"/>
      <c r="L16" s="94"/>
      <c r="M16" s="94"/>
    </row>
    <row r="17" spans="1:18" x14ac:dyDescent="0.3">
      <c r="A17" s="122"/>
      <c r="B17" s="122" t="s">
        <v>40</v>
      </c>
      <c r="C17" s="122"/>
      <c r="D17" s="122"/>
      <c r="F17" s="94"/>
      <c r="G17" s="94"/>
      <c r="H17" s="181"/>
      <c r="I17" s="181"/>
      <c r="J17" s="181"/>
      <c r="K17" s="181"/>
      <c r="L17" s="94"/>
      <c r="M17" s="94"/>
      <c r="N17" s="94"/>
      <c r="O17" s="94"/>
      <c r="P17" s="94"/>
      <c r="Q17" s="94"/>
      <c r="R17" s="94"/>
    </row>
    <row r="18" spans="1:18" x14ac:dyDescent="0.3">
      <c r="A18" s="122"/>
      <c r="B18" s="91"/>
      <c r="C18" s="2" t="s">
        <v>47</v>
      </c>
      <c r="D18" s="2"/>
      <c r="E18" s="2"/>
      <c r="F18" s="94"/>
      <c r="G18" s="94"/>
      <c r="H18" s="94"/>
      <c r="I18" s="94"/>
      <c r="J18" s="94"/>
      <c r="K18" s="94"/>
      <c r="L18" s="94"/>
      <c r="M18" s="94"/>
      <c r="N18" s="94"/>
      <c r="O18" s="94"/>
      <c r="P18" s="94"/>
      <c r="Q18" s="94"/>
      <c r="R18" s="94"/>
    </row>
    <row r="19" spans="1:18" ht="14.4" customHeight="1" x14ac:dyDescent="0.3">
      <c r="D19" s="124"/>
      <c r="E19" s="124"/>
      <c r="F19" s="124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</row>
    <row r="20" spans="1:18" x14ac:dyDescent="0.3">
      <c r="A20" s="123"/>
      <c r="B20" s="94"/>
      <c r="C20" s="94"/>
      <c r="D20" s="94"/>
      <c r="E20" s="94"/>
      <c r="F20" s="94"/>
      <c r="G20" s="94"/>
      <c r="H20" s="94"/>
      <c r="I20" s="94"/>
      <c r="J20" s="94"/>
      <c r="K20" s="94"/>
      <c r="L20" s="94"/>
      <c r="M20" s="94"/>
    </row>
    <row r="21" spans="1:18" x14ac:dyDescent="0.3">
      <c r="A21" s="123"/>
      <c r="B21" s="94"/>
      <c r="C21" s="94"/>
      <c r="D21" s="94"/>
      <c r="E21" s="94"/>
      <c r="F21" s="94"/>
      <c r="G21" s="94"/>
      <c r="H21" s="94"/>
      <c r="I21" s="94"/>
      <c r="J21" s="94"/>
      <c r="K21" s="94"/>
      <c r="L21" s="94"/>
      <c r="M21" s="94"/>
    </row>
    <row r="22" spans="1:18" x14ac:dyDescent="0.3">
      <c r="B22" s="94"/>
      <c r="C22" s="94"/>
      <c r="D22" s="94"/>
      <c r="E22" s="94"/>
      <c r="F22" s="94"/>
      <c r="G22" s="94"/>
      <c r="H22" s="94"/>
      <c r="I22" s="94"/>
      <c r="J22" s="94"/>
      <c r="K22" s="94"/>
      <c r="L22" s="94"/>
      <c r="M22" s="94"/>
    </row>
    <row r="23" spans="1:18" x14ac:dyDescent="0.3">
      <c r="B23" s="94"/>
      <c r="C23" s="94"/>
      <c r="D23" s="94"/>
      <c r="E23" s="94"/>
      <c r="F23" s="94"/>
      <c r="G23" s="94"/>
      <c r="H23" s="94"/>
      <c r="I23" s="94"/>
      <c r="J23" s="94"/>
      <c r="K23" s="94"/>
      <c r="L23" s="94"/>
      <c r="M23" s="94"/>
    </row>
    <row r="24" spans="1:18" x14ac:dyDescent="0.3">
      <c r="B24" s="94"/>
      <c r="C24" s="94"/>
      <c r="D24" s="94"/>
      <c r="E24" s="94"/>
      <c r="F24" s="94"/>
      <c r="G24" s="94"/>
      <c r="H24" s="94"/>
      <c r="I24" s="94"/>
      <c r="J24" s="94"/>
      <c r="K24" s="94"/>
      <c r="L24" s="94"/>
      <c r="M24" s="94"/>
    </row>
    <row r="25" spans="1:18" x14ac:dyDescent="0.3">
      <c r="B25" s="94"/>
      <c r="C25" s="94"/>
      <c r="D25" s="94"/>
      <c r="E25" s="94"/>
      <c r="F25" s="94"/>
      <c r="G25" s="94"/>
      <c r="H25" s="94"/>
      <c r="I25" s="94"/>
      <c r="J25" s="94"/>
      <c r="K25" s="94"/>
      <c r="L25" s="94"/>
      <c r="M25" s="94"/>
    </row>
    <row r="26" spans="1:18" x14ac:dyDescent="0.3">
      <c r="B26" s="94"/>
      <c r="C26" s="94"/>
      <c r="D26" s="94"/>
      <c r="E26" s="94"/>
      <c r="F26" s="94"/>
      <c r="G26" s="94"/>
      <c r="H26" s="94"/>
      <c r="I26" s="94"/>
      <c r="J26" s="94"/>
      <c r="K26" s="94"/>
      <c r="L26" s="94"/>
      <c r="M26" s="94"/>
      <c r="N26" s="94"/>
    </row>
    <row r="27" spans="1:18" x14ac:dyDescent="0.3">
      <c r="B27" s="94"/>
      <c r="C27" s="94"/>
      <c r="D27" s="94"/>
      <c r="E27" s="94"/>
      <c r="F27" s="94"/>
      <c r="G27" s="94"/>
      <c r="H27" s="94"/>
      <c r="I27" s="94"/>
      <c r="J27" s="94"/>
      <c r="K27" s="94"/>
      <c r="L27" s="94"/>
      <c r="M27" s="94"/>
      <c r="N27" s="94"/>
    </row>
    <row r="28" spans="1:18" x14ac:dyDescent="0.3">
      <c r="B28" s="94"/>
      <c r="C28" s="94"/>
      <c r="D28" s="94"/>
      <c r="E28" s="94"/>
      <c r="F28" s="94"/>
      <c r="G28" s="94"/>
      <c r="H28" s="94"/>
      <c r="I28" s="94"/>
      <c r="J28" s="94"/>
      <c r="K28" s="94"/>
      <c r="L28" s="94"/>
      <c r="M28" s="94"/>
      <c r="N28" s="94"/>
    </row>
    <row r="29" spans="1:18" x14ac:dyDescent="0.3">
      <c r="B29" s="94"/>
      <c r="C29" s="94"/>
      <c r="D29" s="94"/>
      <c r="E29" s="94"/>
      <c r="F29" s="94"/>
      <c r="G29" s="94"/>
      <c r="H29" s="94"/>
      <c r="I29" s="94"/>
      <c r="J29" s="94"/>
      <c r="K29" s="94"/>
      <c r="L29" s="94"/>
      <c r="M29" s="94"/>
      <c r="N29" s="94"/>
    </row>
    <row r="30" spans="1:18" x14ac:dyDescent="0.3">
      <c r="B30" s="94"/>
      <c r="C30" s="94"/>
      <c r="D30" s="94"/>
      <c r="E30" s="94"/>
      <c r="F30" s="94"/>
      <c r="G30" s="94"/>
      <c r="H30" s="94"/>
      <c r="I30" s="94"/>
      <c r="J30" s="94"/>
      <c r="K30" s="94"/>
      <c r="L30" s="94"/>
      <c r="M30" s="94"/>
      <c r="N30" s="94"/>
    </row>
    <row r="31" spans="1:18" x14ac:dyDescent="0.3">
      <c r="B31" s="94"/>
      <c r="C31" s="94"/>
      <c r="D31" s="94"/>
      <c r="E31" s="94"/>
      <c r="F31" s="94"/>
      <c r="G31" s="94"/>
      <c r="H31" s="94"/>
      <c r="I31" s="94"/>
      <c r="J31" s="94"/>
      <c r="K31" s="94"/>
      <c r="L31" s="94"/>
      <c r="M31" s="94"/>
      <c r="N31" s="94"/>
    </row>
    <row r="32" spans="1:18" x14ac:dyDescent="0.3">
      <c r="B32" s="94"/>
      <c r="C32" s="94"/>
      <c r="D32" s="94"/>
      <c r="E32" s="94"/>
      <c r="F32" s="94"/>
      <c r="G32" s="94"/>
      <c r="H32" s="94"/>
      <c r="I32" s="94"/>
      <c r="J32" s="94"/>
      <c r="K32" s="94"/>
      <c r="L32" s="94"/>
      <c r="M32" s="94"/>
      <c r="N32" s="94"/>
    </row>
    <row r="33" spans="2:14" x14ac:dyDescent="0.3">
      <c r="B33" s="94"/>
      <c r="C33" s="94"/>
      <c r="D33" s="94"/>
      <c r="E33" s="94"/>
      <c r="F33" s="94"/>
      <c r="G33" s="94"/>
      <c r="H33" s="94"/>
      <c r="I33" s="94"/>
      <c r="J33" s="94"/>
      <c r="K33" s="94"/>
      <c r="L33" s="94"/>
      <c r="M33" s="94"/>
      <c r="N33" s="94"/>
    </row>
    <row r="34" spans="2:14" x14ac:dyDescent="0.3">
      <c r="B34" s="94"/>
      <c r="C34" s="94"/>
      <c r="D34" s="94"/>
      <c r="E34" s="94"/>
      <c r="F34" s="94"/>
      <c r="G34" s="94"/>
      <c r="H34" s="94"/>
      <c r="I34" s="94"/>
      <c r="J34" s="94"/>
      <c r="K34" s="94"/>
      <c r="L34" s="94"/>
      <c r="M34" s="94"/>
      <c r="N34" s="94"/>
    </row>
    <row r="35" spans="2:14" x14ac:dyDescent="0.3">
      <c r="B35" s="94"/>
      <c r="C35" s="94"/>
      <c r="D35" s="94"/>
      <c r="E35" s="94"/>
      <c r="F35" s="94"/>
      <c r="G35" s="94"/>
      <c r="H35" s="94"/>
      <c r="I35" s="94"/>
      <c r="J35" s="94"/>
      <c r="K35" s="94"/>
      <c r="L35" s="94"/>
      <c r="M35" s="94"/>
      <c r="N35" s="94"/>
    </row>
    <row r="36" spans="2:14" x14ac:dyDescent="0.3">
      <c r="B36" s="94"/>
      <c r="C36" s="94"/>
      <c r="D36" s="94"/>
      <c r="E36" s="94"/>
      <c r="F36" s="94"/>
      <c r="G36" s="94"/>
      <c r="H36" s="94"/>
      <c r="I36" s="94"/>
      <c r="J36" s="94"/>
      <c r="K36" s="94"/>
      <c r="L36" s="94"/>
      <c r="M36" s="94"/>
      <c r="N36" s="94"/>
    </row>
    <row r="37" spans="2:14" x14ac:dyDescent="0.3">
      <c r="B37" s="94"/>
      <c r="C37" s="94"/>
      <c r="D37" s="94"/>
      <c r="E37" s="94"/>
      <c r="F37" s="94"/>
      <c r="G37" s="94"/>
      <c r="H37" s="94"/>
      <c r="I37" s="94"/>
      <c r="J37" s="94"/>
      <c r="K37" s="94"/>
      <c r="L37" s="94"/>
      <c r="M37" s="94"/>
      <c r="N37" s="94"/>
    </row>
    <row r="38" spans="2:14" x14ac:dyDescent="0.3">
      <c r="B38" s="94"/>
      <c r="C38" s="94"/>
      <c r="D38" s="94"/>
      <c r="E38" s="94"/>
      <c r="F38" s="94"/>
      <c r="G38" s="94"/>
      <c r="H38" s="94"/>
      <c r="I38" s="94"/>
      <c r="J38" s="94"/>
      <c r="K38" s="94"/>
      <c r="L38" s="94"/>
      <c r="M38" s="94"/>
      <c r="N38" s="94"/>
    </row>
    <row r="39" spans="2:14" x14ac:dyDescent="0.3">
      <c r="B39" s="94"/>
      <c r="C39" s="94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</row>
    <row r="40" spans="2:14" x14ac:dyDescent="0.3">
      <c r="B40" s="94"/>
      <c r="C40" s="94"/>
      <c r="D40" s="94"/>
      <c r="E40" s="94"/>
      <c r="F40" s="94"/>
      <c r="G40" s="94"/>
      <c r="H40" s="94"/>
      <c r="I40" s="94"/>
      <c r="J40" s="94"/>
      <c r="K40" s="94"/>
      <c r="L40" s="94"/>
      <c r="M40" s="94"/>
      <c r="N40" s="94"/>
    </row>
    <row r="41" spans="2:14" x14ac:dyDescent="0.3">
      <c r="B41" s="94"/>
      <c r="C41" s="94"/>
      <c r="D41" s="94"/>
      <c r="E41" s="94"/>
      <c r="F41" s="94"/>
      <c r="G41" s="94"/>
      <c r="H41" s="94"/>
      <c r="I41" s="94"/>
      <c r="J41" s="94"/>
      <c r="K41" s="94"/>
      <c r="L41" s="94"/>
      <c r="M41" s="94"/>
      <c r="N41" s="94"/>
    </row>
    <row r="42" spans="2:14" x14ac:dyDescent="0.3">
      <c r="B42" s="94"/>
      <c r="C42" s="94"/>
      <c r="D42" s="94"/>
      <c r="E42" s="94"/>
      <c r="F42" s="94"/>
      <c r="G42" s="94"/>
      <c r="H42" s="94"/>
      <c r="I42" s="94"/>
      <c r="J42" s="94"/>
      <c r="K42" s="94"/>
      <c r="L42" s="94"/>
      <c r="M42" s="94"/>
      <c r="N42" s="94"/>
    </row>
    <row r="43" spans="2:14" x14ac:dyDescent="0.3">
      <c r="B43" s="94"/>
      <c r="C43" s="94"/>
      <c r="D43" s="94"/>
      <c r="E43" s="94"/>
      <c r="F43" s="94"/>
      <c r="G43" s="94"/>
      <c r="H43" s="94"/>
      <c r="I43" s="94"/>
      <c r="J43" s="94"/>
      <c r="K43" s="94"/>
      <c r="L43" s="94"/>
      <c r="M43" s="94"/>
      <c r="N43" s="94"/>
    </row>
    <row r="44" spans="2:14" x14ac:dyDescent="0.3">
      <c r="F44" s="123"/>
      <c r="L44" s="94"/>
    </row>
    <row r="45" spans="2:14" x14ac:dyDescent="0.3">
      <c r="F45" s="123"/>
      <c r="L45" s="94"/>
    </row>
    <row r="46" spans="2:14" x14ac:dyDescent="0.3">
      <c r="F46" s="123"/>
      <c r="L46" s="94"/>
    </row>
    <row r="47" spans="2:14" x14ac:dyDescent="0.3">
      <c r="F47" s="123"/>
      <c r="L47" s="94"/>
    </row>
    <row r="48" spans="2:14" x14ac:dyDescent="0.3">
      <c r="F48" s="123"/>
      <c r="L48" s="94"/>
    </row>
    <row r="49" spans="6:12" x14ac:dyDescent="0.3">
      <c r="F49" s="123"/>
      <c r="L49" s="94"/>
    </row>
  </sheetData>
  <mergeCells count="14">
    <mergeCell ref="F1:F2"/>
    <mergeCell ref="A1:A2"/>
    <mergeCell ref="B1:B2"/>
    <mergeCell ref="C1:C2"/>
    <mergeCell ref="D1:D2"/>
    <mergeCell ref="E1:E2"/>
    <mergeCell ref="U5:V5"/>
    <mergeCell ref="H17:K17"/>
    <mergeCell ref="G1:G2"/>
    <mergeCell ref="I1:I2"/>
    <mergeCell ref="J1:J2"/>
    <mergeCell ref="K1:K2"/>
    <mergeCell ref="L1:L2"/>
    <mergeCell ref="O1:T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591C7-4EBF-46F3-A24E-E99721736CFA}">
  <sheetPr codeName="Sheet13"/>
  <dimension ref="A1:Z48"/>
  <sheetViews>
    <sheetView workbookViewId="0">
      <selection activeCell="G6" sqref="G6"/>
    </sheetView>
  </sheetViews>
  <sheetFormatPr defaultColWidth="9.109375" defaultRowHeight="14.4" x14ac:dyDescent="0.3"/>
  <cols>
    <col min="1" max="2" width="9.109375" style="28"/>
    <col min="3" max="3" width="11.109375" style="28" customWidth="1"/>
    <col min="4" max="4" width="15.44140625" style="28" customWidth="1"/>
    <col min="5" max="5" width="12" style="28" customWidth="1"/>
    <col min="6" max="6" width="17.109375" style="39" customWidth="1"/>
    <col min="7" max="7" width="13.33203125" style="28" customWidth="1"/>
    <col min="8" max="8" width="11.44140625" style="28" customWidth="1"/>
    <col min="9" max="9" width="17.33203125" style="28" customWidth="1"/>
    <col min="10" max="10" width="11.6640625" style="28" customWidth="1"/>
    <col min="11" max="11" width="16.109375" style="28" customWidth="1"/>
    <col min="12" max="12" width="13.5546875" style="28" customWidth="1"/>
    <col min="13" max="13" width="9.109375" style="28"/>
    <col min="14" max="14" width="9.109375" style="28" customWidth="1"/>
    <col min="15" max="20" width="9.109375" style="28"/>
    <col min="21" max="21" width="15.109375" style="28" customWidth="1"/>
    <col min="22" max="22" width="13.6640625" style="28" customWidth="1"/>
    <col min="23" max="25" width="9.109375" style="28"/>
    <col min="26" max="26" width="9.5546875" style="28" customWidth="1"/>
    <col min="27" max="16384" width="9.109375" style="28"/>
  </cols>
  <sheetData>
    <row r="1" spans="1:26" ht="45" customHeight="1" thickBot="1" x14ac:dyDescent="0.4">
      <c r="A1" s="185" t="s">
        <v>0</v>
      </c>
      <c r="B1" s="187" t="s">
        <v>1</v>
      </c>
      <c r="C1" s="189" t="s">
        <v>2</v>
      </c>
      <c r="D1" s="191" t="s">
        <v>3</v>
      </c>
      <c r="E1" s="193" t="s">
        <v>4</v>
      </c>
      <c r="F1" s="179" t="s">
        <v>5</v>
      </c>
      <c r="G1" s="195" t="s">
        <v>6</v>
      </c>
      <c r="H1" s="92" t="s">
        <v>7</v>
      </c>
      <c r="I1" s="195" t="s">
        <v>8</v>
      </c>
      <c r="J1" s="196" t="s">
        <v>9</v>
      </c>
      <c r="K1" s="187" t="s">
        <v>10</v>
      </c>
      <c r="L1" s="187" t="s">
        <v>11</v>
      </c>
      <c r="M1" s="94"/>
      <c r="N1" s="94"/>
      <c r="O1" s="182" t="s">
        <v>12</v>
      </c>
      <c r="P1" s="182"/>
      <c r="Q1" s="182"/>
      <c r="R1" s="182"/>
      <c r="S1" s="182"/>
      <c r="T1" s="182"/>
      <c r="Z1" s="29">
        <v>45677</v>
      </c>
    </row>
    <row r="2" spans="1:26" ht="17.100000000000001" customHeight="1" thickBot="1" x14ac:dyDescent="0.35">
      <c r="A2" s="199"/>
      <c r="B2" s="200"/>
      <c r="C2" s="201"/>
      <c r="D2" s="202"/>
      <c r="E2" s="203"/>
      <c r="F2" s="198"/>
      <c r="G2" s="198"/>
      <c r="H2" s="129"/>
      <c r="I2" s="198"/>
      <c r="J2" s="204"/>
      <c r="K2" s="200"/>
      <c r="L2" s="200"/>
      <c r="M2" s="94"/>
      <c r="N2" s="94"/>
      <c r="O2" s="96" t="s">
        <v>13</v>
      </c>
      <c r="P2" s="97" t="s">
        <v>13</v>
      </c>
      <c r="Q2" s="98" t="s">
        <v>13</v>
      </c>
      <c r="R2" s="96" t="s">
        <v>14</v>
      </c>
      <c r="S2" s="97" t="s">
        <v>14</v>
      </c>
      <c r="T2" s="98" t="s">
        <v>14</v>
      </c>
      <c r="U2" s="94"/>
      <c r="V2" s="94"/>
    </row>
    <row r="3" spans="1:26" ht="17.100000000000001" customHeight="1" thickBot="1" x14ac:dyDescent="0.35">
      <c r="A3" s="62" t="s">
        <v>27</v>
      </c>
      <c r="B3" s="70" t="s">
        <v>16</v>
      </c>
      <c r="C3" s="63">
        <v>107</v>
      </c>
      <c r="D3" s="131" t="s">
        <v>22</v>
      </c>
      <c r="E3" s="73">
        <v>1</v>
      </c>
      <c r="F3" s="132">
        <v>232</v>
      </c>
      <c r="G3" s="133">
        <v>42</v>
      </c>
      <c r="H3" s="134">
        <f>RANK(G3,$G$3:$G$9)</f>
        <v>1</v>
      </c>
      <c r="I3" s="135">
        <v>89</v>
      </c>
      <c r="J3" s="64">
        <f>RANK(I3,$I$3:$I$9)+COUNTIF(I3:$I$3,I3)-1</f>
        <v>1</v>
      </c>
      <c r="K3" s="136">
        <f>(E3+J3)/2</f>
        <v>1</v>
      </c>
      <c r="L3" s="137">
        <f>RANK(K3,$K$3:$K$9,1)+COUNTIF(K3:$K$6,K3)-1</f>
        <v>1</v>
      </c>
      <c r="M3" s="94"/>
      <c r="N3" s="94"/>
      <c r="O3" s="103" t="s">
        <v>18</v>
      </c>
      <c r="P3" s="104" t="s">
        <v>19</v>
      </c>
      <c r="Q3" s="105" t="s">
        <v>20</v>
      </c>
      <c r="R3" s="103" t="s">
        <v>18</v>
      </c>
      <c r="S3" s="104" t="s">
        <v>19</v>
      </c>
      <c r="T3" s="106" t="s">
        <v>20</v>
      </c>
      <c r="U3" s="94"/>
      <c r="V3" s="94"/>
    </row>
    <row r="4" spans="1:26" ht="17.100000000000001" customHeight="1" thickBot="1" x14ac:dyDescent="0.35">
      <c r="A4" s="65" t="s">
        <v>38</v>
      </c>
      <c r="B4" s="71" t="s">
        <v>24</v>
      </c>
      <c r="C4" s="31">
        <v>104</v>
      </c>
      <c r="D4" s="94" t="s">
        <v>22</v>
      </c>
      <c r="E4" s="74">
        <v>2</v>
      </c>
      <c r="F4" s="130">
        <v>206</v>
      </c>
      <c r="G4" s="94">
        <v>26</v>
      </c>
      <c r="H4" s="138">
        <f>RANK(G4,$G$3:$G$9)</f>
        <v>3</v>
      </c>
      <c r="I4" s="94">
        <v>88</v>
      </c>
      <c r="J4" s="34">
        <f>RANK(I4,$I$3:$I$9)+COUNTIF(I$3:$I4,I4)-1</f>
        <v>3</v>
      </c>
      <c r="K4" s="109">
        <f>(E4+J4)/2</f>
        <v>2.5</v>
      </c>
      <c r="L4" s="139">
        <f>RANK(K4,$K$3:$K$9,1)+COUNTIF(K4:$K$6,K4)-1</f>
        <v>2</v>
      </c>
      <c r="M4" s="94"/>
      <c r="N4" s="94"/>
      <c r="O4" s="48">
        <v>50</v>
      </c>
      <c r="P4" s="110"/>
      <c r="Q4" s="111"/>
      <c r="R4" s="49">
        <v>20</v>
      </c>
      <c r="S4" s="112"/>
      <c r="T4" s="113"/>
    </row>
    <row r="5" spans="1:26" ht="17.100000000000001" customHeight="1" thickBot="1" x14ac:dyDescent="0.35">
      <c r="A5" s="65" t="s">
        <v>38</v>
      </c>
      <c r="B5" s="71" t="s">
        <v>21</v>
      </c>
      <c r="C5" s="31">
        <v>103</v>
      </c>
      <c r="D5" s="94" t="s">
        <v>22</v>
      </c>
      <c r="E5" s="74">
        <v>3</v>
      </c>
      <c r="F5" s="130">
        <v>231</v>
      </c>
      <c r="G5" s="94">
        <v>34</v>
      </c>
      <c r="H5" s="138">
        <f>RANK(G5,$G$3:$G$9)</f>
        <v>2</v>
      </c>
      <c r="I5" s="94">
        <v>87</v>
      </c>
      <c r="J5" s="34">
        <f>RANK(I5,$I$3:$I$9)+COUNTIF(I$3:$I5,I5)-1</f>
        <v>4</v>
      </c>
      <c r="K5" s="109">
        <f>(E5+J5)/2</f>
        <v>3.5</v>
      </c>
      <c r="L5" s="139">
        <f>RANK(K5,$K$3:$K$9,1)+COUNTIF(K5:$K$6,K5)-1</f>
        <v>3</v>
      </c>
      <c r="M5" s="94"/>
      <c r="N5" s="94"/>
      <c r="U5" s="183" t="s">
        <v>23</v>
      </c>
      <c r="V5" s="184"/>
    </row>
    <row r="6" spans="1:26" x14ac:dyDescent="0.3">
      <c r="A6" s="65"/>
      <c r="B6" s="84" t="s">
        <v>45</v>
      </c>
      <c r="C6" s="84">
        <v>102</v>
      </c>
      <c r="D6" s="85" t="s">
        <v>22</v>
      </c>
      <c r="E6" s="86">
        <v>4</v>
      </c>
      <c r="F6" s="87"/>
      <c r="G6" s="85"/>
      <c r="H6" s="88"/>
      <c r="I6" s="84">
        <v>87</v>
      </c>
      <c r="J6" s="84"/>
      <c r="K6" s="89"/>
      <c r="L6" s="90"/>
      <c r="M6" s="94"/>
      <c r="N6" s="94"/>
      <c r="U6" s="115" t="s">
        <v>25</v>
      </c>
      <c r="V6" s="116" t="s">
        <v>26</v>
      </c>
    </row>
    <row r="7" spans="1:26" ht="15" thickBot="1" x14ac:dyDescent="0.35">
      <c r="A7" s="66" t="s">
        <v>15</v>
      </c>
      <c r="B7" s="71" t="s">
        <v>28</v>
      </c>
      <c r="C7" s="31">
        <v>86</v>
      </c>
      <c r="D7" s="94" t="s">
        <v>46</v>
      </c>
      <c r="E7" s="74">
        <v>5</v>
      </c>
      <c r="F7" s="130">
        <v>302</v>
      </c>
      <c r="G7" s="94">
        <v>26</v>
      </c>
      <c r="H7" s="138">
        <f>RANK(G7,$G$3:$G$9)</f>
        <v>3</v>
      </c>
      <c r="I7" s="94">
        <v>87</v>
      </c>
      <c r="J7" s="34">
        <f>RANK(I7,$I$3:$I$9)+COUNTIF(I$3:$I7,I7)-1</f>
        <v>6</v>
      </c>
      <c r="K7" s="109">
        <f>(E7+J7)/2</f>
        <v>5.5</v>
      </c>
      <c r="L7" s="139">
        <f>RANK(K7,$K$3:$K$9,1)+COUNTIF(K$6:$K7,K7)-1</f>
        <v>5</v>
      </c>
      <c r="M7" s="94"/>
      <c r="N7" s="94"/>
      <c r="U7" s="117">
        <f>P4+S4</f>
        <v>0</v>
      </c>
      <c r="V7" s="118">
        <f>Q4+T4</f>
        <v>0</v>
      </c>
    </row>
    <row r="8" spans="1:26" ht="15" thickTop="1" x14ac:dyDescent="0.3">
      <c r="A8" s="66" t="s">
        <v>27</v>
      </c>
      <c r="B8" s="71" t="s">
        <v>30</v>
      </c>
      <c r="C8" s="31">
        <v>82</v>
      </c>
      <c r="D8" s="94" t="s">
        <v>46</v>
      </c>
      <c r="E8" s="74">
        <v>6</v>
      </c>
      <c r="F8" s="130">
        <v>203</v>
      </c>
      <c r="G8" s="94">
        <v>23</v>
      </c>
      <c r="H8" s="138">
        <f>RANK(G8,$G$3:$G$9)</f>
        <v>5</v>
      </c>
      <c r="I8" s="94">
        <v>89</v>
      </c>
      <c r="J8" s="34">
        <f>RANK(I8,$I$3:$I$9)+COUNTIF(I$3:$I8,I8)-1</f>
        <v>2</v>
      </c>
      <c r="K8" s="109">
        <f>(E8+J8)/2</f>
        <v>4</v>
      </c>
      <c r="L8" s="139">
        <f>RANK(K8,$K$3:$K$9,1)+COUNTIF(K$6:$K8,K8)-1</f>
        <v>4</v>
      </c>
      <c r="M8" s="94"/>
      <c r="N8" s="94"/>
      <c r="U8" s="140"/>
      <c r="V8" s="140"/>
    </row>
    <row r="9" spans="1:26" ht="15" thickBot="1" x14ac:dyDescent="0.35">
      <c r="A9" s="67"/>
      <c r="B9" s="72"/>
      <c r="C9" s="68"/>
      <c r="D9" s="141"/>
      <c r="E9" s="75"/>
      <c r="F9" s="142"/>
      <c r="G9" s="141"/>
      <c r="H9" s="143"/>
      <c r="I9" s="141"/>
      <c r="J9" s="69"/>
      <c r="K9" s="144"/>
      <c r="L9" s="145"/>
      <c r="M9" s="94"/>
      <c r="N9" s="94"/>
      <c r="U9" s="140"/>
      <c r="V9" s="140"/>
    </row>
    <row r="10" spans="1:26" x14ac:dyDescent="0.3">
      <c r="A10" s="76"/>
      <c r="B10" s="76"/>
      <c r="C10" s="76"/>
      <c r="D10" s="76"/>
      <c r="E10" s="76"/>
      <c r="F10" s="76"/>
      <c r="G10" s="76"/>
      <c r="H10" s="76"/>
      <c r="I10" s="76"/>
      <c r="J10" s="76"/>
      <c r="K10" s="76"/>
      <c r="L10" s="76"/>
      <c r="M10" s="94"/>
      <c r="N10" s="94"/>
      <c r="U10" s="140"/>
      <c r="V10" s="140"/>
    </row>
    <row r="11" spans="1:26" x14ac:dyDescent="0.3">
      <c r="A11" s="76"/>
      <c r="B11" s="76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94"/>
      <c r="N11" s="94"/>
      <c r="U11" s="140"/>
      <c r="V11" s="140"/>
    </row>
    <row r="12" spans="1:26" x14ac:dyDescent="0.3">
      <c r="B12" s="122" t="s">
        <v>33</v>
      </c>
      <c r="C12" s="122" t="s">
        <v>34</v>
      </c>
      <c r="D12" s="122"/>
      <c r="F12" s="94"/>
      <c r="G12" s="94"/>
      <c r="H12" s="94"/>
      <c r="I12" s="94"/>
      <c r="J12" s="94"/>
      <c r="K12" s="94"/>
      <c r="L12" s="94"/>
      <c r="M12" s="94"/>
      <c r="N12" s="94"/>
    </row>
    <row r="13" spans="1:26" x14ac:dyDescent="0.3">
      <c r="B13" s="122" t="s">
        <v>35</v>
      </c>
      <c r="C13" t="s">
        <v>36</v>
      </c>
      <c r="D13" s="122"/>
      <c r="F13" s="123"/>
      <c r="G13" s="94"/>
      <c r="H13" s="94"/>
      <c r="I13" s="94"/>
      <c r="K13" s="94"/>
      <c r="L13" s="94"/>
      <c r="M13" s="94"/>
      <c r="N13" s="94"/>
    </row>
    <row r="14" spans="1:26" x14ac:dyDescent="0.3">
      <c r="B14" s="1" t="s">
        <v>33</v>
      </c>
      <c r="C14" s="27" t="s">
        <v>34</v>
      </c>
      <c r="D14" s="122"/>
      <c r="F14" s="94"/>
      <c r="G14" s="94"/>
      <c r="H14" s="94"/>
      <c r="I14" s="94"/>
      <c r="J14" s="94"/>
      <c r="K14" s="94"/>
      <c r="L14" s="94"/>
      <c r="M14" s="94"/>
    </row>
    <row r="15" spans="1:26" x14ac:dyDescent="0.3">
      <c r="A15" s="123"/>
      <c r="B15" s="2"/>
      <c r="C15" s="2"/>
      <c r="D15" s="2"/>
      <c r="E15" s="2"/>
      <c r="F15" s="94"/>
      <c r="G15" s="94"/>
      <c r="H15" s="94"/>
      <c r="I15" s="94"/>
      <c r="J15" s="94"/>
      <c r="K15" s="94"/>
      <c r="L15" s="94"/>
      <c r="M15" s="94"/>
    </row>
    <row r="16" spans="1:26" x14ac:dyDescent="0.3">
      <c r="A16" s="122"/>
      <c r="B16" s="122" t="s">
        <v>40</v>
      </c>
      <c r="C16" s="122"/>
      <c r="D16" s="122"/>
      <c r="F16" s="94"/>
      <c r="G16" s="94"/>
      <c r="H16" s="181"/>
      <c r="I16" s="181"/>
      <c r="J16" s="181"/>
      <c r="K16" s="181"/>
      <c r="L16" s="94"/>
      <c r="M16" s="94"/>
      <c r="N16" s="94"/>
      <c r="O16" s="94"/>
      <c r="P16" s="94"/>
      <c r="Q16" s="94"/>
      <c r="R16" s="94"/>
    </row>
    <row r="17" spans="1:18" x14ac:dyDescent="0.3">
      <c r="A17" s="122"/>
      <c r="B17" s="91"/>
      <c r="C17" s="2" t="s">
        <v>47</v>
      </c>
      <c r="D17" s="2"/>
      <c r="E17" s="2"/>
      <c r="F17" s="94"/>
      <c r="G17" s="94"/>
      <c r="H17" s="94"/>
      <c r="I17" s="94"/>
      <c r="J17" s="94"/>
      <c r="K17" s="94"/>
      <c r="L17" s="94"/>
      <c r="M17" s="94"/>
      <c r="N17" s="94"/>
      <c r="O17" s="94"/>
      <c r="P17" s="94"/>
      <c r="Q17" s="94"/>
      <c r="R17" s="94"/>
    </row>
    <row r="18" spans="1:18" ht="14.4" customHeight="1" x14ac:dyDescent="0.3">
      <c r="D18" s="124"/>
      <c r="E18" s="124"/>
      <c r="F18" s="124"/>
      <c r="G18" s="94"/>
      <c r="H18" s="94"/>
      <c r="I18" s="94"/>
      <c r="J18" s="94"/>
      <c r="K18" s="94"/>
      <c r="L18" s="94"/>
      <c r="M18" s="94"/>
      <c r="N18" s="94"/>
      <c r="O18" s="94"/>
      <c r="P18" s="94"/>
      <c r="Q18" s="94"/>
      <c r="R18" s="94"/>
    </row>
    <row r="19" spans="1:18" x14ac:dyDescent="0.3">
      <c r="A19" s="123"/>
      <c r="B19" s="94"/>
      <c r="C19" s="94"/>
      <c r="D19" s="94"/>
      <c r="E19" s="94"/>
      <c r="F19" s="94"/>
      <c r="G19" s="94"/>
      <c r="H19" s="94"/>
      <c r="I19" s="94"/>
      <c r="J19" s="94"/>
      <c r="K19" s="94"/>
      <c r="L19" s="94"/>
      <c r="M19" s="94"/>
    </row>
    <row r="20" spans="1:18" x14ac:dyDescent="0.3">
      <c r="A20" s="123"/>
      <c r="B20" s="94"/>
      <c r="C20" s="94"/>
      <c r="D20" s="94"/>
      <c r="E20" s="94"/>
      <c r="F20" s="94"/>
      <c r="G20" s="94"/>
      <c r="H20" s="94"/>
      <c r="I20" s="94"/>
      <c r="J20" s="94"/>
      <c r="K20" s="94"/>
      <c r="L20" s="94"/>
      <c r="M20" s="94"/>
    </row>
    <row r="21" spans="1:18" x14ac:dyDescent="0.3">
      <c r="B21" s="94"/>
      <c r="C21" s="94"/>
      <c r="D21" s="94"/>
      <c r="E21" s="94"/>
      <c r="F21" s="94"/>
      <c r="G21" s="94"/>
      <c r="H21" s="94"/>
      <c r="I21" s="94"/>
      <c r="J21" s="94"/>
      <c r="K21" s="94"/>
      <c r="L21" s="94"/>
      <c r="M21" s="94"/>
    </row>
    <row r="22" spans="1:18" x14ac:dyDescent="0.3">
      <c r="B22" s="94"/>
      <c r="C22" s="94"/>
      <c r="D22" s="94"/>
      <c r="E22" s="94"/>
      <c r="F22" s="94"/>
      <c r="G22" s="94"/>
      <c r="H22" s="94"/>
      <c r="I22" s="94"/>
      <c r="J22" s="94"/>
      <c r="K22" s="94"/>
      <c r="L22" s="94"/>
      <c r="M22" s="94"/>
    </row>
    <row r="23" spans="1:18" x14ac:dyDescent="0.3">
      <c r="B23" s="94"/>
      <c r="C23" s="94"/>
      <c r="D23" s="94"/>
      <c r="E23" s="94"/>
      <c r="F23" s="94"/>
      <c r="G23" s="94"/>
      <c r="H23" s="94"/>
      <c r="I23" s="94"/>
      <c r="J23" s="94"/>
      <c r="K23" s="94"/>
      <c r="L23" s="94"/>
      <c r="M23" s="94"/>
    </row>
    <row r="24" spans="1:18" x14ac:dyDescent="0.3">
      <c r="B24" s="94"/>
      <c r="C24" s="94"/>
      <c r="D24" s="94"/>
      <c r="E24" s="94"/>
      <c r="F24" s="94"/>
      <c r="G24" s="94"/>
      <c r="H24" s="94"/>
      <c r="I24" s="94"/>
      <c r="J24" s="94"/>
      <c r="K24" s="94"/>
      <c r="L24" s="94"/>
      <c r="M24" s="94"/>
    </row>
    <row r="25" spans="1:18" x14ac:dyDescent="0.3">
      <c r="B25" s="94"/>
      <c r="C25" s="94"/>
      <c r="D25" s="94"/>
      <c r="E25" s="94"/>
      <c r="F25" s="94"/>
      <c r="G25" s="94"/>
      <c r="H25" s="94"/>
      <c r="I25" s="94"/>
      <c r="J25" s="94"/>
      <c r="K25" s="94"/>
      <c r="L25" s="94"/>
      <c r="M25" s="94"/>
      <c r="N25" s="94"/>
    </row>
    <row r="26" spans="1:18" x14ac:dyDescent="0.3">
      <c r="B26" s="94"/>
      <c r="C26" s="94"/>
      <c r="D26" s="94"/>
      <c r="E26" s="94"/>
      <c r="F26" s="94"/>
      <c r="G26" s="94"/>
      <c r="H26" s="94"/>
      <c r="I26" s="94"/>
      <c r="J26" s="94"/>
      <c r="K26" s="94"/>
      <c r="L26" s="94"/>
      <c r="M26" s="94"/>
      <c r="N26" s="94"/>
    </row>
    <row r="27" spans="1:18" x14ac:dyDescent="0.3">
      <c r="B27" s="94"/>
      <c r="C27" s="94"/>
      <c r="D27" s="94"/>
      <c r="E27" s="94"/>
      <c r="F27" s="94"/>
      <c r="G27" s="94"/>
      <c r="H27" s="94"/>
      <c r="I27" s="94"/>
      <c r="J27" s="94"/>
      <c r="K27" s="94"/>
      <c r="L27" s="94"/>
      <c r="M27" s="94"/>
      <c r="N27" s="94"/>
    </row>
    <row r="28" spans="1:18" x14ac:dyDescent="0.3">
      <c r="B28" s="94"/>
      <c r="C28" s="94"/>
      <c r="D28" s="94"/>
      <c r="E28" s="94"/>
      <c r="F28" s="94"/>
      <c r="G28" s="94"/>
      <c r="H28" s="94"/>
      <c r="I28" s="94"/>
      <c r="J28" s="94"/>
      <c r="K28" s="94"/>
      <c r="L28" s="94"/>
      <c r="M28" s="94"/>
      <c r="N28" s="94"/>
    </row>
    <row r="29" spans="1:18" x14ac:dyDescent="0.3">
      <c r="B29" s="94"/>
      <c r="C29" s="94"/>
      <c r="D29" s="94"/>
      <c r="E29" s="94"/>
      <c r="F29" s="94"/>
      <c r="G29" s="94"/>
      <c r="H29" s="94"/>
      <c r="I29" s="94"/>
      <c r="J29" s="94"/>
      <c r="K29" s="94"/>
      <c r="L29" s="94"/>
      <c r="M29" s="94"/>
      <c r="N29" s="94"/>
    </row>
    <row r="30" spans="1:18" x14ac:dyDescent="0.3">
      <c r="B30" s="94"/>
      <c r="C30" s="94"/>
      <c r="D30" s="94"/>
      <c r="E30" s="94"/>
      <c r="F30" s="94"/>
      <c r="G30" s="94"/>
      <c r="H30" s="94"/>
      <c r="I30" s="94"/>
      <c r="J30" s="94"/>
      <c r="K30" s="94"/>
      <c r="L30" s="94"/>
      <c r="M30" s="94"/>
      <c r="N30" s="94"/>
    </row>
    <row r="31" spans="1:18" x14ac:dyDescent="0.3">
      <c r="B31" s="94"/>
      <c r="C31" s="94"/>
      <c r="D31" s="94"/>
      <c r="E31" s="94"/>
      <c r="F31" s="94"/>
      <c r="G31" s="94"/>
      <c r="H31" s="94"/>
      <c r="I31" s="94"/>
      <c r="J31" s="94"/>
      <c r="K31" s="94"/>
      <c r="L31" s="94"/>
      <c r="M31" s="94"/>
      <c r="N31" s="94"/>
    </row>
    <row r="32" spans="1:18" x14ac:dyDescent="0.3">
      <c r="B32" s="94"/>
      <c r="C32" s="94"/>
      <c r="D32" s="94"/>
      <c r="E32" s="94"/>
      <c r="F32" s="94"/>
      <c r="G32" s="94"/>
      <c r="H32" s="94"/>
      <c r="I32" s="94"/>
      <c r="J32" s="94"/>
      <c r="K32" s="94"/>
      <c r="L32" s="94"/>
      <c r="M32" s="94"/>
      <c r="N32" s="94"/>
    </row>
    <row r="33" spans="2:14" x14ac:dyDescent="0.3">
      <c r="B33" s="94"/>
      <c r="C33" s="94"/>
      <c r="D33" s="94"/>
      <c r="E33" s="94"/>
      <c r="F33" s="94"/>
      <c r="G33" s="94"/>
      <c r="H33" s="94"/>
      <c r="I33" s="94"/>
      <c r="J33" s="94"/>
      <c r="K33" s="94"/>
      <c r="L33" s="94"/>
      <c r="M33" s="94"/>
      <c r="N33" s="94"/>
    </row>
    <row r="34" spans="2:14" x14ac:dyDescent="0.3">
      <c r="B34" s="94"/>
      <c r="C34" s="94"/>
      <c r="D34" s="94"/>
      <c r="E34" s="94"/>
      <c r="F34" s="94"/>
      <c r="G34" s="94"/>
      <c r="H34" s="94"/>
      <c r="I34" s="94"/>
      <c r="J34" s="94"/>
      <c r="K34" s="94"/>
      <c r="L34" s="94"/>
      <c r="M34" s="94"/>
      <c r="N34" s="94"/>
    </row>
    <row r="35" spans="2:14" x14ac:dyDescent="0.3">
      <c r="B35" s="94"/>
      <c r="C35" s="94"/>
      <c r="D35" s="94"/>
      <c r="E35" s="94"/>
      <c r="F35" s="94"/>
      <c r="G35" s="94"/>
      <c r="H35" s="94"/>
      <c r="I35" s="94"/>
      <c r="J35" s="94"/>
      <c r="K35" s="94"/>
      <c r="L35" s="94"/>
      <c r="M35" s="94"/>
      <c r="N35" s="94"/>
    </row>
    <row r="36" spans="2:14" x14ac:dyDescent="0.3">
      <c r="B36" s="94"/>
      <c r="C36" s="94"/>
      <c r="D36" s="94"/>
      <c r="E36" s="94"/>
      <c r="F36" s="94"/>
      <c r="G36" s="94"/>
      <c r="H36" s="94"/>
      <c r="I36" s="94"/>
      <c r="J36" s="94"/>
      <c r="K36" s="94"/>
      <c r="L36" s="94"/>
      <c r="M36" s="94"/>
      <c r="N36" s="94"/>
    </row>
    <row r="37" spans="2:14" x14ac:dyDescent="0.3">
      <c r="B37" s="94"/>
      <c r="C37" s="94"/>
      <c r="D37" s="94"/>
      <c r="E37" s="94"/>
      <c r="F37" s="94"/>
      <c r="G37" s="94"/>
      <c r="H37" s="94"/>
      <c r="I37" s="94"/>
      <c r="J37" s="94"/>
      <c r="K37" s="94"/>
      <c r="L37" s="94"/>
      <c r="M37" s="94"/>
      <c r="N37" s="94"/>
    </row>
    <row r="38" spans="2:14" x14ac:dyDescent="0.3">
      <c r="B38" s="94"/>
      <c r="C38" s="94"/>
      <c r="D38" s="94"/>
      <c r="E38" s="94"/>
      <c r="F38" s="94"/>
      <c r="G38" s="94"/>
      <c r="H38" s="94"/>
      <c r="I38" s="94"/>
      <c r="J38" s="94"/>
      <c r="K38" s="94"/>
      <c r="L38" s="94"/>
      <c r="M38" s="94"/>
      <c r="N38" s="94"/>
    </row>
    <row r="39" spans="2:14" x14ac:dyDescent="0.3">
      <c r="B39" s="94"/>
      <c r="C39" s="94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</row>
    <row r="40" spans="2:14" x14ac:dyDescent="0.3">
      <c r="B40" s="94"/>
      <c r="C40" s="94"/>
      <c r="D40" s="94"/>
      <c r="E40" s="94"/>
      <c r="F40" s="94"/>
      <c r="G40" s="94"/>
      <c r="H40" s="94"/>
      <c r="I40" s="94"/>
      <c r="J40" s="94"/>
      <c r="K40" s="94"/>
      <c r="L40" s="94"/>
      <c r="M40" s="94"/>
      <c r="N40" s="94"/>
    </row>
    <row r="41" spans="2:14" x14ac:dyDescent="0.3">
      <c r="B41" s="94"/>
      <c r="C41" s="94"/>
      <c r="D41" s="94"/>
      <c r="E41" s="94"/>
      <c r="F41" s="94"/>
      <c r="G41" s="94"/>
      <c r="H41" s="94"/>
      <c r="I41" s="94"/>
      <c r="J41" s="94"/>
      <c r="K41" s="94"/>
      <c r="L41" s="94"/>
      <c r="M41" s="94"/>
      <c r="N41" s="94"/>
    </row>
    <row r="42" spans="2:14" x14ac:dyDescent="0.3">
      <c r="B42" s="94"/>
      <c r="C42" s="94"/>
      <c r="D42" s="94"/>
      <c r="E42" s="94"/>
      <c r="F42" s="94"/>
      <c r="G42" s="94"/>
      <c r="H42" s="94"/>
      <c r="I42" s="94"/>
      <c r="J42" s="94"/>
      <c r="K42" s="94"/>
      <c r="L42" s="94"/>
      <c r="M42" s="94"/>
      <c r="N42" s="94"/>
    </row>
    <row r="43" spans="2:14" x14ac:dyDescent="0.3">
      <c r="F43" s="123"/>
      <c r="L43" s="94"/>
    </row>
    <row r="44" spans="2:14" x14ac:dyDescent="0.3">
      <c r="F44" s="123"/>
      <c r="L44" s="94"/>
    </row>
    <row r="45" spans="2:14" x14ac:dyDescent="0.3">
      <c r="F45" s="123"/>
      <c r="L45" s="94"/>
    </row>
    <row r="46" spans="2:14" x14ac:dyDescent="0.3">
      <c r="F46" s="123"/>
      <c r="L46" s="94"/>
    </row>
    <row r="47" spans="2:14" x14ac:dyDescent="0.3">
      <c r="F47" s="123"/>
      <c r="L47" s="94"/>
    </row>
    <row r="48" spans="2:14" x14ac:dyDescent="0.3">
      <c r="F48" s="123"/>
      <c r="L48" s="94"/>
    </row>
  </sheetData>
  <mergeCells count="14">
    <mergeCell ref="F1:F2"/>
    <mergeCell ref="A1:A2"/>
    <mergeCell ref="B1:B2"/>
    <mergeCell ref="C1:C2"/>
    <mergeCell ref="D1:D2"/>
    <mergeCell ref="E1:E2"/>
    <mergeCell ref="U5:V5"/>
    <mergeCell ref="H16:K16"/>
    <mergeCell ref="G1:G2"/>
    <mergeCell ref="I1:I2"/>
    <mergeCell ref="J1:J2"/>
    <mergeCell ref="K1:K2"/>
    <mergeCell ref="L1:L2"/>
    <mergeCell ref="O1:T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014E6-AE49-49EA-8B9B-3CC1C73D192A}">
  <sheetPr codeName="Sheet14"/>
  <dimension ref="A1:Z48"/>
  <sheetViews>
    <sheetView workbookViewId="0">
      <selection activeCell="B3" sqref="B3"/>
    </sheetView>
  </sheetViews>
  <sheetFormatPr defaultColWidth="9.109375" defaultRowHeight="14.4" x14ac:dyDescent="0.3"/>
  <cols>
    <col min="1" max="2" width="9.109375" style="28"/>
    <col min="3" max="3" width="11.109375" style="28" customWidth="1"/>
    <col min="4" max="4" width="15.44140625" style="28" customWidth="1"/>
    <col min="5" max="5" width="12" style="28" customWidth="1"/>
    <col min="6" max="6" width="17.109375" style="39" customWidth="1"/>
    <col min="7" max="7" width="13.33203125" style="28" customWidth="1"/>
    <col min="8" max="8" width="11.44140625" style="28" customWidth="1"/>
    <col min="9" max="9" width="17.33203125" style="28" customWidth="1"/>
    <col min="10" max="10" width="11.6640625" style="28" customWidth="1"/>
    <col min="11" max="11" width="16.109375" style="28" customWidth="1"/>
    <col min="12" max="12" width="13.5546875" style="28" customWidth="1"/>
    <col min="13" max="13" width="9.109375" style="28"/>
    <col min="14" max="14" width="9.109375" style="28" customWidth="1"/>
    <col min="15" max="20" width="9.109375" style="28"/>
    <col min="21" max="21" width="15.109375" style="28" customWidth="1"/>
    <col min="22" max="22" width="13.6640625" style="28" customWidth="1"/>
    <col min="23" max="25" width="9.109375" style="28"/>
    <col min="26" max="26" width="9.5546875" style="28" customWidth="1"/>
    <col min="27" max="16384" width="9.109375" style="28"/>
  </cols>
  <sheetData>
    <row r="1" spans="1:26" ht="45" customHeight="1" thickBot="1" x14ac:dyDescent="0.4">
      <c r="A1" s="185" t="s">
        <v>0</v>
      </c>
      <c r="B1" s="187" t="s">
        <v>1</v>
      </c>
      <c r="C1" s="189" t="s">
        <v>2</v>
      </c>
      <c r="D1" s="191" t="s">
        <v>3</v>
      </c>
      <c r="E1" s="193" t="s">
        <v>4</v>
      </c>
      <c r="F1" s="179" t="s">
        <v>5</v>
      </c>
      <c r="G1" s="195" t="s">
        <v>6</v>
      </c>
      <c r="H1" s="92" t="s">
        <v>7</v>
      </c>
      <c r="I1" s="195" t="s">
        <v>8</v>
      </c>
      <c r="J1" s="196" t="s">
        <v>9</v>
      </c>
      <c r="K1" s="187" t="s">
        <v>10</v>
      </c>
      <c r="L1" s="187" t="s">
        <v>11</v>
      </c>
      <c r="M1" s="94"/>
      <c r="N1" s="94"/>
      <c r="O1" s="182" t="s">
        <v>12</v>
      </c>
      <c r="P1" s="182"/>
      <c r="Q1" s="182"/>
      <c r="R1" s="182"/>
      <c r="S1" s="182"/>
      <c r="T1" s="182"/>
      <c r="Z1" s="29">
        <v>45677</v>
      </c>
    </row>
    <row r="2" spans="1:26" ht="17.100000000000001" customHeight="1" thickBot="1" x14ac:dyDescent="0.35">
      <c r="A2" s="199"/>
      <c r="B2" s="200"/>
      <c r="C2" s="201"/>
      <c r="D2" s="202"/>
      <c r="E2" s="203"/>
      <c r="F2" s="198"/>
      <c r="G2" s="198"/>
      <c r="H2" s="129"/>
      <c r="I2" s="198"/>
      <c r="J2" s="204"/>
      <c r="K2" s="200"/>
      <c r="L2" s="200"/>
      <c r="M2" s="94"/>
      <c r="N2" s="94"/>
      <c r="O2" s="96" t="s">
        <v>13</v>
      </c>
      <c r="P2" s="97" t="s">
        <v>13</v>
      </c>
      <c r="Q2" s="98" t="s">
        <v>13</v>
      </c>
      <c r="R2" s="96" t="s">
        <v>14</v>
      </c>
      <c r="S2" s="97" t="s">
        <v>14</v>
      </c>
      <c r="T2" s="98" t="s">
        <v>14</v>
      </c>
      <c r="U2" s="94"/>
      <c r="V2" s="94"/>
    </row>
    <row r="3" spans="1:26" ht="17.100000000000001" customHeight="1" thickBot="1" x14ac:dyDescent="0.35">
      <c r="A3" s="62" t="s">
        <v>27</v>
      </c>
      <c r="B3" s="70" t="s">
        <v>16</v>
      </c>
      <c r="C3" s="63">
        <v>107</v>
      </c>
      <c r="D3" s="131" t="s">
        <v>22</v>
      </c>
      <c r="E3" s="73">
        <v>1</v>
      </c>
      <c r="F3" s="132">
        <v>356</v>
      </c>
      <c r="G3" s="133">
        <v>59</v>
      </c>
      <c r="H3" s="134">
        <f>RANK(G3,$G$3:$G$9)</f>
        <v>1</v>
      </c>
      <c r="I3" s="135">
        <v>88</v>
      </c>
      <c r="J3" s="64">
        <f>RANK(I3,$I$3:$I$9)+COUNTIF(I3:$I$3,I3)-1</f>
        <v>2</v>
      </c>
      <c r="K3" s="136">
        <f>(E3+J3)/2</f>
        <v>1.5</v>
      </c>
      <c r="L3" s="137">
        <f>RANK(K3,$K$3:$K$9,1)+COUNTIF(K3:$K$6,K3)-1</f>
        <v>1</v>
      </c>
      <c r="M3" s="94"/>
      <c r="N3" s="94"/>
      <c r="O3" s="103" t="s">
        <v>18</v>
      </c>
      <c r="P3" s="104" t="s">
        <v>19</v>
      </c>
      <c r="Q3" s="105" t="s">
        <v>20</v>
      </c>
      <c r="R3" s="103" t="s">
        <v>18</v>
      </c>
      <c r="S3" s="104" t="s">
        <v>19</v>
      </c>
      <c r="T3" s="106" t="s">
        <v>20</v>
      </c>
      <c r="U3" s="94"/>
      <c r="V3" s="94"/>
    </row>
    <row r="4" spans="1:26" ht="17.100000000000001" customHeight="1" thickBot="1" x14ac:dyDescent="0.35">
      <c r="A4" s="65" t="s">
        <v>38</v>
      </c>
      <c r="B4" s="71" t="s">
        <v>24</v>
      </c>
      <c r="C4" s="31">
        <v>104</v>
      </c>
      <c r="D4" s="94" t="s">
        <v>22</v>
      </c>
      <c r="E4" s="74">
        <v>2</v>
      </c>
      <c r="F4" s="130">
        <v>201</v>
      </c>
      <c r="G4" s="94">
        <v>51</v>
      </c>
      <c r="H4" s="138">
        <f>RANK(G4,$G$3:$G$9)</f>
        <v>3</v>
      </c>
      <c r="I4" s="94">
        <v>87</v>
      </c>
      <c r="J4" s="34">
        <f>RANK(I4,$I$3:$I$9)+COUNTIF(I$3:$I4,I4)-1</f>
        <v>4</v>
      </c>
      <c r="K4" s="109">
        <f>(E4+J4)/2</f>
        <v>3</v>
      </c>
      <c r="L4" s="139">
        <f>RANK(K4,$K$3:$K$9,1)+COUNTIF(K4:$K$6,K4)-1</f>
        <v>3</v>
      </c>
      <c r="M4" s="94"/>
      <c r="N4" s="94"/>
      <c r="O4" s="48">
        <v>50</v>
      </c>
      <c r="P4" s="110"/>
      <c r="Q4" s="111"/>
      <c r="R4" s="49">
        <v>20</v>
      </c>
      <c r="S4" s="112"/>
      <c r="T4" s="113"/>
    </row>
    <row r="5" spans="1:26" ht="17.100000000000001" customHeight="1" thickBot="1" x14ac:dyDescent="0.35">
      <c r="A5" s="65" t="s">
        <v>15</v>
      </c>
      <c r="B5" s="71" t="s">
        <v>21</v>
      </c>
      <c r="C5" s="31">
        <v>103</v>
      </c>
      <c r="D5" s="94" t="s">
        <v>22</v>
      </c>
      <c r="E5" s="74">
        <v>3</v>
      </c>
      <c r="F5" s="130">
        <v>149</v>
      </c>
      <c r="G5" s="94">
        <v>47</v>
      </c>
      <c r="H5" s="138">
        <f>RANK(G5,$G$3:$G$9)</f>
        <v>4</v>
      </c>
      <c r="I5" s="94">
        <v>88</v>
      </c>
      <c r="J5" s="34">
        <f>RANK(I5,$I$3:$I$9)+COUNTIF(I$3:$I5,I5)-1</f>
        <v>3</v>
      </c>
      <c r="K5" s="109">
        <f>(E5+J5)/2</f>
        <v>3</v>
      </c>
      <c r="L5" s="139">
        <f>RANK(K5,$K$3:$K$9,1)+COUNTIF(K5:$K$6,K5)-1</f>
        <v>2</v>
      </c>
      <c r="M5" s="94"/>
      <c r="N5" s="94"/>
      <c r="U5" s="183" t="s">
        <v>23</v>
      </c>
      <c r="V5" s="184"/>
    </row>
    <row r="6" spans="1:26" x14ac:dyDescent="0.3">
      <c r="A6" s="65" t="s">
        <v>38</v>
      </c>
      <c r="B6" s="84" t="s">
        <v>45</v>
      </c>
      <c r="C6" s="84">
        <v>102</v>
      </c>
      <c r="D6" s="85" t="s">
        <v>22</v>
      </c>
      <c r="E6" s="86">
        <v>4</v>
      </c>
      <c r="F6" s="87"/>
      <c r="G6" s="85"/>
      <c r="H6" s="88"/>
      <c r="I6" s="84">
        <v>87</v>
      </c>
      <c r="J6" s="84"/>
      <c r="K6" s="89"/>
      <c r="L6" s="90"/>
      <c r="M6" s="94"/>
      <c r="N6" s="94"/>
      <c r="U6" s="115" t="s">
        <v>25</v>
      </c>
      <c r="V6" s="116" t="s">
        <v>26</v>
      </c>
    </row>
    <row r="7" spans="1:26" ht="15" thickBot="1" x14ac:dyDescent="0.35">
      <c r="A7" s="66" t="s">
        <v>15</v>
      </c>
      <c r="B7" s="71" t="s">
        <v>28</v>
      </c>
      <c r="C7" s="31">
        <v>86</v>
      </c>
      <c r="D7" s="94" t="s">
        <v>46</v>
      </c>
      <c r="E7" s="74">
        <v>5</v>
      </c>
      <c r="F7" s="130">
        <v>354</v>
      </c>
      <c r="G7" s="94">
        <v>54</v>
      </c>
      <c r="H7" s="138">
        <f>RANK(G7,$G$3:$G$9)</f>
        <v>2</v>
      </c>
      <c r="I7" s="94">
        <v>87</v>
      </c>
      <c r="J7" s="34">
        <f>RANK(I7,$I$3:$I$9)+COUNTIF(I$3:$I7,I7)-1</f>
        <v>6</v>
      </c>
      <c r="K7" s="109">
        <f>(E7+J7)/2</f>
        <v>5.5</v>
      </c>
      <c r="L7" s="139">
        <f>RANK(K7,$K$3:$K$9,1)+COUNTIF(K$6:$K7,K7)-1</f>
        <v>5</v>
      </c>
      <c r="M7" s="94"/>
      <c r="N7" s="94"/>
      <c r="U7" s="117">
        <f>P4+S4</f>
        <v>0</v>
      </c>
      <c r="V7" s="118">
        <f>Q4+T4</f>
        <v>0</v>
      </c>
    </row>
    <row r="8" spans="1:26" ht="15" thickTop="1" x14ac:dyDescent="0.3">
      <c r="A8" s="66" t="s">
        <v>27</v>
      </c>
      <c r="B8" s="71" t="s">
        <v>30</v>
      </c>
      <c r="C8" s="31">
        <v>82</v>
      </c>
      <c r="D8" s="94" t="s">
        <v>46</v>
      </c>
      <c r="E8" s="74">
        <v>6</v>
      </c>
      <c r="F8" s="130">
        <v>203</v>
      </c>
      <c r="G8" s="94">
        <v>23</v>
      </c>
      <c r="H8" s="138">
        <f>RANK(G8,$G$3:$G$9)</f>
        <v>5</v>
      </c>
      <c r="I8" s="94">
        <v>89</v>
      </c>
      <c r="J8" s="34">
        <f>RANK(I8,$I$3:$I$9)+COUNTIF(I$3:$I8,I8)-1</f>
        <v>1</v>
      </c>
      <c r="K8" s="109">
        <f>(E8+J8)/2</f>
        <v>3.5</v>
      </c>
      <c r="L8" s="139">
        <f>RANK(K8,$K$3:$K$9,1)+COUNTIF(K$6:$K8,K8)-1</f>
        <v>4</v>
      </c>
      <c r="M8" s="94"/>
      <c r="N8" s="94"/>
      <c r="U8" s="140"/>
      <c r="V8" s="140"/>
    </row>
    <row r="9" spans="1:26" ht="15" thickBot="1" x14ac:dyDescent="0.35">
      <c r="A9" s="67"/>
      <c r="B9" s="72"/>
      <c r="C9" s="68"/>
      <c r="D9" s="141"/>
      <c r="E9" s="75"/>
      <c r="F9" s="142"/>
      <c r="G9" s="141"/>
      <c r="H9" s="143"/>
      <c r="I9" s="141"/>
      <c r="J9" s="69"/>
      <c r="K9" s="144"/>
      <c r="L9" s="145"/>
      <c r="M9" s="94"/>
      <c r="N9" s="94"/>
      <c r="U9" s="140"/>
      <c r="V9" s="140"/>
    </row>
    <row r="10" spans="1:26" x14ac:dyDescent="0.3">
      <c r="A10" s="76"/>
      <c r="B10" s="76"/>
      <c r="C10" s="76"/>
      <c r="D10" s="76"/>
      <c r="E10" s="76"/>
      <c r="F10" s="76"/>
      <c r="G10" s="76"/>
      <c r="H10" s="76"/>
      <c r="I10" s="76"/>
      <c r="J10" s="76"/>
      <c r="K10" s="76"/>
      <c r="L10" s="76"/>
      <c r="M10" s="94"/>
      <c r="N10" s="94"/>
      <c r="U10" s="140"/>
      <c r="V10" s="140"/>
    </row>
    <row r="11" spans="1:26" x14ac:dyDescent="0.3">
      <c r="A11" s="76"/>
      <c r="B11" s="76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94"/>
      <c r="N11" s="94"/>
      <c r="U11" s="140"/>
      <c r="V11" s="140"/>
    </row>
    <row r="12" spans="1:26" x14ac:dyDescent="0.3">
      <c r="B12" s="122" t="s">
        <v>33</v>
      </c>
      <c r="C12" s="122" t="s">
        <v>34</v>
      </c>
      <c r="D12" s="122"/>
      <c r="F12" s="94"/>
      <c r="G12" s="94"/>
      <c r="H12" s="94"/>
      <c r="I12" s="94"/>
      <c r="J12" s="94"/>
      <c r="K12" s="94"/>
      <c r="L12" s="94"/>
      <c r="M12" s="94"/>
      <c r="N12" s="94"/>
    </row>
    <row r="13" spans="1:26" x14ac:dyDescent="0.3">
      <c r="B13" s="122" t="s">
        <v>35</v>
      </c>
      <c r="C13" t="s">
        <v>36</v>
      </c>
      <c r="D13" s="122"/>
      <c r="F13" s="123"/>
      <c r="G13" s="94"/>
      <c r="H13" s="94"/>
      <c r="I13" s="94"/>
      <c r="K13" s="94"/>
      <c r="L13" s="94"/>
      <c r="M13" s="94"/>
      <c r="N13" s="94"/>
    </row>
    <row r="14" spans="1:26" x14ac:dyDescent="0.3">
      <c r="B14" s="1" t="s">
        <v>33</v>
      </c>
      <c r="C14" s="27" t="s">
        <v>34</v>
      </c>
      <c r="D14" s="122"/>
      <c r="F14" s="94"/>
      <c r="G14" s="94"/>
      <c r="H14" s="94"/>
      <c r="I14" s="94"/>
      <c r="J14" s="94"/>
      <c r="K14" s="94"/>
      <c r="L14" s="94"/>
      <c r="M14" s="94"/>
    </row>
    <row r="15" spans="1:26" x14ac:dyDescent="0.3">
      <c r="A15" s="123"/>
      <c r="B15" s="2"/>
      <c r="C15" s="2"/>
      <c r="D15" s="2"/>
      <c r="E15" s="2"/>
      <c r="F15" s="94"/>
      <c r="G15" s="94"/>
      <c r="H15" s="94"/>
      <c r="I15" s="94"/>
      <c r="J15" s="94"/>
      <c r="K15" s="94"/>
      <c r="L15" s="94"/>
      <c r="M15" s="94"/>
    </row>
    <row r="16" spans="1:26" x14ac:dyDescent="0.3">
      <c r="A16" s="122"/>
      <c r="B16" s="122" t="s">
        <v>40</v>
      </c>
      <c r="C16" s="122"/>
      <c r="D16" s="122"/>
      <c r="F16" s="94"/>
      <c r="G16" s="94"/>
      <c r="H16" s="181"/>
      <c r="I16" s="181"/>
      <c r="J16" s="181"/>
      <c r="K16" s="181"/>
      <c r="L16" s="94"/>
      <c r="M16" s="94"/>
      <c r="N16" s="94"/>
      <c r="O16" s="94"/>
      <c r="P16" s="94"/>
      <c r="Q16" s="94"/>
      <c r="R16" s="94"/>
    </row>
    <row r="17" spans="1:18" x14ac:dyDescent="0.3">
      <c r="A17" s="122"/>
      <c r="B17" s="91"/>
      <c r="C17" s="2" t="s">
        <v>47</v>
      </c>
      <c r="D17" s="2"/>
      <c r="E17" s="2"/>
      <c r="F17" s="94"/>
      <c r="G17" s="94"/>
      <c r="H17" s="94"/>
      <c r="I17" s="94"/>
      <c r="J17" s="94"/>
      <c r="K17" s="94"/>
      <c r="L17" s="94"/>
      <c r="M17" s="94"/>
      <c r="N17" s="94"/>
      <c r="O17" s="94"/>
      <c r="P17" s="94"/>
      <c r="Q17" s="94"/>
      <c r="R17" s="94"/>
    </row>
    <row r="18" spans="1:18" ht="14.4" customHeight="1" x14ac:dyDescent="0.3">
      <c r="D18" s="124"/>
      <c r="E18" s="124"/>
      <c r="F18" s="124"/>
      <c r="G18" s="94"/>
      <c r="H18" s="94"/>
      <c r="I18" s="94"/>
      <c r="J18" s="94"/>
      <c r="K18" s="94"/>
      <c r="L18" s="94"/>
      <c r="M18" s="94"/>
      <c r="N18" s="94"/>
      <c r="O18" s="94"/>
      <c r="P18" s="94"/>
      <c r="Q18" s="94"/>
      <c r="R18" s="94"/>
    </row>
    <row r="19" spans="1:18" x14ac:dyDescent="0.3">
      <c r="A19" s="123"/>
      <c r="B19" s="94"/>
      <c r="C19" s="94"/>
      <c r="D19" s="94"/>
      <c r="E19" s="94"/>
      <c r="F19" s="94"/>
      <c r="G19" s="94"/>
      <c r="H19" s="94"/>
      <c r="I19" s="94"/>
      <c r="J19" s="94"/>
      <c r="K19" s="94"/>
      <c r="L19" s="94"/>
      <c r="M19" s="94"/>
    </row>
    <row r="20" spans="1:18" x14ac:dyDescent="0.3">
      <c r="A20" s="123"/>
      <c r="B20" s="94"/>
      <c r="C20" s="94"/>
      <c r="D20" s="94"/>
      <c r="E20" s="94"/>
      <c r="F20" s="94"/>
      <c r="G20" s="94"/>
      <c r="H20" s="94"/>
      <c r="I20" s="94"/>
      <c r="J20" s="94"/>
      <c r="K20" s="94"/>
      <c r="L20" s="94"/>
      <c r="M20" s="94"/>
    </row>
    <row r="21" spans="1:18" x14ac:dyDescent="0.3">
      <c r="B21" s="94"/>
      <c r="C21" s="94"/>
      <c r="D21" s="94"/>
      <c r="E21" s="94"/>
      <c r="F21" s="94"/>
      <c r="G21" s="94"/>
      <c r="H21" s="94"/>
      <c r="I21" s="94"/>
      <c r="J21" s="94"/>
      <c r="K21" s="94"/>
      <c r="L21" s="94"/>
      <c r="M21" s="94"/>
    </row>
    <row r="22" spans="1:18" x14ac:dyDescent="0.3">
      <c r="B22" s="94"/>
      <c r="C22" s="94"/>
      <c r="D22" s="94"/>
      <c r="E22" s="94"/>
      <c r="F22" s="94"/>
      <c r="G22" s="94"/>
      <c r="H22" s="94"/>
      <c r="I22" s="94"/>
      <c r="J22" s="94"/>
      <c r="K22" s="94"/>
      <c r="L22" s="94"/>
      <c r="M22" s="94"/>
    </row>
    <row r="23" spans="1:18" x14ac:dyDescent="0.3">
      <c r="B23" s="94"/>
      <c r="C23" s="94"/>
      <c r="D23" s="94"/>
      <c r="E23" s="94"/>
      <c r="F23" s="94"/>
      <c r="G23" s="94"/>
      <c r="H23" s="94"/>
      <c r="I23" s="94"/>
      <c r="J23" s="94"/>
      <c r="K23" s="94"/>
      <c r="L23" s="94"/>
      <c r="M23" s="94"/>
    </row>
    <row r="24" spans="1:18" x14ac:dyDescent="0.3">
      <c r="B24" s="94"/>
      <c r="C24" s="94"/>
      <c r="D24" s="94"/>
      <c r="E24" s="94"/>
      <c r="F24" s="94"/>
      <c r="G24" s="94"/>
      <c r="H24" s="94"/>
      <c r="I24" s="94"/>
      <c r="J24" s="94"/>
      <c r="K24" s="94"/>
      <c r="L24" s="94"/>
      <c r="M24" s="94"/>
    </row>
    <row r="25" spans="1:18" x14ac:dyDescent="0.3">
      <c r="B25" s="94"/>
      <c r="C25" s="94"/>
      <c r="D25" s="94"/>
      <c r="E25" s="94"/>
      <c r="F25" s="94"/>
      <c r="G25" s="94"/>
      <c r="H25" s="94"/>
      <c r="I25" s="94"/>
      <c r="J25" s="94"/>
      <c r="K25" s="94"/>
      <c r="L25" s="94"/>
      <c r="M25" s="94"/>
      <c r="N25" s="94"/>
    </row>
    <row r="26" spans="1:18" x14ac:dyDescent="0.3">
      <c r="B26" s="94"/>
      <c r="C26" s="94"/>
      <c r="D26" s="94"/>
      <c r="E26" s="94"/>
      <c r="F26" s="94"/>
      <c r="G26" s="94"/>
      <c r="H26" s="94"/>
      <c r="I26" s="94"/>
      <c r="J26" s="94"/>
      <c r="K26" s="94"/>
      <c r="L26" s="94"/>
      <c r="M26" s="94"/>
      <c r="N26" s="94"/>
    </row>
    <row r="27" spans="1:18" x14ac:dyDescent="0.3">
      <c r="B27" s="94"/>
      <c r="C27" s="94"/>
      <c r="D27" s="94"/>
      <c r="E27" s="94"/>
      <c r="F27" s="94"/>
      <c r="G27" s="94"/>
      <c r="H27" s="94"/>
      <c r="I27" s="94"/>
      <c r="J27" s="94"/>
      <c r="K27" s="94"/>
      <c r="L27" s="94"/>
      <c r="M27" s="94"/>
      <c r="N27" s="94"/>
    </row>
    <row r="28" spans="1:18" x14ac:dyDescent="0.3">
      <c r="B28" s="94"/>
      <c r="C28" s="94"/>
      <c r="D28" s="94"/>
      <c r="E28" s="94"/>
      <c r="F28" s="94"/>
      <c r="G28" s="94"/>
      <c r="H28" s="94"/>
      <c r="I28" s="94"/>
      <c r="J28" s="94"/>
      <c r="K28" s="94"/>
      <c r="L28" s="94"/>
      <c r="M28" s="94"/>
      <c r="N28" s="94"/>
    </row>
    <row r="29" spans="1:18" x14ac:dyDescent="0.3">
      <c r="B29" s="94"/>
      <c r="C29" s="94"/>
      <c r="D29" s="94"/>
      <c r="E29" s="94"/>
      <c r="F29" s="94"/>
      <c r="G29" s="94"/>
      <c r="H29" s="94"/>
      <c r="I29" s="94"/>
      <c r="J29" s="94"/>
      <c r="K29" s="94"/>
      <c r="L29" s="94"/>
      <c r="M29" s="94"/>
      <c r="N29" s="94"/>
    </row>
    <row r="30" spans="1:18" x14ac:dyDescent="0.3">
      <c r="B30" s="94"/>
      <c r="C30" s="94"/>
      <c r="D30" s="94"/>
      <c r="E30" s="94"/>
      <c r="F30" s="94"/>
      <c r="G30" s="94"/>
      <c r="H30" s="94"/>
      <c r="I30" s="94"/>
      <c r="J30" s="94"/>
      <c r="K30" s="94"/>
      <c r="L30" s="94"/>
      <c r="M30" s="94"/>
      <c r="N30" s="94"/>
    </row>
    <row r="31" spans="1:18" x14ac:dyDescent="0.3">
      <c r="B31" s="94"/>
      <c r="C31" s="94"/>
      <c r="D31" s="94"/>
      <c r="E31" s="94"/>
      <c r="F31" s="94"/>
      <c r="G31" s="94"/>
      <c r="H31" s="94"/>
      <c r="I31" s="94"/>
      <c r="J31" s="94"/>
      <c r="K31" s="94"/>
      <c r="L31" s="94"/>
      <c r="M31" s="94"/>
      <c r="N31" s="94"/>
    </row>
    <row r="32" spans="1:18" x14ac:dyDescent="0.3">
      <c r="B32" s="94"/>
      <c r="C32" s="94"/>
      <c r="D32" s="94"/>
      <c r="E32" s="94"/>
      <c r="F32" s="94"/>
      <c r="G32" s="94"/>
      <c r="H32" s="94"/>
      <c r="I32" s="94"/>
      <c r="J32" s="94"/>
      <c r="K32" s="94"/>
      <c r="L32" s="94"/>
      <c r="M32" s="94"/>
      <c r="N32" s="94"/>
    </row>
    <row r="33" spans="2:14" x14ac:dyDescent="0.3">
      <c r="B33" s="94"/>
      <c r="C33" s="94"/>
      <c r="D33" s="94"/>
      <c r="E33" s="94"/>
      <c r="F33" s="94"/>
      <c r="G33" s="94"/>
      <c r="H33" s="94"/>
      <c r="I33" s="94"/>
      <c r="J33" s="94"/>
      <c r="K33" s="94"/>
      <c r="L33" s="94"/>
      <c r="M33" s="94"/>
      <c r="N33" s="94"/>
    </row>
    <row r="34" spans="2:14" x14ac:dyDescent="0.3">
      <c r="B34" s="94"/>
      <c r="C34" s="94"/>
      <c r="D34" s="94"/>
      <c r="E34" s="94"/>
      <c r="F34" s="94"/>
      <c r="G34" s="94"/>
      <c r="H34" s="94"/>
      <c r="I34" s="94"/>
      <c r="J34" s="94"/>
      <c r="K34" s="94"/>
      <c r="L34" s="94"/>
      <c r="M34" s="94"/>
      <c r="N34" s="94"/>
    </row>
    <row r="35" spans="2:14" x14ac:dyDescent="0.3">
      <c r="B35" s="94"/>
      <c r="C35" s="94"/>
      <c r="D35" s="94"/>
      <c r="E35" s="94"/>
      <c r="F35" s="94"/>
      <c r="G35" s="94"/>
      <c r="H35" s="94"/>
      <c r="I35" s="94"/>
      <c r="J35" s="94"/>
      <c r="K35" s="94"/>
      <c r="L35" s="94"/>
      <c r="M35" s="94"/>
      <c r="N35" s="94"/>
    </row>
    <row r="36" spans="2:14" x14ac:dyDescent="0.3">
      <c r="B36" s="94"/>
      <c r="C36" s="94"/>
      <c r="D36" s="94"/>
      <c r="E36" s="94"/>
      <c r="F36" s="94"/>
      <c r="G36" s="94"/>
      <c r="H36" s="94"/>
      <c r="I36" s="94"/>
      <c r="J36" s="94"/>
      <c r="K36" s="94"/>
      <c r="L36" s="94"/>
      <c r="M36" s="94"/>
      <c r="N36" s="94"/>
    </row>
    <row r="37" spans="2:14" x14ac:dyDescent="0.3">
      <c r="B37" s="94"/>
      <c r="C37" s="94"/>
      <c r="D37" s="94"/>
      <c r="E37" s="94"/>
      <c r="F37" s="94"/>
      <c r="G37" s="94"/>
      <c r="H37" s="94"/>
      <c r="I37" s="94"/>
      <c r="J37" s="94"/>
      <c r="K37" s="94"/>
      <c r="L37" s="94"/>
      <c r="M37" s="94"/>
      <c r="N37" s="94"/>
    </row>
    <row r="38" spans="2:14" x14ac:dyDescent="0.3">
      <c r="B38" s="94"/>
      <c r="C38" s="94"/>
      <c r="D38" s="94"/>
      <c r="E38" s="94"/>
      <c r="F38" s="94"/>
      <c r="G38" s="94"/>
      <c r="H38" s="94"/>
      <c r="I38" s="94"/>
      <c r="J38" s="94"/>
      <c r="K38" s="94"/>
      <c r="L38" s="94"/>
      <c r="M38" s="94"/>
      <c r="N38" s="94"/>
    </row>
    <row r="39" spans="2:14" x14ac:dyDescent="0.3">
      <c r="B39" s="94"/>
      <c r="C39" s="94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</row>
    <row r="40" spans="2:14" x14ac:dyDescent="0.3">
      <c r="B40" s="94"/>
      <c r="C40" s="94"/>
      <c r="D40" s="94"/>
      <c r="E40" s="94"/>
      <c r="F40" s="94"/>
      <c r="G40" s="94"/>
      <c r="H40" s="94"/>
      <c r="I40" s="94"/>
      <c r="J40" s="94"/>
      <c r="K40" s="94"/>
      <c r="L40" s="94"/>
      <c r="M40" s="94"/>
      <c r="N40" s="94"/>
    </row>
    <row r="41" spans="2:14" x14ac:dyDescent="0.3">
      <c r="B41" s="94"/>
      <c r="C41" s="94"/>
      <c r="D41" s="94"/>
      <c r="E41" s="94"/>
      <c r="F41" s="94"/>
      <c r="G41" s="94"/>
      <c r="H41" s="94"/>
      <c r="I41" s="94"/>
      <c r="J41" s="94"/>
      <c r="K41" s="94"/>
      <c r="L41" s="94"/>
      <c r="M41" s="94"/>
      <c r="N41" s="94"/>
    </row>
    <row r="42" spans="2:14" x14ac:dyDescent="0.3">
      <c r="B42" s="94"/>
      <c r="C42" s="94"/>
      <c r="D42" s="94"/>
      <c r="E42" s="94"/>
      <c r="F42" s="94"/>
      <c r="G42" s="94"/>
      <c r="H42" s="94"/>
      <c r="I42" s="94"/>
      <c r="J42" s="94"/>
      <c r="K42" s="94"/>
      <c r="L42" s="94"/>
      <c r="M42" s="94"/>
      <c r="N42" s="94"/>
    </row>
    <row r="43" spans="2:14" x14ac:dyDescent="0.3">
      <c r="F43" s="123"/>
      <c r="L43" s="94"/>
    </row>
    <row r="44" spans="2:14" x14ac:dyDescent="0.3">
      <c r="F44" s="123"/>
      <c r="L44" s="94"/>
    </row>
    <row r="45" spans="2:14" x14ac:dyDescent="0.3">
      <c r="F45" s="123"/>
      <c r="L45" s="94"/>
    </row>
    <row r="46" spans="2:14" x14ac:dyDescent="0.3">
      <c r="F46" s="123"/>
      <c r="L46" s="94"/>
    </row>
    <row r="47" spans="2:14" x14ac:dyDescent="0.3">
      <c r="F47" s="123"/>
      <c r="L47" s="94"/>
    </row>
    <row r="48" spans="2:14" x14ac:dyDescent="0.3">
      <c r="F48" s="123"/>
      <c r="L48" s="94"/>
    </row>
  </sheetData>
  <mergeCells count="14">
    <mergeCell ref="F1:F2"/>
    <mergeCell ref="A1:A2"/>
    <mergeCell ref="B1:B2"/>
    <mergeCell ref="C1:C2"/>
    <mergeCell ref="D1:D2"/>
    <mergeCell ref="E1:E2"/>
    <mergeCell ref="U5:V5"/>
    <mergeCell ref="H16:K16"/>
    <mergeCell ref="G1:G2"/>
    <mergeCell ref="I1:I2"/>
    <mergeCell ref="J1:J2"/>
    <mergeCell ref="K1:K2"/>
    <mergeCell ref="L1:L2"/>
    <mergeCell ref="O1:T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08EA6-83FC-432C-94C2-A4805EF20375}">
  <sheetPr codeName="Sheet15"/>
  <dimension ref="A1:Z48"/>
  <sheetViews>
    <sheetView workbookViewId="0">
      <selection activeCell="G5" sqref="G5"/>
    </sheetView>
  </sheetViews>
  <sheetFormatPr defaultColWidth="9.109375" defaultRowHeight="14.4" x14ac:dyDescent="0.3"/>
  <cols>
    <col min="1" max="2" width="9.109375" style="28"/>
    <col min="3" max="3" width="11.109375" style="28" customWidth="1"/>
    <col min="4" max="4" width="15.44140625" style="28" customWidth="1"/>
    <col min="5" max="5" width="12" style="28" customWidth="1"/>
    <col min="6" max="6" width="17.109375" style="39" customWidth="1"/>
    <col min="7" max="7" width="13.33203125" style="28" customWidth="1"/>
    <col min="8" max="8" width="11.44140625" style="28" customWidth="1"/>
    <col min="9" max="9" width="17.33203125" style="28" customWidth="1"/>
    <col min="10" max="10" width="11.6640625" style="28" customWidth="1"/>
    <col min="11" max="11" width="16.109375" style="28" customWidth="1"/>
    <col min="12" max="12" width="13.5546875" style="28" customWidth="1"/>
    <col min="13" max="13" width="9.109375" style="28"/>
    <col min="14" max="14" width="9.109375" style="28" customWidth="1"/>
    <col min="15" max="20" width="9.109375" style="28"/>
    <col min="21" max="21" width="15.109375" style="28" customWidth="1"/>
    <col min="22" max="22" width="13.6640625" style="28" customWidth="1"/>
    <col min="23" max="25" width="9.109375" style="28"/>
    <col min="26" max="26" width="9.5546875" style="28" customWidth="1"/>
    <col min="27" max="16384" width="9.109375" style="28"/>
  </cols>
  <sheetData>
    <row r="1" spans="1:26" ht="45" customHeight="1" thickBot="1" x14ac:dyDescent="0.4">
      <c r="A1" s="185" t="s">
        <v>0</v>
      </c>
      <c r="B1" s="187" t="s">
        <v>1</v>
      </c>
      <c r="C1" s="189" t="s">
        <v>2</v>
      </c>
      <c r="D1" s="191" t="s">
        <v>3</v>
      </c>
      <c r="E1" s="193" t="s">
        <v>4</v>
      </c>
      <c r="F1" s="179" t="s">
        <v>5</v>
      </c>
      <c r="G1" s="195" t="s">
        <v>6</v>
      </c>
      <c r="H1" s="92" t="s">
        <v>7</v>
      </c>
      <c r="I1" s="195" t="s">
        <v>8</v>
      </c>
      <c r="J1" s="196" t="s">
        <v>9</v>
      </c>
      <c r="K1" s="187" t="s">
        <v>10</v>
      </c>
      <c r="L1" s="187" t="s">
        <v>11</v>
      </c>
      <c r="M1" s="94"/>
      <c r="N1" s="94"/>
      <c r="O1" s="182" t="s">
        <v>12</v>
      </c>
      <c r="P1" s="182"/>
      <c r="Q1" s="182"/>
      <c r="R1" s="182"/>
      <c r="S1" s="182"/>
      <c r="T1" s="182"/>
      <c r="Z1" s="29">
        <v>45677</v>
      </c>
    </row>
    <row r="2" spans="1:26" ht="17.100000000000001" customHeight="1" thickBot="1" x14ac:dyDescent="0.35">
      <c r="A2" s="199"/>
      <c r="B2" s="200"/>
      <c r="C2" s="201"/>
      <c r="D2" s="202"/>
      <c r="E2" s="203"/>
      <c r="F2" s="198"/>
      <c r="G2" s="198"/>
      <c r="H2" s="129"/>
      <c r="I2" s="198"/>
      <c r="J2" s="204"/>
      <c r="K2" s="200"/>
      <c r="L2" s="200"/>
      <c r="M2" s="94"/>
      <c r="N2" s="94"/>
      <c r="O2" s="96" t="s">
        <v>13</v>
      </c>
      <c r="P2" s="97" t="s">
        <v>13</v>
      </c>
      <c r="Q2" s="98" t="s">
        <v>13</v>
      </c>
      <c r="R2" s="96" t="s">
        <v>14</v>
      </c>
      <c r="S2" s="97" t="s">
        <v>14</v>
      </c>
      <c r="T2" s="98" t="s">
        <v>14</v>
      </c>
      <c r="U2" s="94"/>
      <c r="V2" s="94"/>
    </row>
    <row r="3" spans="1:26" ht="17.100000000000001" customHeight="1" thickBot="1" x14ac:dyDescent="0.35">
      <c r="A3" s="62" t="s">
        <v>15</v>
      </c>
      <c r="B3" s="70" t="s">
        <v>16</v>
      </c>
      <c r="C3" s="63">
        <v>107</v>
      </c>
      <c r="D3" s="131" t="s">
        <v>22</v>
      </c>
      <c r="E3" s="73">
        <v>1</v>
      </c>
      <c r="F3" s="132">
        <v>120</v>
      </c>
      <c r="G3" s="133">
        <v>51</v>
      </c>
      <c r="H3" s="134">
        <f>RANK(G3,$G$3:$G$9)</f>
        <v>1</v>
      </c>
      <c r="I3" s="135">
        <v>87</v>
      </c>
      <c r="J3" s="64">
        <f>RANK(I3,$I$3:$I$9)+COUNTIF(I3:$I$3,I3)-1</f>
        <v>5</v>
      </c>
      <c r="K3" s="136">
        <f>(E3+J3)/2</f>
        <v>3</v>
      </c>
      <c r="L3" s="137">
        <f>RANK(K3,$K$3:$K$9,1)+COUNTIF(K3:$K$6,K3)-1</f>
        <v>3</v>
      </c>
      <c r="M3" s="94"/>
      <c r="N3" s="94"/>
      <c r="O3" s="103" t="s">
        <v>18</v>
      </c>
      <c r="P3" s="104" t="s">
        <v>19</v>
      </c>
      <c r="Q3" s="105" t="s">
        <v>20</v>
      </c>
      <c r="R3" s="103" t="s">
        <v>18</v>
      </c>
      <c r="S3" s="104" t="s">
        <v>19</v>
      </c>
      <c r="T3" s="106" t="s">
        <v>20</v>
      </c>
      <c r="U3" s="94"/>
      <c r="V3" s="94"/>
    </row>
    <row r="4" spans="1:26" ht="17.100000000000001" customHeight="1" thickBot="1" x14ac:dyDescent="0.35">
      <c r="A4" s="65" t="s">
        <v>38</v>
      </c>
      <c r="B4" s="71" t="s">
        <v>24</v>
      </c>
      <c r="C4" s="31">
        <v>104</v>
      </c>
      <c r="D4" s="94" t="s">
        <v>22</v>
      </c>
      <c r="E4" s="74">
        <v>2</v>
      </c>
      <c r="F4" s="130">
        <v>164</v>
      </c>
      <c r="G4" s="94">
        <v>21</v>
      </c>
      <c r="H4" s="138">
        <f>RANK(G4,$G$3:$G$9)</f>
        <v>3</v>
      </c>
      <c r="I4" s="94">
        <v>89</v>
      </c>
      <c r="J4" s="34">
        <f>RANK(I4,$I$3:$I$9)+COUNTIF(I$3:$I4,I4)-1</f>
        <v>1</v>
      </c>
      <c r="K4" s="109">
        <f>(E4+J4)/2</f>
        <v>1.5</v>
      </c>
      <c r="L4" s="139">
        <f>RANK(K4,$K$3:$K$9,1)+COUNTIF(K4:$K$6,K4)-1</f>
        <v>1</v>
      </c>
      <c r="M4" s="94"/>
      <c r="N4" s="94"/>
      <c r="O4" s="48">
        <v>50</v>
      </c>
      <c r="P4" s="110"/>
      <c r="Q4" s="111"/>
      <c r="R4" s="49">
        <v>20</v>
      </c>
      <c r="S4" s="112"/>
      <c r="T4" s="113"/>
    </row>
    <row r="5" spans="1:26" ht="17.100000000000001" customHeight="1" thickBot="1" x14ac:dyDescent="0.35">
      <c r="A5" s="65" t="s">
        <v>15</v>
      </c>
      <c r="B5" s="71" t="s">
        <v>21</v>
      </c>
      <c r="C5" s="31">
        <v>103</v>
      </c>
      <c r="D5" s="94" t="s">
        <v>22</v>
      </c>
      <c r="E5" s="74">
        <v>3</v>
      </c>
      <c r="F5" s="130">
        <v>158</v>
      </c>
      <c r="G5" s="94">
        <v>16</v>
      </c>
      <c r="H5" s="138">
        <f>RANK(G5,$G$3:$G$9)</f>
        <v>4</v>
      </c>
      <c r="I5" s="94">
        <v>88</v>
      </c>
      <c r="J5" s="34">
        <f>RANK(I5,$I$3:$I$9)+COUNTIF(I$3:$I5,I5)-1</f>
        <v>3</v>
      </c>
      <c r="K5" s="109">
        <f>(E5+J5)/2</f>
        <v>3</v>
      </c>
      <c r="L5" s="139">
        <f>RANK(K5,$K$3:$K$9,1)+COUNTIF(K5:$K$6,K5)-1</f>
        <v>2</v>
      </c>
      <c r="M5" s="94"/>
      <c r="N5" s="94"/>
      <c r="U5" s="183" t="s">
        <v>23</v>
      </c>
      <c r="V5" s="184"/>
    </row>
    <row r="6" spans="1:26" x14ac:dyDescent="0.3">
      <c r="A6" s="65"/>
      <c r="B6" s="84" t="s">
        <v>45</v>
      </c>
      <c r="C6" s="84">
        <v>102</v>
      </c>
      <c r="D6" s="85" t="s">
        <v>22</v>
      </c>
      <c r="E6" s="86">
        <v>4</v>
      </c>
      <c r="F6" s="87"/>
      <c r="G6" s="85"/>
      <c r="H6" s="88"/>
      <c r="I6" s="84">
        <v>87</v>
      </c>
      <c r="J6" s="84"/>
      <c r="K6" s="89"/>
      <c r="L6" s="90"/>
      <c r="M6" s="94"/>
      <c r="N6" s="94"/>
      <c r="U6" s="115" t="s">
        <v>25</v>
      </c>
      <c r="V6" s="116" t="s">
        <v>26</v>
      </c>
    </row>
    <row r="7" spans="1:26" ht="15" thickBot="1" x14ac:dyDescent="0.35">
      <c r="A7" s="66" t="s">
        <v>38</v>
      </c>
      <c r="B7" s="71" t="s">
        <v>28</v>
      </c>
      <c r="C7" s="31">
        <v>86</v>
      </c>
      <c r="D7" s="94" t="s">
        <v>46</v>
      </c>
      <c r="E7" s="74">
        <v>5</v>
      </c>
      <c r="F7" s="130">
        <v>284</v>
      </c>
      <c r="G7" s="94">
        <v>10</v>
      </c>
      <c r="H7" s="138">
        <f>RANK(G7,$G$3:$G$9)</f>
        <v>5</v>
      </c>
      <c r="I7" s="94">
        <v>88</v>
      </c>
      <c r="J7" s="34">
        <f>RANK(I7,$I$3:$I$9)+COUNTIF(I$3:$I7,I7)-1</f>
        <v>4</v>
      </c>
      <c r="K7" s="109">
        <f>(E7+J7)/2</f>
        <v>4.5</v>
      </c>
      <c r="L7" s="139">
        <f>RANK(K7,$K$3:$K$9,1)+COUNTIF(K$6:$K7,K7)-1</f>
        <v>5</v>
      </c>
      <c r="M7" s="94"/>
      <c r="N7" s="94"/>
      <c r="U7" s="117">
        <f>P4+S4</f>
        <v>0</v>
      </c>
      <c r="V7" s="118">
        <f>Q4+T4</f>
        <v>0</v>
      </c>
    </row>
    <row r="8" spans="1:26" ht="15" thickTop="1" x14ac:dyDescent="0.3">
      <c r="A8" s="66"/>
      <c r="B8" s="71" t="s">
        <v>30</v>
      </c>
      <c r="C8" s="31">
        <v>82</v>
      </c>
      <c r="D8" s="94" t="s">
        <v>46</v>
      </c>
      <c r="E8" s="74">
        <v>6</v>
      </c>
      <c r="F8" s="130">
        <v>203</v>
      </c>
      <c r="G8" s="94">
        <v>23</v>
      </c>
      <c r="H8" s="138">
        <v>4</v>
      </c>
      <c r="I8" s="94">
        <v>89</v>
      </c>
      <c r="J8" s="34">
        <f>RANK(I8,$I$3:$I$9)+COUNTIF(I$3:$I8,I8)-1</f>
        <v>2</v>
      </c>
      <c r="K8" s="109">
        <f>(E8+J8)/2</f>
        <v>4</v>
      </c>
      <c r="L8" s="139">
        <f>RANK(K8,$K$3:$K$9,1)+COUNTIF(K$6:$K8,K8)-1</f>
        <v>4</v>
      </c>
      <c r="M8" s="94"/>
      <c r="N8" s="94"/>
      <c r="U8" s="140"/>
      <c r="V8" s="140"/>
    </row>
    <row r="9" spans="1:26" ht="15" thickBot="1" x14ac:dyDescent="0.35">
      <c r="A9" s="67"/>
      <c r="B9" s="72"/>
      <c r="C9" s="68"/>
      <c r="D9" s="141"/>
      <c r="E9" s="75"/>
      <c r="F9" s="142"/>
      <c r="G9" s="141"/>
      <c r="H9" s="143"/>
      <c r="I9" s="141"/>
      <c r="J9" s="69"/>
      <c r="K9" s="144"/>
      <c r="L9" s="145"/>
      <c r="M9" s="94"/>
      <c r="N9" s="94"/>
      <c r="U9" s="140"/>
      <c r="V9" s="140"/>
    </row>
    <row r="10" spans="1:26" x14ac:dyDescent="0.3">
      <c r="A10" s="76"/>
      <c r="B10" s="76"/>
      <c r="C10" s="76"/>
      <c r="D10" s="76"/>
      <c r="E10" s="76"/>
      <c r="F10" s="76"/>
      <c r="G10" s="76"/>
      <c r="H10" s="76"/>
      <c r="I10" s="76"/>
      <c r="J10" s="76"/>
      <c r="K10" s="76"/>
      <c r="L10" s="76"/>
      <c r="M10" s="94"/>
      <c r="N10" s="94"/>
      <c r="U10" s="140"/>
      <c r="V10" s="140"/>
    </row>
    <row r="11" spans="1:26" x14ac:dyDescent="0.3">
      <c r="A11" s="76"/>
      <c r="B11" s="76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94"/>
      <c r="N11" s="94"/>
      <c r="U11" s="140"/>
      <c r="V11" s="140"/>
    </row>
    <row r="12" spans="1:26" x14ac:dyDescent="0.3">
      <c r="B12" s="122" t="s">
        <v>33</v>
      </c>
      <c r="C12" s="122" t="s">
        <v>34</v>
      </c>
      <c r="D12" s="122"/>
      <c r="F12" s="94"/>
      <c r="G12" s="94"/>
      <c r="H12" s="94"/>
      <c r="I12" s="94"/>
      <c r="J12" s="94"/>
      <c r="K12" s="94"/>
      <c r="L12" s="94"/>
      <c r="M12" s="94"/>
      <c r="N12" s="94"/>
    </row>
    <row r="13" spans="1:26" x14ac:dyDescent="0.3">
      <c r="B13" s="122" t="s">
        <v>35</v>
      </c>
      <c r="C13" t="s">
        <v>36</v>
      </c>
      <c r="D13" s="122"/>
      <c r="F13" s="123"/>
      <c r="G13" s="94"/>
      <c r="H13" s="94"/>
      <c r="I13" s="94"/>
      <c r="K13" s="94"/>
      <c r="L13" s="94"/>
      <c r="M13" s="94"/>
      <c r="N13" s="94"/>
    </row>
    <row r="14" spans="1:26" x14ac:dyDescent="0.3">
      <c r="B14" s="1" t="s">
        <v>33</v>
      </c>
      <c r="C14" s="27" t="s">
        <v>34</v>
      </c>
      <c r="D14" s="122"/>
      <c r="F14" s="94"/>
      <c r="G14" s="94"/>
      <c r="H14" s="94"/>
      <c r="I14" s="94"/>
      <c r="J14" s="94"/>
      <c r="K14" s="94"/>
      <c r="L14" s="94"/>
      <c r="M14" s="94"/>
    </row>
    <row r="15" spans="1:26" x14ac:dyDescent="0.3">
      <c r="A15" s="123"/>
      <c r="B15" s="2"/>
      <c r="C15" s="2"/>
      <c r="D15" s="2"/>
      <c r="E15" s="2"/>
      <c r="F15" s="94"/>
      <c r="G15" s="94"/>
      <c r="H15" s="94"/>
      <c r="I15" s="94"/>
      <c r="J15" s="94"/>
      <c r="K15" s="94"/>
      <c r="L15" s="94"/>
      <c r="M15" s="94"/>
    </row>
    <row r="16" spans="1:26" x14ac:dyDescent="0.3">
      <c r="A16" s="122"/>
      <c r="B16" s="122" t="s">
        <v>40</v>
      </c>
      <c r="C16" s="122"/>
      <c r="D16" s="122"/>
      <c r="F16" s="94"/>
      <c r="G16" s="94"/>
      <c r="H16" s="181"/>
      <c r="I16" s="181"/>
      <c r="J16" s="181"/>
      <c r="K16" s="181"/>
      <c r="L16" s="94"/>
      <c r="M16" s="94"/>
      <c r="N16" s="94"/>
      <c r="O16" s="94"/>
      <c r="P16" s="94"/>
      <c r="Q16" s="94"/>
      <c r="R16" s="94"/>
    </row>
    <row r="17" spans="1:18" x14ac:dyDescent="0.3">
      <c r="A17" s="122"/>
      <c r="B17" s="91"/>
      <c r="C17" s="2" t="s">
        <v>47</v>
      </c>
      <c r="D17" s="2"/>
      <c r="E17" s="2"/>
      <c r="F17" s="94"/>
      <c r="G17" s="94"/>
      <c r="H17" s="94"/>
      <c r="I17" s="94"/>
      <c r="J17" s="94"/>
      <c r="K17" s="94"/>
      <c r="L17" s="94"/>
      <c r="M17" s="94"/>
      <c r="N17" s="94"/>
      <c r="O17" s="94"/>
      <c r="P17" s="94"/>
      <c r="Q17" s="94"/>
      <c r="R17" s="94"/>
    </row>
    <row r="18" spans="1:18" ht="14.4" customHeight="1" x14ac:dyDescent="0.3">
      <c r="D18" s="124"/>
      <c r="E18" s="124"/>
      <c r="F18" s="124"/>
      <c r="G18" s="94"/>
      <c r="H18" s="94"/>
      <c r="I18" s="94"/>
      <c r="J18" s="94"/>
      <c r="K18" s="94"/>
      <c r="L18" s="94"/>
      <c r="M18" s="94"/>
      <c r="N18" s="94"/>
      <c r="O18" s="94"/>
      <c r="P18" s="94"/>
      <c r="Q18" s="94"/>
      <c r="R18" s="94"/>
    </row>
    <row r="19" spans="1:18" x14ac:dyDescent="0.3">
      <c r="A19" s="123"/>
      <c r="B19" s="94"/>
      <c r="C19" s="94"/>
      <c r="D19" s="94"/>
      <c r="E19" s="94"/>
      <c r="F19" s="94"/>
      <c r="G19" s="94"/>
      <c r="H19" s="94"/>
      <c r="I19" s="94"/>
      <c r="J19" s="94"/>
      <c r="K19" s="94"/>
      <c r="L19" s="94"/>
      <c r="M19" s="94"/>
    </row>
    <row r="20" spans="1:18" x14ac:dyDescent="0.3">
      <c r="A20" s="123"/>
      <c r="B20" s="94"/>
      <c r="C20" s="94"/>
      <c r="D20" s="94"/>
      <c r="E20" s="94"/>
      <c r="F20" s="94"/>
      <c r="G20" s="94"/>
      <c r="H20" s="94"/>
      <c r="I20" s="94"/>
      <c r="J20" s="94"/>
      <c r="K20" s="94"/>
      <c r="L20" s="94"/>
      <c r="M20" s="94"/>
    </row>
    <row r="21" spans="1:18" x14ac:dyDescent="0.3">
      <c r="B21" s="94"/>
      <c r="C21" s="94"/>
      <c r="D21" s="94"/>
      <c r="E21" s="94"/>
      <c r="F21" s="94"/>
      <c r="G21" s="94"/>
      <c r="H21" s="94"/>
      <c r="I21" s="94"/>
      <c r="J21" s="94"/>
      <c r="K21" s="94"/>
      <c r="L21" s="94"/>
      <c r="M21" s="94"/>
    </row>
    <row r="22" spans="1:18" x14ac:dyDescent="0.3">
      <c r="B22" s="94"/>
      <c r="C22" s="94"/>
      <c r="D22" s="94"/>
      <c r="E22" s="94"/>
      <c r="F22" s="94"/>
      <c r="G22" s="94"/>
      <c r="H22" s="94"/>
      <c r="I22" s="94"/>
      <c r="J22" s="94"/>
      <c r="K22" s="94"/>
      <c r="L22" s="94"/>
      <c r="M22" s="94"/>
    </row>
    <row r="23" spans="1:18" x14ac:dyDescent="0.3">
      <c r="B23" s="94"/>
      <c r="C23" s="94"/>
      <c r="D23" s="94"/>
      <c r="E23" s="94"/>
      <c r="F23" s="94"/>
      <c r="G23" s="94"/>
      <c r="H23" s="94"/>
      <c r="I23" s="94"/>
      <c r="J23" s="94"/>
      <c r="K23" s="94"/>
      <c r="L23" s="94"/>
      <c r="M23" s="94"/>
    </row>
    <row r="24" spans="1:18" x14ac:dyDescent="0.3">
      <c r="B24" s="94"/>
      <c r="C24" s="94"/>
      <c r="D24" s="94"/>
      <c r="E24" s="94"/>
      <c r="F24" s="94"/>
      <c r="G24" s="94"/>
      <c r="H24" s="94"/>
      <c r="I24" s="94"/>
      <c r="J24" s="94"/>
      <c r="K24" s="94"/>
      <c r="L24" s="94"/>
      <c r="M24" s="94"/>
    </row>
    <row r="25" spans="1:18" x14ac:dyDescent="0.3">
      <c r="B25" s="94"/>
      <c r="C25" s="94"/>
      <c r="D25" s="94"/>
      <c r="E25" s="94"/>
      <c r="F25" s="94"/>
      <c r="G25" s="94"/>
      <c r="H25" s="94"/>
      <c r="I25" s="94"/>
      <c r="J25" s="94"/>
      <c r="K25" s="94"/>
      <c r="L25" s="94"/>
      <c r="M25" s="94"/>
      <c r="N25" s="94"/>
    </row>
    <row r="26" spans="1:18" x14ac:dyDescent="0.3">
      <c r="B26" s="94"/>
      <c r="C26" s="94"/>
      <c r="D26" s="94"/>
      <c r="E26" s="94"/>
      <c r="F26" s="94"/>
      <c r="G26" s="94"/>
      <c r="H26" s="94"/>
      <c r="I26" s="94"/>
      <c r="J26" s="94"/>
      <c r="K26" s="94"/>
      <c r="L26" s="94"/>
      <c r="M26" s="94"/>
      <c r="N26" s="94"/>
    </row>
    <row r="27" spans="1:18" x14ac:dyDescent="0.3">
      <c r="B27" s="94"/>
      <c r="C27" s="94"/>
      <c r="D27" s="94"/>
      <c r="E27" s="94"/>
      <c r="F27" s="94"/>
      <c r="G27" s="94"/>
      <c r="H27" s="94"/>
      <c r="I27" s="94"/>
      <c r="J27" s="94"/>
      <c r="K27" s="94"/>
      <c r="L27" s="94"/>
      <c r="M27" s="94"/>
      <c r="N27" s="94"/>
    </row>
    <row r="28" spans="1:18" x14ac:dyDescent="0.3">
      <c r="B28" s="94"/>
      <c r="C28" s="94"/>
      <c r="D28" s="94"/>
      <c r="E28" s="94"/>
      <c r="F28" s="94"/>
      <c r="G28" s="94"/>
      <c r="H28" s="94"/>
      <c r="I28" s="94"/>
      <c r="J28" s="94"/>
      <c r="K28" s="94"/>
      <c r="L28" s="94"/>
      <c r="M28" s="94"/>
      <c r="N28" s="94"/>
    </row>
    <row r="29" spans="1:18" x14ac:dyDescent="0.3">
      <c r="B29" s="94"/>
      <c r="C29" s="94"/>
      <c r="D29" s="94"/>
      <c r="E29" s="94"/>
      <c r="F29" s="94"/>
      <c r="G29" s="94"/>
      <c r="H29" s="94"/>
      <c r="I29" s="94"/>
      <c r="J29" s="94"/>
      <c r="K29" s="94"/>
      <c r="L29" s="94"/>
      <c r="M29" s="94"/>
      <c r="N29" s="94"/>
    </row>
    <row r="30" spans="1:18" x14ac:dyDescent="0.3">
      <c r="B30" s="94"/>
      <c r="C30" s="94"/>
      <c r="D30" s="94"/>
      <c r="E30" s="94"/>
      <c r="F30" s="94"/>
      <c r="G30" s="94"/>
      <c r="H30" s="94"/>
      <c r="I30" s="94"/>
      <c r="J30" s="94"/>
      <c r="K30" s="94"/>
      <c r="L30" s="94"/>
      <c r="M30" s="94"/>
      <c r="N30" s="94"/>
    </row>
    <row r="31" spans="1:18" x14ac:dyDescent="0.3">
      <c r="B31" s="94"/>
      <c r="C31" s="94"/>
      <c r="D31" s="94"/>
      <c r="E31" s="94"/>
      <c r="F31" s="94"/>
      <c r="G31" s="94"/>
      <c r="H31" s="94"/>
      <c r="I31" s="94"/>
      <c r="J31" s="94"/>
      <c r="K31" s="94"/>
      <c r="L31" s="94"/>
      <c r="M31" s="94"/>
      <c r="N31" s="94"/>
    </row>
    <row r="32" spans="1:18" x14ac:dyDescent="0.3">
      <c r="B32" s="94"/>
      <c r="C32" s="94"/>
      <c r="D32" s="94"/>
      <c r="E32" s="94"/>
      <c r="F32" s="94"/>
      <c r="G32" s="94"/>
      <c r="H32" s="94"/>
      <c r="I32" s="94"/>
      <c r="J32" s="94"/>
      <c r="K32" s="94"/>
      <c r="L32" s="94"/>
      <c r="M32" s="94"/>
      <c r="N32" s="94"/>
    </row>
    <row r="33" spans="2:14" x14ac:dyDescent="0.3">
      <c r="B33" s="94"/>
      <c r="C33" s="94"/>
      <c r="D33" s="94"/>
      <c r="E33" s="94"/>
      <c r="F33" s="94"/>
      <c r="G33" s="94"/>
      <c r="H33" s="94"/>
      <c r="I33" s="94"/>
      <c r="J33" s="94"/>
      <c r="K33" s="94"/>
      <c r="L33" s="94"/>
      <c r="M33" s="94"/>
      <c r="N33" s="94"/>
    </row>
    <row r="34" spans="2:14" x14ac:dyDescent="0.3">
      <c r="B34" s="94"/>
      <c r="C34" s="94"/>
      <c r="D34" s="94"/>
      <c r="E34" s="94"/>
      <c r="F34" s="94"/>
      <c r="G34" s="94"/>
      <c r="H34" s="94"/>
      <c r="I34" s="94"/>
      <c r="J34" s="94"/>
      <c r="K34" s="94"/>
      <c r="L34" s="94"/>
      <c r="M34" s="94"/>
      <c r="N34" s="94"/>
    </row>
    <row r="35" spans="2:14" x14ac:dyDescent="0.3">
      <c r="B35" s="94"/>
      <c r="C35" s="94"/>
      <c r="D35" s="94"/>
      <c r="E35" s="94"/>
      <c r="F35" s="94"/>
      <c r="G35" s="94"/>
      <c r="H35" s="94"/>
      <c r="I35" s="94"/>
      <c r="J35" s="94"/>
      <c r="K35" s="94"/>
      <c r="L35" s="94"/>
      <c r="M35" s="94"/>
      <c r="N35" s="94"/>
    </row>
    <row r="36" spans="2:14" x14ac:dyDescent="0.3">
      <c r="B36" s="94"/>
      <c r="C36" s="94"/>
      <c r="D36" s="94"/>
      <c r="E36" s="94"/>
      <c r="F36" s="94"/>
      <c r="G36" s="94"/>
      <c r="H36" s="94"/>
      <c r="I36" s="94"/>
      <c r="J36" s="94"/>
      <c r="K36" s="94"/>
      <c r="L36" s="94"/>
      <c r="M36" s="94"/>
      <c r="N36" s="94"/>
    </row>
    <row r="37" spans="2:14" x14ac:dyDescent="0.3">
      <c r="B37" s="94"/>
      <c r="C37" s="94"/>
      <c r="D37" s="94"/>
      <c r="E37" s="94"/>
      <c r="F37" s="94"/>
      <c r="G37" s="94"/>
      <c r="H37" s="94"/>
      <c r="I37" s="94"/>
      <c r="J37" s="94"/>
      <c r="K37" s="94"/>
      <c r="L37" s="94"/>
      <c r="M37" s="94"/>
      <c r="N37" s="94"/>
    </row>
    <row r="38" spans="2:14" x14ac:dyDescent="0.3">
      <c r="B38" s="94"/>
      <c r="C38" s="94"/>
      <c r="D38" s="94"/>
      <c r="E38" s="94"/>
      <c r="F38" s="94"/>
      <c r="G38" s="94"/>
      <c r="H38" s="94"/>
      <c r="I38" s="94"/>
      <c r="J38" s="94"/>
      <c r="K38" s="94"/>
      <c r="L38" s="94"/>
      <c r="M38" s="94"/>
      <c r="N38" s="94"/>
    </row>
    <row r="39" spans="2:14" x14ac:dyDescent="0.3">
      <c r="B39" s="94"/>
      <c r="C39" s="94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</row>
    <row r="40" spans="2:14" x14ac:dyDescent="0.3">
      <c r="B40" s="94"/>
      <c r="C40" s="94"/>
      <c r="D40" s="94"/>
      <c r="E40" s="94"/>
      <c r="F40" s="94"/>
      <c r="G40" s="94"/>
      <c r="H40" s="94"/>
      <c r="I40" s="94"/>
      <c r="J40" s="94"/>
      <c r="K40" s="94"/>
      <c r="L40" s="94"/>
      <c r="M40" s="94"/>
      <c r="N40" s="94"/>
    </row>
    <row r="41" spans="2:14" x14ac:dyDescent="0.3">
      <c r="B41" s="94"/>
      <c r="C41" s="94"/>
      <c r="D41" s="94"/>
      <c r="E41" s="94"/>
      <c r="F41" s="94"/>
      <c r="G41" s="94"/>
      <c r="H41" s="94"/>
      <c r="I41" s="94"/>
      <c r="J41" s="94"/>
      <c r="K41" s="94"/>
      <c r="L41" s="94"/>
      <c r="M41" s="94"/>
      <c r="N41" s="94"/>
    </row>
    <row r="42" spans="2:14" x14ac:dyDescent="0.3">
      <c r="B42" s="94"/>
      <c r="C42" s="94"/>
      <c r="D42" s="94"/>
      <c r="E42" s="94"/>
      <c r="F42" s="94"/>
      <c r="G42" s="94"/>
      <c r="H42" s="94"/>
      <c r="I42" s="94"/>
      <c r="J42" s="94"/>
      <c r="K42" s="94"/>
      <c r="L42" s="94"/>
      <c r="M42" s="94"/>
      <c r="N42" s="94"/>
    </row>
    <row r="43" spans="2:14" x14ac:dyDescent="0.3">
      <c r="F43" s="123"/>
      <c r="L43" s="94"/>
    </row>
    <row r="44" spans="2:14" x14ac:dyDescent="0.3">
      <c r="F44" s="123"/>
      <c r="L44" s="94"/>
    </row>
    <row r="45" spans="2:14" x14ac:dyDescent="0.3">
      <c r="F45" s="123"/>
      <c r="L45" s="94"/>
    </row>
    <row r="46" spans="2:14" x14ac:dyDescent="0.3">
      <c r="F46" s="123"/>
      <c r="L46" s="94"/>
    </row>
    <row r="47" spans="2:14" x14ac:dyDescent="0.3">
      <c r="F47" s="123"/>
      <c r="L47" s="94"/>
    </row>
    <row r="48" spans="2:14" x14ac:dyDescent="0.3">
      <c r="F48" s="123"/>
      <c r="L48" s="94"/>
    </row>
  </sheetData>
  <mergeCells count="14">
    <mergeCell ref="F1:F2"/>
    <mergeCell ref="A1:A2"/>
    <mergeCell ref="B1:B2"/>
    <mergeCell ref="C1:C2"/>
    <mergeCell ref="D1:D2"/>
    <mergeCell ref="E1:E2"/>
    <mergeCell ref="U5:V5"/>
    <mergeCell ref="H16:K16"/>
    <mergeCell ref="G1:G2"/>
    <mergeCell ref="I1:I2"/>
    <mergeCell ref="J1:J2"/>
    <mergeCell ref="K1:K2"/>
    <mergeCell ref="L1:L2"/>
    <mergeCell ref="O1:T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EC6AC-634C-4709-BB08-49F833364899}">
  <sheetPr codeName="Sheet16"/>
  <dimension ref="A1:Z48"/>
  <sheetViews>
    <sheetView workbookViewId="0">
      <selection activeCell="G6" sqref="G6"/>
    </sheetView>
  </sheetViews>
  <sheetFormatPr defaultColWidth="9.109375" defaultRowHeight="14.4" x14ac:dyDescent="0.3"/>
  <cols>
    <col min="1" max="2" width="9.109375" style="28"/>
    <col min="3" max="3" width="11.109375" style="28" customWidth="1"/>
    <col min="4" max="4" width="15.44140625" style="28" customWidth="1"/>
    <col min="5" max="5" width="12" style="28" customWidth="1"/>
    <col min="6" max="6" width="17.109375" style="39" customWidth="1"/>
    <col min="7" max="7" width="13.33203125" style="28" customWidth="1"/>
    <col min="8" max="8" width="11.44140625" style="28" customWidth="1"/>
    <col min="9" max="9" width="17.33203125" style="28" customWidth="1"/>
    <col min="10" max="10" width="11.6640625" style="28" customWidth="1"/>
    <col min="11" max="11" width="16.109375" style="28" customWidth="1"/>
    <col min="12" max="12" width="13.5546875" style="28" customWidth="1"/>
    <col min="13" max="13" width="9.109375" style="28"/>
    <col min="14" max="14" width="9.109375" style="28" customWidth="1"/>
    <col min="15" max="20" width="9.109375" style="28"/>
    <col min="21" max="21" width="15.109375" style="28" customWidth="1"/>
    <col min="22" max="22" width="13.6640625" style="28" customWidth="1"/>
    <col min="23" max="25" width="9.109375" style="28"/>
    <col min="26" max="26" width="9.5546875" style="28" customWidth="1"/>
    <col min="27" max="16384" width="9.109375" style="28"/>
  </cols>
  <sheetData>
    <row r="1" spans="1:26" ht="45" customHeight="1" thickBot="1" x14ac:dyDescent="0.4">
      <c r="A1" s="185" t="s">
        <v>0</v>
      </c>
      <c r="B1" s="187" t="s">
        <v>1</v>
      </c>
      <c r="C1" s="189" t="s">
        <v>2</v>
      </c>
      <c r="D1" s="191" t="s">
        <v>3</v>
      </c>
      <c r="E1" s="193" t="s">
        <v>4</v>
      </c>
      <c r="F1" s="179" t="s">
        <v>5</v>
      </c>
      <c r="G1" s="195" t="s">
        <v>6</v>
      </c>
      <c r="H1" s="92" t="s">
        <v>7</v>
      </c>
      <c r="I1" s="195" t="s">
        <v>8</v>
      </c>
      <c r="J1" s="196" t="s">
        <v>9</v>
      </c>
      <c r="K1" s="187" t="s">
        <v>10</v>
      </c>
      <c r="L1" s="187" t="s">
        <v>11</v>
      </c>
      <c r="M1" s="94"/>
      <c r="N1" s="94"/>
      <c r="O1" s="182" t="s">
        <v>12</v>
      </c>
      <c r="P1" s="182"/>
      <c r="Q1" s="182"/>
      <c r="R1" s="182"/>
      <c r="S1" s="182"/>
      <c r="T1" s="182"/>
      <c r="Z1" s="29">
        <v>45677</v>
      </c>
    </row>
    <row r="2" spans="1:26" ht="17.100000000000001" customHeight="1" thickBot="1" x14ac:dyDescent="0.35">
      <c r="A2" s="199"/>
      <c r="B2" s="200"/>
      <c r="C2" s="201"/>
      <c r="D2" s="202"/>
      <c r="E2" s="203"/>
      <c r="F2" s="198"/>
      <c r="G2" s="198"/>
      <c r="H2" s="129"/>
      <c r="I2" s="198"/>
      <c r="J2" s="204"/>
      <c r="K2" s="200"/>
      <c r="L2" s="200"/>
      <c r="M2" s="94"/>
      <c r="N2" s="94"/>
      <c r="O2" s="96" t="s">
        <v>13</v>
      </c>
      <c r="P2" s="97" t="s">
        <v>13</v>
      </c>
      <c r="Q2" s="98" t="s">
        <v>13</v>
      </c>
      <c r="R2" s="96" t="s">
        <v>14</v>
      </c>
      <c r="S2" s="97" t="s">
        <v>14</v>
      </c>
      <c r="T2" s="98" t="s">
        <v>14</v>
      </c>
      <c r="U2" s="94"/>
      <c r="V2" s="94"/>
    </row>
    <row r="3" spans="1:26" ht="17.100000000000001" customHeight="1" thickBot="1" x14ac:dyDescent="0.35">
      <c r="A3" s="62" t="s">
        <v>38</v>
      </c>
      <c r="B3" s="70" t="s">
        <v>16</v>
      </c>
      <c r="C3" s="63">
        <v>107</v>
      </c>
      <c r="D3" s="131" t="s">
        <v>22</v>
      </c>
      <c r="E3" s="73">
        <v>1</v>
      </c>
      <c r="F3" s="132">
        <v>94</v>
      </c>
      <c r="G3" s="133">
        <v>25</v>
      </c>
      <c r="H3" s="134">
        <f>RANK(G3,$G$3:$G$9)</f>
        <v>2</v>
      </c>
      <c r="I3" s="135">
        <v>88</v>
      </c>
      <c r="J3" s="64">
        <f>RANK(I3,$I$3:$I$9)+COUNTIF(I3:$I$3,I3)-1</f>
        <v>3</v>
      </c>
      <c r="K3" s="136">
        <f>(E3+J3)/2</f>
        <v>2</v>
      </c>
      <c r="L3" s="137">
        <f>RANK(K3,$K$3:$K$9,1)+COUNTIF(K3:$K$6,K3)-1</f>
        <v>1</v>
      </c>
      <c r="M3" s="94"/>
      <c r="N3" s="94"/>
      <c r="O3" s="103" t="s">
        <v>18</v>
      </c>
      <c r="P3" s="104" t="s">
        <v>19</v>
      </c>
      <c r="Q3" s="105" t="s">
        <v>20</v>
      </c>
      <c r="R3" s="103" t="s">
        <v>18</v>
      </c>
      <c r="S3" s="104" t="s">
        <v>19</v>
      </c>
      <c r="T3" s="106" t="s">
        <v>20</v>
      </c>
      <c r="U3" s="94"/>
      <c r="V3" s="94"/>
    </row>
    <row r="4" spans="1:26" ht="17.100000000000001" customHeight="1" thickBot="1" x14ac:dyDescent="0.35">
      <c r="A4" s="65" t="s">
        <v>27</v>
      </c>
      <c r="B4" s="71" t="s">
        <v>24</v>
      </c>
      <c r="C4" s="31">
        <v>104</v>
      </c>
      <c r="D4" s="94" t="s">
        <v>22</v>
      </c>
      <c r="E4" s="74">
        <v>2</v>
      </c>
      <c r="F4" s="130">
        <v>87</v>
      </c>
      <c r="G4" s="94">
        <v>41</v>
      </c>
      <c r="H4" s="138">
        <f>RANK(G4,$G$3:$G$9)</f>
        <v>1</v>
      </c>
      <c r="I4" s="94">
        <v>88</v>
      </c>
      <c r="J4" s="34">
        <f>RANK(I4,$I$3:$I$9)+COUNTIF(I$3:$I4,I4)-1</f>
        <v>4</v>
      </c>
      <c r="K4" s="109">
        <f>(E4+J4)/2</f>
        <v>3</v>
      </c>
      <c r="L4" s="139">
        <f>RANK(K4,$K$3:$K$9,1)+COUNTIF(K4:$K$6,K4)-1</f>
        <v>2</v>
      </c>
      <c r="M4" s="94"/>
      <c r="N4" s="94"/>
      <c r="O4" s="48">
        <v>50</v>
      </c>
      <c r="P4" s="110"/>
      <c r="Q4" s="111"/>
      <c r="R4" s="49">
        <v>20</v>
      </c>
      <c r="S4" s="112"/>
      <c r="T4" s="113"/>
    </row>
    <row r="5" spans="1:26" ht="17.100000000000001" customHeight="1" thickBot="1" x14ac:dyDescent="0.35">
      <c r="A5" s="65" t="s">
        <v>27</v>
      </c>
      <c r="B5" s="71" t="s">
        <v>21</v>
      </c>
      <c r="C5" s="31">
        <v>103</v>
      </c>
      <c r="D5" s="94" t="s">
        <v>22</v>
      </c>
      <c r="E5" s="74">
        <v>3</v>
      </c>
      <c r="F5" s="130">
        <v>114</v>
      </c>
      <c r="G5" s="94">
        <v>25</v>
      </c>
      <c r="H5" s="138">
        <f>RANK(G5,$G$3:$G$9)</f>
        <v>2</v>
      </c>
      <c r="I5" s="94">
        <v>87</v>
      </c>
      <c r="J5" s="34">
        <f>RANK(I5,$I$3:$I$9)+COUNTIF(I$3:$I5,I5)-1</f>
        <v>6</v>
      </c>
      <c r="K5" s="109">
        <f>(E5+J5)/2</f>
        <v>4.5</v>
      </c>
      <c r="L5" s="139">
        <f>RANK(K5,$K$3:$K$9,1)+COUNTIF(K5:$K$6,K5)-1</f>
        <v>4</v>
      </c>
      <c r="M5" s="94"/>
      <c r="N5" s="94"/>
      <c r="U5" s="183" t="s">
        <v>23</v>
      </c>
      <c r="V5" s="184"/>
    </row>
    <row r="6" spans="1:26" x14ac:dyDescent="0.3">
      <c r="A6" s="65" t="s">
        <v>147</v>
      </c>
      <c r="B6" s="84" t="s">
        <v>45</v>
      </c>
      <c r="C6" s="84">
        <v>102</v>
      </c>
      <c r="D6" s="85" t="s">
        <v>22</v>
      </c>
      <c r="E6" s="86">
        <v>4</v>
      </c>
      <c r="F6" s="87"/>
      <c r="G6" s="85"/>
      <c r="H6" s="88"/>
      <c r="I6" s="84">
        <v>89</v>
      </c>
      <c r="J6" s="84"/>
      <c r="K6" s="89"/>
      <c r="L6" s="90"/>
      <c r="M6" s="94"/>
      <c r="N6" s="94"/>
      <c r="U6" s="115" t="s">
        <v>25</v>
      </c>
      <c r="V6" s="116" t="s">
        <v>26</v>
      </c>
    </row>
    <row r="7" spans="1:26" ht="15" thickBot="1" x14ac:dyDescent="0.35">
      <c r="A7" s="66" t="s">
        <v>15</v>
      </c>
      <c r="B7" s="71" t="s">
        <v>28</v>
      </c>
      <c r="C7" s="31">
        <v>86</v>
      </c>
      <c r="D7" s="94" t="s">
        <v>46</v>
      </c>
      <c r="E7" s="74">
        <v>5</v>
      </c>
      <c r="F7" s="130">
        <v>310</v>
      </c>
      <c r="G7" s="94">
        <v>25</v>
      </c>
      <c r="H7" s="138">
        <f>RANK(G7,$G$3:$G$9)</f>
        <v>2</v>
      </c>
      <c r="I7" s="94">
        <v>88</v>
      </c>
      <c r="J7" s="34">
        <f>RANK(I7,$I$3:$I$9)+COUNTIF(I$3:$I7,I7)-1</f>
        <v>5</v>
      </c>
      <c r="K7" s="109">
        <f>(E7+J7)/2</f>
        <v>5</v>
      </c>
      <c r="L7" s="139">
        <f>RANK(K7,$K$3:$K$9,1)+COUNTIF(K$6:$K7,K7)-1</f>
        <v>5</v>
      </c>
      <c r="M7" s="94"/>
      <c r="N7" s="94"/>
      <c r="U7" s="117">
        <f>P4+S4</f>
        <v>0</v>
      </c>
      <c r="V7" s="118">
        <f>Q4+T4</f>
        <v>0</v>
      </c>
    </row>
    <row r="8" spans="1:26" ht="15" thickTop="1" x14ac:dyDescent="0.3">
      <c r="A8" s="66"/>
      <c r="B8" s="71" t="s">
        <v>30</v>
      </c>
      <c r="C8" s="31">
        <v>82</v>
      </c>
      <c r="D8" s="94" t="s">
        <v>46</v>
      </c>
      <c r="E8" s="74">
        <v>6</v>
      </c>
      <c r="F8" s="130">
        <v>203</v>
      </c>
      <c r="G8" s="94">
        <v>23</v>
      </c>
      <c r="H8" s="138">
        <f>RANK(G8,$G$3:$G$9)</f>
        <v>5</v>
      </c>
      <c r="I8" s="94">
        <v>89</v>
      </c>
      <c r="J8" s="34">
        <f>RANK(I8,$I$3:$I$9)+COUNTIF(I$3:$I8,I8)-1</f>
        <v>2</v>
      </c>
      <c r="K8" s="109">
        <f>(E8+J8)/2</f>
        <v>4</v>
      </c>
      <c r="L8" s="139">
        <f>RANK(K8,$K$3:$K$9,1)+COUNTIF(K$6:$K8,K8)-1</f>
        <v>3</v>
      </c>
      <c r="M8" s="94"/>
      <c r="N8" s="94"/>
      <c r="U8" s="140"/>
      <c r="V8" s="140"/>
    </row>
    <row r="9" spans="1:26" ht="15" thickBot="1" x14ac:dyDescent="0.35">
      <c r="A9" s="67"/>
      <c r="B9" s="72"/>
      <c r="C9" s="68"/>
      <c r="D9" s="141"/>
      <c r="E9" s="75"/>
      <c r="F9" s="142"/>
      <c r="G9" s="141"/>
      <c r="H9" s="143"/>
      <c r="I9" s="141"/>
      <c r="J9" s="69"/>
      <c r="K9" s="144"/>
      <c r="L9" s="145"/>
      <c r="M9" s="94"/>
      <c r="N9" s="94"/>
      <c r="U9" s="140"/>
      <c r="V9" s="140"/>
    </row>
    <row r="10" spans="1:26" x14ac:dyDescent="0.3">
      <c r="A10" s="76"/>
      <c r="B10" s="76"/>
      <c r="C10" s="76"/>
      <c r="D10" s="76"/>
      <c r="E10" s="76"/>
      <c r="F10" s="76"/>
      <c r="G10" s="76"/>
      <c r="H10" s="76"/>
      <c r="I10" s="76"/>
      <c r="J10" s="76"/>
      <c r="K10" s="76"/>
      <c r="L10" s="76"/>
      <c r="M10" s="94"/>
      <c r="N10" s="94"/>
      <c r="U10" s="140"/>
      <c r="V10" s="140"/>
    </row>
    <row r="11" spans="1:26" x14ac:dyDescent="0.3">
      <c r="A11" s="76"/>
      <c r="B11" s="76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94"/>
      <c r="N11" s="94"/>
      <c r="U11" s="140"/>
      <c r="V11" s="140"/>
    </row>
    <row r="12" spans="1:26" x14ac:dyDescent="0.3">
      <c r="B12" s="122" t="s">
        <v>33</v>
      </c>
      <c r="C12" s="122" t="s">
        <v>34</v>
      </c>
      <c r="D12" s="122"/>
      <c r="F12" s="94"/>
      <c r="G12" s="94"/>
      <c r="H12" s="94"/>
      <c r="I12" s="94"/>
      <c r="J12" s="94"/>
      <c r="K12" s="94"/>
      <c r="L12" s="94"/>
      <c r="M12" s="94"/>
      <c r="N12" s="94"/>
    </row>
    <row r="13" spans="1:26" x14ac:dyDescent="0.3">
      <c r="B13" s="122" t="s">
        <v>35</v>
      </c>
      <c r="C13" t="s">
        <v>36</v>
      </c>
      <c r="D13" s="122"/>
      <c r="F13" s="123"/>
      <c r="G13" s="94"/>
      <c r="H13" s="94"/>
      <c r="I13" s="94"/>
      <c r="K13" s="94"/>
      <c r="L13" s="94"/>
      <c r="M13" s="94"/>
      <c r="N13" s="94"/>
    </row>
    <row r="14" spans="1:26" x14ac:dyDescent="0.3">
      <c r="B14" s="1" t="s">
        <v>33</v>
      </c>
      <c r="C14" s="27" t="s">
        <v>34</v>
      </c>
      <c r="D14" s="122"/>
      <c r="F14" s="94"/>
      <c r="G14" s="94"/>
      <c r="H14" s="94"/>
      <c r="I14" s="94"/>
      <c r="J14" s="94"/>
      <c r="K14" s="94"/>
      <c r="L14" s="94"/>
      <c r="M14" s="94"/>
    </row>
    <row r="15" spans="1:26" x14ac:dyDescent="0.3">
      <c r="A15" s="123"/>
      <c r="B15" s="2"/>
      <c r="C15" s="2"/>
      <c r="D15" s="2"/>
      <c r="E15" s="2"/>
      <c r="F15" s="94"/>
      <c r="G15" s="94"/>
      <c r="H15" s="94"/>
      <c r="I15" s="94"/>
      <c r="J15" s="94"/>
      <c r="K15" s="94"/>
      <c r="L15" s="94"/>
      <c r="M15" s="94"/>
    </row>
    <row r="16" spans="1:26" x14ac:dyDescent="0.3">
      <c r="A16" s="122"/>
      <c r="B16" s="122" t="s">
        <v>40</v>
      </c>
      <c r="C16" s="122"/>
      <c r="D16" s="122"/>
      <c r="F16" s="94"/>
      <c r="G16" s="94"/>
      <c r="H16" s="181"/>
      <c r="I16" s="181"/>
      <c r="J16" s="181"/>
      <c r="K16" s="181"/>
      <c r="L16" s="94"/>
      <c r="M16" s="94"/>
      <c r="N16" s="94"/>
      <c r="O16" s="94"/>
      <c r="P16" s="94"/>
      <c r="Q16" s="94"/>
      <c r="R16" s="94"/>
    </row>
    <row r="17" spans="1:18" x14ac:dyDescent="0.3">
      <c r="A17" s="122"/>
      <c r="B17" s="91"/>
      <c r="C17" s="2" t="s">
        <v>47</v>
      </c>
      <c r="D17" s="2"/>
      <c r="E17" s="2"/>
      <c r="F17" s="94"/>
      <c r="G17" s="94"/>
      <c r="H17" s="94"/>
      <c r="I17" s="94"/>
      <c r="J17" s="94"/>
      <c r="K17" s="94"/>
      <c r="L17" s="94"/>
      <c r="M17" s="94"/>
      <c r="N17" s="94"/>
      <c r="O17" s="94"/>
      <c r="P17" s="94"/>
      <c r="Q17" s="94"/>
      <c r="R17" s="94"/>
    </row>
    <row r="18" spans="1:18" ht="14.4" customHeight="1" x14ac:dyDescent="0.3">
      <c r="D18" s="124"/>
      <c r="E18" s="124"/>
      <c r="F18" s="124"/>
      <c r="G18" s="94"/>
      <c r="H18" s="94"/>
      <c r="I18" s="94"/>
      <c r="J18" s="94"/>
      <c r="K18" s="94"/>
      <c r="L18" s="94"/>
      <c r="M18" s="94"/>
      <c r="N18" s="94"/>
      <c r="O18" s="94"/>
      <c r="P18" s="94"/>
      <c r="Q18" s="94"/>
      <c r="R18" s="94"/>
    </row>
    <row r="19" spans="1:18" x14ac:dyDescent="0.3">
      <c r="A19" s="123"/>
      <c r="B19" s="94"/>
      <c r="C19" s="94"/>
      <c r="D19" s="94"/>
      <c r="E19" s="94"/>
      <c r="F19" s="94"/>
      <c r="G19" s="94"/>
      <c r="H19" s="94"/>
      <c r="I19" s="94"/>
      <c r="J19" s="94"/>
      <c r="K19" s="94"/>
      <c r="L19" s="94"/>
      <c r="M19" s="94"/>
    </row>
    <row r="20" spans="1:18" x14ac:dyDescent="0.3">
      <c r="A20" s="123"/>
      <c r="B20" s="94"/>
      <c r="C20" s="94"/>
      <c r="D20" s="94"/>
      <c r="E20" s="94"/>
      <c r="F20" s="94"/>
      <c r="G20" s="94"/>
      <c r="H20" s="94"/>
      <c r="I20" s="94"/>
      <c r="J20" s="94"/>
      <c r="K20" s="94"/>
      <c r="L20" s="94"/>
      <c r="M20" s="94"/>
    </row>
    <row r="21" spans="1:18" x14ac:dyDescent="0.3">
      <c r="B21" s="94"/>
      <c r="C21" s="94"/>
      <c r="D21" s="94"/>
      <c r="E21" s="94"/>
      <c r="F21" s="94"/>
      <c r="G21" s="94"/>
      <c r="H21" s="94"/>
      <c r="I21" s="94"/>
      <c r="J21" s="94"/>
      <c r="K21" s="94"/>
      <c r="L21" s="94"/>
      <c r="M21" s="94"/>
    </row>
    <row r="22" spans="1:18" x14ac:dyDescent="0.3">
      <c r="B22" s="94"/>
      <c r="C22" s="94"/>
      <c r="D22" s="94"/>
      <c r="E22" s="94"/>
      <c r="F22" s="94"/>
      <c r="G22" s="94"/>
      <c r="H22" s="94"/>
      <c r="I22" s="94"/>
      <c r="J22" s="94"/>
      <c r="K22" s="94"/>
      <c r="L22" s="94"/>
      <c r="M22" s="94"/>
    </row>
    <row r="23" spans="1:18" x14ac:dyDescent="0.3">
      <c r="B23" s="94"/>
      <c r="C23" s="94"/>
      <c r="D23" s="94"/>
      <c r="E23" s="94"/>
      <c r="F23" s="94"/>
      <c r="G23" s="94"/>
      <c r="H23" s="94"/>
      <c r="I23" s="94"/>
      <c r="J23" s="94"/>
      <c r="K23" s="94"/>
      <c r="L23" s="94"/>
      <c r="M23" s="94"/>
    </row>
    <row r="24" spans="1:18" x14ac:dyDescent="0.3">
      <c r="B24" s="94"/>
      <c r="C24" s="94"/>
      <c r="D24" s="94"/>
      <c r="E24" s="94"/>
      <c r="F24" s="94"/>
      <c r="G24" s="94"/>
      <c r="H24" s="94"/>
      <c r="I24" s="94"/>
      <c r="J24" s="94"/>
      <c r="K24" s="94"/>
      <c r="L24" s="94"/>
      <c r="M24" s="94"/>
    </row>
    <row r="25" spans="1:18" x14ac:dyDescent="0.3">
      <c r="B25" s="94"/>
      <c r="C25" s="94"/>
      <c r="D25" s="94"/>
      <c r="E25" s="94"/>
      <c r="F25" s="94"/>
      <c r="G25" s="94"/>
      <c r="H25" s="94"/>
      <c r="I25" s="94"/>
      <c r="J25" s="94"/>
      <c r="K25" s="94"/>
      <c r="L25" s="94"/>
      <c r="M25" s="94"/>
      <c r="N25" s="94"/>
    </row>
    <row r="26" spans="1:18" x14ac:dyDescent="0.3">
      <c r="B26" s="94"/>
      <c r="C26" s="94"/>
      <c r="D26" s="94"/>
      <c r="E26" s="94"/>
      <c r="F26" s="94"/>
      <c r="G26" s="94"/>
      <c r="H26" s="94"/>
      <c r="I26" s="94"/>
      <c r="J26" s="94"/>
      <c r="K26" s="94"/>
      <c r="L26" s="94"/>
      <c r="M26" s="94"/>
      <c r="N26" s="94"/>
    </row>
    <row r="27" spans="1:18" x14ac:dyDescent="0.3">
      <c r="B27" s="94"/>
      <c r="C27" s="94"/>
      <c r="D27" s="94"/>
      <c r="E27" s="94"/>
      <c r="F27" s="94"/>
      <c r="G27" s="94"/>
      <c r="H27" s="94"/>
      <c r="I27" s="94"/>
      <c r="J27" s="94"/>
      <c r="K27" s="94"/>
      <c r="L27" s="94"/>
      <c r="M27" s="94"/>
      <c r="N27" s="94"/>
    </row>
    <row r="28" spans="1:18" x14ac:dyDescent="0.3">
      <c r="B28" s="94"/>
      <c r="C28" s="94"/>
      <c r="D28" s="94"/>
      <c r="E28" s="94"/>
      <c r="F28" s="94"/>
      <c r="G28" s="94"/>
      <c r="H28" s="94"/>
      <c r="I28" s="94"/>
      <c r="J28" s="94"/>
      <c r="K28" s="94"/>
      <c r="L28" s="94"/>
      <c r="M28" s="94"/>
      <c r="N28" s="94"/>
    </row>
    <row r="29" spans="1:18" x14ac:dyDescent="0.3">
      <c r="B29" s="94"/>
      <c r="C29" s="94"/>
      <c r="D29" s="94"/>
      <c r="E29" s="94"/>
      <c r="F29" s="94"/>
      <c r="G29" s="94"/>
      <c r="H29" s="94"/>
      <c r="I29" s="94"/>
      <c r="J29" s="94"/>
      <c r="K29" s="94"/>
      <c r="L29" s="94"/>
      <c r="M29" s="94"/>
      <c r="N29" s="94"/>
    </row>
    <row r="30" spans="1:18" x14ac:dyDescent="0.3">
      <c r="B30" s="94"/>
      <c r="C30" s="94"/>
      <c r="D30" s="94"/>
      <c r="E30" s="94"/>
      <c r="F30" s="94"/>
      <c r="G30" s="94"/>
      <c r="H30" s="94"/>
      <c r="I30" s="94"/>
      <c r="J30" s="94"/>
      <c r="K30" s="94"/>
      <c r="L30" s="94"/>
      <c r="M30" s="94"/>
      <c r="N30" s="94"/>
    </row>
    <row r="31" spans="1:18" x14ac:dyDescent="0.3">
      <c r="B31" s="94"/>
      <c r="C31" s="94"/>
      <c r="D31" s="94"/>
      <c r="E31" s="94"/>
      <c r="F31" s="94"/>
      <c r="G31" s="94"/>
      <c r="H31" s="94"/>
      <c r="I31" s="94"/>
      <c r="J31" s="94"/>
      <c r="K31" s="94"/>
      <c r="L31" s="94"/>
      <c r="M31" s="94"/>
      <c r="N31" s="94"/>
    </row>
    <row r="32" spans="1:18" x14ac:dyDescent="0.3">
      <c r="B32" s="94"/>
      <c r="C32" s="94"/>
      <c r="D32" s="94"/>
      <c r="E32" s="94"/>
      <c r="F32" s="94"/>
      <c r="G32" s="94"/>
      <c r="H32" s="94"/>
      <c r="I32" s="94"/>
      <c r="J32" s="94"/>
      <c r="K32" s="94"/>
      <c r="L32" s="94"/>
      <c r="M32" s="94"/>
      <c r="N32" s="94"/>
    </row>
    <row r="33" spans="2:14" x14ac:dyDescent="0.3">
      <c r="B33" s="94"/>
      <c r="C33" s="94"/>
      <c r="D33" s="94"/>
      <c r="E33" s="94"/>
      <c r="F33" s="94"/>
      <c r="G33" s="94"/>
      <c r="H33" s="94"/>
      <c r="I33" s="94"/>
      <c r="J33" s="94"/>
      <c r="K33" s="94"/>
      <c r="L33" s="94"/>
      <c r="M33" s="94"/>
      <c r="N33" s="94"/>
    </row>
    <row r="34" spans="2:14" x14ac:dyDescent="0.3">
      <c r="B34" s="94"/>
      <c r="C34" s="94"/>
      <c r="D34" s="94"/>
      <c r="E34" s="94"/>
      <c r="F34" s="94"/>
      <c r="G34" s="94"/>
      <c r="H34" s="94"/>
      <c r="I34" s="94"/>
      <c r="J34" s="94"/>
      <c r="K34" s="94"/>
      <c r="L34" s="94"/>
      <c r="M34" s="94"/>
      <c r="N34" s="94"/>
    </row>
    <row r="35" spans="2:14" x14ac:dyDescent="0.3">
      <c r="B35" s="94"/>
      <c r="C35" s="94"/>
      <c r="D35" s="94"/>
      <c r="E35" s="94"/>
      <c r="F35" s="94"/>
      <c r="G35" s="94"/>
      <c r="H35" s="94"/>
      <c r="I35" s="94"/>
      <c r="J35" s="94"/>
      <c r="K35" s="94"/>
      <c r="L35" s="94"/>
      <c r="M35" s="94"/>
      <c r="N35" s="94"/>
    </row>
    <row r="36" spans="2:14" x14ac:dyDescent="0.3">
      <c r="B36" s="94"/>
      <c r="C36" s="94"/>
      <c r="D36" s="94"/>
      <c r="E36" s="94"/>
      <c r="F36" s="94"/>
      <c r="G36" s="94"/>
      <c r="H36" s="94"/>
      <c r="I36" s="94"/>
      <c r="J36" s="94"/>
      <c r="K36" s="94"/>
      <c r="L36" s="94"/>
      <c r="M36" s="94"/>
      <c r="N36" s="94"/>
    </row>
    <row r="37" spans="2:14" x14ac:dyDescent="0.3">
      <c r="B37" s="94"/>
      <c r="C37" s="94"/>
      <c r="D37" s="94"/>
      <c r="E37" s="94"/>
      <c r="F37" s="94"/>
      <c r="G37" s="94"/>
      <c r="H37" s="94"/>
      <c r="I37" s="94"/>
      <c r="J37" s="94"/>
      <c r="K37" s="94"/>
      <c r="L37" s="94"/>
      <c r="M37" s="94"/>
      <c r="N37" s="94"/>
    </row>
    <row r="38" spans="2:14" x14ac:dyDescent="0.3">
      <c r="B38" s="94"/>
      <c r="C38" s="94"/>
      <c r="D38" s="94"/>
      <c r="E38" s="94"/>
      <c r="F38" s="94"/>
      <c r="G38" s="94"/>
      <c r="H38" s="94"/>
      <c r="I38" s="94"/>
      <c r="J38" s="94"/>
      <c r="K38" s="94"/>
      <c r="L38" s="94"/>
      <c r="M38" s="94"/>
      <c r="N38" s="94"/>
    </row>
    <row r="39" spans="2:14" x14ac:dyDescent="0.3">
      <c r="B39" s="94"/>
      <c r="C39" s="94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</row>
    <row r="40" spans="2:14" x14ac:dyDescent="0.3">
      <c r="B40" s="94"/>
      <c r="C40" s="94"/>
      <c r="D40" s="94"/>
      <c r="E40" s="94"/>
      <c r="F40" s="94"/>
      <c r="G40" s="94"/>
      <c r="H40" s="94"/>
      <c r="I40" s="94"/>
      <c r="J40" s="94"/>
      <c r="K40" s="94"/>
      <c r="L40" s="94"/>
      <c r="M40" s="94"/>
      <c r="N40" s="94"/>
    </row>
    <row r="41" spans="2:14" x14ac:dyDescent="0.3">
      <c r="B41" s="94"/>
      <c r="C41" s="94"/>
      <c r="D41" s="94"/>
      <c r="E41" s="94"/>
      <c r="F41" s="94"/>
      <c r="G41" s="94"/>
      <c r="H41" s="94"/>
      <c r="I41" s="94"/>
      <c r="J41" s="94"/>
      <c r="K41" s="94"/>
      <c r="L41" s="94"/>
      <c r="M41" s="94"/>
      <c r="N41" s="94"/>
    </row>
    <row r="42" spans="2:14" x14ac:dyDescent="0.3">
      <c r="B42" s="94"/>
      <c r="C42" s="94"/>
      <c r="D42" s="94"/>
      <c r="E42" s="94"/>
      <c r="F42" s="94"/>
      <c r="G42" s="94"/>
      <c r="H42" s="94"/>
      <c r="I42" s="94"/>
      <c r="J42" s="94"/>
      <c r="K42" s="94"/>
      <c r="L42" s="94"/>
      <c r="M42" s="94"/>
      <c r="N42" s="94"/>
    </row>
    <row r="43" spans="2:14" x14ac:dyDescent="0.3">
      <c r="F43" s="123"/>
      <c r="L43" s="94"/>
    </row>
    <row r="44" spans="2:14" x14ac:dyDescent="0.3">
      <c r="F44" s="123"/>
      <c r="L44" s="94"/>
    </row>
    <row r="45" spans="2:14" x14ac:dyDescent="0.3">
      <c r="F45" s="123"/>
      <c r="L45" s="94"/>
    </row>
    <row r="46" spans="2:14" x14ac:dyDescent="0.3">
      <c r="F46" s="123"/>
      <c r="L46" s="94"/>
    </row>
    <row r="47" spans="2:14" x14ac:dyDescent="0.3">
      <c r="F47" s="123"/>
      <c r="L47" s="94"/>
    </row>
    <row r="48" spans="2:14" x14ac:dyDescent="0.3">
      <c r="F48" s="123"/>
      <c r="L48" s="94"/>
    </row>
  </sheetData>
  <mergeCells count="14">
    <mergeCell ref="U5:V5"/>
    <mergeCell ref="H16:K16"/>
    <mergeCell ref="G1:G2"/>
    <mergeCell ref="I1:I2"/>
    <mergeCell ref="J1:J2"/>
    <mergeCell ref="K1:K2"/>
    <mergeCell ref="L1:L2"/>
    <mergeCell ref="O1:T1"/>
    <mergeCell ref="F1:F2"/>
    <mergeCell ref="A1:A2"/>
    <mergeCell ref="B1:B2"/>
    <mergeCell ref="C1:C2"/>
    <mergeCell ref="D1:D2"/>
    <mergeCell ref="E1:E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E717B-603E-42EA-B61A-CFA8667F5E0E}">
  <sheetPr codeName="Sheet17"/>
  <dimension ref="A1:Z48"/>
  <sheetViews>
    <sheetView workbookViewId="0">
      <selection activeCell="B3" sqref="B3:B8"/>
    </sheetView>
  </sheetViews>
  <sheetFormatPr defaultColWidth="9.109375" defaultRowHeight="14.4" x14ac:dyDescent="0.3"/>
  <cols>
    <col min="1" max="2" width="9.109375" style="28"/>
    <col min="3" max="3" width="11.109375" style="28" customWidth="1"/>
    <col min="4" max="4" width="15.44140625" style="28" customWidth="1"/>
    <col min="5" max="5" width="12" style="28" customWidth="1"/>
    <col min="6" max="6" width="17.109375" style="39" customWidth="1"/>
    <col min="7" max="7" width="13.33203125" style="28" customWidth="1"/>
    <col min="8" max="8" width="11.44140625" style="28" customWidth="1"/>
    <col min="9" max="9" width="17.33203125" style="28" customWidth="1"/>
    <col min="10" max="10" width="11.6640625" style="28" customWidth="1"/>
    <col min="11" max="11" width="16.109375" style="28" customWidth="1"/>
    <col min="12" max="12" width="13.5546875" style="28" customWidth="1"/>
    <col min="13" max="13" width="9.109375" style="28"/>
    <col min="14" max="14" width="9.109375" style="28" customWidth="1"/>
    <col min="15" max="20" width="9.109375" style="28"/>
    <col min="21" max="21" width="15.109375" style="28" customWidth="1"/>
    <col min="22" max="22" width="13.6640625" style="28" customWidth="1"/>
    <col min="23" max="25" width="9.109375" style="28"/>
    <col min="26" max="26" width="9.5546875" style="28" customWidth="1"/>
    <col min="27" max="16384" width="9.109375" style="28"/>
  </cols>
  <sheetData>
    <row r="1" spans="1:26" ht="45" customHeight="1" thickBot="1" x14ac:dyDescent="0.4">
      <c r="A1" s="185" t="s">
        <v>0</v>
      </c>
      <c r="B1" s="187" t="s">
        <v>1</v>
      </c>
      <c r="C1" s="189" t="s">
        <v>2</v>
      </c>
      <c r="D1" s="191" t="s">
        <v>3</v>
      </c>
      <c r="E1" s="193" t="s">
        <v>4</v>
      </c>
      <c r="F1" s="179" t="s">
        <v>5</v>
      </c>
      <c r="G1" s="195" t="s">
        <v>6</v>
      </c>
      <c r="H1" s="92" t="s">
        <v>7</v>
      </c>
      <c r="I1" s="195" t="s">
        <v>8</v>
      </c>
      <c r="J1" s="196" t="s">
        <v>9</v>
      </c>
      <c r="K1" s="187" t="s">
        <v>10</v>
      </c>
      <c r="L1" s="187" t="s">
        <v>11</v>
      </c>
      <c r="M1" s="94"/>
      <c r="N1" s="94"/>
      <c r="O1" s="182" t="s">
        <v>12</v>
      </c>
      <c r="P1" s="182"/>
      <c r="Q1" s="182"/>
      <c r="R1" s="182"/>
      <c r="S1" s="182"/>
      <c r="T1" s="182"/>
      <c r="Z1" s="29">
        <v>45677</v>
      </c>
    </row>
    <row r="2" spans="1:26" ht="17.100000000000001" customHeight="1" thickBot="1" x14ac:dyDescent="0.35">
      <c r="A2" s="199"/>
      <c r="B2" s="200"/>
      <c r="C2" s="201"/>
      <c r="D2" s="202"/>
      <c r="E2" s="203"/>
      <c r="F2" s="198"/>
      <c r="G2" s="198"/>
      <c r="H2" s="129"/>
      <c r="I2" s="198"/>
      <c r="J2" s="204"/>
      <c r="K2" s="200"/>
      <c r="L2" s="200"/>
      <c r="M2" s="94"/>
      <c r="N2" s="94"/>
      <c r="O2" s="96" t="s">
        <v>13</v>
      </c>
      <c r="P2" s="97" t="s">
        <v>13</v>
      </c>
      <c r="Q2" s="98" t="s">
        <v>13</v>
      </c>
      <c r="R2" s="96" t="s">
        <v>14</v>
      </c>
      <c r="S2" s="97" t="s">
        <v>14</v>
      </c>
      <c r="T2" s="98" t="s">
        <v>14</v>
      </c>
      <c r="U2" s="94"/>
      <c r="V2" s="94"/>
    </row>
    <row r="3" spans="1:26" ht="17.100000000000001" customHeight="1" thickBot="1" x14ac:dyDescent="0.35">
      <c r="A3" s="62" t="s">
        <v>38</v>
      </c>
      <c r="B3" s="161" t="s">
        <v>16</v>
      </c>
      <c r="C3" s="63">
        <v>107</v>
      </c>
      <c r="D3" s="131" t="s">
        <v>22</v>
      </c>
      <c r="E3" s="73">
        <v>1</v>
      </c>
      <c r="F3" s="132">
        <v>228</v>
      </c>
      <c r="G3" s="133">
        <v>34</v>
      </c>
      <c r="H3" s="134">
        <f>RANK(G3,$G$3:$G$9)</f>
        <v>2</v>
      </c>
      <c r="I3" s="135">
        <v>89</v>
      </c>
      <c r="J3" s="64">
        <f>RANK(I3,$I$3:$I$9)+COUNTIF(I3:$I$3,I3)-1</f>
        <v>1</v>
      </c>
      <c r="K3" s="136">
        <f>(E3+J3)/2</f>
        <v>1</v>
      </c>
      <c r="L3" s="137">
        <f>RANK(K3,$K$3:$K$9,1)+COUNTIF(K3:$K$6,K3)-1</f>
        <v>1</v>
      </c>
      <c r="M3" s="94"/>
      <c r="N3" s="94"/>
      <c r="O3" s="103" t="s">
        <v>18</v>
      </c>
      <c r="P3" s="104" t="s">
        <v>19</v>
      </c>
      <c r="Q3" s="105" t="s">
        <v>20</v>
      </c>
      <c r="R3" s="103" t="s">
        <v>18</v>
      </c>
      <c r="S3" s="104" t="s">
        <v>19</v>
      </c>
      <c r="T3" s="106" t="s">
        <v>20</v>
      </c>
      <c r="U3" s="94"/>
      <c r="V3" s="94"/>
    </row>
    <row r="4" spans="1:26" ht="17.100000000000001" customHeight="1" thickBot="1" x14ac:dyDescent="0.35">
      <c r="A4" s="65" t="s">
        <v>27</v>
      </c>
      <c r="B4" s="162" t="s">
        <v>24</v>
      </c>
      <c r="C4" s="31">
        <v>104</v>
      </c>
      <c r="D4" s="94" t="s">
        <v>22</v>
      </c>
      <c r="E4" s="74">
        <v>2</v>
      </c>
      <c r="F4" s="130">
        <v>223</v>
      </c>
      <c r="G4" s="94">
        <v>41</v>
      </c>
      <c r="H4" s="138">
        <f>RANK(G4,$G$3:$G$9)</f>
        <v>1</v>
      </c>
      <c r="I4" s="94">
        <v>88</v>
      </c>
      <c r="J4" s="34">
        <f>RANK(I4,$I$3:$I$9)+COUNTIF(I$3:$I4,I4)-1</f>
        <v>4</v>
      </c>
      <c r="K4" s="109">
        <f>(E4+J4)/2</f>
        <v>3</v>
      </c>
      <c r="L4" s="139">
        <f>RANK(K4,$K$3:$K$9,1)+COUNTIF(K4:$K$6,K4)-1</f>
        <v>2</v>
      </c>
      <c r="M4" s="94"/>
      <c r="N4" s="94"/>
      <c r="O4" s="48">
        <v>50</v>
      </c>
      <c r="P4" s="110"/>
      <c r="Q4" s="111">
        <v>52</v>
      </c>
      <c r="R4" s="49">
        <v>20</v>
      </c>
      <c r="S4" s="112"/>
      <c r="T4" s="113"/>
    </row>
    <row r="5" spans="1:26" ht="17.100000000000001" customHeight="1" thickBot="1" x14ac:dyDescent="0.35">
      <c r="A5" s="65" t="s">
        <v>38</v>
      </c>
      <c r="B5" s="83" t="s">
        <v>21</v>
      </c>
      <c r="C5" s="31">
        <v>103</v>
      </c>
      <c r="D5" s="94" t="s">
        <v>22</v>
      </c>
      <c r="E5" s="74">
        <v>3</v>
      </c>
      <c r="F5" s="130">
        <v>154</v>
      </c>
      <c r="G5" s="94">
        <v>29</v>
      </c>
      <c r="H5" s="138">
        <f>RANK(G5,$G$3:$G$9)</f>
        <v>3</v>
      </c>
      <c r="I5" s="94">
        <v>87</v>
      </c>
      <c r="J5" s="34">
        <f>RANK(I5,$I$3:$I$9)+COUNTIF(I$3:$I5,I5)-1</f>
        <v>6</v>
      </c>
      <c r="K5" s="109">
        <f>(E5+J5)/2</f>
        <v>4.5</v>
      </c>
      <c r="L5" s="139">
        <f>RANK(K5,$K$3:$K$9,1)+COUNTIF(K5:$K$6,K5)-1</f>
        <v>4</v>
      </c>
      <c r="M5" s="94"/>
      <c r="N5" s="94"/>
      <c r="U5" s="183" t="s">
        <v>23</v>
      </c>
      <c r="V5" s="184"/>
    </row>
    <row r="6" spans="1:26" x14ac:dyDescent="0.3">
      <c r="A6" s="65" t="s">
        <v>15</v>
      </c>
      <c r="B6" s="162" t="s">
        <v>45</v>
      </c>
      <c r="C6" s="84">
        <v>102</v>
      </c>
      <c r="D6" s="85" t="s">
        <v>22</v>
      </c>
      <c r="E6" s="86">
        <v>4</v>
      </c>
      <c r="F6" s="87">
        <v>201</v>
      </c>
      <c r="G6" s="85">
        <v>11</v>
      </c>
      <c r="H6" s="88"/>
      <c r="I6" s="84">
        <v>88</v>
      </c>
      <c r="J6" s="84"/>
      <c r="K6" s="89"/>
      <c r="L6" s="90"/>
      <c r="M6" s="94"/>
      <c r="N6" s="94"/>
      <c r="U6" s="115" t="s">
        <v>25</v>
      </c>
      <c r="V6" s="116" t="s">
        <v>26</v>
      </c>
    </row>
    <row r="7" spans="1:26" ht="15" thickBot="1" x14ac:dyDescent="0.35">
      <c r="A7" s="66" t="s">
        <v>27</v>
      </c>
      <c r="B7" s="83" t="s">
        <v>28</v>
      </c>
      <c r="C7" s="31">
        <v>86</v>
      </c>
      <c r="D7" s="94" t="s">
        <v>46</v>
      </c>
      <c r="E7" s="74">
        <v>5</v>
      </c>
      <c r="F7" s="130">
        <v>248</v>
      </c>
      <c r="G7" s="94">
        <v>20</v>
      </c>
      <c r="H7" s="138">
        <f>RANK(G7,$G$3:$G$9)</f>
        <v>5</v>
      </c>
      <c r="I7" s="94">
        <v>89</v>
      </c>
      <c r="J7" s="34">
        <f>RANK(I7,$I$3:$I$9)+COUNTIF(I$3:$I7,I7)-1</f>
        <v>2</v>
      </c>
      <c r="K7" s="109">
        <f>(E7+J7)/2</f>
        <v>3.5</v>
      </c>
      <c r="L7" s="139">
        <f>RANK(K7,$K$3:$K$9,1)+COUNTIF(K$6:$K7,K7)-1</f>
        <v>3</v>
      </c>
      <c r="M7" s="94"/>
      <c r="N7" s="94"/>
      <c r="U7" s="117">
        <f>P4+S4</f>
        <v>0</v>
      </c>
      <c r="V7" s="118">
        <f>Q4+T4</f>
        <v>52</v>
      </c>
    </row>
    <row r="8" spans="1:26" ht="15" thickTop="1" x14ac:dyDescent="0.3">
      <c r="A8" s="66"/>
      <c r="B8" s="71" t="s">
        <v>30</v>
      </c>
      <c r="C8" s="31">
        <v>82</v>
      </c>
      <c r="D8" s="94" t="s">
        <v>46</v>
      </c>
      <c r="E8" s="74">
        <v>6</v>
      </c>
      <c r="F8" s="130">
        <v>203</v>
      </c>
      <c r="G8" s="94">
        <v>23</v>
      </c>
      <c r="H8" s="138">
        <f>RANK(G8,$G$3:$G$9)</f>
        <v>4</v>
      </c>
      <c r="I8" s="94">
        <v>89</v>
      </c>
      <c r="J8" s="34">
        <f>RANK(I8,$I$3:$I$9)+COUNTIF(I$3:$I8,I8)-1</f>
        <v>3</v>
      </c>
      <c r="K8" s="109">
        <f>(E8+J8)/2</f>
        <v>4.5</v>
      </c>
      <c r="L8" s="139">
        <f>RANK(K8,$K$3:$K$9,1)+COUNTIF(K$6:$K8,K8)-1</f>
        <v>4</v>
      </c>
      <c r="M8" s="94"/>
      <c r="N8" s="94"/>
      <c r="U8" s="140"/>
      <c r="V8" s="140"/>
    </row>
    <row r="9" spans="1:26" ht="15" thickBot="1" x14ac:dyDescent="0.35">
      <c r="A9" s="67"/>
      <c r="B9" s="72"/>
      <c r="C9" s="68"/>
      <c r="D9" s="141"/>
      <c r="E9" s="75"/>
      <c r="F9" s="142"/>
      <c r="G9" s="141"/>
      <c r="H9" s="143"/>
      <c r="I9" s="141"/>
      <c r="J9" s="69"/>
      <c r="K9" s="144"/>
      <c r="L9" s="145"/>
      <c r="M9" s="94"/>
      <c r="N9" s="94"/>
      <c r="U9" s="140"/>
      <c r="V9" s="140"/>
    </row>
    <row r="10" spans="1:26" x14ac:dyDescent="0.3">
      <c r="A10" s="76"/>
      <c r="B10" s="76"/>
      <c r="C10" s="76"/>
      <c r="D10" s="76"/>
      <c r="E10" s="76"/>
      <c r="F10" s="76"/>
      <c r="G10" s="76"/>
      <c r="H10" s="76"/>
      <c r="I10" s="76"/>
      <c r="J10" s="76"/>
      <c r="K10" s="76"/>
      <c r="L10" s="76"/>
      <c r="M10" s="94"/>
      <c r="N10" s="94"/>
      <c r="U10" s="140"/>
      <c r="V10" s="140"/>
    </row>
    <row r="11" spans="1:26" x14ac:dyDescent="0.3">
      <c r="A11" s="76"/>
      <c r="B11" s="76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94"/>
      <c r="N11" s="94"/>
      <c r="U11" s="140"/>
      <c r="V11" s="140"/>
    </row>
    <row r="12" spans="1:26" x14ac:dyDescent="0.3">
      <c r="B12" s="122" t="s">
        <v>33</v>
      </c>
      <c r="C12" s="122" t="s">
        <v>34</v>
      </c>
      <c r="D12" s="122"/>
      <c r="F12" s="94"/>
      <c r="G12" s="94"/>
      <c r="H12" s="94"/>
      <c r="I12" s="94"/>
      <c r="J12" s="94"/>
      <c r="K12" s="94"/>
      <c r="L12" s="94"/>
      <c r="M12" s="94"/>
      <c r="N12" s="94"/>
    </row>
    <row r="13" spans="1:26" x14ac:dyDescent="0.3">
      <c r="B13" s="122" t="s">
        <v>35</v>
      </c>
      <c r="C13" t="s">
        <v>36</v>
      </c>
      <c r="D13" s="122"/>
      <c r="F13" s="123"/>
      <c r="G13" s="94"/>
      <c r="H13" s="94"/>
      <c r="I13" s="94"/>
      <c r="K13" s="94"/>
      <c r="L13" s="94"/>
      <c r="M13" s="94"/>
      <c r="N13" s="94"/>
    </row>
    <row r="14" spans="1:26" x14ac:dyDescent="0.3">
      <c r="B14" s="1" t="s">
        <v>33</v>
      </c>
      <c r="C14" s="27" t="s">
        <v>34</v>
      </c>
      <c r="D14" s="122"/>
      <c r="F14" s="94"/>
      <c r="G14" s="94"/>
      <c r="H14" s="94"/>
      <c r="I14" s="94"/>
      <c r="J14" s="94"/>
      <c r="K14" s="94"/>
      <c r="L14" s="94"/>
      <c r="M14" s="94"/>
    </row>
    <row r="15" spans="1:26" x14ac:dyDescent="0.3">
      <c r="A15" s="123"/>
      <c r="B15" s="2"/>
      <c r="C15" s="2"/>
      <c r="D15" s="2"/>
      <c r="E15" s="2"/>
      <c r="F15" s="94"/>
      <c r="G15" s="94"/>
      <c r="H15" s="94"/>
      <c r="I15" s="94"/>
      <c r="J15" s="94"/>
      <c r="K15" s="94"/>
      <c r="L15" s="94"/>
      <c r="M15" s="94"/>
    </row>
    <row r="16" spans="1:26" x14ac:dyDescent="0.3">
      <c r="A16" s="122"/>
      <c r="B16" s="122" t="s">
        <v>40</v>
      </c>
      <c r="C16" s="122"/>
      <c r="D16" s="122"/>
      <c r="F16" s="94"/>
      <c r="G16" s="94"/>
      <c r="H16" s="181"/>
      <c r="I16" s="181"/>
      <c r="J16" s="181"/>
      <c r="K16" s="181"/>
      <c r="L16" s="94"/>
      <c r="M16" s="94"/>
      <c r="N16" s="94"/>
      <c r="O16" s="94"/>
      <c r="P16" s="94"/>
      <c r="Q16" s="94"/>
      <c r="R16" s="94"/>
    </row>
    <row r="17" spans="1:18" x14ac:dyDescent="0.3">
      <c r="A17" s="122"/>
      <c r="B17" s="91"/>
      <c r="C17" s="2" t="s">
        <v>47</v>
      </c>
      <c r="D17" s="2"/>
      <c r="E17" s="2"/>
      <c r="F17" s="94"/>
      <c r="G17" s="94"/>
      <c r="H17" s="94"/>
      <c r="I17" s="94"/>
      <c r="J17" s="94"/>
      <c r="K17" s="94"/>
      <c r="L17" s="94"/>
      <c r="M17" s="94"/>
      <c r="N17" s="94"/>
      <c r="O17" s="94"/>
      <c r="P17" s="94"/>
      <c r="Q17" s="94"/>
      <c r="R17" s="94"/>
    </row>
    <row r="18" spans="1:18" ht="14.4" customHeight="1" x14ac:dyDescent="0.3">
      <c r="D18" s="124"/>
      <c r="E18" s="124"/>
      <c r="F18" s="124"/>
      <c r="G18" s="94"/>
      <c r="H18" s="94"/>
      <c r="I18" s="94"/>
      <c r="J18" s="94"/>
      <c r="K18" s="94"/>
      <c r="L18" s="94"/>
      <c r="M18" s="94"/>
      <c r="N18" s="94"/>
      <c r="O18" s="94"/>
      <c r="P18" s="94"/>
      <c r="Q18" s="94"/>
      <c r="R18" s="94"/>
    </row>
    <row r="19" spans="1:18" x14ac:dyDescent="0.3">
      <c r="A19" s="123"/>
      <c r="B19" s="94"/>
      <c r="C19" s="94"/>
      <c r="D19" s="94"/>
      <c r="E19" s="94"/>
      <c r="F19" s="94"/>
      <c r="G19" s="94"/>
      <c r="H19" s="94"/>
      <c r="I19" s="94"/>
      <c r="J19" s="94"/>
      <c r="K19" s="94"/>
      <c r="L19" s="94"/>
      <c r="M19" s="94"/>
    </row>
    <row r="20" spans="1:18" x14ac:dyDescent="0.3">
      <c r="A20" s="123"/>
      <c r="B20" s="94"/>
      <c r="C20" s="94"/>
      <c r="D20" s="94"/>
      <c r="E20" s="94"/>
      <c r="F20" s="94"/>
      <c r="G20" s="94"/>
      <c r="H20" s="94"/>
      <c r="I20" s="94"/>
      <c r="J20" s="94"/>
      <c r="K20" s="94"/>
      <c r="L20" s="94"/>
      <c r="M20" s="94"/>
    </row>
    <row r="21" spans="1:18" x14ac:dyDescent="0.3">
      <c r="B21" s="94"/>
      <c r="C21" s="94"/>
      <c r="D21" s="94"/>
      <c r="E21" s="94"/>
      <c r="F21" s="94"/>
      <c r="G21" s="94"/>
      <c r="H21" s="94"/>
      <c r="I21" s="94"/>
      <c r="J21" s="94"/>
      <c r="K21" s="94"/>
      <c r="L21" s="94"/>
      <c r="M21" s="94"/>
    </row>
    <row r="22" spans="1:18" x14ac:dyDescent="0.3">
      <c r="B22" s="94"/>
      <c r="C22" s="94"/>
      <c r="D22" s="94"/>
      <c r="E22" s="94"/>
      <c r="F22" s="94"/>
      <c r="G22" s="94"/>
      <c r="H22" s="94"/>
      <c r="I22" s="94"/>
      <c r="J22" s="94"/>
      <c r="K22" s="94"/>
      <c r="L22" s="94"/>
      <c r="M22" s="94"/>
    </row>
    <row r="23" spans="1:18" x14ac:dyDescent="0.3">
      <c r="B23" s="94"/>
      <c r="C23" s="94"/>
      <c r="D23" s="94"/>
      <c r="E23" s="94"/>
      <c r="F23" s="94"/>
      <c r="G23" s="94"/>
      <c r="H23" s="94"/>
      <c r="I23" s="94"/>
      <c r="J23" s="94"/>
      <c r="K23" s="94"/>
      <c r="L23" s="94"/>
      <c r="M23" s="94"/>
    </row>
    <row r="24" spans="1:18" x14ac:dyDescent="0.3">
      <c r="B24" s="94"/>
      <c r="C24" s="94"/>
      <c r="D24" s="94"/>
      <c r="E24" s="94"/>
      <c r="F24" s="94"/>
      <c r="G24" s="94"/>
      <c r="H24" s="94"/>
      <c r="I24" s="94"/>
      <c r="J24" s="94"/>
      <c r="K24" s="94"/>
      <c r="L24" s="94"/>
      <c r="M24" s="94"/>
    </row>
    <row r="25" spans="1:18" x14ac:dyDescent="0.3">
      <c r="B25" s="94"/>
      <c r="C25" s="94"/>
      <c r="D25" s="94"/>
      <c r="E25" s="94"/>
      <c r="F25" s="94"/>
      <c r="G25" s="94"/>
      <c r="H25" s="94"/>
      <c r="I25" s="94"/>
      <c r="J25" s="94"/>
      <c r="K25" s="94"/>
      <c r="L25" s="94"/>
      <c r="M25" s="94"/>
      <c r="N25" s="94"/>
    </row>
    <row r="26" spans="1:18" x14ac:dyDescent="0.3">
      <c r="B26" s="94"/>
      <c r="C26" s="94"/>
      <c r="D26" s="94"/>
      <c r="E26" s="94"/>
      <c r="F26" s="94"/>
      <c r="G26" s="94"/>
      <c r="H26" s="94"/>
      <c r="I26" s="94"/>
      <c r="J26" s="94"/>
      <c r="K26" s="94"/>
      <c r="L26" s="94"/>
      <c r="M26" s="94"/>
      <c r="N26" s="94"/>
    </row>
    <row r="27" spans="1:18" x14ac:dyDescent="0.3">
      <c r="B27" s="94"/>
      <c r="C27" s="94"/>
      <c r="D27" s="94"/>
      <c r="E27" s="94"/>
      <c r="F27" s="94"/>
      <c r="G27" s="94"/>
      <c r="H27" s="94"/>
      <c r="I27" s="94"/>
      <c r="J27" s="94"/>
      <c r="K27" s="94"/>
      <c r="L27" s="94"/>
      <c r="M27" s="94"/>
      <c r="N27" s="94"/>
    </row>
    <row r="28" spans="1:18" x14ac:dyDescent="0.3">
      <c r="B28" s="94"/>
      <c r="C28" s="94"/>
      <c r="D28" s="94"/>
      <c r="E28" s="94"/>
      <c r="F28" s="94"/>
      <c r="G28" s="94"/>
      <c r="H28" s="94"/>
      <c r="I28" s="94"/>
      <c r="J28" s="94"/>
      <c r="K28" s="94"/>
      <c r="L28" s="94"/>
      <c r="M28" s="94"/>
      <c r="N28" s="94"/>
    </row>
    <row r="29" spans="1:18" x14ac:dyDescent="0.3">
      <c r="B29" s="94"/>
      <c r="C29" s="94"/>
      <c r="D29" s="94"/>
      <c r="E29" s="94"/>
      <c r="F29" s="94"/>
      <c r="G29" s="94"/>
      <c r="H29" s="94"/>
      <c r="I29" s="94"/>
      <c r="J29" s="94"/>
      <c r="K29" s="94"/>
      <c r="L29" s="94"/>
      <c r="M29" s="94"/>
      <c r="N29" s="94"/>
    </row>
    <row r="30" spans="1:18" x14ac:dyDescent="0.3">
      <c r="B30" s="94"/>
      <c r="C30" s="94"/>
      <c r="D30" s="94"/>
      <c r="E30" s="94"/>
      <c r="F30" s="94"/>
      <c r="G30" s="94"/>
      <c r="H30" s="94"/>
      <c r="I30" s="94"/>
      <c r="J30" s="94"/>
      <c r="K30" s="94"/>
      <c r="L30" s="94"/>
      <c r="M30" s="94"/>
      <c r="N30" s="94"/>
    </row>
    <row r="31" spans="1:18" x14ac:dyDescent="0.3">
      <c r="B31" s="94"/>
      <c r="C31" s="94"/>
      <c r="D31" s="94"/>
      <c r="E31" s="94"/>
      <c r="F31" s="94"/>
      <c r="G31" s="94"/>
      <c r="H31" s="94"/>
      <c r="I31" s="94"/>
      <c r="J31" s="94"/>
      <c r="K31" s="94"/>
      <c r="L31" s="94"/>
      <c r="M31" s="94"/>
      <c r="N31" s="94"/>
    </row>
    <row r="32" spans="1:18" x14ac:dyDescent="0.3">
      <c r="B32" s="94"/>
      <c r="C32" s="94"/>
      <c r="D32" s="94"/>
      <c r="E32" s="94"/>
      <c r="F32" s="94"/>
      <c r="G32" s="94"/>
      <c r="H32" s="94"/>
      <c r="I32" s="94"/>
      <c r="J32" s="94"/>
      <c r="K32" s="94"/>
      <c r="L32" s="94"/>
      <c r="M32" s="94"/>
      <c r="N32" s="94"/>
    </row>
    <row r="33" spans="2:14" x14ac:dyDescent="0.3">
      <c r="B33" s="94"/>
      <c r="C33" s="94"/>
      <c r="D33" s="94"/>
      <c r="E33" s="94"/>
      <c r="F33" s="94"/>
      <c r="G33" s="94"/>
      <c r="H33" s="94"/>
      <c r="I33" s="94"/>
      <c r="J33" s="94"/>
      <c r="K33" s="94"/>
      <c r="L33" s="94"/>
      <c r="M33" s="94"/>
      <c r="N33" s="94"/>
    </row>
    <row r="34" spans="2:14" x14ac:dyDescent="0.3">
      <c r="B34" s="94"/>
      <c r="C34" s="94"/>
      <c r="D34" s="94"/>
      <c r="E34" s="94"/>
      <c r="F34" s="94"/>
      <c r="G34" s="94"/>
      <c r="H34" s="94"/>
      <c r="I34" s="94"/>
      <c r="J34" s="94"/>
      <c r="K34" s="94"/>
      <c r="L34" s="94"/>
      <c r="M34" s="94"/>
      <c r="N34" s="94"/>
    </row>
    <row r="35" spans="2:14" x14ac:dyDescent="0.3">
      <c r="B35" s="94"/>
      <c r="C35" s="94"/>
      <c r="D35" s="94"/>
      <c r="E35" s="94"/>
      <c r="F35" s="94"/>
      <c r="G35" s="94"/>
      <c r="H35" s="94"/>
      <c r="I35" s="94"/>
      <c r="J35" s="94"/>
      <c r="K35" s="94"/>
      <c r="L35" s="94"/>
      <c r="M35" s="94"/>
      <c r="N35" s="94"/>
    </row>
    <row r="36" spans="2:14" x14ac:dyDescent="0.3">
      <c r="B36" s="94"/>
      <c r="C36" s="94"/>
      <c r="D36" s="94"/>
      <c r="E36" s="94"/>
      <c r="F36" s="94"/>
      <c r="G36" s="94"/>
      <c r="H36" s="94"/>
      <c r="I36" s="94"/>
      <c r="J36" s="94"/>
      <c r="K36" s="94"/>
      <c r="L36" s="94"/>
      <c r="M36" s="94"/>
      <c r="N36" s="94"/>
    </row>
    <row r="37" spans="2:14" x14ac:dyDescent="0.3">
      <c r="B37" s="94"/>
      <c r="C37" s="94"/>
      <c r="D37" s="94"/>
      <c r="E37" s="94"/>
      <c r="F37" s="94"/>
      <c r="G37" s="94"/>
      <c r="H37" s="94"/>
      <c r="I37" s="94"/>
      <c r="J37" s="94"/>
      <c r="K37" s="94"/>
      <c r="L37" s="94"/>
      <c r="M37" s="94"/>
      <c r="N37" s="94"/>
    </row>
    <row r="38" spans="2:14" x14ac:dyDescent="0.3">
      <c r="B38" s="94"/>
      <c r="C38" s="94"/>
      <c r="D38" s="94"/>
      <c r="E38" s="94"/>
      <c r="F38" s="94"/>
      <c r="G38" s="94"/>
      <c r="H38" s="94"/>
      <c r="I38" s="94"/>
      <c r="J38" s="94"/>
      <c r="K38" s="94"/>
      <c r="L38" s="94"/>
      <c r="M38" s="94"/>
      <c r="N38" s="94"/>
    </row>
    <row r="39" spans="2:14" x14ac:dyDescent="0.3">
      <c r="B39" s="94"/>
      <c r="C39" s="94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</row>
    <row r="40" spans="2:14" x14ac:dyDescent="0.3">
      <c r="B40" s="94"/>
      <c r="C40" s="94"/>
      <c r="D40" s="94"/>
      <c r="E40" s="94"/>
      <c r="F40" s="94"/>
      <c r="G40" s="94"/>
      <c r="H40" s="94"/>
      <c r="I40" s="94"/>
      <c r="J40" s="94"/>
      <c r="K40" s="94"/>
      <c r="L40" s="94"/>
      <c r="M40" s="94"/>
      <c r="N40" s="94"/>
    </row>
    <row r="41" spans="2:14" x14ac:dyDescent="0.3">
      <c r="B41" s="94"/>
      <c r="C41" s="94"/>
      <c r="D41" s="94"/>
      <c r="E41" s="94"/>
      <c r="F41" s="94"/>
      <c r="G41" s="94"/>
      <c r="H41" s="94"/>
      <c r="I41" s="94"/>
      <c r="J41" s="94"/>
      <c r="K41" s="94"/>
      <c r="L41" s="94"/>
      <c r="M41" s="94"/>
      <c r="N41" s="94"/>
    </row>
    <row r="42" spans="2:14" x14ac:dyDescent="0.3">
      <c r="B42" s="94"/>
      <c r="C42" s="94"/>
      <c r="D42" s="94"/>
      <c r="E42" s="94"/>
      <c r="F42" s="94"/>
      <c r="G42" s="94"/>
      <c r="H42" s="94"/>
      <c r="I42" s="94"/>
      <c r="J42" s="94"/>
      <c r="K42" s="94"/>
      <c r="L42" s="94"/>
      <c r="M42" s="94"/>
      <c r="N42" s="94"/>
    </row>
    <row r="43" spans="2:14" x14ac:dyDescent="0.3">
      <c r="F43" s="123"/>
      <c r="L43" s="94"/>
    </row>
    <row r="44" spans="2:14" x14ac:dyDescent="0.3">
      <c r="F44" s="123"/>
      <c r="L44" s="94"/>
    </row>
    <row r="45" spans="2:14" x14ac:dyDescent="0.3">
      <c r="F45" s="123"/>
      <c r="L45" s="94"/>
    </row>
    <row r="46" spans="2:14" x14ac:dyDescent="0.3">
      <c r="F46" s="123"/>
      <c r="L46" s="94"/>
    </row>
    <row r="47" spans="2:14" x14ac:dyDescent="0.3">
      <c r="F47" s="123"/>
      <c r="L47" s="94"/>
    </row>
    <row r="48" spans="2:14" x14ac:dyDescent="0.3">
      <c r="F48" s="123"/>
      <c r="L48" s="94"/>
    </row>
  </sheetData>
  <mergeCells count="14">
    <mergeCell ref="U5:V5"/>
    <mergeCell ref="H16:K16"/>
    <mergeCell ref="G1:G2"/>
    <mergeCell ref="I1:I2"/>
    <mergeCell ref="J1:J2"/>
    <mergeCell ref="K1:K2"/>
    <mergeCell ref="L1:L2"/>
    <mergeCell ref="O1:T1"/>
    <mergeCell ref="F1:F2"/>
    <mergeCell ref="A1:A2"/>
    <mergeCell ref="B1:B2"/>
    <mergeCell ref="C1:C2"/>
    <mergeCell ref="D1:D2"/>
    <mergeCell ref="E1:E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DAB28-05C3-46EA-9DD5-A0FECB4A89E0}">
  <sheetPr codeName="Sheet18"/>
  <dimension ref="A1:Z48"/>
  <sheetViews>
    <sheetView workbookViewId="0">
      <selection activeCell="P5" sqref="P5"/>
    </sheetView>
  </sheetViews>
  <sheetFormatPr defaultColWidth="9.109375" defaultRowHeight="14.4" x14ac:dyDescent="0.3"/>
  <cols>
    <col min="1" max="2" width="9.109375" style="28"/>
    <col min="3" max="3" width="11.109375" style="28" customWidth="1"/>
    <col min="4" max="4" width="15.44140625" style="28" customWidth="1"/>
    <col min="5" max="5" width="12" style="28" customWidth="1"/>
    <col min="6" max="6" width="17.109375" style="39" customWidth="1"/>
    <col min="7" max="7" width="13.33203125" style="28" customWidth="1"/>
    <col min="8" max="8" width="11.44140625" style="28" customWidth="1"/>
    <col min="9" max="9" width="17.33203125" style="28" customWidth="1"/>
    <col min="10" max="10" width="11.6640625" style="28" customWidth="1"/>
    <col min="11" max="11" width="16.109375" style="28" customWidth="1"/>
    <col min="12" max="12" width="13.5546875" style="28" customWidth="1"/>
    <col min="13" max="13" width="9.109375" style="28"/>
    <col min="14" max="14" width="9.109375" style="28" customWidth="1"/>
    <col min="15" max="20" width="9.109375" style="28"/>
    <col min="21" max="21" width="15.109375" style="28" customWidth="1"/>
    <col min="22" max="22" width="13.6640625" style="28" customWidth="1"/>
    <col min="23" max="25" width="9.109375" style="28"/>
    <col min="26" max="26" width="9.5546875" style="28" customWidth="1"/>
    <col min="27" max="16384" width="9.109375" style="28"/>
  </cols>
  <sheetData>
    <row r="1" spans="1:26" ht="45" customHeight="1" thickBot="1" x14ac:dyDescent="0.4">
      <c r="A1" s="185" t="s">
        <v>0</v>
      </c>
      <c r="B1" s="187" t="s">
        <v>1</v>
      </c>
      <c r="C1" s="189" t="s">
        <v>2</v>
      </c>
      <c r="D1" s="191" t="s">
        <v>3</v>
      </c>
      <c r="E1" s="193" t="s">
        <v>4</v>
      </c>
      <c r="F1" s="179" t="s">
        <v>5</v>
      </c>
      <c r="G1" s="195" t="s">
        <v>6</v>
      </c>
      <c r="H1" s="92" t="s">
        <v>7</v>
      </c>
      <c r="I1" s="195" t="s">
        <v>8</v>
      </c>
      <c r="J1" s="196" t="s">
        <v>9</v>
      </c>
      <c r="K1" s="187" t="s">
        <v>10</v>
      </c>
      <c r="L1" s="187" t="s">
        <v>11</v>
      </c>
      <c r="M1" s="94"/>
      <c r="N1" s="94"/>
      <c r="O1" s="182" t="s">
        <v>12</v>
      </c>
      <c r="P1" s="182"/>
      <c r="Q1" s="182"/>
      <c r="R1" s="182"/>
      <c r="S1" s="182"/>
      <c r="T1" s="182"/>
      <c r="Z1" s="29">
        <v>45677</v>
      </c>
    </row>
    <row r="2" spans="1:26" ht="17.100000000000001" customHeight="1" thickBot="1" x14ac:dyDescent="0.35">
      <c r="A2" s="199"/>
      <c r="B2" s="200"/>
      <c r="C2" s="201"/>
      <c r="D2" s="202"/>
      <c r="E2" s="203"/>
      <c r="F2" s="198"/>
      <c r="G2" s="198"/>
      <c r="H2" s="129"/>
      <c r="I2" s="198"/>
      <c r="J2" s="204"/>
      <c r="K2" s="200"/>
      <c r="L2" s="200"/>
      <c r="M2" s="94"/>
      <c r="N2" s="94"/>
      <c r="O2" s="96" t="s">
        <v>13</v>
      </c>
      <c r="P2" s="97" t="s">
        <v>13</v>
      </c>
      <c r="Q2" s="98" t="s">
        <v>13</v>
      </c>
      <c r="R2" s="96" t="s">
        <v>14</v>
      </c>
      <c r="S2" s="97" t="s">
        <v>14</v>
      </c>
      <c r="T2" s="98" t="s">
        <v>14</v>
      </c>
      <c r="U2" s="94"/>
      <c r="V2" s="94"/>
    </row>
    <row r="3" spans="1:26" ht="17.100000000000001" customHeight="1" thickBot="1" x14ac:dyDescent="0.35">
      <c r="A3" s="62" t="s">
        <v>27</v>
      </c>
      <c r="B3" s="79" t="s">
        <v>16</v>
      </c>
      <c r="C3" s="63">
        <v>107</v>
      </c>
      <c r="D3" s="131" t="s">
        <v>22</v>
      </c>
      <c r="E3" s="73">
        <v>1</v>
      </c>
      <c r="F3" s="132">
        <v>272</v>
      </c>
      <c r="G3" s="133">
        <v>51</v>
      </c>
      <c r="H3" s="134">
        <f t="shared" ref="H3:H8" si="0">RANK(G3,$G$3:$G$9)</f>
        <v>2</v>
      </c>
      <c r="I3" s="135">
        <v>88</v>
      </c>
      <c r="J3" s="64">
        <f>RANK(I3,$I$3:$I$9)+COUNTIF(I3:$I$3,I3)-1</f>
        <v>3</v>
      </c>
      <c r="K3" s="136">
        <f>(E3+J3)/2</f>
        <v>2</v>
      </c>
      <c r="L3" s="137">
        <f>RANK(K3,$K$3:$K$9,1)+COUNTIF(K3:$K$6,K3)-1</f>
        <v>1</v>
      </c>
      <c r="M3" s="94"/>
      <c r="N3" s="94"/>
      <c r="O3" s="103" t="s">
        <v>18</v>
      </c>
      <c r="P3" s="104" t="s">
        <v>19</v>
      </c>
      <c r="Q3" s="105" t="s">
        <v>20</v>
      </c>
      <c r="R3" s="103" t="s">
        <v>18</v>
      </c>
      <c r="S3" s="104" t="s">
        <v>19</v>
      </c>
      <c r="T3" s="106" t="s">
        <v>20</v>
      </c>
      <c r="U3" s="94"/>
      <c r="V3" s="94"/>
    </row>
    <row r="4" spans="1:26" ht="17.100000000000001" customHeight="1" thickBot="1" x14ac:dyDescent="0.35">
      <c r="A4" s="65" t="s">
        <v>38</v>
      </c>
      <c r="B4" s="83" t="s">
        <v>24</v>
      </c>
      <c r="C4" s="31">
        <v>104</v>
      </c>
      <c r="D4" s="94" t="s">
        <v>22</v>
      </c>
      <c r="E4" s="74">
        <v>2</v>
      </c>
      <c r="F4" s="130">
        <v>220</v>
      </c>
      <c r="G4" s="94">
        <v>67</v>
      </c>
      <c r="H4" s="138">
        <f t="shared" si="0"/>
        <v>1</v>
      </c>
      <c r="I4" s="94">
        <v>87</v>
      </c>
      <c r="J4" s="34">
        <f>RANK(I4,$I$3:$I$9)+COUNTIF(I$3:$I4,I4)-1</f>
        <v>6</v>
      </c>
      <c r="K4" s="109">
        <f>(E4+J4)/2</f>
        <v>4</v>
      </c>
      <c r="L4" s="139">
        <f>RANK(K4,$K$3:$K$9,1)+COUNTIF(K4:$K$6,K4)-1</f>
        <v>4</v>
      </c>
      <c r="M4" s="94"/>
      <c r="N4" s="94"/>
      <c r="O4" s="48">
        <v>50</v>
      </c>
      <c r="P4" s="110">
        <v>52</v>
      </c>
      <c r="Q4" s="111">
        <v>103</v>
      </c>
      <c r="R4" s="49">
        <v>20</v>
      </c>
      <c r="S4" s="112"/>
      <c r="T4" s="113"/>
    </row>
    <row r="5" spans="1:26" ht="17.100000000000001" customHeight="1" thickBot="1" x14ac:dyDescent="0.35">
      <c r="A5" s="65" t="s">
        <v>27</v>
      </c>
      <c r="B5" s="83" t="s">
        <v>21</v>
      </c>
      <c r="C5" s="31">
        <v>103</v>
      </c>
      <c r="D5" s="94" t="s">
        <v>22</v>
      </c>
      <c r="E5" s="74">
        <v>3</v>
      </c>
      <c r="F5" s="130">
        <v>296</v>
      </c>
      <c r="G5" s="94">
        <v>36</v>
      </c>
      <c r="H5" s="138">
        <f t="shared" si="0"/>
        <v>4</v>
      </c>
      <c r="I5" s="94">
        <v>88</v>
      </c>
      <c r="J5" s="34">
        <f>RANK(I5,$I$3:$I$9)+COUNTIF(I$3:$I5,I5)-1</f>
        <v>4</v>
      </c>
      <c r="K5" s="109">
        <f>(E5+J5)/2</f>
        <v>3.5</v>
      </c>
      <c r="L5" s="139">
        <f>RANK(K5,$K$3:$K$9,1)+COUNTIF(K5:$K$6,K5)-1</f>
        <v>3</v>
      </c>
      <c r="M5" s="94"/>
      <c r="N5" s="94"/>
      <c r="U5" s="183" t="s">
        <v>23</v>
      </c>
      <c r="V5" s="184"/>
    </row>
    <row r="6" spans="1:26" x14ac:dyDescent="0.3">
      <c r="A6" s="65" t="s">
        <v>15</v>
      </c>
      <c r="B6" s="80" t="s">
        <v>45</v>
      </c>
      <c r="C6" s="31">
        <v>102</v>
      </c>
      <c r="D6" s="159" t="s">
        <v>22</v>
      </c>
      <c r="E6" s="74">
        <v>4</v>
      </c>
      <c r="F6" s="160">
        <v>102</v>
      </c>
      <c r="G6" s="159">
        <v>10</v>
      </c>
      <c r="H6" s="138">
        <f t="shared" si="0"/>
        <v>6</v>
      </c>
      <c r="I6" s="71">
        <v>89</v>
      </c>
      <c r="J6" s="34">
        <f>RANK(I6,$I$3:$I$9)+COUNTIF(I$3:$I6,I6)-1</f>
        <v>1</v>
      </c>
      <c r="K6" s="109">
        <f>(E6+J6)/2</f>
        <v>2.5</v>
      </c>
      <c r="L6" s="139">
        <f>RANK(K6,$K$3:$K$9,1)+COUNTIF(K$6:$K6,K6)-1</f>
        <v>2</v>
      </c>
      <c r="M6" s="94"/>
      <c r="N6" s="94"/>
      <c r="U6" s="115" t="s">
        <v>25</v>
      </c>
      <c r="V6" s="116" t="s">
        <v>26</v>
      </c>
    </row>
    <row r="7" spans="1:26" ht="15" thickBot="1" x14ac:dyDescent="0.35">
      <c r="A7" s="66" t="s">
        <v>15</v>
      </c>
      <c r="B7" s="71" t="s">
        <v>28</v>
      </c>
      <c r="C7" s="31">
        <v>86</v>
      </c>
      <c r="D7" s="94" t="s">
        <v>46</v>
      </c>
      <c r="E7" s="74">
        <v>5</v>
      </c>
      <c r="F7" s="130">
        <v>362</v>
      </c>
      <c r="G7" s="94">
        <v>47</v>
      </c>
      <c r="H7" s="138">
        <f t="shared" si="0"/>
        <v>3</v>
      </c>
      <c r="I7" s="94">
        <v>88</v>
      </c>
      <c r="J7" s="34">
        <f>RANK(I7,$I$3:$I$9)+COUNTIF(I$3:$I7,I7)-1</f>
        <v>5</v>
      </c>
      <c r="K7" s="109">
        <f>(E7+J7)/2</f>
        <v>5</v>
      </c>
      <c r="L7" s="139">
        <f>RANK(K7,$K$3:$K$9,1)+COUNTIF(K$6:$K7,K7)-1</f>
        <v>5</v>
      </c>
      <c r="M7" s="94"/>
      <c r="N7" s="94"/>
      <c r="U7" s="117">
        <f>P4+S4</f>
        <v>52</v>
      </c>
      <c r="V7" s="118">
        <f>Q4+T4</f>
        <v>103</v>
      </c>
    </row>
    <row r="8" spans="1:26" ht="15" thickTop="1" x14ac:dyDescent="0.3">
      <c r="A8" s="66"/>
      <c r="B8" s="71" t="s">
        <v>30</v>
      </c>
      <c r="C8" s="31">
        <v>82</v>
      </c>
      <c r="D8" s="94" t="s">
        <v>46</v>
      </c>
      <c r="E8" s="74">
        <v>6</v>
      </c>
      <c r="F8" s="130">
        <v>203</v>
      </c>
      <c r="G8" s="94">
        <v>23</v>
      </c>
      <c r="H8" s="138">
        <f t="shared" si="0"/>
        <v>5</v>
      </c>
      <c r="I8" s="94">
        <v>89</v>
      </c>
      <c r="J8" s="34"/>
      <c r="K8" s="109"/>
      <c r="L8" s="139"/>
      <c r="M8" s="94"/>
      <c r="N8" s="94"/>
      <c r="U8" s="140"/>
      <c r="V8" s="140"/>
    </row>
    <row r="9" spans="1:26" ht="15" thickBot="1" x14ac:dyDescent="0.35">
      <c r="A9" s="67"/>
      <c r="B9" s="72"/>
      <c r="C9" s="68"/>
      <c r="D9" s="141"/>
      <c r="E9" s="75"/>
      <c r="F9" s="142"/>
      <c r="G9" s="141"/>
      <c r="H9" s="143"/>
      <c r="I9" s="141"/>
      <c r="J9" s="69"/>
      <c r="K9" s="144"/>
      <c r="L9" s="145"/>
      <c r="M9" s="94"/>
      <c r="N9" s="94"/>
      <c r="U9" s="140"/>
      <c r="V9" s="140"/>
    </row>
    <row r="10" spans="1:26" x14ac:dyDescent="0.3">
      <c r="A10" s="76"/>
      <c r="B10" s="76"/>
      <c r="C10" s="76"/>
      <c r="D10" s="76"/>
      <c r="E10" s="76"/>
      <c r="F10" s="76"/>
      <c r="G10" s="76"/>
      <c r="H10" s="76"/>
      <c r="I10" s="76"/>
      <c r="J10" s="76"/>
      <c r="K10" s="76"/>
      <c r="L10" s="76"/>
      <c r="M10" s="94"/>
      <c r="N10" s="94"/>
      <c r="U10" s="140"/>
      <c r="V10" s="140"/>
    </row>
    <row r="11" spans="1:26" x14ac:dyDescent="0.3">
      <c r="A11" s="76"/>
      <c r="B11" s="76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94"/>
      <c r="N11" s="94"/>
      <c r="U11" s="140"/>
      <c r="V11" s="140"/>
    </row>
    <row r="12" spans="1:26" x14ac:dyDescent="0.3">
      <c r="B12" s="122" t="s">
        <v>33</v>
      </c>
      <c r="C12" s="122" t="s">
        <v>34</v>
      </c>
      <c r="D12" s="122"/>
      <c r="F12" s="94"/>
      <c r="G12" s="94"/>
      <c r="H12" s="94"/>
      <c r="I12" s="94"/>
      <c r="J12" s="94"/>
      <c r="K12" s="94"/>
      <c r="L12" s="94"/>
      <c r="M12" s="94"/>
      <c r="N12" s="94"/>
    </row>
    <row r="13" spans="1:26" x14ac:dyDescent="0.3">
      <c r="B13" s="122" t="s">
        <v>35</v>
      </c>
      <c r="C13" t="s">
        <v>36</v>
      </c>
      <c r="D13" s="122"/>
      <c r="F13" s="123"/>
      <c r="G13" s="94"/>
      <c r="H13" s="94"/>
      <c r="I13" s="94"/>
      <c r="K13" s="94"/>
      <c r="L13" s="94"/>
      <c r="M13" s="94"/>
      <c r="N13" s="94"/>
    </row>
    <row r="14" spans="1:26" x14ac:dyDescent="0.3">
      <c r="B14" s="1" t="s">
        <v>33</v>
      </c>
      <c r="C14" s="27" t="s">
        <v>34</v>
      </c>
      <c r="D14" s="122"/>
      <c r="F14" s="94"/>
      <c r="G14" s="94"/>
      <c r="H14" s="94"/>
      <c r="I14" s="94"/>
      <c r="J14" s="94"/>
      <c r="K14" s="94"/>
      <c r="L14" s="94"/>
      <c r="M14" s="94"/>
    </row>
    <row r="15" spans="1:26" x14ac:dyDescent="0.3">
      <c r="A15" s="123"/>
      <c r="B15" s="2"/>
      <c r="C15" s="2"/>
      <c r="D15" s="2"/>
      <c r="E15" s="2"/>
      <c r="F15" s="94"/>
      <c r="G15" s="94"/>
      <c r="H15" s="94"/>
      <c r="I15" s="94"/>
      <c r="J15" s="94"/>
      <c r="K15" s="94"/>
      <c r="L15" s="94"/>
      <c r="M15" s="94"/>
    </row>
    <row r="16" spans="1:26" x14ac:dyDescent="0.3">
      <c r="A16" s="122"/>
      <c r="B16" s="122" t="s">
        <v>40</v>
      </c>
      <c r="C16" s="122"/>
      <c r="D16" s="122"/>
      <c r="F16" s="94"/>
      <c r="G16" s="94"/>
      <c r="H16" s="181"/>
      <c r="I16" s="181"/>
      <c r="J16" s="181"/>
      <c r="K16" s="181"/>
      <c r="L16" s="94"/>
      <c r="M16" s="94"/>
      <c r="N16" s="94"/>
      <c r="O16" s="94"/>
      <c r="P16" s="94"/>
      <c r="Q16" s="94"/>
      <c r="R16" s="94"/>
    </row>
    <row r="17" spans="1:18" x14ac:dyDescent="0.3">
      <c r="A17" s="122"/>
      <c r="B17" s="91"/>
      <c r="C17" s="2" t="s">
        <v>47</v>
      </c>
      <c r="D17" s="2"/>
      <c r="E17" s="2"/>
      <c r="F17" s="94"/>
      <c r="G17" s="94"/>
      <c r="H17" s="94"/>
      <c r="I17" s="94"/>
      <c r="J17" s="94"/>
      <c r="K17" s="94"/>
      <c r="L17" s="94"/>
      <c r="M17" s="94"/>
      <c r="N17" s="94"/>
      <c r="O17" s="94"/>
      <c r="P17" s="94"/>
      <c r="Q17" s="94"/>
      <c r="R17" s="94"/>
    </row>
    <row r="18" spans="1:18" ht="14.4" customHeight="1" x14ac:dyDescent="0.3">
      <c r="D18" s="124"/>
      <c r="E18" s="124"/>
      <c r="F18" s="124"/>
      <c r="G18" s="94"/>
      <c r="H18" s="94"/>
      <c r="I18" s="94"/>
      <c r="J18" s="94"/>
      <c r="K18" s="94"/>
      <c r="L18" s="94"/>
      <c r="M18" s="94"/>
      <c r="N18" s="94"/>
      <c r="O18" s="94"/>
      <c r="P18" s="94"/>
      <c r="Q18" s="94"/>
      <c r="R18" s="94"/>
    </row>
    <row r="19" spans="1:18" x14ac:dyDescent="0.3">
      <c r="A19" s="123"/>
      <c r="B19" s="94"/>
      <c r="C19" s="94"/>
      <c r="D19" s="94"/>
      <c r="E19" s="94"/>
      <c r="F19" s="94"/>
      <c r="G19" s="94"/>
      <c r="H19" s="94"/>
      <c r="I19" s="94"/>
      <c r="J19" s="94"/>
      <c r="K19" s="94"/>
      <c r="L19" s="94"/>
      <c r="M19" s="94"/>
    </row>
    <row r="20" spans="1:18" x14ac:dyDescent="0.3">
      <c r="A20" s="123"/>
      <c r="B20" s="94"/>
      <c r="C20" s="94"/>
      <c r="D20" s="94"/>
      <c r="E20" s="94"/>
      <c r="F20" s="94"/>
      <c r="G20" s="94"/>
      <c r="H20" s="94"/>
      <c r="I20" s="94"/>
      <c r="J20" s="94"/>
      <c r="K20" s="94"/>
      <c r="L20" s="94"/>
      <c r="M20" s="94"/>
    </row>
    <row r="21" spans="1:18" x14ac:dyDescent="0.3">
      <c r="B21" s="94"/>
      <c r="C21" s="94"/>
      <c r="D21" s="94"/>
      <c r="E21" s="94"/>
      <c r="F21" s="94"/>
      <c r="G21" s="94"/>
      <c r="H21" s="94"/>
      <c r="I21" s="94"/>
      <c r="J21" s="94"/>
      <c r="K21" s="94"/>
      <c r="L21" s="94"/>
      <c r="M21" s="94"/>
    </row>
    <row r="22" spans="1:18" x14ac:dyDescent="0.3">
      <c r="B22" s="94"/>
      <c r="C22" s="94"/>
      <c r="D22" s="94"/>
      <c r="E22" s="94"/>
      <c r="F22" s="94"/>
      <c r="G22" s="94"/>
      <c r="H22" s="94"/>
      <c r="I22" s="94"/>
      <c r="J22" s="94"/>
      <c r="K22" s="94"/>
      <c r="L22" s="94"/>
      <c r="M22" s="94"/>
    </row>
    <row r="23" spans="1:18" x14ac:dyDescent="0.3">
      <c r="B23" s="94"/>
      <c r="C23" s="94"/>
      <c r="D23" s="94"/>
      <c r="E23" s="94"/>
      <c r="F23" s="94"/>
      <c r="G23" s="94"/>
      <c r="H23" s="94"/>
      <c r="I23" s="94"/>
      <c r="J23" s="94"/>
      <c r="K23" s="94"/>
      <c r="L23" s="94"/>
      <c r="M23" s="94"/>
    </row>
    <row r="24" spans="1:18" x14ac:dyDescent="0.3">
      <c r="B24" s="94"/>
      <c r="C24" s="94"/>
      <c r="D24" s="94"/>
      <c r="E24" s="94"/>
      <c r="F24" s="94"/>
      <c r="G24" s="94"/>
      <c r="H24" s="94"/>
      <c r="I24" s="94"/>
      <c r="J24" s="94"/>
      <c r="K24" s="94"/>
      <c r="L24" s="94"/>
      <c r="M24" s="94"/>
    </row>
    <row r="25" spans="1:18" x14ac:dyDescent="0.3">
      <c r="B25" s="94"/>
      <c r="C25" s="94"/>
      <c r="D25" s="94"/>
      <c r="E25" s="94"/>
      <c r="F25" s="94"/>
      <c r="G25" s="94"/>
      <c r="H25" s="94"/>
      <c r="I25" s="94"/>
      <c r="J25" s="94"/>
      <c r="K25" s="94"/>
      <c r="L25" s="94"/>
      <c r="M25" s="94"/>
      <c r="N25" s="94"/>
    </row>
    <row r="26" spans="1:18" x14ac:dyDescent="0.3">
      <c r="B26" s="94"/>
      <c r="C26" s="94"/>
      <c r="D26" s="94"/>
      <c r="E26" s="94"/>
      <c r="F26" s="94"/>
      <c r="G26" s="94"/>
      <c r="H26" s="94"/>
      <c r="I26" s="94"/>
      <c r="J26" s="94"/>
      <c r="K26" s="94"/>
      <c r="L26" s="94"/>
      <c r="M26" s="94"/>
      <c r="N26" s="94"/>
    </row>
    <row r="27" spans="1:18" x14ac:dyDescent="0.3">
      <c r="B27" s="94"/>
      <c r="C27" s="94"/>
      <c r="D27" s="94"/>
      <c r="E27" s="94"/>
      <c r="F27" s="94"/>
      <c r="G27" s="94"/>
      <c r="H27" s="94"/>
      <c r="I27" s="94"/>
      <c r="J27" s="94"/>
      <c r="K27" s="94"/>
      <c r="L27" s="94"/>
      <c r="M27" s="94"/>
      <c r="N27" s="94"/>
    </row>
    <row r="28" spans="1:18" x14ac:dyDescent="0.3">
      <c r="B28" s="94"/>
      <c r="C28" s="94"/>
      <c r="D28" s="94"/>
      <c r="E28" s="94"/>
      <c r="F28" s="94"/>
      <c r="G28" s="94"/>
      <c r="H28" s="94"/>
      <c r="I28" s="94"/>
      <c r="J28" s="94"/>
      <c r="K28" s="94"/>
      <c r="L28" s="94"/>
      <c r="M28" s="94"/>
      <c r="N28" s="94"/>
    </row>
    <row r="29" spans="1:18" x14ac:dyDescent="0.3">
      <c r="B29" s="94"/>
      <c r="C29" s="94"/>
      <c r="D29" s="94"/>
      <c r="E29" s="94"/>
      <c r="F29" s="94"/>
      <c r="G29" s="94"/>
      <c r="H29" s="94"/>
      <c r="I29" s="94"/>
      <c r="J29" s="94"/>
      <c r="K29" s="94"/>
      <c r="L29" s="94"/>
      <c r="M29" s="94"/>
      <c r="N29" s="94"/>
    </row>
    <row r="30" spans="1:18" x14ac:dyDescent="0.3">
      <c r="B30" s="94"/>
      <c r="C30" s="94"/>
      <c r="D30" s="94"/>
      <c r="E30" s="94"/>
      <c r="F30" s="94"/>
      <c r="G30" s="94"/>
      <c r="H30" s="94"/>
      <c r="I30" s="94"/>
      <c r="J30" s="94"/>
      <c r="K30" s="94"/>
      <c r="L30" s="94"/>
      <c r="M30" s="94"/>
      <c r="N30" s="94"/>
    </row>
    <row r="31" spans="1:18" x14ac:dyDescent="0.3">
      <c r="B31" s="94"/>
      <c r="C31" s="94"/>
      <c r="D31" s="94"/>
      <c r="E31" s="94"/>
      <c r="F31" s="94"/>
      <c r="G31" s="94"/>
      <c r="H31" s="94"/>
      <c r="I31" s="94"/>
      <c r="J31" s="94"/>
      <c r="K31" s="94"/>
      <c r="L31" s="94"/>
      <c r="M31" s="94"/>
      <c r="N31" s="94"/>
    </row>
    <row r="32" spans="1:18" x14ac:dyDescent="0.3">
      <c r="B32" s="94"/>
      <c r="C32" s="94"/>
      <c r="D32" s="94"/>
      <c r="E32" s="94"/>
      <c r="F32" s="94"/>
      <c r="G32" s="94"/>
      <c r="H32" s="94"/>
      <c r="I32" s="94"/>
      <c r="J32" s="94"/>
      <c r="K32" s="94"/>
      <c r="L32" s="94"/>
      <c r="M32" s="94"/>
      <c r="N32" s="94"/>
    </row>
    <row r="33" spans="2:14" x14ac:dyDescent="0.3">
      <c r="B33" s="94"/>
      <c r="C33" s="94"/>
      <c r="D33" s="94"/>
      <c r="E33" s="94"/>
      <c r="F33" s="94"/>
      <c r="G33" s="94"/>
      <c r="H33" s="94"/>
      <c r="I33" s="94"/>
      <c r="J33" s="94"/>
      <c r="K33" s="94"/>
      <c r="L33" s="94"/>
      <c r="M33" s="94"/>
      <c r="N33" s="94"/>
    </row>
    <row r="34" spans="2:14" x14ac:dyDescent="0.3">
      <c r="B34" s="94"/>
      <c r="C34" s="94"/>
      <c r="D34" s="94"/>
      <c r="E34" s="94"/>
      <c r="F34" s="94"/>
      <c r="G34" s="94"/>
      <c r="H34" s="94"/>
      <c r="I34" s="94"/>
      <c r="J34" s="94"/>
      <c r="K34" s="94"/>
      <c r="L34" s="94"/>
      <c r="M34" s="94"/>
      <c r="N34" s="94"/>
    </row>
    <row r="35" spans="2:14" x14ac:dyDescent="0.3">
      <c r="B35" s="94"/>
      <c r="C35" s="94"/>
      <c r="D35" s="94"/>
      <c r="E35" s="94"/>
      <c r="F35" s="94"/>
      <c r="G35" s="94"/>
      <c r="H35" s="94"/>
      <c r="I35" s="94"/>
      <c r="J35" s="94"/>
      <c r="K35" s="94"/>
      <c r="L35" s="94"/>
      <c r="M35" s="94"/>
      <c r="N35" s="94"/>
    </row>
    <row r="36" spans="2:14" x14ac:dyDescent="0.3">
      <c r="B36" s="94"/>
      <c r="C36" s="94"/>
      <c r="D36" s="94"/>
      <c r="E36" s="94"/>
      <c r="F36" s="94"/>
      <c r="G36" s="94"/>
      <c r="H36" s="94"/>
      <c r="I36" s="94"/>
      <c r="J36" s="94"/>
      <c r="K36" s="94"/>
      <c r="L36" s="94"/>
      <c r="M36" s="94"/>
      <c r="N36" s="94"/>
    </row>
    <row r="37" spans="2:14" x14ac:dyDescent="0.3">
      <c r="B37" s="94"/>
      <c r="C37" s="94"/>
      <c r="D37" s="94"/>
      <c r="E37" s="94"/>
      <c r="F37" s="94"/>
      <c r="G37" s="94"/>
      <c r="H37" s="94"/>
      <c r="I37" s="94"/>
      <c r="J37" s="94"/>
      <c r="K37" s="94"/>
      <c r="L37" s="94"/>
      <c r="M37" s="94"/>
      <c r="N37" s="94"/>
    </row>
    <row r="38" spans="2:14" x14ac:dyDescent="0.3">
      <c r="B38" s="94"/>
      <c r="C38" s="94"/>
      <c r="D38" s="94"/>
      <c r="E38" s="94"/>
      <c r="F38" s="94"/>
      <c r="G38" s="94"/>
      <c r="H38" s="94"/>
      <c r="I38" s="94"/>
      <c r="J38" s="94"/>
      <c r="K38" s="94"/>
      <c r="L38" s="94"/>
      <c r="M38" s="94"/>
      <c r="N38" s="94"/>
    </row>
    <row r="39" spans="2:14" x14ac:dyDescent="0.3">
      <c r="B39" s="94"/>
      <c r="C39" s="94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</row>
    <row r="40" spans="2:14" x14ac:dyDescent="0.3">
      <c r="B40" s="94"/>
      <c r="C40" s="94"/>
      <c r="D40" s="94"/>
      <c r="E40" s="94"/>
      <c r="F40" s="94"/>
      <c r="G40" s="94"/>
      <c r="H40" s="94"/>
      <c r="I40" s="94"/>
      <c r="J40" s="94"/>
      <c r="K40" s="94"/>
      <c r="L40" s="94"/>
      <c r="M40" s="94"/>
      <c r="N40" s="94"/>
    </row>
    <row r="41" spans="2:14" x14ac:dyDescent="0.3">
      <c r="B41" s="94"/>
      <c r="C41" s="94"/>
      <c r="D41" s="94"/>
      <c r="E41" s="94"/>
      <c r="F41" s="94"/>
      <c r="G41" s="94"/>
      <c r="H41" s="94"/>
      <c r="I41" s="94"/>
      <c r="J41" s="94"/>
      <c r="K41" s="94"/>
      <c r="L41" s="94"/>
      <c r="M41" s="94"/>
      <c r="N41" s="94"/>
    </row>
    <row r="42" spans="2:14" x14ac:dyDescent="0.3">
      <c r="B42" s="94"/>
      <c r="C42" s="94"/>
      <c r="D42" s="94"/>
      <c r="E42" s="94"/>
      <c r="F42" s="94"/>
      <c r="G42" s="94"/>
      <c r="H42" s="94"/>
      <c r="I42" s="94"/>
      <c r="J42" s="94"/>
      <c r="K42" s="94"/>
      <c r="L42" s="94"/>
      <c r="M42" s="94"/>
      <c r="N42" s="94"/>
    </row>
    <row r="43" spans="2:14" x14ac:dyDescent="0.3">
      <c r="F43" s="123"/>
      <c r="L43" s="94"/>
    </row>
    <row r="44" spans="2:14" x14ac:dyDescent="0.3">
      <c r="F44" s="123"/>
      <c r="L44" s="94"/>
    </row>
    <row r="45" spans="2:14" x14ac:dyDescent="0.3">
      <c r="F45" s="123"/>
      <c r="L45" s="94"/>
    </row>
    <row r="46" spans="2:14" x14ac:dyDescent="0.3">
      <c r="F46" s="123"/>
      <c r="L46" s="94"/>
    </row>
    <row r="47" spans="2:14" x14ac:dyDescent="0.3">
      <c r="F47" s="123"/>
      <c r="L47" s="94"/>
    </row>
    <row r="48" spans="2:14" x14ac:dyDescent="0.3">
      <c r="F48" s="123"/>
      <c r="L48" s="94"/>
    </row>
  </sheetData>
  <mergeCells count="14">
    <mergeCell ref="U5:V5"/>
    <mergeCell ref="H16:K16"/>
    <mergeCell ref="G1:G2"/>
    <mergeCell ref="I1:I2"/>
    <mergeCell ref="J1:J2"/>
    <mergeCell ref="K1:K2"/>
    <mergeCell ref="L1:L2"/>
    <mergeCell ref="O1:T1"/>
    <mergeCell ref="F1:F2"/>
    <mergeCell ref="A1:A2"/>
    <mergeCell ref="B1:B2"/>
    <mergeCell ref="C1:C2"/>
    <mergeCell ref="D1:D2"/>
    <mergeCell ref="E1:E2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AA796-92D9-4AD9-9584-C0B58CB97FC9}">
  <sheetPr codeName="Sheet19"/>
  <dimension ref="A1:Z48"/>
  <sheetViews>
    <sheetView workbookViewId="0">
      <selection activeCell="G9" sqref="G9"/>
    </sheetView>
  </sheetViews>
  <sheetFormatPr defaultColWidth="9.109375" defaultRowHeight="14.4" x14ac:dyDescent="0.3"/>
  <cols>
    <col min="1" max="2" width="9.109375" style="28"/>
    <col min="3" max="3" width="11.109375" style="28" customWidth="1"/>
    <col min="4" max="4" width="15.44140625" style="28" customWidth="1"/>
    <col min="5" max="5" width="12" style="28" customWidth="1"/>
    <col min="6" max="6" width="17.109375" style="39" customWidth="1"/>
    <col min="7" max="7" width="13.33203125" style="28" customWidth="1"/>
    <col min="8" max="8" width="11.44140625" style="28" customWidth="1"/>
    <col min="9" max="9" width="17.33203125" style="28" customWidth="1"/>
    <col min="10" max="10" width="11.6640625" style="28" customWidth="1"/>
    <col min="11" max="11" width="16.109375" style="28" customWidth="1"/>
    <col min="12" max="12" width="13.5546875" style="28" customWidth="1"/>
    <col min="13" max="13" width="9.109375" style="28"/>
    <col min="14" max="14" width="9.109375" style="28" customWidth="1"/>
    <col min="15" max="20" width="9.109375" style="28"/>
    <col min="21" max="21" width="15.109375" style="28" customWidth="1"/>
    <col min="22" max="22" width="13.6640625" style="28" customWidth="1"/>
    <col min="23" max="25" width="9.109375" style="28"/>
    <col min="26" max="26" width="9.5546875" style="28" customWidth="1"/>
    <col min="27" max="16384" width="9.109375" style="28"/>
  </cols>
  <sheetData>
    <row r="1" spans="1:26" ht="45" customHeight="1" thickBot="1" x14ac:dyDescent="0.4">
      <c r="A1" s="185" t="s">
        <v>0</v>
      </c>
      <c r="B1" s="187" t="s">
        <v>1</v>
      </c>
      <c r="C1" s="189" t="s">
        <v>2</v>
      </c>
      <c r="D1" s="191" t="s">
        <v>3</v>
      </c>
      <c r="E1" s="193" t="s">
        <v>4</v>
      </c>
      <c r="F1" s="179" t="s">
        <v>5</v>
      </c>
      <c r="G1" s="195" t="s">
        <v>6</v>
      </c>
      <c r="H1" s="92" t="s">
        <v>7</v>
      </c>
      <c r="I1" s="195" t="s">
        <v>8</v>
      </c>
      <c r="J1" s="196" t="s">
        <v>9</v>
      </c>
      <c r="K1" s="187" t="s">
        <v>10</v>
      </c>
      <c r="L1" s="187" t="s">
        <v>11</v>
      </c>
      <c r="M1" s="94"/>
      <c r="N1" s="94"/>
      <c r="O1" s="182" t="s">
        <v>12</v>
      </c>
      <c r="P1" s="182"/>
      <c r="Q1" s="182"/>
      <c r="R1" s="182"/>
      <c r="S1" s="182"/>
      <c r="T1" s="182"/>
      <c r="Z1" s="29">
        <v>45677</v>
      </c>
    </row>
    <row r="2" spans="1:26" ht="17.100000000000001" customHeight="1" thickBot="1" x14ac:dyDescent="0.35">
      <c r="A2" s="199"/>
      <c r="B2" s="200"/>
      <c r="C2" s="201"/>
      <c r="D2" s="202"/>
      <c r="E2" s="203"/>
      <c r="F2" s="198"/>
      <c r="G2" s="198"/>
      <c r="H2" s="129"/>
      <c r="I2" s="198"/>
      <c r="J2" s="204"/>
      <c r="K2" s="200"/>
      <c r="L2" s="200"/>
      <c r="M2" s="94"/>
      <c r="N2" s="94"/>
      <c r="O2" s="96" t="s">
        <v>13</v>
      </c>
      <c r="P2" s="97" t="s">
        <v>13</v>
      </c>
      <c r="Q2" s="98" t="s">
        <v>13</v>
      </c>
      <c r="R2" s="96" t="s">
        <v>14</v>
      </c>
      <c r="S2" s="97" t="s">
        <v>14</v>
      </c>
      <c r="T2" s="98" t="s">
        <v>14</v>
      </c>
      <c r="U2" s="94"/>
      <c r="V2" s="94"/>
    </row>
    <row r="3" spans="1:26" ht="17.100000000000001" customHeight="1" thickBot="1" x14ac:dyDescent="0.35">
      <c r="A3" s="62" t="s">
        <v>38</v>
      </c>
      <c r="B3" s="163" t="s">
        <v>16</v>
      </c>
      <c r="C3" s="63">
        <v>107</v>
      </c>
      <c r="D3" s="131" t="s">
        <v>22</v>
      </c>
      <c r="E3" s="73">
        <v>1</v>
      </c>
      <c r="F3" s="132">
        <v>208</v>
      </c>
      <c r="G3" s="133">
        <v>10</v>
      </c>
      <c r="H3" s="134">
        <f t="shared" ref="H3:H8" si="0">RANK(G3,$G$3:$G$9)</f>
        <v>6</v>
      </c>
      <c r="I3" s="135">
        <v>88</v>
      </c>
      <c r="J3" s="64">
        <f>RANK(I3,$I$3:$I$9)+COUNTIF(I3:$I$3,I3)-1</f>
        <v>3</v>
      </c>
      <c r="K3" s="136">
        <f>(E3+J3)/2</f>
        <v>2</v>
      </c>
      <c r="L3" s="137">
        <f>RANK(K3,$K$3:$K$9,1)+COUNTIF(K3:$K$6,K3)-1</f>
        <v>1</v>
      </c>
      <c r="M3" s="94"/>
      <c r="N3" s="94"/>
      <c r="O3" s="103" t="s">
        <v>18</v>
      </c>
      <c r="P3" s="104" t="s">
        <v>19</v>
      </c>
      <c r="Q3" s="105" t="s">
        <v>20</v>
      </c>
      <c r="R3" s="103" t="s">
        <v>18</v>
      </c>
      <c r="S3" s="104" t="s">
        <v>19</v>
      </c>
      <c r="T3" s="106" t="s">
        <v>20</v>
      </c>
      <c r="U3" s="94"/>
      <c r="V3" s="94"/>
    </row>
    <row r="4" spans="1:26" ht="17.100000000000001" customHeight="1" thickBot="1" x14ac:dyDescent="0.35">
      <c r="A4" s="65" t="s">
        <v>38</v>
      </c>
      <c r="B4" s="83" t="s">
        <v>24</v>
      </c>
      <c r="C4" s="31">
        <v>104</v>
      </c>
      <c r="D4" s="94" t="s">
        <v>22</v>
      </c>
      <c r="E4" s="74">
        <v>2</v>
      </c>
      <c r="F4" s="130">
        <v>158</v>
      </c>
      <c r="G4" s="94">
        <v>50</v>
      </c>
      <c r="H4" s="138">
        <f t="shared" si="0"/>
        <v>1</v>
      </c>
      <c r="I4" s="94">
        <v>87</v>
      </c>
      <c r="J4" s="34">
        <f>RANK(I4,$I$3:$I$9)+COUNTIF(I$3:$I4,I4)-1</f>
        <v>6</v>
      </c>
      <c r="K4" s="109">
        <f>(E4+J4)/2</f>
        <v>4</v>
      </c>
      <c r="L4" s="139">
        <f>RANK(K4,$K$3:$K$9,1)+COUNTIF(K4:$K$6,K4)-1</f>
        <v>4</v>
      </c>
      <c r="M4" s="94"/>
      <c r="N4" s="94"/>
      <c r="O4" s="48">
        <v>50</v>
      </c>
      <c r="P4" s="110">
        <v>103</v>
      </c>
      <c r="Q4" s="111">
        <v>74</v>
      </c>
      <c r="R4" s="49">
        <v>20</v>
      </c>
      <c r="S4" s="112"/>
      <c r="T4" s="113"/>
    </row>
    <row r="5" spans="1:26" ht="17.100000000000001" customHeight="1" thickBot="1" x14ac:dyDescent="0.35">
      <c r="A5" s="65" t="s">
        <v>27</v>
      </c>
      <c r="B5" s="162" t="s">
        <v>21</v>
      </c>
      <c r="C5" s="31">
        <v>103</v>
      </c>
      <c r="D5" s="94" t="s">
        <v>22</v>
      </c>
      <c r="E5" s="74">
        <v>3</v>
      </c>
      <c r="F5" s="130">
        <v>296</v>
      </c>
      <c r="G5" s="94">
        <v>36</v>
      </c>
      <c r="H5" s="138">
        <f t="shared" si="0"/>
        <v>2</v>
      </c>
      <c r="I5" s="94">
        <v>88</v>
      </c>
      <c r="J5" s="34">
        <f>RANK(I5,$I$3:$I$9)+COUNTIF(I$3:$I5,I5)-1</f>
        <v>4</v>
      </c>
      <c r="K5" s="109">
        <f>(E5+J5)/2</f>
        <v>3.5</v>
      </c>
      <c r="L5" s="139">
        <f>RANK(K5,$K$3:$K$9,1)+COUNTIF(K5:$K$6,K5)-1</f>
        <v>3</v>
      </c>
      <c r="M5" s="94"/>
      <c r="N5" s="94"/>
      <c r="U5" s="183" t="s">
        <v>23</v>
      </c>
      <c r="V5" s="184"/>
    </row>
    <row r="6" spans="1:26" x14ac:dyDescent="0.3">
      <c r="A6" s="65" t="s">
        <v>15</v>
      </c>
      <c r="B6" s="83" t="s">
        <v>45</v>
      </c>
      <c r="C6" s="31">
        <v>102</v>
      </c>
      <c r="D6" s="159" t="s">
        <v>22</v>
      </c>
      <c r="E6" s="74">
        <v>4</v>
      </c>
      <c r="F6" s="160">
        <v>114</v>
      </c>
      <c r="G6" s="159">
        <v>24</v>
      </c>
      <c r="H6" s="138">
        <f t="shared" si="0"/>
        <v>4</v>
      </c>
      <c r="I6" s="71">
        <v>89</v>
      </c>
      <c r="J6" s="34">
        <f>RANK(I6,$I$3:$I$9)+COUNTIF(I$3:$I6,I6)-1</f>
        <v>1</v>
      </c>
      <c r="K6" s="109">
        <f>(E6+J6)/2</f>
        <v>2.5</v>
      </c>
      <c r="L6" s="139">
        <f>RANK(K6,$K$3:$K$9,1)+COUNTIF(K$6:$K6,K6)-1</f>
        <v>2</v>
      </c>
      <c r="M6" s="94"/>
      <c r="N6" s="94"/>
      <c r="U6" s="115" t="s">
        <v>25</v>
      </c>
      <c r="V6" s="116" t="s">
        <v>26</v>
      </c>
    </row>
    <row r="7" spans="1:26" ht="15" thickBot="1" x14ac:dyDescent="0.35">
      <c r="A7" s="66" t="s">
        <v>27</v>
      </c>
      <c r="B7" s="71" t="s">
        <v>28</v>
      </c>
      <c r="C7" s="31">
        <v>86</v>
      </c>
      <c r="D7" s="94" t="s">
        <v>46</v>
      </c>
      <c r="E7" s="74">
        <v>5</v>
      </c>
      <c r="F7" s="130">
        <v>302</v>
      </c>
      <c r="G7" s="94">
        <v>31</v>
      </c>
      <c r="H7" s="138">
        <f t="shared" si="0"/>
        <v>3</v>
      </c>
      <c r="I7" s="94">
        <v>88</v>
      </c>
      <c r="J7" s="34">
        <f>RANK(I7,$I$3:$I$9)+COUNTIF(I$3:$I7,I7)-1</f>
        <v>5</v>
      </c>
      <c r="K7" s="109">
        <f>(E7+J7)/2</f>
        <v>5</v>
      </c>
      <c r="L7" s="139">
        <f>RANK(K7,$K$3:$K$9,1)+COUNTIF(K$6:$K7,K7)-1</f>
        <v>5</v>
      </c>
      <c r="M7" s="94"/>
      <c r="N7" s="94"/>
      <c r="U7" s="117">
        <f>P4+S4</f>
        <v>103</v>
      </c>
      <c r="V7" s="118">
        <f>Q4+T4</f>
        <v>74</v>
      </c>
    </row>
    <row r="8" spans="1:26" ht="15" thickTop="1" x14ac:dyDescent="0.3">
      <c r="A8" s="66"/>
      <c r="B8" s="71" t="s">
        <v>30</v>
      </c>
      <c r="C8" s="31">
        <v>82</v>
      </c>
      <c r="D8" s="94" t="s">
        <v>46</v>
      </c>
      <c r="E8" s="74">
        <v>6</v>
      </c>
      <c r="F8" s="130">
        <v>203</v>
      </c>
      <c r="G8" s="94">
        <v>23</v>
      </c>
      <c r="H8" s="138">
        <f t="shared" si="0"/>
        <v>5</v>
      </c>
      <c r="I8" s="94">
        <v>89</v>
      </c>
      <c r="J8" s="34"/>
      <c r="K8" s="109"/>
      <c r="L8" s="139"/>
      <c r="M8" s="94"/>
      <c r="N8" s="94"/>
      <c r="U8" s="140"/>
      <c r="V8" s="140"/>
    </row>
    <row r="9" spans="1:26" ht="15" thickBot="1" x14ac:dyDescent="0.35">
      <c r="A9" s="67"/>
      <c r="B9" s="72"/>
      <c r="C9" s="68"/>
      <c r="D9" s="141"/>
      <c r="E9" s="75"/>
      <c r="F9" s="142"/>
      <c r="G9" s="141"/>
      <c r="H9" s="143"/>
      <c r="I9" s="141"/>
      <c r="J9" s="69"/>
      <c r="K9" s="144"/>
      <c r="L9" s="145"/>
      <c r="M9" s="94"/>
      <c r="N9" s="94"/>
      <c r="U9" s="140"/>
      <c r="V9" s="140"/>
    </row>
    <row r="10" spans="1:26" x14ac:dyDescent="0.3">
      <c r="A10" s="76"/>
      <c r="B10" s="76"/>
      <c r="C10" s="76"/>
      <c r="D10" s="76"/>
      <c r="E10" s="76"/>
      <c r="F10" s="76"/>
      <c r="G10" s="76"/>
      <c r="H10" s="76"/>
      <c r="I10" s="76"/>
      <c r="J10" s="76"/>
      <c r="K10" s="76"/>
      <c r="L10" s="76"/>
      <c r="M10" s="94"/>
      <c r="N10" s="94"/>
      <c r="U10" s="140"/>
      <c r="V10" s="140"/>
    </row>
    <row r="11" spans="1:26" x14ac:dyDescent="0.3">
      <c r="A11" s="76"/>
      <c r="B11" s="76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94"/>
      <c r="N11" s="94"/>
      <c r="U11" s="140"/>
      <c r="V11" s="140"/>
    </row>
    <row r="12" spans="1:26" x14ac:dyDescent="0.3">
      <c r="B12" s="122" t="s">
        <v>33</v>
      </c>
      <c r="C12" s="122" t="s">
        <v>34</v>
      </c>
      <c r="D12" s="122"/>
      <c r="F12" s="94"/>
      <c r="G12" s="94"/>
      <c r="H12" s="94"/>
      <c r="I12" s="94"/>
      <c r="J12" s="94"/>
      <c r="K12" s="94"/>
      <c r="L12" s="94"/>
      <c r="M12" s="94"/>
      <c r="N12" s="94"/>
    </row>
    <row r="13" spans="1:26" x14ac:dyDescent="0.3">
      <c r="B13" s="122" t="s">
        <v>35</v>
      </c>
      <c r="C13" t="s">
        <v>36</v>
      </c>
      <c r="D13" s="122"/>
      <c r="F13" s="123"/>
      <c r="G13" s="94"/>
      <c r="H13" s="94"/>
      <c r="I13" s="94"/>
      <c r="K13" s="94"/>
      <c r="L13" s="94"/>
      <c r="M13" s="94"/>
      <c r="N13" s="94"/>
    </row>
    <row r="14" spans="1:26" x14ac:dyDescent="0.3">
      <c r="B14" s="1" t="s">
        <v>33</v>
      </c>
      <c r="C14" s="27" t="s">
        <v>34</v>
      </c>
      <c r="D14" s="122"/>
      <c r="F14" s="94"/>
      <c r="G14" s="94"/>
      <c r="H14" s="94"/>
      <c r="I14" s="94"/>
      <c r="J14" s="94"/>
      <c r="K14" s="94"/>
      <c r="L14" s="94"/>
      <c r="M14" s="94"/>
    </row>
    <row r="15" spans="1:26" x14ac:dyDescent="0.3">
      <c r="A15" s="123"/>
      <c r="B15" s="2"/>
      <c r="C15" s="2"/>
      <c r="D15" s="2"/>
      <c r="E15" s="2"/>
      <c r="F15" s="94"/>
      <c r="G15" s="94"/>
      <c r="H15" s="94"/>
      <c r="I15" s="94"/>
      <c r="J15" s="94"/>
      <c r="K15" s="94"/>
      <c r="L15" s="94"/>
      <c r="M15" s="94"/>
    </row>
    <row r="16" spans="1:26" x14ac:dyDescent="0.3">
      <c r="A16" s="122"/>
      <c r="B16" s="122" t="s">
        <v>40</v>
      </c>
      <c r="C16" s="122"/>
      <c r="D16" s="122"/>
      <c r="F16" s="94"/>
      <c r="G16" s="94"/>
      <c r="H16" s="181"/>
      <c r="I16" s="181"/>
      <c r="J16" s="181"/>
      <c r="K16" s="181"/>
      <c r="L16" s="94"/>
      <c r="M16" s="94"/>
      <c r="N16" s="94"/>
      <c r="O16" s="94"/>
      <c r="P16" s="94"/>
      <c r="Q16" s="94"/>
      <c r="R16" s="94"/>
    </row>
    <row r="17" spans="1:18" x14ac:dyDescent="0.3">
      <c r="A17" s="122"/>
      <c r="B17" s="91"/>
      <c r="C17" s="2" t="s">
        <v>47</v>
      </c>
      <c r="D17" s="2"/>
      <c r="E17" s="2"/>
      <c r="F17" s="94"/>
      <c r="G17" s="94"/>
      <c r="H17" s="94"/>
      <c r="I17" s="94"/>
      <c r="J17" s="94"/>
      <c r="K17" s="94"/>
      <c r="L17" s="94"/>
      <c r="M17" s="94"/>
      <c r="N17" s="94"/>
      <c r="O17" s="94"/>
      <c r="P17" s="94"/>
      <c r="Q17" s="94"/>
      <c r="R17" s="94"/>
    </row>
    <row r="18" spans="1:18" ht="14.4" customHeight="1" x14ac:dyDescent="0.3">
      <c r="D18" s="124"/>
      <c r="E18" s="124"/>
      <c r="F18" s="124"/>
      <c r="G18" s="94"/>
      <c r="H18" s="94"/>
      <c r="I18" s="94"/>
      <c r="J18" s="94"/>
      <c r="K18" s="94"/>
      <c r="L18" s="94"/>
      <c r="M18" s="94"/>
      <c r="N18" s="94"/>
      <c r="O18" s="94"/>
      <c r="P18" s="94"/>
      <c r="Q18" s="94"/>
      <c r="R18" s="94"/>
    </row>
    <row r="19" spans="1:18" x14ac:dyDescent="0.3">
      <c r="A19" s="123"/>
      <c r="B19" s="94"/>
      <c r="C19" s="94"/>
      <c r="D19" s="94"/>
      <c r="E19" s="94"/>
      <c r="F19" s="94"/>
      <c r="G19" s="94"/>
      <c r="H19" s="94"/>
      <c r="I19" s="94"/>
      <c r="J19" s="94"/>
      <c r="K19" s="94"/>
      <c r="L19" s="94"/>
      <c r="M19" s="94"/>
    </row>
    <row r="20" spans="1:18" x14ac:dyDescent="0.3">
      <c r="A20" s="123"/>
      <c r="B20" s="94"/>
      <c r="C20" s="94"/>
      <c r="D20" s="94"/>
      <c r="E20" s="94"/>
      <c r="F20" s="94"/>
      <c r="G20" s="94"/>
      <c r="H20" s="94"/>
      <c r="I20" s="94"/>
      <c r="J20" s="94"/>
      <c r="K20" s="94"/>
      <c r="L20" s="94"/>
      <c r="M20" s="94"/>
    </row>
    <row r="21" spans="1:18" x14ac:dyDescent="0.3">
      <c r="B21" s="94"/>
      <c r="C21" s="94"/>
      <c r="D21" s="94"/>
      <c r="E21" s="94"/>
      <c r="F21" s="94"/>
      <c r="G21" s="94"/>
      <c r="H21" s="94"/>
      <c r="I21" s="94"/>
      <c r="J21" s="94"/>
      <c r="K21" s="94"/>
      <c r="L21" s="94"/>
      <c r="M21" s="94"/>
    </row>
    <row r="22" spans="1:18" x14ac:dyDescent="0.3">
      <c r="B22" s="94"/>
      <c r="C22" s="94"/>
      <c r="D22" s="94"/>
      <c r="E22" s="94"/>
      <c r="F22" s="94"/>
      <c r="G22" s="94"/>
      <c r="H22" s="94"/>
      <c r="I22" s="94"/>
      <c r="J22" s="94"/>
      <c r="K22" s="94"/>
      <c r="L22" s="94"/>
      <c r="M22" s="94"/>
    </row>
    <row r="23" spans="1:18" x14ac:dyDescent="0.3">
      <c r="B23" s="94"/>
      <c r="C23" s="94"/>
      <c r="D23" s="94"/>
      <c r="E23" s="94"/>
      <c r="F23" s="94"/>
      <c r="G23" s="94"/>
      <c r="H23" s="94"/>
      <c r="I23" s="94"/>
      <c r="J23" s="94"/>
      <c r="K23" s="94"/>
      <c r="L23" s="94"/>
      <c r="M23" s="94"/>
    </row>
    <row r="24" spans="1:18" x14ac:dyDescent="0.3">
      <c r="B24" s="94"/>
      <c r="C24" s="94"/>
      <c r="D24" s="94"/>
      <c r="E24" s="94"/>
      <c r="F24" s="94"/>
      <c r="G24" s="94"/>
      <c r="H24" s="94"/>
      <c r="I24" s="94"/>
      <c r="J24" s="94"/>
      <c r="K24" s="94"/>
      <c r="L24" s="94"/>
      <c r="M24" s="94"/>
    </row>
    <row r="25" spans="1:18" x14ac:dyDescent="0.3">
      <c r="B25" s="94"/>
      <c r="C25" s="94"/>
      <c r="D25" s="94"/>
      <c r="E25" s="94"/>
      <c r="F25" s="94"/>
      <c r="G25" s="94"/>
      <c r="H25" s="94"/>
      <c r="I25" s="94"/>
      <c r="J25" s="94"/>
      <c r="K25" s="94"/>
      <c r="L25" s="94"/>
      <c r="M25" s="94"/>
      <c r="N25" s="94"/>
    </row>
    <row r="26" spans="1:18" x14ac:dyDescent="0.3">
      <c r="B26" s="94"/>
      <c r="C26" s="94"/>
      <c r="D26" s="94"/>
      <c r="E26" s="94"/>
      <c r="F26" s="94"/>
      <c r="G26" s="94"/>
      <c r="H26" s="94"/>
      <c r="I26" s="94"/>
      <c r="J26" s="94"/>
      <c r="K26" s="94"/>
      <c r="L26" s="94"/>
      <c r="M26" s="94"/>
      <c r="N26" s="94"/>
    </row>
    <row r="27" spans="1:18" x14ac:dyDescent="0.3">
      <c r="B27" s="94"/>
      <c r="C27" s="94"/>
      <c r="D27" s="94"/>
      <c r="E27" s="94"/>
      <c r="F27" s="94"/>
      <c r="G27" s="94"/>
      <c r="H27" s="94"/>
      <c r="I27" s="94"/>
      <c r="J27" s="94"/>
      <c r="K27" s="94"/>
      <c r="L27" s="94"/>
      <c r="M27" s="94"/>
      <c r="N27" s="94"/>
    </row>
    <row r="28" spans="1:18" x14ac:dyDescent="0.3">
      <c r="B28" s="94"/>
      <c r="C28" s="94"/>
      <c r="D28" s="94"/>
      <c r="E28" s="94"/>
      <c r="F28" s="94"/>
      <c r="G28" s="94"/>
      <c r="H28" s="94"/>
      <c r="I28" s="94"/>
      <c r="J28" s="94"/>
      <c r="K28" s="94"/>
      <c r="L28" s="94"/>
      <c r="M28" s="94"/>
      <c r="N28" s="94"/>
    </row>
    <row r="29" spans="1:18" x14ac:dyDescent="0.3">
      <c r="B29" s="94"/>
      <c r="C29" s="94"/>
      <c r="D29" s="94"/>
      <c r="E29" s="94"/>
      <c r="F29" s="94"/>
      <c r="G29" s="94"/>
      <c r="H29" s="94"/>
      <c r="I29" s="94"/>
      <c r="J29" s="94"/>
      <c r="K29" s="94"/>
      <c r="L29" s="94"/>
      <c r="M29" s="94"/>
      <c r="N29" s="94"/>
    </row>
    <row r="30" spans="1:18" x14ac:dyDescent="0.3">
      <c r="B30" s="94"/>
      <c r="C30" s="94"/>
      <c r="D30" s="94"/>
      <c r="E30" s="94"/>
      <c r="F30" s="94"/>
      <c r="G30" s="94"/>
      <c r="H30" s="94"/>
      <c r="I30" s="94"/>
      <c r="J30" s="94"/>
      <c r="K30" s="94"/>
      <c r="L30" s="94"/>
      <c r="M30" s="94"/>
      <c r="N30" s="94"/>
    </row>
    <row r="31" spans="1:18" x14ac:dyDescent="0.3">
      <c r="B31" s="94"/>
      <c r="C31" s="94"/>
      <c r="D31" s="94"/>
      <c r="E31" s="94"/>
      <c r="F31" s="94"/>
      <c r="G31" s="94"/>
      <c r="H31" s="94"/>
      <c r="I31" s="94"/>
      <c r="J31" s="94"/>
      <c r="K31" s="94"/>
      <c r="L31" s="94"/>
      <c r="M31" s="94"/>
      <c r="N31" s="94"/>
    </row>
    <row r="32" spans="1:18" x14ac:dyDescent="0.3">
      <c r="B32" s="94"/>
      <c r="C32" s="94"/>
      <c r="D32" s="94"/>
      <c r="E32" s="94"/>
      <c r="F32" s="94"/>
      <c r="G32" s="94"/>
      <c r="H32" s="94"/>
      <c r="I32" s="94"/>
      <c r="J32" s="94"/>
      <c r="K32" s="94"/>
      <c r="L32" s="94"/>
      <c r="M32" s="94"/>
      <c r="N32" s="94"/>
    </row>
    <row r="33" spans="2:14" x14ac:dyDescent="0.3">
      <c r="B33" s="94"/>
      <c r="C33" s="94"/>
      <c r="D33" s="94"/>
      <c r="E33" s="94"/>
      <c r="F33" s="94"/>
      <c r="G33" s="94"/>
      <c r="H33" s="94"/>
      <c r="I33" s="94"/>
      <c r="J33" s="94"/>
      <c r="K33" s="94"/>
      <c r="L33" s="94"/>
      <c r="M33" s="94"/>
      <c r="N33" s="94"/>
    </row>
    <row r="34" spans="2:14" x14ac:dyDescent="0.3">
      <c r="B34" s="94"/>
      <c r="C34" s="94"/>
      <c r="D34" s="94"/>
      <c r="E34" s="94"/>
      <c r="F34" s="94"/>
      <c r="G34" s="94"/>
      <c r="H34" s="94"/>
      <c r="I34" s="94"/>
      <c r="J34" s="94"/>
      <c r="K34" s="94"/>
      <c r="L34" s="94"/>
      <c r="M34" s="94"/>
      <c r="N34" s="94"/>
    </row>
    <row r="35" spans="2:14" x14ac:dyDescent="0.3">
      <c r="B35" s="94"/>
      <c r="C35" s="94"/>
      <c r="D35" s="94"/>
      <c r="E35" s="94"/>
      <c r="F35" s="94"/>
      <c r="G35" s="94"/>
      <c r="H35" s="94"/>
      <c r="I35" s="94"/>
      <c r="J35" s="94"/>
      <c r="K35" s="94"/>
      <c r="L35" s="94"/>
      <c r="M35" s="94"/>
      <c r="N35" s="94"/>
    </row>
    <row r="36" spans="2:14" x14ac:dyDescent="0.3">
      <c r="B36" s="94"/>
      <c r="C36" s="94"/>
      <c r="D36" s="94"/>
      <c r="E36" s="94"/>
      <c r="F36" s="94"/>
      <c r="G36" s="94"/>
      <c r="H36" s="94"/>
      <c r="I36" s="94"/>
      <c r="J36" s="94"/>
      <c r="K36" s="94"/>
      <c r="L36" s="94"/>
      <c r="M36" s="94"/>
      <c r="N36" s="94"/>
    </row>
    <row r="37" spans="2:14" x14ac:dyDescent="0.3">
      <c r="B37" s="94"/>
      <c r="C37" s="94"/>
      <c r="D37" s="94"/>
      <c r="E37" s="94"/>
      <c r="F37" s="94"/>
      <c r="G37" s="94"/>
      <c r="H37" s="94"/>
      <c r="I37" s="94"/>
      <c r="J37" s="94"/>
      <c r="K37" s="94"/>
      <c r="L37" s="94"/>
      <c r="M37" s="94"/>
      <c r="N37" s="94"/>
    </row>
    <row r="38" spans="2:14" x14ac:dyDescent="0.3">
      <c r="B38" s="94"/>
      <c r="C38" s="94"/>
      <c r="D38" s="94"/>
      <c r="E38" s="94"/>
      <c r="F38" s="94"/>
      <c r="G38" s="94"/>
      <c r="H38" s="94"/>
      <c r="I38" s="94"/>
      <c r="J38" s="94"/>
      <c r="K38" s="94"/>
      <c r="L38" s="94"/>
      <c r="M38" s="94"/>
      <c r="N38" s="94"/>
    </row>
    <row r="39" spans="2:14" x14ac:dyDescent="0.3">
      <c r="B39" s="94"/>
      <c r="C39" s="94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</row>
    <row r="40" spans="2:14" x14ac:dyDescent="0.3">
      <c r="B40" s="94"/>
      <c r="C40" s="94"/>
      <c r="D40" s="94"/>
      <c r="E40" s="94"/>
      <c r="F40" s="94"/>
      <c r="G40" s="94"/>
      <c r="H40" s="94"/>
      <c r="I40" s="94"/>
      <c r="J40" s="94"/>
      <c r="K40" s="94"/>
      <c r="L40" s="94"/>
      <c r="M40" s="94"/>
      <c r="N40" s="94"/>
    </row>
    <row r="41" spans="2:14" x14ac:dyDescent="0.3">
      <c r="B41" s="94"/>
      <c r="C41" s="94"/>
      <c r="D41" s="94"/>
      <c r="E41" s="94"/>
      <c r="F41" s="94"/>
      <c r="G41" s="94"/>
      <c r="H41" s="94"/>
      <c r="I41" s="94"/>
      <c r="J41" s="94"/>
      <c r="K41" s="94"/>
      <c r="L41" s="94"/>
      <c r="M41" s="94"/>
      <c r="N41" s="94"/>
    </row>
    <row r="42" spans="2:14" x14ac:dyDescent="0.3">
      <c r="B42" s="94"/>
      <c r="C42" s="94"/>
      <c r="D42" s="94"/>
      <c r="E42" s="94"/>
      <c r="F42" s="94"/>
      <c r="G42" s="94"/>
      <c r="H42" s="94"/>
      <c r="I42" s="94"/>
      <c r="J42" s="94"/>
      <c r="K42" s="94"/>
      <c r="L42" s="94"/>
      <c r="M42" s="94"/>
      <c r="N42" s="94"/>
    </row>
    <row r="43" spans="2:14" x14ac:dyDescent="0.3">
      <c r="F43" s="123"/>
      <c r="L43" s="94"/>
    </row>
    <row r="44" spans="2:14" x14ac:dyDescent="0.3">
      <c r="F44" s="123"/>
      <c r="L44" s="94"/>
    </row>
    <row r="45" spans="2:14" x14ac:dyDescent="0.3">
      <c r="F45" s="123"/>
      <c r="L45" s="94"/>
    </row>
    <row r="46" spans="2:14" x14ac:dyDescent="0.3">
      <c r="F46" s="123"/>
      <c r="L46" s="94"/>
    </row>
    <row r="47" spans="2:14" x14ac:dyDescent="0.3">
      <c r="F47" s="123"/>
      <c r="L47" s="94"/>
    </row>
    <row r="48" spans="2:14" x14ac:dyDescent="0.3">
      <c r="F48" s="123"/>
      <c r="L48" s="94"/>
    </row>
  </sheetData>
  <mergeCells count="14">
    <mergeCell ref="U5:V5"/>
    <mergeCell ref="H16:K16"/>
    <mergeCell ref="G1:G2"/>
    <mergeCell ref="I1:I2"/>
    <mergeCell ref="J1:J2"/>
    <mergeCell ref="K1:K2"/>
    <mergeCell ref="L1:L2"/>
    <mergeCell ref="O1:T1"/>
    <mergeCell ref="F1:F2"/>
    <mergeCell ref="A1:A2"/>
    <mergeCell ref="B1:B2"/>
    <mergeCell ref="C1:C2"/>
    <mergeCell ref="D1:D2"/>
    <mergeCell ref="E1:E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615A4-4765-4189-A2B6-11EB685B3721}">
  <sheetPr codeName="Sheet20"/>
  <dimension ref="A1:Z48"/>
  <sheetViews>
    <sheetView workbookViewId="0">
      <selection activeCell="I9" sqref="I9"/>
    </sheetView>
  </sheetViews>
  <sheetFormatPr defaultColWidth="9.109375" defaultRowHeight="14.4" x14ac:dyDescent="0.3"/>
  <cols>
    <col min="1" max="2" width="9.109375" style="28"/>
    <col min="3" max="3" width="11.109375" style="28" customWidth="1"/>
    <col min="4" max="4" width="15.44140625" style="28" customWidth="1"/>
    <col min="5" max="5" width="12" style="28" customWidth="1"/>
    <col min="6" max="6" width="17.109375" style="39" customWidth="1"/>
    <col min="7" max="7" width="13.33203125" style="28" customWidth="1"/>
    <col min="8" max="8" width="11.44140625" style="28" customWidth="1"/>
    <col min="9" max="9" width="17.33203125" style="28" customWidth="1"/>
    <col min="10" max="10" width="11.6640625" style="28" customWidth="1"/>
    <col min="11" max="11" width="16.109375" style="28" customWidth="1"/>
    <col min="12" max="12" width="13.5546875" style="28" customWidth="1"/>
    <col min="13" max="13" width="9.109375" style="28"/>
    <col min="14" max="14" width="9.109375" style="28" customWidth="1"/>
    <col min="15" max="20" width="9.109375" style="28"/>
    <col min="21" max="21" width="15.109375" style="28" customWidth="1"/>
    <col min="22" max="22" width="13.6640625" style="28" customWidth="1"/>
    <col min="23" max="25" width="9.109375" style="28"/>
    <col min="26" max="26" width="9.5546875" style="28" customWidth="1"/>
    <col min="27" max="16384" width="9.109375" style="28"/>
  </cols>
  <sheetData>
    <row r="1" spans="1:26" ht="45" customHeight="1" thickBot="1" x14ac:dyDescent="0.4">
      <c r="A1" s="185" t="s">
        <v>0</v>
      </c>
      <c r="B1" s="187" t="s">
        <v>1</v>
      </c>
      <c r="C1" s="189" t="s">
        <v>2</v>
      </c>
      <c r="D1" s="191" t="s">
        <v>3</v>
      </c>
      <c r="E1" s="193" t="s">
        <v>4</v>
      </c>
      <c r="F1" s="179" t="s">
        <v>5</v>
      </c>
      <c r="G1" s="195" t="s">
        <v>6</v>
      </c>
      <c r="H1" s="92" t="s">
        <v>7</v>
      </c>
      <c r="I1" s="195" t="s">
        <v>8</v>
      </c>
      <c r="J1" s="196" t="s">
        <v>9</v>
      </c>
      <c r="K1" s="187" t="s">
        <v>10</v>
      </c>
      <c r="L1" s="187" t="s">
        <v>11</v>
      </c>
      <c r="M1" s="94"/>
      <c r="N1" s="94"/>
      <c r="O1" s="182" t="s">
        <v>12</v>
      </c>
      <c r="P1" s="182"/>
      <c r="Q1" s="182"/>
      <c r="R1" s="182"/>
      <c r="S1" s="182"/>
      <c r="T1" s="182"/>
      <c r="Z1" s="29">
        <v>45677</v>
      </c>
    </row>
    <row r="2" spans="1:26" ht="17.100000000000001" customHeight="1" thickBot="1" x14ac:dyDescent="0.35">
      <c r="A2" s="199"/>
      <c r="B2" s="200"/>
      <c r="C2" s="201"/>
      <c r="D2" s="202"/>
      <c r="E2" s="203"/>
      <c r="F2" s="198"/>
      <c r="G2" s="198"/>
      <c r="H2" s="129"/>
      <c r="I2" s="198"/>
      <c r="J2" s="204"/>
      <c r="K2" s="200"/>
      <c r="L2" s="200"/>
      <c r="M2" s="94"/>
      <c r="N2" s="94"/>
      <c r="O2" s="96" t="s">
        <v>13</v>
      </c>
      <c r="P2" s="97" t="s">
        <v>13</v>
      </c>
      <c r="Q2" s="98" t="s">
        <v>13</v>
      </c>
      <c r="R2" s="96" t="s">
        <v>14</v>
      </c>
      <c r="S2" s="97" t="s">
        <v>14</v>
      </c>
      <c r="T2" s="98" t="s">
        <v>14</v>
      </c>
      <c r="U2" s="94"/>
      <c r="V2" s="94"/>
    </row>
    <row r="3" spans="1:26" ht="17.100000000000001" customHeight="1" thickBot="1" x14ac:dyDescent="0.35">
      <c r="A3" s="62" t="s">
        <v>27</v>
      </c>
      <c r="B3" s="163" t="s">
        <v>16</v>
      </c>
      <c r="C3" s="63">
        <v>107</v>
      </c>
      <c r="D3" s="131" t="s">
        <v>22</v>
      </c>
      <c r="E3" s="73">
        <v>1</v>
      </c>
      <c r="F3" s="132">
        <v>182</v>
      </c>
      <c r="G3" s="133">
        <v>22</v>
      </c>
      <c r="H3" s="134">
        <f t="shared" ref="H3:H8" si="0">RANK(G3,$G$3:$G$9)</f>
        <v>5</v>
      </c>
      <c r="I3" s="135">
        <v>89</v>
      </c>
      <c r="J3" s="64">
        <f>RANK(I3,$I$3:$I$9)+COUNTIF(I3:$I$3,I3)-1</f>
        <v>1</v>
      </c>
      <c r="K3" s="136">
        <f>(E3+J3)/2</f>
        <v>1</v>
      </c>
      <c r="L3" s="137">
        <f>RANK(K3,$K$3:$K$9,1)+COUNTIF(K3:$K$6,K3)-1</f>
        <v>1</v>
      </c>
      <c r="M3" s="94"/>
      <c r="N3" s="94"/>
      <c r="O3" s="103" t="s">
        <v>18</v>
      </c>
      <c r="P3" s="104" t="s">
        <v>19</v>
      </c>
      <c r="Q3" s="105" t="s">
        <v>20</v>
      </c>
      <c r="R3" s="103" t="s">
        <v>18</v>
      </c>
      <c r="S3" s="104" t="s">
        <v>19</v>
      </c>
      <c r="T3" s="106" t="s">
        <v>20</v>
      </c>
      <c r="U3" s="94"/>
      <c r="V3" s="94"/>
    </row>
    <row r="4" spans="1:26" ht="17.100000000000001" customHeight="1" thickBot="1" x14ac:dyDescent="0.35">
      <c r="A4" s="65" t="s">
        <v>38</v>
      </c>
      <c r="B4" s="83" t="s">
        <v>24</v>
      </c>
      <c r="C4" s="31">
        <v>104</v>
      </c>
      <c r="D4" s="94" t="s">
        <v>22</v>
      </c>
      <c r="E4" s="74">
        <v>2</v>
      </c>
      <c r="F4" s="130">
        <v>242</v>
      </c>
      <c r="G4" s="94">
        <v>28</v>
      </c>
      <c r="H4" s="138">
        <f t="shared" si="0"/>
        <v>2</v>
      </c>
      <c r="I4" s="94">
        <v>87</v>
      </c>
      <c r="J4" s="34">
        <f>RANK(I4,$I$3:$I$9)+COUNTIF(I$3:$I4,I4)-1</f>
        <v>5</v>
      </c>
      <c r="K4" s="109">
        <f>(E4+J4)/2</f>
        <v>3.5</v>
      </c>
      <c r="L4" s="139">
        <f>RANK(K4,$K$3:$K$9,1)+COUNTIF(K4:$K$6,K4)-1</f>
        <v>4</v>
      </c>
      <c r="M4" s="94"/>
      <c r="N4" s="94"/>
      <c r="O4" s="48">
        <v>50</v>
      </c>
      <c r="P4" s="110">
        <v>74</v>
      </c>
      <c r="Q4" s="111">
        <v>62</v>
      </c>
      <c r="R4" s="49">
        <v>20</v>
      </c>
      <c r="S4" s="112"/>
      <c r="T4" s="113"/>
    </row>
    <row r="5" spans="1:26" ht="17.100000000000001" customHeight="1" thickBot="1" x14ac:dyDescent="0.35">
      <c r="A5" s="65" t="s">
        <v>27</v>
      </c>
      <c r="B5" s="83" t="s">
        <v>21</v>
      </c>
      <c r="C5" s="31">
        <v>103</v>
      </c>
      <c r="D5" s="94" t="s">
        <v>22</v>
      </c>
      <c r="E5" s="74">
        <v>3</v>
      </c>
      <c r="F5" s="130">
        <v>258</v>
      </c>
      <c r="G5" s="94">
        <v>34</v>
      </c>
      <c r="H5" s="138">
        <f t="shared" si="0"/>
        <v>1</v>
      </c>
      <c r="I5" s="94">
        <v>88</v>
      </c>
      <c r="J5" s="34">
        <f>RANK(I5,$I$3:$I$9)+COUNTIF(I$3:$I5,I5)-1</f>
        <v>3</v>
      </c>
      <c r="K5" s="109">
        <f>(E5+J5)/2</f>
        <v>3</v>
      </c>
      <c r="L5" s="139">
        <f>RANK(K5,$K$3:$K$9,1)+COUNTIF(K5:$K$6,K5)-1</f>
        <v>3</v>
      </c>
      <c r="M5" s="94"/>
      <c r="N5" s="94"/>
      <c r="U5" s="183" t="s">
        <v>23</v>
      </c>
      <c r="V5" s="184"/>
    </row>
    <row r="6" spans="1:26" x14ac:dyDescent="0.3">
      <c r="A6" s="65" t="s">
        <v>15</v>
      </c>
      <c r="B6" s="162" t="s">
        <v>45</v>
      </c>
      <c r="C6" s="31">
        <v>102</v>
      </c>
      <c r="D6" s="159" t="s">
        <v>22</v>
      </c>
      <c r="E6" s="74">
        <v>4</v>
      </c>
      <c r="F6" s="160">
        <v>102</v>
      </c>
      <c r="G6" s="159">
        <v>23</v>
      </c>
      <c r="H6" s="138">
        <f t="shared" si="0"/>
        <v>3</v>
      </c>
      <c r="I6" s="71">
        <v>89</v>
      </c>
      <c r="J6" s="34">
        <f>RANK(I6,$I$3:$I$9)+COUNTIF(I$3:$I6,I6)-1</f>
        <v>2</v>
      </c>
      <c r="K6" s="109">
        <f>(E6+J6)/2</f>
        <v>3</v>
      </c>
      <c r="L6" s="139">
        <f>RANK(K6,$K$3:$K$9,1)+COUNTIF(K$6:$K6,K6)-1</f>
        <v>2</v>
      </c>
      <c r="M6" s="94"/>
      <c r="N6" s="94"/>
      <c r="U6" s="115" t="s">
        <v>25</v>
      </c>
      <c r="V6" s="116" t="s">
        <v>26</v>
      </c>
    </row>
    <row r="7" spans="1:26" ht="15" thickBot="1" x14ac:dyDescent="0.35">
      <c r="A7" s="66" t="s">
        <v>15</v>
      </c>
      <c r="B7" s="71" t="s">
        <v>28</v>
      </c>
      <c r="C7" s="31">
        <v>86</v>
      </c>
      <c r="D7" s="94" t="s">
        <v>46</v>
      </c>
      <c r="E7" s="74">
        <v>5</v>
      </c>
      <c r="F7" s="130">
        <v>282</v>
      </c>
      <c r="G7" s="94">
        <v>22</v>
      </c>
      <c r="H7" s="138">
        <f t="shared" si="0"/>
        <v>5</v>
      </c>
      <c r="I7" s="94">
        <v>87</v>
      </c>
      <c r="J7" s="34">
        <f>RANK(I7,$I$3:$I$9)+COUNTIF(I$3:$I7,I7)-1</f>
        <v>6</v>
      </c>
      <c r="K7" s="109">
        <f>(E7+J7)/2</f>
        <v>5.5</v>
      </c>
      <c r="L7" s="139">
        <f>RANK(K7,$K$3:$K$9,1)+COUNTIF(K$6:$K7,K7)-1</f>
        <v>5</v>
      </c>
      <c r="M7" s="94"/>
      <c r="N7" s="94"/>
      <c r="U7" s="117">
        <f>P4+S4</f>
        <v>74</v>
      </c>
      <c r="V7" s="118">
        <f>Q4+T4</f>
        <v>62</v>
      </c>
    </row>
    <row r="8" spans="1:26" ht="15" thickTop="1" x14ac:dyDescent="0.3">
      <c r="A8" s="66"/>
      <c r="B8" s="71" t="s">
        <v>30</v>
      </c>
      <c r="C8" s="31">
        <v>82</v>
      </c>
      <c r="D8" s="94" t="s">
        <v>46</v>
      </c>
      <c r="E8" s="74">
        <v>6</v>
      </c>
      <c r="F8" s="130">
        <v>203</v>
      </c>
      <c r="G8" s="94">
        <v>23</v>
      </c>
      <c r="H8" s="138">
        <f t="shared" si="0"/>
        <v>3</v>
      </c>
      <c r="I8" s="94">
        <v>88</v>
      </c>
      <c r="J8" s="34"/>
      <c r="K8" s="109"/>
      <c r="L8" s="139"/>
      <c r="M8" s="94"/>
      <c r="N8" s="94"/>
      <c r="U8" s="140"/>
      <c r="V8" s="140"/>
    </row>
    <row r="9" spans="1:26" ht="15" thickBot="1" x14ac:dyDescent="0.35">
      <c r="A9" s="67"/>
      <c r="B9" s="72"/>
      <c r="C9" s="68"/>
      <c r="D9" s="141"/>
      <c r="E9" s="75"/>
      <c r="F9" s="142"/>
      <c r="G9" s="141"/>
      <c r="H9" s="143"/>
      <c r="I9" s="141"/>
      <c r="J9" s="69"/>
      <c r="K9" s="144"/>
      <c r="L9" s="145"/>
      <c r="M9" s="94"/>
      <c r="N9" s="94"/>
      <c r="U9" s="140"/>
      <c r="V9" s="140"/>
    </row>
    <row r="10" spans="1:26" x14ac:dyDescent="0.3">
      <c r="A10" s="76"/>
      <c r="B10" s="76"/>
      <c r="C10" s="76"/>
      <c r="D10" s="76"/>
      <c r="E10" s="76"/>
      <c r="F10" s="76"/>
      <c r="G10" s="76"/>
      <c r="H10" s="76"/>
      <c r="I10" s="76"/>
      <c r="J10" s="76"/>
      <c r="K10" s="76"/>
      <c r="L10" s="76"/>
      <c r="M10" s="94"/>
      <c r="N10" s="94"/>
      <c r="U10" s="140"/>
      <c r="V10" s="140"/>
    </row>
    <row r="11" spans="1:26" x14ac:dyDescent="0.3">
      <c r="A11" s="76"/>
      <c r="B11" s="76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94"/>
      <c r="N11" s="94"/>
      <c r="U11" s="140"/>
      <c r="V11" s="140"/>
    </row>
    <row r="12" spans="1:26" x14ac:dyDescent="0.3">
      <c r="B12" s="122" t="s">
        <v>33</v>
      </c>
      <c r="C12" s="122" t="s">
        <v>34</v>
      </c>
      <c r="D12" s="122"/>
      <c r="F12" s="94"/>
      <c r="G12" s="94"/>
      <c r="H12" s="94"/>
      <c r="I12" s="94"/>
      <c r="J12" s="94"/>
      <c r="K12" s="94"/>
      <c r="L12" s="94"/>
      <c r="M12" s="94"/>
      <c r="N12" s="94"/>
    </row>
    <row r="13" spans="1:26" x14ac:dyDescent="0.3">
      <c r="B13" s="122" t="s">
        <v>35</v>
      </c>
      <c r="C13" t="s">
        <v>36</v>
      </c>
      <c r="D13" s="122"/>
      <c r="F13" s="123"/>
      <c r="G13" s="94"/>
      <c r="H13" s="94"/>
      <c r="I13" s="94"/>
      <c r="K13" s="94"/>
      <c r="L13" s="94"/>
      <c r="M13" s="94"/>
      <c r="N13" s="94"/>
    </row>
    <row r="14" spans="1:26" x14ac:dyDescent="0.3">
      <c r="B14" s="1" t="s">
        <v>33</v>
      </c>
      <c r="C14" s="27" t="s">
        <v>34</v>
      </c>
      <c r="D14" s="122"/>
      <c r="F14" s="94"/>
      <c r="G14" s="94"/>
      <c r="H14" s="94"/>
      <c r="I14" s="94"/>
      <c r="J14" s="94"/>
      <c r="K14" s="94"/>
      <c r="L14" s="94"/>
      <c r="M14" s="94"/>
    </row>
    <row r="15" spans="1:26" x14ac:dyDescent="0.3">
      <c r="A15" s="123"/>
      <c r="B15" s="2"/>
      <c r="C15" s="2"/>
      <c r="D15" s="2"/>
      <c r="E15" s="2"/>
      <c r="F15" s="94"/>
      <c r="G15" s="94"/>
      <c r="H15" s="94"/>
      <c r="I15" s="94"/>
      <c r="J15" s="94"/>
      <c r="K15" s="94"/>
      <c r="L15" s="94"/>
      <c r="M15" s="94"/>
    </row>
    <row r="16" spans="1:26" x14ac:dyDescent="0.3">
      <c r="A16" s="122"/>
      <c r="B16" s="122" t="s">
        <v>40</v>
      </c>
      <c r="C16" s="122"/>
      <c r="D16" s="122"/>
      <c r="F16" s="94"/>
      <c r="G16" s="94"/>
      <c r="H16" s="181"/>
      <c r="I16" s="181"/>
      <c r="J16" s="181"/>
      <c r="K16" s="181"/>
      <c r="L16" s="94"/>
      <c r="M16" s="94"/>
      <c r="N16" s="94"/>
      <c r="O16" s="94"/>
      <c r="P16" s="94"/>
      <c r="Q16" s="94"/>
      <c r="R16" s="94"/>
    </row>
    <row r="17" spans="1:18" x14ac:dyDescent="0.3">
      <c r="A17" s="122"/>
      <c r="B17" s="91"/>
      <c r="C17" s="2" t="s">
        <v>47</v>
      </c>
      <c r="D17" s="2"/>
      <c r="E17" s="2"/>
      <c r="F17" s="94"/>
      <c r="G17" s="94"/>
      <c r="H17" s="94"/>
      <c r="I17" s="94"/>
      <c r="J17" s="94"/>
      <c r="K17" s="94"/>
      <c r="L17" s="94"/>
      <c r="M17" s="94"/>
      <c r="N17" s="94"/>
      <c r="O17" s="94"/>
      <c r="P17" s="94"/>
      <c r="Q17" s="94"/>
      <c r="R17" s="94"/>
    </row>
    <row r="18" spans="1:18" ht="14.4" customHeight="1" x14ac:dyDescent="0.3">
      <c r="D18" s="124"/>
      <c r="E18" s="124"/>
      <c r="F18" s="124"/>
      <c r="G18" s="94"/>
      <c r="H18" s="94"/>
      <c r="I18" s="94"/>
      <c r="J18" s="94"/>
      <c r="K18" s="94"/>
      <c r="L18" s="94"/>
      <c r="M18" s="94"/>
      <c r="N18" s="94"/>
      <c r="O18" s="94"/>
      <c r="P18" s="94"/>
      <c r="Q18" s="94"/>
      <c r="R18" s="94"/>
    </row>
    <row r="19" spans="1:18" x14ac:dyDescent="0.3">
      <c r="A19" s="123"/>
      <c r="B19" s="94"/>
      <c r="C19" s="94"/>
      <c r="D19" s="94"/>
      <c r="E19" s="94"/>
      <c r="F19" s="94"/>
      <c r="G19" s="94"/>
      <c r="H19" s="94"/>
      <c r="I19" s="94"/>
      <c r="J19" s="94"/>
      <c r="K19" s="94"/>
      <c r="L19" s="94"/>
      <c r="M19" s="94"/>
    </row>
    <row r="20" spans="1:18" x14ac:dyDescent="0.3">
      <c r="A20" s="123"/>
      <c r="B20" s="94"/>
      <c r="C20" s="94"/>
      <c r="D20" s="94"/>
      <c r="E20" s="94"/>
      <c r="F20" s="94"/>
      <c r="G20" s="94"/>
      <c r="H20" s="94"/>
      <c r="I20" s="94"/>
      <c r="J20" s="94"/>
      <c r="K20" s="94"/>
      <c r="L20" s="94"/>
      <c r="M20" s="94"/>
    </row>
    <row r="21" spans="1:18" x14ac:dyDescent="0.3">
      <c r="B21" s="94"/>
      <c r="C21" s="94"/>
      <c r="D21" s="94"/>
      <c r="E21" s="94"/>
      <c r="F21" s="94"/>
      <c r="G21" s="94"/>
      <c r="H21" s="94"/>
      <c r="I21" s="94"/>
      <c r="J21" s="94"/>
      <c r="K21" s="94"/>
      <c r="L21" s="94"/>
      <c r="M21" s="94"/>
    </row>
    <row r="22" spans="1:18" x14ac:dyDescent="0.3">
      <c r="B22" s="94"/>
      <c r="C22" s="94"/>
      <c r="D22" s="94"/>
      <c r="E22" s="94"/>
      <c r="F22" s="94"/>
      <c r="G22" s="94"/>
      <c r="H22" s="94"/>
      <c r="I22" s="94"/>
      <c r="J22" s="94"/>
      <c r="K22" s="94"/>
      <c r="L22" s="94"/>
      <c r="M22" s="94"/>
    </row>
    <row r="23" spans="1:18" x14ac:dyDescent="0.3">
      <c r="B23" s="94"/>
      <c r="C23" s="94"/>
      <c r="D23" s="94"/>
      <c r="E23" s="94"/>
      <c r="F23" s="94"/>
      <c r="G23" s="94"/>
      <c r="H23" s="94"/>
      <c r="I23" s="94"/>
      <c r="J23" s="94"/>
      <c r="K23" s="94"/>
      <c r="L23" s="94"/>
      <c r="M23" s="94"/>
    </row>
    <row r="24" spans="1:18" x14ac:dyDescent="0.3">
      <c r="B24" s="94"/>
      <c r="C24" s="94"/>
      <c r="D24" s="94"/>
      <c r="E24" s="94"/>
      <c r="F24" s="94"/>
      <c r="G24" s="94"/>
      <c r="H24" s="94"/>
      <c r="I24" s="94"/>
      <c r="J24" s="94"/>
      <c r="K24" s="94"/>
      <c r="L24" s="94"/>
      <c r="M24" s="94"/>
    </row>
    <row r="25" spans="1:18" x14ac:dyDescent="0.3">
      <c r="B25" s="94"/>
      <c r="C25" s="94"/>
      <c r="D25" s="94"/>
      <c r="E25" s="94"/>
      <c r="F25" s="94"/>
      <c r="G25" s="94"/>
      <c r="H25" s="94"/>
      <c r="I25" s="94"/>
      <c r="J25" s="94"/>
      <c r="K25" s="94"/>
      <c r="L25" s="94"/>
      <c r="M25" s="94"/>
      <c r="N25" s="94"/>
    </row>
    <row r="26" spans="1:18" x14ac:dyDescent="0.3">
      <c r="B26" s="94"/>
      <c r="C26" s="94"/>
      <c r="D26" s="94"/>
      <c r="E26" s="94"/>
      <c r="F26" s="94"/>
      <c r="G26" s="94"/>
      <c r="H26" s="94"/>
      <c r="I26" s="94"/>
      <c r="J26" s="94"/>
      <c r="K26" s="94"/>
      <c r="L26" s="94"/>
      <c r="M26" s="94"/>
      <c r="N26" s="94"/>
    </row>
    <row r="27" spans="1:18" x14ac:dyDescent="0.3">
      <c r="B27" s="94"/>
      <c r="C27" s="94"/>
      <c r="D27" s="94"/>
      <c r="E27" s="94"/>
      <c r="F27" s="94"/>
      <c r="G27" s="94"/>
      <c r="H27" s="94"/>
      <c r="I27" s="94"/>
      <c r="J27" s="94"/>
      <c r="K27" s="94"/>
      <c r="L27" s="94"/>
      <c r="M27" s="94"/>
      <c r="N27" s="94"/>
    </row>
    <row r="28" spans="1:18" x14ac:dyDescent="0.3">
      <c r="B28" s="94"/>
      <c r="C28" s="94"/>
      <c r="D28" s="94"/>
      <c r="E28" s="94"/>
      <c r="F28" s="94"/>
      <c r="G28" s="94"/>
      <c r="H28" s="94"/>
      <c r="I28" s="94"/>
      <c r="J28" s="94"/>
      <c r="K28" s="94"/>
      <c r="L28" s="94"/>
      <c r="M28" s="94"/>
      <c r="N28" s="94"/>
    </row>
    <row r="29" spans="1:18" x14ac:dyDescent="0.3">
      <c r="B29" s="94"/>
      <c r="C29" s="94"/>
      <c r="D29" s="94"/>
      <c r="E29" s="94"/>
      <c r="F29" s="94"/>
      <c r="G29" s="94"/>
      <c r="H29" s="94"/>
      <c r="I29" s="94"/>
      <c r="J29" s="94"/>
      <c r="K29" s="94"/>
      <c r="L29" s="94"/>
      <c r="M29" s="94"/>
      <c r="N29" s="94"/>
    </row>
    <row r="30" spans="1:18" x14ac:dyDescent="0.3">
      <c r="B30" s="94"/>
      <c r="C30" s="94"/>
      <c r="D30" s="94"/>
      <c r="E30" s="94"/>
      <c r="F30" s="94"/>
      <c r="G30" s="94"/>
      <c r="H30" s="94"/>
      <c r="I30" s="94"/>
      <c r="J30" s="94"/>
      <c r="K30" s="94"/>
      <c r="L30" s="94"/>
      <c r="M30" s="94"/>
      <c r="N30" s="94"/>
    </row>
    <row r="31" spans="1:18" x14ac:dyDescent="0.3">
      <c r="B31" s="94"/>
      <c r="C31" s="94"/>
      <c r="D31" s="94"/>
      <c r="E31" s="94"/>
      <c r="F31" s="94"/>
      <c r="G31" s="94"/>
      <c r="H31" s="94"/>
      <c r="I31" s="94"/>
      <c r="J31" s="94"/>
      <c r="K31" s="94"/>
      <c r="L31" s="94"/>
      <c r="M31" s="94"/>
      <c r="N31" s="94"/>
    </row>
    <row r="32" spans="1:18" x14ac:dyDescent="0.3">
      <c r="B32" s="94"/>
      <c r="C32" s="94"/>
      <c r="D32" s="94"/>
      <c r="E32" s="94"/>
      <c r="F32" s="94"/>
      <c r="G32" s="94"/>
      <c r="H32" s="94"/>
      <c r="I32" s="94"/>
      <c r="J32" s="94"/>
      <c r="K32" s="94"/>
      <c r="L32" s="94"/>
      <c r="M32" s="94"/>
      <c r="N32" s="94"/>
    </row>
    <row r="33" spans="2:14" x14ac:dyDescent="0.3">
      <c r="B33" s="94"/>
      <c r="C33" s="94"/>
      <c r="D33" s="94"/>
      <c r="E33" s="94"/>
      <c r="F33" s="94"/>
      <c r="G33" s="94"/>
      <c r="H33" s="94"/>
      <c r="I33" s="94"/>
      <c r="J33" s="94"/>
      <c r="K33" s="94"/>
      <c r="L33" s="94"/>
      <c r="M33" s="94"/>
      <c r="N33" s="94"/>
    </row>
    <row r="34" spans="2:14" x14ac:dyDescent="0.3">
      <c r="B34" s="94"/>
      <c r="C34" s="94"/>
      <c r="D34" s="94"/>
      <c r="E34" s="94"/>
      <c r="F34" s="94"/>
      <c r="G34" s="94"/>
      <c r="H34" s="94"/>
      <c r="I34" s="94"/>
      <c r="J34" s="94"/>
      <c r="K34" s="94"/>
      <c r="L34" s="94"/>
      <c r="M34" s="94"/>
      <c r="N34" s="94"/>
    </row>
    <row r="35" spans="2:14" x14ac:dyDescent="0.3">
      <c r="B35" s="94"/>
      <c r="C35" s="94"/>
      <c r="D35" s="94"/>
      <c r="E35" s="94"/>
      <c r="F35" s="94"/>
      <c r="G35" s="94"/>
      <c r="H35" s="94"/>
      <c r="I35" s="94"/>
      <c r="J35" s="94"/>
      <c r="K35" s="94"/>
      <c r="L35" s="94"/>
      <c r="M35" s="94"/>
      <c r="N35" s="94"/>
    </row>
    <row r="36" spans="2:14" x14ac:dyDescent="0.3">
      <c r="B36" s="94"/>
      <c r="C36" s="94"/>
      <c r="D36" s="94"/>
      <c r="E36" s="94"/>
      <c r="F36" s="94"/>
      <c r="G36" s="94"/>
      <c r="H36" s="94"/>
      <c r="I36" s="94"/>
      <c r="J36" s="94"/>
      <c r="K36" s="94"/>
      <c r="L36" s="94"/>
      <c r="M36" s="94"/>
      <c r="N36" s="94"/>
    </row>
    <row r="37" spans="2:14" x14ac:dyDescent="0.3">
      <c r="B37" s="94"/>
      <c r="C37" s="94"/>
      <c r="D37" s="94"/>
      <c r="E37" s="94"/>
      <c r="F37" s="94"/>
      <c r="G37" s="94"/>
      <c r="H37" s="94"/>
      <c r="I37" s="94"/>
      <c r="J37" s="94"/>
      <c r="K37" s="94"/>
      <c r="L37" s="94"/>
      <c r="M37" s="94"/>
      <c r="N37" s="94"/>
    </row>
    <row r="38" spans="2:14" x14ac:dyDescent="0.3">
      <c r="B38" s="94"/>
      <c r="C38" s="94"/>
      <c r="D38" s="94"/>
      <c r="E38" s="94"/>
      <c r="F38" s="94"/>
      <c r="G38" s="94"/>
      <c r="H38" s="94"/>
      <c r="I38" s="94"/>
      <c r="J38" s="94"/>
      <c r="K38" s="94"/>
      <c r="L38" s="94"/>
      <c r="M38" s="94"/>
      <c r="N38" s="94"/>
    </row>
    <row r="39" spans="2:14" x14ac:dyDescent="0.3">
      <c r="B39" s="94"/>
      <c r="C39" s="94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</row>
    <row r="40" spans="2:14" x14ac:dyDescent="0.3">
      <c r="B40" s="94"/>
      <c r="C40" s="94"/>
      <c r="D40" s="94"/>
      <c r="E40" s="94"/>
      <c r="F40" s="94"/>
      <c r="G40" s="94"/>
      <c r="H40" s="94"/>
      <c r="I40" s="94"/>
      <c r="J40" s="94"/>
      <c r="K40" s="94"/>
      <c r="L40" s="94"/>
      <c r="M40" s="94"/>
      <c r="N40" s="94"/>
    </row>
    <row r="41" spans="2:14" x14ac:dyDescent="0.3">
      <c r="B41" s="94"/>
      <c r="C41" s="94"/>
      <c r="D41" s="94"/>
      <c r="E41" s="94"/>
      <c r="F41" s="94"/>
      <c r="G41" s="94"/>
      <c r="H41" s="94"/>
      <c r="I41" s="94"/>
      <c r="J41" s="94"/>
      <c r="K41" s="94"/>
      <c r="L41" s="94"/>
      <c r="M41" s="94"/>
      <c r="N41" s="94"/>
    </row>
    <row r="42" spans="2:14" x14ac:dyDescent="0.3">
      <c r="B42" s="94"/>
      <c r="C42" s="94"/>
      <c r="D42" s="94"/>
      <c r="E42" s="94"/>
      <c r="F42" s="94"/>
      <c r="G42" s="94"/>
      <c r="H42" s="94"/>
      <c r="I42" s="94"/>
      <c r="J42" s="94"/>
      <c r="K42" s="94"/>
      <c r="L42" s="94"/>
      <c r="M42" s="94"/>
      <c r="N42" s="94"/>
    </row>
    <row r="43" spans="2:14" x14ac:dyDescent="0.3">
      <c r="F43" s="123"/>
      <c r="L43" s="94"/>
    </row>
    <row r="44" spans="2:14" x14ac:dyDescent="0.3">
      <c r="F44" s="123"/>
      <c r="L44" s="94"/>
    </row>
    <row r="45" spans="2:14" x14ac:dyDescent="0.3">
      <c r="F45" s="123"/>
      <c r="L45" s="94"/>
    </row>
    <row r="46" spans="2:14" x14ac:dyDescent="0.3">
      <c r="F46" s="123"/>
      <c r="L46" s="94"/>
    </row>
    <row r="47" spans="2:14" x14ac:dyDescent="0.3">
      <c r="F47" s="123"/>
      <c r="L47" s="94"/>
    </row>
    <row r="48" spans="2:14" x14ac:dyDescent="0.3">
      <c r="F48" s="123"/>
      <c r="L48" s="94"/>
    </row>
  </sheetData>
  <mergeCells count="14">
    <mergeCell ref="U5:V5"/>
    <mergeCell ref="H16:K16"/>
    <mergeCell ref="G1:G2"/>
    <mergeCell ref="I1:I2"/>
    <mergeCell ref="J1:J2"/>
    <mergeCell ref="K1:K2"/>
    <mergeCell ref="L1:L2"/>
    <mergeCell ref="O1:T1"/>
    <mergeCell ref="F1:F2"/>
    <mergeCell ref="A1:A2"/>
    <mergeCell ref="B1:B2"/>
    <mergeCell ref="C1:C2"/>
    <mergeCell ref="D1:D2"/>
    <mergeCell ref="E1:E2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59759-056C-4EB4-8A04-76F08ECC5CE5}">
  <dimension ref="A1:AA48"/>
  <sheetViews>
    <sheetView workbookViewId="0">
      <selection activeCell="B8" sqref="B8:J10"/>
    </sheetView>
  </sheetViews>
  <sheetFormatPr defaultColWidth="9.109375" defaultRowHeight="14.4" x14ac:dyDescent="0.3"/>
  <cols>
    <col min="1" max="3" width="9.109375" style="28"/>
    <col min="4" max="4" width="11.109375" style="28" customWidth="1"/>
    <col min="5" max="5" width="15.44140625" style="28" customWidth="1"/>
    <col min="6" max="6" width="12" style="28" customWidth="1"/>
    <col min="7" max="7" width="17.109375" style="39" customWidth="1"/>
    <col min="8" max="8" width="13.33203125" style="28" customWidth="1"/>
    <col min="9" max="9" width="11.44140625" style="28" customWidth="1"/>
    <col min="10" max="10" width="17.33203125" style="28" customWidth="1"/>
    <col min="11" max="11" width="11.6640625" style="28" customWidth="1"/>
    <col min="12" max="12" width="16.109375" style="28" customWidth="1"/>
    <col min="13" max="13" width="13.5546875" style="28" customWidth="1"/>
    <col min="14" max="14" width="9.109375" style="28"/>
    <col min="15" max="15" width="9.109375" style="28" customWidth="1"/>
    <col min="16" max="21" width="9.109375" style="28"/>
    <col min="22" max="22" width="15.109375" style="28" customWidth="1"/>
    <col min="23" max="23" width="13.6640625" style="28" customWidth="1"/>
    <col min="24" max="26" width="9.109375" style="28"/>
    <col min="27" max="27" width="9.5546875" style="28" customWidth="1"/>
    <col min="28" max="16384" width="9.109375" style="28"/>
  </cols>
  <sheetData>
    <row r="1" spans="1:27" ht="45" customHeight="1" thickBot="1" x14ac:dyDescent="0.4">
      <c r="A1" s="185" t="s">
        <v>0</v>
      </c>
      <c r="B1" s="187" t="s">
        <v>1</v>
      </c>
      <c r="C1" s="92" t="s">
        <v>64</v>
      </c>
      <c r="D1" s="189" t="s">
        <v>2</v>
      </c>
      <c r="E1" s="191" t="s">
        <v>3</v>
      </c>
      <c r="F1" s="193" t="s">
        <v>4</v>
      </c>
      <c r="G1" s="179" t="s">
        <v>5</v>
      </c>
      <c r="H1" s="195" t="s">
        <v>6</v>
      </c>
      <c r="I1" s="92" t="s">
        <v>7</v>
      </c>
      <c r="J1" s="195" t="s">
        <v>8</v>
      </c>
      <c r="K1" s="196" t="s">
        <v>9</v>
      </c>
      <c r="L1" s="187" t="s">
        <v>10</v>
      </c>
      <c r="M1" s="187" t="s">
        <v>11</v>
      </c>
      <c r="N1" s="94"/>
      <c r="O1" s="94"/>
      <c r="P1" s="182" t="s">
        <v>12</v>
      </c>
      <c r="Q1" s="182"/>
      <c r="R1" s="182"/>
      <c r="S1" s="182"/>
      <c r="T1" s="182"/>
      <c r="U1" s="182"/>
      <c r="AA1" s="29">
        <v>45677</v>
      </c>
    </row>
    <row r="2" spans="1:27" ht="17.100000000000001" customHeight="1" thickBot="1" x14ac:dyDescent="0.35">
      <c r="A2" s="199"/>
      <c r="B2" s="200"/>
      <c r="C2" s="129"/>
      <c r="D2" s="201"/>
      <c r="E2" s="202"/>
      <c r="F2" s="203"/>
      <c r="G2" s="198"/>
      <c r="H2" s="198"/>
      <c r="I2" s="129"/>
      <c r="J2" s="198"/>
      <c r="K2" s="204"/>
      <c r="L2" s="200"/>
      <c r="M2" s="200"/>
      <c r="N2" s="94"/>
      <c r="O2" s="94"/>
      <c r="P2" s="96" t="s">
        <v>13</v>
      </c>
      <c r="Q2" s="97" t="s">
        <v>13</v>
      </c>
      <c r="R2" s="98" t="s">
        <v>13</v>
      </c>
      <c r="S2" s="96" t="s">
        <v>14</v>
      </c>
      <c r="T2" s="97" t="s">
        <v>14</v>
      </c>
      <c r="U2" s="98" t="s">
        <v>14</v>
      </c>
      <c r="V2" s="94"/>
      <c r="W2" s="94"/>
    </row>
    <row r="3" spans="1:27" ht="17.100000000000001" customHeight="1" thickBot="1" x14ac:dyDescent="0.35">
      <c r="A3" s="62" t="s">
        <v>38</v>
      </c>
      <c r="B3" s="79" t="s">
        <v>16</v>
      </c>
      <c r="C3" s="70"/>
      <c r="D3" s="63">
        <v>107</v>
      </c>
      <c r="E3" s="131" t="s">
        <v>22</v>
      </c>
      <c r="F3" s="73">
        <v>1</v>
      </c>
      <c r="G3" s="132">
        <v>238</v>
      </c>
      <c r="H3" s="133">
        <v>42</v>
      </c>
      <c r="I3" s="134">
        <f t="shared" ref="I3:I7" si="0">RANK(H3,$H$3:$H$9)</f>
        <v>4</v>
      </c>
      <c r="J3" s="135">
        <v>89</v>
      </c>
      <c r="K3" s="64">
        <f>RANK(J3,$J$3:$J$9)+COUNTIF(J3:$J$3,J3)-1</f>
        <v>1</v>
      </c>
      <c r="L3" s="136">
        <f>(F3+K3)/2</f>
        <v>1</v>
      </c>
      <c r="M3" s="137">
        <f>RANK(L3,$L$3:$L$9,1)+COUNTIF(L3:$L$6,L3)-1</f>
        <v>1</v>
      </c>
      <c r="N3" s="94"/>
      <c r="O3" s="94"/>
      <c r="P3" s="103" t="s">
        <v>18</v>
      </c>
      <c r="Q3" s="104" t="s">
        <v>19</v>
      </c>
      <c r="R3" s="105" t="s">
        <v>20</v>
      </c>
      <c r="S3" s="103" t="s">
        <v>18</v>
      </c>
      <c r="T3" s="104" t="s">
        <v>19</v>
      </c>
      <c r="U3" s="106" t="s">
        <v>20</v>
      </c>
      <c r="V3" s="94"/>
      <c r="W3" s="94"/>
    </row>
    <row r="4" spans="1:27" ht="17.100000000000001" customHeight="1" thickBot="1" x14ac:dyDescent="0.35">
      <c r="A4" s="65" t="s">
        <v>38</v>
      </c>
      <c r="B4" s="83" t="s">
        <v>24</v>
      </c>
      <c r="C4" s="71"/>
      <c r="D4" s="31">
        <v>104</v>
      </c>
      <c r="E4" s="94" t="s">
        <v>22</v>
      </c>
      <c r="F4" s="74">
        <v>2</v>
      </c>
      <c r="G4" s="130">
        <v>286</v>
      </c>
      <c r="H4" s="94">
        <v>71</v>
      </c>
      <c r="I4" s="138">
        <f t="shared" si="0"/>
        <v>1</v>
      </c>
      <c r="J4" s="94">
        <v>87</v>
      </c>
      <c r="K4" s="34">
        <f>RANK(J4,$J$3:$J$9)+COUNTIF(J$3:$J4,J4)-1</f>
        <v>5</v>
      </c>
      <c r="L4" s="109">
        <f>(F4+K4)/2</f>
        <v>3.5</v>
      </c>
      <c r="M4" s="139">
        <f>RANK(L4,$L$3:$L$9,1)+COUNTIF(L4:$L$6,L4)-1</f>
        <v>4</v>
      </c>
      <c r="N4" s="94"/>
      <c r="O4" s="94"/>
      <c r="P4" s="48">
        <v>50</v>
      </c>
      <c r="Q4" s="110">
        <v>62</v>
      </c>
      <c r="R4" s="111">
        <v>116</v>
      </c>
      <c r="S4" s="49">
        <v>20</v>
      </c>
      <c r="T4" s="112"/>
      <c r="U4" s="113"/>
    </row>
    <row r="5" spans="1:27" ht="17.100000000000001" customHeight="1" thickBot="1" x14ac:dyDescent="0.35">
      <c r="A5" s="65" t="s">
        <v>27</v>
      </c>
      <c r="B5" s="83" t="s">
        <v>21</v>
      </c>
      <c r="C5" s="71"/>
      <c r="D5" s="31">
        <v>103</v>
      </c>
      <c r="E5" s="94" t="s">
        <v>22</v>
      </c>
      <c r="F5" s="74">
        <v>3</v>
      </c>
      <c r="G5" s="130">
        <v>178</v>
      </c>
      <c r="H5" s="94">
        <v>45</v>
      </c>
      <c r="I5" s="138">
        <f t="shared" si="0"/>
        <v>3</v>
      </c>
      <c r="J5" s="94">
        <v>89</v>
      </c>
      <c r="K5" s="34">
        <f>RANK(J5,$J$3:$J$9)+COUNTIF(J$3:$J5,J5)-1</f>
        <v>2</v>
      </c>
      <c r="L5" s="109">
        <f>(F5+K5)/2</f>
        <v>2.5</v>
      </c>
      <c r="M5" s="139">
        <f>RANK(L5,$L$3:$L$9,1)+COUNTIF(L5:$L$6,L5)-1</f>
        <v>2</v>
      </c>
      <c r="N5" s="94"/>
      <c r="O5" s="94"/>
      <c r="V5" s="183" t="s">
        <v>23</v>
      </c>
      <c r="W5" s="184"/>
    </row>
    <row r="6" spans="1:27" x14ac:dyDescent="0.3">
      <c r="A6" s="65" t="s">
        <v>15</v>
      </c>
      <c r="B6" s="80" t="s">
        <v>45</v>
      </c>
      <c r="C6" s="71"/>
      <c r="D6" s="31">
        <v>102</v>
      </c>
      <c r="E6" s="159" t="s">
        <v>22</v>
      </c>
      <c r="F6" s="74">
        <v>4</v>
      </c>
      <c r="G6" s="160">
        <v>280</v>
      </c>
      <c r="H6" s="159">
        <v>71</v>
      </c>
      <c r="I6" s="138">
        <f t="shared" si="0"/>
        <v>1</v>
      </c>
      <c r="J6" s="71">
        <v>88</v>
      </c>
      <c r="K6" s="34">
        <f>RANK(J6,$J$3:$J$9)+COUNTIF(J$3:$J6,J6)-1</f>
        <v>3</v>
      </c>
      <c r="L6" s="109">
        <f>(F6+K6)/2</f>
        <v>3.5</v>
      </c>
      <c r="M6" s="139">
        <f>RANK(L6,$L$3:$L$9,1)+COUNTIF(L$6:$L6,L6)-1</f>
        <v>3</v>
      </c>
      <c r="N6" s="94"/>
      <c r="O6" s="94"/>
      <c r="V6" s="115" t="s">
        <v>25</v>
      </c>
      <c r="W6" s="116" t="s">
        <v>26</v>
      </c>
    </row>
    <row r="7" spans="1:27" ht="15" thickBot="1" x14ac:dyDescent="0.35">
      <c r="A7" s="66"/>
      <c r="B7" s="71" t="s">
        <v>28</v>
      </c>
      <c r="C7" s="71"/>
      <c r="D7" s="31">
        <v>86</v>
      </c>
      <c r="E7" s="94" t="s">
        <v>46</v>
      </c>
      <c r="F7" s="74">
        <v>5</v>
      </c>
      <c r="G7" s="130">
        <v>282</v>
      </c>
      <c r="H7" s="94">
        <v>22</v>
      </c>
      <c r="I7" s="138">
        <f t="shared" si="0"/>
        <v>5</v>
      </c>
      <c r="J7" s="94">
        <v>88</v>
      </c>
      <c r="K7" s="34">
        <f>RANK(J7,$J$3:$J$9)+COUNTIF(J$3:$J7,J7)-1</f>
        <v>4</v>
      </c>
      <c r="L7" s="109">
        <f>(F7+K7)/2</f>
        <v>4.5</v>
      </c>
      <c r="M7" s="139">
        <f>RANK(L7,$L$3:$L$9,1)+COUNTIF(L$6:$L7,L7)-1</f>
        <v>5</v>
      </c>
      <c r="N7" s="94"/>
      <c r="O7" s="94"/>
      <c r="V7" s="117">
        <f>Q4+T4</f>
        <v>62</v>
      </c>
      <c r="W7" s="118">
        <f>R4+U4</f>
        <v>116</v>
      </c>
    </row>
    <row r="8" spans="1:27" ht="15" thickTop="1" x14ac:dyDescent="0.3">
      <c r="A8" s="66"/>
      <c r="B8" s="71"/>
      <c r="C8" s="71"/>
      <c r="D8" s="31"/>
      <c r="E8" s="94"/>
      <c r="F8" s="74"/>
      <c r="G8" s="130"/>
      <c r="H8" s="94"/>
      <c r="I8" s="138"/>
      <c r="J8" s="94"/>
      <c r="K8" s="34"/>
      <c r="L8" s="109"/>
      <c r="M8" s="139"/>
      <c r="N8" s="94"/>
      <c r="O8" s="94"/>
      <c r="V8" s="140"/>
      <c r="W8" s="140"/>
    </row>
    <row r="9" spans="1:27" ht="15" thickBot="1" x14ac:dyDescent="0.35">
      <c r="A9" s="67"/>
      <c r="B9" s="72"/>
      <c r="C9" s="72"/>
      <c r="D9" s="68"/>
      <c r="E9" s="141"/>
      <c r="F9" s="75"/>
      <c r="G9" s="142"/>
      <c r="H9" s="141"/>
      <c r="I9" s="143"/>
      <c r="J9" s="141"/>
      <c r="K9" s="69"/>
      <c r="L9" s="144"/>
      <c r="M9" s="145"/>
      <c r="N9" s="94"/>
      <c r="O9" s="94"/>
      <c r="V9" s="140"/>
      <c r="W9" s="140"/>
    </row>
    <row r="10" spans="1:27" x14ac:dyDescent="0.3">
      <c r="A10" s="76"/>
      <c r="B10" s="76"/>
      <c r="C10" s="76"/>
      <c r="D10" s="76"/>
      <c r="E10" s="76"/>
      <c r="F10" s="76"/>
      <c r="G10" s="76"/>
      <c r="H10" s="76"/>
      <c r="I10" s="76"/>
      <c r="J10" s="76"/>
      <c r="K10" s="76"/>
      <c r="L10" s="76"/>
      <c r="M10" s="76"/>
      <c r="N10" s="94"/>
      <c r="O10" s="94"/>
      <c r="V10" s="140"/>
      <c r="W10" s="140"/>
    </row>
    <row r="11" spans="1:27" x14ac:dyDescent="0.3">
      <c r="A11" s="76"/>
      <c r="B11" s="76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94"/>
      <c r="O11" s="94"/>
      <c r="V11" s="140"/>
      <c r="W11" s="140"/>
    </row>
    <row r="12" spans="1:27" x14ac:dyDescent="0.3">
      <c r="B12" s="122" t="s">
        <v>33</v>
      </c>
      <c r="C12" s="122"/>
      <c r="D12" s="122" t="s">
        <v>34</v>
      </c>
      <c r="E12" s="122"/>
      <c r="G12" s="94"/>
      <c r="H12" s="94"/>
      <c r="I12" s="94"/>
      <c r="J12" s="94"/>
      <c r="K12" s="94"/>
      <c r="L12" s="94"/>
      <c r="M12" s="94"/>
      <c r="N12" s="94"/>
      <c r="O12" s="94"/>
    </row>
    <row r="13" spans="1:27" x14ac:dyDescent="0.3">
      <c r="B13" s="122" t="s">
        <v>35</v>
      </c>
      <c r="C13" s="122"/>
      <c r="D13" t="s">
        <v>36</v>
      </c>
      <c r="E13" s="122"/>
      <c r="G13" s="123"/>
      <c r="H13" s="94"/>
      <c r="I13" s="94"/>
      <c r="J13" s="94"/>
      <c r="L13" s="94"/>
      <c r="M13" s="94"/>
      <c r="N13" s="94"/>
      <c r="O13" s="94"/>
    </row>
    <row r="14" spans="1:27" x14ac:dyDescent="0.3">
      <c r="B14" s="1" t="s">
        <v>33</v>
      </c>
      <c r="C14" s="1"/>
      <c r="D14" s="27" t="s">
        <v>34</v>
      </c>
      <c r="E14" s="122"/>
      <c r="G14" s="94"/>
      <c r="H14" s="94"/>
      <c r="I14" s="94"/>
      <c r="J14" s="94"/>
      <c r="K14" s="94"/>
      <c r="L14" s="94"/>
      <c r="M14" s="94"/>
      <c r="N14" s="94"/>
    </row>
    <row r="15" spans="1:27" x14ac:dyDescent="0.3">
      <c r="A15" s="123"/>
      <c r="B15" s="2"/>
      <c r="C15" s="2"/>
      <c r="D15" s="2"/>
      <c r="E15" s="2"/>
      <c r="F15" s="2"/>
      <c r="G15" s="94"/>
      <c r="H15" s="94"/>
      <c r="I15" s="94"/>
      <c r="J15" s="94"/>
      <c r="K15" s="94"/>
      <c r="L15" s="94"/>
      <c r="M15" s="94"/>
      <c r="N15" s="94"/>
    </row>
    <row r="16" spans="1:27" x14ac:dyDescent="0.3">
      <c r="A16" s="122"/>
      <c r="B16" s="122" t="s">
        <v>40</v>
      </c>
      <c r="C16" s="122"/>
      <c r="D16" s="122"/>
      <c r="E16" s="122"/>
      <c r="G16" s="94"/>
      <c r="H16" s="94"/>
      <c r="I16" s="181"/>
      <c r="J16" s="181"/>
      <c r="K16" s="181"/>
      <c r="L16" s="181"/>
      <c r="M16" s="94"/>
      <c r="N16" s="94"/>
      <c r="O16" s="94"/>
      <c r="P16" s="94"/>
      <c r="Q16" s="94"/>
      <c r="R16" s="94"/>
      <c r="S16" s="94"/>
    </row>
    <row r="17" spans="1:19" x14ac:dyDescent="0.3">
      <c r="A17" s="122"/>
      <c r="B17" s="91"/>
      <c r="C17" s="91"/>
      <c r="D17" s="2" t="s">
        <v>47</v>
      </c>
      <c r="E17" s="2"/>
      <c r="F17" s="2"/>
      <c r="G17" s="94"/>
      <c r="H17" s="94"/>
      <c r="I17" s="94"/>
      <c r="J17" s="94"/>
      <c r="K17" s="94"/>
      <c r="L17" s="94"/>
      <c r="M17" s="94"/>
      <c r="N17" s="94"/>
      <c r="O17" s="94"/>
      <c r="P17" s="94"/>
      <c r="Q17" s="94"/>
      <c r="R17" s="94"/>
      <c r="S17" s="94"/>
    </row>
    <row r="18" spans="1:19" ht="14.4" customHeight="1" x14ac:dyDescent="0.3">
      <c r="E18" s="124"/>
      <c r="F18" s="124"/>
      <c r="G18" s="124"/>
      <c r="H18" s="94"/>
      <c r="I18" s="94"/>
      <c r="J18" s="94"/>
      <c r="K18" s="94"/>
      <c r="L18" s="94"/>
      <c r="M18" s="94"/>
      <c r="N18" s="94"/>
      <c r="O18" s="94"/>
      <c r="P18" s="94"/>
      <c r="Q18" s="94"/>
      <c r="R18" s="94"/>
      <c r="S18" s="94"/>
    </row>
    <row r="19" spans="1:19" x14ac:dyDescent="0.3">
      <c r="A19" s="123"/>
      <c r="B19" s="94"/>
      <c r="C19" s="94"/>
      <c r="D19" s="94"/>
      <c r="E19" s="94"/>
      <c r="F19" s="94"/>
      <c r="G19" s="94"/>
      <c r="H19" s="94"/>
      <c r="I19" s="94"/>
      <c r="J19" s="94"/>
      <c r="K19" s="94"/>
      <c r="L19" s="94"/>
      <c r="M19" s="94"/>
      <c r="N19" s="94"/>
    </row>
    <row r="20" spans="1:19" x14ac:dyDescent="0.3">
      <c r="A20" s="123"/>
      <c r="B20" s="94"/>
      <c r="C20" s="94"/>
      <c r="D20" s="94"/>
      <c r="E20" s="94"/>
      <c r="F20" s="94"/>
      <c r="G20" s="94"/>
      <c r="H20" s="94"/>
      <c r="I20" s="94"/>
      <c r="J20" s="94"/>
      <c r="K20" s="94"/>
      <c r="L20" s="94"/>
      <c r="M20" s="94"/>
      <c r="N20" s="94"/>
    </row>
    <row r="21" spans="1:19" x14ac:dyDescent="0.3">
      <c r="B21" s="94"/>
      <c r="C21" s="94"/>
      <c r="D21" s="94"/>
      <c r="E21" s="94"/>
      <c r="F21" s="94"/>
      <c r="G21" s="94"/>
      <c r="H21" s="94"/>
      <c r="I21" s="94"/>
      <c r="J21" s="94"/>
      <c r="K21" s="94"/>
      <c r="L21" s="94"/>
      <c r="M21" s="94"/>
      <c r="N21" s="94"/>
    </row>
    <row r="22" spans="1:19" x14ac:dyDescent="0.3">
      <c r="B22" s="94"/>
      <c r="C22" s="94"/>
      <c r="D22" s="94"/>
      <c r="E22" s="94"/>
      <c r="F22" s="94"/>
      <c r="G22" s="94"/>
      <c r="H22" s="94"/>
      <c r="I22" s="94"/>
      <c r="J22" s="94"/>
      <c r="K22" s="94"/>
      <c r="L22" s="94"/>
      <c r="M22" s="94"/>
      <c r="N22" s="94"/>
    </row>
    <row r="23" spans="1:19" x14ac:dyDescent="0.3">
      <c r="B23" s="94"/>
      <c r="C23" s="94"/>
      <c r="D23" s="94"/>
      <c r="E23" s="94"/>
      <c r="F23" s="94"/>
      <c r="G23" s="94"/>
      <c r="H23" s="94"/>
      <c r="I23" s="94"/>
      <c r="J23" s="94"/>
      <c r="K23" s="94"/>
      <c r="L23" s="94"/>
      <c r="M23" s="94"/>
      <c r="N23" s="94"/>
    </row>
    <row r="24" spans="1:19" x14ac:dyDescent="0.3">
      <c r="B24" s="94"/>
      <c r="C24" s="94"/>
      <c r="D24" s="94"/>
      <c r="E24" s="94"/>
      <c r="F24" s="94"/>
      <c r="G24" s="94"/>
      <c r="H24" s="94"/>
      <c r="I24" s="94"/>
      <c r="J24" s="94"/>
      <c r="K24" s="94"/>
      <c r="L24" s="94"/>
      <c r="M24" s="94"/>
      <c r="N24" s="94"/>
    </row>
    <row r="25" spans="1:19" x14ac:dyDescent="0.3">
      <c r="B25" s="94"/>
      <c r="C25" s="94"/>
      <c r="D25" s="94"/>
      <c r="E25" s="94"/>
      <c r="F25" s="94"/>
      <c r="G25" s="94"/>
      <c r="H25" s="94"/>
      <c r="I25" s="94"/>
      <c r="J25" s="94"/>
      <c r="K25" s="94"/>
      <c r="L25" s="94"/>
      <c r="M25" s="94"/>
      <c r="N25" s="94"/>
      <c r="O25" s="94"/>
    </row>
    <row r="26" spans="1:19" x14ac:dyDescent="0.3">
      <c r="B26" s="94"/>
      <c r="C26" s="94"/>
      <c r="D26" s="94"/>
      <c r="E26" s="94"/>
      <c r="F26" s="94"/>
      <c r="G26" s="94"/>
      <c r="H26" s="94"/>
      <c r="I26" s="94"/>
      <c r="J26" s="94"/>
      <c r="K26" s="94"/>
      <c r="L26" s="94"/>
      <c r="M26" s="94"/>
      <c r="N26" s="94"/>
      <c r="O26" s="94"/>
    </row>
    <row r="27" spans="1:19" x14ac:dyDescent="0.3">
      <c r="B27" s="94"/>
      <c r="C27" s="94"/>
      <c r="D27" s="94"/>
      <c r="E27" s="94"/>
      <c r="F27" s="94"/>
      <c r="G27" s="94"/>
      <c r="H27" s="94"/>
      <c r="I27" s="94"/>
      <c r="J27" s="94"/>
      <c r="K27" s="94"/>
      <c r="L27" s="94"/>
      <c r="M27" s="94"/>
      <c r="N27" s="94"/>
      <c r="O27" s="94"/>
    </row>
    <row r="28" spans="1:19" x14ac:dyDescent="0.3">
      <c r="B28" s="94"/>
      <c r="C28" s="94"/>
      <c r="D28" s="94"/>
      <c r="E28" s="94"/>
      <c r="F28" s="94"/>
      <c r="G28" s="94"/>
      <c r="H28" s="94"/>
      <c r="I28" s="94"/>
      <c r="J28" s="94"/>
      <c r="K28" s="94"/>
      <c r="L28" s="94"/>
      <c r="M28" s="94"/>
      <c r="N28" s="94"/>
      <c r="O28" s="94"/>
    </row>
    <row r="29" spans="1:19" x14ac:dyDescent="0.3">
      <c r="B29" s="94"/>
      <c r="C29" s="94"/>
      <c r="D29" s="94"/>
      <c r="E29" s="94"/>
      <c r="F29" s="94"/>
      <c r="G29" s="94"/>
      <c r="H29" s="94"/>
      <c r="I29" s="94"/>
      <c r="J29" s="94"/>
      <c r="K29" s="94"/>
      <c r="L29" s="94"/>
      <c r="M29" s="94"/>
      <c r="N29" s="94"/>
      <c r="O29" s="94"/>
    </row>
    <row r="30" spans="1:19" x14ac:dyDescent="0.3">
      <c r="B30" s="94"/>
      <c r="C30" s="94"/>
      <c r="D30" s="94"/>
      <c r="E30" s="94"/>
      <c r="F30" s="94"/>
      <c r="G30" s="94"/>
      <c r="H30" s="94"/>
      <c r="I30" s="94"/>
      <c r="J30" s="94"/>
      <c r="K30" s="94"/>
      <c r="L30" s="94"/>
      <c r="M30" s="94"/>
      <c r="N30" s="94"/>
      <c r="O30" s="94"/>
    </row>
    <row r="31" spans="1:19" x14ac:dyDescent="0.3">
      <c r="B31" s="94"/>
      <c r="C31" s="94"/>
      <c r="D31" s="94"/>
      <c r="E31" s="94"/>
      <c r="F31" s="94"/>
      <c r="G31" s="94"/>
      <c r="H31" s="94"/>
      <c r="I31" s="94"/>
      <c r="J31" s="94"/>
      <c r="K31" s="94"/>
      <c r="L31" s="94"/>
      <c r="M31" s="94"/>
      <c r="N31" s="94"/>
      <c r="O31" s="94"/>
    </row>
    <row r="32" spans="1:19" x14ac:dyDescent="0.3">
      <c r="B32" s="94"/>
      <c r="C32" s="94"/>
      <c r="D32" s="94"/>
      <c r="E32" s="94"/>
      <c r="F32" s="94"/>
      <c r="G32" s="94"/>
      <c r="H32" s="94"/>
      <c r="I32" s="94"/>
      <c r="J32" s="94"/>
      <c r="K32" s="94"/>
      <c r="L32" s="94"/>
      <c r="M32" s="94"/>
      <c r="N32" s="94"/>
      <c r="O32" s="94"/>
    </row>
    <row r="33" spans="2:15" x14ac:dyDescent="0.3">
      <c r="B33" s="94"/>
      <c r="C33" s="94"/>
      <c r="D33" s="94"/>
      <c r="E33" s="94"/>
      <c r="F33" s="94"/>
      <c r="G33" s="94"/>
      <c r="H33" s="94"/>
      <c r="I33" s="94"/>
      <c r="J33" s="94"/>
      <c r="K33" s="94"/>
      <c r="L33" s="94"/>
      <c r="M33" s="94"/>
      <c r="N33" s="94"/>
      <c r="O33" s="94"/>
    </row>
    <row r="34" spans="2:15" x14ac:dyDescent="0.3">
      <c r="B34" s="94"/>
      <c r="C34" s="94"/>
      <c r="D34" s="94"/>
      <c r="E34" s="94"/>
      <c r="F34" s="94"/>
      <c r="G34" s="94"/>
      <c r="H34" s="94"/>
      <c r="I34" s="94"/>
      <c r="J34" s="94"/>
      <c r="K34" s="94"/>
      <c r="L34" s="94"/>
      <c r="M34" s="94"/>
      <c r="N34" s="94"/>
      <c r="O34" s="94"/>
    </row>
    <row r="35" spans="2:15" x14ac:dyDescent="0.3">
      <c r="B35" s="94"/>
      <c r="C35" s="94"/>
      <c r="D35" s="94"/>
      <c r="E35" s="94"/>
      <c r="F35" s="94"/>
      <c r="G35" s="94"/>
      <c r="H35" s="94"/>
      <c r="I35" s="94"/>
      <c r="J35" s="94"/>
      <c r="K35" s="94"/>
      <c r="L35" s="94"/>
      <c r="M35" s="94"/>
      <c r="N35" s="94"/>
      <c r="O35" s="94"/>
    </row>
    <row r="36" spans="2:15" x14ac:dyDescent="0.3">
      <c r="B36" s="94"/>
      <c r="C36" s="94"/>
      <c r="D36" s="94"/>
      <c r="E36" s="94"/>
      <c r="F36" s="94"/>
      <c r="G36" s="94"/>
      <c r="H36" s="94"/>
      <c r="I36" s="94"/>
      <c r="J36" s="94"/>
      <c r="K36" s="94"/>
      <c r="L36" s="94"/>
      <c r="M36" s="94"/>
      <c r="N36" s="94"/>
      <c r="O36" s="94"/>
    </row>
    <row r="37" spans="2:15" x14ac:dyDescent="0.3">
      <c r="B37" s="94"/>
      <c r="C37" s="94"/>
      <c r="D37" s="94"/>
      <c r="E37" s="94"/>
      <c r="F37" s="94"/>
      <c r="G37" s="94"/>
      <c r="H37" s="94"/>
      <c r="I37" s="94"/>
      <c r="J37" s="94"/>
      <c r="K37" s="94"/>
      <c r="L37" s="94"/>
      <c r="M37" s="94"/>
      <c r="N37" s="94"/>
      <c r="O37" s="94"/>
    </row>
    <row r="38" spans="2:15" x14ac:dyDescent="0.3">
      <c r="B38" s="94"/>
      <c r="C38" s="94"/>
      <c r="D38" s="94"/>
      <c r="E38" s="94"/>
      <c r="F38" s="94"/>
      <c r="G38" s="94"/>
      <c r="H38" s="94"/>
      <c r="I38" s="94"/>
      <c r="J38" s="94"/>
      <c r="K38" s="94"/>
      <c r="L38" s="94"/>
      <c r="M38" s="94"/>
      <c r="N38" s="94"/>
      <c r="O38" s="94"/>
    </row>
    <row r="39" spans="2:15" x14ac:dyDescent="0.3">
      <c r="B39" s="94"/>
      <c r="C39" s="94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</row>
    <row r="40" spans="2:15" x14ac:dyDescent="0.3">
      <c r="B40" s="94"/>
      <c r="C40" s="94"/>
      <c r="D40" s="94"/>
      <c r="E40" s="94"/>
      <c r="F40" s="94"/>
      <c r="G40" s="94"/>
      <c r="H40" s="94"/>
      <c r="I40" s="94"/>
      <c r="J40" s="94"/>
      <c r="K40" s="94"/>
      <c r="L40" s="94"/>
      <c r="M40" s="94"/>
      <c r="N40" s="94"/>
      <c r="O40" s="94"/>
    </row>
    <row r="41" spans="2:15" x14ac:dyDescent="0.3">
      <c r="B41" s="94"/>
      <c r="C41" s="94"/>
      <c r="D41" s="94"/>
      <c r="E41" s="94"/>
      <c r="F41" s="94"/>
      <c r="G41" s="94"/>
      <c r="H41" s="94"/>
      <c r="I41" s="94"/>
      <c r="J41" s="94"/>
      <c r="K41" s="94"/>
      <c r="L41" s="94"/>
      <c r="M41" s="94"/>
      <c r="N41" s="94"/>
      <c r="O41" s="94"/>
    </row>
    <row r="42" spans="2:15" x14ac:dyDescent="0.3">
      <c r="B42" s="94"/>
      <c r="C42" s="94"/>
      <c r="D42" s="94"/>
      <c r="E42" s="94"/>
      <c r="F42" s="94"/>
      <c r="G42" s="94"/>
      <c r="H42" s="94"/>
      <c r="I42" s="94"/>
      <c r="J42" s="94"/>
      <c r="K42" s="94"/>
      <c r="L42" s="94"/>
      <c r="M42" s="94"/>
      <c r="N42" s="94"/>
      <c r="O42" s="94"/>
    </row>
    <row r="43" spans="2:15" x14ac:dyDescent="0.3">
      <c r="G43" s="123"/>
      <c r="M43" s="94"/>
    </row>
    <row r="44" spans="2:15" x14ac:dyDescent="0.3">
      <c r="G44" s="123"/>
      <c r="M44" s="94"/>
    </row>
    <row r="45" spans="2:15" x14ac:dyDescent="0.3">
      <c r="G45" s="123"/>
      <c r="M45" s="94"/>
    </row>
    <row r="46" spans="2:15" x14ac:dyDescent="0.3">
      <c r="G46" s="123"/>
      <c r="M46" s="94"/>
    </row>
    <row r="47" spans="2:15" x14ac:dyDescent="0.3">
      <c r="G47" s="123"/>
      <c r="M47" s="94"/>
    </row>
    <row r="48" spans="2:15" x14ac:dyDescent="0.3">
      <c r="G48" s="123"/>
      <c r="M48" s="94"/>
    </row>
  </sheetData>
  <mergeCells count="14">
    <mergeCell ref="G1:G2"/>
    <mergeCell ref="A1:A2"/>
    <mergeCell ref="B1:B2"/>
    <mergeCell ref="D1:D2"/>
    <mergeCell ref="E1:E2"/>
    <mergeCell ref="F1:F2"/>
    <mergeCell ref="V5:W5"/>
    <mergeCell ref="I16:L16"/>
    <mergeCell ref="H1:H2"/>
    <mergeCell ref="J1:J2"/>
    <mergeCell ref="K1:K2"/>
    <mergeCell ref="L1:L2"/>
    <mergeCell ref="M1:M2"/>
    <mergeCell ref="P1:U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75EE3-BDE4-485B-953B-C91A21BB682C}">
  <dimension ref="A1:AA48"/>
  <sheetViews>
    <sheetView workbookViewId="0">
      <selection activeCell="B8" sqref="B8:K11"/>
    </sheetView>
  </sheetViews>
  <sheetFormatPr defaultColWidth="9.109375" defaultRowHeight="14.4" x14ac:dyDescent="0.3"/>
  <cols>
    <col min="1" max="3" width="9.109375" style="28"/>
    <col min="4" max="4" width="11.109375" style="28" customWidth="1"/>
    <col min="5" max="5" width="15.44140625" style="28" customWidth="1"/>
    <col min="6" max="6" width="12" style="28" customWidth="1"/>
    <col min="7" max="7" width="17.109375" style="39" customWidth="1"/>
    <col min="8" max="8" width="13.33203125" style="28" customWidth="1"/>
    <col min="9" max="9" width="11.44140625" style="28" customWidth="1"/>
    <col min="10" max="10" width="17.33203125" style="28" customWidth="1"/>
    <col min="11" max="11" width="11.6640625" style="28" customWidth="1"/>
    <col min="12" max="12" width="16.109375" style="28" customWidth="1"/>
    <col min="13" max="13" width="13.5546875" style="28" customWidth="1"/>
    <col min="14" max="14" width="9.109375" style="28"/>
    <col min="15" max="15" width="9.109375" style="28" customWidth="1"/>
    <col min="16" max="21" width="9.109375" style="28"/>
    <col min="22" max="22" width="15.109375" style="28" customWidth="1"/>
    <col min="23" max="23" width="13.6640625" style="28" customWidth="1"/>
    <col min="24" max="26" width="9.109375" style="28"/>
    <col min="27" max="27" width="9.5546875" style="28" customWidth="1"/>
    <col min="28" max="16384" width="9.109375" style="28"/>
  </cols>
  <sheetData>
    <row r="1" spans="1:27" ht="45" customHeight="1" thickBot="1" x14ac:dyDescent="0.4">
      <c r="A1" s="185" t="s">
        <v>0</v>
      </c>
      <c r="B1" s="187" t="s">
        <v>1</v>
      </c>
      <c r="C1" s="92" t="s">
        <v>64</v>
      </c>
      <c r="D1" s="189" t="s">
        <v>2</v>
      </c>
      <c r="E1" s="191" t="s">
        <v>3</v>
      </c>
      <c r="F1" s="193" t="s">
        <v>4</v>
      </c>
      <c r="G1" s="179" t="s">
        <v>5</v>
      </c>
      <c r="H1" s="195" t="s">
        <v>6</v>
      </c>
      <c r="I1" s="92" t="s">
        <v>7</v>
      </c>
      <c r="J1" s="195" t="s">
        <v>8</v>
      </c>
      <c r="K1" s="196" t="s">
        <v>9</v>
      </c>
      <c r="L1" s="187" t="s">
        <v>10</v>
      </c>
      <c r="M1" s="187" t="s">
        <v>11</v>
      </c>
      <c r="N1" s="94"/>
      <c r="O1" s="94"/>
      <c r="P1" s="182" t="s">
        <v>12</v>
      </c>
      <c r="Q1" s="182"/>
      <c r="R1" s="182"/>
      <c r="S1" s="182"/>
      <c r="T1" s="182"/>
      <c r="U1" s="182"/>
      <c r="AA1" s="29">
        <v>45677</v>
      </c>
    </row>
    <row r="2" spans="1:27" ht="17.100000000000001" customHeight="1" thickBot="1" x14ac:dyDescent="0.35">
      <c r="A2" s="199"/>
      <c r="B2" s="200"/>
      <c r="C2" s="129"/>
      <c r="D2" s="201"/>
      <c r="E2" s="202"/>
      <c r="F2" s="203"/>
      <c r="G2" s="198"/>
      <c r="H2" s="198"/>
      <c r="I2" s="129"/>
      <c r="J2" s="198"/>
      <c r="K2" s="204"/>
      <c r="L2" s="200"/>
      <c r="M2" s="200"/>
      <c r="N2" s="94"/>
      <c r="O2" s="94"/>
      <c r="P2" s="96" t="s">
        <v>13</v>
      </c>
      <c r="Q2" s="97" t="s">
        <v>13</v>
      </c>
      <c r="R2" s="98" t="s">
        <v>13</v>
      </c>
      <c r="S2" s="96" t="s">
        <v>14</v>
      </c>
      <c r="T2" s="97" t="s">
        <v>14</v>
      </c>
      <c r="U2" s="98" t="s">
        <v>14</v>
      </c>
      <c r="V2" s="94"/>
      <c r="W2" s="94"/>
    </row>
    <row r="3" spans="1:27" ht="17.100000000000001" customHeight="1" thickBot="1" x14ac:dyDescent="0.35">
      <c r="A3" s="62" t="s">
        <v>27</v>
      </c>
      <c r="B3" s="79" t="s">
        <v>16</v>
      </c>
      <c r="C3" s="70"/>
      <c r="D3" s="63">
        <v>107</v>
      </c>
      <c r="E3" s="131" t="s">
        <v>22</v>
      </c>
      <c r="F3" s="73">
        <v>1</v>
      </c>
      <c r="G3" s="132">
        <v>224</v>
      </c>
      <c r="H3" s="133">
        <v>40</v>
      </c>
      <c r="I3" s="134">
        <f t="shared" ref="I3:I7" si="0">RANK(H3,$H$3:$H$9)</f>
        <v>4</v>
      </c>
      <c r="J3" s="135">
        <v>89</v>
      </c>
      <c r="K3" s="64">
        <f>RANK(J3,$J$3:$J$9)+COUNTIF(J3:$J$3,J3)-1</f>
        <v>1</v>
      </c>
      <c r="L3" s="136">
        <f>(F3+K3)/2</f>
        <v>1</v>
      </c>
      <c r="M3" s="137">
        <f>RANK(L3,$L$3:$L$9,1)+COUNTIF(L3:$L$6,L3)-1</f>
        <v>1</v>
      </c>
      <c r="N3" s="94"/>
      <c r="O3" s="94"/>
      <c r="P3" s="103" t="s">
        <v>18</v>
      </c>
      <c r="Q3" s="104" t="s">
        <v>19</v>
      </c>
      <c r="R3" s="105" t="s">
        <v>20</v>
      </c>
      <c r="S3" s="103" t="s">
        <v>18</v>
      </c>
      <c r="T3" s="104" t="s">
        <v>19</v>
      </c>
      <c r="U3" s="106" t="s">
        <v>20</v>
      </c>
      <c r="V3" s="94"/>
      <c r="W3" s="94"/>
    </row>
    <row r="4" spans="1:27" ht="17.100000000000001" customHeight="1" thickBot="1" x14ac:dyDescent="0.35">
      <c r="A4" s="65" t="s">
        <v>38</v>
      </c>
      <c r="B4" s="83" t="s">
        <v>24</v>
      </c>
      <c r="C4" s="71"/>
      <c r="D4" s="31">
        <v>104</v>
      </c>
      <c r="E4" s="94" t="s">
        <v>22</v>
      </c>
      <c r="F4" s="74">
        <v>2</v>
      </c>
      <c r="G4" s="130">
        <v>218</v>
      </c>
      <c r="H4" s="94">
        <v>42</v>
      </c>
      <c r="I4" s="138">
        <f t="shared" si="0"/>
        <v>3</v>
      </c>
      <c r="J4" s="94">
        <v>89</v>
      </c>
      <c r="K4" s="34">
        <f>RANK(J4,$J$3:$J$9)+COUNTIF(J$3:$J4,J4)-1</f>
        <v>2</v>
      </c>
      <c r="L4" s="109">
        <f>(F4+K4)/2</f>
        <v>2</v>
      </c>
      <c r="M4" s="139">
        <f>RANK(L4,$L$3:$L$9,1)+COUNTIF(L4:$L$6,L4)-1</f>
        <v>2</v>
      </c>
      <c r="N4" s="94"/>
      <c r="O4" s="94"/>
      <c r="P4" s="48">
        <v>50</v>
      </c>
      <c r="Q4" s="110">
        <v>116</v>
      </c>
      <c r="R4" s="111">
        <v>97</v>
      </c>
      <c r="S4" s="49">
        <v>20</v>
      </c>
      <c r="T4" s="112"/>
      <c r="U4" s="113"/>
    </row>
    <row r="5" spans="1:27" ht="17.100000000000001" customHeight="1" thickBot="1" x14ac:dyDescent="0.35">
      <c r="A5" s="65" t="s">
        <v>27</v>
      </c>
      <c r="B5" s="83" t="s">
        <v>21</v>
      </c>
      <c r="C5" s="71"/>
      <c r="D5" s="31">
        <v>103</v>
      </c>
      <c r="E5" s="94" t="s">
        <v>22</v>
      </c>
      <c r="F5" s="74">
        <v>3</v>
      </c>
      <c r="G5" s="130">
        <v>386</v>
      </c>
      <c r="H5" s="94">
        <v>55</v>
      </c>
      <c r="I5" s="138">
        <f t="shared" si="0"/>
        <v>2</v>
      </c>
      <c r="J5" s="94">
        <v>87</v>
      </c>
      <c r="K5" s="34">
        <f>RANK(J5,$J$3:$J$9)+COUNTIF(J$3:$J5,J5)-1</f>
        <v>3</v>
      </c>
      <c r="L5" s="109">
        <f>(F5+K5)/2</f>
        <v>3</v>
      </c>
      <c r="M5" s="139">
        <f>RANK(L5,$L$3:$L$9,1)+COUNTIF(L5:$L$6,L5)-1</f>
        <v>3</v>
      </c>
      <c r="N5" s="94"/>
      <c r="O5" s="94"/>
      <c r="V5" s="183" t="s">
        <v>23</v>
      </c>
      <c r="W5" s="184"/>
    </row>
    <row r="6" spans="1:27" x14ac:dyDescent="0.3">
      <c r="A6" s="65" t="s">
        <v>15</v>
      </c>
      <c r="B6" s="80" t="s">
        <v>45</v>
      </c>
      <c r="C6" s="71"/>
      <c r="D6" s="31">
        <v>102</v>
      </c>
      <c r="E6" s="159" t="s">
        <v>22</v>
      </c>
      <c r="F6" s="74">
        <v>4</v>
      </c>
      <c r="G6" s="160">
        <v>306</v>
      </c>
      <c r="H6" s="159">
        <v>72</v>
      </c>
      <c r="I6" s="138">
        <f t="shared" si="0"/>
        <v>1</v>
      </c>
      <c r="J6" s="71">
        <v>86</v>
      </c>
      <c r="K6" s="34">
        <f>RANK(J6,$J$3:$J$9)+COUNTIF(J$3:$J6,J6)-1</f>
        <v>5</v>
      </c>
      <c r="L6" s="109">
        <f>(F6+K6)/2</f>
        <v>4.5</v>
      </c>
      <c r="M6" s="139">
        <f>RANK(L6,$L$3:$L$9,1)+COUNTIF(L$6:$L6,L6)-1</f>
        <v>4</v>
      </c>
      <c r="N6" s="94"/>
      <c r="O6" s="94"/>
      <c r="V6" s="115" t="s">
        <v>25</v>
      </c>
      <c r="W6" s="116" t="s">
        <v>26</v>
      </c>
    </row>
    <row r="7" spans="1:27" ht="15" thickBot="1" x14ac:dyDescent="0.35">
      <c r="A7" s="66"/>
      <c r="B7" s="71" t="s">
        <v>28</v>
      </c>
      <c r="C7" s="71"/>
      <c r="D7" s="31">
        <v>86</v>
      </c>
      <c r="E7" s="94" t="s">
        <v>46</v>
      </c>
      <c r="F7" s="74">
        <v>5</v>
      </c>
      <c r="G7" s="130">
        <v>282</v>
      </c>
      <c r="H7" s="94">
        <v>22</v>
      </c>
      <c r="I7" s="138">
        <f t="shared" si="0"/>
        <v>5</v>
      </c>
      <c r="J7" s="94">
        <v>87</v>
      </c>
      <c r="K7" s="34">
        <f>RANK(J7,$J$3:$J$9)+COUNTIF(J$3:$J7,J7)-1</f>
        <v>4</v>
      </c>
      <c r="L7" s="109">
        <f>(F7+K7)/2</f>
        <v>4.5</v>
      </c>
      <c r="M7" s="139">
        <f>RANK(L7,$L$3:$L$9,1)+COUNTIF(L$6:$L7,L7)-1</f>
        <v>5</v>
      </c>
      <c r="N7" s="94"/>
      <c r="O7" s="94"/>
      <c r="V7" s="117">
        <f>Q4+T4</f>
        <v>116</v>
      </c>
      <c r="W7" s="118">
        <f>R4+U4</f>
        <v>97</v>
      </c>
    </row>
    <row r="8" spans="1:27" ht="15" thickTop="1" x14ac:dyDescent="0.3">
      <c r="A8" s="66"/>
      <c r="B8" s="71"/>
      <c r="C8" s="71"/>
      <c r="D8" s="31"/>
      <c r="E8" s="94"/>
      <c r="F8" s="74"/>
      <c r="G8" s="130"/>
      <c r="H8" s="94"/>
      <c r="I8" s="138"/>
      <c r="J8" s="94"/>
      <c r="K8" s="34"/>
      <c r="L8" s="109"/>
      <c r="M8" s="139"/>
      <c r="N8" s="94"/>
      <c r="O8" s="94"/>
      <c r="V8" s="140"/>
      <c r="W8" s="140"/>
    </row>
    <row r="9" spans="1:27" ht="15" thickBot="1" x14ac:dyDescent="0.35">
      <c r="A9" s="67"/>
      <c r="B9" s="72"/>
      <c r="C9" s="72"/>
      <c r="D9" s="68"/>
      <c r="E9" s="141"/>
      <c r="F9" s="75"/>
      <c r="G9" s="142"/>
      <c r="H9" s="141"/>
      <c r="I9" s="143"/>
      <c r="J9" s="141"/>
      <c r="K9" s="69"/>
      <c r="L9" s="144"/>
      <c r="M9" s="145"/>
      <c r="N9" s="94"/>
      <c r="O9" s="94"/>
      <c r="V9" s="140"/>
      <c r="W9" s="140"/>
    </row>
    <row r="10" spans="1:27" x14ac:dyDescent="0.3">
      <c r="A10" s="76"/>
      <c r="B10" s="76"/>
      <c r="C10" s="76"/>
      <c r="D10" s="76"/>
      <c r="E10" s="76"/>
      <c r="F10" s="76"/>
      <c r="G10" s="76"/>
      <c r="H10" s="76"/>
      <c r="I10" s="76"/>
      <c r="J10" s="76"/>
      <c r="K10" s="76"/>
      <c r="L10" s="76"/>
      <c r="M10" s="76"/>
      <c r="N10" s="94"/>
      <c r="O10" s="94"/>
      <c r="V10" s="140"/>
      <c r="W10" s="140"/>
    </row>
    <row r="11" spans="1:27" x14ac:dyDescent="0.3">
      <c r="A11" s="76"/>
      <c r="B11" s="76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94"/>
      <c r="O11" s="94"/>
      <c r="V11" s="140"/>
      <c r="W11" s="140"/>
    </row>
    <row r="12" spans="1:27" x14ac:dyDescent="0.3">
      <c r="B12" s="122" t="s">
        <v>33</v>
      </c>
      <c r="C12" s="122"/>
      <c r="D12" s="122" t="s">
        <v>34</v>
      </c>
      <c r="E12" s="122"/>
      <c r="G12" s="94"/>
      <c r="H12" s="94"/>
      <c r="I12" s="94"/>
      <c r="J12" s="94"/>
      <c r="K12" s="94"/>
      <c r="L12" s="94"/>
      <c r="M12" s="94"/>
      <c r="N12" s="94"/>
      <c r="O12" s="94"/>
    </row>
    <row r="13" spans="1:27" x14ac:dyDescent="0.3">
      <c r="B13" s="122" t="s">
        <v>35</v>
      </c>
      <c r="C13" s="122"/>
      <c r="D13" t="s">
        <v>36</v>
      </c>
      <c r="E13" s="122"/>
      <c r="G13" s="123"/>
      <c r="H13" s="94"/>
      <c r="I13" s="94"/>
      <c r="J13" s="94"/>
      <c r="L13" s="94"/>
      <c r="M13" s="94"/>
      <c r="N13" s="94"/>
      <c r="O13" s="94"/>
    </row>
    <row r="14" spans="1:27" x14ac:dyDescent="0.3">
      <c r="B14" s="1" t="s">
        <v>33</v>
      </c>
      <c r="C14" s="1"/>
      <c r="D14" s="27" t="s">
        <v>34</v>
      </c>
      <c r="E14" s="122"/>
      <c r="G14" s="94"/>
      <c r="H14" s="94"/>
      <c r="I14" s="94"/>
      <c r="J14" s="94"/>
      <c r="K14" s="94"/>
      <c r="L14" s="94"/>
      <c r="M14" s="94"/>
      <c r="N14" s="94"/>
    </row>
    <row r="15" spans="1:27" x14ac:dyDescent="0.3">
      <c r="A15" s="123"/>
      <c r="B15" s="2"/>
      <c r="C15" s="2"/>
      <c r="D15" s="2"/>
      <c r="E15" s="2"/>
      <c r="F15" s="2"/>
      <c r="G15" s="94"/>
      <c r="H15" s="94"/>
      <c r="I15" s="94"/>
      <c r="J15" s="94"/>
      <c r="K15" s="94"/>
      <c r="L15" s="94"/>
      <c r="M15" s="94"/>
      <c r="N15" s="94"/>
    </row>
    <row r="16" spans="1:27" x14ac:dyDescent="0.3">
      <c r="A16" s="122"/>
      <c r="B16" s="122" t="s">
        <v>40</v>
      </c>
      <c r="C16" s="122"/>
      <c r="D16" s="122"/>
      <c r="E16" s="122"/>
      <c r="G16" s="94"/>
      <c r="H16" s="94"/>
      <c r="I16" s="181"/>
      <c r="J16" s="181"/>
      <c r="K16" s="181"/>
      <c r="L16" s="181"/>
      <c r="M16" s="94"/>
      <c r="N16" s="94"/>
      <c r="O16" s="94"/>
      <c r="P16" s="94"/>
      <c r="Q16" s="94"/>
      <c r="R16" s="94"/>
      <c r="S16" s="94"/>
    </row>
    <row r="17" spans="1:19" x14ac:dyDescent="0.3">
      <c r="A17" s="122"/>
      <c r="B17" s="91"/>
      <c r="C17" s="91"/>
      <c r="D17" s="2" t="s">
        <v>47</v>
      </c>
      <c r="E17" s="2"/>
      <c r="F17" s="2"/>
      <c r="G17" s="94"/>
      <c r="H17" s="94"/>
      <c r="I17" s="94"/>
      <c r="J17" s="94"/>
      <c r="K17" s="94"/>
      <c r="L17" s="94"/>
      <c r="M17" s="94"/>
      <c r="N17" s="94"/>
      <c r="O17" s="94"/>
      <c r="P17" s="94"/>
      <c r="Q17" s="94"/>
      <c r="R17" s="94"/>
      <c r="S17" s="94"/>
    </row>
    <row r="18" spans="1:19" ht="14.4" customHeight="1" x14ac:dyDescent="0.3">
      <c r="E18" s="124"/>
      <c r="F18" s="124"/>
      <c r="G18" s="124"/>
      <c r="H18" s="94"/>
      <c r="I18" s="94"/>
      <c r="J18" s="94"/>
      <c r="K18" s="94"/>
      <c r="L18" s="94"/>
      <c r="M18" s="94"/>
      <c r="N18" s="94"/>
      <c r="O18" s="94"/>
      <c r="P18" s="94"/>
      <c r="Q18" s="94"/>
      <c r="R18" s="94"/>
      <c r="S18" s="94"/>
    </row>
    <row r="19" spans="1:19" x14ac:dyDescent="0.3">
      <c r="A19" s="123"/>
      <c r="B19" s="94"/>
      <c r="C19" s="94"/>
      <c r="D19" s="94"/>
      <c r="E19" s="94"/>
      <c r="F19" s="94"/>
      <c r="G19" s="94"/>
      <c r="H19" s="94"/>
      <c r="I19" s="94"/>
      <c r="J19" s="94"/>
      <c r="K19" s="94"/>
      <c r="L19" s="94"/>
      <c r="M19" s="94"/>
      <c r="N19" s="94"/>
    </row>
    <row r="20" spans="1:19" x14ac:dyDescent="0.3">
      <c r="A20" s="123"/>
      <c r="B20" s="94"/>
      <c r="C20" s="94"/>
      <c r="D20" s="94"/>
      <c r="E20" s="94"/>
      <c r="F20" s="94"/>
      <c r="G20" s="94"/>
      <c r="H20" s="94"/>
      <c r="I20" s="94"/>
      <c r="J20" s="94"/>
      <c r="K20" s="94"/>
      <c r="L20" s="94"/>
      <c r="M20" s="94"/>
      <c r="N20" s="94"/>
    </row>
    <row r="21" spans="1:19" x14ac:dyDescent="0.3">
      <c r="B21" s="94"/>
      <c r="C21" s="94"/>
      <c r="D21" s="94"/>
      <c r="E21" s="94"/>
      <c r="F21" s="94"/>
      <c r="G21" s="94"/>
      <c r="H21" s="94"/>
      <c r="I21" s="94"/>
      <c r="J21" s="94"/>
      <c r="K21" s="94"/>
      <c r="L21" s="94"/>
      <c r="M21" s="94"/>
      <c r="N21" s="94"/>
    </row>
    <row r="22" spans="1:19" x14ac:dyDescent="0.3">
      <c r="B22" s="94"/>
      <c r="C22" s="94"/>
      <c r="D22" s="94"/>
      <c r="E22" s="94"/>
      <c r="F22" s="94"/>
      <c r="G22" s="94"/>
      <c r="H22" s="94"/>
      <c r="I22" s="94"/>
      <c r="J22" s="94"/>
      <c r="K22" s="94"/>
      <c r="L22" s="94"/>
      <c r="M22" s="94"/>
      <c r="N22" s="94"/>
    </row>
    <row r="23" spans="1:19" x14ac:dyDescent="0.3">
      <c r="B23" s="94"/>
      <c r="C23" s="94"/>
      <c r="D23" s="94"/>
      <c r="E23" s="94"/>
      <c r="F23" s="94"/>
      <c r="G23" s="94"/>
      <c r="H23" s="94"/>
      <c r="I23" s="94"/>
      <c r="J23" s="94"/>
      <c r="K23" s="94"/>
      <c r="L23" s="94"/>
      <c r="M23" s="94"/>
      <c r="N23" s="94"/>
    </row>
    <row r="24" spans="1:19" x14ac:dyDescent="0.3">
      <c r="B24" s="94"/>
      <c r="C24" s="94"/>
      <c r="D24" s="94"/>
      <c r="E24" s="94"/>
      <c r="F24" s="94"/>
      <c r="G24" s="94"/>
      <c r="H24" s="94"/>
      <c r="I24" s="94"/>
      <c r="J24" s="94"/>
      <c r="K24" s="94"/>
      <c r="L24" s="94"/>
      <c r="M24" s="94"/>
      <c r="N24" s="94"/>
    </row>
    <row r="25" spans="1:19" x14ac:dyDescent="0.3">
      <c r="B25" s="94"/>
      <c r="C25" s="94"/>
      <c r="D25" s="94"/>
      <c r="E25" s="94"/>
      <c r="F25" s="94"/>
      <c r="G25" s="94"/>
      <c r="H25" s="94"/>
      <c r="I25" s="94"/>
      <c r="J25" s="94"/>
      <c r="K25" s="94"/>
      <c r="L25" s="94"/>
      <c r="M25" s="94"/>
      <c r="N25" s="94"/>
      <c r="O25" s="94"/>
    </row>
    <row r="26" spans="1:19" x14ac:dyDescent="0.3">
      <c r="B26" s="94"/>
      <c r="C26" s="94"/>
      <c r="D26" s="94"/>
      <c r="E26" s="94"/>
      <c r="F26" s="94"/>
      <c r="G26" s="94"/>
      <c r="H26" s="94"/>
      <c r="I26" s="94"/>
      <c r="J26" s="94"/>
      <c r="K26" s="94"/>
      <c r="L26" s="94"/>
      <c r="M26" s="94"/>
      <c r="N26" s="94"/>
      <c r="O26" s="94"/>
    </row>
    <row r="27" spans="1:19" x14ac:dyDescent="0.3">
      <c r="B27" s="94"/>
      <c r="C27" s="94"/>
      <c r="D27" s="94"/>
      <c r="E27" s="94"/>
      <c r="F27" s="94"/>
      <c r="G27" s="94"/>
      <c r="H27" s="94"/>
      <c r="I27" s="94"/>
      <c r="J27" s="94"/>
      <c r="K27" s="94"/>
      <c r="L27" s="94"/>
      <c r="M27" s="94"/>
      <c r="N27" s="94"/>
      <c r="O27" s="94"/>
    </row>
    <row r="28" spans="1:19" x14ac:dyDescent="0.3">
      <c r="B28" s="94"/>
      <c r="C28" s="94"/>
      <c r="D28" s="94"/>
      <c r="E28" s="94"/>
      <c r="F28" s="94"/>
      <c r="G28" s="94"/>
      <c r="H28" s="94"/>
      <c r="I28" s="94"/>
      <c r="J28" s="94"/>
      <c r="K28" s="94"/>
      <c r="L28" s="94"/>
      <c r="M28" s="94"/>
      <c r="N28" s="94"/>
      <c r="O28" s="94"/>
    </row>
    <row r="29" spans="1:19" x14ac:dyDescent="0.3">
      <c r="B29" s="94"/>
      <c r="C29" s="94"/>
      <c r="D29" s="94"/>
      <c r="E29" s="94"/>
      <c r="F29" s="94"/>
      <c r="G29" s="94"/>
      <c r="H29" s="94"/>
      <c r="I29" s="94"/>
      <c r="J29" s="94"/>
      <c r="K29" s="94"/>
      <c r="L29" s="94"/>
      <c r="M29" s="94"/>
      <c r="N29" s="94"/>
      <c r="O29" s="94"/>
    </row>
    <row r="30" spans="1:19" x14ac:dyDescent="0.3">
      <c r="B30" s="94"/>
      <c r="C30" s="94"/>
      <c r="D30" s="94"/>
      <c r="E30" s="94"/>
      <c r="F30" s="94"/>
      <c r="G30" s="94"/>
      <c r="H30" s="94"/>
      <c r="I30" s="94"/>
      <c r="J30" s="94"/>
      <c r="K30" s="94"/>
      <c r="L30" s="94"/>
      <c r="M30" s="94"/>
      <c r="N30" s="94"/>
      <c r="O30" s="94"/>
    </row>
    <row r="31" spans="1:19" x14ac:dyDescent="0.3">
      <c r="B31" s="94"/>
      <c r="C31" s="94"/>
      <c r="D31" s="94"/>
      <c r="E31" s="94"/>
      <c r="F31" s="94"/>
      <c r="G31" s="94"/>
      <c r="H31" s="94"/>
      <c r="I31" s="94"/>
      <c r="J31" s="94"/>
      <c r="K31" s="94"/>
      <c r="L31" s="94"/>
      <c r="M31" s="94"/>
      <c r="N31" s="94"/>
      <c r="O31" s="94"/>
    </row>
    <row r="32" spans="1:19" x14ac:dyDescent="0.3">
      <c r="B32" s="94"/>
      <c r="C32" s="94"/>
      <c r="D32" s="94"/>
      <c r="E32" s="94"/>
      <c r="F32" s="94"/>
      <c r="G32" s="94"/>
      <c r="H32" s="94"/>
      <c r="I32" s="94"/>
      <c r="J32" s="94"/>
      <c r="K32" s="94"/>
      <c r="L32" s="94"/>
      <c r="M32" s="94"/>
      <c r="N32" s="94"/>
      <c r="O32" s="94"/>
    </row>
    <row r="33" spans="2:15" x14ac:dyDescent="0.3">
      <c r="B33" s="94"/>
      <c r="C33" s="94"/>
      <c r="D33" s="94"/>
      <c r="E33" s="94"/>
      <c r="F33" s="94"/>
      <c r="G33" s="94"/>
      <c r="H33" s="94"/>
      <c r="I33" s="94"/>
      <c r="J33" s="94"/>
      <c r="K33" s="94"/>
      <c r="L33" s="94"/>
      <c r="M33" s="94"/>
      <c r="N33" s="94"/>
      <c r="O33" s="94"/>
    </row>
    <row r="34" spans="2:15" x14ac:dyDescent="0.3">
      <c r="B34" s="94"/>
      <c r="C34" s="94"/>
      <c r="D34" s="94"/>
      <c r="E34" s="94"/>
      <c r="F34" s="94"/>
      <c r="G34" s="94"/>
      <c r="H34" s="94"/>
      <c r="I34" s="94"/>
      <c r="J34" s="94"/>
      <c r="K34" s="94"/>
      <c r="L34" s="94"/>
      <c r="M34" s="94"/>
      <c r="N34" s="94"/>
      <c r="O34" s="94"/>
    </row>
    <row r="35" spans="2:15" x14ac:dyDescent="0.3">
      <c r="B35" s="94"/>
      <c r="C35" s="94"/>
      <c r="D35" s="94"/>
      <c r="E35" s="94"/>
      <c r="F35" s="94"/>
      <c r="G35" s="94"/>
      <c r="H35" s="94"/>
      <c r="I35" s="94"/>
      <c r="J35" s="94"/>
      <c r="K35" s="94"/>
      <c r="L35" s="94"/>
      <c r="M35" s="94"/>
      <c r="N35" s="94"/>
      <c r="O35" s="94"/>
    </row>
    <row r="36" spans="2:15" x14ac:dyDescent="0.3">
      <c r="B36" s="94"/>
      <c r="C36" s="94"/>
      <c r="D36" s="94"/>
      <c r="E36" s="94"/>
      <c r="F36" s="94"/>
      <c r="G36" s="94"/>
      <c r="H36" s="94"/>
      <c r="I36" s="94"/>
      <c r="J36" s="94"/>
      <c r="K36" s="94"/>
      <c r="L36" s="94"/>
      <c r="M36" s="94"/>
      <c r="N36" s="94"/>
      <c r="O36" s="94"/>
    </row>
    <row r="37" spans="2:15" x14ac:dyDescent="0.3">
      <c r="B37" s="94"/>
      <c r="C37" s="94"/>
      <c r="D37" s="94"/>
      <c r="E37" s="94"/>
      <c r="F37" s="94"/>
      <c r="G37" s="94"/>
      <c r="H37" s="94"/>
      <c r="I37" s="94"/>
      <c r="J37" s="94"/>
      <c r="K37" s="94"/>
      <c r="L37" s="94"/>
      <c r="M37" s="94"/>
      <c r="N37" s="94"/>
      <c r="O37" s="94"/>
    </row>
    <row r="38" spans="2:15" x14ac:dyDescent="0.3">
      <c r="B38" s="94"/>
      <c r="C38" s="94"/>
      <c r="D38" s="94"/>
      <c r="E38" s="94"/>
      <c r="F38" s="94"/>
      <c r="G38" s="94"/>
      <c r="H38" s="94"/>
      <c r="I38" s="94"/>
      <c r="J38" s="94"/>
      <c r="K38" s="94"/>
      <c r="L38" s="94"/>
      <c r="M38" s="94"/>
      <c r="N38" s="94"/>
      <c r="O38" s="94"/>
    </row>
    <row r="39" spans="2:15" x14ac:dyDescent="0.3">
      <c r="B39" s="94"/>
      <c r="C39" s="94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</row>
    <row r="40" spans="2:15" x14ac:dyDescent="0.3">
      <c r="B40" s="94"/>
      <c r="C40" s="94"/>
      <c r="D40" s="94"/>
      <c r="E40" s="94"/>
      <c r="F40" s="94"/>
      <c r="G40" s="94"/>
      <c r="H40" s="94"/>
      <c r="I40" s="94"/>
      <c r="J40" s="94"/>
      <c r="K40" s="94"/>
      <c r="L40" s="94"/>
      <c r="M40" s="94"/>
      <c r="N40" s="94"/>
      <c r="O40" s="94"/>
    </row>
    <row r="41" spans="2:15" x14ac:dyDescent="0.3">
      <c r="B41" s="94"/>
      <c r="C41" s="94"/>
      <c r="D41" s="94"/>
      <c r="E41" s="94"/>
      <c r="F41" s="94"/>
      <c r="G41" s="94"/>
      <c r="H41" s="94"/>
      <c r="I41" s="94"/>
      <c r="J41" s="94"/>
      <c r="K41" s="94"/>
      <c r="L41" s="94"/>
      <c r="M41" s="94"/>
      <c r="N41" s="94"/>
      <c r="O41" s="94"/>
    </row>
    <row r="42" spans="2:15" x14ac:dyDescent="0.3">
      <c r="B42" s="94"/>
      <c r="C42" s="94"/>
      <c r="D42" s="94"/>
      <c r="E42" s="94"/>
      <c r="F42" s="94"/>
      <c r="G42" s="94"/>
      <c r="H42" s="94"/>
      <c r="I42" s="94"/>
      <c r="J42" s="94"/>
      <c r="K42" s="94"/>
      <c r="L42" s="94"/>
      <c r="M42" s="94"/>
      <c r="N42" s="94"/>
      <c r="O42" s="94"/>
    </row>
    <row r="43" spans="2:15" x14ac:dyDescent="0.3">
      <c r="G43" s="123"/>
      <c r="M43" s="94"/>
    </row>
    <row r="44" spans="2:15" x14ac:dyDescent="0.3">
      <c r="G44" s="123"/>
      <c r="M44" s="94"/>
    </row>
    <row r="45" spans="2:15" x14ac:dyDescent="0.3">
      <c r="G45" s="123"/>
      <c r="M45" s="94"/>
    </row>
    <row r="46" spans="2:15" x14ac:dyDescent="0.3">
      <c r="G46" s="123"/>
      <c r="M46" s="94"/>
    </row>
    <row r="47" spans="2:15" x14ac:dyDescent="0.3">
      <c r="G47" s="123"/>
      <c r="M47" s="94"/>
    </row>
    <row r="48" spans="2:15" x14ac:dyDescent="0.3">
      <c r="G48" s="123"/>
      <c r="M48" s="94"/>
    </row>
  </sheetData>
  <mergeCells count="14">
    <mergeCell ref="G1:G2"/>
    <mergeCell ref="A1:A2"/>
    <mergeCell ref="B1:B2"/>
    <mergeCell ref="D1:D2"/>
    <mergeCell ref="E1:E2"/>
    <mergeCell ref="F1:F2"/>
    <mergeCell ref="V5:W5"/>
    <mergeCell ref="I16:L16"/>
    <mergeCell ref="H1:H2"/>
    <mergeCell ref="J1:J2"/>
    <mergeCell ref="K1:K2"/>
    <mergeCell ref="L1:L2"/>
    <mergeCell ref="M1:M2"/>
    <mergeCell ref="P1:U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C972E-3B4B-4579-909C-367A5F359C68}">
  <dimension ref="A1:AA48"/>
  <sheetViews>
    <sheetView workbookViewId="0">
      <selection activeCell="B3" sqref="B3"/>
    </sheetView>
  </sheetViews>
  <sheetFormatPr defaultColWidth="9.109375" defaultRowHeight="14.4" x14ac:dyDescent="0.3"/>
  <cols>
    <col min="1" max="3" width="9.109375" style="28"/>
    <col min="4" max="4" width="11.109375" style="28" customWidth="1"/>
    <col min="5" max="5" width="15.44140625" style="28" customWidth="1"/>
    <col min="6" max="6" width="12" style="28" customWidth="1"/>
    <col min="7" max="7" width="17.109375" style="39" customWidth="1"/>
    <col min="8" max="8" width="13.33203125" style="28" customWidth="1"/>
    <col min="9" max="9" width="11.44140625" style="28" customWidth="1"/>
    <col min="10" max="10" width="17.33203125" style="28" customWidth="1"/>
    <col min="11" max="11" width="11.6640625" style="28" customWidth="1"/>
    <col min="12" max="12" width="16.109375" style="28" customWidth="1"/>
    <col min="13" max="13" width="13.5546875" style="28" customWidth="1"/>
    <col min="14" max="14" width="9.109375" style="28"/>
    <col min="15" max="15" width="9.109375" style="28" customWidth="1"/>
    <col min="16" max="21" width="9.109375" style="28"/>
    <col min="22" max="22" width="15.109375" style="28" customWidth="1"/>
    <col min="23" max="23" width="13.6640625" style="28" customWidth="1"/>
    <col min="24" max="26" width="9.109375" style="28"/>
    <col min="27" max="27" width="9.5546875" style="28" customWidth="1"/>
    <col min="28" max="16384" width="9.109375" style="28"/>
  </cols>
  <sheetData>
    <row r="1" spans="1:27" ht="45" customHeight="1" thickBot="1" x14ac:dyDescent="0.4">
      <c r="A1" s="185" t="s">
        <v>0</v>
      </c>
      <c r="B1" s="187" t="s">
        <v>1</v>
      </c>
      <c r="C1" s="92" t="s">
        <v>64</v>
      </c>
      <c r="D1" s="189" t="s">
        <v>2</v>
      </c>
      <c r="E1" s="191" t="s">
        <v>3</v>
      </c>
      <c r="F1" s="193" t="s">
        <v>4</v>
      </c>
      <c r="G1" s="179" t="s">
        <v>5</v>
      </c>
      <c r="H1" s="195" t="s">
        <v>6</v>
      </c>
      <c r="I1" s="92" t="s">
        <v>7</v>
      </c>
      <c r="J1" s="195" t="s">
        <v>8</v>
      </c>
      <c r="K1" s="196" t="s">
        <v>9</v>
      </c>
      <c r="L1" s="187" t="s">
        <v>10</v>
      </c>
      <c r="M1" s="187" t="s">
        <v>11</v>
      </c>
      <c r="N1" s="94"/>
      <c r="O1" s="94"/>
      <c r="P1" s="182" t="s">
        <v>12</v>
      </c>
      <c r="Q1" s="182"/>
      <c r="R1" s="182"/>
      <c r="S1" s="182"/>
      <c r="T1" s="182"/>
      <c r="U1" s="182"/>
      <c r="AA1" s="29">
        <v>45677</v>
      </c>
    </row>
    <row r="2" spans="1:27" ht="17.100000000000001" customHeight="1" thickBot="1" x14ac:dyDescent="0.35">
      <c r="A2" s="199"/>
      <c r="B2" s="200"/>
      <c r="C2" s="129"/>
      <c r="D2" s="201"/>
      <c r="E2" s="202"/>
      <c r="F2" s="203"/>
      <c r="G2" s="198"/>
      <c r="H2" s="198"/>
      <c r="I2" s="129"/>
      <c r="J2" s="198"/>
      <c r="K2" s="204"/>
      <c r="L2" s="200"/>
      <c r="M2" s="200"/>
      <c r="N2" s="94"/>
      <c r="O2" s="94"/>
      <c r="P2" s="96" t="s">
        <v>13</v>
      </c>
      <c r="Q2" s="97" t="s">
        <v>13</v>
      </c>
      <c r="R2" s="98" t="s">
        <v>13</v>
      </c>
      <c r="S2" s="96" t="s">
        <v>14</v>
      </c>
      <c r="T2" s="97" t="s">
        <v>14</v>
      </c>
      <c r="U2" s="98" t="s">
        <v>14</v>
      </c>
      <c r="V2" s="94"/>
      <c r="W2" s="94"/>
    </row>
    <row r="3" spans="1:27" ht="17.100000000000001" customHeight="1" thickBot="1" x14ac:dyDescent="0.35">
      <c r="A3" s="62" t="s">
        <v>15</v>
      </c>
      <c r="B3" s="79" t="s">
        <v>16</v>
      </c>
      <c r="C3" s="70"/>
      <c r="D3" s="63">
        <v>107</v>
      </c>
      <c r="E3" s="131" t="s">
        <v>22</v>
      </c>
      <c r="F3" s="73">
        <v>1</v>
      </c>
      <c r="G3" s="132">
        <v>174</v>
      </c>
      <c r="H3" s="133">
        <v>73</v>
      </c>
      <c r="I3" s="134">
        <f t="shared" ref="I3:I7" si="0">RANK(H3,$H$3:$H$9)</f>
        <v>1</v>
      </c>
      <c r="J3" s="135">
        <v>89</v>
      </c>
      <c r="K3" s="64">
        <f>RANK(J3,$J$3:$J$9)+COUNTIF(J3:$J$3,J3)-1</f>
        <v>1</v>
      </c>
      <c r="L3" s="136">
        <f>(F3+K3)/2</f>
        <v>1</v>
      </c>
      <c r="M3" s="137">
        <f>RANK(L3,$L$3:$L$9,1)+COUNTIF(L3:$L$6,L3)-1</f>
        <v>1</v>
      </c>
      <c r="N3" s="94"/>
      <c r="O3" s="94"/>
      <c r="P3" s="103" t="s">
        <v>18</v>
      </c>
      <c r="Q3" s="104" t="s">
        <v>19</v>
      </c>
      <c r="R3" s="105" t="s">
        <v>20</v>
      </c>
      <c r="S3" s="103" t="s">
        <v>18</v>
      </c>
      <c r="T3" s="104" t="s">
        <v>19</v>
      </c>
      <c r="U3" s="106" t="s">
        <v>20</v>
      </c>
      <c r="V3" s="94"/>
      <c r="W3" s="94"/>
    </row>
    <row r="4" spans="1:27" ht="17.100000000000001" customHeight="1" thickBot="1" x14ac:dyDescent="0.35">
      <c r="A4" s="65" t="s">
        <v>27</v>
      </c>
      <c r="B4" s="83" t="s">
        <v>24</v>
      </c>
      <c r="C4" s="71"/>
      <c r="D4" s="31">
        <v>104</v>
      </c>
      <c r="E4" s="94" t="s">
        <v>22</v>
      </c>
      <c r="F4" s="74">
        <v>2</v>
      </c>
      <c r="G4" s="130">
        <v>262</v>
      </c>
      <c r="H4" s="94">
        <v>70</v>
      </c>
      <c r="I4" s="138">
        <f t="shared" si="0"/>
        <v>3</v>
      </c>
      <c r="J4" s="94">
        <v>87</v>
      </c>
      <c r="K4" s="34">
        <f>RANK(J4,$J$3:$J$9)+COUNTIF(J$3:$J4,J4)-1</f>
        <v>4</v>
      </c>
      <c r="L4" s="109">
        <f>(F4+K4)/2</f>
        <v>3</v>
      </c>
      <c r="M4" s="139">
        <f>RANK(L4,$L$3:$L$9,1)+COUNTIF(L4:$L$6,L4)-1</f>
        <v>3</v>
      </c>
      <c r="N4" s="94"/>
      <c r="O4" s="94"/>
      <c r="P4" s="48">
        <v>50</v>
      </c>
      <c r="Q4" s="110">
        <v>97</v>
      </c>
      <c r="R4" s="111">
        <v>89</v>
      </c>
      <c r="S4" s="49">
        <v>20</v>
      </c>
      <c r="T4" s="112"/>
      <c r="U4" s="113"/>
    </row>
    <row r="5" spans="1:27" ht="17.100000000000001" customHeight="1" thickBot="1" x14ac:dyDescent="0.35">
      <c r="A5" s="65" t="s">
        <v>15</v>
      </c>
      <c r="B5" s="83" t="s">
        <v>21</v>
      </c>
      <c r="C5" s="71"/>
      <c r="D5" s="31">
        <v>103</v>
      </c>
      <c r="E5" s="94" t="s">
        <v>22</v>
      </c>
      <c r="F5" s="74">
        <v>3</v>
      </c>
      <c r="G5" s="130">
        <v>98</v>
      </c>
      <c r="H5" s="94">
        <v>19</v>
      </c>
      <c r="I5" s="138">
        <f t="shared" si="0"/>
        <v>5</v>
      </c>
      <c r="J5" s="94">
        <v>88</v>
      </c>
      <c r="K5" s="34">
        <f>RANK(J5,$J$3:$J$9)+COUNTIF(J$3:$J5,J5)-1</f>
        <v>3</v>
      </c>
      <c r="L5" s="109">
        <f>(F5+K5)/2</f>
        <v>3</v>
      </c>
      <c r="M5" s="139">
        <f>RANK(L5,$L$3:$L$9,1)+COUNTIF(L5:$L$6,L5)-1</f>
        <v>2</v>
      </c>
      <c r="N5" s="94"/>
      <c r="O5" s="94"/>
      <c r="V5" s="183" t="s">
        <v>23</v>
      </c>
      <c r="W5" s="184"/>
    </row>
    <row r="6" spans="1:27" x14ac:dyDescent="0.3">
      <c r="A6" s="65" t="s">
        <v>38</v>
      </c>
      <c r="B6" s="80" t="s">
        <v>45</v>
      </c>
      <c r="C6" s="71"/>
      <c r="D6" s="31">
        <v>102</v>
      </c>
      <c r="E6" s="159" t="s">
        <v>22</v>
      </c>
      <c r="F6" s="74">
        <v>4</v>
      </c>
      <c r="G6" s="160">
        <v>138</v>
      </c>
      <c r="H6" s="159">
        <v>71</v>
      </c>
      <c r="I6" s="138">
        <f t="shared" si="0"/>
        <v>2</v>
      </c>
      <c r="J6" s="71">
        <v>87</v>
      </c>
      <c r="K6" s="34">
        <f>RANK(J6,$J$3:$J$9)+COUNTIF(J$3:$J6,J6)-1</f>
        <v>5</v>
      </c>
      <c r="L6" s="109">
        <f>(F6+K6)/2</f>
        <v>4.5</v>
      </c>
      <c r="M6" s="139">
        <f>RANK(L6,$L$3:$L$9,1)+COUNTIF(L$6:$L6,L6)-1</f>
        <v>5</v>
      </c>
      <c r="N6" s="94"/>
      <c r="O6" s="94"/>
      <c r="V6" s="115" t="s">
        <v>25</v>
      </c>
      <c r="W6" s="116" t="s">
        <v>26</v>
      </c>
    </row>
    <row r="7" spans="1:27" ht="15" thickBot="1" x14ac:dyDescent="0.35">
      <c r="A7" s="66"/>
      <c r="B7" s="71" t="s">
        <v>28</v>
      </c>
      <c r="C7" s="71"/>
      <c r="D7" s="31">
        <v>86</v>
      </c>
      <c r="E7" s="94" t="s">
        <v>46</v>
      </c>
      <c r="F7" s="74">
        <v>5</v>
      </c>
      <c r="G7" s="130">
        <v>282</v>
      </c>
      <c r="H7" s="94">
        <v>22</v>
      </c>
      <c r="I7" s="138">
        <f t="shared" si="0"/>
        <v>4</v>
      </c>
      <c r="J7" s="94">
        <v>89</v>
      </c>
      <c r="K7" s="34">
        <f>RANK(J7,$J$3:$J$9)+COUNTIF(J$3:$J7,J7)-1</f>
        <v>2</v>
      </c>
      <c r="L7" s="109">
        <f>(F7+K7)/2</f>
        <v>3.5</v>
      </c>
      <c r="M7" s="139">
        <f>RANK(L7,$L$3:$L$9,1)+COUNTIF(L$6:$L7,L7)-1</f>
        <v>4</v>
      </c>
      <c r="N7" s="94"/>
      <c r="O7" s="94"/>
      <c r="V7" s="117">
        <f>Q4+T4</f>
        <v>97</v>
      </c>
      <c r="W7" s="118">
        <f>R4+U4</f>
        <v>89</v>
      </c>
    </row>
    <row r="8" spans="1:27" ht="15" thickTop="1" x14ac:dyDescent="0.3">
      <c r="A8" s="66"/>
      <c r="B8" s="71"/>
      <c r="C8" s="71"/>
      <c r="D8" s="31"/>
      <c r="E8" s="94"/>
      <c r="F8" s="74"/>
      <c r="G8" s="130"/>
      <c r="H8" s="94"/>
      <c r="I8" s="138"/>
      <c r="J8" s="94"/>
      <c r="K8" s="34"/>
      <c r="L8" s="109"/>
      <c r="M8" s="139"/>
      <c r="N8" s="94"/>
      <c r="O8" s="94"/>
      <c r="V8" s="140"/>
      <c r="W8" s="140"/>
    </row>
    <row r="9" spans="1:27" ht="15" thickBot="1" x14ac:dyDescent="0.35">
      <c r="A9" s="67"/>
      <c r="B9" s="72"/>
      <c r="C9" s="72"/>
      <c r="D9" s="68"/>
      <c r="E9" s="141"/>
      <c r="F9" s="75"/>
      <c r="G9" s="142"/>
      <c r="H9" s="141"/>
      <c r="I9" s="143"/>
      <c r="J9" s="141"/>
      <c r="K9" s="69"/>
      <c r="L9" s="144"/>
      <c r="M9" s="145"/>
      <c r="N9" s="94"/>
      <c r="O9" s="94"/>
      <c r="V9" s="140"/>
      <c r="W9" s="140"/>
    </row>
    <row r="10" spans="1:27" x14ac:dyDescent="0.3">
      <c r="A10" s="76"/>
      <c r="B10" s="76"/>
      <c r="C10" s="76"/>
      <c r="D10" s="76"/>
      <c r="E10" s="76"/>
      <c r="F10" s="76"/>
      <c r="G10" s="76"/>
      <c r="H10" s="76"/>
      <c r="I10" s="76"/>
      <c r="J10" s="76"/>
      <c r="K10" s="76"/>
      <c r="L10" s="76"/>
      <c r="M10" s="76"/>
      <c r="N10" s="94"/>
      <c r="O10" s="94"/>
      <c r="V10" s="140"/>
      <c r="W10" s="140"/>
    </row>
    <row r="11" spans="1:27" x14ac:dyDescent="0.3">
      <c r="A11" s="76"/>
      <c r="B11" s="76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94"/>
      <c r="O11" s="94"/>
      <c r="V11" s="140"/>
      <c r="W11" s="140"/>
    </row>
    <row r="12" spans="1:27" x14ac:dyDescent="0.3">
      <c r="B12" s="122" t="s">
        <v>33</v>
      </c>
      <c r="C12" s="122"/>
      <c r="D12" s="122" t="s">
        <v>34</v>
      </c>
      <c r="E12" s="122"/>
      <c r="G12" s="94"/>
      <c r="H12" s="94"/>
      <c r="I12" s="94"/>
      <c r="J12" s="94"/>
      <c r="K12" s="94"/>
      <c r="L12" s="94"/>
      <c r="M12" s="94"/>
      <c r="N12" s="94"/>
      <c r="O12" s="94"/>
    </row>
    <row r="13" spans="1:27" x14ac:dyDescent="0.3">
      <c r="B13" s="122" t="s">
        <v>35</v>
      </c>
      <c r="C13" s="122"/>
      <c r="D13" t="s">
        <v>36</v>
      </c>
      <c r="E13" s="122"/>
      <c r="G13" s="123"/>
      <c r="H13" s="94"/>
      <c r="I13" s="94"/>
      <c r="J13" s="94"/>
      <c r="L13" s="94"/>
      <c r="M13" s="94"/>
      <c r="N13" s="94"/>
      <c r="O13" s="94"/>
    </row>
    <row r="14" spans="1:27" x14ac:dyDescent="0.3">
      <c r="B14" s="1" t="s">
        <v>33</v>
      </c>
      <c r="C14" s="1"/>
      <c r="D14" s="27" t="s">
        <v>34</v>
      </c>
      <c r="E14" s="122"/>
      <c r="G14" s="94"/>
      <c r="H14" s="94"/>
      <c r="I14" s="94"/>
      <c r="J14" s="94"/>
      <c r="K14" s="94"/>
      <c r="L14" s="94"/>
      <c r="M14" s="94"/>
      <c r="N14" s="94"/>
    </row>
    <row r="15" spans="1:27" x14ac:dyDescent="0.3">
      <c r="A15" s="123"/>
      <c r="B15" s="2"/>
      <c r="C15" s="2"/>
      <c r="D15" s="2"/>
      <c r="E15" s="2"/>
      <c r="F15" s="2"/>
      <c r="G15" s="94"/>
      <c r="H15" s="94"/>
      <c r="I15" s="94"/>
      <c r="J15" s="94"/>
      <c r="K15" s="94"/>
      <c r="L15" s="94"/>
      <c r="M15" s="94"/>
      <c r="N15" s="94"/>
    </row>
    <row r="16" spans="1:27" x14ac:dyDescent="0.3">
      <c r="A16" s="122"/>
      <c r="B16" s="122" t="s">
        <v>40</v>
      </c>
      <c r="C16" s="122"/>
      <c r="D16" s="122"/>
      <c r="E16" s="122"/>
      <c r="G16" s="94"/>
      <c r="H16" s="94"/>
      <c r="I16" s="181"/>
      <c r="J16" s="181"/>
      <c r="K16" s="181"/>
      <c r="L16" s="181"/>
      <c r="M16" s="94"/>
      <c r="N16" s="94"/>
      <c r="O16" s="94"/>
      <c r="P16" s="94"/>
      <c r="Q16" s="94"/>
      <c r="R16" s="94"/>
      <c r="S16" s="94"/>
    </row>
    <row r="17" spans="1:19" x14ac:dyDescent="0.3">
      <c r="A17" s="122"/>
      <c r="B17" s="91"/>
      <c r="C17" s="91"/>
      <c r="D17" s="2" t="s">
        <v>47</v>
      </c>
      <c r="E17" s="2"/>
      <c r="F17" s="2"/>
      <c r="G17" s="94"/>
      <c r="H17" s="94"/>
      <c r="I17" s="94"/>
      <c r="J17" s="94"/>
      <c r="K17" s="94"/>
      <c r="L17" s="94"/>
      <c r="M17" s="94"/>
      <c r="N17" s="94"/>
      <c r="O17" s="94"/>
      <c r="P17" s="94"/>
      <c r="Q17" s="94"/>
      <c r="R17" s="94"/>
      <c r="S17" s="94"/>
    </row>
    <row r="18" spans="1:19" ht="14.4" customHeight="1" x14ac:dyDescent="0.3">
      <c r="E18" s="124"/>
      <c r="F18" s="124"/>
      <c r="G18" s="124"/>
      <c r="H18" s="94"/>
      <c r="I18" s="94"/>
      <c r="J18" s="94"/>
      <c r="K18" s="94"/>
      <c r="L18" s="94"/>
      <c r="M18" s="94"/>
      <c r="N18" s="94"/>
      <c r="O18" s="94"/>
      <c r="P18" s="94"/>
      <c r="Q18" s="94"/>
      <c r="R18" s="94"/>
      <c r="S18" s="94"/>
    </row>
    <row r="19" spans="1:19" x14ac:dyDescent="0.3">
      <c r="A19" s="123"/>
      <c r="B19" s="94"/>
      <c r="C19" s="94"/>
      <c r="D19" s="94"/>
      <c r="E19" s="94"/>
      <c r="F19" s="94"/>
      <c r="G19" s="94"/>
      <c r="H19" s="94"/>
      <c r="I19" s="94"/>
      <c r="J19" s="94"/>
      <c r="K19" s="94"/>
      <c r="L19" s="94"/>
      <c r="M19" s="94"/>
      <c r="N19" s="94"/>
    </row>
    <row r="20" spans="1:19" x14ac:dyDescent="0.3">
      <c r="A20" s="123"/>
      <c r="B20" s="94"/>
      <c r="C20" s="94"/>
      <c r="D20" s="94"/>
      <c r="E20" s="94"/>
      <c r="F20" s="94"/>
      <c r="G20" s="94"/>
      <c r="H20" s="94"/>
      <c r="I20" s="94"/>
      <c r="J20" s="94"/>
      <c r="K20" s="94"/>
      <c r="L20" s="94"/>
      <c r="M20" s="94"/>
      <c r="N20" s="94"/>
    </row>
    <row r="21" spans="1:19" x14ac:dyDescent="0.3">
      <c r="B21" s="94"/>
      <c r="C21" s="94"/>
      <c r="D21" s="94"/>
      <c r="E21" s="94"/>
      <c r="F21" s="94"/>
      <c r="G21" s="94"/>
      <c r="H21" s="94"/>
      <c r="I21" s="94"/>
      <c r="J21" s="94"/>
      <c r="K21" s="94"/>
      <c r="L21" s="94"/>
      <c r="M21" s="94"/>
      <c r="N21" s="94"/>
    </row>
    <row r="22" spans="1:19" x14ac:dyDescent="0.3">
      <c r="B22" s="94"/>
      <c r="C22" s="94"/>
      <c r="D22" s="94"/>
      <c r="E22" s="94"/>
      <c r="F22" s="94"/>
      <c r="G22" s="94"/>
      <c r="H22" s="94"/>
      <c r="I22" s="94"/>
      <c r="J22" s="94"/>
      <c r="K22" s="94"/>
      <c r="L22" s="94"/>
      <c r="M22" s="94"/>
      <c r="N22" s="94"/>
    </row>
    <row r="23" spans="1:19" x14ac:dyDescent="0.3">
      <c r="B23" s="94"/>
      <c r="C23" s="94"/>
      <c r="D23" s="94"/>
      <c r="E23" s="94"/>
      <c r="F23" s="94"/>
      <c r="G23" s="94"/>
      <c r="H23" s="94"/>
      <c r="I23" s="94"/>
      <c r="J23" s="94"/>
      <c r="K23" s="94"/>
      <c r="L23" s="94"/>
      <c r="M23" s="94"/>
      <c r="N23" s="94"/>
    </row>
    <row r="24" spans="1:19" x14ac:dyDescent="0.3">
      <c r="B24" s="94"/>
      <c r="C24" s="94"/>
      <c r="D24" s="94"/>
      <c r="E24" s="94"/>
      <c r="F24" s="94"/>
      <c r="G24" s="94"/>
      <c r="H24" s="94"/>
      <c r="I24" s="94"/>
      <c r="J24" s="94"/>
      <c r="K24" s="94"/>
      <c r="L24" s="94"/>
      <c r="M24" s="94"/>
      <c r="N24" s="94"/>
    </row>
    <row r="25" spans="1:19" x14ac:dyDescent="0.3">
      <c r="B25" s="94"/>
      <c r="C25" s="94"/>
      <c r="D25" s="94"/>
      <c r="E25" s="94"/>
      <c r="F25" s="94"/>
      <c r="G25" s="94"/>
      <c r="H25" s="94"/>
      <c r="I25" s="94"/>
      <c r="J25" s="94"/>
      <c r="K25" s="94"/>
      <c r="L25" s="94"/>
      <c r="M25" s="94"/>
      <c r="N25" s="94"/>
      <c r="O25" s="94"/>
    </row>
    <row r="26" spans="1:19" x14ac:dyDescent="0.3">
      <c r="B26" s="94"/>
      <c r="C26" s="94"/>
      <c r="D26" s="94"/>
      <c r="E26" s="94"/>
      <c r="F26" s="94"/>
      <c r="G26" s="94"/>
      <c r="H26" s="94"/>
      <c r="I26" s="94"/>
      <c r="J26" s="94"/>
      <c r="K26" s="94"/>
      <c r="L26" s="94"/>
      <c r="M26" s="94"/>
      <c r="N26" s="94"/>
      <c r="O26" s="94"/>
    </row>
    <row r="27" spans="1:19" x14ac:dyDescent="0.3">
      <c r="B27" s="94"/>
      <c r="C27" s="94"/>
      <c r="D27" s="94"/>
      <c r="E27" s="94"/>
      <c r="F27" s="94"/>
      <c r="G27" s="94"/>
      <c r="H27" s="94"/>
      <c r="I27" s="94"/>
      <c r="J27" s="94"/>
      <c r="K27" s="94"/>
      <c r="L27" s="94"/>
      <c r="M27" s="94"/>
      <c r="N27" s="94"/>
      <c r="O27" s="94"/>
    </row>
    <row r="28" spans="1:19" x14ac:dyDescent="0.3">
      <c r="B28" s="94"/>
      <c r="C28" s="94"/>
      <c r="D28" s="94"/>
      <c r="E28" s="94"/>
      <c r="F28" s="94"/>
      <c r="G28" s="94"/>
      <c r="H28" s="94"/>
      <c r="I28" s="94"/>
      <c r="J28" s="94"/>
      <c r="K28" s="94"/>
      <c r="L28" s="94"/>
      <c r="M28" s="94"/>
      <c r="N28" s="94"/>
      <c r="O28" s="94"/>
    </row>
    <row r="29" spans="1:19" x14ac:dyDescent="0.3">
      <c r="B29" s="94"/>
      <c r="C29" s="94"/>
      <c r="D29" s="94"/>
      <c r="E29" s="94"/>
      <c r="F29" s="94"/>
      <c r="G29" s="94"/>
      <c r="H29" s="94"/>
      <c r="I29" s="94"/>
      <c r="J29" s="94"/>
      <c r="K29" s="94"/>
      <c r="L29" s="94"/>
      <c r="M29" s="94"/>
      <c r="N29" s="94"/>
      <c r="O29" s="94"/>
    </row>
    <row r="30" spans="1:19" x14ac:dyDescent="0.3">
      <c r="B30" s="94"/>
      <c r="C30" s="94"/>
      <c r="D30" s="94"/>
      <c r="E30" s="94"/>
      <c r="F30" s="94"/>
      <c r="G30" s="94"/>
      <c r="H30" s="94"/>
      <c r="I30" s="94"/>
      <c r="J30" s="94"/>
      <c r="K30" s="94"/>
      <c r="L30" s="94"/>
      <c r="M30" s="94"/>
      <c r="N30" s="94"/>
      <c r="O30" s="94"/>
    </row>
    <row r="31" spans="1:19" x14ac:dyDescent="0.3">
      <c r="B31" s="94"/>
      <c r="C31" s="94"/>
      <c r="D31" s="94"/>
      <c r="E31" s="94"/>
      <c r="F31" s="94"/>
      <c r="G31" s="94"/>
      <c r="H31" s="94"/>
      <c r="I31" s="94"/>
      <c r="J31" s="94"/>
      <c r="K31" s="94"/>
      <c r="L31" s="94"/>
      <c r="M31" s="94"/>
      <c r="N31" s="94"/>
      <c r="O31" s="94"/>
    </row>
    <row r="32" spans="1:19" x14ac:dyDescent="0.3">
      <c r="B32" s="94"/>
      <c r="C32" s="94"/>
      <c r="D32" s="94"/>
      <c r="E32" s="94"/>
      <c r="F32" s="94"/>
      <c r="G32" s="94"/>
      <c r="H32" s="94"/>
      <c r="I32" s="94"/>
      <c r="J32" s="94"/>
      <c r="K32" s="94"/>
      <c r="L32" s="94"/>
      <c r="M32" s="94"/>
      <c r="N32" s="94"/>
      <c r="O32" s="94"/>
    </row>
    <row r="33" spans="2:15" x14ac:dyDescent="0.3">
      <c r="B33" s="94"/>
      <c r="C33" s="94"/>
      <c r="D33" s="94"/>
      <c r="E33" s="94"/>
      <c r="F33" s="94"/>
      <c r="G33" s="94"/>
      <c r="H33" s="94"/>
      <c r="I33" s="94"/>
      <c r="J33" s="94"/>
      <c r="K33" s="94"/>
      <c r="L33" s="94"/>
      <c r="M33" s="94"/>
      <c r="N33" s="94"/>
      <c r="O33" s="94"/>
    </row>
    <row r="34" spans="2:15" x14ac:dyDescent="0.3">
      <c r="B34" s="94"/>
      <c r="C34" s="94"/>
      <c r="D34" s="94"/>
      <c r="E34" s="94"/>
      <c r="F34" s="94"/>
      <c r="G34" s="94"/>
      <c r="H34" s="94"/>
      <c r="I34" s="94"/>
      <c r="J34" s="94"/>
      <c r="K34" s="94"/>
      <c r="L34" s="94"/>
      <c r="M34" s="94"/>
      <c r="N34" s="94"/>
      <c r="O34" s="94"/>
    </row>
    <row r="35" spans="2:15" x14ac:dyDescent="0.3">
      <c r="B35" s="94"/>
      <c r="C35" s="94"/>
      <c r="D35" s="94"/>
      <c r="E35" s="94"/>
      <c r="F35" s="94"/>
      <c r="G35" s="94"/>
      <c r="H35" s="94"/>
      <c r="I35" s="94"/>
      <c r="J35" s="94"/>
      <c r="K35" s="94"/>
      <c r="L35" s="94"/>
      <c r="M35" s="94"/>
      <c r="N35" s="94"/>
      <c r="O35" s="94"/>
    </row>
    <row r="36" spans="2:15" x14ac:dyDescent="0.3">
      <c r="B36" s="94"/>
      <c r="C36" s="94"/>
      <c r="D36" s="94"/>
      <c r="E36" s="94"/>
      <c r="F36" s="94"/>
      <c r="G36" s="94"/>
      <c r="H36" s="94"/>
      <c r="I36" s="94"/>
      <c r="J36" s="94"/>
      <c r="K36" s="94"/>
      <c r="L36" s="94"/>
      <c r="M36" s="94"/>
      <c r="N36" s="94"/>
      <c r="O36" s="94"/>
    </row>
    <row r="37" spans="2:15" x14ac:dyDescent="0.3">
      <c r="B37" s="94"/>
      <c r="C37" s="94"/>
      <c r="D37" s="94"/>
      <c r="E37" s="94"/>
      <c r="F37" s="94"/>
      <c r="G37" s="94"/>
      <c r="H37" s="94"/>
      <c r="I37" s="94"/>
      <c r="J37" s="94"/>
      <c r="K37" s="94"/>
      <c r="L37" s="94"/>
      <c r="M37" s="94"/>
      <c r="N37" s="94"/>
      <c r="O37" s="94"/>
    </row>
    <row r="38" spans="2:15" x14ac:dyDescent="0.3">
      <c r="B38" s="94"/>
      <c r="C38" s="94"/>
      <c r="D38" s="94"/>
      <c r="E38" s="94"/>
      <c r="F38" s="94"/>
      <c r="G38" s="94"/>
      <c r="H38" s="94"/>
      <c r="I38" s="94"/>
      <c r="J38" s="94"/>
      <c r="K38" s="94"/>
      <c r="L38" s="94"/>
      <c r="M38" s="94"/>
      <c r="N38" s="94"/>
      <c r="O38" s="94"/>
    </row>
    <row r="39" spans="2:15" x14ac:dyDescent="0.3">
      <c r="B39" s="94"/>
      <c r="C39" s="94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</row>
    <row r="40" spans="2:15" x14ac:dyDescent="0.3">
      <c r="B40" s="94"/>
      <c r="C40" s="94"/>
      <c r="D40" s="94"/>
      <c r="E40" s="94"/>
      <c r="F40" s="94"/>
      <c r="G40" s="94"/>
      <c r="H40" s="94"/>
      <c r="I40" s="94"/>
      <c r="J40" s="94"/>
      <c r="K40" s="94"/>
      <c r="L40" s="94"/>
      <c r="M40" s="94"/>
      <c r="N40" s="94"/>
      <c r="O40" s="94"/>
    </row>
    <row r="41" spans="2:15" x14ac:dyDescent="0.3">
      <c r="B41" s="94"/>
      <c r="C41" s="94"/>
      <c r="D41" s="94"/>
      <c r="E41" s="94"/>
      <c r="F41" s="94"/>
      <c r="G41" s="94"/>
      <c r="H41" s="94"/>
      <c r="I41" s="94"/>
      <c r="J41" s="94"/>
      <c r="K41" s="94"/>
      <c r="L41" s="94"/>
      <c r="M41" s="94"/>
      <c r="N41" s="94"/>
      <c r="O41" s="94"/>
    </row>
    <row r="42" spans="2:15" x14ac:dyDescent="0.3">
      <c r="B42" s="94"/>
      <c r="C42" s="94"/>
      <c r="D42" s="94"/>
      <c r="E42" s="94"/>
      <c r="F42" s="94"/>
      <c r="G42" s="94"/>
      <c r="H42" s="94"/>
      <c r="I42" s="94"/>
      <c r="J42" s="94"/>
      <c r="K42" s="94"/>
      <c r="L42" s="94"/>
      <c r="M42" s="94"/>
      <c r="N42" s="94"/>
      <c r="O42" s="94"/>
    </row>
    <row r="43" spans="2:15" x14ac:dyDescent="0.3">
      <c r="G43" s="123"/>
      <c r="M43" s="94"/>
    </row>
    <row r="44" spans="2:15" x14ac:dyDescent="0.3">
      <c r="G44" s="123"/>
      <c r="M44" s="94"/>
    </row>
    <row r="45" spans="2:15" x14ac:dyDescent="0.3">
      <c r="G45" s="123"/>
      <c r="M45" s="94"/>
    </row>
    <row r="46" spans="2:15" x14ac:dyDescent="0.3">
      <c r="G46" s="123"/>
      <c r="M46" s="94"/>
    </row>
    <row r="47" spans="2:15" x14ac:dyDescent="0.3">
      <c r="G47" s="123"/>
      <c r="M47" s="94"/>
    </row>
    <row r="48" spans="2:15" x14ac:dyDescent="0.3">
      <c r="G48" s="123"/>
      <c r="M48" s="94"/>
    </row>
  </sheetData>
  <mergeCells count="14">
    <mergeCell ref="G1:G2"/>
    <mergeCell ref="A1:A2"/>
    <mergeCell ref="B1:B2"/>
    <mergeCell ref="D1:D2"/>
    <mergeCell ref="E1:E2"/>
    <mergeCell ref="F1:F2"/>
    <mergeCell ref="V5:W5"/>
    <mergeCell ref="I16:L16"/>
    <mergeCell ref="H1:H2"/>
    <mergeCell ref="J1:J2"/>
    <mergeCell ref="K1:K2"/>
    <mergeCell ref="L1:L2"/>
    <mergeCell ref="M1:M2"/>
    <mergeCell ref="P1:U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4FB16-32BF-449C-9C65-6FB0CA377B65}">
  <dimension ref="A1:AA48"/>
  <sheetViews>
    <sheetView workbookViewId="0">
      <selection activeCell="E21" sqref="E21"/>
    </sheetView>
  </sheetViews>
  <sheetFormatPr defaultColWidth="9.109375" defaultRowHeight="14.4" x14ac:dyDescent="0.3"/>
  <cols>
    <col min="1" max="3" width="9.109375" style="28"/>
    <col min="4" max="4" width="11.109375" style="28" customWidth="1"/>
    <col min="5" max="5" width="15.44140625" style="28" customWidth="1"/>
    <col min="6" max="6" width="12" style="28" customWidth="1"/>
    <col min="7" max="7" width="17.109375" style="39" customWidth="1"/>
    <col min="8" max="8" width="13.33203125" style="28" customWidth="1"/>
    <col min="9" max="9" width="11.44140625" style="28" customWidth="1"/>
    <col min="10" max="10" width="17.33203125" style="28" customWidth="1"/>
    <col min="11" max="11" width="11.6640625" style="28" customWidth="1"/>
    <col min="12" max="12" width="16.109375" style="28" customWidth="1"/>
    <col min="13" max="13" width="13.5546875" style="28" customWidth="1"/>
    <col min="14" max="14" width="9.109375" style="28"/>
    <col min="15" max="15" width="9.109375" style="28" customWidth="1"/>
    <col min="16" max="21" width="9.109375" style="28"/>
    <col min="22" max="22" width="15.109375" style="28" customWidth="1"/>
    <col min="23" max="23" width="13.6640625" style="28" customWidth="1"/>
    <col min="24" max="26" width="9.109375" style="28"/>
    <col min="27" max="27" width="9.5546875" style="28" customWidth="1"/>
    <col min="28" max="16384" width="9.109375" style="28"/>
  </cols>
  <sheetData>
    <row r="1" spans="1:27" ht="45" customHeight="1" thickBot="1" x14ac:dyDescent="0.4">
      <c r="A1" s="185" t="s">
        <v>0</v>
      </c>
      <c r="B1" s="187" t="s">
        <v>1</v>
      </c>
      <c r="C1" s="92" t="s">
        <v>64</v>
      </c>
      <c r="D1" s="189" t="s">
        <v>2</v>
      </c>
      <c r="E1" s="191" t="s">
        <v>3</v>
      </c>
      <c r="F1" s="193" t="s">
        <v>4</v>
      </c>
      <c r="G1" s="179" t="s">
        <v>5</v>
      </c>
      <c r="H1" s="195" t="s">
        <v>6</v>
      </c>
      <c r="I1" s="92" t="s">
        <v>7</v>
      </c>
      <c r="J1" s="195" t="s">
        <v>8</v>
      </c>
      <c r="K1" s="196" t="s">
        <v>9</v>
      </c>
      <c r="L1" s="187" t="s">
        <v>10</v>
      </c>
      <c r="M1" s="187" t="s">
        <v>11</v>
      </c>
      <c r="N1" s="94"/>
      <c r="O1" s="94"/>
      <c r="P1" s="182" t="s">
        <v>12</v>
      </c>
      <c r="Q1" s="182"/>
      <c r="R1" s="182"/>
      <c r="S1" s="182"/>
      <c r="T1" s="182"/>
      <c r="U1" s="182"/>
      <c r="AA1" s="29">
        <v>45677</v>
      </c>
    </row>
    <row r="2" spans="1:27" ht="17.100000000000001" customHeight="1" thickBot="1" x14ac:dyDescent="0.35">
      <c r="A2" s="199"/>
      <c r="B2" s="200"/>
      <c r="C2" s="129"/>
      <c r="D2" s="201"/>
      <c r="E2" s="202"/>
      <c r="F2" s="203"/>
      <c r="G2" s="198"/>
      <c r="H2" s="198"/>
      <c r="I2" s="129"/>
      <c r="J2" s="198"/>
      <c r="K2" s="204"/>
      <c r="L2" s="200"/>
      <c r="M2" s="200"/>
      <c r="N2" s="94"/>
      <c r="O2" s="94"/>
      <c r="P2" s="96" t="s">
        <v>13</v>
      </c>
      <c r="Q2" s="97" t="s">
        <v>13</v>
      </c>
      <c r="R2" s="98" t="s">
        <v>13</v>
      </c>
      <c r="S2" s="96" t="s">
        <v>14</v>
      </c>
      <c r="T2" s="97" t="s">
        <v>14</v>
      </c>
      <c r="U2" s="98" t="s">
        <v>14</v>
      </c>
      <c r="V2" s="94"/>
      <c r="W2" s="94"/>
    </row>
    <row r="3" spans="1:27" ht="17.100000000000001" customHeight="1" thickBot="1" x14ac:dyDescent="0.35">
      <c r="A3" s="62" t="s">
        <v>27</v>
      </c>
      <c r="B3" s="79" t="s">
        <v>16</v>
      </c>
      <c r="C3" s="70"/>
      <c r="D3" s="63">
        <v>107</v>
      </c>
      <c r="E3" s="131" t="s">
        <v>22</v>
      </c>
      <c r="F3" s="73">
        <v>1</v>
      </c>
      <c r="G3" s="132">
        <v>114</v>
      </c>
      <c r="H3" s="133">
        <v>29</v>
      </c>
      <c r="I3" s="134">
        <f t="shared" ref="I3:I7" si="0">RANK(H3,$H$3:$H$9)</f>
        <v>3</v>
      </c>
      <c r="J3" s="135">
        <v>87</v>
      </c>
      <c r="K3" s="64">
        <f>RANK(J3,$J$3:$J$9)+COUNTIF(J3:$J$3,J3)-1</f>
        <v>4</v>
      </c>
      <c r="L3" s="136">
        <f>(F3+K3)/2</f>
        <v>2.5</v>
      </c>
      <c r="M3" s="137">
        <f>RANK(L3,$L$3:$L$9,1)+COUNTIF(L3:$L$6,L3)-1</f>
        <v>3</v>
      </c>
      <c r="N3" s="94"/>
      <c r="O3" s="94"/>
      <c r="P3" s="103" t="s">
        <v>18</v>
      </c>
      <c r="Q3" s="104" t="s">
        <v>19</v>
      </c>
      <c r="R3" s="105" t="s">
        <v>20</v>
      </c>
      <c r="S3" s="103" t="s">
        <v>18</v>
      </c>
      <c r="T3" s="104" t="s">
        <v>19</v>
      </c>
      <c r="U3" s="106" t="s">
        <v>20</v>
      </c>
      <c r="V3" s="94"/>
      <c r="W3" s="94"/>
    </row>
    <row r="4" spans="1:27" ht="17.100000000000001" customHeight="1" thickBot="1" x14ac:dyDescent="0.35">
      <c r="A4" s="65" t="s">
        <v>38</v>
      </c>
      <c r="B4" s="83" t="s">
        <v>24</v>
      </c>
      <c r="C4" s="71"/>
      <c r="D4" s="31">
        <v>104</v>
      </c>
      <c r="E4" s="94" t="s">
        <v>22</v>
      </c>
      <c r="F4" s="74">
        <v>2</v>
      </c>
      <c r="G4" s="130">
        <v>294</v>
      </c>
      <c r="H4" s="94">
        <v>90</v>
      </c>
      <c r="I4" s="138">
        <f t="shared" si="0"/>
        <v>1</v>
      </c>
      <c r="J4" s="94">
        <v>88</v>
      </c>
      <c r="K4" s="34">
        <f>RANK(J4,$J$3:$J$9)+COUNTIF(J$3:$J4,J4)-1</f>
        <v>2</v>
      </c>
      <c r="L4" s="109">
        <f>(F4+K4)/2</f>
        <v>2</v>
      </c>
      <c r="M4" s="139">
        <f>RANK(L4,$L$3:$L$9,1)+COUNTIF(L4:$L$6,L4)-1</f>
        <v>2</v>
      </c>
      <c r="N4" s="94"/>
      <c r="O4" s="94"/>
      <c r="P4" s="48">
        <v>50</v>
      </c>
      <c r="Q4" s="110">
        <v>89</v>
      </c>
      <c r="R4" s="111">
        <v>140</v>
      </c>
      <c r="S4" s="49">
        <v>20</v>
      </c>
      <c r="T4" s="112"/>
      <c r="U4" s="113"/>
    </row>
    <row r="5" spans="1:27" ht="17.100000000000001" customHeight="1" thickBot="1" x14ac:dyDescent="0.35">
      <c r="A5" s="65" t="s">
        <v>15</v>
      </c>
      <c r="B5" s="83" t="s">
        <v>21</v>
      </c>
      <c r="C5" s="71"/>
      <c r="D5" s="31">
        <v>103</v>
      </c>
      <c r="E5" s="94" t="s">
        <v>22</v>
      </c>
      <c r="F5" s="74">
        <v>3</v>
      </c>
      <c r="G5" s="130">
        <v>302</v>
      </c>
      <c r="H5" s="94">
        <v>50</v>
      </c>
      <c r="I5" s="138">
        <f t="shared" si="0"/>
        <v>2</v>
      </c>
      <c r="J5" s="94">
        <v>89</v>
      </c>
      <c r="K5" s="34">
        <f>RANK(J5,$J$3:$J$9)+COUNTIF(J$3:$J5,J5)-1</f>
        <v>1</v>
      </c>
      <c r="L5" s="109">
        <f>(F5+K5)/2</f>
        <v>2</v>
      </c>
      <c r="M5" s="139">
        <f>RANK(L5,$L$3:$L$9,1)+COUNTIF(L5:$L$6,L5)-1</f>
        <v>1</v>
      </c>
      <c r="N5" s="94"/>
      <c r="O5" s="94"/>
      <c r="V5" s="183" t="s">
        <v>23</v>
      </c>
      <c r="W5" s="184"/>
    </row>
    <row r="6" spans="1:27" x14ac:dyDescent="0.3">
      <c r="A6" s="65" t="s">
        <v>15</v>
      </c>
      <c r="B6" s="80" t="s">
        <v>45</v>
      </c>
      <c r="C6" s="71"/>
      <c r="D6" s="31">
        <v>102</v>
      </c>
      <c r="E6" s="159" t="s">
        <v>22</v>
      </c>
      <c r="F6" s="74">
        <v>4</v>
      </c>
      <c r="G6" s="160">
        <v>166</v>
      </c>
      <c r="H6" s="159">
        <v>21</v>
      </c>
      <c r="I6" s="138">
        <f t="shared" si="0"/>
        <v>5</v>
      </c>
      <c r="J6" s="71">
        <v>88</v>
      </c>
      <c r="K6" s="34">
        <f>RANK(J6,$J$3:$J$9)+COUNTIF(J$3:$J6,J6)-1</f>
        <v>3</v>
      </c>
      <c r="L6" s="109">
        <f>(F6+K6)/2</f>
        <v>3.5</v>
      </c>
      <c r="M6" s="139">
        <f>RANK(L6,$L$3:$L$9,1)+COUNTIF(L$6:$L6,L6)-1</f>
        <v>4</v>
      </c>
      <c r="N6" s="94"/>
      <c r="O6" s="94"/>
      <c r="V6" s="115" t="s">
        <v>25</v>
      </c>
      <c r="W6" s="116" t="s">
        <v>26</v>
      </c>
    </row>
    <row r="7" spans="1:27" ht="15" thickBot="1" x14ac:dyDescent="0.35">
      <c r="A7" s="66"/>
      <c r="B7" s="71" t="s">
        <v>28</v>
      </c>
      <c r="C7" s="71"/>
      <c r="D7" s="31">
        <v>86</v>
      </c>
      <c r="E7" s="94" t="s">
        <v>46</v>
      </c>
      <c r="F7" s="74">
        <v>5</v>
      </c>
      <c r="G7" s="130">
        <v>282</v>
      </c>
      <c r="H7" s="94">
        <v>22</v>
      </c>
      <c r="I7" s="138">
        <f t="shared" si="0"/>
        <v>4</v>
      </c>
      <c r="J7" s="94">
        <v>87</v>
      </c>
      <c r="K7" s="34">
        <f>RANK(J7,$J$3:$J$9)+COUNTIF(J$3:$J7,J7)-1</f>
        <v>5</v>
      </c>
      <c r="L7" s="109">
        <f>(F7+K7)/2</f>
        <v>5</v>
      </c>
      <c r="M7" s="139">
        <f>RANK(L7,$L$3:$L$9,1)+COUNTIF(L$6:$L7,L7)-1</f>
        <v>5</v>
      </c>
      <c r="N7" s="94"/>
      <c r="O7" s="94"/>
      <c r="V7" s="117">
        <f>Q4+T4</f>
        <v>89</v>
      </c>
      <c r="W7" s="118">
        <f>R4+U4</f>
        <v>140</v>
      </c>
    </row>
    <row r="8" spans="1:27" ht="15" thickTop="1" x14ac:dyDescent="0.3">
      <c r="A8" s="66"/>
      <c r="B8" s="71"/>
      <c r="C8" s="71"/>
      <c r="D8" s="31"/>
      <c r="E8" s="94"/>
      <c r="F8" s="74"/>
      <c r="G8" s="130"/>
      <c r="H8" s="94"/>
      <c r="I8" s="138"/>
      <c r="J8" s="94"/>
      <c r="K8" s="34"/>
      <c r="L8" s="109"/>
      <c r="M8" s="139"/>
      <c r="N8" s="94"/>
      <c r="O8" s="94"/>
      <c r="V8" s="140"/>
      <c r="W8" s="140"/>
    </row>
    <row r="9" spans="1:27" ht="15" thickBot="1" x14ac:dyDescent="0.35">
      <c r="A9" s="67"/>
      <c r="B9" s="72"/>
      <c r="C9" s="72"/>
      <c r="D9" s="68"/>
      <c r="E9" s="141"/>
      <c r="F9" s="75"/>
      <c r="G9" s="142"/>
      <c r="H9" s="141"/>
      <c r="I9" s="143"/>
      <c r="J9" s="141"/>
      <c r="K9" s="69"/>
      <c r="L9" s="144"/>
      <c r="M9" s="145"/>
      <c r="N9" s="94"/>
      <c r="O9" s="94"/>
      <c r="V9" s="140"/>
      <c r="W9" s="140"/>
    </row>
    <row r="10" spans="1:27" x14ac:dyDescent="0.3">
      <c r="A10" s="76"/>
      <c r="B10" s="76"/>
      <c r="C10" s="76"/>
      <c r="D10" s="76"/>
      <c r="E10" s="76"/>
      <c r="F10" s="76"/>
      <c r="G10" s="76"/>
      <c r="H10" s="76"/>
      <c r="I10" s="76"/>
      <c r="J10" s="76"/>
      <c r="K10" s="76"/>
      <c r="L10" s="76"/>
      <c r="M10" s="76"/>
      <c r="N10" s="94"/>
      <c r="O10" s="94"/>
      <c r="V10" s="140"/>
      <c r="W10" s="140"/>
    </row>
    <row r="11" spans="1:27" x14ac:dyDescent="0.3">
      <c r="A11" s="76"/>
      <c r="B11" s="76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94"/>
      <c r="O11" s="94"/>
      <c r="V11" s="140"/>
      <c r="W11" s="140"/>
    </row>
    <row r="12" spans="1:27" x14ac:dyDescent="0.3">
      <c r="B12" s="122" t="s">
        <v>33</v>
      </c>
      <c r="C12" s="122"/>
      <c r="D12" s="122" t="s">
        <v>34</v>
      </c>
      <c r="E12" s="122"/>
      <c r="G12" s="94"/>
      <c r="H12" s="94"/>
      <c r="I12" s="94"/>
      <c r="J12" s="94"/>
      <c r="K12" s="94"/>
      <c r="L12" s="94"/>
      <c r="M12" s="94"/>
      <c r="N12" s="94"/>
      <c r="O12" s="94"/>
    </row>
    <row r="13" spans="1:27" x14ac:dyDescent="0.3">
      <c r="B13" s="122" t="s">
        <v>35</v>
      </c>
      <c r="C13" s="122"/>
      <c r="D13" t="s">
        <v>36</v>
      </c>
      <c r="E13" s="122"/>
      <c r="G13" s="123"/>
      <c r="H13" s="94"/>
      <c r="I13" s="94"/>
      <c r="J13" s="94"/>
      <c r="L13" s="94"/>
      <c r="M13" s="94"/>
      <c r="N13" s="94"/>
      <c r="O13" s="94"/>
    </row>
    <row r="14" spans="1:27" x14ac:dyDescent="0.3">
      <c r="B14" s="1" t="s">
        <v>33</v>
      </c>
      <c r="C14" s="1"/>
      <c r="D14" s="27" t="s">
        <v>34</v>
      </c>
      <c r="E14" s="122"/>
      <c r="G14" s="94"/>
      <c r="H14" s="94"/>
      <c r="I14" s="94"/>
      <c r="J14" s="94"/>
      <c r="K14" s="94"/>
      <c r="L14" s="94"/>
      <c r="M14" s="94"/>
      <c r="N14" s="94"/>
    </row>
    <row r="15" spans="1:27" x14ac:dyDescent="0.3">
      <c r="A15" s="123"/>
      <c r="B15" s="2"/>
      <c r="C15" s="2"/>
      <c r="D15" s="2"/>
      <c r="E15" s="2"/>
      <c r="F15" s="2"/>
      <c r="G15" s="94"/>
      <c r="H15" s="94"/>
      <c r="I15" s="94"/>
      <c r="J15" s="94"/>
      <c r="K15" s="94"/>
      <c r="L15" s="94"/>
      <c r="M15" s="94"/>
      <c r="N15" s="94"/>
    </row>
    <row r="16" spans="1:27" x14ac:dyDescent="0.3">
      <c r="A16" s="122"/>
      <c r="B16" s="122" t="s">
        <v>40</v>
      </c>
      <c r="C16" s="122"/>
      <c r="D16" s="122"/>
      <c r="E16" s="122"/>
      <c r="G16" s="94"/>
      <c r="H16" s="94"/>
      <c r="I16" s="181"/>
      <c r="J16" s="181"/>
      <c r="K16" s="181"/>
      <c r="L16" s="181"/>
      <c r="M16" s="94"/>
      <c r="N16" s="94"/>
      <c r="O16" s="94"/>
      <c r="P16" s="94"/>
      <c r="Q16" s="94"/>
      <c r="R16" s="94"/>
      <c r="S16" s="94"/>
    </row>
    <row r="17" spans="1:19" x14ac:dyDescent="0.3">
      <c r="A17" s="122"/>
      <c r="B17" s="91"/>
      <c r="C17" s="91"/>
      <c r="D17" s="2" t="s">
        <v>47</v>
      </c>
      <c r="E17" s="2"/>
      <c r="F17" s="2"/>
      <c r="G17" s="94"/>
      <c r="H17" s="94"/>
      <c r="I17" s="94"/>
      <c r="J17" s="94"/>
      <c r="K17" s="94"/>
      <c r="L17" s="94"/>
      <c r="M17" s="94"/>
      <c r="N17" s="94"/>
      <c r="O17" s="94"/>
      <c r="P17" s="94"/>
      <c r="Q17" s="94"/>
      <c r="R17" s="94"/>
      <c r="S17" s="94"/>
    </row>
    <row r="18" spans="1:19" ht="14.4" customHeight="1" x14ac:dyDescent="0.3">
      <c r="E18" s="124"/>
      <c r="F18" s="124"/>
      <c r="G18" s="124"/>
      <c r="H18" s="94"/>
      <c r="I18" s="94"/>
      <c r="J18" s="94"/>
      <c r="K18" s="94"/>
      <c r="L18" s="94"/>
      <c r="M18" s="94"/>
      <c r="N18" s="94"/>
      <c r="O18" s="94"/>
      <c r="P18" s="94"/>
      <c r="Q18" s="94"/>
      <c r="R18" s="94"/>
      <c r="S18" s="94"/>
    </row>
    <row r="19" spans="1:19" x14ac:dyDescent="0.3">
      <c r="A19" s="123"/>
      <c r="B19" s="94"/>
      <c r="C19" s="94"/>
      <c r="D19" s="94"/>
      <c r="E19" s="94"/>
      <c r="F19" s="94"/>
      <c r="G19" s="94"/>
      <c r="H19" s="94"/>
      <c r="I19" s="94"/>
      <c r="J19" s="94"/>
      <c r="K19" s="94"/>
      <c r="L19" s="94"/>
      <c r="M19" s="94"/>
      <c r="N19" s="94"/>
    </row>
    <row r="20" spans="1:19" x14ac:dyDescent="0.3">
      <c r="A20" s="123"/>
      <c r="B20" s="94"/>
      <c r="C20" s="94"/>
      <c r="D20" s="94"/>
      <c r="E20" s="94"/>
      <c r="F20" s="94"/>
      <c r="G20" s="94"/>
      <c r="H20" s="94"/>
      <c r="I20" s="94"/>
      <c r="J20" s="94"/>
      <c r="K20" s="94"/>
      <c r="L20" s="94"/>
      <c r="M20" s="94"/>
      <c r="N20" s="94"/>
    </row>
    <row r="21" spans="1:19" x14ac:dyDescent="0.3">
      <c r="B21" s="94"/>
      <c r="C21" s="94"/>
      <c r="D21" s="94"/>
      <c r="E21" s="94"/>
      <c r="F21" s="94"/>
      <c r="G21" s="94"/>
      <c r="H21" s="94"/>
      <c r="I21" s="94"/>
      <c r="J21" s="94"/>
      <c r="K21" s="94"/>
      <c r="L21" s="94"/>
      <c r="M21" s="94"/>
      <c r="N21" s="94"/>
    </row>
    <row r="22" spans="1:19" x14ac:dyDescent="0.3">
      <c r="B22" s="94"/>
      <c r="C22" s="94"/>
      <c r="D22" s="94"/>
      <c r="E22" s="94"/>
      <c r="F22" s="94"/>
      <c r="G22" s="94"/>
      <c r="H22" s="94"/>
      <c r="I22" s="94"/>
      <c r="J22" s="94"/>
      <c r="K22" s="94"/>
      <c r="L22" s="94"/>
      <c r="M22" s="94"/>
      <c r="N22" s="94"/>
    </row>
    <row r="23" spans="1:19" x14ac:dyDescent="0.3">
      <c r="B23" s="94"/>
      <c r="C23" s="94"/>
      <c r="D23" s="94"/>
      <c r="E23" s="94"/>
      <c r="F23" s="94"/>
      <c r="G23" s="94"/>
      <c r="H23" s="94"/>
      <c r="I23" s="94"/>
      <c r="J23" s="94"/>
      <c r="K23" s="94"/>
      <c r="L23" s="94"/>
      <c r="M23" s="94"/>
      <c r="N23" s="94"/>
    </row>
    <row r="24" spans="1:19" x14ac:dyDescent="0.3">
      <c r="B24" s="94"/>
      <c r="C24" s="94"/>
      <c r="D24" s="94"/>
      <c r="E24" s="94"/>
      <c r="F24" s="94"/>
      <c r="G24" s="94"/>
      <c r="H24" s="94"/>
      <c r="I24" s="94"/>
      <c r="J24" s="94"/>
      <c r="K24" s="94"/>
      <c r="L24" s="94"/>
      <c r="M24" s="94"/>
      <c r="N24" s="94"/>
    </row>
    <row r="25" spans="1:19" x14ac:dyDescent="0.3">
      <c r="B25" s="94"/>
      <c r="C25" s="94"/>
      <c r="D25" s="94"/>
      <c r="E25" s="94"/>
      <c r="F25" s="94"/>
      <c r="G25" s="94"/>
      <c r="H25" s="94"/>
      <c r="I25" s="94"/>
      <c r="J25" s="94"/>
      <c r="K25" s="94"/>
      <c r="L25" s="94"/>
      <c r="M25" s="94"/>
      <c r="N25" s="94"/>
      <c r="O25" s="94"/>
    </row>
    <row r="26" spans="1:19" x14ac:dyDescent="0.3">
      <c r="B26" s="94"/>
      <c r="C26" s="94"/>
      <c r="D26" s="94"/>
      <c r="E26" s="94"/>
      <c r="F26" s="94"/>
      <c r="G26" s="94"/>
      <c r="H26" s="94"/>
      <c r="I26" s="94"/>
      <c r="J26" s="94"/>
      <c r="K26" s="94"/>
      <c r="L26" s="94"/>
      <c r="M26" s="94"/>
      <c r="N26" s="94"/>
      <c r="O26" s="94"/>
    </row>
    <row r="27" spans="1:19" x14ac:dyDescent="0.3">
      <c r="B27" s="94"/>
      <c r="C27" s="94"/>
      <c r="D27" s="94"/>
      <c r="E27" s="94"/>
      <c r="F27" s="94"/>
      <c r="G27" s="94"/>
      <c r="H27" s="94"/>
      <c r="I27" s="94"/>
      <c r="J27" s="94"/>
      <c r="K27" s="94"/>
      <c r="L27" s="94"/>
      <c r="M27" s="94"/>
      <c r="N27" s="94"/>
      <c r="O27" s="94"/>
    </row>
    <row r="28" spans="1:19" x14ac:dyDescent="0.3">
      <c r="B28" s="94"/>
      <c r="C28" s="94"/>
      <c r="D28" s="94"/>
      <c r="E28" s="94"/>
      <c r="F28" s="94"/>
      <c r="G28" s="94"/>
      <c r="H28" s="94"/>
      <c r="I28" s="94"/>
      <c r="J28" s="94"/>
      <c r="K28" s="94"/>
      <c r="L28" s="94"/>
      <c r="M28" s="94"/>
      <c r="N28" s="94"/>
      <c r="O28" s="94"/>
    </row>
    <row r="29" spans="1:19" x14ac:dyDescent="0.3">
      <c r="B29" s="94"/>
      <c r="C29" s="94"/>
      <c r="D29" s="94"/>
      <c r="E29" s="94"/>
      <c r="F29" s="94"/>
      <c r="G29" s="94"/>
      <c r="H29" s="94"/>
      <c r="I29" s="94"/>
      <c r="J29" s="94"/>
      <c r="K29" s="94"/>
      <c r="L29" s="94"/>
      <c r="M29" s="94"/>
      <c r="N29" s="94"/>
      <c r="O29" s="94"/>
    </row>
    <row r="30" spans="1:19" x14ac:dyDescent="0.3">
      <c r="B30" s="94"/>
      <c r="C30" s="94"/>
      <c r="D30" s="94"/>
      <c r="E30" s="94"/>
      <c r="F30" s="94"/>
      <c r="G30" s="94"/>
      <c r="H30" s="94"/>
      <c r="I30" s="94"/>
      <c r="J30" s="94"/>
      <c r="K30" s="94"/>
      <c r="L30" s="94"/>
      <c r="M30" s="94"/>
      <c r="N30" s="94"/>
      <c r="O30" s="94"/>
    </row>
    <row r="31" spans="1:19" x14ac:dyDescent="0.3">
      <c r="B31" s="94"/>
      <c r="C31" s="94"/>
      <c r="D31" s="94"/>
      <c r="E31" s="94"/>
      <c r="F31" s="94"/>
      <c r="G31" s="94"/>
      <c r="H31" s="94"/>
      <c r="I31" s="94"/>
      <c r="J31" s="94"/>
      <c r="K31" s="94"/>
      <c r="L31" s="94"/>
      <c r="M31" s="94"/>
      <c r="N31" s="94"/>
      <c r="O31" s="94"/>
    </row>
    <row r="32" spans="1:19" x14ac:dyDescent="0.3">
      <c r="B32" s="94"/>
      <c r="C32" s="94"/>
      <c r="D32" s="94"/>
      <c r="E32" s="94"/>
      <c r="F32" s="94"/>
      <c r="G32" s="94"/>
      <c r="H32" s="94"/>
      <c r="I32" s="94"/>
      <c r="J32" s="94"/>
      <c r="K32" s="94"/>
      <c r="L32" s="94"/>
      <c r="M32" s="94"/>
      <c r="N32" s="94"/>
      <c r="O32" s="94"/>
    </row>
    <row r="33" spans="2:15" x14ac:dyDescent="0.3">
      <c r="B33" s="94"/>
      <c r="C33" s="94"/>
      <c r="D33" s="94"/>
      <c r="E33" s="94"/>
      <c r="F33" s="94"/>
      <c r="G33" s="94"/>
      <c r="H33" s="94"/>
      <c r="I33" s="94"/>
      <c r="J33" s="94"/>
      <c r="K33" s="94"/>
      <c r="L33" s="94"/>
      <c r="M33" s="94"/>
      <c r="N33" s="94"/>
      <c r="O33" s="94"/>
    </row>
    <row r="34" spans="2:15" x14ac:dyDescent="0.3">
      <c r="B34" s="94"/>
      <c r="C34" s="94"/>
      <c r="D34" s="94"/>
      <c r="E34" s="94"/>
      <c r="F34" s="94"/>
      <c r="G34" s="94"/>
      <c r="H34" s="94"/>
      <c r="I34" s="94"/>
      <c r="J34" s="94"/>
      <c r="K34" s="94"/>
      <c r="L34" s="94"/>
      <c r="M34" s="94"/>
      <c r="N34" s="94"/>
      <c r="O34" s="94"/>
    </row>
    <row r="35" spans="2:15" x14ac:dyDescent="0.3">
      <c r="B35" s="94"/>
      <c r="C35" s="94"/>
      <c r="D35" s="94"/>
      <c r="E35" s="94"/>
      <c r="F35" s="94"/>
      <c r="G35" s="94"/>
      <c r="H35" s="94"/>
      <c r="I35" s="94"/>
      <c r="J35" s="94"/>
      <c r="K35" s="94"/>
      <c r="L35" s="94"/>
      <c r="M35" s="94"/>
      <c r="N35" s="94"/>
      <c r="O35" s="94"/>
    </row>
    <row r="36" spans="2:15" x14ac:dyDescent="0.3">
      <c r="B36" s="94"/>
      <c r="C36" s="94"/>
      <c r="D36" s="94"/>
      <c r="E36" s="94"/>
      <c r="F36" s="94"/>
      <c r="G36" s="94"/>
      <c r="H36" s="94"/>
      <c r="I36" s="94"/>
      <c r="J36" s="94"/>
      <c r="K36" s="94"/>
      <c r="L36" s="94"/>
      <c r="M36" s="94"/>
      <c r="N36" s="94"/>
      <c r="O36" s="94"/>
    </row>
    <row r="37" spans="2:15" x14ac:dyDescent="0.3">
      <c r="B37" s="94"/>
      <c r="C37" s="94"/>
      <c r="D37" s="94"/>
      <c r="E37" s="94"/>
      <c r="F37" s="94"/>
      <c r="G37" s="94"/>
      <c r="H37" s="94"/>
      <c r="I37" s="94"/>
      <c r="J37" s="94"/>
      <c r="K37" s="94"/>
      <c r="L37" s="94"/>
      <c r="M37" s="94"/>
      <c r="N37" s="94"/>
      <c r="O37" s="94"/>
    </row>
    <row r="38" spans="2:15" x14ac:dyDescent="0.3">
      <c r="B38" s="94"/>
      <c r="C38" s="94"/>
      <c r="D38" s="94"/>
      <c r="E38" s="94"/>
      <c r="F38" s="94"/>
      <c r="G38" s="94"/>
      <c r="H38" s="94"/>
      <c r="I38" s="94"/>
      <c r="J38" s="94"/>
      <c r="K38" s="94"/>
      <c r="L38" s="94"/>
      <c r="M38" s="94"/>
      <c r="N38" s="94"/>
      <c r="O38" s="94"/>
    </row>
    <row r="39" spans="2:15" x14ac:dyDescent="0.3">
      <c r="B39" s="94"/>
      <c r="C39" s="94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</row>
    <row r="40" spans="2:15" x14ac:dyDescent="0.3">
      <c r="B40" s="94"/>
      <c r="C40" s="94"/>
      <c r="D40" s="94"/>
      <c r="E40" s="94"/>
      <c r="F40" s="94"/>
      <c r="G40" s="94"/>
      <c r="H40" s="94"/>
      <c r="I40" s="94"/>
      <c r="J40" s="94"/>
      <c r="K40" s="94"/>
      <c r="L40" s="94"/>
      <c r="M40" s="94"/>
      <c r="N40" s="94"/>
      <c r="O40" s="94"/>
    </row>
    <row r="41" spans="2:15" x14ac:dyDescent="0.3">
      <c r="B41" s="94"/>
      <c r="C41" s="94"/>
      <c r="D41" s="94"/>
      <c r="E41" s="94"/>
      <c r="F41" s="94"/>
      <c r="G41" s="94"/>
      <c r="H41" s="94"/>
      <c r="I41" s="94"/>
      <c r="J41" s="94"/>
      <c r="K41" s="94"/>
      <c r="L41" s="94"/>
      <c r="M41" s="94"/>
      <c r="N41" s="94"/>
      <c r="O41" s="94"/>
    </row>
    <row r="42" spans="2:15" x14ac:dyDescent="0.3">
      <c r="B42" s="94"/>
      <c r="C42" s="94"/>
      <c r="D42" s="94"/>
      <c r="E42" s="94"/>
      <c r="F42" s="94"/>
      <c r="G42" s="94"/>
      <c r="H42" s="94"/>
      <c r="I42" s="94"/>
      <c r="J42" s="94"/>
      <c r="K42" s="94"/>
      <c r="L42" s="94"/>
      <c r="M42" s="94"/>
      <c r="N42" s="94"/>
      <c r="O42" s="94"/>
    </row>
    <row r="43" spans="2:15" x14ac:dyDescent="0.3">
      <c r="G43" s="123"/>
      <c r="M43" s="94"/>
    </row>
    <row r="44" spans="2:15" x14ac:dyDescent="0.3">
      <c r="G44" s="123"/>
      <c r="M44" s="94"/>
    </row>
    <row r="45" spans="2:15" x14ac:dyDescent="0.3">
      <c r="G45" s="123"/>
      <c r="M45" s="94"/>
    </row>
    <row r="46" spans="2:15" x14ac:dyDescent="0.3">
      <c r="G46" s="123"/>
      <c r="M46" s="94"/>
    </row>
    <row r="47" spans="2:15" x14ac:dyDescent="0.3">
      <c r="G47" s="123"/>
      <c r="M47" s="94"/>
    </row>
    <row r="48" spans="2:15" x14ac:dyDescent="0.3">
      <c r="G48" s="123"/>
      <c r="M48" s="94"/>
    </row>
  </sheetData>
  <mergeCells count="14">
    <mergeCell ref="G1:G2"/>
    <mergeCell ref="A1:A2"/>
    <mergeCell ref="B1:B2"/>
    <mergeCell ref="D1:D2"/>
    <mergeCell ref="E1:E2"/>
    <mergeCell ref="F1:F2"/>
    <mergeCell ref="V5:W5"/>
    <mergeCell ref="I16:L16"/>
    <mergeCell ref="H1:H2"/>
    <mergeCell ref="J1:J2"/>
    <mergeCell ref="K1:K2"/>
    <mergeCell ref="L1:L2"/>
    <mergeCell ref="M1:M2"/>
    <mergeCell ref="P1:U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2D611-74E1-45B0-A750-182FF078FDB4}">
  <dimension ref="A1:AA48"/>
  <sheetViews>
    <sheetView workbookViewId="0">
      <selection activeCell="F19" sqref="F19"/>
    </sheetView>
  </sheetViews>
  <sheetFormatPr defaultColWidth="9.109375" defaultRowHeight="14.4" x14ac:dyDescent="0.3"/>
  <cols>
    <col min="1" max="3" width="9.109375" style="28"/>
    <col min="4" max="4" width="11.109375" style="28" customWidth="1"/>
    <col min="5" max="5" width="15.44140625" style="28" customWidth="1"/>
    <col min="6" max="6" width="12" style="28" customWidth="1"/>
    <col min="7" max="7" width="17.109375" style="39" customWidth="1"/>
    <col min="8" max="8" width="13.33203125" style="28" customWidth="1"/>
    <col min="9" max="9" width="11.44140625" style="28" customWidth="1"/>
    <col min="10" max="10" width="17.33203125" style="28" customWidth="1"/>
    <col min="11" max="11" width="11.6640625" style="28" customWidth="1"/>
    <col min="12" max="12" width="16.109375" style="28" customWidth="1"/>
    <col min="13" max="13" width="13.5546875" style="28" customWidth="1"/>
    <col min="14" max="14" width="9.109375" style="28"/>
    <col min="15" max="15" width="9.109375" style="28" customWidth="1"/>
    <col min="16" max="21" width="9.109375" style="28"/>
    <col min="22" max="22" width="15.109375" style="28" customWidth="1"/>
    <col min="23" max="23" width="13.6640625" style="28" customWidth="1"/>
    <col min="24" max="26" width="9.109375" style="28"/>
    <col min="27" max="27" width="9.5546875" style="28" customWidth="1"/>
    <col min="28" max="16384" width="9.109375" style="28"/>
  </cols>
  <sheetData>
    <row r="1" spans="1:27" ht="45" customHeight="1" thickBot="1" x14ac:dyDescent="0.4">
      <c r="A1" s="185" t="s">
        <v>0</v>
      </c>
      <c r="B1" s="187" t="s">
        <v>1</v>
      </c>
      <c r="C1" s="92" t="s">
        <v>64</v>
      </c>
      <c r="D1" s="189" t="s">
        <v>2</v>
      </c>
      <c r="E1" s="191" t="s">
        <v>3</v>
      </c>
      <c r="F1" s="193" t="s">
        <v>4</v>
      </c>
      <c r="G1" s="179" t="s">
        <v>5</v>
      </c>
      <c r="H1" s="195" t="s">
        <v>6</v>
      </c>
      <c r="I1" s="92" t="s">
        <v>7</v>
      </c>
      <c r="J1" s="195" t="s">
        <v>8</v>
      </c>
      <c r="K1" s="196" t="s">
        <v>9</v>
      </c>
      <c r="L1" s="187" t="s">
        <v>10</v>
      </c>
      <c r="M1" s="187" t="s">
        <v>11</v>
      </c>
      <c r="N1" s="94"/>
      <c r="O1" s="94"/>
      <c r="P1" s="182" t="s">
        <v>12</v>
      </c>
      <c r="Q1" s="182"/>
      <c r="R1" s="182"/>
      <c r="S1" s="182"/>
      <c r="T1" s="182"/>
      <c r="U1" s="182"/>
      <c r="AA1" s="29">
        <v>45677</v>
      </c>
    </row>
    <row r="2" spans="1:27" ht="17.100000000000001" customHeight="1" thickBot="1" x14ac:dyDescent="0.35">
      <c r="A2" s="199"/>
      <c r="B2" s="200"/>
      <c r="C2" s="129"/>
      <c r="D2" s="201"/>
      <c r="E2" s="202"/>
      <c r="F2" s="203"/>
      <c r="G2" s="198"/>
      <c r="H2" s="198"/>
      <c r="I2" s="129"/>
      <c r="J2" s="198"/>
      <c r="K2" s="204"/>
      <c r="L2" s="200"/>
      <c r="M2" s="200"/>
      <c r="N2" s="94"/>
      <c r="O2" s="94"/>
      <c r="P2" s="96" t="s">
        <v>13</v>
      </c>
      <c r="Q2" s="97" t="s">
        <v>13</v>
      </c>
      <c r="R2" s="98" t="s">
        <v>13</v>
      </c>
      <c r="S2" s="96" t="s">
        <v>14</v>
      </c>
      <c r="T2" s="97" t="s">
        <v>14</v>
      </c>
      <c r="U2" s="98" t="s">
        <v>14</v>
      </c>
      <c r="V2" s="94"/>
      <c r="W2" s="94"/>
    </row>
    <row r="3" spans="1:27" ht="17.100000000000001" customHeight="1" thickBot="1" x14ac:dyDescent="0.35">
      <c r="A3" s="62" t="s">
        <v>27</v>
      </c>
      <c r="B3" s="161" t="s">
        <v>16</v>
      </c>
      <c r="C3" s="70"/>
      <c r="D3" s="63">
        <v>107</v>
      </c>
      <c r="E3" s="131" t="s">
        <v>22</v>
      </c>
      <c r="F3" s="73">
        <v>1</v>
      </c>
      <c r="G3" s="132">
        <v>252</v>
      </c>
      <c r="H3" s="133">
        <v>41</v>
      </c>
      <c r="I3" s="134">
        <f t="shared" ref="I3:I6" si="0">RANK(H3,$H$3:$H$9)</f>
        <v>3</v>
      </c>
      <c r="J3" s="135">
        <v>88</v>
      </c>
      <c r="K3" s="64">
        <f>RANK(J3,$J$3:$J$9)+COUNTIF(J3:$J$3,J3)-1</f>
        <v>2</v>
      </c>
      <c r="L3" s="136">
        <f>(F3+K3)/2</f>
        <v>1.5</v>
      </c>
      <c r="M3" s="137">
        <f>RANK(L3,$L$3:$L$9,1)+COUNTIF(L3:$L$6,L3)-1</f>
        <v>1</v>
      </c>
      <c r="N3" s="94"/>
      <c r="O3" s="94"/>
      <c r="P3" s="103" t="s">
        <v>18</v>
      </c>
      <c r="Q3" s="104" t="s">
        <v>19</v>
      </c>
      <c r="R3" s="105" t="s">
        <v>20</v>
      </c>
      <c r="S3" s="103" t="s">
        <v>18</v>
      </c>
      <c r="T3" s="104" t="s">
        <v>19</v>
      </c>
      <c r="U3" s="106" t="s">
        <v>20</v>
      </c>
      <c r="V3" s="94"/>
      <c r="W3" s="94"/>
    </row>
    <row r="4" spans="1:27" ht="17.100000000000001" customHeight="1" thickBot="1" x14ac:dyDescent="0.35">
      <c r="A4" s="65" t="s">
        <v>38</v>
      </c>
      <c r="B4" s="80" t="s">
        <v>24</v>
      </c>
      <c r="C4" s="71"/>
      <c r="D4" s="31">
        <v>104</v>
      </c>
      <c r="E4" s="94" t="s">
        <v>22</v>
      </c>
      <c r="F4" s="74">
        <v>2</v>
      </c>
      <c r="G4" s="130">
        <v>160</v>
      </c>
      <c r="H4" s="94">
        <v>47</v>
      </c>
      <c r="I4" s="138">
        <f t="shared" si="0"/>
        <v>2</v>
      </c>
      <c r="J4" s="94">
        <v>87</v>
      </c>
      <c r="K4" s="34">
        <f>RANK(J4,$J$3:$J$9)+COUNTIF(J$3:$J4,J4)-1</f>
        <v>4</v>
      </c>
      <c r="L4" s="109">
        <f>(F4+K4)/2</f>
        <v>3</v>
      </c>
      <c r="M4" s="139">
        <f>RANK(L4,$L$3:$L$9,1)+COUNTIF(L4:$L$6,L4)-1</f>
        <v>4</v>
      </c>
      <c r="N4" s="94"/>
      <c r="O4" s="94"/>
      <c r="P4" s="48">
        <v>50</v>
      </c>
      <c r="Q4" s="110"/>
      <c r="R4" s="111"/>
      <c r="S4" s="49">
        <v>20</v>
      </c>
      <c r="T4" s="112"/>
      <c r="U4" s="113"/>
    </row>
    <row r="5" spans="1:27" ht="17.100000000000001" customHeight="1" thickBot="1" x14ac:dyDescent="0.35">
      <c r="A5" s="65" t="s">
        <v>27</v>
      </c>
      <c r="B5" s="80" t="s">
        <v>21</v>
      </c>
      <c r="C5" s="71"/>
      <c r="D5" s="31">
        <v>103</v>
      </c>
      <c r="E5" s="94" t="s">
        <v>22</v>
      </c>
      <c r="F5" s="74">
        <v>3</v>
      </c>
      <c r="G5" s="130">
        <v>170</v>
      </c>
      <c r="H5" s="94">
        <v>39</v>
      </c>
      <c r="I5" s="138">
        <f t="shared" si="0"/>
        <v>4</v>
      </c>
      <c r="J5" s="94">
        <v>88</v>
      </c>
      <c r="K5" s="34">
        <f>RANK(J5,$J$3:$J$9)+COUNTIF(J$3:$J5,J5)-1</f>
        <v>3</v>
      </c>
      <c r="L5" s="109">
        <f>(F5+K5)/2</f>
        <v>3</v>
      </c>
      <c r="M5" s="139">
        <f>RANK(L5,$L$3:$L$9,1)+COUNTIF(L5:$L$6,L5)-1</f>
        <v>3</v>
      </c>
      <c r="N5" s="94"/>
      <c r="O5" s="94"/>
      <c r="V5" s="183" t="s">
        <v>23</v>
      </c>
      <c r="W5" s="184"/>
    </row>
    <row r="6" spans="1:27" x14ac:dyDescent="0.3">
      <c r="A6" s="65" t="s">
        <v>38</v>
      </c>
      <c r="B6" s="83" t="s">
        <v>45</v>
      </c>
      <c r="C6" s="71"/>
      <c r="D6" s="31">
        <v>102</v>
      </c>
      <c r="E6" s="159" t="s">
        <v>22</v>
      </c>
      <c r="F6" s="74">
        <v>4</v>
      </c>
      <c r="G6" s="160">
        <v>200</v>
      </c>
      <c r="H6" s="159">
        <v>48</v>
      </c>
      <c r="I6" s="138">
        <f t="shared" si="0"/>
        <v>1</v>
      </c>
      <c r="J6" s="71">
        <v>89</v>
      </c>
      <c r="K6" s="34">
        <f>RANK(J6,$J$3:$J$9)+COUNTIF(J$3:$J6,J6)-1</f>
        <v>1</v>
      </c>
      <c r="L6" s="109">
        <f>(F6+K6)/2</f>
        <v>2.5</v>
      </c>
      <c r="M6" s="139">
        <f>RANK(L6,$L$3:$L$9,1)+COUNTIF(L$6:$L6,L6)-1</f>
        <v>2</v>
      </c>
      <c r="N6" s="94"/>
      <c r="O6" s="94"/>
      <c r="V6" s="115" t="s">
        <v>25</v>
      </c>
      <c r="W6" s="116" t="s">
        <v>26</v>
      </c>
    </row>
    <row r="7" spans="1:27" ht="15" thickBot="1" x14ac:dyDescent="0.35">
      <c r="A7" s="66"/>
      <c r="B7" s="71"/>
      <c r="C7" s="71"/>
      <c r="D7" s="31"/>
      <c r="E7" s="94"/>
      <c r="F7" s="74"/>
      <c r="G7" s="130"/>
      <c r="H7" s="94"/>
      <c r="I7" s="138"/>
      <c r="J7" s="94"/>
      <c r="K7" s="34"/>
      <c r="L7" s="109"/>
      <c r="M7" s="139"/>
      <c r="N7" s="94"/>
      <c r="O7" s="94"/>
      <c r="V7" s="117">
        <f>Q4+T4</f>
        <v>0</v>
      </c>
      <c r="W7" s="118">
        <f>R4+U4</f>
        <v>0</v>
      </c>
    </row>
    <row r="8" spans="1:27" ht="15" thickTop="1" x14ac:dyDescent="0.3">
      <c r="A8" s="66"/>
      <c r="B8" s="71"/>
      <c r="C8" s="71"/>
      <c r="D8" s="31"/>
      <c r="E8" s="94"/>
      <c r="F8" s="74"/>
      <c r="G8" s="130"/>
      <c r="H8" s="94"/>
      <c r="I8" s="138"/>
      <c r="J8" s="94"/>
      <c r="K8" s="34"/>
      <c r="L8" s="109"/>
      <c r="M8" s="139"/>
      <c r="N8" s="94"/>
      <c r="O8" s="94"/>
      <c r="V8" s="140"/>
      <c r="W8" s="140"/>
    </row>
    <row r="9" spans="1:27" ht="15" thickBot="1" x14ac:dyDescent="0.35">
      <c r="A9" s="67"/>
      <c r="B9" s="72"/>
      <c r="C9" s="72"/>
      <c r="D9" s="68"/>
      <c r="E9" s="141"/>
      <c r="F9" s="75"/>
      <c r="G9" s="142"/>
      <c r="H9" s="141"/>
      <c r="I9" s="143"/>
      <c r="J9" s="141"/>
      <c r="K9" s="69"/>
      <c r="L9" s="144"/>
      <c r="M9" s="145"/>
      <c r="N9" s="94"/>
      <c r="O9" s="94"/>
      <c r="V9" s="140"/>
      <c r="W9" s="140"/>
    </row>
    <row r="10" spans="1:27" x14ac:dyDescent="0.3">
      <c r="A10" s="76"/>
      <c r="B10" s="76"/>
      <c r="C10" s="76"/>
      <c r="D10" s="76"/>
      <c r="E10" s="76"/>
      <c r="F10" s="76"/>
      <c r="G10" s="76"/>
      <c r="H10" s="76"/>
      <c r="I10" s="76"/>
      <c r="J10" s="76"/>
      <c r="K10" s="76"/>
      <c r="L10" s="76"/>
      <c r="M10" s="76"/>
      <c r="N10" s="94"/>
      <c r="O10" s="94"/>
      <c r="V10" s="140"/>
      <c r="W10" s="140"/>
    </row>
    <row r="11" spans="1:27" x14ac:dyDescent="0.3">
      <c r="A11" s="76"/>
      <c r="B11" s="76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94"/>
      <c r="O11" s="94"/>
      <c r="V11" s="140"/>
      <c r="W11" s="140"/>
    </row>
    <row r="12" spans="1:27" x14ac:dyDescent="0.3">
      <c r="B12" s="122" t="s">
        <v>33</v>
      </c>
      <c r="C12" s="122"/>
      <c r="D12" s="122" t="s">
        <v>34</v>
      </c>
      <c r="E12" s="122"/>
      <c r="G12" s="94"/>
      <c r="H12" s="94"/>
      <c r="I12" s="94"/>
      <c r="J12" s="94"/>
      <c r="K12" s="94"/>
      <c r="L12" s="94"/>
      <c r="M12" s="94"/>
      <c r="N12" s="94"/>
      <c r="O12" s="94"/>
    </row>
    <row r="13" spans="1:27" x14ac:dyDescent="0.3">
      <c r="B13" s="122" t="s">
        <v>35</v>
      </c>
      <c r="C13" s="122"/>
      <c r="D13" t="s">
        <v>36</v>
      </c>
      <c r="E13" s="122"/>
      <c r="G13" s="123"/>
      <c r="H13" s="94"/>
      <c r="I13" s="94"/>
      <c r="J13" s="94"/>
      <c r="L13" s="94"/>
      <c r="M13" s="94"/>
      <c r="N13" s="94"/>
      <c r="O13" s="94"/>
    </row>
    <row r="14" spans="1:27" x14ac:dyDescent="0.3">
      <c r="B14" s="1" t="s">
        <v>33</v>
      </c>
      <c r="C14" s="1"/>
      <c r="D14" s="27" t="s">
        <v>34</v>
      </c>
      <c r="E14" s="122"/>
      <c r="G14" s="94"/>
      <c r="H14" s="94"/>
      <c r="I14" s="94"/>
      <c r="J14" s="94"/>
      <c r="K14" s="94"/>
      <c r="L14" s="94"/>
      <c r="M14" s="94"/>
      <c r="N14" s="94"/>
    </row>
    <row r="15" spans="1:27" x14ac:dyDescent="0.3">
      <c r="A15" s="123"/>
      <c r="B15" s="2"/>
      <c r="C15" s="2"/>
      <c r="D15" s="2"/>
      <c r="E15" s="2"/>
      <c r="F15" s="2"/>
      <c r="G15" s="94"/>
      <c r="H15" s="94"/>
      <c r="I15" s="94"/>
      <c r="J15" s="94"/>
      <c r="K15" s="94"/>
      <c r="L15" s="94"/>
      <c r="M15" s="94"/>
      <c r="N15" s="94"/>
    </row>
    <row r="16" spans="1:27" x14ac:dyDescent="0.3">
      <c r="A16" s="122"/>
      <c r="B16" s="122" t="s">
        <v>40</v>
      </c>
      <c r="C16" s="122"/>
      <c r="D16" s="122"/>
      <c r="E16" s="122"/>
      <c r="G16" s="94"/>
      <c r="H16" s="94"/>
      <c r="I16" s="181"/>
      <c r="J16" s="181"/>
      <c r="K16" s="181"/>
      <c r="L16" s="181"/>
      <c r="M16" s="94"/>
      <c r="N16" s="94"/>
      <c r="O16" s="94"/>
      <c r="P16" s="94"/>
      <c r="Q16" s="94"/>
      <c r="R16" s="94"/>
      <c r="S16" s="94"/>
    </row>
    <row r="17" spans="1:19" x14ac:dyDescent="0.3">
      <c r="A17" s="122"/>
      <c r="B17" s="91"/>
      <c r="C17" s="91"/>
      <c r="D17" s="2" t="s">
        <v>47</v>
      </c>
      <c r="E17" s="2"/>
      <c r="F17" s="2"/>
      <c r="G17" s="94"/>
      <c r="H17" s="94"/>
      <c r="I17" s="94"/>
      <c r="J17" s="94"/>
      <c r="K17" s="94"/>
      <c r="L17" s="94"/>
      <c r="M17" s="94"/>
      <c r="N17" s="94"/>
      <c r="O17" s="94"/>
      <c r="P17" s="94"/>
      <c r="Q17" s="94"/>
      <c r="R17" s="94"/>
      <c r="S17" s="94"/>
    </row>
    <row r="18" spans="1:19" ht="14.4" customHeight="1" x14ac:dyDescent="0.3">
      <c r="E18" s="124"/>
      <c r="F18" s="124"/>
      <c r="G18" s="124"/>
      <c r="H18" s="94"/>
      <c r="I18" s="94"/>
      <c r="J18" s="94"/>
      <c r="K18" s="94"/>
      <c r="L18" s="94"/>
      <c r="M18" s="94"/>
      <c r="N18" s="94"/>
      <c r="O18" s="94"/>
      <c r="P18" s="94"/>
      <c r="Q18" s="94"/>
      <c r="R18" s="94"/>
      <c r="S18" s="94"/>
    </row>
    <row r="19" spans="1:19" x14ac:dyDescent="0.3">
      <c r="A19" s="123"/>
      <c r="B19" s="94"/>
      <c r="C19" s="94"/>
      <c r="D19" s="94"/>
      <c r="E19" s="94"/>
      <c r="F19" s="94"/>
      <c r="G19" s="94"/>
      <c r="H19" s="94"/>
      <c r="I19" s="94"/>
      <c r="J19" s="94"/>
      <c r="K19" s="94"/>
      <c r="L19" s="94"/>
      <c r="M19" s="94"/>
      <c r="N19" s="94"/>
    </row>
    <row r="20" spans="1:19" x14ac:dyDescent="0.3">
      <c r="A20" s="123"/>
      <c r="B20" s="94"/>
      <c r="C20" s="94"/>
      <c r="D20" s="94"/>
      <c r="E20" s="94"/>
      <c r="F20" s="94"/>
      <c r="G20" s="94"/>
      <c r="H20" s="94"/>
      <c r="I20" s="94"/>
      <c r="J20" s="94"/>
      <c r="K20" s="94"/>
      <c r="L20" s="94"/>
      <c r="M20" s="94"/>
      <c r="N20" s="94"/>
    </row>
    <row r="21" spans="1:19" x14ac:dyDescent="0.3">
      <c r="B21" s="94"/>
      <c r="C21" s="94"/>
      <c r="D21" s="94"/>
      <c r="E21" s="94"/>
      <c r="F21" s="94"/>
      <c r="G21" s="94"/>
      <c r="H21" s="94"/>
      <c r="I21" s="94"/>
      <c r="J21" s="94"/>
      <c r="K21" s="94"/>
      <c r="L21" s="94"/>
      <c r="M21" s="94"/>
      <c r="N21" s="94"/>
    </row>
    <row r="22" spans="1:19" x14ac:dyDescent="0.3">
      <c r="B22" s="94"/>
      <c r="C22" s="94"/>
      <c r="D22" s="94"/>
      <c r="E22" s="94"/>
      <c r="F22" s="94"/>
      <c r="G22" s="94"/>
      <c r="H22" s="94"/>
      <c r="I22" s="94"/>
      <c r="J22" s="94"/>
      <c r="K22" s="94"/>
      <c r="L22" s="94"/>
      <c r="M22" s="94"/>
      <c r="N22" s="94"/>
    </row>
    <row r="23" spans="1:19" x14ac:dyDescent="0.3">
      <c r="B23" s="94"/>
      <c r="C23" s="94"/>
      <c r="D23" s="94"/>
      <c r="E23" s="94"/>
      <c r="F23" s="94"/>
      <c r="G23" s="94"/>
      <c r="H23" s="94"/>
      <c r="I23" s="94"/>
      <c r="J23" s="94"/>
      <c r="K23" s="94"/>
      <c r="L23" s="94"/>
      <c r="M23" s="94"/>
      <c r="N23" s="94"/>
    </row>
    <row r="24" spans="1:19" x14ac:dyDescent="0.3">
      <c r="B24" s="94"/>
      <c r="C24" s="94"/>
      <c r="D24" s="94"/>
      <c r="E24" s="94"/>
      <c r="F24" s="94"/>
      <c r="G24" s="94"/>
      <c r="H24" s="94"/>
      <c r="I24" s="94"/>
      <c r="J24" s="94"/>
      <c r="K24" s="94"/>
      <c r="L24" s="94"/>
      <c r="M24" s="94"/>
      <c r="N24" s="94"/>
    </row>
    <row r="25" spans="1:19" x14ac:dyDescent="0.3">
      <c r="B25" s="94"/>
      <c r="C25" s="94"/>
      <c r="D25" s="94"/>
      <c r="E25" s="94"/>
      <c r="F25" s="94"/>
      <c r="G25" s="94"/>
      <c r="H25" s="94"/>
      <c r="I25" s="94"/>
      <c r="J25" s="94"/>
      <c r="K25" s="94"/>
      <c r="L25" s="94"/>
      <c r="M25" s="94"/>
      <c r="N25" s="94"/>
      <c r="O25" s="94"/>
    </row>
    <row r="26" spans="1:19" x14ac:dyDescent="0.3">
      <c r="B26" s="94"/>
      <c r="C26" s="94"/>
      <c r="D26" s="94"/>
      <c r="E26" s="94"/>
      <c r="F26" s="94"/>
      <c r="G26" s="94"/>
      <c r="H26" s="94"/>
      <c r="I26" s="94"/>
      <c r="J26" s="94"/>
      <c r="K26" s="94"/>
      <c r="L26" s="94"/>
      <c r="M26" s="94"/>
      <c r="N26" s="94"/>
      <c r="O26" s="94"/>
    </row>
    <row r="27" spans="1:19" x14ac:dyDescent="0.3">
      <c r="B27" s="94"/>
      <c r="C27" s="94"/>
      <c r="D27" s="94"/>
      <c r="E27" s="94"/>
      <c r="F27" s="94"/>
      <c r="G27" s="94"/>
      <c r="H27" s="94"/>
      <c r="I27" s="94"/>
      <c r="J27" s="94"/>
      <c r="K27" s="94"/>
      <c r="L27" s="94"/>
      <c r="M27" s="94"/>
      <c r="N27" s="94"/>
      <c r="O27" s="94"/>
    </row>
    <row r="28" spans="1:19" x14ac:dyDescent="0.3">
      <c r="B28" s="94"/>
      <c r="C28" s="94"/>
      <c r="D28" s="94"/>
      <c r="E28" s="94"/>
      <c r="F28" s="94"/>
      <c r="G28" s="94"/>
      <c r="H28" s="94"/>
      <c r="I28" s="94"/>
      <c r="J28" s="94"/>
      <c r="K28" s="94"/>
      <c r="L28" s="94"/>
      <c r="M28" s="94"/>
      <c r="N28" s="94"/>
      <c r="O28" s="94"/>
    </row>
    <row r="29" spans="1:19" x14ac:dyDescent="0.3">
      <c r="B29" s="94"/>
      <c r="C29" s="94"/>
      <c r="D29" s="94"/>
      <c r="E29" s="94"/>
      <c r="F29" s="94"/>
      <c r="G29" s="94"/>
      <c r="H29" s="94"/>
      <c r="I29" s="94"/>
      <c r="J29" s="94"/>
      <c r="K29" s="94"/>
      <c r="L29" s="94"/>
      <c r="M29" s="94"/>
      <c r="N29" s="94"/>
      <c r="O29" s="94"/>
    </row>
    <row r="30" spans="1:19" x14ac:dyDescent="0.3">
      <c r="B30" s="94"/>
      <c r="C30" s="94"/>
      <c r="D30" s="94"/>
      <c r="E30" s="94"/>
      <c r="F30" s="94"/>
      <c r="G30" s="94"/>
      <c r="H30" s="94"/>
      <c r="I30" s="94"/>
      <c r="J30" s="94"/>
      <c r="K30" s="94"/>
      <c r="L30" s="94"/>
      <c r="M30" s="94"/>
      <c r="N30" s="94"/>
      <c r="O30" s="94"/>
    </row>
    <row r="31" spans="1:19" x14ac:dyDescent="0.3">
      <c r="B31" s="94"/>
      <c r="C31" s="94"/>
      <c r="D31" s="94"/>
      <c r="E31" s="94"/>
      <c r="F31" s="94"/>
      <c r="G31" s="94"/>
      <c r="H31" s="94"/>
      <c r="I31" s="94"/>
      <c r="J31" s="94"/>
      <c r="K31" s="94"/>
      <c r="L31" s="94"/>
      <c r="M31" s="94"/>
      <c r="N31" s="94"/>
      <c r="O31" s="94"/>
    </row>
    <row r="32" spans="1:19" x14ac:dyDescent="0.3">
      <c r="B32" s="94"/>
      <c r="C32" s="94"/>
      <c r="D32" s="94"/>
      <c r="E32" s="94"/>
      <c r="F32" s="94"/>
      <c r="G32" s="94"/>
      <c r="H32" s="94"/>
      <c r="I32" s="94"/>
      <c r="J32" s="94"/>
      <c r="K32" s="94"/>
      <c r="L32" s="94"/>
      <c r="M32" s="94"/>
      <c r="N32" s="94"/>
      <c r="O32" s="94"/>
    </row>
    <row r="33" spans="2:15" x14ac:dyDescent="0.3">
      <c r="B33" s="94"/>
      <c r="C33" s="94"/>
      <c r="D33" s="94"/>
      <c r="E33" s="94"/>
      <c r="F33" s="94"/>
      <c r="G33" s="94"/>
      <c r="H33" s="94"/>
      <c r="I33" s="94"/>
      <c r="J33" s="94"/>
      <c r="K33" s="94"/>
      <c r="L33" s="94"/>
      <c r="M33" s="94"/>
      <c r="N33" s="94"/>
      <c r="O33" s="94"/>
    </row>
    <row r="34" spans="2:15" x14ac:dyDescent="0.3">
      <c r="B34" s="94"/>
      <c r="C34" s="94"/>
      <c r="D34" s="94"/>
      <c r="E34" s="94"/>
      <c r="F34" s="94"/>
      <c r="G34" s="94"/>
      <c r="H34" s="94"/>
      <c r="I34" s="94"/>
      <c r="J34" s="94"/>
      <c r="K34" s="94"/>
      <c r="L34" s="94"/>
      <c r="M34" s="94"/>
      <c r="N34" s="94"/>
      <c r="O34" s="94"/>
    </row>
    <row r="35" spans="2:15" x14ac:dyDescent="0.3">
      <c r="B35" s="94"/>
      <c r="C35" s="94"/>
      <c r="D35" s="94"/>
      <c r="E35" s="94"/>
      <c r="F35" s="94"/>
      <c r="G35" s="94"/>
      <c r="H35" s="94"/>
      <c r="I35" s="94"/>
      <c r="J35" s="94"/>
      <c r="K35" s="94"/>
      <c r="L35" s="94"/>
      <c r="M35" s="94"/>
      <c r="N35" s="94"/>
      <c r="O35" s="94"/>
    </row>
    <row r="36" spans="2:15" x14ac:dyDescent="0.3">
      <c r="B36" s="94"/>
      <c r="C36" s="94"/>
      <c r="D36" s="94"/>
      <c r="E36" s="94"/>
      <c r="F36" s="94"/>
      <c r="G36" s="94"/>
      <c r="H36" s="94"/>
      <c r="I36" s="94"/>
      <c r="J36" s="94"/>
      <c r="K36" s="94"/>
      <c r="L36" s="94"/>
      <c r="M36" s="94"/>
      <c r="N36" s="94"/>
      <c r="O36" s="94"/>
    </row>
    <row r="37" spans="2:15" x14ac:dyDescent="0.3">
      <c r="B37" s="94"/>
      <c r="C37" s="94"/>
      <c r="D37" s="94"/>
      <c r="E37" s="94"/>
      <c r="F37" s="94"/>
      <c r="G37" s="94"/>
      <c r="H37" s="94"/>
      <c r="I37" s="94"/>
      <c r="J37" s="94"/>
      <c r="K37" s="94"/>
      <c r="L37" s="94"/>
      <c r="M37" s="94"/>
      <c r="N37" s="94"/>
      <c r="O37" s="94"/>
    </row>
    <row r="38" spans="2:15" x14ac:dyDescent="0.3">
      <c r="B38" s="94"/>
      <c r="C38" s="94"/>
      <c r="D38" s="94"/>
      <c r="E38" s="94"/>
      <c r="F38" s="94"/>
      <c r="G38" s="94"/>
      <c r="H38" s="94"/>
      <c r="I38" s="94"/>
      <c r="J38" s="94"/>
      <c r="K38" s="94"/>
      <c r="L38" s="94"/>
      <c r="M38" s="94"/>
      <c r="N38" s="94"/>
      <c r="O38" s="94"/>
    </row>
    <row r="39" spans="2:15" x14ac:dyDescent="0.3">
      <c r="B39" s="94"/>
      <c r="C39" s="94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</row>
    <row r="40" spans="2:15" x14ac:dyDescent="0.3">
      <c r="B40" s="94"/>
      <c r="C40" s="94"/>
      <c r="D40" s="94"/>
      <c r="E40" s="94"/>
      <c r="F40" s="94"/>
      <c r="G40" s="94"/>
      <c r="H40" s="94"/>
      <c r="I40" s="94"/>
      <c r="J40" s="94"/>
      <c r="K40" s="94"/>
      <c r="L40" s="94"/>
      <c r="M40" s="94"/>
      <c r="N40" s="94"/>
      <c r="O40" s="94"/>
    </row>
    <row r="41" spans="2:15" x14ac:dyDescent="0.3">
      <c r="B41" s="94"/>
      <c r="C41" s="94"/>
      <c r="D41" s="94"/>
      <c r="E41" s="94"/>
      <c r="F41" s="94"/>
      <c r="G41" s="94"/>
      <c r="H41" s="94"/>
      <c r="I41" s="94"/>
      <c r="J41" s="94"/>
      <c r="K41" s="94"/>
      <c r="L41" s="94"/>
      <c r="M41" s="94"/>
      <c r="N41" s="94"/>
      <c r="O41" s="94"/>
    </row>
    <row r="42" spans="2:15" x14ac:dyDescent="0.3">
      <c r="B42" s="94"/>
      <c r="C42" s="94"/>
      <c r="D42" s="94"/>
      <c r="E42" s="94"/>
      <c r="F42" s="94"/>
      <c r="G42" s="94"/>
      <c r="H42" s="94"/>
      <c r="I42" s="94"/>
      <c r="J42" s="94"/>
      <c r="K42" s="94"/>
      <c r="L42" s="94"/>
      <c r="M42" s="94"/>
      <c r="N42" s="94"/>
      <c r="O42" s="94"/>
    </row>
    <row r="43" spans="2:15" x14ac:dyDescent="0.3">
      <c r="G43" s="123"/>
      <c r="M43" s="94"/>
    </row>
    <row r="44" spans="2:15" x14ac:dyDescent="0.3">
      <c r="G44" s="123"/>
      <c r="M44" s="94"/>
    </row>
    <row r="45" spans="2:15" x14ac:dyDescent="0.3">
      <c r="G45" s="123"/>
      <c r="M45" s="94"/>
    </row>
    <row r="46" spans="2:15" x14ac:dyDescent="0.3">
      <c r="G46" s="123"/>
      <c r="M46" s="94"/>
    </row>
    <row r="47" spans="2:15" x14ac:dyDescent="0.3">
      <c r="G47" s="123"/>
      <c r="M47" s="94"/>
    </row>
    <row r="48" spans="2:15" x14ac:dyDescent="0.3">
      <c r="G48" s="123"/>
      <c r="M48" s="94"/>
    </row>
  </sheetData>
  <mergeCells count="14">
    <mergeCell ref="G1:G2"/>
    <mergeCell ref="A1:A2"/>
    <mergeCell ref="B1:B2"/>
    <mergeCell ref="D1:D2"/>
    <mergeCell ref="E1:E2"/>
    <mergeCell ref="F1:F2"/>
    <mergeCell ref="V5:W5"/>
    <mergeCell ref="I16:L16"/>
    <mergeCell ref="H1:H2"/>
    <mergeCell ref="J1:J2"/>
    <mergeCell ref="K1:K2"/>
    <mergeCell ref="L1:L2"/>
    <mergeCell ref="M1:M2"/>
    <mergeCell ref="P1:U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953A4-0E2D-4DD3-A748-C246DD2EB52D}">
  <dimension ref="A1:AA48"/>
  <sheetViews>
    <sheetView workbookViewId="0">
      <selection activeCell="G18" sqref="G18"/>
    </sheetView>
  </sheetViews>
  <sheetFormatPr defaultColWidth="9.109375" defaultRowHeight="14.4" x14ac:dyDescent="0.3"/>
  <cols>
    <col min="1" max="3" width="9.109375" style="28"/>
    <col min="4" max="4" width="11.109375" style="28" customWidth="1"/>
    <col min="5" max="5" width="15.44140625" style="28" customWidth="1"/>
    <col min="6" max="6" width="12" style="28" customWidth="1"/>
    <col min="7" max="7" width="17.109375" style="39" customWidth="1"/>
    <col min="8" max="8" width="13.33203125" style="28" customWidth="1"/>
    <col min="9" max="9" width="11.44140625" style="28" customWidth="1"/>
    <col min="10" max="10" width="17.33203125" style="28" customWidth="1"/>
    <col min="11" max="11" width="11.6640625" style="28" customWidth="1"/>
    <col min="12" max="12" width="16.109375" style="28" customWidth="1"/>
    <col min="13" max="13" width="13.5546875" style="28" customWidth="1"/>
    <col min="14" max="14" width="9.109375" style="28"/>
    <col min="15" max="15" width="9.109375" style="28" customWidth="1"/>
    <col min="16" max="21" width="9.109375" style="28"/>
    <col min="22" max="22" width="15.109375" style="28" customWidth="1"/>
    <col min="23" max="23" width="13.6640625" style="28" customWidth="1"/>
    <col min="24" max="26" width="9.109375" style="28"/>
    <col min="27" max="27" width="9.5546875" style="28" customWidth="1"/>
    <col min="28" max="16384" width="9.109375" style="28"/>
  </cols>
  <sheetData>
    <row r="1" spans="1:27" ht="45" customHeight="1" thickBot="1" x14ac:dyDescent="0.4">
      <c r="A1" s="185" t="s">
        <v>0</v>
      </c>
      <c r="B1" s="187" t="s">
        <v>1</v>
      </c>
      <c r="C1" s="92" t="s">
        <v>64</v>
      </c>
      <c r="D1" s="189" t="s">
        <v>2</v>
      </c>
      <c r="E1" s="191" t="s">
        <v>3</v>
      </c>
      <c r="F1" s="193" t="s">
        <v>4</v>
      </c>
      <c r="G1" s="179" t="s">
        <v>5</v>
      </c>
      <c r="H1" s="195" t="s">
        <v>6</v>
      </c>
      <c r="I1" s="92" t="s">
        <v>7</v>
      </c>
      <c r="J1" s="195" t="s">
        <v>8</v>
      </c>
      <c r="K1" s="196" t="s">
        <v>9</v>
      </c>
      <c r="L1" s="187" t="s">
        <v>10</v>
      </c>
      <c r="M1" s="187" t="s">
        <v>11</v>
      </c>
      <c r="N1" s="94"/>
      <c r="O1" s="94"/>
      <c r="P1" s="182" t="s">
        <v>12</v>
      </c>
      <c r="Q1" s="182"/>
      <c r="R1" s="182"/>
      <c r="S1" s="182"/>
      <c r="T1" s="182"/>
      <c r="U1" s="182"/>
      <c r="AA1" s="29">
        <v>45677</v>
      </c>
    </row>
    <row r="2" spans="1:27" ht="17.100000000000001" customHeight="1" thickBot="1" x14ac:dyDescent="0.35">
      <c r="A2" s="199"/>
      <c r="B2" s="200"/>
      <c r="C2" s="129"/>
      <c r="D2" s="201"/>
      <c r="E2" s="202"/>
      <c r="F2" s="203"/>
      <c r="G2" s="198"/>
      <c r="H2" s="198"/>
      <c r="I2" s="129"/>
      <c r="J2" s="198"/>
      <c r="K2" s="204"/>
      <c r="L2" s="200"/>
      <c r="M2" s="200"/>
      <c r="N2" s="94"/>
      <c r="O2" s="94"/>
      <c r="P2" s="96" t="s">
        <v>13</v>
      </c>
      <c r="Q2" s="97" t="s">
        <v>13</v>
      </c>
      <c r="R2" s="98" t="s">
        <v>13</v>
      </c>
      <c r="S2" s="96" t="s">
        <v>14</v>
      </c>
      <c r="T2" s="97" t="s">
        <v>14</v>
      </c>
      <c r="U2" s="98" t="s">
        <v>14</v>
      </c>
      <c r="V2" s="94"/>
      <c r="W2" s="94"/>
    </row>
    <row r="3" spans="1:27" ht="17.100000000000001" customHeight="1" thickBot="1" x14ac:dyDescent="0.35">
      <c r="A3" s="62" t="s">
        <v>15</v>
      </c>
      <c r="B3" s="161" t="s">
        <v>16</v>
      </c>
      <c r="C3" s="70"/>
      <c r="D3" s="63">
        <v>107</v>
      </c>
      <c r="E3" s="131" t="s">
        <v>22</v>
      </c>
      <c r="F3" s="73">
        <v>1</v>
      </c>
      <c r="G3" s="132">
        <v>150</v>
      </c>
      <c r="H3" s="133">
        <v>50</v>
      </c>
      <c r="I3" s="134">
        <f t="shared" ref="I3:I6" si="0">RANK(H3,$H$3:$H$9)</f>
        <v>2</v>
      </c>
      <c r="J3" s="135">
        <v>89</v>
      </c>
      <c r="K3" s="64">
        <f>RANK(J3,$J$3:$J$9)+COUNTIF(J3:$J$3,J3)-1</f>
        <v>1</v>
      </c>
      <c r="L3" s="136">
        <f>(F3+K3)/2</f>
        <v>1</v>
      </c>
      <c r="M3" s="137">
        <f>RANK(L3,$L$3:$L$9,1)+COUNTIF(L3:$L$6,L3)-1</f>
        <v>1</v>
      </c>
      <c r="N3" s="94"/>
      <c r="O3" s="94"/>
      <c r="P3" s="103" t="s">
        <v>18</v>
      </c>
      <c r="Q3" s="104" t="s">
        <v>19</v>
      </c>
      <c r="R3" s="105" t="s">
        <v>20</v>
      </c>
      <c r="S3" s="103" t="s">
        <v>18</v>
      </c>
      <c r="T3" s="104" t="s">
        <v>19</v>
      </c>
      <c r="U3" s="106" t="s">
        <v>20</v>
      </c>
      <c r="V3" s="94"/>
      <c r="W3" s="94"/>
    </row>
    <row r="4" spans="1:27" ht="17.100000000000001" customHeight="1" thickBot="1" x14ac:dyDescent="0.35">
      <c r="A4" s="65" t="s">
        <v>38</v>
      </c>
      <c r="B4" s="80" t="s">
        <v>24</v>
      </c>
      <c r="C4" s="71"/>
      <c r="D4" s="31">
        <v>104</v>
      </c>
      <c r="E4" s="94" t="s">
        <v>22</v>
      </c>
      <c r="F4" s="74">
        <v>2</v>
      </c>
      <c r="G4" s="130">
        <v>262</v>
      </c>
      <c r="H4" s="94">
        <v>29</v>
      </c>
      <c r="I4" s="138">
        <f t="shared" si="0"/>
        <v>4</v>
      </c>
      <c r="J4" s="94">
        <v>88</v>
      </c>
      <c r="K4" s="34">
        <f>RANK(J4,$J$3:$J$9)+COUNTIF(J$3:$J4,J4)-1</f>
        <v>2</v>
      </c>
      <c r="L4" s="109">
        <f>(F4+K4)/2</f>
        <v>2</v>
      </c>
      <c r="M4" s="139">
        <f>RANK(L4,$L$3:$L$9,1)+COUNTIF(L4:$L$6,L4)-1</f>
        <v>2</v>
      </c>
      <c r="N4" s="94"/>
      <c r="O4" s="94"/>
      <c r="P4" s="48">
        <v>50</v>
      </c>
      <c r="Q4" s="110"/>
      <c r="R4" s="111"/>
      <c r="S4" s="49">
        <v>20</v>
      </c>
      <c r="T4" s="112"/>
      <c r="U4" s="113"/>
    </row>
    <row r="5" spans="1:27" ht="17.100000000000001" customHeight="1" thickBot="1" x14ac:dyDescent="0.35">
      <c r="A5" s="65" t="s">
        <v>27</v>
      </c>
      <c r="B5" s="83" t="s">
        <v>21</v>
      </c>
      <c r="C5" s="71"/>
      <c r="D5" s="31">
        <v>103</v>
      </c>
      <c r="E5" s="94" t="s">
        <v>22</v>
      </c>
      <c r="F5" s="74">
        <v>3</v>
      </c>
      <c r="G5" s="130">
        <v>258</v>
      </c>
      <c r="H5" s="94">
        <v>41</v>
      </c>
      <c r="I5" s="138">
        <f t="shared" si="0"/>
        <v>3</v>
      </c>
      <c r="J5" s="94">
        <v>87</v>
      </c>
      <c r="K5" s="34">
        <f>RANK(J5,$J$3:$J$9)+COUNTIF(J$3:$J5,J5)-1</f>
        <v>4</v>
      </c>
      <c r="L5" s="109">
        <f>(F5+K5)/2</f>
        <v>3.5</v>
      </c>
      <c r="M5" s="139">
        <f>RANK(L5,$L$3:$L$9,1)+COUNTIF(L5:$L$6,L5)-1</f>
        <v>4</v>
      </c>
      <c r="N5" s="94"/>
      <c r="O5" s="94"/>
      <c r="V5" s="183" t="s">
        <v>23</v>
      </c>
      <c r="W5" s="184"/>
    </row>
    <row r="6" spans="1:27" x14ac:dyDescent="0.3">
      <c r="A6" s="65" t="s">
        <v>27</v>
      </c>
      <c r="B6" s="80" t="s">
        <v>45</v>
      </c>
      <c r="C6" s="71"/>
      <c r="D6" s="31">
        <v>102</v>
      </c>
      <c r="E6" s="159" t="s">
        <v>22</v>
      </c>
      <c r="F6" s="74">
        <v>4</v>
      </c>
      <c r="G6" s="160">
        <v>390</v>
      </c>
      <c r="H6" s="159">
        <v>91</v>
      </c>
      <c r="I6" s="138">
        <f t="shared" si="0"/>
        <v>1</v>
      </c>
      <c r="J6" s="71">
        <v>88</v>
      </c>
      <c r="K6" s="34">
        <f>RANK(J6,$J$3:$J$9)+COUNTIF(J$3:$J6,J6)-1</f>
        <v>3</v>
      </c>
      <c r="L6" s="109">
        <f>(F6+K6)/2</f>
        <v>3.5</v>
      </c>
      <c r="M6" s="139">
        <f>RANK(L6,$L$3:$L$9,1)+COUNTIF(L$6:$L6,L6)-1</f>
        <v>3</v>
      </c>
      <c r="N6" s="94"/>
      <c r="O6" s="94"/>
      <c r="V6" s="115" t="s">
        <v>25</v>
      </c>
      <c r="W6" s="116" t="s">
        <v>26</v>
      </c>
    </row>
    <row r="7" spans="1:27" ht="15" thickBot="1" x14ac:dyDescent="0.35">
      <c r="A7" s="66"/>
      <c r="B7" s="71"/>
      <c r="C7" s="71"/>
      <c r="D7" s="31"/>
      <c r="E7" s="94"/>
      <c r="F7" s="74"/>
      <c r="G7" s="130"/>
      <c r="H7" s="94"/>
      <c r="I7" s="138"/>
      <c r="J7" s="94"/>
      <c r="K7" s="34"/>
      <c r="L7" s="109"/>
      <c r="M7" s="139"/>
      <c r="N7" s="94"/>
      <c r="O7" s="94"/>
      <c r="V7" s="117">
        <f>Q4+T4</f>
        <v>0</v>
      </c>
      <c r="W7" s="118">
        <f>R4+U4</f>
        <v>0</v>
      </c>
    </row>
    <row r="8" spans="1:27" ht="15" thickTop="1" x14ac:dyDescent="0.3">
      <c r="A8" s="66"/>
      <c r="B8" s="71"/>
      <c r="C8" s="71"/>
      <c r="D8" s="31"/>
      <c r="E8" s="94"/>
      <c r="F8" s="74"/>
      <c r="G8" s="130"/>
      <c r="H8" s="94"/>
      <c r="I8" s="138"/>
      <c r="J8" s="94"/>
      <c r="K8" s="34"/>
      <c r="L8" s="109"/>
      <c r="M8" s="139"/>
      <c r="N8" s="94"/>
      <c r="O8" s="94"/>
      <c r="V8" s="140"/>
      <c r="W8" s="140"/>
    </row>
    <row r="9" spans="1:27" ht="15" thickBot="1" x14ac:dyDescent="0.35">
      <c r="A9" s="67"/>
      <c r="B9" s="72"/>
      <c r="C9" s="72"/>
      <c r="D9" s="68"/>
      <c r="E9" s="141"/>
      <c r="F9" s="75"/>
      <c r="G9" s="142"/>
      <c r="H9" s="141"/>
      <c r="I9" s="143"/>
      <c r="J9" s="141"/>
      <c r="K9" s="69"/>
      <c r="L9" s="144"/>
      <c r="M9" s="145"/>
      <c r="N9" s="94"/>
      <c r="O9" s="94"/>
      <c r="V9" s="140"/>
      <c r="W9" s="140"/>
    </row>
    <row r="10" spans="1:27" x14ac:dyDescent="0.3">
      <c r="A10" s="76"/>
      <c r="B10" s="76"/>
      <c r="C10" s="76"/>
      <c r="D10" s="76"/>
      <c r="E10" s="76"/>
      <c r="F10" s="76"/>
      <c r="G10" s="76"/>
      <c r="H10" s="76"/>
      <c r="I10" s="76"/>
      <c r="J10" s="76"/>
      <c r="K10" s="76"/>
      <c r="L10" s="76"/>
      <c r="M10" s="76"/>
      <c r="N10" s="94"/>
      <c r="O10" s="94"/>
      <c r="V10" s="140"/>
      <c r="W10" s="140"/>
    </row>
    <row r="11" spans="1:27" x14ac:dyDescent="0.3">
      <c r="A11" s="76"/>
      <c r="B11" s="76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94"/>
      <c r="O11" s="94"/>
      <c r="V11" s="140"/>
      <c r="W11" s="140"/>
    </row>
    <row r="12" spans="1:27" x14ac:dyDescent="0.3">
      <c r="B12" s="122" t="s">
        <v>33</v>
      </c>
      <c r="C12" s="122"/>
      <c r="D12" s="122" t="s">
        <v>34</v>
      </c>
      <c r="E12" s="122"/>
      <c r="G12" s="94"/>
      <c r="H12" s="94"/>
      <c r="I12" s="94"/>
      <c r="J12" s="94"/>
      <c r="K12" s="94"/>
      <c r="L12" s="94"/>
      <c r="M12" s="94"/>
      <c r="N12" s="94"/>
      <c r="O12" s="94"/>
    </row>
    <row r="13" spans="1:27" x14ac:dyDescent="0.3">
      <c r="B13" s="122" t="s">
        <v>35</v>
      </c>
      <c r="C13" s="122"/>
      <c r="D13" t="s">
        <v>36</v>
      </c>
      <c r="E13" s="122"/>
      <c r="G13" s="123"/>
      <c r="H13" s="94"/>
      <c r="I13" s="94"/>
      <c r="J13" s="94"/>
      <c r="L13" s="94"/>
      <c r="M13" s="94"/>
      <c r="N13" s="94"/>
      <c r="O13" s="94"/>
    </row>
    <row r="14" spans="1:27" x14ac:dyDescent="0.3">
      <c r="B14" s="1" t="s">
        <v>33</v>
      </c>
      <c r="C14" s="1"/>
      <c r="D14" s="27" t="s">
        <v>34</v>
      </c>
      <c r="E14" s="122"/>
      <c r="G14" s="94"/>
      <c r="H14" s="94"/>
      <c r="I14" s="94"/>
      <c r="J14" s="94"/>
      <c r="K14" s="94"/>
      <c r="L14" s="94"/>
      <c r="M14" s="94"/>
      <c r="N14" s="94"/>
    </row>
    <row r="15" spans="1:27" x14ac:dyDescent="0.3">
      <c r="A15" s="123"/>
      <c r="B15" s="2"/>
      <c r="C15" s="2"/>
      <c r="D15" s="2"/>
      <c r="E15" s="2"/>
      <c r="F15" s="2"/>
      <c r="G15" s="94"/>
      <c r="H15" s="94"/>
      <c r="I15" s="94"/>
      <c r="J15" s="94"/>
      <c r="K15" s="94"/>
      <c r="L15" s="94"/>
      <c r="M15" s="94"/>
      <c r="N15" s="94"/>
    </row>
    <row r="16" spans="1:27" x14ac:dyDescent="0.3">
      <c r="A16" s="122"/>
      <c r="B16" s="122" t="s">
        <v>40</v>
      </c>
      <c r="C16" s="122"/>
      <c r="D16" s="122"/>
      <c r="E16" s="122"/>
      <c r="G16" s="94"/>
      <c r="H16" s="94"/>
      <c r="I16" s="181"/>
      <c r="J16" s="181"/>
      <c r="K16" s="181"/>
      <c r="L16" s="181"/>
      <c r="M16" s="94"/>
      <c r="N16" s="94"/>
      <c r="O16" s="94"/>
      <c r="P16" s="94"/>
      <c r="Q16" s="94"/>
      <c r="R16" s="94"/>
      <c r="S16" s="94"/>
    </row>
    <row r="17" spans="1:19" x14ac:dyDescent="0.3">
      <c r="A17" s="122"/>
      <c r="B17" s="91"/>
      <c r="C17" s="91"/>
      <c r="D17" s="2" t="s">
        <v>47</v>
      </c>
      <c r="E17" s="2"/>
      <c r="F17" s="2"/>
      <c r="G17" s="94"/>
      <c r="H17" s="94"/>
      <c r="I17" s="94"/>
      <c r="J17" s="94"/>
      <c r="K17" s="94"/>
      <c r="L17" s="94"/>
      <c r="M17" s="94"/>
      <c r="N17" s="94"/>
      <c r="O17" s="94"/>
      <c r="P17" s="94"/>
      <c r="Q17" s="94"/>
      <c r="R17" s="94"/>
      <c r="S17" s="94"/>
    </row>
    <row r="18" spans="1:19" ht="14.4" customHeight="1" x14ac:dyDescent="0.3">
      <c r="E18" s="124"/>
      <c r="F18" s="124"/>
      <c r="G18" s="124"/>
      <c r="H18" s="94"/>
      <c r="I18" s="94"/>
      <c r="J18" s="94"/>
      <c r="K18" s="94"/>
      <c r="L18" s="94"/>
      <c r="M18" s="94"/>
      <c r="N18" s="94"/>
      <c r="O18" s="94"/>
      <c r="P18" s="94"/>
      <c r="Q18" s="94"/>
      <c r="R18" s="94"/>
      <c r="S18" s="94"/>
    </row>
    <row r="19" spans="1:19" x14ac:dyDescent="0.3">
      <c r="A19" s="123"/>
      <c r="B19" s="94"/>
      <c r="C19" s="94"/>
      <c r="D19" s="94"/>
      <c r="E19" s="94"/>
      <c r="F19" s="94"/>
      <c r="G19" s="94"/>
      <c r="H19" s="94"/>
      <c r="I19" s="94"/>
      <c r="J19" s="94"/>
      <c r="K19" s="94"/>
      <c r="L19" s="94"/>
      <c r="M19" s="94"/>
      <c r="N19" s="94"/>
    </row>
    <row r="20" spans="1:19" x14ac:dyDescent="0.3">
      <c r="A20" s="123"/>
      <c r="B20" s="94"/>
      <c r="C20" s="94"/>
      <c r="D20" s="94"/>
      <c r="E20" s="94"/>
      <c r="F20" s="94"/>
      <c r="G20" s="94"/>
      <c r="H20" s="94"/>
      <c r="I20" s="94"/>
      <c r="J20" s="94"/>
      <c r="K20" s="94"/>
      <c r="L20" s="94"/>
      <c r="M20" s="94"/>
      <c r="N20" s="94"/>
    </row>
    <row r="21" spans="1:19" x14ac:dyDescent="0.3">
      <c r="B21" s="94"/>
      <c r="C21" s="94"/>
      <c r="D21" s="94"/>
      <c r="E21" s="94"/>
      <c r="F21" s="94"/>
      <c r="G21" s="94"/>
      <c r="H21" s="94"/>
      <c r="I21" s="94"/>
      <c r="J21" s="94"/>
      <c r="K21" s="94"/>
      <c r="L21" s="94"/>
      <c r="M21" s="94"/>
      <c r="N21" s="94"/>
    </row>
    <row r="22" spans="1:19" x14ac:dyDescent="0.3">
      <c r="B22" s="94"/>
      <c r="C22" s="94"/>
      <c r="D22" s="94"/>
      <c r="E22" s="94"/>
      <c r="F22" s="94"/>
      <c r="G22" s="94"/>
      <c r="H22" s="94"/>
      <c r="I22" s="94"/>
      <c r="J22" s="94"/>
      <c r="K22" s="94"/>
      <c r="L22" s="94"/>
      <c r="M22" s="94"/>
      <c r="N22" s="94"/>
    </row>
    <row r="23" spans="1:19" x14ac:dyDescent="0.3">
      <c r="B23" s="94"/>
      <c r="C23" s="94"/>
      <c r="D23" s="94"/>
      <c r="E23" s="94"/>
      <c r="F23" s="94"/>
      <c r="G23" s="94"/>
      <c r="H23" s="94"/>
      <c r="I23" s="94"/>
      <c r="J23" s="94"/>
      <c r="K23" s="94"/>
      <c r="L23" s="94"/>
      <c r="M23" s="94"/>
      <c r="N23" s="94"/>
    </row>
    <row r="24" spans="1:19" x14ac:dyDescent="0.3">
      <c r="B24" s="94"/>
      <c r="C24" s="94"/>
      <c r="D24" s="94"/>
      <c r="E24" s="94"/>
      <c r="F24" s="94"/>
      <c r="G24" s="94"/>
      <c r="H24" s="94"/>
      <c r="I24" s="94"/>
      <c r="J24" s="94"/>
      <c r="K24" s="94"/>
      <c r="L24" s="94"/>
      <c r="M24" s="94"/>
      <c r="N24" s="94"/>
    </row>
    <row r="25" spans="1:19" x14ac:dyDescent="0.3">
      <c r="B25" s="94"/>
      <c r="C25" s="94"/>
      <c r="D25" s="94"/>
      <c r="E25" s="94"/>
      <c r="F25" s="94"/>
      <c r="G25" s="94"/>
      <c r="H25" s="94"/>
      <c r="I25" s="94"/>
      <c r="J25" s="94"/>
      <c r="K25" s="94"/>
      <c r="L25" s="94"/>
      <c r="M25" s="94"/>
      <c r="N25" s="94"/>
      <c r="O25" s="94"/>
    </row>
    <row r="26" spans="1:19" x14ac:dyDescent="0.3">
      <c r="B26" s="94"/>
      <c r="C26" s="94"/>
      <c r="D26" s="94"/>
      <c r="E26" s="94"/>
      <c r="F26" s="94"/>
      <c r="G26" s="94"/>
      <c r="H26" s="94"/>
      <c r="I26" s="94"/>
      <c r="J26" s="94"/>
      <c r="K26" s="94"/>
      <c r="L26" s="94"/>
      <c r="M26" s="94"/>
      <c r="N26" s="94"/>
      <c r="O26" s="94"/>
    </row>
    <row r="27" spans="1:19" x14ac:dyDescent="0.3">
      <c r="B27" s="94"/>
      <c r="C27" s="94"/>
      <c r="D27" s="94"/>
      <c r="E27" s="94"/>
      <c r="F27" s="94"/>
      <c r="G27" s="94"/>
      <c r="H27" s="94"/>
      <c r="I27" s="94"/>
      <c r="J27" s="94"/>
      <c r="K27" s="94"/>
      <c r="L27" s="94"/>
      <c r="M27" s="94"/>
      <c r="N27" s="94"/>
      <c r="O27" s="94"/>
    </row>
    <row r="28" spans="1:19" x14ac:dyDescent="0.3">
      <c r="B28" s="94"/>
      <c r="C28" s="94"/>
      <c r="D28" s="94"/>
      <c r="E28" s="94"/>
      <c r="F28" s="94"/>
      <c r="G28" s="94"/>
      <c r="H28" s="94"/>
      <c r="I28" s="94"/>
      <c r="J28" s="94"/>
      <c r="K28" s="94"/>
      <c r="L28" s="94"/>
      <c r="M28" s="94"/>
      <c r="N28" s="94"/>
      <c r="O28" s="94"/>
    </row>
    <row r="29" spans="1:19" x14ac:dyDescent="0.3">
      <c r="B29" s="94"/>
      <c r="C29" s="94"/>
      <c r="D29" s="94"/>
      <c r="E29" s="94"/>
      <c r="F29" s="94"/>
      <c r="G29" s="94"/>
      <c r="H29" s="94"/>
      <c r="I29" s="94"/>
      <c r="J29" s="94"/>
      <c r="K29" s="94"/>
      <c r="L29" s="94"/>
      <c r="M29" s="94"/>
      <c r="N29" s="94"/>
      <c r="O29" s="94"/>
    </row>
    <row r="30" spans="1:19" x14ac:dyDescent="0.3">
      <c r="B30" s="94"/>
      <c r="C30" s="94"/>
      <c r="D30" s="94"/>
      <c r="E30" s="94"/>
      <c r="F30" s="94"/>
      <c r="G30" s="94"/>
      <c r="H30" s="94"/>
      <c r="I30" s="94"/>
      <c r="J30" s="94"/>
      <c r="K30" s="94"/>
      <c r="L30" s="94"/>
      <c r="M30" s="94"/>
      <c r="N30" s="94"/>
      <c r="O30" s="94"/>
    </row>
    <row r="31" spans="1:19" x14ac:dyDescent="0.3">
      <c r="B31" s="94"/>
      <c r="C31" s="94"/>
      <c r="D31" s="94"/>
      <c r="E31" s="94"/>
      <c r="F31" s="94"/>
      <c r="G31" s="94"/>
      <c r="H31" s="94"/>
      <c r="I31" s="94"/>
      <c r="J31" s="94"/>
      <c r="K31" s="94"/>
      <c r="L31" s="94"/>
      <c r="M31" s="94"/>
      <c r="N31" s="94"/>
      <c r="O31" s="94"/>
    </row>
    <row r="32" spans="1:19" x14ac:dyDescent="0.3">
      <c r="B32" s="94"/>
      <c r="C32" s="94"/>
      <c r="D32" s="94"/>
      <c r="E32" s="94"/>
      <c r="F32" s="94"/>
      <c r="G32" s="94"/>
      <c r="H32" s="94"/>
      <c r="I32" s="94"/>
      <c r="J32" s="94"/>
      <c r="K32" s="94"/>
      <c r="L32" s="94"/>
      <c r="M32" s="94"/>
      <c r="N32" s="94"/>
      <c r="O32" s="94"/>
    </row>
    <row r="33" spans="2:15" x14ac:dyDescent="0.3">
      <c r="B33" s="94"/>
      <c r="C33" s="94"/>
      <c r="D33" s="94"/>
      <c r="E33" s="94"/>
      <c r="F33" s="94"/>
      <c r="G33" s="94"/>
      <c r="H33" s="94"/>
      <c r="I33" s="94"/>
      <c r="J33" s="94"/>
      <c r="K33" s="94"/>
      <c r="L33" s="94"/>
      <c r="M33" s="94"/>
      <c r="N33" s="94"/>
      <c r="O33" s="94"/>
    </row>
    <row r="34" spans="2:15" x14ac:dyDescent="0.3">
      <c r="B34" s="94"/>
      <c r="C34" s="94"/>
      <c r="D34" s="94"/>
      <c r="E34" s="94"/>
      <c r="F34" s="94"/>
      <c r="G34" s="94"/>
      <c r="H34" s="94"/>
      <c r="I34" s="94"/>
      <c r="J34" s="94"/>
      <c r="K34" s="94"/>
      <c r="L34" s="94"/>
      <c r="M34" s="94"/>
      <c r="N34" s="94"/>
      <c r="O34" s="94"/>
    </row>
    <row r="35" spans="2:15" x14ac:dyDescent="0.3">
      <c r="B35" s="94"/>
      <c r="C35" s="94"/>
      <c r="D35" s="94"/>
      <c r="E35" s="94"/>
      <c r="F35" s="94"/>
      <c r="G35" s="94"/>
      <c r="H35" s="94"/>
      <c r="I35" s="94"/>
      <c r="J35" s="94"/>
      <c r="K35" s="94"/>
      <c r="L35" s="94"/>
      <c r="M35" s="94"/>
      <c r="N35" s="94"/>
      <c r="O35" s="94"/>
    </row>
    <row r="36" spans="2:15" x14ac:dyDescent="0.3">
      <c r="B36" s="94"/>
      <c r="C36" s="94"/>
      <c r="D36" s="94"/>
      <c r="E36" s="94"/>
      <c r="F36" s="94"/>
      <c r="G36" s="94"/>
      <c r="H36" s="94"/>
      <c r="I36" s="94"/>
      <c r="J36" s="94"/>
      <c r="K36" s="94"/>
      <c r="L36" s="94"/>
      <c r="M36" s="94"/>
      <c r="N36" s="94"/>
      <c r="O36" s="94"/>
    </row>
    <row r="37" spans="2:15" x14ac:dyDescent="0.3">
      <c r="B37" s="94"/>
      <c r="C37" s="94"/>
      <c r="D37" s="94"/>
      <c r="E37" s="94"/>
      <c r="F37" s="94"/>
      <c r="G37" s="94"/>
      <c r="H37" s="94"/>
      <c r="I37" s="94"/>
      <c r="J37" s="94"/>
      <c r="K37" s="94"/>
      <c r="L37" s="94"/>
      <c r="M37" s="94"/>
      <c r="N37" s="94"/>
      <c r="O37" s="94"/>
    </row>
    <row r="38" spans="2:15" x14ac:dyDescent="0.3">
      <c r="B38" s="94"/>
      <c r="C38" s="94"/>
      <c r="D38" s="94"/>
      <c r="E38" s="94"/>
      <c r="F38" s="94"/>
      <c r="G38" s="94"/>
      <c r="H38" s="94"/>
      <c r="I38" s="94"/>
      <c r="J38" s="94"/>
      <c r="K38" s="94"/>
      <c r="L38" s="94"/>
      <c r="M38" s="94"/>
      <c r="N38" s="94"/>
      <c r="O38" s="94"/>
    </row>
    <row r="39" spans="2:15" x14ac:dyDescent="0.3">
      <c r="B39" s="94"/>
      <c r="C39" s="94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</row>
    <row r="40" spans="2:15" x14ac:dyDescent="0.3">
      <c r="B40" s="94"/>
      <c r="C40" s="94"/>
      <c r="D40" s="94"/>
      <c r="E40" s="94"/>
      <c r="F40" s="94"/>
      <c r="G40" s="94"/>
      <c r="H40" s="94"/>
      <c r="I40" s="94"/>
      <c r="J40" s="94"/>
      <c r="K40" s="94"/>
      <c r="L40" s="94"/>
      <c r="M40" s="94"/>
      <c r="N40" s="94"/>
      <c r="O40" s="94"/>
    </row>
    <row r="41" spans="2:15" x14ac:dyDescent="0.3">
      <c r="B41" s="94"/>
      <c r="C41" s="94"/>
      <c r="D41" s="94"/>
      <c r="E41" s="94"/>
      <c r="F41" s="94"/>
      <c r="G41" s="94"/>
      <c r="H41" s="94"/>
      <c r="I41" s="94"/>
      <c r="J41" s="94"/>
      <c r="K41" s="94"/>
      <c r="L41" s="94"/>
      <c r="M41" s="94"/>
      <c r="N41" s="94"/>
      <c r="O41" s="94"/>
    </row>
    <row r="42" spans="2:15" x14ac:dyDescent="0.3">
      <c r="B42" s="94"/>
      <c r="C42" s="94"/>
      <c r="D42" s="94"/>
      <c r="E42" s="94"/>
      <c r="F42" s="94"/>
      <c r="G42" s="94"/>
      <c r="H42" s="94"/>
      <c r="I42" s="94"/>
      <c r="J42" s="94"/>
      <c r="K42" s="94"/>
      <c r="L42" s="94"/>
      <c r="M42" s="94"/>
      <c r="N42" s="94"/>
      <c r="O42" s="94"/>
    </row>
    <row r="43" spans="2:15" x14ac:dyDescent="0.3">
      <c r="G43" s="123"/>
      <c r="M43" s="94"/>
    </row>
    <row r="44" spans="2:15" x14ac:dyDescent="0.3">
      <c r="G44" s="123"/>
      <c r="M44" s="94"/>
    </row>
    <row r="45" spans="2:15" x14ac:dyDescent="0.3">
      <c r="G45" s="123"/>
      <c r="M45" s="94"/>
    </row>
    <row r="46" spans="2:15" x14ac:dyDescent="0.3">
      <c r="G46" s="123"/>
      <c r="M46" s="94"/>
    </row>
    <row r="47" spans="2:15" x14ac:dyDescent="0.3">
      <c r="G47" s="123"/>
      <c r="M47" s="94"/>
    </row>
    <row r="48" spans="2:15" x14ac:dyDescent="0.3">
      <c r="G48" s="123"/>
      <c r="M48" s="94"/>
    </row>
  </sheetData>
  <mergeCells count="14">
    <mergeCell ref="G1:G2"/>
    <mergeCell ref="A1:A2"/>
    <mergeCell ref="B1:B2"/>
    <mergeCell ref="D1:D2"/>
    <mergeCell ref="E1:E2"/>
    <mergeCell ref="F1:F2"/>
    <mergeCell ref="V5:W5"/>
    <mergeCell ref="I16:L16"/>
    <mergeCell ref="H1:H2"/>
    <mergeCell ref="J1:J2"/>
    <mergeCell ref="K1:K2"/>
    <mergeCell ref="L1:L2"/>
    <mergeCell ref="M1:M2"/>
    <mergeCell ref="P1:U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B1414-C994-493D-BE45-A079833E8526}">
  <dimension ref="A1:AA48"/>
  <sheetViews>
    <sheetView workbookViewId="0">
      <selection activeCell="J7" sqref="J7"/>
    </sheetView>
  </sheetViews>
  <sheetFormatPr defaultColWidth="9.109375" defaultRowHeight="14.4" x14ac:dyDescent="0.3"/>
  <cols>
    <col min="1" max="3" width="9.109375" style="28"/>
    <col min="4" max="4" width="11.109375" style="28" customWidth="1"/>
    <col min="5" max="5" width="15.44140625" style="28" customWidth="1"/>
    <col min="6" max="6" width="12" style="28" customWidth="1"/>
    <col min="7" max="7" width="17.109375" style="39" customWidth="1"/>
    <col min="8" max="8" width="13.33203125" style="28" customWidth="1"/>
    <col min="9" max="9" width="11.44140625" style="28" customWidth="1"/>
    <col min="10" max="10" width="17.33203125" style="28" customWidth="1"/>
    <col min="11" max="11" width="11.6640625" style="28" customWidth="1"/>
    <col min="12" max="12" width="16.109375" style="28" customWidth="1"/>
    <col min="13" max="13" width="13.5546875" style="28" customWidth="1"/>
    <col min="14" max="14" width="9.109375" style="28"/>
    <col min="15" max="15" width="9.109375" style="28" customWidth="1"/>
    <col min="16" max="21" width="9.109375" style="28"/>
    <col min="22" max="22" width="15.109375" style="28" customWidth="1"/>
    <col min="23" max="23" width="13.6640625" style="28" customWidth="1"/>
    <col min="24" max="26" width="9.109375" style="28"/>
    <col min="27" max="27" width="9.5546875" style="28" customWidth="1"/>
    <col min="28" max="16384" width="9.109375" style="28"/>
  </cols>
  <sheetData>
    <row r="1" spans="1:27" ht="45" customHeight="1" thickBot="1" x14ac:dyDescent="0.4">
      <c r="A1" s="185" t="s">
        <v>0</v>
      </c>
      <c r="B1" s="187" t="s">
        <v>1</v>
      </c>
      <c r="C1" s="92" t="s">
        <v>64</v>
      </c>
      <c r="D1" s="189" t="s">
        <v>2</v>
      </c>
      <c r="E1" s="191" t="s">
        <v>3</v>
      </c>
      <c r="F1" s="193" t="s">
        <v>4</v>
      </c>
      <c r="G1" s="179" t="s">
        <v>5</v>
      </c>
      <c r="H1" s="195" t="s">
        <v>6</v>
      </c>
      <c r="I1" s="92" t="s">
        <v>7</v>
      </c>
      <c r="J1" s="195" t="s">
        <v>8</v>
      </c>
      <c r="K1" s="196" t="s">
        <v>9</v>
      </c>
      <c r="L1" s="187" t="s">
        <v>10</v>
      </c>
      <c r="M1" s="187" t="s">
        <v>11</v>
      </c>
      <c r="N1" s="94"/>
      <c r="O1" s="94"/>
      <c r="P1" s="182" t="s">
        <v>12</v>
      </c>
      <c r="Q1" s="182"/>
      <c r="R1" s="182"/>
      <c r="S1" s="182"/>
      <c r="T1" s="182"/>
      <c r="U1" s="182"/>
      <c r="AA1" s="29">
        <v>45677</v>
      </c>
    </row>
    <row r="2" spans="1:27" ht="17.100000000000001" customHeight="1" thickBot="1" x14ac:dyDescent="0.35">
      <c r="A2" s="199"/>
      <c r="B2" s="200"/>
      <c r="C2" s="129"/>
      <c r="D2" s="201"/>
      <c r="E2" s="202"/>
      <c r="F2" s="203"/>
      <c r="G2" s="198"/>
      <c r="H2" s="198"/>
      <c r="I2" s="129"/>
      <c r="J2" s="198"/>
      <c r="K2" s="204"/>
      <c r="L2" s="200"/>
      <c r="M2" s="200"/>
      <c r="N2" s="94"/>
      <c r="O2" s="94"/>
      <c r="P2" s="96" t="s">
        <v>13</v>
      </c>
      <c r="Q2" s="97" t="s">
        <v>13</v>
      </c>
      <c r="R2" s="98" t="s">
        <v>13</v>
      </c>
      <c r="S2" s="96" t="s">
        <v>14</v>
      </c>
      <c r="T2" s="97" t="s">
        <v>14</v>
      </c>
      <c r="U2" s="98" t="s">
        <v>14</v>
      </c>
      <c r="V2" s="94"/>
      <c r="W2" s="94"/>
    </row>
    <row r="3" spans="1:27" ht="17.100000000000001" customHeight="1" thickBot="1" x14ac:dyDescent="0.35">
      <c r="A3" s="62" t="s">
        <v>27</v>
      </c>
      <c r="B3" s="79" t="s">
        <v>16</v>
      </c>
      <c r="C3" s="70"/>
      <c r="D3" s="63">
        <v>107</v>
      </c>
      <c r="E3" s="131" t="s">
        <v>22</v>
      </c>
      <c r="F3" s="73">
        <v>1</v>
      </c>
      <c r="G3" s="132">
        <v>142</v>
      </c>
      <c r="H3" s="133">
        <v>38</v>
      </c>
      <c r="I3" s="134">
        <f t="shared" ref="I3:I6" si="0">RANK(H3,$H$3:$H$9)</f>
        <v>3</v>
      </c>
      <c r="J3" s="135">
        <v>87</v>
      </c>
      <c r="K3" s="64">
        <f>RANK(J3,$J$3:$J$9)+COUNTIF(J3:$J$3,J3)-1</f>
        <v>2</v>
      </c>
      <c r="L3" s="136">
        <f>(F3+K3)/2</f>
        <v>1.5</v>
      </c>
      <c r="M3" s="137">
        <f>RANK(L3,$L$3:$L$9,1)+COUNTIF(L3:$L$6,L3)-1</f>
        <v>2</v>
      </c>
      <c r="N3" s="94"/>
      <c r="O3" s="94"/>
      <c r="P3" s="103" t="s">
        <v>18</v>
      </c>
      <c r="Q3" s="104" t="s">
        <v>19</v>
      </c>
      <c r="R3" s="105" t="s">
        <v>20</v>
      </c>
      <c r="S3" s="103" t="s">
        <v>18</v>
      </c>
      <c r="T3" s="104" t="s">
        <v>19</v>
      </c>
      <c r="U3" s="106" t="s">
        <v>20</v>
      </c>
      <c r="V3" s="94"/>
      <c r="W3" s="94"/>
    </row>
    <row r="4" spans="1:27" ht="17.100000000000001" customHeight="1" thickBot="1" x14ac:dyDescent="0.35">
      <c r="A4" s="65" t="s">
        <v>38</v>
      </c>
      <c r="B4" s="83" t="s">
        <v>24</v>
      </c>
      <c r="C4" s="71"/>
      <c r="D4" s="31">
        <v>104</v>
      </c>
      <c r="E4" s="94" t="s">
        <v>22</v>
      </c>
      <c r="F4" s="74">
        <v>2</v>
      </c>
      <c r="G4" s="130">
        <v>200</v>
      </c>
      <c r="H4" s="94">
        <v>76</v>
      </c>
      <c r="I4" s="138">
        <f t="shared" si="0"/>
        <v>1</v>
      </c>
      <c r="J4" s="94">
        <v>88</v>
      </c>
      <c r="K4" s="34">
        <f>RANK(J4,$J$3:$J$9)+COUNTIF(J$3:$J4,J4)-1</f>
        <v>1</v>
      </c>
      <c r="L4" s="109">
        <f>(F4+K4)/2</f>
        <v>1.5</v>
      </c>
      <c r="M4" s="139">
        <f>RANK(L4,$L$3:$L$9,1)+COUNTIF(L4:$L$6,L4)-1</f>
        <v>1</v>
      </c>
      <c r="N4" s="94"/>
      <c r="O4" s="94"/>
      <c r="P4" s="48">
        <v>50</v>
      </c>
      <c r="Q4" s="110"/>
      <c r="R4" s="111"/>
      <c r="S4" s="49">
        <v>20</v>
      </c>
      <c r="T4" s="112"/>
      <c r="U4" s="113"/>
    </row>
    <row r="5" spans="1:27" ht="17.100000000000001" customHeight="1" thickBot="1" x14ac:dyDescent="0.35">
      <c r="A5" s="65" t="s">
        <v>15</v>
      </c>
      <c r="B5" s="80" t="s">
        <v>21</v>
      </c>
      <c r="C5" s="71"/>
      <c r="D5" s="31">
        <v>103</v>
      </c>
      <c r="E5" s="94" t="s">
        <v>22</v>
      </c>
      <c r="F5" s="74">
        <v>3</v>
      </c>
      <c r="G5" s="130">
        <v>156</v>
      </c>
      <c r="H5" s="94">
        <v>38</v>
      </c>
      <c r="I5" s="138">
        <f t="shared" si="0"/>
        <v>3</v>
      </c>
      <c r="J5" s="94">
        <v>87</v>
      </c>
      <c r="K5" s="34">
        <f>RANK(J5,$J$3:$J$9)+COUNTIF(J$3:$J5,J5)-1</f>
        <v>3</v>
      </c>
      <c r="L5" s="109">
        <f>(F5+K5)/2</f>
        <v>3</v>
      </c>
      <c r="M5" s="139">
        <f>RANK(L5,$L$3:$L$9,1)+COUNTIF(L5:$L$6,L5)-1</f>
        <v>3</v>
      </c>
      <c r="N5" s="94"/>
      <c r="O5" s="94"/>
      <c r="V5" s="183" t="s">
        <v>23</v>
      </c>
      <c r="W5" s="184"/>
    </row>
    <row r="6" spans="1:27" x14ac:dyDescent="0.3">
      <c r="A6" s="65" t="s">
        <v>27</v>
      </c>
      <c r="B6" s="83" t="s">
        <v>45</v>
      </c>
      <c r="C6" s="71"/>
      <c r="D6" s="31">
        <v>102</v>
      </c>
      <c r="E6" s="159" t="s">
        <v>22</v>
      </c>
      <c r="F6" s="74">
        <v>4</v>
      </c>
      <c r="G6" s="160">
        <v>192</v>
      </c>
      <c r="H6" s="159">
        <v>45</v>
      </c>
      <c r="I6" s="138">
        <f t="shared" si="0"/>
        <v>2</v>
      </c>
      <c r="J6" s="71">
        <v>87</v>
      </c>
      <c r="K6" s="34">
        <f>RANK(J6,$J$3:$J$9)+COUNTIF(J$3:$J6,J6)-1</f>
        <v>4</v>
      </c>
      <c r="L6" s="109">
        <f>(F6+K6)/2</f>
        <v>4</v>
      </c>
      <c r="M6" s="139">
        <f>RANK(L6,$L$3:$L$9,1)+COUNTIF(L$6:$L6,L6)-1</f>
        <v>4</v>
      </c>
      <c r="N6" s="94"/>
      <c r="O6" s="94"/>
      <c r="V6" s="115" t="s">
        <v>25</v>
      </c>
      <c r="W6" s="116" t="s">
        <v>26</v>
      </c>
    </row>
    <row r="7" spans="1:27" ht="15" thickBot="1" x14ac:dyDescent="0.35">
      <c r="A7" s="66"/>
      <c r="B7" s="71"/>
      <c r="C7" s="71"/>
      <c r="D7" s="31"/>
      <c r="E7" s="94"/>
      <c r="F7" s="74"/>
      <c r="G7" s="130"/>
      <c r="H7" s="94"/>
      <c r="I7" s="138"/>
      <c r="J7" s="94"/>
      <c r="K7" s="34"/>
      <c r="L7" s="109"/>
      <c r="M7" s="139"/>
      <c r="N7" s="94"/>
      <c r="O7" s="94"/>
      <c r="V7" s="117">
        <f>Q4+T4</f>
        <v>0</v>
      </c>
      <c r="W7" s="118">
        <f>R4+U4</f>
        <v>0</v>
      </c>
    </row>
    <row r="8" spans="1:27" ht="15" thickTop="1" x14ac:dyDescent="0.3">
      <c r="A8" s="66"/>
      <c r="B8" s="71"/>
      <c r="C8" s="71"/>
      <c r="D8" s="31"/>
      <c r="E8" s="94"/>
      <c r="F8" s="74"/>
      <c r="G8" s="130"/>
      <c r="H8" s="94"/>
      <c r="I8" s="138"/>
      <c r="J8" s="94"/>
      <c r="K8" s="34"/>
      <c r="L8" s="109"/>
      <c r="M8" s="139"/>
      <c r="N8" s="94"/>
      <c r="O8" s="94"/>
      <c r="V8" s="140"/>
      <c r="W8" s="140"/>
    </row>
    <row r="9" spans="1:27" ht="15" thickBot="1" x14ac:dyDescent="0.35">
      <c r="A9" s="67"/>
      <c r="B9" s="72"/>
      <c r="C9" s="72"/>
      <c r="D9" s="68"/>
      <c r="E9" s="141"/>
      <c r="F9" s="75"/>
      <c r="G9" s="142"/>
      <c r="H9" s="141"/>
      <c r="I9" s="143"/>
      <c r="J9" s="141"/>
      <c r="K9" s="69"/>
      <c r="L9" s="144"/>
      <c r="M9" s="145"/>
      <c r="N9" s="94"/>
      <c r="O9" s="94"/>
      <c r="V9" s="140"/>
      <c r="W9" s="140"/>
    </row>
    <row r="10" spans="1:27" x14ac:dyDescent="0.3">
      <c r="A10" s="76"/>
      <c r="B10" s="76"/>
      <c r="C10" s="76"/>
      <c r="D10" s="76"/>
      <c r="E10" s="76"/>
      <c r="F10" s="76"/>
      <c r="G10" s="76"/>
      <c r="H10" s="76"/>
      <c r="I10" s="76"/>
      <c r="J10" s="76"/>
      <c r="K10" s="76"/>
      <c r="L10" s="76"/>
      <c r="M10" s="76"/>
      <c r="N10" s="94"/>
      <c r="O10" s="94"/>
      <c r="V10" s="140"/>
      <c r="W10" s="140"/>
    </row>
    <row r="11" spans="1:27" x14ac:dyDescent="0.3">
      <c r="A11" s="76"/>
      <c r="B11" s="76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94"/>
      <c r="O11" s="94"/>
      <c r="V11" s="140"/>
      <c r="W11" s="140"/>
    </row>
    <row r="12" spans="1:27" x14ac:dyDescent="0.3">
      <c r="B12" s="122" t="s">
        <v>33</v>
      </c>
      <c r="C12" s="122"/>
      <c r="D12" s="122" t="s">
        <v>34</v>
      </c>
      <c r="E12" s="122"/>
      <c r="G12" s="94"/>
      <c r="H12" s="94"/>
      <c r="I12" s="94"/>
      <c r="J12" s="94"/>
      <c r="K12" s="94"/>
      <c r="L12" s="94"/>
      <c r="M12" s="94"/>
      <c r="N12" s="94"/>
      <c r="O12" s="94"/>
    </row>
    <row r="13" spans="1:27" x14ac:dyDescent="0.3">
      <c r="B13" s="122" t="s">
        <v>35</v>
      </c>
      <c r="C13" s="122"/>
      <c r="D13" t="s">
        <v>36</v>
      </c>
      <c r="E13" s="122"/>
      <c r="G13" s="123"/>
      <c r="H13" s="94"/>
      <c r="I13" s="94"/>
      <c r="J13" s="94"/>
      <c r="L13" s="94"/>
      <c r="M13" s="94"/>
      <c r="N13" s="94"/>
      <c r="O13" s="94"/>
    </row>
    <row r="14" spans="1:27" x14ac:dyDescent="0.3">
      <c r="B14" s="1" t="s">
        <v>33</v>
      </c>
      <c r="C14" s="1"/>
      <c r="D14" s="27" t="s">
        <v>34</v>
      </c>
      <c r="E14" s="122"/>
      <c r="G14" s="94"/>
      <c r="H14" s="94"/>
      <c r="I14" s="94"/>
      <c r="J14" s="94"/>
      <c r="K14" s="94"/>
      <c r="L14" s="94"/>
      <c r="M14" s="94"/>
      <c r="N14" s="94"/>
    </row>
    <row r="15" spans="1:27" x14ac:dyDescent="0.3">
      <c r="A15" s="123"/>
      <c r="B15" s="2"/>
      <c r="C15" s="2"/>
      <c r="D15" s="2"/>
      <c r="E15" s="2"/>
      <c r="F15" s="2"/>
      <c r="G15" s="94"/>
      <c r="H15" s="94"/>
      <c r="I15" s="94"/>
      <c r="J15" s="94"/>
      <c r="K15" s="94"/>
      <c r="L15" s="94"/>
      <c r="M15" s="94"/>
      <c r="N15" s="94"/>
    </row>
    <row r="16" spans="1:27" x14ac:dyDescent="0.3">
      <c r="A16" s="122"/>
      <c r="B16" s="122" t="s">
        <v>40</v>
      </c>
      <c r="C16" s="122"/>
      <c r="D16" s="122"/>
      <c r="E16" s="122"/>
      <c r="G16" s="94"/>
      <c r="H16" s="94"/>
      <c r="I16" s="181"/>
      <c r="J16" s="181"/>
      <c r="K16" s="181"/>
      <c r="L16" s="181"/>
      <c r="M16" s="94"/>
      <c r="N16" s="94"/>
      <c r="O16" s="94"/>
      <c r="P16" s="94"/>
      <c r="Q16" s="94"/>
      <c r="R16" s="94"/>
      <c r="S16" s="94"/>
    </row>
    <row r="17" spans="1:19" x14ac:dyDescent="0.3">
      <c r="A17" s="122"/>
      <c r="B17" s="91"/>
      <c r="C17" s="91"/>
      <c r="D17" s="2" t="s">
        <v>47</v>
      </c>
      <c r="E17" s="2"/>
      <c r="F17" s="2"/>
      <c r="G17" s="94"/>
      <c r="H17" s="94"/>
      <c r="I17" s="94"/>
      <c r="J17" s="94"/>
      <c r="K17" s="94"/>
      <c r="L17" s="94"/>
      <c r="M17" s="94"/>
      <c r="N17" s="94"/>
      <c r="O17" s="94"/>
      <c r="P17" s="94"/>
      <c r="Q17" s="94"/>
      <c r="R17" s="94"/>
      <c r="S17" s="94"/>
    </row>
    <row r="18" spans="1:19" ht="14.4" customHeight="1" x14ac:dyDescent="0.3">
      <c r="E18" s="124"/>
      <c r="F18" s="124"/>
      <c r="G18" s="124"/>
      <c r="H18" s="94"/>
      <c r="I18" s="94"/>
      <c r="J18" s="94"/>
      <c r="K18" s="94"/>
      <c r="L18" s="94"/>
      <c r="M18" s="94"/>
      <c r="N18" s="94"/>
      <c r="O18" s="94"/>
      <c r="P18" s="94"/>
      <c r="Q18" s="94"/>
      <c r="R18" s="94"/>
      <c r="S18" s="94"/>
    </row>
    <row r="19" spans="1:19" x14ac:dyDescent="0.3">
      <c r="A19" s="123"/>
      <c r="B19" s="94"/>
      <c r="C19" s="94"/>
      <c r="D19" s="94"/>
      <c r="E19" s="94"/>
      <c r="F19" s="94"/>
      <c r="G19" s="94"/>
      <c r="H19" s="94"/>
      <c r="I19" s="94"/>
      <c r="J19" s="94"/>
      <c r="K19" s="94"/>
      <c r="L19" s="94"/>
      <c r="M19" s="94"/>
      <c r="N19" s="94"/>
    </row>
    <row r="20" spans="1:19" x14ac:dyDescent="0.3">
      <c r="A20" s="123"/>
      <c r="B20" s="94"/>
      <c r="C20" s="94"/>
      <c r="D20" s="94"/>
      <c r="E20" s="94"/>
      <c r="F20" s="94"/>
      <c r="G20" s="94"/>
      <c r="H20" s="94"/>
      <c r="I20" s="94"/>
      <c r="J20" s="94"/>
      <c r="K20" s="94"/>
      <c r="L20" s="94"/>
      <c r="M20" s="94"/>
      <c r="N20" s="94"/>
    </row>
    <row r="21" spans="1:19" x14ac:dyDescent="0.3">
      <c r="B21" s="94"/>
      <c r="C21" s="94"/>
      <c r="D21" s="94"/>
      <c r="E21" s="94"/>
      <c r="F21" s="94"/>
      <c r="G21" s="94"/>
      <c r="H21" s="94"/>
      <c r="I21" s="94"/>
      <c r="J21" s="94"/>
      <c r="K21" s="94"/>
      <c r="L21" s="94"/>
      <c r="M21" s="94"/>
      <c r="N21" s="94"/>
    </row>
    <row r="22" spans="1:19" x14ac:dyDescent="0.3">
      <c r="B22" s="94"/>
      <c r="C22" s="94"/>
      <c r="D22" s="94"/>
      <c r="E22" s="94"/>
      <c r="F22" s="94"/>
      <c r="G22" s="94"/>
      <c r="H22" s="94"/>
      <c r="I22" s="94"/>
      <c r="J22" s="94"/>
      <c r="K22" s="94"/>
      <c r="L22" s="94"/>
      <c r="M22" s="94"/>
      <c r="N22" s="94"/>
    </row>
    <row r="23" spans="1:19" x14ac:dyDescent="0.3">
      <c r="B23" s="94"/>
      <c r="C23" s="94"/>
      <c r="D23" s="94"/>
      <c r="E23" s="94"/>
      <c r="F23" s="94"/>
      <c r="G23" s="94"/>
      <c r="H23" s="94"/>
      <c r="I23" s="94"/>
      <c r="J23" s="94"/>
      <c r="K23" s="94"/>
      <c r="L23" s="94"/>
      <c r="M23" s="94"/>
      <c r="N23" s="94"/>
    </row>
    <row r="24" spans="1:19" x14ac:dyDescent="0.3">
      <c r="B24" s="94"/>
      <c r="C24" s="94"/>
      <c r="D24" s="94"/>
      <c r="E24" s="94"/>
      <c r="F24" s="94"/>
      <c r="G24" s="94"/>
      <c r="H24" s="94"/>
      <c r="I24" s="94"/>
      <c r="J24" s="94"/>
      <c r="K24" s="94"/>
      <c r="L24" s="94"/>
      <c r="M24" s="94"/>
      <c r="N24" s="94"/>
    </row>
    <row r="25" spans="1:19" x14ac:dyDescent="0.3">
      <c r="B25" s="94"/>
      <c r="C25" s="94"/>
      <c r="D25" s="94"/>
      <c r="E25" s="94"/>
      <c r="F25" s="94"/>
      <c r="G25" s="94"/>
      <c r="H25" s="94"/>
      <c r="I25" s="94"/>
      <c r="J25" s="94"/>
      <c r="K25" s="94"/>
      <c r="L25" s="94"/>
      <c r="M25" s="94"/>
      <c r="N25" s="94"/>
      <c r="O25" s="94"/>
    </row>
    <row r="26" spans="1:19" x14ac:dyDescent="0.3">
      <c r="B26" s="94"/>
      <c r="C26" s="94"/>
      <c r="D26" s="94"/>
      <c r="E26" s="94"/>
      <c r="F26" s="94"/>
      <c r="G26" s="94"/>
      <c r="H26" s="94"/>
      <c r="I26" s="94"/>
      <c r="J26" s="94"/>
      <c r="K26" s="94"/>
      <c r="L26" s="94"/>
      <c r="M26" s="94"/>
      <c r="N26" s="94"/>
      <c r="O26" s="94"/>
    </row>
    <row r="27" spans="1:19" x14ac:dyDescent="0.3">
      <c r="B27" s="94"/>
      <c r="C27" s="94"/>
      <c r="D27" s="94"/>
      <c r="E27" s="94"/>
      <c r="F27" s="94"/>
      <c r="G27" s="94"/>
      <c r="H27" s="94"/>
      <c r="I27" s="94"/>
      <c r="J27" s="94"/>
      <c r="K27" s="94"/>
      <c r="L27" s="94"/>
      <c r="M27" s="94"/>
      <c r="N27" s="94"/>
      <c r="O27" s="94"/>
    </row>
    <row r="28" spans="1:19" x14ac:dyDescent="0.3">
      <c r="B28" s="94"/>
      <c r="C28" s="94"/>
      <c r="D28" s="94"/>
      <c r="E28" s="94"/>
      <c r="F28" s="94"/>
      <c r="G28" s="94"/>
      <c r="H28" s="94"/>
      <c r="I28" s="94"/>
      <c r="J28" s="94"/>
      <c r="K28" s="94"/>
      <c r="L28" s="94"/>
      <c r="M28" s="94"/>
      <c r="N28" s="94"/>
      <c r="O28" s="94"/>
    </row>
    <row r="29" spans="1:19" x14ac:dyDescent="0.3">
      <c r="B29" s="94"/>
      <c r="C29" s="94"/>
      <c r="D29" s="94"/>
      <c r="E29" s="94"/>
      <c r="F29" s="94"/>
      <c r="G29" s="94"/>
      <c r="H29" s="94"/>
      <c r="I29" s="94"/>
      <c r="J29" s="94"/>
      <c r="K29" s="94"/>
      <c r="L29" s="94"/>
      <c r="M29" s="94"/>
      <c r="N29" s="94"/>
      <c r="O29" s="94"/>
    </row>
    <row r="30" spans="1:19" x14ac:dyDescent="0.3">
      <c r="B30" s="94"/>
      <c r="C30" s="94"/>
      <c r="D30" s="94"/>
      <c r="E30" s="94"/>
      <c r="F30" s="94"/>
      <c r="G30" s="94"/>
      <c r="H30" s="94"/>
      <c r="I30" s="94"/>
      <c r="J30" s="94"/>
      <c r="K30" s="94"/>
      <c r="L30" s="94"/>
      <c r="M30" s="94"/>
      <c r="N30" s="94"/>
      <c r="O30" s="94"/>
    </row>
    <row r="31" spans="1:19" x14ac:dyDescent="0.3">
      <c r="B31" s="94"/>
      <c r="C31" s="94"/>
      <c r="D31" s="94"/>
      <c r="E31" s="94"/>
      <c r="F31" s="94"/>
      <c r="G31" s="94"/>
      <c r="H31" s="94"/>
      <c r="I31" s="94"/>
      <c r="J31" s="94"/>
      <c r="K31" s="94"/>
      <c r="L31" s="94"/>
      <c r="M31" s="94"/>
      <c r="N31" s="94"/>
      <c r="O31" s="94"/>
    </row>
    <row r="32" spans="1:19" x14ac:dyDescent="0.3">
      <c r="B32" s="94"/>
      <c r="C32" s="94"/>
      <c r="D32" s="94"/>
      <c r="E32" s="94"/>
      <c r="F32" s="94"/>
      <c r="G32" s="94"/>
      <c r="H32" s="94"/>
      <c r="I32" s="94"/>
      <c r="J32" s="94"/>
      <c r="K32" s="94"/>
      <c r="L32" s="94"/>
      <c r="M32" s="94"/>
      <c r="N32" s="94"/>
      <c r="O32" s="94"/>
    </row>
    <row r="33" spans="2:15" x14ac:dyDescent="0.3">
      <c r="B33" s="94"/>
      <c r="C33" s="94"/>
      <c r="D33" s="94"/>
      <c r="E33" s="94"/>
      <c r="F33" s="94"/>
      <c r="G33" s="94"/>
      <c r="H33" s="94"/>
      <c r="I33" s="94"/>
      <c r="J33" s="94"/>
      <c r="K33" s="94"/>
      <c r="L33" s="94"/>
      <c r="M33" s="94"/>
      <c r="N33" s="94"/>
      <c r="O33" s="94"/>
    </row>
    <row r="34" spans="2:15" x14ac:dyDescent="0.3">
      <c r="B34" s="94"/>
      <c r="C34" s="94"/>
      <c r="D34" s="94"/>
      <c r="E34" s="94"/>
      <c r="F34" s="94"/>
      <c r="G34" s="94"/>
      <c r="H34" s="94"/>
      <c r="I34" s="94"/>
      <c r="J34" s="94"/>
      <c r="K34" s="94"/>
      <c r="L34" s="94"/>
      <c r="M34" s="94"/>
      <c r="N34" s="94"/>
      <c r="O34" s="94"/>
    </row>
    <row r="35" spans="2:15" x14ac:dyDescent="0.3">
      <c r="B35" s="94"/>
      <c r="C35" s="94"/>
      <c r="D35" s="94"/>
      <c r="E35" s="94"/>
      <c r="F35" s="94"/>
      <c r="G35" s="94"/>
      <c r="H35" s="94"/>
      <c r="I35" s="94"/>
      <c r="J35" s="94"/>
      <c r="K35" s="94"/>
      <c r="L35" s="94"/>
      <c r="M35" s="94"/>
      <c r="N35" s="94"/>
      <c r="O35" s="94"/>
    </row>
    <row r="36" spans="2:15" x14ac:dyDescent="0.3">
      <c r="B36" s="94"/>
      <c r="C36" s="94"/>
      <c r="D36" s="94"/>
      <c r="E36" s="94"/>
      <c r="F36" s="94"/>
      <c r="G36" s="94"/>
      <c r="H36" s="94"/>
      <c r="I36" s="94"/>
      <c r="J36" s="94"/>
      <c r="K36" s="94"/>
      <c r="L36" s="94"/>
      <c r="M36" s="94"/>
      <c r="N36" s="94"/>
      <c r="O36" s="94"/>
    </row>
    <row r="37" spans="2:15" x14ac:dyDescent="0.3">
      <c r="B37" s="94"/>
      <c r="C37" s="94"/>
      <c r="D37" s="94"/>
      <c r="E37" s="94"/>
      <c r="F37" s="94"/>
      <c r="G37" s="94"/>
      <c r="H37" s="94"/>
      <c r="I37" s="94"/>
      <c r="J37" s="94"/>
      <c r="K37" s="94"/>
      <c r="L37" s="94"/>
      <c r="M37" s="94"/>
      <c r="N37" s="94"/>
      <c r="O37" s="94"/>
    </row>
    <row r="38" spans="2:15" x14ac:dyDescent="0.3">
      <c r="B38" s="94"/>
      <c r="C38" s="94"/>
      <c r="D38" s="94"/>
      <c r="E38" s="94"/>
      <c r="F38" s="94"/>
      <c r="G38" s="94"/>
      <c r="H38" s="94"/>
      <c r="I38" s="94"/>
      <c r="J38" s="94"/>
      <c r="K38" s="94"/>
      <c r="L38" s="94"/>
      <c r="M38" s="94"/>
      <c r="N38" s="94"/>
      <c r="O38" s="94"/>
    </row>
    <row r="39" spans="2:15" x14ac:dyDescent="0.3">
      <c r="B39" s="94"/>
      <c r="C39" s="94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</row>
    <row r="40" spans="2:15" x14ac:dyDescent="0.3">
      <c r="B40" s="94"/>
      <c r="C40" s="94"/>
      <c r="D40" s="94"/>
      <c r="E40" s="94"/>
      <c r="F40" s="94"/>
      <c r="G40" s="94"/>
      <c r="H40" s="94"/>
      <c r="I40" s="94"/>
      <c r="J40" s="94"/>
      <c r="K40" s="94"/>
      <c r="L40" s="94"/>
      <c r="M40" s="94"/>
      <c r="N40" s="94"/>
      <c r="O40" s="94"/>
    </row>
    <row r="41" spans="2:15" x14ac:dyDescent="0.3">
      <c r="B41" s="94"/>
      <c r="C41" s="94"/>
      <c r="D41" s="94"/>
      <c r="E41" s="94"/>
      <c r="F41" s="94"/>
      <c r="G41" s="94"/>
      <c r="H41" s="94"/>
      <c r="I41" s="94"/>
      <c r="J41" s="94"/>
      <c r="K41" s="94"/>
      <c r="L41" s="94"/>
      <c r="M41" s="94"/>
      <c r="N41" s="94"/>
      <c r="O41" s="94"/>
    </row>
    <row r="42" spans="2:15" x14ac:dyDescent="0.3">
      <c r="B42" s="94"/>
      <c r="C42" s="94"/>
      <c r="D42" s="94"/>
      <c r="E42" s="94"/>
      <c r="F42" s="94"/>
      <c r="G42" s="94"/>
      <c r="H42" s="94"/>
      <c r="I42" s="94"/>
      <c r="J42" s="94"/>
      <c r="K42" s="94"/>
      <c r="L42" s="94"/>
      <c r="M42" s="94"/>
      <c r="N42" s="94"/>
      <c r="O42" s="94"/>
    </row>
    <row r="43" spans="2:15" x14ac:dyDescent="0.3">
      <c r="G43" s="123"/>
      <c r="M43" s="94"/>
    </row>
    <row r="44" spans="2:15" x14ac:dyDescent="0.3">
      <c r="G44" s="123"/>
      <c r="M44" s="94"/>
    </row>
    <row r="45" spans="2:15" x14ac:dyDescent="0.3">
      <c r="G45" s="123"/>
      <c r="M45" s="94"/>
    </row>
    <row r="46" spans="2:15" x14ac:dyDescent="0.3">
      <c r="G46" s="123"/>
      <c r="M46" s="94"/>
    </row>
    <row r="47" spans="2:15" x14ac:dyDescent="0.3">
      <c r="G47" s="123"/>
      <c r="M47" s="94"/>
    </row>
    <row r="48" spans="2:15" x14ac:dyDescent="0.3">
      <c r="G48" s="123"/>
      <c r="M48" s="94"/>
    </row>
  </sheetData>
  <mergeCells count="14">
    <mergeCell ref="G1:G2"/>
    <mergeCell ref="A1:A2"/>
    <mergeCell ref="B1:B2"/>
    <mergeCell ref="D1:D2"/>
    <mergeCell ref="E1:E2"/>
    <mergeCell ref="F1:F2"/>
    <mergeCell ref="V5:W5"/>
    <mergeCell ref="I16:L16"/>
    <mergeCell ref="H1:H2"/>
    <mergeCell ref="J1:J2"/>
    <mergeCell ref="K1:K2"/>
    <mergeCell ref="L1:L2"/>
    <mergeCell ref="M1:M2"/>
    <mergeCell ref="P1:U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E28F8-1FD3-4E59-87C2-32CF4B36DD80}">
  <dimension ref="A1:AA48"/>
  <sheetViews>
    <sheetView workbookViewId="0">
      <selection activeCell="F17" sqref="F17"/>
    </sheetView>
  </sheetViews>
  <sheetFormatPr defaultColWidth="9.109375" defaultRowHeight="14.4" x14ac:dyDescent="0.3"/>
  <cols>
    <col min="1" max="3" width="9.109375" style="28"/>
    <col min="4" max="4" width="11.109375" style="28" customWidth="1"/>
    <col min="5" max="5" width="15.44140625" style="28" customWidth="1"/>
    <col min="6" max="6" width="12" style="28" customWidth="1"/>
    <col min="7" max="7" width="17.109375" style="39" customWidth="1"/>
    <col min="8" max="8" width="13.33203125" style="28" customWidth="1"/>
    <col min="9" max="9" width="11.44140625" style="28" customWidth="1"/>
    <col min="10" max="10" width="17.33203125" style="28" customWidth="1"/>
    <col min="11" max="11" width="11.6640625" style="28" customWidth="1"/>
    <col min="12" max="12" width="16.109375" style="28" customWidth="1"/>
    <col min="13" max="13" width="13.5546875" style="28" customWidth="1"/>
    <col min="14" max="14" width="9.109375" style="28"/>
    <col min="15" max="15" width="9.109375" style="28" customWidth="1"/>
    <col min="16" max="21" width="9.109375" style="28"/>
    <col min="22" max="22" width="15.109375" style="28" customWidth="1"/>
    <col min="23" max="23" width="13.6640625" style="28" customWidth="1"/>
    <col min="24" max="26" width="9.109375" style="28"/>
    <col min="27" max="27" width="9.5546875" style="28" customWidth="1"/>
    <col min="28" max="16384" width="9.109375" style="28"/>
  </cols>
  <sheetData>
    <row r="1" spans="1:27" ht="45" customHeight="1" thickBot="1" x14ac:dyDescent="0.4">
      <c r="A1" s="185" t="s">
        <v>0</v>
      </c>
      <c r="B1" s="187" t="s">
        <v>1</v>
      </c>
      <c r="C1" s="92" t="s">
        <v>64</v>
      </c>
      <c r="D1" s="189" t="s">
        <v>2</v>
      </c>
      <c r="E1" s="191" t="s">
        <v>3</v>
      </c>
      <c r="F1" s="193" t="s">
        <v>4</v>
      </c>
      <c r="G1" s="179" t="s">
        <v>5</v>
      </c>
      <c r="H1" s="195" t="s">
        <v>6</v>
      </c>
      <c r="I1" s="92" t="s">
        <v>7</v>
      </c>
      <c r="J1" s="195" t="s">
        <v>8</v>
      </c>
      <c r="K1" s="196" t="s">
        <v>9</v>
      </c>
      <c r="L1" s="187" t="s">
        <v>10</v>
      </c>
      <c r="M1" s="187" t="s">
        <v>11</v>
      </c>
      <c r="N1" s="94"/>
      <c r="O1" s="94"/>
      <c r="P1" s="182" t="s">
        <v>12</v>
      </c>
      <c r="Q1" s="182"/>
      <c r="R1" s="182"/>
      <c r="S1" s="182"/>
      <c r="T1" s="182"/>
      <c r="U1" s="182"/>
      <c r="AA1" s="29">
        <v>45677</v>
      </c>
    </row>
    <row r="2" spans="1:27" ht="17.100000000000001" customHeight="1" thickBot="1" x14ac:dyDescent="0.35">
      <c r="A2" s="199"/>
      <c r="B2" s="200"/>
      <c r="C2" s="129"/>
      <c r="D2" s="201"/>
      <c r="E2" s="202"/>
      <c r="F2" s="203"/>
      <c r="G2" s="198"/>
      <c r="H2" s="198"/>
      <c r="I2" s="129"/>
      <c r="J2" s="198"/>
      <c r="K2" s="204"/>
      <c r="L2" s="200"/>
      <c r="M2" s="200"/>
      <c r="N2" s="94"/>
      <c r="O2" s="94"/>
      <c r="P2" s="96" t="s">
        <v>13</v>
      </c>
      <c r="Q2" s="97" t="s">
        <v>13</v>
      </c>
      <c r="R2" s="98" t="s">
        <v>13</v>
      </c>
      <c r="S2" s="96" t="s">
        <v>14</v>
      </c>
      <c r="T2" s="97" t="s">
        <v>14</v>
      </c>
      <c r="U2" s="98" t="s">
        <v>14</v>
      </c>
      <c r="V2" s="94"/>
      <c r="W2" s="94"/>
    </row>
    <row r="3" spans="1:27" ht="17.100000000000001" customHeight="1" thickBot="1" x14ac:dyDescent="0.35">
      <c r="A3" s="62" t="s">
        <v>15</v>
      </c>
      <c r="B3" s="79" t="s">
        <v>16</v>
      </c>
      <c r="C3" s="70">
        <v>655</v>
      </c>
      <c r="D3" s="63">
        <v>107</v>
      </c>
      <c r="E3" s="131" t="s">
        <v>22</v>
      </c>
      <c r="F3" s="73">
        <v>1</v>
      </c>
      <c r="G3" s="132">
        <v>206</v>
      </c>
      <c r="H3" s="133">
        <v>22</v>
      </c>
      <c r="I3" s="134">
        <f t="shared" ref="I3:I6" si="0">RANK(H3,$H$3:$H$9)</f>
        <v>4</v>
      </c>
      <c r="J3" s="135">
        <v>86</v>
      </c>
      <c r="K3" s="64">
        <f>RANK(J3,$J$3:$J$9)+COUNTIF(J3:$J$3,J3)-1</f>
        <v>3</v>
      </c>
      <c r="L3" s="136">
        <f>(F3+K3)/2</f>
        <v>2</v>
      </c>
      <c r="M3" s="137">
        <f>RANK(L3,$L$3:$L$9,1)+COUNTIF(L3:$L$6,L3)-1</f>
        <v>1</v>
      </c>
      <c r="N3" s="94"/>
      <c r="O3" s="94"/>
      <c r="P3" s="103" t="s">
        <v>18</v>
      </c>
      <c r="Q3" s="104" t="s">
        <v>19</v>
      </c>
      <c r="R3" s="105" t="s">
        <v>20</v>
      </c>
      <c r="S3" s="103" t="s">
        <v>18</v>
      </c>
      <c r="T3" s="104" t="s">
        <v>19</v>
      </c>
      <c r="U3" s="106" t="s">
        <v>20</v>
      </c>
      <c r="V3" s="94"/>
      <c r="W3" s="94"/>
    </row>
    <row r="4" spans="1:27" ht="17.100000000000001" customHeight="1" thickBot="1" x14ac:dyDescent="0.35">
      <c r="A4" s="65" t="s">
        <v>38</v>
      </c>
      <c r="B4" s="83" t="s">
        <v>24</v>
      </c>
      <c r="C4" s="71">
        <v>492</v>
      </c>
      <c r="D4" s="31">
        <v>104</v>
      </c>
      <c r="E4" s="94" t="s">
        <v>22</v>
      </c>
      <c r="F4" s="74">
        <v>2</v>
      </c>
      <c r="G4" s="130">
        <v>188</v>
      </c>
      <c r="H4" s="94">
        <v>37</v>
      </c>
      <c r="I4" s="138">
        <f t="shared" si="0"/>
        <v>3</v>
      </c>
      <c r="J4" s="94">
        <v>85</v>
      </c>
      <c r="K4" s="34">
        <f>RANK(J4,$J$3:$J$9)+COUNTIF(J$3:$J4,J4)-1</f>
        <v>4</v>
      </c>
      <c r="L4" s="109">
        <f>(F4+K4)/2</f>
        <v>3</v>
      </c>
      <c r="M4" s="139">
        <f>RANK(L4,$L$3:$L$9,1)+COUNTIF(L4:$L$6,L4)-1</f>
        <v>4</v>
      </c>
      <c r="N4" s="94"/>
      <c r="O4" s="94"/>
      <c r="P4" s="48">
        <v>50</v>
      </c>
      <c r="Q4" s="110"/>
      <c r="R4" s="111">
        <v>69</v>
      </c>
      <c r="S4" s="49">
        <v>20</v>
      </c>
      <c r="T4" s="112"/>
      <c r="U4" s="113"/>
    </row>
    <row r="5" spans="1:27" ht="17.100000000000001" customHeight="1" thickBot="1" x14ac:dyDescent="0.35">
      <c r="A5" s="65" t="s">
        <v>38</v>
      </c>
      <c r="B5" s="80" t="s">
        <v>21</v>
      </c>
      <c r="C5" s="71">
        <v>485</v>
      </c>
      <c r="D5" s="31">
        <v>103</v>
      </c>
      <c r="E5" s="94" t="s">
        <v>22</v>
      </c>
      <c r="F5" s="74">
        <v>3</v>
      </c>
      <c r="G5" s="130">
        <v>324</v>
      </c>
      <c r="H5" s="94">
        <v>47</v>
      </c>
      <c r="I5" s="138">
        <f t="shared" si="0"/>
        <v>2</v>
      </c>
      <c r="J5" s="94">
        <v>87</v>
      </c>
      <c r="K5" s="34">
        <f>RANK(J5,$J$3:$J$9)+COUNTIF(J$3:$J5,J5)-1</f>
        <v>2</v>
      </c>
      <c r="L5" s="109">
        <f>(F5+K5)/2</f>
        <v>2.5</v>
      </c>
      <c r="M5" s="139">
        <f>RANK(L5,$L$3:$L$9,1)+COUNTIF(L5:$L$6,L5)-1</f>
        <v>3</v>
      </c>
      <c r="N5" s="94"/>
      <c r="O5" s="94"/>
      <c r="V5" s="183" t="s">
        <v>23</v>
      </c>
      <c r="W5" s="184"/>
    </row>
    <row r="6" spans="1:27" x14ac:dyDescent="0.3">
      <c r="A6" s="65" t="s">
        <v>27</v>
      </c>
      <c r="B6" s="83" t="s">
        <v>45</v>
      </c>
      <c r="C6" s="71">
        <v>359</v>
      </c>
      <c r="D6" s="31">
        <v>102</v>
      </c>
      <c r="E6" s="159" t="s">
        <v>22</v>
      </c>
      <c r="F6" s="74">
        <v>4</v>
      </c>
      <c r="G6" s="160">
        <v>318</v>
      </c>
      <c r="H6" s="159">
        <v>69</v>
      </c>
      <c r="I6" s="138">
        <f t="shared" si="0"/>
        <v>1</v>
      </c>
      <c r="J6" s="71">
        <v>88</v>
      </c>
      <c r="K6" s="34">
        <f>RANK(J6,$J$3:$J$9)+COUNTIF(J$3:$J6,J6)-1</f>
        <v>1</v>
      </c>
      <c r="L6" s="109">
        <f>(F6+K6)/2</f>
        <v>2.5</v>
      </c>
      <c r="M6" s="139">
        <f>RANK(L6,$L$3:$L$9,1)+COUNTIF(L$6:$L6,L6)-1</f>
        <v>2</v>
      </c>
      <c r="N6" s="94"/>
      <c r="O6" s="94"/>
      <c r="V6" s="115" t="s">
        <v>25</v>
      </c>
      <c r="W6" s="116" t="s">
        <v>26</v>
      </c>
    </row>
    <row r="7" spans="1:27" ht="15" thickBot="1" x14ac:dyDescent="0.35">
      <c r="A7" s="66"/>
      <c r="B7" s="71"/>
      <c r="C7" s="71"/>
      <c r="D7" s="31"/>
      <c r="E7" s="94"/>
      <c r="F7" s="74"/>
      <c r="G7" s="130"/>
      <c r="H7" s="94"/>
      <c r="I7" s="138"/>
      <c r="J7" s="94"/>
      <c r="K7" s="34"/>
      <c r="L7" s="109"/>
      <c r="M7" s="139"/>
      <c r="N7" s="94"/>
      <c r="O7" s="94"/>
      <c r="V7" s="117">
        <f>Q4+T4</f>
        <v>0</v>
      </c>
      <c r="W7" s="118">
        <f>R4+U4</f>
        <v>69</v>
      </c>
    </row>
    <row r="8" spans="1:27" ht="15" thickTop="1" x14ac:dyDescent="0.3">
      <c r="A8" s="66"/>
      <c r="B8" s="71"/>
      <c r="C8" s="71"/>
      <c r="D8" s="31"/>
      <c r="E8" s="94"/>
      <c r="F8" s="74"/>
      <c r="G8" s="130"/>
      <c r="H8" s="94"/>
      <c r="I8" s="138"/>
      <c r="J8" s="94"/>
      <c r="K8" s="34"/>
      <c r="L8" s="109"/>
      <c r="M8" s="139"/>
      <c r="N8" s="94"/>
      <c r="O8" s="94"/>
      <c r="V8" s="140"/>
      <c r="W8" s="140"/>
    </row>
    <row r="9" spans="1:27" ht="15" thickBot="1" x14ac:dyDescent="0.35">
      <c r="A9" s="67"/>
      <c r="B9" s="72"/>
      <c r="C9" s="72"/>
      <c r="D9" s="68"/>
      <c r="E9" s="141"/>
      <c r="F9" s="75"/>
      <c r="G9" s="142"/>
      <c r="H9" s="141"/>
      <c r="I9" s="143"/>
      <c r="J9" s="141"/>
      <c r="K9" s="69"/>
      <c r="L9" s="144"/>
      <c r="M9" s="145"/>
      <c r="N9" s="94"/>
      <c r="O9" s="94"/>
      <c r="V9" s="140"/>
      <c r="W9" s="140"/>
    </row>
    <row r="10" spans="1:27" x14ac:dyDescent="0.3">
      <c r="A10" s="76"/>
      <c r="B10" s="76"/>
      <c r="C10" s="76"/>
      <c r="D10" s="76"/>
      <c r="E10" s="76"/>
      <c r="F10" s="76"/>
      <c r="G10" s="76"/>
      <c r="H10" s="76"/>
      <c r="I10" s="76"/>
      <c r="J10" s="76"/>
      <c r="K10" s="76"/>
      <c r="L10" s="76"/>
      <c r="M10" s="76"/>
      <c r="N10" s="94"/>
      <c r="O10" s="94"/>
      <c r="V10" s="140"/>
      <c r="W10" s="140"/>
    </row>
    <row r="11" spans="1:27" x14ac:dyDescent="0.3">
      <c r="A11" s="76"/>
      <c r="B11" s="76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94"/>
      <c r="O11" s="94"/>
      <c r="V11" s="140"/>
      <c r="W11" s="140"/>
    </row>
    <row r="12" spans="1:27" x14ac:dyDescent="0.3">
      <c r="B12" s="122" t="s">
        <v>33</v>
      </c>
      <c r="C12" s="122"/>
      <c r="D12" s="122" t="s">
        <v>34</v>
      </c>
      <c r="E12" s="122"/>
      <c r="G12" s="94"/>
      <c r="H12" s="94"/>
      <c r="I12" s="94"/>
      <c r="J12" s="94"/>
      <c r="K12" s="94"/>
      <c r="L12" s="94"/>
      <c r="M12" s="94"/>
      <c r="N12" s="94"/>
      <c r="O12" s="94"/>
    </row>
    <row r="13" spans="1:27" x14ac:dyDescent="0.3">
      <c r="B13" s="122" t="s">
        <v>35</v>
      </c>
      <c r="C13" s="122"/>
      <c r="D13" t="s">
        <v>36</v>
      </c>
      <c r="E13" s="122"/>
      <c r="G13" s="123"/>
      <c r="H13" s="94"/>
      <c r="I13" s="94"/>
      <c r="J13" s="94"/>
      <c r="L13" s="94"/>
      <c r="M13" s="94"/>
      <c r="N13" s="94"/>
      <c r="O13" s="94"/>
    </row>
    <row r="14" spans="1:27" x14ac:dyDescent="0.3">
      <c r="B14" s="1" t="s">
        <v>33</v>
      </c>
      <c r="C14" s="1"/>
      <c r="D14" s="27" t="s">
        <v>34</v>
      </c>
      <c r="E14" s="122"/>
      <c r="G14" s="94"/>
      <c r="H14" s="94"/>
      <c r="I14" s="94"/>
      <c r="J14" s="94"/>
      <c r="K14" s="94"/>
      <c r="L14" s="94"/>
      <c r="M14" s="94"/>
      <c r="N14" s="94"/>
    </row>
    <row r="15" spans="1:27" x14ac:dyDescent="0.3">
      <c r="A15" s="123"/>
      <c r="B15" s="2"/>
      <c r="C15" s="2"/>
      <c r="D15" s="2"/>
      <c r="E15" s="2"/>
      <c r="F15" s="2"/>
      <c r="G15" s="94"/>
      <c r="H15" s="94"/>
      <c r="I15" s="94"/>
      <c r="J15" s="94"/>
      <c r="K15" s="94"/>
      <c r="L15" s="94"/>
      <c r="M15" s="94"/>
      <c r="N15" s="94"/>
    </row>
    <row r="16" spans="1:27" x14ac:dyDescent="0.3">
      <c r="A16" s="122"/>
      <c r="B16" s="122" t="s">
        <v>40</v>
      </c>
      <c r="C16" s="122"/>
      <c r="D16" s="122"/>
      <c r="E16" s="122"/>
      <c r="G16" s="94"/>
      <c r="H16" s="94"/>
      <c r="I16" s="181"/>
      <c r="J16" s="181"/>
      <c r="K16" s="181"/>
      <c r="L16" s="181"/>
      <c r="M16" s="94"/>
      <c r="N16" s="94"/>
      <c r="O16" s="94"/>
      <c r="P16" s="94"/>
      <c r="Q16" s="94"/>
      <c r="R16" s="94"/>
      <c r="S16" s="94"/>
    </row>
    <row r="17" spans="1:19" x14ac:dyDescent="0.3">
      <c r="A17" s="122"/>
      <c r="B17" s="91"/>
      <c r="C17" s="91"/>
      <c r="D17" s="2" t="s">
        <v>47</v>
      </c>
      <c r="E17" s="2"/>
      <c r="F17" s="2"/>
      <c r="G17" s="94"/>
      <c r="H17" s="94"/>
      <c r="I17" s="94"/>
      <c r="J17" s="94"/>
      <c r="K17" s="94"/>
      <c r="L17" s="94"/>
      <c r="M17" s="94"/>
      <c r="N17" s="94"/>
      <c r="O17" s="94"/>
      <c r="P17" s="94"/>
      <c r="Q17" s="94"/>
      <c r="R17" s="94"/>
      <c r="S17" s="94"/>
    </row>
    <row r="18" spans="1:19" ht="14.4" customHeight="1" x14ac:dyDescent="0.3">
      <c r="E18" s="124"/>
      <c r="F18" s="124"/>
      <c r="G18" s="124"/>
      <c r="H18" s="94"/>
      <c r="I18" s="94"/>
      <c r="J18" s="94"/>
      <c r="K18" s="94"/>
      <c r="L18" s="94"/>
      <c r="M18" s="94"/>
      <c r="N18" s="94"/>
      <c r="O18" s="94"/>
      <c r="P18" s="94"/>
      <c r="Q18" s="94"/>
      <c r="R18" s="94"/>
      <c r="S18" s="94"/>
    </row>
    <row r="19" spans="1:19" x14ac:dyDescent="0.3">
      <c r="A19" s="123"/>
      <c r="B19" s="94"/>
      <c r="C19" s="94"/>
      <c r="D19" s="94"/>
      <c r="E19" s="94"/>
      <c r="F19" s="94"/>
      <c r="G19" s="94"/>
      <c r="H19" s="94"/>
      <c r="I19" s="94"/>
      <c r="J19" s="94"/>
      <c r="K19" s="94"/>
      <c r="L19" s="94"/>
      <c r="M19" s="94"/>
      <c r="N19" s="94"/>
    </row>
    <row r="20" spans="1:19" x14ac:dyDescent="0.3">
      <c r="A20" s="123"/>
      <c r="B20" s="94"/>
      <c r="C20" s="94"/>
      <c r="D20" s="94"/>
      <c r="E20" s="94"/>
      <c r="F20" s="94"/>
      <c r="G20" s="94"/>
      <c r="H20" s="94"/>
      <c r="I20" s="94"/>
      <c r="J20" s="94"/>
      <c r="K20" s="94"/>
      <c r="L20" s="94"/>
      <c r="M20" s="94"/>
      <c r="N20" s="94"/>
    </row>
    <row r="21" spans="1:19" x14ac:dyDescent="0.3">
      <c r="B21" s="94"/>
      <c r="C21" s="94"/>
      <c r="D21" s="94"/>
      <c r="E21" s="94"/>
      <c r="F21" s="94"/>
      <c r="G21" s="94"/>
      <c r="H21" s="94"/>
      <c r="I21" s="94"/>
      <c r="J21" s="94"/>
      <c r="K21" s="94"/>
      <c r="L21" s="94"/>
      <c r="M21" s="94"/>
      <c r="N21" s="94"/>
    </row>
    <row r="22" spans="1:19" x14ac:dyDescent="0.3">
      <c r="B22" s="94"/>
      <c r="C22" s="94"/>
      <c r="D22" s="94"/>
      <c r="E22" s="94"/>
      <c r="F22" s="94"/>
      <c r="G22" s="94"/>
      <c r="H22" s="94"/>
      <c r="I22" s="94"/>
      <c r="J22" s="94"/>
      <c r="K22" s="94"/>
      <c r="L22" s="94"/>
      <c r="M22" s="94"/>
      <c r="N22" s="94"/>
    </row>
    <row r="23" spans="1:19" x14ac:dyDescent="0.3">
      <c r="B23" s="94"/>
      <c r="C23" s="94"/>
      <c r="D23" s="94"/>
      <c r="E23" s="94"/>
      <c r="F23" s="94"/>
      <c r="G23" s="94"/>
      <c r="H23" s="94"/>
      <c r="I23" s="94"/>
      <c r="J23" s="94"/>
      <c r="K23" s="94"/>
      <c r="L23" s="94"/>
      <c r="M23" s="94"/>
      <c r="N23" s="94"/>
    </row>
    <row r="24" spans="1:19" x14ac:dyDescent="0.3">
      <c r="B24" s="94"/>
      <c r="C24" s="94"/>
      <c r="D24" s="94"/>
      <c r="E24" s="94"/>
      <c r="F24" s="94"/>
      <c r="G24" s="94"/>
      <c r="H24" s="94"/>
      <c r="I24" s="94"/>
      <c r="J24" s="94"/>
      <c r="K24" s="94"/>
      <c r="L24" s="94"/>
      <c r="M24" s="94"/>
      <c r="N24" s="94"/>
    </row>
    <row r="25" spans="1:19" x14ac:dyDescent="0.3">
      <c r="B25" s="94"/>
      <c r="C25" s="94"/>
      <c r="D25" s="94"/>
      <c r="E25" s="94"/>
      <c r="F25" s="94"/>
      <c r="G25" s="94"/>
      <c r="H25" s="94"/>
      <c r="I25" s="94"/>
      <c r="J25" s="94"/>
      <c r="K25" s="94"/>
      <c r="L25" s="94"/>
      <c r="M25" s="94"/>
      <c r="N25" s="94"/>
      <c r="O25" s="94"/>
    </row>
    <row r="26" spans="1:19" x14ac:dyDescent="0.3">
      <c r="B26" s="94"/>
      <c r="C26" s="94"/>
      <c r="D26" s="94"/>
      <c r="E26" s="94"/>
      <c r="F26" s="94"/>
      <c r="G26" s="94"/>
      <c r="H26" s="94"/>
      <c r="I26" s="94"/>
      <c r="J26" s="94"/>
      <c r="K26" s="94"/>
      <c r="L26" s="94"/>
      <c r="M26" s="94"/>
      <c r="N26" s="94"/>
      <c r="O26" s="94"/>
    </row>
    <row r="27" spans="1:19" x14ac:dyDescent="0.3">
      <c r="B27" s="94"/>
      <c r="C27" s="94"/>
      <c r="D27" s="94"/>
      <c r="E27" s="94"/>
      <c r="F27" s="94"/>
      <c r="G27" s="94"/>
      <c r="H27" s="94"/>
      <c r="I27" s="94"/>
      <c r="J27" s="94"/>
      <c r="K27" s="94"/>
      <c r="L27" s="94"/>
      <c r="M27" s="94"/>
      <c r="N27" s="94"/>
      <c r="O27" s="94"/>
    </row>
    <row r="28" spans="1:19" x14ac:dyDescent="0.3">
      <c r="B28" s="94"/>
      <c r="C28" s="94"/>
      <c r="D28" s="94"/>
      <c r="E28" s="94"/>
      <c r="F28" s="94"/>
      <c r="G28" s="94"/>
      <c r="H28" s="94"/>
      <c r="I28" s="94"/>
      <c r="J28" s="94"/>
      <c r="K28" s="94"/>
      <c r="L28" s="94"/>
      <c r="M28" s="94"/>
      <c r="N28" s="94"/>
      <c r="O28" s="94"/>
    </row>
    <row r="29" spans="1:19" x14ac:dyDescent="0.3">
      <c r="B29" s="94"/>
      <c r="C29" s="94"/>
      <c r="D29" s="94"/>
      <c r="E29" s="94"/>
      <c r="F29" s="94"/>
      <c r="G29" s="94"/>
      <c r="H29" s="94"/>
      <c r="I29" s="94"/>
      <c r="J29" s="94"/>
      <c r="K29" s="94"/>
      <c r="L29" s="94"/>
      <c r="M29" s="94"/>
      <c r="N29" s="94"/>
      <c r="O29" s="94"/>
    </row>
    <row r="30" spans="1:19" x14ac:dyDescent="0.3">
      <c r="B30" s="94"/>
      <c r="C30" s="94"/>
      <c r="D30" s="94"/>
      <c r="E30" s="94"/>
      <c r="F30" s="94"/>
      <c r="G30" s="94"/>
      <c r="H30" s="94"/>
      <c r="I30" s="94"/>
      <c r="J30" s="94"/>
      <c r="K30" s="94"/>
      <c r="L30" s="94"/>
      <c r="M30" s="94"/>
      <c r="N30" s="94"/>
      <c r="O30" s="94"/>
    </row>
    <row r="31" spans="1:19" x14ac:dyDescent="0.3">
      <c r="B31" s="94"/>
      <c r="C31" s="94"/>
      <c r="D31" s="94"/>
      <c r="E31" s="94"/>
      <c r="F31" s="94"/>
      <c r="G31" s="94"/>
      <c r="H31" s="94"/>
      <c r="I31" s="94"/>
      <c r="J31" s="94"/>
      <c r="K31" s="94"/>
      <c r="L31" s="94"/>
      <c r="M31" s="94"/>
      <c r="N31" s="94"/>
      <c r="O31" s="94"/>
    </row>
    <row r="32" spans="1:19" x14ac:dyDescent="0.3">
      <c r="B32" s="94"/>
      <c r="C32" s="94"/>
      <c r="D32" s="94"/>
      <c r="E32" s="94"/>
      <c r="F32" s="94"/>
      <c r="G32" s="94"/>
      <c r="H32" s="94"/>
      <c r="I32" s="94"/>
      <c r="J32" s="94"/>
      <c r="K32" s="94"/>
      <c r="L32" s="94"/>
      <c r="M32" s="94"/>
      <c r="N32" s="94"/>
      <c r="O32" s="94"/>
    </row>
    <row r="33" spans="2:15" x14ac:dyDescent="0.3">
      <c r="B33" s="94"/>
      <c r="C33" s="94"/>
      <c r="D33" s="94"/>
      <c r="E33" s="94"/>
      <c r="F33" s="94"/>
      <c r="G33" s="94"/>
      <c r="H33" s="94"/>
      <c r="I33" s="94"/>
      <c r="J33" s="94"/>
      <c r="K33" s="94"/>
      <c r="L33" s="94"/>
      <c r="M33" s="94"/>
      <c r="N33" s="94"/>
      <c r="O33" s="94"/>
    </row>
    <row r="34" spans="2:15" x14ac:dyDescent="0.3">
      <c r="B34" s="94"/>
      <c r="C34" s="94"/>
      <c r="D34" s="94"/>
      <c r="E34" s="94"/>
      <c r="F34" s="94"/>
      <c r="G34" s="94"/>
      <c r="H34" s="94"/>
      <c r="I34" s="94"/>
      <c r="J34" s="94"/>
      <c r="K34" s="94"/>
      <c r="L34" s="94"/>
      <c r="M34" s="94"/>
      <c r="N34" s="94"/>
      <c r="O34" s="94"/>
    </row>
    <row r="35" spans="2:15" x14ac:dyDescent="0.3">
      <c r="B35" s="94"/>
      <c r="C35" s="94"/>
      <c r="D35" s="94"/>
      <c r="E35" s="94"/>
      <c r="F35" s="94"/>
      <c r="G35" s="94"/>
      <c r="H35" s="94"/>
      <c r="I35" s="94"/>
      <c r="J35" s="94"/>
      <c r="K35" s="94"/>
      <c r="L35" s="94"/>
      <c r="M35" s="94"/>
      <c r="N35" s="94"/>
      <c r="O35" s="94"/>
    </row>
    <row r="36" spans="2:15" x14ac:dyDescent="0.3">
      <c r="B36" s="94"/>
      <c r="C36" s="94"/>
      <c r="D36" s="94"/>
      <c r="E36" s="94"/>
      <c r="F36" s="94"/>
      <c r="G36" s="94"/>
      <c r="H36" s="94"/>
      <c r="I36" s="94"/>
      <c r="J36" s="94"/>
      <c r="K36" s="94"/>
      <c r="L36" s="94"/>
      <c r="M36" s="94"/>
      <c r="N36" s="94"/>
      <c r="O36" s="94"/>
    </row>
    <row r="37" spans="2:15" x14ac:dyDescent="0.3">
      <c r="B37" s="94"/>
      <c r="C37" s="94"/>
      <c r="D37" s="94"/>
      <c r="E37" s="94"/>
      <c r="F37" s="94"/>
      <c r="G37" s="94"/>
      <c r="H37" s="94"/>
      <c r="I37" s="94"/>
      <c r="J37" s="94"/>
      <c r="K37" s="94"/>
      <c r="L37" s="94"/>
      <c r="M37" s="94"/>
      <c r="N37" s="94"/>
      <c r="O37" s="94"/>
    </row>
    <row r="38" spans="2:15" x14ac:dyDescent="0.3">
      <c r="B38" s="94"/>
      <c r="C38" s="94"/>
      <c r="D38" s="94"/>
      <c r="E38" s="94"/>
      <c r="F38" s="94"/>
      <c r="G38" s="94"/>
      <c r="H38" s="94"/>
      <c r="I38" s="94"/>
      <c r="J38" s="94"/>
      <c r="K38" s="94"/>
      <c r="L38" s="94"/>
      <c r="M38" s="94"/>
      <c r="N38" s="94"/>
      <c r="O38" s="94"/>
    </row>
    <row r="39" spans="2:15" x14ac:dyDescent="0.3">
      <c r="B39" s="94"/>
      <c r="C39" s="94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</row>
    <row r="40" spans="2:15" x14ac:dyDescent="0.3">
      <c r="B40" s="94"/>
      <c r="C40" s="94"/>
      <c r="D40" s="94"/>
      <c r="E40" s="94"/>
      <c r="F40" s="94"/>
      <c r="G40" s="94"/>
      <c r="H40" s="94"/>
      <c r="I40" s="94"/>
      <c r="J40" s="94"/>
      <c r="K40" s="94"/>
      <c r="L40" s="94"/>
      <c r="M40" s="94"/>
      <c r="N40" s="94"/>
      <c r="O40" s="94"/>
    </row>
    <row r="41" spans="2:15" x14ac:dyDescent="0.3">
      <c r="B41" s="94"/>
      <c r="C41" s="94"/>
      <c r="D41" s="94"/>
      <c r="E41" s="94"/>
      <c r="F41" s="94"/>
      <c r="G41" s="94"/>
      <c r="H41" s="94"/>
      <c r="I41" s="94"/>
      <c r="J41" s="94"/>
      <c r="K41" s="94"/>
      <c r="L41" s="94"/>
      <c r="M41" s="94"/>
      <c r="N41" s="94"/>
      <c r="O41" s="94"/>
    </row>
    <row r="42" spans="2:15" x14ac:dyDescent="0.3">
      <c r="B42" s="94"/>
      <c r="C42" s="94"/>
      <c r="D42" s="94"/>
      <c r="E42" s="94"/>
      <c r="F42" s="94"/>
      <c r="G42" s="94"/>
      <c r="H42" s="94"/>
      <c r="I42" s="94"/>
      <c r="J42" s="94"/>
      <c r="K42" s="94"/>
      <c r="L42" s="94"/>
      <c r="M42" s="94"/>
      <c r="N42" s="94"/>
      <c r="O42" s="94"/>
    </row>
    <row r="43" spans="2:15" x14ac:dyDescent="0.3">
      <c r="G43" s="123"/>
      <c r="M43" s="94"/>
    </row>
    <row r="44" spans="2:15" x14ac:dyDescent="0.3">
      <c r="G44" s="123"/>
      <c r="M44" s="94"/>
    </row>
    <row r="45" spans="2:15" x14ac:dyDescent="0.3">
      <c r="G45" s="123"/>
      <c r="M45" s="94"/>
    </row>
    <row r="46" spans="2:15" x14ac:dyDescent="0.3">
      <c r="G46" s="123"/>
      <c r="M46" s="94"/>
    </row>
    <row r="47" spans="2:15" x14ac:dyDescent="0.3">
      <c r="G47" s="123"/>
      <c r="M47" s="94"/>
    </row>
    <row r="48" spans="2:15" x14ac:dyDescent="0.3">
      <c r="G48" s="123"/>
      <c r="M48" s="94"/>
    </row>
  </sheetData>
  <mergeCells count="14">
    <mergeCell ref="G1:G2"/>
    <mergeCell ref="A1:A2"/>
    <mergeCell ref="B1:B2"/>
    <mergeCell ref="D1:D2"/>
    <mergeCell ref="E1:E2"/>
    <mergeCell ref="F1:F2"/>
    <mergeCell ref="V5:W5"/>
    <mergeCell ref="I16:L16"/>
    <mergeCell ref="H1:H2"/>
    <mergeCell ref="J1:J2"/>
    <mergeCell ref="K1:K2"/>
    <mergeCell ref="L1:L2"/>
    <mergeCell ref="M1:M2"/>
    <mergeCell ref="P1:U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527E5-4058-4AEC-9D7B-BC4C45CA0992}">
  <dimension ref="A1:AA48"/>
  <sheetViews>
    <sheetView workbookViewId="0">
      <selection activeCell="E17" sqref="E17"/>
    </sheetView>
  </sheetViews>
  <sheetFormatPr defaultColWidth="9.109375" defaultRowHeight="14.4" x14ac:dyDescent="0.3"/>
  <cols>
    <col min="1" max="3" width="9.109375" style="28"/>
    <col min="4" max="4" width="11.109375" style="28" customWidth="1"/>
    <col min="5" max="5" width="15.44140625" style="28" customWidth="1"/>
    <col min="6" max="6" width="12" style="28" customWidth="1"/>
    <col min="7" max="7" width="17.109375" style="39" customWidth="1"/>
    <col min="8" max="8" width="13.33203125" style="28" customWidth="1"/>
    <col min="9" max="9" width="11.44140625" style="28" customWidth="1"/>
    <col min="10" max="10" width="17.33203125" style="28" customWidth="1"/>
    <col min="11" max="11" width="11.6640625" style="28" customWidth="1"/>
    <col min="12" max="12" width="16.109375" style="28" customWidth="1"/>
    <col min="13" max="13" width="13.5546875" style="28" customWidth="1"/>
    <col min="14" max="14" width="9.109375" style="28"/>
    <col min="15" max="15" width="9.109375" style="28" customWidth="1"/>
    <col min="16" max="21" width="9.109375" style="28"/>
    <col min="22" max="22" width="15.109375" style="28" customWidth="1"/>
    <col min="23" max="23" width="13.6640625" style="28" customWidth="1"/>
    <col min="24" max="26" width="9.109375" style="28"/>
    <col min="27" max="27" width="9.5546875" style="28" customWidth="1"/>
    <col min="28" max="16384" width="9.109375" style="28"/>
  </cols>
  <sheetData>
    <row r="1" spans="1:27" ht="45" customHeight="1" thickBot="1" x14ac:dyDescent="0.4">
      <c r="A1" s="185" t="s">
        <v>0</v>
      </c>
      <c r="B1" s="187" t="s">
        <v>1</v>
      </c>
      <c r="C1" s="92" t="s">
        <v>64</v>
      </c>
      <c r="D1" s="189" t="s">
        <v>2</v>
      </c>
      <c r="E1" s="191" t="s">
        <v>3</v>
      </c>
      <c r="F1" s="193" t="s">
        <v>4</v>
      </c>
      <c r="G1" s="179" t="s">
        <v>5</v>
      </c>
      <c r="H1" s="195" t="s">
        <v>6</v>
      </c>
      <c r="I1" s="92" t="s">
        <v>7</v>
      </c>
      <c r="J1" s="195" t="s">
        <v>8</v>
      </c>
      <c r="K1" s="196" t="s">
        <v>9</v>
      </c>
      <c r="L1" s="187" t="s">
        <v>10</v>
      </c>
      <c r="M1" s="187" t="s">
        <v>11</v>
      </c>
      <c r="N1" s="94"/>
      <c r="O1" s="94"/>
      <c r="P1" s="182" t="s">
        <v>12</v>
      </c>
      <c r="Q1" s="182"/>
      <c r="R1" s="182"/>
      <c r="S1" s="182"/>
      <c r="T1" s="182"/>
      <c r="U1" s="182"/>
      <c r="AA1" s="29">
        <v>45677</v>
      </c>
    </row>
    <row r="2" spans="1:27" ht="17.100000000000001" customHeight="1" thickBot="1" x14ac:dyDescent="0.35">
      <c r="A2" s="199"/>
      <c r="B2" s="200"/>
      <c r="C2" s="129"/>
      <c r="D2" s="201"/>
      <c r="E2" s="202"/>
      <c r="F2" s="203"/>
      <c r="G2" s="198"/>
      <c r="H2" s="198"/>
      <c r="I2" s="129"/>
      <c r="J2" s="198"/>
      <c r="K2" s="204"/>
      <c r="L2" s="200"/>
      <c r="M2" s="200"/>
      <c r="N2" s="94"/>
      <c r="O2" s="94"/>
      <c r="P2" s="96" t="s">
        <v>13</v>
      </c>
      <c r="Q2" s="97" t="s">
        <v>13</v>
      </c>
      <c r="R2" s="98" t="s">
        <v>13</v>
      </c>
      <c r="S2" s="96" t="s">
        <v>14</v>
      </c>
      <c r="T2" s="97" t="s">
        <v>14</v>
      </c>
      <c r="U2" s="98" t="s">
        <v>14</v>
      </c>
      <c r="V2" s="94"/>
      <c r="W2" s="94"/>
    </row>
    <row r="3" spans="1:27" ht="17.100000000000001" customHeight="1" thickBot="1" x14ac:dyDescent="0.35">
      <c r="A3" s="62" t="s">
        <v>27</v>
      </c>
      <c r="B3" s="79" t="s">
        <v>16</v>
      </c>
      <c r="C3" s="70">
        <v>662</v>
      </c>
      <c r="D3" s="63">
        <v>107</v>
      </c>
      <c r="E3" s="131" t="s">
        <v>22</v>
      </c>
      <c r="F3" s="73">
        <v>1</v>
      </c>
      <c r="G3" s="132">
        <v>174</v>
      </c>
      <c r="H3" s="133">
        <v>23</v>
      </c>
      <c r="I3" s="134">
        <f t="shared" ref="I3:I6" si="0">RANK(H3,$H$3:$H$9)</f>
        <v>4</v>
      </c>
      <c r="J3" s="135">
        <v>88</v>
      </c>
      <c r="K3" s="64">
        <f>RANK(J3,$J$3:$J$9)+COUNTIF(J3:$J$3,J3)-1</f>
        <v>1</v>
      </c>
      <c r="L3" s="136">
        <f>(F3+K3)/2</f>
        <v>1</v>
      </c>
      <c r="M3" s="137">
        <f>RANK(L3,$L$3:$L$9,1)+COUNTIF(L3:$L$6,L3)-1</f>
        <v>1</v>
      </c>
      <c r="N3" s="94"/>
      <c r="O3" s="94"/>
      <c r="P3" s="103" t="s">
        <v>18</v>
      </c>
      <c r="Q3" s="104" t="s">
        <v>19</v>
      </c>
      <c r="R3" s="105" t="s">
        <v>20</v>
      </c>
      <c r="S3" s="103" t="s">
        <v>18</v>
      </c>
      <c r="T3" s="104" t="s">
        <v>19</v>
      </c>
      <c r="U3" s="106" t="s">
        <v>20</v>
      </c>
      <c r="V3" s="94"/>
      <c r="W3" s="94"/>
    </row>
    <row r="4" spans="1:27" ht="17.100000000000001" customHeight="1" thickBot="1" x14ac:dyDescent="0.35">
      <c r="A4" s="65" t="s">
        <v>15</v>
      </c>
      <c r="B4" s="83" t="s">
        <v>24</v>
      </c>
      <c r="C4" s="71">
        <v>499</v>
      </c>
      <c r="D4" s="31">
        <v>104</v>
      </c>
      <c r="E4" s="94" t="s">
        <v>22</v>
      </c>
      <c r="F4" s="74">
        <v>2</v>
      </c>
      <c r="G4" s="130">
        <v>350</v>
      </c>
      <c r="H4" s="94">
        <v>37</v>
      </c>
      <c r="I4" s="138">
        <f t="shared" si="0"/>
        <v>3</v>
      </c>
      <c r="J4" s="94">
        <v>87</v>
      </c>
      <c r="K4" s="34">
        <f>RANK(J4,$J$3:$J$9)+COUNTIF(J$3:$J4,J4)-1</f>
        <v>2</v>
      </c>
      <c r="L4" s="109">
        <f>(F4+K4)/2</f>
        <v>2</v>
      </c>
      <c r="M4" s="139">
        <f>RANK(L4,$L$3:$L$9,1)+COUNTIF(L4:$L$6,L4)-1</f>
        <v>2</v>
      </c>
      <c r="N4" s="94"/>
      <c r="O4" s="94"/>
      <c r="P4" s="48">
        <v>50</v>
      </c>
      <c r="Q4" s="110">
        <v>69</v>
      </c>
      <c r="R4" s="111">
        <v>64</v>
      </c>
      <c r="S4" s="49">
        <v>20</v>
      </c>
      <c r="T4" s="112"/>
      <c r="U4" s="113"/>
    </row>
    <row r="5" spans="1:27" ht="17.100000000000001" customHeight="1" thickBot="1" x14ac:dyDescent="0.35">
      <c r="A5" s="65" t="s">
        <v>15</v>
      </c>
      <c r="B5" s="80" t="s">
        <v>21</v>
      </c>
      <c r="C5" s="71">
        <v>492</v>
      </c>
      <c r="D5" s="31">
        <v>103</v>
      </c>
      <c r="E5" s="94" t="s">
        <v>22</v>
      </c>
      <c r="F5" s="74">
        <v>3</v>
      </c>
      <c r="G5" s="130">
        <v>337</v>
      </c>
      <c r="H5" s="94">
        <v>41</v>
      </c>
      <c r="I5" s="138">
        <f t="shared" si="0"/>
        <v>2</v>
      </c>
      <c r="J5" s="94">
        <v>86</v>
      </c>
      <c r="K5" s="34">
        <f>RANK(J5,$J$3:$J$9)+COUNTIF(J$3:$J5,J5)-1</f>
        <v>4</v>
      </c>
      <c r="L5" s="109">
        <f>(F5+K5)/2</f>
        <v>3.5</v>
      </c>
      <c r="M5" s="139">
        <f>RANK(L5,$L$3:$L$9,1)+COUNTIF(L5:$L$6,L5)-1</f>
        <v>4</v>
      </c>
      <c r="N5" s="94"/>
      <c r="O5" s="94"/>
      <c r="V5" s="183" t="s">
        <v>23</v>
      </c>
      <c r="W5" s="184"/>
    </row>
    <row r="6" spans="1:27" x14ac:dyDescent="0.3">
      <c r="A6" s="65" t="s">
        <v>38</v>
      </c>
      <c r="B6" s="83" t="s">
        <v>45</v>
      </c>
      <c r="C6" s="71">
        <v>366</v>
      </c>
      <c r="D6" s="31">
        <v>102</v>
      </c>
      <c r="E6" s="159" t="s">
        <v>22</v>
      </c>
      <c r="F6" s="74">
        <v>4</v>
      </c>
      <c r="G6" s="160">
        <v>228</v>
      </c>
      <c r="H6" s="159">
        <v>67</v>
      </c>
      <c r="I6" s="138">
        <f t="shared" si="0"/>
        <v>1</v>
      </c>
      <c r="J6" s="71">
        <v>87</v>
      </c>
      <c r="K6" s="34">
        <f>RANK(J6,$J$3:$J$9)+COUNTIF(J$3:$J6,J6)-1</f>
        <v>3</v>
      </c>
      <c r="L6" s="109">
        <f>(F6+K6)/2</f>
        <v>3.5</v>
      </c>
      <c r="M6" s="139">
        <f>RANK(L6,$L$3:$L$9,1)+COUNTIF(L$6:$L6,L6)-1</f>
        <v>3</v>
      </c>
      <c r="N6" s="94"/>
      <c r="O6" s="94"/>
      <c r="V6" s="115" t="s">
        <v>25</v>
      </c>
      <c r="W6" s="116" t="s">
        <v>26</v>
      </c>
    </row>
    <row r="7" spans="1:27" ht="15" thickBot="1" x14ac:dyDescent="0.35">
      <c r="A7" s="66"/>
      <c r="B7" s="71"/>
      <c r="C7" s="71"/>
      <c r="D7" s="31"/>
      <c r="E7" s="94"/>
      <c r="F7" s="74"/>
      <c r="G7" s="130"/>
      <c r="H7" s="94"/>
      <c r="I7" s="138"/>
      <c r="J7" s="94"/>
      <c r="K7" s="34"/>
      <c r="L7" s="109"/>
      <c r="M7" s="139"/>
      <c r="N7" s="94"/>
      <c r="O7" s="94"/>
      <c r="V7" s="117">
        <f>Q4+T4</f>
        <v>69</v>
      </c>
      <c r="W7" s="118">
        <f>R4+U4</f>
        <v>64</v>
      </c>
    </row>
    <row r="8" spans="1:27" ht="15" thickTop="1" x14ac:dyDescent="0.3">
      <c r="A8" s="66"/>
      <c r="B8" s="71"/>
      <c r="C8" s="71"/>
      <c r="D8" s="31"/>
      <c r="E8" s="94"/>
      <c r="F8" s="74"/>
      <c r="G8" s="130"/>
      <c r="H8" s="94"/>
      <c r="I8" s="138"/>
      <c r="J8" s="94"/>
      <c r="K8" s="34"/>
      <c r="L8" s="109"/>
      <c r="M8" s="139"/>
      <c r="N8" s="94"/>
      <c r="O8" s="94"/>
      <c r="V8" s="140"/>
      <c r="W8" s="140"/>
    </row>
    <row r="9" spans="1:27" ht="15" thickBot="1" x14ac:dyDescent="0.35">
      <c r="A9" s="67"/>
      <c r="B9" s="72"/>
      <c r="C9" s="72"/>
      <c r="D9" s="68"/>
      <c r="E9" s="141"/>
      <c r="F9" s="75"/>
      <c r="G9" s="142"/>
      <c r="H9" s="141"/>
      <c r="I9" s="143"/>
      <c r="J9" s="141"/>
      <c r="K9" s="69"/>
      <c r="L9" s="144"/>
      <c r="M9" s="145"/>
      <c r="N9" s="94"/>
      <c r="O9" s="94"/>
      <c r="V9" s="140"/>
      <c r="W9" s="140"/>
    </row>
    <row r="10" spans="1:27" x14ac:dyDescent="0.3">
      <c r="A10" s="76"/>
      <c r="B10" s="76"/>
      <c r="C10" s="76"/>
      <c r="D10" s="76"/>
      <c r="E10" s="76"/>
      <c r="F10" s="76"/>
      <c r="G10" s="76"/>
      <c r="H10" s="76"/>
      <c r="I10" s="76"/>
      <c r="J10" s="76"/>
      <c r="K10" s="76"/>
      <c r="L10" s="76"/>
      <c r="M10" s="76"/>
      <c r="N10" s="94"/>
      <c r="O10" s="94"/>
      <c r="V10" s="140"/>
      <c r="W10" s="140"/>
    </row>
    <row r="11" spans="1:27" x14ac:dyDescent="0.3">
      <c r="A11" s="76"/>
      <c r="B11" s="76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94"/>
      <c r="O11" s="94"/>
      <c r="V11" s="140"/>
      <c r="W11" s="140"/>
    </row>
    <row r="12" spans="1:27" x14ac:dyDescent="0.3">
      <c r="B12" s="122" t="s">
        <v>33</v>
      </c>
      <c r="C12" s="122"/>
      <c r="D12" s="122" t="s">
        <v>34</v>
      </c>
      <c r="E12" s="122"/>
      <c r="G12" s="94"/>
      <c r="H12" s="94"/>
      <c r="I12" s="94"/>
      <c r="J12" s="94"/>
      <c r="K12" s="94"/>
      <c r="L12" s="94"/>
      <c r="M12" s="94"/>
      <c r="N12" s="94"/>
      <c r="O12" s="94"/>
    </row>
    <row r="13" spans="1:27" x14ac:dyDescent="0.3">
      <c r="B13" s="122" t="s">
        <v>35</v>
      </c>
      <c r="C13" s="122"/>
      <c r="D13" t="s">
        <v>36</v>
      </c>
      <c r="E13" s="122"/>
      <c r="G13" s="123"/>
      <c r="H13" s="94"/>
      <c r="I13" s="94"/>
      <c r="J13" s="94"/>
      <c r="L13" s="94"/>
      <c r="M13" s="94"/>
      <c r="N13" s="94"/>
      <c r="O13" s="94"/>
    </row>
    <row r="14" spans="1:27" x14ac:dyDescent="0.3">
      <c r="B14" s="1" t="s">
        <v>33</v>
      </c>
      <c r="C14" s="1"/>
      <c r="D14" s="27" t="s">
        <v>34</v>
      </c>
      <c r="E14" s="122"/>
      <c r="G14" s="94"/>
      <c r="H14" s="94"/>
      <c r="I14" s="94"/>
      <c r="J14" s="94"/>
      <c r="K14" s="94"/>
      <c r="L14" s="94"/>
      <c r="M14" s="94"/>
      <c r="N14" s="94"/>
    </row>
    <row r="15" spans="1:27" x14ac:dyDescent="0.3">
      <c r="A15" s="123"/>
      <c r="B15" s="2"/>
      <c r="C15" s="2"/>
      <c r="D15" s="2"/>
      <c r="E15" s="2"/>
      <c r="F15" s="2"/>
      <c r="G15" s="94"/>
      <c r="H15" s="94"/>
      <c r="I15" s="94"/>
      <c r="J15" s="94"/>
      <c r="K15" s="94"/>
      <c r="L15" s="94"/>
      <c r="M15" s="94"/>
      <c r="N15" s="94"/>
    </row>
    <row r="16" spans="1:27" x14ac:dyDescent="0.3">
      <c r="A16" s="122"/>
      <c r="B16" s="122" t="s">
        <v>40</v>
      </c>
      <c r="C16" s="122"/>
      <c r="D16" s="122"/>
      <c r="E16" s="122"/>
      <c r="G16" s="94"/>
      <c r="H16" s="94"/>
      <c r="I16" s="181"/>
      <c r="J16" s="181"/>
      <c r="K16" s="181"/>
      <c r="L16" s="181"/>
      <c r="M16" s="94"/>
      <c r="N16" s="94"/>
      <c r="O16" s="94"/>
      <c r="P16" s="94"/>
      <c r="Q16" s="94"/>
      <c r="R16" s="94"/>
      <c r="S16" s="94"/>
    </row>
    <row r="17" spans="1:19" x14ac:dyDescent="0.3">
      <c r="A17" s="122"/>
      <c r="B17" s="91"/>
      <c r="C17" s="91"/>
      <c r="D17" s="2" t="s">
        <v>47</v>
      </c>
      <c r="E17" s="2"/>
      <c r="F17" s="2"/>
      <c r="G17" s="94"/>
      <c r="H17" s="94"/>
      <c r="I17" s="94"/>
      <c r="J17" s="94"/>
      <c r="K17" s="94"/>
      <c r="L17" s="94"/>
      <c r="M17" s="94"/>
      <c r="N17" s="94"/>
      <c r="O17" s="94"/>
      <c r="P17" s="94"/>
      <c r="Q17" s="94"/>
      <c r="R17" s="94"/>
      <c r="S17" s="94"/>
    </row>
    <row r="18" spans="1:19" ht="14.4" customHeight="1" x14ac:dyDescent="0.3">
      <c r="E18" s="124"/>
      <c r="F18" s="124"/>
      <c r="G18" s="124"/>
      <c r="H18" s="94"/>
      <c r="I18" s="94"/>
      <c r="J18" s="94"/>
      <c r="K18" s="94"/>
      <c r="L18" s="94"/>
      <c r="M18" s="94"/>
      <c r="N18" s="94"/>
      <c r="O18" s="94"/>
      <c r="P18" s="94"/>
      <c r="Q18" s="94"/>
      <c r="R18" s="94"/>
      <c r="S18" s="94"/>
    </row>
    <row r="19" spans="1:19" x14ac:dyDescent="0.3">
      <c r="A19" s="123"/>
      <c r="B19" s="94"/>
      <c r="C19" s="94"/>
      <c r="D19" s="94"/>
      <c r="E19" s="94"/>
      <c r="F19" s="94"/>
      <c r="G19" s="94"/>
      <c r="H19" s="94"/>
      <c r="I19" s="94"/>
      <c r="J19" s="94"/>
      <c r="K19" s="94"/>
      <c r="L19" s="94"/>
      <c r="M19" s="94"/>
      <c r="N19" s="94"/>
    </row>
    <row r="20" spans="1:19" x14ac:dyDescent="0.3">
      <c r="A20" s="123"/>
      <c r="B20" s="94"/>
      <c r="C20" s="94"/>
      <c r="D20" s="94"/>
      <c r="E20" s="94"/>
      <c r="F20" s="94"/>
      <c r="G20" s="94"/>
      <c r="H20" s="94"/>
      <c r="I20" s="94"/>
      <c r="J20" s="94"/>
      <c r="K20" s="94"/>
      <c r="L20" s="94"/>
      <c r="M20" s="94"/>
      <c r="N20" s="94"/>
    </row>
    <row r="21" spans="1:19" x14ac:dyDescent="0.3">
      <c r="B21" s="94"/>
      <c r="C21" s="94"/>
      <c r="D21" s="94"/>
      <c r="E21" s="94"/>
      <c r="F21" s="94"/>
      <c r="G21" s="94"/>
      <c r="H21" s="94"/>
      <c r="I21" s="94"/>
      <c r="J21" s="94"/>
      <c r="K21" s="94"/>
      <c r="L21" s="94"/>
      <c r="M21" s="94"/>
      <c r="N21" s="94"/>
    </row>
    <row r="22" spans="1:19" x14ac:dyDescent="0.3">
      <c r="B22" s="94"/>
      <c r="C22" s="94"/>
      <c r="D22" s="94"/>
      <c r="E22" s="94"/>
      <c r="F22" s="94"/>
      <c r="G22" s="94"/>
      <c r="H22" s="94"/>
      <c r="I22" s="94"/>
      <c r="J22" s="94"/>
      <c r="K22" s="94"/>
      <c r="L22" s="94"/>
      <c r="M22" s="94"/>
      <c r="N22" s="94"/>
    </row>
    <row r="23" spans="1:19" x14ac:dyDescent="0.3">
      <c r="B23" s="94"/>
      <c r="C23" s="94"/>
      <c r="D23" s="94"/>
      <c r="E23" s="94"/>
      <c r="F23" s="94"/>
      <c r="G23" s="94"/>
      <c r="H23" s="94"/>
      <c r="I23" s="94"/>
      <c r="J23" s="94"/>
      <c r="K23" s="94"/>
      <c r="L23" s="94"/>
      <c r="M23" s="94"/>
      <c r="N23" s="94"/>
    </row>
    <row r="24" spans="1:19" x14ac:dyDescent="0.3">
      <c r="B24" s="94"/>
      <c r="C24" s="94"/>
      <c r="D24" s="94"/>
      <c r="E24" s="94"/>
      <c r="F24" s="94"/>
      <c r="G24" s="94"/>
      <c r="H24" s="94"/>
      <c r="I24" s="94"/>
      <c r="J24" s="94"/>
      <c r="K24" s="94"/>
      <c r="L24" s="94"/>
      <c r="M24" s="94"/>
      <c r="N24" s="94"/>
    </row>
    <row r="25" spans="1:19" x14ac:dyDescent="0.3">
      <c r="B25" s="94"/>
      <c r="C25" s="94"/>
      <c r="D25" s="94"/>
      <c r="E25" s="94"/>
      <c r="F25" s="94"/>
      <c r="G25" s="94"/>
      <c r="H25" s="94"/>
      <c r="I25" s="94"/>
      <c r="J25" s="94"/>
      <c r="K25" s="94"/>
      <c r="L25" s="94"/>
      <c r="M25" s="94"/>
      <c r="N25" s="94"/>
      <c r="O25" s="94"/>
    </row>
    <row r="26" spans="1:19" x14ac:dyDescent="0.3">
      <c r="B26" s="94"/>
      <c r="C26" s="94"/>
      <c r="D26" s="94"/>
      <c r="E26" s="94"/>
      <c r="F26" s="94"/>
      <c r="G26" s="94"/>
      <c r="H26" s="94"/>
      <c r="I26" s="94"/>
      <c r="J26" s="94"/>
      <c r="K26" s="94"/>
      <c r="L26" s="94"/>
      <c r="M26" s="94"/>
      <c r="N26" s="94"/>
      <c r="O26" s="94"/>
    </row>
    <row r="27" spans="1:19" x14ac:dyDescent="0.3">
      <c r="B27" s="94"/>
      <c r="C27" s="94"/>
      <c r="D27" s="94"/>
      <c r="E27" s="94"/>
      <c r="F27" s="94"/>
      <c r="G27" s="94"/>
      <c r="H27" s="94"/>
      <c r="I27" s="94"/>
      <c r="J27" s="94"/>
      <c r="K27" s="94"/>
      <c r="L27" s="94"/>
      <c r="M27" s="94"/>
      <c r="N27" s="94"/>
      <c r="O27" s="94"/>
    </row>
    <row r="28" spans="1:19" x14ac:dyDescent="0.3">
      <c r="B28" s="94"/>
      <c r="C28" s="94"/>
      <c r="D28" s="94"/>
      <c r="E28" s="94"/>
      <c r="F28" s="94"/>
      <c r="G28" s="94"/>
      <c r="H28" s="94"/>
      <c r="I28" s="94"/>
      <c r="J28" s="94"/>
      <c r="K28" s="94"/>
      <c r="L28" s="94"/>
      <c r="M28" s="94"/>
      <c r="N28" s="94"/>
      <c r="O28" s="94"/>
    </row>
    <row r="29" spans="1:19" x14ac:dyDescent="0.3">
      <c r="B29" s="94"/>
      <c r="C29" s="94"/>
      <c r="D29" s="94"/>
      <c r="E29" s="94"/>
      <c r="F29" s="94"/>
      <c r="G29" s="94"/>
      <c r="H29" s="94"/>
      <c r="I29" s="94"/>
      <c r="J29" s="94"/>
      <c r="K29" s="94"/>
      <c r="L29" s="94"/>
      <c r="M29" s="94"/>
      <c r="N29" s="94"/>
      <c r="O29" s="94"/>
    </row>
    <row r="30" spans="1:19" x14ac:dyDescent="0.3">
      <c r="B30" s="94"/>
      <c r="C30" s="94"/>
      <c r="D30" s="94"/>
      <c r="E30" s="94"/>
      <c r="F30" s="94"/>
      <c r="G30" s="94"/>
      <c r="H30" s="94"/>
      <c r="I30" s="94"/>
      <c r="J30" s="94"/>
      <c r="K30" s="94"/>
      <c r="L30" s="94"/>
      <c r="M30" s="94"/>
      <c r="N30" s="94"/>
      <c r="O30" s="94"/>
    </row>
    <row r="31" spans="1:19" x14ac:dyDescent="0.3">
      <c r="B31" s="94"/>
      <c r="C31" s="94"/>
      <c r="D31" s="94"/>
      <c r="E31" s="94"/>
      <c r="F31" s="94"/>
      <c r="G31" s="94"/>
      <c r="H31" s="94"/>
      <c r="I31" s="94"/>
      <c r="J31" s="94"/>
      <c r="K31" s="94"/>
      <c r="L31" s="94"/>
      <c r="M31" s="94"/>
      <c r="N31" s="94"/>
      <c r="O31" s="94"/>
    </row>
    <row r="32" spans="1:19" x14ac:dyDescent="0.3">
      <c r="B32" s="94"/>
      <c r="C32" s="94"/>
      <c r="D32" s="94"/>
      <c r="E32" s="94"/>
      <c r="F32" s="94"/>
      <c r="G32" s="94"/>
      <c r="H32" s="94"/>
      <c r="I32" s="94"/>
      <c r="J32" s="94"/>
      <c r="K32" s="94"/>
      <c r="L32" s="94"/>
      <c r="M32" s="94"/>
      <c r="N32" s="94"/>
      <c r="O32" s="94"/>
    </row>
    <row r="33" spans="2:15" x14ac:dyDescent="0.3">
      <c r="B33" s="94"/>
      <c r="C33" s="94"/>
      <c r="D33" s="94"/>
      <c r="E33" s="94"/>
      <c r="F33" s="94"/>
      <c r="G33" s="94"/>
      <c r="H33" s="94"/>
      <c r="I33" s="94"/>
      <c r="J33" s="94"/>
      <c r="K33" s="94"/>
      <c r="L33" s="94"/>
      <c r="M33" s="94"/>
      <c r="N33" s="94"/>
      <c r="O33" s="94"/>
    </row>
    <row r="34" spans="2:15" x14ac:dyDescent="0.3">
      <c r="B34" s="94"/>
      <c r="C34" s="94"/>
      <c r="D34" s="94"/>
      <c r="E34" s="94"/>
      <c r="F34" s="94"/>
      <c r="G34" s="94"/>
      <c r="H34" s="94"/>
      <c r="I34" s="94"/>
      <c r="J34" s="94"/>
      <c r="K34" s="94"/>
      <c r="L34" s="94"/>
      <c r="M34" s="94"/>
      <c r="N34" s="94"/>
      <c r="O34" s="94"/>
    </row>
    <row r="35" spans="2:15" x14ac:dyDescent="0.3">
      <c r="B35" s="94"/>
      <c r="C35" s="94"/>
      <c r="D35" s="94"/>
      <c r="E35" s="94"/>
      <c r="F35" s="94"/>
      <c r="G35" s="94"/>
      <c r="H35" s="94"/>
      <c r="I35" s="94"/>
      <c r="J35" s="94"/>
      <c r="K35" s="94"/>
      <c r="L35" s="94"/>
      <c r="M35" s="94"/>
      <c r="N35" s="94"/>
      <c r="O35" s="94"/>
    </row>
    <row r="36" spans="2:15" x14ac:dyDescent="0.3">
      <c r="B36" s="94"/>
      <c r="C36" s="94"/>
      <c r="D36" s="94"/>
      <c r="E36" s="94"/>
      <c r="F36" s="94"/>
      <c r="G36" s="94"/>
      <c r="H36" s="94"/>
      <c r="I36" s="94"/>
      <c r="J36" s="94"/>
      <c r="K36" s="94"/>
      <c r="L36" s="94"/>
      <c r="M36" s="94"/>
      <c r="N36" s="94"/>
      <c r="O36" s="94"/>
    </row>
    <row r="37" spans="2:15" x14ac:dyDescent="0.3">
      <c r="B37" s="94"/>
      <c r="C37" s="94"/>
      <c r="D37" s="94"/>
      <c r="E37" s="94"/>
      <c r="F37" s="94"/>
      <c r="G37" s="94"/>
      <c r="H37" s="94"/>
      <c r="I37" s="94"/>
      <c r="J37" s="94"/>
      <c r="K37" s="94"/>
      <c r="L37" s="94"/>
      <c r="M37" s="94"/>
      <c r="N37" s="94"/>
      <c r="O37" s="94"/>
    </row>
    <row r="38" spans="2:15" x14ac:dyDescent="0.3">
      <c r="B38" s="94"/>
      <c r="C38" s="94"/>
      <c r="D38" s="94"/>
      <c r="E38" s="94"/>
      <c r="F38" s="94"/>
      <c r="G38" s="94"/>
      <c r="H38" s="94"/>
      <c r="I38" s="94"/>
      <c r="J38" s="94"/>
      <c r="K38" s="94"/>
      <c r="L38" s="94"/>
      <c r="M38" s="94"/>
      <c r="N38" s="94"/>
      <c r="O38" s="94"/>
    </row>
    <row r="39" spans="2:15" x14ac:dyDescent="0.3">
      <c r="B39" s="94"/>
      <c r="C39" s="94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</row>
    <row r="40" spans="2:15" x14ac:dyDescent="0.3">
      <c r="B40" s="94"/>
      <c r="C40" s="94"/>
      <c r="D40" s="94"/>
      <c r="E40" s="94"/>
      <c r="F40" s="94"/>
      <c r="G40" s="94"/>
      <c r="H40" s="94"/>
      <c r="I40" s="94"/>
      <c r="J40" s="94"/>
      <c r="K40" s="94"/>
      <c r="L40" s="94"/>
      <c r="M40" s="94"/>
      <c r="N40" s="94"/>
      <c r="O40" s="94"/>
    </row>
    <row r="41" spans="2:15" x14ac:dyDescent="0.3">
      <c r="B41" s="94"/>
      <c r="C41" s="94"/>
      <c r="D41" s="94"/>
      <c r="E41" s="94"/>
      <c r="F41" s="94"/>
      <c r="G41" s="94"/>
      <c r="H41" s="94"/>
      <c r="I41" s="94"/>
      <c r="J41" s="94"/>
      <c r="K41" s="94"/>
      <c r="L41" s="94"/>
      <c r="M41" s="94"/>
      <c r="N41" s="94"/>
      <c r="O41" s="94"/>
    </row>
    <row r="42" spans="2:15" x14ac:dyDescent="0.3">
      <c r="B42" s="94"/>
      <c r="C42" s="94"/>
      <c r="D42" s="94"/>
      <c r="E42" s="94"/>
      <c r="F42" s="94"/>
      <c r="G42" s="94"/>
      <c r="H42" s="94"/>
      <c r="I42" s="94"/>
      <c r="J42" s="94"/>
      <c r="K42" s="94"/>
      <c r="L42" s="94"/>
      <c r="M42" s="94"/>
      <c r="N42" s="94"/>
      <c r="O42" s="94"/>
    </row>
    <row r="43" spans="2:15" x14ac:dyDescent="0.3">
      <c r="G43" s="123"/>
      <c r="M43" s="94"/>
    </row>
    <row r="44" spans="2:15" x14ac:dyDescent="0.3">
      <c r="G44" s="123"/>
      <c r="M44" s="94"/>
    </row>
    <row r="45" spans="2:15" x14ac:dyDescent="0.3">
      <c r="G45" s="123"/>
      <c r="M45" s="94"/>
    </row>
    <row r="46" spans="2:15" x14ac:dyDescent="0.3">
      <c r="G46" s="123"/>
      <c r="M46" s="94"/>
    </row>
    <row r="47" spans="2:15" x14ac:dyDescent="0.3">
      <c r="G47" s="123"/>
      <c r="M47" s="94"/>
    </row>
    <row r="48" spans="2:15" x14ac:dyDescent="0.3">
      <c r="G48" s="123"/>
      <c r="M48" s="94"/>
    </row>
  </sheetData>
  <mergeCells count="14">
    <mergeCell ref="V5:W5"/>
    <mergeCell ref="I16:L16"/>
    <mergeCell ref="H1:H2"/>
    <mergeCell ref="J1:J2"/>
    <mergeCell ref="K1:K2"/>
    <mergeCell ref="L1:L2"/>
    <mergeCell ref="M1:M2"/>
    <mergeCell ref="P1:U1"/>
    <mergeCell ref="G1:G2"/>
    <mergeCell ref="A1:A2"/>
    <mergeCell ref="B1:B2"/>
    <mergeCell ref="D1:D2"/>
    <mergeCell ref="E1:E2"/>
    <mergeCell ref="F1:F2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BF6AD-C5A5-4229-B9CA-0EE0D6431DB6}">
  <dimension ref="A1:AB48"/>
  <sheetViews>
    <sheetView workbookViewId="0">
      <selection activeCell="K15" sqref="K15"/>
    </sheetView>
  </sheetViews>
  <sheetFormatPr defaultColWidth="9.109375" defaultRowHeight="14.4" x14ac:dyDescent="0.3"/>
  <cols>
    <col min="1" max="2" width="9.109375" style="28"/>
    <col min="3" max="3" width="11.109375" style="28" customWidth="1"/>
    <col min="4" max="4" width="15.44140625" style="28" customWidth="1"/>
    <col min="5" max="5" width="11.109375" style="28" customWidth="1"/>
    <col min="6" max="6" width="15.44140625" style="28" customWidth="1"/>
    <col min="7" max="7" width="12" style="28" customWidth="1"/>
    <col min="8" max="8" width="17.109375" style="39" customWidth="1"/>
    <col min="9" max="9" width="13.33203125" style="28" customWidth="1"/>
    <col min="10" max="10" width="11.44140625" style="28" customWidth="1"/>
    <col min="11" max="11" width="17.33203125" style="28" customWidth="1"/>
    <col min="12" max="12" width="11.6640625" style="28" customWidth="1"/>
    <col min="13" max="13" width="16.109375" style="28" customWidth="1"/>
    <col min="14" max="14" width="13.5546875" style="28" customWidth="1"/>
    <col min="15" max="15" width="9.109375" style="28"/>
    <col min="16" max="16" width="9.109375" style="28" customWidth="1"/>
    <col min="17" max="22" width="9.109375" style="28"/>
    <col min="23" max="23" width="15.109375" style="28" customWidth="1"/>
    <col min="24" max="24" width="13.6640625" style="28" customWidth="1"/>
    <col min="25" max="27" width="9.109375" style="28"/>
    <col min="28" max="28" width="9.5546875" style="28" customWidth="1"/>
    <col min="29" max="16384" width="9.109375" style="28"/>
  </cols>
  <sheetData>
    <row r="1" spans="1:28" ht="45" customHeight="1" thickBot="1" x14ac:dyDescent="0.4">
      <c r="A1" s="185" t="s">
        <v>0</v>
      </c>
      <c r="B1" s="187" t="s">
        <v>1</v>
      </c>
      <c r="C1" s="165" t="s">
        <v>148</v>
      </c>
      <c r="D1" s="165" t="s">
        <v>149</v>
      </c>
      <c r="E1" s="189" t="s">
        <v>2</v>
      </c>
      <c r="F1" s="191" t="s">
        <v>3</v>
      </c>
      <c r="G1" s="193" t="s">
        <v>4</v>
      </c>
      <c r="H1" s="179" t="s">
        <v>5</v>
      </c>
      <c r="I1" s="195" t="s">
        <v>6</v>
      </c>
      <c r="J1" s="92" t="s">
        <v>7</v>
      </c>
      <c r="K1" s="195" t="s">
        <v>8</v>
      </c>
      <c r="L1" s="196" t="s">
        <v>9</v>
      </c>
      <c r="M1" s="187" t="s">
        <v>10</v>
      </c>
      <c r="N1" s="187" t="s">
        <v>11</v>
      </c>
      <c r="O1" s="94"/>
      <c r="P1" s="94"/>
      <c r="Q1" s="182" t="s">
        <v>12</v>
      </c>
      <c r="R1" s="182"/>
      <c r="S1" s="182"/>
      <c r="T1" s="182"/>
      <c r="U1" s="182"/>
      <c r="V1" s="182"/>
      <c r="AB1" s="29">
        <v>45677</v>
      </c>
    </row>
    <row r="2" spans="1:28" ht="17.100000000000001" customHeight="1" thickBot="1" x14ac:dyDescent="0.35">
      <c r="A2" s="199"/>
      <c r="B2" s="200"/>
      <c r="C2" s="166"/>
      <c r="D2" s="166"/>
      <c r="E2" s="201"/>
      <c r="F2" s="202"/>
      <c r="G2" s="203"/>
      <c r="H2" s="198"/>
      <c r="I2" s="198"/>
      <c r="J2" s="129"/>
      <c r="K2" s="198"/>
      <c r="L2" s="204"/>
      <c r="M2" s="200"/>
      <c r="N2" s="200"/>
      <c r="O2" s="94"/>
      <c r="P2" s="164">
        <v>46216</v>
      </c>
      <c r="Q2" s="96" t="s">
        <v>13</v>
      </c>
      <c r="R2" s="97" t="s">
        <v>13</v>
      </c>
      <c r="S2" s="98" t="s">
        <v>13</v>
      </c>
      <c r="T2" s="96" t="s">
        <v>14</v>
      </c>
      <c r="U2" s="97" t="s">
        <v>14</v>
      </c>
      <c r="V2" s="98" t="s">
        <v>14</v>
      </c>
      <c r="W2" s="94"/>
      <c r="X2" s="94"/>
    </row>
    <row r="3" spans="1:28" ht="17.100000000000001" customHeight="1" thickBot="1" x14ac:dyDescent="0.35">
      <c r="A3" s="62" t="s">
        <v>27</v>
      </c>
      <c r="B3" s="161" t="s">
        <v>16</v>
      </c>
      <c r="C3" s="167">
        <v>45547</v>
      </c>
      <c r="D3" s="168">
        <f>$P$2-C3</f>
        <v>669</v>
      </c>
      <c r="E3" s="63">
        <v>107</v>
      </c>
      <c r="F3" s="131" t="s">
        <v>22</v>
      </c>
      <c r="G3" s="73">
        <v>1</v>
      </c>
      <c r="H3" s="132">
        <v>280</v>
      </c>
      <c r="I3" s="133">
        <v>71</v>
      </c>
      <c r="J3" s="134">
        <f t="shared" ref="J3:J6" si="0">RANK(I3,$I$3:$I$9)</f>
        <v>1</v>
      </c>
      <c r="K3" s="135">
        <v>87</v>
      </c>
      <c r="L3" s="64">
        <f>RANK(K3,$K$3:$K$9)+COUNTIF(K3:$K$3,K3)-1</f>
        <v>2</v>
      </c>
      <c r="M3" s="136">
        <f>(G3+L3)/2</f>
        <v>1.5</v>
      </c>
      <c r="N3" s="137">
        <f>RANK(M3,$M$3:$M$9,1)+COUNTIF(M3:$M$6,M3)-1</f>
        <v>1</v>
      </c>
      <c r="O3" s="94"/>
      <c r="P3" s="94"/>
      <c r="Q3" s="103" t="s">
        <v>18</v>
      </c>
      <c r="R3" s="104" t="s">
        <v>19</v>
      </c>
      <c r="S3" s="105" t="s">
        <v>20</v>
      </c>
      <c r="T3" s="103" t="s">
        <v>18</v>
      </c>
      <c r="U3" s="104" t="s">
        <v>19</v>
      </c>
      <c r="V3" s="106" t="s">
        <v>20</v>
      </c>
      <c r="W3" s="94"/>
      <c r="X3" s="94"/>
    </row>
    <row r="4" spans="1:28" ht="17.100000000000001" customHeight="1" thickBot="1" x14ac:dyDescent="0.35">
      <c r="A4" s="65" t="s">
        <v>15</v>
      </c>
      <c r="B4" s="80" t="s">
        <v>24</v>
      </c>
      <c r="C4" s="169">
        <v>45710</v>
      </c>
      <c r="D4" s="170">
        <f t="shared" ref="D4:D6" si="1">$P$2-C4</f>
        <v>506</v>
      </c>
      <c r="E4" s="31">
        <v>104</v>
      </c>
      <c r="F4" s="94" t="s">
        <v>22</v>
      </c>
      <c r="G4" s="74">
        <v>2</v>
      </c>
      <c r="H4" s="130">
        <v>256</v>
      </c>
      <c r="I4" s="94">
        <v>60</v>
      </c>
      <c r="J4" s="138">
        <f t="shared" si="0"/>
        <v>2</v>
      </c>
      <c r="K4" s="94">
        <v>86</v>
      </c>
      <c r="L4" s="34">
        <f>RANK(K4,$K$3:$K$9)+COUNTIF(K$3:$K4,K4)-1</f>
        <v>4</v>
      </c>
      <c r="M4" s="109">
        <f>(G4+L4)/2</f>
        <v>3</v>
      </c>
      <c r="N4" s="139">
        <f>RANK(M4,$M$3:$M$9,1)+COUNTIF(M4:$M$6,M4)-1</f>
        <v>4</v>
      </c>
      <c r="O4" s="94"/>
      <c r="P4" s="94"/>
      <c r="Q4" s="48">
        <v>50</v>
      </c>
      <c r="R4" s="110"/>
      <c r="S4" s="111"/>
      <c r="T4" s="49">
        <v>20</v>
      </c>
      <c r="U4" s="112"/>
      <c r="V4" s="113"/>
    </row>
    <row r="5" spans="1:28" ht="17.100000000000001" customHeight="1" thickBot="1" x14ac:dyDescent="0.35">
      <c r="A5" s="65" t="s">
        <v>15</v>
      </c>
      <c r="B5" s="83" t="s">
        <v>21</v>
      </c>
      <c r="C5" s="169">
        <v>45717</v>
      </c>
      <c r="D5" s="170">
        <f t="shared" si="1"/>
        <v>499</v>
      </c>
      <c r="E5" s="31">
        <v>103</v>
      </c>
      <c r="F5" s="94" t="s">
        <v>22</v>
      </c>
      <c r="G5" s="74">
        <v>3</v>
      </c>
      <c r="H5" s="130">
        <v>358</v>
      </c>
      <c r="I5" s="94">
        <v>28</v>
      </c>
      <c r="J5" s="138">
        <f t="shared" si="0"/>
        <v>4</v>
      </c>
      <c r="K5" s="94">
        <v>87</v>
      </c>
      <c r="L5" s="34">
        <f>RANK(K5,$K$3:$K$9)+COUNTIF(K$3:$K5,K5)-1</f>
        <v>3</v>
      </c>
      <c r="M5" s="109">
        <f>(G5+L5)/2</f>
        <v>3</v>
      </c>
      <c r="N5" s="139">
        <f>RANK(M5,$M$3:$M$9,1)+COUNTIF(M5:$M$6,M5)-1</f>
        <v>3</v>
      </c>
      <c r="O5" s="94"/>
      <c r="P5" s="94"/>
      <c r="W5" s="183" t="s">
        <v>23</v>
      </c>
      <c r="X5" s="184"/>
    </row>
    <row r="6" spans="1:28" x14ac:dyDescent="0.3">
      <c r="A6" s="65" t="s">
        <v>27</v>
      </c>
      <c r="B6" s="80" t="s">
        <v>45</v>
      </c>
      <c r="C6" s="169">
        <v>45843</v>
      </c>
      <c r="D6" s="170">
        <f t="shared" si="1"/>
        <v>373</v>
      </c>
      <c r="E6" s="31">
        <v>102</v>
      </c>
      <c r="F6" s="159" t="s">
        <v>22</v>
      </c>
      <c r="G6" s="74">
        <v>4</v>
      </c>
      <c r="H6" s="160">
        <v>138</v>
      </c>
      <c r="I6" s="159">
        <v>40</v>
      </c>
      <c r="J6" s="138">
        <f t="shared" si="0"/>
        <v>3</v>
      </c>
      <c r="K6" s="71">
        <v>88</v>
      </c>
      <c r="L6" s="34">
        <f>RANK(K6,$K$3:$K$9)+COUNTIF(K$3:$K6,K6)-1</f>
        <v>1</v>
      </c>
      <c r="M6" s="109">
        <f>(G6+L6)/2</f>
        <v>2.5</v>
      </c>
      <c r="N6" s="139">
        <f>RANK(M6,$M$3:$M$9,1)+COUNTIF(M$6:$M6,M6)-1</f>
        <v>2</v>
      </c>
      <c r="O6" s="94"/>
      <c r="P6" s="94"/>
      <c r="W6" s="115" t="s">
        <v>25</v>
      </c>
      <c r="X6" s="116" t="s">
        <v>26</v>
      </c>
    </row>
    <row r="7" spans="1:28" ht="15" thickBot="1" x14ac:dyDescent="0.35">
      <c r="A7" s="66"/>
      <c r="B7" s="71"/>
      <c r="C7" s="31"/>
      <c r="D7" s="94"/>
      <c r="E7" s="31"/>
      <c r="F7" s="94"/>
      <c r="G7" s="74"/>
      <c r="H7" s="130"/>
      <c r="I7" s="94"/>
      <c r="J7" s="138"/>
      <c r="K7" s="94"/>
      <c r="L7" s="34"/>
      <c r="M7" s="109"/>
      <c r="N7" s="139"/>
      <c r="O7" s="94"/>
      <c r="P7" s="94"/>
      <c r="W7" s="117">
        <f>R4+U4</f>
        <v>0</v>
      </c>
      <c r="X7" s="118">
        <f>S4+V4</f>
        <v>0</v>
      </c>
    </row>
    <row r="8" spans="1:28" ht="15" thickTop="1" x14ac:dyDescent="0.3">
      <c r="A8" s="66"/>
      <c r="B8" s="71"/>
      <c r="C8" s="31"/>
      <c r="D8" s="94"/>
      <c r="E8" s="31"/>
      <c r="F8" s="94"/>
      <c r="G8" s="74"/>
      <c r="H8" s="130"/>
      <c r="I8" s="94"/>
      <c r="J8" s="138"/>
      <c r="K8" s="94"/>
      <c r="L8" s="34"/>
      <c r="M8" s="109"/>
      <c r="N8" s="139"/>
      <c r="O8" s="94"/>
      <c r="P8" s="94"/>
      <c r="W8" s="140"/>
      <c r="X8" s="140"/>
    </row>
    <row r="9" spans="1:28" ht="15" thickBot="1" x14ac:dyDescent="0.35">
      <c r="A9" s="67"/>
      <c r="B9" s="72"/>
      <c r="C9" s="68"/>
      <c r="D9" s="141"/>
      <c r="E9" s="68"/>
      <c r="F9" s="141"/>
      <c r="G9" s="75"/>
      <c r="H9" s="142"/>
      <c r="I9" s="141"/>
      <c r="J9" s="143"/>
      <c r="K9" s="141"/>
      <c r="L9" s="69"/>
      <c r="M9" s="144"/>
      <c r="N9" s="145"/>
      <c r="O9" s="94"/>
      <c r="P9" s="94"/>
      <c r="W9" s="140"/>
      <c r="X9" s="140"/>
    </row>
    <row r="10" spans="1:28" x14ac:dyDescent="0.3">
      <c r="A10" s="76"/>
      <c r="B10" s="76"/>
      <c r="C10" s="76"/>
      <c r="D10" s="76"/>
      <c r="E10" s="76"/>
      <c r="F10" s="76"/>
      <c r="G10" s="76"/>
      <c r="H10" s="76"/>
      <c r="I10" s="76"/>
      <c r="J10" s="76"/>
      <c r="K10" s="76"/>
      <c r="L10" s="76"/>
      <c r="M10" s="76"/>
      <c r="N10" s="76"/>
      <c r="O10" s="94"/>
      <c r="P10" s="94"/>
      <c r="W10" s="140"/>
      <c r="X10" s="140"/>
    </row>
    <row r="11" spans="1:28" x14ac:dyDescent="0.3">
      <c r="A11" s="76"/>
      <c r="B11" s="76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76"/>
      <c r="O11" s="94"/>
      <c r="P11" s="94"/>
      <c r="W11" s="140"/>
      <c r="X11" s="140"/>
    </row>
    <row r="12" spans="1:28" x14ac:dyDescent="0.3">
      <c r="B12" s="122" t="s">
        <v>33</v>
      </c>
      <c r="C12" s="122" t="s">
        <v>34</v>
      </c>
      <c r="D12" s="122"/>
      <c r="E12" s="122"/>
      <c r="F12" s="122"/>
      <c r="H12" s="94"/>
      <c r="I12" s="94"/>
      <c r="J12" s="94"/>
      <c r="K12" s="94"/>
      <c r="L12" s="94"/>
      <c r="M12" s="94"/>
      <c r="N12" s="94"/>
      <c r="O12" s="94"/>
      <c r="P12" s="94"/>
    </row>
    <row r="13" spans="1:28" x14ac:dyDescent="0.3">
      <c r="B13" s="122" t="s">
        <v>35</v>
      </c>
      <c r="C13" t="s">
        <v>36</v>
      </c>
      <c r="D13" s="122"/>
      <c r="E13"/>
      <c r="F13" s="122"/>
      <c r="H13" s="123"/>
      <c r="I13" s="94"/>
      <c r="J13" s="94"/>
      <c r="K13" s="94"/>
      <c r="M13" s="94"/>
      <c r="N13" s="94"/>
      <c r="O13" s="94"/>
      <c r="P13" s="94"/>
    </row>
    <row r="14" spans="1:28" x14ac:dyDescent="0.3">
      <c r="B14" s="1" t="s">
        <v>33</v>
      </c>
      <c r="C14" s="27" t="s">
        <v>34</v>
      </c>
      <c r="D14" s="122"/>
      <c r="E14" s="27"/>
      <c r="F14" s="122"/>
      <c r="H14" s="94"/>
      <c r="I14" s="94"/>
      <c r="J14" s="94"/>
      <c r="K14" s="94"/>
      <c r="L14" s="94"/>
      <c r="M14" s="94"/>
      <c r="N14" s="94"/>
      <c r="O14" s="94"/>
    </row>
    <row r="15" spans="1:28" x14ac:dyDescent="0.3">
      <c r="A15" s="123"/>
      <c r="B15" s="2"/>
      <c r="C15" s="2"/>
      <c r="D15" s="2"/>
      <c r="E15" s="2"/>
      <c r="F15" s="2"/>
      <c r="G15" s="2"/>
      <c r="H15" s="94"/>
      <c r="I15" s="94"/>
      <c r="J15" s="94"/>
      <c r="K15" s="94"/>
      <c r="L15" s="94"/>
      <c r="M15" s="94"/>
      <c r="N15" s="94"/>
      <c r="O15" s="94"/>
    </row>
    <row r="16" spans="1:28" x14ac:dyDescent="0.3">
      <c r="A16" s="122"/>
      <c r="B16" s="122" t="s">
        <v>40</v>
      </c>
      <c r="C16" s="122"/>
      <c r="D16" s="122"/>
      <c r="E16" s="122"/>
      <c r="F16" s="122"/>
      <c r="H16" s="94"/>
      <c r="I16" s="94"/>
      <c r="J16" s="181"/>
      <c r="K16" s="181"/>
      <c r="L16" s="181"/>
      <c r="M16" s="181"/>
      <c r="N16" s="94"/>
      <c r="O16" s="94"/>
      <c r="P16" s="94"/>
      <c r="Q16" s="94"/>
      <c r="R16" s="94"/>
      <c r="S16" s="94"/>
      <c r="T16" s="94"/>
    </row>
    <row r="17" spans="1:20" x14ac:dyDescent="0.3">
      <c r="A17" s="122"/>
      <c r="B17" s="91"/>
      <c r="C17" s="2" t="s">
        <v>47</v>
      </c>
      <c r="D17" s="2"/>
      <c r="E17" s="2"/>
      <c r="F17" s="2"/>
      <c r="G17" s="2"/>
      <c r="H17" s="94"/>
      <c r="I17" s="94"/>
      <c r="J17" s="94"/>
      <c r="K17" s="94"/>
      <c r="L17" s="94"/>
      <c r="M17" s="94"/>
      <c r="N17" s="94"/>
      <c r="O17" s="94"/>
      <c r="P17" s="94"/>
      <c r="Q17" s="94"/>
      <c r="R17" s="94"/>
      <c r="S17" s="94"/>
      <c r="T17" s="94"/>
    </row>
    <row r="18" spans="1:20" ht="14.4" customHeight="1" x14ac:dyDescent="0.3">
      <c r="D18" s="124"/>
      <c r="F18" s="124"/>
      <c r="G18" s="124"/>
      <c r="H18" s="124"/>
      <c r="I18" s="94"/>
      <c r="J18" s="94"/>
      <c r="K18" s="94"/>
      <c r="L18" s="94"/>
      <c r="M18" s="94"/>
      <c r="N18" s="94"/>
      <c r="O18" s="94"/>
      <c r="P18" s="94"/>
      <c r="Q18" s="94"/>
      <c r="R18" s="94"/>
      <c r="S18" s="94"/>
      <c r="T18" s="94"/>
    </row>
    <row r="19" spans="1:20" x14ac:dyDescent="0.3">
      <c r="A19" s="123"/>
      <c r="B19" s="94"/>
      <c r="C19" s="94"/>
      <c r="D19" s="94"/>
      <c r="E19" s="94"/>
      <c r="F19" s="94"/>
      <c r="G19" s="94"/>
      <c r="H19" s="94"/>
      <c r="I19" s="94"/>
      <c r="J19" s="94"/>
      <c r="K19" s="94"/>
      <c r="L19" s="94"/>
      <c r="M19" s="94"/>
      <c r="N19" s="94"/>
      <c r="O19" s="94"/>
    </row>
    <row r="20" spans="1:20" x14ac:dyDescent="0.3">
      <c r="A20" s="123"/>
      <c r="B20" s="94"/>
      <c r="C20" s="94"/>
      <c r="D20" s="94"/>
      <c r="E20" s="94"/>
      <c r="F20" s="94"/>
      <c r="G20" s="94"/>
      <c r="H20" s="94"/>
      <c r="I20" s="94"/>
      <c r="J20" s="94"/>
      <c r="K20" s="94"/>
      <c r="L20" s="94"/>
      <c r="M20" s="94"/>
      <c r="N20" s="94"/>
      <c r="O20" s="94"/>
    </row>
    <row r="21" spans="1:20" x14ac:dyDescent="0.3">
      <c r="B21" s="94"/>
      <c r="C21" s="94"/>
      <c r="D21" s="94"/>
      <c r="E21" s="94"/>
      <c r="F21" s="94"/>
      <c r="G21" s="94"/>
      <c r="H21" s="94"/>
      <c r="I21" s="94"/>
      <c r="J21" s="94"/>
      <c r="K21" s="94"/>
      <c r="L21" s="94"/>
      <c r="M21" s="94"/>
      <c r="N21" s="94"/>
      <c r="O21" s="94"/>
    </row>
    <row r="22" spans="1:20" x14ac:dyDescent="0.3">
      <c r="B22" s="94"/>
      <c r="C22" s="94"/>
      <c r="D22" s="94"/>
      <c r="E22" s="94"/>
      <c r="F22" s="94"/>
      <c r="G22" s="94"/>
      <c r="H22" s="94"/>
      <c r="I22" s="94"/>
      <c r="J22" s="94"/>
      <c r="K22" s="94"/>
      <c r="L22" s="94"/>
      <c r="M22" s="94"/>
      <c r="N22" s="94"/>
      <c r="O22" s="94"/>
    </row>
    <row r="23" spans="1:20" x14ac:dyDescent="0.3">
      <c r="B23" s="94"/>
      <c r="C23" s="94"/>
      <c r="D23" s="94"/>
      <c r="E23" s="94"/>
      <c r="F23" s="94"/>
      <c r="G23" s="94"/>
      <c r="H23" s="94"/>
      <c r="I23" s="94"/>
      <c r="J23" s="94"/>
      <c r="K23" s="94"/>
      <c r="L23" s="94"/>
      <c r="M23" s="94"/>
      <c r="N23" s="94"/>
      <c r="O23" s="94"/>
    </row>
    <row r="24" spans="1:20" x14ac:dyDescent="0.3">
      <c r="B24" s="94"/>
      <c r="C24" s="94"/>
      <c r="D24" s="94"/>
      <c r="E24" s="94"/>
      <c r="F24" s="94"/>
      <c r="G24" s="94"/>
      <c r="H24" s="94"/>
      <c r="I24" s="94"/>
      <c r="J24" s="94"/>
      <c r="K24" s="94"/>
      <c r="L24" s="94"/>
      <c r="M24" s="94"/>
      <c r="N24" s="94"/>
      <c r="O24" s="94"/>
    </row>
    <row r="25" spans="1:20" x14ac:dyDescent="0.3">
      <c r="B25" s="94"/>
      <c r="C25" s="94"/>
      <c r="D25" s="94"/>
      <c r="E25" s="94"/>
      <c r="F25" s="94"/>
      <c r="G25" s="94"/>
      <c r="H25" s="94"/>
      <c r="I25" s="94"/>
      <c r="J25" s="94"/>
      <c r="K25" s="94"/>
      <c r="L25" s="94"/>
      <c r="M25" s="94"/>
      <c r="N25" s="94"/>
      <c r="O25" s="94"/>
      <c r="P25" s="94"/>
    </row>
    <row r="26" spans="1:20" x14ac:dyDescent="0.3">
      <c r="B26" s="94"/>
      <c r="C26" s="94"/>
      <c r="D26" s="94"/>
      <c r="E26" s="94"/>
      <c r="F26" s="94"/>
      <c r="G26" s="94"/>
      <c r="H26" s="94"/>
      <c r="I26" s="94"/>
      <c r="J26" s="94"/>
      <c r="K26" s="94"/>
      <c r="L26" s="94"/>
      <c r="M26" s="94"/>
      <c r="N26" s="94"/>
      <c r="O26" s="94"/>
      <c r="P26" s="94"/>
    </row>
    <row r="27" spans="1:20" x14ac:dyDescent="0.3">
      <c r="B27" s="94"/>
      <c r="C27" s="94"/>
      <c r="D27" s="94"/>
      <c r="E27" s="94"/>
      <c r="F27" s="94"/>
      <c r="G27" s="94"/>
      <c r="H27" s="94"/>
      <c r="I27" s="94"/>
      <c r="J27" s="94"/>
      <c r="K27" s="94"/>
      <c r="L27" s="94"/>
      <c r="M27" s="94"/>
      <c r="N27" s="94"/>
      <c r="O27" s="94"/>
      <c r="P27" s="94"/>
    </row>
    <row r="28" spans="1:20" x14ac:dyDescent="0.3">
      <c r="B28" s="94"/>
      <c r="C28" s="94"/>
      <c r="D28" s="94"/>
      <c r="E28" s="94"/>
      <c r="F28" s="94"/>
      <c r="G28" s="94"/>
      <c r="H28" s="94"/>
      <c r="I28" s="94"/>
      <c r="J28" s="94"/>
      <c r="K28" s="94"/>
      <c r="L28" s="94"/>
      <c r="M28" s="94"/>
      <c r="N28" s="94"/>
      <c r="O28" s="94"/>
      <c r="P28" s="94"/>
    </row>
    <row r="29" spans="1:20" x14ac:dyDescent="0.3">
      <c r="B29" s="94"/>
      <c r="C29" s="94"/>
      <c r="D29" s="94"/>
      <c r="E29" s="94"/>
      <c r="F29" s="94"/>
      <c r="G29" s="94"/>
      <c r="H29" s="94"/>
      <c r="I29" s="94"/>
      <c r="J29" s="94"/>
      <c r="K29" s="94"/>
      <c r="L29" s="94"/>
      <c r="M29" s="94"/>
      <c r="N29" s="94"/>
      <c r="O29" s="94"/>
      <c r="P29" s="94"/>
    </row>
    <row r="30" spans="1:20" x14ac:dyDescent="0.3">
      <c r="B30" s="94"/>
      <c r="C30" s="94"/>
      <c r="D30" s="94"/>
      <c r="E30" s="94"/>
      <c r="F30" s="94"/>
      <c r="G30" s="94"/>
      <c r="H30" s="94"/>
      <c r="I30" s="94"/>
      <c r="J30" s="94"/>
      <c r="K30" s="94"/>
      <c r="L30" s="94"/>
      <c r="M30" s="94"/>
      <c r="N30" s="94"/>
      <c r="O30" s="94"/>
      <c r="P30" s="94"/>
    </row>
    <row r="31" spans="1:20" x14ac:dyDescent="0.3">
      <c r="B31" s="94"/>
      <c r="C31" s="94"/>
      <c r="D31" s="94"/>
      <c r="E31" s="94"/>
      <c r="F31" s="94"/>
      <c r="G31" s="94"/>
      <c r="H31" s="94"/>
      <c r="I31" s="94"/>
      <c r="J31" s="94"/>
      <c r="K31" s="94"/>
      <c r="L31" s="94"/>
      <c r="M31" s="94"/>
      <c r="N31" s="94"/>
      <c r="O31" s="94"/>
      <c r="P31" s="94"/>
    </row>
    <row r="32" spans="1:20" x14ac:dyDescent="0.3">
      <c r="B32" s="94"/>
      <c r="C32" s="94"/>
      <c r="D32" s="94"/>
      <c r="E32" s="94"/>
      <c r="F32" s="94"/>
      <c r="G32" s="94"/>
      <c r="H32" s="94"/>
      <c r="I32" s="94"/>
      <c r="J32" s="94"/>
      <c r="K32" s="94"/>
      <c r="L32" s="94"/>
      <c r="M32" s="94"/>
      <c r="N32" s="94"/>
      <c r="O32" s="94"/>
      <c r="P32" s="94"/>
    </row>
    <row r="33" spans="2:16" x14ac:dyDescent="0.3">
      <c r="B33" s="94"/>
      <c r="C33" s="94"/>
      <c r="D33" s="94"/>
      <c r="E33" s="94"/>
      <c r="F33" s="94"/>
      <c r="G33" s="94"/>
      <c r="H33" s="94"/>
      <c r="I33" s="94"/>
      <c r="J33" s="94"/>
      <c r="K33" s="94"/>
      <c r="L33" s="94"/>
      <c r="M33" s="94"/>
      <c r="N33" s="94"/>
      <c r="O33" s="94"/>
      <c r="P33" s="94"/>
    </row>
    <row r="34" spans="2:16" x14ac:dyDescent="0.3">
      <c r="B34" s="94"/>
      <c r="C34" s="94"/>
      <c r="D34" s="94"/>
      <c r="E34" s="94"/>
      <c r="F34" s="94"/>
      <c r="G34" s="94"/>
      <c r="H34" s="94"/>
      <c r="I34" s="94"/>
      <c r="J34" s="94"/>
      <c r="K34" s="94"/>
      <c r="L34" s="94"/>
      <c r="M34" s="94"/>
      <c r="N34" s="94"/>
      <c r="O34" s="94"/>
      <c r="P34" s="94"/>
    </row>
    <row r="35" spans="2:16" x14ac:dyDescent="0.3">
      <c r="B35" s="94"/>
      <c r="C35" s="94"/>
      <c r="D35" s="94"/>
      <c r="E35" s="94"/>
      <c r="F35" s="94"/>
      <c r="G35" s="94"/>
      <c r="H35" s="94"/>
      <c r="I35" s="94"/>
      <c r="J35" s="94"/>
      <c r="K35" s="94"/>
      <c r="L35" s="94"/>
      <c r="M35" s="94"/>
      <c r="N35" s="94"/>
      <c r="O35" s="94"/>
      <c r="P35" s="94"/>
    </row>
    <row r="36" spans="2:16" x14ac:dyDescent="0.3">
      <c r="B36" s="94"/>
      <c r="C36" s="94"/>
      <c r="D36" s="94"/>
      <c r="E36" s="94"/>
      <c r="F36" s="94"/>
      <c r="G36" s="94"/>
      <c r="H36" s="94"/>
      <c r="I36" s="94"/>
      <c r="J36" s="94"/>
      <c r="K36" s="94"/>
      <c r="L36" s="94"/>
      <c r="M36" s="94"/>
      <c r="N36" s="94"/>
      <c r="O36" s="94"/>
      <c r="P36" s="94"/>
    </row>
    <row r="37" spans="2:16" x14ac:dyDescent="0.3">
      <c r="B37" s="94"/>
      <c r="C37" s="94"/>
      <c r="D37" s="94"/>
      <c r="E37" s="94"/>
      <c r="F37" s="94"/>
      <c r="G37" s="94"/>
      <c r="H37" s="94"/>
      <c r="I37" s="94"/>
      <c r="J37" s="94"/>
      <c r="K37" s="94"/>
      <c r="L37" s="94"/>
      <c r="M37" s="94"/>
      <c r="N37" s="94"/>
      <c r="O37" s="94"/>
      <c r="P37" s="94"/>
    </row>
    <row r="38" spans="2:16" x14ac:dyDescent="0.3">
      <c r="B38" s="94"/>
      <c r="C38" s="94"/>
      <c r="D38" s="94"/>
      <c r="E38" s="94"/>
      <c r="F38" s="94"/>
      <c r="G38" s="94"/>
      <c r="H38" s="94"/>
      <c r="I38" s="94"/>
      <c r="J38" s="94"/>
      <c r="K38" s="94"/>
      <c r="L38" s="94"/>
      <c r="M38" s="94"/>
      <c r="N38" s="94"/>
      <c r="O38" s="94"/>
      <c r="P38" s="94"/>
    </row>
    <row r="39" spans="2:16" x14ac:dyDescent="0.3">
      <c r="B39" s="94"/>
      <c r="C39" s="94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4"/>
    </row>
    <row r="40" spans="2:16" x14ac:dyDescent="0.3">
      <c r="B40" s="94"/>
      <c r="C40" s="94"/>
      <c r="D40" s="94"/>
      <c r="E40" s="94"/>
      <c r="F40" s="94"/>
      <c r="G40" s="94"/>
      <c r="H40" s="94"/>
      <c r="I40" s="94"/>
      <c r="J40" s="94"/>
      <c r="K40" s="94"/>
      <c r="L40" s="94"/>
      <c r="M40" s="94"/>
      <c r="N40" s="94"/>
      <c r="O40" s="94"/>
      <c r="P40" s="94"/>
    </row>
    <row r="41" spans="2:16" x14ac:dyDescent="0.3">
      <c r="B41" s="94"/>
      <c r="C41" s="94"/>
      <c r="D41" s="94"/>
      <c r="E41" s="94"/>
      <c r="F41" s="94"/>
      <c r="G41" s="94"/>
      <c r="H41" s="94"/>
      <c r="I41" s="94"/>
      <c r="J41" s="94"/>
      <c r="K41" s="94"/>
      <c r="L41" s="94"/>
      <c r="M41" s="94"/>
      <c r="N41" s="94"/>
      <c r="O41" s="94"/>
      <c r="P41" s="94"/>
    </row>
    <row r="42" spans="2:16" x14ac:dyDescent="0.3">
      <c r="B42" s="94"/>
      <c r="C42" s="94"/>
      <c r="D42" s="94"/>
      <c r="E42" s="94"/>
      <c r="F42" s="94"/>
      <c r="G42" s="94"/>
      <c r="H42" s="94"/>
      <c r="I42" s="94"/>
      <c r="J42" s="94"/>
      <c r="K42" s="94"/>
      <c r="L42" s="94"/>
      <c r="M42" s="94"/>
      <c r="N42" s="94"/>
      <c r="O42" s="94"/>
      <c r="P42" s="94"/>
    </row>
    <row r="43" spans="2:16" x14ac:dyDescent="0.3">
      <c r="H43" s="123"/>
      <c r="N43" s="94"/>
    </row>
    <row r="44" spans="2:16" x14ac:dyDescent="0.3">
      <c r="H44" s="123"/>
      <c r="N44" s="94"/>
    </row>
    <row r="45" spans="2:16" x14ac:dyDescent="0.3">
      <c r="H45" s="123"/>
      <c r="N45" s="94"/>
    </row>
    <row r="46" spans="2:16" x14ac:dyDescent="0.3">
      <c r="H46" s="123"/>
      <c r="N46" s="94"/>
    </row>
    <row r="47" spans="2:16" x14ac:dyDescent="0.3">
      <c r="H47" s="123"/>
      <c r="N47" s="94"/>
    </row>
    <row r="48" spans="2:16" x14ac:dyDescent="0.3">
      <c r="H48" s="123"/>
      <c r="N48" s="94"/>
    </row>
  </sheetData>
  <mergeCells count="14">
    <mergeCell ref="W5:X5"/>
    <mergeCell ref="J16:M16"/>
    <mergeCell ref="I1:I2"/>
    <mergeCell ref="K1:K2"/>
    <mergeCell ref="L1:L2"/>
    <mergeCell ref="M1:M2"/>
    <mergeCell ref="N1:N2"/>
    <mergeCell ref="Q1:V1"/>
    <mergeCell ref="H1:H2"/>
    <mergeCell ref="A1:A2"/>
    <mergeCell ref="B1:B2"/>
    <mergeCell ref="E1:E2"/>
    <mergeCell ref="F1:F2"/>
    <mergeCell ref="G1:G2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3C8FB-71CD-4E7F-A9D6-4314A575B0E6}">
  <dimension ref="A1:AB48"/>
  <sheetViews>
    <sheetView workbookViewId="0">
      <selection activeCell="E12" sqref="E12"/>
    </sheetView>
  </sheetViews>
  <sheetFormatPr defaultColWidth="9.109375" defaultRowHeight="14.4" x14ac:dyDescent="0.3"/>
  <cols>
    <col min="1" max="2" width="9.109375" style="28"/>
    <col min="3" max="3" width="11.109375" style="28" customWidth="1"/>
    <col min="4" max="4" width="15.44140625" style="28" customWidth="1"/>
    <col min="5" max="5" width="12" style="28" customWidth="1"/>
    <col min="6" max="6" width="17.109375" style="39" customWidth="1"/>
    <col min="7" max="7" width="13.33203125" style="28" customWidth="1"/>
    <col min="8" max="8" width="11.44140625" style="28" customWidth="1"/>
    <col min="9" max="9" width="17.33203125" style="28" customWidth="1"/>
    <col min="10" max="10" width="11.6640625" style="28" customWidth="1"/>
    <col min="11" max="11" width="16.109375" style="28" customWidth="1"/>
    <col min="12" max="12" width="13.5546875" style="28" customWidth="1"/>
    <col min="13" max="13" width="12.44140625" style="28" customWidth="1"/>
    <col min="14" max="14" width="13.88671875" style="28" customWidth="1"/>
    <col min="15" max="20" width="9.109375" style="28"/>
    <col min="21" max="21" width="15.109375" style="28" customWidth="1"/>
    <col min="22" max="22" width="13.6640625" style="28" customWidth="1"/>
    <col min="23" max="25" width="9.109375" style="28"/>
    <col min="26" max="26" width="9.5546875" style="28" customWidth="1"/>
    <col min="27" max="16384" width="9.109375" style="28"/>
  </cols>
  <sheetData>
    <row r="1" spans="1:28" ht="45" customHeight="1" thickBot="1" x14ac:dyDescent="0.4">
      <c r="A1" s="185" t="s">
        <v>0</v>
      </c>
      <c r="B1" s="187" t="s">
        <v>1</v>
      </c>
      <c r="C1" s="165" t="s">
        <v>148</v>
      </c>
      <c r="D1" s="165" t="s">
        <v>149</v>
      </c>
      <c r="E1" s="189" t="s">
        <v>2</v>
      </c>
      <c r="F1" s="191" t="s">
        <v>3</v>
      </c>
      <c r="G1" s="193" t="s">
        <v>4</v>
      </c>
      <c r="H1" s="179" t="s">
        <v>5</v>
      </c>
      <c r="I1" s="195" t="s">
        <v>6</v>
      </c>
      <c r="J1" s="92" t="s">
        <v>7</v>
      </c>
      <c r="K1" s="195" t="s">
        <v>8</v>
      </c>
      <c r="L1" s="196" t="s">
        <v>9</v>
      </c>
      <c r="M1" s="187" t="s">
        <v>10</v>
      </c>
      <c r="N1" s="187" t="s">
        <v>11</v>
      </c>
      <c r="O1" s="94"/>
      <c r="P1" s="94"/>
      <c r="Q1" s="182" t="s">
        <v>12</v>
      </c>
      <c r="R1" s="182"/>
      <c r="S1" s="182"/>
      <c r="T1" s="182"/>
      <c r="U1" s="182"/>
      <c r="V1" s="182"/>
      <c r="AB1" s="29">
        <v>45677</v>
      </c>
    </row>
    <row r="2" spans="1:28" ht="26.4" customHeight="1" thickBot="1" x14ac:dyDescent="0.35">
      <c r="A2" s="199"/>
      <c r="B2" s="200"/>
      <c r="C2" s="166"/>
      <c r="D2" s="166"/>
      <c r="E2" s="201"/>
      <c r="F2" s="202"/>
      <c r="G2" s="203"/>
      <c r="H2" s="198"/>
      <c r="I2" s="198"/>
      <c r="J2" s="129"/>
      <c r="K2" s="198"/>
      <c r="L2" s="204"/>
      <c r="M2" s="200"/>
      <c r="N2" s="200"/>
      <c r="O2" s="94"/>
      <c r="P2" s="164">
        <v>46223</v>
      </c>
      <c r="Q2" s="96" t="s">
        <v>13</v>
      </c>
      <c r="R2" s="97" t="s">
        <v>13</v>
      </c>
      <c r="S2" s="98" t="s">
        <v>13</v>
      </c>
      <c r="T2" s="96" t="s">
        <v>14</v>
      </c>
      <c r="U2" s="97" t="s">
        <v>14</v>
      </c>
      <c r="V2" s="98" t="s">
        <v>14</v>
      </c>
      <c r="W2" s="94"/>
      <c r="X2" s="94"/>
    </row>
    <row r="3" spans="1:28" ht="17.100000000000001" customHeight="1" thickBot="1" x14ac:dyDescent="0.35">
      <c r="A3" s="62" t="s">
        <v>27</v>
      </c>
      <c r="B3" s="161" t="s">
        <v>16</v>
      </c>
      <c r="C3" s="167">
        <v>45547</v>
      </c>
      <c r="D3" s="168">
        <f>$P$2-C3</f>
        <v>676</v>
      </c>
      <c r="E3" s="63">
        <v>107</v>
      </c>
      <c r="F3" s="131" t="s">
        <v>22</v>
      </c>
      <c r="G3" s="73">
        <v>1</v>
      </c>
      <c r="H3" s="132">
        <v>148</v>
      </c>
      <c r="I3" s="133">
        <v>24</v>
      </c>
      <c r="J3" s="134">
        <f t="shared" ref="J3:J6" si="0">RANK(I3,$I$3:$I$9)</f>
        <v>4</v>
      </c>
      <c r="K3" s="135">
        <v>87</v>
      </c>
      <c r="L3" s="171">
        <f>RANK(K3,$K$3:$K$9)+COUNTIF(K3:$K$3,K3)-1</f>
        <v>2</v>
      </c>
      <c r="M3" s="175">
        <f>(G3+L3)/2</f>
        <v>1.5</v>
      </c>
      <c r="N3" s="175">
        <f>RANK(M3,$M$3:$M$9,1)+COUNTIF(M3:$M$6,M3)-1</f>
        <v>2</v>
      </c>
      <c r="O3" s="94"/>
      <c r="P3" s="94"/>
      <c r="Q3" s="103" t="s">
        <v>18</v>
      </c>
      <c r="R3" s="104" t="s">
        <v>19</v>
      </c>
      <c r="S3" s="105" t="s">
        <v>20</v>
      </c>
      <c r="T3" s="103" t="s">
        <v>18</v>
      </c>
      <c r="U3" s="104" t="s">
        <v>19</v>
      </c>
      <c r="V3" s="106" t="s">
        <v>20</v>
      </c>
      <c r="W3" s="94"/>
      <c r="X3" s="94"/>
    </row>
    <row r="4" spans="1:28" ht="17.100000000000001" customHeight="1" thickBot="1" x14ac:dyDescent="0.35">
      <c r="A4" s="65" t="s">
        <v>15</v>
      </c>
      <c r="B4" s="80" t="s">
        <v>24</v>
      </c>
      <c r="C4" s="169">
        <v>45710</v>
      </c>
      <c r="D4" s="170">
        <f t="shared" ref="D4:D6" si="1">$P$2-C4</f>
        <v>513</v>
      </c>
      <c r="E4" s="31">
        <v>104</v>
      </c>
      <c r="F4" s="94" t="s">
        <v>22</v>
      </c>
      <c r="G4" s="74">
        <v>2</v>
      </c>
      <c r="H4" s="130">
        <v>374</v>
      </c>
      <c r="I4" s="94">
        <v>54</v>
      </c>
      <c r="J4" s="138">
        <f t="shared" si="0"/>
        <v>3</v>
      </c>
      <c r="K4" s="94">
        <v>88</v>
      </c>
      <c r="L4" s="172">
        <f>RANK(K4,$K$3:$K$9)+COUNTIF(K$3:$K4,K4)-1</f>
        <v>1</v>
      </c>
      <c r="M4" s="176">
        <f>(G4+L4)/2</f>
        <v>1.5</v>
      </c>
      <c r="N4" s="176">
        <f>RANK(M4,$M$3:$M$9,1)+COUNTIF(M4:$M$6,M4)-1</f>
        <v>1</v>
      </c>
      <c r="O4" s="94"/>
      <c r="P4" s="94"/>
      <c r="Q4" s="48">
        <v>50</v>
      </c>
      <c r="R4" s="110"/>
      <c r="S4" s="111"/>
      <c r="T4" s="49">
        <v>20</v>
      </c>
      <c r="U4" s="112"/>
      <c r="V4" s="113"/>
    </row>
    <row r="5" spans="1:28" ht="17.100000000000001" customHeight="1" thickBot="1" x14ac:dyDescent="0.35">
      <c r="A5" s="65" t="s">
        <v>15</v>
      </c>
      <c r="B5" s="83" t="s">
        <v>21</v>
      </c>
      <c r="C5" s="169">
        <v>45717</v>
      </c>
      <c r="D5" s="170">
        <f t="shared" si="1"/>
        <v>506</v>
      </c>
      <c r="E5" s="31">
        <v>103</v>
      </c>
      <c r="F5" s="94" t="s">
        <v>22</v>
      </c>
      <c r="G5" s="74">
        <v>3</v>
      </c>
      <c r="H5" s="130">
        <v>376</v>
      </c>
      <c r="I5" s="94">
        <v>72</v>
      </c>
      <c r="J5" s="138">
        <f t="shared" si="0"/>
        <v>1</v>
      </c>
      <c r="K5" s="94">
        <v>87</v>
      </c>
      <c r="L5" s="172">
        <f>RANK(K5,$K$3:$K$9)+COUNTIF(K$3:$K5,K5)-1</f>
        <v>3</v>
      </c>
      <c r="M5" s="176">
        <f>(G5+L5)/2</f>
        <v>3</v>
      </c>
      <c r="N5" s="176">
        <f>RANK(M5,$M$3:$M$9,1)+COUNTIF(M5:$M$6,M5)-1</f>
        <v>3</v>
      </c>
      <c r="O5" s="94"/>
      <c r="P5" s="94"/>
      <c r="W5" s="183" t="s">
        <v>23</v>
      </c>
      <c r="X5" s="184"/>
    </row>
    <row r="6" spans="1:28" x14ac:dyDescent="0.3">
      <c r="A6" s="65" t="s">
        <v>27</v>
      </c>
      <c r="B6" s="80" t="s">
        <v>45</v>
      </c>
      <c r="C6" s="169">
        <v>45843</v>
      </c>
      <c r="D6" s="170">
        <f t="shared" si="1"/>
        <v>380</v>
      </c>
      <c r="E6" s="31">
        <v>102</v>
      </c>
      <c r="F6" s="159" t="s">
        <v>22</v>
      </c>
      <c r="G6" s="74">
        <v>4</v>
      </c>
      <c r="H6" s="160">
        <v>238</v>
      </c>
      <c r="I6" s="159">
        <v>68</v>
      </c>
      <c r="J6" s="138">
        <f t="shared" si="0"/>
        <v>2</v>
      </c>
      <c r="K6" s="71">
        <v>87</v>
      </c>
      <c r="L6" s="172">
        <f>RANK(K6,$K$3:$K$9)+COUNTIF(K$3:$K6,K6)-1</f>
        <v>4</v>
      </c>
      <c r="M6" s="176">
        <f>(G6+L6)/2</f>
        <v>4</v>
      </c>
      <c r="N6" s="176">
        <f>RANK(M6,$M$3:$M$9,1)+COUNTIF(M$6:$M6,M6)-1</f>
        <v>4</v>
      </c>
      <c r="O6" s="94"/>
      <c r="P6" s="94"/>
      <c r="W6" s="115" t="s">
        <v>25</v>
      </c>
      <c r="X6" s="116" t="s">
        <v>26</v>
      </c>
    </row>
    <row r="7" spans="1:28" ht="15" thickBot="1" x14ac:dyDescent="0.35">
      <c r="A7" s="66"/>
      <c r="B7" s="71"/>
      <c r="C7" s="31"/>
      <c r="D7" s="94"/>
      <c r="E7" s="74"/>
      <c r="F7" s="130"/>
      <c r="G7" s="94"/>
      <c r="H7" s="138"/>
      <c r="I7" s="94"/>
      <c r="J7" s="34"/>
      <c r="K7" s="109"/>
      <c r="L7" s="173"/>
      <c r="M7" s="177"/>
      <c r="N7" s="177"/>
      <c r="U7" s="117">
        <f>R4+U4</f>
        <v>0</v>
      </c>
      <c r="V7" s="118">
        <f>S4+V4</f>
        <v>0</v>
      </c>
    </row>
    <row r="8" spans="1:28" ht="15" thickTop="1" x14ac:dyDescent="0.3">
      <c r="A8" s="66"/>
      <c r="B8" s="71"/>
      <c r="C8" s="31"/>
      <c r="D8" s="94"/>
      <c r="E8" s="74"/>
      <c r="F8" s="130"/>
      <c r="G8" s="94"/>
      <c r="H8" s="138"/>
      <c r="I8" s="94"/>
      <c r="J8" s="34"/>
      <c r="K8" s="109"/>
      <c r="L8" s="173"/>
      <c r="M8" s="177"/>
      <c r="N8" s="177"/>
      <c r="U8" s="140"/>
      <c r="V8" s="140"/>
    </row>
    <row r="9" spans="1:28" ht="15" thickBot="1" x14ac:dyDescent="0.35">
      <c r="A9" s="67"/>
      <c r="B9" s="72"/>
      <c r="C9" s="68"/>
      <c r="D9" s="141"/>
      <c r="E9" s="75"/>
      <c r="F9" s="142"/>
      <c r="G9" s="141"/>
      <c r="H9" s="143"/>
      <c r="I9" s="141"/>
      <c r="J9" s="69"/>
      <c r="K9" s="144"/>
      <c r="L9" s="174"/>
      <c r="M9" s="178"/>
      <c r="N9" s="178"/>
      <c r="U9" s="140"/>
      <c r="V9" s="140"/>
    </row>
    <row r="10" spans="1:28" x14ac:dyDescent="0.3">
      <c r="A10" s="76"/>
      <c r="B10" s="76"/>
      <c r="C10" s="76"/>
      <c r="D10" s="76"/>
      <c r="E10" s="76"/>
      <c r="F10" s="76"/>
      <c r="G10" s="76"/>
      <c r="H10" s="76"/>
      <c r="I10" s="76"/>
      <c r="J10" s="76"/>
      <c r="K10" s="76"/>
      <c r="L10" s="76"/>
      <c r="M10" s="94"/>
      <c r="N10" s="94"/>
      <c r="U10" s="140"/>
      <c r="V10" s="140"/>
    </row>
    <row r="11" spans="1:28" x14ac:dyDescent="0.3">
      <c r="A11" s="76"/>
      <c r="B11" s="76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94"/>
      <c r="N11" s="94"/>
      <c r="U11" s="140"/>
      <c r="V11" s="140"/>
    </row>
    <row r="12" spans="1:28" x14ac:dyDescent="0.3">
      <c r="B12" s="122" t="s">
        <v>33</v>
      </c>
      <c r="C12" s="122" t="s">
        <v>34</v>
      </c>
      <c r="D12" s="122"/>
      <c r="F12" s="94"/>
      <c r="G12" s="94"/>
      <c r="H12" s="94"/>
      <c r="I12" s="94"/>
      <c r="J12" s="94"/>
      <c r="K12" s="94"/>
      <c r="L12" s="94"/>
      <c r="M12" s="94"/>
      <c r="N12" s="94"/>
    </row>
    <row r="13" spans="1:28" x14ac:dyDescent="0.3">
      <c r="B13" s="122" t="s">
        <v>35</v>
      </c>
      <c r="C13" t="s">
        <v>36</v>
      </c>
      <c r="D13" s="122"/>
      <c r="F13" s="123"/>
      <c r="G13" s="94"/>
      <c r="H13" s="94"/>
      <c r="I13" s="94"/>
      <c r="K13" s="94"/>
      <c r="L13" s="94"/>
      <c r="M13" s="94"/>
      <c r="N13" s="94"/>
    </row>
    <row r="14" spans="1:28" x14ac:dyDescent="0.3">
      <c r="B14" s="1" t="s">
        <v>33</v>
      </c>
      <c r="C14" s="27" t="s">
        <v>34</v>
      </c>
      <c r="D14" s="122"/>
      <c r="F14" s="94"/>
      <c r="G14" s="94"/>
      <c r="H14" s="94"/>
      <c r="I14" s="94"/>
      <c r="J14" s="94"/>
      <c r="K14" s="94"/>
      <c r="L14" s="94"/>
      <c r="M14" s="94"/>
    </row>
    <row r="15" spans="1:28" x14ac:dyDescent="0.3">
      <c r="A15" s="123"/>
      <c r="B15" s="2"/>
      <c r="C15" s="2"/>
      <c r="D15" s="2"/>
      <c r="E15" s="2"/>
      <c r="F15" s="94"/>
      <c r="G15" s="94"/>
      <c r="H15" s="94"/>
      <c r="I15" s="94"/>
      <c r="J15" s="94"/>
      <c r="K15" s="94"/>
      <c r="L15" s="94"/>
      <c r="M15" s="94"/>
    </row>
    <row r="16" spans="1:28" x14ac:dyDescent="0.3">
      <c r="A16" s="122"/>
      <c r="B16" s="122" t="s">
        <v>40</v>
      </c>
      <c r="C16" s="122"/>
      <c r="D16" s="122"/>
      <c r="F16" s="94"/>
      <c r="G16" s="94"/>
      <c r="H16" s="181"/>
      <c r="I16" s="181"/>
      <c r="J16" s="181"/>
      <c r="K16" s="181"/>
      <c r="L16" s="94"/>
      <c r="M16" s="94"/>
      <c r="N16" s="94"/>
      <c r="O16" s="94"/>
      <c r="P16" s="94"/>
      <c r="Q16" s="94"/>
      <c r="R16" s="94"/>
    </row>
    <row r="17" spans="1:18" x14ac:dyDescent="0.3">
      <c r="A17" s="122"/>
      <c r="B17" s="91"/>
      <c r="C17" s="2" t="s">
        <v>47</v>
      </c>
      <c r="D17" s="2"/>
      <c r="E17" s="2"/>
      <c r="F17" s="94"/>
      <c r="G17" s="94"/>
      <c r="H17" s="94"/>
      <c r="I17" s="94"/>
      <c r="J17" s="94"/>
      <c r="K17" s="94"/>
      <c r="L17" s="94"/>
      <c r="M17" s="94"/>
      <c r="N17" s="94"/>
      <c r="O17" s="94"/>
      <c r="P17" s="94"/>
      <c r="Q17" s="94"/>
      <c r="R17" s="94"/>
    </row>
    <row r="18" spans="1:18" ht="14.4" customHeight="1" x14ac:dyDescent="0.3">
      <c r="D18" s="124"/>
      <c r="E18" s="124"/>
      <c r="F18" s="124"/>
      <c r="G18" s="94"/>
      <c r="H18" s="94"/>
      <c r="I18" s="94"/>
      <c r="J18" s="94"/>
      <c r="K18" s="94"/>
      <c r="L18" s="94"/>
      <c r="M18" s="94"/>
      <c r="N18" s="94"/>
      <c r="O18" s="94"/>
      <c r="P18" s="94"/>
      <c r="Q18" s="94"/>
      <c r="R18" s="94"/>
    </row>
    <row r="19" spans="1:18" x14ac:dyDescent="0.3">
      <c r="A19" s="123"/>
      <c r="B19" s="94"/>
      <c r="C19" s="94"/>
      <c r="D19" s="94"/>
      <c r="E19" s="94"/>
      <c r="F19" s="94"/>
      <c r="G19" s="94"/>
      <c r="H19" s="94"/>
      <c r="I19" s="94"/>
      <c r="J19" s="94"/>
      <c r="K19" s="94"/>
      <c r="L19" s="94"/>
      <c r="M19" s="94"/>
    </row>
    <row r="20" spans="1:18" x14ac:dyDescent="0.3">
      <c r="A20" s="123"/>
      <c r="B20" s="94"/>
      <c r="C20" s="94"/>
      <c r="D20" s="94"/>
      <c r="E20" s="94"/>
      <c r="F20" s="94"/>
      <c r="G20" s="94"/>
      <c r="H20" s="94"/>
      <c r="I20" s="94"/>
      <c r="J20" s="94"/>
      <c r="K20" s="94"/>
      <c r="L20" s="94"/>
      <c r="M20" s="94"/>
    </row>
    <row r="21" spans="1:18" x14ac:dyDescent="0.3">
      <c r="B21" s="94"/>
      <c r="C21" s="94"/>
      <c r="D21" s="94"/>
      <c r="E21" s="94"/>
      <c r="F21" s="94"/>
      <c r="G21" s="94"/>
      <c r="H21" s="94"/>
      <c r="I21" s="94"/>
      <c r="J21" s="94"/>
      <c r="K21" s="94"/>
      <c r="L21" s="94"/>
      <c r="M21" s="94"/>
    </row>
    <row r="22" spans="1:18" x14ac:dyDescent="0.3">
      <c r="B22" s="94"/>
      <c r="C22" s="94"/>
      <c r="D22" s="94"/>
      <c r="E22" s="94"/>
      <c r="F22" s="94"/>
      <c r="G22" s="94"/>
      <c r="H22" s="94"/>
      <c r="I22" s="94"/>
      <c r="J22" s="94"/>
      <c r="K22" s="94"/>
      <c r="L22" s="94"/>
      <c r="M22" s="94"/>
    </row>
    <row r="23" spans="1:18" x14ac:dyDescent="0.3">
      <c r="B23" s="94"/>
      <c r="C23" s="94"/>
      <c r="D23" s="94"/>
      <c r="E23" s="94"/>
      <c r="F23" s="94"/>
      <c r="G23" s="94"/>
      <c r="H23" s="94"/>
      <c r="I23" s="94"/>
      <c r="J23" s="94"/>
      <c r="K23" s="94"/>
      <c r="L23" s="94"/>
      <c r="M23" s="94"/>
    </row>
    <row r="24" spans="1:18" x14ac:dyDescent="0.3">
      <c r="B24" s="94"/>
      <c r="C24" s="94"/>
      <c r="D24" s="94"/>
      <c r="E24" s="94"/>
      <c r="F24" s="94"/>
      <c r="G24" s="94"/>
      <c r="H24" s="94"/>
      <c r="I24" s="94"/>
      <c r="J24" s="94"/>
      <c r="K24" s="94"/>
      <c r="L24" s="94"/>
      <c r="M24" s="94"/>
    </row>
    <row r="25" spans="1:18" x14ac:dyDescent="0.3">
      <c r="B25" s="94"/>
      <c r="C25" s="94"/>
      <c r="D25" s="94"/>
      <c r="E25" s="94"/>
      <c r="F25" s="94"/>
      <c r="G25" s="94"/>
      <c r="H25" s="94"/>
      <c r="I25" s="94"/>
      <c r="J25" s="94"/>
      <c r="K25" s="94"/>
      <c r="L25" s="94"/>
      <c r="M25" s="94"/>
      <c r="N25" s="94"/>
    </row>
    <row r="26" spans="1:18" x14ac:dyDescent="0.3">
      <c r="B26" s="94"/>
      <c r="C26" s="94"/>
      <c r="D26" s="94"/>
      <c r="E26" s="94"/>
      <c r="F26" s="94"/>
      <c r="G26" s="94"/>
      <c r="H26" s="94"/>
      <c r="I26" s="94"/>
      <c r="J26" s="94"/>
      <c r="K26" s="94"/>
      <c r="L26" s="94"/>
      <c r="M26" s="94"/>
      <c r="N26" s="94"/>
    </row>
    <row r="27" spans="1:18" x14ac:dyDescent="0.3">
      <c r="B27" s="94"/>
      <c r="C27" s="94"/>
      <c r="D27" s="94"/>
      <c r="E27" s="94"/>
      <c r="F27" s="94"/>
      <c r="G27" s="94"/>
      <c r="H27" s="94"/>
      <c r="I27" s="94"/>
      <c r="J27" s="94"/>
      <c r="K27" s="94"/>
      <c r="L27" s="94"/>
      <c r="M27" s="94"/>
      <c r="N27" s="94"/>
    </row>
    <row r="28" spans="1:18" x14ac:dyDescent="0.3">
      <c r="B28" s="94"/>
      <c r="C28" s="94"/>
      <c r="D28" s="94"/>
      <c r="E28" s="94"/>
      <c r="F28" s="94"/>
      <c r="G28" s="94"/>
      <c r="H28" s="94"/>
      <c r="I28" s="94"/>
      <c r="J28" s="94"/>
      <c r="K28" s="94"/>
      <c r="L28" s="94"/>
      <c r="M28" s="94"/>
      <c r="N28" s="94"/>
    </row>
    <row r="29" spans="1:18" x14ac:dyDescent="0.3">
      <c r="B29" s="94"/>
      <c r="C29" s="94"/>
      <c r="D29" s="94"/>
      <c r="E29" s="94"/>
      <c r="F29" s="94"/>
      <c r="G29" s="94"/>
      <c r="H29" s="94"/>
      <c r="I29" s="94"/>
      <c r="J29" s="94"/>
      <c r="K29" s="94"/>
      <c r="L29" s="94"/>
      <c r="M29" s="94"/>
      <c r="N29" s="94"/>
    </row>
    <row r="30" spans="1:18" x14ac:dyDescent="0.3">
      <c r="B30" s="94"/>
      <c r="C30" s="94"/>
      <c r="D30" s="94"/>
      <c r="E30" s="94"/>
      <c r="F30" s="94"/>
      <c r="G30" s="94"/>
      <c r="H30" s="94"/>
      <c r="I30" s="94"/>
      <c r="J30" s="94"/>
      <c r="K30" s="94"/>
      <c r="L30" s="94"/>
      <c r="M30" s="94"/>
      <c r="N30" s="94"/>
    </row>
    <row r="31" spans="1:18" x14ac:dyDescent="0.3">
      <c r="B31" s="94"/>
      <c r="C31" s="94"/>
      <c r="D31" s="94"/>
      <c r="E31" s="94"/>
      <c r="F31" s="94"/>
      <c r="G31" s="94"/>
      <c r="H31" s="94"/>
      <c r="I31" s="94"/>
      <c r="J31" s="94"/>
      <c r="K31" s="94"/>
      <c r="L31" s="94"/>
      <c r="M31" s="94"/>
      <c r="N31" s="94"/>
    </row>
    <row r="32" spans="1:18" x14ac:dyDescent="0.3">
      <c r="B32" s="94"/>
      <c r="C32" s="94"/>
      <c r="D32" s="94"/>
      <c r="E32" s="94"/>
      <c r="F32" s="94"/>
      <c r="G32" s="94"/>
      <c r="H32" s="94"/>
      <c r="I32" s="94"/>
      <c r="J32" s="94"/>
      <c r="K32" s="94"/>
      <c r="L32" s="94"/>
      <c r="M32" s="94"/>
      <c r="N32" s="94"/>
    </row>
    <row r="33" spans="2:14" x14ac:dyDescent="0.3">
      <c r="B33" s="94"/>
      <c r="C33" s="94"/>
      <c r="D33" s="94"/>
      <c r="E33" s="94"/>
      <c r="F33" s="94"/>
      <c r="G33" s="94"/>
      <c r="H33" s="94"/>
      <c r="I33" s="94"/>
      <c r="J33" s="94"/>
      <c r="K33" s="94"/>
      <c r="L33" s="94"/>
      <c r="M33" s="94"/>
      <c r="N33" s="94"/>
    </row>
    <row r="34" spans="2:14" x14ac:dyDescent="0.3">
      <c r="B34" s="94"/>
      <c r="C34" s="94"/>
      <c r="D34" s="94"/>
      <c r="E34" s="94"/>
      <c r="F34" s="94"/>
      <c r="G34" s="94"/>
      <c r="H34" s="94"/>
      <c r="I34" s="94"/>
      <c r="J34" s="94"/>
      <c r="K34" s="94"/>
      <c r="L34" s="94"/>
      <c r="M34" s="94"/>
      <c r="N34" s="94"/>
    </row>
    <row r="35" spans="2:14" x14ac:dyDescent="0.3">
      <c r="B35" s="94"/>
      <c r="C35" s="94"/>
      <c r="D35" s="94"/>
      <c r="E35" s="94"/>
      <c r="F35" s="94"/>
      <c r="G35" s="94"/>
      <c r="H35" s="94"/>
      <c r="I35" s="94"/>
      <c r="J35" s="94"/>
      <c r="K35" s="94"/>
      <c r="L35" s="94"/>
      <c r="M35" s="94"/>
      <c r="N35" s="94"/>
    </row>
    <row r="36" spans="2:14" x14ac:dyDescent="0.3">
      <c r="B36" s="94"/>
      <c r="C36" s="94"/>
      <c r="D36" s="94"/>
      <c r="E36" s="94"/>
      <c r="F36" s="94"/>
      <c r="G36" s="94"/>
      <c r="H36" s="94"/>
      <c r="I36" s="94"/>
      <c r="J36" s="94"/>
      <c r="K36" s="94"/>
      <c r="L36" s="94"/>
      <c r="M36" s="94"/>
      <c r="N36" s="94"/>
    </row>
    <row r="37" spans="2:14" x14ac:dyDescent="0.3">
      <c r="B37" s="94"/>
      <c r="C37" s="94"/>
      <c r="D37" s="94"/>
      <c r="E37" s="94"/>
      <c r="F37" s="94"/>
      <c r="G37" s="94"/>
      <c r="H37" s="94"/>
      <c r="I37" s="94"/>
      <c r="J37" s="94"/>
      <c r="K37" s="94"/>
      <c r="L37" s="94"/>
      <c r="M37" s="94"/>
      <c r="N37" s="94"/>
    </row>
    <row r="38" spans="2:14" x14ac:dyDescent="0.3">
      <c r="B38" s="94"/>
      <c r="C38" s="94"/>
      <c r="D38" s="94"/>
      <c r="E38" s="94"/>
      <c r="F38" s="94"/>
      <c r="G38" s="94"/>
      <c r="H38" s="94"/>
      <c r="I38" s="94"/>
      <c r="J38" s="94"/>
      <c r="K38" s="94"/>
      <c r="L38" s="94"/>
      <c r="M38" s="94"/>
      <c r="N38" s="94"/>
    </row>
    <row r="39" spans="2:14" x14ac:dyDescent="0.3">
      <c r="B39" s="94"/>
      <c r="C39" s="94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</row>
    <row r="40" spans="2:14" x14ac:dyDescent="0.3">
      <c r="B40" s="94"/>
      <c r="C40" s="94"/>
      <c r="D40" s="94"/>
      <c r="E40" s="94"/>
      <c r="F40" s="94"/>
      <c r="G40" s="94"/>
      <c r="H40" s="94"/>
      <c r="I40" s="94"/>
      <c r="J40" s="94"/>
      <c r="K40" s="94"/>
      <c r="L40" s="94"/>
      <c r="M40" s="94"/>
      <c r="N40" s="94"/>
    </row>
    <row r="41" spans="2:14" x14ac:dyDescent="0.3">
      <c r="B41" s="94"/>
      <c r="C41" s="94"/>
      <c r="D41" s="94"/>
      <c r="E41" s="94"/>
      <c r="F41" s="94"/>
      <c r="G41" s="94"/>
      <c r="H41" s="94"/>
      <c r="I41" s="94"/>
      <c r="J41" s="94"/>
      <c r="K41" s="94"/>
      <c r="L41" s="94"/>
      <c r="M41" s="94"/>
      <c r="N41" s="94"/>
    </row>
    <row r="42" spans="2:14" x14ac:dyDescent="0.3">
      <c r="B42" s="94"/>
      <c r="C42" s="94"/>
      <c r="D42" s="94"/>
      <c r="E42" s="94"/>
      <c r="F42" s="94"/>
      <c r="G42" s="94"/>
      <c r="H42" s="94"/>
      <c r="I42" s="94"/>
      <c r="J42" s="94"/>
      <c r="K42" s="94"/>
      <c r="L42" s="94"/>
      <c r="M42" s="94"/>
      <c r="N42" s="94"/>
    </row>
    <row r="43" spans="2:14" x14ac:dyDescent="0.3">
      <c r="F43" s="123"/>
      <c r="L43" s="94"/>
    </row>
    <row r="44" spans="2:14" x14ac:dyDescent="0.3">
      <c r="F44" s="123"/>
      <c r="L44" s="94"/>
    </row>
    <row r="45" spans="2:14" x14ac:dyDescent="0.3">
      <c r="F45" s="123"/>
      <c r="L45" s="94"/>
    </row>
    <row r="46" spans="2:14" x14ac:dyDescent="0.3">
      <c r="F46" s="123"/>
      <c r="L46" s="94"/>
    </row>
    <row r="47" spans="2:14" x14ac:dyDescent="0.3">
      <c r="F47" s="123"/>
      <c r="L47" s="94"/>
    </row>
    <row r="48" spans="2:14" x14ac:dyDescent="0.3">
      <c r="F48" s="123"/>
      <c r="L48" s="94"/>
    </row>
  </sheetData>
  <mergeCells count="14">
    <mergeCell ref="A1:A2"/>
    <mergeCell ref="B1:B2"/>
    <mergeCell ref="E1:E2"/>
    <mergeCell ref="F1:F2"/>
    <mergeCell ref="G1:G2"/>
    <mergeCell ref="W5:X5"/>
    <mergeCell ref="H16:K16"/>
    <mergeCell ref="I1:I2"/>
    <mergeCell ref="K1:K2"/>
    <mergeCell ref="L1:L2"/>
    <mergeCell ref="M1:M2"/>
    <mergeCell ref="N1:N2"/>
    <mergeCell ref="Q1:V1"/>
    <mergeCell ref="H1:H2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F19F4-694C-41CB-ACCC-BB1630967B2A}">
  <dimension ref="A1:AB48"/>
  <sheetViews>
    <sheetView workbookViewId="0">
      <selection activeCell="A5" sqref="A5"/>
    </sheetView>
  </sheetViews>
  <sheetFormatPr defaultColWidth="9.109375" defaultRowHeight="14.4" x14ac:dyDescent="0.3"/>
  <cols>
    <col min="1" max="2" width="9.109375" style="28"/>
    <col min="3" max="3" width="11.109375" style="28" customWidth="1"/>
    <col min="4" max="4" width="15.44140625" style="28" customWidth="1"/>
    <col min="5" max="5" width="12" style="28" customWidth="1"/>
    <col min="6" max="6" width="17.109375" style="39" customWidth="1"/>
    <col min="7" max="7" width="13.33203125" style="28" customWidth="1"/>
    <col min="8" max="8" width="11.44140625" style="28" customWidth="1"/>
    <col min="9" max="9" width="17.33203125" style="28" customWidth="1"/>
    <col min="10" max="10" width="11.6640625" style="28" customWidth="1"/>
    <col min="11" max="11" width="16.109375" style="28" customWidth="1"/>
    <col min="12" max="12" width="13.5546875" style="28" customWidth="1"/>
    <col min="13" max="13" width="12.44140625" style="28" customWidth="1"/>
    <col min="14" max="14" width="13.88671875" style="28" customWidth="1"/>
    <col min="15" max="15" width="9.109375" style="28"/>
    <col min="16" max="16" width="9.33203125" style="28" bestFit="1" customWidth="1"/>
    <col min="17" max="20" width="9.109375" style="28"/>
    <col min="21" max="21" width="15.109375" style="28" customWidth="1"/>
    <col min="22" max="22" width="13.6640625" style="28" customWidth="1"/>
    <col min="23" max="25" width="9.109375" style="28"/>
    <col min="26" max="26" width="9.5546875" style="28" customWidth="1"/>
    <col min="27" max="16384" width="9.109375" style="28"/>
  </cols>
  <sheetData>
    <row r="1" spans="1:28" ht="45" customHeight="1" thickBot="1" x14ac:dyDescent="0.4">
      <c r="A1" s="185" t="s">
        <v>0</v>
      </c>
      <c r="B1" s="187" t="s">
        <v>1</v>
      </c>
      <c r="C1" s="165" t="s">
        <v>148</v>
      </c>
      <c r="D1" s="165" t="s">
        <v>149</v>
      </c>
      <c r="E1" s="189" t="s">
        <v>2</v>
      </c>
      <c r="F1" s="191" t="s">
        <v>3</v>
      </c>
      <c r="G1" s="193" t="s">
        <v>4</v>
      </c>
      <c r="H1" s="179" t="s">
        <v>5</v>
      </c>
      <c r="I1" s="195" t="s">
        <v>6</v>
      </c>
      <c r="J1" s="92" t="s">
        <v>7</v>
      </c>
      <c r="K1" s="195" t="s">
        <v>8</v>
      </c>
      <c r="L1" s="196" t="s">
        <v>9</v>
      </c>
      <c r="M1" s="187" t="s">
        <v>10</v>
      </c>
      <c r="N1" s="187" t="s">
        <v>11</v>
      </c>
      <c r="O1" s="94"/>
      <c r="P1" s="94"/>
      <c r="Q1" s="182" t="s">
        <v>12</v>
      </c>
      <c r="R1" s="182"/>
      <c r="S1" s="182"/>
      <c r="T1" s="182"/>
      <c r="U1" s="182"/>
      <c r="V1" s="182"/>
      <c r="AB1" s="29">
        <v>45677</v>
      </c>
    </row>
    <row r="2" spans="1:28" ht="26.4" customHeight="1" thickBot="1" x14ac:dyDescent="0.35">
      <c r="A2" s="199"/>
      <c r="B2" s="200"/>
      <c r="C2" s="166"/>
      <c r="D2" s="166"/>
      <c r="E2" s="201"/>
      <c r="F2" s="202"/>
      <c r="G2" s="203"/>
      <c r="H2" s="198"/>
      <c r="I2" s="198"/>
      <c r="J2" s="129"/>
      <c r="K2" s="198"/>
      <c r="L2" s="204"/>
      <c r="M2" s="200"/>
      <c r="N2" s="200"/>
      <c r="O2" s="94"/>
      <c r="P2" s="164">
        <v>46230</v>
      </c>
      <c r="Q2" s="96" t="s">
        <v>13</v>
      </c>
      <c r="R2" s="97" t="s">
        <v>13</v>
      </c>
      <c r="S2" s="98" t="s">
        <v>13</v>
      </c>
      <c r="T2" s="96" t="s">
        <v>14</v>
      </c>
      <c r="U2" s="97" t="s">
        <v>14</v>
      </c>
      <c r="V2" s="98" t="s">
        <v>14</v>
      </c>
      <c r="W2" s="94"/>
      <c r="X2" s="94"/>
    </row>
    <row r="3" spans="1:28" ht="17.100000000000001" customHeight="1" thickBot="1" x14ac:dyDescent="0.35">
      <c r="A3" s="62" t="s">
        <v>15</v>
      </c>
      <c r="B3" s="161" t="s">
        <v>16</v>
      </c>
      <c r="C3" s="167">
        <v>45547</v>
      </c>
      <c r="D3" s="168">
        <f>$P$2-C3</f>
        <v>683</v>
      </c>
      <c r="E3" s="63">
        <v>107</v>
      </c>
      <c r="F3" s="131" t="s">
        <v>22</v>
      </c>
      <c r="G3" s="73">
        <v>1</v>
      </c>
      <c r="H3" s="132">
        <v>226</v>
      </c>
      <c r="I3" s="133">
        <v>42</v>
      </c>
      <c r="J3" s="134">
        <f>RANK(I3,$I$3:$I$9)</f>
        <v>3</v>
      </c>
      <c r="K3" s="135">
        <v>87</v>
      </c>
      <c r="L3" s="171">
        <f>RANK(K3,$K$3:$K$9)+COUNTIF(K3:$K$3,K3)-1</f>
        <v>2</v>
      </c>
      <c r="M3" s="175">
        <f>(G3+L3)/2</f>
        <v>1.5</v>
      </c>
      <c r="N3" s="175">
        <f>RANK(M3,$M$3:$M$9,1)+COUNTIF(M3:$M$6,M3)-1</f>
        <v>2</v>
      </c>
      <c r="O3" s="94"/>
      <c r="P3" s="94"/>
      <c r="Q3" s="103" t="s">
        <v>18</v>
      </c>
      <c r="R3" s="104" t="s">
        <v>19</v>
      </c>
      <c r="S3" s="105" t="s">
        <v>20</v>
      </c>
      <c r="T3" s="103" t="s">
        <v>18</v>
      </c>
      <c r="U3" s="104" t="s">
        <v>19</v>
      </c>
      <c r="V3" s="106" t="s">
        <v>20</v>
      </c>
      <c r="W3" s="94"/>
      <c r="X3" s="94"/>
    </row>
    <row r="4" spans="1:28" ht="17.100000000000001" customHeight="1" thickBot="1" x14ac:dyDescent="0.35">
      <c r="A4" s="65" t="s">
        <v>15</v>
      </c>
      <c r="B4" s="80" t="s">
        <v>24</v>
      </c>
      <c r="C4" s="169">
        <v>45710</v>
      </c>
      <c r="D4" s="170">
        <f t="shared" ref="D4:D6" si="0">$P$2-C4</f>
        <v>520</v>
      </c>
      <c r="E4" s="31">
        <v>104</v>
      </c>
      <c r="F4" s="94" t="s">
        <v>22</v>
      </c>
      <c r="G4" s="74">
        <v>2</v>
      </c>
      <c r="H4" s="130">
        <v>218</v>
      </c>
      <c r="I4" s="94">
        <v>48</v>
      </c>
      <c r="J4" s="138">
        <f t="shared" ref="J4:J6" si="1">RANK(I4,$I$3:$I$9)</f>
        <v>2</v>
      </c>
      <c r="K4" s="94">
        <v>88</v>
      </c>
      <c r="L4" s="172">
        <f>RANK(K4,$K$3:$K$9)+COUNTIF(K$3:$K4,K4)-1</f>
        <v>1</v>
      </c>
      <c r="M4" s="176">
        <f>(G4+L4)/2</f>
        <v>1.5</v>
      </c>
      <c r="N4" s="176">
        <f>RANK(M4,$M$3:$M$9,1)+COUNTIF(M4:$M$6,M4)-1</f>
        <v>1</v>
      </c>
      <c r="O4" s="94"/>
      <c r="P4" s="94"/>
      <c r="Q4" s="48">
        <v>50</v>
      </c>
      <c r="R4" s="110"/>
      <c r="S4" s="111"/>
      <c r="T4" s="49">
        <v>20</v>
      </c>
      <c r="U4" s="112"/>
      <c r="V4" s="113"/>
    </row>
    <row r="5" spans="1:28" ht="17.100000000000001" customHeight="1" thickBot="1" x14ac:dyDescent="0.35">
      <c r="A5" s="65" t="s">
        <v>27</v>
      </c>
      <c r="B5" s="83" t="s">
        <v>21</v>
      </c>
      <c r="C5" s="169">
        <v>45717</v>
      </c>
      <c r="D5" s="170">
        <f t="shared" si="0"/>
        <v>513</v>
      </c>
      <c r="E5" s="31">
        <v>103</v>
      </c>
      <c r="F5" s="94" t="s">
        <v>22</v>
      </c>
      <c r="G5" s="74">
        <v>3</v>
      </c>
      <c r="H5" s="130">
        <v>272</v>
      </c>
      <c r="I5" s="94">
        <v>42</v>
      </c>
      <c r="J5" s="138">
        <f t="shared" si="1"/>
        <v>3</v>
      </c>
      <c r="K5" s="94">
        <v>86</v>
      </c>
      <c r="L5" s="172">
        <f>RANK(K5,$K$3:$K$9)+COUNTIF(K$3:$K5,K5)-1</f>
        <v>4</v>
      </c>
      <c r="M5" s="176">
        <f>(G5+L5)/2</f>
        <v>3.5</v>
      </c>
      <c r="N5" s="176">
        <f>RANK(M5,$M$3:$M$9,1)+COUNTIF(M5:$M$6,M5)-1</f>
        <v>4</v>
      </c>
      <c r="O5" s="94"/>
      <c r="P5" s="94"/>
      <c r="W5" s="183" t="s">
        <v>23</v>
      </c>
      <c r="X5" s="184"/>
    </row>
    <row r="6" spans="1:28" x14ac:dyDescent="0.3">
      <c r="A6" s="65" t="s">
        <v>27</v>
      </c>
      <c r="B6" s="80" t="s">
        <v>45</v>
      </c>
      <c r="C6" s="169">
        <v>45843</v>
      </c>
      <c r="D6" s="170">
        <f t="shared" si="0"/>
        <v>387</v>
      </c>
      <c r="E6" s="31">
        <v>102</v>
      </c>
      <c r="F6" s="159" t="s">
        <v>22</v>
      </c>
      <c r="G6" s="74">
        <v>4</v>
      </c>
      <c r="H6" s="160">
        <v>278</v>
      </c>
      <c r="I6" s="159">
        <v>84</v>
      </c>
      <c r="J6" s="138">
        <f t="shared" si="1"/>
        <v>1</v>
      </c>
      <c r="K6" s="71">
        <v>87</v>
      </c>
      <c r="L6" s="172">
        <f>RANK(K6,$K$3:$K$9)+COUNTIF(K$3:$K6,K6)-1</f>
        <v>3</v>
      </c>
      <c r="M6" s="176">
        <f>(G6+L6)/2</f>
        <v>3.5</v>
      </c>
      <c r="N6" s="176">
        <f>RANK(M6,$M$3:$M$9,1)+COUNTIF(M6:$M$6,M6)-1</f>
        <v>3</v>
      </c>
      <c r="O6" s="94"/>
      <c r="P6" s="94"/>
      <c r="W6" s="115" t="s">
        <v>25</v>
      </c>
      <c r="X6" s="116" t="s">
        <v>26</v>
      </c>
    </row>
    <row r="7" spans="1:28" ht="15" thickBot="1" x14ac:dyDescent="0.35">
      <c r="A7" s="66"/>
      <c r="B7" s="71"/>
      <c r="C7" s="31"/>
      <c r="D7" s="94"/>
      <c r="E7" s="74"/>
      <c r="F7" s="130"/>
      <c r="G7" s="94"/>
      <c r="H7" s="138"/>
      <c r="I7" s="94"/>
      <c r="J7" s="34"/>
      <c r="K7" s="109"/>
      <c r="L7" s="173"/>
      <c r="M7" s="177"/>
      <c r="N7" s="177"/>
      <c r="U7" s="117">
        <f>R4+U4</f>
        <v>0</v>
      </c>
      <c r="V7" s="118">
        <f>S4+V4</f>
        <v>0</v>
      </c>
    </row>
    <row r="8" spans="1:28" ht="15" thickTop="1" x14ac:dyDescent="0.3">
      <c r="A8" s="66"/>
      <c r="B8" s="71"/>
      <c r="C8" s="31"/>
      <c r="D8" s="94"/>
      <c r="E8" s="74"/>
      <c r="F8" s="130"/>
      <c r="G8" s="94"/>
      <c r="H8" s="138"/>
      <c r="I8" s="94"/>
      <c r="J8" s="34"/>
      <c r="K8" s="109"/>
      <c r="L8" s="173"/>
      <c r="M8" s="177"/>
      <c r="N8" s="177"/>
      <c r="U8" s="140"/>
      <c r="V8" s="140"/>
    </row>
    <row r="9" spans="1:28" ht="15" thickBot="1" x14ac:dyDescent="0.35">
      <c r="A9" s="67"/>
      <c r="B9" s="72"/>
      <c r="C9" s="68"/>
      <c r="D9" s="141"/>
      <c r="E9" s="75"/>
      <c r="F9" s="142"/>
      <c r="G9" s="141"/>
      <c r="H9" s="143"/>
      <c r="I9" s="141"/>
      <c r="J9" s="69"/>
      <c r="K9" s="144"/>
      <c r="L9" s="174"/>
      <c r="M9" s="178"/>
      <c r="N9" s="178"/>
      <c r="U9" s="140"/>
      <c r="V9" s="140"/>
    </row>
    <row r="10" spans="1:28" x14ac:dyDescent="0.3">
      <c r="A10" s="76"/>
      <c r="B10" s="76"/>
      <c r="C10" s="76"/>
      <c r="D10" s="76"/>
      <c r="E10" s="76"/>
      <c r="F10" s="76"/>
      <c r="G10" s="76"/>
      <c r="H10" s="76"/>
      <c r="I10" s="76"/>
      <c r="J10" s="76"/>
      <c r="K10" s="76"/>
      <c r="L10" s="76"/>
      <c r="M10" s="94"/>
      <c r="N10" s="94"/>
      <c r="U10" s="140"/>
      <c r="V10" s="140"/>
    </row>
    <row r="11" spans="1:28" x14ac:dyDescent="0.3">
      <c r="A11" s="76"/>
      <c r="B11" s="76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94"/>
      <c r="N11" s="94"/>
      <c r="U11" s="140"/>
      <c r="V11" s="140"/>
    </row>
    <row r="12" spans="1:28" x14ac:dyDescent="0.3">
      <c r="B12" s="122" t="s">
        <v>33</v>
      </c>
      <c r="C12" s="122" t="s">
        <v>34</v>
      </c>
      <c r="D12" s="122"/>
      <c r="F12" s="94"/>
      <c r="G12" s="94"/>
      <c r="H12" s="94"/>
      <c r="I12" s="94"/>
      <c r="J12" s="94"/>
      <c r="K12" s="94"/>
      <c r="L12" s="94"/>
      <c r="M12" s="94"/>
      <c r="N12" s="94"/>
    </row>
    <row r="13" spans="1:28" x14ac:dyDescent="0.3">
      <c r="B13" s="122" t="s">
        <v>35</v>
      </c>
      <c r="C13" t="s">
        <v>36</v>
      </c>
      <c r="D13" s="122"/>
      <c r="F13" s="123"/>
      <c r="G13" s="94"/>
      <c r="H13" s="94"/>
      <c r="I13" s="94"/>
      <c r="K13" s="94"/>
      <c r="L13" s="94"/>
      <c r="M13" s="94"/>
      <c r="N13" s="94"/>
    </row>
    <row r="14" spans="1:28" x14ac:dyDescent="0.3">
      <c r="B14" s="1" t="s">
        <v>33</v>
      </c>
      <c r="C14" s="27" t="s">
        <v>34</v>
      </c>
      <c r="D14" s="122"/>
      <c r="F14" s="94"/>
      <c r="G14" s="94"/>
      <c r="H14" s="94"/>
      <c r="I14" s="94"/>
      <c r="J14" s="94"/>
      <c r="K14" s="94"/>
      <c r="L14" s="94"/>
      <c r="M14" s="94"/>
    </row>
    <row r="15" spans="1:28" x14ac:dyDescent="0.3">
      <c r="A15" s="123"/>
      <c r="B15" s="2"/>
      <c r="C15" s="2"/>
      <c r="D15" s="2"/>
      <c r="E15" s="2"/>
      <c r="F15" s="94"/>
      <c r="G15" s="94"/>
      <c r="H15" s="94"/>
      <c r="I15" s="94"/>
      <c r="J15" s="94"/>
      <c r="K15" s="94"/>
      <c r="L15" s="94"/>
      <c r="M15" s="94"/>
    </row>
    <row r="16" spans="1:28" x14ac:dyDescent="0.3">
      <c r="A16" s="122"/>
      <c r="B16" s="122" t="s">
        <v>40</v>
      </c>
      <c r="C16" s="122"/>
      <c r="D16" s="122"/>
      <c r="F16" s="94"/>
      <c r="G16" s="94"/>
      <c r="H16" s="181"/>
      <c r="I16" s="181"/>
      <c r="J16" s="181"/>
      <c r="K16" s="181"/>
      <c r="L16" s="94"/>
      <c r="M16" s="94"/>
      <c r="N16" s="94"/>
      <c r="O16" s="94"/>
      <c r="P16" s="94"/>
      <c r="Q16" s="94"/>
      <c r="R16" s="94"/>
    </row>
    <row r="17" spans="1:18" x14ac:dyDescent="0.3">
      <c r="A17" s="122"/>
      <c r="B17" s="91"/>
      <c r="C17" s="2" t="s">
        <v>47</v>
      </c>
      <c r="D17" s="2"/>
      <c r="E17" s="2"/>
      <c r="F17" s="94"/>
      <c r="G17" s="94"/>
      <c r="H17" s="94"/>
      <c r="I17" s="94"/>
      <c r="J17" s="94"/>
      <c r="K17" s="94"/>
      <c r="L17" s="94"/>
      <c r="M17" s="94"/>
      <c r="N17" s="94"/>
      <c r="O17" s="94"/>
      <c r="P17" s="94"/>
      <c r="Q17" s="94"/>
      <c r="R17" s="94"/>
    </row>
    <row r="18" spans="1:18" ht="14.4" customHeight="1" x14ac:dyDescent="0.3">
      <c r="D18" s="124"/>
      <c r="E18" s="124"/>
      <c r="F18" s="124"/>
      <c r="G18" s="94"/>
      <c r="H18" s="94"/>
      <c r="I18" s="94"/>
      <c r="J18" s="94"/>
      <c r="K18" s="94"/>
      <c r="L18" s="94"/>
      <c r="M18" s="94"/>
      <c r="N18" s="94"/>
      <c r="O18" s="94"/>
      <c r="P18" s="94"/>
      <c r="Q18" s="94"/>
      <c r="R18" s="94"/>
    </row>
    <row r="19" spans="1:18" x14ac:dyDescent="0.3">
      <c r="A19" s="123"/>
      <c r="B19" s="94"/>
      <c r="C19" s="94"/>
      <c r="D19" s="94"/>
      <c r="E19" s="94"/>
      <c r="F19" s="94"/>
      <c r="G19" s="94"/>
      <c r="H19" s="94"/>
      <c r="I19" s="94"/>
      <c r="J19" s="94"/>
      <c r="K19" s="94"/>
      <c r="L19" s="94"/>
      <c r="M19" s="94"/>
    </row>
    <row r="20" spans="1:18" x14ac:dyDescent="0.3">
      <c r="A20" s="123"/>
      <c r="B20" s="94"/>
      <c r="C20" s="94"/>
      <c r="D20" s="94"/>
      <c r="E20" s="94"/>
      <c r="F20" s="94"/>
      <c r="G20" s="94"/>
      <c r="H20" s="94"/>
      <c r="I20" s="94"/>
      <c r="J20" s="94"/>
      <c r="K20" s="94"/>
      <c r="L20" s="94"/>
      <c r="M20" s="94"/>
    </row>
    <row r="21" spans="1:18" x14ac:dyDescent="0.3">
      <c r="B21" s="94"/>
      <c r="C21" s="94"/>
      <c r="D21" s="94"/>
      <c r="E21" s="94"/>
      <c r="F21" s="94"/>
      <c r="G21" s="94"/>
      <c r="H21" s="94"/>
      <c r="I21" s="94"/>
      <c r="J21" s="94"/>
      <c r="K21" s="94"/>
      <c r="L21" s="94"/>
      <c r="M21" s="94"/>
    </row>
    <row r="22" spans="1:18" x14ac:dyDescent="0.3">
      <c r="B22" s="94"/>
      <c r="C22" s="94"/>
      <c r="D22" s="94"/>
      <c r="E22" s="94"/>
      <c r="F22" s="94"/>
      <c r="G22" s="94"/>
      <c r="H22" s="94"/>
      <c r="I22" s="94"/>
      <c r="J22" s="94"/>
      <c r="K22" s="94"/>
      <c r="L22" s="94"/>
      <c r="M22" s="94"/>
    </row>
    <row r="23" spans="1:18" x14ac:dyDescent="0.3">
      <c r="B23" s="94"/>
      <c r="C23" s="94"/>
      <c r="D23" s="94"/>
      <c r="E23" s="94"/>
      <c r="F23" s="94"/>
      <c r="G23" s="94"/>
      <c r="H23" s="94"/>
      <c r="I23" s="94"/>
      <c r="J23" s="94"/>
      <c r="K23" s="94"/>
      <c r="L23" s="94"/>
      <c r="M23" s="94"/>
    </row>
    <row r="24" spans="1:18" x14ac:dyDescent="0.3">
      <c r="B24" s="94"/>
      <c r="C24" s="94"/>
      <c r="D24" s="94"/>
      <c r="E24" s="94"/>
      <c r="F24" s="94"/>
      <c r="G24" s="94"/>
      <c r="H24" s="94"/>
      <c r="I24" s="94"/>
      <c r="J24" s="94"/>
      <c r="K24" s="94"/>
      <c r="L24" s="94"/>
      <c r="M24" s="94"/>
    </row>
    <row r="25" spans="1:18" x14ac:dyDescent="0.3">
      <c r="B25" s="94"/>
      <c r="C25" s="94"/>
      <c r="D25" s="94"/>
      <c r="E25" s="94"/>
      <c r="F25" s="94"/>
      <c r="G25" s="94"/>
      <c r="H25" s="94"/>
      <c r="I25" s="94"/>
      <c r="J25" s="94"/>
      <c r="K25" s="94"/>
      <c r="L25" s="94"/>
      <c r="M25" s="94"/>
      <c r="N25" s="94"/>
    </row>
    <row r="26" spans="1:18" x14ac:dyDescent="0.3">
      <c r="B26" s="94"/>
      <c r="C26" s="94"/>
      <c r="D26" s="94"/>
      <c r="E26" s="94"/>
      <c r="F26" s="94"/>
      <c r="G26" s="94"/>
      <c r="H26" s="94"/>
      <c r="I26" s="94"/>
      <c r="J26" s="94"/>
      <c r="K26" s="94"/>
      <c r="L26" s="94"/>
      <c r="M26" s="94"/>
      <c r="N26" s="94"/>
    </row>
    <row r="27" spans="1:18" x14ac:dyDescent="0.3">
      <c r="B27" s="94"/>
      <c r="C27" s="94"/>
      <c r="D27" s="94"/>
      <c r="E27" s="94"/>
      <c r="F27" s="94"/>
      <c r="G27" s="94"/>
      <c r="H27" s="94"/>
      <c r="I27" s="94"/>
      <c r="J27" s="94"/>
      <c r="K27" s="94"/>
      <c r="L27" s="94"/>
      <c r="M27" s="94"/>
      <c r="N27" s="94"/>
    </row>
    <row r="28" spans="1:18" x14ac:dyDescent="0.3">
      <c r="B28" s="94"/>
      <c r="C28" s="94"/>
      <c r="D28" s="94"/>
      <c r="E28" s="94"/>
      <c r="F28" s="94"/>
      <c r="G28" s="94"/>
      <c r="H28" s="94"/>
      <c r="I28" s="94"/>
      <c r="J28" s="94"/>
      <c r="K28" s="94"/>
      <c r="L28" s="94"/>
      <c r="M28" s="94"/>
      <c r="N28" s="94"/>
    </row>
    <row r="29" spans="1:18" x14ac:dyDescent="0.3">
      <c r="B29" s="94"/>
      <c r="C29" s="94"/>
      <c r="D29" s="94"/>
      <c r="E29" s="94"/>
      <c r="F29" s="94"/>
      <c r="G29" s="94"/>
      <c r="H29" s="94"/>
      <c r="I29" s="94"/>
      <c r="J29" s="94"/>
      <c r="K29" s="94"/>
      <c r="L29" s="94"/>
      <c r="M29" s="94"/>
      <c r="N29" s="94"/>
    </row>
    <row r="30" spans="1:18" x14ac:dyDescent="0.3">
      <c r="B30" s="94"/>
      <c r="C30" s="94"/>
      <c r="D30" s="94"/>
      <c r="E30" s="94"/>
      <c r="F30" s="94"/>
      <c r="G30" s="94"/>
      <c r="H30" s="94"/>
      <c r="I30" s="94"/>
      <c r="J30" s="94"/>
      <c r="K30" s="94"/>
      <c r="L30" s="94"/>
      <c r="M30" s="94"/>
      <c r="N30" s="94"/>
    </row>
    <row r="31" spans="1:18" x14ac:dyDescent="0.3">
      <c r="B31" s="94"/>
      <c r="C31" s="94"/>
      <c r="D31" s="94"/>
      <c r="E31" s="94"/>
      <c r="F31" s="94"/>
      <c r="G31" s="94"/>
      <c r="H31" s="94"/>
      <c r="I31" s="94"/>
      <c r="J31" s="94"/>
      <c r="K31" s="94"/>
      <c r="L31" s="94"/>
      <c r="M31" s="94"/>
      <c r="N31" s="94"/>
    </row>
    <row r="32" spans="1:18" x14ac:dyDescent="0.3">
      <c r="B32" s="94"/>
      <c r="C32" s="94"/>
      <c r="D32" s="94"/>
      <c r="E32" s="94"/>
      <c r="F32" s="94"/>
      <c r="G32" s="94"/>
      <c r="H32" s="94"/>
      <c r="I32" s="94"/>
      <c r="J32" s="94"/>
      <c r="K32" s="94"/>
      <c r="L32" s="94"/>
      <c r="M32" s="94"/>
      <c r="N32" s="94"/>
    </row>
    <row r="33" spans="2:14" x14ac:dyDescent="0.3">
      <c r="B33" s="94"/>
      <c r="C33" s="94"/>
      <c r="D33" s="94"/>
      <c r="E33" s="94"/>
      <c r="F33" s="94"/>
      <c r="G33" s="94"/>
      <c r="H33" s="94"/>
      <c r="I33" s="94"/>
      <c r="J33" s="94"/>
      <c r="K33" s="94"/>
      <c r="L33" s="94"/>
      <c r="M33" s="94"/>
      <c r="N33" s="94"/>
    </row>
    <row r="34" spans="2:14" x14ac:dyDescent="0.3">
      <c r="B34" s="94"/>
      <c r="C34" s="94"/>
      <c r="D34" s="94"/>
      <c r="E34" s="94"/>
      <c r="F34" s="94"/>
      <c r="G34" s="94"/>
      <c r="H34" s="94"/>
      <c r="I34" s="94"/>
      <c r="J34" s="94"/>
      <c r="K34" s="94"/>
      <c r="L34" s="94"/>
      <c r="M34" s="94"/>
      <c r="N34" s="94"/>
    </row>
    <row r="35" spans="2:14" x14ac:dyDescent="0.3">
      <c r="B35" s="94"/>
      <c r="C35" s="94"/>
      <c r="D35" s="94"/>
      <c r="E35" s="94"/>
      <c r="F35" s="94"/>
      <c r="G35" s="94"/>
      <c r="H35" s="94"/>
      <c r="I35" s="94"/>
      <c r="J35" s="94"/>
      <c r="K35" s="94"/>
      <c r="L35" s="94"/>
      <c r="M35" s="94"/>
      <c r="N35" s="94"/>
    </row>
    <row r="36" spans="2:14" x14ac:dyDescent="0.3">
      <c r="B36" s="94"/>
      <c r="C36" s="94"/>
      <c r="D36" s="94"/>
      <c r="E36" s="94"/>
      <c r="F36" s="94"/>
      <c r="G36" s="94"/>
      <c r="H36" s="94"/>
      <c r="I36" s="94"/>
      <c r="J36" s="94"/>
      <c r="K36" s="94"/>
      <c r="L36" s="94"/>
      <c r="M36" s="94"/>
      <c r="N36" s="94"/>
    </row>
    <row r="37" spans="2:14" x14ac:dyDescent="0.3">
      <c r="B37" s="94"/>
      <c r="C37" s="94"/>
      <c r="D37" s="94"/>
      <c r="E37" s="94"/>
      <c r="F37" s="94"/>
      <c r="G37" s="94"/>
      <c r="H37" s="94"/>
      <c r="I37" s="94"/>
      <c r="J37" s="94"/>
      <c r="K37" s="94"/>
      <c r="L37" s="94"/>
      <c r="M37" s="94"/>
      <c r="N37" s="94"/>
    </row>
    <row r="38" spans="2:14" x14ac:dyDescent="0.3">
      <c r="B38" s="94"/>
      <c r="C38" s="94"/>
      <c r="D38" s="94"/>
      <c r="E38" s="94"/>
      <c r="F38" s="94"/>
      <c r="G38" s="94"/>
      <c r="H38" s="94"/>
      <c r="I38" s="94"/>
      <c r="J38" s="94"/>
      <c r="K38" s="94"/>
      <c r="L38" s="94"/>
      <c r="M38" s="94"/>
      <c r="N38" s="94"/>
    </row>
    <row r="39" spans="2:14" x14ac:dyDescent="0.3">
      <c r="B39" s="94"/>
      <c r="C39" s="94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</row>
    <row r="40" spans="2:14" x14ac:dyDescent="0.3">
      <c r="B40" s="94"/>
      <c r="C40" s="94"/>
      <c r="D40" s="94"/>
      <c r="E40" s="94"/>
      <c r="F40" s="94"/>
      <c r="G40" s="94"/>
      <c r="H40" s="94"/>
      <c r="I40" s="94"/>
      <c r="J40" s="94"/>
      <c r="K40" s="94"/>
      <c r="L40" s="94"/>
      <c r="M40" s="94"/>
      <c r="N40" s="94"/>
    </row>
    <row r="41" spans="2:14" x14ac:dyDescent="0.3">
      <c r="B41" s="94"/>
      <c r="C41" s="94"/>
      <c r="D41" s="94"/>
      <c r="E41" s="94"/>
      <c r="F41" s="94"/>
      <c r="G41" s="94"/>
      <c r="H41" s="94"/>
      <c r="I41" s="94"/>
      <c r="J41" s="94"/>
      <c r="K41" s="94"/>
      <c r="L41" s="94"/>
      <c r="M41" s="94"/>
      <c r="N41" s="94"/>
    </row>
    <row r="42" spans="2:14" x14ac:dyDescent="0.3">
      <c r="B42" s="94"/>
      <c r="C42" s="94"/>
      <c r="D42" s="94"/>
      <c r="E42" s="94"/>
      <c r="F42" s="94"/>
      <c r="G42" s="94"/>
      <c r="H42" s="94"/>
      <c r="I42" s="94"/>
      <c r="J42" s="94"/>
      <c r="K42" s="94"/>
      <c r="L42" s="94"/>
      <c r="M42" s="94"/>
      <c r="N42" s="94"/>
    </row>
    <row r="43" spans="2:14" x14ac:dyDescent="0.3">
      <c r="F43" s="123"/>
      <c r="L43" s="94"/>
    </row>
    <row r="44" spans="2:14" x14ac:dyDescent="0.3">
      <c r="F44" s="123"/>
      <c r="L44" s="94"/>
    </row>
    <row r="45" spans="2:14" x14ac:dyDescent="0.3">
      <c r="F45" s="123"/>
      <c r="L45" s="94"/>
    </row>
    <row r="46" spans="2:14" x14ac:dyDescent="0.3">
      <c r="F46" s="123"/>
      <c r="L46" s="94"/>
    </row>
    <row r="47" spans="2:14" x14ac:dyDescent="0.3">
      <c r="F47" s="123"/>
      <c r="L47" s="94"/>
    </row>
    <row r="48" spans="2:14" x14ac:dyDescent="0.3">
      <c r="F48" s="123"/>
      <c r="L48" s="94"/>
    </row>
  </sheetData>
  <mergeCells count="14">
    <mergeCell ref="A1:A2"/>
    <mergeCell ref="B1:B2"/>
    <mergeCell ref="E1:E2"/>
    <mergeCell ref="F1:F2"/>
    <mergeCell ref="G1:G2"/>
    <mergeCell ref="W5:X5"/>
    <mergeCell ref="H16:K16"/>
    <mergeCell ref="I1:I2"/>
    <mergeCell ref="K1:K2"/>
    <mergeCell ref="L1:L2"/>
    <mergeCell ref="M1:M2"/>
    <mergeCell ref="N1:N2"/>
    <mergeCell ref="Q1:V1"/>
    <mergeCell ref="H1:H2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3A42D-553D-415C-A90B-9289D33AE9C3}">
  <dimension ref="A1:AB48"/>
  <sheetViews>
    <sheetView workbookViewId="0">
      <selection activeCell="G14" sqref="G14"/>
    </sheetView>
  </sheetViews>
  <sheetFormatPr defaultColWidth="9.109375" defaultRowHeight="14.4" x14ac:dyDescent="0.3"/>
  <cols>
    <col min="1" max="2" width="9.109375" style="28"/>
    <col min="3" max="3" width="11.109375" style="28" customWidth="1"/>
    <col min="4" max="4" width="15.44140625" style="28" customWidth="1"/>
    <col min="5" max="5" width="12" style="28" customWidth="1"/>
    <col min="6" max="6" width="17.109375" style="39" customWidth="1"/>
    <col min="7" max="7" width="13.33203125" style="28" customWidth="1"/>
    <col min="8" max="8" width="11.44140625" style="28" customWidth="1"/>
    <col min="9" max="9" width="17.33203125" style="28" customWidth="1"/>
    <col min="10" max="10" width="11.6640625" style="28" customWidth="1"/>
    <col min="11" max="11" width="16.109375" style="28" customWidth="1"/>
    <col min="12" max="12" width="13.5546875" style="28" customWidth="1"/>
    <col min="13" max="13" width="12.44140625" style="28" customWidth="1"/>
    <col min="14" max="14" width="13.88671875" style="28" customWidth="1"/>
    <col min="15" max="20" width="9.109375" style="28"/>
    <col min="21" max="21" width="15.109375" style="28" customWidth="1"/>
    <col min="22" max="22" width="13.6640625" style="28" customWidth="1"/>
    <col min="23" max="25" width="9.109375" style="28"/>
    <col min="26" max="26" width="9.5546875" style="28" customWidth="1"/>
    <col min="27" max="16384" width="9.109375" style="28"/>
  </cols>
  <sheetData>
    <row r="1" spans="1:28" ht="45" customHeight="1" thickBot="1" x14ac:dyDescent="0.4">
      <c r="A1" s="185" t="s">
        <v>0</v>
      </c>
      <c r="B1" s="187" t="s">
        <v>1</v>
      </c>
      <c r="C1" s="165" t="s">
        <v>148</v>
      </c>
      <c r="D1" s="165" t="s">
        <v>149</v>
      </c>
      <c r="E1" s="189" t="s">
        <v>2</v>
      </c>
      <c r="F1" s="191" t="s">
        <v>3</v>
      </c>
      <c r="G1" s="193" t="s">
        <v>4</v>
      </c>
      <c r="H1" s="179" t="s">
        <v>5</v>
      </c>
      <c r="I1" s="195" t="s">
        <v>6</v>
      </c>
      <c r="J1" s="92" t="s">
        <v>7</v>
      </c>
      <c r="K1" s="195" t="s">
        <v>8</v>
      </c>
      <c r="L1" s="196" t="s">
        <v>9</v>
      </c>
      <c r="M1" s="187" t="s">
        <v>10</v>
      </c>
      <c r="N1" s="187" t="s">
        <v>11</v>
      </c>
      <c r="O1" s="94"/>
      <c r="P1" s="94"/>
      <c r="Q1" s="182" t="s">
        <v>12</v>
      </c>
      <c r="R1" s="182"/>
      <c r="S1" s="182"/>
      <c r="T1" s="182"/>
      <c r="U1" s="182"/>
      <c r="V1" s="182"/>
      <c r="AB1" s="29">
        <v>45677</v>
      </c>
    </row>
    <row r="2" spans="1:28" ht="26.4" customHeight="1" thickBot="1" x14ac:dyDescent="0.35">
      <c r="A2" s="199"/>
      <c r="B2" s="200"/>
      <c r="C2" s="166"/>
      <c r="D2" s="166"/>
      <c r="E2" s="201"/>
      <c r="F2" s="202"/>
      <c r="G2" s="203"/>
      <c r="H2" s="198"/>
      <c r="I2" s="198"/>
      <c r="J2" s="129"/>
      <c r="K2" s="198"/>
      <c r="L2" s="204"/>
      <c r="M2" s="200"/>
      <c r="N2" s="200"/>
      <c r="O2" s="94"/>
      <c r="P2" s="164">
        <v>46237</v>
      </c>
      <c r="Q2" s="96" t="s">
        <v>13</v>
      </c>
      <c r="R2" s="97" t="s">
        <v>13</v>
      </c>
      <c r="S2" s="98" t="s">
        <v>13</v>
      </c>
      <c r="T2" s="96" t="s">
        <v>14</v>
      </c>
      <c r="U2" s="97" t="s">
        <v>14</v>
      </c>
      <c r="V2" s="98" t="s">
        <v>14</v>
      </c>
      <c r="W2" s="94"/>
      <c r="X2" s="94"/>
    </row>
    <row r="3" spans="1:28" ht="17.100000000000001" customHeight="1" thickBot="1" x14ac:dyDescent="0.35">
      <c r="A3" s="62" t="s">
        <v>27</v>
      </c>
      <c r="B3" s="161" t="s">
        <v>16</v>
      </c>
      <c r="C3" s="167">
        <v>45547</v>
      </c>
      <c r="D3" s="168">
        <f>$P$2-C3</f>
        <v>690</v>
      </c>
      <c r="E3" s="63">
        <v>107</v>
      </c>
      <c r="F3" s="131" t="s">
        <v>22</v>
      </c>
      <c r="G3" s="73">
        <v>1</v>
      </c>
      <c r="H3" s="132">
        <v>188</v>
      </c>
      <c r="I3" s="133">
        <v>47</v>
      </c>
      <c r="J3" s="134">
        <f>RANK(I3,$I$3:$I$9)</f>
        <v>2</v>
      </c>
      <c r="K3" s="135">
        <v>87</v>
      </c>
      <c r="L3" s="171">
        <f>RANK(K3,$K$3:$K$9)+COUNTIF(K3:$K$3,K3)-1</f>
        <v>1</v>
      </c>
      <c r="M3" s="175">
        <f>(G3+L3)/2</f>
        <v>1</v>
      </c>
      <c r="N3" s="175">
        <f>RANK(M3,$M$3:$M$9,1)+COUNTIF(M3:$M$6,M3)-1</f>
        <v>1</v>
      </c>
      <c r="O3" s="94"/>
      <c r="P3" s="94"/>
      <c r="Q3" s="103" t="s">
        <v>18</v>
      </c>
      <c r="R3" s="104" t="s">
        <v>19</v>
      </c>
      <c r="S3" s="105" t="s">
        <v>20</v>
      </c>
      <c r="T3" s="103" t="s">
        <v>18</v>
      </c>
      <c r="U3" s="104" t="s">
        <v>19</v>
      </c>
      <c r="V3" s="106" t="s">
        <v>20</v>
      </c>
      <c r="W3" s="94"/>
      <c r="X3" s="94"/>
    </row>
    <row r="4" spans="1:28" ht="17.100000000000001" customHeight="1" thickBot="1" x14ac:dyDescent="0.35">
      <c r="A4" s="65" t="s">
        <v>15</v>
      </c>
      <c r="B4" s="80" t="s">
        <v>24</v>
      </c>
      <c r="C4" s="169">
        <v>45710</v>
      </c>
      <c r="D4" s="170">
        <f t="shared" ref="D4:D6" si="0">$P$2-C4</f>
        <v>527</v>
      </c>
      <c r="E4" s="31">
        <v>104</v>
      </c>
      <c r="F4" s="94" t="s">
        <v>22</v>
      </c>
      <c r="G4" s="74">
        <v>2</v>
      </c>
      <c r="H4" s="130">
        <v>154</v>
      </c>
      <c r="I4" s="94">
        <v>32</v>
      </c>
      <c r="J4" s="138">
        <f t="shared" ref="J4:J6" si="1">RANK(I4,$I$3:$I$9)</f>
        <v>3</v>
      </c>
      <c r="K4" s="94">
        <v>86</v>
      </c>
      <c r="L4" s="172">
        <f>RANK(K4,$K$3:$K$9)+COUNTIF(K$3:$K4,K4)-1</f>
        <v>4</v>
      </c>
      <c r="M4" s="176">
        <f>(G4+L4)/2</f>
        <v>3</v>
      </c>
      <c r="N4" s="176">
        <f>RANK(M4,$M$3:$M$9,1)+COUNTIF(M4:$M$6,M4)-1</f>
        <v>3</v>
      </c>
      <c r="O4" s="94"/>
      <c r="P4" s="94"/>
      <c r="Q4" s="48">
        <v>50</v>
      </c>
      <c r="R4" s="110"/>
      <c r="S4" s="111"/>
      <c r="T4" s="49">
        <v>20</v>
      </c>
      <c r="U4" s="112"/>
      <c r="V4" s="113"/>
    </row>
    <row r="5" spans="1:28" ht="17.100000000000001" customHeight="1" thickBot="1" x14ac:dyDescent="0.35">
      <c r="A5" s="65" t="s">
        <v>27</v>
      </c>
      <c r="B5" s="83" t="s">
        <v>21</v>
      </c>
      <c r="C5" s="169">
        <v>45717</v>
      </c>
      <c r="D5" s="170">
        <f t="shared" si="0"/>
        <v>520</v>
      </c>
      <c r="E5" s="31">
        <v>103</v>
      </c>
      <c r="F5" s="94" t="s">
        <v>22</v>
      </c>
      <c r="G5" s="74">
        <v>3</v>
      </c>
      <c r="H5" s="130">
        <v>342</v>
      </c>
      <c r="I5" s="94">
        <v>28</v>
      </c>
      <c r="J5" s="138">
        <f t="shared" si="1"/>
        <v>4</v>
      </c>
      <c r="K5" s="94">
        <v>87</v>
      </c>
      <c r="L5" s="172">
        <f>RANK(K5,$K$3:$K$9)+COUNTIF(K$3:$K5,K5)-1</f>
        <v>2</v>
      </c>
      <c r="M5" s="176">
        <f>(G5+L5)/2</f>
        <v>2.5</v>
      </c>
      <c r="N5" s="176">
        <f>RANK(M5,$M$3:$M$9,1)+COUNTIF(M5:$M$6,M5)-1</f>
        <v>2</v>
      </c>
      <c r="O5" s="94"/>
      <c r="P5" s="94"/>
      <c r="W5" s="183" t="s">
        <v>23</v>
      </c>
      <c r="X5" s="184"/>
    </row>
    <row r="6" spans="1:28" x14ac:dyDescent="0.3">
      <c r="A6" s="65" t="s">
        <v>27</v>
      </c>
      <c r="B6" s="80" t="s">
        <v>45</v>
      </c>
      <c r="C6" s="169">
        <v>45843</v>
      </c>
      <c r="D6" s="170">
        <f t="shared" si="0"/>
        <v>394</v>
      </c>
      <c r="E6" s="31">
        <v>102</v>
      </c>
      <c r="F6" s="159" t="s">
        <v>22</v>
      </c>
      <c r="G6" s="74">
        <v>4</v>
      </c>
      <c r="H6" s="160">
        <v>201</v>
      </c>
      <c r="I6" s="159">
        <v>51</v>
      </c>
      <c r="J6" s="138">
        <f t="shared" si="1"/>
        <v>1</v>
      </c>
      <c r="K6" s="71">
        <v>87</v>
      </c>
      <c r="L6" s="172">
        <f>RANK(K6,$K$3:$K$9)+COUNTIF(K$3:$K6,K6)-1</f>
        <v>3</v>
      </c>
      <c r="M6" s="176">
        <f>(G6+L6)/2</f>
        <v>3.5</v>
      </c>
      <c r="N6" s="176">
        <f>RANK(M6,$M$3:$M$9,1)+COUNTIF(M6:$M$6,M6)-1</f>
        <v>4</v>
      </c>
      <c r="O6" s="94"/>
      <c r="P6" s="94"/>
      <c r="W6" s="115" t="s">
        <v>25</v>
      </c>
      <c r="X6" s="116" t="s">
        <v>26</v>
      </c>
    </row>
    <row r="7" spans="1:28" ht="15" thickBot="1" x14ac:dyDescent="0.35">
      <c r="A7" s="66"/>
      <c r="B7" s="71"/>
      <c r="C7" s="31"/>
      <c r="D7" s="94"/>
      <c r="E7" s="74"/>
      <c r="F7" s="130"/>
      <c r="G7" s="94"/>
      <c r="H7" s="138"/>
      <c r="I7" s="94"/>
      <c r="J7" s="34"/>
      <c r="K7" s="109"/>
      <c r="L7" s="173"/>
      <c r="M7" s="177"/>
      <c r="N7" s="177"/>
      <c r="U7" s="117">
        <f>R4+U4</f>
        <v>0</v>
      </c>
      <c r="V7" s="118">
        <f>S4+V4</f>
        <v>0</v>
      </c>
    </row>
    <row r="8" spans="1:28" ht="15" thickTop="1" x14ac:dyDescent="0.3">
      <c r="A8" s="66"/>
      <c r="B8" s="71"/>
      <c r="C8" s="31"/>
      <c r="D8" s="94"/>
      <c r="E8" s="74"/>
      <c r="F8" s="130"/>
      <c r="G8" s="94"/>
      <c r="H8" s="138"/>
      <c r="I8" s="94"/>
      <c r="J8" s="34"/>
      <c r="K8" s="109"/>
      <c r="L8" s="173"/>
      <c r="M8" s="177"/>
      <c r="N8" s="177"/>
      <c r="U8" s="140"/>
      <c r="V8" s="140"/>
    </row>
    <row r="9" spans="1:28" ht="15" thickBot="1" x14ac:dyDescent="0.35">
      <c r="A9" s="67"/>
      <c r="B9" s="72"/>
      <c r="C9" s="68"/>
      <c r="D9" s="141"/>
      <c r="E9" s="75"/>
      <c r="F9" s="142"/>
      <c r="G9" s="141"/>
      <c r="H9" s="143"/>
      <c r="I9" s="141"/>
      <c r="J9" s="69"/>
      <c r="K9" s="144"/>
      <c r="L9" s="174"/>
      <c r="M9" s="178"/>
      <c r="N9" s="178"/>
      <c r="U9" s="140"/>
      <c r="V9" s="140"/>
    </row>
    <row r="10" spans="1:28" x14ac:dyDescent="0.3">
      <c r="A10" s="76"/>
      <c r="B10" s="76"/>
      <c r="C10" s="76"/>
      <c r="D10" s="76"/>
      <c r="E10" s="76"/>
      <c r="F10" s="76"/>
      <c r="G10" s="76"/>
      <c r="H10" s="76"/>
      <c r="I10" s="76"/>
      <c r="J10" s="76"/>
      <c r="K10" s="76"/>
      <c r="L10" s="76"/>
      <c r="M10" s="94"/>
      <c r="N10" s="94"/>
      <c r="U10" s="140"/>
      <c r="V10" s="140"/>
    </row>
    <row r="11" spans="1:28" x14ac:dyDescent="0.3">
      <c r="A11" s="76"/>
      <c r="B11" s="76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94"/>
      <c r="N11" s="94"/>
      <c r="U11" s="140"/>
      <c r="V11" s="140"/>
    </row>
    <row r="12" spans="1:28" x14ac:dyDescent="0.3">
      <c r="B12" s="122" t="s">
        <v>33</v>
      </c>
      <c r="C12" s="122" t="s">
        <v>34</v>
      </c>
      <c r="D12" s="122"/>
      <c r="F12" s="94"/>
      <c r="G12" s="94"/>
      <c r="H12" s="94"/>
      <c r="I12" s="94"/>
      <c r="J12" s="94"/>
      <c r="K12" s="94"/>
      <c r="L12" s="94"/>
      <c r="M12" s="94"/>
      <c r="N12" s="94"/>
    </row>
    <row r="13" spans="1:28" x14ac:dyDescent="0.3">
      <c r="B13" s="122" t="s">
        <v>35</v>
      </c>
      <c r="C13" t="s">
        <v>36</v>
      </c>
      <c r="D13" s="122"/>
      <c r="F13" s="123"/>
      <c r="G13" s="94"/>
      <c r="H13" s="94"/>
      <c r="I13" s="94"/>
      <c r="K13" s="94"/>
      <c r="L13" s="94"/>
      <c r="M13" s="94"/>
      <c r="N13" s="94"/>
    </row>
    <row r="14" spans="1:28" x14ac:dyDescent="0.3">
      <c r="B14" s="1" t="s">
        <v>33</v>
      </c>
      <c r="C14" s="27" t="s">
        <v>34</v>
      </c>
      <c r="D14" s="122"/>
      <c r="F14" s="94"/>
      <c r="G14" s="94"/>
      <c r="H14" s="94"/>
      <c r="I14" s="94"/>
      <c r="J14" s="94"/>
      <c r="K14" s="94"/>
      <c r="L14" s="94"/>
      <c r="M14" s="94"/>
    </row>
    <row r="15" spans="1:28" x14ac:dyDescent="0.3">
      <c r="A15" s="123"/>
      <c r="B15" s="2"/>
      <c r="C15" s="2"/>
      <c r="D15" s="2"/>
      <c r="E15" s="2"/>
      <c r="F15" s="94"/>
      <c r="G15" s="94"/>
      <c r="H15" s="94"/>
      <c r="I15" s="94"/>
      <c r="J15" s="94"/>
      <c r="K15" s="94"/>
      <c r="L15" s="94"/>
      <c r="M15" s="94"/>
    </row>
    <row r="16" spans="1:28" x14ac:dyDescent="0.3">
      <c r="A16" s="122"/>
      <c r="B16" s="122" t="s">
        <v>40</v>
      </c>
      <c r="C16" s="122"/>
      <c r="D16" s="122"/>
      <c r="F16" s="94"/>
      <c r="G16" s="94"/>
      <c r="H16" s="181"/>
      <c r="I16" s="181"/>
      <c r="J16" s="181"/>
      <c r="K16" s="181"/>
      <c r="L16" s="94"/>
      <c r="M16" s="94"/>
      <c r="N16" s="94"/>
      <c r="O16" s="94"/>
      <c r="P16" s="94"/>
      <c r="Q16" s="94"/>
      <c r="R16" s="94"/>
    </row>
    <row r="17" spans="1:18" x14ac:dyDescent="0.3">
      <c r="A17" s="122"/>
      <c r="B17" s="91"/>
      <c r="C17" s="2" t="s">
        <v>47</v>
      </c>
      <c r="D17" s="2"/>
      <c r="E17" s="2"/>
      <c r="F17" s="94"/>
      <c r="G17" s="94"/>
      <c r="H17" s="94"/>
      <c r="I17" s="94"/>
      <c r="J17" s="94"/>
      <c r="K17" s="94"/>
      <c r="L17" s="94"/>
      <c r="M17" s="94"/>
      <c r="N17" s="94"/>
      <c r="O17" s="94"/>
      <c r="P17" s="94"/>
      <c r="Q17" s="94"/>
      <c r="R17" s="94"/>
    </row>
    <row r="18" spans="1:18" ht="14.4" customHeight="1" x14ac:dyDescent="0.3">
      <c r="D18" s="124"/>
      <c r="E18" s="124"/>
      <c r="F18" s="124"/>
      <c r="G18" s="94"/>
      <c r="H18" s="94"/>
      <c r="I18" s="94"/>
      <c r="J18" s="94"/>
      <c r="K18" s="94"/>
      <c r="L18" s="94"/>
      <c r="M18" s="94"/>
      <c r="N18" s="94"/>
      <c r="O18" s="94"/>
      <c r="P18" s="94"/>
      <c r="Q18" s="94"/>
      <c r="R18" s="94"/>
    </row>
    <row r="19" spans="1:18" x14ac:dyDescent="0.3">
      <c r="A19" s="123"/>
      <c r="B19" s="94"/>
      <c r="C19" s="94"/>
      <c r="D19" s="94"/>
      <c r="E19" s="94"/>
      <c r="F19" s="94"/>
      <c r="G19" s="94"/>
      <c r="H19" s="94"/>
      <c r="I19" s="94"/>
      <c r="J19" s="94"/>
      <c r="K19" s="94"/>
      <c r="L19" s="94"/>
      <c r="M19" s="94"/>
    </row>
    <row r="20" spans="1:18" x14ac:dyDescent="0.3">
      <c r="A20" s="123"/>
      <c r="B20" s="94"/>
      <c r="C20" s="94"/>
      <c r="D20" s="94"/>
      <c r="E20" s="94"/>
      <c r="F20" s="94"/>
      <c r="G20" s="94"/>
      <c r="H20" s="94"/>
      <c r="I20" s="94"/>
      <c r="J20" s="94"/>
      <c r="K20" s="94"/>
      <c r="L20" s="94"/>
      <c r="M20" s="94"/>
    </row>
    <row r="21" spans="1:18" x14ac:dyDescent="0.3">
      <c r="B21" s="94"/>
      <c r="C21" s="94"/>
      <c r="D21" s="94"/>
      <c r="E21" s="94"/>
      <c r="F21" s="94"/>
      <c r="G21" s="94"/>
      <c r="H21" s="94"/>
      <c r="I21" s="94"/>
      <c r="J21" s="94"/>
      <c r="K21" s="94"/>
      <c r="L21" s="94"/>
      <c r="M21" s="94"/>
    </row>
    <row r="22" spans="1:18" x14ac:dyDescent="0.3">
      <c r="B22" s="94"/>
      <c r="C22" s="94"/>
      <c r="D22" s="94"/>
      <c r="E22" s="94"/>
      <c r="F22" s="94"/>
      <c r="G22" s="94"/>
      <c r="H22" s="94"/>
      <c r="I22" s="94"/>
      <c r="J22" s="94"/>
      <c r="K22" s="94"/>
      <c r="L22" s="94"/>
      <c r="M22" s="94"/>
    </row>
    <row r="23" spans="1:18" x14ac:dyDescent="0.3">
      <c r="B23" s="94"/>
      <c r="C23" s="94"/>
      <c r="D23" s="94"/>
      <c r="E23" s="94"/>
      <c r="F23" s="94"/>
      <c r="G23" s="94"/>
      <c r="H23" s="94"/>
      <c r="I23" s="94"/>
      <c r="J23" s="94"/>
      <c r="K23" s="94"/>
      <c r="L23" s="94"/>
      <c r="M23" s="94"/>
    </row>
    <row r="24" spans="1:18" x14ac:dyDescent="0.3">
      <c r="B24" s="94"/>
      <c r="C24" s="94"/>
      <c r="D24" s="94"/>
      <c r="E24" s="94"/>
      <c r="F24" s="94"/>
      <c r="G24" s="94"/>
      <c r="H24" s="94"/>
      <c r="I24" s="94"/>
      <c r="J24" s="94"/>
      <c r="K24" s="94"/>
      <c r="L24" s="94"/>
      <c r="M24" s="94"/>
    </row>
    <row r="25" spans="1:18" x14ac:dyDescent="0.3">
      <c r="B25" s="94"/>
      <c r="C25" s="94"/>
      <c r="D25" s="94"/>
      <c r="E25" s="94"/>
      <c r="F25" s="94"/>
      <c r="G25" s="94"/>
      <c r="H25" s="94"/>
      <c r="I25" s="94"/>
      <c r="J25" s="94"/>
      <c r="K25" s="94"/>
      <c r="L25" s="94"/>
      <c r="M25" s="94"/>
      <c r="N25" s="94"/>
    </row>
    <row r="26" spans="1:18" x14ac:dyDescent="0.3">
      <c r="B26" s="94"/>
      <c r="C26" s="94"/>
      <c r="D26" s="94"/>
      <c r="E26" s="94"/>
      <c r="F26" s="94"/>
      <c r="G26" s="94"/>
      <c r="H26" s="94"/>
      <c r="I26" s="94"/>
      <c r="J26" s="94"/>
      <c r="K26" s="94"/>
      <c r="L26" s="94"/>
      <c r="M26" s="94"/>
      <c r="N26" s="94"/>
    </row>
    <row r="27" spans="1:18" x14ac:dyDescent="0.3">
      <c r="B27" s="94"/>
      <c r="C27" s="94"/>
      <c r="D27" s="94"/>
      <c r="E27" s="94"/>
      <c r="F27" s="94"/>
      <c r="G27" s="94"/>
      <c r="H27" s="94"/>
      <c r="I27" s="94"/>
      <c r="J27" s="94"/>
      <c r="K27" s="94"/>
      <c r="L27" s="94"/>
      <c r="M27" s="94"/>
      <c r="N27" s="94"/>
    </row>
    <row r="28" spans="1:18" x14ac:dyDescent="0.3">
      <c r="B28" s="94"/>
      <c r="C28" s="94"/>
      <c r="D28" s="94"/>
      <c r="E28" s="94"/>
      <c r="F28" s="94"/>
      <c r="G28" s="94"/>
      <c r="H28" s="94"/>
      <c r="I28" s="94"/>
      <c r="J28" s="94"/>
      <c r="K28" s="94"/>
      <c r="L28" s="94"/>
      <c r="M28" s="94"/>
      <c r="N28" s="94"/>
    </row>
    <row r="29" spans="1:18" x14ac:dyDescent="0.3">
      <c r="B29" s="94"/>
      <c r="C29" s="94"/>
      <c r="D29" s="94"/>
      <c r="E29" s="94"/>
      <c r="F29" s="94"/>
      <c r="G29" s="94"/>
      <c r="H29" s="94"/>
      <c r="I29" s="94"/>
      <c r="J29" s="94"/>
      <c r="K29" s="94"/>
      <c r="L29" s="94"/>
      <c r="M29" s="94"/>
      <c r="N29" s="94"/>
    </row>
    <row r="30" spans="1:18" x14ac:dyDescent="0.3">
      <c r="B30" s="94"/>
      <c r="C30" s="94"/>
      <c r="D30" s="94"/>
      <c r="E30" s="94"/>
      <c r="F30" s="94"/>
      <c r="G30" s="94"/>
      <c r="H30" s="94"/>
      <c r="I30" s="94"/>
      <c r="J30" s="94"/>
      <c r="K30" s="94"/>
      <c r="L30" s="94"/>
      <c r="M30" s="94"/>
      <c r="N30" s="94"/>
    </row>
    <row r="31" spans="1:18" x14ac:dyDescent="0.3">
      <c r="B31" s="94"/>
      <c r="C31" s="94"/>
      <c r="D31" s="94"/>
      <c r="E31" s="94"/>
      <c r="F31" s="94"/>
      <c r="G31" s="94"/>
      <c r="H31" s="94"/>
      <c r="I31" s="94"/>
      <c r="J31" s="94"/>
      <c r="K31" s="94"/>
      <c r="L31" s="94"/>
      <c r="M31" s="94"/>
      <c r="N31" s="94"/>
    </row>
    <row r="32" spans="1:18" x14ac:dyDescent="0.3">
      <c r="B32" s="94"/>
      <c r="C32" s="94"/>
      <c r="D32" s="94"/>
      <c r="E32" s="94"/>
      <c r="F32" s="94"/>
      <c r="G32" s="94"/>
      <c r="H32" s="94"/>
      <c r="I32" s="94"/>
      <c r="J32" s="94"/>
      <c r="K32" s="94"/>
      <c r="L32" s="94"/>
      <c r="M32" s="94"/>
      <c r="N32" s="94"/>
    </row>
    <row r="33" spans="2:14" x14ac:dyDescent="0.3">
      <c r="B33" s="94"/>
      <c r="C33" s="94"/>
      <c r="D33" s="94"/>
      <c r="E33" s="94"/>
      <c r="F33" s="94"/>
      <c r="G33" s="94"/>
      <c r="H33" s="94"/>
      <c r="I33" s="94"/>
      <c r="J33" s="94"/>
      <c r="K33" s="94"/>
      <c r="L33" s="94"/>
      <c r="M33" s="94"/>
      <c r="N33" s="94"/>
    </row>
    <row r="34" spans="2:14" x14ac:dyDescent="0.3">
      <c r="B34" s="94"/>
      <c r="C34" s="94"/>
      <c r="D34" s="94"/>
      <c r="E34" s="94"/>
      <c r="F34" s="94"/>
      <c r="G34" s="94"/>
      <c r="H34" s="94"/>
      <c r="I34" s="94"/>
      <c r="J34" s="94"/>
      <c r="K34" s="94"/>
      <c r="L34" s="94"/>
      <c r="M34" s="94"/>
      <c r="N34" s="94"/>
    </row>
    <row r="35" spans="2:14" x14ac:dyDescent="0.3">
      <c r="B35" s="94"/>
      <c r="C35" s="94"/>
      <c r="D35" s="94"/>
      <c r="E35" s="94"/>
      <c r="F35" s="94"/>
      <c r="G35" s="94"/>
      <c r="H35" s="94"/>
      <c r="I35" s="94"/>
      <c r="J35" s="94"/>
      <c r="K35" s="94"/>
      <c r="L35" s="94"/>
      <c r="M35" s="94"/>
      <c r="N35" s="94"/>
    </row>
    <row r="36" spans="2:14" x14ac:dyDescent="0.3">
      <c r="B36" s="94"/>
      <c r="C36" s="94"/>
      <c r="D36" s="94"/>
      <c r="E36" s="94"/>
      <c r="F36" s="94"/>
      <c r="G36" s="94"/>
      <c r="H36" s="94"/>
      <c r="I36" s="94"/>
      <c r="J36" s="94"/>
      <c r="K36" s="94"/>
      <c r="L36" s="94"/>
      <c r="M36" s="94"/>
      <c r="N36" s="94"/>
    </row>
    <row r="37" spans="2:14" x14ac:dyDescent="0.3">
      <c r="B37" s="94"/>
      <c r="C37" s="94"/>
      <c r="D37" s="94"/>
      <c r="E37" s="94"/>
      <c r="F37" s="94"/>
      <c r="G37" s="94"/>
      <c r="H37" s="94"/>
      <c r="I37" s="94"/>
      <c r="J37" s="94"/>
      <c r="K37" s="94"/>
      <c r="L37" s="94"/>
      <c r="M37" s="94"/>
      <c r="N37" s="94"/>
    </row>
    <row r="38" spans="2:14" x14ac:dyDescent="0.3">
      <c r="B38" s="94"/>
      <c r="C38" s="94"/>
      <c r="D38" s="94"/>
      <c r="E38" s="94"/>
      <c r="F38" s="94"/>
      <c r="G38" s="94"/>
      <c r="H38" s="94"/>
      <c r="I38" s="94"/>
      <c r="J38" s="94"/>
      <c r="K38" s="94"/>
      <c r="L38" s="94"/>
      <c r="M38" s="94"/>
      <c r="N38" s="94"/>
    </row>
    <row r="39" spans="2:14" x14ac:dyDescent="0.3">
      <c r="B39" s="94"/>
      <c r="C39" s="94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</row>
    <row r="40" spans="2:14" x14ac:dyDescent="0.3">
      <c r="B40" s="94"/>
      <c r="C40" s="94"/>
      <c r="D40" s="94"/>
      <c r="E40" s="94"/>
      <c r="F40" s="94"/>
      <c r="G40" s="94"/>
      <c r="H40" s="94"/>
      <c r="I40" s="94"/>
      <c r="J40" s="94"/>
      <c r="K40" s="94"/>
      <c r="L40" s="94"/>
      <c r="M40" s="94"/>
      <c r="N40" s="94"/>
    </row>
    <row r="41" spans="2:14" x14ac:dyDescent="0.3">
      <c r="B41" s="94"/>
      <c r="C41" s="94"/>
      <c r="D41" s="94"/>
      <c r="E41" s="94"/>
      <c r="F41" s="94"/>
      <c r="G41" s="94"/>
      <c r="H41" s="94"/>
      <c r="I41" s="94"/>
      <c r="J41" s="94"/>
      <c r="K41" s="94"/>
      <c r="L41" s="94"/>
      <c r="M41" s="94"/>
      <c r="N41" s="94"/>
    </row>
    <row r="42" spans="2:14" x14ac:dyDescent="0.3">
      <c r="B42" s="94"/>
      <c r="C42" s="94"/>
      <c r="D42" s="94"/>
      <c r="E42" s="94"/>
      <c r="F42" s="94"/>
      <c r="G42" s="94"/>
      <c r="H42" s="94"/>
      <c r="I42" s="94"/>
      <c r="J42" s="94"/>
      <c r="K42" s="94"/>
      <c r="L42" s="94"/>
      <c r="M42" s="94"/>
      <c r="N42" s="94"/>
    </row>
    <row r="43" spans="2:14" x14ac:dyDescent="0.3">
      <c r="F43" s="123"/>
      <c r="L43" s="94"/>
    </row>
    <row r="44" spans="2:14" x14ac:dyDescent="0.3">
      <c r="F44" s="123"/>
      <c r="L44" s="94"/>
    </row>
    <row r="45" spans="2:14" x14ac:dyDescent="0.3">
      <c r="F45" s="123"/>
      <c r="L45" s="94"/>
    </row>
    <row r="46" spans="2:14" x14ac:dyDescent="0.3">
      <c r="F46" s="123"/>
      <c r="L46" s="94"/>
    </row>
    <row r="47" spans="2:14" x14ac:dyDescent="0.3">
      <c r="F47" s="123"/>
      <c r="L47" s="94"/>
    </row>
    <row r="48" spans="2:14" x14ac:dyDescent="0.3">
      <c r="F48" s="123"/>
      <c r="L48" s="94"/>
    </row>
  </sheetData>
  <mergeCells count="14">
    <mergeCell ref="A1:A2"/>
    <mergeCell ref="B1:B2"/>
    <mergeCell ref="E1:E2"/>
    <mergeCell ref="F1:F2"/>
    <mergeCell ref="G1:G2"/>
    <mergeCell ref="W5:X5"/>
    <mergeCell ref="H16:K16"/>
    <mergeCell ref="I1:I2"/>
    <mergeCell ref="K1:K2"/>
    <mergeCell ref="L1:L2"/>
    <mergeCell ref="M1:M2"/>
    <mergeCell ref="N1:N2"/>
    <mergeCell ref="Q1:V1"/>
    <mergeCell ref="H1:H2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67235-AB38-4C1A-A479-70DBCFFBE7E3}">
  <dimension ref="A1:AB48"/>
  <sheetViews>
    <sheetView workbookViewId="0">
      <selection activeCell="G16" sqref="G16"/>
    </sheetView>
  </sheetViews>
  <sheetFormatPr defaultColWidth="9.109375" defaultRowHeight="14.4" x14ac:dyDescent="0.3"/>
  <cols>
    <col min="1" max="2" width="9.109375" style="28"/>
    <col min="3" max="3" width="11.109375" style="28" customWidth="1"/>
    <col min="4" max="4" width="15.44140625" style="28" customWidth="1"/>
    <col min="5" max="5" width="12" style="28" customWidth="1"/>
    <col min="6" max="6" width="17.109375" style="39" customWidth="1"/>
    <col min="7" max="7" width="13.33203125" style="28" customWidth="1"/>
    <col min="8" max="8" width="11.44140625" style="28" customWidth="1"/>
    <col min="9" max="9" width="17.33203125" style="28" customWidth="1"/>
    <col min="10" max="10" width="11.6640625" style="28" customWidth="1"/>
    <col min="11" max="11" width="16.109375" style="28" customWidth="1"/>
    <col min="12" max="12" width="13.5546875" style="28" customWidth="1"/>
    <col min="13" max="13" width="12.44140625" style="28" customWidth="1"/>
    <col min="14" max="14" width="13.88671875" style="28" customWidth="1"/>
    <col min="15" max="20" width="9.109375" style="28"/>
    <col min="21" max="21" width="15.109375" style="28" customWidth="1"/>
    <col min="22" max="22" width="13.6640625" style="28" customWidth="1"/>
    <col min="23" max="25" width="9.109375" style="28"/>
    <col min="26" max="26" width="9.5546875" style="28" customWidth="1"/>
    <col min="27" max="16384" width="9.109375" style="28"/>
  </cols>
  <sheetData>
    <row r="1" spans="1:28" ht="45" customHeight="1" thickBot="1" x14ac:dyDescent="0.4">
      <c r="A1" s="185" t="s">
        <v>0</v>
      </c>
      <c r="B1" s="187" t="s">
        <v>1</v>
      </c>
      <c r="C1" s="165" t="s">
        <v>148</v>
      </c>
      <c r="D1" s="165" t="s">
        <v>149</v>
      </c>
      <c r="E1" s="189" t="s">
        <v>2</v>
      </c>
      <c r="F1" s="191" t="s">
        <v>3</v>
      </c>
      <c r="G1" s="193" t="s">
        <v>4</v>
      </c>
      <c r="H1" s="179" t="s">
        <v>5</v>
      </c>
      <c r="I1" s="195" t="s">
        <v>6</v>
      </c>
      <c r="J1" s="92" t="s">
        <v>7</v>
      </c>
      <c r="K1" s="195" t="s">
        <v>8</v>
      </c>
      <c r="L1" s="196" t="s">
        <v>9</v>
      </c>
      <c r="M1" s="187" t="s">
        <v>10</v>
      </c>
      <c r="N1" s="187" t="s">
        <v>11</v>
      </c>
      <c r="O1" s="94"/>
      <c r="P1" s="94"/>
      <c r="Q1" s="182" t="s">
        <v>12</v>
      </c>
      <c r="R1" s="182"/>
      <c r="S1" s="182"/>
      <c r="T1" s="182"/>
      <c r="U1" s="182"/>
      <c r="V1" s="182"/>
      <c r="AB1" s="29">
        <v>45677</v>
      </c>
    </row>
    <row r="2" spans="1:28" ht="26.4" customHeight="1" thickBot="1" x14ac:dyDescent="0.35">
      <c r="A2" s="199"/>
      <c r="B2" s="200"/>
      <c r="C2" s="166"/>
      <c r="D2" s="166"/>
      <c r="E2" s="201"/>
      <c r="F2" s="202"/>
      <c r="G2" s="203"/>
      <c r="H2" s="198"/>
      <c r="I2" s="198"/>
      <c r="J2" s="129"/>
      <c r="K2" s="198"/>
      <c r="L2" s="204"/>
      <c r="M2" s="200"/>
      <c r="N2" s="200"/>
      <c r="O2" s="94"/>
      <c r="P2" s="164">
        <v>46237</v>
      </c>
      <c r="Q2" s="96" t="s">
        <v>13</v>
      </c>
      <c r="R2" s="97" t="s">
        <v>13</v>
      </c>
      <c r="S2" s="98" t="s">
        <v>13</v>
      </c>
      <c r="T2" s="96" t="s">
        <v>14</v>
      </c>
      <c r="U2" s="97" t="s">
        <v>14</v>
      </c>
      <c r="V2" s="98" t="s">
        <v>14</v>
      </c>
      <c r="W2" s="94"/>
      <c r="X2" s="94"/>
    </row>
    <row r="3" spans="1:28" ht="17.100000000000001" customHeight="1" thickBot="1" x14ac:dyDescent="0.35">
      <c r="A3" s="62" t="s">
        <v>38</v>
      </c>
      <c r="B3" s="161" t="s">
        <v>16</v>
      </c>
      <c r="C3" s="167">
        <v>45547</v>
      </c>
      <c r="D3" s="168">
        <f>$P$2-C3</f>
        <v>690</v>
      </c>
      <c r="E3" s="63">
        <v>107</v>
      </c>
      <c r="F3" s="131" t="s">
        <v>22</v>
      </c>
      <c r="G3" s="73">
        <v>1</v>
      </c>
      <c r="H3" s="132">
        <v>224</v>
      </c>
      <c r="I3" s="133">
        <v>40</v>
      </c>
      <c r="J3" s="134">
        <f>RANK(I3,$I$3:$I$9)</f>
        <v>3</v>
      </c>
      <c r="K3" s="135">
        <v>87</v>
      </c>
      <c r="L3" s="171">
        <f>RANK(K3,$K$3:$K$9)+COUNTIF(K3:$K$3,K3)-1</f>
        <v>1</v>
      </c>
      <c r="M3" s="175">
        <f>(G3+L3)/2</f>
        <v>1</v>
      </c>
      <c r="N3" s="175">
        <f>RANK(M3,$M$3:$M$9,1)+COUNTIF(M3:$M$6,M3)-1</f>
        <v>1</v>
      </c>
      <c r="O3" s="94"/>
      <c r="P3" s="94"/>
      <c r="Q3" s="103" t="s">
        <v>18</v>
      </c>
      <c r="R3" s="104" t="s">
        <v>19</v>
      </c>
      <c r="S3" s="105" t="s">
        <v>20</v>
      </c>
      <c r="T3" s="103" t="s">
        <v>18</v>
      </c>
      <c r="U3" s="104" t="s">
        <v>19</v>
      </c>
      <c r="V3" s="106" t="s">
        <v>20</v>
      </c>
      <c r="W3" s="94"/>
      <c r="X3" s="94"/>
    </row>
    <row r="4" spans="1:28" ht="17.100000000000001" customHeight="1" thickBot="1" x14ac:dyDescent="0.35">
      <c r="A4" s="65" t="s">
        <v>15</v>
      </c>
      <c r="B4" s="80" t="s">
        <v>24</v>
      </c>
      <c r="C4" s="169">
        <v>45710</v>
      </c>
      <c r="D4" s="170">
        <f t="shared" ref="D4:D6" si="0">$P$2-C4</f>
        <v>527</v>
      </c>
      <c r="E4" s="31">
        <v>104</v>
      </c>
      <c r="F4" s="94" t="s">
        <v>22</v>
      </c>
      <c r="G4" s="74">
        <v>2</v>
      </c>
      <c r="H4" s="130">
        <v>198</v>
      </c>
      <c r="I4" s="94">
        <v>27</v>
      </c>
      <c r="J4" s="138">
        <f t="shared" ref="J4:J6" si="1">RANK(I4,$I$3:$I$9)</f>
        <v>4</v>
      </c>
      <c r="K4" s="94">
        <v>86</v>
      </c>
      <c r="L4" s="172">
        <f>RANK(K4,$K$3:$K$9)+COUNTIF(K$3:$K4,K4)-1</f>
        <v>3</v>
      </c>
      <c r="M4" s="176">
        <f>(G4+L4)/2</f>
        <v>2.5</v>
      </c>
      <c r="N4" s="176">
        <f>RANK(M4,$M$3:$M$9,1)+COUNTIF(M4:$M$6,M4)-1</f>
        <v>2</v>
      </c>
      <c r="O4" s="94"/>
      <c r="P4" s="94"/>
      <c r="Q4" s="48">
        <v>50</v>
      </c>
      <c r="R4" s="110"/>
      <c r="S4" s="111"/>
      <c r="T4" s="49">
        <v>20</v>
      </c>
      <c r="U4" s="112"/>
      <c r="V4" s="113"/>
    </row>
    <row r="5" spans="1:28" ht="17.100000000000001" customHeight="1" thickBot="1" x14ac:dyDescent="0.35">
      <c r="A5" s="65" t="s">
        <v>15</v>
      </c>
      <c r="B5" s="83" t="s">
        <v>21</v>
      </c>
      <c r="C5" s="169">
        <v>45717</v>
      </c>
      <c r="D5" s="170">
        <f t="shared" si="0"/>
        <v>520</v>
      </c>
      <c r="E5" s="31">
        <v>103</v>
      </c>
      <c r="F5" s="94" t="s">
        <v>22</v>
      </c>
      <c r="G5" s="74">
        <v>3</v>
      </c>
      <c r="H5" s="130">
        <v>232</v>
      </c>
      <c r="I5" s="94">
        <v>53</v>
      </c>
      <c r="J5" s="138">
        <f t="shared" si="1"/>
        <v>1</v>
      </c>
      <c r="K5" s="94">
        <v>86</v>
      </c>
      <c r="L5" s="172">
        <f>RANK(K5,$K$3:$K$9)+COUNTIF(K$3:$K5,K5)-1</f>
        <v>4</v>
      </c>
      <c r="M5" s="176">
        <f>(G5+L5)/2</f>
        <v>3.5</v>
      </c>
      <c r="N5" s="176">
        <f>RANK(M5,$M$3:$M$9,1)+COUNTIF(M5:$M$6,M5)-1</f>
        <v>4</v>
      </c>
      <c r="O5" s="94"/>
      <c r="P5" s="94"/>
      <c r="W5" s="183" t="s">
        <v>23</v>
      </c>
      <c r="X5" s="184"/>
    </row>
    <row r="6" spans="1:28" x14ac:dyDescent="0.3">
      <c r="A6" s="65" t="s">
        <v>27</v>
      </c>
      <c r="B6" s="80" t="s">
        <v>45</v>
      </c>
      <c r="C6" s="169">
        <v>45843</v>
      </c>
      <c r="D6" s="170">
        <f t="shared" si="0"/>
        <v>394</v>
      </c>
      <c r="E6" s="31">
        <v>102</v>
      </c>
      <c r="F6" s="159" t="s">
        <v>22</v>
      </c>
      <c r="G6" s="74">
        <v>4</v>
      </c>
      <c r="H6" s="160">
        <v>190</v>
      </c>
      <c r="I6" s="159">
        <v>51</v>
      </c>
      <c r="J6" s="138">
        <f t="shared" si="1"/>
        <v>2</v>
      </c>
      <c r="K6" s="71">
        <v>87</v>
      </c>
      <c r="L6" s="172">
        <f>RANK(K6,$K$3:$K$9)+COUNTIF(K$3:$K6,K6)-1</f>
        <v>2</v>
      </c>
      <c r="M6" s="176">
        <f>(G6+L6)/2</f>
        <v>3</v>
      </c>
      <c r="N6" s="176">
        <f>RANK(M6,$M$3:$M$9,1)+COUNTIF(M6:$M$6,M6)-1</f>
        <v>3</v>
      </c>
      <c r="O6" s="94"/>
      <c r="P6" s="94"/>
      <c r="W6" s="115" t="s">
        <v>25</v>
      </c>
      <c r="X6" s="116" t="s">
        <v>26</v>
      </c>
    </row>
    <row r="7" spans="1:28" ht="15" thickBot="1" x14ac:dyDescent="0.35">
      <c r="A7" s="66"/>
      <c r="B7" s="71"/>
      <c r="C7" s="31"/>
      <c r="D7" s="94"/>
      <c r="E7" s="74"/>
      <c r="F7" s="130"/>
      <c r="G7" s="94"/>
      <c r="H7" s="138"/>
      <c r="I7" s="94"/>
      <c r="J7" s="34"/>
      <c r="K7" s="109"/>
      <c r="L7" s="173"/>
      <c r="M7" s="177"/>
      <c r="N7" s="177"/>
      <c r="U7" s="117">
        <f>R4+U4</f>
        <v>0</v>
      </c>
      <c r="V7" s="118">
        <f>S4+V4</f>
        <v>0</v>
      </c>
    </row>
    <row r="8" spans="1:28" ht="15" thickTop="1" x14ac:dyDescent="0.3">
      <c r="A8" s="66"/>
      <c r="B8" s="71"/>
      <c r="C8" s="31"/>
      <c r="D8" s="94"/>
      <c r="E8" s="74"/>
      <c r="F8" s="130"/>
      <c r="G8" s="94"/>
      <c r="H8" s="138"/>
      <c r="I8" s="94"/>
      <c r="J8" s="34"/>
      <c r="K8" s="109"/>
      <c r="L8" s="173"/>
      <c r="M8" s="177"/>
      <c r="N8" s="177"/>
      <c r="U8" s="140"/>
      <c r="V8" s="140"/>
    </row>
    <row r="9" spans="1:28" ht="15" thickBot="1" x14ac:dyDescent="0.35">
      <c r="A9" s="67"/>
      <c r="B9" s="72"/>
      <c r="C9" s="68"/>
      <c r="D9" s="141"/>
      <c r="E9" s="75"/>
      <c r="F9" s="142"/>
      <c r="G9" s="141"/>
      <c r="H9" s="143"/>
      <c r="I9" s="141"/>
      <c r="J9" s="69"/>
      <c r="K9" s="144"/>
      <c r="L9" s="174"/>
      <c r="M9" s="178"/>
      <c r="N9" s="178"/>
      <c r="U9" s="140"/>
      <c r="V9" s="140"/>
    </row>
    <row r="10" spans="1:28" x14ac:dyDescent="0.3">
      <c r="A10" s="76"/>
      <c r="B10" s="76"/>
      <c r="C10" s="76"/>
      <c r="D10" s="76"/>
      <c r="E10" s="76"/>
      <c r="F10" s="76"/>
      <c r="G10" s="76"/>
      <c r="H10" s="76"/>
      <c r="I10" s="76"/>
      <c r="J10" s="76"/>
      <c r="K10" s="76"/>
      <c r="L10" s="76"/>
      <c r="M10" s="94"/>
      <c r="N10" s="94"/>
      <c r="U10" s="140"/>
      <c r="V10" s="140"/>
    </row>
    <row r="11" spans="1:28" x14ac:dyDescent="0.3">
      <c r="A11" s="76"/>
      <c r="B11" s="76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94"/>
      <c r="N11" s="94"/>
      <c r="U11" s="140"/>
      <c r="V11" s="140"/>
    </row>
    <row r="12" spans="1:28" x14ac:dyDescent="0.3">
      <c r="B12" s="122" t="s">
        <v>33</v>
      </c>
      <c r="C12" s="122" t="s">
        <v>34</v>
      </c>
      <c r="D12" s="122"/>
      <c r="F12" s="94"/>
      <c r="G12" s="94"/>
      <c r="H12" s="94"/>
      <c r="I12" s="94"/>
      <c r="J12" s="94"/>
      <c r="K12" s="94"/>
      <c r="L12" s="94"/>
      <c r="M12" s="94"/>
      <c r="N12" s="94"/>
    </row>
    <row r="13" spans="1:28" x14ac:dyDescent="0.3">
      <c r="B13" s="122" t="s">
        <v>35</v>
      </c>
      <c r="C13" t="s">
        <v>36</v>
      </c>
      <c r="D13" s="122"/>
      <c r="F13" s="123"/>
      <c r="G13" s="94"/>
      <c r="H13" s="94"/>
      <c r="I13" s="94"/>
      <c r="K13" s="94"/>
      <c r="L13" s="94"/>
      <c r="M13" s="94"/>
      <c r="N13" s="94"/>
    </row>
    <row r="14" spans="1:28" x14ac:dyDescent="0.3">
      <c r="B14" s="1" t="s">
        <v>33</v>
      </c>
      <c r="C14" s="27" t="s">
        <v>34</v>
      </c>
      <c r="D14" s="122"/>
      <c r="F14" s="94"/>
      <c r="G14" s="94"/>
      <c r="H14" s="94"/>
      <c r="I14" s="94"/>
      <c r="J14" s="94"/>
      <c r="K14" s="94"/>
      <c r="L14" s="94"/>
      <c r="M14" s="94"/>
    </row>
    <row r="15" spans="1:28" x14ac:dyDescent="0.3">
      <c r="A15" s="123"/>
      <c r="B15" s="2"/>
      <c r="C15" s="2"/>
      <c r="D15" s="2"/>
      <c r="E15" s="2"/>
      <c r="F15" s="94"/>
      <c r="G15" s="94"/>
      <c r="H15" s="94"/>
      <c r="I15" s="94"/>
      <c r="J15" s="94"/>
      <c r="K15" s="94"/>
      <c r="L15" s="94"/>
      <c r="M15" s="94"/>
    </row>
    <row r="16" spans="1:28" x14ac:dyDescent="0.3">
      <c r="A16" s="122"/>
      <c r="B16" s="122" t="s">
        <v>40</v>
      </c>
      <c r="C16" s="122"/>
      <c r="D16" s="122"/>
      <c r="F16" s="94"/>
      <c r="G16" s="94"/>
      <c r="H16" s="181"/>
      <c r="I16" s="181"/>
      <c r="J16" s="181"/>
      <c r="K16" s="181"/>
      <c r="L16" s="94"/>
      <c r="M16" s="94"/>
      <c r="N16" s="94"/>
      <c r="O16" s="94"/>
      <c r="P16" s="94"/>
      <c r="Q16" s="94"/>
      <c r="R16" s="94"/>
    </row>
    <row r="17" spans="1:18" x14ac:dyDescent="0.3">
      <c r="A17" s="122"/>
      <c r="B17" s="91"/>
      <c r="C17" s="2" t="s">
        <v>47</v>
      </c>
      <c r="D17" s="2"/>
      <c r="E17" s="2"/>
      <c r="F17" s="94"/>
      <c r="G17" s="94"/>
      <c r="H17" s="94"/>
      <c r="I17" s="94"/>
      <c r="J17" s="94"/>
      <c r="K17" s="94"/>
      <c r="L17" s="94"/>
      <c r="M17" s="94"/>
      <c r="N17" s="94"/>
      <c r="O17" s="94"/>
      <c r="P17" s="94"/>
      <c r="Q17" s="94"/>
      <c r="R17" s="94"/>
    </row>
    <row r="18" spans="1:18" ht="14.4" customHeight="1" x14ac:dyDescent="0.3">
      <c r="D18" s="124"/>
      <c r="E18" s="124"/>
      <c r="F18" s="124"/>
      <c r="G18" s="94"/>
      <c r="H18" s="94"/>
      <c r="I18" s="94"/>
      <c r="J18" s="94"/>
      <c r="K18" s="94"/>
      <c r="L18" s="94"/>
      <c r="M18" s="94"/>
      <c r="N18" s="94"/>
      <c r="O18" s="94"/>
      <c r="P18" s="94"/>
      <c r="Q18" s="94"/>
      <c r="R18" s="94"/>
    </row>
    <row r="19" spans="1:18" x14ac:dyDescent="0.3">
      <c r="A19" s="123"/>
      <c r="B19" s="94"/>
      <c r="C19" s="94"/>
      <c r="D19" s="94"/>
      <c r="E19" s="94"/>
      <c r="F19" s="94"/>
      <c r="G19" s="94"/>
      <c r="H19" s="94"/>
      <c r="I19" s="94"/>
      <c r="J19" s="94"/>
      <c r="K19" s="94"/>
      <c r="L19" s="94"/>
      <c r="M19" s="94"/>
    </row>
    <row r="20" spans="1:18" x14ac:dyDescent="0.3">
      <c r="A20" s="123"/>
      <c r="B20" s="94"/>
      <c r="C20" s="94"/>
      <c r="D20" s="94"/>
      <c r="E20" s="94"/>
      <c r="F20" s="94"/>
      <c r="G20" s="94"/>
      <c r="H20" s="94"/>
      <c r="I20" s="94"/>
      <c r="J20" s="94"/>
      <c r="K20" s="94"/>
      <c r="L20" s="94"/>
      <c r="M20" s="94"/>
    </row>
    <row r="21" spans="1:18" x14ac:dyDescent="0.3">
      <c r="B21" s="94"/>
      <c r="C21" s="94"/>
      <c r="D21" s="94"/>
      <c r="E21" s="94"/>
      <c r="F21" s="94"/>
      <c r="G21" s="94"/>
      <c r="H21" s="94"/>
      <c r="I21" s="94"/>
      <c r="J21" s="94"/>
      <c r="K21" s="94"/>
      <c r="L21" s="94"/>
      <c r="M21" s="94"/>
    </row>
    <row r="22" spans="1:18" x14ac:dyDescent="0.3">
      <c r="B22" s="94"/>
      <c r="C22" s="94"/>
      <c r="D22" s="94"/>
      <c r="E22" s="94"/>
      <c r="F22" s="94"/>
      <c r="G22" s="94"/>
      <c r="H22" s="94"/>
      <c r="I22" s="94"/>
      <c r="J22" s="94"/>
      <c r="K22" s="94"/>
      <c r="L22" s="94"/>
      <c r="M22" s="94"/>
    </row>
    <row r="23" spans="1:18" x14ac:dyDescent="0.3">
      <c r="B23" s="94"/>
      <c r="C23" s="94"/>
      <c r="D23" s="94"/>
      <c r="E23" s="94"/>
      <c r="F23" s="94"/>
      <c r="G23" s="94"/>
      <c r="H23" s="94"/>
      <c r="I23" s="94"/>
      <c r="J23" s="94"/>
      <c r="K23" s="94"/>
      <c r="L23" s="94"/>
      <c r="M23" s="94"/>
    </row>
    <row r="24" spans="1:18" x14ac:dyDescent="0.3">
      <c r="B24" s="94"/>
      <c r="C24" s="94"/>
      <c r="D24" s="94"/>
      <c r="E24" s="94"/>
      <c r="F24" s="94"/>
      <c r="G24" s="94"/>
      <c r="H24" s="94"/>
      <c r="I24" s="94"/>
      <c r="J24" s="94"/>
      <c r="K24" s="94"/>
      <c r="L24" s="94"/>
      <c r="M24" s="94"/>
    </row>
    <row r="25" spans="1:18" x14ac:dyDescent="0.3">
      <c r="B25" s="94"/>
      <c r="C25" s="94"/>
      <c r="D25" s="94"/>
      <c r="E25" s="94"/>
      <c r="F25" s="94"/>
      <c r="G25" s="94"/>
      <c r="H25" s="94"/>
      <c r="I25" s="94"/>
      <c r="J25" s="94"/>
      <c r="K25" s="94"/>
      <c r="L25" s="94"/>
      <c r="M25" s="94"/>
      <c r="N25" s="94"/>
    </row>
    <row r="26" spans="1:18" x14ac:dyDescent="0.3">
      <c r="B26" s="94"/>
      <c r="C26" s="94"/>
      <c r="D26" s="94"/>
      <c r="E26" s="94"/>
      <c r="F26" s="94"/>
      <c r="G26" s="94"/>
      <c r="H26" s="94"/>
      <c r="I26" s="94"/>
      <c r="J26" s="94"/>
      <c r="K26" s="94"/>
      <c r="L26" s="94"/>
      <c r="M26" s="94"/>
      <c r="N26" s="94"/>
    </row>
    <row r="27" spans="1:18" x14ac:dyDescent="0.3">
      <c r="B27" s="94"/>
      <c r="C27" s="94"/>
      <c r="D27" s="94"/>
      <c r="E27" s="94"/>
      <c r="F27" s="94"/>
      <c r="G27" s="94"/>
      <c r="H27" s="94"/>
      <c r="I27" s="94"/>
      <c r="J27" s="94"/>
      <c r="K27" s="94"/>
      <c r="L27" s="94"/>
      <c r="M27" s="94"/>
      <c r="N27" s="94"/>
    </row>
    <row r="28" spans="1:18" x14ac:dyDescent="0.3">
      <c r="B28" s="94"/>
      <c r="C28" s="94"/>
      <c r="D28" s="94"/>
      <c r="E28" s="94"/>
      <c r="F28" s="94"/>
      <c r="G28" s="94"/>
      <c r="H28" s="94"/>
      <c r="I28" s="94"/>
      <c r="J28" s="94"/>
      <c r="K28" s="94"/>
      <c r="L28" s="94"/>
      <c r="M28" s="94"/>
      <c r="N28" s="94"/>
    </row>
    <row r="29" spans="1:18" x14ac:dyDescent="0.3">
      <c r="B29" s="94"/>
      <c r="C29" s="94"/>
      <c r="D29" s="94"/>
      <c r="E29" s="94"/>
      <c r="F29" s="94"/>
      <c r="G29" s="94"/>
      <c r="H29" s="94"/>
      <c r="I29" s="94"/>
      <c r="J29" s="94"/>
      <c r="K29" s="94"/>
      <c r="L29" s="94"/>
      <c r="M29" s="94"/>
      <c r="N29" s="94"/>
    </row>
    <row r="30" spans="1:18" x14ac:dyDescent="0.3">
      <c r="B30" s="94"/>
      <c r="C30" s="94"/>
      <c r="D30" s="94"/>
      <c r="E30" s="94"/>
      <c r="F30" s="94"/>
      <c r="G30" s="94"/>
      <c r="H30" s="94"/>
      <c r="I30" s="94"/>
      <c r="J30" s="94"/>
      <c r="K30" s="94"/>
      <c r="L30" s="94"/>
      <c r="M30" s="94"/>
      <c r="N30" s="94"/>
    </row>
    <row r="31" spans="1:18" x14ac:dyDescent="0.3">
      <c r="B31" s="94"/>
      <c r="C31" s="94"/>
      <c r="D31" s="94"/>
      <c r="E31" s="94"/>
      <c r="F31" s="94"/>
      <c r="G31" s="94"/>
      <c r="H31" s="94"/>
      <c r="I31" s="94"/>
      <c r="J31" s="94"/>
      <c r="K31" s="94"/>
      <c r="L31" s="94"/>
      <c r="M31" s="94"/>
      <c r="N31" s="94"/>
    </row>
    <row r="32" spans="1:18" x14ac:dyDescent="0.3">
      <c r="B32" s="94"/>
      <c r="C32" s="94"/>
      <c r="D32" s="94"/>
      <c r="E32" s="94"/>
      <c r="F32" s="94"/>
      <c r="G32" s="94"/>
      <c r="H32" s="94"/>
      <c r="I32" s="94"/>
      <c r="J32" s="94"/>
      <c r="K32" s="94"/>
      <c r="L32" s="94"/>
      <c r="M32" s="94"/>
      <c r="N32" s="94"/>
    </row>
    <row r="33" spans="2:14" x14ac:dyDescent="0.3">
      <c r="B33" s="94"/>
      <c r="C33" s="94"/>
      <c r="D33" s="94"/>
      <c r="E33" s="94"/>
      <c r="F33" s="94"/>
      <c r="G33" s="94"/>
      <c r="H33" s="94"/>
      <c r="I33" s="94"/>
      <c r="J33" s="94"/>
      <c r="K33" s="94"/>
      <c r="L33" s="94"/>
      <c r="M33" s="94"/>
      <c r="N33" s="94"/>
    </row>
    <row r="34" spans="2:14" x14ac:dyDescent="0.3">
      <c r="B34" s="94"/>
      <c r="C34" s="94"/>
      <c r="D34" s="94"/>
      <c r="E34" s="94"/>
      <c r="F34" s="94"/>
      <c r="G34" s="94"/>
      <c r="H34" s="94"/>
      <c r="I34" s="94"/>
      <c r="J34" s="94"/>
      <c r="K34" s="94"/>
      <c r="L34" s="94"/>
      <c r="M34" s="94"/>
      <c r="N34" s="94"/>
    </row>
    <row r="35" spans="2:14" x14ac:dyDescent="0.3">
      <c r="B35" s="94"/>
      <c r="C35" s="94"/>
      <c r="D35" s="94"/>
      <c r="E35" s="94"/>
      <c r="F35" s="94"/>
      <c r="G35" s="94"/>
      <c r="H35" s="94"/>
      <c r="I35" s="94"/>
      <c r="J35" s="94"/>
      <c r="K35" s="94"/>
      <c r="L35" s="94"/>
      <c r="M35" s="94"/>
      <c r="N35" s="94"/>
    </row>
    <row r="36" spans="2:14" x14ac:dyDescent="0.3">
      <c r="B36" s="94"/>
      <c r="C36" s="94"/>
      <c r="D36" s="94"/>
      <c r="E36" s="94"/>
      <c r="F36" s="94"/>
      <c r="G36" s="94"/>
      <c r="H36" s="94"/>
      <c r="I36" s="94"/>
      <c r="J36" s="94"/>
      <c r="K36" s="94"/>
      <c r="L36" s="94"/>
      <c r="M36" s="94"/>
      <c r="N36" s="94"/>
    </row>
    <row r="37" spans="2:14" x14ac:dyDescent="0.3">
      <c r="B37" s="94"/>
      <c r="C37" s="94"/>
      <c r="D37" s="94"/>
      <c r="E37" s="94"/>
      <c r="F37" s="94"/>
      <c r="G37" s="94"/>
      <c r="H37" s="94"/>
      <c r="I37" s="94"/>
      <c r="J37" s="94"/>
      <c r="K37" s="94"/>
      <c r="L37" s="94"/>
      <c r="M37" s="94"/>
      <c r="N37" s="94"/>
    </row>
    <row r="38" spans="2:14" x14ac:dyDescent="0.3">
      <c r="B38" s="94"/>
      <c r="C38" s="94"/>
      <c r="D38" s="94"/>
      <c r="E38" s="94"/>
      <c r="F38" s="94"/>
      <c r="G38" s="94"/>
      <c r="H38" s="94"/>
      <c r="I38" s="94"/>
      <c r="J38" s="94"/>
      <c r="K38" s="94"/>
      <c r="L38" s="94"/>
      <c r="M38" s="94"/>
      <c r="N38" s="94"/>
    </row>
    <row r="39" spans="2:14" x14ac:dyDescent="0.3">
      <c r="B39" s="94"/>
      <c r="C39" s="94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</row>
    <row r="40" spans="2:14" x14ac:dyDescent="0.3">
      <c r="B40" s="94"/>
      <c r="C40" s="94"/>
      <c r="D40" s="94"/>
      <c r="E40" s="94"/>
      <c r="F40" s="94"/>
      <c r="G40" s="94"/>
      <c r="H40" s="94"/>
      <c r="I40" s="94"/>
      <c r="J40" s="94"/>
      <c r="K40" s="94"/>
      <c r="L40" s="94"/>
      <c r="M40" s="94"/>
      <c r="N40" s="94"/>
    </row>
    <row r="41" spans="2:14" x14ac:dyDescent="0.3">
      <c r="B41" s="94"/>
      <c r="C41" s="94"/>
      <c r="D41" s="94"/>
      <c r="E41" s="94"/>
      <c r="F41" s="94"/>
      <c r="G41" s="94"/>
      <c r="H41" s="94"/>
      <c r="I41" s="94"/>
      <c r="J41" s="94"/>
      <c r="K41" s="94"/>
      <c r="L41" s="94"/>
      <c r="M41" s="94"/>
      <c r="N41" s="94"/>
    </row>
    <row r="42" spans="2:14" x14ac:dyDescent="0.3">
      <c r="B42" s="94"/>
      <c r="C42" s="94"/>
      <c r="D42" s="94"/>
      <c r="E42" s="94"/>
      <c r="F42" s="94"/>
      <c r="G42" s="94"/>
      <c r="H42" s="94"/>
      <c r="I42" s="94"/>
      <c r="J42" s="94"/>
      <c r="K42" s="94"/>
      <c r="L42" s="94"/>
      <c r="M42" s="94"/>
      <c r="N42" s="94"/>
    </row>
    <row r="43" spans="2:14" x14ac:dyDescent="0.3">
      <c r="F43" s="123"/>
      <c r="L43" s="94"/>
    </row>
    <row r="44" spans="2:14" x14ac:dyDescent="0.3">
      <c r="F44" s="123"/>
      <c r="L44" s="94"/>
    </row>
    <row r="45" spans="2:14" x14ac:dyDescent="0.3">
      <c r="F45" s="123"/>
      <c r="L45" s="94"/>
    </row>
    <row r="46" spans="2:14" x14ac:dyDescent="0.3">
      <c r="F46" s="123"/>
      <c r="L46" s="94"/>
    </row>
    <row r="47" spans="2:14" x14ac:dyDescent="0.3">
      <c r="F47" s="123"/>
      <c r="L47" s="94"/>
    </row>
    <row r="48" spans="2:14" x14ac:dyDescent="0.3">
      <c r="F48" s="123"/>
      <c r="L48" s="94"/>
    </row>
  </sheetData>
  <mergeCells count="14">
    <mergeCell ref="W5:X5"/>
    <mergeCell ref="H16:K16"/>
    <mergeCell ref="I1:I2"/>
    <mergeCell ref="K1:K2"/>
    <mergeCell ref="L1:L2"/>
    <mergeCell ref="M1:M2"/>
    <mergeCell ref="N1:N2"/>
    <mergeCell ref="Q1:V1"/>
    <mergeCell ref="A1:A2"/>
    <mergeCell ref="B1:B2"/>
    <mergeCell ref="E1:E2"/>
    <mergeCell ref="F1:F2"/>
    <mergeCell ref="G1:G2"/>
    <mergeCell ref="H1:H2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ADE38-15DC-4A0F-BE15-EDF28B3C4AC2}">
  <dimension ref="A1:AB48"/>
  <sheetViews>
    <sheetView workbookViewId="0">
      <selection activeCell="K8" sqref="K8"/>
    </sheetView>
  </sheetViews>
  <sheetFormatPr defaultColWidth="9.109375" defaultRowHeight="14.4" x14ac:dyDescent="0.3"/>
  <cols>
    <col min="1" max="2" width="9.109375" style="28"/>
    <col min="3" max="3" width="11.109375" style="28" customWidth="1"/>
    <col min="4" max="4" width="15.44140625" style="28" customWidth="1"/>
    <col min="5" max="5" width="12" style="28" customWidth="1"/>
    <col min="6" max="6" width="17.109375" style="39" customWidth="1"/>
    <col min="7" max="7" width="13.33203125" style="28" customWidth="1"/>
    <col min="8" max="8" width="11.44140625" style="28" customWidth="1"/>
    <col min="9" max="9" width="17.33203125" style="28" customWidth="1"/>
    <col min="10" max="10" width="11.6640625" style="28" customWidth="1"/>
    <col min="11" max="11" width="16.109375" style="28" customWidth="1"/>
    <col min="12" max="12" width="13.5546875" style="28" customWidth="1"/>
    <col min="13" max="13" width="12.44140625" style="28" customWidth="1"/>
    <col min="14" max="14" width="13.88671875" style="28" customWidth="1"/>
    <col min="15" max="15" width="9.109375" style="28"/>
    <col min="16" max="16" width="9.33203125" style="28" bestFit="1" customWidth="1"/>
    <col min="17" max="20" width="9.109375" style="28"/>
    <col min="21" max="21" width="15.109375" style="28" customWidth="1"/>
    <col min="22" max="22" width="13.6640625" style="28" customWidth="1"/>
    <col min="23" max="25" width="9.109375" style="28"/>
    <col min="26" max="26" width="9.5546875" style="28" customWidth="1"/>
    <col min="27" max="16384" width="9.109375" style="28"/>
  </cols>
  <sheetData>
    <row r="1" spans="1:28" ht="45" customHeight="1" thickBot="1" x14ac:dyDescent="0.4">
      <c r="A1" s="185" t="s">
        <v>0</v>
      </c>
      <c r="B1" s="187" t="s">
        <v>1</v>
      </c>
      <c r="C1" s="165" t="s">
        <v>148</v>
      </c>
      <c r="D1" s="165" t="s">
        <v>149</v>
      </c>
      <c r="E1" s="189" t="s">
        <v>2</v>
      </c>
      <c r="F1" s="191" t="s">
        <v>3</v>
      </c>
      <c r="G1" s="193" t="s">
        <v>4</v>
      </c>
      <c r="H1" s="179" t="s">
        <v>5</v>
      </c>
      <c r="I1" s="195" t="s">
        <v>6</v>
      </c>
      <c r="J1" s="92" t="s">
        <v>7</v>
      </c>
      <c r="K1" s="195" t="s">
        <v>8</v>
      </c>
      <c r="L1" s="196" t="s">
        <v>9</v>
      </c>
      <c r="M1" s="187" t="s">
        <v>10</v>
      </c>
      <c r="N1" s="187" t="s">
        <v>11</v>
      </c>
      <c r="O1" s="94"/>
      <c r="P1" s="94"/>
      <c r="Q1" s="182" t="s">
        <v>12</v>
      </c>
      <c r="R1" s="182"/>
      <c r="S1" s="182"/>
      <c r="T1" s="182"/>
      <c r="U1" s="182"/>
      <c r="V1" s="182"/>
      <c r="AB1" s="29">
        <v>45677</v>
      </c>
    </row>
    <row r="2" spans="1:28" ht="26.4" customHeight="1" thickBot="1" x14ac:dyDescent="0.35">
      <c r="A2" s="199"/>
      <c r="B2" s="200"/>
      <c r="C2" s="166"/>
      <c r="D2" s="166"/>
      <c r="E2" s="201"/>
      <c r="F2" s="202"/>
      <c r="G2" s="203"/>
      <c r="H2" s="198"/>
      <c r="I2" s="198"/>
      <c r="J2" s="129"/>
      <c r="K2" s="198"/>
      <c r="L2" s="204"/>
      <c r="M2" s="200"/>
      <c r="N2" s="200"/>
      <c r="O2" s="94"/>
      <c r="P2" s="164">
        <v>46250</v>
      </c>
      <c r="Q2" s="96" t="s">
        <v>13</v>
      </c>
      <c r="R2" s="97" t="s">
        <v>13</v>
      </c>
      <c r="S2" s="98" t="s">
        <v>13</v>
      </c>
      <c r="T2" s="96" t="s">
        <v>14</v>
      </c>
      <c r="U2" s="97" t="s">
        <v>14</v>
      </c>
      <c r="V2" s="98" t="s">
        <v>14</v>
      </c>
      <c r="W2" s="94"/>
      <c r="X2" s="94"/>
    </row>
    <row r="3" spans="1:28" ht="17.100000000000001" customHeight="1" thickBot="1" x14ac:dyDescent="0.35">
      <c r="A3" s="62"/>
      <c r="B3" s="70" t="s">
        <v>151</v>
      </c>
      <c r="C3" s="167">
        <v>46027</v>
      </c>
      <c r="D3" s="168">
        <f>$P$2-C3</f>
        <v>223</v>
      </c>
      <c r="E3" s="217">
        <v>103</v>
      </c>
      <c r="F3" s="131" t="s">
        <v>22</v>
      </c>
      <c r="G3" s="73">
        <v>1</v>
      </c>
      <c r="H3" s="132"/>
      <c r="I3" s="133"/>
      <c r="J3" s="134" t="e">
        <f t="shared" ref="J3:J6" si="0">RANK(I3,$G$3:$G$9)</f>
        <v>#N/A</v>
      </c>
      <c r="K3" s="135"/>
      <c r="L3" s="171" t="e">
        <f>RANK(K3,$I$3:$I$9)+COUNTIF(K3:$K$3,K3)-1</f>
        <v>#N/A</v>
      </c>
      <c r="M3" s="175" t="e">
        <f>(G3+L3)/2</f>
        <v>#N/A</v>
      </c>
      <c r="N3" s="175" t="e">
        <f>RANK(M3,$K$3:$K$9,1)+COUNTIF(M3:$M$6,M3)-1</f>
        <v>#N/A</v>
      </c>
      <c r="O3" s="94"/>
      <c r="P3" s="94"/>
      <c r="Q3" s="103" t="s">
        <v>18</v>
      </c>
      <c r="R3" s="104" t="s">
        <v>19</v>
      </c>
      <c r="S3" s="105" t="s">
        <v>20</v>
      </c>
      <c r="T3" s="103" t="s">
        <v>18</v>
      </c>
      <c r="U3" s="104" t="s">
        <v>19</v>
      </c>
      <c r="V3" s="106" t="s">
        <v>20</v>
      </c>
      <c r="W3" s="94"/>
      <c r="X3" s="94"/>
    </row>
    <row r="4" spans="1:28" ht="17.100000000000001" customHeight="1" thickBot="1" x14ac:dyDescent="0.35">
      <c r="A4" s="65"/>
      <c r="B4" s="71" t="s">
        <v>16</v>
      </c>
      <c r="C4" s="169">
        <v>45542</v>
      </c>
      <c r="D4" s="170">
        <f t="shared" ref="D4:D7" si="1">$P$2-C4</f>
        <v>708</v>
      </c>
      <c r="E4" s="218">
        <v>100</v>
      </c>
      <c r="F4" s="94" t="s">
        <v>150</v>
      </c>
      <c r="G4" s="74">
        <v>2</v>
      </c>
      <c r="H4" s="130"/>
      <c r="I4" s="94"/>
      <c r="J4" s="138" t="e">
        <f>RANK(I4,$I$3:$I$9)</f>
        <v>#N/A</v>
      </c>
      <c r="K4" s="94"/>
      <c r="L4" s="172" t="e">
        <f>RANK(K4,$I$3:$I$9)+COUNTIF(K$3:$K4,K4)-1</f>
        <v>#N/A</v>
      </c>
      <c r="M4" s="176" t="e">
        <f>(G4+L4)/2</f>
        <v>#N/A</v>
      </c>
      <c r="N4" s="176" t="e">
        <f>RANK(M4,$K$3:$K$9,1)+COUNTIF(M4:$M$6,M4)-1</f>
        <v>#N/A</v>
      </c>
      <c r="O4" s="94"/>
      <c r="P4" s="94"/>
      <c r="Q4" s="48">
        <v>50</v>
      </c>
      <c r="R4" s="110"/>
      <c r="S4" s="111"/>
      <c r="T4" s="49">
        <v>20</v>
      </c>
      <c r="U4" s="112"/>
      <c r="V4" s="113"/>
    </row>
    <row r="5" spans="1:28" ht="17.100000000000001" customHeight="1" thickBot="1" x14ac:dyDescent="0.35">
      <c r="A5" s="65" t="s">
        <v>15</v>
      </c>
      <c r="B5" s="80" t="s">
        <v>24</v>
      </c>
      <c r="C5" s="169">
        <v>45705</v>
      </c>
      <c r="D5" s="170">
        <f t="shared" si="1"/>
        <v>545</v>
      </c>
      <c r="E5" s="218">
        <v>97</v>
      </c>
      <c r="F5" s="94" t="s">
        <v>150</v>
      </c>
      <c r="G5" s="74">
        <v>3</v>
      </c>
      <c r="H5" s="130">
        <v>336</v>
      </c>
      <c r="I5" s="94">
        <v>41</v>
      </c>
      <c r="J5" s="138">
        <f>RANK(I5,$I$3:$I$9)</f>
        <v>1</v>
      </c>
      <c r="K5" s="94">
        <v>87</v>
      </c>
      <c r="L5" s="172" t="e">
        <f>RANK(K5,$I$3:$I$9)+COUNTIF(K$3:$K5,K5)-1</f>
        <v>#N/A</v>
      </c>
      <c r="M5" s="176" t="e">
        <f>(G5+L5)/2</f>
        <v>#N/A</v>
      </c>
      <c r="N5" s="176" t="e">
        <f>RANK(M5,$K$3:$K$9,1)+COUNTIF(M5:$M$6,M5)-1</f>
        <v>#N/A</v>
      </c>
      <c r="O5" s="94"/>
      <c r="P5" s="94"/>
      <c r="W5" s="183" t="s">
        <v>23</v>
      </c>
      <c r="X5" s="184"/>
    </row>
    <row r="6" spans="1:28" x14ac:dyDescent="0.3">
      <c r="A6" s="65"/>
      <c r="B6" s="71" t="s">
        <v>21</v>
      </c>
      <c r="C6" s="169">
        <v>45712</v>
      </c>
      <c r="D6" s="170">
        <f t="shared" si="1"/>
        <v>538</v>
      </c>
      <c r="E6" s="218">
        <v>97</v>
      </c>
      <c r="F6" s="159" t="s">
        <v>150</v>
      </c>
      <c r="G6" s="74">
        <v>4</v>
      </c>
      <c r="H6" s="160"/>
      <c r="I6" s="159"/>
      <c r="J6" s="138" t="e">
        <f t="shared" ref="J6:J7" si="2">RANK(I6,$I$3:$I$9)</f>
        <v>#N/A</v>
      </c>
      <c r="K6" s="71"/>
      <c r="L6" s="172" t="e">
        <f>RANK(K6,$I$3:$I$9)+COUNTIF(K$3:$K6,K6)-1</f>
        <v>#N/A</v>
      </c>
      <c r="M6" s="176" t="e">
        <f>(G6+L6)/2</f>
        <v>#N/A</v>
      </c>
      <c r="N6" s="176" t="e">
        <f>RANK(M6,$K$3:$K$9,1)+COUNTIF(M$6:$M6,M6)-1</f>
        <v>#N/A</v>
      </c>
      <c r="O6" s="94"/>
      <c r="P6" s="94"/>
      <c r="W6" s="115" t="s">
        <v>25</v>
      </c>
      <c r="X6" s="116" t="s">
        <v>26</v>
      </c>
    </row>
    <row r="7" spans="1:28" ht="15" thickBot="1" x14ac:dyDescent="0.35">
      <c r="A7" s="66" t="s">
        <v>27</v>
      </c>
      <c r="B7" s="80" t="s">
        <v>45</v>
      </c>
      <c r="C7" s="216">
        <v>45838</v>
      </c>
      <c r="D7" s="170">
        <f t="shared" si="1"/>
        <v>412</v>
      </c>
      <c r="E7" s="215">
        <v>97</v>
      </c>
      <c r="F7" s="130" t="s">
        <v>150</v>
      </c>
      <c r="G7" s="74">
        <v>5</v>
      </c>
      <c r="H7" s="138">
        <v>139</v>
      </c>
      <c r="I7" s="94">
        <v>21</v>
      </c>
      <c r="J7" s="138">
        <f t="shared" si="2"/>
        <v>2</v>
      </c>
      <c r="K7" s="71">
        <v>86</v>
      </c>
      <c r="L7" s="172" t="e">
        <f>RANK(K7,$I$3:$I$9)+COUNTIF(K$3:$K7,K7)-1</f>
        <v>#N/A</v>
      </c>
      <c r="M7" s="176" t="e">
        <f>(G7+L7)/2</f>
        <v>#N/A</v>
      </c>
      <c r="N7" s="176" t="e">
        <f>RANK(M7,$K$3:$K$9,1)+COUNTIF(M$6:$M7,M7)-1</f>
        <v>#N/A</v>
      </c>
      <c r="U7" s="117">
        <f>R4+U4</f>
        <v>0</v>
      </c>
      <c r="V7" s="118">
        <f>S4+V4</f>
        <v>0</v>
      </c>
    </row>
    <row r="8" spans="1:28" ht="15" thickTop="1" x14ac:dyDescent="0.3">
      <c r="A8" s="66"/>
      <c r="B8" s="71"/>
      <c r="C8" s="214"/>
      <c r="D8" s="177"/>
      <c r="E8" s="215"/>
      <c r="F8" s="130"/>
      <c r="G8" s="94"/>
      <c r="H8" s="138"/>
      <c r="I8" s="94"/>
      <c r="J8" s="34"/>
      <c r="K8" s="109"/>
      <c r="L8" s="173"/>
      <c r="M8" s="177"/>
      <c r="N8" s="177"/>
      <c r="U8" s="140"/>
      <c r="V8" s="140"/>
    </row>
    <row r="9" spans="1:28" ht="15" thickBot="1" x14ac:dyDescent="0.35">
      <c r="A9" s="67"/>
      <c r="B9" s="72"/>
      <c r="C9" s="141"/>
      <c r="D9" s="178"/>
      <c r="E9" s="219"/>
      <c r="F9" s="142"/>
      <c r="G9" s="141"/>
      <c r="H9" s="143"/>
      <c r="I9" s="141"/>
      <c r="J9" s="69"/>
      <c r="K9" s="144"/>
      <c r="L9" s="174"/>
      <c r="M9" s="178"/>
      <c r="N9" s="178"/>
      <c r="U9" s="140"/>
      <c r="V9" s="140"/>
    </row>
    <row r="10" spans="1:28" x14ac:dyDescent="0.3">
      <c r="A10" s="76"/>
      <c r="B10" s="76"/>
      <c r="C10" s="76"/>
      <c r="D10" s="76"/>
      <c r="E10" s="76"/>
      <c r="F10" s="76"/>
      <c r="G10" s="76"/>
      <c r="H10" s="76"/>
      <c r="I10" s="76"/>
      <c r="J10" s="76"/>
      <c r="K10" s="76"/>
      <c r="L10" s="76"/>
      <c r="M10" s="94"/>
      <c r="N10" s="94"/>
      <c r="U10" s="140"/>
      <c r="V10" s="140"/>
    </row>
    <row r="11" spans="1:28" x14ac:dyDescent="0.3">
      <c r="A11" s="76"/>
      <c r="B11" s="76"/>
      <c r="C11" s="76"/>
      <c r="D11" s="76"/>
      <c r="E11" s="76"/>
      <c r="F11" s="213"/>
      <c r="G11" s="76"/>
      <c r="H11" s="76"/>
      <c r="I11" s="76"/>
      <c r="J11" s="76"/>
      <c r="K11" s="76"/>
      <c r="L11" s="76"/>
      <c r="M11" s="94"/>
      <c r="N11" s="94"/>
      <c r="U11" s="140"/>
      <c r="V11" s="140"/>
    </row>
    <row r="12" spans="1:28" x14ac:dyDescent="0.3">
      <c r="B12" s="122" t="s">
        <v>33</v>
      </c>
      <c r="C12" s="122" t="s">
        <v>34</v>
      </c>
      <c r="D12" s="122"/>
      <c r="F12" s="213"/>
      <c r="G12" s="94"/>
      <c r="H12" s="94"/>
      <c r="I12" s="94"/>
      <c r="J12" s="94"/>
      <c r="K12" s="94"/>
      <c r="L12" s="94"/>
      <c r="M12" s="94"/>
      <c r="N12" s="94"/>
    </row>
    <row r="13" spans="1:28" x14ac:dyDescent="0.3">
      <c r="B13" s="122" t="s">
        <v>35</v>
      </c>
      <c r="C13" t="s">
        <v>36</v>
      </c>
      <c r="D13" s="122"/>
      <c r="F13" s="213"/>
      <c r="G13" s="94"/>
      <c r="H13" s="94"/>
      <c r="I13" s="94"/>
      <c r="K13" s="94"/>
      <c r="L13" s="94"/>
      <c r="M13" s="94"/>
      <c r="N13" s="94"/>
    </row>
    <row r="14" spans="1:28" x14ac:dyDescent="0.3">
      <c r="B14" s="1" t="s">
        <v>33</v>
      </c>
      <c r="C14" s="27" t="s">
        <v>34</v>
      </c>
      <c r="D14" s="122"/>
      <c r="F14" s="213"/>
      <c r="G14" s="94"/>
      <c r="H14" s="94"/>
      <c r="I14" s="94"/>
      <c r="J14" s="94"/>
      <c r="K14" s="94"/>
      <c r="L14" s="94"/>
      <c r="M14" s="94"/>
    </row>
    <row r="15" spans="1:28" x14ac:dyDescent="0.3">
      <c r="A15" s="123"/>
      <c r="B15" s="2"/>
      <c r="C15" s="2"/>
      <c r="D15" s="2"/>
      <c r="E15" s="2"/>
      <c r="F15" s="213"/>
      <c r="G15" s="94"/>
      <c r="H15" s="94"/>
      <c r="I15" s="94"/>
      <c r="J15" s="94"/>
      <c r="K15" s="94"/>
      <c r="L15" s="94"/>
      <c r="M15" s="94"/>
    </row>
    <row r="16" spans="1:28" x14ac:dyDescent="0.3">
      <c r="A16" s="122"/>
      <c r="B16" s="122" t="s">
        <v>40</v>
      </c>
      <c r="C16" s="122"/>
      <c r="D16" s="122"/>
      <c r="F16" s="94"/>
      <c r="G16" s="94"/>
      <c r="H16" s="181"/>
      <c r="I16" s="181"/>
      <c r="J16" s="181"/>
      <c r="K16" s="181"/>
      <c r="L16" s="94"/>
      <c r="M16" s="94"/>
      <c r="N16" s="94"/>
      <c r="O16" s="94"/>
      <c r="P16" s="94"/>
      <c r="Q16" s="94"/>
      <c r="R16" s="94"/>
    </row>
    <row r="17" spans="1:18" x14ac:dyDescent="0.3">
      <c r="A17" s="122"/>
      <c r="B17" s="91"/>
      <c r="C17" s="2" t="s">
        <v>47</v>
      </c>
      <c r="D17" s="2"/>
      <c r="E17" s="2"/>
      <c r="F17" s="94"/>
      <c r="G17" s="94"/>
      <c r="H17" s="94"/>
      <c r="I17" s="94"/>
      <c r="J17" s="94"/>
      <c r="K17" s="94"/>
      <c r="L17" s="94"/>
      <c r="M17" s="94"/>
      <c r="N17" s="94"/>
      <c r="O17" s="94"/>
      <c r="P17" s="94"/>
      <c r="Q17" s="94"/>
      <c r="R17" s="94"/>
    </row>
    <row r="18" spans="1:18" ht="14.4" customHeight="1" x14ac:dyDescent="0.3">
      <c r="D18" s="124"/>
      <c r="E18" s="124"/>
      <c r="F18" s="124"/>
      <c r="G18" s="94"/>
      <c r="H18" s="94"/>
      <c r="I18" s="94"/>
      <c r="J18" s="94"/>
      <c r="K18" s="94"/>
      <c r="L18" s="94"/>
      <c r="M18" s="94"/>
      <c r="N18" s="94"/>
      <c r="O18" s="94"/>
      <c r="P18" s="94"/>
      <c r="Q18" s="94"/>
      <c r="R18" s="94"/>
    </row>
    <row r="19" spans="1:18" x14ac:dyDescent="0.3">
      <c r="A19" s="123"/>
      <c r="B19" s="94"/>
      <c r="C19" s="94"/>
      <c r="D19" s="94"/>
      <c r="E19" s="94"/>
      <c r="F19" s="94"/>
      <c r="G19" s="94"/>
      <c r="H19" s="94"/>
      <c r="I19" s="94"/>
      <c r="J19" s="94"/>
      <c r="K19" s="94"/>
      <c r="L19" s="94"/>
      <c r="M19" s="94"/>
    </row>
    <row r="20" spans="1:18" x14ac:dyDescent="0.3">
      <c r="A20" s="123"/>
      <c r="B20" s="94"/>
      <c r="C20" s="94"/>
      <c r="D20" s="94"/>
      <c r="E20" s="94"/>
      <c r="F20" s="94"/>
      <c r="G20" s="94"/>
      <c r="H20" s="94"/>
      <c r="I20" s="94"/>
      <c r="J20" s="94"/>
      <c r="K20" s="94"/>
      <c r="L20" s="94"/>
      <c r="M20" s="94"/>
    </row>
    <row r="21" spans="1:18" x14ac:dyDescent="0.3">
      <c r="B21" s="94"/>
      <c r="C21" s="94"/>
      <c r="D21" s="94"/>
      <c r="E21" s="94"/>
      <c r="F21" s="94"/>
      <c r="G21" s="94"/>
      <c r="H21" s="94"/>
      <c r="I21" s="94"/>
      <c r="J21" s="94"/>
      <c r="K21" s="94"/>
      <c r="L21" s="94"/>
      <c r="M21" s="94"/>
    </row>
    <row r="22" spans="1:18" x14ac:dyDescent="0.3">
      <c r="B22" s="94"/>
      <c r="C22" s="94"/>
      <c r="D22" s="94"/>
      <c r="E22" s="94"/>
      <c r="F22" s="94"/>
      <c r="G22" s="94"/>
      <c r="H22" s="94"/>
      <c r="I22" s="94"/>
      <c r="J22" s="94"/>
      <c r="K22" s="94"/>
      <c r="L22" s="94"/>
      <c r="M22" s="94"/>
    </row>
    <row r="23" spans="1:18" x14ac:dyDescent="0.3">
      <c r="B23" s="94"/>
      <c r="C23" s="94"/>
      <c r="D23" s="94"/>
      <c r="E23" s="94"/>
      <c r="F23" s="94"/>
      <c r="G23" s="94"/>
      <c r="H23" s="94"/>
      <c r="I23" s="94"/>
      <c r="J23" s="94"/>
      <c r="K23" s="94"/>
      <c r="L23" s="94"/>
      <c r="M23" s="94"/>
    </row>
    <row r="24" spans="1:18" x14ac:dyDescent="0.3">
      <c r="B24" s="94"/>
      <c r="C24" s="94"/>
      <c r="D24" s="94"/>
      <c r="E24" s="94"/>
      <c r="F24" s="94"/>
      <c r="G24" s="94"/>
      <c r="H24" s="94"/>
      <c r="I24" s="94"/>
      <c r="J24" s="94"/>
      <c r="K24" s="94"/>
      <c r="L24" s="94"/>
      <c r="M24" s="94"/>
    </row>
    <row r="25" spans="1:18" x14ac:dyDescent="0.3">
      <c r="B25" s="94"/>
      <c r="C25" s="94"/>
      <c r="D25" s="94"/>
      <c r="E25" s="94"/>
      <c r="F25" s="94"/>
      <c r="G25" s="94"/>
      <c r="H25" s="94"/>
      <c r="I25" s="94"/>
      <c r="J25" s="94"/>
      <c r="K25" s="94"/>
      <c r="L25" s="94"/>
      <c r="M25" s="94"/>
      <c r="N25" s="94"/>
    </row>
    <row r="26" spans="1:18" x14ac:dyDescent="0.3">
      <c r="B26" s="94"/>
      <c r="C26" s="94"/>
      <c r="D26" s="94"/>
      <c r="E26" s="94"/>
      <c r="F26" s="94"/>
      <c r="G26" s="94"/>
      <c r="H26" s="94"/>
      <c r="I26" s="94"/>
      <c r="J26" s="94"/>
      <c r="K26" s="94"/>
      <c r="L26" s="94"/>
      <c r="M26" s="94"/>
      <c r="N26" s="94"/>
    </row>
    <row r="27" spans="1:18" x14ac:dyDescent="0.3">
      <c r="B27" s="94"/>
      <c r="C27" s="94"/>
      <c r="D27" s="94"/>
      <c r="E27" s="94"/>
      <c r="F27" s="94"/>
      <c r="G27" s="94"/>
      <c r="H27" s="94"/>
      <c r="I27" s="94"/>
      <c r="J27" s="94"/>
      <c r="K27" s="94"/>
      <c r="L27" s="94"/>
      <c r="M27" s="94"/>
      <c r="N27" s="94"/>
    </row>
    <row r="28" spans="1:18" x14ac:dyDescent="0.3">
      <c r="B28" s="94"/>
      <c r="C28" s="94"/>
      <c r="D28" s="94"/>
      <c r="E28" s="94"/>
      <c r="F28" s="94"/>
      <c r="G28" s="94"/>
      <c r="H28" s="94"/>
      <c r="I28" s="94"/>
      <c r="J28" s="94"/>
      <c r="K28" s="94"/>
      <c r="L28" s="94"/>
      <c r="M28" s="94"/>
      <c r="N28" s="94"/>
    </row>
    <row r="29" spans="1:18" x14ac:dyDescent="0.3">
      <c r="B29" s="94"/>
      <c r="C29" s="94"/>
      <c r="D29" s="94"/>
      <c r="E29" s="94"/>
      <c r="F29" s="94"/>
      <c r="G29" s="94"/>
      <c r="H29" s="94"/>
      <c r="I29" s="94"/>
      <c r="J29" s="94"/>
      <c r="K29" s="94"/>
      <c r="L29" s="94"/>
      <c r="M29" s="94"/>
      <c r="N29" s="94"/>
    </row>
    <row r="30" spans="1:18" x14ac:dyDescent="0.3">
      <c r="B30" s="94"/>
      <c r="C30" s="94"/>
      <c r="D30" s="94"/>
      <c r="E30" s="94"/>
      <c r="F30" s="94"/>
      <c r="G30" s="94"/>
      <c r="H30" s="94"/>
      <c r="I30" s="94"/>
      <c r="J30" s="94"/>
      <c r="K30" s="94"/>
      <c r="L30" s="94"/>
      <c r="M30" s="94"/>
      <c r="N30" s="94"/>
    </row>
    <row r="31" spans="1:18" x14ac:dyDescent="0.3">
      <c r="B31" s="94"/>
      <c r="C31" s="94"/>
      <c r="D31" s="94"/>
      <c r="E31" s="94"/>
      <c r="F31" s="94"/>
      <c r="G31" s="94"/>
      <c r="H31" s="94"/>
      <c r="I31" s="94"/>
      <c r="J31" s="94"/>
      <c r="K31" s="94"/>
      <c r="L31" s="94"/>
      <c r="M31" s="94"/>
      <c r="N31" s="94"/>
    </row>
    <row r="32" spans="1:18" x14ac:dyDescent="0.3">
      <c r="B32" s="94"/>
      <c r="C32" s="94"/>
      <c r="D32" s="94"/>
      <c r="E32" s="94"/>
      <c r="F32" s="94"/>
      <c r="G32" s="94"/>
      <c r="H32" s="94"/>
      <c r="I32" s="94"/>
      <c r="J32" s="94"/>
      <c r="K32" s="94"/>
      <c r="L32" s="94"/>
      <c r="M32" s="94"/>
      <c r="N32" s="94"/>
    </row>
    <row r="33" spans="2:14" x14ac:dyDescent="0.3">
      <c r="B33" s="94"/>
      <c r="C33" s="94"/>
      <c r="D33" s="94"/>
      <c r="E33" s="94"/>
      <c r="F33" s="94"/>
      <c r="G33" s="94"/>
      <c r="H33" s="94"/>
      <c r="I33" s="94"/>
      <c r="J33" s="94"/>
      <c r="K33" s="94"/>
      <c r="L33" s="94"/>
      <c r="M33" s="94"/>
      <c r="N33" s="94"/>
    </row>
    <row r="34" spans="2:14" x14ac:dyDescent="0.3">
      <c r="B34" s="94"/>
      <c r="C34" s="94"/>
      <c r="D34" s="94"/>
      <c r="E34" s="94"/>
      <c r="F34" s="94"/>
      <c r="G34" s="94"/>
      <c r="H34" s="94"/>
      <c r="I34" s="94"/>
      <c r="J34" s="94"/>
      <c r="K34" s="94"/>
      <c r="L34" s="94"/>
      <c r="M34" s="94"/>
      <c r="N34" s="94"/>
    </row>
    <row r="35" spans="2:14" x14ac:dyDescent="0.3">
      <c r="B35" s="94"/>
      <c r="C35" s="94"/>
      <c r="D35" s="94"/>
      <c r="E35" s="94"/>
      <c r="F35" s="94"/>
      <c r="G35" s="94"/>
      <c r="H35" s="94"/>
      <c r="I35" s="94"/>
      <c r="J35" s="94"/>
      <c r="K35" s="94"/>
      <c r="L35" s="94"/>
      <c r="M35" s="94"/>
      <c r="N35" s="94"/>
    </row>
    <row r="36" spans="2:14" x14ac:dyDescent="0.3">
      <c r="B36" s="94"/>
      <c r="C36" s="94"/>
      <c r="D36" s="94"/>
      <c r="E36" s="94"/>
      <c r="F36" s="94"/>
      <c r="G36" s="94"/>
      <c r="H36" s="94"/>
      <c r="I36" s="94"/>
      <c r="J36" s="94"/>
      <c r="K36" s="94"/>
      <c r="L36" s="94"/>
      <c r="M36" s="94"/>
      <c r="N36" s="94"/>
    </row>
    <row r="37" spans="2:14" x14ac:dyDescent="0.3">
      <c r="B37" s="94"/>
      <c r="C37" s="94"/>
      <c r="D37" s="94"/>
      <c r="E37" s="94"/>
      <c r="F37" s="94"/>
      <c r="G37" s="94"/>
      <c r="H37" s="94"/>
      <c r="I37" s="94"/>
      <c r="J37" s="94"/>
      <c r="K37" s="94"/>
      <c r="L37" s="94"/>
      <c r="M37" s="94"/>
      <c r="N37" s="94"/>
    </row>
    <row r="38" spans="2:14" x14ac:dyDescent="0.3">
      <c r="B38" s="94"/>
      <c r="C38" s="94"/>
      <c r="D38" s="94"/>
      <c r="E38" s="94"/>
      <c r="F38" s="94"/>
      <c r="G38" s="94"/>
      <c r="H38" s="94"/>
      <c r="I38" s="94"/>
      <c r="J38" s="94"/>
      <c r="K38" s="94"/>
      <c r="L38" s="94"/>
      <c r="M38" s="94"/>
      <c r="N38" s="94"/>
    </row>
    <row r="39" spans="2:14" x14ac:dyDescent="0.3">
      <c r="B39" s="94"/>
      <c r="C39" s="94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</row>
    <row r="40" spans="2:14" x14ac:dyDescent="0.3">
      <c r="B40" s="94"/>
      <c r="C40" s="94"/>
      <c r="D40" s="94"/>
      <c r="E40" s="94"/>
      <c r="F40" s="94"/>
      <c r="G40" s="94"/>
      <c r="H40" s="94"/>
      <c r="I40" s="94"/>
      <c r="J40" s="94"/>
      <c r="K40" s="94"/>
      <c r="L40" s="94"/>
      <c r="M40" s="94"/>
      <c r="N40" s="94"/>
    </row>
    <row r="41" spans="2:14" x14ac:dyDescent="0.3">
      <c r="B41" s="94"/>
      <c r="C41" s="94"/>
      <c r="D41" s="94"/>
      <c r="E41" s="94"/>
      <c r="F41" s="94"/>
      <c r="G41" s="94"/>
      <c r="H41" s="94"/>
      <c r="I41" s="94"/>
      <c r="J41" s="94"/>
      <c r="K41" s="94"/>
      <c r="L41" s="94"/>
      <c r="M41" s="94"/>
      <c r="N41" s="94"/>
    </row>
    <row r="42" spans="2:14" x14ac:dyDescent="0.3">
      <c r="B42" s="94"/>
      <c r="C42" s="94"/>
      <c r="D42" s="94"/>
      <c r="E42" s="94"/>
      <c r="F42" s="94"/>
      <c r="G42" s="94"/>
      <c r="H42" s="94"/>
      <c r="I42" s="94"/>
      <c r="J42" s="94"/>
      <c r="K42" s="94"/>
      <c r="L42" s="94"/>
      <c r="M42" s="94"/>
      <c r="N42" s="94"/>
    </row>
    <row r="43" spans="2:14" x14ac:dyDescent="0.3">
      <c r="F43" s="123"/>
      <c r="L43" s="94"/>
    </row>
    <row r="44" spans="2:14" x14ac:dyDescent="0.3">
      <c r="F44" s="123"/>
      <c r="L44" s="94"/>
    </row>
    <row r="45" spans="2:14" x14ac:dyDescent="0.3">
      <c r="F45" s="123"/>
      <c r="L45" s="94"/>
    </row>
    <row r="46" spans="2:14" x14ac:dyDescent="0.3">
      <c r="F46" s="123"/>
      <c r="L46" s="94"/>
    </row>
    <row r="47" spans="2:14" x14ac:dyDescent="0.3">
      <c r="F47" s="123"/>
      <c r="L47" s="94"/>
    </row>
    <row r="48" spans="2:14" x14ac:dyDescent="0.3">
      <c r="F48" s="123"/>
      <c r="L48" s="94"/>
    </row>
  </sheetData>
  <mergeCells count="14">
    <mergeCell ref="W5:X5"/>
    <mergeCell ref="H16:K16"/>
    <mergeCell ref="I1:I2"/>
    <mergeCell ref="K1:K2"/>
    <mergeCell ref="L1:L2"/>
    <mergeCell ref="M1:M2"/>
    <mergeCell ref="N1:N2"/>
    <mergeCell ref="Q1:V1"/>
    <mergeCell ref="A1:A2"/>
    <mergeCell ref="B1:B2"/>
    <mergeCell ref="E1:E2"/>
    <mergeCell ref="F1:F2"/>
    <mergeCell ref="G1:G2"/>
    <mergeCell ref="H1:H2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21"/>
  <dimension ref="A1:BC313"/>
  <sheetViews>
    <sheetView tabSelected="1" workbookViewId="0">
      <pane xSplit="2" topLeftCell="Z1" activePane="topRight" state="frozen"/>
      <selection pane="topRight" activeCell="AI79" sqref="AI79"/>
    </sheetView>
  </sheetViews>
  <sheetFormatPr defaultColWidth="9" defaultRowHeight="14.4" x14ac:dyDescent="0.3"/>
  <cols>
    <col min="1" max="1" width="22.109375" style="3" customWidth="1"/>
    <col min="2" max="2" width="15.33203125" style="3" customWidth="1"/>
    <col min="3" max="3" width="17.109375" style="3" customWidth="1"/>
    <col min="4" max="4" width="17" style="3" customWidth="1"/>
    <col min="5" max="5" width="15.44140625" style="3" customWidth="1"/>
    <col min="6" max="15" width="9" style="3"/>
    <col min="16" max="16" width="12" style="3" customWidth="1"/>
    <col min="17" max="17" width="10.77734375" style="3" customWidth="1"/>
    <col min="18" max="18" width="18.44140625" style="3" customWidth="1"/>
    <col min="19" max="19" width="9" style="3"/>
    <col min="20" max="20" width="14.109375" style="3" customWidth="1"/>
    <col min="21" max="21" width="14.44140625" style="3" customWidth="1"/>
    <col min="22" max="27" width="9" style="3"/>
    <col min="28" max="28" width="23.109375" style="3" customWidth="1"/>
    <col min="29" max="29" width="22.5546875" style="3" customWidth="1"/>
    <col min="30" max="31" width="9" style="3"/>
    <col min="32" max="32" width="11.44140625" style="3" customWidth="1"/>
    <col min="33" max="33" width="9.5546875" style="3" customWidth="1"/>
    <col min="34" max="34" width="9" style="3"/>
    <col min="35" max="35" width="14.33203125" style="3" customWidth="1"/>
    <col min="36" max="37" width="9" style="3"/>
    <col min="38" max="38" width="21.109375" style="3" customWidth="1"/>
    <col min="39" max="40" width="9" style="3"/>
    <col min="41" max="41" width="8.6640625" style="3" customWidth="1"/>
    <col min="42" max="42" width="9" style="3"/>
    <col min="43" max="43" width="9.109375" style="3" customWidth="1"/>
    <col min="44" max="44" width="10" style="3" customWidth="1"/>
    <col min="45" max="45" width="9" style="3"/>
    <col min="46" max="46" width="15.6640625" style="3" customWidth="1"/>
    <col min="47" max="48" width="9" style="3"/>
    <col min="49" max="49" width="8.109375" style="3" customWidth="1"/>
    <col min="50" max="50" width="11.6640625" style="3" customWidth="1"/>
    <col min="51" max="51" width="10.44140625" style="3" customWidth="1"/>
    <col min="52" max="52" width="8.5546875" style="3" customWidth="1"/>
    <col min="53" max="16384" width="9" style="3"/>
  </cols>
  <sheetData>
    <row r="1" spans="1:55" ht="15" thickBot="1" x14ac:dyDescent="0.35"/>
    <row r="2" spans="1:55" ht="18" x14ac:dyDescent="0.35">
      <c r="A2" s="222" t="s">
        <v>1</v>
      </c>
      <c r="B2" s="5" t="s">
        <v>48</v>
      </c>
      <c r="C2" s="6" t="s">
        <v>49</v>
      </c>
      <c r="E2" s="7"/>
    </row>
    <row r="3" spans="1:55" ht="18.600000000000001" thickBot="1" x14ac:dyDescent="0.4">
      <c r="A3" s="223" t="s">
        <v>151</v>
      </c>
      <c r="B3" s="7">
        <v>1</v>
      </c>
      <c r="C3" s="9" t="s">
        <v>152</v>
      </c>
      <c r="D3" s="146"/>
    </row>
    <row r="4" spans="1:55" x14ac:dyDescent="0.3">
      <c r="A4" s="18" t="s">
        <v>50</v>
      </c>
      <c r="B4" s="11">
        <v>1</v>
      </c>
      <c r="C4" s="11">
        <v>2</v>
      </c>
      <c r="D4" s="11">
        <v>3</v>
      </c>
      <c r="E4" s="11">
        <v>4</v>
      </c>
      <c r="F4" s="11">
        <v>5</v>
      </c>
      <c r="G4" s="11">
        <v>6</v>
      </c>
      <c r="H4" s="11">
        <v>7</v>
      </c>
      <c r="I4" s="11">
        <v>8</v>
      </c>
      <c r="J4" s="11">
        <v>9</v>
      </c>
      <c r="K4" s="11">
        <v>10</v>
      </c>
      <c r="L4" s="11">
        <v>11</v>
      </c>
      <c r="M4" s="11">
        <v>12</v>
      </c>
      <c r="N4" s="11">
        <v>13</v>
      </c>
      <c r="O4" s="11">
        <v>14</v>
      </c>
      <c r="P4" s="11">
        <v>15</v>
      </c>
      <c r="Q4" s="11">
        <v>16</v>
      </c>
      <c r="R4" s="11">
        <v>17</v>
      </c>
      <c r="S4" s="11">
        <v>18</v>
      </c>
      <c r="T4" s="11">
        <v>19</v>
      </c>
      <c r="U4" s="11">
        <v>20</v>
      </c>
      <c r="V4" s="11">
        <v>21</v>
      </c>
      <c r="W4" s="11">
        <v>22</v>
      </c>
      <c r="X4" s="11">
        <v>23</v>
      </c>
      <c r="Y4" s="11">
        <v>24</v>
      </c>
      <c r="Z4" s="11">
        <v>25</v>
      </c>
      <c r="AA4" s="11">
        <v>26</v>
      </c>
      <c r="AB4" s="11">
        <v>27</v>
      </c>
      <c r="AC4" s="11">
        <v>28</v>
      </c>
      <c r="AD4" s="11">
        <v>29</v>
      </c>
      <c r="AE4" s="11">
        <v>30</v>
      </c>
      <c r="AF4" s="11">
        <v>31</v>
      </c>
      <c r="AG4" s="11">
        <v>32</v>
      </c>
      <c r="AH4" s="11">
        <v>33</v>
      </c>
      <c r="AI4" s="11">
        <v>34</v>
      </c>
      <c r="AJ4" s="11">
        <v>35</v>
      </c>
      <c r="AK4" s="11">
        <v>36</v>
      </c>
      <c r="AL4" s="11">
        <v>37</v>
      </c>
      <c r="AM4" s="11">
        <v>38</v>
      </c>
      <c r="AN4" s="11">
        <v>39</v>
      </c>
      <c r="AO4" s="11">
        <v>40</v>
      </c>
      <c r="AP4" s="11">
        <v>41</v>
      </c>
      <c r="AQ4" s="11">
        <v>42</v>
      </c>
      <c r="AR4" s="11">
        <v>43</v>
      </c>
      <c r="AS4" s="11">
        <v>44</v>
      </c>
      <c r="AT4" s="11">
        <v>45</v>
      </c>
      <c r="AU4" s="11">
        <v>46</v>
      </c>
      <c r="AV4" s="11">
        <v>47</v>
      </c>
      <c r="AW4" s="11">
        <v>48</v>
      </c>
      <c r="AX4" s="11">
        <v>49</v>
      </c>
      <c r="AY4" s="11">
        <v>50</v>
      </c>
      <c r="AZ4" s="11">
        <v>51</v>
      </c>
      <c r="BA4" s="12">
        <v>52</v>
      </c>
    </row>
    <row r="5" spans="1:55" x14ac:dyDescent="0.3">
      <c r="A5" s="13" t="s">
        <v>51</v>
      </c>
      <c r="B5" s="14">
        <v>85</v>
      </c>
      <c r="C5" s="14">
        <v>85</v>
      </c>
      <c r="D5" s="14">
        <v>85</v>
      </c>
      <c r="E5" s="14">
        <v>85</v>
      </c>
      <c r="F5" s="14">
        <v>85</v>
      </c>
      <c r="G5" s="14">
        <v>85</v>
      </c>
      <c r="H5" s="14">
        <v>85</v>
      </c>
      <c r="I5" s="14">
        <v>85</v>
      </c>
      <c r="J5" s="14">
        <v>85</v>
      </c>
      <c r="K5" s="14">
        <v>85</v>
      </c>
      <c r="L5" s="14">
        <v>85</v>
      </c>
      <c r="M5" s="14">
        <v>85</v>
      </c>
      <c r="N5" s="14">
        <v>85</v>
      </c>
      <c r="O5" s="14">
        <v>85</v>
      </c>
      <c r="P5" s="14">
        <v>85</v>
      </c>
      <c r="Q5" s="14">
        <v>85</v>
      </c>
      <c r="R5" s="14">
        <v>85</v>
      </c>
      <c r="S5" s="14">
        <v>85</v>
      </c>
      <c r="T5" s="14">
        <v>85</v>
      </c>
      <c r="U5" s="14">
        <v>85</v>
      </c>
      <c r="V5" s="14">
        <v>85</v>
      </c>
      <c r="W5" s="14">
        <v>85</v>
      </c>
      <c r="X5" s="14">
        <v>85</v>
      </c>
      <c r="Y5" s="14">
        <v>85</v>
      </c>
      <c r="Z5" s="14">
        <v>85</v>
      </c>
      <c r="AA5" s="14">
        <v>85</v>
      </c>
      <c r="AB5" s="14">
        <v>85</v>
      </c>
      <c r="AC5" s="14">
        <v>85</v>
      </c>
      <c r="AD5" s="14">
        <v>85</v>
      </c>
      <c r="AE5" s="14">
        <v>85</v>
      </c>
      <c r="AF5" s="14">
        <v>85</v>
      </c>
      <c r="AG5" s="14">
        <v>85</v>
      </c>
      <c r="AH5" s="14">
        <v>85</v>
      </c>
      <c r="AI5" s="14">
        <v>85</v>
      </c>
      <c r="AJ5" s="14">
        <v>85</v>
      </c>
      <c r="AK5" s="14">
        <v>85</v>
      </c>
      <c r="AL5" s="14">
        <v>85</v>
      </c>
      <c r="AM5" s="14">
        <v>85</v>
      </c>
      <c r="AN5" s="14">
        <v>85</v>
      </c>
      <c r="AO5" s="14">
        <v>85</v>
      </c>
      <c r="AP5" s="14">
        <v>85</v>
      </c>
      <c r="AQ5" s="14">
        <v>85</v>
      </c>
      <c r="AR5" s="14">
        <v>85</v>
      </c>
      <c r="AS5" s="14">
        <v>85</v>
      </c>
      <c r="AT5" s="14">
        <v>85</v>
      </c>
      <c r="AU5" s="14">
        <v>85</v>
      </c>
      <c r="AV5" s="14">
        <v>85</v>
      </c>
      <c r="AW5" s="14">
        <v>85</v>
      </c>
      <c r="AX5" s="14">
        <v>85</v>
      </c>
      <c r="AY5" s="14">
        <v>85</v>
      </c>
      <c r="AZ5" s="14">
        <v>85</v>
      </c>
      <c r="BA5" s="14">
        <v>85</v>
      </c>
    </row>
    <row r="6" spans="1:55" ht="15" thickBot="1" x14ac:dyDescent="0.35">
      <c r="A6" s="15" t="s">
        <v>52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7"/>
    </row>
    <row r="7" spans="1:55" x14ac:dyDescent="0.3">
      <c r="A7" s="18" t="s">
        <v>50</v>
      </c>
      <c r="B7" s="19">
        <v>1</v>
      </c>
      <c r="C7" s="19">
        <v>2</v>
      </c>
      <c r="D7" s="19">
        <v>3</v>
      </c>
      <c r="E7" s="19">
        <v>4</v>
      </c>
      <c r="F7" s="19">
        <v>5</v>
      </c>
      <c r="G7" s="19">
        <v>6</v>
      </c>
      <c r="H7" s="19">
        <v>7</v>
      </c>
      <c r="I7" s="19">
        <v>8</v>
      </c>
      <c r="J7" s="19">
        <v>9</v>
      </c>
      <c r="K7" s="19">
        <v>10</v>
      </c>
      <c r="L7" s="19">
        <v>11</v>
      </c>
      <c r="M7" s="19">
        <v>12</v>
      </c>
      <c r="N7" s="19">
        <v>13</v>
      </c>
      <c r="O7" s="19">
        <v>14</v>
      </c>
      <c r="P7" s="19">
        <v>15</v>
      </c>
      <c r="Q7" s="19">
        <v>16</v>
      </c>
      <c r="R7" s="19">
        <v>17</v>
      </c>
      <c r="S7" s="19">
        <v>18</v>
      </c>
      <c r="T7" s="19">
        <v>19</v>
      </c>
      <c r="U7" s="19">
        <v>20</v>
      </c>
      <c r="V7" s="19">
        <v>21</v>
      </c>
      <c r="W7" s="19">
        <v>22</v>
      </c>
      <c r="X7" s="19">
        <v>23</v>
      </c>
      <c r="Y7" s="19">
        <v>24</v>
      </c>
      <c r="Z7" s="19">
        <v>25</v>
      </c>
      <c r="AA7" s="19">
        <v>26</v>
      </c>
      <c r="AB7" s="19">
        <v>27</v>
      </c>
      <c r="AC7" s="19">
        <v>28</v>
      </c>
      <c r="AD7" s="19">
        <v>29</v>
      </c>
      <c r="AE7" s="19">
        <v>30</v>
      </c>
      <c r="AF7" s="19">
        <v>31</v>
      </c>
      <c r="AG7" s="19">
        <v>32</v>
      </c>
      <c r="AH7" s="19">
        <v>33</v>
      </c>
      <c r="AI7" s="19">
        <v>34</v>
      </c>
      <c r="AJ7" s="19">
        <v>35</v>
      </c>
      <c r="AK7" s="19">
        <v>36</v>
      </c>
      <c r="AL7" s="19">
        <v>37</v>
      </c>
      <c r="AM7" s="19">
        <v>38</v>
      </c>
      <c r="AN7" s="19">
        <v>39</v>
      </c>
      <c r="AO7" s="19">
        <v>40</v>
      </c>
      <c r="AP7" s="19">
        <v>41</v>
      </c>
      <c r="AQ7" s="19">
        <v>42</v>
      </c>
      <c r="AR7" s="19">
        <v>43</v>
      </c>
      <c r="AS7" s="19">
        <v>44</v>
      </c>
      <c r="AT7" s="19">
        <v>45</v>
      </c>
      <c r="AU7" s="19">
        <v>46</v>
      </c>
      <c r="AV7" s="19">
        <v>47</v>
      </c>
      <c r="AW7" s="19">
        <v>48</v>
      </c>
      <c r="AX7" s="19">
        <v>49</v>
      </c>
      <c r="AY7" s="19">
        <v>50</v>
      </c>
      <c r="AZ7" s="19">
        <v>51</v>
      </c>
      <c r="BA7" s="20">
        <v>52</v>
      </c>
    </row>
    <row r="8" spans="1:55" x14ac:dyDescent="0.3">
      <c r="A8" s="147" t="s">
        <v>53</v>
      </c>
      <c r="B8" s="21">
        <v>68</v>
      </c>
      <c r="C8" s="21">
        <v>68</v>
      </c>
      <c r="D8" s="21">
        <v>68</v>
      </c>
      <c r="E8" s="21">
        <v>68</v>
      </c>
      <c r="F8" s="21">
        <v>68</v>
      </c>
      <c r="G8" s="21">
        <v>68</v>
      </c>
      <c r="H8" s="21">
        <v>68</v>
      </c>
      <c r="I8" s="21">
        <v>68</v>
      </c>
      <c r="J8" s="21">
        <v>68</v>
      </c>
      <c r="K8" s="21">
        <v>68</v>
      </c>
      <c r="L8" s="21">
        <v>68</v>
      </c>
      <c r="M8" s="21">
        <v>68</v>
      </c>
      <c r="N8" s="21">
        <v>68</v>
      </c>
      <c r="O8" s="21">
        <v>68</v>
      </c>
      <c r="P8" s="21">
        <v>68</v>
      </c>
      <c r="Q8" s="21">
        <v>68</v>
      </c>
      <c r="R8" s="21">
        <v>68</v>
      </c>
      <c r="S8" s="21">
        <v>68</v>
      </c>
      <c r="T8" s="21">
        <v>68</v>
      </c>
      <c r="U8" s="21">
        <v>68</v>
      </c>
      <c r="V8" s="21">
        <v>68</v>
      </c>
      <c r="W8" s="21">
        <v>68</v>
      </c>
      <c r="X8" s="21">
        <v>68</v>
      </c>
      <c r="Y8" s="21">
        <v>68</v>
      </c>
      <c r="Z8" s="21">
        <v>68</v>
      </c>
      <c r="AA8" s="21">
        <v>68</v>
      </c>
      <c r="AB8" s="21">
        <v>68</v>
      </c>
      <c r="AC8" s="21">
        <v>68</v>
      </c>
      <c r="AD8" s="21">
        <v>68</v>
      </c>
      <c r="AE8" s="21">
        <v>68</v>
      </c>
      <c r="AF8" s="21">
        <v>68</v>
      </c>
      <c r="AG8" s="21">
        <v>68</v>
      </c>
      <c r="AH8" s="21">
        <v>68</v>
      </c>
      <c r="AI8" s="21">
        <v>68</v>
      </c>
      <c r="AJ8" s="21">
        <v>68</v>
      </c>
      <c r="AK8" s="21">
        <v>68</v>
      </c>
      <c r="AL8" s="21">
        <v>68</v>
      </c>
      <c r="AM8" s="21">
        <v>68</v>
      </c>
      <c r="AN8" s="21">
        <v>68</v>
      </c>
      <c r="AO8" s="21">
        <v>68</v>
      </c>
      <c r="AP8" s="21">
        <v>68</v>
      </c>
      <c r="AQ8" s="21">
        <v>68</v>
      </c>
      <c r="AR8" s="21">
        <v>68</v>
      </c>
      <c r="AS8" s="21">
        <v>68</v>
      </c>
      <c r="AT8" s="21">
        <v>68</v>
      </c>
      <c r="AU8" s="21">
        <v>68</v>
      </c>
      <c r="AV8" s="21">
        <v>68</v>
      </c>
      <c r="AW8" s="21">
        <v>68</v>
      </c>
      <c r="AX8" s="21">
        <v>68</v>
      </c>
      <c r="AY8" s="21">
        <v>68</v>
      </c>
      <c r="AZ8" s="21">
        <v>68</v>
      </c>
      <c r="BA8" s="21">
        <v>68</v>
      </c>
      <c r="BB8" s="21"/>
      <c r="BC8" s="21">
        <v>68</v>
      </c>
    </row>
    <row r="9" spans="1:55" x14ac:dyDescent="0.3">
      <c r="A9" s="18" t="s">
        <v>54</v>
      </c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3"/>
    </row>
    <row r="10" spans="1:55" ht="48.75" customHeight="1" thickBot="1" x14ac:dyDescent="0.35">
      <c r="A10" s="15" t="s">
        <v>55</v>
      </c>
      <c r="B10" s="16"/>
      <c r="C10" s="16"/>
      <c r="D10" s="16"/>
      <c r="E10" s="24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24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24"/>
      <c r="AC10" s="24"/>
      <c r="AD10" s="16"/>
      <c r="AE10" s="16"/>
      <c r="AF10" s="16"/>
      <c r="AG10" s="16"/>
      <c r="AH10" s="16"/>
      <c r="AI10" s="148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7"/>
    </row>
    <row r="11" spans="1:55" x14ac:dyDescent="0.3">
      <c r="A11" s="10" t="s">
        <v>56</v>
      </c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</row>
    <row r="12" spans="1:55" x14ac:dyDescent="0.3">
      <c r="A12" s="13" t="s">
        <v>57</v>
      </c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</row>
    <row r="13" spans="1:55" ht="15" thickBot="1" x14ac:dyDescent="0.35">
      <c r="A13" s="15" t="s">
        <v>58</v>
      </c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  <c r="AR13" s="25"/>
      <c r="AS13" s="25"/>
      <c r="AT13" s="25"/>
      <c r="AU13" s="25"/>
      <c r="AV13" s="25"/>
      <c r="AW13" s="25"/>
      <c r="AX13" s="25"/>
      <c r="AY13" s="25"/>
      <c r="AZ13" s="25"/>
      <c r="BA13" s="25"/>
    </row>
    <row r="14" spans="1:55" x14ac:dyDescent="0.3">
      <c r="A14" s="220"/>
      <c r="B14" s="221"/>
      <c r="C14" s="221"/>
      <c r="D14" s="221"/>
      <c r="E14" s="221"/>
      <c r="F14" s="221"/>
      <c r="G14" s="221"/>
      <c r="H14" s="221"/>
      <c r="I14" s="221"/>
      <c r="J14" s="221"/>
      <c r="K14" s="221"/>
      <c r="L14" s="221"/>
      <c r="M14" s="221"/>
      <c r="N14" s="221"/>
      <c r="O14" s="221"/>
      <c r="P14" s="221"/>
      <c r="Q14" s="221"/>
      <c r="R14" s="221"/>
      <c r="S14" s="221"/>
      <c r="T14" s="221"/>
      <c r="U14" s="221"/>
      <c r="V14" s="221"/>
      <c r="W14" s="221"/>
      <c r="X14" s="221"/>
      <c r="Y14" s="221"/>
      <c r="Z14" s="221"/>
      <c r="AA14" s="221"/>
      <c r="AB14" s="221"/>
      <c r="AC14" s="221"/>
      <c r="AD14" s="221"/>
      <c r="AE14" s="221"/>
      <c r="AF14" s="221"/>
      <c r="AG14" s="221"/>
      <c r="AH14" s="221"/>
      <c r="AI14" s="221"/>
      <c r="AJ14" s="221"/>
      <c r="AK14" s="221"/>
      <c r="AL14" s="221"/>
      <c r="AM14" s="221"/>
      <c r="AN14" s="221"/>
      <c r="AO14" s="221"/>
      <c r="AP14" s="221"/>
      <c r="AQ14" s="221"/>
      <c r="AR14" s="221"/>
      <c r="AS14" s="221"/>
      <c r="AT14" s="221"/>
      <c r="AU14" s="221"/>
      <c r="AV14" s="221"/>
      <c r="AW14" s="221"/>
      <c r="AX14" s="221"/>
      <c r="AY14" s="221"/>
      <c r="AZ14" s="221"/>
      <c r="BA14" s="221"/>
    </row>
    <row r="15" spans="1:55" x14ac:dyDescent="0.3">
      <c r="A15" s="220"/>
      <c r="B15" s="221"/>
      <c r="C15" s="221"/>
      <c r="D15" s="221"/>
      <c r="E15" s="221"/>
      <c r="F15" s="221"/>
      <c r="G15" s="221"/>
      <c r="H15" s="221"/>
      <c r="I15" s="221"/>
      <c r="J15" s="221"/>
      <c r="K15" s="221"/>
      <c r="L15" s="221"/>
      <c r="M15" s="221"/>
      <c r="N15" s="221"/>
      <c r="O15" s="221"/>
      <c r="P15" s="221"/>
      <c r="Q15" s="221"/>
      <c r="R15" s="221"/>
      <c r="S15" s="221"/>
      <c r="T15" s="221"/>
      <c r="U15" s="221"/>
      <c r="V15" s="221"/>
      <c r="W15" s="221"/>
      <c r="X15" s="221"/>
      <c r="Y15" s="221"/>
      <c r="Z15" s="221"/>
      <c r="AA15" s="221"/>
      <c r="AB15" s="221"/>
      <c r="AC15" s="221"/>
      <c r="AD15" s="221"/>
      <c r="AE15" s="221"/>
      <c r="AF15" s="221"/>
      <c r="AG15" s="221"/>
      <c r="AH15" s="221"/>
      <c r="AI15" s="221"/>
      <c r="AJ15" s="221"/>
      <c r="AK15" s="221"/>
      <c r="AL15" s="221"/>
      <c r="AM15" s="221"/>
      <c r="AN15" s="221"/>
      <c r="AO15" s="221"/>
      <c r="AP15" s="221"/>
      <c r="AQ15" s="221"/>
      <c r="AR15" s="221"/>
      <c r="AS15" s="221"/>
      <c r="AT15" s="221"/>
      <c r="AU15" s="221"/>
      <c r="AV15" s="221"/>
      <c r="AW15" s="221"/>
      <c r="AX15" s="221"/>
      <c r="AY15" s="221"/>
      <c r="AZ15" s="221"/>
      <c r="BA15" s="221"/>
    </row>
    <row r="16" spans="1:55" x14ac:dyDescent="0.3">
      <c r="A16" s="220"/>
      <c r="B16" s="221"/>
      <c r="C16" s="221"/>
      <c r="D16" s="221"/>
      <c r="E16" s="221"/>
      <c r="F16" s="221"/>
      <c r="G16" s="221"/>
      <c r="H16" s="221"/>
      <c r="I16" s="221"/>
      <c r="J16" s="221"/>
      <c r="K16" s="221"/>
      <c r="L16" s="221"/>
      <c r="M16" s="221"/>
      <c r="N16" s="221"/>
      <c r="O16" s="221"/>
      <c r="P16" s="221"/>
      <c r="Q16" s="221"/>
      <c r="R16" s="221"/>
      <c r="S16" s="221"/>
      <c r="T16" s="221"/>
      <c r="U16" s="221"/>
      <c r="V16" s="221"/>
      <c r="W16" s="221"/>
      <c r="X16" s="221"/>
      <c r="Y16" s="221"/>
      <c r="Z16" s="221"/>
      <c r="AA16" s="221"/>
      <c r="AB16" s="221"/>
      <c r="AC16" s="221"/>
      <c r="AD16" s="221"/>
      <c r="AE16" s="221"/>
      <c r="AF16" s="221"/>
      <c r="AG16" s="221"/>
      <c r="AH16" s="221"/>
      <c r="AI16" s="221"/>
      <c r="AJ16" s="221"/>
      <c r="AK16" s="221"/>
      <c r="AL16" s="221"/>
      <c r="AM16" s="221"/>
      <c r="AN16" s="221"/>
      <c r="AO16" s="221"/>
      <c r="AP16" s="221"/>
      <c r="AQ16" s="221"/>
      <c r="AR16" s="221"/>
      <c r="AS16" s="221"/>
      <c r="AT16" s="221"/>
      <c r="AU16" s="221"/>
      <c r="AV16" s="221"/>
      <c r="AW16" s="221"/>
      <c r="AX16" s="221"/>
      <c r="AY16" s="221"/>
      <c r="AZ16" s="221"/>
      <c r="BA16" s="221"/>
    </row>
    <row r="17" spans="1:53" ht="15" thickBot="1" x14ac:dyDescent="0.35"/>
    <row r="18" spans="1:53" ht="18" x14ac:dyDescent="0.35">
      <c r="A18" s="222" t="s">
        <v>1</v>
      </c>
      <c r="B18" s="5" t="s">
        <v>48</v>
      </c>
      <c r="C18" s="6" t="s">
        <v>49</v>
      </c>
      <c r="E18" s="7"/>
    </row>
    <row r="19" spans="1:53" ht="18.600000000000001" thickBot="1" x14ac:dyDescent="0.4">
      <c r="A19" s="224" t="s">
        <v>16</v>
      </c>
      <c r="B19" s="7">
        <v>2</v>
      </c>
      <c r="C19" s="9" t="s">
        <v>150</v>
      </c>
      <c r="D19" s="146"/>
    </row>
    <row r="20" spans="1:53" x14ac:dyDescent="0.3">
      <c r="A20" s="18" t="s">
        <v>50</v>
      </c>
      <c r="B20" s="11">
        <v>1</v>
      </c>
      <c r="C20" s="11">
        <v>2</v>
      </c>
      <c r="D20" s="11">
        <v>3</v>
      </c>
      <c r="E20" s="11">
        <v>4</v>
      </c>
      <c r="F20" s="11">
        <v>5</v>
      </c>
      <c r="G20" s="11">
        <v>6</v>
      </c>
      <c r="H20" s="11">
        <v>7</v>
      </c>
      <c r="I20" s="11">
        <v>8</v>
      </c>
      <c r="J20" s="11">
        <v>9</v>
      </c>
      <c r="K20" s="11">
        <v>10</v>
      </c>
      <c r="L20" s="11">
        <v>11</v>
      </c>
      <c r="M20" s="11">
        <v>12</v>
      </c>
      <c r="N20" s="11">
        <v>13</v>
      </c>
      <c r="O20" s="11">
        <v>14</v>
      </c>
      <c r="P20" s="11">
        <v>15</v>
      </c>
      <c r="Q20" s="11">
        <v>16</v>
      </c>
      <c r="R20" s="11">
        <v>17</v>
      </c>
      <c r="S20" s="11">
        <v>18</v>
      </c>
      <c r="T20" s="11">
        <v>19</v>
      </c>
      <c r="U20" s="11">
        <v>20</v>
      </c>
      <c r="V20" s="11">
        <v>21</v>
      </c>
      <c r="W20" s="11">
        <v>22</v>
      </c>
      <c r="X20" s="11">
        <v>23</v>
      </c>
      <c r="Y20" s="11">
        <v>24</v>
      </c>
      <c r="Z20" s="11">
        <v>25</v>
      </c>
      <c r="AA20" s="11">
        <v>26</v>
      </c>
      <c r="AB20" s="11">
        <v>27</v>
      </c>
      <c r="AC20" s="11">
        <v>28</v>
      </c>
      <c r="AD20" s="11">
        <v>29</v>
      </c>
      <c r="AE20" s="11">
        <v>30</v>
      </c>
      <c r="AF20" s="11">
        <v>31</v>
      </c>
      <c r="AG20" s="11">
        <v>32</v>
      </c>
      <c r="AH20" s="11">
        <v>33</v>
      </c>
      <c r="AI20" s="11">
        <v>34</v>
      </c>
      <c r="AJ20" s="11">
        <v>35</v>
      </c>
      <c r="AK20" s="11">
        <v>36</v>
      </c>
      <c r="AL20" s="11">
        <v>37</v>
      </c>
      <c r="AM20" s="11">
        <v>38</v>
      </c>
      <c r="AN20" s="11">
        <v>39</v>
      </c>
      <c r="AO20" s="11">
        <v>40</v>
      </c>
      <c r="AP20" s="11">
        <v>41</v>
      </c>
      <c r="AQ20" s="11">
        <v>42</v>
      </c>
      <c r="AR20" s="11">
        <v>43</v>
      </c>
      <c r="AS20" s="11">
        <v>44</v>
      </c>
      <c r="AT20" s="11">
        <v>45</v>
      </c>
      <c r="AU20" s="11">
        <v>46</v>
      </c>
      <c r="AV20" s="11">
        <v>47</v>
      </c>
      <c r="AW20" s="11">
        <v>48</v>
      </c>
      <c r="AX20" s="11">
        <v>49</v>
      </c>
      <c r="AY20" s="11">
        <v>50</v>
      </c>
      <c r="AZ20" s="11">
        <v>51</v>
      </c>
      <c r="BA20" s="12">
        <v>52</v>
      </c>
    </row>
    <row r="21" spans="1:53" x14ac:dyDescent="0.3">
      <c r="A21" s="13" t="s">
        <v>51</v>
      </c>
      <c r="B21" s="14">
        <v>85</v>
      </c>
      <c r="C21" s="14">
        <v>85</v>
      </c>
      <c r="D21" s="14">
        <v>85</v>
      </c>
      <c r="E21" s="14">
        <v>85</v>
      </c>
      <c r="F21" s="14">
        <v>85</v>
      </c>
      <c r="G21" s="14">
        <v>85</v>
      </c>
      <c r="H21" s="14">
        <v>85</v>
      </c>
      <c r="I21" s="14">
        <v>85</v>
      </c>
      <c r="J21" s="14">
        <v>85</v>
      </c>
      <c r="K21" s="14">
        <v>85</v>
      </c>
      <c r="L21" s="14">
        <v>85</v>
      </c>
      <c r="M21" s="14">
        <v>85</v>
      </c>
      <c r="N21" s="14">
        <v>85</v>
      </c>
      <c r="O21" s="14">
        <v>85</v>
      </c>
      <c r="P21" s="14">
        <v>85</v>
      </c>
      <c r="Q21" s="14">
        <v>85</v>
      </c>
      <c r="R21" s="14">
        <v>85</v>
      </c>
      <c r="S21" s="14">
        <v>85</v>
      </c>
      <c r="T21" s="14">
        <v>85</v>
      </c>
      <c r="U21" s="14">
        <v>85</v>
      </c>
      <c r="V21" s="14">
        <v>85</v>
      </c>
      <c r="W21" s="14">
        <v>85</v>
      </c>
      <c r="X21" s="14">
        <v>85</v>
      </c>
      <c r="Y21" s="14">
        <v>85</v>
      </c>
      <c r="Z21" s="14">
        <v>85</v>
      </c>
      <c r="AA21" s="14">
        <v>85</v>
      </c>
      <c r="AB21" s="14">
        <v>85</v>
      </c>
      <c r="AC21" s="14">
        <v>85</v>
      </c>
      <c r="AD21" s="14">
        <v>85</v>
      </c>
      <c r="AE21" s="14">
        <v>85</v>
      </c>
      <c r="AF21" s="14">
        <v>85</v>
      </c>
      <c r="AG21" s="14">
        <v>85</v>
      </c>
      <c r="AH21" s="14">
        <v>85</v>
      </c>
      <c r="AI21" s="14">
        <v>85</v>
      </c>
      <c r="AJ21" s="14">
        <v>85</v>
      </c>
      <c r="AK21" s="14">
        <v>85</v>
      </c>
      <c r="AL21" s="14">
        <v>85</v>
      </c>
      <c r="AM21" s="14">
        <v>85</v>
      </c>
      <c r="AN21" s="14">
        <v>85</v>
      </c>
      <c r="AO21" s="14">
        <v>85</v>
      </c>
      <c r="AP21" s="14">
        <v>85</v>
      </c>
      <c r="AQ21" s="14">
        <v>85</v>
      </c>
      <c r="AR21" s="14">
        <v>85</v>
      </c>
      <c r="AS21" s="14">
        <v>85</v>
      </c>
      <c r="AT21" s="14">
        <v>85</v>
      </c>
      <c r="AU21" s="14">
        <v>85</v>
      </c>
      <c r="AV21" s="14">
        <v>85</v>
      </c>
      <c r="AW21" s="14">
        <v>85</v>
      </c>
      <c r="AX21" s="14">
        <v>85</v>
      </c>
      <c r="AY21" s="14">
        <v>85</v>
      </c>
      <c r="AZ21" s="14">
        <v>85</v>
      </c>
      <c r="BA21" s="14">
        <v>85</v>
      </c>
    </row>
    <row r="22" spans="1:53" x14ac:dyDescent="0.3">
      <c r="A22" s="15" t="s">
        <v>52</v>
      </c>
      <c r="B22" s="16">
        <f>'week 02'!I3</f>
        <v>89</v>
      </c>
      <c r="C22" s="16">
        <f>'week 03'!I3</f>
        <v>89</v>
      </c>
      <c r="D22" s="16">
        <f>'week 04'!I3</f>
        <v>88</v>
      </c>
      <c r="E22" s="16">
        <f>'week 05'!I3</f>
        <v>88</v>
      </c>
      <c r="F22" s="16">
        <f>'week 06'!I3</f>
        <v>87</v>
      </c>
      <c r="G22" s="16">
        <f>'week 07'!I3</f>
        <v>88</v>
      </c>
      <c r="H22" s="16">
        <f>'week 08'!I3</f>
        <v>88</v>
      </c>
      <c r="I22" s="16">
        <f>'week 09'!I3</f>
        <v>88</v>
      </c>
      <c r="J22" s="16">
        <f>'week 10'!I3</f>
        <v>88</v>
      </c>
      <c r="K22" s="16">
        <f>'week 11'!J3</f>
        <v>87</v>
      </c>
      <c r="L22" s="16">
        <f>'week 12'!I3</f>
        <v>87</v>
      </c>
      <c r="M22" s="16">
        <f>'week 13'!I3</f>
        <v>89</v>
      </c>
      <c r="N22" s="16">
        <f>'week 14'!I3</f>
        <v>88</v>
      </c>
      <c r="O22" s="16">
        <f>'week 15'!I3</f>
        <v>87</v>
      </c>
      <c r="P22" s="16">
        <f>'week 16'!I3</f>
        <v>88</v>
      </c>
      <c r="Q22" s="16">
        <f>'week 17'!I3</f>
        <v>89</v>
      </c>
      <c r="R22" s="16">
        <f>'week 18'!I3</f>
        <v>88</v>
      </c>
      <c r="S22" s="16">
        <f>'week 19'!I3</f>
        <v>88</v>
      </c>
      <c r="T22" s="16">
        <f>'week 20'!I3</f>
        <v>89</v>
      </c>
      <c r="U22" s="16">
        <f>'week 21'!J3</f>
        <v>89</v>
      </c>
      <c r="V22" s="16">
        <f>'week 22'!J3</f>
        <v>89</v>
      </c>
      <c r="W22" s="16">
        <f>'week 23'!J3</f>
        <v>89</v>
      </c>
      <c r="X22" s="16">
        <f>'week 24'!J3</f>
        <v>87</v>
      </c>
      <c r="Y22" s="16">
        <f>'week 25'!J3</f>
        <v>88</v>
      </c>
      <c r="Z22" s="16">
        <f>'week 26 '!J3</f>
        <v>89</v>
      </c>
      <c r="AA22" s="16">
        <v>87</v>
      </c>
      <c r="AB22" s="16">
        <v>86</v>
      </c>
      <c r="AC22" s="16">
        <v>88</v>
      </c>
      <c r="AD22" s="16">
        <v>87</v>
      </c>
      <c r="AE22" s="16">
        <v>87</v>
      </c>
      <c r="AF22" s="16">
        <v>87</v>
      </c>
      <c r="AG22" s="16">
        <v>87</v>
      </c>
      <c r="AH22" s="16">
        <v>87</v>
      </c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7"/>
    </row>
    <row r="23" spans="1:53" x14ac:dyDescent="0.3">
      <c r="A23" s="18" t="s">
        <v>50</v>
      </c>
      <c r="B23" s="19">
        <v>1</v>
      </c>
      <c r="C23" s="19">
        <v>2</v>
      </c>
      <c r="D23" s="19">
        <v>3</v>
      </c>
      <c r="E23" s="19">
        <v>4</v>
      </c>
      <c r="F23" s="19">
        <v>5</v>
      </c>
      <c r="G23" s="19">
        <v>6</v>
      </c>
      <c r="H23" s="19">
        <v>7</v>
      </c>
      <c r="I23" s="19">
        <v>8</v>
      </c>
      <c r="J23" s="19">
        <v>9</v>
      </c>
      <c r="K23" s="19">
        <v>10</v>
      </c>
      <c r="L23" s="19">
        <v>11</v>
      </c>
      <c r="M23" s="19">
        <v>12</v>
      </c>
      <c r="N23" s="19">
        <v>13</v>
      </c>
      <c r="O23" s="19">
        <v>14</v>
      </c>
      <c r="P23" s="19">
        <v>15</v>
      </c>
      <c r="Q23" s="19">
        <v>16</v>
      </c>
      <c r="R23" s="19">
        <v>17</v>
      </c>
      <c r="S23" s="19">
        <v>18</v>
      </c>
      <c r="T23" s="19">
        <v>19</v>
      </c>
      <c r="U23" s="19">
        <v>20</v>
      </c>
      <c r="V23" s="19">
        <v>21</v>
      </c>
      <c r="W23" s="19">
        <v>22</v>
      </c>
      <c r="X23" s="19">
        <v>23</v>
      </c>
      <c r="Y23" s="19">
        <v>24</v>
      </c>
      <c r="Z23" s="19">
        <v>25</v>
      </c>
      <c r="AA23" s="19">
        <v>26</v>
      </c>
      <c r="AB23" s="19">
        <v>27</v>
      </c>
      <c r="AC23" s="19">
        <v>28</v>
      </c>
      <c r="AD23" s="19">
        <v>29</v>
      </c>
      <c r="AE23" s="19">
        <v>30</v>
      </c>
      <c r="AF23" s="19">
        <v>31</v>
      </c>
      <c r="AG23" s="19">
        <v>32</v>
      </c>
      <c r="AH23" s="19">
        <v>33</v>
      </c>
      <c r="AI23" s="19">
        <v>34</v>
      </c>
      <c r="AJ23" s="19">
        <v>35</v>
      </c>
      <c r="AK23" s="19">
        <v>36</v>
      </c>
      <c r="AL23" s="19">
        <v>37</v>
      </c>
      <c r="AM23" s="19">
        <v>38</v>
      </c>
      <c r="AN23" s="19">
        <v>39</v>
      </c>
      <c r="AO23" s="19">
        <v>40</v>
      </c>
      <c r="AP23" s="19">
        <v>41</v>
      </c>
      <c r="AQ23" s="19">
        <v>42</v>
      </c>
      <c r="AR23" s="19">
        <v>43</v>
      </c>
      <c r="AS23" s="19">
        <v>44</v>
      </c>
      <c r="AT23" s="19">
        <v>45</v>
      </c>
      <c r="AU23" s="19">
        <v>46</v>
      </c>
      <c r="AV23" s="19">
        <v>47</v>
      </c>
      <c r="AW23" s="19">
        <v>48</v>
      </c>
      <c r="AX23" s="19">
        <v>49</v>
      </c>
      <c r="AY23" s="19">
        <v>50</v>
      </c>
      <c r="AZ23" s="19">
        <v>51</v>
      </c>
      <c r="BA23" s="20">
        <v>52</v>
      </c>
    </row>
    <row r="24" spans="1:53" x14ac:dyDescent="0.3">
      <c r="A24" s="147" t="s">
        <v>53</v>
      </c>
      <c r="B24" s="21">
        <v>68</v>
      </c>
      <c r="C24" s="21">
        <v>68</v>
      </c>
      <c r="D24" s="21">
        <v>68</v>
      </c>
      <c r="E24" s="21">
        <v>68</v>
      </c>
      <c r="F24" s="21">
        <v>68</v>
      </c>
      <c r="G24" s="21">
        <v>68</v>
      </c>
      <c r="H24" s="21">
        <v>68</v>
      </c>
      <c r="I24" s="21">
        <v>68</v>
      </c>
      <c r="J24" s="21">
        <v>68</v>
      </c>
      <c r="K24" s="21">
        <v>68</v>
      </c>
      <c r="L24" s="21">
        <v>68</v>
      </c>
      <c r="M24" s="21">
        <v>68</v>
      </c>
      <c r="N24" s="21">
        <v>68</v>
      </c>
      <c r="O24" s="21">
        <v>68</v>
      </c>
      <c r="P24" s="21">
        <v>68</v>
      </c>
      <c r="Q24" s="21">
        <v>68</v>
      </c>
      <c r="R24" s="21">
        <v>68</v>
      </c>
      <c r="S24" s="21">
        <v>68</v>
      </c>
      <c r="T24" s="21">
        <v>68</v>
      </c>
      <c r="U24" s="21">
        <v>68</v>
      </c>
      <c r="V24" s="21">
        <v>68</v>
      </c>
      <c r="W24" s="21">
        <v>68</v>
      </c>
      <c r="X24" s="21">
        <v>68</v>
      </c>
      <c r="Y24" s="21">
        <v>68</v>
      </c>
      <c r="Z24" s="21">
        <v>68</v>
      </c>
      <c r="AA24" s="21">
        <v>68</v>
      </c>
      <c r="AB24" s="21">
        <v>68</v>
      </c>
      <c r="AC24" s="21">
        <v>68</v>
      </c>
      <c r="AD24" s="21">
        <v>68</v>
      </c>
      <c r="AE24" s="21">
        <v>68</v>
      </c>
      <c r="AF24" s="21">
        <v>68</v>
      </c>
      <c r="AG24" s="21">
        <v>68</v>
      </c>
      <c r="AH24" s="21">
        <v>68</v>
      </c>
      <c r="AI24" s="21">
        <v>68</v>
      </c>
      <c r="AJ24" s="21">
        <v>68</v>
      </c>
      <c r="AK24" s="21">
        <v>68</v>
      </c>
      <c r="AL24" s="21">
        <v>68</v>
      </c>
      <c r="AM24" s="21">
        <v>68</v>
      </c>
      <c r="AN24" s="21">
        <v>68</v>
      </c>
      <c r="AO24" s="21">
        <v>68</v>
      </c>
      <c r="AP24" s="21">
        <v>68</v>
      </c>
      <c r="AQ24" s="21">
        <v>68</v>
      </c>
      <c r="AR24" s="21">
        <v>68</v>
      </c>
      <c r="AS24" s="21">
        <v>68</v>
      </c>
      <c r="AT24" s="21">
        <v>68</v>
      </c>
      <c r="AU24" s="21">
        <v>68</v>
      </c>
      <c r="AV24" s="21">
        <v>68</v>
      </c>
      <c r="AW24" s="21">
        <v>68</v>
      </c>
      <c r="AX24" s="21">
        <v>68</v>
      </c>
      <c r="AY24" s="21">
        <v>68</v>
      </c>
      <c r="AZ24" s="21">
        <v>68</v>
      </c>
      <c r="BA24" s="21">
        <v>68</v>
      </c>
    </row>
    <row r="25" spans="1:53" x14ac:dyDescent="0.3">
      <c r="A25" s="18" t="s">
        <v>54</v>
      </c>
      <c r="B25" s="22">
        <f>'week 02'!G3</f>
        <v>39</v>
      </c>
      <c r="C25" s="22">
        <f>'week 03'!G3</f>
        <v>30</v>
      </c>
      <c r="D25" s="22">
        <f>'week 04'!G3</f>
        <v>28</v>
      </c>
      <c r="E25" s="22">
        <f>'week 05'!G3</f>
        <v>47</v>
      </c>
      <c r="F25" s="22">
        <f>'week 06'!G3</f>
        <v>47</v>
      </c>
      <c r="G25" s="22">
        <f>'week 07'!G3</f>
        <v>65</v>
      </c>
      <c r="H25" s="22">
        <f>'week 08'!G3</f>
        <v>78</v>
      </c>
      <c r="I25" s="22">
        <f>'week 09'!G3</f>
        <v>45</v>
      </c>
      <c r="J25" s="22">
        <f>'week 10'!G3</f>
        <v>48</v>
      </c>
      <c r="K25" s="22">
        <f>'week 11'!H3</f>
        <v>75</v>
      </c>
      <c r="L25" s="22">
        <f>'week 12'!G3</f>
        <v>46</v>
      </c>
      <c r="M25" s="22">
        <f>'week 13'!G3</f>
        <v>42</v>
      </c>
      <c r="N25" s="22">
        <f>'week 14'!G3</f>
        <v>59</v>
      </c>
      <c r="O25" s="22">
        <f>'week 15'!G3</f>
        <v>51</v>
      </c>
      <c r="P25" s="22">
        <f>'week 16'!G3</f>
        <v>25</v>
      </c>
      <c r="Q25" s="22">
        <f>'week 17'!G3</f>
        <v>34</v>
      </c>
      <c r="R25" s="22">
        <f>'week 18'!G3</f>
        <v>51</v>
      </c>
      <c r="S25" s="22">
        <v>20</v>
      </c>
      <c r="T25" s="22">
        <f>'week 20'!G3</f>
        <v>22</v>
      </c>
      <c r="U25" s="22">
        <f>'week 21'!H3</f>
        <v>42</v>
      </c>
      <c r="V25" s="22">
        <f>'week 22'!H3</f>
        <v>40</v>
      </c>
      <c r="W25" s="22">
        <f>'week 23'!H3</f>
        <v>73</v>
      </c>
      <c r="X25" s="22">
        <f>'week 24'!H3</f>
        <v>29</v>
      </c>
      <c r="Y25" s="22">
        <f>'week 25'!H3</f>
        <v>41</v>
      </c>
      <c r="Z25" s="22">
        <f>'week 26 '!H3</f>
        <v>50</v>
      </c>
      <c r="AA25" s="22">
        <v>38</v>
      </c>
      <c r="AB25" s="22">
        <v>22</v>
      </c>
      <c r="AC25" s="22">
        <v>23</v>
      </c>
      <c r="AD25" s="22">
        <v>71</v>
      </c>
      <c r="AE25" s="22">
        <v>54</v>
      </c>
      <c r="AF25" s="22">
        <v>42</v>
      </c>
      <c r="AG25" s="22">
        <v>47</v>
      </c>
      <c r="AH25" s="22">
        <v>46</v>
      </c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3"/>
    </row>
    <row r="26" spans="1:53" ht="69.75" customHeight="1" x14ac:dyDescent="0.3">
      <c r="A26" s="15" t="s">
        <v>55</v>
      </c>
      <c r="B26" s="16"/>
      <c r="C26" s="16"/>
      <c r="D26" s="24"/>
      <c r="E26" s="24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24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24"/>
      <c r="AC26" s="24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7"/>
    </row>
    <row r="27" spans="1:53" x14ac:dyDescent="0.3">
      <c r="A27" s="10" t="s">
        <v>56</v>
      </c>
      <c r="B27" s="11">
        <v>9</v>
      </c>
      <c r="C27" s="11">
        <v>9</v>
      </c>
      <c r="D27" s="11">
        <v>9</v>
      </c>
      <c r="E27" s="11">
        <v>9</v>
      </c>
      <c r="F27" s="11">
        <v>9</v>
      </c>
      <c r="G27" s="11">
        <v>9</v>
      </c>
      <c r="H27" s="11">
        <v>9</v>
      </c>
      <c r="I27" s="11">
        <v>9</v>
      </c>
      <c r="J27" s="11">
        <v>9</v>
      </c>
      <c r="K27" s="11">
        <v>9</v>
      </c>
      <c r="L27" s="11">
        <v>9</v>
      </c>
      <c r="M27" s="11">
        <v>9</v>
      </c>
      <c r="N27" s="11">
        <v>9</v>
      </c>
      <c r="O27" s="11">
        <v>9</v>
      </c>
      <c r="P27" s="11">
        <v>9</v>
      </c>
      <c r="Q27" s="11">
        <v>9</v>
      </c>
      <c r="R27" s="11">
        <v>9</v>
      </c>
      <c r="S27" s="11">
        <v>9</v>
      </c>
      <c r="T27" s="11">
        <v>9</v>
      </c>
      <c r="U27" s="11">
        <v>9</v>
      </c>
      <c r="V27" s="11">
        <v>9</v>
      </c>
      <c r="W27" s="11">
        <v>9</v>
      </c>
      <c r="X27" s="11">
        <v>9</v>
      </c>
      <c r="Y27" s="11">
        <v>9</v>
      </c>
      <c r="Z27" s="11">
        <v>9</v>
      </c>
      <c r="AA27" s="11">
        <v>9</v>
      </c>
      <c r="AB27" s="11">
        <v>9</v>
      </c>
      <c r="AC27" s="11">
        <v>9</v>
      </c>
      <c r="AD27" s="11">
        <v>9</v>
      </c>
      <c r="AE27" s="11">
        <v>9</v>
      </c>
      <c r="AF27" s="11">
        <v>9</v>
      </c>
      <c r="AG27" s="11">
        <v>9</v>
      </c>
      <c r="AH27" s="11">
        <v>9</v>
      </c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</row>
    <row r="28" spans="1:53" x14ac:dyDescent="0.3">
      <c r="A28" s="13" t="s">
        <v>57</v>
      </c>
      <c r="B28" s="14">
        <v>9</v>
      </c>
      <c r="C28" s="14">
        <v>9</v>
      </c>
      <c r="D28" s="14">
        <v>9</v>
      </c>
      <c r="E28" s="14">
        <v>9</v>
      </c>
      <c r="F28" s="14">
        <v>9</v>
      </c>
      <c r="G28" s="14">
        <v>9</v>
      </c>
      <c r="H28" s="14">
        <v>9</v>
      </c>
      <c r="I28" s="14">
        <v>9</v>
      </c>
      <c r="J28" s="14">
        <v>9</v>
      </c>
      <c r="K28" s="14">
        <v>9</v>
      </c>
      <c r="L28" s="14">
        <v>9</v>
      </c>
      <c r="M28" s="14">
        <v>9</v>
      </c>
      <c r="N28" s="14">
        <v>9</v>
      </c>
      <c r="O28" s="14">
        <v>9</v>
      </c>
      <c r="P28" s="14">
        <v>9</v>
      </c>
      <c r="Q28" s="14">
        <v>9</v>
      </c>
      <c r="R28" s="14">
        <v>9</v>
      </c>
      <c r="S28" s="14">
        <v>9</v>
      </c>
      <c r="T28" s="14">
        <v>9</v>
      </c>
      <c r="U28" s="14">
        <v>9</v>
      </c>
      <c r="V28" s="14">
        <v>9</v>
      </c>
      <c r="W28" s="14">
        <v>9</v>
      </c>
      <c r="X28" s="14">
        <v>9</v>
      </c>
      <c r="Y28" s="14">
        <v>9</v>
      </c>
      <c r="Z28" s="14">
        <v>9</v>
      </c>
      <c r="AA28" s="14">
        <v>9</v>
      </c>
      <c r="AB28" s="14">
        <v>9</v>
      </c>
      <c r="AC28" s="14">
        <v>9</v>
      </c>
      <c r="AD28" s="14">
        <v>9</v>
      </c>
      <c r="AE28" s="14">
        <v>9</v>
      </c>
      <c r="AF28" s="14">
        <v>9</v>
      </c>
      <c r="AG28" s="14">
        <v>9</v>
      </c>
      <c r="AH28" s="14">
        <v>9</v>
      </c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</row>
    <row r="29" spans="1:53" x14ac:dyDescent="0.3">
      <c r="A29" s="15" t="s">
        <v>58</v>
      </c>
      <c r="B29" s="25">
        <v>8</v>
      </c>
      <c r="C29" s="25">
        <v>8</v>
      </c>
      <c r="D29" s="25">
        <v>8</v>
      </c>
      <c r="E29" s="25">
        <v>8</v>
      </c>
      <c r="F29" s="25">
        <v>8</v>
      </c>
      <c r="G29" s="25">
        <v>8</v>
      </c>
      <c r="H29" s="25">
        <v>8</v>
      </c>
      <c r="I29" s="25">
        <v>8</v>
      </c>
      <c r="J29" s="25">
        <v>8</v>
      </c>
      <c r="K29" s="25">
        <v>8</v>
      </c>
      <c r="L29" s="25">
        <v>8</v>
      </c>
      <c r="M29" s="25">
        <v>8</v>
      </c>
      <c r="N29" s="25">
        <v>8</v>
      </c>
      <c r="O29" s="25">
        <v>8</v>
      </c>
      <c r="P29" s="25">
        <v>8</v>
      </c>
      <c r="Q29" s="25">
        <v>8</v>
      </c>
      <c r="R29" s="25">
        <v>8</v>
      </c>
      <c r="S29" s="25">
        <v>8</v>
      </c>
      <c r="T29" s="25">
        <v>8</v>
      </c>
      <c r="U29" s="25">
        <v>8</v>
      </c>
      <c r="V29" s="25">
        <v>8</v>
      </c>
      <c r="W29" s="25">
        <v>8</v>
      </c>
      <c r="X29" s="25">
        <v>8</v>
      </c>
      <c r="Y29" s="25">
        <v>8</v>
      </c>
      <c r="Z29" s="25">
        <v>8</v>
      </c>
      <c r="AA29" s="25">
        <v>8</v>
      </c>
      <c r="AB29" s="25">
        <v>8</v>
      </c>
      <c r="AC29" s="25">
        <v>8</v>
      </c>
      <c r="AD29" s="25">
        <v>8</v>
      </c>
      <c r="AE29" s="25">
        <v>8</v>
      </c>
      <c r="AF29" s="25">
        <v>8</v>
      </c>
      <c r="AG29" s="25">
        <v>8</v>
      </c>
      <c r="AH29" s="25">
        <v>8</v>
      </c>
      <c r="AI29" s="25"/>
      <c r="AJ29" s="25"/>
      <c r="AK29" s="25"/>
      <c r="AL29" s="25"/>
      <c r="AM29" s="25"/>
      <c r="AN29" s="25"/>
      <c r="AO29" s="25"/>
      <c r="AP29" s="25"/>
      <c r="AQ29" s="25"/>
      <c r="AR29" s="25"/>
      <c r="AS29" s="25"/>
      <c r="AT29" s="25"/>
      <c r="AU29" s="25"/>
      <c r="AV29" s="25"/>
      <c r="AW29" s="25"/>
      <c r="AX29" s="25"/>
      <c r="AY29" s="25"/>
      <c r="AZ29" s="25"/>
      <c r="BA29" s="25"/>
    </row>
    <row r="30" spans="1:53" x14ac:dyDescent="0.3">
      <c r="A30" s="18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</row>
    <row r="31" spans="1:53" x14ac:dyDescent="0.3">
      <c r="A31" s="18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</row>
    <row r="32" spans="1:53" x14ac:dyDescent="0.3">
      <c r="A32" s="26"/>
      <c r="B32" s="19"/>
      <c r="AM32" s="19"/>
      <c r="AN32" s="19"/>
      <c r="AO32" s="19"/>
      <c r="AP32" s="19"/>
      <c r="AQ32" s="19"/>
      <c r="AR32" s="19"/>
      <c r="AS32" s="19"/>
      <c r="AT32" s="19"/>
      <c r="AU32" s="19"/>
      <c r="AW32" s="19"/>
      <c r="AX32" s="19"/>
      <c r="AY32" s="19"/>
    </row>
    <row r="34" spans="1:53" ht="18" x14ac:dyDescent="0.35">
      <c r="A34" s="4" t="s">
        <v>1</v>
      </c>
      <c r="B34" s="5" t="s">
        <v>48</v>
      </c>
      <c r="C34" s="6" t="s">
        <v>49</v>
      </c>
      <c r="E34" s="7"/>
    </row>
    <row r="35" spans="1:53" ht="18" x14ac:dyDescent="0.35">
      <c r="A35" s="8" t="s">
        <v>24</v>
      </c>
      <c r="B35" s="7">
        <v>3</v>
      </c>
      <c r="C35" s="9" t="s">
        <v>150</v>
      </c>
    </row>
    <row r="36" spans="1:53" x14ac:dyDescent="0.3">
      <c r="A36" s="10" t="s">
        <v>50</v>
      </c>
      <c r="B36" s="11">
        <v>1</v>
      </c>
      <c r="C36" s="11">
        <v>2</v>
      </c>
      <c r="D36" s="11">
        <v>3</v>
      </c>
      <c r="E36" s="11">
        <v>4</v>
      </c>
      <c r="F36" s="11">
        <v>5</v>
      </c>
      <c r="G36" s="11">
        <v>6</v>
      </c>
      <c r="H36" s="11">
        <v>7</v>
      </c>
      <c r="I36" s="11">
        <v>8</v>
      </c>
      <c r="J36" s="11">
        <v>9</v>
      </c>
      <c r="K36" s="11">
        <v>10</v>
      </c>
      <c r="L36" s="11">
        <v>11</v>
      </c>
      <c r="M36" s="11">
        <v>12</v>
      </c>
      <c r="N36" s="11">
        <v>13</v>
      </c>
      <c r="O36" s="11">
        <v>14</v>
      </c>
      <c r="P36" s="11">
        <v>15</v>
      </c>
      <c r="Q36" s="11">
        <v>16</v>
      </c>
      <c r="R36" s="11">
        <v>17</v>
      </c>
      <c r="S36" s="11">
        <v>18</v>
      </c>
      <c r="T36" s="11">
        <v>19</v>
      </c>
      <c r="U36" s="11">
        <v>20</v>
      </c>
      <c r="V36" s="11">
        <v>21</v>
      </c>
      <c r="W36" s="11">
        <v>22</v>
      </c>
      <c r="X36" s="11">
        <v>23</v>
      </c>
      <c r="Y36" s="11">
        <v>24</v>
      </c>
      <c r="Z36" s="11">
        <v>25</v>
      </c>
      <c r="AA36" s="11">
        <v>26</v>
      </c>
      <c r="AB36" s="11">
        <v>27</v>
      </c>
      <c r="AC36" s="11">
        <v>28</v>
      </c>
      <c r="AD36" s="11">
        <v>29</v>
      </c>
      <c r="AE36" s="11">
        <v>30</v>
      </c>
      <c r="AF36" s="11">
        <v>31</v>
      </c>
      <c r="AG36" s="11">
        <v>32</v>
      </c>
      <c r="AH36" s="11">
        <v>33</v>
      </c>
      <c r="AI36" s="11">
        <v>34</v>
      </c>
      <c r="AJ36" s="11">
        <v>35</v>
      </c>
      <c r="AK36" s="11">
        <v>36</v>
      </c>
      <c r="AL36" s="11">
        <v>37</v>
      </c>
      <c r="AM36" s="11">
        <v>38</v>
      </c>
      <c r="AN36" s="11">
        <v>39</v>
      </c>
      <c r="AO36" s="11">
        <v>40</v>
      </c>
      <c r="AP36" s="11">
        <v>41</v>
      </c>
      <c r="AQ36" s="11">
        <v>42</v>
      </c>
      <c r="AR36" s="11">
        <v>43</v>
      </c>
      <c r="AS36" s="11">
        <v>44</v>
      </c>
      <c r="AT36" s="11">
        <v>45</v>
      </c>
      <c r="AU36" s="11">
        <v>46</v>
      </c>
      <c r="AV36" s="11">
        <v>47</v>
      </c>
      <c r="AW36" s="11">
        <v>48</v>
      </c>
      <c r="AX36" s="11">
        <v>49</v>
      </c>
      <c r="AY36" s="11">
        <v>50</v>
      </c>
      <c r="AZ36" s="11">
        <v>51</v>
      </c>
      <c r="BA36" s="12">
        <v>52</v>
      </c>
    </row>
    <row r="37" spans="1:53" x14ac:dyDescent="0.3">
      <c r="A37" s="13" t="s">
        <v>51</v>
      </c>
      <c r="B37" s="14">
        <v>85</v>
      </c>
      <c r="C37" s="14">
        <v>85</v>
      </c>
      <c r="D37" s="14">
        <v>85</v>
      </c>
      <c r="E37" s="14">
        <v>85</v>
      </c>
      <c r="F37" s="14">
        <v>85</v>
      </c>
      <c r="G37" s="14">
        <v>85</v>
      </c>
      <c r="H37" s="14">
        <v>85</v>
      </c>
      <c r="I37" s="14">
        <v>85</v>
      </c>
      <c r="J37" s="14">
        <v>85</v>
      </c>
      <c r="K37" s="14">
        <v>85</v>
      </c>
      <c r="L37" s="14">
        <v>85</v>
      </c>
      <c r="M37" s="14">
        <v>85</v>
      </c>
      <c r="N37" s="14">
        <v>85</v>
      </c>
      <c r="O37" s="14">
        <v>85</v>
      </c>
      <c r="P37" s="14">
        <v>85</v>
      </c>
      <c r="Q37" s="14">
        <v>85</v>
      </c>
      <c r="R37" s="14">
        <v>85</v>
      </c>
      <c r="S37" s="14">
        <v>85</v>
      </c>
      <c r="T37" s="14">
        <v>85</v>
      </c>
      <c r="U37" s="14">
        <v>85</v>
      </c>
      <c r="V37" s="14">
        <v>85</v>
      </c>
      <c r="W37" s="14">
        <v>85</v>
      </c>
      <c r="X37" s="14">
        <v>85</v>
      </c>
      <c r="Y37" s="14">
        <v>85</v>
      </c>
      <c r="Z37" s="14">
        <v>85</v>
      </c>
      <c r="AA37" s="14">
        <v>85</v>
      </c>
      <c r="AB37" s="14">
        <v>85</v>
      </c>
      <c r="AC37" s="14">
        <v>85</v>
      </c>
      <c r="AD37" s="14">
        <v>85</v>
      </c>
      <c r="AE37" s="14">
        <v>85</v>
      </c>
      <c r="AF37" s="14">
        <v>85</v>
      </c>
      <c r="AG37" s="14">
        <v>85</v>
      </c>
      <c r="AH37" s="14">
        <v>85</v>
      </c>
      <c r="AI37" s="14">
        <v>85</v>
      </c>
      <c r="AJ37" s="14">
        <v>85</v>
      </c>
      <c r="AK37" s="14">
        <v>85</v>
      </c>
      <c r="AL37" s="14">
        <v>85</v>
      </c>
      <c r="AM37" s="14">
        <v>85</v>
      </c>
      <c r="AN37" s="14">
        <v>85</v>
      </c>
      <c r="AO37" s="14">
        <v>85</v>
      </c>
      <c r="AP37" s="14">
        <v>85</v>
      </c>
      <c r="AQ37" s="14">
        <v>85</v>
      </c>
      <c r="AR37" s="14">
        <v>85</v>
      </c>
      <c r="AS37" s="14">
        <v>85</v>
      </c>
      <c r="AT37" s="14">
        <v>85</v>
      </c>
      <c r="AU37" s="14">
        <v>85</v>
      </c>
      <c r="AV37" s="14">
        <v>85</v>
      </c>
      <c r="AW37" s="14">
        <v>85</v>
      </c>
      <c r="AX37" s="14">
        <v>85</v>
      </c>
      <c r="AY37" s="14">
        <v>85</v>
      </c>
      <c r="AZ37" s="14">
        <v>85</v>
      </c>
      <c r="BA37" s="14">
        <v>85</v>
      </c>
    </row>
    <row r="38" spans="1:53" x14ac:dyDescent="0.3">
      <c r="A38" s="15" t="s">
        <v>52</v>
      </c>
      <c r="B38" s="16">
        <f>'week 02'!I5</f>
        <v>88</v>
      </c>
      <c r="C38" s="16">
        <f>'week 03'!I5</f>
        <v>89</v>
      </c>
      <c r="D38" s="16">
        <f>'week 04'!I5</f>
        <v>88</v>
      </c>
      <c r="E38" s="16">
        <f>'week 05'!I5</f>
        <v>88</v>
      </c>
      <c r="F38" s="16">
        <f>'week 06'!I5</f>
        <v>87</v>
      </c>
      <c r="G38" s="16">
        <f>'week 07'!I5</f>
        <v>87</v>
      </c>
      <c r="H38" s="16">
        <f>'week 08'!I5</f>
        <v>88</v>
      </c>
      <c r="I38" s="16">
        <f>'week 09'!I5</f>
        <v>87</v>
      </c>
      <c r="J38" s="16">
        <f>'week 10'!I5</f>
        <v>88</v>
      </c>
      <c r="K38" s="16">
        <f>'week 11'!J5</f>
        <v>86</v>
      </c>
      <c r="L38" s="16">
        <f>'week 12'!I5</f>
        <v>88</v>
      </c>
      <c r="M38" s="16">
        <f>'week 13'!I5</f>
        <v>87</v>
      </c>
      <c r="N38" s="16">
        <f>'week 14'!I5</f>
        <v>88</v>
      </c>
      <c r="O38" s="16">
        <f>'week 15'!I5</f>
        <v>88</v>
      </c>
      <c r="P38" s="16">
        <f>'week 16'!I5</f>
        <v>87</v>
      </c>
      <c r="Q38" s="16">
        <f>'week 17'!I5</f>
        <v>87</v>
      </c>
      <c r="R38" s="16">
        <f>'week 18'!I5</f>
        <v>88</v>
      </c>
      <c r="S38" s="16">
        <f>'week 19'!I5</f>
        <v>88</v>
      </c>
      <c r="T38" s="16">
        <f>'week 20'!I5</f>
        <v>88</v>
      </c>
      <c r="U38" s="16">
        <f>'week 21'!J5</f>
        <v>89</v>
      </c>
      <c r="V38" s="16">
        <f>'week 22'!J5</f>
        <v>87</v>
      </c>
      <c r="W38" s="16">
        <f>'week 23'!J5</f>
        <v>88</v>
      </c>
      <c r="X38" s="16">
        <f>'week 24'!J5</f>
        <v>89</v>
      </c>
      <c r="Y38" s="16">
        <f>'week 25'!J5</f>
        <v>88</v>
      </c>
      <c r="Z38" s="16">
        <f>'week 26 '!J4</f>
        <v>88</v>
      </c>
      <c r="AA38" s="16">
        <v>88</v>
      </c>
      <c r="AB38" s="16">
        <v>85</v>
      </c>
      <c r="AC38" s="16">
        <v>87</v>
      </c>
      <c r="AD38" s="16">
        <v>86</v>
      </c>
      <c r="AE38" s="16">
        <v>88</v>
      </c>
      <c r="AF38" s="16">
        <v>88</v>
      </c>
      <c r="AG38" s="16">
        <v>86</v>
      </c>
      <c r="AH38" s="16">
        <v>86</v>
      </c>
      <c r="AI38" s="16">
        <v>87</v>
      </c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</row>
    <row r="39" spans="1:53" x14ac:dyDescent="0.3">
      <c r="A39" s="18" t="s">
        <v>50</v>
      </c>
      <c r="B39" s="19">
        <v>1</v>
      </c>
      <c r="C39" s="19">
        <v>2</v>
      </c>
      <c r="D39" s="19">
        <v>3</v>
      </c>
      <c r="E39" s="19">
        <v>4</v>
      </c>
      <c r="F39" s="19">
        <v>5</v>
      </c>
      <c r="G39" s="19">
        <v>6</v>
      </c>
      <c r="H39" s="19">
        <v>7</v>
      </c>
      <c r="I39" s="19">
        <v>8</v>
      </c>
      <c r="J39" s="19">
        <v>9</v>
      </c>
      <c r="K39" s="19">
        <v>10</v>
      </c>
      <c r="L39" s="19">
        <v>11</v>
      </c>
      <c r="M39" s="19">
        <v>12</v>
      </c>
      <c r="N39" s="19">
        <v>13</v>
      </c>
      <c r="O39" s="19">
        <v>14</v>
      </c>
      <c r="P39" s="19">
        <v>15</v>
      </c>
      <c r="Q39" s="19">
        <v>16</v>
      </c>
      <c r="R39" s="19">
        <v>17</v>
      </c>
      <c r="S39" s="19">
        <v>18</v>
      </c>
      <c r="T39" s="19">
        <v>19</v>
      </c>
      <c r="U39" s="19">
        <v>20</v>
      </c>
      <c r="V39" s="19">
        <v>21</v>
      </c>
      <c r="W39" s="19">
        <v>22</v>
      </c>
      <c r="X39" s="19">
        <v>23</v>
      </c>
      <c r="Y39" s="19">
        <v>24</v>
      </c>
      <c r="Z39" s="19">
        <v>25</v>
      </c>
      <c r="AA39" s="19">
        <v>26</v>
      </c>
      <c r="AB39" s="19">
        <v>27</v>
      </c>
      <c r="AC39" s="19">
        <v>28</v>
      </c>
      <c r="AD39" s="19">
        <v>29</v>
      </c>
      <c r="AE39" s="19">
        <v>30</v>
      </c>
      <c r="AF39" s="19">
        <v>31</v>
      </c>
      <c r="AG39" s="19">
        <v>32</v>
      </c>
      <c r="AH39" s="19">
        <v>33</v>
      </c>
      <c r="AI39" s="19">
        <v>34</v>
      </c>
      <c r="AJ39" s="19">
        <v>35</v>
      </c>
      <c r="AK39" s="19">
        <v>36</v>
      </c>
      <c r="AL39" s="19">
        <v>37</v>
      </c>
      <c r="AM39" s="19">
        <v>38</v>
      </c>
      <c r="AN39" s="19">
        <v>39</v>
      </c>
      <c r="AO39" s="19">
        <v>40</v>
      </c>
      <c r="AP39" s="19">
        <v>41</v>
      </c>
      <c r="AQ39" s="19">
        <v>42</v>
      </c>
      <c r="AR39" s="19">
        <v>43</v>
      </c>
      <c r="AS39" s="19">
        <v>44</v>
      </c>
      <c r="AT39" s="19">
        <v>45</v>
      </c>
      <c r="AU39" s="19">
        <v>46</v>
      </c>
      <c r="AV39" s="19">
        <v>47</v>
      </c>
      <c r="AW39" s="19">
        <v>48</v>
      </c>
      <c r="AX39" s="19">
        <v>49</v>
      </c>
      <c r="AY39" s="19">
        <v>50</v>
      </c>
      <c r="AZ39" s="19">
        <v>51</v>
      </c>
      <c r="BA39" s="20">
        <v>52</v>
      </c>
    </row>
    <row r="40" spans="1:53" x14ac:dyDescent="0.3">
      <c r="A40" s="147" t="s">
        <v>53</v>
      </c>
      <c r="B40" s="21">
        <v>68</v>
      </c>
      <c r="C40" s="21">
        <f t="shared" ref="C40:AH40" si="0">B40</f>
        <v>68</v>
      </c>
      <c r="D40" s="21">
        <f t="shared" si="0"/>
        <v>68</v>
      </c>
      <c r="E40" s="21">
        <f t="shared" si="0"/>
        <v>68</v>
      </c>
      <c r="F40" s="21">
        <f t="shared" si="0"/>
        <v>68</v>
      </c>
      <c r="G40" s="21">
        <f t="shared" si="0"/>
        <v>68</v>
      </c>
      <c r="H40" s="21">
        <f t="shared" si="0"/>
        <v>68</v>
      </c>
      <c r="I40" s="21">
        <f t="shared" si="0"/>
        <v>68</v>
      </c>
      <c r="J40" s="21">
        <f t="shared" si="0"/>
        <v>68</v>
      </c>
      <c r="K40" s="21">
        <f t="shared" si="0"/>
        <v>68</v>
      </c>
      <c r="L40" s="21">
        <f t="shared" si="0"/>
        <v>68</v>
      </c>
      <c r="M40" s="21">
        <f t="shared" si="0"/>
        <v>68</v>
      </c>
      <c r="N40" s="21">
        <f t="shared" si="0"/>
        <v>68</v>
      </c>
      <c r="O40" s="21">
        <f t="shared" si="0"/>
        <v>68</v>
      </c>
      <c r="P40" s="21">
        <f t="shared" si="0"/>
        <v>68</v>
      </c>
      <c r="Q40" s="21">
        <f t="shared" si="0"/>
        <v>68</v>
      </c>
      <c r="R40" s="21">
        <f t="shared" si="0"/>
        <v>68</v>
      </c>
      <c r="S40" s="21">
        <f t="shared" si="0"/>
        <v>68</v>
      </c>
      <c r="T40" s="21">
        <f t="shared" si="0"/>
        <v>68</v>
      </c>
      <c r="U40" s="21">
        <f t="shared" si="0"/>
        <v>68</v>
      </c>
      <c r="V40" s="21">
        <f t="shared" si="0"/>
        <v>68</v>
      </c>
      <c r="W40" s="21">
        <f t="shared" si="0"/>
        <v>68</v>
      </c>
      <c r="X40" s="21">
        <f t="shared" si="0"/>
        <v>68</v>
      </c>
      <c r="Y40" s="21">
        <f t="shared" si="0"/>
        <v>68</v>
      </c>
      <c r="Z40" s="21">
        <f t="shared" si="0"/>
        <v>68</v>
      </c>
      <c r="AA40" s="21">
        <f t="shared" si="0"/>
        <v>68</v>
      </c>
      <c r="AB40" s="21">
        <f t="shared" si="0"/>
        <v>68</v>
      </c>
      <c r="AC40" s="21">
        <f t="shared" si="0"/>
        <v>68</v>
      </c>
      <c r="AD40" s="21">
        <f t="shared" si="0"/>
        <v>68</v>
      </c>
      <c r="AE40" s="21">
        <f t="shared" si="0"/>
        <v>68</v>
      </c>
      <c r="AF40" s="21">
        <f t="shared" si="0"/>
        <v>68</v>
      </c>
      <c r="AG40" s="21">
        <f t="shared" si="0"/>
        <v>68</v>
      </c>
      <c r="AH40" s="21">
        <f t="shared" si="0"/>
        <v>68</v>
      </c>
      <c r="AI40" s="21">
        <f t="shared" ref="AI40:BA40" si="1">AH40</f>
        <v>68</v>
      </c>
      <c r="AJ40" s="21">
        <f t="shared" si="1"/>
        <v>68</v>
      </c>
      <c r="AK40" s="21">
        <f t="shared" si="1"/>
        <v>68</v>
      </c>
      <c r="AL40" s="21">
        <f t="shared" si="1"/>
        <v>68</v>
      </c>
      <c r="AM40" s="21">
        <f t="shared" si="1"/>
        <v>68</v>
      </c>
      <c r="AN40" s="21">
        <f t="shared" si="1"/>
        <v>68</v>
      </c>
      <c r="AO40" s="21">
        <f t="shared" si="1"/>
        <v>68</v>
      </c>
      <c r="AP40" s="21">
        <f t="shared" si="1"/>
        <v>68</v>
      </c>
      <c r="AQ40" s="21">
        <f t="shared" si="1"/>
        <v>68</v>
      </c>
      <c r="AR40" s="21">
        <f t="shared" si="1"/>
        <v>68</v>
      </c>
      <c r="AS40" s="21">
        <f t="shared" si="1"/>
        <v>68</v>
      </c>
      <c r="AT40" s="21">
        <f t="shared" si="1"/>
        <v>68</v>
      </c>
      <c r="AU40" s="21">
        <f t="shared" si="1"/>
        <v>68</v>
      </c>
      <c r="AV40" s="21">
        <f t="shared" si="1"/>
        <v>68</v>
      </c>
      <c r="AW40" s="21">
        <f t="shared" si="1"/>
        <v>68</v>
      </c>
      <c r="AX40" s="21">
        <f t="shared" si="1"/>
        <v>68</v>
      </c>
      <c r="AY40" s="21">
        <f t="shared" si="1"/>
        <v>68</v>
      </c>
      <c r="AZ40" s="21">
        <f t="shared" si="1"/>
        <v>68</v>
      </c>
      <c r="BA40" s="21">
        <f t="shared" si="1"/>
        <v>68</v>
      </c>
    </row>
    <row r="41" spans="1:53" x14ac:dyDescent="0.3">
      <c r="A41" s="18" t="s">
        <v>54</v>
      </c>
      <c r="B41" s="22">
        <f>'week 02'!G4</f>
        <v>30</v>
      </c>
      <c r="C41" s="22">
        <f>'week 03'!G4</f>
        <v>39</v>
      </c>
      <c r="D41" s="22">
        <f>'week 04'!G4</f>
        <v>70</v>
      </c>
      <c r="E41" s="22">
        <f>'week 05'!G4</f>
        <v>44</v>
      </c>
      <c r="F41" s="22">
        <f>'week 06'!G4</f>
        <v>51</v>
      </c>
      <c r="G41" s="22">
        <f>'week 07'!G4</f>
        <v>52</v>
      </c>
      <c r="H41" s="22">
        <f>'week 08'!G4</f>
        <v>34</v>
      </c>
      <c r="I41" s="22">
        <f>'week 09'!G4</f>
        <v>52</v>
      </c>
      <c r="J41" s="22">
        <f>'week 10'!G4</f>
        <v>73</v>
      </c>
      <c r="K41" s="22">
        <f>'week 11'!H4</f>
        <v>64</v>
      </c>
      <c r="L41" s="22">
        <f>'week 12'!G4</f>
        <v>41</v>
      </c>
      <c r="M41" s="22">
        <f>'week 13'!G4</f>
        <v>26</v>
      </c>
      <c r="N41" s="22">
        <f>'week 14'!G4</f>
        <v>51</v>
      </c>
      <c r="O41" s="22">
        <f>'week 15'!G4</f>
        <v>21</v>
      </c>
      <c r="P41" s="22">
        <f>'week 16'!G4</f>
        <v>41</v>
      </c>
      <c r="Q41" s="22">
        <f>'week 17'!G4</f>
        <v>41</v>
      </c>
      <c r="R41" s="22">
        <f>'week 18'!G4</f>
        <v>67</v>
      </c>
      <c r="S41" s="22">
        <f>'week 19'!G4</f>
        <v>50</v>
      </c>
      <c r="T41" s="22">
        <f>'week 20'!G4</f>
        <v>28</v>
      </c>
      <c r="U41" s="22">
        <f>'week 21'!H4</f>
        <v>71</v>
      </c>
      <c r="V41" s="22">
        <f>'week 22'!H4</f>
        <v>42</v>
      </c>
      <c r="W41" s="22">
        <f>'week 23'!H4</f>
        <v>70</v>
      </c>
      <c r="X41" s="22">
        <f>'week 24'!H4</f>
        <v>90</v>
      </c>
      <c r="Y41" s="22">
        <f>'week 25'!H4</f>
        <v>47</v>
      </c>
      <c r="Z41" s="22">
        <f>'week 26 '!H4</f>
        <v>29</v>
      </c>
      <c r="AA41" s="22">
        <v>76</v>
      </c>
      <c r="AB41" s="22">
        <v>37</v>
      </c>
      <c r="AC41" s="22">
        <v>37</v>
      </c>
      <c r="AD41" s="22">
        <v>60</v>
      </c>
      <c r="AE41" s="22">
        <v>24</v>
      </c>
      <c r="AF41" s="22">
        <v>42</v>
      </c>
      <c r="AG41" s="22">
        <v>32</v>
      </c>
      <c r="AH41" s="22">
        <v>27</v>
      </c>
      <c r="AI41" s="22">
        <v>41</v>
      </c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</row>
    <row r="42" spans="1:53" ht="42" customHeight="1" x14ac:dyDescent="0.3">
      <c r="A42" s="15" t="s">
        <v>55</v>
      </c>
      <c r="B42" s="16"/>
      <c r="C42" s="24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7"/>
    </row>
    <row r="43" spans="1:53" x14ac:dyDescent="0.3">
      <c r="A43" s="10" t="s">
        <v>56</v>
      </c>
      <c r="B43" s="11">
        <v>9</v>
      </c>
      <c r="C43" s="11">
        <v>9</v>
      </c>
      <c r="D43" s="11">
        <v>9</v>
      </c>
      <c r="E43" s="11">
        <v>9</v>
      </c>
      <c r="F43" s="11">
        <v>9</v>
      </c>
      <c r="G43" s="11">
        <v>9</v>
      </c>
      <c r="H43" s="11">
        <v>9</v>
      </c>
      <c r="I43" s="11">
        <v>9</v>
      </c>
      <c r="J43" s="11">
        <v>9</v>
      </c>
      <c r="K43" s="11">
        <v>9</v>
      </c>
      <c r="L43" s="11">
        <v>9</v>
      </c>
      <c r="M43" s="11">
        <v>9</v>
      </c>
      <c r="N43" s="11">
        <v>9</v>
      </c>
      <c r="O43" s="11">
        <v>9</v>
      </c>
      <c r="P43" s="11">
        <v>9</v>
      </c>
      <c r="Q43" s="11">
        <v>9</v>
      </c>
      <c r="R43" s="11">
        <v>9</v>
      </c>
      <c r="S43" s="11">
        <v>9</v>
      </c>
      <c r="T43" s="11">
        <v>9</v>
      </c>
      <c r="U43" s="11">
        <v>9</v>
      </c>
      <c r="V43" s="11">
        <v>9</v>
      </c>
      <c r="W43" s="11">
        <v>9</v>
      </c>
      <c r="X43" s="11">
        <v>9</v>
      </c>
      <c r="Y43" s="11">
        <v>9</v>
      </c>
      <c r="Z43" s="11">
        <v>9</v>
      </c>
      <c r="AA43" s="11">
        <v>9</v>
      </c>
      <c r="AB43" s="11">
        <v>9</v>
      </c>
      <c r="AC43" s="11">
        <v>9</v>
      </c>
      <c r="AD43" s="11">
        <v>9</v>
      </c>
      <c r="AE43" s="11">
        <v>9</v>
      </c>
      <c r="AF43" s="11">
        <v>9</v>
      </c>
      <c r="AG43" s="11">
        <v>9</v>
      </c>
      <c r="AH43" s="11">
        <v>9</v>
      </c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</row>
    <row r="44" spans="1:53" x14ac:dyDescent="0.3">
      <c r="A44" s="13" t="s">
        <v>57</v>
      </c>
      <c r="B44" s="14">
        <v>9</v>
      </c>
      <c r="C44" s="14">
        <v>9</v>
      </c>
      <c r="D44" s="14">
        <v>9</v>
      </c>
      <c r="E44" s="14">
        <v>9</v>
      </c>
      <c r="F44" s="14">
        <v>9</v>
      </c>
      <c r="G44" s="14">
        <v>9</v>
      </c>
      <c r="H44" s="14">
        <v>9</v>
      </c>
      <c r="I44" s="14">
        <v>9</v>
      </c>
      <c r="J44" s="14">
        <v>9</v>
      </c>
      <c r="K44" s="14">
        <v>9</v>
      </c>
      <c r="L44" s="14">
        <v>9</v>
      </c>
      <c r="M44" s="14">
        <v>9</v>
      </c>
      <c r="N44" s="14">
        <v>9</v>
      </c>
      <c r="O44" s="14">
        <v>9</v>
      </c>
      <c r="P44" s="14">
        <v>9</v>
      </c>
      <c r="Q44" s="14">
        <v>9</v>
      </c>
      <c r="R44" s="14">
        <v>9</v>
      </c>
      <c r="S44" s="14">
        <v>9</v>
      </c>
      <c r="T44" s="14">
        <v>9</v>
      </c>
      <c r="U44" s="14">
        <v>9</v>
      </c>
      <c r="V44" s="14">
        <v>9</v>
      </c>
      <c r="W44" s="14">
        <v>9</v>
      </c>
      <c r="X44" s="14">
        <v>9</v>
      </c>
      <c r="Y44" s="14">
        <v>9</v>
      </c>
      <c r="Z44" s="14">
        <v>9</v>
      </c>
      <c r="AA44" s="14">
        <v>9</v>
      </c>
      <c r="AB44" s="14">
        <v>9</v>
      </c>
      <c r="AC44" s="14">
        <v>9</v>
      </c>
      <c r="AD44" s="14">
        <v>9</v>
      </c>
      <c r="AE44" s="14">
        <v>9</v>
      </c>
      <c r="AF44" s="14">
        <v>9</v>
      </c>
      <c r="AG44" s="14">
        <v>9</v>
      </c>
      <c r="AH44" s="14">
        <v>9</v>
      </c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  <c r="AX44" s="14"/>
      <c r="AY44" s="14"/>
      <c r="AZ44" s="14"/>
      <c r="BA44" s="14"/>
    </row>
    <row r="45" spans="1:53" x14ac:dyDescent="0.3">
      <c r="A45" s="15" t="s">
        <v>58</v>
      </c>
      <c r="B45" s="25">
        <v>8</v>
      </c>
      <c r="C45" s="25">
        <v>8</v>
      </c>
      <c r="D45" s="25">
        <v>8</v>
      </c>
      <c r="E45" s="25">
        <v>8</v>
      </c>
      <c r="F45" s="25">
        <v>8</v>
      </c>
      <c r="G45" s="25">
        <v>8</v>
      </c>
      <c r="H45" s="25">
        <v>8</v>
      </c>
      <c r="I45" s="25">
        <v>8</v>
      </c>
      <c r="J45" s="25">
        <v>8</v>
      </c>
      <c r="K45" s="25">
        <v>8</v>
      </c>
      <c r="L45" s="25">
        <v>8</v>
      </c>
      <c r="M45" s="25">
        <v>8</v>
      </c>
      <c r="N45" s="25">
        <v>8</v>
      </c>
      <c r="O45" s="25">
        <v>8</v>
      </c>
      <c r="P45" s="25">
        <v>8</v>
      </c>
      <c r="Q45" s="25">
        <v>8</v>
      </c>
      <c r="R45" s="25">
        <v>8</v>
      </c>
      <c r="S45" s="25">
        <v>8</v>
      </c>
      <c r="T45" s="25">
        <v>8</v>
      </c>
      <c r="U45" s="25">
        <v>8</v>
      </c>
      <c r="V45" s="25">
        <v>8</v>
      </c>
      <c r="W45" s="25">
        <v>8</v>
      </c>
      <c r="X45" s="25">
        <v>8</v>
      </c>
      <c r="Y45" s="25">
        <v>8</v>
      </c>
      <c r="Z45" s="25">
        <v>8</v>
      </c>
      <c r="AA45" s="25">
        <v>8</v>
      </c>
      <c r="AB45" s="25">
        <v>8</v>
      </c>
      <c r="AC45" s="25">
        <v>8</v>
      </c>
      <c r="AD45" s="25">
        <v>8</v>
      </c>
      <c r="AE45" s="25">
        <v>8</v>
      </c>
      <c r="AF45" s="25">
        <v>8</v>
      </c>
      <c r="AG45" s="25">
        <v>8</v>
      </c>
      <c r="AH45" s="25">
        <v>8</v>
      </c>
      <c r="AI45" s="25"/>
      <c r="AJ45" s="25"/>
      <c r="AK45" s="25"/>
      <c r="AL45" s="25"/>
      <c r="AM45" s="25"/>
      <c r="AN45" s="25"/>
      <c r="AO45" s="25"/>
      <c r="AP45" s="25"/>
      <c r="AQ45" s="25"/>
      <c r="AR45" s="25"/>
      <c r="AS45" s="25"/>
      <c r="AT45" s="25"/>
      <c r="AU45" s="25"/>
      <c r="AV45" s="25"/>
      <c r="AW45" s="25"/>
      <c r="AX45" s="25"/>
      <c r="AY45" s="25"/>
      <c r="AZ45" s="25"/>
      <c r="BA45" s="25"/>
    </row>
    <row r="48" spans="1:53" x14ac:dyDescent="0.3">
      <c r="A48" s="18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</row>
    <row r="49" spans="1:53" x14ac:dyDescent="0.3">
      <c r="A49" s="18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/>
      <c r="AV49" s="19"/>
      <c r="AW49" s="19"/>
      <c r="AX49" s="19"/>
      <c r="AY49" s="19"/>
      <c r="AZ49" s="19"/>
      <c r="BA49" s="19"/>
    </row>
    <row r="50" spans="1:53" ht="18" x14ac:dyDescent="0.35">
      <c r="A50" s="4" t="s">
        <v>1</v>
      </c>
      <c r="B50" s="5" t="s">
        <v>48</v>
      </c>
      <c r="C50" s="6" t="s">
        <v>49</v>
      </c>
      <c r="E50" s="7"/>
    </row>
    <row r="51" spans="1:53" ht="18" x14ac:dyDescent="0.35">
      <c r="A51" s="8" t="s">
        <v>21</v>
      </c>
      <c r="B51" s="7">
        <v>4</v>
      </c>
      <c r="C51" s="9" t="s">
        <v>150</v>
      </c>
    </row>
    <row r="52" spans="1:53" x14ac:dyDescent="0.3">
      <c r="A52" s="10" t="s">
        <v>50</v>
      </c>
      <c r="B52" s="11">
        <v>1</v>
      </c>
      <c r="C52" s="11">
        <v>2</v>
      </c>
      <c r="D52" s="11">
        <v>3</v>
      </c>
      <c r="E52" s="11">
        <v>4</v>
      </c>
      <c r="F52" s="11">
        <v>5</v>
      </c>
      <c r="G52" s="11">
        <v>6</v>
      </c>
      <c r="H52" s="11">
        <v>7</v>
      </c>
      <c r="I52" s="11">
        <v>8</v>
      </c>
      <c r="J52" s="11">
        <v>9</v>
      </c>
      <c r="K52" s="11">
        <v>10</v>
      </c>
      <c r="L52" s="11">
        <v>11</v>
      </c>
      <c r="M52" s="11">
        <v>12</v>
      </c>
      <c r="N52" s="11">
        <v>13</v>
      </c>
      <c r="O52" s="11">
        <v>14</v>
      </c>
      <c r="P52" s="11">
        <v>15</v>
      </c>
      <c r="Q52" s="11">
        <v>16</v>
      </c>
      <c r="R52" s="11">
        <v>17</v>
      </c>
      <c r="S52" s="11">
        <v>18</v>
      </c>
      <c r="T52" s="11">
        <v>19</v>
      </c>
      <c r="U52" s="11">
        <v>20</v>
      </c>
      <c r="V52" s="11">
        <v>21</v>
      </c>
      <c r="W52" s="11">
        <v>22</v>
      </c>
      <c r="X52" s="11">
        <v>23</v>
      </c>
      <c r="Y52" s="11">
        <v>24</v>
      </c>
      <c r="Z52" s="11">
        <v>25</v>
      </c>
      <c r="AA52" s="11">
        <v>26</v>
      </c>
      <c r="AB52" s="11">
        <v>27</v>
      </c>
      <c r="AC52" s="11">
        <v>28</v>
      </c>
      <c r="AD52" s="11">
        <v>29</v>
      </c>
      <c r="AE52" s="11">
        <v>30</v>
      </c>
      <c r="AF52" s="11">
        <v>31</v>
      </c>
      <c r="AG52" s="11">
        <v>32</v>
      </c>
      <c r="AH52" s="11">
        <v>33</v>
      </c>
      <c r="AI52" s="11">
        <v>34</v>
      </c>
      <c r="AJ52" s="11">
        <v>35</v>
      </c>
      <c r="AK52" s="11">
        <v>36</v>
      </c>
      <c r="AL52" s="11">
        <v>37</v>
      </c>
      <c r="AM52" s="11">
        <v>38</v>
      </c>
      <c r="AN52" s="11">
        <v>39</v>
      </c>
      <c r="AO52" s="11">
        <v>40</v>
      </c>
      <c r="AP52" s="11">
        <v>41</v>
      </c>
      <c r="AQ52" s="11">
        <v>42</v>
      </c>
      <c r="AR52" s="11">
        <v>43</v>
      </c>
      <c r="AS52" s="11">
        <v>44</v>
      </c>
      <c r="AT52" s="11">
        <v>45</v>
      </c>
      <c r="AU52" s="11">
        <v>46</v>
      </c>
      <c r="AV52" s="11">
        <v>47</v>
      </c>
      <c r="AW52" s="11">
        <v>48</v>
      </c>
      <c r="AX52" s="11">
        <v>49</v>
      </c>
      <c r="AY52" s="11">
        <v>50</v>
      </c>
      <c r="AZ52" s="11">
        <v>51</v>
      </c>
      <c r="BA52" s="12">
        <v>52</v>
      </c>
    </row>
    <row r="53" spans="1:53" x14ac:dyDescent="0.3">
      <c r="A53" s="13" t="s">
        <v>51</v>
      </c>
      <c r="B53" s="14">
        <v>85</v>
      </c>
      <c r="C53" s="14">
        <v>85</v>
      </c>
      <c r="D53" s="14">
        <v>85</v>
      </c>
      <c r="E53" s="14">
        <v>85</v>
      </c>
      <c r="F53" s="14">
        <v>85</v>
      </c>
      <c r="G53" s="14">
        <v>85</v>
      </c>
      <c r="H53" s="14">
        <v>85</v>
      </c>
      <c r="I53" s="14">
        <v>85</v>
      </c>
      <c r="J53" s="14">
        <v>85</v>
      </c>
      <c r="K53" s="14">
        <v>85</v>
      </c>
      <c r="L53" s="14">
        <v>85</v>
      </c>
      <c r="M53" s="14">
        <v>85</v>
      </c>
      <c r="N53" s="14">
        <v>85</v>
      </c>
      <c r="O53" s="14">
        <v>85</v>
      </c>
      <c r="P53" s="14">
        <v>85</v>
      </c>
      <c r="Q53" s="14">
        <v>85</v>
      </c>
      <c r="R53" s="14">
        <v>85</v>
      </c>
      <c r="S53" s="14">
        <v>85</v>
      </c>
      <c r="T53" s="14">
        <v>85</v>
      </c>
      <c r="U53" s="14">
        <v>85</v>
      </c>
      <c r="V53" s="14">
        <v>85</v>
      </c>
      <c r="W53" s="14">
        <v>85</v>
      </c>
      <c r="X53" s="14">
        <v>85</v>
      </c>
      <c r="Y53" s="14">
        <v>85</v>
      </c>
      <c r="Z53" s="14">
        <v>85</v>
      </c>
      <c r="AA53" s="14">
        <v>85</v>
      </c>
      <c r="AB53" s="14">
        <v>85</v>
      </c>
      <c r="AC53" s="14">
        <v>85</v>
      </c>
      <c r="AD53" s="14">
        <v>85</v>
      </c>
      <c r="AE53" s="14">
        <v>85</v>
      </c>
      <c r="AF53" s="14">
        <v>85</v>
      </c>
      <c r="AG53" s="14">
        <v>85</v>
      </c>
      <c r="AH53" s="14">
        <v>85</v>
      </c>
      <c r="AI53" s="14">
        <v>85</v>
      </c>
      <c r="AJ53" s="14">
        <v>85</v>
      </c>
      <c r="AK53" s="14">
        <v>85</v>
      </c>
      <c r="AL53" s="14">
        <v>85</v>
      </c>
      <c r="AM53" s="14">
        <v>85</v>
      </c>
      <c r="AN53" s="14">
        <v>85</v>
      </c>
      <c r="AO53" s="14">
        <v>85</v>
      </c>
      <c r="AP53" s="14">
        <v>85</v>
      </c>
      <c r="AQ53" s="14">
        <v>85</v>
      </c>
      <c r="AR53" s="14">
        <v>85</v>
      </c>
      <c r="AS53" s="14">
        <v>85</v>
      </c>
      <c r="AT53" s="14">
        <v>85</v>
      </c>
      <c r="AU53" s="14">
        <v>85</v>
      </c>
      <c r="AV53" s="14">
        <v>85</v>
      </c>
      <c r="AW53" s="14">
        <v>85</v>
      </c>
      <c r="AX53" s="14">
        <v>85</v>
      </c>
      <c r="AY53" s="14">
        <v>85</v>
      </c>
      <c r="AZ53" s="14">
        <v>85</v>
      </c>
      <c r="BA53" s="14">
        <v>85</v>
      </c>
    </row>
    <row r="54" spans="1:53" x14ac:dyDescent="0.3">
      <c r="A54" s="15" t="s">
        <v>52</v>
      </c>
      <c r="B54" s="16">
        <f>'week 02'!I4</f>
        <v>87</v>
      </c>
      <c r="C54" s="16">
        <f>'week 03'!I4</f>
        <v>88</v>
      </c>
      <c r="D54" s="16">
        <f>'week 04'!I4</f>
        <v>90</v>
      </c>
      <c r="E54" s="16">
        <f>'week 05'!I4</f>
        <v>89</v>
      </c>
      <c r="F54" s="16">
        <f>'week 06'!I4</f>
        <v>88</v>
      </c>
      <c r="G54" s="16">
        <f>'week 07'!I4</f>
        <v>89</v>
      </c>
      <c r="H54" s="16">
        <f>'week 08'!I4</f>
        <v>87</v>
      </c>
      <c r="I54" s="16">
        <f>'week 09'!I4</f>
        <v>89</v>
      </c>
      <c r="J54" s="16">
        <f>'week 10'!I4</f>
        <v>87</v>
      </c>
      <c r="K54" s="16">
        <f>'week 11'!J4</f>
        <v>86</v>
      </c>
      <c r="L54" s="16">
        <f>'week 12'!I4</f>
        <v>88</v>
      </c>
      <c r="M54" s="16">
        <f>'week 13'!I4</f>
        <v>88</v>
      </c>
      <c r="N54" s="16">
        <f>'week 14'!I4</f>
        <v>87</v>
      </c>
      <c r="O54" s="16">
        <f>'week 15'!I4</f>
        <v>89</v>
      </c>
      <c r="P54" s="16">
        <f>'week 16'!I4</f>
        <v>88</v>
      </c>
      <c r="Q54" s="16">
        <f>'week 17'!I4</f>
        <v>88</v>
      </c>
      <c r="R54" s="16">
        <f>'week 18'!I4</f>
        <v>87</v>
      </c>
      <c r="S54" s="16">
        <f>'week 19'!I4</f>
        <v>87</v>
      </c>
      <c r="T54" s="16">
        <f>'week 20'!I4</f>
        <v>87</v>
      </c>
      <c r="U54" s="16">
        <f>'week 21'!J4</f>
        <v>87</v>
      </c>
      <c r="V54" s="16">
        <f>'week 22'!J4</f>
        <v>89</v>
      </c>
      <c r="W54" s="16">
        <f>'week 23'!J4</f>
        <v>87</v>
      </c>
      <c r="X54" s="16">
        <f>'week 24'!J4</f>
        <v>88</v>
      </c>
      <c r="Y54" s="16">
        <f>'week 25'!J4</f>
        <v>87</v>
      </c>
      <c r="Z54" s="16">
        <f>'week 26 '!J5</f>
        <v>87</v>
      </c>
      <c r="AA54" s="16">
        <v>87</v>
      </c>
      <c r="AB54" s="16">
        <v>87</v>
      </c>
      <c r="AC54" s="16">
        <v>86</v>
      </c>
      <c r="AD54" s="16">
        <v>87</v>
      </c>
      <c r="AE54" s="16">
        <v>87</v>
      </c>
      <c r="AF54" s="16">
        <v>86</v>
      </c>
      <c r="AG54" s="16">
        <v>87</v>
      </c>
      <c r="AH54" s="16">
        <v>86</v>
      </c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  <c r="AX54" s="16"/>
      <c r="AY54" s="16"/>
      <c r="AZ54" s="16"/>
      <c r="BA54" s="16"/>
    </row>
    <row r="55" spans="1:53" x14ac:dyDescent="0.3">
      <c r="A55" s="18" t="s">
        <v>50</v>
      </c>
      <c r="B55" s="19">
        <v>1</v>
      </c>
      <c r="C55" s="19">
        <v>2</v>
      </c>
      <c r="D55" s="19">
        <v>3</v>
      </c>
      <c r="E55" s="19">
        <v>4</v>
      </c>
      <c r="F55" s="19">
        <v>5</v>
      </c>
      <c r="G55" s="19">
        <v>6</v>
      </c>
      <c r="H55" s="19">
        <v>7</v>
      </c>
      <c r="I55" s="19">
        <v>8</v>
      </c>
      <c r="J55" s="19">
        <v>9</v>
      </c>
      <c r="K55" s="19">
        <v>10</v>
      </c>
      <c r="L55" s="19">
        <v>11</v>
      </c>
      <c r="M55" s="19">
        <v>12</v>
      </c>
      <c r="N55" s="19">
        <v>13</v>
      </c>
      <c r="O55" s="19">
        <v>14</v>
      </c>
      <c r="P55" s="19">
        <v>15</v>
      </c>
      <c r="Q55" s="19">
        <v>16</v>
      </c>
      <c r="R55" s="19">
        <v>17</v>
      </c>
      <c r="S55" s="19">
        <v>18</v>
      </c>
      <c r="T55" s="19">
        <v>19</v>
      </c>
      <c r="U55" s="19">
        <v>20</v>
      </c>
      <c r="V55" s="19">
        <v>21</v>
      </c>
      <c r="W55" s="19">
        <v>22</v>
      </c>
      <c r="X55" s="19">
        <v>23</v>
      </c>
      <c r="Y55" s="19">
        <v>24</v>
      </c>
      <c r="Z55" s="19">
        <v>25</v>
      </c>
      <c r="AA55" s="19">
        <v>26</v>
      </c>
      <c r="AB55" s="19">
        <v>27</v>
      </c>
      <c r="AC55" s="19">
        <v>28</v>
      </c>
      <c r="AD55" s="19">
        <v>29</v>
      </c>
      <c r="AE55" s="19">
        <v>30</v>
      </c>
      <c r="AF55" s="19">
        <v>31</v>
      </c>
      <c r="AG55" s="19">
        <v>32</v>
      </c>
      <c r="AH55" s="19">
        <v>33</v>
      </c>
      <c r="AI55" s="19">
        <v>34</v>
      </c>
      <c r="AJ55" s="19">
        <v>35</v>
      </c>
      <c r="AK55" s="19">
        <v>36</v>
      </c>
      <c r="AL55" s="19">
        <v>37</v>
      </c>
      <c r="AM55" s="19">
        <v>38</v>
      </c>
      <c r="AN55" s="19">
        <v>39</v>
      </c>
      <c r="AO55" s="19">
        <v>40</v>
      </c>
      <c r="AP55" s="19">
        <v>41</v>
      </c>
      <c r="AQ55" s="19">
        <v>42</v>
      </c>
      <c r="AR55" s="19">
        <v>43</v>
      </c>
      <c r="AS55" s="19">
        <v>44</v>
      </c>
      <c r="AT55" s="19">
        <v>45</v>
      </c>
      <c r="AU55" s="19">
        <v>46</v>
      </c>
      <c r="AV55" s="19">
        <v>47</v>
      </c>
      <c r="AW55" s="19">
        <v>48</v>
      </c>
      <c r="AX55" s="19">
        <v>49</v>
      </c>
      <c r="AY55" s="19">
        <v>50</v>
      </c>
      <c r="AZ55" s="19">
        <v>51</v>
      </c>
      <c r="BA55" s="20">
        <v>52</v>
      </c>
    </row>
    <row r="56" spans="1:53" x14ac:dyDescent="0.3">
      <c r="A56" s="147" t="s">
        <v>53</v>
      </c>
      <c r="B56" s="21">
        <v>68</v>
      </c>
      <c r="C56" s="21">
        <f t="shared" ref="C56:AH56" si="2">B56</f>
        <v>68</v>
      </c>
      <c r="D56" s="21">
        <f t="shared" si="2"/>
        <v>68</v>
      </c>
      <c r="E56" s="21">
        <f t="shared" si="2"/>
        <v>68</v>
      </c>
      <c r="F56" s="21">
        <f t="shared" si="2"/>
        <v>68</v>
      </c>
      <c r="G56" s="21">
        <f t="shared" si="2"/>
        <v>68</v>
      </c>
      <c r="H56" s="21">
        <f t="shared" si="2"/>
        <v>68</v>
      </c>
      <c r="I56" s="21">
        <f t="shared" si="2"/>
        <v>68</v>
      </c>
      <c r="J56" s="21">
        <f t="shared" si="2"/>
        <v>68</v>
      </c>
      <c r="K56" s="21">
        <f t="shared" si="2"/>
        <v>68</v>
      </c>
      <c r="L56" s="21">
        <f t="shared" si="2"/>
        <v>68</v>
      </c>
      <c r="M56" s="21">
        <f t="shared" si="2"/>
        <v>68</v>
      </c>
      <c r="N56" s="21">
        <f t="shared" si="2"/>
        <v>68</v>
      </c>
      <c r="O56" s="21">
        <f t="shared" si="2"/>
        <v>68</v>
      </c>
      <c r="P56" s="21">
        <f t="shared" si="2"/>
        <v>68</v>
      </c>
      <c r="Q56" s="21">
        <f t="shared" si="2"/>
        <v>68</v>
      </c>
      <c r="R56" s="21">
        <f t="shared" si="2"/>
        <v>68</v>
      </c>
      <c r="S56" s="21">
        <f t="shared" si="2"/>
        <v>68</v>
      </c>
      <c r="T56" s="21">
        <f t="shared" si="2"/>
        <v>68</v>
      </c>
      <c r="U56" s="21">
        <f t="shared" si="2"/>
        <v>68</v>
      </c>
      <c r="V56" s="21">
        <f t="shared" si="2"/>
        <v>68</v>
      </c>
      <c r="W56" s="21">
        <f t="shared" si="2"/>
        <v>68</v>
      </c>
      <c r="X56" s="21">
        <f t="shared" si="2"/>
        <v>68</v>
      </c>
      <c r="Y56" s="21">
        <f t="shared" si="2"/>
        <v>68</v>
      </c>
      <c r="Z56" s="21">
        <f t="shared" si="2"/>
        <v>68</v>
      </c>
      <c r="AA56" s="21">
        <f t="shared" si="2"/>
        <v>68</v>
      </c>
      <c r="AB56" s="21">
        <f t="shared" si="2"/>
        <v>68</v>
      </c>
      <c r="AC56" s="21">
        <f t="shared" si="2"/>
        <v>68</v>
      </c>
      <c r="AD56" s="21">
        <f t="shared" si="2"/>
        <v>68</v>
      </c>
      <c r="AE56" s="21">
        <f t="shared" si="2"/>
        <v>68</v>
      </c>
      <c r="AF56" s="21">
        <f t="shared" si="2"/>
        <v>68</v>
      </c>
      <c r="AG56" s="21">
        <f t="shared" si="2"/>
        <v>68</v>
      </c>
      <c r="AH56" s="21">
        <f t="shared" si="2"/>
        <v>68</v>
      </c>
      <c r="AI56" s="21">
        <f t="shared" ref="AI56:BA56" si="3">AH56</f>
        <v>68</v>
      </c>
      <c r="AJ56" s="21">
        <f t="shared" si="3"/>
        <v>68</v>
      </c>
      <c r="AK56" s="21">
        <f t="shared" si="3"/>
        <v>68</v>
      </c>
      <c r="AL56" s="21">
        <f t="shared" si="3"/>
        <v>68</v>
      </c>
      <c r="AM56" s="21">
        <f t="shared" si="3"/>
        <v>68</v>
      </c>
      <c r="AN56" s="21">
        <f t="shared" si="3"/>
        <v>68</v>
      </c>
      <c r="AO56" s="21">
        <f t="shared" si="3"/>
        <v>68</v>
      </c>
      <c r="AP56" s="21">
        <f t="shared" si="3"/>
        <v>68</v>
      </c>
      <c r="AQ56" s="21">
        <f t="shared" si="3"/>
        <v>68</v>
      </c>
      <c r="AR56" s="21">
        <f t="shared" si="3"/>
        <v>68</v>
      </c>
      <c r="AS56" s="21">
        <f t="shared" si="3"/>
        <v>68</v>
      </c>
      <c r="AT56" s="21">
        <f t="shared" si="3"/>
        <v>68</v>
      </c>
      <c r="AU56" s="21">
        <f t="shared" si="3"/>
        <v>68</v>
      </c>
      <c r="AV56" s="21">
        <f t="shared" si="3"/>
        <v>68</v>
      </c>
      <c r="AW56" s="21">
        <f t="shared" si="3"/>
        <v>68</v>
      </c>
      <c r="AX56" s="21">
        <f t="shared" si="3"/>
        <v>68</v>
      </c>
      <c r="AY56" s="21">
        <f t="shared" si="3"/>
        <v>68</v>
      </c>
      <c r="AZ56" s="21">
        <f t="shared" si="3"/>
        <v>68</v>
      </c>
      <c r="BA56" s="21">
        <f t="shared" si="3"/>
        <v>68</v>
      </c>
    </row>
    <row r="57" spans="1:53" x14ac:dyDescent="0.3">
      <c r="A57" s="18" t="s">
        <v>54</v>
      </c>
      <c r="B57" s="22">
        <f>'week 02'!G5</f>
        <v>66</v>
      </c>
      <c r="C57" s="22">
        <f>'week 03'!G5</f>
        <v>37</v>
      </c>
      <c r="D57" s="22">
        <f>'week 04'!G5</f>
        <v>50</v>
      </c>
      <c r="E57" s="22">
        <f>'week 05'!G5</f>
        <v>30</v>
      </c>
      <c r="F57" s="22">
        <f>'week 06'!G5</f>
        <v>30</v>
      </c>
      <c r="G57" s="22">
        <f>'week 07'!G5</f>
        <v>30</v>
      </c>
      <c r="H57" s="22">
        <f>'week 08'!G5</f>
        <v>39</v>
      </c>
      <c r="I57" s="22">
        <f>'week 09'!G5</f>
        <v>30</v>
      </c>
      <c r="J57" s="22">
        <f>'week 10'!G5</f>
        <v>52</v>
      </c>
      <c r="K57" s="22">
        <f>'week 11'!H5</f>
        <v>52</v>
      </c>
      <c r="L57" s="22">
        <f>'week 12'!G5</f>
        <v>45</v>
      </c>
      <c r="M57" s="22">
        <f>'week 13'!G5</f>
        <v>34</v>
      </c>
      <c r="N57" s="22">
        <f>'week 14'!G5</f>
        <v>47</v>
      </c>
      <c r="O57" s="22">
        <f>'week 15'!G5</f>
        <v>16</v>
      </c>
      <c r="P57" s="22">
        <f>'week 16'!G5</f>
        <v>25</v>
      </c>
      <c r="Q57" s="22">
        <f>'week 17'!G5</f>
        <v>29</v>
      </c>
      <c r="R57" s="22">
        <f>'week 18'!G5</f>
        <v>36</v>
      </c>
      <c r="S57" s="22">
        <f>'week 19'!G5</f>
        <v>36</v>
      </c>
      <c r="T57" s="22">
        <f>'week 20'!G5</f>
        <v>34</v>
      </c>
      <c r="U57" s="22">
        <f>'week 21'!H5</f>
        <v>45</v>
      </c>
      <c r="V57" s="22">
        <f>'week 22'!H5</f>
        <v>55</v>
      </c>
      <c r="W57" s="22">
        <f>'week 23'!H5</f>
        <v>19</v>
      </c>
      <c r="X57" s="22">
        <f>'week 24'!H5</f>
        <v>50</v>
      </c>
      <c r="Y57" s="22">
        <f>'week 25'!H5</f>
        <v>39</v>
      </c>
      <c r="Z57" s="22">
        <f>'week 26 '!H5</f>
        <v>41</v>
      </c>
      <c r="AA57" s="22">
        <v>38</v>
      </c>
      <c r="AB57" s="22">
        <v>47</v>
      </c>
      <c r="AC57" s="22">
        <v>41</v>
      </c>
      <c r="AD57" s="22">
        <v>28</v>
      </c>
      <c r="AE57" s="22">
        <v>72</v>
      </c>
      <c r="AF57" s="22">
        <v>42</v>
      </c>
      <c r="AG57" s="22">
        <v>28</v>
      </c>
      <c r="AH57" s="22">
        <v>53</v>
      </c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</row>
    <row r="58" spans="1:53" ht="42" customHeight="1" x14ac:dyDescent="0.3">
      <c r="A58" s="15" t="s">
        <v>55</v>
      </c>
      <c r="B58" s="16"/>
      <c r="C58" s="24"/>
      <c r="D58" s="16"/>
      <c r="E58" s="24" t="s">
        <v>59</v>
      </c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6"/>
      <c r="AX58" s="16"/>
      <c r="AY58" s="16"/>
      <c r="AZ58" s="16"/>
      <c r="BA58" s="17"/>
    </row>
    <row r="59" spans="1:53" x14ac:dyDescent="0.3">
      <c r="A59" s="10" t="s">
        <v>56</v>
      </c>
      <c r="B59" s="11">
        <v>9</v>
      </c>
      <c r="C59" s="11">
        <v>9</v>
      </c>
      <c r="D59" s="11">
        <v>9</v>
      </c>
      <c r="E59" s="11">
        <v>9</v>
      </c>
      <c r="F59" s="11">
        <v>9</v>
      </c>
      <c r="G59" s="11">
        <v>9</v>
      </c>
      <c r="H59" s="11">
        <v>9</v>
      </c>
      <c r="I59" s="11">
        <v>9</v>
      </c>
      <c r="J59" s="11">
        <v>9</v>
      </c>
      <c r="K59" s="11">
        <v>9</v>
      </c>
      <c r="L59" s="11">
        <v>9</v>
      </c>
      <c r="M59" s="11">
        <v>9</v>
      </c>
      <c r="N59" s="11">
        <v>9</v>
      </c>
      <c r="O59" s="11">
        <v>9</v>
      </c>
      <c r="P59" s="11">
        <v>9</v>
      </c>
      <c r="Q59" s="11">
        <v>9</v>
      </c>
      <c r="R59" s="11">
        <v>9</v>
      </c>
      <c r="S59" s="11">
        <v>9</v>
      </c>
      <c r="T59" s="11">
        <v>9</v>
      </c>
      <c r="U59" s="11">
        <v>9</v>
      </c>
      <c r="V59" s="11">
        <v>9</v>
      </c>
      <c r="W59" s="11">
        <v>9</v>
      </c>
      <c r="X59" s="11">
        <v>9</v>
      </c>
      <c r="Y59" s="11">
        <v>9</v>
      </c>
      <c r="Z59" s="11">
        <v>9</v>
      </c>
      <c r="AA59" s="11">
        <v>9</v>
      </c>
      <c r="AB59" s="11">
        <v>9</v>
      </c>
      <c r="AC59" s="11">
        <v>9</v>
      </c>
      <c r="AD59" s="11">
        <v>9</v>
      </c>
      <c r="AE59" s="11">
        <v>9</v>
      </c>
      <c r="AF59" s="11">
        <v>9</v>
      </c>
      <c r="AG59" s="11">
        <v>9</v>
      </c>
      <c r="AH59" s="11">
        <v>9</v>
      </c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</row>
    <row r="60" spans="1:53" x14ac:dyDescent="0.3">
      <c r="A60" s="13" t="s">
        <v>57</v>
      </c>
      <c r="B60" s="14">
        <v>9</v>
      </c>
      <c r="C60" s="14">
        <v>9</v>
      </c>
      <c r="D60" s="14">
        <v>9</v>
      </c>
      <c r="E60" s="14">
        <v>9</v>
      </c>
      <c r="F60" s="14">
        <v>9</v>
      </c>
      <c r="G60" s="14">
        <v>9</v>
      </c>
      <c r="H60" s="14">
        <v>9</v>
      </c>
      <c r="I60" s="14">
        <v>9</v>
      </c>
      <c r="J60" s="14">
        <v>9</v>
      </c>
      <c r="K60" s="14">
        <v>9</v>
      </c>
      <c r="L60" s="14">
        <v>9</v>
      </c>
      <c r="M60" s="14">
        <v>9</v>
      </c>
      <c r="N60" s="14">
        <v>9</v>
      </c>
      <c r="O60" s="14">
        <v>9</v>
      </c>
      <c r="P60" s="14">
        <v>9</v>
      </c>
      <c r="Q60" s="14">
        <v>9</v>
      </c>
      <c r="R60" s="14">
        <v>9</v>
      </c>
      <c r="S60" s="14">
        <v>9</v>
      </c>
      <c r="T60" s="14">
        <v>9</v>
      </c>
      <c r="U60" s="14">
        <v>9</v>
      </c>
      <c r="V60" s="14">
        <v>9</v>
      </c>
      <c r="W60" s="14">
        <v>9</v>
      </c>
      <c r="X60" s="14">
        <v>9</v>
      </c>
      <c r="Y60" s="14">
        <v>9</v>
      </c>
      <c r="Z60" s="14">
        <v>9</v>
      </c>
      <c r="AA60" s="14">
        <v>9</v>
      </c>
      <c r="AB60" s="14">
        <v>9</v>
      </c>
      <c r="AC60" s="14">
        <v>9</v>
      </c>
      <c r="AD60" s="14">
        <v>9</v>
      </c>
      <c r="AE60" s="14">
        <v>9</v>
      </c>
      <c r="AF60" s="14">
        <v>9</v>
      </c>
      <c r="AG60" s="14">
        <v>9</v>
      </c>
      <c r="AH60" s="14">
        <v>9</v>
      </c>
      <c r="AI60" s="14"/>
      <c r="AJ60" s="14"/>
      <c r="AK60" s="14"/>
      <c r="AL60" s="14"/>
      <c r="AM60" s="14"/>
      <c r="AN60" s="14"/>
      <c r="AO60" s="14"/>
      <c r="AP60" s="14"/>
      <c r="AQ60" s="14"/>
      <c r="AR60" s="14"/>
      <c r="AS60" s="14"/>
      <c r="AT60" s="14"/>
      <c r="AU60" s="14"/>
      <c r="AV60" s="14"/>
      <c r="AW60" s="14"/>
      <c r="AX60" s="14"/>
      <c r="AY60" s="14"/>
      <c r="AZ60" s="14"/>
      <c r="BA60" s="14"/>
    </row>
    <row r="61" spans="1:53" x14ac:dyDescent="0.3">
      <c r="A61" s="15" t="s">
        <v>58</v>
      </c>
      <c r="B61" s="25">
        <v>8</v>
      </c>
      <c r="C61" s="25">
        <v>8</v>
      </c>
      <c r="D61" s="25">
        <v>8</v>
      </c>
      <c r="E61" s="25">
        <v>8</v>
      </c>
      <c r="F61" s="25">
        <v>8</v>
      </c>
      <c r="G61" s="25">
        <v>8</v>
      </c>
      <c r="H61" s="25">
        <v>8</v>
      </c>
      <c r="I61" s="25">
        <v>8</v>
      </c>
      <c r="J61" s="25">
        <v>8</v>
      </c>
      <c r="K61" s="25">
        <v>8</v>
      </c>
      <c r="L61" s="25">
        <v>8</v>
      </c>
      <c r="M61" s="25">
        <v>8</v>
      </c>
      <c r="N61" s="25">
        <v>8</v>
      </c>
      <c r="O61" s="25">
        <v>8</v>
      </c>
      <c r="P61" s="25">
        <v>8</v>
      </c>
      <c r="Q61" s="25">
        <v>8</v>
      </c>
      <c r="R61" s="25">
        <v>8</v>
      </c>
      <c r="S61" s="25">
        <v>8</v>
      </c>
      <c r="T61" s="25">
        <v>8</v>
      </c>
      <c r="U61" s="25">
        <v>8</v>
      </c>
      <c r="V61" s="25">
        <v>8</v>
      </c>
      <c r="W61" s="25">
        <v>8</v>
      </c>
      <c r="X61" s="25">
        <v>8</v>
      </c>
      <c r="Y61" s="25">
        <v>8</v>
      </c>
      <c r="Z61" s="25">
        <v>8</v>
      </c>
      <c r="AA61" s="25">
        <v>8</v>
      </c>
      <c r="AB61" s="25">
        <v>8</v>
      </c>
      <c r="AC61" s="25">
        <v>8</v>
      </c>
      <c r="AD61" s="25">
        <v>8</v>
      </c>
      <c r="AE61" s="25">
        <v>8</v>
      </c>
      <c r="AF61" s="25">
        <v>8</v>
      </c>
      <c r="AG61" s="25">
        <v>8</v>
      </c>
      <c r="AH61" s="25">
        <v>8</v>
      </c>
      <c r="AI61" s="25"/>
      <c r="AJ61" s="25"/>
      <c r="AK61" s="25"/>
      <c r="AL61" s="25"/>
      <c r="AM61" s="25"/>
      <c r="AN61" s="25"/>
      <c r="AO61" s="25"/>
      <c r="AP61" s="25"/>
      <c r="AQ61" s="25"/>
      <c r="AR61" s="25"/>
      <c r="AS61" s="25"/>
      <c r="AT61" s="25"/>
      <c r="AU61" s="25"/>
      <c r="AV61" s="25"/>
      <c r="AW61" s="25"/>
      <c r="AX61" s="25"/>
      <c r="AY61" s="25"/>
      <c r="AZ61" s="25"/>
      <c r="BA61" s="25"/>
    </row>
    <row r="62" spans="1:53" x14ac:dyDescent="0.3">
      <c r="A62" s="26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X62" s="19"/>
      <c r="AY62" s="19"/>
      <c r="AZ62" s="19"/>
      <c r="BA62" s="19"/>
    </row>
    <row r="63" spans="1:53" x14ac:dyDescent="0.3">
      <c r="A63" s="26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19"/>
    </row>
    <row r="64" spans="1:53" x14ac:dyDescent="0.3">
      <c r="A64" s="26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  <c r="AS64" s="19"/>
      <c r="AT64" s="19"/>
      <c r="AU64" s="19"/>
      <c r="AV64" s="19"/>
      <c r="AW64" s="19"/>
      <c r="AX64" s="19"/>
      <c r="AY64" s="19"/>
      <c r="AZ64" s="19"/>
      <c r="BA64" s="19"/>
    </row>
    <row r="65" spans="1:55" ht="15" thickBot="1" x14ac:dyDescent="0.35">
      <c r="A65" s="26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</row>
    <row r="66" spans="1:55" ht="18" x14ac:dyDescent="0.35">
      <c r="A66" s="4" t="s">
        <v>1</v>
      </c>
      <c r="B66" s="5" t="s">
        <v>48</v>
      </c>
      <c r="C66" s="6" t="s">
        <v>49</v>
      </c>
      <c r="E66" s="7"/>
    </row>
    <row r="67" spans="1:55" ht="18.600000000000001" thickBot="1" x14ac:dyDescent="0.4">
      <c r="A67" s="8" t="s">
        <v>45</v>
      </c>
      <c r="B67" s="7">
        <v>5</v>
      </c>
      <c r="C67" s="9" t="s">
        <v>150</v>
      </c>
      <c r="D67" s="146"/>
    </row>
    <row r="68" spans="1:55" x14ac:dyDescent="0.3">
      <c r="A68" s="10" t="s">
        <v>50</v>
      </c>
      <c r="B68" s="11">
        <v>1</v>
      </c>
      <c r="C68" s="11">
        <v>2</v>
      </c>
      <c r="D68" s="11">
        <v>3</v>
      </c>
      <c r="E68" s="11">
        <v>4</v>
      </c>
      <c r="F68" s="11">
        <v>5</v>
      </c>
      <c r="G68" s="11">
        <v>6</v>
      </c>
      <c r="H68" s="11">
        <v>7</v>
      </c>
      <c r="I68" s="11">
        <v>8</v>
      </c>
      <c r="J68" s="11">
        <v>9</v>
      </c>
      <c r="K68" s="11">
        <v>10</v>
      </c>
      <c r="L68" s="11">
        <v>11</v>
      </c>
      <c r="M68" s="11">
        <v>12</v>
      </c>
      <c r="N68" s="11">
        <v>13</v>
      </c>
      <c r="O68" s="11">
        <v>14</v>
      </c>
      <c r="P68" s="11">
        <v>15</v>
      </c>
      <c r="Q68" s="11">
        <v>16</v>
      </c>
      <c r="R68" s="11">
        <v>17</v>
      </c>
      <c r="S68" s="11">
        <v>18</v>
      </c>
      <c r="T68" s="11">
        <v>19</v>
      </c>
      <c r="U68" s="11">
        <v>20</v>
      </c>
      <c r="V68" s="11">
        <v>21</v>
      </c>
      <c r="W68" s="11">
        <v>22</v>
      </c>
      <c r="X68" s="11">
        <v>23</v>
      </c>
      <c r="Y68" s="11">
        <v>24</v>
      </c>
      <c r="Z68" s="11">
        <v>25</v>
      </c>
      <c r="AA68" s="11">
        <v>26</v>
      </c>
      <c r="AB68" s="11">
        <v>27</v>
      </c>
      <c r="AC68" s="11">
        <v>28</v>
      </c>
      <c r="AD68" s="11">
        <v>29</v>
      </c>
      <c r="AE68" s="11">
        <v>30</v>
      </c>
      <c r="AF68" s="11">
        <v>31</v>
      </c>
      <c r="AG68" s="11">
        <v>32</v>
      </c>
      <c r="AH68" s="11">
        <v>33</v>
      </c>
      <c r="AI68" s="11">
        <v>34</v>
      </c>
      <c r="AJ68" s="11">
        <v>35</v>
      </c>
      <c r="AK68" s="11">
        <v>36</v>
      </c>
      <c r="AL68" s="11">
        <v>37</v>
      </c>
      <c r="AM68" s="11">
        <v>38</v>
      </c>
      <c r="AN68" s="11">
        <v>39</v>
      </c>
      <c r="AO68" s="11">
        <v>40</v>
      </c>
      <c r="AP68" s="11">
        <v>41</v>
      </c>
      <c r="AQ68" s="11">
        <v>42</v>
      </c>
      <c r="AR68" s="11">
        <v>43</v>
      </c>
      <c r="AS68" s="11">
        <v>44</v>
      </c>
      <c r="AT68" s="11">
        <v>45</v>
      </c>
      <c r="AU68" s="11">
        <v>46</v>
      </c>
      <c r="AV68" s="11">
        <v>47</v>
      </c>
      <c r="AW68" s="11">
        <v>48</v>
      </c>
      <c r="AX68" s="11">
        <v>49</v>
      </c>
      <c r="AY68" s="11">
        <v>50</v>
      </c>
      <c r="AZ68" s="11">
        <v>51</v>
      </c>
      <c r="BA68" s="12">
        <v>52</v>
      </c>
    </row>
    <row r="69" spans="1:55" x14ac:dyDescent="0.3">
      <c r="A69" s="13" t="s">
        <v>51</v>
      </c>
      <c r="B69" s="14">
        <v>85</v>
      </c>
      <c r="C69" s="14">
        <v>85</v>
      </c>
      <c r="D69" s="14">
        <v>85</v>
      </c>
      <c r="E69" s="14">
        <v>85</v>
      </c>
      <c r="F69" s="14">
        <v>85</v>
      </c>
      <c r="G69" s="14">
        <v>85</v>
      </c>
      <c r="H69" s="14">
        <v>85</v>
      </c>
      <c r="I69" s="14">
        <v>85</v>
      </c>
      <c r="J69" s="14">
        <v>85</v>
      </c>
      <c r="K69" s="14">
        <v>85</v>
      </c>
      <c r="L69" s="14">
        <v>85</v>
      </c>
      <c r="M69" s="14">
        <v>85</v>
      </c>
      <c r="N69" s="14">
        <v>85</v>
      </c>
      <c r="O69" s="14">
        <v>85</v>
      </c>
      <c r="P69" s="14">
        <v>85</v>
      </c>
      <c r="Q69" s="14">
        <v>85</v>
      </c>
      <c r="R69" s="14">
        <v>85</v>
      </c>
      <c r="S69" s="14">
        <v>85</v>
      </c>
      <c r="T69" s="14">
        <v>85</v>
      </c>
      <c r="U69" s="14">
        <v>85</v>
      </c>
      <c r="V69" s="14">
        <v>85</v>
      </c>
      <c r="W69" s="14">
        <v>85</v>
      </c>
      <c r="X69" s="14">
        <v>85</v>
      </c>
      <c r="Y69" s="14">
        <v>85</v>
      </c>
      <c r="Z69" s="14">
        <v>85</v>
      </c>
      <c r="AA69" s="14">
        <v>85</v>
      </c>
      <c r="AB69" s="14">
        <v>85</v>
      </c>
      <c r="AC69" s="14">
        <v>85</v>
      </c>
      <c r="AD69" s="14">
        <v>85</v>
      </c>
      <c r="AE69" s="14">
        <v>85</v>
      </c>
      <c r="AF69" s="14">
        <v>85</v>
      </c>
      <c r="AG69" s="14">
        <v>85</v>
      </c>
      <c r="AH69" s="14">
        <v>85</v>
      </c>
      <c r="AI69" s="14">
        <v>85</v>
      </c>
      <c r="AJ69" s="14">
        <v>85</v>
      </c>
      <c r="AK69" s="14">
        <v>85</v>
      </c>
      <c r="AL69" s="14">
        <v>85</v>
      </c>
      <c r="AM69" s="14">
        <v>85</v>
      </c>
      <c r="AN69" s="14">
        <v>85</v>
      </c>
      <c r="AO69" s="14">
        <v>85</v>
      </c>
      <c r="AP69" s="14">
        <v>85</v>
      </c>
      <c r="AQ69" s="14">
        <v>85</v>
      </c>
      <c r="AR69" s="14">
        <v>85</v>
      </c>
      <c r="AS69" s="14">
        <v>85</v>
      </c>
      <c r="AT69" s="14">
        <v>85</v>
      </c>
      <c r="AU69" s="14">
        <v>85</v>
      </c>
      <c r="AV69" s="14">
        <v>85</v>
      </c>
      <c r="AW69" s="14">
        <v>85</v>
      </c>
      <c r="AX69" s="14">
        <v>85</v>
      </c>
      <c r="AY69" s="14">
        <v>85</v>
      </c>
      <c r="AZ69" s="14">
        <v>85</v>
      </c>
      <c r="BA69" s="14">
        <v>85</v>
      </c>
    </row>
    <row r="70" spans="1:55" ht="15" thickBot="1" x14ac:dyDescent="0.35">
      <c r="A70" s="15" t="s">
        <v>52</v>
      </c>
      <c r="B70" s="16"/>
      <c r="C70" s="16"/>
      <c r="D70" s="16"/>
      <c r="E70" s="16"/>
      <c r="F70" s="16"/>
      <c r="G70" s="16">
        <f>'week 07'!I5</f>
        <v>87</v>
      </c>
      <c r="H70" s="16">
        <f>'week 08'!I5</f>
        <v>88</v>
      </c>
      <c r="I70" s="16">
        <f>'week 09'!I5</f>
        <v>87</v>
      </c>
      <c r="J70" s="16">
        <f>'week 10'!I5</f>
        <v>88</v>
      </c>
      <c r="K70" s="16">
        <f>'week 11'!J5</f>
        <v>86</v>
      </c>
      <c r="L70" s="16">
        <f>'week 12'!I5</f>
        <v>88</v>
      </c>
      <c r="M70" s="16">
        <f>'week 13'!I5</f>
        <v>87</v>
      </c>
      <c r="N70" s="16">
        <f>'week 14'!I5</f>
        <v>88</v>
      </c>
      <c r="O70" s="16">
        <f>'week 15'!I5</f>
        <v>88</v>
      </c>
      <c r="P70" s="16">
        <f>'week 16'!I5</f>
        <v>87</v>
      </c>
      <c r="Q70" s="16">
        <f>'week 17'!I5</f>
        <v>87</v>
      </c>
      <c r="R70" s="16">
        <f>'week 18'!I5</f>
        <v>88</v>
      </c>
      <c r="S70" s="16">
        <f>'week 19'!I5</f>
        <v>88</v>
      </c>
      <c r="T70" s="16">
        <f>'week 20'!I5</f>
        <v>88</v>
      </c>
      <c r="U70" s="16">
        <f>'week 21'!J5</f>
        <v>89</v>
      </c>
      <c r="V70" s="16">
        <f>'week 22'!J5</f>
        <v>87</v>
      </c>
      <c r="W70" s="16">
        <f>'week 23'!J5</f>
        <v>88</v>
      </c>
      <c r="X70" s="16">
        <f>'week 24'!J5</f>
        <v>89</v>
      </c>
      <c r="Y70" s="16">
        <f>'week 25'!J5</f>
        <v>88</v>
      </c>
      <c r="Z70" s="16">
        <f>'week 26 '!J6</f>
        <v>88</v>
      </c>
      <c r="AA70" s="16">
        <v>87</v>
      </c>
      <c r="AB70" s="16">
        <v>88</v>
      </c>
      <c r="AC70" s="16">
        <v>87</v>
      </c>
      <c r="AD70" s="16">
        <v>88</v>
      </c>
      <c r="AE70" s="16">
        <v>87</v>
      </c>
      <c r="AF70" s="16">
        <v>87</v>
      </c>
      <c r="AG70" s="16">
        <v>87</v>
      </c>
      <c r="AH70" s="16">
        <v>87</v>
      </c>
      <c r="AI70" s="16">
        <v>86</v>
      </c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16"/>
      <c r="AX70" s="16"/>
      <c r="AY70" s="16"/>
      <c r="AZ70" s="16"/>
      <c r="BA70" s="17"/>
    </row>
    <row r="71" spans="1:55" x14ac:dyDescent="0.3">
      <c r="A71" s="18" t="s">
        <v>50</v>
      </c>
      <c r="B71" s="19">
        <v>1</v>
      </c>
      <c r="C71" s="19">
        <v>2</v>
      </c>
      <c r="D71" s="19">
        <v>3</v>
      </c>
      <c r="E71" s="19">
        <v>4</v>
      </c>
      <c r="F71" s="19">
        <v>5</v>
      </c>
      <c r="G71" s="19">
        <v>6</v>
      </c>
      <c r="H71" s="19">
        <v>7</v>
      </c>
      <c r="I71" s="19">
        <v>8</v>
      </c>
      <c r="J71" s="19">
        <v>9</v>
      </c>
      <c r="K71" s="19">
        <v>10</v>
      </c>
      <c r="L71" s="19">
        <v>11</v>
      </c>
      <c r="M71" s="19">
        <v>12</v>
      </c>
      <c r="N71" s="19">
        <v>13</v>
      </c>
      <c r="O71" s="19">
        <v>14</v>
      </c>
      <c r="P71" s="19">
        <v>15</v>
      </c>
      <c r="Q71" s="19">
        <v>16</v>
      </c>
      <c r="R71" s="19">
        <v>17</v>
      </c>
      <c r="S71" s="19">
        <v>18</v>
      </c>
      <c r="T71" s="19">
        <v>19</v>
      </c>
      <c r="U71" s="19">
        <v>20</v>
      </c>
      <c r="V71" s="19">
        <v>21</v>
      </c>
      <c r="W71" s="19">
        <v>22</v>
      </c>
      <c r="X71" s="19">
        <v>23</v>
      </c>
      <c r="Y71" s="19">
        <v>24</v>
      </c>
      <c r="Z71" s="19">
        <v>25</v>
      </c>
      <c r="AA71" s="19">
        <v>26</v>
      </c>
      <c r="AB71" s="19">
        <v>27</v>
      </c>
      <c r="AC71" s="19">
        <v>28</v>
      </c>
      <c r="AD71" s="19">
        <v>29</v>
      </c>
      <c r="AE71" s="19">
        <v>30</v>
      </c>
      <c r="AF71" s="19">
        <v>31</v>
      </c>
      <c r="AG71" s="19">
        <v>32</v>
      </c>
      <c r="AH71" s="19">
        <v>33</v>
      </c>
      <c r="AI71" s="19">
        <v>34</v>
      </c>
      <c r="AJ71" s="19">
        <v>35</v>
      </c>
      <c r="AK71" s="19">
        <v>36</v>
      </c>
      <c r="AL71" s="19">
        <v>37</v>
      </c>
      <c r="AM71" s="19">
        <v>38</v>
      </c>
      <c r="AN71" s="19">
        <v>39</v>
      </c>
      <c r="AO71" s="19">
        <v>40</v>
      </c>
      <c r="AP71" s="19">
        <v>41</v>
      </c>
      <c r="AQ71" s="19">
        <v>42</v>
      </c>
      <c r="AR71" s="19">
        <v>43</v>
      </c>
      <c r="AS71" s="19">
        <v>44</v>
      </c>
      <c r="AT71" s="19">
        <v>45</v>
      </c>
      <c r="AU71" s="19">
        <v>46</v>
      </c>
      <c r="AV71" s="19">
        <v>47</v>
      </c>
      <c r="AW71" s="19">
        <v>48</v>
      </c>
      <c r="AX71" s="19">
        <v>49</v>
      </c>
      <c r="AY71" s="19">
        <v>50</v>
      </c>
      <c r="AZ71" s="19">
        <v>51</v>
      </c>
      <c r="BA71" s="20">
        <v>52</v>
      </c>
    </row>
    <row r="72" spans="1:55" x14ac:dyDescent="0.3">
      <c r="A72" s="147" t="s">
        <v>53</v>
      </c>
      <c r="B72" s="21">
        <v>68</v>
      </c>
      <c r="C72" s="21">
        <v>68</v>
      </c>
      <c r="D72" s="21">
        <v>68</v>
      </c>
      <c r="E72" s="21">
        <v>68</v>
      </c>
      <c r="F72" s="21">
        <v>68</v>
      </c>
      <c r="G72" s="21">
        <v>68</v>
      </c>
      <c r="H72" s="21">
        <v>68</v>
      </c>
      <c r="I72" s="21">
        <v>68</v>
      </c>
      <c r="J72" s="21">
        <v>68</v>
      </c>
      <c r="K72" s="21">
        <v>68</v>
      </c>
      <c r="L72" s="21">
        <v>68</v>
      </c>
      <c r="M72" s="21">
        <v>68</v>
      </c>
      <c r="N72" s="21">
        <v>68</v>
      </c>
      <c r="O72" s="21">
        <v>68</v>
      </c>
      <c r="P72" s="21">
        <v>68</v>
      </c>
      <c r="Q72" s="21">
        <v>68</v>
      </c>
      <c r="R72" s="21">
        <v>68</v>
      </c>
      <c r="S72" s="21">
        <v>68</v>
      </c>
      <c r="T72" s="21">
        <v>68</v>
      </c>
      <c r="U72" s="21">
        <v>68</v>
      </c>
      <c r="V72" s="21">
        <v>68</v>
      </c>
      <c r="W72" s="21">
        <v>68</v>
      </c>
      <c r="X72" s="21">
        <v>68</v>
      </c>
      <c r="Y72" s="21">
        <v>68</v>
      </c>
      <c r="Z72" s="21">
        <v>68</v>
      </c>
      <c r="AA72" s="21">
        <v>68</v>
      </c>
      <c r="AB72" s="21">
        <v>68</v>
      </c>
      <c r="AC72" s="21">
        <v>68</v>
      </c>
      <c r="AD72" s="21">
        <v>68</v>
      </c>
      <c r="AE72" s="21">
        <v>68</v>
      </c>
      <c r="AF72" s="21">
        <v>68</v>
      </c>
      <c r="AG72" s="21">
        <v>68</v>
      </c>
      <c r="AH72" s="21">
        <v>68</v>
      </c>
      <c r="AI72" s="21">
        <v>68</v>
      </c>
      <c r="AJ72" s="21">
        <v>68</v>
      </c>
      <c r="AK72" s="21">
        <v>68</v>
      </c>
      <c r="AL72" s="21">
        <v>68</v>
      </c>
      <c r="AM72" s="21">
        <v>68</v>
      </c>
      <c r="AN72" s="21">
        <v>68</v>
      </c>
      <c r="AO72" s="21">
        <v>68</v>
      </c>
      <c r="AP72" s="21">
        <v>68</v>
      </c>
      <c r="AQ72" s="21">
        <v>68</v>
      </c>
      <c r="AR72" s="21">
        <v>68</v>
      </c>
      <c r="AS72" s="21">
        <v>68</v>
      </c>
      <c r="AT72" s="21">
        <v>68</v>
      </c>
      <c r="AU72" s="21">
        <v>68</v>
      </c>
      <c r="AV72" s="21">
        <v>68</v>
      </c>
      <c r="AW72" s="21">
        <v>68</v>
      </c>
      <c r="AX72" s="21">
        <v>68</v>
      </c>
      <c r="AY72" s="21">
        <v>68</v>
      </c>
      <c r="AZ72" s="21">
        <v>68</v>
      </c>
      <c r="BA72" s="21">
        <v>68</v>
      </c>
      <c r="BB72" s="21"/>
      <c r="BC72" s="21">
        <v>68</v>
      </c>
    </row>
    <row r="73" spans="1:55" x14ac:dyDescent="0.3">
      <c r="A73" s="18" t="s">
        <v>54</v>
      </c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>
        <f>'week 17'!G6</f>
        <v>11</v>
      </c>
      <c r="R73" s="22">
        <f>'week 18'!G6</f>
        <v>10</v>
      </c>
      <c r="S73" s="22">
        <f>'week 19'!G6</f>
        <v>24</v>
      </c>
      <c r="T73" s="22">
        <f>'week 20'!G6</f>
        <v>23</v>
      </c>
      <c r="U73" s="22">
        <f>'week 21'!H6</f>
        <v>71</v>
      </c>
      <c r="V73" s="22">
        <f>'week 22'!H6</f>
        <v>72</v>
      </c>
      <c r="W73" s="22">
        <f>'week 23'!H6</f>
        <v>71</v>
      </c>
      <c r="X73" s="22">
        <f>'week 24'!H6</f>
        <v>21</v>
      </c>
      <c r="Y73" s="22">
        <f>'week 25'!H6</f>
        <v>48</v>
      </c>
      <c r="Z73" s="22">
        <f>'week 26 '!H6</f>
        <v>91</v>
      </c>
      <c r="AA73" s="22">
        <v>45</v>
      </c>
      <c r="AB73" s="22">
        <v>64</v>
      </c>
      <c r="AC73" s="22">
        <v>67</v>
      </c>
      <c r="AD73" s="22">
        <v>40</v>
      </c>
      <c r="AE73" s="22">
        <v>68</v>
      </c>
      <c r="AF73" s="22">
        <v>84</v>
      </c>
      <c r="AG73" s="22">
        <v>51</v>
      </c>
      <c r="AH73" s="22">
        <v>51</v>
      </c>
      <c r="AI73" s="22">
        <v>21</v>
      </c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3"/>
    </row>
    <row r="74" spans="1:55" ht="63" customHeight="1" thickBot="1" x14ac:dyDescent="0.35">
      <c r="A74" s="15" t="s">
        <v>55</v>
      </c>
      <c r="B74" s="16"/>
      <c r="C74" s="16"/>
      <c r="D74" s="16"/>
      <c r="E74" s="24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24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24"/>
      <c r="AC74" s="24"/>
      <c r="AD74" s="16"/>
      <c r="AE74" s="16"/>
      <c r="AF74" s="148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6"/>
      <c r="AU74" s="16"/>
      <c r="AV74" s="16"/>
      <c r="AW74" s="16"/>
      <c r="AX74" s="16"/>
      <c r="AY74" s="16"/>
      <c r="AZ74" s="16"/>
      <c r="BA74" s="17"/>
    </row>
    <row r="75" spans="1:55" x14ac:dyDescent="0.3">
      <c r="A75" s="10" t="s">
        <v>56</v>
      </c>
      <c r="B75" s="11"/>
      <c r="C75" s="11"/>
      <c r="D75" s="11"/>
      <c r="E75" s="11"/>
      <c r="F75" s="11"/>
      <c r="G75" s="11">
        <v>9</v>
      </c>
      <c r="H75" s="11">
        <v>9</v>
      </c>
      <c r="I75" s="11">
        <v>9</v>
      </c>
      <c r="J75" s="11">
        <v>9</v>
      </c>
      <c r="K75" s="11">
        <v>9</v>
      </c>
      <c r="L75" s="11">
        <v>9</v>
      </c>
      <c r="M75" s="11">
        <v>9</v>
      </c>
      <c r="N75" s="11">
        <v>9</v>
      </c>
      <c r="O75" s="11">
        <v>9</v>
      </c>
      <c r="P75" s="11">
        <v>9</v>
      </c>
      <c r="Q75" s="11">
        <v>9</v>
      </c>
      <c r="R75" s="11">
        <v>9</v>
      </c>
      <c r="S75" s="11">
        <v>9</v>
      </c>
      <c r="T75" s="11">
        <v>9</v>
      </c>
      <c r="U75" s="11">
        <v>9</v>
      </c>
      <c r="V75" s="11">
        <v>9</v>
      </c>
      <c r="W75" s="11">
        <v>9</v>
      </c>
      <c r="X75" s="11">
        <v>9</v>
      </c>
      <c r="Y75" s="11">
        <v>9</v>
      </c>
      <c r="Z75" s="11">
        <v>9</v>
      </c>
      <c r="AA75" s="11">
        <v>9</v>
      </c>
      <c r="AB75" s="11">
        <v>9</v>
      </c>
      <c r="AC75" s="11">
        <v>9</v>
      </c>
      <c r="AD75" s="11">
        <v>9</v>
      </c>
      <c r="AE75" s="11">
        <v>9</v>
      </c>
      <c r="AF75" s="11">
        <v>9</v>
      </c>
      <c r="AG75" s="11">
        <v>9</v>
      </c>
      <c r="AH75" s="11">
        <v>9</v>
      </c>
      <c r="AI75" s="11">
        <v>9</v>
      </c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1"/>
      <c r="AV75" s="11"/>
      <c r="AW75" s="11"/>
      <c r="AX75" s="11"/>
      <c r="AY75" s="11"/>
      <c r="AZ75" s="11"/>
      <c r="BA75" s="11"/>
    </row>
    <row r="76" spans="1:55" x14ac:dyDescent="0.3">
      <c r="A76" s="13" t="s">
        <v>57</v>
      </c>
      <c r="B76" s="14"/>
      <c r="C76" s="14"/>
      <c r="D76" s="14"/>
      <c r="E76" s="14"/>
      <c r="F76" s="14"/>
      <c r="G76" s="14">
        <v>9</v>
      </c>
      <c r="H76" s="14">
        <v>9</v>
      </c>
      <c r="I76" s="14">
        <v>9</v>
      </c>
      <c r="J76" s="14">
        <v>9</v>
      </c>
      <c r="K76" s="14">
        <v>9</v>
      </c>
      <c r="L76" s="14">
        <v>9</v>
      </c>
      <c r="M76" s="14">
        <v>9</v>
      </c>
      <c r="N76" s="14">
        <v>9</v>
      </c>
      <c r="O76" s="14">
        <v>9</v>
      </c>
      <c r="P76" s="14">
        <v>9</v>
      </c>
      <c r="Q76" s="14">
        <v>9</v>
      </c>
      <c r="R76" s="14">
        <v>9</v>
      </c>
      <c r="S76" s="14">
        <v>9</v>
      </c>
      <c r="T76" s="14">
        <v>9</v>
      </c>
      <c r="U76" s="14">
        <v>9</v>
      </c>
      <c r="V76" s="14">
        <v>9</v>
      </c>
      <c r="W76" s="14">
        <v>9</v>
      </c>
      <c r="X76" s="14">
        <v>9</v>
      </c>
      <c r="Y76" s="14">
        <v>9</v>
      </c>
      <c r="Z76" s="14">
        <v>9</v>
      </c>
      <c r="AA76" s="14">
        <v>9</v>
      </c>
      <c r="AB76" s="14">
        <v>9</v>
      </c>
      <c r="AC76" s="14">
        <v>9</v>
      </c>
      <c r="AD76" s="14">
        <v>9</v>
      </c>
      <c r="AE76" s="14">
        <v>9</v>
      </c>
      <c r="AF76" s="14">
        <v>9</v>
      </c>
      <c r="AG76" s="14">
        <v>9</v>
      </c>
      <c r="AH76" s="14">
        <v>9</v>
      </c>
      <c r="AI76" s="14">
        <v>9</v>
      </c>
      <c r="AJ76" s="14"/>
      <c r="AK76" s="14"/>
      <c r="AL76" s="14"/>
      <c r="AM76" s="14"/>
      <c r="AN76" s="14"/>
      <c r="AO76" s="14"/>
      <c r="AP76" s="14"/>
      <c r="AQ76" s="14"/>
      <c r="AR76" s="14"/>
      <c r="AS76" s="14"/>
      <c r="AT76" s="14"/>
      <c r="AU76" s="14"/>
      <c r="AV76" s="14"/>
      <c r="AW76" s="14"/>
      <c r="AX76" s="14"/>
      <c r="AY76" s="14"/>
      <c r="AZ76" s="14"/>
      <c r="BA76" s="14"/>
    </row>
    <row r="77" spans="1:55" ht="15" thickBot="1" x14ac:dyDescent="0.35">
      <c r="A77" s="15" t="s">
        <v>58</v>
      </c>
      <c r="B77" s="25"/>
      <c r="C77" s="25"/>
      <c r="D77" s="25"/>
      <c r="E77" s="25"/>
      <c r="F77" s="25"/>
      <c r="G77" s="25">
        <v>8</v>
      </c>
      <c r="H77" s="25">
        <v>8</v>
      </c>
      <c r="I77" s="25">
        <v>8</v>
      </c>
      <c r="J77" s="25">
        <v>8</v>
      </c>
      <c r="K77" s="25">
        <v>8</v>
      </c>
      <c r="L77" s="25">
        <v>8</v>
      </c>
      <c r="M77" s="25">
        <v>8</v>
      </c>
      <c r="N77" s="25">
        <v>8</v>
      </c>
      <c r="O77" s="25">
        <v>8</v>
      </c>
      <c r="P77" s="25">
        <v>8</v>
      </c>
      <c r="Q77" s="25">
        <v>8</v>
      </c>
      <c r="R77" s="25">
        <v>8</v>
      </c>
      <c r="S77" s="25">
        <v>8</v>
      </c>
      <c r="T77" s="25">
        <v>8</v>
      </c>
      <c r="U77" s="25">
        <v>8</v>
      </c>
      <c r="V77" s="25">
        <v>8</v>
      </c>
      <c r="W77" s="25">
        <v>8</v>
      </c>
      <c r="X77" s="25">
        <v>8</v>
      </c>
      <c r="Y77" s="25">
        <v>8</v>
      </c>
      <c r="Z77" s="25">
        <v>8</v>
      </c>
      <c r="AA77" s="25">
        <v>8</v>
      </c>
      <c r="AB77" s="25">
        <v>8</v>
      </c>
      <c r="AC77" s="25">
        <v>8</v>
      </c>
      <c r="AD77" s="25">
        <v>8</v>
      </c>
      <c r="AE77" s="25">
        <v>8</v>
      </c>
      <c r="AF77" s="25">
        <v>8</v>
      </c>
      <c r="AG77" s="25">
        <v>8</v>
      </c>
      <c r="AH77" s="25">
        <v>8</v>
      </c>
      <c r="AI77" s="25">
        <v>8</v>
      </c>
      <c r="AJ77" s="25"/>
      <c r="AK77" s="25"/>
      <c r="AL77" s="25"/>
      <c r="AM77" s="25"/>
      <c r="AN77" s="25"/>
      <c r="AO77" s="25"/>
      <c r="AP77" s="25"/>
      <c r="AQ77" s="25"/>
      <c r="AR77" s="25"/>
      <c r="AS77" s="25"/>
      <c r="AT77" s="25"/>
      <c r="AU77" s="25"/>
      <c r="AV77" s="25"/>
      <c r="AW77" s="25"/>
      <c r="AX77" s="25"/>
      <c r="AY77" s="25"/>
      <c r="AZ77" s="25"/>
      <c r="BA77" s="25"/>
    </row>
    <row r="78" spans="1:55" x14ac:dyDescent="0.3">
      <c r="A78" s="26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</row>
    <row r="79" spans="1:55" x14ac:dyDescent="0.3">
      <c r="A79" s="26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</row>
    <row r="80" spans="1:55" x14ac:dyDescent="0.3">
      <c r="A80" s="26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</row>
    <row r="82" spans="1:55" ht="18" x14ac:dyDescent="0.35">
      <c r="A82" s="4" t="s">
        <v>1</v>
      </c>
      <c r="B82" s="5" t="s">
        <v>48</v>
      </c>
      <c r="C82" s="6" t="s">
        <v>49</v>
      </c>
      <c r="E82" s="7"/>
    </row>
    <row r="83" spans="1:55" ht="18" x14ac:dyDescent="0.35">
      <c r="A83" s="8"/>
      <c r="B83" s="7"/>
      <c r="C83" s="9"/>
      <c r="D83" s="146"/>
    </row>
    <row r="84" spans="1:55" x14ac:dyDescent="0.3">
      <c r="A84" s="10" t="s">
        <v>50</v>
      </c>
      <c r="B84" s="11">
        <v>1</v>
      </c>
      <c r="C84" s="11">
        <v>2</v>
      </c>
      <c r="D84" s="11">
        <v>3</v>
      </c>
      <c r="E84" s="11">
        <v>4</v>
      </c>
      <c r="F84" s="11">
        <v>5</v>
      </c>
      <c r="G84" s="11">
        <v>6</v>
      </c>
      <c r="H84" s="11">
        <v>7</v>
      </c>
      <c r="I84" s="11">
        <v>8</v>
      </c>
      <c r="J84" s="11">
        <v>9</v>
      </c>
      <c r="K84" s="11">
        <v>10</v>
      </c>
      <c r="L84" s="11">
        <v>11</v>
      </c>
      <c r="M84" s="11">
        <v>12</v>
      </c>
      <c r="N84" s="11">
        <v>13</v>
      </c>
      <c r="O84" s="11">
        <v>14</v>
      </c>
      <c r="P84" s="11">
        <v>15</v>
      </c>
      <c r="Q84" s="11">
        <v>16</v>
      </c>
      <c r="R84" s="11">
        <v>17</v>
      </c>
      <c r="S84" s="11">
        <v>18</v>
      </c>
      <c r="T84" s="11">
        <v>19</v>
      </c>
      <c r="U84" s="11">
        <v>20</v>
      </c>
      <c r="V84" s="11">
        <v>21</v>
      </c>
      <c r="W84" s="11">
        <v>22</v>
      </c>
      <c r="X84" s="11">
        <v>23</v>
      </c>
      <c r="Y84" s="11">
        <v>24</v>
      </c>
      <c r="Z84" s="11">
        <v>25</v>
      </c>
      <c r="AA84" s="11">
        <v>26</v>
      </c>
      <c r="AB84" s="11">
        <v>27</v>
      </c>
      <c r="AC84" s="11">
        <v>28</v>
      </c>
      <c r="AD84" s="11">
        <v>29</v>
      </c>
      <c r="AE84" s="11">
        <v>30</v>
      </c>
      <c r="AF84" s="11">
        <v>31</v>
      </c>
      <c r="AG84" s="11">
        <v>32</v>
      </c>
      <c r="AH84" s="11">
        <v>33</v>
      </c>
      <c r="AI84" s="11">
        <v>34</v>
      </c>
      <c r="AJ84" s="11">
        <v>35</v>
      </c>
      <c r="AK84" s="11">
        <v>36</v>
      </c>
      <c r="AL84" s="11">
        <v>37</v>
      </c>
      <c r="AM84" s="11">
        <v>38</v>
      </c>
      <c r="AN84" s="11">
        <v>39</v>
      </c>
      <c r="AO84" s="11">
        <v>40</v>
      </c>
      <c r="AP84" s="11">
        <v>41</v>
      </c>
      <c r="AQ84" s="11">
        <v>42</v>
      </c>
      <c r="AR84" s="11">
        <v>43</v>
      </c>
      <c r="AS84" s="11">
        <v>44</v>
      </c>
      <c r="AT84" s="11">
        <v>45</v>
      </c>
      <c r="AU84" s="11">
        <v>46</v>
      </c>
      <c r="AV84" s="11">
        <v>47</v>
      </c>
      <c r="AW84" s="11">
        <v>48</v>
      </c>
      <c r="AX84" s="11">
        <v>49</v>
      </c>
      <c r="AY84" s="11">
        <v>50</v>
      </c>
      <c r="AZ84" s="11">
        <v>51</v>
      </c>
      <c r="BA84" s="12">
        <v>52</v>
      </c>
    </row>
    <row r="85" spans="1:55" x14ac:dyDescent="0.3">
      <c r="A85" s="13" t="s">
        <v>51</v>
      </c>
      <c r="B85" s="14">
        <v>85</v>
      </c>
      <c r="C85" s="14">
        <v>85</v>
      </c>
      <c r="D85" s="14">
        <v>85</v>
      </c>
      <c r="E85" s="14">
        <v>85</v>
      </c>
      <c r="F85" s="14">
        <v>85</v>
      </c>
      <c r="G85" s="14">
        <v>85</v>
      </c>
      <c r="H85" s="14">
        <v>85</v>
      </c>
      <c r="I85" s="14">
        <v>85</v>
      </c>
      <c r="J85" s="14">
        <v>85</v>
      </c>
      <c r="K85" s="14">
        <v>85</v>
      </c>
      <c r="L85" s="14">
        <v>85</v>
      </c>
      <c r="M85" s="14">
        <v>85</v>
      </c>
      <c r="N85" s="14">
        <v>85</v>
      </c>
      <c r="O85" s="14">
        <v>85</v>
      </c>
      <c r="P85" s="14">
        <v>85</v>
      </c>
      <c r="Q85" s="14">
        <v>85</v>
      </c>
      <c r="R85" s="14">
        <v>85</v>
      </c>
      <c r="S85" s="14">
        <v>85</v>
      </c>
      <c r="T85" s="14">
        <v>85</v>
      </c>
      <c r="U85" s="14">
        <v>85</v>
      </c>
      <c r="V85" s="14">
        <v>85</v>
      </c>
      <c r="W85" s="14">
        <v>85</v>
      </c>
      <c r="X85" s="14">
        <v>85</v>
      </c>
      <c r="Y85" s="14">
        <v>85</v>
      </c>
      <c r="Z85" s="14">
        <v>85</v>
      </c>
      <c r="AA85" s="14">
        <v>85</v>
      </c>
      <c r="AB85" s="14">
        <v>85</v>
      </c>
      <c r="AC85" s="14">
        <v>85</v>
      </c>
      <c r="AD85" s="14">
        <v>85</v>
      </c>
      <c r="AE85" s="14">
        <v>85</v>
      </c>
      <c r="AF85" s="14">
        <v>85</v>
      </c>
      <c r="AG85" s="14">
        <v>85</v>
      </c>
      <c r="AH85" s="14">
        <v>85</v>
      </c>
      <c r="AI85" s="14">
        <v>85</v>
      </c>
      <c r="AJ85" s="14">
        <v>85</v>
      </c>
      <c r="AK85" s="14">
        <v>85</v>
      </c>
      <c r="AL85" s="14">
        <v>85</v>
      </c>
      <c r="AM85" s="14">
        <v>85</v>
      </c>
      <c r="AN85" s="14">
        <v>85</v>
      </c>
      <c r="AO85" s="14">
        <v>85</v>
      </c>
      <c r="AP85" s="14">
        <v>85</v>
      </c>
      <c r="AQ85" s="14">
        <v>85</v>
      </c>
      <c r="AR85" s="14">
        <v>85</v>
      </c>
      <c r="AS85" s="14">
        <v>85</v>
      </c>
      <c r="AT85" s="14">
        <v>85</v>
      </c>
      <c r="AU85" s="14">
        <v>85</v>
      </c>
      <c r="AV85" s="14">
        <v>85</v>
      </c>
      <c r="AW85" s="14">
        <v>85</v>
      </c>
      <c r="AX85" s="14">
        <v>85</v>
      </c>
      <c r="AY85" s="14">
        <v>85</v>
      </c>
      <c r="AZ85" s="14">
        <v>85</v>
      </c>
      <c r="BA85" s="14">
        <v>85</v>
      </c>
    </row>
    <row r="86" spans="1:55" x14ac:dyDescent="0.3">
      <c r="A86" s="15" t="s">
        <v>52</v>
      </c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M86" s="16"/>
      <c r="AN86" s="16"/>
      <c r="AO86" s="16"/>
      <c r="AP86" s="16"/>
      <c r="AQ86" s="16"/>
      <c r="AR86" s="16"/>
      <c r="AS86" s="16"/>
      <c r="AT86" s="16"/>
      <c r="AU86" s="16"/>
      <c r="AV86" s="16"/>
      <c r="AW86" s="16"/>
      <c r="AX86" s="16"/>
      <c r="AY86" s="16"/>
      <c r="AZ86" s="16"/>
      <c r="BA86" s="17"/>
    </row>
    <row r="87" spans="1:55" x14ac:dyDescent="0.3">
      <c r="A87" s="18" t="s">
        <v>50</v>
      </c>
      <c r="B87" s="19">
        <v>1</v>
      </c>
      <c r="C87" s="19">
        <v>2</v>
      </c>
      <c r="D87" s="19">
        <v>3</v>
      </c>
      <c r="E87" s="19">
        <v>4</v>
      </c>
      <c r="F87" s="19">
        <v>5</v>
      </c>
      <c r="G87" s="19">
        <v>6</v>
      </c>
      <c r="H87" s="19">
        <v>7</v>
      </c>
      <c r="I87" s="19">
        <v>8</v>
      </c>
      <c r="J87" s="19">
        <v>9</v>
      </c>
      <c r="K87" s="19">
        <v>10</v>
      </c>
      <c r="L87" s="19">
        <v>11</v>
      </c>
      <c r="M87" s="19">
        <v>12</v>
      </c>
      <c r="N87" s="19">
        <v>13</v>
      </c>
      <c r="O87" s="19">
        <v>14</v>
      </c>
      <c r="P87" s="19">
        <v>15</v>
      </c>
      <c r="Q87" s="19">
        <v>16</v>
      </c>
      <c r="R87" s="19">
        <v>17</v>
      </c>
      <c r="S87" s="19">
        <v>18</v>
      </c>
      <c r="T87" s="19">
        <v>19</v>
      </c>
      <c r="U87" s="19">
        <v>20</v>
      </c>
      <c r="V87" s="19">
        <v>21</v>
      </c>
      <c r="W87" s="19">
        <v>22</v>
      </c>
      <c r="X87" s="19">
        <v>23</v>
      </c>
      <c r="Y87" s="19">
        <v>24</v>
      </c>
      <c r="Z87" s="19">
        <v>25</v>
      </c>
      <c r="AA87" s="19">
        <v>26</v>
      </c>
      <c r="AB87" s="19">
        <v>27</v>
      </c>
      <c r="AC87" s="19">
        <v>28</v>
      </c>
      <c r="AD87" s="19">
        <v>29</v>
      </c>
      <c r="AE87" s="19">
        <v>30</v>
      </c>
      <c r="AF87" s="19">
        <v>31</v>
      </c>
      <c r="AG87" s="19">
        <v>32</v>
      </c>
      <c r="AH87" s="19">
        <v>33</v>
      </c>
      <c r="AI87" s="19">
        <v>34</v>
      </c>
      <c r="AJ87" s="19">
        <v>35</v>
      </c>
      <c r="AK87" s="19">
        <v>36</v>
      </c>
      <c r="AL87" s="19">
        <v>37</v>
      </c>
      <c r="AM87" s="19">
        <v>38</v>
      </c>
      <c r="AN87" s="19">
        <v>39</v>
      </c>
      <c r="AO87" s="19">
        <v>40</v>
      </c>
      <c r="AP87" s="19">
        <v>41</v>
      </c>
      <c r="AQ87" s="19">
        <v>42</v>
      </c>
      <c r="AR87" s="19">
        <v>43</v>
      </c>
      <c r="AS87" s="19">
        <v>44</v>
      </c>
      <c r="AT87" s="19">
        <v>45</v>
      </c>
      <c r="AU87" s="19">
        <v>46</v>
      </c>
      <c r="AV87" s="19">
        <v>47</v>
      </c>
      <c r="AW87" s="19">
        <v>48</v>
      </c>
      <c r="AX87" s="19">
        <v>49</v>
      </c>
      <c r="AY87" s="19">
        <v>50</v>
      </c>
      <c r="AZ87" s="19">
        <v>51</v>
      </c>
      <c r="BA87" s="20">
        <v>52</v>
      </c>
    </row>
    <row r="88" spans="1:55" x14ac:dyDescent="0.3">
      <c r="A88" s="147" t="s">
        <v>53</v>
      </c>
      <c r="B88" s="21">
        <v>68</v>
      </c>
      <c r="C88" s="21">
        <v>68</v>
      </c>
      <c r="D88" s="21">
        <v>68</v>
      </c>
      <c r="E88" s="21">
        <v>68</v>
      </c>
      <c r="F88" s="21">
        <v>68</v>
      </c>
      <c r="G88" s="21">
        <v>68</v>
      </c>
      <c r="H88" s="21">
        <v>68</v>
      </c>
      <c r="I88" s="21">
        <v>68</v>
      </c>
      <c r="J88" s="21">
        <v>68</v>
      </c>
      <c r="K88" s="21">
        <v>68</v>
      </c>
      <c r="L88" s="21">
        <v>68</v>
      </c>
      <c r="M88" s="21">
        <v>68</v>
      </c>
      <c r="N88" s="21">
        <v>68</v>
      </c>
      <c r="O88" s="21">
        <v>68</v>
      </c>
      <c r="P88" s="21">
        <v>68</v>
      </c>
      <c r="Q88" s="21">
        <v>68</v>
      </c>
      <c r="R88" s="21">
        <v>68</v>
      </c>
      <c r="S88" s="21">
        <v>68</v>
      </c>
      <c r="T88" s="21">
        <v>68</v>
      </c>
      <c r="U88" s="21">
        <v>68</v>
      </c>
      <c r="V88" s="21">
        <v>68</v>
      </c>
      <c r="W88" s="21">
        <v>68</v>
      </c>
      <c r="X88" s="21">
        <v>68</v>
      </c>
      <c r="Y88" s="21">
        <v>68</v>
      </c>
      <c r="Z88" s="21">
        <v>68</v>
      </c>
      <c r="AA88" s="21">
        <v>68</v>
      </c>
      <c r="AB88" s="21">
        <v>68</v>
      </c>
      <c r="AC88" s="21">
        <v>68</v>
      </c>
      <c r="AD88" s="21">
        <v>68</v>
      </c>
      <c r="AE88" s="21">
        <v>68</v>
      </c>
      <c r="AF88" s="21">
        <v>68</v>
      </c>
      <c r="AG88" s="21">
        <v>68</v>
      </c>
      <c r="AH88" s="21">
        <v>68</v>
      </c>
      <c r="AI88" s="21">
        <v>68</v>
      </c>
      <c r="AJ88" s="21">
        <v>68</v>
      </c>
      <c r="AK88" s="21">
        <v>68</v>
      </c>
      <c r="AL88" s="21">
        <v>68</v>
      </c>
      <c r="AM88" s="21">
        <v>68</v>
      </c>
      <c r="AN88" s="21">
        <v>68</v>
      </c>
      <c r="AO88" s="21">
        <v>68</v>
      </c>
      <c r="AP88" s="21">
        <v>68</v>
      </c>
      <c r="AQ88" s="21">
        <v>68</v>
      </c>
      <c r="AR88" s="21">
        <v>68</v>
      </c>
      <c r="AS88" s="21">
        <v>68</v>
      </c>
      <c r="AT88" s="21">
        <v>68</v>
      </c>
      <c r="AU88" s="21">
        <v>68</v>
      </c>
      <c r="AV88" s="21">
        <v>68</v>
      </c>
      <c r="AW88" s="21">
        <v>68</v>
      </c>
      <c r="AX88" s="21">
        <v>68</v>
      </c>
      <c r="AY88" s="21">
        <v>68</v>
      </c>
      <c r="AZ88" s="21">
        <v>68</v>
      </c>
      <c r="BA88" s="21">
        <v>68</v>
      </c>
      <c r="BB88" s="21"/>
      <c r="BC88" s="21">
        <v>68</v>
      </c>
    </row>
    <row r="89" spans="1:55" x14ac:dyDescent="0.3">
      <c r="A89" s="18" t="s">
        <v>54</v>
      </c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3"/>
    </row>
    <row r="90" spans="1:55" ht="48.75" customHeight="1" x14ac:dyDescent="0.3">
      <c r="A90" s="15" t="s">
        <v>55</v>
      </c>
      <c r="B90" s="16"/>
      <c r="C90" s="16"/>
      <c r="D90" s="16"/>
      <c r="E90" s="24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24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24"/>
      <c r="AC90" s="24"/>
      <c r="AD90" s="16"/>
      <c r="AE90" s="16"/>
      <c r="AF90" s="16"/>
      <c r="AG90" s="16"/>
      <c r="AH90" s="16"/>
      <c r="AI90" s="148"/>
      <c r="AJ90" s="16"/>
      <c r="AK90" s="16"/>
      <c r="AL90" s="16"/>
      <c r="AM90" s="16"/>
      <c r="AN90" s="16"/>
      <c r="AO90" s="16"/>
      <c r="AP90" s="16"/>
      <c r="AQ90" s="16"/>
      <c r="AR90" s="16"/>
      <c r="AS90" s="16"/>
      <c r="AT90" s="16"/>
      <c r="AU90" s="16"/>
      <c r="AV90" s="16"/>
      <c r="AW90" s="16"/>
      <c r="AX90" s="16"/>
      <c r="AY90" s="16"/>
      <c r="AZ90" s="16"/>
      <c r="BA90" s="17"/>
    </row>
    <row r="91" spans="1:55" x14ac:dyDescent="0.3">
      <c r="A91" s="10" t="s">
        <v>56</v>
      </c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1"/>
      <c r="AP91" s="11"/>
      <c r="AQ91" s="11"/>
      <c r="AR91" s="11"/>
      <c r="AS91" s="11"/>
      <c r="AT91" s="11"/>
      <c r="AU91" s="11"/>
      <c r="AV91" s="11"/>
      <c r="AW91" s="11"/>
      <c r="AX91" s="11"/>
      <c r="AY91" s="11"/>
      <c r="AZ91" s="11"/>
      <c r="BA91" s="11"/>
    </row>
    <row r="92" spans="1:55" x14ac:dyDescent="0.3">
      <c r="A92" s="13" t="s">
        <v>57</v>
      </c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14"/>
      <c r="AN92" s="14"/>
      <c r="AO92" s="14"/>
      <c r="AP92" s="14"/>
      <c r="AQ92" s="14"/>
      <c r="AR92" s="14"/>
      <c r="AS92" s="14"/>
      <c r="AT92" s="14"/>
      <c r="AU92" s="14"/>
      <c r="AV92" s="14"/>
      <c r="AW92" s="14"/>
      <c r="AX92" s="14"/>
      <c r="AY92" s="14"/>
      <c r="AZ92" s="14"/>
      <c r="BA92" s="14"/>
    </row>
    <row r="93" spans="1:55" x14ac:dyDescent="0.3">
      <c r="A93" s="15" t="s">
        <v>58</v>
      </c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  <c r="AK93" s="25"/>
      <c r="AL93" s="25"/>
      <c r="AM93" s="25"/>
      <c r="AN93" s="25"/>
      <c r="AO93" s="25"/>
      <c r="AP93" s="25"/>
      <c r="AQ93" s="25"/>
      <c r="AR93" s="25"/>
      <c r="AS93" s="25"/>
      <c r="AT93" s="25"/>
      <c r="AU93" s="25"/>
      <c r="AV93" s="25"/>
      <c r="AW93" s="25"/>
      <c r="AX93" s="25"/>
      <c r="AY93" s="25"/>
      <c r="AZ93" s="25"/>
      <c r="BA93" s="25"/>
    </row>
    <row r="94" spans="1:55" x14ac:dyDescent="0.3">
      <c r="A94" s="26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D94" s="19"/>
      <c r="AE94" s="19"/>
      <c r="AF94" s="19"/>
      <c r="AG94" s="19"/>
      <c r="AH94" s="19"/>
      <c r="AI94" s="19"/>
      <c r="AJ94" s="19"/>
      <c r="AK94" s="19"/>
      <c r="AL94" s="19"/>
      <c r="AM94" s="19"/>
      <c r="AN94" s="19"/>
    </row>
    <row r="95" spans="1:55" x14ac:dyDescent="0.3">
      <c r="A95" s="26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D95" s="19"/>
      <c r="AE95" s="19"/>
      <c r="AF95" s="19"/>
      <c r="AG95" s="19"/>
      <c r="AH95" s="19"/>
      <c r="AI95" s="19"/>
      <c r="AJ95" s="19"/>
      <c r="AK95" s="19"/>
      <c r="AL95" s="19"/>
      <c r="AM95" s="19"/>
      <c r="AN95" s="19"/>
    </row>
    <row r="97" spans="1:55" ht="18" x14ac:dyDescent="0.35">
      <c r="A97" s="4" t="s">
        <v>1</v>
      </c>
      <c r="B97" s="5" t="s">
        <v>48</v>
      </c>
      <c r="C97" s="6" t="s">
        <v>49</v>
      </c>
      <c r="E97" s="7"/>
    </row>
    <row r="98" spans="1:55" ht="18" x14ac:dyDescent="0.35">
      <c r="A98" s="8"/>
      <c r="B98" s="7"/>
      <c r="C98" s="9"/>
      <c r="D98" s="146"/>
    </row>
    <row r="99" spans="1:55" x14ac:dyDescent="0.3">
      <c r="A99" s="10" t="s">
        <v>50</v>
      </c>
      <c r="B99" s="11">
        <v>1</v>
      </c>
      <c r="C99" s="11">
        <v>2</v>
      </c>
      <c r="D99" s="11">
        <v>3</v>
      </c>
      <c r="E99" s="11">
        <v>4</v>
      </c>
      <c r="F99" s="11">
        <v>5</v>
      </c>
      <c r="G99" s="11">
        <v>6</v>
      </c>
      <c r="H99" s="11">
        <v>7</v>
      </c>
      <c r="I99" s="11">
        <v>8</v>
      </c>
      <c r="J99" s="11">
        <v>9</v>
      </c>
      <c r="K99" s="11">
        <v>10</v>
      </c>
      <c r="L99" s="11">
        <v>11</v>
      </c>
      <c r="M99" s="11">
        <v>12</v>
      </c>
      <c r="N99" s="11">
        <v>13</v>
      </c>
      <c r="O99" s="11">
        <v>14</v>
      </c>
      <c r="P99" s="11">
        <v>15</v>
      </c>
      <c r="Q99" s="11">
        <v>16</v>
      </c>
      <c r="R99" s="11">
        <v>17</v>
      </c>
      <c r="S99" s="11">
        <v>18</v>
      </c>
      <c r="T99" s="11">
        <v>19</v>
      </c>
      <c r="U99" s="11">
        <v>20</v>
      </c>
      <c r="V99" s="11">
        <v>21</v>
      </c>
      <c r="W99" s="11">
        <v>22</v>
      </c>
      <c r="X99" s="11">
        <v>23</v>
      </c>
      <c r="Y99" s="11">
        <v>24</v>
      </c>
      <c r="Z99" s="11">
        <v>25</v>
      </c>
      <c r="AA99" s="11">
        <v>26</v>
      </c>
      <c r="AB99" s="11">
        <v>27</v>
      </c>
      <c r="AC99" s="11">
        <v>28</v>
      </c>
      <c r="AD99" s="11">
        <v>29</v>
      </c>
      <c r="AE99" s="11">
        <v>30</v>
      </c>
      <c r="AF99" s="11">
        <v>31</v>
      </c>
      <c r="AG99" s="11">
        <v>32</v>
      </c>
      <c r="AH99" s="11">
        <v>33</v>
      </c>
      <c r="AI99" s="11">
        <v>34</v>
      </c>
      <c r="AJ99" s="11">
        <v>35</v>
      </c>
      <c r="AK99" s="11">
        <v>36</v>
      </c>
      <c r="AL99" s="11">
        <v>37</v>
      </c>
      <c r="AM99" s="11">
        <v>38</v>
      </c>
      <c r="AN99" s="11">
        <v>39</v>
      </c>
      <c r="AO99" s="11">
        <v>40</v>
      </c>
      <c r="AP99" s="11">
        <v>41</v>
      </c>
      <c r="AQ99" s="11">
        <v>42</v>
      </c>
      <c r="AR99" s="11">
        <v>43</v>
      </c>
      <c r="AS99" s="11">
        <v>44</v>
      </c>
      <c r="AT99" s="11">
        <v>45</v>
      </c>
      <c r="AU99" s="11">
        <v>46</v>
      </c>
      <c r="AV99" s="11">
        <v>47</v>
      </c>
      <c r="AW99" s="11">
        <v>48</v>
      </c>
      <c r="AX99" s="11">
        <v>49</v>
      </c>
      <c r="AY99" s="11">
        <v>50</v>
      </c>
      <c r="AZ99" s="11">
        <v>51</v>
      </c>
      <c r="BA99" s="12">
        <v>52</v>
      </c>
    </row>
    <row r="100" spans="1:55" x14ac:dyDescent="0.3">
      <c r="A100" s="13" t="s">
        <v>51</v>
      </c>
      <c r="B100" s="14">
        <v>85</v>
      </c>
      <c r="C100" s="14">
        <v>85</v>
      </c>
      <c r="D100" s="14">
        <v>85</v>
      </c>
      <c r="E100" s="14">
        <v>85</v>
      </c>
      <c r="F100" s="14">
        <v>85</v>
      </c>
      <c r="G100" s="14">
        <v>85</v>
      </c>
      <c r="H100" s="14">
        <v>85</v>
      </c>
      <c r="I100" s="14">
        <v>85</v>
      </c>
      <c r="J100" s="14">
        <v>85</v>
      </c>
      <c r="K100" s="14">
        <v>85</v>
      </c>
      <c r="L100" s="14">
        <v>85</v>
      </c>
      <c r="M100" s="14">
        <v>85</v>
      </c>
      <c r="N100" s="14">
        <v>85</v>
      </c>
      <c r="O100" s="14">
        <v>85</v>
      </c>
      <c r="P100" s="14">
        <v>85</v>
      </c>
      <c r="Q100" s="14">
        <v>85</v>
      </c>
      <c r="R100" s="14">
        <v>85</v>
      </c>
      <c r="S100" s="14">
        <v>85</v>
      </c>
      <c r="T100" s="14">
        <v>85</v>
      </c>
      <c r="U100" s="14">
        <v>85</v>
      </c>
      <c r="V100" s="14">
        <v>85</v>
      </c>
      <c r="W100" s="14">
        <v>85</v>
      </c>
      <c r="X100" s="14">
        <v>85</v>
      </c>
      <c r="Y100" s="14">
        <v>85</v>
      </c>
      <c r="Z100" s="14">
        <v>85</v>
      </c>
      <c r="AA100" s="14">
        <v>85</v>
      </c>
      <c r="AB100" s="14">
        <v>85</v>
      </c>
      <c r="AC100" s="14">
        <v>85</v>
      </c>
      <c r="AD100" s="14">
        <v>85</v>
      </c>
      <c r="AE100" s="14">
        <v>85</v>
      </c>
      <c r="AF100" s="14">
        <v>85</v>
      </c>
      <c r="AG100" s="14">
        <v>85</v>
      </c>
      <c r="AH100" s="14">
        <v>85</v>
      </c>
      <c r="AI100" s="14">
        <v>85</v>
      </c>
      <c r="AJ100" s="14">
        <v>85</v>
      </c>
      <c r="AK100" s="14">
        <v>85</v>
      </c>
      <c r="AL100" s="14">
        <v>85</v>
      </c>
      <c r="AM100" s="14">
        <v>85</v>
      </c>
      <c r="AN100" s="14">
        <v>85</v>
      </c>
      <c r="AO100" s="14">
        <v>85</v>
      </c>
      <c r="AP100" s="14">
        <v>85</v>
      </c>
      <c r="AQ100" s="14">
        <v>85</v>
      </c>
      <c r="AR100" s="14">
        <v>85</v>
      </c>
      <c r="AS100" s="14">
        <v>85</v>
      </c>
      <c r="AT100" s="14">
        <v>85</v>
      </c>
      <c r="AU100" s="14">
        <v>85</v>
      </c>
      <c r="AV100" s="14">
        <v>85</v>
      </c>
      <c r="AW100" s="14">
        <v>85</v>
      </c>
      <c r="AX100" s="14">
        <v>85</v>
      </c>
      <c r="AY100" s="14">
        <v>85</v>
      </c>
      <c r="AZ100" s="14">
        <v>85</v>
      </c>
      <c r="BA100" s="14">
        <v>85</v>
      </c>
    </row>
    <row r="101" spans="1:55" x14ac:dyDescent="0.3">
      <c r="A101" s="15" t="s">
        <v>52</v>
      </c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  <c r="AM101" s="16"/>
      <c r="AN101" s="16"/>
      <c r="AO101" s="16"/>
      <c r="AP101" s="16"/>
      <c r="AQ101" s="16"/>
      <c r="AR101" s="16"/>
      <c r="AS101" s="16"/>
      <c r="AT101" s="16"/>
      <c r="AU101" s="16"/>
      <c r="AV101" s="16"/>
      <c r="AW101" s="16"/>
      <c r="AX101" s="16"/>
      <c r="AY101" s="16"/>
      <c r="AZ101" s="16"/>
      <c r="BA101" s="17"/>
    </row>
    <row r="102" spans="1:55" x14ac:dyDescent="0.3">
      <c r="A102" s="18" t="s">
        <v>50</v>
      </c>
      <c r="B102" s="19">
        <v>1</v>
      </c>
      <c r="C102" s="19">
        <v>2</v>
      </c>
      <c r="D102" s="19">
        <v>3</v>
      </c>
      <c r="E102" s="19">
        <v>4</v>
      </c>
      <c r="F102" s="19">
        <v>5</v>
      </c>
      <c r="G102" s="19">
        <v>6</v>
      </c>
      <c r="H102" s="19">
        <v>7</v>
      </c>
      <c r="I102" s="19">
        <v>8</v>
      </c>
      <c r="J102" s="19">
        <v>9</v>
      </c>
      <c r="K102" s="19">
        <v>10</v>
      </c>
      <c r="L102" s="19">
        <v>11</v>
      </c>
      <c r="M102" s="19">
        <v>12</v>
      </c>
      <c r="N102" s="19">
        <v>13</v>
      </c>
      <c r="O102" s="19">
        <v>14</v>
      </c>
      <c r="P102" s="19">
        <v>15</v>
      </c>
      <c r="Q102" s="19">
        <v>16</v>
      </c>
      <c r="R102" s="19">
        <v>17</v>
      </c>
      <c r="S102" s="19">
        <v>18</v>
      </c>
      <c r="T102" s="19">
        <v>19</v>
      </c>
      <c r="U102" s="19">
        <v>20</v>
      </c>
      <c r="V102" s="19">
        <v>21</v>
      </c>
      <c r="W102" s="19">
        <v>22</v>
      </c>
      <c r="X102" s="19">
        <v>23</v>
      </c>
      <c r="Y102" s="19">
        <v>24</v>
      </c>
      <c r="Z102" s="19">
        <v>25</v>
      </c>
      <c r="AA102" s="19">
        <v>26</v>
      </c>
      <c r="AB102" s="19">
        <v>27</v>
      </c>
      <c r="AC102" s="19">
        <v>28</v>
      </c>
      <c r="AD102" s="19">
        <v>29</v>
      </c>
      <c r="AE102" s="19">
        <v>30</v>
      </c>
      <c r="AF102" s="19">
        <v>31</v>
      </c>
      <c r="AG102" s="19">
        <v>32</v>
      </c>
      <c r="AH102" s="19">
        <v>33</v>
      </c>
      <c r="AI102" s="19">
        <v>34</v>
      </c>
      <c r="AJ102" s="19">
        <v>35</v>
      </c>
      <c r="AK102" s="19">
        <v>36</v>
      </c>
      <c r="AL102" s="19">
        <v>37</v>
      </c>
      <c r="AM102" s="19">
        <v>38</v>
      </c>
      <c r="AN102" s="19">
        <v>39</v>
      </c>
      <c r="AO102" s="19">
        <v>40</v>
      </c>
      <c r="AP102" s="19">
        <v>41</v>
      </c>
      <c r="AQ102" s="19">
        <v>42</v>
      </c>
      <c r="AR102" s="19">
        <v>43</v>
      </c>
      <c r="AS102" s="19">
        <v>44</v>
      </c>
      <c r="AT102" s="19">
        <v>45</v>
      </c>
      <c r="AU102" s="19">
        <v>46</v>
      </c>
      <c r="AV102" s="19">
        <v>47</v>
      </c>
      <c r="AW102" s="19">
        <v>48</v>
      </c>
      <c r="AX102" s="19">
        <v>49</v>
      </c>
      <c r="AY102" s="19">
        <v>50</v>
      </c>
      <c r="AZ102" s="19">
        <v>51</v>
      </c>
      <c r="BA102" s="20">
        <v>52</v>
      </c>
    </row>
    <row r="103" spans="1:55" x14ac:dyDescent="0.3">
      <c r="A103" s="147" t="s">
        <v>53</v>
      </c>
      <c r="B103" s="21">
        <v>68</v>
      </c>
      <c r="C103" s="21">
        <v>68</v>
      </c>
      <c r="D103" s="21">
        <v>68</v>
      </c>
      <c r="E103" s="21">
        <v>68</v>
      </c>
      <c r="F103" s="21">
        <v>68</v>
      </c>
      <c r="G103" s="21">
        <v>68</v>
      </c>
      <c r="H103" s="21">
        <v>68</v>
      </c>
      <c r="I103" s="21">
        <v>68</v>
      </c>
      <c r="J103" s="21">
        <v>68</v>
      </c>
      <c r="K103" s="21">
        <v>68</v>
      </c>
      <c r="L103" s="21">
        <v>68</v>
      </c>
      <c r="M103" s="21">
        <v>68</v>
      </c>
      <c r="N103" s="21">
        <v>68</v>
      </c>
      <c r="O103" s="21">
        <v>68</v>
      </c>
      <c r="P103" s="21">
        <v>68</v>
      </c>
      <c r="Q103" s="21">
        <v>68</v>
      </c>
      <c r="R103" s="21">
        <v>68</v>
      </c>
      <c r="S103" s="21">
        <v>68</v>
      </c>
      <c r="T103" s="21">
        <v>68</v>
      </c>
      <c r="U103" s="21">
        <v>68</v>
      </c>
      <c r="V103" s="21">
        <v>68</v>
      </c>
      <c r="W103" s="21">
        <v>68</v>
      </c>
      <c r="X103" s="21">
        <v>68</v>
      </c>
      <c r="Y103" s="21">
        <v>68</v>
      </c>
      <c r="Z103" s="21">
        <v>68</v>
      </c>
      <c r="AA103" s="21">
        <v>68</v>
      </c>
      <c r="AB103" s="21">
        <v>68</v>
      </c>
      <c r="AC103" s="21">
        <v>68</v>
      </c>
      <c r="AD103" s="21">
        <v>68</v>
      </c>
      <c r="AE103" s="21">
        <v>68</v>
      </c>
      <c r="AF103" s="21">
        <v>68</v>
      </c>
      <c r="AG103" s="21">
        <v>68</v>
      </c>
      <c r="AH103" s="21">
        <v>68</v>
      </c>
      <c r="AI103" s="21">
        <v>68</v>
      </c>
      <c r="AJ103" s="21">
        <v>68</v>
      </c>
      <c r="AK103" s="21">
        <v>68</v>
      </c>
      <c r="AL103" s="21">
        <v>68</v>
      </c>
      <c r="AM103" s="21">
        <v>68</v>
      </c>
      <c r="AN103" s="21">
        <v>68</v>
      </c>
      <c r="AO103" s="21">
        <v>68</v>
      </c>
      <c r="AP103" s="21">
        <v>68</v>
      </c>
      <c r="AQ103" s="21">
        <v>68</v>
      </c>
      <c r="AR103" s="21">
        <v>68</v>
      </c>
      <c r="AS103" s="21">
        <v>68</v>
      </c>
      <c r="AT103" s="21">
        <v>68</v>
      </c>
      <c r="AU103" s="21">
        <v>68</v>
      </c>
      <c r="AV103" s="21">
        <v>68</v>
      </c>
      <c r="AW103" s="21">
        <v>68</v>
      </c>
      <c r="AX103" s="21">
        <v>68</v>
      </c>
      <c r="AY103" s="21">
        <v>68</v>
      </c>
      <c r="AZ103" s="21">
        <v>68</v>
      </c>
      <c r="BA103" s="21">
        <v>68</v>
      </c>
      <c r="BB103" s="21"/>
      <c r="BC103" s="21"/>
    </row>
    <row r="104" spans="1:55" x14ac:dyDescent="0.3">
      <c r="A104" s="18" t="s">
        <v>54</v>
      </c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3"/>
    </row>
    <row r="105" spans="1:55" ht="63" customHeight="1" x14ac:dyDescent="0.3">
      <c r="A105" s="15" t="s">
        <v>55</v>
      </c>
      <c r="B105" s="16"/>
      <c r="C105" s="16"/>
      <c r="D105" s="16"/>
      <c r="E105" s="24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24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24"/>
      <c r="AC105" s="24"/>
      <c r="AD105" s="16"/>
      <c r="AE105" s="16"/>
      <c r="AF105" s="148"/>
      <c r="AG105" s="16"/>
      <c r="AH105" s="16"/>
      <c r="AI105" s="16"/>
      <c r="AJ105" s="16"/>
      <c r="AK105" s="16"/>
      <c r="AL105" s="16"/>
      <c r="AM105" s="16"/>
      <c r="AN105" s="16"/>
      <c r="AO105" s="16"/>
      <c r="AP105" s="16"/>
      <c r="AQ105" s="16"/>
      <c r="AR105" s="16"/>
      <c r="AS105" s="16"/>
      <c r="AT105" s="16"/>
      <c r="AU105" s="16"/>
      <c r="AV105" s="16"/>
      <c r="AW105" s="16"/>
      <c r="AX105" s="16"/>
      <c r="AY105" s="16"/>
      <c r="AZ105" s="16"/>
      <c r="BA105" s="17"/>
    </row>
    <row r="106" spans="1:55" x14ac:dyDescent="0.3">
      <c r="A106" s="10" t="s">
        <v>56</v>
      </c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1"/>
      <c r="AP106" s="11"/>
      <c r="AQ106" s="11"/>
      <c r="AR106" s="11"/>
      <c r="AS106" s="11"/>
      <c r="AT106" s="11"/>
      <c r="AU106" s="11"/>
      <c r="AV106" s="11"/>
      <c r="AW106" s="11"/>
      <c r="AX106" s="11"/>
      <c r="AY106" s="11"/>
      <c r="AZ106" s="11"/>
      <c r="BA106" s="11"/>
    </row>
    <row r="107" spans="1:55" x14ac:dyDescent="0.3">
      <c r="A107" s="13" t="s">
        <v>57</v>
      </c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  <c r="AO107" s="14"/>
      <c r="AP107" s="14"/>
      <c r="AQ107" s="14"/>
      <c r="AR107" s="14"/>
      <c r="AS107" s="14"/>
      <c r="AT107" s="14"/>
      <c r="AU107" s="14"/>
      <c r="AV107" s="14"/>
      <c r="AW107" s="14"/>
      <c r="AX107" s="14"/>
      <c r="AY107" s="14"/>
      <c r="AZ107" s="14"/>
      <c r="BA107" s="14"/>
    </row>
    <row r="108" spans="1:55" x14ac:dyDescent="0.3">
      <c r="A108" s="15" t="s">
        <v>58</v>
      </c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  <c r="AO108" s="25"/>
      <c r="AP108" s="25"/>
      <c r="AQ108" s="25"/>
      <c r="AR108" s="25"/>
      <c r="AS108" s="25"/>
      <c r="AT108" s="25"/>
      <c r="AU108" s="25"/>
      <c r="AV108" s="25"/>
      <c r="AW108" s="25"/>
      <c r="AX108" s="25"/>
      <c r="AY108" s="25"/>
      <c r="AZ108" s="25"/>
      <c r="BA108" s="25"/>
    </row>
    <row r="109" spans="1:55" x14ac:dyDescent="0.3">
      <c r="A109" s="26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D109" s="19"/>
      <c r="AE109" s="19"/>
      <c r="AF109" s="19"/>
      <c r="AG109" s="19"/>
      <c r="AH109" s="19"/>
      <c r="AI109" s="19"/>
      <c r="AJ109" s="19"/>
      <c r="AK109" s="19"/>
      <c r="AL109" s="19"/>
      <c r="AM109" s="19"/>
      <c r="AN109" s="19"/>
    </row>
    <row r="110" spans="1:55" x14ac:dyDescent="0.3">
      <c r="A110" s="26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</row>
    <row r="113" spans="1:53" ht="18" x14ac:dyDescent="0.35">
      <c r="A113" s="4" t="s">
        <v>1</v>
      </c>
      <c r="B113" s="5" t="s">
        <v>48</v>
      </c>
      <c r="C113" s="6" t="s">
        <v>49</v>
      </c>
      <c r="E113" s="7"/>
    </row>
    <row r="114" spans="1:53" ht="18" x14ac:dyDescent="0.35">
      <c r="A114" s="8"/>
      <c r="B114" s="7"/>
      <c r="C114" s="9"/>
    </row>
    <row r="115" spans="1:53" x14ac:dyDescent="0.3">
      <c r="A115" s="10" t="s">
        <v>50</v>
      </c>
      <c r="B115" s="11">
        <v>1</v>
      </c>
      <c r="C115" s="11">
        <v>2</v>
      </c>
      <c r="D115" s="11">
        <v>3</v>
      </c>
      <c r="E115" s="11">
        <v>4</v>
      </c>
      <c r="F115" s="11">
        <v>5</v>
      </c>
      <c r="G115" s="11">
        <v>6</v>
      </c>
      <c r="H115" s="11">
        <v>7</v>
      </c>
      <c r="I115" s="11">
        <v>8</v>
      </c>
      <c r="J115" s="11">
        <v>9</v>
      </c>
      <c r="K115" s="11">
        <v>10</v>
      </c>
      <c r="L115" s="11">
        <v>11</v>
      </c>
      <c r="M115" s="11">
        <v>12</v>
      </c>
      <c r="N115" s="11">
        <v>13</v>
      </c>
      <c r="O115" s="11">
        <v>14</v>
      </c>
      <c r="P115" s="11">
        <v>15</v>
      </c>
      <c r="Q115" s="11">
        <v>16</v>
      </c>
      <c r="R115" s="11">
        <v>17</v>
      </c>
      <c r="S115" s="11">
        <v>18</v>
      </c>
      <c r="T115" s="11">
        <v>19</v>
      </c>
      <c r="U115" s="11">
        <v>20</v>
      </c>
      <c r="V115" s="11">
        <v>21</v>
      </c>
      <c r="W115" s="11">
        <v>22</v>
      </c>
      <c r="X115" s="11">
        <v>23</v>
      </c>
      <c r="Y115" s="11">
        <v>24</v>
      </c>
      <c r="Z115" s="11">
        <v>25</v>
      </c>
      <c r="AA115" s="11">
        <v>26</v>
      </c>
      <c r="AB115" s="11">
        <v>27</v>
      </c>
      <c r="AC115" s="11">
        <v>28</v>
      </c>
      <c r="AD115" s="11">
        <v>29</v>
      </c>
      <c r="AE115" s="11">
        <v>30</v>
      </c>
      <c r="AF115" s="11">
        <v>31</v>
      </c>
      <c r="AG115" s="11">
        <v>32</v>
      </c>
      <c r="AH115" s="11">
        <v>33</v>
      </c>
      <c r="AI115" s="11">
        <v>34</v>
      </c>
      <c r="AJ115" s="11">
        <v>35</v>
      </c>
      <c r="AK115" s="11">
        <v>36</v>
      </c>
      <c r="AL115" s="11">
        <v>37</v>
      </c>
      <c r="AM115" s="11">
        <v>38</v>
      </c>
      <c r="AN115" s="11">
        <v>39</v>
      </c>
      <c r="AO115" s="11">
        <v>40</v>
      </c>
      <c r="AP115" s="11">
        <v>41</v>
      </c>
      <c r="AQ115" s="11">
        <v>42</v>
      </c>
      <c r="AR115" s="11">
        <v>43</v>
      </c>
      <c r="AS115" s="11">
        <v>44</v>
      </c>
      <c r="AT115" s="11">
        <v>45</v>
      </c>
      <c r="AU115" s="11">
        <v>46</v>
      </c>
      <c r="AV115" s="11">
        <v>47</v>
      </c>
      <c r="AW115" s="11">
        <v>48</v>
      </c>
      <c r="AX115" s="11">
        <v>49</v>
      </c>
      <c r="AY115" s="11">
        <v>50</v>
      </c>
      <c r="AZ115" s="11">
        <v>51</v>
      </c>
      <c r="BA115" s="12">
        <v>52</v>
      </c>
    </row>
    <row r="116" spans="1:53" x14ac:dyDescent="0.3">
      <c r="A116" s="13" t="s">
        <v>51</v>
      </c>
      <c r="B116" s="14">
        <v>85</v>
      </c>
      <c r="C116" s="14">
        <v>85</v>
      </c>
      <c r="D116" s="14">
        <v>85</v>
      </c>
      <c r="E116" s="14">
        <v>85</v>
      </c>
      <c r="F116" s="14">
        <v>85</v>
      </c>
      <c r="G116" s="14">
        <v>85</v>
      </c>
      <c r="H116" s="14">
        <v>85</v>
      </c>
      <c r="I116" s="14">
        <v>85</v>
      </c>
      <c r="J116" s="14">
        <v>85</v>
      </c>
      <c r="K116" s="14">
        <v>85</v>
      </c>
      <c r="L116" s="14">
        <v>85</v>
      </c>
      <c r="M116" s="14">
        <v>85</v>
      </c>
      <c r="N116" s="14">
        <v>85</v>
      </c>
      <c r="O116" s="14">
        <v>85</v>
      </c>
      <c r="P116" s="14">
        <v>85</v>
      </c>
      <c r="Q116" s="14">
        <v>85</v>
      </c>
      <c r="R116" s="14">
        <v>85</v>
      </c>
      <c r="S116" s="14">
        <v>85</v>
      </c>
      <c r="T116" s="14">
        <v>85</v>
      </c>
      <c r="U116" s="14">
        <v>85</v>
      </c>
      <c r="V116" s="14">
        <v>85</v>
      </c>
      <c r="W116" s="14">
        <v>85</v>
      </c>
      <c r="X116" s="14">
        <v>85</v>
      </c>
      <c r="Y116" s="14">
        <v>85</v>
      </c>
      <c r="Z116" s="14">
        <v>85</v>
      </c>
      <c r="AA116" s="14">
        <v>85</v>
      </c>
      <c r="AB116" s="14">
        <v>85</v>
      </c>
      <c r="AC116" s="14">
        <v>85</v>
      </c>
      <c r="AD116" s="14">
        <v>85</v>
      </c>
      <c r="AE116" s="14">
        <v>85</v>
      </c>
      <c r="AF116" s="14">
        <v>85</v>
      </c>
      <c r="AG116" s="14">
        <v>85</v>
      </c>
      <c r="AH116" s="14">
        <v>85</v>
      </c>
      <c r="AI116" s="14">
        <v>85</v>
      </c>
      <c r="AJ116" s="14">
        <v>85</v>
      </c>
      <c r="AK116" s="14">
        <v>85</v>
      </c>
      <c r="AL116" s="14">
        <v>85</v>
      </c>
      <c r="AM116" s="14">
        <v>85</v>
      </c>
      <c r="AN116" s="14">
        <v>85</v>
      </c>
      <c r="AO116" s="14">
        <v>85</v>
      </c>
      <c r="AP116" s="14">
        <v>85</v>
      </c>
      <c r="AQ116" s="14">
        <v>85</v>
      </c>
      <c r="AR116" s="14">
        <v>85</v>
      </c>
      <c r="AS116" s="14">
        <v>85</v>
      </c>
      <c r="AT116" s="14">
        <v>85</v>
      </c>
      <c r="AU116" s="14">
        <v>85</v>
      </c>
      <c r="AV116" s="14">
        <v>85</v>
      </c>
      <c r="AW116" s="14">
        <v>85</v>
      </c>
      <c r="AX116" s="14">
        <v>85</v>
      </c>
      <c r="AY116" s="14">
        <v>85</v>
      </c>
      <c r="AZ116" s="14">
        <v>85</v>
      </c>
      <c r="BA116" s="14">
        <v>85</v>
      </c>
    </row>
    <row r="117" spans="1:53" x14ac:dyDescent="0.3">
      <c r="A117" s="15" t="s">
        <v>52</v>
      </c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  <c r="AK117" s="16"/>
      <c r="AL117" s="16"/>
      <c r="AM117" s="16"/>
      <c r="AN117" s="16"/>
      <c r="AO117" s="16"/>
      <c r="AP117" s="16"/>
      <c r="AQ117" s="16"/>
      <c r="AR117" s="16"/>
      <c r="AS117" s="16"/>
      <c r="AT117" s="16"/>
      <c r="AU117" s="16"/>
      <c r="AV117" s="16"/>
      <c r="AW117" s="16"/>
      <c r="AX117" s="16"/>
      <c r="AY117" s="16"/>
      <c r="AZ117" s="16"/>
      <c r="BA117" s="16"/>
    </row>
    <row r="118" spans="1:53" x14ac:dyDescent="0.3">
      <c r="A118" s="18" t="s">
        <v>50</v>
      </c>
      <c r="B118" s="19">
        <v>1</v>
      </c>
      <c r="C118" s="19">
        <v>2</v>
      </c>
      <c r="D118" s="19">
        <v>3</v>
      </c>
      <c r="E118" s="19">
        <v>4</v>
      </c>
      <c r="F118" s="19">
        <v>5</v>
      </c>
      <c r="G118" s="19">
        <v>6</v>
      </c>
      <c r="H118" s="19">
        <v>7</v>
      </c>
      <c r="I118" s="19">
        <v>8</v>
      </c>
      <c r="J118" s="19">
        <v>9</v>
      </c>
      <c r="K118" s="19">
        <v>10</v>
      </c>
      <c r="L118" s="19">
        <v>11</v>
      </c>
      <c r="M118" s="19">
        <v>12</v>
      </c>
      <c r="N118" s="19">
        <v>13</v>
      </c>
      <c r="O118" s="19">
        <v>14</v>
      </c>
      <c r="P118" s="19">
        <v>15</v>
      </c>
      <c r="Q118" s="19">
        <v>16</v>
      </c>
      <c r="R118" s="19">
        <v>17</v>
      </c>
      <c r="S118" s="19">
        <v>18</v>
      </c>
      <c r="T118" s="19">
        <v>19</v>
      </c>
      <c r="U118" s="19">
        <v>20</v>
      </c>
      <c r="V118" s="19">
        <v>21</v>
      </c>
      <c r="W118" s="19">
        <v>22</v>
      </c>
      <c r="X118" s="19">
        <v>23</v>
      </c>
      <c r="Y118" s="19">
        <v>24</v>
      </c>
      <c r="Z118" s="19">
        <v>25</v>
      </c>
      <c r="AA118" s="19">
        <v>26</v>
      </c>
      <c r="AB118" s="19">
        <v>27</v>
      </c>
      <c r="AC118" s="19">
        <v>28</v>
      </c>
      <c r="AD118" s="19">
        <v>29</v>
      </c>
      <c r="AE118" s="19">
        <v>30</v>
      </c>
      <c r="AF118" s="19">
        <v>31</v>
      </c>
      <c r="AG118" s="19">
        <v>32</v>
      </c>
      <c r="AH118" s="19">
        <v>33</v>
      </c>
      <c r="AI118" s="19">
        <v>34</v>
      </c>
      <c r="AJ118" s="19">
        <v>35</v>
      </c>
      <c r="AK118" s="19">
        <v>36</v>
      </c>
      <c r="AL118" s="19">
        <v>37</v>
      </c>
      <c r="AM118" s="19">
        <v>38</v>
      </c>
      <c r="AN118" s="19">
        <v>39</v>
      </c>
      <c r="AO118" s="19">
        <v>40</v>
      </c>
      <c r="AP118" s="19">
        <v>41</v>
      </c>
      <c r="AQ118" s="19">
        <v>42</v>
      </c>
      <c r="AR118" s="19">
        <v>43</v>
      </c>
      <c r="AS118" s="19">
        <v>44</v>
      </c>
      <c r="AT118" s="19">
        <v>45</v>
      </c>
      <c r="AU118" s="19">
        <v>46</v>
      </c>
      <c r="AV118" s="19">
        <v>47</v>
      </c>
      <c r="AW118" s="19">
        <v>48</v>
      </c>
      <c r="AX118" s="19">
        <v>49</v>
      </c>
      <c r="AY118" s="19">
        <v>50</v>
      </c>
      <c r="AZ118" s="19">
        <v>51</v>
      </c>
      <c r="BA118" s="20">
        <v>52</v>
      </c>
    </row>
    <row r="119" spans="1:53" x14ac:dyDescent="0.3">
      <c r="A119" s="147" t="s">
        <v>53</v>
      </c>
      <c r="B119" s="21">
        <v>68</v>
      </c>
      <c r="C119" s="21">
        <f t="shared" ref="C119:AH119" si="4">B119</f>
        <v>68</v>
      </c>
      <c r="D119" s="21">
        <f t="shared" si="4"/>
        <v>68</v>
      </c>
      <c r="E119" s="21">
        <f t="shared" si="4"/>
        <v>68</v>
      </c>
      <c r="F119" s="21">
        <f t="shared" si="4"/>
        <v>68</v>
      </c>
      <c r="G119" s="21">
        <f t="shared" si="4"/>
        <v>68</v>
      </c>
      <c r="H119" s="21">
        <f t="shared" si="4"/>
        <v>68</v>
      </c>
      <c r="I119" s="21">
        <f t="shared" si="4"/>
        <v>68</v>
      </c>
      <c r="J119" s="21">
        <f t="shared" si="4"/>
        <v>68</v>
      </c>
      <c r="K119" s="21">
        <f t="shared" si="4"/>
        <v>68</v>
      </c>
      <c r="L119" s="21">
        <f t="shared" si="4"/>
        <v>68</v>
      </c>
      <c r="M119" s="21">
        <f t="shared" si="4"/>
        <v>68</v>
      </c>
      <c r="N119" s="21">
        <f t="shared" si="4"/>
        <v>68</v>
      </c>
      <c r="O119" s="21">
        <f t="shared" si="4"/>
        <v>68</v>
      </c>
      <c r="P119" s="21">
        <f t="shared" si="4"/>
        <v>68</v>
      </c>
      <c r="Q119" s="21">
        <f t="shared" si="4"/>
        <v>68</v>
      </c>
      <c r="R119" s="21">
        <f t="shared" si="4"/>
        <v>68</v>
      </c>
      <c r="S119" s="21">
        <f t="shared" si="4"/>
        <v>68</v>
      </c>
      <c r="T119" s="21">
        <f t="shared" si="4"/>
        <v>68</v>
      </c>
      <c r="U119" s="21">
        <f t="shared" si="4"/>
        <v>68</v>
      </c>
      <c r="V119" s="21">
        <f t="shared" si="4"/>
        <v>68</v>
      </c>
      <c r="W119" s="21">
        <f t="shared" si="4"/>
        <v>68</v>
      </c>
      <c r="X119" s="21">
        <f t="shared" si="4"/>
        <v>68</v>
      </c>
      <c r="Y119" s="21">
        <f t="shared" si="4"/>
        <v>68</v>
      </c>
      <c r="Z119" s="21">
        <f t="shared" si="4"/>
        <v>68</v>
      </c>
      <c r="AA119" s="21">
        <f t="shared" si="4"/>
        <v>68</v>
      </c>
      <c r="AB119" s="21">
        <f t="shared" si="4"/>
        <v>68</v>
      </c>
      <c r="AC119" s="21">
        <f t="shared" si="4"/>
        <v>68</v>
      </c>
      <c r="AD119" s="21">
        <f t="shared" si="4"/>
        <v>68</v>
      </c>
      <c r="AE119" s="21">
        <f t="shared" si="4"/>
        <v>68</v>
      </c>
      <c r="AF119" s="21">
        <f t="shared" si="4"/>
        <v>68</v>
      </c>
      <c r="AG119" s="21">
        <f t="shared" si="4"/>
        <v>68</v>
      </c>
      <c r="AH119" s="21">
        <f t="shared" si="4"/>
        <v>68</v>
      </c>
      <c r="AI119" s="21">
        <f t="shared" ref="AI119:BA119" si="5">AH119</f>
        <v>68</v>
      </c>
      <c r="AJ119" s="21">
        <f t="shared" si="5"/>
        <v>68</v>
      </c>
      <c r="AK119" s="21">
        <f t="shared" si="5"/>
        <v>68</v>
      </c>
      <c r="AL119" s="21">
        <f t="shared" si="5"/>
        <v>68</v>
      </c>
      <c r="AM119" s="21">
        <f t="shared" si="5"/>
        <v>68</v>
      </c>
      <c r="AN119" s="21">
        <f t="shared" si="5"/>
        <v>68</v>
      </c>
      <c r="AO119" s="21">
        <f t="shared" si="5"/>
        <v>68</v>
      </c>
      <c r="AP119" s="21">
        <f t="shared" si="5"/>
        <v>68</v>
      </c>
      <c r="AQ119" s="21">
        <f t="shared" si="5"/>
        <v>68</v>
      </c>
      <c r="AR119" s="21">
        <f t="shared" si="5"/>
        <v>68</v>
      </c>
      <c r="AS119" s="21">
        <f t="shared" si="5"/>
        <v>68</v>
      </c>
      <c r="AT119" s="21">
        <f t="shared" si="5"/>
        <v>68</v>
      </c>
      <c r="AU119" s="21">
        <f t="shared" si="5"/>
        <v>68</v>
      </c>
      <c r="AV119" s="21">
        <f t="shared" si="5"/>
        <v>68</v>
      </c>
      <c r="AW119" s="21">
        <f t="shared" si="5"/>
        <v>68</v>
      </c>
      <c r="AX119" s="21">
        <f t="shared" si="5"/>
        <v>68</v>
      </c>
      <c r="AY119" s="21">
        <f t="shared" si="5"/>
        <v>68</v>
      </c>
      <c r="AZ119" s="21">
        <f t="shared" si="5"/>
        <v>68</v>
      </c>
      <c r="BA119" s="21">
        <f t="shared" si="5"/>
        <v>68</v>
      </c>
    </row>
    <row r="120" spans="1:53" x14ac:dyDescent="0.3">
      <c r="A120" s="18" t="s">
        <v>54</v>
      </c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</row>
    <row r="121" spans="1:53" ht="42" customHeight="1" x14ac:dyDescent="0.3">
      <c r="A121" s="15" t="s">
        <v>55</v>
      </c>
      <c r="B121" s="16"/>
      <c r="C121" s="24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  <c r="AI121" s="16"/>
      <c r="AJ121" s="16"/>
      <c r="AK121" s="16"/>
      <c r="AL121" s="16"/>
      <c r="AM121" s="16"/>
      <c r="AN121" s="16"/>
      <c r="AO121" s="16"/>
      <c r="AP121" s="16"/>
      <c r="AQ121" s="16"/>
      <c r="AR121" s="16"/>
      <c r="AS121" s="16"/>
      <c r="AT121" s="16"/>
      <c r="AU121" s="16"/>
      <c r="AV121" s="16"/>
      <c r="AW121" s="16"/>
      <c r="AX121" s="16"/>
      <c r="AY121" s="16"/>
      <c r="AZ121" s="16"/>
      <c r="BA121" s="17"/>
    </row>
    <row r="122" spans="1:53" x14ac:dyDescent="0.3">
      <c r="A122" s="10" t="s">
        <v>56</v>
      </c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1"/>
      <c r="AP122" s="11"/>
      <c r="AQ122" s="11"/>
      <c r="AR122" s="11"/>
      <c r="AS122" s="11"/>
      <c r="AT122" s="11"/>
      <c r="AU122" s="11"/>
      <c r="AV122" s="11"/>
      <c r="AW122" s="11"/>
      <c r="AX122" s="11"/>
      <c r="AY122" s="11"/>
      <c r="AZ122" s="11"/>
      <c r="BA122" s="11"/>
    </row>
    <row r="123" spans="1:53" x14ac:dyDescent="0.3">
      <c r="A123" s="13" t="s">
        <v>57</v>
      </c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  <c r="AO123" s="14"/>
      <c r="AP123" s="14"/>
      <c r="AQ123" s="14"/>
      <c r="AR123" s="14"/>
      <c r="AS123" s="14"/>
      <c r="AT123" s="14"/>
      <c r="AU123" s="14"/>
      <c r="AV123" s="14"/>
      <c r="AW123" s="14"/>
      <c r="AX123" s="14"/>
      <c r="AY123" s="14"/>
      <c r="AZ123" s="14"/>
      <c r="BA123" s="14"/>
    </row>
    <row r="124" spans="1:53" x14ac:dyDescent="0.3">
      <c r="A124" s="15" t="s">
        <v>58</v>
      </c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  <c r="AG124" s="25"/>
      <c r="AH124" s="25"/>
      <c r="AI124" s="25"/>
      <c r="AJ124" s="25"/>
      <c r="AK124" s="25"/>
      <c r="AL124" s="25"/>
      <c r="AM124" s="25"/>
      <c r="AN124" s="25"/>
      <c r="AO124" s="25"/>
      <c r="AP124" s="25"/>
      <c r="AQ124" s="25"/>
      <c r="AR124" s="25"/>
      <c r="AS124" s="25"/>
      <c r="AT124" s="25"/>
      <c r="AU124" s="25"/>
      <c r="AV124" s="25"/>
      <c r="AW124" s="25"/>
      <c r="AX124" s="25"/>
      <c r="AY124" s="25"/>
      <c r="AZ124" s="25"/>
      <c r="BA124" s="25"/>
    </row>
    <row r="125" spans="1:53" x14ac:dyDescent="0.3">
      <c r="A125" s="26"/>
      <c r="B125" s="19"/>
      <c r="AM125" s="19"/>
      <c r="AN125" s="19"/>
      <c r="AO125" s="19"/>
      <c r="AP125" s="19"/>
      <c r="AQ125" s="19"/>
      <c r="AR125" s="19"/>
      <c r="AS125" s="19"/>
      <c r="AT125" s="19"/>
      <c r="AU125" s="19"/>
      <c r="AW125" s="19"/>
      <c r="AX125" s="19"/>
      <c r="AY125" s="19"/>
    </row>
    <row r="126" spans="1:53" x14ac:dyDescent="0.3">
      <c r="A126" s="26"/>
      <c r="B126" s="19"/>
      <c r="AM126" s="19"/>
      <c r="AN126" s="19"/>
      <c r="AO126" s="19"/>
      <c r="AP126" s="19"/>
      <c r="AQ126" s="19"/>
      <c r="AR126" s="19"/>
      <c r="AS126" s="19"/>
      <c r="AT126" s="19"/>
      <c r="AU126" s="19"/>
      <c r="AW126" s="19"/>
      <c r="AX126" s="19"/>
      <c r="AY126" s="19"/>
    </row>
    <row r="313" spans="33:33" x14ac:dyDescent="0.3">
      <c r="AG313" s="3" t="s">
        <v>62</v>
      </c>
    </row>
  </sheetData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23"/>
  <dimension ref="A1:H31"/>
  <sheetViews>
    <sheetView workbookViewId="0">
      <selection activeCell="F16" sqref="F16"/>
    </sheetView>
  </sheetViews>
  <sheetFormatPr defaultColWidth="9.109375" defaultRowHeight="14.4" x14ac:dyDescent="0.3"/>
  <cols>
    <col min="1" max="1" width="9.109375" style="28"/>
    <col min="2" max="2" width="15.44140625" style="28" customWidth="1"/>
    <col min="3" max="3" width="12" style="28" customWidth="1"/>
    <col min="4" max="5" width="17.109375" style="39" customWidth="1"/>
    <col min="6" max="6" width="22.109375" style="28" customWidth="1"/>
    <col min="7" max="7" width="9.109375" style="28"/>
    <col min="8" max="8" width="9.5546875" style="28" customWidth="1"/>
    <col min="9" max="16384" width="9.109375" style="28"/>
  </cols>
  <sheetData>
    <row r="1" spans="1:8" ht="45" customHeight="1" x14ac:dyDescent="0.3">
      <c r="A1" s="149" t="s">
        <v>1</v>
      </c>
      <c r="B1" s="205" t="s">
        <v>3</v>
      </c>
      <c r="C1" s="207" t="s">
        <v>4</v>
      </c>
      <c r="D1" s="205" t="s">
        <v>63</v>
      </c>
      <c r="E1" s="205" t="s">
        <v>64</v>
      </c>
      <c r="F1" s="150" t="s">
        <v>2</v>
      </c>
      <c r="H1" s="29"/>
    </row>
    <row r="2" spans="1:8" ht="17.100000000000001" customHeight="1" x14ac:dyDescent="0.3">
      <c r="A2" s="151"/>
      <c r="B2" s="206"/>
      <c r="C2" s="208"/>
      <c r="D2" s="206"/>
      <c r="E2" s="206"/>
      <c r="F2" s="152"/>
    </row>
    <row r="3" spans="1:8" ht="17.100000000000001" customHeight="1" x14ac:dyDescent="0.3">
      <c r="A3" s="77" t="s">
        <v>16</v>
      </c>
      <c r="B3" s="153" t="s">
        <v>22</v>
      </c>
      <c r="C3" s="81">
        <v>1</v>
      </c>
      <c r="D3" s="154"/>
      <c r="E3" s="154"/>
      <c r="F3" s="100">
        <v>107</v>
      </c>
    </row>
    <row r="4" spans="1:8" x14ac:dyDescent="0.3">
      <c r="A4" s="78" t="s">
        <v>24</v>
      </c>
      <c r="B4" s="108" t="s">
        <v>22</v>
      </c>
      <c r="C4" s="82">
        <v>2</v>
      </c>
      <c r="D4" s="107"/>
      <c r="E4" s="130"/>
      <c r="F4" s="155">
        <v>104</v>
      </c>
    </row>
    <row r="5" spans="1:8" x14ac:dyDescent="0.3">
      <c r="A5" s="78" t="s">
        <v>21</v>
      </c>
      <c r="B5" s="108" t="s">
        <v>22</v>
      </c>
      <c r="C5" s="82">
        <v>3</v>
      </c>
      <c r="D5" s="107"/>
      <c r="E5" s="130"/>
      <c r="F5" s="155">
        <v>103</v>
      </c>
    </row>
    <row r="6" spans="1:8" x14ac:dyDescent="0.3">
      <c r="A6" s="78" t="s">
        <v>45</v>
      </c>
      <c r="B6" s="108" t="s">
        <v>22</v>
      </c>
      <c r="C6" s="82">
        <v>4</v>
      </c>
      <c r="D6" s="156">
        <v>45838</v>
      </c>
      <c r="E6" s="130"/>
      <c r="F6" s="155">
        <v>102</v>
      </c>
    </row>
    <row r="7" spans="1:8" x14ac:dyDescent="0.3">
      <c r="A7" s="42" t="s">
        <v>28</v>
      </c>
      <c r="B7" s="108" t="s">
        <v>46</v>
      </c>
      <c r="C7" s="82">
        <v>5</v>
      </c>
      <c r="D7" s="107"/>
      <c r="E7" s="130"/>
      <c r="F7" s="155">
        <v>86</v>
      </c>
    </row>
    <row r="8" spans="1:8" x14ac:dyDescent="0.3">
      <c r="A8" s="42" t="s">
        <v>30</v>
      </c>
      <c r="B8" s="108" t="s">
        <v>46</v>
      </c>
      <c r="C8" s="31">
        <v>6</v>
      </c>
      <c r="D8" s="108"/>
      <c r="E8" s="155"/>
      <c r="F8" s="155">
        <v>82</v>
      </c>
    </row>
    <row r="9" spans="1:8" x14ac:dyDescent="0.3">
      <c r="A9" s="43" t="s">
        <v>31</v>
      </c>
      <c r="B9" s="120" t="s">
        <v>46</v>
      </c>
      <c r="C9" s="37">
        <v>7</v>
      </c>
      <c r="D9" s="120"/>
      <c r="E9" s="157"/>
      <c r="F9" s="157">
        <v>80</v>
      </c>
    </row>
    <row r="10" spans="1:8" x14ac:dyDescent="0.3">
      <c r="A10" s="122"/>
      <c r="B10" s="122"/>
      <c r="C10" s="122"/>
      <c r="D10" s="94"/>
      <c r="E10" s="94"/>
      <c r="F10" s="94"/>
    </row>
    <row r="11" spans="1:8" x14ac:dyDescent="0.3">
      <c r="A11" s="94"/>
      <c r="B11" s="94"/>
      <c r="C11" s="94"/>
      <c r="D11" s="94"/>
      <c r="E11" s="94"/>
      <c r="F11" s="94"/>
    </row>
    <row r="12" spans="1:8" x14ac:dyDescent="0.3">
      <c r="A12" s="94"/>
      <c r="B12" s="94"/>
      <c r="C12" s="94"/>
      <c r="D12" s="94"/>
      <c r="E12" s="94"/>
      <c r="F12" s="94"/>
    </row>
    <row r="13" spans="1:8" x14ac:dyDescent="0.3">
      <c r="A13" s="94"/>
      <c r="B13" s="94"/>
      <c r="C13" s="94"/>
      <c r="D13" s="94"/>
      <c r="E13" s="94"/>
      <c r="F13" s="94"/>
    </row>
    <row r="14" spans="1:8" x14ac:dyDescent="0.3">
      <c r="A14" s="94"/>
      <c r="B14" s="94"/>
      <c r="C14" s="94"/>
      <c r="D14" s="94"/>
      <c r="E14" s="94"/>
      <c r="F14" s="94"/>
    </row>
    <row r="15" spans="1:8" x14ac:dyDescent="0.3">
      <c r="A15" s="94"/>
      <c r="B15" s="94"/>
      <c r="C15" s="94"/>
      <c r="D15" s="94"/>
      <c r="E15" s="94"/>
      <c r="F15" s="94"/>
    </row>
    <row r="16" spans="1:8" x14ac:dyDescent="0.3">
      <c r="A16" s="94"/>
      <c r="B16" s="94"/>
      <c r="C16" s="94"/>
      <c r="D16" s="94"/>
      <c r="E16" s="94"/>
      <c r="F16" s="94"/>
    </row>
    <row r="17" spans="1:6" x14ac:dyDescent="0.3">
      <c r="A17" s="94"/>
      <c r="B17" s="94"/>
      <c r="C17" s="94"/>
      <c r="D17" s="94"/>
      <c r="E17" s="94"/>
      <c r="F17" s="94"/>
    </row>
    <row r="18" spans="1:6" x14ac:dyDescent="0.3">
      <c r="A18" s="94"/>
      <c r="B18" s="94"/>
      <c r="C18" s="94"/>
      <c r="D18" s="94"/>
      <c r="E18" s="94"/>
      <c r="F18" s="94"/>
    </row>
    <row r="19" spans="1:6" x14ac:dyDescent="0.3">
      <c r="A19" s="94"/>
      <c r="B19" s="94"/>
      <c r="C19" s="94"/>
      <c r="D19" s="94"/>
      <c r="E19" s="94"/>
      <c r="F19" s="94"/>
    </row>
    <row r="20" spans="1:6" x14ac:dyDescent="0.3">
      <c r="A20" s="94"/>
      <c r="B20" s="94"/>
      <c r="C20" s="94"/>
      <c r="D20" s="94"/>
      <c r="E20" s="94"/>
      <c r="F20" s="94"/>
    </row>
    <row r="21" spans="1:6" x14ac:dyDescent="0.3">
      <c r="A21" s="94"/>
      <c r="B21" s="94"/>
      <c r="C21" s="94"/>
      <c r="D21" s="94"/>
      <c r="E21" s="94"/>
      <c r="F21" s="94"/>
    </row>
    <row r="22" spans="1:6" x14ac:dyDescent="0.3">
      <c r="A22" s="94"/>
      <c r="B22" s="94"/>
      <c r="C22" s="94"/>
      <c r="D22" s="94"/>
      <c r="E22" s="94"/>
      <c r="F22" s="94"/>
    </row>
    <row r="23" spans="1:6" x14ac:dyDescent="0.3">
      <c r="A23" s="94"/>
      <c r="B23" s="94"/>
      <c r="C23" s="94"/>
      <c r="D23" s="94"/>
      <c r="E23" s="94"/>
      <c r="F23" s="94"/>
    </row>
    <row r="24" spans="1:6" x14ac:dyDescent="0.3">
      <c r="A24" s="94"/>
      <c r="B24" s="94"/>
      <c r="C24" s="94"/>
      <c r="D24" s="94"/>
      <c r="E24" s="94"/>
      <c r="F24" s="94"/>
    </row>
    <row r="25" spans="1:6" x14ac:dyDescent="0.3">
      <c r="A25" s="94"/>
      <c r="B25" s="94"/>
      <c r="C25" s="94"/>
      <c r="D25" s="94"/>
      <c r="E25" s="94"/>
      <c r="F25" s="94"/>
    </row>
    <row r="26" spans="1:6" x14ac:dyDescent="0.3">
      <c r="A26" s="94"/>
      <c r="B26" s="94"/>
      <c r="C26" s="94"/>
      <c r="D26" s="94"/>
      <c r="E26" s="94"/>
      <c r="F26" s="94"/>
    </row>
    <row r="27" spans="1:6" x14ac:dyDescent="0.3">
      <c r="A27" s="94"/>
      <c r="B27" s="94"/>
      <c r="C27" s="94"/>
      <c r="D27" s="94"/>
      <c r="E27" s="94"/>
      <c r="F27" s="94"/>
    </row>
    <row r="28" spans="1:6" x14ac:dyDescent="0.3">
      <c r="A28" s="94"/>
      <c r="B28" s="94"/>
      <c r="C28" s="94"/>
      <c r="D28" s="94"/>
      <c r="E28" s="94"/>
      <c r="F28" s="94"/>
    </row>
    <row r="29" spans="1:6" x14ac:dyDescent="0.3">
      <c r="A29" s="94"/>
      <c r="B29" s="94"/>
      <c r="C29" s="94"/>
      <c r="D29" s="94"/>
      <c r="E29" s="94"/>
      <c r="F29" s="94"/>
    </row>
    <row r="30" spans="1:6" x14ac:dyDescent="0.3">
      <c r="A30" s="94"/>
      <c r="B30" s="94"/>
      <c r="C30" s="94"/>
      <c r="D30" s="94"/>
      <c r="E30" s="94"/>
      <c r="F30" s="94"/>
    </row>
    <row r="31" spans="1:6" x14ac:dyDescent="0.3">
      <c r="A31" s="94"/>
      <c r="B31" s="94"/>
      <c r="C31" s="94"/>
      <c r="D31" s="94"/>
      <c r="E31" s="94"/>
      <c r="F31" s="94"/>
    </row>
  </sheetData>
  <mergeCells count="4">
    <mergeCell ref="B1:B2"/>
    <mergeCell ref="C1:C2"/>
    <mergeCell ref="D1:D2"/>
    <mergeCell ref="E1:E2"/>
  </mergeCells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24"/>
  <dimension ref="A1:U60"/>
  <sheetViews>
    <sheetView workbookViewId="0">
      <pane ySplit="1" topLeftCell="A26" activePane="bottomLeft" state="frozen"/>
      <selection pane="bottomLeft" activeCell="E76" sqref="E76"/>
    </sheetView>
  </sheetViews>
  <sheetFormatPr defaultRowHeight="14.4" x14ac:dyDescent="0.3"/>
  <cols>
    <col min="1" max="1" width="21.6640625" style="2" customWidth="1"/>
    <col min="2" max="2" width="13.88671875" style="2" customWidth="1"/>
    <col min="3" max="3" width="16.33203125" style="2" customWidth="1"/>
    <col min="4" max="4" width="11.44140625" style="2" customWidth="1"/>
    <col min="5" max="5" width="10.33203125" style="2" customWidth="1"/>
    <col min="6" max="6" width="6.109375" style="2" customWidth="1"/>
    <col min="7" max="7" width="7" style="2" customWidth="1"/>
    <col min="8" max="8" width="5.6640625" style="2" customWidth="1"/>
    <col min="9" max="9" width="6.33203125" style="2" customWidth="1"/>
    <col min="10" max="10" width="13.6640625" style="2" customWidth="1"/>
  </cols>
  <sheetData>
    <row r="1" spans="1:21" ht="23.4" x14ac:dyDescent="0.45">
      <c r="A1" s="210" t="s">
        <v>65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210"/>
      <c r="R1" s="210"/>
      <c r="S1" s="210"/>
      <c r="T1" s="210"/>
      <c r="U1" s="210"/>
    </row>
    <row r="3" spans="1:21" x14ac:dyDescent="0.3">
      <c r="A3" s="211" t="s">
        <v>66</v>
      </c>
      <c r="B3" s="211"/>
    </row>
    <row r="5" spans="1:21" x14ac:dyDescent="0.3">
      <c r="A5" s="56" t="s">
        <v>0</v>
      </c>
      <c r="B5" s="56" t="s">
        <v>67</v>
      </c>
      <c r="C5" s="56" t="s">
        <v>68</v>
      </c>
      <c r="D5" s="56" t="s">
        <v>69</v>
      </c>
      <c r="E5" s="56" t="s">
        <v>70</v>
      </c>
      <c r="F5" s="56" t="s">
        <v>71</v>
      </c>
      <c r="G5" s="56" t="s">
        <v>61</v>
      </c>
      <c r="H5" s="56" t="s">
        <v>60</v>
      </c>
      <c r="I5" s="56" t="s">
        <v>72</v>
      </c>
      <c r="J5" s="56" t="s">
        <v>73</v>
      </c>
    </row>
    <row r="6" spans="1:21" x14ac:dyDescent="0.3">
      <c r="A6" s="2" t="s">
        <v>15</v>
      </c>
      <c r="B6" s="2">
        <f>COUNTIF('Raw data and pivot tables '!$B$4:$B$38,A6)</f>
        <v>15</v>
      </c>
      <c r="C6" s="2">
        <f>SUMIF('Raw data and pivot tables '!$B$4:$B$38,A6,'Raw data and pivot tables '!$D$4:$D$38)</f>
        <v>4035</v>
      </c>
      <c r="D6" s="2">
        <f>AVERAGEIF('Raw data and pivot tables '!$B$4:$B$38,A6,'Raw data and pivot tables '!$D$4:$D$38)</f>
        <v>269</v>
      </c>
      <c r="E6" s="59">
        <v>107.2</v>
      </c>
      <c r="F6" s="59">
        <f>E6/D6*100</f>
        <v>39.85130111524164</v>
      </c>
      <c r="G6" s="2">
        <f>_xlfn.MINIFS('Raw data and pivot tables '!$D$4:$D$38,'Raw data and pivot tables '!$B$4:$B$38,A6)</f>
        <v>152</v>
      </c>
      <c r="H6" s="2">
        <f>_xlfn.MAXIFS('Raw data and pivot tables '!$D$4:$D$38,'Raw data and pivot tables '!$B$4:$B$38,A6)</f>
        <v>546</v>
      </c>
      <c r="I6" s="2">
        <f>H6-G6</f>
        <v>394</v>
      </c>
      <c r="J6" s="2">
        <f>RANK(F6,$F$6:$F$8,1)</f>
        <v>3</v>
      </c>
    </row>
    <row r="7" spans="1:21" x14ac:dyDescent="0.3">
      <c r="A7" s="2" t="s">
        <v>27</v>
      </c>
      <c r="B7" s="2">
        <f>COUNTIF('Raw data and pivot tables '!$B$4:$B$38,A7)</f>
        <v>15</v>
      </c>
      <c r="C7" s="2">
        <f>SUMIF('Raw data and pivot tables '!$B$4:$B$38,A7,'Raw data and pivot tables '!$D$4:$D$38)</f>
        <v>4310</v>
      </c>
      <c r="D7" s="59">
        <f>AVERAGEIF('Raw data and pivot tables '!$B$4:$B$38,A7,'Raw data and pivot tables '!$D$4:$D$38)</f>
        <v>287.33333333333331</v>
      </c>
      <c r="E7" s="59">
        <v>63.8</v>
      </c>
      <c r="F7" s="59">
        <f>E7/D7*100</f>
        <v>22.20417633410673</v>
      </c>
      <c r="G7" s="2">
        <f>_xlfn.MINIFS('Raw data and pivot tables '!$D$4:$D$38,'Raw data and pivot tables '!$B$4:$B$38,A7)</f>
        <v>142</v>
      </c>
      <c r="H7" s="2">
        <f>_xlfn.MAXIFS('Raw data and pivot tables '!$D$4:$D$38,'Raw data and pivot tables '!$B$4:$B$38,A7)</f>
        <v>434</v>
      </c>
      <c r="I7" s="2">
        <f>H7-G7</f>
        <v>292</v>
      </c>
      <c r="J7" s="2">
        <f>RANK(F7,$F$6:$F$8,1)</f>
        <v>1</v>
      </c>
    </row>
    <row r="8" spans="1:21" x14ac:dyDescent="0.3">
      <c r="A8" s="2" t="s">
        <v>38</v>
      </c>
      <c r="B8" s="2">
        <f>COUNTIF('Raw data and pivot tables '!$B$4:$B$38,A8)</f>
        <v>5</v>
      </c>
      <c r="C8" s="2">
        <f>SUMIF('Raw data and pivot tables '!$B$4:$B$38,A8,'Raw data and pivot tables '!$D$4:$D$38)</f>
        <v>978</v>
      </c>
      <c r="D8" s="59">
        <f>AVERAGEIF('Raw data and pivot tables '!$B$4:$B$38,A8,'Raw data and pivot tables '!$D$4:$D$38)</f>
        <v>195.6</v>
      </c>
      <c r="E8" s="59">
        <v>66.3</v>
      </c>
      <c r="F8" s="59">
        <f>E8/D8*100</f>
        <v>33.895705521472394</v>
      </c>
      <c r="G8" s="2">
        <f>_xlfn.MINIFS('Raw data and pivot tables '!$D$4:$D$38,'Raw data and pivot tables '!$B$4:$B$38,A8)</f>
        <v>140</v>
      </c>
      <c r="H8" s="2">
        <f>_xlfn.MAXIFS('Raw data and pivot tables '!$D$4:$D$38,'Raw data and pivot tables '!$B$4:$B$38,A8)</f>
        <v>321</v>
      </c>
      <c r="I8" s="2">
        <f>H8-G8</f>
        <v>181</v>
      </c>
      <c r="J8" s="2">
        <f>RANK(F8,$F$6:$F$8,1)</f>
        <v>2</v>
      </c>
    </row>
    <row r="13" spans="1:21" x14ac:dyDescent="0.3">
      <c r="A13" s="211" t="s">
        <v>74</v>
      </c>
      <c r="B13" s="211"/>
    </row>
    <row r="15" spans="1:21" x14ac:dyDescent="0.3">
      <c r="A15" s="56" t="s">
        <v>1</v>
      </c>
      <c r="B15" s="56" t="s">
        <v>75</v>
      </c>
      <c r="C15" s="56" t="s">
        <v>76</v>
      </c>
      <c r="D15" s="56" t="s">
        <v>69</v>
      </c>
      <c r="E15" s="56" t="s">
        <v>77</v>
      </c>
      <c r="F15" s="56" t="s">
        <v>71</v>
      </c>
      <c r="G15" s="56" t="s">
        <v>61</v>
      </c>
      <c r="H15" s="56" t="s">
        <v>60</v>
      </c>
      <c r="I15" s="56" t="s">
        <v>72</v>
      </c>
      <c r="J15" s="56" t="s">
        <v>73</v>
      </c>
    </row>
    <row r="16" spans="1:21" x14ac:dyDescent="0.3">
      <c r="A16" s="2" t="s">
        <v>16</v>
      </c>
      <c r="B16" s="2">
        <f>COUNTIF('Raw data and pivot tables '!$C$4:$C$38,A16)</f>
        <v>7</v>
      </c>
      <c r="C16" s="2">
        <f>SUMIF('Raw data and pivot tables '!$C$4:$C$38,A16,'Raw data and pivot tables '!$D$4:$D$38)</f>
        <v>1930</v>
      </c>
      <c r="D16" s="59">
        <f>AVERAGEIF('Raw data and pivot tables '!$C$4:$C$38,A16,'Raw data and pivot tables '!$D$4:$D$38)</f>
        <v>275.71428571428572</v>
      </c>
      <c r="E16" s="59">
        <v>130.9</v>
      </c>
      <c r="F16" s="59">
        <f>E16/D16*100</f>
        <v>47.476683937823836</v>
      </c>
      <c r="G16" s="2">
        <f>_xlfn.MINIFS('Raw data and pivot tables '!$D$4:$D$38,'Raw data and pivot tables '!$C$4:$C$38,A16)</f>
        <v>184</v>
      </c>
      <c r="H16" s="2">
        <f>_xlfn.MAXIFS('Raw data and pivot tables '!$D$4:$D$38,'Raw data and pivot tables '!$C$4:$C$38,A16)</f>
        <v>546</v>
      </c>
      <c r="I16" s="2">
        <f t="shared" ref="I16:I21" si="0">H16-G16</f>
        <v>362</v>
      </c>
      <c r="J16" s="2">
        <f t="shared" ref="J16:J21" si="1">RANK(F16,$F$16:$F$21,1)</f>
        <v>6</v>
      </c>
    </row>
    <row r="17" spans="1:10" x14ac:dyDescent="0.3">
      <c r="A17" s="2" t="s">
        <v>21</v>
      </c>
      <c r="B17" s="2">
        <f>COUNTIF('Raw data and pivot tables '!$C$4:$C$38,A17)</f>
        <v>7</v>
      </c>
      <c r="C17" s="2">
        <f>SUMIF('Raw data and pivot tables '!$C$4:$C$38,A17,'Raw data and pivot tables '!$D$4:$D$38)</f>
        <v>1766</v>
      </c>
      <c r="D17" s="59">
        <f>AVERAGEIF('Raw data and pivot tables '!$C$4:$C$38,A17,'Raw data and pivot tables '!$D$4:$D$38)</f>
        <v>252.28571428571428</v>
      </c>
      <c r="E17" s="59">
        <v>68.599999999999994</v>
      </c>
      <c r="F17" s="59">
        <f>E17/D17*100</f>
        <v>27.191392978482444</v>
      </c>
      <c r="G17" s="2">
        <f>_xlfn.MINIFS('Raw data and pivot tables '!$D$4:$D$38,'Raw data and pivot tables '!$C$4:$C$38,A17)</f>
        <v>152</v>
      </c>
      <c r="H17" s="2">
        <f>_xlfn.MAXIFS('Raw data and pivot tables '!$D$4:$D$38,'Raw data and pivot tables '!$C$4:$C$38,A17)</f>
        <v>338</v>
      </c>
      <c r="I17" s="2">
        <f t="shared" si="0"/>
        <v>186</v>
      </c>
      <c r="J17" s="2">
        <f t="shared" si="1"/>
        <v>3</v>
      </c>
    </row>
    <row r="18" spans="1:10" x14ac:dyDescent="0.3">
      <c r="A18" s="2" t="s">
        <v>24</v>
      </c>
      <c r="B18" s="2">
        <f>COUNTIF('Raw data and pivot tables '!$C$4:$C$38,A18)</f>
        <v>7</v>
      </c>
      <c r="C18" s="2">
        <f>SUMIF('Raw data and pivot tables '!$C$4:$C$38,A18,'Raw data and pivot tables '!$D$4:$D$38)</f>
        <v>1966</v>
      </c>
      <c r="D18" s="59">
        <f>AVERAGEIF('Raw data and pivot tables '!$C$4:$C$38,A18,'Raw data and pivot tables '!$D$4:$D$38)</f>
        <v>280.85714285714283</v>
      </c>
      <c r="E18" s="59">
        <v>58.9</v>
      </c>
      <c r="F18" s="59">
        <f>E18/D18*100</f>
        <v>20.971515768056971</v>
      </c>
      <c r="G18" s="2">
        <f>_xlfn.MINIFS('Raw data and pivot tables '!$D$4:$D$38,'Raw data and pivot tables '!$C$4:$C$38,A18)</f>
        <v>148</v>
      </c>
      <c r="H18" s="2">
        <f>_xlfn.MAXIFS('Raw data and pivot tables '!$D$4:$D$38,'Raw data and pivot tables '!$C$4:$C$38,A18)</f>
        <v>332</v>
      </c>
      <c r="I18" s="2">
        <f t="shared" si="0"/>
        <v>184</v>
      </c>
      <c r="J18" s="2">
        <f t="shared" si="1"/>
        <v>2</v>
      </c>
    </row>
    <row r="19" spans="1:10" x14ac:dyDescent="0.3">
      <c r="A19" s="2" t="s">
        <v>28</v>
      </c>
      <c r="B19" s="2">
        <f>COUNTIF('Raw data and pivot tables '!$C$4:$C$38,A19)</f>
        <v>6</v>
      </c>
      <c r="C19" s="2">
        <f>SUMIF('Raw data and pivot tables '!$C$4:$C$38,A19,'Raw data and pivot tables '!$D$4:$D$38)</f>
        <v>1289</v>
      </c>
      <c r="D19" s="59">
        <f>AVERAGEIF('Raw data and pivot tables '!$C$4:$C$38,A19,'Raw data and pivot tables '!$D$4:$D$38)</f>
        <v>214.83333333333334</v>
      </c>
      <c r="E19" s="59">
        <v>70.900000000000006</v>
      </c>
      <c r="F19" s="59">
        <f>E19/D19*100</f>
        <v>33.002327385570212</v>
      </c>
      <c r="G19" s="2">
        <f>_xlfn.MINIFS('Raw data and pivot tables '!$D$4:$D$38,'Raw data and pivot tables '!$C$4:$C$38,A19)</f>
        <v>140</v>
      </c>
      <c r="H19" s="2">
        <f>_xlfn.MAXIFS('Raw data and pivot tables '!$D$4:$D$38,'Raw data and pivot tables '!$C$4:$C$38,A19)</f>
        <v>326</v>
      </c>
      <c r="I19" s="2">
        <f t="shared" si="0"/>
        <v>186</v>
      </c>
      <c r="J19" s="2">
        <f t="shared" si="1"/>
        <v>5</v>
      </c>
    </row>
    <row r="20" spans="1:10" x14ac:dyDescent="0.3">
      <c r="A20" s="2" t="s">
        <v>30</v>
      </c>
      <c r="B20" s="2">
        <f>COUNTIF('Raw data and pivot tables '!$C$4:$C$38,A20)</f>
        <v>6</v>
      </c>
      <c r="C20" s="2">
        <f>SUMIF('Raw data and pivot tables '!$C$4:$C$38,A20,'Raw data and pivot tables '!$D$4:$D$38)</f>
        <v>1972</v>
      </c>
      <c r="D20" s="59">
        <f>AVERAGEIF('Raw data and pivot tables '!$C$4:$C$38,A20,'Raw data and pivot tables '!$D$4:$D$38)</f>
        <v>328.66666666666669</v>
      </c>
      <c r="E20" s="59">
        <v>89.7</v>
      </c>
      <c r="F20" s="59">
        <f>E20/D20*100</f>
        <v>27.2920892494929</v>
      </c>
      <c r="G20" s="2">
        <f>_xlfn.MINIFS('Raw data and pivot tables '!$D$4:$D$38,'Raw data and pivot tables '!$C$4:$C$38,A20)</f>
        <v>176</v>
      </c>
      <c r="H20" s="2">
        <f>_xlfn.MAXIFS('Raw data and pivot tables '!$D$4:$D$38,'Raw data and pivot tables '!$C$4:$C$38,A20)</f>
        <v>434</v>
      </c>
      <c r="I20" s="2">
        <f t="shared" si="0"/>
        <v>258</v>
      </c>
      <c r="J20" s="2">
        <f t="shared" si="1"/>
        <v>4</v>
      </c>
    </row>
    <row r="21" spans="1:10" x14ac:dyDescent="0.3">
      <c r="A21" s="2" t="s">
        <v>31</v>
      </c>
      <c r="B21" s="2">
        <f>COUNTIF('Raw data and pivot tables '!$C$4:$C$38,A21)</f>
        <v>2</v>
      </c>
      <c r="C21" s="2">
        <f>SUMIF('Raw data and pivot tables '!$C$4:$C$38,A21,'Raw data and pivot tables '!$D$4:$D$38)</f>
        <v>400</v>
      </c>
      <c r="D21" s="2">
        <f>AVERAGEIF('Raw data and pivot tables '!$C$4:$C$38,A21,'Raw data and pivot tables '!$D$4:$D$38)</f>
        <v>200</v>
      </c>
      <c r="E21" s="2">
        <v>0</v>
      </c>
      <c r="F21" s="2">
        <f>IF(E21=0,0,E21/D21*100)</f>
        <v>0</v>
      </c>
      <c r="G21" s="2">
        <f>_xlfn.MINIFS('Raw data and pivot tables '!$D$4:$D$38,'Raw data and pivot tables '!$C$4:$C$38,A21)</f>
        <v>200</v>
      </c>
      <c r="H21" s="2">
        <f>_xlfn.MAXIFS('Raw data and pivot tables '!$D$4:$D$38,'Raw data and pivot tables '!$C$4:$C$38,A21)</f>
        <v>200</v>
      </c>
      <c r="I21" s="2">
        <f t="shared" si="0"/>
        <v>0</v>
      </c>
      <c r="J21" s="2">
        <f t="shared" si="1"/>
        <v>1</v>
      </c>
    </row>
    <row r="28" spans="1:10" x14ac:dyDescent="0.3">
      <c r="A28" s="211" t="s">
        <v>78</v>
      </c>
      <c r="B28" s="211"/>
    </row>
    <row r="30" spans="1:10" x14ac:dyDescent="0.3">
      <c r="A30" s="56" t="s">
        <v>0</v>
      </c>
      <c r="B30" s="56" t="s">
        <v>79</v>
      </c>
      <c r="C30" s="56" t="s">
        <v>80</v>
      </c>
      <c r="D30" s="56" t="s">
        <v>81</v>
      </c>
      <c r="E30" s="56" t="s">
        <v>82</v>
      </c>
      <c r="F30" s="56" t="s">
        <v>83</v>
      </c>
      <c r="G30" s="56" t="s">
        <v>84</v>
      </c>
      <c r="H30" s="56" t="s">
        <v>85</v>
      </c>
      <c r="I30" s="56" t="s">
        <v>86</v>
      </c>
      <c r="J30" s="56" t="s">
        <v>87</v>
      </c>
    </row>
    <row r="31" spans="1:10" x14ac:dyDescent="0.3">
      <c r="A31" s="2" t="s">
        <v>15</v>
      </c>
      <c r="B31" s="2">
        <f>SUMIFS('Raw data and pivot tables '!$D$4:$D$38,'Raw data and pivot tables '!$B$4:$B$38,A31,'Raw data and pivot tables '!$A$4:$A$38,1)</f>
        <v>712</v>
      </c>
      <c r="C31" s="2">
        <f>SUMIFS('Raw data and pivot tables '!$D$4:$D$38,'Raw data and pivot tables '!$B$4:$B$38,A31,'Raw data and pivot tables '!$A$4:$A$38,2)</f>
        <v>810</v>
      </c>
      <c r="D31" s="2">
        <f>SUMIFS('Raw data and pivot tables '!$D$4:$D$38,'Raw data and pivot tables '!$B$4:$B$38,A31,'Raw data and pivot tables '!$A$4:$A$38,3)</f>
        <v>637</v>
      </c>
      <c r="E31" s="2">
        <f>SUMIFS('Raw data and pivot tables '!$D$4:$D$38,'Raw data and pivot tables '!$B$4:$B$38,A31,'Raw data and pivot tables '!$A$4:$A$38,4)</f>
        <v>668</v>
      </c>
      <c r="F31" s="2">
        <f>SUMIFS('Raw data and pivot tables '!$D$4:$D$38,'Raw data and pivot tables '!$B$4:$B$38,A31,'Raw data and pivot tables '!$A$4:$A$38,5)</f>
        <v>624</v>
      </c>
      <c r="G31" s="2">
        <f>SUMIFS('Raw data and pivot tables '!$D$4:$D$38,'Raw data and pivot tables '!$B$4:$B$38,A31,'Raw data and pivot tables '!$A$4:$A$38,6)</f>
        <v>384</v>
      </c>
      <c r="H31" s="2">
        <f>SUMIFS('Raw data and pivot tables '!$D$4:$D$38,'Raw data and pivot tables '!$B$4:$B$38,A31,'Raw data and pivot tables '!$A$4:$A$38,7)</f>
        <v>200</v>
      </c>
      <c r="I31" s="2">
        <f>SUM(B31:H31)</f>
        <v>4035</v>
      </c>
      <c r="J31" s="59">
        <f>I31/COUNTIF(B31:H31,"&gt;0")</f>
        <v>576.42857142857144</v>
      </c>
    </row>
    <row r="32" spans="1:10" x14ac:dyDescent="0.3">
      <c r="A32" s="2" t="s">
        <v>27</v>
      </c>
      <c r="B32" s="2">
        <f>SUMIFS('Raw data and pivot tables '!$D$4:$D$38,'Raw data and pivot tables '!$B$4:$B$38,A32,'Raw data and pivot tables '!$A$4:$A$38,1)</f>
        <v>760</v>
      </c>
      <c r="C32" s="2">
        <f>SUMIFS('Raw data and pivot tables '!$D$4:$D$38,'Raw data and pivot tables '!$B$4:$B$38,A32,'Raw data and pivot tables '!$A$4:$A$38,2)</f>
        <v>438</v>
      </c>
      <c r="D32" s="2">
        <f>SUMIFS('Raw data and pivot tables '!$D$4:$D$38,'Raw data and pivot tables '!$B$4:$B$38,A32,'Raw data and pivot tables '!$A$4:$A$38,3)</f>
        <v>452</v>
      </c>
      <c r="E32" s="2">
        <f>SUMIFS('Raw data and pivot tables '!$D$4:$D$38,'Raw data and pivot tables '!$B$4:$B$38,A32,'Raw data and pivot tables '!$A$4:$A$38,4)</f>
        <v>606</v>
      </c>
      <c r="F32" s="2">
        <f>SUMIFS('Raw data and pivot tables '!$D$4:$D$38,'Raw data and pivot tables '!$B$4:$B$38,A32,'Raw data and pivot tables '!$A$4:$A$38,5)</f>
        <v>302</v>
      </c>
      <c r="G32" s="2">
        <f>SUMIFS('Raw data and pivot tables '!$D$4:$D$38,'Raw data and pivot tables '!$B$4:$B$38,A32,'Raw data and pivot tables '!$A$4:$A$38,6)</f>
        <v>890</v>
      </c>
      <c r="H32" s="2">
        <f>SUMIFS('Raw data and pivot tables '!$D$4:$D$38,'Raw data and pivot tables '!$B$4:$B$38,A32,'Raw data and pivot tables '!$A$4:$A$38,7)</f>
        <v>862</v>
      </c>
      <c r="I32" s="2">
        <f>SUM(B32:H32)</f>
        <v>4310</v>
      </c>
      <c r="J32" s="59">
        <f>I32/COUNTIF(B32:H32,"&gt;0")</f>
        <v>615.71428571428567</v>
      </c>
    </row>
    <row r="33" spans="1:10" x14ac:dyDescent="0.3">
      <c r="A33" s="2" t="s">
        <v>38</v>
      </c>
      <c r="B33" s="2">
        <f>SUMIFS('Raw data and pivot tables '!$D$4:$D$38,'Raw data and pivot tables '!$B$4:$B$38,A33,'Raw data and pivot tables '!$A$4:$A$38,1)</f>
        <v>0</v>
      </c>
      <c r="C33" s="2">
        <f>SUMIFS('Raw data and pivot tables '!$D$4:$D$38,'Raw data and pivot tables '!$B$4:$B$38,A33,'Raw data and pivot tables '!$A$4:$A$38,2)</f>
        <v>201</v>
      </c>
      <c r="D33" s="2">
        <f>SUMIFS('Raw data and pivot tables '!$D$4:$D$38,'Raw data and pivot tables '!$B$4:$B$38,A33,'Raw data and pivot tables '!$A$4:$A$38,3)</f>
        <v>168</v>
      </c>
      <c r="E33" s="2">
        <f>SUMIFS('Raw data and pivot tables '!$D$4:$D$38,'Raw data and pivot tables '!$B$4:$B$38,A33,'Raw data and pivot tables '!$A$4:$A$38,4)</f>
        <v>321</v>
      </c>
      <c r="F33" s="2">
        <f>SUMIFS('Raw data and pivot tables '!$D$4:$D$38,'Raw data and pivot tables '!$B$4:$B$38,A33,'Raw data and pivot tables '!$A$4:$A$38,5)</f>
        <v>0</v>
      </c>
      <c r="G33" s="2">
        <f>SUMIFS('Raw data and pivot tables '!$D$4:$D$38,'Raw data and pivot tables '!$B$4:$B$38,A33,'Raw data and pivot tables '!$A$4:$A$38,6)</f>
        <v>140</v>
      </c>
      <c r="H33" s="2">
        <f>SUMIFS('Raw data and pivot tables '!$D$4:$D$38,'Raw data and pivot tables '!$B$4:$B$38,A33,'Raw data and pivot tables '!$A$4:$A$38,7)</f>
        <v>148</v>
      </c>
      <c r="I33" s="2">
        <f>SUM(B33:H33)</f>
        <v>978</v>
      </c>
      <c r="J33" s="59">
        <f>I33/COUNTIF(B33:H33,"&gt;0")</f>
        <v>195.6</v>
      </c>
    </row>
    <row r="34" spans="1:10" x14ac:dyDescent="0.3">
      <c r="A34" s="57" t="s">
        <v>86</v>
      </c>
      <c r="B34" s="57">
        <f t="shared" ref="B34:I34" si="2">SUM(B31:B33)</f>
        <v>1472</v>
      </c>
      <c r="C34" s="57">
        <f t="shared" si="2"/>
        <v>1449</v>
      </c>
      <c r="D34" s="57">
        <f t="shared" si="2"/>
        <v>1257</v>
      </c>
      <c r="E34" s="57">
        <f t="shared" si="2"/>
        <v>1595</v>
      </c>
      <c r="F34" s="57">
        <f t="shared" si="2"/>
        <v>926</v>
      </c>
      <c r="G34" s="57">
        <f t="shared" si="2"/>
        <v>1414</v>
      </c>
      <c r="H34" s="57">
        <f t="shared" si="2"/>
        <v>1210</v>
      </c>
      <c r="I34" s="57">
        <f t="shared" si="2"/>
        <v>9323</v>
      </c>
      <c r="J34" s="57"/>
    </row>
    <row r="37" spans="1:10" x14ac:dyDescent="0.3">
      <c r="A37" s="211" t="s">
        <v>88</v>
      </c>
      <c r="B37" s="211"/>
      <c r="C37" s="211"/>
    </row>
    <row r="39" spans="1:10" x14ac:dyDescent="0.3">
      <c r="A39" s="56" t="s">
        <v>1</v>
      </c>
      <c r="B39" s="56" t="s">
        <v>15</v>
      </c>
      <c r="C39" s="56" t="s">
        <v>27</v>
      </c>
      <c r="D39" s="56" t="s">
        <v>38</v>
      </c>
      <c r="E39" s="56" t="s">
        <v>86</v>
      </c>
    </row>
    <row r="40" spans="1:10" x14ac:dyDescent="0.3">
      <c r="A40" s="2" t="s">
        <v>16</v>
      </c>
      <c r="B40" s="2">
        <f>COUNTIFS('Raw data and pivot tables '!$C$4:$C$38,A40,'Raw data and pivot tables '!$B$4:$B$38,B$39)</f>
        <v>5</v>
      </c>
      <c r="C40" s="2">
        <f>COUNTIFS('Raw data and pivot tables '!$C$4:$C$38,A40,'Raw data and pivot tables '!$B$4:$B$38,C$39)</f>
        <v>1</v>
      </c>
      <c r="D40" s="2">
        <f>COUNTIFS('Raw data and pivot tables '!$C$4:$C$38,A40,'Raw data and pivot tables '!$B$4:$B$38,D$39)</f>
        <v>1</v>
      </c>
      <c r="E40" s="2">
        <f t="shared" ref="E40:E45" si="3">SUM(B40:D40)</f>
        <v>7</v>
      </c>
    </row>
    <row r="41" spans="1:10" x14ac:dyDescent="0.3">
      <c r="A41" s="2" t="s">
        <v>21</v>
      </c>
      <c r="B41" s="2">
        <f>COUNTIFS('Raw data and pivot tables '!$C$4:$C$38,A41,'Raw data and pivot tables '!$B$4:$B$38,B$39)</f>
        <v>4</v>
      </c>
      <c r="C41" s="2">
        <f>COUNTIFS('Raw data and pivot tables '!$C$4:$C$38,A41,'Raw data and pivot tables '!$B$4:$B$38,C$39)</f>
        <v>2</v>
      </c>
      <c r="D41" s="2">
        <f>COUNTIFS('Raw data and pivot tables '!$C$4:$C$38,A41,'Raw data and pivot tables '!$B$4:$B$38,D$39)</f>
        <v>1</v>
      </c>
      <c r="E41" s="2">
        <f t="shared" si="3"/>
        <v>7</v>
      </c>
    </row>
    <row r="42" spans="1:10" x14ac:dyDescent="0.3">
      <c r="A42" s="2" t="s">
        <v>24</v>
      </c>
      <c r="B42" s="2">
        <f>COUNTIFS('Raw data and pivot tables '!$C$4:$C$38,A42,'Raw data and pivot tables '!$B$4:$B$38,B$39)</f>
        <v>1</v>
      </c>
      <c r="C42" s="2">
        <f>COUNTIFS('Raw data and pivot tables '!$C$4:$C$38,A42,'Raw data and pivot tables '!$B$4:$B$38,C$39)</f>
        <v>5</v>
      </c>
      <c r="D42" s="2">
        <f>COUNTIFS('Raw data and pivot tables '!$C$4:$C$38,A42,'Raw data and pivot tables '!$B$4:$B$38,D$39)</f>
        <v>1</v>
      </c>
      <c r="E42" s="2">
        <f t="shared" si="3"/>
        <v>7</v>
      </c>
    </row>
    <row r="43" spans="1:10" x14ac:dyDescent="0.3">
      <c r="A43" s="2" t="s">
        <v>28</v>
      </c>
      <c r="B43" s="2">
        <f>COUNTIFS('Raw data and pivot tables '!$C$4:$C$38,A43,'Raw data and pivot tables '!$B$4:$B$38,B$39)</f>
        <v>1</v>
      </c>
      <c r="C43" s="2">
        <f>COUNTIFS('Raw data and pivot tables '!$C$4:$C$38,A43,'Raw data and pivot tables '!$B$4:$B$38,C$39)</f>
        <v>3</v>
      </c>
      <c r="D43" s="2">
        <f>COUNTIFS('Raw data and pivot tables '!$C$4:$C$38,A43,'Raw data and pivot tables '!$B$4:$B$38,D$39)</f>
        <v>2</v>
      </c>
      <c r="E43" s="2">
        <f t="shared" si="3"/>
        <v>6</v>
      </c>
    </row>
    <row r="44" spans="1:10" x14ac:dyDescent="0.3">
      <c r="A44" s="2" t="s">
        <v>30</v>
      </c>
      <c r="B44" s="2">
        <f>COUNTIFS('Raw data and pivot tables '!$C$4:$C$38,A44,'Raw data and pivot tables '!$B$4:$B$38,B$39)</f>
        <v>2</v>
      </c>
      <c r="C44" s="2">
        <f>COUNTIFS('Raw data and pivot tables '!$C$4:$C$38,A44,'Raw data and pivot tables '!$B$4:$B$38,C$39)</f>
        <v>4</v>
      </c>
      <c r="D44" s="2">
        <f>COUNTIFS('Raw data and pivot tables '!$C$4:$C$38,A44,'Raw data and pivot tables '!$B$4:$B$38,D$39)</f>
        <v>0</v>
      </c>
      <c r="E44" s="2">
        <f t="shared" si="3"/>
        <v>6</v>
      </c>
    </row>
    <row r="45" spans="1:10" x14ac:dyDescent="0.3">
      <c r="A45" s="2" t="s">
        <v>31</v>
      </c>
      <c r="B45" s="2">
        <f>COUNTIFS('Raw data and pivot tables '!$C$4:$C$38,A45,'Raw data and pivot tables '!$B$4:$B$38,B$39)</f>
        <v>2</v>
      </c>
      <c r="C45" s="2">
        <f>COUNTIFS('Raw data and pivot tables '!$C$4:$C$38,A45,'Raw data and pivot tables '!$B$4:$B$38,C$39)</f>
        <v>0</v>
      </c>
      <c r="D45" s="2">
        <f>COUNTIFS('Raw data and pivot tables '!$C$4:$C$38,A45,'Raw data and pivot tables '!$B$4:$B$38,D$39)</f>
        <v>0</v>
      </c>
      <c r="E45" s="2">
        <f t="shared" si="3"/>
        <v>2</v>
      </c>
    </row>
    <row r="46" spans="1:10" x14ac:dyDescent="0.3">
      <c r="A46" s="57" t="s">
        <v>86</v>
      </c>
      <c r="B46" s="57">
        <f>SUM(B40:B45)</f>
        <v>15</v>
      </c>
      <c r="C46" s="57">
        <f>SUM(C40:C45)</f>
        <v>15</v>
      </c>
      <c r="D46" s="57">
        <f>SUM(D40:D45)</f>
        <v>5</v>
      </c>
      <c r="E46" s="57">
        <f>SUM(E40:E45)</f>
        <v>35</v>
      </c>
    </row>
    <row r="49" spans="1:3" x14ac:dyDescent="0.3">
      <c r="A49" s="209" t="s">
        <v>89</v>
      </c>
      <c r="B49" s="209"/>
      <c r="C49" s="209"/>
    </row>
    <row r="51" spans="1:3" x14ac:dyDescent="0.3">
      <c r="A51" s="60" t="s">
        <v>90</v>
      </c>
    </row>
    <row r="52" spans="1:3" x14ac:dyDescent="0.3">
      <c r="A52" s="2" t="s">
        <v>91</v>
      </c>
      <c r="B52" s="58" t="str">
        <f>INDEX($A$6:$A$8,MATCH(MIN($F$6:$F$8),$F$6:$F$8,0))</f>
        <v>CM</v>
      </c>
      <c r="C52" s="2" t="s">
        <v>92</v>
      </c>
    </row>
    <row r="53" spans="1:3" x14ac:dyDescent="0.3">
      <c r="A53" s="2" t="s">
        <v>93</v>
      </c>
      <c r="B53" s="58" t="str">
        <f>INDEX($A$6:$A$8,MATCH(MAX($C$6:$C$8),$C$6:$C$8,0))</f>
        <v>CM</v>
      </c>
    </row>
    <row r="54" spans="1:3" x14ac:dyDescent="0.3">
      <c r="A54" s="2" t="s">
        <v>94</v>
      </c>
      <c r="B54" s="58" t="str">
        <f>INDEX($A$6:$A$8,MATCH(MAX($D$6:$D$8),$D$6:$D$8,0))</f>
        <v>CM</v>
      </c>
    </row>
    <row r="56" spans="1:3" x14ac:dyDescent="0.3">
      <c r="A56" s="60" t="s">
        <v>95</v>
      </c>
    </row>
    <row r="57" spans="1:3" x14ac:dyDescent="0.3">
      <c r="A57" s="2" t="s">
        <v>96</v>
      </c>
      <c r="B57" s="58" t="str">
        <f>INDEX($A$16:$A$21,MATCH(MIN($F$16:$F$20),$F$16:$F$21,0))</f>
        <v>LA0724</v>
      </c>
      <c r="C57" s="2" t="s">
        <v>92</v>
      </c>
    </row>
    <row r="58" spans="1:3" x14ac:dyDescent="0.3">
      <c r="A58" s="2" t="s">
        <v>97</v>
      </c>
      <c r="B58" s="58" t="str">
        <f>INDEX($A$16:$A$21,MATCH(MAX($F$16:$F$20),$F$16:$F$21,0))</f>
        <v>LA0499</v>
      </c>
      <c r="C58" s="2" t="s">
        <v>98</v>
      </c>
    </row>
    <row r="59" spans="1:3" x14ac:dyDescent="0.3">
      <c r="A59" s="2" t="s">
        <v>99</v>
      </c>
      <c r="B59" s="58" t="str">
        <f>INDEX($A$16:$A$21,MATCH(MAX($B$16:$B$21),$B$16:$B$21,0))</f>
        <v>LA0499</v>
      </c>
    </row>
    <row r="60" spans="1:3" x14ac:dyDescent="0.3">
      <c r="A60" s="2" t="s">
        <v>100</v>
      </c>
      <c r="B60" s="58" t="str">
        <f>INDEX($A$16:$A$21,MATCH(MAX($D$16:$D$21),$D$16:$D$21,0))</f>
        <v>LA0117</v>
      </c>
    </row>
  </sheetData>
  <mergeCells count="6">
    <mergeCell ref="A49:C49"/>
    <mergeCell ref="A1:U1"/>
    <mergeCell ref="A3:B3"/>
    <mergeCell ref="A13:B13"/>
    <mergeCell ref="A28:B28"/>
    <mergeCell ref="A37:C37"/>
  </mergeCells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FC7AF-7812-4983-9DCE-50D5D2B08C89}">
  <sheetPr codeName="Sheet25"/>
  <dimension ref="A1:P38"/>
  <sheetViews>
    <sheetView workbookViewId="0">
      <selection activeCell="R13" sqref="R13"/>
    </sheetView>
  </sheetViews>
  <sheetFormatPr defaultRowHeight="14.4" x14ac:dyDescent="0.3"/>
  <cols>
    <col min="8" max="8" width="21.6640625" bestFit="1" customWidth="1"/>
    <col min="9" max="9" width="15.5546875" bestFit="1" customWidth="1"/>
    <col min="10" max="10" width="10.33203125" customWidth="1"/>
    <col min="11" max="11" width="9.6640625" customWidth="1"/>
    <col min="12" max="12" width="11" customWidth="1"/>
    <col min="13" max="13" width="12.109375" customWidth="1"/>
    <col min="14" max="14" width="9" customWidth="1"/>
    <col min="15" max="15" width="13.6640625" customWidth="1"/>
    <col min="16" max="16" width="10.5546875" bestFit="1" customWidth="1"/>
  </cols>
  <sheetData>
    <row r="1" spans="1:16" x14ac:dyDescent="0.3">
      <c r="H1" s="54" t="s">
        <v>101</v>
      </c>
      <c r="I1" t="s">
        <v>102</v>
      </c>
    </row>
    <row r="2" spans="1:16" x14ac:dyDescent="0.3">
      <c r="A2" s="211" t="s">
        <v>103</v>
      </c>
      <c r="B2" s="211"/>
      <c r="C2" s="211"/>
      <c r="D2" s="211"/>
    </row>
    <row r="3" spans="1:16" x14ac:dyDescent="0.3">
      <c r="A3" s="53" t="s">
        <v>101</v>
      </c>
      <c r="B3" s="53" t="s">
        <v>0</v>
      </c>
      <c r="C3" s="53" t="s">
        <v>1</v>
      </c>
      <c r="D3" s="53" t="s">
        <v>104</v>
      </c>
      <c r="E3" s="53"/>
      <c r="F3" s="53"/>
      <c r="H3" s="54" t="s">
        <v>105</v>
      </c>
      <c r="I3" s="54" t="s">
        <v>1</v>
      </c>
    </row>
    <row r="4" spans="1:16" x14ac:dyDescent="0.3">
      <c r="A4">
        <v>1</v>
      </c>
      <c r="B4" t="s">
        <v>15</v>
      </c>
      <c r="C4" t="s">
        <v>16</v>
      </c>
      <c r="D4">
        <v>250</v>
      </c>
      <c r="H4" s="54" t="s">
        <v>0</v>
      </c>
      <c r="I4" s="2" t="s">
        <v>28</v>
      </c>
      <c r="J4" s="2" t="s">
        <v>31</v>
      </c>
      <c r="K4" s="2" t="s">
        <v>30</v>
      </c>
      <c r="L4" s="2" t="s">
        <v>16</v>
      </c>
      <c r="M4" s="2" t="s">
        <v>24</v>
      </c>
      <c r="N4" s="2" t="s">
        <v>21</v>
      </c>
      <c r="O4" s="2" t="s">
        <v>106</v>
      </c>
    </row>
    <row r="5" spans="1:16" x14ac:dyDescent="0.3">
      <c r="A5">
        <v>1</v>
      </c>
      <c r="B5" t="s">
        <v>15</v>
      </c>
      <c r="C5" t="s">
        <v>21</v>
      </c>
      <c r="D5">
        <v>152</v>
      </c>
      <c r="H5" s="55" t="s">
        <v>15</v>
      </c>
      <c r="I5" s="2">
        <v>206</v>
      </c>
      <c r="J5" s="2">
        <v>400</v>
      </c>
      <c r="K5" s="2">
        <v>764</v>
      </c>
      <c r="L5" s="2">
        <v>1367</v>
      </c>
      <c r="M5" s="2">
        <v>310</v>
      </c>
      <c r="N5" s="2">
        <v>988</v>
      </c>
      <c r="O5" s="2">
        <v>4035</v>
      </c>
    </row>
    <row r="6" spans="1:16" x14ac:dyDescent="0.3">
      <c r="A6">
        <v>1</v>
      </c>
      <c r="B6" t="s">
        <v>15</v>
      </c>
      <c r="C6" t="s">
        <v>24</v>
      </c>
      <c r="D6">
        <v>310</v>
      </c>
      <c r="H6" s="55" t="s">
        <v>27</v>
      </c>
      <c r="I6" s="2">
        <v>742</v>
      </c>
      <c r="J6" s="2"/>
      <c r="K6" s="2">
        <v>1208</v>
      </c>
      <c r="L6" s="2">
        <v>242</v>
      </c>
      <c r="M6" s="2">
        <v>1508</v>
      </c>
      <c r="N6" s="2">
        <v>610</v>
      </c>
      <c r="O6" s="2">
        <v>4310</v>
      </c>
    </row>
    <row r="7" spans="1:16" x14ac:dyDescent="0.3">
      <c r="A7">
        <v>1</v>
      </c>
      <c r="B7" t="s">
        <v>27</v>
      </c>
      <c r="C7" t="s">
        <v>28</v>
      </c>
      <c r="D7">
        <v>326</v>
      </c>
      <c r="H7" s="55" t="s">
        <v>38</v>
      </c>
      <c r="I7" s="2">
        <v>341</v>
      </c>
      <c r="J7" s="2"/>
      <c r="K7" s="2"/>
      <c r="L7" s="2">
        <v>321</v>
      </c>
      <c r="M7" s="2">
        <v>148</v>
      </c>
      <c r="N7" s="2">
        <v>168</v>
      </c>
      <c r="O7" s="2">
        <v>978</v>
      </c>
    </row>
    <row r="8" spans="1:16" x14ac:dyDescent="0.3">
      <c r="A8">
        <v>1</v>
      </c>
      <c r="B8" t="s">
        <v>27</v>
      </c>
      <c r="C8" t="s">
        <v>30</v>
      </c>
      <c r="D8">
        <v>434</v>
      </c>
      <c r="H8" s="55" t="s">
        <v>106</v>
      </c>
      <c r="I8" s="2">
        <v>1289</v>
      </c>
      <c r="J8" s="2">
        <v>400</v>
      </c>
      <c r="K8" s="2">
        <v>1972</v>
      </c>
      <c r="L8" s="2">
        <v>1930</v>
      </c>
      <c r="M8" s="2">
        <v>1966</v>
      </c>
      <c r="N8" s="2">
        <v>1766</v>
      </c>
      <c r="O8" s="2">
        <v>9323</v>
      </c>
    </row>
    <row r="9" spans="1:16" x14ac:dyDescent="0.3">
      <c r="A9">
        <v>2</v>
      </c>
      <c r="B9" t="s">
        <v>15</v>
      </c>
      <c r="C9" t="s">
        <v>16</v>
      </c>
      <c r="D9">
        <v>546</v>
      </c>
    </row>
    <row r="10" spans="1:16" x14ac:dyDescent="0.3">
      <c r="A10">
        <v>2</v>
      </c>
      <c r="B10" t="s">
        <v>15</v>
      </c>
      <c r="C10" t="s">
        <v>21</v>
      </c>
      <c r="D10">
        <v>264</v>
      </c>
    </row>
    <row r="11" spans="1:16" x14ac:dyDescent="0.3">
      <c r="A11">
        <v>2</v>
      </c>
      <c r="B11" t="s">
        <v>27</v>
      </c>
      <c r="C11" t="s">
        <v>24</v>
      </c>
      <c r="D11">
        <v>262</v>
      </c>
    </row>
    <row r="12" spans="1:16" x14ac:dyDescent="0.3">
      <c r="A12">
        <v>2</v>
      </c>
      <c r="B12" t="s">
        <v>38</v>
      </c>
      <c r="C12" t="s">
        <v>28</v>
      </c>
      <c r="D12">
        <v>201</v>
      </c>
    </row>
    <row r="13" spans="1:16" x14ac:dyDescent="0.3">
      <c r="A13">
        <v>2</v>
      </c>
      <c r="B13" t="s">
        <v>27</v>
      </c>
      <c r="C13" t="s">
        <v>30</v>
      </c>
      <c r="D13">
        <v>176</v>
      </c>
      <c r="H13" s="54" t="s">
        <v>1</v>
      </c>
      <c r="I13" t="s">
        <v>102</v>
      </c>
    </row>
    <row r="14" spans="1:16" x14ac:dyDescent="0.3">
      <c r="A14">
        <v>3</v>
      </c>
      <c r="B14" t="s">
        <v>15</v>
      </c>
      <c r="C14" t="s">
        <v>16</v>
      </c>
      <c r="D14">
        <v>203</v>
      </c>
    </row>
    <row r="15" spans="1:16" x14ac:dyDescent="0.3">
      <c r="A15">
        <v>3</v>
      </c>
      <c r="B15" t="s">
        <v>38</v>
      </c>
      <c r="C15" t="s">
        <v>21</v>
      </c>
      <c r="D15">
        <v>168</v>
      </c>
      <c r="H15" s="54" t="s">
        <v>105</v>
      </c>
      <c r="I15" s="54" t="s">
        <v>107</v>
      </c>
    </row>
    <row r="16" spans="1:16" x14ac:dyDescent="0.3">
      <c r="A16">
        <v>3</v>
      </c>
      <c r="B16" t="s">
        <v>27</v>
      </c>
      <c r="C16" t="s">
        <v>24</v>
      </c>
      <c r="D16">
        <v>310</v>
      </c>
      <c r="H16" s="54" t="s">
        <v>0</v>
      </c>
      <c r="I16">
        <v>1</v>
      </c>
      <c r="J16">
        <v>2</v>
      </c>
      <c r="K16">
        <v>3</v>
      </c>
      <c r="L16">
        <v>4</v>
      </c>
      <c r="M16">
        <v>5</v>
      </c>
      <c r="N16">
        <v>6</v>
      </c>
      <c r="O16">
        <v>7</v>
      </c>
      <c r="P16" t="s">
        <v>106</v>
      </c>
    </row>
    <row r="17" spans="1:16" x14ac:dyDescent="0.3">
      <c r="A17">
        <v>3</v>
      </c>
      <c r="B17" t="s">
        <v>27</v>
      </c>
      <c r="C17" t="s">
        <v>28</v>
      </c>
      <c r="D17">
        <v>142</v>
      </c>
      <c r="H17" s="55" t="s">
        <v>15</v>
      </c>
      <c r="I17">
        <v>712</v>
      </c>
      <c r="J17">
        <v>810</v>
      </c>
      <c r="K17">
        <v>637</v>
      </c>
      <c r="L17">
        <v>668</v>
      </c>
      <c r="M17">
        <v>624</v>
      </c>
      <c r="N17">
        <v>384</v>
      </c>
      <c r="O17">
        <v>200</v>
      </c>
      <c r="P17">
        <v>4035</v>
      </c>
    </row>
    <row r="18" spans="1:16" x14ac:dyDescent="0.3">
      <c r="A18">
        <v>3</v>
      </c>
      <c r="B18" t="s">
        <v>15</v>
      </c>
      <c r="C18" t="s">
        <v>30</v>
      </c>
      <c r="D18">
        <v>434</v>
      </c>
      <c r="H18" s="55" t="s">
        <v>27</v>
      </c>
      <c r="I18">
        <v>760</v>
      </c>
      <c r="J18">
        <v>438</v>
      </c>
      <c r="K18">
        <v>452</v>
      </c>
      <c r="L18">
        <v>606</v>
      </c>
      <c r="M18">
        <v>302</v>
      </c>
      <c r="N18">
        <v>890</v>
      </c>
      <c r="O18">
        <v>862</v>
      </c>
      <c r="P18">
        <v>4310</v>
      </c>
    </row>
    <row r="19" spans="1:16" x14ac:dyDescent="0.3">
      <c r="A19">
        <v>4</v>
      </c>
      <c r="B19" t="s">
        <v>38</v>
      </c>
      <c r="C19" t="s">
        <v>16</v>
      </c>
      <c r="D19">
        <v>321</v>
      </c>
      <c r="H19" s="55" t="s">
        <v>38</v>
      </c>
      <c r="J19">
        <v>201</v>
      </c>
      <c r="K19">
        <v>168</v>
      </c>
      <c r="L19">
        <v>321</v>
      </c>
      <c r="N19">
        <v>140</v>
      </c>
      <c r="O19">
        <v>148</v>
      </c>
      <c r="P19">
        <v>978</v>
      </c>
    </row>
    <row r="20" spans="1:16" x14ac:dyDescent="0.3">
      <c r="A20">
        <v>4</v>
      </c>
      <c r="B20" t="s">
        <v>15</v>
      </c>
      <c r="C20" t="s">
        <v>21</v>
      </c>
      <c r="D20">
        <v>338</v>
      </c>
      <c r="H20" s="55" t="s">
        <v>106</v>
      </c>
      <c r="I20">
        <v>1472</v>
      </c>
      <c r="J20">
        <v>1449</v>
      </c>
      <c r="K20">
        <v>1257</v>
      </c>
      <c r="L20">
        <v>1595</v>
      </c>
      <c r="M20">
        <v>926</v>
      </c>
      <c r="N20">
        <v>1414</v>
      </c>
      <c r="O20">
        <v>1210</v>
      </c>
      <c r="P20">
        <v>9323</v>
      </c>
    </row>
    <row r="21" spans="1:16" x14ac:dyDescent="0.3">
      <c r="A21">
        <v>4</v>
      </c>
      <c r="B21" t="s">
        <v>27</v>
      </c>
      <c r="C21" t="s">
        <v>24</v>
      </c>
      <c r="D21">
        <v>332</v>
      </c>
    </row>
    <row r="22" spans="1:16" x14ac:dyDescent="0.3">
      <c r="A22">
        <v>4</v>
      </c>
      <c r="B22" t="s">
        <v>27</v>
      </c>
      <c r="C22" t="s">
        <v>28</v>
      </c>
      <c r="D22">
        <v>274</v>
      </c>
    </row>
    <row r="23" spans="1:16" x14ac:dyDescent="0.3">
      <c r="A23">
        <v>4</v>
      </c>
      <c r="B23" t="s">
        <v>15</v>
      </c>
      <c r="C23" t="s">
        <v>30</v>
      </c>
      <c r="D23">
        <v>330</v>
      </c>
    </row>
    <row r="24" spans="1:16" x14ac:dyDescent="0.3">
      <c r="A24">
        <v>5</v>
      </c>
      <c r="B24" t="s">
        <v>15</v>
      </c>
      <c r="C24" t="s">
        <v>16</v>
      </c>
      <c r="D24">
        <v>184</v>
      </c>
      <c r="H24" s="54" t="s">
        <v>0</v>
      </c>
      <c r="I24" t="s">
        <v>102</v>
      </c>
    </row>
    <row r="25" spans="1:16" x14ac:dyDescent="0.3">
      <c r="A25">
        <v>5</v>
      </c>
      <c r="B25" t="s">
        <v>15</v>
      </c>
      <c r="C25" t="s">
        <v>21</v>
      </c>
      <c r="D25">
        <v>234</v>
      </c>
    </row>
    <row r="26" spans="1:16" x14ac:dyDescent="0.3">
      <c r="A26">
        <v>5</v>
      </c>
      <c r="B26" t="s">
        <v>27</v>
      </c>
      <c r="C26" t="s">
        <v>24</v>
      </c>
      <c r="D26">
        <v>302</v>
      </c>
      <c r="H26" s="54" t="s">
        <v>105</v>
      </c>
      <c r="I26" s="54" t="s">
        <v>108</v>
      </c>
    </row>
    <row r="27" spans="1:16" x14ac:dyDescent="0.3">
      <c r="A27">
        <v>5</v>
      </c>
      <c r="B27" t="s">
        <v>15</v>
      </c>
      <c r="C27" t="s">
        <v>28</v>
      </c>
      <c r="D27">
        <v>206</v>
      </c>
      <c r="H27" s="54" t="s">
        <v>109</v>
      </c>
      <c r="I27">
        <v>1</v>
      </c>
      <c r="J27">
        <v>2</v>
      </c>
      <c r="K27">
        <v>3</v>
      </c>
      <c r="L27">
        <v>4</v>
      </c>
      <c r="M27">
        <v>5</v>
      </c>
      <c r="N27">
        <v>6</v>
      </c>
      <c r="O27">
        <v>7</v>
      </c>
      <c r="P27" t="s">
        <v>106</v>
      </c>
    </row>
    <row r="28" spans="1:16" x14ac:dyDescent="0.3">
      <c r="A28">
        <v>6</v>
      </c>
      <c r="B28" t="s">
        <v>15</v>
      </c>
      <c r="C28" t="s">
        <v>16</v>
      </c>
      <c r="D28">
        <v>184</v>
      </c>
      <c r="H28" s="55" t="s">
        <v>28</v>
      </c>
      <c r="I28">
        <v>326</v>
      </c>
      <c r="J28">
        <v>201</v>
      </c>
      <c r="K28">
        <v>142</v>
      </c>
      <c r="L28">
        <v>274</v>
      </c>
      <c r="M28">
        <v>206</v>
      </c>
      <c r="N28">
        <v>140</v>
      </c>
      <c r="P28">
        <v>1289</v>
      </c>
    </row>
    <row r="29" spans="1:16" x14ac:dyDescent="0.3">
      <c r="A29">
        <v>6</v>
      </c>
      <c r="B29" t="s">
        <v>27</v>
      </c>
      <c r="C29" t="s">
        <v>21</v>
      </c>
      <c r="D29">
        <v>292</v>
      </c>
      <c r="H29" s="55" t="s">
        <v>31</v>
      </c>
      <c r="N29">
        <v>200</v>
      </c>
      <c r="O29">
        <v>200</v>
      </c>
      <c r="P29">
        <v>400</v>
      </c>
    </row>
    <row r="30" spans="1:16" x14ac:dyDescent="0.3">
      <c r="A30">
        <v>6</v>
      </c>
      <c r="B30" t="s">
        <v>27</v>
      </c>
      <c r="C30" t="s">
        <v>24</v>
      </c>
      <c r="D30">
        <v>302</v>
      </c>
      <c r="H30" s="55" t="s">
        <v>30</v>
      </c>
      <c r="I30">
        <v>434</v>
      </c>
      <c r="J30">
        <v>176</v>
      </c>
      <c r="K30">
        <v>434</v>
      </c>
      <c r="L30">
        <v>330</v>
      </c>
      <c r="N30">
        <v>296</v>
      </c>
      <c r="O30">
        <v>302</v>
      </c>
      <c r="P30">
        <v>1972</v>
      </c>
    </row>
    <row r="31" spans="1:16" x14ac:dyDescent="0.3">
      <c r="A31">
        <v>6</v>
      </c>
      <c r="B31" t="s">
        <v>38</v>
      </c>
      <c r="C31" t="s">
        <v>28</v>
      </c>
      <c r="D31">
        <v>140</v>
      </c>
      <c r="H31" s="55" t="s">
        <v>16</v>
      </c>
      <c r="I31">
        <v>250</v>
      </c>
      <c r="J31">
        <v>546</v>
      </c>
      <c r="K31">
        <v>203</v>
      </c>
      <c r="L31">
        <v>321</v>
      </c>
      <c r="M31">
        <v>184</v>
      </c>
      <c r="N31">
        <v>184</v>
      </c>
      <c r="O31">
        <v>242</v>
      </c>
      <c r="P31">
        <v>1930</v>
      </c>
    </row>
    <row r="32" spans="1:16" x14ac:dyDescent="0.3">
      <c r="A32">
        <v>6</v>
      </c>
      <c r="B32" t="s">
        <v>27</v>
      </c>
      <c r="C32" t="s">
        <v>30</v>
      </c>
      <c r="D32">
        <v>296</v>
      </c>
      <c r="H32" s="55" t="s">
        <v>24</v>
      </c>
      <c r="I32">
        <v>310</v>
      </c>
      <c r="J32">
        <v>262</v>
      </c>
      <c r="K32">
        <v>310</v>
      </c>
      <c r="L32">
        <v>332</v>
      </c>
      <c r="M32">
        <v>302</v>
      </c>
      <c r="N32">
        <v>302</v>
      </c>
      <c r="O32">
        <v>148</v>
      </c>
      <c r="P32">
        <v>1966</v>
      </c>
    </row>
    <row r="33" spans="1:16" x14ac:dyDescent="0.3">
      <c r="A33">
        <v>6</v>
      </c>
      <c r="B33" t="s">
        <v>15</v>
      </c>
      <c r="C33" t="s">
        <v>31</v>
      </c>
      <c r="D33">
        <v>200</v>
      </c>
      <c r="H33" s="55" t="s">
        <v>21</v>
      </c>
      <c r="I33">
        <v>152</v>
      </c>
      <c r="J33">
        <v>264</v>
      </c>
      <c r="K33">
        <v>168</v>
      </c>
      <c r="L33">
        <v>338</v>
      </c>
      <c r="M33">
        <v>234</v>
      </c>
      <c r="N33">
        <v>292</v>
      </c>
      <c r="O33">
        <v>318</v>
      </c>
      <c r="P33">
        <v>1766</v>
      </c>
    </row>
    <row r="34" spans="1:16" x14ac:dyDescent="0.3">
      <c r="A34">
        <v>7</v>
      </c>
      <c r="B34" t="s">
        <v>27</v>
      </c>
      <c r="C34" t="s">
        <v>16</v>
      </c>
      <c r="D34">
        <v>242</v>
      </c>
      <c r="H34" s="55" t="s">
        <v>106</v>
      </c>
      <c r="I34">
        <v>1472</v>
      </c>
      <c r="J34">
        <v>1449</v>
      </c>
      <c r="K34">
        <v>1257</v>
      </c>
      <c r="L34">
        <v>1595</v>
      </c>
      <c r="M34">
        <v>926</v>
      </c>
      <c r="N34">
        <v>1414</v>
      </c>
      <c r="O34">
        <v>1210</v>
      </c>
      <c r="P34">
        <v>9323</v>
      </c>
    </row>
    <row r="35" spans="1:16" x14ac:dyDescent="0.3">
      <c r="A35">
        <v>7</v>
      </c>
      <c r="B35" t="s">
        <v>27</v>
      </c>
      <c r="C35" t="s">
        <v>21</v>
      </c>
      <c r="D35">
        <v>318</v>
      </c>
    </row>
    <row r="36" spans="1:16" x14ac:dyDescent="0.3">
      <c r="A36">
        <v>7</v>
      </c>
      <c r="B36" t="s">
        <v>38</v>
      </c>
      <c r="C36" t="s">
        <v>24</v>
      </c>
      <c r="D36">
        <v>148</v>
      </c>
    </row>
    <row r="37" spans="1:16" x14ac:dyDescent="0.3">
      <c r="A37">
        <v>7</v>
      </c>
      <c r="B37" t="s">
        <v>27</v>
      </c>
      <c r="C37" t="s">
        <v>30</v>
      </c>
      <c r="D37">
        <v>302</v>
      </c>
    </row>
    <row r="38" spans="1:16" x14ac:dyDescent="0.3">
      <c r="A38">
        <v>7</v>
      </c>
      <c r="B38" t="s">
        <v>15</v>
      </c>
      <c r="C38" t="s">
        <v>31</v>
      </c>
      <c r="D38">
        <v>200</v>
      </c>
    </row>
  </sheetData>
  <mergeCells count="1">
    <mergeCell ref="A2:D2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FF4A4-E991-4D9A-82CC-9EA80428FDD5}">
  <sheetPr codeName="Sheet26"/>
  <dimension ref="A1:K22"/>
  <sheetViews>
    <sheetView workbookViewId="0">
      <selection activeCell="I13" sqref="I13"/>
    </sheetView>
  </sheetViews>
  <sheetFormatPr defaultColWidth="8.88671875" defaultRowHeight="14.4" x14ac:dyDescent="0.3"/>
  <cols>
    <col min="1" max="1" width="21.33203125" style="61" customWidth="1"/>
    <col min="2" max="2" width="13.6640625" style="61" customWidth="1"/>
    <col min="3" max="3" width="19" style="61" customWidth="1"/>
    <col min="4" max="4" width="16" style="61" customWidth="1"/>
    <col min="5" max="16384" width="8.88671875" style="61"/>
  </cols>
  <sheetData>
    <row r="1" spans="1:11" ht="18" x14ac:dyDescent="0.35">
      <c r="A1" s="212" t="s">
        <v>110</v>
      </c>
      <c r="B1" s="212"/>
      <c r="C1" s="212"/>
      <c r="D1" s="212"/>
      <c r="E1" s="212"/>
      <c r="F1" s="212"/>
      <c r="G1" s="212"/>
      <c r="H1" s="212"/>
      <c r="I1" s="212"/>
      <c r="J1" s="212"/>
      <c r="K1" s="212"/>
    </row>
    <row r="3" spans="1:11" x14ac:dyDescent="0.3">
      <c r="A3" s="61" t="s">
        <v>111</v>
      </c>
      <c r="B3" s="61" t="s">
        <v>112</v>
      </c>
      <c r="C3" s="61" t="s">
        <v>113</v>
      </c>
      <c r="D3" s="61" t="s">
        <v>114</v>
      </c>
    </row>
    <row r="4" spans="1:11" x14ac:dyDescent="0.3">
      <c r="A4" s="61" t="s">
        <v>67</v>
      </c>
      <c r="B4" s="61">
        <v>35</v>
      </c>
    </row>
    <row r="5" spans="1:11" x14ac:dyDescent="0.3">
      <c r="A5" s="61" t="s">
        <v>115</v>
      </c>
      <c r="B5" s="61" t="s">
        <v>116</v>
      </c>
    </row>
    <row r="6" spans="1:11" x14ac:dyDescent="0.3">
      <c r="A6" s="61" t="s">
        <v>117</v>
      </c>
      <c r="B6" s="61" t="s">
        <v>118</v>
      </c>
    </row>
    <row r="7" spans="1:11" x14ac:dyDescent="0.3">
      <c r="A7" s="61" t="s">
        <v>119</v>
      </c>
      <c r="B7" s="61" t="s">
        <v>120</v>
      </c>
    </row>
    <row r="9" spans="1:11" x14ac:dyDescent="0.3">
      <c r="A9" s="61" t="s">
        <v>121</v>
      </c>
    </row>
    <row r="10" spans="1:11" x14ac:dyDescent="0.3">
      <c r="A10" s="61" t="s">
        <v>122</v>
      </c>
      <c r="B10" s="61" t="s">
        <v>75</v>
      </c>
      <c r="C10" s="61" t="s">
        <v>123</v>
      </c>
      <c r="D10" s="61" t="s">
        <v>124</v>
      </c>
    </row>
    <row r="11" spans="1:11" x14ac:dyDescent="0.3">
      <c r="A11" s="61" t="s">
        <v>125</v>
      </c>
      <c r="B11" s="61">
        <v>13</v>
      </c>
      <c r="C11" s="61" t="s">
        <v>126</v>
      </c>
      <c r="D11" s="61" t="s">
        <v>127</v>
      </c>
    </row>
    <row r="12" spans="1:11" x14ac:dyDescent="0.3">
      <c r="A12" s="61" t="s">
        <v>128</v>
      </c>
      <c r="B12" s="61">
        <v>24</v>
      </c>
      <c r="C12" s="61" t="s">
        <v>129</v>
      </c>
      <c r="D12" s="61" t="s">
        <v>130</v>
      </c>
    </row>
    <row r="14" spans="1:11" x14ac:dyDescent="0.3">
      <c r="A14" s="61" t="s">
        <v>131</v>
      </c>
    </row>
    <row r="15" spans="1:11" x14ac:dyDescent="0.3">
      <c r="A15" s="61" t="s">
        <v>132</v>
      </c>
      <c r="C15" s="61" t="s">
        <v>133</v>
      </c>
    </row>
    <row r="16" spans="1:11" x14ac:dyDescent="0.3">
      <c r="A16" s="61" t="s">
        <v>134</v>
      </c>
      <c r="C16" s="61" t="s">
        <v>135</v>
      </c>
    </row>
    <row r="17" spans="1:4" x14ac:dyDescent="0.3">
      <c r="A17" s="61" t="s">
        <v>136</v>
      </c>
      <c r="C17" s="61" t="s">
        <v>137</v>
      </c>
      <c r="D17" s="61" t="s">
        <v>130</v>
      </c>
    </row>
    <row r="19" spans="1:4" x14ac:dyDescent="0.3">
      <c r="A19" s="61" t="s">
        <v>138</v>
      </c>
    </row>
    <row r="20" spans="1:4" x14ac:dyDescent="0.3">
      <c r="A20" s="61" t="s">
        <v>139</v>
      </c>
      <c r="C20" s="61" t="s">
        <v>140</v>
      </c>
    </row>
    <row r="21" spans="1:4" x14ac:dyDescent="0.3">
      <c r="A21" s="61" t="s">
        <v>141</v>
      </c>
      <c r="C21" s="61" t="s">
        <v>129</v>
      </c>
    </row>
    <row r="22" spans="1:4" x14ac:dyDescent="0.3">
      <c r="A22" s="61" t="s">
        <v>142</v>
      </c>
      <c r="C22" s="61" t="s">
        <v>143</v>
      </c>
    </row>
  </sheetData>
  <mergeCells count="1">
    <mergeCell ref="A1:K1"/>
  </mergeCells>
  <pageMargins left="0.75" right="0.75" top="1" bottom="1" header="0.5" footer="0.5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556EAEE72D7747B3D0355DABB429F3" ma:contentTypeVersion="5" ma:contentTypeDescription="Create a new document." ma:contentTypeScope="" ma:versionID="510511ce609cd22d073012b858703f23">
  <xsd:schema xmlns:xsd="http://www.w3.org/2001/XMLSchema" xmlns:xs="http://www.w3.org/2001/XMLSchema" xmlns:p="http://schemas.microsoft.com/office/2006/metadata/properties" xmlns:ns2="7146d502-05f5-4fb7-b414-24f33b760985" targetNamespace="http://schemas.microsoft.com/office/2006/metadata/properties" ma:root="true" ma:fieldsID="dff61d6fb0c51ac950ba6c8675b4ac1a" ns2:_="">
    <xsd:import namespace="7146d502-05f5-4fb7-b414-24f33b76098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ReviewB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46d502-05f5-4fb7-b414-24f33b7609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ReviewBy" ma:index="11" nillable="true" ma:displayName="Review By" ma:format="Dropdown" ma:list="UserInfo" ma:SharePointGroup="0" ma:internalName="ReviewBy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viewBy xmlns="7146d502-05f5-4fb7-b414-24f33b760985">
      <UserInfo>
        <DisplayName/>
        <AccountId xsi:nil="true"/>
        <AccountType/>
      </UserInfo>
    </ReviewBy>
  </documentManagement>
</p:properties>
</file>

<file path=customXml/itemProps1.xml><?xml version="1.0" encoding="utf-8"?>
<ds:datastoreItem xmlns:ds="http://schemas.openxmlformats.org/officeDocument/2006/customXml" ds:itemID="{0F414211-7721-49E9-9F2B-1C8E6497C17A}"/>
</file>

<file path=customXml/itemProps2.xml><?xml version="1.0" encoding="utf-8"?>
<ds:datastoreItem xmlns:ds="http://schemas.openxmlformats.org/officeDocument/2006/customXml" ds:itemID="{1F757E46-E9AB-48A0-B889-2FDCF25A70E0}"/>
</file>

<file path=customXml/itemProps3.xml><?xml version="1.0" encoding="utf-8"?>
<ds:datastoreItem xmlns:ds="http://schemas.openxmlformats.org/officeDocument/2006/customXml" ds:itemID="{7F014A40-0337-42C6-B86A-393CB40A0AE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40</vt:i4>
      </vt:variant>
    </vt:vector>
  </HeadingPairs>
  <TitlesOfParts>
    <vt:vector size="40" baseType="lpstr">
      <vt:lpstr>week 01</vt:lpstr>
      <vt:lpstr>week 02</vt:lpstr>
      <vt:lpstr>week 03</vt:lpstr>
      <vt:lpstr>week 04</vt:lpstr>
      <vt:lpstr>week 05</vt:lpstr>
      <vt:lpstr>week 06</vt:lpstr>
      <vt:lpstr>week 07</vt:lpstr>
      <vt:lpstr>week 08</vt:lpstr>
      <vt:lpstr>week 09</vt:lpstr>
      <vt:lpstr>week 10</vt:lpstr>
      <vt:lpstr>week 11</vt:lpstr>
      <vt:lpstr>week 12</vt:lpstr>
      <vt:lpstr>week 13</vt:lpstr>
      <vt:lpstr>week 14</vt:lpstr>
      <vt:lpstr>week 15</vt:lpstr>
      <vt:lpstr>week 16</vt:lpstr>
      <vt:lpstr>week 17</vt:lpstr>
      <vt:lpstr>week 18</vt:lpstr>
      <vt:lpstr>week 19</vt:lpstr>
      <vt:lpstr>week 20</vt:lpstr>
      <vt:lpstr>week 21</vt:lpstr>
      <vt:lpstr>week 22</vt:lpstr>
      <vt:lpstr>week 23</vt:lpstr>
      <vt:lpstr>week 24</vt:lpstr>
      <vt:lpstr>week 25</vt:lpstr>
      <vt:lpstr>week 26 </vt:lpstr>
      <vt:lpstr>week 27</vt:lpstr>
      <vt:lpstr>week 28</vt:lpstr>
      <vt:lpstr>week 29</vt:lpstr>
      <vt:lpstr>week 30</vt:lpstr>
      <vt:lpstr>week 31</vt:lpstr>
      <vt:lpstr>week 32</vt:lpstr>
      <vt:lpstr>week 33</vt:lpstr>
      <vt:lpstr>week 34</vt:lpstr>
      <vt:lpstr>week 35</vt:lpstr>
      <vt:lpstr>L line boars manual</vt:lpstr>
      <vt:lpstr>TSI ranking</vt:lpstr>
      <vt:lpstr>Collection Analysis Report</vt:lpstr>
      <vt:lpstr>Raw data and pivot tables </vt:lpstr>
      <vt:lpstr>Predictive Model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Terrence Burekeni</dc:creator>
  <cp:keywords/>
  <dc:description/>
  <cp:lastModifiedBy>Terrence Burekeni</cp:lastModifiedBy>
  <cp:revision/>
  <dcterms:created xsi:type="dcterms:W3CDTF">2025-01-09T06:18:09Z</dcterms:created>
  <dcterms:modified xsi:type="dcterms:W3CDTF">2026-08-16T11:48:32Z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0x010100F4556EAEE72D7747B3D0355DABB429F3</vt:lpwstr>
  </property>
</Properties>
</file>