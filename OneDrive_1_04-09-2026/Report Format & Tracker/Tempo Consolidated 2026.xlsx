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theme/themeOverride2.xml" ContentType="application/vnd.openxmlformats-officedocument.themeOverride+xml"/>
  <Override PartName="/xl/charts/chart10.xml" ContentType="application/vnd.openxmlformats-officedocument.drawingml.chart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theme/themeOverride7.xml" ContentType="application/vnd.openxmlformats-officedocument.themeOverride+xml"/>
  <Override PartName="/xl/charts/chart15.xml" ContentType="application/vnd.openxmlformats-officedocument.drawingml.chart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theme/themeOverride9.xml" ContentType="application/vnd.openxmlformats-officedocument.themeOverride+xml"/>
  <Override PartName="/xl/charts/chart17.xml" ContentType="application/vnd.openxmlformats-officedocument.drawingml.chart+xml"/>
  <Override PartName="/xl/theme/themeOverride10.xml" ContentType="application/vnd.openxmlformats-officedocument.themeOverride+xml"/>
  <Override PartName="/xl/charts/chart18.xml" ContentType="application/vnd.openxmlformats-officedocument.drawingml.chart+xml"/>
  <Override PartName="/xl/theme/themeOverride11.xml" ContentType="application/vnd.openxmlformats-officedocument.themeOverride+xml"/>
  <Override PartName="/xl/charts/chart19.xml" ContentType="application/vnd.openxmlformats-officedocument.drawingml.chart+xml"/>
  <Override PartName="/xl/theme/themeOverride12.xml" ContentType="application/vnd.openxmlformats-officedocument.themeOverride+xml"/>
  <Override PartName="/xl/charts/chart20.xml" ContentType="application/vnd.openxmlformats-officedocument.drawingml.chart+xml"/>
  <Override PartName="/xl/theme/themeOverride13.xml" ContentType="application/vnd.openxmlformats-officedocument.themeOverride+xml"/>
  <Override PartName="/xl/charts/chart21.xml" ContentType="application/vnd.openxmlformats-officedocument.drawingml.chart+xml"/>
  <Override PartName="/xl/theme/themeOverride14.xml" ContentType="application/vnd.openxmlformats-officedocument.themeOverride+xml"/>
  <Override PartName="/xl/charts/chart22.xml" ContentType="application/vnd.openxmlformats-officedocument.drawingml.chart+xml"/>
  <Override PartName="/xl/theme/themeOverride15.xml" ContentType="application/vnd.openxmlformats-officedocument.themeOverride+xml"/>
  <Override PartName="/xl/charts/chart23.xml" ContentType="application/vnd.openxmlformats-officedocument.drawingml.chart+xml"/>
  <Override PartName="/xl/theme/themeOverride16.xml" ContentType="application/vnd.openxmlformats-officedocument.themeOverride+xml"/>
  <Override PartName="/xl/charts/chart24.xml" ContentType="application/vnd.openxmlformats-officedocument.drawingml.chart+xml"/>
  <Override PartName="/xl/theme/themeOverride17.xml" ContentType="application/vnd.openxmlformats-officedocument.themeOverride+xml"/>
  <Override PartName="/xl/charts/chart25.xml" ContentType="application/vnd.openxmlformats-officedocument.drawingml.chart+xml"/>
  <Override PartName="/xl/theme/themeOverride18.xml" ContentType="application/vnd.openxmlformats-officedocument.themeOverride+xml"/>
  <Override PartName="/xl/charts/chart26.xml" ContentType="application/vnd.openxmlformats-officedocument.drawingml.chart+xml"/>
  <Override PartName="/xl/theme/themeOverride19.xml" ContentType="application/vnd.openxmlformats-officedocument.themeOverride+xml"/>
  <Override PartName="/xl/charts/chart27.xml" ContentType="application/vnd.openxmlformats-officedocument.drawingml.chart+xml"/>
  <Override PartName="/xl/theme/themeOverride20.xml" ContentType="application/vnd.openxmlformats-officedocument.themeOverride+xml"/>
  <Override PartName="/xl/charts/chart28.xml" ContentType="application/vnd.openxmlformats-officedocument.drawingml.chart+xml"/>
  <Override PartName="/xl/theme/themeOverride21.xml" ContentType="application/vnd.openxmlformats-officedocument.themeOverride+xml"/>
  <Override PartName="/xl/charts/chart29.xml" ContentType="application/vnd.openxmlformats-officedocument.drawingml.chart+xml"/>
  <Override PartName="/xl/theme/themeOverride22.xml" ContentType="application/vnd.openxmlformats-officedocument.themeOverride+xml"/>
  <Override PartName="/xl/charts/chart30.xml" ContentType="application/vnd.openxmlformats-officedocument.drawingml.chart+xml"/>
  <Override PartName="/xl/theme/themeOverride23.xml" ContentType="application/vnd.openxmlformats-officedocument.themeOverride+xml"/>
  <Override PartName="/xl/charts/chart31.xml" ContentType="application/vnd.openxmlformats-officedocument.drawingml.chart+xml"/>
  <Override PartName="/xl/theme/themeOverride24.xml" ContentType="application/vnd.openxmlformats-officedocument.themeOverride+xml"/>
  <Override PartName="/xl/charts/chart32.xml" ContentType="application/vnd.openxmlformats-officedocument.drawingml.chart+xml"/>
  <Override PartName="/xl/theme/themeOverride25.xml" ContentType="application/vnd.openxmlformats-officedocument.themeOverride+xml"/>
  <Override PartName="/xl/charts/chart33.xml" ContentType="application/vnd.openxmlformats-officedocument.drawingml.chart+xml"/>
  <Override PartName="/xl/theme/themeOverride26.xml" ContentType="application/vnd.openxmlformats-officedocument.themeOverride+xml"/>
  <Override PartName="/xl/charts/chart34.xml" ContentType="application/vnd.openxmlformats-officedocument.drawingml.chart+xml"/>
  <Override PartName="/xl/theme/themeOverride27.xml" ContentType="application/vnd.openxmlformats-officedocument.themeOverride+xml"/>
  <Override PartName="/xl/charts/chart35.xml" ContentType="application/vnd.openxmlformats-officedocument.drawingml.chart+xml"/>
  <Override PartName="/xl/theme/themeOverride28.xml" ContentType="application/vnd.openxmlformats-officedocument.themeOverride+xml"/>
  <Override PartName="/xl/charts/chart36.xml" ContentType="application/vnd.openxmlformats-officedocument.drawingml.chart+xml"/>
  <Override PartName="/xl/theme/themeOverride29.xml" ContentType="application/vnd.openxmlformats-officedocument.themeOverride+xml"/>
  <Override PartName="/xl/charts/chart37.xml" ContentType="application/vnd.openxmlformats-officedocument.drawingml.chart+xml"/>
  <Override PartName="/xl/theme/themeOverride30.xml" ContentType="application/vnd.openxmlformats-officedocument.themeOverride+xml"/>
  <Override PartName="/xl/charts/chart38.xml" ContentType="application/vnd.openxmlformats-officedocument.drawingml.chart+xml"/>
  <Override PartName="/xl/theme/themeOverride31.xml" ContentType="application/vnd.openxmlformats-officedocument.themeOverride+xml"/>
  <Override PartName="/xl/charts/chart39.xml" ContentType="application/vnd.openxmlformats-officedocument.drawingml.chart+xml"/>
  <Override PartName="/xl/theme/themeOverride32.xml" ContentType="application/vnd.openxmlformats-officedocument.themeOverride+xml"/>
  <Override PartName="/xl/charts/chart40.xml" ContentType="application/vnd.openxmlformats-officedocument.drawingml.chart+xml"/>
  <Override PartName="/xl/theme/themeOverride33.xml" ContentType="application/vnd.openxmlformats-officedocument.themeOverride+xml"/>
  <Override PartName="/xl/charts/chart41.xml" ContentType="application/vnd.openxmlformats-officedocument.drawingml.chart+xml"/>
  <Override PartName="/xl/theme/themeOverride34.xml" ContentType="application/vnd.openxmlformats-officedocument.themeOverride+xml"/>
  <Override PartName="/xl/charts/chart42.xml" ContentType="application/vnd.openxmlformats-officedocument.drawingml.chart+xml"/>
  <Override PartName="/xl/theme/themeOverride35.xml" ContentType="application/vnd.openxmlformats-officedocument.themeOverride+xml"/>
  <Override PartName="/xl/charts/chart43.xml" ContentType="application/vnd.openxmlformats-officedocument.drawingml.chart+xml"/>
  <Override PartName="/xl/theme/themeOverride36.xml" ContentType="application/vnd.openxmlformats-officedocument.themeOverride+xml"/>
  <Override PartName="/xl/charts/chart44.xml" ContentType="application/vnd.openxmlformats-officedocument.drawingml.chart+xml"/>
  <Override PartName="/xl/theme/themeOverride37.xml" ContentType="application/vnd.openxmlformats-officedocument.themeOverride+xml"/>
  <Override PartName="/xl/charts/chart45.xml" ContentType="application/vnd.openxmlformats-officedocument.drawingml.chart+xml"/>
  <Override PartName="/xl/theme/themeOverride38.xml" ContentType="application/vnd.openxmlformats-officedocument.themeOverride+xml"/>
  <Override PartName="/xl/charts/chart46.xml" ContentType="application/vnd.openxmlformats-officedocument.drawingml.chart+xml"/>
  <Override PartName="/xl/theme/themeOverride39.xml" ContentType="application/vnd.openxmlformats-officedocument.themeOverride+xml"/>
  <Override PartName="/xl/charts/chart47.xml" ContentType="application/vnd.openxmlformats-officedocument.drawingml.chart+xml"/>
  <Override PartName="/xl/theme/themeOverride40.xml" ContentType="application/vnd.openxmlformats-officedocument.themeOverride+xml"/>
  <Override PartName="/xl/charts/chart48.xml" ContentType="application/vnd.openxmlformats-officedocument.drawingml.chart+xml"/>
  <Override PartName="/xl/theme/themeOverride41.xml" ContentType="application/vnd.openxmlformats-officedocument.themeOverride+xml"/>
  <Override PartName="/xl/charts/chart49.xml" ContentType="application/vnd.openxmlformats-officedocument.drawingml.chart+xml"/>
  <Override PartName="/xl/theme/themeOverride42.xml" ContentType="application/vnd.openxmlformats-officedocument.themeOverride+xml"/>
  <Override PartName="/xl/charts/chart50.xml" ContentType="application/vnd.openxmlformats-officedocument.drawingml.chart+xml"/>
  <Override PartName="/xl/theme/themeOverride43.xml" ContentType="application/vnd.openxmlformats-officedocument.themeOverride+xml"/>
  <Override PartName="/xl/charts/chart51.xml" ContentType="application/vnd.openxmlformats-officedocument.drawingml.chart+xml"/>
  <Override PartName="/xl/theme/themeOverride44.xml" ContentType="application/vnd.openxmlformats-officedocument.themeOverride+xml"/>
  <Override PartName="/xl/charts/chart52.xml" ContentType="application/vnd.openxmlformats-officedocument.drawingml.chart+xml"/>
  <Override PartName="/xl/theme/themeOverride45.xml" ContentType="application/vnd.openxmlformats-officedocument.themeOverrid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errence.GRASMERE\Dropbox\Triple C Pigs Production Folder\7. AI Station - good\"/>
    </mc:Choice>
  </mc:AlternateContent>
  <xr:revisionPtr revIDLastSave="0" documentId="13_ncr:1_{BFFF1C40-D48B-4414-ACD3-B19A80605D1C}" xr6:coauthVersionLast="47" xr6:coauthVersionMax="47" xr10:uidLastSave="{00000000-0000-0000-0000-000000000000}"/>
  <bookViews>
    <workbookView xWindow="-108" yWindow="-108" windowWidth="23256" windowHeight="12456" tabRatio="599" firstSheet="29" activeTab="31" xr2:uid="{00000000-000D-0000-FFFF-FFFF00000000}"/>
  </bookViews>
  <sheets>
    <sheet name="week 01" sheetId="58" r:id="rId1"/>
    <sheet name="week 02" sheetId="59" r:id="rId2"/>
    <sheet name="week 03" sheetId="60" r:id="rId3"/>
    <sheet name="week 04" sheetId="61" r:id="rId4"/>
    <sheet name="week 05" sheetId="64" r:id="rId5"/>
    <sheet name="week 06" sheetId="62" r:id="rId6"/>
    <sheet name="week 07" sheetId="81" r:id="rId7"/>
    <sheet name="week 08" sheetId="80" r:id="rId8"/>
    <sheet name="week 09" sheetId="79" r:id="rId9"/>
    <sheet name="week 10" sheetId="78" r:id="rId10"/>
    <sheet name="week 11" sheetId="77" r:id="rId11"/>
    <sheet name="week 12" sheetId="87" r:id="rId12"/>
    <sheet name="week 13" sheetId="88" r:id="rId13"/>
    <sheet name="week 14" sheetId="89" r:id="rId14"/>
    <sheet name="week 15" sheetId="90" r:id="rId15"/>
    <sheet name="week 16" sheetId="91" r:id="rId16"/>
    <sheet name="week 17" sheetId="94" r:id="rId17"/>
    <sheet name="week 18" sheetId="93" r:id="rId18"/>
    <sheet name="week 19" sheetId="95" r:id="rId19"/>
    <sheet name="week 20" sheetId="96" r:id="rId20"/>
    <sheet name="week 21" sheetId="98" r:id="rId21"/>
    <sheet name="week 22" sheetId="99" r:id="rId22"/>
    <sheet name="week 23" sheetId="100" r:id="rId23"/>
    <sheet name="week 24" sheetId="101" r:id="rId24"/>
    <sheet name="week 25" sheetId="102" r:id="rId25"/>
    <sheet name="week 26" sheetId="103" r:id="rId26"/>
    <sheet name="week 27" sheetId="104" r:id="rId27"/>
    <sheet name="week 28" sheetId="105" r:id="rId28"/>
    <sheet name="week 29" sheetId="106" r:id="rId29"/>
    <sheet name="week 30" sheetId="107" r:id="rId30"/>
    <sheet name="week 31" sheetId="108" r:id="rId31"/>
    <sheet name="week 32" sheetId="110" r:id="rId32"/>
    <sheet name="week 33" sheetId="109" r:id="rId33"/>
    <sheet name="week 34" sheetId="112" r:id="rId34"/>
    <sheet name="week 35" sheetId="111" r:id="rId35"/>
    <sheet name="week 36" sheetId="113" r:id="rId36"/>
    <sheet name="Tempo boars manual " sheetId="86" r:id="rId37"/>
    <sheet name="TSI ranks" sheetId="43" r:id="rId38"/>
    <sheet name="Raw Data and Pivot tables " sheetId="83" r:id="rId39"/>
    <sheet name="Collector Analysis Report Dashb" sheetId="82" r:id="rId40"/>
    <sheet name="Predictive Model" sheetId="84" r:id="rId41"/>
    <sheet name="Sheet3" sheetId="85" r:id="rId42"/>
  </sheets>
  <externalReferences>
    <externalReference r:id="rId43"/>
  </externalReferences>
  <calcPr calcId="191028"/>
  <pivotCaches>
    <pivotCache cacheId="0" r:id="rId4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86" l="1"/>
  <c r="D120" i="86" s="1"/>
  <c r="E120" i="86" s="1"/>
  <c r="F120" i="86" s="1"/>
  <c r="G120" i="86" s="1"/>
  <c r="H120" i="86" s="1"/>
  <c r="I120" i="86" s="1"/>
  <c r="J120" i="86" s="1"/>
  <c r="K120" i="86" s="1"/>
  <c r="L120" i="86" s="1"/>
  <c r="M120" i="86" s="1"/>
  <c r="N120" i="86" s="1"/>
  <c r="O120" i="86" s="1"/>
  <c r="P120" i="86" s="1"/>
  <c r="Q120" i="86" s="1"/>
  <c r="R120" i="86" s="1"/>
  <c r="S120" i="86" s="1"/>
  <c r="T120" i="86" s="1"/>
  <c r="U120" i="86" s="1"/>
  <c r="V120" i="86" s="1"/>
  <c r="W120" i="86" s="1"/>
  <c r="X120" i="86" s="1"/>
  <c r="Y120" i="86" s="1"/>
  <c r="Z120" i="86" s="1"/>
  <c r="AA120" i="86" s="1"/>
  <c r="AB120" i="86" s="1"/>
  <c r="AC120" i="86" s="1"/>
  <c r="AD120" i="86" s="1"/>
  <c r="AE120" i="86" s="1"/>
  <c r="AF120" i="86" s="1"/>
  <c r="AG120" i="86" s="1"/>
  <c r="AH120" i="86" s="1"/>
  <c r="AI120" i="86" s="1"/>
  <c r="AJ120" i="86" s="1"/>
  <c r="AK120" i="86" s="1"/>
  <c r="AL120" i="86" s="1"/>
  <c r="AM120" i="86" s="1"/>
  <c r="AN120" i="86" s="1"/>
  <c r="AO120" i="86" s="1"/>
  <c r="AP120" i="86" s="1"/>
  <c r="AQ120" i="86" s="1"/>
  <c r="AR120" i="86" s="1"/>
  <c r="AS120" i="86" s="1"/>
  <c r="AT120" i="86" s="1"/>
  <c r="AU120" i="86" s="1"/>
  <c r="AV120" i="86" s="1"/>
  <c r="C103" i="86"/>
  <c r="D103" i="86" s="1"/>
  <c r="E103" i="86" s="1"/>
  <c r="F103" i="86" s="1"/>
  <c r="G103" i="86" s="1"/>
  <c r="H103" i="86" s="1"/>
  <c r="I103" i="86" s="1"/>
  <c r="J103" i="86" s="1"/>
  <c r="K103" i="86" s="1"/>
  <c r="L103" i="86" s="1"/>
  <c r="M103" i="86" s="1"/>
  <c r="N103" i="86" s="1"/>
  <c r="O103" i="86" s="1"/>
  <c r="P103" i="86" s="1"/>
  <c r="Q103" i="86" s="1"/>
  <c r="R103" i="86" s="1"/>
  <c r="S103" i="86" s="1"/>
  <c r="T103" i="86" s="1"/>
  <c r="U103" i="86" s="1"/>
  <c r="V103" i="86" s="1"/>
  <c r="W103" i="86" s="1"/>
  <c r="X103" i="86" s="1"/>
  <c r="Y103" i="86" s="1"/>
  <c r="Z103" i="86" s="1"/>
  <c r="AA103" i="86" s="1"/>
  <c r="AB103" i="86" s="1"/>
  <c r="AC103" i="86" s="1"/>
  <c r="AD103" i="86" s="1"/>
  <c r="AE103" i="86" s="1"/>
  <c r="AF103" i="86" s="1"/>
  <c r="AG103" i="86" s="1"/>
  <c r="AH103" i="86" s="1"/>
  <c r="AI103" i="86" s="1"/>
  <c r="AJ103" i="86" s="1"/>
  <c r="AK103" i="86" s="1"/>
  <c r="AL103" i="86" s="1"/>
  <c r="AM103" i="86" s="1"/>
  <c r="AN103" i="86" s="1"/>
  <c r="AO103" i="86" s="1"/>
  <c r="AP103" i="86" s="1"/>
  <c r="AQ103" i="86" s="1"/>
  <c r="AR103" i="86" s="1"/>
  <c r="AS103" i="86" s="1"/>
  <c r="AT103" i="86" s="1"/>
  <c r="AU103" i="86" s="1"/>
  <c r="AV103" i="86" s="1"/>
  <c r="C87" i="86"/>
  <c r="D87" i="86" s="1"/>
  <c r="E87" i="86" s="1"/>
  <c r="F87" i="86" s="1"/>
  <c r="G87" i="86" s="1"/>
  <c r="H87" i="86" s="1"/>
  <c r="I87" i="86" s="1"/>
  <c r="J87" i="86" s="1"/>
  <c r="K87" i="86" s="1"/>
  <c r="L87" i="86" s="1"/>
  <c r="M87" i="86" s="1"/>
  <c r="N87" i="86" s="1"/>
  <c r="O87" i="86" s="1"/>
  <c r="P87" i="86" s="1"/>
  <c r="Q87" i="86" s="1"/>
  <c r="R87" i="86" s="1"/>
  <c r="S87" i="86" s="1"/>
  <c r="T87" i="86" s="1"/>
  <c r="U87" i="86" s="1"/>
  <c r="V87" i="86" s="1"/>
  <c r="W87" i="86" s="1"/>
  <c r="X87" i="86" s="1"/>
  <c r="Y87" i="86" s="1"/>
  <c r="Z87" i="86" s="1"/>
  <c r="AA87" i="86" s="1"/>
  <c r="AB87" i="86" s="1"/>
  <c r="AC87" i="86" s="1"/>
  <c r="AD87" i="86" s="1"/>
  <c r="AE87" i="86" s="1"/>
  <c r="AF87" i="86" s="1"/>
  <c r="AG87" i="86" s="1"/>
  <c r="AH87" i="86" s="1"/>
  <c r="AI87" i="86" s="1"/>
  <c r="AJ87" i="86" s="1"/>
  <c r="AK87" i="86" s="1"/>
  <c r="AL87" i="86" s="1"/>
  <c r="AM87" i="86" s="1"/>
  <c r="AN87" i="86" s="1"/>
  <c r="AO87" i="86" s="1"/>
  <c r="AP87" i="86" s="1"/>
  <c r="AQ87" i="86" s="1"/>
  <c r="AR87" i="86" s="1"/>
  <c r="AS87" i="86" s="1"/>
  <c r="AT87" i="86" s="1"/>
  <c r="AU87" i="86" s="1"/>
  <c r="AV87" i="86" s="1"/>
  <c r="C71" i="86"/>
  <c r="D71" i="86" s="1"/>
  <c r="E71" i="86" s="1"/>
  <c r="F71" i="86" s="1"/>
  <c r="G71" i="86" s="1"/>
  <c r="H71" i="86" s="1"/>
  <c r="I71" i="86" s="1"/>
  <c r="J71" i="86" s="1"/>
  <c r="K71" i="86" s="1"/>
  <c r="L71" i="86" s="1"/>
  <c r="M71" i="86" s="1"/>
  <c r="N71" i="86" s="1"/>
  <c r="O71" i="86" s="1"/>
  <c r="P71" i="86" s="1"/>
  <c r="Q71" i="86" s="1"/>
  <c r="R71" i="86" s="1"/>
  <c r="S71" i="86" s="1"/>
  <c r="T71" i="86" s="1"/>
  <c r="U71" i="86" s="1"/>
  <c r="V71" i="86" s="1"/>
  <c r="W71" i="86" s="1"/>
  <c r="X71" i="86" s="1"/>
  <c r="Y71" i="86" s="1"/>
  <c r="Z71" i="86" s="1"/>
  <c r="AA71" i="86" s="1"/>
  <c r="AB71" i="86" s="1"/>
  <c r="AC71" i="86" s="1"/>
  <c r="AD71" i="86" s="1"/>
  <c r="AE71" i="86" s="1"/>
  <c r="AF71" i="86" s="1"/>
  <c r="AG71" i="86" s="1"/>
  <c r="AH71" i="86" s="1"/>
  <c r="AI71" i="86" s="1"/>
  <c r="AJ71" i="86" s="1"/>
  <c r="AK71" i="86" s="1"/>
  <c r="AL71" i="86" s="1"/>
  <c r="AM71" i="86" s="1"/>
  <c r="AN71" i="86" s="1"/>
  <c r="AO71" i="86" s="1"/>
  <c r="AP71" i="86" s="1"/>
  <c r="AQ71" i="86" s="1"/>
  <c r="AR71" i="86" s="1"/>
  <c r="AS71" i="86" s="1"/>
  <c r="AT71" i="86" s="1"/>
  <c r="AU71" i="86" s="1"/>
  <c r="AV71" i="86" s="1"/>
  <c r="C57" i="86"/>
  <c r="D57" i="86" s="1"/>
  <c r="E57" i="86" s="1"/>
  <c r="F57" i="86" s="1"/>
  <c r="G57" i="86" s="1"/>
  <c r="H57" i="86" s="1"/>
  <c r="I57" i="86" s="1"/>
  <c r="J57" i="86" s="1"/>
  <c r="K57" i="86" s="1"/>
  <c r="L57" i="86" s="1"/>
  <c r="M57" i="86" s="1"/>
  <c r="N57" i="86" s="1"/>
  <c r="O57" i="86" s="1"/>
  <c r="P57" i="86" s="1"/>
  <c r="Q57" i="86" s="1"/>
  <c r="R57" i="86" s="1"/>
  <c r="S57" i="86" s="1"/>
  <c r="T57" i="86" s="1"/>
  <c r="U57" i="86" s="1"/>
  <c r="V57" i="86" s="1"/>
  <c r="W57" i="86" s="1"/>
  <c r="X57" i="86" s="1"/>
  <c r="Y57" i="86" s="1"/>
  <c r="Z57" i="86" s="1"/>
  <c r="AA57" i="86" s="1"/>
  <c r="AB57" i="86" s="1"/>
  <c r="AC57" i="86" s="1"/>
  <c r="AD57" i="86" s="1"/>
  <c r="AE57" i="86" s="1"/>
  <c r="AF57" i="86" s="1"/>
  <c r="AG57" i="86" s="1"/>
  <c r="AH57" i="86" s="1"/>
  <c r="AI57" i="86" s="1"/>
  <c r="AJ57" i="86" s="1"/>
  <c r="AK57" i="86" s="1"/>
  <c r="AL57" i="86" s="1"/>
  <c r="AM57" i="86" s="1"/>
  <c r="AN57" i="86" s="1"/>
  <c r="AO57" i="86" s="1"/>
  <c r="AP57" i="86" s="1"/>
  <c r="AQ57" i="86" s="1"/>
  <c r="AR57" i="86" s="1"/>
  <c r="AS57" i="86" s="1"/>
  <c r="AT57" i="86" s="1"/>
  <c r="AU57" i="86" s="1"/>
  <c r="AV57" i="86" s="1"/>
  <c r="D12" i="111" l="1"/>
  <c r="J12" i="111"/>
  <c r="L12" i="111"/>
  <c r="M12" i="111"/>
  <c r="L16" i="113"/>
  <c r="M16" i="113" s="1"/>
  <c r="J16" i="113"/>
  <c r="D16" i="113"/>
  <c r="L15" i="113"/>
  <c r="M15" i="113" s="1"/>
  <c r="J15" i="113"/>
  <c r="D15" i="113"/>
  <c r="L14" i="113"/>
  <c r="M14" i="113" s="1"/>
  <c r="J14" i="113"/>
  <c r="D14" i="113"/>
  <c r="L13" i="113"/>
  <c r="M13" i="113" s="1"/>
  <c r="J13" i="113"/>
  <c r="D13" i="113"/>
  <c r="L12" i="113"/>
  <c r="M12" i="113" s="1"/>
  <c r="J12" i="113"/>
  <c r="D12" i="113"/>
  <c r="L11" i="113"/>
  <c r="M11" i="113" s="1"/>
  <c r="J11" i="113"/>
  <c r="D11" i="113"/>
  <c r="L10" i="113"/>
  <c r="M10" i="113" s="1"/>
  <c r="J10" i="113"/>
  <c r="D10" i="113"/>
  <c r="L9" i="113"/>
  <c r="M9" i="113" s="1"/>
  <c r="J9" i="113"/>
  <c r="D9" i="113"/>
  <c r="X8" i="113"/>
  <c r="W8" i="113"/>
  <c r="L8" i="113"/>
  <c r="M8" i="113" s="1"/>
  <c r="J8" i="113"/>
  <c r="D8" i="113"/>
  <c r="L7" i="113"/>
  <c r="M7" i="113" s="1"/>
  <c r="J7" i="113"/>
  <c r="D7" i="113"/>
  <c r="L6" i="113"/>
  <c r="M6" i="113" s="1"/>
  <c r="J6" i="113"/>
  <c r="D6" i="113"/>
  <c r="L5" i="113"/>
  <c r="M5" i="113" s="1"/>
  <c r="J5" i="113"/>
  <c r="D5" i="113"/>
  <c r="T4" i="113"/>
  <c r="Q4" i="113"/>
  <c r="L4" i="113"/>
  <c r="M4" i="113" s="1"/>
  <c r="J4" i="113"/>
  <c r="D4" i="113"/>
  <c r="L3" i="113"/>
  <c r="M3" i="113" s="1"/>
  <c r="J3" i="113"/>
  <c r="D3" i="113"/>
  <c r="M16" i="112"/>
  <c r="N16" i="112" s="1"/>
  <c r="K16" i="112"/>
  <c r="E16" i="112"/>
  <c r="M15" i="112"/>
  <c r="N15" i="112" s="1"/>
  <c r="K15" i="112"/>
  <c r="E15" i="112"/>
  <c r="M14" i="112"/>
  <c r="N14" i="112" s="1"/>
  <c r="K14" i="112"/>
  <c r="E14" i="112"/>
  <c r="M13" i="112"/>
  <c r="N13" i="112" s="1"/>
  <c r="K13" i="112"/>
  <c r="E13" i="112"/>
  <c r="M12" i="112"/>
  <c r="N12" i="112" s="1"/>
  <c r="K12" i="112"/>
  <c r="E12" i="112"/>
  <c r="M11" i="112"/>
  <c r="N11" i="112" s="1"/>
  <c r="K11" i="112"/>
  <c r="E11" i="112"/>
  <c r="M10" i="112"/>
  <c r="N10" i="112" s="1"/>
  <c r="K10" i="112"/>
  <c r="E10" i="112"/>
  <c r="Y9" i="112"/>
  <c r="M9" i="112"/>
  <c r="N9" i="112" s="1"/>
  <c r="K9" i="112"/>
  <c r="E9" i="112"/>
  <c r="Y8" i="112"/>
  <c r="X8" i="112"/>
  <c r="M8" i="112"/>
  <c r="N8" i="112" s="1"/>
  <c r="K8" i="112"/>
  <c r="E8" i="112"/>
  <c r="M7" i="112"/>
  <c r="N7" i="112" s="1"/>
  <c r="K7" i="112"/>
  <c r="E7" i="112"/>
  <c r="M6" i="112"/>
  <c r="N6" i="112" s="1"/>
  <c r="K6" i="112"/>
  <c r="E6" i="112"/>
  <c r="M5" i="112"/>
  <c r="N5" i="112" s="1"/>
  <c r="K5" i="112"/>
  <c r="E5" i="112"/>
  <c r="U4" i="112"/>
  <c r="R4" i="112"/>
  <c r="M4" i="112"/>
  <c r="N4" i="112" s="1"/>
  <c r="K4" i="112"/>
  <c r="E4" i="112"/>
  <c r="M3" i="112"/>
  <c r="N3" i="112" s="1"/>
  <c r="K3" i="112"/>
  <c r="E3" i="112"/>
  <c r="L13" i="111"/>
  <c r="M13" i="111"/>
  <c r="J13" i="111"/>
  <c r="D6" i="111"/>
  <c r="D3" i="111"/>
  <c r="D13" i="111"/>
  <c r="D14" i="111"/>
  <c r="L16" i="111"/>
  <c r="M16" i="111" s="1"/>
  <c r="J16" i="111"/>
  <c r="D16" i="111"/>
  <c r="L15" i="111"/>
  <c r="M15" i="111" s="1"/>
  <c r="J15" i="111"/>
  <c r="D15" i="111"/>
  <c r="L14" i="111"/>
  <c r="M14" i="111" s="1"/>
  <c r="J14" i="111"/>
  <c r="L11" i="111"/>
  <c r="M11" i="111" s="1"/>
  <c r="J11" i="111"/>
  <c r="D11" i="111"/>
  <c r="L10" i="111"/>
  <c r="M10" i="111" s="1"/>
  <c r="J10" i="111"/>
  <c r="D10" i="111"/>
  <c r="L9" i="111"/>
  <c r="M9" i="111" s="1"/>
  <c r="J9" i="111"/>
  <c r="D9" i="111"/>
  <c r="X8" i="111"/>
  <c r="W8" i="111"/>
  <c r="X9" i="111" s="1"/>
  <c r="L8" i="111"/>
  <c r="M8" i="111" s="1"/>
  <c r="J8" i="111"/>
  <c r="D8" i="111"/>
  <c r="L7" i="111"/>
  <c r="M7" i="111" s="1"/>
  <c r="J7" i="111"/>
  <c r="D7" i="111"/>
  <c r="L6" i="111"/>
  <c r="M6" i="111" s="1"/>
  <c r="J6" i="111"/>
  <c r="L5" i="111"/>
  <c r="M5" i="111" s="1"/>
  <c r="J5" i="111"/>
  <c r="D5" i="111"/>
  <c r="T4" i="111"/>
  <c r="Q4" i="111"/>
  <c r="L4" i="111"/>
  <c r="M4" i="111" s="1"/>
  <c r="J4" i="111"/>
  <c r="D4" i="111"/>
  <c r="L3" i="111"/>
  <c r="M3" i="111" s="1"/>
  <c r="J3" i="111"/>
  <c r="L16" i="110"/>
  <c r="M16" i="110" s="1"/>
  <c r="J16" i="110"/>
  <c r="D16" i="110"/>
  <c r="L15" i="110"/>
  <c r="M15" i="110" s="1"/>
  <c r="J15" i="110"/>
  <c r="D15" i="110"/>
  <c r="L14" i="110"/>
  <c r="M14" i="110" s="1"/>
  <c r="J14" i="110"/>
  <c r="D14" i="110"/>
  <c r="L13" i="110"/>
  <c r="M13" i="110" s="1"/>
  <c r="J13" i="110"/>
  <c r="D13" i="110"/>
  <c r="L12" i="110"/>
  <c r="M12" i="110" s="1"/>
  <c r="J12" i="110"/>
  <c r="D12" i="110"/>
  <c r="L11" i="110"/>
  <c r="M11" i="110" s="1"/>
  <c r="J11" i="110"/>
  <c r="D11" i="110"/>
  <c r="L10" i="110"/>
  <c r="M10" i="110" s="1"/>
  <c r="J10" i="110"/>
  <c r="D10" i="110"/>
  <c r="L9" i="110"/>
  <c r="M9" i="110" s="1"/>
  <c r="J9" i="110"/>
  <c r="D9" i="110"/>
  <c r="X8" i="110"/>
  <c r="W8" i="110"/>
  <c r="L8" i="110"/>
  <c r="M8" i="110" s="1"/>
  <c r="J8" i="110"/>
  <c r="D8" i="110"/>
  <c r="L7" i="110"/>
  <c r="M7" i="110" s="1"/>
  <c r="J7" i="110"/>
  <c r="D7" i="110"/>
  <c r="L6" i="110"/>
  <c r="M6" i="110" s="1"/>
  <c r="J6" i="110"/>
  <c r="D6" i="110"/>
  <c r="L5" i="110"/>
  <c r="M5" i="110" s="1"/>
  <c r="J5" i="110"/>
  <c r="D5" i="110"/>
  <c r="T4" i="110"/>
  <c r="Q4" i="110"/>
  <c r="L4" i="110"/>
  <c r="M4" i="110" s="1"/>
  <c r="J4" i="110"/>
  <c r="D4" i="110"/>
  <c r="L3" i="110"/>
  <c r="M3" i="110" s="1"/>
  <c r="J3" i="110"/>
  <c r="D3" i="110"/>
  <c r="M16" i="109"/>
  <c r="N16" i="109" s="1"/>
  <c r="K16" i="109"/>
  <c r="E16" i="109"/>
  <c r="M15" i="109"/>
  <c r="N15" i="109" s="1"/>
  <c r="K15" i="109"/>
  <c r="E15" i="109"/>
  <c r="M14" i="109"/>
  <c r="N14" i="109" s="1"/>
  <c r="K14" i="109"/>
  <c r="E14" i="109"/>
  <c r="M13" i="109"/>
  <c r="N13" i="109" s="1"/>
  <c r="K13" i="109"/>
  <c r="E13" i="109"/>
  <c r="M12" i="109"/>
  <c r="N12" i="109" s="1"/>
  <c r="K12" i="109"/>
  <c r="E12" i="109"/>
  <c r="M11" i="109"/>
  <c r="N11" i="109" s="1"/>
  <c r="K11" i="109"/>
  <c r="E11" i="109"/>
  <c r="M10" i="109"/>
  <c r="N10" i="109" s="1"/>
  <c r="K10" i="109"/>
  <c r="E10" i="109"/>
  <c r="M9" i="109"/>
  <c r="N9" i="109" s="1"/>
  <c r="K9" i="109"/>
  <c r="E9" i="109"/>
  <c r="Y8" i="109"/>
  <c r="X8" i="109"/>
  <c r="M8" i="109"/>
  <c r="N8" i="109" s="1"/>
  <c r="K8" i="109"/>
  <c r="E8" i="109"/>
  <c r="M7" i="109"/>
  <c r="N7" i="109" s="1"/>
  <c r="K7" i="109"/>
  <c r="E7" i="109"/>
  <c r="M6" i="109"/>
  <c r="N6" i="109" s="1"/>
  <c r="K6" i="109"/>
  <c r="E6" i="109"/>
  <c r="M5" i="109"/>
  <c r="N5" i="109" s="1"/>
  <c r="K5" i="109"/>
  <c r="E5" i="109"/>
  <c r="U4" i="109"/>
  <c r="R4" i="109"/>
  <c r="M4" i="109"/>
  <c r="N4" i="109" s="1"/>
  <c r="K4" i="109"/>
  <c r="E4" i="109"/>
  <c r="M3" i="109"/>
  <c r="N3" i="109" s="1"/>
  <c r="K3" i="109"/>
  <c r="E3" i="109"/>
  <c r="O3" i="112" l="1"/>
  <c r="O4" i="112"/>
  <c r="O7" i="112"/>
  <c r="O5" i="112"/>
  <c r="N12" i="111"/>
  <c r="N13" i="111"/>
  <c r="X9" i="113"/>
  <c r="N5" i="113"/>
  <c r="N3" i="113"/>
  <c r="N14" i="113"/>
  <c r="N13" i="113"/>
  <c r="N8" i="113"/>
  <c r="N12" i="113"/>
  <c r="N10" i="113"/>
  <c r="N7" i="113"/>
  <c r="N4" i="113"/>
  <c r="N6" i="113"/>
  <c r="N15" i="113"/>
  <c r="N9" i="113"/>
  <c r="N11" i="113"/>
  <c r="N16" i="113"/>
  <c r="O9" i="112"/>
  <c r="O14" i="112"/>
  <c r="O11" i="112"/>
  <c r="O8" i="112"/>
  <c r="O12" i="112"/>
  <c r="O15" i="112"/>
  <c r="O6" i="112"/>
  <c r="O10" i="112"/>
  <c r="O13" i="112"/>
  <c r="O16" i="112"/>
  <c r="N7" i="111"/>
  <c r="N4" i="111"/>
  <c r="N5" i="111"/>
  <c r="N14" i="111"/>
  <c r="N9" i="111"/>
  <c r="N3" i="111"/>
  <c r="N8" i="111"/>
  <c r="N10" i="111"/>
  <c r="N6" i="111"/>
  <c r="N15" i="111"/>
  <c r="N11" i="111"/>
  <c r="N16" i="111"/>
  <c r="O6" i="109"/>
  <c r="X9" i="110"/>
  <c r="N4" i="110"/>
  <c r="N14" i="110"/>
  <c r="Y9" i="109"/>
  <c r="O5" i="109"/>
  <c r="O9" i="109"/>
  <c r="O15" i="109"/>
  <c r="O7" i="109"/>
  <c r="O16" i="109"/>
  <c r="N13" i="110"/>
  <c r="N6" i="110"/>
  <c r="N12" i="110"/>
  <c r="N8" i="110"/>
  <c r="N7" i="110"/>
  <c r="N10" i="110"/>
  <c r="N5" i="110"/>
  <c r="N3" i="110"/>
  <c r="N15" i="110"/>
  <c r="N11" i="110"/>
  <c r="N9" i="110"/>
  <c r="N16" i="110"/>
  <c r="O14" i="109"/>
  <c r="O8" i="109"/>
  <c r="O10" i="109"/>
  <c r="O11" i="109"/>
  <c r="O12" i="109"/>
  <c r="O4" i="109"/>
  <c r="O3" i="109"/>
  <c r="O13" i="109"/>
  <c r="D16" i="108" l="1"/>
  <c r="D15" i="108"/>
  <c r="D14" i="108"/>
  <c r="D13" i="108"/>
  <c r="D12" i="108"/>
  <c r="D11" i="108"/>
  <c r="D10" i="108"/>
  <c r="D9" i="108"/>
  <c r="D8" i="108"/>
  <c r="D7" i="108"/>
  <c r="D6" i="108"/>
  <c r="D5" i="108"/>
  <c r="D4" i="108"/>
  <c r="D3" i="108"/>
  <c r="D16" i="107"/>
  <c r="D15" i="107"/>
  <c r="D14" i="107"/>
  <c r="D13" i="107"/>
  <c r="D12" i="107"/>
  <c r="D11" i="107"/>
  <c r="D10" i="107"/>
  <c r="D9" i="107"/>
  <c r="D8" i="107"/>
  <c r="D7" i="107"/>
  <c r="D6" i="107"/>
  <c r="D5" i="107"/>
  <c r="D4" i="107"/>
  <c r="D3" i="107"/>
  <c r="D16" i="106"/>
  <c r="D15" i="106"/>
  <c r="D14" i="106"/>
  <c r="D13" i="106"/>
  <c r="D12" i="106"/>
  <c r="D11" i="106"/>
  <c r="D10" i="106"/>
  <c r="D9" i="106"/>
  <c r="D8" i="106"/>
  <c r="D7" i="106"/>
  <c r="D6" i="106"/>
  <c r="D5" i="106"/>
  <c r="D4" i="106"/>
  <c r="D3" i="106"/>
  <c r="D16" i="105"/>
  <c r="D15" i="105"/>
  <c r="D14" i="105"/>
  <c r="D13" i="105"/>
  <c r="D12" i="105"/>
  <c r="D11" i="105"/>
  <c r="D10" i="105"/>
  <c r="D9" i="105"/>
  <c r="D8" i="105"/>
  <c r="D7" i="105"/>
  <c r="D6" i="105"/>
  <c r="D5" i="105"/>
  <c r="D4" i="105"/>
  <c r="D3" i="105"/>
  <c r="D16" i="104"/>
  <c r="D15" i="104"/>
  <c r="D14" i="104"/>
  <c r="D13" i="104"/>
  <c r="D12" i="104"/>
  <c r="D11" i="104"/>
  <c r="D10" i="104"/>
  <c r="D9" i="104"/>
  <c r="D8" i="104"/>
  <c r="D7" i="104"/>
  <c r="D6" i="104"/>
  <c r="D5" i="104"/>
  <c r="D4" i="104"/>
  <c r="D3" i="104"/>
  <c r="D16" i="103"/>
  <c r="D15" i="103"/>
  <c r="D14" i="103"/>
  <c r="D13" i="103"/>
  <c r="D12" i="103"/>
  <c r="D11" i="103"/>
  <c r="D10" i="103"/>
  <c r="D9" i="103"/>
  <c r="D8" i="103"/>
  <c r="D7" i="103"/>
  <c r="D6" i="103"/>
  <c r="D5" i="103"/>
  <c r="D4" i="103"/>
  <c r="D3" i="103"/>
  <c r="D16" i="102"/>
  <c r="D15" i="102"/>
  <c r="D14" i="102"/>
  <c r="D13" i="102"/>
  <c r="D12" i="102"/>
  <c r="D11" i="102"/>
  <c r="D10" i="102"/>
  <c r="D9" i="102"/>
  <c r="D8" i="102"/>
  <c r="D7" i="102"/>
  <c r="D6" i="102"/>
  <c r="D5" i="102"/>
  <c r="D4" i="102"/>
  <c r="D3" i="102"/>
  <c r="D16" i="101"/>
  <c r="D15" i="101"/>
  <c r="D14" i="101"/>
  <c r="D13" i="101"/>
  <c r="D12" i="101"/>
  <c r="D11" i="101"/>
  <c r="D10" i="101"/>
  <c r="D9" i="101"/>
  <c r="D8" i="101"/>
  <c r="D7" i="101"/>
  <c r="D6" i="101"/>
  <c r="D5" i="101"/>
  <c r="D4" i="101"/>
  <c r="D3" i="101"/>
  <c r="D16" i="100"/>
  <c r="D15" i="100"/>
  <c r="D14" i="100"/>
  <c r="D13" i="100"/>
  <c r="D12" i="100"/>
  <c r="D11" i="100"/>
  <c r="D10" i="100"/>
  <c r="D9" i="100"/>
  <c r="D8" i="100"/>
  <c r="D7" i="100"/>
  <c r="D6" i="100"/>
  <c r="D5" i="100"/>
  <c r="D4" i="100"/>
  <c r="D3" i="100"/>
  <c r="D16" i="99"/>
  <c r="D15" i="99"/>
  <c r="D14" i="99"/>
  <c r="D13" i="99"/>
  <c r="D12" i="99"/>
  <c r="D11" i="99"/>
  <c r="D10" i="99"/>
  <c r="D9" i="99"/>
  <c r="D8" i="99"/>
  <c r="D7" i="99"/>
  <c r="D6" i="99"/>
  <c r="D5" i="99"/>
  <c r="D4" i="99"/>
  <c r="D3" i="99"/>
  <c r="D16" i="98"/>
  <c r="D15" i="98"/>
  <c r="D14" i="98"/>
  <c r="D13" i="98"/>
  <c r="D12" i="98"/>
  <c r="D11" i="98"/>
  <c r="D10" i="98"/>
  <c r="D9" i="98"/>
  <c r="D8" i="98"/>
  <c r="D7" i="98"/>
  <c r="D6" i="98"/>
  <c r="D5" i="98"/>
  <c r="D4" i="98"/>
  <c r="D3" i="98"/>
  <c r="D4" i="96"/>
  <c r="D5" i="96"/>
  <c r="D6" i="96"/>
  <c r="D7" i="96"/>
  <c r="D8" i="96"/>
  <c r="D9" i="96"/>
  <c r="D10" i="96"/>
  <c r="D11" i="96"/>
  <c r="D12" i="96"/>
  <c r="D13" i="96"/>
  <c r="D14" i="96"/>
  <c r="D15" i="96"/>
  <c r="D16" i="96"/>
  <c r="D3" i="96"/>
  <c r="J3" i="106" l="1"/>
  <c r="L16" i="108"/>
  <c r="M16" i="108" s="1"/>
  <c r="J16" i="108"/>
  <c r="L15" i="108"/>
  <c r="M15" i="108" s="1"/>
  <c r="J15" i="108"/>
  <c r="L14" i="108"/>
  <c r="M14" i="108" s="1"/>
  <c r="J14" i="108"/>
  <c r="L13" i="108"/>
  <c r="M13" i="108" s="1"/>
  <c r="J13" i="108"/>
  <c r="L12" i="108"/>
  <c r="M12" i="108" s="1"/>
  <c r="J12" i="108"/>
  <c r="L11" i="108"/>
  <c r="M11" i="108" s="1"/>
  <c r="J11" i="108"/>
  <c r="L10" i="108"/>
  <c r="M10" i="108" s="1"/>
  <c r="J10" i="108"/>
  <c r="L9" i="108"/>
  <c r="M9" i="108" s="1"/>
  <c r="J9" i="108"/>
  <c r="X8" i="108"/>
  <c r="W8" i="108"/>
  <c r="X9" i="108" s="1"/>
  <c r="L8" i="108"/>
  <c r="M8" i="108" s="1"/>
  <c r="J8" i="108"/>
  <c r="L7" i="108"/>
  <c r="M7" i="108" s="1"/>
  <c r="J7" i="108"/>
  <c r="L6" i="108"/>
  <c r="M6" i="108" s="1"/>
  <c r="J6" i="108"/>
  <c r="L5" i="108"/>
  <c r="M5" i="108" s="1"/>
  <c r="J5" i="108"/>
  <c r="T4" i="108"/>
  <c r="Q4" i="108"/>
  <c r="L4" i="108"/>
  <c r="M4" i="108" s="1"/>
  <c r="J4" i="108"/>
  <c r="L3" i="108"/>
  <c r="M3" i="108" s="1"/>
  <c r="J3" i="108"/>
  <c r="L16" i="107"/>
  <c r="M16" i="107" s="1"/>
  <c r="J16" i="107"/>
  <c r="L15" i="107"/>
  <c r="M15" i="107" s="1"/>
  <c r="J15" i="107"/>
  <c r="L14" i="107"/>
  <c r="M14" i="107" s="1"/>
  <c r="J14" i="107"/>
  <c r="L13" i="107"/>
  <c r="M13" i="107" s="1"/>
  <c r="J13" i="107"/>
  <c r="L12" i="107"/>
  <c r="M12" i="107" s="1"/>
  <c r="J12" i="107"/>
  <c r="L11" i="107"/>
  <c r="M11" i="107" s="1"/>
  <c r="J11" i="107"/>
  <c r="L10" i="107"/>
  <c r="M10" i="107" s="1"/>
  <c r="J10" i="107"/>
  <c r="L9" i="107"/>
  <c r="M9" i="107" s="1"/>
  <c r="J9" i="107"/>
  <c r="X8" i="107"/>
  <c r="W8" i="107"/>
  <c r="L8" i="107"/>
  <c r="M8" i="107" s="1"/>
  <c r="J8" i="107"/>
  <c r="L7" i="107"/>
  <c r="M7" i="107" s="1"/>
  <c r="J7" i="107"/>
  <c r="L6" i="107"/>
  <c r="M6" i="107" s="1"/>
  <c r="J6" i="107"/>
  <c r="L5" i="107"/>
  <c r="M5" i="107" s="1"/>
  <c r="J5" i="107"/>
  <c r="T4" i="107"/>
  <c r="Q4" i="107"/>
  <c r="L4" i="107"/>
  <c r="M4" i="107" s="1"/>
  <c r="J4" i="107"/>
  <c r="L3" i="107"/>
  <c r="M3" i="107" s="1"/>
  <c r="J3" i="107"/>
  <c r="L16" i="106"/>
  <c r="M16" i="106" s="1"/>
  <c r="J16" i="106"/>
  <c r="L15" i="106"/>
  <c r="M15" i="106" s="1"/>
  <c r="J15" i="106"/>
  <c r="L14" i="106"/>
  <c r="M14" i="106" s="1"/>
  <c r="J14" i="106"/>
  <c r="L13" i="106"/>
  <c r="M13" i="106" s="1"/>
  <c r="J13" i="106"/>
  <c r="L12" i="106"/>
  <c r="M12" i="106" s="1"/>
  <c r="J12" i="106"/>
  <c r="L11" i="106"/>
  <c r="M11" i="106" s="1"/>
  <c r="J11" i="106"/>
  <c r="L10" i="106"/>
  <c r="M10" i="106" s="1"/>
  <c r="J10" i="106"/>
  <c r="L9" i="106"/>
  <c r="M9" i="106" s="1"/>
  <c r="J9" i="106"/>
  <c r="X8" i="106"/>
  <c r="W8" i="106"/>
  <c r="L8" i="106"/>
  <c r="M8" i="106" s="1"/>
  <c r="J8" i="106"/>
  <c r="L7" i="106"/>
  <c r="M7" i="106" s="1"/>
  <c r="J7" i="106"/>
  <c r="L6" i="106"/>
  <c r="M6" i="106" s="1"/>
  <c r="J6" i="106"/>
  <c r="L5" i="106"/>
  <c r="M5" i="106" s="1"/>
  <c r="J5" i="106"/>
  <c r="T4" i="106"/>
  <c r="Q4" i="106"/>
  <c r="L4" i="106"/>
  <c r="M4" i="106" s="1"/>
  <c r="J4" i="106"/>
  <c r="L3" i="106"/>
  <c r="M3" i="106" s="1"/>
  <c r="L16" i="105"/>
  <c r="M16" i="105" s="1"/>
  <c r="J16" i="105"/>
  <c r="L15" i="105"/>
  <c r="M15" i="105" s="1"/>
  <c r="J15" i="105"/>
  <c r="L14" i="105"/>
  <c r="M14" i="105" s="1"/>
  <c r="J14" i="105"/>
  <c r="L13" i="105"/>
  <c r="M13" i="105" s="1"/>
  <c r="J13" i="105"/>
  <c r="L12" i="105"/>
  <c r="M12" i="105" s="1"/>
  <c r="J12" i="105"/>
  <c r="L11" i="105"/>
  <c r="M11" i="105" s="1"/>
  <c r="J11" i="105"/>
  <c r="L10" i="105"/>
  <c r="M10" i="105" s="1"/>
  <c r="J10" i="105"/>
  <c r="L9" i="105"/>
  <c r="M9" i="105" s="1"/>
  <c r="J9" i="105"/>
  <c r="X8" i="105"/>
  <c r="W8" i="105"/>
  <c r="L8" i="105"/>
  <c r="M8" i="105" s="1"/>
  <c r="J8" i="105"/>
  <c r="L7" i="105"/>
  <c r="M7" i="105" s="1"/>
  <c r="J7" i="105"/>
  <c r="L6" i="105"/>
  <c r="M6" i="105" s="1"/>
  <c r="J6" i="105"/>
  <c r="L5" i="105"/>
  <c r="M5" i="105" s="1"/>
  <c r="J5" i="105"/>
  <c r="T4" i="105"/>
  <c r="Q4" i="105"/>
  <c r="L4" i="105"/>
  <c r="M4" i="105" s="1"/>
  <c r="J4" i="105"/>
  <c r="L3" i="105"/>
  <c r="M3" i="105" s="1"/>
  <c r="J3" i="105"/>
  <c r="Z218" i="86"/>
  <c r="Z202" i="86"/>
  <c r="Z186" i="86"/>
  <c r="Z169" i="86"/>
  <c r="Z150" i="86"/>
  <c r="Z134" i="86"/>
  <c r="Z39" i="86"/>
  <c r="Z26" i="86"/>
  <c r="Z23" i="86"/>
  <c r="Z10" i="86"/>
  <c r="Z7" i="86"/>
  <c r="Y221" i="86"/>
  <c r="X221" i="86"/>
  <c r="W221" i="86"/>
  <c r="V221" i="86"/>
  <c r="U221" i="86"/>
  <c r="T221" i="86"/>
  <c r="S221" i="86"/>
  <c r="R221" i="86"/>
  <c r="Q221" i="86"/>
  <c r="P221" i="86"/>
  <c r="O221" i="86"/>
  <c r="N221" i="86"/>
  <c r="M221" i="86"/>
  <c r="L221" i="86"/>
  <c r="K221" i="86"/>
  <c r="J221" i="86"/>
  <c r="I221" i="86"/>
  <c r="H221" i="86"/>
  <c r="G221" i="86"/>
  <c r="L205" i="86"/>
  <c r="K205" i="86"/>
  <c r="J205" i="86"/>
  <c r="I205" i="86"/>
  <c r="H205" i="86"/>
  <c r="G205" i="86"/>
  <c r="F205" i="86"/>
  <c r="E205" i="86"/>
  <c r="D205" i="86"/>
  <c r="C205" i="86"/>
  <c r="B205" i="86"/>
  <c r="Y205" i="86"/>
  <c r="X205" i="86"/>
  <c r="W205" i="86"/>
  <c r="V205" i="86"/>
  <c r="U205" i="86"/>
  <c r="T205" i="86"/>
  <c r="S205" i="86"/>
  <c r="R205" i="86"/>
  <c r="Q205" i="86"/>
  <c r="P205" i="86"/>
  <c r="O205" i="86"/>
  <c r="N205" i="86"/>
  <c r="M205" i="86"/>
  <c r="Y189" i="86"/>
  <c r="X189" i="86"/>
  <c r="W189" i="86"/>
  <c r="V189" i="86"/>
  <c r="U189" i="86"/>
  <c r="T189" i="86"/>
  <c r="S189" i="86"/>
  <c r="R189" i="86"/>
  <c r="Q189" i="86"/>
  <c r="P189" i="86"/>
  <c r="O189" i="86"/>
  <c r="N189" i="86"/>
  <c r="M189" i="86"/>
  <c r="L189" i="86"/>
  <c r="K189" i="86"/>
  <c r="J189" i="86"/>
  <c r="I189" i="86"/>
  <c r="H189" i="86"/>
  <c r="G189" i="86"/>
  <c r="Y172" i="86"/>
  <c r="X172" i="86"/>
  <c r="W172" i="86"/>
  <c r="V172" i="86"/>
  <c r="U172" i="86"/>
  <c r="T172" i="86"/>
  <c r="S172" i="86"/>
  <c r="R172" i="86"/>
  <c r="Q172" i="86"/>
  <c r="P172" i="86"/>
  <c r="O172" i="86"/>
  <c r="N172" i="86"/>
  <c r="M172" i="86"/>
  <c r="Y153" i="86"/>
  <c r="X153" i="86"/>
  <c r="W153" i="86"/>
  <c r="V153" i="86"/>
  <c r="U153" i="86"/>
  <c r="T153" i="86"/>
  <c r="S153" i="86"/>
  <c r="R153" i="86"/>
  <c r="Q153" i="86"/>
  <c r="P153" i="86"/>
  <c r="O153" i="86"/>
  <c r="N153" i="86"/>
  <c r="M153" i="86"/>
  <c r="L153" i="86"/>
  <c r="N137" i="86"/>
  <c r="M137" i="86"/>
  <c r="O137" i="86"/>
  <c r="P137" i="86"/>
  <c r="Q137" i="86"/>
  <c r="R137" i="86"/>
  <c r="Y137" i="86"/>
  <c r="X137" i="86"/>
  <c r="W137" i="86"/>
  <c r="V137" i="86"/>
  <c r="U137" i="86"/>
  <c r="T137" i="86"/>
  <c r="S137" i="86"/>
  <c r="Y42" i="86"/>
  <c r="X42" i="86"/>
  <c r="W42" i="86"/>
  <c r="V42" i="86"/>
  <c r="U42" i="86"/>
  <c r="T42" i="86"/>
  <c r="S42" i="86"/>
  <c r="Y26" i="86"/>
  <c r="X26" i="86"/>
  <c r="W26" i="86"/>
  <c r="V26" i="86"/>
  <c r="U26" i="86"/>
  <c r="T26" i="86"/>
  <c r="S26" i="86"/>
  <c r="S10" i="86"/>
  <c r="T10" i="86"/>
  <c r="U10" i="86"/>
  <c r="V10" i="86"/>
  <c r="W10" i="86"/>
  <c r="X10" i="86"/>
  <c r="Y10" i="86"/>
  <c r="Y218" i="86"/>
  <c r="X218" i="86"/>
  <c r="W218" i="86"/>
  <c r="V218" i="86"/>
  <c r="U218" i="86"/>
  <c r="T218" i="86"/>
  <c r="S218" i="86"/>
  <c r="R218" i="86"/>
  <c r="Q218" i="86"/>
  <c r="P218" i="86"/>
  <c r="O218" i="86"/>
  <c r="N218" i="86"/>
  <c r="M218" i="86"/>
  <c r="L218" i="86"/>
  <c r="G218" i="86"/>
  <c r="H218" i="86"/>
  <c r="I218" i="86"/>
  <c r="J218" i="86"/>
  <c r="K218" i="86"/>
  <c r="Y202" i="86"/>
  <c r="X202" i="86"/>
  <c r="W202" i="86"/>
  <c r="V202" i="86"/>
  <c r="U202" i="86"/>
  <c r="T202" i="86"/>
  <c r="S202" i="86"/>
  <c r="R202" i="86"/>
  <c r="Q202" i="86"/>
  <c r="P202" i="86"/>
  <c r="O202" i="86"/>
  <c r="N202" i="86"/>
  <c r="M202" i="86"/>
  <c r="L202" i="86"/>
  <c r="G202" i="86"/>
  <c r="H202" i="86"/>
  <c r="I202" i="86"/>
  <c r="J202" i="86"/>
  <c r="K202" i="86"/>
  <c r="Y186" i="86"/>
  <c r="X186" i="86"/>
  <c r="W186" i="86"/>
  <c r="V186" i="86"/>
  <c r="U186" i="86"/>
  <c r="T186" i="86"/>
  <c r="S186" i="86"/>
  <c r="R186" i="86"/>
  <c r="Q186" i="86"/>
  <c r="P186" i="86"/>
  <c r="O186" i="86"/>
  <c r="N186" i="86"/>
  <c r="M186" i="86"/>
  <c r="G186" i="86"/>
  <c r="H186" i="86"/>
  <c r="I186" i="86"/>
  <c r="J186" i="86"/>
  <c r="K186" i="86"/>
  <c r="L186" i="86"/>
  <c r="Y169" i="86"/>
  <c r="X169" i="86"/>
  <c r="W169" i="86"/>
  <c r="V169" i="86"/>
  <c r="U169" i="86"/>
  <c r="T169" i="86"/>
  <c r="S169" i="86"/>
  <c r="R169" i="86"/>
  <c r="Q169" i="86"/>
  <c r="P169" i="86"/>
  <c r="O169" i="86"/>
  <c r="N169" i="86"/>
  <c r="M169" i="86"/>
  <c r="Y150" i="86"/>
  <c r="X150" i="86"/>
  <c r="W150" i="86"/>
  <c r="V150" i="86"/>
  <c r="U150" i="86"/>
  <c r="T150" i="86"/>
  <c r="S150" i="86"/>
  <c r="R150" i="86"/>
  <c r="Q150" i="86"/>
  <c r="P150" i="86"/>
  <c r="O150" i="86"/>
  <c r="N150" i="86"/>
  <c r="M150" i="86"/>
  <c r="L150" i="86"/>
  <c r="M134" i="86"/>
  <c r="L134" i="86"/>
  <c r="N134" i="86"/>
  <c r="O134" i="86"/>
  <c r="P134" i="86"/>
  <c r="Q134" i="86"/>
  <c r="R134" i="86"/>
  <c r="Y134" i="86"/>
  <c r="X134" i="86"/>
  <c r="W134" i="86"/>
  <c r="V134" i="86"/>
  <c r="U134" i="86"/>
  <c r="T134" i="86"/>
  <c r="S134" i="86"/>
  <c r="Y39" i="86"/>
  <c r="X39" i="86"/>
  <c r="W39" i="86"/>
  <c r="V39" i="86"/>
  <c r="U39" i="86"/>
  <c r="T39" i="86"/>
  <c r="S39" i="86"/>
  <c r="Y23" i="86"/>
  <c r="X23" i="86"/>
  <c r="W23" i="86"/>
  <c r="V23" i="86"/>
  <c r="U23" i="86"/>
  <c r="T23" i="86"/>
  <c r="S23" i="86"/>
  <c r="S7" i="86"/>
  <c r="T7" i="86"/>
  <c r="U7" i="86"/>
  <c r="V7" i="86"/>
  <c r="W7" i="86"/>
  <c r="X7" i="86"/>
  <c r="Y7" i="86"/>
  <c r="L16" i="104"/>
  <c r="M16" i="104" s="1"/>
  <c r="J16" i="104"/>
  <c r="L15" i="104"/>
  <c r="M15" i="104" s="1"/>
  <c r="J15" i="104"/>
  <c r="L14" i="104"/>
  <c r="M14" i="104" s="1"/>
  <c r="J14" i="104"/>
  <c r="L13" i="104"/>
  <c r="M13" i="104" s="1"/>
  <c r="J13" i="104"/>
  <c r="L12" i="104"/>
  <c r="M12" i="104" s="1"/>
  <c r="J12" i="104"/>
  <c r="L11" i="104"/>
  <c r="M11" i="104" s="1"/>
  <c r="J11" i="104"/>
  <c r="L10" i="104"/>
  <c r="M10" i="104" s="1"/>
  <c r="J10" i="104"/>
  <c r="L9" i="104"/>
  <c r="M9" i="104" s="1"/>
  <c r="J9" i="104"/>
  <c r="X8" i="104"/>
  <c r="W8" i="104"/>
  <c r="L8" i="104"/>
  <c r="M8" i="104" s="1"/>
  <c r="J8" i="104"/>
  <c r="L7" i="104"/>
  <c r="M7" i="104" s="1"/>
  <c r="J7" i="104"/>
  <c r="L6" i="104"/>
  <c r="M6" i="104" s="1"/>
  <c r="J6" i="104"/>
  <c r="L5" i="104"/>
  <c r="M5" i="104" s="1"/>
  <c r="J5" i="104"/>
  <c r="T4" i="104"/>
  <c r="Q4" i="104"/>
  <c r="L4" i="104"/>
  <c r="M4" i="104" s="1"/>
  <c r="J4" i="104"/>
  <c r="L3" i="104"/>
  <c r="M3" i="104" s="1"/>
  <c r="J3" i="104"/>
  <c r="L16" i="103"/>
  <c r="M16" i="103" s="1"/>
  <c r="J16" i="103"/>
  <c r="L15" i="103"/>
  <c r="M15" i="103" s="1"/>
  <c r="J15" i="103"/>
  <c r="L14" i="103"/>
  <c r="M14" i="103" s="1"/>
  <c r="J14" i="103"/>
  <c r="L13" i="103"/>
  <c r="M13" i="103" s="1"/>
  <c r="J13" i="103"/>
  <c r="L12" i="103"/>
  <c r="M12" i="103" s="1"/>
  <c r="J12" i="103"/>
  <c r="L11" i="103"/>
  <c r="M11" i="103" s="1"/>
  <c r="J11" i="103"/>
  <c r="L10" i="103"/>
  <c r="M10" i="103" s="1"/>
  <c r="J10" i="103"/>
  <c r="L9" i="103"/>
  <c r="M9" i="103" s="1"/>
  <c r="J9" i="103"/>
  <c r="X8" i="103"/>
  <c r="W8" i="103"/>
  <c r="L8" i="103"/>
  <c r="M8" i="103" s="1"/>
  <c r="J8" i="103"/>
  <c r="L7" i="103"/>
  <c r="M7" i="103" s="1"/>
  <c r="J7" i="103"/>
  <c r="L6" i="103"/>
  <c r="M6" i="103" s="1"/>
  <c r="J6" i="103"/>
  <c r="L5" i="103"/>
  <c r="M5" i="103" s="1"/>
  <c r="J5" i="103"/>
  <c r="T4" i="103"/>
  <c r="Q4" i="103"/>
  <c r="L4" i="103"/>
  <c r="M4" i="103" s="1"/>
  <c r="J4" i="103"/>
  <c r="L3" i="103"/>
  <c r="M3" i="103" s="1"/>
  <c r="J3" i="103"/>
  <c r="L16" i="102"/>
  <c r="M16" i="102" s="1"/>
  <c r="J16" i="102"/>
  <c r="L15" i="102"/>
  <c r="M15" i="102" s="1"/>
  <c r="J15" i="102"/>
  <c r="L14" i="102"/>
  <c r="M14" i="102" s="1"/>
  <c r="J14" i="102"/>
  <c r="L13" i="102"/>
  <c r="M13" i="102" s="1"/>
  <c r="J13" i="102"/>
  <c r="L12" i="102"/>
  <c r="M12" i="102" s="1"/>
  <c r="J12" i="102"/>
  <c r="L11" i="102"/>
  <c r="M11" i="102" s="1"/>
  <c r="J11" i="102"/>
  <c r="L10" i="102"/>
  <c r="M10" i="102" s="1"/>
  <c r="J10" i="102"/>
  <c r="L9" i="102"/>
  <c r="M9" i="102" s="1"/>
  <c r="J9" i="102"/>
  <c r="X8" i="102"/>
  <c r="X9" i="102" s="1"/>
  <c r="W8" i="102"/>
  <c r="L8" i="102"/>
  <c r="M8" i="102" s="1"/>
  <c r="J8" i="102"/>
  <c r="L7" i="102"/>
  <c r="M7" i="102" s="1"/>
  <c r="J7" i="102"/>
  <c r="L6" i="102"/>
  <c r="M6" i="102" s="1"/>
  <c r="J6" i="102"/>
  <c r="L5" i="102"/>
  <c r="M5" i="102" s="1"/>
  <c r="J5" i="102"/>
  <c r="T4" i="102"/>
  <c r="Q4" i="102"/>
  <c r="L4" i="102"/>
  <c r="M4" i="102" s="1"/>
  <c r="J4" i="102"/>
  <c r="L3" i="102"/>
  <c r="M3" i="102" s="1"/>
  <c r="J3" i="102"/>
  <c r="L16" i="101"/>
  <c r="M16" i="101" s="1"/>
  <c r="J16" i="101"/>
  <c r="L15" i="101"/>
  <c r="M15" i="101" s="1"/>
  <c r="J15" i="101"/>
  <c r="L14" i="101"/>
  <c r="M14" i="101" s="1"/>
  <c r="J14" i="101"/>
  <c r="L13" i="101"/>
  <c r="M13" i="101" s="1"/>
  <c r="J13" i="101"/>
  <c r="L12" i="101"/>
  <c r="M12" i="101" s="1"/>
  <c r="J12" i="101"/>
  <c r="L11" i="101"/>
  <c r="M11" i="101" s="1"/>
  <c r="J11" i="101"/>
  <c r="L10" i="101"/>
  <c r="M10" i="101" s="1"/>
  <c r="J10" i="101"/>
  <c r="L9" i="101"/>
  <c r="M9" i="101" s="1"/>
  <c r="J9" i="101"/>
  <c r="X8" i="101"/>
  <c r="W8" i="101"/>
  <c r="L8" i="101"/>
  <c r="M8" i="101" s="1"/>
  <c r="J8" i="101"/>
  <c r="L7" i="101"/>
  <c r="M7" i="101" s="1"/>
  <c r="J7" i="101"/>
  <c r="L6" i="101"/>
  <c r="M6" i="101" s="1"/>
  <c r="J6" i="101"/>
  <c r="L5" i="101"/>
  <c r="M5" i="101" s="1"/>
  <c r="J5" i="101"/>
  <c r="T4" i="101"/>
  <c r="Q4" i="101"/>
  <c r="L4" i="101"/>
  <c r="M4" i="101" s="1"/>
  <c r="J4" i="101"/>
  <c r="L3" i="101"/>
  <c r="M3" i="101" s="1"/>
  <c r="J3" i="101"/>
  <c r="L16" i="100"/>
  <c r="M16" i="100" s="1"/>
  <c r="J16" i="100"/>
  <c r="L15" i="100"/>
  <c r="M15" i="100" s="1"/>
  <c r="J15" i="100"/>
  <c r="L14" i="100"/>
  <c r="M14" i="100" s="1"/>
  <c r="J14" i="100"/>
  <c r="L13" i="100"/>
  <c r="M13" i="100" s="1"/>
  <c r="J13" i="100"/>
  <c r="L12" i="100"/>
  <c r="M12" i="100" s="1"/>
  <c r="J12" i="100"/>
  <c r="L11" i="100"/>
  <c r="M11" i="100" s="1"/>
  <c r="J11" i="100"/>
  <c r="L10" i="100"/>
  <c r="M10" i="100" s="1"/>
  <c r="J10" i="100"/>
  <c r="L9" i="100"/>
  <c r="M9" i="100" s="1"/>
  <c r="J9" i="100"/>
  <c r="X8" i="100"/>
  <c r="W8" i="100"/>
  <c r="L8" i="100"/>
  <c r="M8" i="100" s="1"/>
  <c r="J8" i="100"/>
  <c r="L7" i="100"/>
  <c r="M7" i="100" s="1"/>
  <c r="J7" i="100"/>
  <c r="L6" i="100"/>
  <c r="M6" i="100" s="1"/>
  <c r="J6" i="100"/>
  <c r="L5" i="100"/>
  <c r="M5" i="100" s="1"/>
  <c r="J5" i="100"/>
  <c r="T4" i="100"/>
  <c r="Q4" i="100"/>
  <c r="L4" i="100"/>
  <c r="M4" i="100" s="1"/>
  <c r="J4" i="100"/>
  <c r="L3" i="100"/>
  <c r="M3" i="100" s="1"/>
  <c r="J3" i="100"/>
  <c r="L16" i="99"/>
  <c r="M16" i="99" s="1"/>
  <c r="J16" i="99"/>
  <c r="L15" i="99"/>
  <c r="M15" i="99" s="1"/>
  <c r="J15" i="99"/>
  <c r="L14" i="99"/>
  <c r="M14" i="99" s="1"/>
  <c r="J14" i="99"/>
  <c r="L13" i="99"/>
  <c r="M13" i="99" s="1"/>
  <c r="J13" i="99"/>
  <c r="L12" i="99"/>
  <c r="M12" i="99" s="1"/>
  <c r="J12" i="99"/>
  <c r="L11" i="99"/>
  <c r="M11" i="99" s="1"/>
  <c r="J11" i="99"/>
  <c r="L10" i="99"/>
  <c r="M10" i="99" s="1"/>
  <c r="J10" i="99"/>
  <c r="L9" i="99"/>
  <c r="M9" i="99" s="1"/>
  <c r="J9" i="99"/>
  <c r="X8" i="99"/>
  <c r="W8" i="99"/>
  <c r="L8" i="99"/>
  <c r="M8" i="99" s="1"/>
  <c r="J8" i="99"/>
  <c r="L7" i="99"/>
  <c r="M7" i="99" s="1"/>
  <c r="J7" i="99"/>
  <c r="L6" i="99"/>
  <c r="M6" i="99" s="1"/>
  <c r="J6" i="99"/>
  <c r="L5" i="99"/>
  <c r="M5" i="99" s="1"/>
  <c r="J5" i="99"/>
  <c r="T4" i="99"/>
  <c r="Q4" i="99"/>
  <c r="L4" i="99"/>
  <c r="M4" i="99" s="1"/>
  <c r="J4" i="99"/>
  <c r="L3" i="99"/>
  <c r="M3" i="99" s="1"/>
  <c r="J3" i="99"/>
  <c r="L16" i="98"/>
  <c r="M16" i="98" s="1"/>
  <c r="J16" i="98"/>
  <c r="L15" i="98"/>
  <c r="M15" i="98" s="1"/>
  <c r="J15" i="98"/>
  <c r="L14" i="98"/>
  <c r="M14" i="98" s="1"/>
  <c r="J14" i="98"/>
  <c r="L13" i="98"/>
  <c r="M13" i="98" s="1"/>
  <c r="J13" i="98"/>
  <c r="L12" i="98"/>
  <c r="M12" i="98" s="1"/>
  <c r="J12" i="98"/>
  <c r="L11" i="98"/>
  <c r="M11" i="98" s="1"/>
  <c r="J11" i="98"/>
  <c r="L10" i="98"/>
  <c r="M10" i="98" s="1"/>
  <c r="J10" i="98"/>
  <c r="L9" i="98"/>
  <c r="M9" i="98" s="1"/>
  <c r="J9" i="98"/>
  <c r="X8" i="98"/>
  <c r="W8" i="98"/>
  <c r="L8" i="98"/>
  <c r="M8" i="98" s="1"/>
  <c r="J8" i="98"/>
  <c r="L7" i="98"/>
  <c r="M7" i="98" s="1"/>
  <c r="J7" i="98"/>
  <c r="L6" i="98"/>
  <c r="M6" i="98" s="1"/>
  <c r="J6" i="98"/>
  <c r="L5" i="98"/>
  <c r="M5" i="98" s="1"/>
  <c r="J5" i="98"/>
  <c r="T4" i="98"/>
  <c r="Q4" i="98"/>
  <c r="L4" i="98"/>
  <c r="M4" i="98" s="1"/>
  <c r="J4" i="98"/>
  <c r="L3" i="98"/>
  <c r="M3" i="98" s="1"/>
  <c r="J3" i="98"/>
  <c r="J4" i="95"/>
  <c r="K4" i="95" s="1"/>
  <c r="H4" i="95"/>
  <c r="J3" i="95"/>
  <c r="K3" i="95" s="1"/>
  <c r="H3" i="95"/>
  <c r="L3" i="96"/>
  <c r="M3" i="96" s="1"/>
  <c r="L4" i="96"/>
  <c r="M4" i="96" s="1"/>
  <c r="J3" i="96"/>
  <c r="J4" i="96"/>
  <c r="L16" i="96"/>
  <c r="M16" i="96" s="1"/>
  <c r="J16" i="96"/>
  <c r="L15" i="96"/>
  <c r="M15" i="96" s="1"/>
  <c r="J15" i="96"/>
  <c r="L14" i="96"/>
  <c r="M14" i="96" s="1"/>
  <c r="J14" i="96"/>
  <c r="L13" i="96"/>
  <c r="M13" i="96" s="1"/>
  <c r="J13" i="96"/>
  <c r="L12" i="96"/>
  <c r="M12" i="96" s="1"/>
  <c r="J12" i="96"/>
  <c r="L11" i="96"/>
  <c r="M11" i="96" s="1"/>
  <c r="J11" i="96"/>
  <c r="L10" i="96"/>
  <c r="M10" i="96" s="1"/>
  <c r="J10" i="96"/>
  <c r="L9" i="96"/>
  <c r="M9" i="96" s="1"/>
  <c r="J9" i="96"/>
  <c r="X8" i="96"/>
  <c r="W8" i="96"/>
  <c r="L8" i="96"/>
  <c r="M8" i="96" s="1"/>
  <c r="J8" i="96"/>
  <c r="L7" i="96"/>
  <c r="M7" i="96" s="1"/>
  <c r="J7" i="96"/>
  <c r="L6" i="96"/>
  <c r="M6" i="96" s="1"/>
  <c r="J6" i="96"/>
  <c r="L5" i="96"/>
  <c r="M5" i="96" s="1"/>
  <c r="J5" i="96"/>
  <c r="T4" i="96"/>
  <c r="Q4" i="96"/>
  <c r="J16" i="95"/>
  <c r="K16" i="95" s="1"/>
  <c r="H16" i="95"/>
  <c r="J15" i="95"/>
  <c r="K15" i="95" s="1"/>
  <c r="H15" i="95"/>
  <c r="J14" i="95"/>
  <c r="K14" i="95" s="1"/>
  <c r="H14" i="95"/>
  <c r="J13" i="95"/>
  <c r="K13" i="95" s="1"/>
  <c r="H13" i="95"/>
  <c r="J12" i="95"/>
  <c r="K12" i="95" s="1"/>
  <c r="H12" i="95"/>
  <c r="J11" i="95"/>
  <c r="K11" i="95" s="1"/>
  <c r="H11" i="95"/>
  <c r="J10" i="95"/>
  <c r="K10" i="95" s="1"/>
  <c r="H10" i="95"/>
  <c r="J9" i="95"/>
  <c r="K9" i="95" s="1"/>
  <c r="H9" i="95"/>
  <c r="V8" i="95"/>
  <c r="U8" i="95"/>
  <c r="V9" i="95" s="1"/>
  <c r="J8" i="95"/>
  <c r="K8" i="95" s="1"/>
  <c r="H8" i="95"/>
  <c r="J7" i="95"/>
  <c r="K7" i="95" s="1"/>
  <c r="H7" i="95"/>
  <c r="J6" i="95"/>
  <c r="K6" i="95" s="1"/>
  <c r="H6" i="95"/>
  <c r="J5" i="95"/>
  <c r="K5" i="95" s="1"/>
  <c r="H5" i="95"/>
  <c r="R4" i="95"/>
  <c r="O4" i="95"/>
  <c r="H5" i="91"/>
  <c r="J5" i="91"/>
  <c r="K5" i="91" s="1"/>
  <c r="J16" i="94"/>
  <c r="K16" i="94" s="1"/>
  <c r="H16" i="94"/>
  <c r="J15" i="94"/>
  <c r="K15" i="94" s="1"/>
  <c r="H15" i="94"/>
  <c r="J14" i="94"/>
  <c r="K14" i="94" s="1"/>
  <c r="H14" i="94"/>
  <c r="J13" i="94"/>
  <c r="K13" i="94" s="1"/>
  <c r="H13" i="94"/>
  <c r="J12" i="94"/>
  <c r="K12" i="94" s="1"/>
  <c r="H12" i="94"/>
  <c r="J11" i="94"/>
  <c r="K11" i="94" s="1"/>
  <c r="H11" i="94"/>
  <c r="J10" i="94"/>
  <c r="K10" i="94" s="1"/>
  <c r="H10" i="94"/>
  <c r="J9" i="94"/>
  <c r="K9" i="94" s="1"/>
  <c r="H9" i="94"/>
  <c r="V8" i="94"/>
  <c r="U8" i="94"/>
  <c r="J8" i="94"/>
  <c r="K8" i="94" s="1"/>
  <c r="H8" i="94"/>
  <c r="J7" i="94"/>
  <c r="K7" i="94" s="1"/>
  <c r="H7" i="94"/>
  <c r="J6" i="94"/>
  <c r="K6" i="94" s="1"/>
  <c r="H6" i="94"/>
  <c r="J5" i="94"/>
  <c r="K5" i="94" s="1"/>
  <c r="H5" i="94"/>
  <c r="R4" i="94"/>
  <c r="O4" i="94"/>
  <c r="H5" i="93"/>
  <c r="J5" i="93"/>
  <c r="K5" i="93" s="1"/>
  <c r="J16" i="93"/>
  <c r="K16" i="93" s="1"/>
  <c r="H16" i="93"/>
  <c r="J15" i="93"/>
  <c r="K15" i="93" s="1"/>
  <c r="H15" i="93"/>
  <c r="J14" i="93"/>
  <c r="K14" i="93" s="1"/>
  <c r="H14" i="93"/>
  <c r="J13" i="93"/>
  <c r="K13" i="93" s="1"/>
  <c r="H13" i="93"/>
  <c r="J12" i="93"/>
  <c r="K12" i="93" s="1"/>
  <c r="H12" i="93"/>
  <c r="J11" i="93"/>
  <c r="K11" i="93" s="1"/>
  <c r="H11" i="93"/>
  <c r="J10" i="93"/>
  <c r="K10" i="93" s="1"/>
  <c r="H10" i="93"/>
  <c r="J9" i="93"/>
  <c r="K9" i="93" s="1"/>
  <c r="H9" i="93"/>
  <c r="V8" i="93"/>
  <c r="U8" i="93"/>
  <c r="J8" i="93"/>
  <c r="K8" i="93" s="1"/>
  <c r="H8" i="93"/>
  <c r="J7" i="93"/>
  <c r="K7" i="93" s="1"/>
  <c r="H7" i="93"/>
  <c r="J6" i="93"/>
  <c r="K6" i="93" s="1"/>
  <c r="H6" i="93"/>
  <c r="R4" i="93"/>
  <c r="O4" i="93"/>
  <c r="J5" i="90"/>
  <c r="H5" i="90"/>
  <c r="J16" i="91"/>
  <c r="K16" i="91" s="1"/>
  <c r="H16" i="91"/>
  <c r="J15" i="91"/>
  <c r="K15" i="91" s="1"/>
  <c r="H15" i="91"/>
  <c r="J14" i="91"/>
  <c r="K14" i="91" s="1"/>
  <c r="H14" i="91"/>
  <c r="J13" i="91"/>
  <c r="K13" i="91" s="1"/>
  <c r="H13" i="91"/>
  <c r="J12" i="91"/>
  <c r="K12" i="91" s="1"/>
  <c r="H12" i="91"/>
  <c r="J11" i="91"/>
  <c r="K11" i="91" s="1"/>
  <c r="H11" i="91"/>
  <c r="J10" i="91"/>
  <c r="K10" i="91" s="1"/>
  <c r="H10" i="91"/>
  <c r="J9" i="91"/>
  <c r="K9" i="91" s="1"/>
  <c r="H9" i="91"/>
  <c r="V8" i="91"/>
  <c r="U8" i="91"/>
  <c r="J8" i="91"/>
  <c r="K8" i="91" s="1"/>
  <c r="H8" i="91"/>
  <c r="J7" i="91"/>
  <c r="K7" i="91" s="1"/>
  <c r="H7" i="91"/>
  <c r="J6" i="91"/>
  <c r="K6" i="91" s="1"/>
  <c r="H6" i="91"/>
  <c r="R4" i="91"/>
  <c r="O4" i="91"/>
  <c r="J16" i="90"/>
  <c r="K16" i="90" s="1"/>
  <c r="H16" i="90"/>
  <c r="J15" i="90"/>
  <c r="K15" i="90" s="1"/>
  <c r="H15" i="90"/>
  <c r="J14" i="90"/>
  <c r="K14" i="90" s="1"/>
  <c r="H14" i="90"/>
  <c r="J13" i="90"/>
  <c r="K13" i="90" s="1"/>
  <c r="H13" i="90"/>
  <c r="J12" i="90"/>
  <c r="K12" i="90" s="1"/>
  <c r="H12" i="90"/>
  <c r="J11" i="90"/>
  <c r="K11" i="90" s="1"/>
  <c r="H11" i="90"/>
  <c r="J10" i="90"/>
  <c r="K10" i="90" s="1"/>
  <c r="H10" i="90"/>
  <c r="J9" i="90"/>
  <c r="K9" i="90" s="1"/>
  <c r="H9" i="90"/>
  <c r="V8" i="90"/>
  <c r="U8" i="90"/>
  <c r="J8" i="90"/>
  <c r="K8" i="90" s="1"/>
  <c r="H8" i="90"/>
  <c r="J7" i="90"/>
  <c r="K7" i="90" s="1"/>
  <c r="H7" i="90"/>
  <c r="J6" i="90"/>
  <c r="K6" i="90" s="1"/>
  <c r="H6" i="90"/>
  <c r="R4" i="90"/>
  <c r="O4" i="90"/>
  <c r="L169" i="86"/>
  <c r="L172" i="86"/>
  <c r="K172" i="86"/>
  <c r="J172" i="86"/>
  <c r="I172" i="86"/>
  <c r="H172" i="86"/>
  <c r="G172" i="86"/>
  <c r="K169" i="86"/>
  <c r="J169" i="86"/>
  <c r="I169" i="86"/>
  <c r="H169" i="86"/>
  <c r="G169" i="86"/>
  <c r="L137" i="86"/>
  <c r="K137" i="86"/>
  <c r="J137" i="86"/>
  <c r="I137" i="86"/>
  <c r="H137" i="86"/>
  <c r="G137" i="86"/>
  <c r="K134" i="86"/>
  <c r="J134" i="86"/>
  <c r="I134" i="86"/>
  <c r="H134" i="86"/>
  <c r="G134" i="86"/>
  <c r="K150" i="86"/>
  <c r="J150" i="86"/>
  <c r="I150" i="86"/>
  <c r="H150" i="86"/>
  <c r="G150" i="86"/>
  <c r="J153" i="86"/>
  <c r="I153" i="86"/>
  <c r="H153" i="86"/>
  <c r="G153" i="86"/>
  <c r="J16" i="89"/>
  <c r="K16" i="89" s="1"/>
  <c r="H16" i="89"/>
  <c r="J15" i="89"/>
  <c r="K15" i="89" s="1"/>
  <c r="H15" i="89"/>
  <c r="J14" i="89"/>
  <c r="K14" i="89" s="1"/>
  <c r="H14" i="89"/>
  <c r="J13" i="89"/>
  <c r="K13" i="89" s="1"/>
  <c r="H13" i="89"/>
  <c r="J12" i="89"/>
  <c r="K12" i="89" s="1"/>
  <c r="H12" i="89"/>
  <c r="J11" i="89"/>
  <c r="K11" i="89" s="1"/>
  <c r="H11" i="89"/>
  <c r="J10" i="89"/>
  <c r="K10" i="89" s="1"/>
  <c r="H10" i="89"/>
  <c r="J9" i="89"/>
  <c r="K9" i="89" s="1"/>
  <c r="H9" i="89"/>
  <c r="V8" i="89"/>
  <c r="U8" i="89"/>
  <c r="J8" i="89"/>
  <c r="K8" i="89" s="1"/>
  <c r="H8" i="89"/>
  <c r="J7" i="89"/>
  <c r="K7" i="89" s="1"/>
  <c r="H7" i="89"/>
  <c r="J6" i="89"/>
  <c r="K6" i="89" s="1"/>
  <c r="H6" i="89"/>
  <c r="R4" i="89"/>
  <c r="O4" i="89"/>
  <c r="J16" i="88"/>
  <c r="K16" i="88" s="1"/>
  <c r="H16" i="88"/>
  <c r="J15" i="88"/>
  <c r="K15" i="88" s="1"/>
  <c r="H15" i="88"/>
  <c r="J14" i="88"/>
  <c r="K14" i="88" s="1"/>
  <c r="H14" i="88"/>
  <c r="J13" i="88"/>
  <c r="K13" i="88" s="1"/>
  <c r="H13" i="88"/>
  <c r="J12" i="88"/>
  <c r="K12" i="88" s="1"/>
  <c r="H12" i="88"/>
  <c r="J11" i="88"/>
  <c r="K11" i="88" s="1"/>
  <c r="H11" i="88"/>
  <c r="J10" i="88"/>
  <c r="K10" i="88" s="1"/>
  <c r="H10" i="88"/>
  <c r="J9" i="88"/>
  <c r="K9" i="88" s="1"/>
  <c r="H9" i="88"/>
  <c r="U8" i="88"/>
  <c r="J8" i="88"/>
  <c r="K8" i="88" s="1"/>
  <c r="H8" i="88"/>
  <c r="J7" i="88"/>
  <c r="K7" i="88" s="1"/>
  <c r="H7" i="88"/>
  <c r="J6" i="88"/>
  <c r="K6" i="88" s="1"/>
  <c r="H6" i="88"/>
  <c r="S4" i="88"/>
  <c r="V8" i="88" s="1"/>
  <c r="R4" i="88"/>
  <c r="O4" i="88"/>
  <c r="J16" i="87"/>
  <c r="K16" i="87" s="1"/>
  <c r="H16" i="87"/>
  <c r="J15" i="87"/>
  <c r="K15" i="87" s="1"/>
  <c r="H15" i="87"/>
  <c r="J14" i="87"/>
  <c r="K14" i="87" s="1"/>
  <c r="H14" i="87"/>
  <c r="J13" i="87"/>
  <c r="K13" i="87" s="1"/>
  <c r="H13" i="87"/>
  <c r="J12" i="87"/>
  <c r="K12" i="87" s="1"/>
  <c r="H12" i="87"/>
  <c r="J11" i="87"/>
  <c r="K11" i="87" s="1"/>
  <c r="H11" i="87"/>
  <c r="J10" i="87"/>
  <c r="K10" i="87" s="1"/>
  <c r="H10" i="87"/>
  <c r="J9" i="87"/>
  <c r="K9" i="87" s="1"/>
  <c r="H9" i="87"/>
  <c r="U8" i="87"/>
  <c r="J8" i="87"/>
  <c r="K8" i="87" s="1"/>
  <c r="H8" i="87"/>
  <c r="J7" i="87"/>
  <c r="K7" i="87" s="1"/>
  <c r="H7" i="87"/>
  <c r="J6" i="87"/>
  <c r="K6" i="87" s="1"/>
  <c r="H6" i="87"/>
  <c r="S4" i="87"/>
  <c r="V8" i="87" s="1"/>
  <c r="R4" i="87"/>
  <c r="O4" i="87"/>
  <c r="H9" i="78"/>
  <c r="E370" i="86"/>
  <c r="F370" i="86" s="1"/>
  <c r="G370" i="86" s="1"/>
  <c r="H370" i="86" s="1"/>
  <c r="I370" i="86" s="1"/>
  <c r="J370" i="86" s="1"/>
  <c r="K370" i="86" s="1"/>
  <c r="L370" i="86" s="1"/>
  <c r="M370" i="86" s="1"/>
  <c r="N370" i="86" s="1"/>
  <c r="O370" i="86" s="1"/>
  <c r="P370" i="86" s="1"/>
  <c r="Q370" i="86" s="1"/>
  <c r="R370" i="86" s="1"/>
  <c r="S370" i="86" s="1"/>
  <c r="T370" i="86" s="1"/>
  <c r="U370" i="86" s="1"/>
  <c r="V370" i="86" s="1"/>
  <c r="W370" i="86" s="1"/>
  <c r="X370" i="86" s="1"/>
  <c r="Y370" i="86" s="1"/>
  <c r="Z370" i="86" s="1"/>
  <c r="AA370" i="86" s="1"/>
  <c r="AB370" i="86" s="1"/>
  <c r="AC370" i="86" s="1"/>
  <c r="AD370" i="86" s="1"/>
  <c r="AE370" i="86" s="1"/>
  <c r="AF370" i="86" s="1"/>
  <c r="AG370" i="86" s="1"/>
  <c r="AH370" i="86" s="1"/>
  <c r="AI370" i="86" s="1"/>
  <c r="AJ370" i="86" s="1"/>
  <c r="AK370" i="86" s="1"/>
  <c r="AL370" i="86" s="1"/>
  <c r="AM370" i="86" s="1"/>
  <c r="AN370" i="86" s="1"/>
  <c r="AO370" i="86" s="1"/>
  <c r="AP370" i="86" s="1"/>
  <c r="AQ370" i="86" s="1"/>
  <c r="AR370" i="86" s="1"/>
  <c r="AS370" i="86" s="1"/>
  <c r="AT370" i="86" s="1"/>
  <c r="AU370" i="86" s="1"/>
  <c r="AV370" i="86" s="1"/>
  <c r="E354" i="86"/>
  <c r="F354" i="86" s="1"/>
  <c r="G354" i="86" s="1"/>
  <c r="H354" i="86" s="1"/>
  <c r="I354" i="86" s="1"/>
  <c r="J354" i="86" s="1"/>
  <c r="K354" i="86" s="1"/>
  <c r="L354" i="86" s="1"/>
  <c r="M354" i="86" s="1"/>
  <c r="N354" i="86" s="1"/>
  <c r="O354" i="86" s="1"/>
  <c r="P354" i="86" s="1"/>
  <c r="Q354" i="86" s="1"/>
  <c r="R354" i="86" s="1"/>
  <c r="S354" i="86" s="1"/>
  <c r="T354" i="86" s="1"/>
  <c r="U354" i="86" s="1"/>
  <c r="V354" i="86" s="1"/>
  <c r="W354" i="86" s="1"/>
  <c r="X354" i="86" s="1"/>
  <c r="Y354" i="86" s="1"/>
  <c r="Z354" i="86" s="1"/>
  <c r="AA354" i="86" s="1"/>
  <c r="AB354" i="86" s="1"/>
  <c r="AC354" i="86" s="1"/>
  <c r="AD354" i="86" s="1"/>
  <c r="AE354" i="86" s="1"/>
  <c r="AF354" i="86" s="1"/>
  <c r="AG354" i="86" s="1"/>
  <c r="AH354" i="86" s="1"/>
  <c r="AI354" i="86" s="1"/>
  <c r="AJ354" i="86" s="1"/>
  <c r="AK354" i="86" s="1"/>
  <c r="AL354" i="86" s="1"/>
  <c r="AM354" i="86" s="1"/>
  <c r="AN354" i="86" s="1"/>
  <c r="AO354" i="86" s="1"/>
  <c r="AP354" i="86" s="1"/>
  <c r="AQ354" i="86" s="1"/>
  <c r="AR354" i="86" s="1"/>
  <c r="AS354" i="86" s="1"/>
  <c r="AT354" i="86" s="1"/>
  <c r="AU354" i="86" s="1"/>
  <c r="AV354" i="86" s="1"/>
  <c r="E338" i="86"/>
  <c r="F338" i="86" s="1"/>
  <c r="G338" i="86" s="1"/>
  <c r="H338" i="86" s="1"/>
  <c r="I338" i="86" s="1"/>
  <c r="J338" i="86" s="1"/>
  <c r="K338" i="86" s="1"/>
  <c r="L338" i="86" s="1"/>
  <c r="M338" i="86" s="1"/>
  <c r="N338" i="86" s="1"/>
  <c r="O338" i="86" s="1"/>
  <c r="P338" i="86" s="1"/>
  <c r="Q338" i="86" s="1"/>
  <c r="R338" i="86" s="1"/>
  <c r="S338" i="86" s="1"/>
  <c r="T338" i="86" s="1"/>
  <c r="U338" i="86" s="1"/>
  <c r="V338" i="86" s="1"/>
  <c r="W338" i="86" s="1"/>
  <c r="X338" i="86" s="1"/>
  <c r="Y338" i="86" s="1"/>
  <c r="Z338" i="86" s="1"/>
  <c r="AA338" i="86" s="1"/>
  <c r="AB338" i="86" s="1"/>
  <c r="AC338" i="86" s="1"/>
  <c r="AD338" i="86" s="1"/>
  <c r="AE338" i="86" s="1"/>
  <c r="AF338" i="86" s="1"/>
  <c r="AG338" i="86" s="1"/>
  <c r="AH338" i="86" s="1"/>
  <c r="AI338" i="86" s="1"/>
  <c r="AJ338" i="86" s="1"/>
  <c r="AK338" i="86" s="1"/>
  <c r="AL338" i="86" s="1"/>
  <c r="AM338" i="86" s="1"/>
  <c r="AN338" i="86" s="1"/>
  <c r="AO338" i="86" s="1"/>
  <c r="AP338" i="86" s="1"/>
  <c r="AQ338" i="86" s="1"/>
  <c r="AR338" i="86" s="1"/>
  <c r="AS338" i="86" s="1"/>
  <c r="AT338" i="86" s="1"/>
  <c r="AU338" i="86" s="1"/>
  <c r="AV338" i="86" s="1"/>
  <c r="E322" i="86"/>
  <c r="F322" i="86" s="1"/>
  <c r="G322" i="86" s="1"/>
  <c r="H322" i="86" s="1"/>
  <c r="I322" i="86" s="1"/>
  <c r="J322" i="86" s="1"/>
  <c r="K322" i="86" s="1"/>
  <c r="L322" i="86" s="1"/>
  <c r="M322" i="86" s="1"/>
  <c r="N322" i="86" s="1"/>
  <c r="O322" i="86" s="1"/>
  <c r="P322" i="86" s="1"/>
  <c r="Q322" i="86" s="1"/>
  <c r="R322" i="86" s="1"/>
  <c r="S322" i="86" s="1"/>
  <c r="T322" i="86" s="1"/>
  <c r="U322" i="86" s="1"/>
  <c r="V322" i="86" s="1"/>
  <c r="W322" i="86" s="1"/>
  <c r="X322" i="86" s="1"/>
  <c r="Y322" i="86" s="1"/>
  <c r="Z322" i="86" s="1"/>
  <c r="AA322" i="86" s="1"/>
  <c r="AB322" i="86" s="1"/>
  <c r="AC322" i="86" s="1"/>
  <c r="AD322" i="86" s="1"/>
  <c r="AE322" i="86" s="1"/>
  <c r="AF322" i="86" s="1"/>
  <c r="AG322" i="86" s="1"/>
  <c r="AH322" i="86" s="1"/>
  <c r="AI322" i="86" s="1"/>
  <c r="AJ322" i="86" s="1"/>
  <c r="AK322" i="86" s="1"/>
  <c r="AL322" i="86" s="1"/>
  <c r="AM322" i="86" s="1"/>
  <c r="AN322" i="86" s="1"/>
  <c r="AO322" i="86" s="1"/>
  <c r="AP322" i="86" s="1"/>
  <c r="AQ322" i="86" s="1"/>
  <c r="AR322" i="86" s="1"/>
  <c r="AS322" i="86" s="1"/>
  <c r="AT322" i="86" s="1"/>
  <c r="AU322" i="86" s="1"/>
  <c r="AV322" i="86" s="1"/>
  <c r="E306" i="86"/>
  <c r="F306" i="86" s="1"/>
  <c r="G306" i="86" s="1"/>
  <c r="H306" i="86" s="1"/>
  <c r="I306" i="86" s="1"/>
  <c r="J306" i="86" s="1"/>
  <c r="K306" i="86" s="1"/>
  <c r="L306" i="86" s="1"/>
  <c r="M306" i="86" s="1"/>
  <c r="N306" i="86" s="1"/>
  <c r="O306" i="86" s="1"/>
  <c r="P306" i="86" s="1"/>
  <c r="Q306" i="86" s="1"/>
  <c r="R306" i="86" s="1"/>
  <c r="S306" i="86" s="1"/>
  <c r="T306" i="86" s="1"/>
  <c r="U306" i="86" s="1"/>
  <c r="V306" i="86" s="1"/>
  <c r="W306" i="86" s="1"/>
  <c r="X306" i="86" s="1"/>
  <c r="Y306" i="86" s="1"/>
  <c r="Z306" i="86" s="1"/>
  <c r="AA306" i="86" s="1"/>
  <c r="AB306" i="86" s="1"/>
  <c r="AC306" i="86" s="1"/>
  <c r="AD306" i="86" s="1"/>
  <c r="AE306" i="86" s="1"/>
  <c r="AF306" i="86" s="1"/>
  <c r="AG306" i="86" s="1"/>
  <c r="AH306" i="86" s="1"/>
  <c r="AI306" i="86" s="1"/>
  <c r="AJ306" i="86" s="1"/>
  <c r="AK306" i="86" s="1"/>
  <c r="AL306" i="86" s="1"/>
  <c r="AM306" i="86" s="1"/>
  <c r="AN306" i="86" s="1"/>
  <c r="AO306" i="86" s="1"/>
  <c r="AP306" i="86" s="1"/>
  <c r="AQ306" i="86" s="1"/>
  <c r="AR306" i="86" s="1"/>
  <c r="AS306" i="86" s="1"/>
  <c r="AT306" i="86" s="1"/>
  <c r="AU306" i="86" s="1"/>
  <c r="AV306" i="86" s="1"/>
  <c r="AT290" i="86"/>
  <c r="AU290" i="86" s="1"/>
  <c r="AV290" i="86" s="1"/>
  <c r="C290" i="86"/>
  <c r="D290" i="86" s="1"/>
  <c r="E290" i="86" s="1"/>
  <c r="F290" i="86" s="1"/>
  <c r="G290" i="86" s="1"/>
  <c r="H290" i="86" s="1"/>
  <c r="I290" i="86" s="1"/>
  <c r="J290" i="86" s="1"/>
  <c r="K290" i="86" s="1"/>
  <c r="L290" i="86" s="1"/>
  <c r="M290" i="86" s="1"/>
  <c r="N290" i="86" s="1"/>
  <c r="O290" i="86" s="1"/>
  <c r="P290" i="86" s="1"/>
  <c r="Q290" i="86" s="1"/>
  <c r="R290" i="86" s="1"/>
  <c r="S290" i="86" s="1"/>
  <c r="T290" i="86" s="1"/>
  <c r="U290" i="86" s="1"/>
  <c r="V290" i="86" s="1"/>
  <c r="W290" i="86" s="1"/>
  <c r="X290" i="86" s="1"/>
  <c r="Y290" i="86" s="1"/>
  <c r="Z290" i="86" s="1"/>
  <c r="AA290" i="86" s="1"/>
  <c r="AB290" i="86" s="1"/>
  <c r="AC290" i="86" s="1"/>
  <c r="AD290" i="86" s="1"/>
  <c r="AE290" i="86" s="1"/>
  <c r="AF290" i="86" s="1"/>
  <c r="AG290" i="86" s="1"/>
  <c r="AH290" i="86" s="1"/>
  <c r="AI290" i="86" s="1"/>
  <c r="AJ290" i="86" s="1"/>
  <c r="AK290" i="86" s="1"/>
  <c r="AL290" i="86" s="1"/>
  <c r="AM290" i="86" s="1"/>
  <c r="AN290" i="86" s="1"/>
  <c r="AO290" i="86" s="1"/>
  <c r="AP290" i="86" s="1"/>
  <c r="AQ290" i="86" s="1"/>
  <c r="AR290" i="86" s="1"/>
  <c r="B274" i="86"/>
  <c r="C274" i="86" s="1"/>
  <c r="D274" i="86" s="1"/>
  <c r="E274" i="86" s="1"/>
  <c r="F274" i="86" s="1"/>
  <c r="G274" i="86" s="1"/>
  <c r="H274" i="86" s="1"/>
  <c r="I274" i="86" s="1"/>
  <c r="J274" i="86" s="1"/>
  <c r="K274" i="86" s="1"/>
  <c r="L274" i="86" s="1"/>
  <c r="M274" i="86" s="1"/>
  <c r="N274" i="86" s="1"/>
  <c r="O274" i="86" s="1"/>
  <c r="P274" i="86" s="1"/>
  <c r="Q274" i="86" s="1"/>
  <c r="R274" i="86" s="1"/>
  <c r="S274" i="86" s="1"/>
  <c r="T274" i="86" s="1"/>
  <c r="U274" i="86" s="1"/>
  <c r="V274" i="86" s="1"/>
  <c r="W274" i="86" s="1"/>
  <c r="X274" i="86" s="1"/>
  <c r="Y274" i="86" s="1"/>
  <c r="Z274" i="86" s="1"/>
  <c r="AA274" i="86" s="1"/>
  <c r="AB274" i="86" s="1"/>
  <c r="AC274" i="86" s="1"/>
  <c r="AD274" i="86" s="1"/>
  <c r="AE274" i="86" s="1"/>
  <c r="AF274" i="86" s="1"/>
  <c r="AG274" i="86" s="1"/>
  <c r="AH274" i="86" s="1"/>
  <c r="AI274" i="86" s="1"/>
  <c r="AJ274" i="86" s="1"/>
  <c r="AK274" i="86" s="1"/>
  <c r="AL274" i="86" s="1"/>
  <c r="AM274" i="86" s="1"/>
  <c r="AN274" i="86" s="1"/>
  <c r="AO274" i="86" s="1"/>
  <c r="AP274" i="86" s="1"/>
  <c r="AQ274" i="86" s="1"/>
  <c r="AR274" i="86" s="1"/>
  <c r="AS274" i="86" s="1"/>
  <c r="AT274" i="86" s="1"/>
  <c r="AU274" i="86" s="1"/>
  <c r="AV274" i="86" s="1"/>
  <c r="C258" i="86"/>
  <c r="D258" i="86" s="1"/>
  <c r="E258" i="86" s="1"/>
  <c r="F258" i="86" s="1"/>
  <c r="G258" i="86" s="1"/>
  <c r="H258" i="86" s="1"/>
  <c r="I258" i="86" s="1"/>
  <c r="J258" i="86" s="1"/>
  <c r="K258" i="86" s="1"/>
  <c r="L258" i="86" s="1"/>
  <c r="M258" i="86" s="1"/>
  <c r="N258" i="86" s="1"/>
  <c r="O258" i="86" s="1"/>
  <c r="P258" i="86" s="1"/>
  <c r="Q258" i="86" s="1"/>
  <c r="R258" i="86" s="1"/>
  <c r="S258" i="86" s="1"/>
  <c r="T258" i="86" s="1"/>
  <c r="U258" i="86" s="1"/>
  <c r="V258" i="86" s="1"/>
  <c r="W258" i="86" s="1"/>
  <c r="X258" i="86" s="1"/>
  <c r="Y258" i="86" s="1"/>
  <c r="Z258" i="86" s="1"/>
  <c r="AA258" i="86" s="1"/>
  <c r="AB258" i="86" s="1"/>
  <c r="AC258" i="86" s="1"/>
  <c r="AD258" i="86" s="1"/>
  <c r="AE258" i="86" s="1"/>
  <c r="AF258" i="86" s="1"/>
  <c r="AG258" i="86" s="1"/>
  <c r="AH258" i="86" s="1"/>
  <c r="AI258" i="86" s="1"/>
  <c r="AJ258" i="86" s="1"/>
  <c r="AK258" i="86" s="1"/>
  <c r="AL258" i="86" s="1"/>
  <c r="AM258" i="86" s="1"/>
  <c r="AN258" i="86" s="1"/>
  <c r="AO258" i="86" s="1"/>
  <c r="AP258" i="86" s="1"/>
  <c r="AQ258" i="86" s="1"/>
  <c r="AR258" i="86" s="1"/>
  <c r="AS258" i="86" s="1"/>
  <c r="AT258" i="86" s="1"/>
  <c r="AU258" i="86" s="1"/>
  <c r="AV258" i="86" s="1"/>
  <c r="C242" i="86"/>
  <c r="D242" i="86" s="1"/>
  <c r="E242" i="86" s="1"/>
  <c r="F242" i="86" s="1"/>
  <c r="G242" i="86" s="1"/>
  <c r="H242" i="86" s="1"/>
  <c r="I242" i="86" s="1"/>
  <c r="J242" i="86" s="1"/>
  <c r="K242" i="86" s="1"/>
  <c r="L242" i="86" s="1"/>
  <c r="M242" i="86" s="1"/>
  <c r="N242" i="86" s="1"/>
  <c r="O242" i="86" s="1"/>
  <c r="P242" i="86" s="1"/>
  <c r="Q242" i="86" s="1"/>
  <c r="R242" i="86" s="1"/>
  <c r="S242" i="86" s="1"/>
  <c r="T242" i="86" s="1"/>
  <c r="U242" i="86" s="1"/>
  <c r="V242" i="86" s="1"/>
  <c r="W242" i="86" s="1"/>
  <c r="X242" i="86" s="1"/>
  <c r="Y242" i="86" s="1"/>
  <c r="Z242" i="86" s="1"/>
  <c r="AA242" i="86" s="1"/>
  <c r="AB242" i="86" s="1"/>
  <c r="AC242" i="86" s="1"/>
  <c r="AD242" i="86" s="1"/>
  <c r="AE242" i="86" s="1"/>
  <c r="AF242" i="86" s="1"/>
  <c r="AG242" i="86" s="1"/>
  <c r="AH242" i="86" s="1"/>
  <c r="AI242" i="86" s="1"/>
  <c r="AJ242" i="86" s="1"/>
  <c r="AK242" i="86" s="1"/>
  <c r="AL242" i="86" s="1"/>
  <c r="AM242" i="86" s="1"/>
  <c r="AN242" i="86" s="1"/>
  <c r="AO242" i="86" s="1"/>
  <c r="AP242" i="86" s="1"/>
  <c r="AQ242" i="86" s="1"/>
  <c r="AR242" i="86" s="1"/>
  <c r="AS242" i="86" s="1"/>
  <c r="AT242" i="86" s="1"/>
  <c r="AU242" i="86" s="1"/>
  <c r="AV242" i="86" s="1"/>
  <c r="F221" i="86"/>
  <c r="E221" i="86"/>
  <c r="D221" i="86"/>
  <c r="C221" i="86"/>
  <c r="B221" i="86"/>
  <c r="B220" i="86"/>
  <c r="C220" i="86" s="1"/>
  <c r="D220" i="86" s="1"/>
  <c r="E220" i="86" s="1"/>
  <c r="F220" i="86" s="1"/>
  <c r="G220" i="86" s="1"/>
  <c r="H220" i="86" s="1"/>
  <c r="I220" i="86" s="1"/>
  <c r="J220" i="86" s="1"/>
  <c r="K220" i="86" s="1"/>
  <c r="L220" i="86" s="1"/>
  <c r="M220" i="86" s="1"/>
  <c r="N220" i="86" s="1"/>
  <c r="O220" i="86" s="1"/>
  <c r="P220" i="86" s="1"/>
  <c r="Q220" i="86" s="1"/>
  <c r="R220" i="86" s="1"/>
  <c r="S220" i="86" s="1"/>
  <c r="T220" i="86" s="1"/>
  <c r="U220" i="86" s="1"/>
  <c r="V220" i="86" s="1"/>
  <c r="W220" i="86" s="1"/>
  <c r="X220" i="86" s="1"/>
  <c r="Y220" i="86" s="1"/>
  <c r="Z220" i="86" s="1"/>
  <c r="AA220" i="86" s="1"/>
  <c r="AB220" i="86" s="1"/>
  <c r="AC220" i="86" s="1"/>
  <c r="AD220" i="86" s="1"/>
  <c r="AE220" i="86" s="1"/>
  <c r="AF220" i="86" s="1"/>
  <c r="AG220" i="86" s="1"/>
  <c r="AH220" i="86" s="1"/>
  <c r="AI220" i="86" s="1"/>
  <c r="AJ220" i="86" s="1"/>
  <c r="AK220" i="86" s="1"/>
  <c r="AL220" i="86" s="1"/>
  <c r="AM220" i="86" s="1"/>
  <c r="AN220" i="86" s="1"/>
  <c r="AO220" i="86" s="1"/>
  <c r="AP220" i="86" s="1"/>
  <c r="AQ220" i="86" s="1"/>
  <c r="AR220" i="86" s="1"/>
  <c r="AS220" i="86" s="1"/>
  <c r="AT220" i="86" s="1"/>
  <c r="AU220" i="86" s="1"/>
  <c r="AV220" i="86" s="1"/>
  <c r="F218" i="86"/>
  <c r="E218" i="86"/>
  <c r="D218" i="86"/>
  <c r="C218" i="86"/>
  <c r="B218" i="86"/>
  <c r="B204" i="86"/>
  <c r="C204" i="86" s="1"/>
  <c r="D204" i="86" s="1"/>
  <c r="E204" i="86" s="1"/>
  <c r="F204" i="86" s="1"/>
  <c r="G204" i="86" s="1"/>
  <c r="H204" i="86" s="1"/>
  <c r="I204" i="86" s="1"/>
  <c r="J204" i="86" s="1"/>
  <c r="K204" i="86" s="1"/>
  <c r="L204" i="86" s="1"/>
  <c r="M204" i="86" s="1"/>
  <c r="F202" i="86"/>
  <c r="E202" i="86"/>
  <c r="D202" i="86"/>
  <c r="C202" i="86"/>
  <c r="B202" i="86"/>
  <c r="F189" i="86"/>
  <c r="E189" i="86"/>
  <c r="D189" i="86"/>
  <c r="C189" i="86"/>
  <c r="B189" i="86"/>
  <c r="AP188" i="86"/>
  <c r="AQ188" i="86" s="1"/>
  <c r="AR188" i="86" s="1"/>
  <c r="AS188" i="86" s="1"/>
  <c r="AT188" i="86" s="1"/>
  <c r="AU188" i="86" s="1"/>
  <c r="AV188" i="86" s="1"/>
  <c r="F186" i="86"/>
  <c r="E186" i="86"/>
  <c r="D186" i="86"/>
  <c r="C186" i="86"/>
  <c r="B186" i="86"/>
  <c r="F172" i="86"/>
  <c r="E172" i="86"/>
  <c r="D172" i="86"/>
  <c r="C172" i="86"/>
  <c r="B172" i="86"/>
  <c r="E171" i="86"/>
  <c r="F171" i="86" s="1"/>
  <c r="G171" i="86" s="1"/>
  <c r="H171" i="86" s="1"/>
  <c r="I171" i="86" s="1"/>
  <c r="J171" i="86" s="1"/>
  <c r="K171" i="86" s="1"/>
  <c r="L171" i="86" s="1"/>
  <c r="M171" i="86" s="1"/>
  <c r="N171" i="86" s="1"/>
  <c r="O171" i="86" s="1"/>
  <c r="P171" i="86" s="1"/>
  <c r="Q171" i="86" s="1"/>
  <c r="R171" i="86" s="1"/>
  <c r="S171" i="86" s="1"/>
  <c r="T171" i="86" s="1"/>
  <c r="U171" i="86" s="1"/>
  <c r="V171" i="86" s="1"/>
  <c r="W171" i="86" s="1"/>
  <c r="X171" i="86" s="1"/>
  <c r="Y171" i="86" s="1"/>
  <c r="Z171" i="86" s="1"/>
  <c r="AA171" i="86" s="1"/>
  <c r="AB171" i="86" s="1"/>
  <c r="AC171" i="86" s="1"/>
  <c r="AD171" i="86" s="1"/>
  <c r="AE171" i="86" s="1"/>
  <c r="AF171" i="86" s="1"/>
  <c r="AG171" i="86" s="1"/>
  <c r="AH171" i="86" s="1"/>
  <c r="AI171" i="86" s="1"/>
  <c r="AJ171" i="86" s="1"/>
  <c r="AK171" i="86" s="1"/>
  <c r="AL171" i="86" s="1"/>
  <c r="AM171" i="86" s="1"/>
  <c r="AN171" i="86" s="1"/>
  <c r="AO171" i="86" s="1"/>
  <c r="AP171" i="86" s="1"/>
  <c r="AQ171" i="86" s="1"/>
  <c r="AR171" i="86" s="1"/>
  <c r="AS171" i="86" s="1"/>
  <c r="AT171" i="86" s="1"/>
  <c r="AU171" i="86" s="1"/>
  <c r="AV171" i="86" s="1"/>
  <c r="F169" i="86"/>
  <c r="E169" i="86"/>
  <c r="D169" i="86"/>
  <c r="C169" i="86"/>
  <c r="B169" i="86"/>
  <c r="F153" i="86"/>
  <c r="E153" i="86"/>
  <c r="D153" i="86"/>
  <c r="C153" i="86"/>
  <c r="B153" i="86"/>
  <c r="AT152" i="86"/>
  <c r="AU152" i="86" s="1"/>
  <c r="AV152" i="86" s="1"/>
  <c r="C152" i="86"/>
  <c r="D152" i="86" s="1"/>
  <c r="E152" i="86" s="1"/>
  <c r="F152" i="86" s="1"/>
  <c r="G152" i="86" s="1"/>
  <c r="H152" i="86" s="1"/>
  <c r="I152" i="86" s="1"/>
  <c r="J152" i="86" s="1"/>
  <c r="K152" i="86" s="1"/>
  <c r="L152" i="86" s="1"/>
  <c r="M152" i="86" s="1"/>
  <c r="N152" i="86" s="1"/>
  <c r="O152" i="86" s="1"/>
  <c r="P152" i="86" s="1"/>
  <c r="Q152" i="86" s="1"/>
  <c r="R152" i="86" s="1"/>
  <c r="S152" i="86" s="1"/>
  <c r="T152" i="86" s="1"/>
  <c r="U152" i="86" s="1"/>
  <c r="V152" i="86" s="1"/>
  <c r="W152" i="86" s="1"/>
  <c r="X152" i="86" s="1"/>
  <c r="Y152" i="86" s="1"/>
  <c r="Z152" i="86" s="1"/>
  <c r="AA152" i="86" s="1"/>
  <c r="AB152" i="86" s="1"/>
  <c r="AC152" i="86" s="1"/>
  <c r="AD152" i="86" s="1"/>
  <c r="AE152" i="86" s="1"/>
  <c r="AF152" i="86" s="1"/>
  <c r="AG152" i="86" s="1"/>
  <c r="AH152" i="86" s="1"/>
  <c r="AI152" i="86" s="1"/>
  <c r="AJ152" i="86" s="1"/>
  <c r="AK152" i="86" s="1"/>
  <c r="AL152" i="86" s="1"/>
  <c r="AM152" i="86" s="1"/>
  <c r="AN152" i="86" s="1"/>
  <c r="AO152" i="86" s="1"/>
  <c r="AP152" i="86" s="1"/>
  <c r="AQ152" i="86" s="1"/>
  <c r="AR152" i="86" s="1"/>
  <c r="F150" i="86"/>
  <c r="E150" i="86"/>
  <c r="D150" i="86"/>
  <c r="C150" i="86"/>
  <c r="B150" i="86"/>
  <c r="F137" i="86"/>
  <c r="E137" i="86"/>
  <c r="D137" i="86"/>
  <c r="C137" i="86"/>
  <c r="B137" i="86"/>
  <c r="E136" i="86"/>
  <c r="F136" i="86" s="1"/>
  <c r="G136" i="86" s="1"/>
  <c r="H136" i="86" s="1"/>
  <c r="I136" i="86" s="1"/>
  <c r="J136" i="86" s="1"/>
  <c r="K136" i="86" s="1"/>
  <c r="L136" i="86" s="1"/>
  <c r="M136" i="86" s="1"/>
  <c r="N136" i="86" s="1"/>
  <c r="O136" i="86" s="1"/>
  <c r="P136" i="86" s="1"/>
  <c r="Q136" i="86" s="1"/>
  <c r="R136" i="86" s="1"/>
  <c r="S136" i="86" s="1"/>
  <c r="T136" i="86" s="1"/>
  <c r="U136" i="86" s="1"/>
  <c r="V136" i="86" s="1"/>
  <c r="W136" i="86" s="1"/>
  <c r="X136" i="86" s="1"/>
  <c r="Y136" i="86" s="1"/>
  <c r="Z136" i="86" s="1"/>
  <c r="AA136" i="86" s="1"/>
  <c r="AB136" i="86" s="1"/>
  <c r="AC136" i="86" s="1"/>
  <c r="AD136" i="86" s="1"/>
  <c r="AE136" i="86" s="1"/>
  <c r="AF136" i="86" s="1"/>
  <c r="AG136" i="86" s="1"/>
  <c r="AH136" i="86" s="1"/>
  <c r="AI136" i="86" s="1"/>
  <c r="AJ136" i="86" s="1"/>
  <c r="AK136" i="86" s="1"/>
  <c r="AL136" i="86" s="1"/>
  <c r="AM136" i="86" s="1"/>
  <c r="AN136" i="86" s="1"/>
  <c r="AO136" i="86" s="1"/>
  <c r="AP136" i="86" s="1"/>
  <c r="AQ136" i="86" s="1"/>
  <c r="AR136" i="86" s="1"/>
  <c r="AS136" i="86" s="1"/>
  <c r="AT136" i="86" s="1"/>
  <c r="AU136" i="86" s="1"/>
  <c r="AV136" i="86" s="1"/>
  <c r="F134" i="86"/>
  <c r="E134" i="86"/>
  <c r="D134" i="86"/>
  <c r="C134" i="86"/>
  <c r="B134" i="86"/>
  <c r="E41" i="86"/>
  <c r="F41" i="86" s="1"/>
  <c r="G41" i="86" s="1"/>
  <c r="H41" i="86" s="1"/>
  <c r="I41" i="86" s="1"/>
  <c r="J41" i="86" s="1"/>
  <c r="K41" i="86" s="1"/>
  <c r="L41" i="86" s="1"/>
  <c r="M41" i="86" s="1"/>
  <c r="N41" i="86" s="1"/>
  <c r="O41" i="86" s="1"/>
  <c r="P41" i="86" s="1"/>
  <c r="Q41" i="86" s="1"/>
  <c r="R41" i="86" s="1"/>
  <c r="S41" i="86" s="1"/>
  <c r="T41" i="86" s="1"/>
  <c r="U41" i="86" s="1"/>
  <c r="V41" i="86" s="1"/>
  <c r="W41" i="86" s="1"/>
  <c r="X41" i="86" s="1"/>
  <c r="Y41" i="86" s="1"/>
  <c r="Z41" i="86" s="1"/>
  <c r="AA41" i="86" s="1"/>
  <c r="AB41" i="86" s="1"/>
  <c r="AC41" i="86" s="1"/>
  <c r="AD41" i="86" s="1"/>
  <c r="AE41" i="86" s="1"/>
  <c r="AF41" i="86" s="1"/>
  <c r="AG41" i="86" s="1"/>
  <c r="AH41" i="86" s="1"/>
  <c r="AI41" i="86" s="1"/>
  <c r="AJ41" i="86" s="1"/>
  <c r="AK41" i="86" s="1"/>
  <c r="AL41" i="86" s="1"/>
  <c r="AM41" i="86" s="1"/>
  <c r="AN41" i="86" s="1"/>
  <c r="AO41" i="86" s="1"/>
  <c r="AP41" i="86" s="1"/>
  <c r="AQ41" i="86" s="1"/>
  <c r="AR41" i="86" s="1"/>
  <c r="AS41" i="86" s="1"/>
  <c r="AT41" i="86" s="1"/>
  <c r="AU41" i="86" s="1"/>
  <c r="AV41" i="86" s="1"/>
  <c r="AT25" i="86"/>
  <c r="AU25" i="86" s="1"/>
  <c r="AV25" i="86" s="1"/>
  <c r="C25" i="86"/>
  <c r="D25" i="86" s="1"/>
  <c r="E25" i="86" s="1"/>
  <c r="F25" i="86" s="1"/>
  <c r="G25" i="86" s="1"/>
  <c r="H25" i="86" s="1"/>
  <c r="I25" i="86" s="1"/>
  <c r="J25" i="86" s="1"/>
  <c r="K25" i="86" s="1"/>
  <c r="L25" i="86" s="1"/>
  <c r="M25" i="86" s="1"/>
  <c r="N25" i="86" s="1"/>
  <c r="O25" i="86" s="1"/>
  <c r="P25" i="86" s="1"/>
  <c r="Q25" i="86" s="1"/>
  <c r="R25" i="86" s="1"/>
  <c r="S25" i="86" s="1"/>
  <c r="T25" i="86" s="1"/>
  <c r="U25" i="86" s="1"/>
  <c r="V25" i="86" s="1"/>
  <c r="W25" i="86" s="1"/>
  <c r="X25" i="86" s="1"/>
  <c r="Y25" i="86" s="1"/>
  <c r="Z25" i="86" s="1"/>
  <c r="AA25" i="86" s="1"/>
  <c r="AB25" i="86" s="1"/>
  <c r="AC25" i="86" s="1"/>
  <c r="AD25" i="86" s="1"/>
  <c r="AE25" i="86" s="1"/>
  <c r="AF25" i="86" s="1"/>
  <c r="AG25" i="86" s="1"/>
  <c r="AH25" i="86" s="1"/>
  <c r="AI25" i="86" s="1"/>
  <c r="AJ25" i="86" s="1"/>
  <c r="AK25" i="86" s="1"/>
  <c r="AL25" i="86" s="1"/>
  <c r="AM25" i="86" s="1"/>
  <c r="AN25" i="86" s="1"/>
  <c r="AO25" i="86" s="1"/>
  <c r="AP25" i="86" s="1"/>
  <c r="AQ25" i="86" s="1"/>
  <c r="AR25" i="86" s="1"/>
  <c r="B9" i="86"/>
  <c r="C9" i="86" s="1"/>
  <c r="D9" i="86" s="1"/>
  <c r="E9" i="86" s="1"/>
  <c r="F9" i="86" s="1"/>
  <c r="G9" i="86" s="1"/>
  <c r="H9" i="86" s="1"/>
  <c r="I9" i="86" s="1"/>
  <c r="J9" i="86" s="1"/>
  <c r="K9" i="86" s="1"/>
  <c r="L9" i="86" s="1"/>
  <c r="M9" i="86" s="1"/>
  <c r="N9" i="86" s="1"/>
  <c r="O9" i="86" s="1"/>
  <c r="P9" i="86" s="1"/>
  <c r="Q9" i="86" s="1"/>
  <c r="R9" i="86" s="1"/>
  <c r="S9" i="86" s="1"/>
  <c r="T9" i="86" s="1"/>
  <c r="U9" i="86" s="1"/>
  <c r="V9" i="86" s="1"/>
  <c r="W9" i="86" s="1"/>
  <c r="X9" i="86" s="1"/>
  <c r="Y9" i="86" s="1"/>
  <c r="Z9" i="86" s="1"/>
  <c r="AA9" i="86" s="1"/>
  <c r="AB9" i="86" s="1"/>
  <c r="AC9" i="86" s="1"/>
  <c r="AD9" i="86" s="1"/>
  <c r="AE9" i="86" s="1"/>
  <c r="AF9" i="86" s="1"/>
  <c r="AG9" i="86" s="1"/>
  <c r="AH9" i="86" s="1"/>
  <c r="AI9" i="86" s="1"/>
  <c r="AJ9" i="86" s="1"/>
  <c r="AK9" i="86" s="1"/>
  <c r="AL9" i="86" s="1"/>
  <c r="AM9" i="86" s="1"/>
  <c r="AN9" i="86" s="1"/>
  <c r="AO9" i="86" s="1"/>
  <c r="AP9" i="86" s="1"/>
  <c r="AQ9" i="86" s="1"/>
  <c r="AR9" i="86" s="1"/>
  <c r="AS9" i="86" s="1"/>
  <c r="AT9" i="86" s="1"/>
  <c r="AU9" i="86" s="1"/>
  <c r="AV9" i="86" s="1"/>
  <c r="X9" i="104" l="1"/>
  <c r="N6" i="103"/>
  <c r="N6" i="108"/>
  <c r="N3" i="107"/>
  <c r="N9" i="106"/>
  <c r="N7" i="106"/>
  <c r="N13" i="106"/>
  <c r="N10" i="105"/>
  <c r="N9" i="104"/>
  <c r="N7" i="104"/>
  <c r="N13" i="104"/>
  <c r="X9" i="107"/>
  <c r="X9" i="106"/>
  <c r="X9" i="105"/>
  <c r="N9" i="108"/>
  <c r="N10" i="108"/>
  <c r="N8" i="108"/>
  <c r="N15" i="108"/>
  <c r="N4" i="108"/>
  <c r="N13" i="108"/>
  <c r="N14" i="108"/>
  <c r="N11" i="108"/>
  <c r="N7" i="108"/>
  <c r="N3" i="108"/>
  <c r="N5" i="108"/>
  <c r="N12" i="108"/>
  <c r="N16" i="108"/>
  <c r="N5" i="107"/>
  <c r="N8" i="107"/>
  <c r="N10" i="107"/>
  <c r="N11" i="107"/>
  <c r="N14" i="107"/>
  <c r="N6" i="107"/>
  <c r="N4" i="107"/>
  <c r="N15" i="107"/>
  <c r="N7" i="107"/>
  <c r="N9" i="107"/>
  <c r="N12" i="107"/>
  <c r="N13" i="107"/>
  <c r="N16" i="107"/>
  <c r="N8" i="106"/>
  <c r="N10" i="106"/>
  <c r="N14" i="106"/>
  <c r="N3" i="106"/>
  <c r="N5" i="106"/>
  <c r="N15" i="106"/>
  <c r="N6" i="106"/>
  <c r="N11" i="106"/>
  <c r="N4" i="106"/>
  <c r="N12" i="106"/>
  <c r="N16" i="106"/>
  <c r="N6" i="105"/>
  <c r="N4" i="105"/>
  <c r="N9" i="105"/>
  <c r="N13" i="105"/>
  <c r="N14" i="105"/>
  <c r="N7" i="105"/>
  <c r="N8" i="105"/>
  <c r="N11" i="105"/>
  <c r="N15" i="105"/>
  <c r="N5" i="105"/>
  <c r="N3" i="105"/>
  <c r="N12" i="105"/>
  <c r="N16" i="105"/>
  <c r="N13" i="102"/>
  <c r="N10" i="102"/>
  <c r="N7" i="101"/>
  <c r="N8" i="101"/>
  <c r="N11" i="101"/>
  <c r="N5" i="100"/>
  <c r="N6" i="100"/>
  <c r="N6" i="99"/>
  <c r="N4" i="99"/>
  <c r="N8" i="98"/>
  <c r="X9" i="99"/>
  <c r="X9" i="98"/>
  <c r="X9" i="100"/>
  <c r="X9" i="101"/>
  <c r="X9" i="103"/>
  <c r="N8" i="104"/>
  <c r="N10" i="104"/>
  <c r="N14" i="104"/>
  <c r="N3" i="104"/>
  <c r="N5" i="104"/>
  <c r="N15" i="104"/>
  <c r="N11" i="104"/>
  <c r="N6" i="104"/>
  <c r="N4" i="104"/>
  <c r="N12" i="104"/>
  <c r="N16" i="104"/>
  <c r="N5" i="103"/>
  <c r="N7" i="103"/>
  <c r="N4" i="103"/>
  <c r="N9" i="103"/>
  <c r="N13" i="103"/>
  <c r="N14" i="103"/>
  <c r="N15" i="103"/>
  <c r="N8" i="103"/>
  <c r="N10" i="103"/>
  <c r="N11" i="103"/>
  <c r="N3" i="103"/>
  <c r="N12" i="103"/>
  <c r="N16" i="103"/>
  <c r="N14" i="102"/>
  <c r="N6" i="102"/>
  <c r="N3" i="102"/>
  <c r="N7" i="102"/>
  <c r="N5" i="102"/>
  <c r="N4" i="102"/>
  <c r="N9" i="102"/>
  <c r="N12" i="102"/>
  <c r="N15" i="102"/>
  <c r="N8" i="102"/>
  <c r="N11" i="102"/>
  <c r="N16" i="102"/>
  <c r="N6" i="101"/>
  <c r="N4" i="101"/>
  <c r="N9" i="101"/>
  <c r="N13" i="101"/>
  <c r="N10" i="101"/>
  <c r="N14" i="101"/>
  <c r="N15" i="101"/>
  <c r="N5" i="101"/>
  <c r="N3" i="101"/>
  <c r="N12" i="101"/>
  <c r="N16" i="101"/>
  <c r="N8" i="100"/>
  <c r="N10" i="100"/>
  <c r="N11" i="100"/>
  <c r="N14" i="100"/>
  <c r="N3" i="100"/>
  <c r="N15" i="100"/>
  <c r="N9" i="100"/>
  <c r="N12" i="100"/>
  <c r="N4" i="100"/>
  <c r="N7" i="100"/>
  <c r="N13" i="100"/>
  <c r="N16" i="100"/>
  <c r="N16" i="99"/>
  <c r="N9" i="99"/>
  <c r="N13" i="99"/>
  <c r="N10" i="99"/>
  <c r="N3" i="99"/>
  <c r="N5" i="99"/>
  <c r="N7" i="99"/>
  <c r="N8" i="99"/>
  <c r="N12" i="99"/>
  <c r="N14" i="99"/>
  <c r="N11" i="99"/>
  <c r="N15" i="99"/>
  <c r="N10" i="98"/>
  <c r="N5" i="98"/>
  <c r="N11" i="98"/>
  <c r="N14" i="98"/>
  <c r="N3" i="98"/>
  <c r="N6" i="98"/>
  <c r="N15" i="98"/>
  <c r="N9" i="98"/>
  <c r="N12" i="98"/>
  <c r="N4" i="98"/>
  <c r="N7" i="98"/>
  <c r="N13" i="98"/>
  <c r="N16" i="98"/>
  <c r="X9" i="96"/>
  <c r="N3" i="96"/>
  <c r="N4" i="96"/>
  <c r="L3" i="95"/>
  <c r="L4" i="95"/>
  <c r="L13" i="95"/>
  <c r="N8" i="96"/>
  <c r="N15" i="96"/>
  <c r="N6" i="96"/>
  <c r="N9" i="96"/>
  <c r="N13" i="96"/>
  <c r="N5" i="96"/>
  <c r="N16" i="96"/>
  <c r="N7" i="96"/>
  <c r="N11" i="96"/>
  <c r="N12" i="96"/>
  <c r="N10" i="96"/>
  <c r="N14" i="96"/>
  <c r="L6" i="95"/>
  <c r="L5" i="95"/>
  <c r="L7" i="95"/>
  <c r="L10" i="95"/>
  <c r="L14" i="95"/>
  <c r="L8" i="95"/>
  <c r="L11" i="95"/>
  <c r="L15" i="95"/>
  <c r="L9" i="95"/>
  <c r="L12" i="95"/>
  <c r="L16" i="95"/>
  <c r="V9" i="94"/>
  <c r="L5" i="91"/>
  <c r="V9" i="93"/>
  <c r="L16" i="94"/>
  <c r="L8" i="94"/>
  <c r="L13" i="94"/>
  <c r="L11" i="94"/>
  <c r="L6" i="94"/>
  <c r="L7" i="94"/>
  <c r="L5" i="94"/>
  <c r="L14" i="94"/>
  <c r="L9" i="94"/>
  <c r="L15" i="94"/>
  <c r="L10" i="94"/>
  <c r="L12" i="94"/>
  <c r="L5" i="93"/>
  <c r="L10" i="93"/>
  <c r="L11" i="93"/>
  <c r="L8" i="93"/>
  <c r="L14" i="93"/>
  <c r="L6" i="93"/>
  <c r="L9" i="93"/>
  <c r="L12" i="93"/>
  <c r="L15" i="93"/>
  <c r="L7" i="93"/>
  <c r="L13" i="93"/>
  <c r="L16" i="93"/>
  <c r="L8" i="90"/>
  <c r="L6" i="90"/>
  <c r="L8" i="91"/>
  <c r="L12" i="89"/>
  <c r="L14" i="89"/>
  <c r="V9" i="87"/>
  <c r="V9" i="90"/>
  <c r="V9" i="91"/>
  <c r="L9" i="91"/>
  <c r="L13" i="91"/>
  <c r="L10" i="91"/>
  <c r="L14" i="91"/>
  <c r="L15" i="91"/>
  <c r="L11" i="91"/>
  <c r="L7" i="91"/>
  <c r="L6" i="91"/>
  <c r="L12" i="91"/>
  <c r="L16" i="91"/>
  <c r="L9" i="90"/>
  <c r="L7" i="90"/>
  <c r="L14" i="90"/>
  <c r="L10" i="90"/>
  <c r="L11" i="90"/>
  <c r="L15" i="90"/>
  <c r="L16" i="90"/>
  <c r="L12" i="90"/>
  <c r="L13" i="90"/>
  <c r="V9" i="89"/>
  <c r="L8" i="88"/>
  <c r="V9" i="88"/>
  <c r="L8" i="87"/>
  <c r="L12" i="87"/>
  <c r="L14" i="87"/>
  <c r="L9" i="89"/>
  <c r="L13" i="89"/>
  <c r="L7" i="89"/>
  <c r="L10" i="89"/>
  <c r="L8" i="89"/>
  <c r="L11" i="89"/>
  <c r="L15" i="89"/>
  <c r="L16" i="89"/>
  <c r="L6" i="89"/>
  <c r="L12" i="88"/>
  <c r="L11" i="88"/>
  <c r="L9" i="88"/>
  <c r="L6" i="88"/>
  <c r="L10" i="88"/>
  <c r="L7" i="88"/>
  <c r="L13" i="88"/>
  <c r="L14" i="88"/>
  <c r="L15" i="88"/>
  <c r="L16" i="88"/>
  <c r="L15" i="87"/>
  <c r="L9" i="87"/>
  <c r="L13" i="87"/>
  <c r="L11" i="87"/>
  <c r="L16" i="87"/>
  <c r="L7" i="87"/>
  <c r="L10" i="87"/>
  <c r="L6" i="87"/>
  <c r="K14" i="77"/>
  <c r="L14" i="77" s="1"/>
  <c r="K15" i="77"/>
  <c r="L15" i="77" s="1"/>
  <c r="K16" i="77"/>
  <c r="L16" i="77" s="1"/>
  <c r="K17" i="77"/>
  <c r="L17" i="77" s="1"/>
  <c r="I14" i="77"/>
  <c r="I15" i="77"/>
  <c r="I16" i="77"/>
  <c r="I17" i="77"/>
  <c r="G70" i="82"/>
  <c r="F70" i="82"/>
  <c r="D70" i="82"/>
  <c r="H70" i="82" s="1"/>
  <c r="C70" i="82"/>
  <c r="B70" i="82"/>
  <c r="G69" i="82"/>
  <c r="F69" i="82"/>
  <c r="D69" i="82"/>
  <c r="H69" i="82" s="1"/>
  <c r="C69" i="82"/>
  <c r="B69" i="82"/>
  <c r="G68" i="82"/>
  <c r="F68" i="82"/>
  <c r="D68" i="82"/>
  <c r="H68" i="82" s="1"/>
  <c r="C68" i="82"/>
  <c r="B68" i="82"/>
  <c r="G67" i="82"/>
  <c r="F67" i="82"/>
  <c r="D67" i="82"/>
  <c r="H67" i="82" s="1"/>
  <c r="C67" i="82"/>
  <c r="B67" i="82"/>
  <c r="G66" i="82"/>
  <c r="F66" i="82"/>
  <c r="D66" i="82"/>
  <c r="H66" i="82" s="1"/>
  <c r="C66" i="82"/>
  <c r="B66" i="82"/>
  <c r="G65" i="82"/>
  <c r="F65" i="82"/>
  <c r="D65" i="82"/>
  <c r="H65" i="82" s="1"/>
  <c r="C65" i="82"/>
  <c r="B65" i="82"/>
  <c r="G64" i="82"/>
  <c r="F64" i="82"/>
  <c r="D64" i="82"/>
  <c r="H64" i="82" s="1"/>
  <c r="C64" i="82"/>
  <c r="B64" i="82"/>
  <c r="G63" i="82"/>
  <c r="F63" i="82"/>
  <c r="D63" i="82"/>
  <c r="H63" i="82" s="1"/>
  <c r="C63" i="82"/>
  <c r="B63" i="82"/>
  <c r="G62" i="82"/>
  <c r="F62" i="82"/>
  <c r="D62" i="82"/>
  <c r="H62" i="82" s="1"/>
  <c r="C62" i="82"/>
  <c r="B62" i="82"/>
  <c r="G61" i="82"/>
  <c r="F61" i="82"/>
  <c r="D61" i="82"/>
  <c r="H61" i="82" s="1"/>
  <c r="C61" i="82"/>
  <c r="B61" i="82"/>
  <c r="G60" i="82"/>
  <c r="F60" i="82"/>
  <c r="D60" i="82"/>
  <c r="H60" i="82" s="1"/>
  <c r="C60" i="82"/>
  <c r="B60" i="82"/>
  <c r="G59" i="82"/>
  <c r="F59" i="82"/>
  <c r="D59" i="82"/>
  <c r="H59" i="82" s="1"/>
  <c r="C59" i="82"/>
  <c r="B59" i="82"/>
  <c r="G58" i="82"/>
  <c r="F58" i="82"/>
  <c r="D58" i="82"/>
  <c r="H58" i="82" s="1"/>
  <c r="C58" i="82"/>
  <c r="B58" i="82"/>
  <c r="G57" i="82"/>
  <c r="F57" i="82"/>
  <c r="D57" i="82"/>
  <c r="H57" i="82" s="1"/>
  <c r="C57" i="82"/>
  <c r="B57" i="82"/>
  <c r="D32" i="82"/>
  <c r="C32" i="82"/>
  <c r="B32" i="82"/>
  <c r="D31" i="82"/>
  <c r="C31" i="82"/>
  <c r="B31" i="82"/>
  <c r="D30" i="82"/>
  <c r="C30" i="82"/>
  <c r="B30" i="82"/>
  <c r="D29" i="82"/>
  <c r="C29" i="82"/>
  <c r="B29" i="82"/>
  <c r="D28" i="82"/>
  <c r="C28" i="82"/>
  <c r="B28" i="82"/>
  <c r="D27" i="82"/>
  <c r="B27" i="82"/>
  <c r="D26" i="82"/>
  <c r="C26" i="82"/>
  <c r="B26" i="82"/>
  <c r="D21" i="82"/>
  <c r="C21" i="82"/>
  <c r="B21" i="82"/>
  <c r="D20" i="82"/>
  <c r="C20" i="82"/>
  <c r="B20" i="82"/>
  <c r="D19" i="82"/>
  <c r="C19" i="82"/>
  <c r="B19" i="82"/>
  <c r="D18" i="82"/>
  <c r="C18" i="82"/>
  <c r="B18" i="82"/>
  <c r="D17" i="82"/>
  <c r="C17" i="82"/>
  <c r="B17" i="82"/>
  <c r="D16" i="82"/>
  <c r="B16" i="82"/>
  <c r="D15" i="82"/>
  <c r="C15" i="82"/>
  <c r="B15" i="82"/>
  <c r="G8" i="82"/>
  <c r="F8" i="82"/>
  <c r="D8" i="82"/>
  <c r="H8" i="82" s="1"/>
  <c r="B38" i="82" s="1"/>
  <c r="C8" i="82"/>
  <c r="B8" i="82"/>
  <c r="G7" i="82"/>
  <c r="F7" i="82"/>
  <c r="D7" i="82"/>
  <c r="H7" i="82" s="1"/>
  <c r="B37" i="82" s="1"/>
  <c r="C7" i="82"/>
  <c r="B7" i="82"/>
  <c r="G6" i="82"/>
  <c r="F6" i="82"/>
  <c r="D6" i="82"/>
  <c r="H6" i="82" s="1"/>
  <c r="B36" i="82" s="1"/>
  <c r="C6" i="82"/>
  <c r="B6" i="82"/>
  <c r="K13" i="77"/>
  <c r="L13" i="77" s="1"/>
  <c r="I13" i="77"/>
  <c r="K12" i="77"/>
  <c r="L12" i="77" s="1"/>
  <c r="I12" i="77"/>
  <c r="K11" i="77"/>
  <c r="L11" i="77" s="1"/>
  <c r="I11" i="77"/>
  <c r="K10" i="77"/>
  <c r="L10" i="77" s="1"/>
  <c r="I10" i="77"/>
  <c r="K9" i="77"/>
  <c r="L9" i="77" s="1"/>
  <c r="I9" i="77"/>
  <c r="V8" i="77"/>
  <c r="K8" i="77"/>
  <c r="L8" i="77" s="1"/>
  <c r="I8" i="77"/>
  <c r="K7" i="77"/>
  <c r="L7" i="77" s="1"/>
  <c r="I7" i="77"/>
  <c r="K6" i="77"/>
  <c r="L6" i="77" s="1"/>
  <c r="I6" i="77"/>
  <c r="T4" i="77"/>
  <c r="W8" i="77" s="1"/>
  <c r="S4" i="77"/>
  <c r="P4" i="77"/>
  <c r="J17" i="78"/>
  <c r="K17" i="78" s="1"/>
  <c r="H17" i="78"/>
  <c r="J16" i="78"/>
  <c r="K16" i="78" s="1"/>
  <c r="H16" i="78"/>
  <c r="J15" i="78"/>
  <c r="K15" i="78" s="1"/>
  <c r="H15" i="78"/>
  <c r="J14" i="78"/>
  <c r="K14" i="78" s="1"/>
  <c r="H14" i="78"/>
  <c r="J13" i="78"/>
  <c r="K13" i="78" s="1"/>
  <c r="H13" i="78"/>
  <c r="J12" i="78"/>
  <c r="K12" i="78" s="1"/>
  <c r="H12" i="78"/>
  <c r="J11" i="78"/>
  <c r="K11" i="78" s="1"/>
  <c r="H11" i="78"/>
  <c r="J10" i="78"/>
  <c r="K10" i="78" s="1"/>
  <c r="H10" i="78"/>
  <c r="J9" i="78"/>
  <c r="K9" i="78" s="1"/>
  <c r="U8" i="78"/>
  <c r="J8" i="78"/>
  <c r="K8" i="78" s="1"/>
  <c r="H8" i="78"/>
  <c r="J7" i="78"/>
  <c r="K7" i="78" s="1"/>
  <c r="H7" i="78"/>
  <c r="J6" i="78"/>
  <c r="K6" i="78" s="1"/>
  <c r="H6" i="78"/>
  <c r="J5" i="78"/>
  <c r="K5" i="78" s="1"/>
  <c r="H5" i="78"/>
  <c r="V8" i="78"/>
  <c r="R4" i="78"/>
  <c r="O4" i="78"/>
  <c r="J4" i="78"/>
  <c r="K4" i="78" s="1"/>
  <c r="H4" i="78"/>
  <c r="J17" i="79"/>
  <c r="K17" i="79" s="1"/>
  <c r="H17" i="79"/>
  <c r="J16" i="79"/>
  <c r="K16" i="79" s="1"/>
  <c r="H16" i="79"/>
  <c r="J15" i="79"/>
  <c r="K15" i="79" s="1"/>
  <c r="H15" i="79"/>
  <c r="J14" i="79"/>
  <c r="K14" i="79" s="1"/>
  <c r="H14" i="79"/>
  <c r="J13" i="79"/>
  <c r="K13" i="79" s="1"/>
  <c r="H13" i="79"/>
  <c r="J12" i="79"/>
  <c r="K12" i="79" s="1"/>
  <c r="H12" i="79"/>
  <c r="J11" i="79"/>
  <c r="K11" i="79" s="1"/>
  <c r="H11" i="79"/>
  <c r="J10" i="79"/>
  <c r="K10" i="79" s="1"/>
  <c r="H10" i="79"/>
  <c r="J9" i="79"/>
  <c r="K9" i="79" s="1"/>
  <c r="H9" i="79"/>
  <c r="U8" i="79"/>
  <c r="J8" i="79"/>
  <c r="K8" i="79" s="1"/>
  <c r="H8" i="79"/>
  <c r="J7" i="79"/>
  <c r="K7" i="79" s="1"/>
  <c r="H7" i="79"/>
  <c r="J6" i="79"/>
  <c r="K6" i="79" s="1"/>
  <c r="H6" i="79"/>
  <c r="J5" i="79"/>
  <c r="K5" i="79" s="1"/>
  <c r="H5" i="79"/>
  <c r="V8" i="79"/>
  <c r="R4" i="79"/>
  <c r="O4" i="79"/>
  <c r="J4" i="79"/>
  <c r="K4" i="79" s="1"/>
  <c r="H4" i="79"/>
  <c r="J17" i="80"/>
  <c r="K17" i="80" s="1"/>
  <c r="H17" i="80"/>
  <c r="J16" i="80"/>
  <c r="K16" i="80" s="1"/>
  <c r="H16" i="80"/>
  <c r="J15" i="80"/>
  <c r="K15" i="80" s="1"/>
  <c r="H15" i="80"/>
  <c r="J14" i="80"/>
  <c r="K14" i="80" s="1"/>
  <c r="H14" i="80"/>
  <c r="J13" i="80"/>
  <c r="K13" i="80" s="1"/>
  <c r="H13" i="80"/>
  <c r="J12" i="80"/>
  <c r="K12" i="80" s="1"/>
  <c r="H12" i="80"/>
  <c r="J11" i="80"/>
  <c r="K11" i="80" s="1"/>
  <c r="H11" i="80"/>
  <c r="J10" i="80"/>
  <c r="K10" i="80" s="1"/>
  <c r="H10" i="80"/>
  <c r="J9" i="80"/>
  <c r="K9" i="80" s="1"/>
  <c r="H9" i="80"/>
  <c r="V8" i="80"/>
  <c r="U8" i="80"/>
  <c r="J8" i="80"/>
  <c r="K8" i="80" s="1"/>
  <c r="H8" i="80"/>
  <c r="J7" i="80"/>
  <c r="K7" i="80" s="1"/>
  <c r="H7" i="80"/>
  <c r="J6" i="80"/>
  <c r="K6" i="80" s="1"/>
  <c r="H6" i="80"/>
  <c r="J5" i="80"/>
  <c r="K5" i="80" s="1"/>
  <c r="H5" i="80"/>
  <c r="R4" i="80"/>
  <c r="O4" i="80"/>
  <c r="J4" i="80"/>
  <c r="K4" i="80" s="1"/>
  <c r="H4" i="80"/>
  <c r="J3" i="80"/>
  <c r="K3" i="80" s="1"/>
  <c r="H3" i="80"/>
  <c r="J17" i="81"/>
  <c r="K17" i="81" s="1"/>
  <c r="H17" i="81"/>
  <c r="J16" i="81"/>
  <c r="K16" i="81" s="1"/>
  <c r="L16" i="81" s="1"/>
  <c r="H16" i="81"/>
  <c r="J15" i="81"/>
  <c r="K15" i="81" s="1"/>
  <c r="H15" i="81"/>
  <c r="J14" i="81"/>
  <c r="K14" i="81" s="1"/>
  <c r="H14" i="81"/>
  <c r="J13" i="81"/>
  <c r="K13" i="81" s="1"/>
  <c r="H13" i="81"/>
  <c r="J12" i="81"/>
  <c r="K12" i="81" s="1"/>
  <c r="H12" i="81"/>
  <c r="J11" i="81"/>
  <c r="K11" i="81" s="1"/>
  <c r="H11" i="81"/>
  <c r="J10" i="81"/>
  <c r="K10" i="81" s="1"/>
  <c r="L10" i="81" s="1"/>
  <c r="H10" i="81"/>
  <c r="J9" i="81"/>
  <c r="K9" i="81" s="1"/>
  <c r="H9" i="81"/>
  <c r="V8" i="81"/>
  <c r="U8" i="81"/>
  <c r="V9" i="81" s="1"/>
  <c r="K8" i="81"/>
  <c r="J8" i="81"/>
  <c r="H8" i="81"/>
  <c r="K7" i="81"/>
  <c r="J7" i="81"/>
  <c r="H7" i="81"/>
  <c r="K6" i="81"/>
  <c r="J6" i="81"/>
  <c r="H6" i="81"/>
  <c r="K5" i="81"/>
  <c r="L5" i="81" s="1"/>
  <c r="J5" i="81"/>
  <c r="H5" i="81"/>
  <c r="R4" i="81"/>
  <c r="O4" i="81"/>
  <c r="J4" i="81"/>
  <c r="K4" i="81" s="1"/>
  <c r="H4" i="81"/>
  <c r="K3" i="81"/>
  <c r="L14" i="81" s="1"/>
  <c r="J3" i="81"/>
  <c r="H3" i="81"/>
  <c r="J17" i="62"/>
  <c r="K17" i="62" s="1"/>
  <c r="H17" i="62"/>
  <c r="K16" i="62"/>
  <c r="J16" i="62"/>
  <c r="H16" i="62"/>
  <c r="J15" i="62"/>
  <c r="K15" i="62" s="1"/>
  <c r="H15" i="62"/>
  <c r="K14" i="62"/>
  <c r="J14" i="62"/>
  <c r="H14" i="62"/>
  <c r="J13" i="62"/>
  <c r="K13" i="62" s="1"/>
  <c r="H13" i="62"/>
  <c r="K12" i="62"/>
  <c r="J12" i="62"/>
  <c r="H12" i="62"/>
  <c r="J11" i="62"/>
  <c r="K11" i="62" s="1"/>
  <c r="H11" i="62"/>
  <c r="K10" i="62"/>
  <c r="J10" i="62"/>
  <c r="H10" i="62"/>
  <c r="J9" i="62"/>
  <c r="K9" i="62" s="1"/>
  <c r="L9" i="62" s="1"/>
  <c r="H9" i="62"/>
  <c r="V8" i="62"/>
  <c r="V9" i="62" s="1"/>
  <c r="U8" i="62"/>
  <c r="J8" i="62"/>
  <c r="K8" i="62" s="1"/>
  <c r="H8" i="62"/>
  <c r="J7" i="62"/>
  <c r="K7" i="62" s="1"/>
  <c r="H7" i="62"/>
  <c r="J6" i="62"/>
  <c r="K6" i="62" s="1"/>
  <c r="H6" i="62"/>
  <c r="J5" i="62"/>
  <c r="K5" i="62" s="1"/>
  <c r="H5" i="62"/>
  <c r="R4" i="62"/>
  <c r="O4" i="62"/>
  <c r="J4" i="62"/>
  <c r="K4" i="62" s="1"/>
  <c r="H4" i="62"/>
  <c r="J3" i="62"/>
  <c r="K3" i="62" s="1"/>
  <c r="H3" i="62"/>
  <c r="J17" i="64"/>
  <c r="K17" i="64" s="1"/>
  <c r="L17" i="64" s="1"/>
  <c r="H17" i="64"/>
  <c r="J16" i="64"/>
  <c r="K16" i="64" s="1"/>
  <c r="H16" i="64"/>
  <c r="J15" i="64"/>
  <c r="K15" i="64" s="1"/>
  <c r="H15" i="64"/>
  <c r="J14" i="64"/>
  <c r="K14" i="64" s="1"/>
  <c r="H14" i="64"/>
  <c r="K13" i="64"/>
  <c r="J13" i="64"/>
  <c r="H13" i="64"/>
  <c r="J12" i="64"/>
  <c r="K12" i="64" s="1"/>
  <c r="H12" i="64"/>
  <c r="J11" i="64"/>
  <c r="K11" i="64" s="1"/>
  <c r="H11" i="64"/>
  <c r="J10" i="64"/>
  <c r="K10" i="64" s="1"/>
  <c r="H10" i="64"/>
  <c r="V9" i="64"/>
  <c r="K9" i="64"/>
  <c r="J9" i="64"/>
  <c r="H9" i="64"/>
  <c r="V8" i="64"/>
  <c r="U8" i="64"/>
  <c r="J8" i="64"/>
  <c r="K8" i="64" s="1"/>
  <c r="H8" i="64"/>
  <c r="K7" i="64"/>
  <c r="J7" i="64"/>
  <c r="H7" i="64"/>
  <c r="J6" i="64"/>
  <c r="K6" i="64" s="1"/>
  <c r="H6" i="64"/>
  <c r="K5" i="64"/>
  <c r="J5" i="64"/>
  <c r="H5" i="64"/>
  <c r="R4" i="64"/>
  <c r="O4" i="64"/>
  <c r="K4" i="64"/>
  <c r="J4" i="64"/>
  <c r="H4" i="64"/>
  <c r="K3" i="64"/>
  <c r="J3" i="64"/>
  <c r="H3" i="64"/>
  <c r="K17" i="61"/>
  <c r="L17" i="61" s="1"/>
  <c r="J17" i="61"/>
  <c r="H17" i="61"/>
  <c r="K16" i="61"/>
  <c r="J16" i="61"/>
  <c r="H16" i="61"/>
  <c r="K15" i="61"/>
  <c r="L15" i="61" s="1"/>
  <c r="J15" i="61"/>
  <c r="H15" i="61"/>
  <c r="K14" i="61"/>
  <c r="J14" i="61"/>
  <c r="H14" i="61"/>
  <c r="K13" i="61"/>
  <c r="L13" i="61" s="1"/>
  <c r="J13" i="61"/>
  <c r="H13" i="61"/>
  <c r="K12" i="61"/>
  <c r="J12" i="61"/>
  <c r="H12" i="61"/>
  <c r="K11" i="61"/>
  <c r="J11" i="61"/>
  <c r="H11" i="61"/>
  <c r="K10" i="61"/>
  <c r="L10" i="61" s="1"/>
  <c r="J10" i="61"/>
  <c r="H10" i="61"/>
  <c r="V9" i="61"/>
  <c r="J9" i="61"/>
  <c r="K9" i="61" s="1"/>
  <c r="H9" i="61"/>
  <c r="V8" i="61"/>
  <c r="U8" i="61"/>
  <c r="K8" i="61"/>
  <c r="J8" i="61"/>
  <c r="H8" i="61"/>
  <c r="J7" i="61"/>
  <c r="K7" i="61" s="1"/>
  <c r="L4" i="61" s="1"/>
  <c r="H7" i="61"/>
  <c r="L6" i="61"/>
  <c r="K6" i="61"/>
  <c r="L8" i="61" s="1"/>
  <c r="J6" i="61"/>
  <c r="H6" i="61"/>
  <c r="J5" i="61"/>
  <c r="K5" i="61" s="1"/>
  <c r="H5" i="61"/>
  <c r="R4" i="61"/>
  <c r="O4" i="61"/>
  <c r="J4" i="61"/>
  <c r="K4" i="61" s="1"/>
  <c r="H4" i="61"/>
  <c r="J3" i="61"/>
  <c r="K3" i="61" s="1"/>
  <c r="L11" i="61" s="1"/>
  <c r="H3" i="61"/>
  <c r="J17" i="60"/>
  <c r="K17" i="60" s="1"/>
  <c r="L17" i="60" s="1"/>
  <c r="H17" i="60"/>
  <c r="J16" i="60"/>
  <c r="K16" i="60" s="1"/>
  <c r="H16" i="60"/>
  <c r="J15" i="60"/>
  <c r="K15" i="60" s="1"/>
  <c r="H15" i="60"/>
  <c r="J14" i="60"/>
  <c r="K14" i="60" s="1"/>
  <c r="H14" i="60"/>
  <c r="J13" i="60"/>
  <c r="K13" i="60" s="1"/>
  <c r="H13" i="60"/>
  <c r="J12" i="60"/>
  <c r="K12" i="60" s="1"/>
  <c r="H12" i="60"/>
  <c r="J11" i="60"/>
  <c r="K11" i="60" s="1"/>
  <c r="H11" i="60"/>
  <c r="J10" i="60"/>
  <c r="K10" i="60" s="1"/>
  <c r="H10" i="60"/>
  <c r="K9" i="60"/>
  <c r="J9" i="60"/>
  <c r="H9" i="60"/>
  <c r="V8" i="60"/>
  <c r="U8" i="60"/>
  <c r="V9" i="60" s="1"/>
  <c r="K8" i="60"/>
  <c r="J8" i="60"/>
  <c r="H8" i="60"/>
  <c r="K7" i="60"/>
  <c r="J7" i="60"/>
  <c r="H7" i="60"/>
  <c r="K6" i="60"/>
  <c r="J6" i="60"/>
  <c r="H6" i="60"/>
  <c r="K5" i="60"/>
  <c r="J5" i="60"/>
  <c r="H5" i="60"/>
  <c r="R4" i="60"/>
  <c r="O4" i="60"/>
  <c r="K4" i="60"/>
  <c r="J4" i="60"/>
  <c r="H4" i="60"/>
  <c r="J3" i="60"/>
  <c r="K3" i="60" s="1"/>
  <c r="H3" i="60"/>
  <c r="K17" i="59"/>
  <c r="J17" i="59"/>
  <c r="H17" i="59"/>
  <c r="K16" i="59"/>
  <c r="J16" i="59"/>
  <c r="H16" i="59"/>
  <c r="K15" i="59"/>
  <c r="J15" i="59"/>
  <c r="H15" i="59"/>
  <c r="K14" i="59"/>
  <c r="J14" i="59"/>
  <c r="H14" i="59"/>
  <c r="K13" i="59"/>
  <c r="J13" i="59"/>
  <c r="H13" i="59"/>
  <c r="K12" i="59"/>
  <c r="J12" i="59"/>
  <c r="H12" i="59"/>
  <c r="K11" i="59"/>
  <c r="J11" i="59"/>
  <c r="H11" i="59"/>
  <c r="J10" i="59"/>
  <c r="K10" i="59" s="1"/>
  <c r="H10" i="59"/>
  <c r="J9" i="59"/>
  <c r="K9" i="59" s="1"/>
  <c r="H9" i="59"/>
  <c r="V8" i="59"/>
  <c r="U8" i="59"/>
  <c r="V9" i="59" s="1"/>
  <c r="K8" i="59"/>
  <c r="J8" i="59"/>
  <c r="H8" i="59"/>
  <c r="J7" i="59"/>
  <c r="K7" i="59" s="1"/>
  <c r="H7" i="59"/>
  <c r="J6" i="59"/>
  <c r="K6" i="59" s="1"/>
  <c r="H6" i="59"/>
  <c r="J5" i="59"/>
  <c r="K5" i="59" s="1"/>
  <c r="H5" i="59"/>
  <c r="R4" i="59"/>
  <c r="O4" i="59"/>
  <c r="J4" i="59"/>
  <c r="K4" i="59" s="1"/>
  <c r="H4" i="59"/>
  <c r="K3" i="59"/>
  <c r="L13" i="59" s="1"/>
  <c r="J3" i="59"/>
  <c r="H3" i="59"/>
  <c r="J17" i="58"/>
  <c r="K17" i="58" s="1"/>
  <c r="H17" i="58"/>
  <c r="K16" i="58"/>
  <c r="J16" i="58"/>
  <c r="H16" i="58"/>
  <c r="J15" i="58"/>
  <c r="K15" i="58" s="1"/>
  <c r="H15" i="58"/>
  <c r="K14" i="58"/>
  <c r="J14" i="58"/>
  <c r="H14" i="58"/>
  <c r="J13" i="58"/>
  <c r="K13" i="58" s="1"/>
  <c r="H13" i="58"/>
  <c r="J12" i="58"/>
  <c r="K12" i="58" s="1"/>
  <c r="L12" i="58" s="1"/>
  <c r="H12" i="58"/>
  <c r="J11" i="58"/>
  <c r="K11" i="58" s="1"/>
  <c r="H11" i="58"/>
  <c r="J10" i="58"/>
  <c r="K10" i="58" s="1"/>
  <c r="H10" i="58"/>
  <c r="V9" i="58"/>
  <c r="J9" i="58"/>
  <c r="H9" i="58"/>
  <c r="V8" i="58"/>
  <c r="U8" i="58"/>
  <c r="J8" i="58"/>
  <c r="K8" i="58" s="1"/>
  <c r="H8" i="58"/>
  <c r="J7" i="58"/>
  <c r="K7" i="58" s="1"/>
  <c r="H7" i="58"/>
  <c r="J6" i="58"/>
  <c r="K6" i="58" s="1"/>
  <c r="H6" i="58"/>
  <c r="J5" i="58"/>
  <c r="K5" i="58" s="1"/>
  <c r="H5" i="58"/>
  <c r="R4" i="58"/>
  <c r="O4" i="58"/>
  <c r="J4" i="58"/>
  <c r="K4" i="58" s="1"/>
  <c r="H4" i="58"/>
  <c r="K3" i="58"/>
  <c r="J3" i="58"/>
  <c r="H3" i="58"/>
  <c r="M16" i="77" l="1"/>
  <c r="L4" i="78"/>
  <c r="L6" i="78"/>
  <c r="L9" i="79"/>
  <c r="L3" i="80"/>
  <c r="M17" i="77"/>
  <c r="M15" i="77"/>
  <c r="M14" i="77"/>
  <c r="W9" i="77"/>
  <c r="L4" i="80"/>
  <c r="L7" i="80"/>
  <c r="L12" i="80"/>
  <c r="V9" i="78"/>
  <c r="L11" i="78"/>
  <c r="M9" i="77"/>
  <c r="M6" i="77"/>
  <c r="M7" i="77"/>
  <c r="L13" i="78"/>
  <c r="L7" i="78"/>
  <c r="L9" i="78"/>
  <c r="L5" i="78"/>
  <c r="L13" i="79"/>
  <c r="L10" i="79"/>
  <c r="L8" i="79"/>
  <c r="L6" i="79"/>
  <c r="E20" i="82"/>
  <c r="E18" i="82"/>
  <c r="E16" i="82"/>
  <c r="E19" i="82"/>
  <c r="E21" i="82"/>
  <c r="E17" i="82"/>
  <c r="B22" i="82"/>
  <c r="C22" i="82"/>
  <c r="D22" i="82"/>
  <c r="E15" i="82"/>
  <c r="L6" i="59"/>
  <c r="L8" i="59"/>
  <c r="L17" i="59"/>
  <c r="L9" i="59"/>
  <c r="L6" i="58"/>
  <c r="L11" i="64"/>
  <c r="L16" i="64"/>
  <c r="L4" i="64"/>
  <c r="L13" i="58"/>
  <c r="L10" i="59"/>
  <c r="L15" i="64"/>
  <c r="L4" i="62"/>
  <c r="L5" i="62"/>
  <c r="L3" i="62"/>
  <c r="L7" i="62"/>
  <c r="L3" i="58"/>
  <c r="L3" i="59"/>
  <c r="L3" i="60"/>
  <c r="L13" i="60"/>
  <c r="L8" i="60"/>
  <c r="L11" i="60"/>
  <c r="L15" i="60"/>
  <c r="L10" i="64"/>
  <c r="L16" i="80"/>
  <c r="L10" i="58"/>
  <c r="L17" i="58"/>
  <c r="L6" i="60"/>
  <c r="L9" i="64"/>
  <c r="L5" i="80"/>
  <c r="L6" i="80"/>
  <c r="L14" i="64"/>
  <c r="L15" i="59"/>
  <c r="L8" i="58"/>
  <c r="L14" i="58"/>
  <c r="L11" i="59"/>
  <c r="L6" i="62"/>
  <c r="L7" i="81"/>
  <c r="L13" i="80"/>
  <c r="L15" i="62"/>
  <c r="L4" i="59"/>
  <c r="L14" i="79"/>
  <c r="M12" i="77"/>
  <c r="L7" i="61"/>
  <c r="L4" i="81"/>
  <c r="L8" i="81"/>
  <c r="L17" i="81"/>
  <c r="V9" i="79"/>
  <c r="L11" i="79"/>
  <c r="L16" i="78"/>
  <c r="M8" i="77"/>
  <c r="M10" i="77"/>
  <c r="L5" i="58"/>
  <c r="L4" i="60"/>
  <c r="L14" i="60"/>
  <c r="L7" i="64"/>
  <c r="L12" i="62"/>
  <c r="L9" i="80"/>
  <c r="L17" i="79"/>
  <c r="L3" i="64"/>
  <c r="L12" i="64"/>
  <c r="L16" i="62"/>
  <c r="L14" i="80"/>
  <c r="L14" i="78"/>
  <c r="L9" i="58"/>
  <c r="L10" i="60"/>
  <c r="L5" i="79"/>
  <c r="L4" i="58"/>
  <c r="L15" i="58"/>
  <c r="L7" i="59"/>
  <c r="L7" i="60"/>
  <c r="L3" i="61"/>
  <c r="L5" i="61"/>
  <c r="L9" i="61"/>
  <c r="L8" i="64"/>
  <c r="L13" i="62"/>
  <c r="L6" i="81"/>
  <c r="L11" i="81"/>
  <c r="L5" i="60"/>
  <c r="L9" i="60"/>
  <c r="L12" i="60"/>
  <c r="L16" i="61"/>
  <c r="L5" i="64"/>
  <c r="L8" i="62"/>
  <c r="L10" i="62"/>
  <c r="L4" i="79"/>
  <c r="L12" i="79"/>
  <c r="L15" i="79"/>
  <c r="L12" i="78"/>
  <c r="M11" i="77"/>
  <c r="M13" i="77"/>
  <c r="L16" i="58"/>
  <c r="L12" i="59"/>
  <c r="L13" i="81"/>
  <c r="L11" i="80"/>
  <c r="L7" i="58"/>
  <c r="L11" i="58"/>
  <c r="L5" i="59"/>
  <c r="L16" i="59"/>
  <c r="L14" i="61"/>
  <c r="L17" i="62"/>
  <c r="L15" i="81"/>
  <c r="L8" i="80"/>
  <c r="L10" i="80"/>
  <c r="L17" i="80"/>
  <c r="L8" i="78"/>
  <c r="L10" i="78"/>
  <c r="L15" i="78"/>
  <c r="L3" i="81"/>
  <c r="L14" i="59"/>
  <c r="L16" i="60"/>
  <c r="L12" i="61"/>
  <c r="L6" i="64"/>
  <c r="L13" i="64"/>
  <c r="L11" i="62"/>
  <c r="L14" i="62"/>
  <c r="L9" i="81"/>
  <c r="L12" i="81"/>
  <c r="V9" i="80"/>
  <c r="L15" i="80"/>
  <c r="L7" i="79"/>
  <c r="L16" i="79"/>
  <c r="L17" i="78"/>
  <c r="E22" i="82" l="1"/>
</calcChain>
</file>

<file path=xl/sharedStrings.xml><?xml version="1.0" encoding="utf-8"?>
<sst xmlns="http://schemas.openxmlformats.org/spreadsheetml/2006/main" count="3869" uniqueCount="236">
  <si>
    <t>Collector ID</t>
  </si>
  <si>
    <t>Boar</t>
  </si>
  <si>
    <t>TSI</t>
  </si>
  <si>
    <t>Genetic level</t>
  </si>
  <si>
    <t>Genetic Rank</t>
  </si>
  <si>
    <t>Last recorded raw Semen collected (mls)</t>
  </si>
  <si>
    <t>Last recorded Doses</t>
  </si>
  <si>
    <t>Dose rank</t>
  </si>
  <si>
    <t>Last recorded Morphology</t>
  </si>
  <si>
    <t>Morphology  Rank</t>
  </si>
  <si>
    <t>Overal Grading</t>
  </si>
  <si>
    <t>Overal Rank</t>
  </si>
  <si>
    <t>Sunday</t>
  </si>
  <si>
    <t>Wed</t>
  </si>
  <si>
    <t>TA</t>
  </si>
  <si>
    <t>DA2338</t>
  </si>
  <si>
    <t>Average</t>
  </si>
  <si>
    <t>required</t>
  </si>
  <si>
    <t>estimate</t>
  </si>
  <si>
    <t>actual</t>
  </si>
  <si>
    <t>AW</t>
  </si>
  <si>
    <t>DA1669</t>
  </si>
  <si>
    <t>total</t>
  </si>
  <si>
    <t>DA2470</t>
  </si>
  <si>
    <t>grasmere</t>
  </si>
  <si>
    <t>DA1130</t>
  </si>
  <si>
    <t>richlands</t>
  </si>
  <si>
    <t>DA1721</t>
  </si>
  <si>
    <t>Villa</t>
  </si>
  <si>
    <t>Actual total</t>
  </si>
  <si>
    <t>estimated</t>
  </si>
  <si>
    <t>DA1627</t>
  </si>
  <si>
    <t>Lions Head</t>
  </si>
  <si>
    <t>DA2477</t>
  </si>
  <si>
    <t>xd</t>
  </si>
  <si>
    <t>Porta</t>
  </si>
  <si>
    <t>DA2568</t>
  </si>
  <si>
    <t>CL7180</t>
  </si>
  <si>
    <t>Below average</t>
  </si>
  <si>
    <t>CJ0211</t>
  </si>
  <si>
    <t>CL5312</t>
  </si>
  <si>
    <t>Low</t>
  </si>
  <si>
    <t>CL3033</t>
  </si>
  <si>
    <t>CM</t>
  </si>
  <si>
    <t>DA0379</t>
  </si>
  <si>
    <t>CJ2150</t>
  </si>
  <si>
    <t>CE6835</t>
  </si>
  <si>
    <t>Wednesday</t>
  </si>
  <si>
    <t>T1</t>
  </si>
  <si>
    <t>T2</t>
  </si>
  <si>
    <t>COMMENT</t>
  </si>
  <si>
    <t>DA2477 and DA2470 are still not mounting the dummy and we are currently working on them</t>
  </si>
  <si>
    <t>CJ50 RESTED IN WEEK 1</t>
  </si>
  <si>
    <t>DA38, CJ50, rested in week 02</t>
  </si>
  <si>
    <t>CJ50 Rested</t>
  </si>
  <si>
    <t>CL80, CJ50,DA27 rested in week 03</t>
  </si>
  <si>
    <t>CL80, CE35,DA38 rested in week 04</t>
  </si>
  <si>
    <t>DA21 rested in week 05</t>
  </si>
  <si>
    <t>DA3337</t>
  </si>
  <si>
    <t>Above average</t>
  </si>
  <si>
    <t>DA3132</t>
  </si>
  <si>
    <t>DA3300</t>
  </si>
  <si>
    <t>Very low</t>
  </si>
  <si>
    <t xml:space="preserve">Not yet in use </t>
  </si>
  <si>
    <t>Rank</t>
  </si>
  <si>
    <t>level</t>
  </si>
  <si>
    <t>ABOVE AVG</t>
  </si>
  <si>
    <t>week</t>
  </si>
  <si>
    <t>morphology target top</t>
  </si>
  <si>
    <t>Actual</t>
  </si>
  <si>
    <t>boars avg # of doses</t>
  </si>
  <si>
    <t>doses actual</t>
  </si>
  <si>
    <t>comment</t>
  </si>
  <si>
    <t>Tenability - Day 1</t>
  </si>
  <si>
    <t>tenability - Day 2</t>
  </si>
  <si>
    <t>tenability - Day 3</t>
  </si>
  <si>
    <t>AVERAGE</t>
  </si>
  <si>
    <t>LOW</t>
  </si>
  <si>
    <t>.</t>
  </si>
  <si>
    <t/>
  </si>
  <si>
    <t>DATE OF BIRTH</t>
  </si>
  <si>
    <t>Age</t>
  </si>
  <si>
    <t>We have not yet received date of birth from the other boars, emails have been send to the Toppigs team.</t>
  </si>
  <si>
    <t>COLLECTOR PERFORMANCE ANALYSIS REPORT</t>
  </si>
  <si>
    <t>Weeks 1-7 | Raw Semen Collection (mls)</t>
  </si>
  <si>
    <t>RAW DATA - All Collections by Collector, Week, and Boar</t>
  </si>
  <si>
    <t>Collector</t>
  </si>
  <si>
    <t>Week</t>
  </si>
  <si>
    <t>Raw Semen (mls)</t>
  </si>
  <si>
    <t>(All)</t>
  </si>
  <si>
    <t>Sum of Raw Semen (mls)</t>
  </si>
  <si>
    <t>Grand Total</t>
  </si>
  <si>
    <t>Raw semen</t>
  </si>
  <si>
    <t>Raw Semen</t>
  </si>
  <si>
    <t>COLLECTOR PERFORMANCE ANALYSIS DASHBOARD</t>
  </si>
  <si>
    <t>SUMMARY STATISTICS BY COLLECTOR</t>
  </si>
  <si>
    <t>Total Collections</t>
  </si>
  <si>
    <t>Total Volume (mls)</t>
  </si>
  <si>
    <t>Average (mls)</t>
  </si>
  <si>
    <t>Std Dev</t>
  </si>
  <si>
    <t>Min</t>
  </si>
  <si>
    <t>Max</t>
  </si>
  <si>
    <t>CV %</t>
  </si>
  <si>
    <t>WEEKLY TOTALS BY COLLECTOR (Pivot Table)</t>
  </si>
  <si>
    <t>Week Total</t>
  </si>
  <si>
    <t>Total</t>
  </si>
  <si>
    <t>WEEKLY AVERAGES BY COLLECTOR</t>
  </si>
  <si>
    <t>CONSISTENCY ANALYSIS</t>
  </si>
  <si>
    <t>CV % (Lower=More Consistent)</t>
  </si>
  <si>
    <t>Consistency Rank</t>
  </si>
  <si>
    <t>Assessment</t>
  </si>
  <si>
    <t>Good Consistency</t>
  </si>
  <si>
    <t>Most Consistent</t>
  </si>
  <si>
    <t>Less Consistent</t>
  </si>
  <si>
    <t>PERFORMANCE RANKINGS</t>
  </si>
  <si>
    <t>Metric</t>
  </si>
  <si>
    <t>1st Place</t>
  </si>
  <si>
    <t>2nd Place</t>
  </si>
  <si>
    <t>3rd Place</t>
  </si>
  <si>
    <t>Total Volume</t>
  </si>
  <si>
    <t>CM (10,704)</t>
  </si>
  <si>
    <t>AW (9,646)</t>
  </si>
  <si>
    <t>TA (4,345)</t>
  </si>
  <si>
    <t>Average per Collection</t>
  </si>
  <si>
    <t>AW (333)</t>
  </si>
  <si>
    <t>CM (297)</t>
  </si>
  <si>
    <t>TA (272)</t>
  </si>
  <si>
    <t>Consistency (CV%)</t>
  </si>
  <si>
    <t>TA (33.7%)</t>
  </si>
  <si>
    <t>CM (37.9%)</t>
  </si>
  <si>
    <t>AW (38.6%)</t>
  </si>
  <si>
    <t>CM (36)</t>
  </si>
  <si>
    <t>AW (29)</t>
  </si>
  <si>
    <t>TA (16)</t>
  </si>
  <si>
    <t>KEY FINDINGS</t>
  </si>
  <si>
    <t>1. Most Consistent: TA (CV 33.7%) - Lowest variation indicates most uniform collection volumes</t>
  </si>
  <si>
    <t>2. Highest Total Volume: CM (10,704 mls) - Collected the most raw semen overall</t>
  </si>
  <si>
    <t>3. Most Active: CM (36 collections) - Highest number of collections performed</t>
  </si>
  <si>
    <t>4. Highest Avg/Collection: AW (333 mls) - Best individual collection output but highest variability</t>
  </si>
  <si>
    <t>BOAR PERFORMANCE ANALYSIS</t>
  </si>
  <si>
    <t>Collections</t>
  </si>
  <si>
    <t>Total (mls)</t>
  </si>
  <si>
    <t>Avg (mls)</t>
  </si>
  <si>
    <t>Collectors Used</t>
  </si>
  <si>
    <t>TA, AW, CM</t>
  </si>
  <si>
    <t>AW, CM</t>
  </si>
  <si>
    <t>AW, CM, TA</t>
  </si>
  <si>
    <t>TA, CM, AW</t>
  </si>
  <si>
    <t>TA, CM</t>
  </si>
  <si>
    <t>CM, TA, AW</t>
  </si>
  <si>
    <t>Collector per boar analysis</t>
  </si>
  <si>
    <t>Min (mls)</t>
  </si>
  <si>
    <t>Max (mls)</t>
  </si>
  <si>
    <t>BOAR CONSISTENCY RANKINGS (by CV% - Lower = More Consistent)</t>
  </si>
  <si>
    <t>Single collection only</t>
  </si>
  <si>
    <t>MOST CONSISTENT (multi-collection)</t>
  </si>
  <si>
    <t>Very Consistent</t>
  </si>
  <si>
    <t>...</t>
  </si>
  <si>
    <t>High Variability</t>
  </si>
  <si>
    <t>LEAST CONSISTENT</t>
  </si>
  <si>
    <t xml:space="preserve">Boar per collection frequency </t>
  </si>
  <si>
    <t>Best Collector</t>
  </si>
  <si>
    <t>Avg Collection (mls)</t>
  </si>
  <si>
    <t>Number of Collections</t>
  </si>
  <si>
    <t>Collector anaylysis per collection per boar</t>
  </si>
  <si>
    <t>PREDICTIVE MODEL: OPTIMAL ASSIGNMENT IMPACT ANALYSIS</t>
  </si>
  <si>
    <t>Data Period:</t>
  </si>
  <si>
    <t>Weeks 1-7 (2026)</t>
  </si>
  <si>
    <t>Total Collections:</t>
  </si>
  <si>
    <t>SCENARIO COMPARISON</t>
  </si>
  <si>
    <t>Current</t>
  </si>
  <si>
    <t>Optimized</t>
  </si>
  <si>
    <t>Improvement</t>
  </si>
  <si>
    <t>Improvement %</t>
  </si>
  <si>
    <t>Weekly Average (mls)</t>
  </si>
  <si>
    <t>Per-Collection Average (mls)</t>
  </si>
  <si>
    <t>ANNUAL PROJECTION (52 weeks)</t>
  </si>
  <si>
    <t>Current Annual</t>
  </si>
  <si>
    <t>Optimized Annual</t>
  </si>
  <si>
    <t>Annual Gain</t>
  </si>
  <si>
    <t>Projected Volume (mls)</t>
  </si>
  <si>
    <t>IMPLEMENTATION SCENARIOS</t>
  </si>
  <si>
    <t>Scenario</t>
  </si>
  <si>
    <t>Boars Affected</t>
  </si>
  <si>
    <t>Total Improvement (mls)</t>
  </si>
  <si>
    <t>% of Current</t>
  </si>
  <si>
    <t>Weekly Gain</t>
  </si>
  <si>
    <t>Top 5 Priority</t>
  </si>
  <si>
    <t>High Impact (&gt;50 mls)</t>
  </si>
  <si>
    <t>Full Optimization</t>
  </si>
  <si>
    <t>CONFIDENCE INTERVALS</t>
  </si>
  <si>
    <t>Expected Improvement (mls)</t>
  </si>
  <si>
    <t>Weekly Gain (mls)</t>
  </si>
  <si>
    <t>Conservative (80%)</t>
  </si>
  <si>
    <t>Most Likely (100%)</t>
  </si>
  <si>
    <t>Optimistic (110%)</t>
  </si>
  <si>
    <t>DETAILED REASSIGNMENT PLAN</t>
  </si>
  <si>
    <t>Priority</t>
  </si>
  <si>
    <t>Current Collector</t>
  </si>
  <si>
    <t>Optimal Collector</t>
  </si>
  <si>
    <t>Current Avg (mls)</t>
  </si>
  <si>
    <t>Optimal Avg (mls)</t>
  </si>
  <si>
    <t>Improvement (mls)</t>
  </si>
  <si>
    <t>BOAR ANALYSIS KEY FINDINGS</t>
  </si>
  <si>
    <t>MOST CONSISTENT BOAR (multi-collection):</t>
  </si>
  <si>
    <t>CE6835 - CV 5.6% | Avg 227 mls | 4 collections | Collected by AW &amp; CM</t>
  </si>
  <si>
    <t>Very uniform output (214-246 mls range) - highly reliable performer</t>
  </si>
  <si>
    <t>LEAST CONSISTENT BOAR:</t>
  </si>
  <si>
    <t>DA2338 - CV 22% | Avg 179 mls | 6 collections | Collected by TA, AW &amp; CM</t>
  </si>
  <si>
    <t>Wide range (112-226 mls) - output varies significantly across collectors</t>
  </si>
  <si>
    <t>BOARS COLLECTED BY ALL 3 COLLECTORS (CM, TA, AW):</t>
  </si>
  <si>
    <t>DA2338, DA1130, DA1721, DA1627, DA2568, CJ0211, CL3033, DA0379 (8 boars)</t>
  </si>
  <si>
    <t>(8 boars worked with by CM, TA, and AW)</t>
  </si>
  <si>
    <t>TOP PRODUCING BOAR:</t>
  </si>
  <si>
    <t>CJ0211 - 3,700 mls total | Avg 529 mls/collection | 7 collections</t>
  </si>
  <si>
    <t>Highest total &amp; per-collection output - excellent producer</t>
  </si>
  <si>
    <t>Highest individual collection potential but high variability (CV 14.7%)</t>
  </si>
  <si>
    <t>2ND MOST CONSISTENT (all 3 collectors):</t>
  </si>
  <si>
    <t>DA1627 - CV 7.4% | Avg 315 mls | Range 288-346 mls | 7 collections</t>
  </si>
  <si>
    <t>Best consistency among boars worked by all collectors</t>
  </si>
  <si>
    <t>Recently started mounting - limited data available</t>
  </si>
  <si>
    <t>da77</t>
  </si>
  <si>
    <t>ce35</t>
  </si>
  <si>
    <t>CULL</t>
  </si>
  <si>
    <t>DoB</t>
  </si>
  <si>
    <t>Last corded raw Semen collected (mls)</t>
  </si>
  <si>
    <t>Last corded Doses</t>
  </si>
  <si>
    <t>Last corded Morphology</t>
  </si>
  <si>
    <t>quid</t>
  </si>
  <si>
    <t>grasme</t>
  </si>
  <si>
    <t>DA4244</t>
  </si>
  <si>
    <t>DA4146</t>
  </si>
  <si>
    <t>DA4287</t>
  </si>
  <si>
    <t>DA4288</t>
  </si>
  <si>
    <t>DA4147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</si>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</sst>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#,##0%"/>
  </numFmts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16A34A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2F5496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DCD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E6E4E4"/>
      </patternFill>
    </fill>
    <fill>
      <patternFill patternType="solid">
        <fgColor rgb="FFE7E6E6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374151"/>
      </patternFill>
    </fill>
    <fill>
      <patternFill patternType="solid">
        <fgColor rgb="FFE0E7FF"/>
      </patternFill>
    </fill>
    <fill>
      <patternFill patternType="solid">
        <fgColor rgb="FF1E3A8A"/>
      </patternFill>
    </fill>
    <fill>
      <patternFill patternType="solid">
        <fgColor rgb="FFD1D5DB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2F75B5"/>
        <bgColor rgb="FF2F75B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0" fontId="2" fillId="0" borderId="0"/>
  </cellStyleXfs>
  <cellXfs count="264">
    <xf numFmtId="0" fontId="0" fillId="0" borderId="0" xfId="0"/>
    <xf numFmtId="0" fontId="4" fillId="0" borderId="0" xfId="1" applyAlignment="1">
      <alignment vertical="center"/>
    </xf>
    <xf numFmtId="0" fontId="4" fillId="2" borderId="5" xfId="1" applyFill="1" applyBorder="1" applyAlignment="1">
      <alignment horizontal="center" vertical="center"/>
    </xf>
    <xf numFmtId="0" fontId="4" fillId="6" borderId="8" xfId="1" applyFill="1" applyBorder="1" applyAlignment="1">
      <alignment horizontal="center" vertical="center"/>
    </xf>
    <xf numFmtId="0" fontId="4" fillId="2" borderId="8" xfId="1" applyFill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2" borderId="0" xfId="1" applyFill="1" applyAlignment="1">
      <alignment vertical="center"/>
    </xf>
    <xf numFmtId="0" fontId="3" fillId="0" borderId="7" xfId="2" applyFont="1" applyBorder="1" applyAlignment="1">
      <alignment horizontal="center" wrapText="1"/>
    </xf>
    <xf numFmtId="0" fontId="4" fillId="0" borderId="2" xfId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4" fillId="4" borderId="5" xfId="1" applyFill="1" applyBorder="1" applyAlignment="1">
      <alignment horizontal="center" vertical="center"/>
    </xf>
    <xf numFmtId="165" fontId="8" fillId="0" borderId="15" xfId="1" applyNumberFormat="1" applyFont="1" applyBorder="1" applyAlignment="1">
      <alignment horizontal="center" vertical="center"/>
    </xf>
    <xf numFmtId="14" fontId="4" fillId="0" borderId="0" xfId="1" applyNumberFormat="1" applyAlignment="1">
      <alignment vertical="center"/>
    </xf>
    <xf numFmtId="0" fontId="9" fillId="11" borderId="0" xfId="0" applyFont="1" applyFill="1"/>
    <xf numFmtId="0" fontId="10" fillId="12" borderId="0" xfId="0" applyFont="1" applyFill="1"/>
    <xf numFmtId="0" fontId="9" fillId="13" borderId="0" xfId="0" applyFont="1" applyFill="1"/>
    <xf numFmtId="0" fontId="0" fillId="0" borderId="0" xfId="0" applyAlignment="1">
      <alignment horizontal="center"/>
    </xf>
    <xf numFmtId="0" fontId="9" fillId="11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0" fillId="1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pivotButton="1"/>
    <xf numFmtId="0" fontId="5" fillId="0" borderId="0" xfId="0" pivotButton="1" applyFont="1"/>
    <xf numFmtId="0" fontId="16" fillId="1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0" xfId="3"/>
    <xf numFmtId="0" fontId="15" fillId="15" borderId="32" xfId="3" applyFont="1" applyFill="1" applyBorder="1" applyAlignment="1">
      <alignment horizontal="center" vertical="center"/>
    </xf>
    <xf numFmtId="0" fontId="1" fillId="0" borderId="32" xfId="3" applyBorder="1" applyAlignment="1">
      <alignment horizontal="center" vertical="center"/>
    </xf>
    <xf numFmtId="0" fontId="17" fillId="17" borderId="32" xfId="3" applyFont="1" applyFill="1" applyBorder="1" applyAlignment="1">
      <alignment horizontal="center" vertical="center"/>
    </xf>
    <xf numFmtId="0" fontId="19" fillId="0" borderId="32" xfId="3" applyFont="1" applyBorder="1" applyAlignment="1">
      <alignment horizontal="center" vertical="center"/>
    </xf>
    <xf numFmtId="0" fontId="15" fillId="15" borderId="0" xfId="3" applyFont="1" applyFill="1" applyAlignment="1">
      <alignment horizontal="center" vertic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0" borderId="16" xfId="1" applyFont="1" applyBorder="1" applyAlignment="1">
      <alignment horizontal="center" vertical="center"/>
    </xf>
    <xf numFmtId="0" fontId="4" fillId="20" borderId="5" xfId="1" applyFill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4" fillId="0" borderId="33" xfId="1" applyBorder="1" applyAlignment="1">
      <alignment horizontal="center" vertical="center"/>
    </xf>
    <xf numFmtId="0" fontId="4" fillId="0" borderId="38" xfId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7" fillId="9" borderId="48" xfId="1" applyFont="1" applyFill="1" applyBorder="1" applyAlignment="1">
      <alignment horizontal="center"/>
    </xf>
    <xf numFmtId="0" fontId="7" fillId="10" borderId="48" xfId="1" applyFont="1" applyFill="1" applyBorder="1" applyAlignment="1">
      <alignment horizontal="center"/>
    </xf>
    <xf numFmtId="0" fontId="7" fillId="0" borderId="48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2" borderId="47" xfId="1" applyFont="1" applyFill="1" applyBorder="1" applyAlignment="1">
      <alignment horizontal="center"/>
    </xf>
    <xf numFmtId="0" fontId="7" fillId="2" borderId="48" xfId="1" applyFont="1" applyFill="1" applyBorder="1" applyAlignment="1">
      <alignment horizontal="center"/>
    </xf>
    <xf numFmtId="0" fontId="7" fillId="21" borderId="47" xfId="1" applyFont="1" applyFill="1" applyBorder="1" applyAlignment="1">
      <alignment horizontal="center"/>
    </xf>
    <xf numFmtId="0" fontId="7" fillId="21" borderId="48" xfId="1" applyFont="1" applyFill="1" applyBorder="1" applyAlignment="1">
      <alignment horizontal="center"/>
    </xf>
    <xf numFmtId="0" fontId="7" fillId="22" borderId="48" xfId="1" applyFont="1" applyFill="1" applyBorder="1" applyAlignment="1">
      <alignment horizontal="center" vertical="center"/>
    </xf>
    <xf numFmtId="0" fontId="7" fillId="22" borderId="49" xfId="1" applyFont="1" applyFill="1" applyBorder="1" applyAlignment="1">
      <alignment horizontal="center" vertical="center"/>
    </xf>
    <xf numFmtId="0" fontId="3" fillId="0" borderId="0" xfId="4" applyFont="1"/>
    <xf numFmtId="0" fontId="2" fillId="0" borderId="0" xfId="4"/>
    <xf numFmtId="0" fontId="2" fillId="0" borderId="0" xfId="4" applyAlignment="1">
      <alignment horizontal="center"/>
    </xf>
    <xf numFmtId="0" fontId="5" fillId="0" borderId="1" xfId="4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0" fontId="5" fillId="0" borderId="4" xfId="4" applyFont="1" applyBorder="1" applyAlignment="1">
      <alignment horizontal="center"/>
    </xf>
    <xf numFmtId="0" fontId="2" fillId="0" borderId="0" xfId="4" applyAlignment="1">
      <alignment vertical="center"/>
    </xf>
    <xf numFmtId="0" fontId="5" fillId="0" borderId="0" xfId="4" applyFont="1" applyAlignment="1">
      <alignment horizontal="center"/>
    </xf>
    <xf numFmtId="1" fontId="2" fillId="0" borderId="0" xfId="4" applyNumberFormat="1"/>
    <xf numFmtId="0" fontId="5" fillId="0" borderId="15" xfId="4" applyFont="1" applyBorder="1" applyAlignment="1">
      <alignment horizontal="center"/>
    </xf>
    <xf numFmtId="0" fontId="5" fillId="0" borderId="27" xfId="4" applyFont="1" applyBorder="1" applyAlignment="1">
      <alignment horizontal="center"/>
    </xf>
    <xf numFmtId="0" fontId="2" fillId="2" borderId="0" xfId="4" applyFill="1"/>
    <xf numFmtId="0" fontId="3" fillId="0" borderId="1" xfId="4" applyFont="1" applyBorder="1"/>
    <xf numFmtId="0" fontId="2" fillId="0" borderId="3" xfId="4" applyBorder="1" applyAlignment="1">
      <alignment horizontal="center"/>
    </xf>
    <xf numFmtId="0" fontId="2" fillId="0" borderId="4" xfId="4" applyBorder="1" applyAlignment="1">
      <alignment horizontal="center"/>
    </xf>
    <xf numFmtId="0" fontId="3" fillId="7" borderId="15" xfId="4" applyFont="1" applyFill="1" applyBorder="1"/>
    <xf numFmtId="0" fontId="2" fillId="7" borderId="0" xfId="4" applyFill="1" applyAlignment="1">
      <alignment horizontal="center"/>
    </xf>
    <xf numFmtId="0" fontId="3" fillId="0" borderId="5" xfId="4" applyFont="1" applyBorder="1"/>
    <xf numFmtId="0" fontId="3" fillId="0" borderId="7" xfId="4" applyFont="1" applyBorder="1" applyAlignment="1">
      <alignment horizontal="center"/>
    </xf>
    <xf numFmtId="0" fontId="3" fillId="0" borderId="8" xfId="4" applyFont="1" applyBorder="1" applyAlignment="1">
      <alignment horizontal="center"/>
    </xf>
    <xf numFmtId="0" fontId="3" fillId="0" borderId="15" xfId="4" applyFont="1" applyBorder="1"/>
    <xf numFmtId="0" fontId="3" fillId="2" borderId="15" xfId="4" applyFont="1" applyFill="1" applyBorder="1"/>
    <xf numFmtId="1" fontId="2" fillId="7" borderId="0" xfId="4" applyNumberFormat="1" applyFill="1" applyAlignment="1">
      <alignment horizontal="center"/>
    </xf>
    <xf numFmtId="0" fontId="3" fillId="0" borderId="0" xfId="4" applyFont="1" applyAlignment="1">
      <alignment horizontal="center"/>
    </xf>
    <xf numFmtId="0" fontId="3" fillId="0" borderId="27" xfId="4" applyFont="1" applyBorder="1" applyAlignment="1">
      <alignment horizontal="center"/>
    </xf>
    <xf numFmtId="0" fontId="3" fillId="0" borderId="7" xfId="4" applyFont="1" applyBorder="1" applyAlignment="1">
      <alignment horizontal="center" wrapText="1"/>
    </xf>
    <xf numFmtId="0" fontId="3" fillId="8" borderId="15" xfId="4" applyFont="1" applyFill="1" applyBorder="1"/>
    <xf numFmtId="0" fontId="2" fillId="8" borderId="0" xfId="4" applyFill="1" applyAlignment="1">
      <alignment horizontal="center"/>
    </xf>
    <xf numFmtId="0" fontId="2" fillId="0" borderId="7" xfId="4" applyBorder="1" applyAlignment="1">
      <alignment horizontal="center"/>
    </xf>
    <xf numFmtId="0" fontId="2" fillId="8" borderId="0" xfId="4" applyFill="1"/>
    <xf numFmtId="0" fontId="2" fillId="0" borderId="7" xfId="4" applyBorder="1"/>
    <xf numFmtId="0" fontId="5" fillId="0" borderId="7" xfId="4" applyFont="1" applyBorder="1" applyAlignment="1">
      <alignment horizontal="center"/>
    </xf>
    <xf numFmtId="0" fontId="2" fillId="7" borderId="27" xfId="4" applyFill="1" applyBorder="1" applyAlignment="1">
      <alignment horizontal="center"/>
    </xf>
    <xf numFmtId="0" fontId="2" fillId="0" borderId="27" xfId="4" applyBorder="1" applyAlignment="1">
      <alignment horizontal="center"/>
    </xf>
    <xf numFmtId="0" fontId="3" fillId="2" borderId="0" xfId="4" applyFont="1" applyFill="1"/>
    <xf numFmtId="0" fontId="2" fillId="2" borderId="0" xfId="4" applyFill="1" applyAlignment="1">
      <alignment horizontal="center"/>
    </xf>
    <xf numFmtId="0" fontId="3" fillId="0" borderId="0" xfId="4" applyFont="1" applyAlignment="1">
      <alignment vertical="center"/>
    </xf>
    <xf numFmtId="0" fontId="9" fillId="1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23" borderId="34" xfId="1" applyFont="1" applyFill="1" applyBorder="1" applyAlignment="1">
      <alignment horizontal="center"/>
    </xf>
    <xf numFmtId="0" fontId="4" fillId="23" borderId="0" xfId="1" applyFill="1" applyAlignment="1">
      <alignment vertical="center"/>
    </xf>
    <xf numFmtId="0" fontId="0" fillId="2" borderId="0" xfId="1" applyFont="1" applyFill="1" applyAlignment="1">
      <alignment vertical="center"/>
    </xf>
    <xf numFmtId="0" fontId="0" fillId="0" borderId="38" xfId="1" applyFont="1" applyBorder="1" applyAlignment="1">
      <alignment horizontal="center" vertical="center"/>
    </xf>
    <xf numFmtId="0" fontId="0" fillId="0" borderId="40" xfId="1" applyFont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14" fontId="2" fillId="0" borderId="0" xfId="1" applyNumberFormat="1" applyFont="1" applyAlignment="1">
      <alignment vertical="center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  <xf numFmtId="0" fontId="2" fillId="6" borderId="3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2" fillId="5" borderId="15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6" borderId="16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4" borderId="9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4" borderId="15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6" borderId="7" xfId="1" applyFont="1" applyFill="1" applyBorder="1" applyAlignment="1">
      <alignment horizontal="center"/>
    </xf>
    <xf numFmtId="0" fontId="2" fillId="6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1" applyFont="1" applyFill="1"/>
    <xf numFmtId="0" fontId="2" fillId="20" borderId="15" xfId="1" applyFont="1" applyFill="1" applyBorder="1" applyAlignment="1">
      <alignment horizontal="center"/>
    </xf>
    <xf numFmtId="0" fontId="2" fillId="19" borderId="15" xfId="1" applyFont="1" applyFill="1" applyBorder="1" applyAlignment="1">
      <alignment horizontal="center"/>
    </xf>
    <xf numFmtId="0" fontId="2" fillId="23" borderId="34" xfId="1" applyFont="1" applyFill="1" applyBorder="1" applyAlignment="1">
      <alignment horizontal="center"/>
    </xf>
    <xf numFmtId="0" fontId="2" fillId="23" borderId="47" xfId="1" applyFont="1" applyFill="1" applyBorder="1" applyAlignment="1">
      <alignment horizontal="center"/>
    </xf>
    <xf numFmtId="0" fontId="2" fillId="23" borderId="45" xfId="1" applyFont="1" applyFill="1" applyBorder="1" applyAlignment="1">
      <alignment horizontal="center"/>
    </xf>
    <xf numFmtId="0" fontId="2" fillId="23" borderId="35" xfId="1" applyFont="1" applyFill="1" applyBorder="1" applyAlignment="1">
      <alignment horizontal="center"/>
    </xf>
    <xf numFmtId="0" fontId="2" fillId="23" borderId="36" xfId="1" applyFont="1" applyFill="1" applyBorder="1" applyAlignment="1">
      <alignment horizontal="center"/>
    </xf>
    <xf numFmtId="164" fontId="2" fillId="23" borderId="35" xfId="1" applyNumberFormat="1" applyFont="1" applyFill="1" applyBorder="1" applyAlignment="1">
      <alignment horizontal="center"/>
    </xf>
    <xf numFmtId="0" fontId="2" fillId="23" borderId="37" xfId="1" applyFont="1" applyFill="1" applyBorder="1" applyAlignment="1">
      <alignment horizontal="center"/>
    </xf>
    <xf numFmtId="0" fontId="2" fillId="23" borderId="15" xfId="1" applyFont="1" applyFill="1" applyBorder="1" applyAlignment="1">
      <alignment horizontal="center"/>
    </xf>
    <xf numFmtId="0" fontId="2" fillId="23" borderId="48" xfId="1" applyFont="1" applyFill="1" applyBorder="1" applyAlignment="1">
      <alignment horizontal="center"/>
    </xf>
    <xf numFmtId="0" fontId="2" fillId="23" borderId="27" xfId="1" applyFont="1" applyFill="1" applyBorder="1" applyAlignment="1">
      <alignment horizontal="center"/>
    </xf>
    <xf numFmtId="0" fontId="2" fillId="23" borderId="16" xfId="1" applyFont="1" applyFill="1" applyBorder="1" applyAlignment="1">
      <alignment horizontal="center"/>
    </xf>
    <xf numFmtId="0" fontId="2" fillId="23" borderId="0" xfId="1" applyFont="1" applyFill="1" applyAlignment="1">
      <alignment horizontal="center"/>
    </xf>
    <xf numFmtId="164" fontId="2" fillId="23" borderId="16" xfId="1" applyNumberFormat="1" applyFont="1" applyFill="1" applyBorder="1" applyAlignment="1">
      <alignment horizontal="center"/>
    </xf>
    <xf numFmtId="0" fontId="2" fillId="23" borderId="39" xfId="1" applyFont="1" applyFill="1" applyBorder="1" applyAlignment="1">
      <alignment horizontal="center"/>
    </xf>
    <xf numFmtId="0" fontId="2" fillId="6" borderId="48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6" borderId="49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2" fillId="6" borderId="43" xfId="1" applyFont="1" applyFill="1" applyBorder="1" applyAlignment="1">
      <alignment horizontal="center"/>
    </xf>
    <xf numFmtId="0" fontId="2" fillId="6" borderId="42" xfId="1" applyFont="1" applyFill="1" applyBorder="1" applyAlignment="1">
      <alignment horizontal="center"/>
    </xf>
    <xf numFmtId="164" fontId="2" fillId="2" borderId="42" xfId="1" applyNumberFormat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  <xf numFmtId="0" fontId="2" fillId="24" borderId="15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/>
    </xf>
    <xf numFmtId="2" fontId="7" fillId="0" borderId="47" xfId="1" applyNumberFormat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2" fontId="7" fillId="0" borderId="48" xfId="1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/>
    </xf>
    <xf numFmtId="0" fontId="7" fillId="2" borderId="51" xfId="1" applyFont="1" applyFill="1" applyBorder="1" applyAlignment="1">
      <alignment horizontal="center" vertical="center"/>
    </xf>
    <xf numFmtId="165" fontId="8" fillId="2" borderId="15" xfId="0" applyNumberFormat="1" applyFont="1" applyFill="1" applyBorder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7" fillId="10" borderId="48" xfId="1" applyFont="1" applyFill="1" applyBorder="1" applyAlignment="1">
      <alignment horizontal="center" vertical="center"/>
    </xf>
    <xf numFmtId="0" fontId="7" fillId="2" borderId="48" xfId="1" applyFont="1" applyFill="1" applyBorder="1" applyAlignment="1">
      <alignment horizontal="center" vertical="center"/>
    </xf>
    <xf numFmtId="2" fontId="7" fillId="2" borderId="48" xfId="1" applyNumberFormat="1" applyFont="1" applyFill="1" applyBorder="1" applyAlignment="1">
      <alignment horizontal="center" vertical="center"/>
    </xf>
    <xf numFmtId="0" fontId="0" fillId="0" borderId="0" xfId="1" applyFont="1" applyAlignment="1">
      <alignment vertical="center"/>
    </xf>
    <xf numFmtId="0" fontId="2" fillId="20" borderId="41" xfId="1" applyFont="1" applyFill="1" applyBorder="1" applyAlignment="1">
      <alignment horizontal="center"/>
    </xf>
    <xf numFmtId="0" fontId="2" fillId="24" borderId="27" xfId="1" applyFont="1" applyFill="1" applyBorder="1" applyAlignment="1">
      <alignment horizontal="center"/>
    </xf>
    <xf numFmtId="0" fontId="2" fillId="24" borderId="16" xfId="1" applyFont="1" applyFill="1" applyBorder="1" applyAlignment="1">
      <alignment horizontal="center"/>
    </xf>
    <xf numFmtId="164" fontId="2" fillId="24" borderId="16" xfId="1" applyNumberFormat="1" applyFont="1" applyFill="1" applyBorder="1" applyAlignment="1">
      <alignment horizontal="center"/>
    </xf>
    <xf numFmtId="0" fontId="2" fillId="24" borderId="39" xfId="1" applyFont="1" applyFill="1" applyBorder="1" applyAlignment="1">
      <alignment horizontal="center"/>
    </xf>
    <xf numFmtId="0" fontId="2" fillId="25" borderId="48" xfId="1" applyFont="1" applyFill="1" applyBorder="1" applyAlignment="1">
      <alignment horizontal="center"/>
    </xf>
    <xf numFmtId="0" fontId="2" fillId="24" borderId="41" xfId="1" applyFont="1" applyFill="1" applyBorder="1" applyAlignment="1">
      <alignment horizontal="center"/>
    </xf>
    <xf numFmtId="0" fontId="0" fillId="20" borderId="15" xfId="1" applyFont="1" applyFill="1" applyBorder="1" applyAlignment="1">
      <alignment horizontal="center"/>
    </xf>
    <xf numFmtId="0" fontId="0" fillId="19" borderId="15" xfId="1" applyFont="1" applyFill="1" applyBorder="1" applyAlignment="1">
      <alignment horizontal="center"/>
    </xf>
    <xf numFmtId="0" fontId="0" fillId="20" borderId="38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14" fontId="0" fillId="24" borderId="15" xfId="1" applyNumberFormat="1" applyFont="1" applyFill="1" applyBorder="1" applyAlignment="1">
      <alignment horizontal="center"/>
    </xf>
    <xf numFmtId="14" fontId="2" fillId="24" borderId="15" xfId="1" applyNumberFormat="1" applyFont="1" applyFill="1" applyBorder="1" applyAlignment="1">
      <alignment horizontal="center"/>
    </xf>
    <xf numFmtId="14" fontId="2" fillId="24" borderId="41" xfId="1" applyNumberFormat="1" applyFont="1" applyFill="1" applyBorder="1" applyAlignment="1">
      <alignment horizontal="center"/>
    </xf>
    <xf numFmtId="0" fontId="2" fillId="24" borderId="0" xfId="1" applyFont="1" applyFill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0" fillId="24" borderId="47" xfId="1" applyFont="1" applyFill="1" applyBorder="1" applyAlignment="1">
      <alignment horizontal="center"/>
    </xf>
    <xf numFmtId="0" fontId="0" fillId="24" borderId="48" xfId="1" applyFont="1" applyFill="1" applyBorder="1" applyAlignment="1">
      <alignment horizontal="center"/>
    </xf>
    <xf numFmtId="0" fontId="0" fillId="24" borderId="49" xfId="1" applyFont="1" applyFill="1" applyBorder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0" fillId="24" borderId="38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 wrapText="1"/>
    </xf>
    <xf numFmtId="0" fontId="3" fillId="2" borderId="37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 wrapText="1"/>
    </xf>
    <xf numFmtId="0" fontId="3" fillId="6" borderId="35" xfId="1" applyFont="1" applyFill="1" applyBorder="1" applyAlignment="1">
      <alignment horizontal="center" vertical="center" wrapText="1"/>
    </xf>
    <xf numFmtId="0" fontId="3" fillId="6" borderId="35" xfId="1" applyFont="1" applyFill="1" applyBorder="1" applyAlignment="1">
      <alignment horizontal="center" vertical="center"/>
    </xf>
    <xf numFmtId="0" fontId="3" fillId="3" borderId="35" xfId="1" applyFont="1" applyFill="1" applyBorder="1" applyAlignment="1">
      <alignment horizontal="center" vertical="center" wrapText="1"/>
    </xf>
    <xf numFmtId="0" fontId="3" fillId="2" borderId="44" xfId="1" applyFont="1" applyFill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0" fontId="3" fillId="2" borderId="42" xfId="1" applyFont="1" applyFill="1" applyBorder="1" applyAlignment="1">
      <alignment horizontal="center" vertical="center" wrapText="1"/>
    </xf>
    <xf numFmtId="0" fontId="3" fillId="6" borderId="42" xfId="1" applyFont="1" applyFill="1" applyBorder="1" applyAlignment="1">
      <alignment horizontal="center" vertical="center" wrapText="1"/>
    </xf>
    <xf numFmtId="0" fontId="3" fillId="6" borderId="42" xfId="1" applyFont="1" applyFill="1" applyBorder="1" applyAlignment="1">
      <alignment horizontal="center" vertical="center"/>
    </xf>
    <xf numFmtId="0" fontId="3" fillId="3" borderId="4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wrapText="1"/>
    </xf>
    <xf numFmtId="0" fontId="6" fillId="2" borderId="16" xfId="1" applyFont="1" applyFill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6" fillId="0" borderId="16" xfId="1" applyFont="1" applyBorder="1" applyAlignment="1">
      <alignment horizontal="center" wrapText="1"/>
    </xf>
    <xf numFmtId="0" fontId="6" fillId="0" borderId="2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27" xfId="1" applyFont="1" applyBorder="1" applyAlignment="1">
      <alignment horizontal="center" wrapText="1"/>
    </xf>
    <xf numFmtId="0" fontId="13" fillId="16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8" fillId="18" borderId="32" xfId="3" applyFont="1" applyFill="1" applyBorder="1" applyAlignment="1">
      <alignment horizontal="center" vertical="center"/>
    </xf>
    <xf numFmtId="0" fontId="1" fillId="0" borderId="0" xfId="3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0" fillId="24" borderId="15" xfId="1" applyFont="1" applyFill="1" applyBorder="1" applyAlignment="1">
      <alignment horizontal="center"/>
    </xf>
    <xf numFmtId="0" fontId="2" fillId="6" borderId="47" xfId="1" applyFont="1" applyFill="1" applyBorder="1" applyAlignment="1">
      <alignment horizontal="center"/>
    </xf>
    <xf numFmtId="0" fontId="2" fillId="19" borderId="41" xfId="1" applyFont="1" applyFill="1" applyBorder="1" applyAlignment="1">
      <alignment horizontal="center"/>
    </xf>
    <xf numFmtId="0" fontId="3" fillId="0" borderId="0" xfId="4" applyFont="1" applyBorder="1"/>
    <xf numFmtId="0" fontId="2" fillId="0" borderId="0" xfId="4" applyBorder="1" applyAlignment="1">
      <alignment horizontal="center"/>
    </xf>
    <xf numFmtId="0" fontId="5" fillId="24" borderId="15" xfId="1" applyFont="1" applyFill="1" applyBorder="1" applyAlignment="1">
      <alignment horizontal="center"/>
    </xf>
  </cellXfs>
  <cellStyles count="5">
    <cellStyle name="Normal" xfId="0" builtinId="0"/>
    <cellStyle name="Normal 2" xfId="2" xr:uid="{00000000-0005-0000-0000-000001000000}"/>
    <cellStyle name="Normal 3" xfId="1" xr:uid="{00000000-0005-0000-0000-000002000000}"/>
    <cellStyle name="Normal 3 2" xfId="4" xr:uid="{08E04105-B93B-4F97-9F67-A1B52E658ED9}"/>
    <cellStyle name="Normal 4" xfId="3" xr:uid="{1B2326BC-C987-41BE-A41F-E4365F279073}"/>
  </cellStyles>
  <dxfs count="6"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sz val="14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31C-4F75-AC96-D704C37FC929}"/>
            </c:ext>
          </c:extLst>
        </c:ser>
        <c:ser>
          <c:idx val="1"/>
          <c:order val="1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31C-4F75-AC96-D704C37FC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01696"/>
        <c:axId val="1"/>
      </c:lineChart>
      <c:catAx>
        <c:axId val="143390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4E8-4B2B-920E-C3BFAB75A714}"/>
            </c:ext>
          </c:extLst>
        </c:ser>
        <c:ser>
          <c:idx val="1"/>
          <c:order val="1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4E8-4B2B-920E-C3BFAB75A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531200"/>
        <c:axId val="1"/>
      </c:lineChart>
      <c:catAx>
        <c:axId val="1130531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531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54-425F-B1E6-0511856E6F8A}"/>
            </c:ext>
          </c:extLst>
        </c:ser>
        <c:ser>
          <c:idx val="1"/>
          <c:order val="1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D54-425F-B1E6-0511856E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49120"/>
        <c:axId val="1"/>
      </c:lineChart>
      <c:catAx>
        <c:axId val="1130449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4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EC6-4E7E-AE46-0F4CF6AED547}"/>
            </c:ext>
          </c:extLst>
        </c:ser>
        <c:ser>
          <c:idx val="1"/>
          <c:order val="1"/>
          <c:marker>
            <c:symbol val="none"/>
          </c:marker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'#REF'!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'#REF'!1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EC6-4E7E-AE46-0F4CF6AE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01696"/>
        <c:axId val="1"/>
      </c:lineChart>
      <c:catAx>
        <c:axId val="143390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'!$A$6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'!$B$6:$BA$6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6-4633-9E69-9DA62128A18C}"/>
            </c:ext>
          </c:extLst>
        </c:ser>
        <c:ser>
          <c:idx val="1"/>
          <c:order val="1"/>
          <c:tx>
            <c:strRef>
              <c:f>'Tempo boars manual '!$A$7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'Tempo boars manual '!$B$7:$BA$7</c:f>
              <c:numCache>
                <c:formatCode>General</c:formatCode>
                <c:ptCount val="52"/>
                <c:pt idx="17">
                  <c:v>88</c:v>
                </c:pt>
                <c:pt idx="18">
                  <c:v>88</c:v>
                </c:pt>
                <c:pt idx="19">
                  <c:v>87</c:v>
                </c:pt>
                <c:pt idx="20">
                  <c:v>87</c:v>
                </c:pt>
                <c:pt idx="21">
                  <c:v>88</c:v>
                </c:pt>
                <c:pt idx="22">
                  <c:v>90</c:v>
                </c:pt>
                <c:pt idx="23">
                  <c:v>88</c:v>
                </c:pt>
                <c:pt idx="24">
                  <c:v>88</c:v>
                </c:pt>
                <c:pt idx="25">
                  <c:v>88</c:v>
                </c:pt>
                <c:pt idx="26">
                  <c:v>86</c:v>
                </c:pt>
                <c:pt idx="27">
                  <c:v>86</c:v>
                </c:pt>
                <c:pt idx="28">
                  <c:v>86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6-4633-9E69-9DA62128A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'!$A$9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'!$B$9:$BA$9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B-4DE7-8CA9-AFA117922786}"/>
            </c:ext>
          </c:extLst>
        </c:ser>
        <c:ser>
          <c:idx val="1"/>
          <c:order val="1"/>
          <c:tx>
            <c:strRef>
              <c:f>'Tempo boars manual '!$A$10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val>
            <c:numRef>
              <c:f>'Tempo boars manual '!$B$10:$BA$10</c:f>
              <c:numCache>
                <c:formatCode>General</c:formatCode>
                <c:ptCount val="52"/>
                <c:pt idx="17">
                  <c:v>20</c:v>
                </c:pt>
                <c:pt idx="18">
                  <c:v>25</c:v>
                </c:pt>
                <c:pt idx="19">
                  <c:v>29</c:v>
                </c:pt>
                <c:pt idx="20">
                  <c:v>48</c:v>
                </c:pt>
                <c:pt idx="21">
                  <c:v>42</c:v>
                </c:pt>
                <c:pt idx="22">
                  <c:v>35</c:v>
                </c:pt>
                <c:pt idx="23">
                  <c:v>40</c:v>
                </c:pt>
                <c:pt idx="24">
                  <c:v>52</c:v>
                </c:pt>
                <c:pt idx="25">
                  <c:v>46</c:v>
                </c:pt>
                <c:pt idx="26">
                  <c:v>51</c:v>
                </c:pt>
                <c:pt idx="27">
                  <c:v>45</c:v>
                </c:pt>
                <c:pt idx="28">
                  <c:v>54</c:v>
                </c:pt>
                <c:pt idx="29">
                  <c:v>40</c:v>
                </c:pt>
                <c:pt idx="30">
                  <c:v>69</c:v>
                </c:pt>
                <c:pt idx="3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8B-4DE7-8CA9-AFA11792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'!$A$12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'!$B$12:$BA$12</c:f>
              <c:numCache>
                <c:formatCode>General</c:formatCode>
                <c:ptCount val="52"/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F-4F99-BDB0-4624C8FEC4DC}"/>
            </c:ext>
          </c:extLst>
        </c:ser>
        <c:ser>
          <c:idx val="1"/>
          <c:order val="1"/>
          <c:tx>
            <c:strRef>
              <c:f>'Tempo boars manual '!$A$13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'!$B$13:$BA$13</c:f>
              <c:numCache>
                <c:formatCode>General</c:formatCode>
                <c:ptCount val="52"/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F-4F99-BDB0-4624C8FEC4DC}"/>
            </c:ext>
          </c:extLst>
        </c:ser>
        <c:ser>
          <c:idx val="2"/>
          <c:order val="2"/>
          <c:tx>
            <c:strRef>
              <c:f>'Tempo boars manual '!$A$14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'!$B$14:$BA$14</c:f>
              <c:numCache>
                <c:formatCode>General</c:formatCode>
                <c:ptCount val="52"/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EF-4F99-BDB0-4624C8FE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'!$A$22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'!$B$22:$BA$22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3-4706-A867-E1E51D5C0E38}"/>
            </c:ext>
          </c:extLst>
        </c:ser>
        <c:ser>
          <c:idx val="1"/>
          <c:order val="1"/>
          <c:tx>
            <c:strRef>
              <c:f>'Tempo boars manual '!$A$23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'Tempo boars manual '!$B$23:$BA$23</c:f>
              <c:numCache>
                <c:formatCode>General</c:formatCode>
                <c:ptCount val="52"/>
                <c:pt idx="17">
                  <c:v>88</c:v>
                </c:pt>
                <c:pt idx="18">
                  <c:v>89</c:v>
                </c:pt>
                <c:pt idx="19">
                  <c:v>89</c:v>
                </c:pt>
                <c:pt idx="20">
                  <c:v>88</c:v>
                </c:pt>
                <c:pt idx="21">
                  <c:v>89</c:v>
                </c:pt>
                <c:pt idx="22">
                  <c:v>87</c:v>
                </c:pt>
                <c:pt idx="23">
                  <c:v>87</c:v>
                </c:pt>
                <c:pt idx="24">
                  <c:v>88</c:v>
                </c:pt>
                <c:pt idx="25">
                  <c:v>87</c:v>
                </c:pt>
                <c:pt idx="26">
                  <c:v>87</c:v>
                </c:pt>
                <c:pt idx="27">
                  <c:v>86</c:v>
                </c:pt>
                <c:pt idx="28">
                  <c:v>86</c:v>
                </c:pt>
                <c:pt idx="29">
                  <c:v>87</c:v>
                </c:pt>
                <c:pt idx="30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3-4706-A867-E1E51D5C0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'!$A$38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'!$B$38:$BA$38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8-41CC-88D2-3A78FE560EC5}"/>
            </c:ext>
          </c:extLst>
        </c:ser>
        <c:ser>
          <c:idx val="1"/>
          <c:order val="1"/>
          <c:tx>
            <c:strRef>
              <c:f>'Tempo boars manual '!$A$39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'Tempo boars manual '!$B$39:$BA$39</c:f>
              <c:numCache>
                <c:formatCode>General</c:formatCode>
                <c:ptCount val="52"/>
                <c:pt idx="17">
                  <c:v>88</c:v>
                </c:pt>
                <c:pt idx="18">
                  <c:v>88</c:v>
                </c:pt>
                <c:pt idx="19">
                  <c:v>87</c:v>
                </c:pt>
                <c:pt idx="20">
                  <c:v>90</c:v>
                </c:pt>
                <c:pt idx="21">
                  <c:v>88</c:v>
                </c:pt>
                <c:pt idx="22">
                  <c:v>87</c:v>
                </c:pt>
                <c:pt idx="23">
                  <c:v>88</c:v>
                </c:pt>
                <c:pt idx="24">
                  <c:v>88</c:v>
                </c:pt>
                <c:pt idx="25">
                  <c:v>87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88</c:v>
                </c:pt>
                <c:pt idx="30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8-41CC-88D2-3A78FE56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'!$A$133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'!$B$133:$BA$133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2-4B3F-A5E7-8D8013EC3DFC}"/>
            </c:ext>
          </c:extLst>
        </c:ser>
        <c:ser>
          <c:idx val="1"/>
          <c:order val="1"/>
          <c:tx>
            <c:strRef>
              <c:f>'Tempo boars manual '!$A$134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 w="9525">
                <a:solidFill>
                  <a:sysClr val="windowText" lastClr="000000"/>
                </a:solidFill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'!$B$134:$BA$134</c:f>
              <c:numCache>
                <c:formatCode>General</c:formatCode>
                <c:ptCount val="52"/>
                <c:pt idx="0">
                  <c:v>89</c:v>
                </c:pt>
                <c:pt idx="1">
                  <c:v>88</c:v>
                </c:pt>
                <c:pt idx="2">
                  <c:v>89</c:v>
                </c:pt>
                <c:pt idx="3">
                  <c:v>89</c:v>
                </c:pt>
                <c:pt idx="4">
                  <c:v>88</c:v>
                </c:pt>
                <c:pt idx="5">
                  <c:v>88</c:v>
                </c:pt>
                <c:pt idx="6">
                  <c:v>87</c:v>
                </c:pt>
                <c:pt idx="7">
                  <c:v>88</c:v>
                </c:pt>
                <c:pt idx="8">
                  <c:v>87</c:v>
                </c:pt>
                <c:pt idx="9">
                  <c:v>88</c:v>
                </c:pt>
                <c:pt idx="10">
                  <c:v>87</c:v>
                </c:pt>
                <c:pt idx="11">
                  <c:v>87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89</c:v>
                </c:pt>
                <c:pt idx="16">
                  <c:v>87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87</c:v>
                </c:pt>
                <c:pt idx="21">
                  <c:v>88</c:v>
                </c:pt>
                <c:pt idx="22">
                  <c:v>87</c:v>
                </c:pt>
                <c:pt idx="23">
                  <c:v>87</c:v>
                </c:pt>
                <c:pt idx="24">
                  <c:v>87</c:v>
                </c:pt>
                <c:pt idx="25">
                  <c:v>88</c:v>
                </c:pt>
                <c:pt idx="26">
                  <c:v>85</c:v>
                </c:pt>
                <c:pt idx="27">
                  <c:v>87</c:v>
                </c:pt>
                <c:pt idx="28">
                  <c:v>87</c:v>
                </c:pt>
                <c:pt idx="29">
                  <c:v>88</c:v>
                </c:pt>
                <c:pt idx="3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2-4B3F-A5E7-8D8013EC3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'!$A$149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'!$B$149:$BA$149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3-415F-BB44-7F64DE9FA314}"/>
            </c:ext>
          </c:extLst>
        </c:ser>
        <c:ser>
          <c:idx val="1"/>
          <c:order val="1"/>
          <c:tx>
            <c:strRef>
              <c:f>'Tempo boars manual '!$A$150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 w="9525"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'!$B$150:$BA$150</c:f>
              <c:numCache>
                <c:formatCode>General</c:formatCode>
                <c:ptCount val="52"/>
                <c:pt idx="0">
                  <c:v>88</c:v>
                </c:pt>
                <c:pt idx="1">
                  <c:v>89</c:v>
                </c:pt>
                <c:pt idx="2">
                  <c:v>87</c:v>
                </c:pt>
                <c:pt idx="3">
                  <c:v>88</c:v>
                </c:pt>
                <c:pt idx="4">
                  <c:v>89</c:v>
                </c:pt>
                <c:pt idx="5">
                  <c:v>87</c:v>
                </c:pt>
                <c:pt idx="6">
                  <c:v>89</c:v>
                </c:pt>
                <c:pt idx="7">
                  <c:v>87</c:v>
                </c:pt>
                <c:pt idx="8">
                  <c:v>88</c:v>
                </c:pt>
                <c:pt idx="9">
                  <c:v>87</c:v>
                </c:pt>
                <c:pt idx="10">
                  <c:v>88</c:v>
                </c:pt>
                <c:pt idx="11">
                  <c:v>87</c:v>
                </c:pt>
                <c:pt idx="12">
                  <c:v>87</c:v>
                </c:pt>
                <c:pt idx="13">
                  <c:v>87</c:v>
                </c:pt>
                <c:pt idx="14">
                  <c:v>87</c:v>
                </c:pt>
                <c:pt idx="15">
                  <c:v>88</c:v>
                </c:pt>
                <c:pt idx="16">
                  <c:v>88</c:v>
                </c:pt>
                <c:pt idx="17">
                  <c:v>88</c:v>
                </c:pt>
                <c:pt idx="18">
                  <c:v>88</c:v>
                </c:pt>
                <c:pt idx="19">
                  <c:v>89</c:v>
                </c:pt>
                <c:pt idx="20">
                  <c:v>87</c:v>
                </c:pt>
                <c:pt idx="21">
                  <c:v>88</c:v>
                </c:pt>
                <c:pt idx="22">
                  <c:v>87</c:v>
                </c:pt>
                <c:pt idx="23">
                  <c:v>89</c:v>
                </c:pt>
                <c:pt idx="24">
                  <c:v>88</c:v>
                </c:pt>
                <c:pt idx="25">
                  <c:v>88</c:v>
                </c:pt>
                <c:pt idx="26">
                  <c:v>88</c:v>
                </c:pt>
                <c:pt idx="27">
                  <c:v>86</c:v>
                </c:pt>
                <c:pt idx="28">
                  <c:v>86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3-415F-BB44-7F64DE9FA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0"/>
          <c:min val="8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'!$A$168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'!$B$168:$BA$168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B-484F-82D5-0C0E55A470E9}"/>
            </c:ext>
          </c:extLst>
        </c:ser>
        <c:ser>
          <c:idx val="1"/>
          <c:order val="1"/>
          <c:tx>
            <c:strRef>
              <c:f>'Tempo boars manual '!$A$169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'!$B$169:$BA$169</c:f>
              <c:numCache>
                <c:formatCode>General</c:formatCode>
                <c:ptCount val="52"/>
                <c:pt idx="0">
                  <c:v>87</c:v>
                </c:pt>
                <c:pt idx="1">
                  <c:v>90</c:v>
                </c:pt>
                <c:pt idx="2">
                  <c:v>87</c:v>
                </c:pt>
                <c:pt idx="3">
                  <c:v>87</c:v>
                </c:pt>
                <c:pt idx="4">
                  <c:v>89</c:v>
                </c:pt>
                <c:pt idx="5">
                  <c:v>89</c:v>
                </c:pt>
                <c:pt idx="6">
                  <c:v>88</c:v>
                </c:pt>
                <c:pt idx="7">
                  <c:v>89</c:v>
                </c:pt>
                <c:pt idx="8">
                  <c:v>86</c:v>
                </c:pt>
                <c:pt idx="9">
                  <c:v>88</c:v>
                </c:pt>
                <c:pt idx="10">
                  <c:v>88</c:v>
                </c:pt>
                <c:pt idx="11">
                  <c:v>89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89</c:v>
                </c:pt>
                <c:pt idx="16">
                  <c:v>89</c:v>
                </c:pt>
                <c:pt idx="17">
                  <c:v>89</c:v>
                </c:pt>
                <c:pt idx="18">
                  <c:v>89</c:v>
                </c:pt>
                <c:pt idx="19">
                  <c:v>89</c:v>
                </c:pt>
                <c:pt idx="20">
                  <c:v>89</c:v>
                </c:pt>
                <c:pt idx="21">
                  <c:v>89</c:v>
                </c:pt>
                <c:pt idx="22">
                  <c:v>89</c:v>
                </c:pt>
                <c:pt idx="23">
                  <c:v>88</c:v>
                </c:pt>
                <c:pt idx="24">
                  <c:v>89</c:v>
                </c:pt>
                <c:pt idx="25">
                  <c:v>88</c:v>
                </c:pt>
                <c:pt idx="26">
                  <c:v>87</c:v>
                </c:pt>
                <c:pt idx="27">
                  <c:v>87</c:v>
                </c:pt>
                <c:pt idx="28">
                  <c:v>88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BB-484F-82D5-0C0E55A47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'!$A$185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'!$B$185:$BA$185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0-4074-A508-8952A8B89316}"/>
            </c:ext>
          </c:extLst>
        </c:ser>
        <c:ser>
          <c:idx val="1"/>
          <c:order val="1"/>
          <c:tx>
            <c:strRef>
              <c:f>'Tempo boars manual '!$A$186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 w="9525"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'!$B$186:$BA$186</c:f>
              <c:numCache>
                <c:formatCode>General</c:formatCode>
                <c:ptCount val="52"/>
                <c:pt idx="0">
                  <c:v>88</c:v>
                </c:pt>
                <c:pt idx="1">
                  <c:v>86</c:v>
                </c:pt>
                <c:pt idx="2">
                  <c:v>87</c:v>
                </c:pt>
                <c:pt idx="3">
                  <c:v>89</c:v>
                </c:pt>
                <c:pt idx="4">
                  <c:v>87</c:v>
                </c:pt>
                <c:pt idx="5">
                  <c:v>87</c:v>
                </c:pt>
                <c:pt idx="6">
                  <c:v>86</c:v>
                </c:pt>
                <c:pt idx="7">
                  <c:v>86</c:v>
                </c:pt>
                <c:pt idx="8">
                  <c:v>87</c:v>
                </c:pt>
                <c:pt idx="9">
                  <c:v>88</c:v>
                </c:pt>
                <c:pt idx="10">
                  <c:v>86</c:v>
                </c:pt>
                <c:pt idx="11">
                  <c:v>85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89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  <c:pt idx="19">
                  <c:v>87</c:v>
                </c:pt>
                <c:pt idx="20">
                  <c:v>87</c:v>
                </c:pt>
                <c:pt idx="21">
                  <c:v>88</c:v>
                </c:pt>
                <c:pt idx="22">
                  <c:v>88</c:v>
                </c:pt>
                <c:pt idx="23">
                  <c:v>88</c:v>
                </c:pt>
                <c:pt idx="24">
                  <c:v>87</c:v>
                </c:pt>
                <c:pt idx="25">
                  <c:v>87</c:v>
                </c:pt>
                <c:pt idx="26">
                  <c:v>85</c:v>
                </c:pt>
                <c:pt idx="27">
                  <c:v>88</c:v>
                </c:pt>
                <c:pt idx="28">
                  <c:v>88</c:v>
                </c:pt>
                <c:pt idx="29">
                  <c:v>89</c:v>
                </c:pt>
                <c:pt idx="30">
                  <c:v>85</c:v>
                </c:pt>
                <c:pt idx="3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0-4074-A508-8952A8B8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'!$A$201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'!$B$201:$BA$201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C-4683-904F-F26FD79F29C2}"/>
            </c:ext>
          </c:extLst>
        </c:ser>
        <c:ser>
          <c:idx val="1"/>
          <c:order val="1"/>
          <c:tx>
            <c:strRef>
              <c:f>'Tempo boars manual '!$A$202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 w="9525"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'!$B$202:$BA$202</c:f>
              <c:numCache>
                <c:formatCode>General</c:formatCode>
                <c:ptCount val="52"/>
                <c:pt idx="0">
                  <c:v>87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88</c:v>
                </c:pt>
                <c:pt idx="8">
                  <c:v>89</c:v>
                </c:pt>
                <c:pt idx="9">
                  <c:v>86</c:v>
                </c:pt>
                <c:pt idx="10">
                  <c:v>88</c:v>
                </c:pt>
                <c:pt idx="11">
                  <c:v>86</c:v>
                </c:pt>
                <c:pt idx="12">
                  <c:v>86</c:v>
                </c:pt>
                <c:pt idx="13">
                  <c:v>86</c:v>
                </c:pt>
                <c:pt idx="14">
                  <c:v>86</c:v>
                </c:pt>
                <c:pt idx="15">
                  <c:v>87</c:v>
                </c:pt>
                <c:pt idx="16">
                  <c:v>86</c:v>
                </c:pt>
                <c:pt idx="17">
                  <c:v>86</c:v>
                </c:pt>
                <c:pt idx="18">
                  <c:v>90</c:v>
                </c:pt>
                <c:pt idx="19">
                  <c:v>87</c:v>
                </c:pt>
                <c:pt idx="20">
                  <c:v>87</c:v>
                </c:pt>
                <c:pt idx="21">
                  <c:v>86</c:v>
                </c:pt>
                <c:pt idx="22">
                  <c:v>86</c:v>
                </c:pt>
                <c:pt idx="23">
                  <c:v>89</c:v>
                </c:pt>
                <c:pt idx="24">
                  <c:v>86</c:v>
                </c:pt>
                <c:pt idx="25">
                  <c:v>87</c:v>
                </c:pt>
                <c:pt idx="26">
                  <c:v>86</c:v>
                </c:pt>
                <c:pt idx="27">
                  <c:v>87</c:v>
                </c:pt>
                <c:pt idx="28">
                  <c:v>86</c:v>
                </c:pt>
                <c:pt idx="29">
                  <c:v>86</c:v>
                </c:pt>
                <c:pt idx="30">
                  <c:v>87</c:v>
                </c:pt>
                <c:pt idx="3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C-4683-904F-F26FD79F2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'!$A$217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'!$B$217:$BA$217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7-4D4E-9DBB-BE5A7E70B016}"/>
            </c:ext>
          </c:extLst>
        </c:ser>
        <c:ser>
          <c:idx val="1"/>
          <c:order val="1"/>
          <c:tx>
            <c:strRef>
              <c:f>'Tempo boars manual '!$A$218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'!$B$218:$BA$218</c:f>
              <c:numCache>
                <c:formatCode>General</c:formatCode>
                <c:ptCount val="52"/>
                <c:pt idx="0">
                  <c:v>88</c:v>
                </c:pt>
                <c:pt idx="1">
                  <c:v>88</c:v>
                </c:pt>
                <c:pt idx="2">
                  <c:v>87</c:v>
                </c:pt>
                <c:pt idx="3">
                  <c:v>88</c:v>
                </c:pt>
                <c:pt idx="4">
                  <c:v>87</c:v>
                </c:pt>
                <c:pt idx="5">
                  <c:v>88</c:v>
                </c:pt>
                <c:pt idx="6">
                  <c:v>87</c:v>
                </c:pt>
                <c:pt idx="7">
                  <c:v>88</c:v>
                </c:pt>
                <c:pt idx="8">
                  <c:v>87</c:v>
                </c:pt>
                <c:pt idx="9">
                  <c:v>88</c:v>
                </c:pt>
                <c:pt idx="10">
                  <c:v>87</c:v>
                </c:pt>
                <c:pt idx="11">
                  <c:v>87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88</c:v>
                </c:pt>
                <c:pt idx="16">
                  <c:v>88</c:v>
                </c:pt>
                <c:pt idx="17">
                  <c:v>88</c:v>
                </c:pt>
                <c:pt idx="18">
                  <c:v>87</c:v>
                </c:pt>
                <c:pt idx="19">
                  <c:v>88</c:v>
                </c:pt>
                <c:pt idx="20">
                  <c:v>89</c:v>
                </c:pt>
                <c:pt idx="21">
                  <c:v>88</c:v>
                </c:pt>
                <c:pt idx="22">
                  <c:v>89</c:v>
                </c:pt>
                <c:pt idx="23">
                  <c:v>89</c:v>
                </c:pt>
                <c:pt idx="24">
                  <c:v>88</c:v>
                </c:pt>
                <c:pt idx="25">
                  <c:v>88</c:v>
                </c:pt>
                <c:pt idx="26">
                  <c:v>88</c:v>
                </c:pt>
                <c:pt idx="27">
                  <c:v>86</c:v>
                </c:pt>
                <c:pt idx="28">
                  <c:v>87</c:v>
                </c:pt>
                <c:pt idx="29">
                  <c:v>88</c:v>
                </c:pt>
                <c:pt idx="30">
                  <c:v>87</c:v>
                </c:pt>
                <c:pt idx="31">
                  <c:v>87</c:v>
                </c:pt>
                <c:pt idx="32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F7-4D4E-9DBB-BE5A7E70B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'!$A$239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'!$B$239:$BA$239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C-4906-9FF6-E1263F99436F}"/>
            </c:ext>
          </c:extLst>
        </c:ser>
        <c:ser>
          <c:idx val="1"/>
          <c:order val="1"/>
          <c:tx>
            <c:strRef>
              <c:f>'Tempo boars manual '!$A$240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'!$B$240:$BA$240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C-4906-9FF6-E1263F994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'!$A$255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'!$B$255:$BA$255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A-4136-9B25-780583FB0485}"/>
            </c:ext>
          </c:extLst>
        </c:ser>
        <c:ser>
          <c:idx val="1"/>
          <c:order val="1"/>
          <c:tx>
            <c:strRef>
              <c:f>'Tempo boars manual '!$A$256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'!$B$256:$BA$256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A-4136-9B25-780583FB0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74476011234703"/>
          <c:y val="0.44380719951189751"/>
          <c:w val="0.23774471443187042"/>
          <c:h val="0.26190234528690276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'!$A$25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'!$B$25:$BA$25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3-4EBB-A25C-D6C421AD12A3}"/>
            </c:ext>
          </c:extLst>
        </c:ser>
        <c:ser>
          <c:idx val="1"/>
          <c:order val="1"/>
          <c:tx>
            <c:strRef>
              <c:f>'Tempo boars manual '!$A$26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val>
            <c:numRef>
              <c:f>'Tempo boars manual '!$B$26:$BA$26</c:f>
              <c:numCache>
                <c:formatCode>General</c:formatCode>
                <c:ptCount val="52"/>
                <c:pt idx="17">
                  <c:v>19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17</c:v>
                </c:pt>
                <c:pt idx="22">
                  <c:v>17</c:v>
                </c:pt>
                <c:pt idx="23">
                  <c:v>46</c:v>
                </c:pt>
                <c:pt idx="24">
                  <c:v>60</c:v>
                </c:pt>
                <c:pt idx="25">
                  <c:v>74</c:v>
                </c:pt>
                <c:pt idx="26">
                  <c:v>15</c:v>
                </c:pt>
                <c:pt idx="27">
                  <c:v>16</c:v>
                </c:pt>
                <c:pt idx="28">
                  <c:v>86</c:v>
                </c:pt>
                <c:pt idx="29">
                  <c:v>41</c:v>
                </c:pt>
                <c:pt idx="3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A3-4EBB-A25C-D6C421AD1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'!$A$41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'!$B$41:$BA$41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5-462D-A6D6-6B445469FF83}"/>
            </c:ext>
          </c:extLst>
        </c:ser>
        <c:ser>
          <c:idx val="1"/>
          <c:order val="1"/>
          <c:tx>
            <c:strRef>
              <c:f>'Tempo boars manual '!$A$42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val>
            <c:numRef>
              <c:f>'Tempo boars manual '!$B$42:$BA$42</c:f>
              <c:numCache>
                <c:formatCode>General</c:formatCode>
                <c:ptCount val="52"/>
                <c:pt idx="17">
                  <c:v>29</c:v>
                </c:pt>
                <c:pt idx="18">
                  <c:v>29</c:v>
                </c:pt>
                <c:pt idx="19">
                  <c:v>63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50</c:v>
                </c:pt>
                <c:pt idx="24">
                  <c:v>47</c:v>
                </c:pt>
                <c:pt idx="25">
                  <c:v>28</c:v>
                </c:pt>
                <c:pt idx="26">
                  <c:v>57</c:v>
                </c:pt>
                <c:pt idx="27">
                  <c:v>59</c:v>
                </c:pt>
                <c:pt idx="28">
                  <c:v>59</c:v>
                </c:pt>
                <c:pt idx="29">
                  <c:v>45</c:v>
                </c:pt>
                <c:pt idx="3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5-462D-A6D6-6B445469F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'!$A$136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'!$B$136:$BA$136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3-4646-A071-87CBAA9B5694}"/>
            </c:ext>
          </c:extLst>
        </c:ser>
        <c:ser>
          <c:idx val="1"/>
          <c:order val="1"/>
          <c:tx>
            <c:strRef>
              <c:f>'Tempo boars manual '!$A$137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'!$B$137:$BA$137</c:f>
              <c:numCache>
                <c:formatCode>General</c:formatCode>
                <c:ptCount val="52"/>
                <c:pt idx="0">
                  <c:v>45</c:v>
                </c:pt>
                <c:pt idx="1">
                  <c:v>37</c:v>
                </c:pt>
                <c:pt idx="2">
                  <c:v>42</c:v>
                </c:pt>
                <c:pt idx="3">
                  <c:v>35</c:v>
                </c:pt>
                <c:pt idx="4">
                  <c:v>40</c:v>
                </c:pt>
                <c:pt idx="5">
                  <c:v>40</c:v>
                </c:pt>
                <c:pt idx="6">
                  <c:v>59</c:v>
                </c:pt>
                <c:pt idx="7">
                  <c:v>36</c:v>
                </c:pt>
                <c:pt idx="8">
                  <c:v>83</c:v>
                </c:pt>
                <c:pt idx="9">
                  <c:v>40</c:v>
                </c:pt>
                <c:pt idx="10">
                  <c:v>93</c:v>
                </c:pt>
                <c:pt idx="11">
                  <c:v>32</c:v>
                </c:pt>
                <c:pt idx="12">
                  <c:v>86</c:v>
                </c:pt>
                <c:pt idx="13">
                  <c:v>38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67</c:v>
                </c:pt>
                <c:pt idx="19">
                  <c:v>32</c:v>
                </c:pt>
                <c:pt idx="20">
                  <c:v>71</c:v>
                </c:pt>
                <c:pt idx="21">
                  <c:v>40</c:v>
                </c:pt>
                <c:pt idx="22">
                  <c:v>34</c:v>
                </c:pt>
                <c:pt idx="23">
                  <c:v>34</c:v>
                </c:pt>
                <c:pt idx="24">
                  <c:v>58</c:v>
                </c:pt>
                <c:pt idx="25">
                  <c:v>56</c:v>
                </c:pt>
                <c:pt idx="26">
                  <c:v>44</c:v>
                </c:pt>
                <c:pt idx="27">
                  <c:v>62</c:v>
                </c:pt>
                <c:pt idx="28">
                  <c:v>62</c:v>
                </c:pt>
                <c:pt idx="29">
                  <c:v>62</c:v>
                </c:pt>
                <c:pt idx="3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E3-4646-A071-87CBAA9B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100"/>
          <c:min val="3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'!$A$152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'!$B$152:$BA$152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4-427A-9854-B8451367DB4F}"/>
            </c:ext>
          </c:extLst>
        </c:ser>
        <c:ser>
          <c:idx val="1"/>
          <c:order val="1"/>
          <c:tx>
            <c:strRef>
              <c:f>'Tempo boars manual '!$A$153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'!$B$153:$BA$153</c:f>
              <c:numCache>
                <c:formatCode>General</c:formatCode>
                <c:ptCount val="52"/>
                <c:pt idx="0">
                  <c:v>65</c:v>
                </c:pt>
                <c:pt idx="1">
                  <c:v>45</c:v>
                </c:pt>
                <c:pt idx="2">
                  <c:v>83</c:v>
                </c:pt>
                <c:pt idx="3">
                  <c:v>70</c:v>
                </c:pt>
                <c:pt idx="4">
                  <c:v>45</c:v>
                </c:pt>
                <c:pt idx="5">
                  <c:v>79</c:v>
                </c:pt>
                <c:pt idx="6">
                  <c:v>84</c:v>
                </c:pt>
                <c:pt idx="7">
                  <c:v>55</c:v>
                </c:pt>
                <c:pt idx="8">
                  <c:v>55</c:v>
                </c:pt>
                <c:pt idx="9">
                  <c:v>82</c:v>
                </c:pt>
                <c:pt idx="10">
                  <c:v>68</c:v>
                </c:pt>
                <c:pt idx="11">
                  <c:v>40</c:v>
                </c:pt>
                <c:pt idx="12">
                  <c:v>59</c:v>
                </c:pt>
                <c:pt idx="13">
                  <c:v>82</c:v>
                </c:pt>
                <c:pt idx="14">
                  <c:v>33</c:v>
                </c:pt>
                <c:pt idx="15">
                  <c:v>83</c:v>
                </c:pt>
                <c:pt idx="16">
                  <c:v>79</c:v>
                </c:pt>
                <c:pt idx="17">
                  <c:v>96</c:v>
                </c:pt>
                <c:pt idx="18">
                  <c:v>85</c:v>
                </c:pt>
                <c:pt idx="19">
                  <c:v>54</c:v>
                </c:pt>
                <c:pt idx="20">
                  <c:v>76</c:v>
                </c:pt>
                <c:pt idx="21">
                  <c:v>70</c:v>
                </c:pt>
                <c:pt idx="22">
                  <c:v>75</c:v>
                </c:pt>
                <c:pt idx="23">
                  <c:v>68</c:v>
                </c:pt>
                <c:pt idx="24">
                  <c:v>52</c:v>
                </c:pt>
                <c:pt idx="25">
                  <c:v>66</c:v>
                </c:pt>
                <c:pt idx="26">
                  <c:v>58</c:v>
                </c:pt>
                <c:pt idx="27">
                  <c:v>81</c:v>
                </c:pt>
                <c:pt idx="28">
                  <c:v>60</c:v>
                </c:pt>
                <c:pt idx="29">
                  <c:v>61</c:v>
                </c:pt>
                <c:pt idx="30">
                  <c:v>69</c:v>
                </c:pt>
                <c:pt idx="3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4-427A-9854-B8451367D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2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'!$A$171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'!$B$171:$BA$171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D-403A-BBAF-2FF10575DE5C}"/>
            </c:ext>
          </c:extLst>
        </c:ser>
        <c:ser>
          <c:idx val="1"/>
          <c:order val="1"/>
          <c:tx>
            <c:strRef>
              <c:f>'Tempo boars manual '!$A$172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'!$B$172:$BA$172</c:f>
              <c:numCache>
                <c:formatCode>General</c:formatCode>
                <c:ptCount val="52"/>
                <c:pt idx="0">
                  <c:v>120</c:v>
                </c:pt>
                <c:pt idx="1">
                  <c:v>113</c:v>
                </c:pt>
                <c:pt idx="2">
                  <c:v>95</c:v>
                </c:pt>
                <c:pt idx="3">
                  <c:v>102</c:v>
                </c:pt>
                <c:pt idx="4">
                  <c:v>77</c:v>
                </c:pt>
                <c:pt idx="5">
                  <c:v>92</c:v>
                </c:pt>
                <c:pt idx="6">
                  <c:v>125</c:v>
                </c:pt>
                <c:pt idx="7">
                  <c:v>88</c:v>
                </c:pt>
                <c:pt idx="8">
                  <c:v>67</c:v>
                </c:pt>
                <c:pt idx="9">
                  <c:v>128</c:v>
                </c:pt>
                <c:pt idx="10">
                  <c:v>103</c:v>
                </c:pt>
                <c:pt idx="11">
                  <c:v>68</c:v>
                </c:pt>
                <c:pt idx="12">
                  <c:v>102</c:v>
                </c:pt>
                <c:pt idx="13">
                  <c:v>118</c:v>
                </c:pt>
                <c:pt idx="14">
                  <c:v>76</c:v>
                </c:pt>
                <c:pt idx="15">
                  <c:v>114</c:v>
                </c:pt>
                <c:pt idx="16">
                  <c:v>102</c:v>
                </c:pt>
                <c:pt idx="17">
                  <c:v>102</c:v>
                </c:pt>
                <c:pt idx="18">
                  <c:v>126</c:v>
                </c:pt>
                <c:pt idx="19">
                  <c:v>86</c:v>
                </c:pt>
                <c:pt idx="20">
                  <c:v>116</c:v>
                </c:pt>
                <c:pt idx="21">
                  <c:v>97</c:v>
                </c:pt>
                <c:pt idx="22">
                  <c:v>107</c:v>
                </c:pt>
                <c:pt idx="23">
                  <c:v>52</c:v>
                </c:pt>
                <c:pt idx="24">
                  <c:v>100</c:v>
                </c:pt>
                <c:pt idx="25">
                  <c:v>81</c:v>
                </c:pt>
                <c:pt idx="26">
                  <c:v>106</c:v>
                </c:pt>
                <c:pt idx="27">
                  <c:v>104</c:v>
                </c:pt>
                <c:pt idx="28">
                  <c:v>92</c:v>
                </c:pt>
                <c:pt idx="29">
                  <c:v>73</c:v>
                </c:pt>
                <c:pt idx="30">
                  <c:v>101</c:v>
                </c:pt>
                <c:pt idx="3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D-403A-BBAF-2FF10575D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6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'!$A$188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'!$B$188:$BA$188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8-45DB-9197-AA75E225922F}"/>
            </c:ext>
          </c:extLst>
        </c:ser>
        <c:ser>
          <c:idx val="1"/>
          <c:order val="1"/>
          <c:tx>
            <c:strRef>
              <c:f>'Tempo boars manual '!$A$189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'!$B$189:$BA$189</c:f>
              <c:numCache>
                <c:formatCode>General</c:formatCode>
                <c:ptCount val="52"/>
                <c:pt idx="0">
                  <c:v>44</c:v>
                </c:pt>
                <c:pt idx="1">
                  <c:v>43</c:v>
                </c:pt>
                <c:pt idx="2">
                  <c:v>34</c:v>
                </c:pt>
                <c:pt idx="3">
                  <c:v>38</c:v>
                </c:pt>
                <c:pt idx="4">
                  <c:v>52</c:v>
                </c:pt>
                <c:pt idx="5">
                  <c:v>79</c:v>
                </c:pt>
                <c:pt idx="6">
                  <c:v>44</c:v>
                </c:pt>
                <c:pt idx="7">
                  <c:v>34</c:v>
                </c:pt>
                <c:pt idx="8">
                  <c:v>64</c:v>
                </c:pt>
                <c:pt idx="9">
                  <c:v>128</c:v>
                </c:pt>
                <c:pt idx="10">
                  <c:v>73</c:v>
                </c:pt>
                <c:pt idx="11">
                  <c:v>47</c:v>
                </c:pt>
                <c:pt idx="12">
                  <c:v>77</c:v>
                </c:pt>
                <c:pt idx="13">
                  <c:v>66</c:v>
                </c:pt>
                <c:pt idx="14">
                  <c:v>75</c:v>
                </c:pt>
                <c:pt idx="15">
                  <c:v>66</c:v>
                </c:pt>
                <c:pt idx="16">
                  <c:v>72</c:v>
                </c:pt>
                <c:pt idx="17">
                  <c:v>72</c:v>
                </c:pt>
                <c:pt idx="18">
                  <c:v>71</c:v>
                </c:pt>
                <c:pt idx="19">
                  <c:v>56</c:v>
                </c:pt>
                <c:pt idx="20">
                  <c:v>41</c:v>
                </c:pt>
                <c:pt idx="21">
                  <c:v>74</c:v>
                </c:pt>
                <c:pt idx="22">
                  <c:v>77</c:v>
                </c:pt>
                <c:pt idx="23">
                  <c:v>64</c:v>
                </c:pt>
                <c:pt idx="24">
                  <c:v>73</c:v>
                </c:pt>
                <c:pt idx="25">
                  <c:v>75</c:v>
                </c:pt>
                <c:pt idx="26">
                  <c:v>48</c:v>
                </c:pt>
                <c:pt idx="27">
                  <c:v>78</c:v>
                </c:pt>
                <c:pt idx="28">
                  <c:v>65</c:v>
                </c:pt>
                <c:pt idx="29">
                  <c:v>76</c:v>
                </c:pt>
                <c:pt idx="30">
                  <c:v>80</c:v>
                </c:pt>
                <c:pt idx="3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8-45DB-9197-AA75E2259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'!$A$204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'!$B$204:$BA$204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9-4F5C-AEA6-0EC6DD476A8D}"/>
            </c:ext>
          </c:extLst>
        </c:ser>
        <c:ser>
          <c:idx val="1"/>
          <c:order val="1"/>
          <c:tx>
            <c:strRef>
              <c:f>'Tempo boars manual '!$A$205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'!$B$205:$BA$205</c:f>
              <c:numCache>
                <c:formatCode>General</c:formatCode>
                <c:ptCount val="52"/>
                <c:pt idx="0">
                  <c:v>85</c:v>
                </c:pt>
                <c:pt idx="1">
                  <c:v>90</c:v>
                </c:pt>
                <c:pt idx="2">
                  <c:v>92</c:v>
                </c:pt>
                <c:pt idx="3">
                  <c:v>93</c:v>
                </c:pt>
                <c:pt idx="4">
                  <c:v>65</c:v>
                </c:pt>
                <c:pt idx="5">
                  <c:v>84</c:v>
                </c:pt>
                <c:pt idx="6">
                  <c:v>87</c:v>
                </c:pt>
                <c:pt idx="7">
                  <c:v>102</c:v>
                </c:pt>
                <c:pt idx="8">
                  <c:v>101</c:v>
                </c:pt>
                <c:pt idx="9">
                  <c:v>56</c:v>
                </c:pt>
                <c:pt idx="10">
                  <c:v>86</c:v>
                </c:pt>
                <c:pt idx="11">
                  <c:v>103</c:v>
                </c:pt>
                <c:pt idx="12">
                  <c:v>82</c:v>
                </c:pt>
                <c:pt idx="13">
                  <c:v>108</c:v>
                </c:pt>
                <c:pt idx="14">
                  <c:v>86</c:v>
                </c:pt>
                <c:pt idx="15">
                  <c:v>104</c:v>
                </c:pt>
                <c:pt idx="16">
                  <c:v>84</c:v>
                </c:pt>
                <c:pt idx="17">
                  <c:v>67</c:v>
                </c:pt>
                <c:pt idx="18">
                  <c:v>87</c:v>
                </c:pt>
                <c:pt idx="19">
                  <c:v>87</c:v>
                </c:pt>
                <c:pt idx="20">
                  <c:v>103</c:v>
                </c:pt>
                <c:pt idx="21">
                  <c:v>90</c:v>
                </c:pt>
                <c:pt idx="22">
                  <c:v>71</c:v>
                </c:pt>
                <c:pt idx="23">
                  <c:v>107</c:v>
                </c:pt>
                <c:pt idx="24">
                  <c:v>82</c:v>
                </c:pt>
                <c:pt idx="25">
                  <c:v>84</c:v>
                </c:pt>
                <c:pt idx="26">
                  <c:v>113</c:v>
                </c:pt>
                <c:pt idx="27">
                  <c:v>112</c:v>
                </c:pt>
                <c:pt idx="28">
                  <c:v>105</c:v>
                </c:pt>
                <c:pt idx="29">
                  <c:v>88</c:v>
                </c:pt>
                <c:pt idx="30">
                  <c:v>91</c:v>
                </c:pt>
                <c:pt idx="3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9-4F5C-AEA6-0EC6DD476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5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'!$A$220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'!$B$220:$BA$220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F-49B6-BBCA-EC22D8FF827A}"/>
            </c:ext>
          </c:extLst>
        </c:ser>
        <c:ser>
          <c:idx val="1"/>
          <c:order val="1"/>
          <c:tx>
            <c:strRef>
              <c:f>'Tempo boars manual '!$A$221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'!$B$221:$BA$221</c:f>
              <c:numCache>
                <c:formatCode>General</c:formatCode>
                <c:ptCount val="52"/>
                <c:pt idx="0">
                  <c:v>94</c:v>
                </c:pt>
                <c:pt idx="1">
                  <c:v>82</c:v>
                </c:pt>
                <c:pt idx="2">
                  <c:v>87</c:v>
                </c:pt>
                <c:pt idx="3">
                  <c:v>93</c:v>
                </c:pt>
                <c:pt idx="4">
                  <c:v>69</c:v>
                </c:pt>
                <c:pt idx="5">
                  <c:v>89</c:v>
                </c:pt>
                <c:pt idx="6">
                  <c:v>95</c:v>
                </c:pt>
                <c:pt idx="7">
                  <c:v>100</c:v>
                </c:pt>
                <c:pt idx="8">
                  <c:v>79</c:v>
                </c:pt>
                <c:pt idx="9">
                  <c:v>66</c:v>
                </c:pt>
                <c:pt idx="10">
                  <c:v>92</c:v>
                </c:pt>
                <c:pt idx="11">
                  <c:v>109</c:v>
                </c:pt>
                <c:pt idx="12">
                  <c:v>86</c:v>
                </c:pt>
                <c:pt idx="13">
                  <c:v>86</c:v>
                </c:pt>
                <c:pt idx="14">
                  <c:v>95</c:v>
                </c:pt>
                <c:pt idx="15">
                  <c:v>70</c:v>
                </c:pt>
                <c:pt idx="16">
                  <c:v>54</c:v>
                </c:pt>
                <c:pt idx="17">
                  <c:v>76</c:v>
                </c:pt>
                <c:pt idx="18">
                  <c:v>82</c:v>
                </c:pt>
                <c:pt idx="19">
                  <c:v>82</c:v>
                </c:pt>
                <c:pt idx="20">
                  <c:v>87</c:v>
                </c:pt>
                <c:pt idx="21">
                  <c:v>80</c:v>
                </c:pt>
                <c:pt idx="22">
                  <c:v>85</c:v>
                </c:pt>
                <c:pt idx="23">
                  <c:v>88</c:v>
                </c:pt>
                <c:pt idx="24">
                  <c:v>85</c:v>
                </c:pt>
                <c:pt idx="25">
                  <c:v>85</c:v>
                </c:pt>
                <c:pt idx="26">
                  <c:v>112</c:v>
                </c:pt>
                <c:pt idx="27">
                  <c:v>65</c:v>
                </c:pt>
                <c:pt idx="28">
                  <c:v>65</c:v>
                </c:pt>
                <c:pt idx="29">
                  <c:v>127</c:v>
                </c:pt>
                <c:pt idx="30">
                  <c:v>90</c:v>
                </c:pt>
                <c:pt idx="31">
                  <c:v>90</c:v>
                </c:pt>
                <c:pt idx="32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F-49B6-BBCA-EC22D8FF8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5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'!$A$242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'!$B$242:$BA$242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5-460F-AD0F-5F551676D44A}"/>
            </c:ext>
          </c:extLst>
        </c:ser>
        <c:ser>
          <c:idx val="1"/>
          <c:order val="1"/>
          <c:tx>
            <c:strRef>
              <c:f>'Tempo boars manual '!$A$243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'!$B$243:$BA$243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5-460F-AD0F-5F551676D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'!$A$28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'!$B$28:$BA$28</c:f>
              <c:numCache>
                <c:formatCode>General</c:formatCode>
                <c:ptCount val="52"/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7-44E9-9CCB-F9740FC83EB2}"/>
            </c:ext>
          </c:extLst>
        </c:ser>
        <c:ser>
          <c:idx val="1"/>
          <c:order val="1"/>
          <c:tx>
            <c:strRef>
              <c:f>'Tempo boars manual '!$A$29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'!$B$29:$BA$29</c:f>
              <c:numCache>
                <c:formatCode>General</c:formatCode>
                <c:ptCount val="52"/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7-44E9-9CCB-F9740FC83EB2}"/>
            </c:ext>
          </c:extLst>
        </c:ser>
        <c:ser>
          <c:idx val="2"/>
          <c:order val="2"/>
          <c:tx>
            <c:strRef>
              <c:f>'Tempo boars manual '!$A$30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'!$B$30:$BA$30</c:f>
              <c:numCache>
                <c:formatCode>General</c:formatCode>
                <c:ptCount val="52"/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27-44E9-9CCB-F9740FC8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'!$A$44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'!$B$44:$BA$44</c:f>
              <c:numCache>
                <c:formatCode>General</c:formatCode>
                <c:ptCount val="52"/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F-4B99-8CE2-AE3D1EE82B45}"/>
            </c:ext>
          </c:extLst>
        </c:ser>
        <c:ser>
          <c:idx val="1"/>
          <c:order val="1"/>
          <c:tx>
            <c:strRef>
              <c:f>'Tempo boars manual '!$A$45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'!$B$45:$BA$45</c:f>
              <c:numCache>
                <c:formatCode>General</c:formatCode>
                <c:ptCount val="52"/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F-4B99-8CE2-AE3D1EE82B45}"/>
            </c:ext>
          </c:extLst>
        </c:ser>
        <c:ser>
          <c:idx val="2"/>
          <c:order val="2"/>
          <c:tx>
            <c:strRef>
              <c:f>'Tempo boars manual '!$A$46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'!$B$46:$BA$46</c:f>
              <c:numCache>
                <c:formatCode>General</c:formatCode>
                <c:ptCount val="52"/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F-4B99-8CE2-AE3D1EE82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'!$A$139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'!$B$139:$BA$139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C-4DBE-A051-8AB74A24E401}"/>
            </c:ext>
          </c:extLst>
        </c:ser>
        <c:ser>
          <c:idx val="1"/>
          <c:order val="1"/>
          <c:tx>
            <c:strRef>
              <c:f>'Tempo boars manual '!$A$140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'!$B$140:$BA$140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C-4DBE-A051-8AB74A24E401}"/>
            </c:ext>
          </c:extLst>
        </c:ser>
        <c:ser>
          <c:idx val="2"/>
          <c:order val="2"/>
          <c:tx>
            <c:strRef>
              <c:f>'Tempo boars manual '!$A$141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'!$B$141:$BA$141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FC-4DBE-A051-8AB74A24E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'!$A$155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'!$B$155:$BA$155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7-4FEA-917D-15D0FD3DB866}"/>
            </c:ext>
          </c:extLst>
        </c:ser>
        <c:ser>
          <c:idx val="1"/>
          <c:order val="1"/>
          <c:tx>
            <c:strRef>
              <c:f>'Tempo boars manual '!$A$156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'!$B$156:$BA$156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7-4FEA-917D-15D0FD3DB866}"/>
            </c:ext>
          </c:extLst>
        </c:ser>
        <c:ser>
          <c:idx val="2"/>
          <c:order val="2"/>
          <c:tx>
            <c:strRef>
              <c:f>'Tempo boars manual '!$A$157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'!$B$157:$BA$157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7-4FEA-917D-15D0FD3DB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'!$A$174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'!$B$174:$BA$174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0-4B56-911C-DEB9BE000D06}"/>
            </c:ext>
          </c:extLst>
        </c:ser>
        <c:ser>
          <c:idx val="1"/>
          <c:order val="1"/>
          <c:tx>
            <c:strRef>
              <c:f>'Tempo boars manual '!$A$175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'!$B$175:$BA$175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0-4B56-911C-DEB9BE000D06}"/>
            </c:ext>
          </c:extLst>
        </c:ser>
        <c:ser>
          <c:idx val="2"/>
          <c:order val="2"/>
          <c:tx>
            <c:strRef>
              <c:f>'Tempo boars manual '!$A$176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'!$B$176:$BA$176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0-4B56-911C-DEB9BE00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'!$A$191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'!$B$191:$BA$191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F-4019-9C69-70993076A233}"/>
            </c:ext>
          </c:extLst>
        </c:ser>
        <c:ser>
          <c:idx val="1"/>
          <c:order val="1"/>
          <c:tx>
            <c:strRef>
              <c:f>'Tempo boars manual '!$A$192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'!$B$192:$BA$192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F-4019-9C69-70993076A233}"/>
            </c:ext>
          </c:extLst>
        </c:ser>
        <c:ser>
          <c:idx val="2"/>
          <c:order val="2"/>
          <c:tx>
            <c:strRef>
              <c:f>'Tempo boars manual '!$A$193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'!$B$193:$BA$193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F-4019-9C69-70993076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'!$A$207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'!$B$207:$BA$207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E-4187-AE9A-0C54408FA70E}"/>
            </c:ext>
          </c:extLst>
        </c:ser>
        <c:ser>
          <c:idx val="1"/>
          <c:order val="1"/>
          <c:tx>
            <c:strRef>
              <c:f>'Tempo boars manual '!$A$208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'!$B$208:$BA$208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E-4187-AE9A-0C54408FA70E}"/>
            </c:ext>
          </c:extLst>
        </c:ser>
        <c:ser>
          <c:idx val="2"/>
          <c:order val="2"/>
          <c:tx>
            <c:strRef>
              <c:f>'Tempo boars manual '!$A$209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'!$B$209:$BA$209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E-4187-AE9A-0C54408F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'!$A$223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'!$B$223:$BA$223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B-4025-9939-1475879F7F8F}"/>
            </c:ext>
          </c:extLst>
        </c:ser>
        <c:ser>
          <c:idx val="1"/>
          <c:order val="1"/>
          <c:tx>
            <c:strRef>
              <c:f>'Tempo boars manual '!$A$224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'!$B$224:$BA$224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B-4025-9939-1475879F7F8F}"/>
            </c:ext>
          </c:extLst>
        </c:ser>
        <c:ser>
          <c:idx val="2"/>
          <c:order val="2"/>
          <c:tx>
            <c:strRef>
              <c:f>'Tempo boars manual '!$A$225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'!$B$225:$BA$225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B-4025-9939-1475879F7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'!$A$245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'!$B$245:$BA$245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9D8D-4624-AC7D-7619AC7771E5}"/>
            </c:ext>
          </c:extLst>
        </c:ser>
        <c:ser>
          <c:idx val="1"/>
          <c:order val="1"/>
          <c:tx>
            <c:strRef>
              <c:f>'Tempo boars manual '!$A$246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'!$B$246:$BA$246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9D8D-4624-AC7D-7619AC7771E5}"/>
            </c:ext>
          </c:extLst>
        </c:ser>
        <c:ser>
          <c:idx val="2"/>
          <c:order val="2"/>
          <c:tx>
            <c:strRef>
              <c:f>'Tempo boars manual '!$A$247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'!$B$247:$BA$247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9D8D-4624-AC7D-7619AC77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'!$A$261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'!$B$261:$BA$261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9D32-46F4-AAB7-FCB2B4B019AE}"/>
            </c:ext>
          </c:extLst>
        </c:ser>
        <c:ser>
          <c:idx val="1"/>
          <c:order val="1"/>
          <c:tx>
            <c:strRef>
              <c:f>'Tempo boars manual '!$A$262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'!$B$262:$BA$262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9D32-46F4-AAB7-FCB2B4B019AE}"/>
            </c:ext>
          </c:extLst>
        </c:ser>
        <c:ser>
          <c:idx val="2"/>
          <c:order val="2"/>
          <c:tx>
            <c:strRef>
              <c:f>'Tempo boars manual '!$A$263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'!$B$263:$BA$263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9D32-46F4-AAB7-FCB2B4B01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'!$A$258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'!$B$258:$BA$258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B-4492-9026-5F8C3FB4EDCD}"/>
            </c:ext>
          </c:extLst>
        </c:ser>
        <c:ser>
          <c:idx val="1"/>
          <c:order val="1"/>
          <c:tx>
            <c:strRef>
              <c:f>'Tempo boars manual '!$A$259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'!$B$259:$BA$259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B-4492-9026-5F8C3FB4E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'!$A$54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'!$B$54:$BA$54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F-464D-AD97-825DBA66EE62}"/>
            </c:ext>
          </c:extLst>
        </c:ser>
        <c:ser>
          <c:idx val="1"/>
          <c:order val="1"/>
          <c:tx>
            <c:strRef>
              <c:f>'Tempo boars manual '!$A$55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'!$B$55:$BA$55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F-464D-AD97-825DBA66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'!$A$57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'!$B$57:$BA$57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3-4B43-B51E-45A6CCF1AE97}"/>
            </c:ext>
          </c:extLst>
        </c:ser>
        <c:ser>
          <c:idx val="1"/>
          <c:order val="1"/>
          <c:tx>
            <c:strRef>
              <c:f>'Tempo boars manual '!$A$58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'!$B$58:$BA$58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3-4B43-B51E-45A6CCF1A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'!$A$60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'!$B$60:$BA$60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7B62-407E-AA33-EC22186AA80A}"/>
            </c:ext>
          </c:extLst>
        </c:ser>
        <c:ser>
          <c:idx val="1"/>
          <c:order val="1"/>
          <c:tx>
            <c:strRef>
              <c:f>'Tempo boars manual '!$A$61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'!$B$61:$BA$61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7B62-407E-AA33-EC22186AA80A}"/>
            </c:ext>
          </c:extLst>
        </c:ser>
        <c:ser>
          <c:idx val="2"/>
          <c:order val="2"/>
          <c:tx>
            <c:strRef>
              <c:f>'Tempo boars manual '!$A$62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'!$B$62:$BA$62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7B62-407E-AA33-EC22186AA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'!$A$68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'!$B$68:$BA$68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B-4473-9D7B-B8BE05A672D5}"/>
            </c:ext>
          </c:extLst>
        </c:ser>
        <c:ser>
          <c:idx val="1"/>
          <c:order val="1"/>
          <c:tx>
            <c:strRef>
              <c:f>'Tempo boars manual '!$A$69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'!$B$69:$BA$69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B-4473-9D7B-B8BE05A67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'!$A$84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'!$B$84:$BA$84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6-4F79-AD4A-5C2CCE06E418}"/>
            </c:ext>
          </c:extLst>
        </c:ser>
        <c:ser>
          <c:idx val="1"/>
          <c:order val="1"/>
          <c:tx>
            <c:strRef>
              <c:f>'Tempo boars manual '!$A$85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'!$B$85:$BA$85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6-4F79-AD4A-5C2CCE06E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'!$A$100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'!$B$100:$BA$100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8-44C3-B964-8CF098C1DB8E}"/>
            </c:ext>
          </c:extLst>
        </c:ser>
        <c:ser>
          <c:idx val="1"/>
          <c:order val="1"/>
          <c:tx>
            <c:strRef>
              <c:f>'Tempo boars manual '!$A$101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'!$B$101:$BA$101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18-44C3-B964-8CF098C1D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'!$A$117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'Tempo boars manual '!$B$117:$BA$117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D-4FD0-8E4C-374EE437F284}"/>
            </c:ext>
          </c:extLst>
        </c:ser>
        <c:ser>
          <c:idx val="1"/>
          <c:order val="1"/>
          <c:tx>
            <c:strRef>
              <c:f>'Tempo boars manual '!$A$118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'!$B$118:$BA$118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D-4FD0-8E4C-374EE437F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6000"/>
        <c:axId val="1"/>
      </c:lineChart>
      <c:catAx>
        <c:axId val="11304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7600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'!$A$71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'!$B$71:$BA$71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4-4C26-A3C7-80A7B0FBCAEB}"/>
            </c:ext>
          </c:extLst>
        </c:ser>
        <c:ser>
          <c:idx val="1"/>
          <c:order val="1"/>
          <c:tx>
            <c:strRef>
              <c:f>'Tempo boars manual '!$A$72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'!$B$72:$BA$72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C4-4C26-A3C7-80A7B0FBC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'!$A$87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'!$B$87:$BA$87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6-4E53-9BB2-62C05A630F2D}"/>
            </c:ext>
          </c:extLst>
        </c:ser>
        <c:ser>
          <c:idx val="1"/>
          <c:order val="1"/>
          <c:tx>
            <c:strRef>
              <c:f>'Tempo boars manual '!$A$88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'!$B$88:$BA$88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6-4E53-9BB2-62C05A630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'!$A$103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'!$B$103:$BA$103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C-4DF7-BFD5-608254CF4116}"/>
            </c:ext>
          </c:extLst>
        </c:ser>
        <c:ser>
          <c:idx val="1"/>
          <c:order val="1"/>
          <c:tx>
            <c:strRef>
              <c:f>'Tempo boars manual '!$A$104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'!$B$104:$BA$104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C-4DF7-BFD5-608254CF4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</a:t>
            </a:r>
            <a:r>
              <a:rPr lang="en-US" baseline="0"/>
              <a:t> </a:t>
            </a:r>
            <a:r>
              <a:rPr lang="en-US"/>
              <a:t>Doses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'Tempo boars manual '!$A$120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'Tempo boars manual '!$B$120:$BA$120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896-9EB0-746E55A2EEDF}"/>
            </c:ext>
          </c:extLst>
        </c:ser>
        <c:ser>
          <c:idx val="1"/>
          <c:order val="1"/>
          <c:tx>
            <c:strRef>
              <c:f>'Tempo boars manual '!$A$121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'Tempo boars manual '!$B$121:$BA$121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E-4896-9EB0-746E55A2E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77920"/>
        <c:axId val="1"/>
      </c:lineChart>
      <c:catAx>
        <c:axId val="11304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Doses</a:t>
                </a:r>
                <a:r>
                  <a:rPr lang="en-US" baseline="0"/>
                  <a:t> produced </a:t>
                </a: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047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'!$A$74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'!$B$74:$BA$74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5A9A-43C7-8A3E-4A46ECABA921}"/>
            </c:ext>
          </c:extLst>
        </c:ser>
        <c:ser>
          <c:idx val="1"/>
          <c:order val="1"/>
          <c:tx>
            <c:strRef>
              <c:f>'Tempo boars manual '!$A$75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'!$B$75:$BA$75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5A9A-43C7-8A3E-4A46ECABA921}"/>
            </c:ext>
          </c:extLst>
        </c:ser>
        <c:ser>
          <c:idx val="2"/>
          <c:order val="2"/>
          <c:tx>
            <c:strRef>
              <c:f>'Tempo boars manual '!$A$76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'!$B$76:$BA$76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5A9A-43C7-8A3E-4A46ECAB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'!$A$90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'!$B$90:$BA$90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CBFC-49EE-9B95-501E0AD4AE3E}"/>
            </c:ext>
          </c:extLst>
        </c:ser>
        <c:ser>
          <c:idx val="1"/>
          <c:order val="1"/>
          <c:tx>
            <c:strRef>
              <c:f>'Tempo boars manual '!$A$91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'!$B$91:$BA$91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CBFC-49EE-9B95-501E0AD4AE3E}"/>
            </c:ext>
          </c:extLst>
        </c:ser>
        <c:ser>
          <c:idx val="2"/>
          <c:order val="2"/>
          <c:tx>
            <c:strRef>
              <c:f>'Tempo boars manual '!$A$92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'!$B$92:$BA$92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CBFC-49EE-9B95-501E0AD4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'!$A$106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'!$B$106:$BA$106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D372-4A09-BF3C-AE1D37859F2A}"/>
            </c:ext>
          </c:extLst>
        </c:ser>
        <c:ser>
          <c:idx val="1"/>
          <c:order val="1"/>
          <c:tx>
            <c:strRef>
              <c:f>'Tempo boars manual '!$A$107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'!$B$107:$BA$107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D372-4A09-BF3C-AE1D37859F2A}"/>
            </c:ext>
          </c:extLst>
        </c:ser>
        <c:ser>
          <c:idx val="2"/>
          <c:order val="2"/>
          <c:tx>
            <c:strRef>
              <c:f>'Tempo boars manual '!$A$108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'!$B$108:$BA$108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D372-4A09-BF3C-AE1D37859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'Tempo boars manual '!$A$123</c:f>
              <c:strCache>
                <c:ptCount val="1"/>
                <c:pt idx="0">
                  <c:v>Tenability - Day 1</c:v>
                </c:pt>
              </c:strCache>
            </c:strRef>
          </c:tx>
          <c:invertIfNegative val="1"/>
          <c:val>
            <c:numRef>
              <c:f>'Tempo boars manual '!$B$123:$BA$123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3171-4F23-BA81-23327FC787A8}"/>
            </c:ext>
          </c:extLst>
        </c:ser>
        <c:ser>
          <c:idx val="1"/>
          <c:order val="1"/>
          <c:tx>
            <c:strRef>
              <c:f>'Tempo boars manual '!$A$124</c:f>
              <c:strCache>
                <c:ptCount val="1"/>
                <c:pt idx="0">
                  <c:v>tenability - Day 2</c:v>
                </c:pt>
              </c:strCache>
            </c:strRef>
          </c:tx>
          <c:invertIfNegative val="1"/>
          <c:val>
            <c:numRef>
              <c:f>'Tempo boars manual '!$B$124:$BA$124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3171-4F23-BA81-23327FC787A8}"/>
            </c:ext>
          </c:extLst>
        </c:ser>
        <c:ser>
          <c:idx val="2"/>
          <c:order val="2"/>
          <c:tx>
            <c:strRef>
              <c:f>'Tempo boars manual '!$A$125</c:f>
              <c:strCache>
                <c:ptCount val="1"/>
                <c:pt idx="0">
                  <c:v>tenability - Day 3</c:v>
                </c:pt>
              </c:strCache>
            </c:strRef>
          </c:tx>
          <c:invertIfNegative val="1"/>
          <c:val>
            <c:numRef>
              <c:f>'Tempo boars manual '!$B$125:$BA$125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3171-4F23-BA81-23327FC78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99520"/>
        <c:axId val="1"/>
      </c:barChart>
      <c:catAx>
        <c:axId val="11304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04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Collection Totals by Collector (mls)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'Collector Analysis Report Dashb'!$B$14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4472C4"/>
            </a:solidFill>
            <a:ln/>
          </c:spPr>
          <c:invertIfNegative val="1"/>
          <c:cat>
            <c:numRef>
              <c:f>'Collector Analysis Report Dashb'!$A$15:$A$21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'Collector Analysis Report Dashb'!$B$15:$B$21</c:f>
              <c:numCache>
                <c:formatCode>General</c:formatCode>
                <c:ptCount val="7"/>
                <c:pt idx="0">
                  <c:v>318</c:v>
                </c:pt>
                <c:pt idx="1">
                  <c:v>1953</c:v>
                </c:pt>
                <c:pt idx="2">
                  <c:v>1788</c:v>
                </c:pt>
                <c:pt idx="3">
                  <c:v>2058</c:v>
                </c:pt>
                <c:pt idx="4">
                  <c:v>1136</c:v>
                </c:pt>
                <c:pt idx="5">
                  <c:v>1803</c:v>
                </c:pt>
                <c:pt idx="6">
                  <c:v>1648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0-DD16-4210-907C-9FB745638178}"/>
            </c:ext>
          </c:extLst>
        </c:ser>
        <c:ser>
          <c:idx val="1"/>
          <c:order val="1"/>
          <c:tx>
            <c:strRef>
              <c:f>'Collector Analysis Report Dashb'!$C$14</c:f>
              <c:strCache>
                <c:ptCount val="1"/>
                <c:pt idx="0">
                  <c:v>TA</c:v>
                </c:pt>
              </c:strCache>
            </c:strRef>
          </c:tx>
          <c:spPr>
            <a:solidFill>
              <a:srgbClr val="ED7D31"/>
            </a:solidFill>
            <a:ln/>
          </c:spPr>
          <c:invertIfNegative val="1"/>
          <c:cat>
            <c:numRef>
              <c:f>'Collector Analysis Report Dashb'!$A$15:$A$21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'Collector Analysis Report Dashb'!$C$15:$C$21</c:f>
              <c:numCache>
                <c:formatCode>General</c:formatCode>
                <c:ptCount val="7"/>
                <c:pt idx="0">
                  <c:v>1065</c:v>
                </c:pt>
                <c:pt idx="1">
                  <c:v>201</c:v>
                </c:pt>
                <c:pt idx="2">
                  <c:v>446</c:v>
                </c:pt>
                <c:pt idx="3">
                  <c:v>1042</c:v>
                </c:pt>
                <c:pt idx="4">
                  <c:v>278</c:v>
                </c:pt>
                <c:pt idx="5">
                  <c:v>288</c:v>
                </c:pt>
                <c:pt idx="6">
                  <c:v>1226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1-DD16-4210-907C-9FB745638178}"/>
            </c:ext>
          </c:extLst>
        </c:ser>
        <c:ser>
          <c:idx val="2"/>
          <c:order val="2"/>
          <c:tx>
            <c:strRef>
              <c:f>'Collector Analysis Report Dashb'!$D$14</c:f>
              <c:strCache>
                <c:ptCount val="1"/>
                <c:pt idx="0">
                  <c:v>AW</c:v>
                </c:pt>
              </c:strCache>
            </c:strRef>
          </c:tx>
          <c:spPr>
            <a:solidFill>
              <a:srgbClr val="A5A5A5"/>
            </a:solidFill>
            <a:ln/>
          </c:spPr>
          <c:invertIfNegative val="1"/>
          <c:cat>
            <c:numRef>
              <c:f>'Collector Analysis Report Dashb'!$A$15:$A$21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'Collector Analysis Report Dashb'!$D$15:$D$21</c:f>
              <c:numCache>
                <c:formatCode>General</c:formatCode>
                <c:ptCount val="7"/>
                <c:pt idx="0">
                  <c:v>2220</c:v>
                </c:pt>
                <c:pt idx="1">
                  <c:v>1596</c:v>
                </c:pt>
                <c:pt idx="2">
                  <c:v>1290</c:v>
                </c:pt>
                <c:pt idx="3">
                  <c:v>328</c:v>
                </c:pt>
                <c:pt idx="4">
                  <c:v>1746</c:v>
                </c:pt>
                <c:pt idx="5">
                  <c:v>1706</c:v>
                </c:pt>
                <c:pt idx="6">
                  <c:v>760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2-DD16-4210-907C-9FB745638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455472"/>
        <c:axId val="1"/>
      </c:barChart>
      <c:catAx>
        <c:axId val="1135455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545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719210098737655"/>
          <c:y val="0.4222133250292866"/>
          <c:w val="9.6934883139607547E-2"/>
          <c:h val="0.2554083811557453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Average Collection per Boar by Collector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'Collector Analysis Report Dashb'!$B$25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solidFill>
                <a:srgbClr val="4472C4"/>
              </a:solidFill>
            </a:ln>
          </c:spPr>
          <c:marker>
            <c:symbol val="circle"/>
            <c:size val="4"/>
          </c:marker>
          <c:cat>
            <c:numRef>
              <c:f>'Collector Analysis Report Dashb'!$A$26:$A$32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'Collector Analysis Report Dashb'!$B$26:$B$32</c:f>
              <c:numCache>
                <c:formatCode>0</c:formatCode>
                <c:ptCount val="7"/>
                <c:pt idx="0" formatCode="General">
                  <c:v>318</c:v>
                </c:pt>
                <c:pt idx="1">
                  <c:v>244.125</c:v>
                </c:pt>
                <c:pt idx="2">
                  <c:v>357.6</c:v>
                </c:pt>
                <c:pt idx="3">
                  <c:v>294</c:v>
                </c:pt>
                <c:pt idx="4" formatCode="General">
                  <c:v>284</c:v>
                </c:pt>
                <c:pt idx="5">
                  <c:v>300.5</c:v>
                </c:pt>
                <c:pt idx="6">
                  <c:v>329.6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B0-46BD-AB73-108091317F9C}"/>
            </c:ext>
          </c:extLst>
        </c:ser>
        <c:ser>
          <c:idx val="1"/>
          <c:order val="1"/>
          <c:tx>
            <c:strRef>
              <c:f>'Collector Analysis Report Dashb'!$C$25</c:f>
              <c:strCache>
                <c:ptCount val="1"/>
                <c:pt idx="0">
                  <c:v>TA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circle"/>
            <c:size val="4"/>
          </c:marker>
          <c:cat>
            <c:numRef>
              <c:f>'Collector Analysis Report Dashb'!$A$26:$A$32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'Collector Analysis Report Dashb'!$C$26:$C$32</c:f>
              <c:numCache>
                <c:formatCode>General</c:formatCode>
                <c:ptCount val="7"/>
                <c:pt idx="0">
                  <c:v>213</c:v>
                </c:pt>
                <c:pt idx="1">
                  <c:v>201</c:v>
                </c:pt>
                <c:pt idx="2" formatCode="0">
                  <c:v>223</c:v>
                </c:pt>
                <c:pt idx="3" formatCode="0">
                  <c:v>347.33333333333331</c:v>
                </c:pt>
                <c:pt idx="4">
                  <c:v>278</c:v>
                </c:pt>
                <c:pt idx="5" formatCode="0">
                  <c:v>288</c:v>
                </c:pt>
                <c:pt idx="6" formatCode="0">
                  <c:v>306.5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B0-46BD-AB73-108091317F9C}"/>
            </c:ext>
          </c:extLst>
        </c:ser>
        <c:ser>
          <c:idx val="2"/>
          <c:order val="2"/>
          <c:tx>
            <c:strRef>
              <c:f>'Collector Analysis Report Dashb'!$D$25</c:f>
              <c:strCache>
                <c:ptCount val="1"/>
                <c:pt idx="0">
                  <c:v>AW</c:v>
                </c:pt>
              </c:strCache>
            </c:strRef>
          </c:tx>
          <c:spPr>
            <a:ln>
              <a:solidFill>
                <a:srgbClr val="A5A5A5"/>
              </a:solidFill>
            </a:ln>
          </c:spPr>
          <c:marker>
            <c:symbol val="circle"/>
            <c:size val="4"/>
          </c:marker>
          <c:cat>
            <c:numRef>
              <c:f>'Collector Analysis Report Dashb'!$A$26:$A$32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'Collector Analysis Report Dashb'!$D$26:$D$32</c:f>
              <c:numCache>
                <c:formatCode>General</c:formatCode>
                <c:ptCount val="7"/>
                <c:pt idx="0">
                  <c:v>370</c:v>
                </c:pt>
                <c:pt idx="1">
                  <c:v>399</c:v>
                </c:pt>
                <c:pt idx="2">
                  <c:v>258</c:v>
                </c:pt>
                <c:pt idx="3">
                  <c:v>328</c:v>
                </c:pt>
                <c:pt idx="4" formatCode="0">
                  <c:v>349.2</c:v>
                </c:pt>
                <c:pt idx="5" formatCode="0">
                  <c:v>341.2</c:v>
                </c:pt>
                <c:pt idx="6" formatCode="0">
                  <c:v>253.33333333333334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B0-46BD-AB73-10809131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453552"/>
        <c:axId val="1"/>
      </c:lineChart>
      <c:catAx>
        <c:axId val="113545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3545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Collection Volume Share by Collector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'Collector Analysis Report Dashb'!$C$3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12-480C-8CFC-DF74F3A04D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12-480C-8CFC-DF74F3A04D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12-480C-8CFC-DF74F3A04D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'Collector Analysis Report Dashb'!$A$6:$A$8</c:f>
              <c:strCache>
                <c:ptCount val="3"/>
                <c:pt idx="0">
                  <c:v>CM</c:v>
                </c:pt>
                <c:pt idx="1">
                  <c:v>TA</c:v>
                </c:pt>
                <c:pt idx="2">
                  <c:v>AW</c:v>
                </c:pt>
              </c:strCache>
            </c:strRef>
          </c:cat>
          <c:val>
            <c:numRef>
              <c:f>'Collector Analysis Report Dashb'!$C$6:$C$8</c:f>
              <c:numCache>
                <c:formatCode>0</c:formatCode>
                <c:ptCount val="3"/>
                <c:pt idx="0">
                  <c:v>10704</c:v>
                </c:pt>
                <c:pt idx="1">
                  <c:v>4345</c:v>
                </c:pt>
                <c:pt idx="2">
                  <c:v>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C-4658-B467-81ACDF3966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Boar Consistency (CV% - Lower is Better)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'Collector Analysis Report Dashb'!$H$3</c:f>
              <c:strCache>
                <c:ptCount val="1"/>
              </c:strCache>
            </c:strRef>
          </c:tx>
          <c:spPr>
            <a:solidFill>
              <a:srgbClr val="4472C4"/>
            </a:solidFill>
            <a:ln/>
          </c:spPr>
          <c:invertIfNegative val="1"/>
          <c:cat>
            <c:strRef>
              <c:f>'Collector Analysis Report Dashb'!$A$57:$A$70</c:f>
              <c:strCache>
                <c:ptCount val="14"/>
                <c:pt idx="0">
                  <c:v>DA2338</c:v>
                </c:pt>
                <c:pt idx="1">
                  <c:v>DA1669</c:v>
                </c:pt>
                <c:pt idx="2">
                  <c:v>DA1130</c:v>
                </c:pt>
                <c:pt idx="3">
                  <c:v>DA1721</c:v>
                </c:pt>
                <c:pt idx="4">
                  <c:v>DA1627</c:v>
                </c:pt>
                <c:pt idx="5">
                  <c:v>DA2568</c:v>
                </c:pt>
                <c:pt idx="6">
                  <c:v>CL7180</c:v>
                </c:pt>
                <c:pt idx="7">
                  <c:v>CJ0211</c:v>
                </c:pt>
                <c:pt idx="8">
                  <c:v>CL5312</c:v>
                </c:pt>
                <c:pt idx="9">
                  <c:v>CL3033</c:v>
                </c:pt>
                <c:pt idx="10">
                  <c:v>DA0379</c:v>
                </c:pt>
                <c:pt idx="11">
                  <c:v>CE6835</c:v>
                </c:pt>
                <c:pt idx="12">
                  <c:v>CJ2150</c:v>
                </c:pt>
                <c:pt idx="13">
                  <c:v>DA2470</c:v>
                </c:pt>
              </c:strCache>
            </c:strRef>
          </c:cat>
          <c:val>
            <c:numRef>
              <c:f>'Collector Analysis Report Dashb'!$H$57:$H$70</c:f>
              <c:numCache>
                <c:formatCode>0</c:formatCode>
                <c:ptCount val="14"/>
                <c:pt idx="0">
                  <c:v>22</c:v>
                </c:pt>
                <c:pt idx="1">
                  <c:v>14.8</c:v>
                </c:pt>
                <c:pt idx="2">
                  <c:v>16.7</c:v>
                </c:pt>
                <c:pt idx="3">
                  <c:v>21.7</c:v>
                </c:pt>
                <c:pt idx="4">
                  <c:v>7.4</c:v>
                </c:pt>
                <c:pt idx="5">
                  <c:v>15.8</c:v>
                </c:pt>
                <c:pt idx="6">
                  <c:v>20.2</c:v>
                </c:pt>
                <c:pt idx="7">
                  <c:v>14.9</c:v>
                </c:pt>
                <c:pt idx="8">
                  <c:v>10.3</c:v>
                </c:pt>
                <c:pt idx="9">
                  <c:v>16.3</c:v>
                </c:pt>
                <c:pt idx="10">
                  <c:v>10.4</c:v>
                </c:pt>
                <c:pt idx="11">
                  <c:v>5.6</c:v>
                </c:pt>
                <c:pt idx="12">
                  <c:v>15.1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0-3CC7-4E13-97D6-D65900CC0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461232"/>
        <c:axId val="1"/>
      </c:barChart>
      <c:catAx>
        <c:axId val="1135461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CV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5461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Collection Volume by Boar (mls)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'Collector Analysis Report Dashb'!$D$3</c:f>
              <c:strCache>
                <c:ptCount val="1"/>
              </c:strCache>
            </c:strRef>
          </c:tx>
          <c:spPr>
            <a:solidFill>
              <a:srgbClr val="4472C4"/>
            </a:solidFill>
            <a:ln/>
          </c:spPr>
          <c:invertIfNegative val="1"/>
          <c:cat>
            <c:strRef>
              <c:f>'Collector Analysis Report Dashb'!$A$57:$A$70</c:f>
              <c:strCache>
                <c:ptCount val="14"/>
                <c:pt idx="0">
                  <c:v>DA2338</c:v>
                </c:pt>
                <c:pt idx="1">
                  <c:v>DA1669</c:v>
                </c:pt>
                <c:pt idx="2">
                  <c:v>DA1130</c:v>
                </c:pt>
                <c:pt idx="3">
                  <c:v>DA1721</c:v>
                </c:pt>
                <c:pt idx="4">
                  <c:v>DA1627</c:v>
                </c:pt>
                <c:pt idx="5">
                  <c:v>DA2568</c:v>
                </c:pt>
                <c:pt idx="6">
                  <c:v>CL7180</c:v>
                </c:pt>
                <c:pt idx="7">
                  <c:v>CJ0211</c:v>
                </c:pt>
                <c:pt idx="8">
                  <c:v>CL5312</c:v>
                </c:pt>
                <c:pt idx="9">
                  <c:v>CL3033</c:v>
                </c:pt>
                <c:pt idx="10">
                  <c:v>DA0379</c:v>
                </c:pt>
                <c:pt idx="11">
                  <c:v>CE6835</c:v>
                </c:pt>
                <c:pt idx="12">
                  <c:v>CJ2150</c:v>
                </c:pt>
                <c:pt idx="13">
                  <c:v>DA2470</c:v>
                </c:pt>
              </c:strCache>
            </c:strRef>
          </c:cat>
          <c:val>
            <c:numRef>
              <c:f>'Collector Analysis Report Dashb'!$D$57:$D$70</c:f>
              <c:numCache>
                <c:formatCode>0</c:formatCode>
                <c:ptCount val="14"/>
                <c:pt idx="0">
                  <c:v>179.33333333333334</c:v>
                </c:pt>
                <c:pt idx="1">
                  <c:v>312</c:v>
                </c:pt>
                <c:pt idx="2">
                  <c:v>495.14285714285717</c:v>
                </c:pt>
                <c:pt idx="3">
                  <c:v>178.57142857142858</c:v>
                </c:pt>
                <c:pt idx="4">
                  <c:v>315.14285714285717</c:v>
                </c:pt>
                <c:pt idx="5">
                  <c:v>226</c:v>
                </c:pt>
                <c:pt idx="6">
                  <c:v>242.6</c:v>
                </c:pt>
                <c:pt idx="7">
                  <c:v>528.57142857142856</c:v>
                </c:pt>
                <c:pt idx="8">
                  <c:v>316</c:v>
                </c:pt>
                <c:pt idx="9">
                  <c:v>337.42857142857144</c:v>
                </c:pt>
                <c:pt idx="10">
                  <c:v>270</c:v>
                </c:pt>
                <c:pt idx="11">
                  <c:v>226.5</c:v>
                </c:pt>
                <c:pt idx="12">
                  <c:v>246</c:v>
                </c:pt>
                <c:pt idx="13">
                  <c:v>156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0-1D73-4196-B317-DFED1093F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465552"/>
        <c:axId val="1"/>
      </c:barChart>
      <c:catAx>
        <c:axId val="1135465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Volume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135465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collection aganist average volume collected per boar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'Collector Analysis Report Dashb'!$D$124</c:f>
              <c:strCache>
                <c:ptCount val="1"/>
                <c:pt idx="0">
                  <c:v>Number of Collections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'Collector Analysis Report Dashb'!$A$125:$B$137</c:f>
              <c:multiLvlStrCache>
                <c:ptCount val="13"/>
                <c:lvl>
                  <c:pt idx="0">
                    <c:v>AW</c:v>
                  </c:pt>
                  <c:pt idx="1">
                    <c:v>CM</c:v>
                  </c:pt>
                  <c:pt idx="2">
                    <c:v>AW</c:v>
                  </c:pt>
                  <c:pt idx="3">
                    <c:v>CM</c:v>
                  </c:pt>
                  <c:pt idx="4">
                    <c:v>AW</c:v>
                  </c:pt>
                  <c:pt idx="5">
                    <c:v>AW</c:v>
                  </c:pt>
                  <c:pt idx="6">
                    <c:v>CM</c:v>
                  </c:pt>
                  <c:pt idx="7">
                    <c:v>TA</c:v>
                  </c:pt>
                  <c:pt idx="8">
                    <c:v>CM</c:v>
                  </c:pt>
                  <c:pt idx="9">
                    <c:v>AW</c:v>
                  </c:pt>
                  <c:pt idx="10">
                    <c:v>AW</c:v>
                  </c:pt>
                  <c:pt idx="11">
                    <c:v>CM</c:v>
                  </c:pt>
                  <c:pt idx="12">
                    <c:v>AW</c:v>
                  </c:pt>
                </c:lvl>
                <c:lvl>
                  <c:pt idx="0">
                    <c:v>CJ0211</c:v>
                  </c:pt>
                  <c:pt idx="1">
                    <c:v>DA1130</c:v>
                  </c:pt>
                  <c:pt idx="2">
                    <c:v>CL3033</c:v>
                  </c:pt>
                  <c:pt idx="3">
                    <c:v>DA1627</c:v>
                  </c:pt>
                  <c:pt idx="4">
                    <c:v>DA1669</c:v>
                  </c:pt>
                  <c:pt idx="5">
                    <c:v>CL5312</c:v>
                  </c:pt>
                  <c:pt idx="6">
                    <c:v>DA0379</c:v>
                  </c:pt>
                  <c:pt idx="7">
                    <c:v>CL7180</c:v>
                  </c:pt>
                  <c:pt idx="8">
                    <c:v>CJ2150</c:v>
                  </c:pt>
                  <c:pt idx="9">
                    <c:v>DA2568</c:v>
                  </c:pt>
                  <c:pt idx="10">
                    <c:v>CE6835</c:v>
                  </c:pt>
                  <c:pt idx="11">
                    <c:v>DA1721</c:v>
                  </c:pt>
                  <c:pt idx="12">
                    <c:v>DA2338</c:v>
                  </c:pt>
                </c:lvl>
              </c:multiLvlStrCache>
            </c:multiLvlStrRef>
          </c:cat>
          <c:val>
            <c:numRef>
              <c:f>'Collector Analysis Report Dashb'!$D$125:$D$137</c:f>
              <c:numCache>
                <c:formatCode>General</c:formatCode>
                <c:ptCount val="13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D-46C0-B15B-006755BB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1463519"/>
        <c:axId val="1361461599"/>
      </c:barChart>
      <c:lineChart>
        <c:grouping val="standard"/>
        <c:varyColors val="0"/>
        <c:ser>
          <c:idx val="0"/>
          <c:order val="0"/>
          <c:tx>
            <c:strRef>
              <c:f>'Collector Analysis Report Dashb'!$C$124</c:f>
              <c:strCache>
                <c:ptCount val="1"/>
                <c:pt idx="0">
                  <c:v>Avg Collection (mls)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'Collector Analysis Report Dashb'!$A$125:$B$137</c:f>
              <c:multiLvlStrCache>
                <c:ptCount val="13"/>
                <c:lvl>
                  <c:pt idx="0">
                    <c:v>AW</c:v>
                  </c:pt>
                  <c:pt idx="1">
                    <c:v>CM</c:v>
                  </c:pt>
                  <c:pt idx="2">
                    <c:v>AW</c:v>
                  </c:pt>
                  <c:pt idx="3">
                    <c:v>CM</c:v>
                  </c:pt>
                  <c:pt idx="4">
                    <c:v>AW</c:v>
                  </c:pt>
                  <c:pt idx="5">
                    <c:v>AW</c:v>
                  </c:pt>
                  <c:pt idx="6">
                    <c:v>CM</c:v>
                  </c:pt>
                  <c:pt idx="7">
                    <c:v>TA</c:v>
                  </c:pt>
                  <c:pt idx="8">
                    <c:v>CM</c:v>
                  </c:pt>
                  <c:pt idx="9">
                    <c:v>AW</c:v>
                  </c:pt>
                  <c:pt idx="10">
                    <c:v>AW</c:v>
                  </c:pt>
                  <c:pt idx="11">
                    <c:v>CM</c:v>
                  </c:pt>
                  <c:pt idx="12">
                    <c:v>AW</c:v>
                  </c:pt>
                </c:lvl>
                <c:lvl>
                  <c:pt idx="0">
                    <c:v>CJ0211</c:v>
                  </c:pt>
                  <c:pt idx="1">
                    <c:v>DA1130</c:v>
                  </c:pt>
                  <c:pt idx="2">
                    <c:v>CL3033</c:v>
                  </c:pt>
                  <c:pt idx="3">
                    <c:v>DA1627</c:v>
                  </c:pt>
                  <c:pt idx="4">
                    <c:v>DA1669</c:v>
                  </c:pt>
                  <c:pt idx="5">
                    <c:v>CL5312</c:v>
                  </c:pt>
                  <c:pt idx="6">
                    <c:v>DA0379</c:v>
                  </c:pt>
                  <c:pt idx="7">
                    <c:v>CL7180</c:v>
                  </c:pt>
                  <c:pt idx="8">
                    <c:v>CJ2150</c:v>
                  </c:pt>
                  <c:pt idx="9">
                    <c:v>DA2568</c:v>
                  </c:pt>
                  <c:pt idx="10">
                    <c:v>CE6835</c:v>
                  </c:pt>
                  <c:pt idx="11">
                    <c:v>DA1721</c:v>
                  </c:pt>
                  <c:pt idx="12">
                    <c:v>DA2338</c:v>
                  </c:pt>
                </c:lvl>
              </c:multiLvlStrCache>
            </c:multiLvlStrRef>
          </c:cat>
          <c:val>
            <c:numRef>
              <c:f>'Collector Analysis Report Dashb'!$C$125:$C$137</c:f>
              <c:numCache>
                <c:formatCode>General</c:formatCode>
                <c:ptCount val="13"/>
                <c:pt idx="0">
                  <c:v>540.5</c:v>
                </c:pt>
                <c:pt idx="1">
                  <c:v>511.33</c:v>
                </c:pt>
                <c:pt idx="2">
                  <c:v>372</c:v>
                </c:pt>
                <c:pt idx="3">
                  <c:v>346</c:v>
                </c:pt>
                <c:pt idx="4">
                  <c:v>335.5</c:v>
                </c:pt>
                <c:pt idx="5">
                  <c:v>326</c:v>
                </c:pt>
                <c:pt idx="6">
                  <c:v>296</c:v>
                </c:pt>
                <c:pt idx="7">
                  <c:v>278</c:v>
                </c:pt>
                <c:pt idx="8">
                  <c:v>278</c:v>
                </c:pt>
                <c:pt idx="9">
                  <c:v>238</c:v>
                </c:pt>
                <c:pt idx="10">
                  <c:v>230</c:v>
                </c:pt>
                <c:pt idx="11">
                  <c:v>206.25</c:v>
                </c:pt>
                <c:pt idx="12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D-46C0-B15B-006755BB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460159"/>
        <c:axId val="1361471199"/>
      </c:lineChart>
      <c:catAx>
        <c:axId val="136146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1199"/>
        <c:crosses val="autoZero"/>
        <c:auto val="1"/>
        <c:lblAlgn val="ctr"/>
        <c:lblOffset val="100"/>
        <c:noMultiLvlLbl val="0"/>
      </c:catAx>
      <c:valAx>
        <c:axId val="13614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0159"/>
        <c:crosses val="autoZero"/>
        <c:crossBetween val="between"/>
      </c:valAx>
      <c:valAx>
        <c:axId val="13614615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63519"/>
        <c:crosses val="max"/>
        <c:crossBetween val="between"/>
      </c:valAx>
      <c:catAx>
        <c:axId val="1361463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1461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600075</xdr:colOff>
      <xdr:row>296</xdr:row>
      <xdr:rowOff>0</xdr:rowOff>
    </xdr:from>
    <xdr:to>
      <xdr:col>61</xdr:col>
      <xdr:colOff>28575</xdr:colOff>
      <xdr:row>296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9BB1B-58E8-41F6-B72A-F1671FCD2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600075</xdr:colOff>
      <xdr:row>176</xdr:row>
      <xdr:rowOff>0</xdr:rowOff>
    </xdr:from>
    <xdr:to>
      <xdr:col>61</xdr:col>
      <xdr:colOff>28575</xdr:colOff>
      <xdr:row>176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B6DFD83-4B5E-4297-BB99-9DF6F4614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600075</xdr:colOff>
      <xdr:row>143</xdr:row>
      <xdr:rowOff>0</xdr:rowOff>
    </xdr:from>
    <xdr:to>
      <xdr:col>61</xdr:col>
      <xdr:colOff>28575</xdr:colOff>
      <xdr:row>143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E39F63F-B1DC-4604-B47D-35B3C6D0A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600075</xdr:colOff>
      <xdr:row>31</xdr:row>
      <xdr:rowOff>0</xdr:rowOff>
    </xdr:from>
    <xdr:to>
      <xdr:col>61</xdr:col>
      <xdr:colOff>28575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545870-8647-4A36-9390-8EB7FE44C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355600</xdr:colOff>
      <xdr:row>3</xdr:row>
      <xdr:rowOff>206586</xdr:rowOff>
    </xdr:from>
    <xdr:to>
      <xdr:col>64</xdr:col>
      <xdr:colOff>242993</xdr:colOff>
      <xdr:row>16</xdr:row>
      <xdr:rowOff>71121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62F0D92-8FF4-40CB-8CC6-26937D525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146475</xdr:colOff>
      <xdr:row>3</xdr:row>
      <xdr:rowOff>177798</xdr:rowOff>
    </xdr:from>
    <xdr:to>
      <xdr:col>75</xdr:col>
      <xdr:colOff>480061</xdr:colOff>
      <xdr:row>16</xdr:row>
      <xdr:rowOff>99060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784B14D8-D561-4406-B2BE-7D9DB4476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78</xdr:col>
      <xdr:colOff>59266</xdr:colOff>
      <xdr:row>3</xdr:row>
      <xdr:rowOff>110067</xdr:rowOff>
    </xdr:from>
    <xdr:to>
      <xdr:col>94</xdr:col>
      <xdr:colOff>537844</xdr:colOff>
      <xdr:row>15</xdr:row>
      <xdr:rowOff>40217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B9704E7-8D36-4683-9090-01DE2D7C2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304800</xdr:colOff>
      <xdr:row>18</xdr:row>
      <xdr:rowOff>167640</xdr:rowOff>
    </xdr:from>
    <xdr:to>
      <xdr:col>64</xdr:col>
      <xdr:colOff>192193</xdr:colOff>
      <xdr:row>31</xdr:row>
      <xdr:rowOff>1695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786B32B6-7755-4DF8-BFB5-7A7594245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388620</xdr:colOff>
      <xdr:row>34</xdr:row>
      <xdr:rowOff>30480</xdr:rowOff>
    </xdr:from>
    <xdr:to>
      <xdr:col>64</xdr:col>
      <xdr:colOff>53339</xdr:colOff>
      <xdr:row>47</xdr:row>
      <xdr:rowOff>129540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557DEC3-7E46-4CB6-88C5-2527082BD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243840</xdr:colOff>
      <xdr:row>128</xdr:row>
      <xdr:rowOff>15240</xdr:rowOff>
    </xdr:from>
    <xdr:to>
      <xdr:col>64</xdr:col>
      <xdr:colOff>131233</xdr:colOff>
      <xdr:row>142</xdr:row>
      <xdr:rowOff>146475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8CAEF013-F31E-4011-A604-4091B04C3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243840</xdr:colOff>
      <xdr:row>144</xdr:row>
      <xdr:rowOff>144780</xdr:rowOff>
    </xdr:from>
    <xdr:to>
      <xdr:col>64</xdr:col>
      <xdr:colOff>131233</xdr:colOff>
      <xdr:row>156</xdr:row>
      <xdr:rowOff>77895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8DC900C6-6F25-4E3E-A4D5-AD7BE6AF6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259080</xdr:colOff>
      <xdr:row>162</xdr:row>
      <xdr:rowOff>0</xdr:rowOff>
    </xdr:from>
    <xdr:to>
      <xdr:col>64</xdr:col>
      <xdr:colOff>146473</xdr:colOff>
      <xdr:row>177</xdr:row>
      <xdr:rowOff>30480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C8D9A52D-AC03-49D2-A7F5-2F4FFAB62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53</xdr:col>
      <xdr:colOff>312420</xdr:colOff>
      <xdr:row>181</xdr:row>
      <xdr:rowOff>0</xdr:rowOff>
    </xdr:from>
    <xdr:to>
      <xdr:col>64</xdr:col>
      <xdr:colOff>199813</xdr:colOff>
      <xdr:row>193</xdr:row>
      <xdr:rowOff>55035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A2A60394-7BE6-4D04-8FAF-38565A966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274320</xdr:colOff>
      <xdr:row>197</xdr:row>
      <xdr:rowOff>45720</xdr:rowOff>
    </xdr:from>
    <xdr:to>
      <xdr:col>64</xdr:col>
      <xdr:colOff>161713</xdr:colOff>
      <xdr:row>210</xdr:row>
      <xdr:rowOff>16935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7A3D48C2-C6D6-4DA7-A354-3031C6105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53</xdr:col>
      <xdr:colOff>220980</xdr:colOff>
      <xdr:row>213</xdr:row>
      <xdr:rowOff>129540</xdr:rowOff>
    </xdr:from>
    <xdr:to>
      <xdr:col>64</xdr:col>
      <xdr:colOff>108373</xdr:colOff>
      <xdr:row>225</xdr:row>
      <xdr:rowOff>176955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4A4FD3D9-C919-4901-B066-EF9D0AFC0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53</xdr:col>
      <xdr:colOff>266700</xdr:colOff>
      <xdr:row>235</xdr:row>
      <xdr:rowOff>213360</xdr:rowOff>
    </xdr:from>
    <xdr:to>
      <xdr:col>64</xdr:col>
      <xdr:colOff>154093</xdr:colOff>
      <xdr:row>247</xdr:row>
      <xdr:rowOff>108375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B081AE38-1EF6-45C7-8BF7-F686B3D36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228600</xdr:colOff>
      <xdr:row>252</xdr:row>
      <xdr:rowOff>106680</xdr:rowOff>
    </xdr:from>
    <xdr:to>
      <xdr:col>64</xdr:col>
      <xdr:colOff>115993</xdr:colOff>
      <xdr:row>264</xdr:row>
      <xdr:rowOff>85515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4B95B5A1-BFDF-459C-B66C-AFA257F8D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65</xdr:col>
      <xdr:colOff>152400</xdr:colOff>
      <xdr:row>18</xdr:row>
      <xdr:rowOff>76200</xdr:rowOff>
    </xdr:from>
    <xdr:to>
      <xdr:col>75</xdr:col>
      <xdr:colOff>485986</xdr:colOff>
      <xdr:row>30</xdr:row>
      <xdr:rowOff>129540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BCA7D149-A34E-473A-B7B3-B08D5042C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65</xdr:col>
      <xdr:colOff>114300</xdr:colOff>
      <xdr:row>33</xdr:row>
      <xdr:rowOff>152401</xdr:rowOff>
    </xdr:from>
    <xdr:to>
      <xdr:col>75</xdr:col>
      <xdr:colOff>447886</xdr:colOff>
      <xdr:row>47</xdr:row>
      <xdr:rowOff>76201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8B843270-C5D9-49AC-8CC2-B9399A164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65</xdr:col>
      <xdr:colOff>114300</xdr:colOff>
      <xdr:row>127</xdr:row>
      <xdr:rowOff>167640</xdr:rowOff>
    </xdr:from>
    <xdr:to>
      <xdr:col>75</xdr:col>
      <xdr:colOff>447886</xdr:colOff>
      <xdr:row>142</xdr:row>
      <xdr:rowOff>88901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107F134B-72AE-4532-9FEA-89E38C8BA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65</xdr:col>
      <xdr:colOff>53340</xdr:colOff>
      <xdr:row>144</xdr:row>
      <xdr:rowOff>175260</xdr:rowOff>
    </xdr:from>
    <xdr:to>
      <xdr:col>75</xdr:col>
      <xdr:colOff>449580</xdr:colOff>
      <xdr:row>156</xdr:row>
      <xdr:rowOff>81281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B54B0D20-7433-4010-B620-8F525C7C4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76200</xdr:colOff>
      <xdr:row>162</xdr:row>
      <xdr:rowOff>60960</xdr:rowOff>
    </xdr:from>
    <xdr:to>
      <xdr:col>75</xdr:col>
      <xdr:colOff>409786</xdr:colOff>
      <xdr:row>177</xdr:row>
      <xdr:rowOff>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C9E7C4C4-AA14-4741-A232-676B43F9A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65</xdr:col>
      <xdr:colOff>68580</xdr:colOff>
      <xdr:row>181</xdr:row>
      <xdr:rowOff>7620</xdr:rowOff>
    </xdr:from>
    <xdr:to>
      <xdr:col>75</xdr:col>
      <xdr:colOff>402166</xdr:colOff>
      <xdr:row>193</xdr:row>
      <xdr:rowOff>60960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25BD3619-20B9-4911-AB97-2014C768A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65</xdr:col>
      <xdr:colOff>91440</xdr:colOff>
      <xdr:row>197</xdr:row>
      <xdr:rowOff>0</xdr:rowOff>
    </xdr:from>
    <xdr:to>
      <xdr:col>75</xdr:col>
      <xdr:colOff>425026</xdr:colOff>
      <xdr:row>210</xdr:row>
      <xdr:rowOff>30480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C9B1B2D0-733D-4CCD-A47D-8F3AC084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65</xdr:col>
      <xdr:colOff>53340</xdr:colOff>
      <xdr:row>213</xdr:row>
      <xdr:rowOff>137160</xdr:rowOff>
    </xdr:from>
    <xdr:to>
      <xdr:col>75</xdr:col>
      <xdr:colOff>502920</xdr:colOff>
      <xdr:row>225</xdr:row>
      <xdr:rowOff>129540</xdr:rowOff>
    </xdr:to>
    <xdr:graphicFrame macro="">
      <xdr:nvGraphicFramePr>
        <xdr:cNvPr id="36" name="Chart 1">
          <a:extLst>
            <a:ext uri="{FF2B5EF4-FFF2-40B4-BE49-F238E27FC236}">
              <a16:creationId xmlns:a16="http://schemas.microsoft.com/office/drawing/2014/main" id="{2D298398-B18A-4DBD-9DF1-55A060931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65</xdr:col>
      <xdr:colOff>304800</xdr:colOff>
      <xdr:row>235</xdr:row>
      <xdr:rowOff>205740</xdr:rowOff>
    </xdr:from>
    <xdr:to>
      <xdr:col>76</xdr:col>
      <xdr:colOff>21166</xdr:colOff>
      <xdr:row>247</xdr:row>
      <xdr:rowOff>73661</xdr:rowOff>
    </xdr:to>
    <xdr:graphicFrame macro="">
      <xdr:nvGraphicFramePr>
        <xdr:cNvPr id="39" name="Chart 1">
          <a:extLst>
            <a:ext uri="{FF2B5EF4-FFF2-40B4-BE49-F238E27FC236}">
              <a16:creationId xmlns:a16="http://schemas.microsoft.com/office/drawing/2014/main" id="{B1885E62-B4E2-4163-B40B-077FFC3DD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78</xdr:col>
      <xdr:colOff>0</xdr:colOff>
      <xdr:row>18</xdr:row>
      <xdr:rowOff>0</xdr:rowOff>
    </xdr:from>
    <xdr:to>
      <xdr:col>94</xdr:col>
      <xdr:colOff>478578</xdr:colOff>
      <xdr:row>29</xdr:row>
      <xdr:rowOff>90170</xdr:rowOff>
    </xdr:to>
    <xdr:graphicFrame macro="">
      <xdr:nvGraphicFramePr>
        <xdr:cNvPr id="41" name="Chart 1">
          <a:extLst>
            <a:ext uri="{FF2B5EF4-FFF2-40B4-BE49-F238E27FC236}">
              <a16:creationId xmlns:a16="http://schemas.microsoft.com/office/drawing/2014/main" id="{CF167673-7291-4234-AE09-D26BC7CE9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78</xdr:col>
      <xdr:colOff>0</xdr:colOff>
      <xdr:row>34</xdr:row>
      <xdr:rowOff>0</xdr:rowOff>
    </xdr:from>
    <xdr:to>
      <xdr:col>94</xdr:col>
      <xdr:colOff>478578</xdr:colOff>
      <xdr:row>46</xdr:row>
      <xdr:rowOff>121920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9D5C5A48-DEC4-42E1-8D43-1A7E2070B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78</xdr:col>
      <xdr:colOff>0</xdr:colOff>
      <xdr:row>129</xdr:row>
      <xdr:rowOff>0</xdr:rowOff>
    </xdr:from>
    <xdr:to>
      <xdr:col>94</xdr:col>
      <xdr:colOff>478578</xdr:colOff>
      <xdr:row>142</xdr:row>
      <xdr:rowOff>114300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F41B213E-E43A-485B-B60C-FADBE8434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78</xdr:col>
      <xdr:colOff>0</xdr:colOff>
      <xdr:row>145</xdr:row>
      <xdr:rowOff>0</xdr:rowOff>
    </xdr:from>
    <xdr:to>
      <xdr:col>94</xdr:col>
      <xdr:colOff>478578</xdr:colOff>
      <xdr:row>157</xdr:row>
      <xdr:rowOff>60960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11EF2832-E0F8-437C-B4C4-E763D34DC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78</xdr:col>
      <xdr:colOff>0</xdr:colOff>
      <xdr:row>164</xdr:row>
      <xdr:rowOff>0</xdr:rowOff>
    </xdr:from>
    <xdr:to>
      <xdr:col>94</xdr:col>
      <xdr:colOff>478578</xdr:colOff>
      <xdr:row>177</xdr:row>
      <xdr:rowOff>21590</xdr:rowOff>
    </xdr:to>
    <xdr:graphicFrame macro="">
      <xdr:nvGraphicFramePr>
        <xdr:cNvPr id="47" name="Chart 1">
          <a:extLst>
            <a:ext uri="{FF2B5EF4-FFF2-40B4-BE49-F238E27FC236}">
              <a16:creationId xmlns:a16="http://schemas.microsoft.com/office/drawing/2014/main" id="{F294DB05-21A8-42EB-B58C-4BADC28E5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78</xdr:col>
      <xdr:colOff>0</xdr:colOff>
      <xdr:row>181</xdr:row>
      <xdr:rowOff>0</xdr:rowOff>
    </xdr:from>
    <xdr:to>
      <xdr:col>94</xdr:col>
      <xdr:colOff>478578</xdr:colOff>
      <xdr:row>191</xdr:row>
      <xdr:rowOff>67310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A8A6B8A6-2848-4F57-BA45-D7718555C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78</xdr:col>
      <xdr:colOff>0</xdr:colOff>
      <xdr:row>197</xdr:row>
      <xdr:rowOff>0</xdr:rowOff>
    </xdr:from>
    <xdr:to>
      <xdr:col>94</xdr:col>
      <xdr:colOff>478578</xdr:colOff>
      <xdr:row>207</xdr:row>
      <xdr:rowOff>158750</xdr:rowOff>
    </xdr:to>
    <xdr:graphicFrame macro="">
      <xdr:nvGraphicFramePr>
        <xdr:cNvPr id="51" name="Chart 1">
          <a:extLst>
            <a:ext uri="{FF2B5EF4-FFF2-40B4-BE49-F238E27FC236}">
              <a16:creationId xmlns:a16="http://schemas.microsoft.com/office/drawing/2014/main" id="{1F09BC19-BB32-4E0E-9331-181CA841A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78</xdr:col>
      <xdr:colOff>0</xdr:colOff>
      <xdr:row>213</xdr:row>
      <xdr:rowOff>0</xdr:rowOff>
    </xdr:from>
    <xdr:to>
      <xdr:col>94</xdr:col>
      <xdr:colOff>478578</xdr:colOff>
      <xdr:row>225</xdr:row>
      <xdr:rowOff>7620</xdr:rowOff>
    </xdr:to>
    <xdr:graphicFrame macro="">
      <xdr:nvGraphicFramePr>
        <xdr:cNvPr id="52" name="Chart 1">
          <a:extLst>
            <a:ext uri="{FF2B5EF4-FFF2-40B4-BE49-F238E27FC236}">
              <a16:creationId xmlns:a16="http://schemas.microsoft.com/office/drawing/2014/main" id="{4E256BFA-08FF-4F11-BE85-7977A1407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78</xdr:col>
      <xdr:colOff>0</xdr:colOff>
      <xdr:row>235</xdr:row>
      <xdr:rowOff>0</xdr:rowOff>
    </xdr:from>
    <xdr:to>
      <xdr:col>94</xdr:col>
      <xdr:colOff>478578</xdr:colOff>
      <xdr:row>245</xdr:row>
      <xdr:rowOff>151130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B99089D0-7F5A-4602-BD8C-EB3152EA9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78</xdr:col>
      <xdr:colOff>38100</xdr:colOff>
      <xdr:row>250</xdr:row>
      <xdr:rowOff>175260</xdr:rowOff>
    </xdr:from>
    <xdr:to>
      <xdr:col>94</xdr:col>
      <xdr:colOff>516678</xdr:colOff>
      <xdr:row>264</xdr:row>
      <xdr:rowOff>7620</xdr:rowOff>
    </xdr:to>
    <xdr:graphicFrame macro="">
      <xdr:nvGraphicFramePr>
        <xdr:cNvPr id="56" name="Chart 1">
          <a:extLst>
            <a:ext uri="{FF2B5EF4-FFF2-40B4-BE49-F238E27FC236}">
              <a16:creationId xmlns:a16="http://schemas.microsoft.com/office/drawing/2014/main" id="{7FD2F243-D39B-458E-B195-A808147C8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66</xdr:col>
      <xdr:colOff>0</xdr:colOff>
      <xdr:row>252</xdr:row>
      <xdr:rowOff>0</xdr:rowOff>
    </xdr:from>
    <xdr:to>
      <xdr:col>76</xdr:col>
      <xdr:colOff>333586</xdr:colOff>
      <xdr:row>263</xdr:row>
      <xdr:rowOff>134621</xdr:rowOff>
    </xdr:to>
    <xdr:graphicFrame macro="">
      <xdr:nvGraphicFramePr>
        <xdr:cNvPr id="57" name="Chart 1">
          <a:extLst>
            <a:ext uri="{FF2B5EF4-FFF2-40B4-BE49-F238E27FC236}">
              <a16:creationId xmlns:a16="http://schemas.microsoft.com/office/drawing/2014/main" id="{E9200881-A7C7-4B5D-B42D-863098ACC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53</xdr:col>
      <xdr:colOff>320041</xdr:colOff>
      <xdr:row>50</xdr:row>
      <xdr:rowOff>137160</xdr:rowOff>
    </xdr:from>
    <xdr:to>
      <xdr:col>64</xdr:col>
      <xdr:colOff>30481</xdr:colOff>
      <xdr:row>62</xdr:row>
      <xdr:rowOff>32175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DB12F5FA-EC45-4428-8033-38E307706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160020</xdr:colOff>
      <xdr:row>50</xdr:row>
      <xdr:rowOff>45720</xdr:rowOff>
    </xdr:from>
    <xdr:to>
      <xdr:col>75</xdr:col>
      <xdr:colOff>493606</xdr:colOff>
      <xdr:row>61</xdr:row>
      <xdr:rowOff>104141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2DA2E58D-9982-4199-9AC5-520461A9C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78</xdr:col>
      <xdr:colOff>30480</xdr:colOff>
      <xdr:row>50</xdr:row>
      <xdr:rowOff>7620</xdr:rowOff>
    </xdr:from>
    <xdr:to>
      <xdr:col>94</xdr:col>
      <xdr:colOff>509058</xdr:colOff>
      <xdr:row>60</xdr:row>
      <xdr:rowOff>158750</xdr:rowOff>
    </xdr:to>
    <xdr:graphicFrame macro="">
      <xdr:nvGraphicFramePr>
        <xdr:cNvPr id="59" name="Chart 1">
          <a:extLst>
            <a:ext uri="{FF2B5EF4-FFF2-40B4-BE49-F238E27FC236}">
              <a16:creationId xmlns:a16="http://schemas.microsoft.com/office/drawing/2014/main" id="{5BB95A16-C4B6-4176-B1B0-69EE4EEDA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53</xdr:col>
      <xdr:colOff>434340</xdr:colOff>
      <xdr:row>64</xdr:row>
      <xdr:rowOff>175261</xdr:rowOff>
    </xdr:from>
    <xdr:to>
      <xdr:col>64</xdr:col>
      <xdr:colOff>144780</xdr:colOff>
      <xdr:row>76</xdr:row>
      <xdr:rowOff>7621</xdr:rowOff>
    </xdr:to>
    <xdr:graphicFrame macro="">
      <xdr:nvGraphicFramePr>
        <xdr:cNvPr id="75" name="Chart 1">
          <a:extLst>
            <a:ext uri="{FF2B5EF4-FFF2-40B4-BE49-F238E27FC236}">
              <a16:creationId xmlns:a16="http://schemas.microsoft.com/office/drawing/2014/main" id="{F60DAEFA-6EEB-44BB-A572-391BA8525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53</xdr:col>
      <xdr:colOff>449580</xdr:colOff>
      <xdr:row>80</xdr:row>
      <xdr:rowOff>45721</xdr:rowOff>
    </xdr:from>
    <xdr:to>
      <xdr:col>64</xdr:col>
      <xdr:colOff>160020</xdr:colOff>
      <xdr:row>92</xdr:row>
      <xdr:rowOff>114301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057DBB54-1CBA-43E4-B188-FA3318D47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53</xdr:col>
      <xdr:colOff>457200</xdr:colOff>
      <xdr:row>95</xdr:row>
      <xdr:rowOff>68580</xdr:rowOff>
    </xdr:from>
    <xdr:to>
      <xdr:col>64</xdr:col>
      <xdr:colOff>167640</xdr:colOff>
      <xdr:row>107</xdr:row>
      <xdr:rowOff>137160</xdr:rowOff>
    </xdr:to>
    <xdr:graphicFrame macro="">
      <xdr:nvGraphicFramePr>
        <xdr:cNvPr id="77" name="Chart 1">
          <a:extLst>
            <a:ext uri="{FF2B5EF4-FFF2-40B4-BE49-F238E27FC236}">
              <a16:creationId xmlns:a16="http://schemas.microsoft.com/office/drawing/2014/main" id="{5886A808-6A26-446C-B1B2-A3FCF0681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53</xdr:col>
      <xdr:colOff>426720</xdr:colOff>
      <xdr:row>112</xdr:row>
      <xdr:rowOff>121920</xdr:rowOff>
    </xdr:from>
    <xdr:to>
      <xdr:col>64</xdr:col>
      <xdr:colOff>137160</xdr:colOff>
      <xdr:row>125</xdr:row>
      <xdr:rowOff>0</xdr:rowOff>
    </xdr:to>
    <xdr:graphicFrame macro="">
      <xdr:nvGraphicFramePr>
        <xdr:cNvPr id="78" name="Chart 1">
          <a:extLst>
            <a:ext uri="{FF2B5EF4-FFF2-40B4-BE49-F238E27FC236}">
              <a16:creationId xmlns:a16="http://schemas.microsoft.com/office/drawing/2014/main" id="{42ED99A9-EFC3-4790-A80F-C81C7A3A5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65</xdr:col>
      <xdr:colOff>137160</xdr:colOff>
      <xdr:row>64</xdr:row>
      <xdr:rowOff>91440</xdr:rowOff>
    </xdr:from>
    <xdr:to>
      <xdr:col>75</xdr:col>
      <xdr:colOff>470746</xdr:colOff>
      <xdr:row>75</xdr:row>
      <xdr:rowOff>149861</xdr:rowOff>
    </xdr:to>
    <xdr:graphicFrame macro="">
      <xdr:nvGraphicFramePr>
        <xdr:cNvPr id="79" name="Chart 1">
          <a:extLst>
            <a:ext uri="{FF2B5EF4-FFF2-40B4-BE49-F238E27FC236}">
              <a16:creationId xmlns:a16="http://schemas.microsoft.com/office/drawing/2014/main" id="{7188EF1C-4300-49CB-AA76-1DEDE22AF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65</xdr:col>
      <xdr:colOff>76200</xdr:colOff>
      <xdr:row>80</xdr:row>
      <xdr:rowOff>45720</xdr:rowOff>
    </xdr:from>
    <xdr:to>
      <xdr:col>75</xdr:col>
      <xdr:colOff>409786</xdr:colOff>
      <xdr:row>92</xdr:row>
      <xdr:rowOff>76200</xdr:rowOff>
    </xdr:to>
    <xdr:graphicFrame macro="">
      <xdr:nvGraphicFramePr>
        <xdr:cNvPr id="80" name="Chart 1">
          <a:extLst>
            <a:ext uri="{FF2B5EF4-FFF2-40B4-BE49-F238E27FC236}">
              <a16:creationId xmlns:a16="http://schemas.microsoft.com/office/drawing/2014/main" id="{E9D7BB9E-EB8C-4293-9AC0-32A9592B3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65</xdr:col>
      <xdr:colOff>114300</xdr:colOff>
      <xdr:row>95</xdr:row>
      <xdr:rowOff>60960</xdr:rowOff>
    </xdr:from>
    <xdr:to>
      <xdr:col>75</xdr:col>
      <xdr:colOff>447886</xdr:colOff>
      <xdr:row>107</xdr:row>
      <xdr:rowOff>91440</xdr:rowOff>
    </xdr:to>
    <xdr:graphicFrame macro="">
      <xdr:nvGraphicFramePr>
        <xdr:cNvPr id="81" name="Chart 1">
          <a:extLst>
            <a:ext uri="{FF2B5EF4-FFF2-40B4-BE49-F238E27FC236}">
              <a16:creationId xmlns:a16="http://schemas.microsoft.com/office/drawing/2014/main" id="{B012E7A8-B3D6-4B5E-A25C-E8A993B90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65</xdr:col>
      <xdr:colOff>152400</xdr:colOff>
      <xdr:row>112</xdr:row>
      <xdr:rowOff>38100</xdr:rowOff>
    </xdr:from>
    <xdr:to>
      <xdr:col>75</xdr:col>
      <xdr:colOff>485986</xdr:colOff>
      <xdr:row>124</xdr:row>
      <xdr:rowOff>68580</xdr:rowOff>
    </xdr:to>
    <xdr:graphicFrame macro="">
      <xdr:nvGraphicFramePr>
        <xdr:cNvPr id="82" name="Chart 1">
          <a:extLst>
            <a:ext uri="{FF2B5EF4-FFF2-40B4-BE49-F238E27FC236}">
              <a16:creationId xmlns:a16="http://schemas.microsoft.com/office/drawing/2014/main" id="{152CBE9A-BAAA-4D75-B0CA-0F067A5DE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78</xdr:col>
      <xdr:colOff>0</xdr:colOff>
      <xdr:row>63</xdr:row>
      <xdr:rowOff>160020</xdr:rowOff>
    </xdr:from>
    <xdr:to>
      <xdr:col>94</xdr:col>
      <xdr:colOff>478578</xdr:colOff>
      <xdr:row>74</xdr:row>
      <xdr:rowOff>120650</xdr:rowOff>
    </xdr:to>
    <xdr:graphicFrame macro="">
      <xdr:nvGraphicFramePr>
        <xdr:cNvPr id="83" name="Chart 1">
          <a:extLst>
            <a:ext uri="{FF2B5EF4-FFF2-40B4-BE49-F238E27FC236}">
              <a16:creationId xmlns:a16="http://schemas.microsoft.com/office/drawing/2014/main" id="{2E27E5B2-DAAE-4F5C-80E8-9FFD8A352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78</xdr:col>
      <xdr:colOff>0</xdr:colOff>
      <xdr:row>80</xdr:row>
      <xdr:rowOff>0</xdr:rowOff>
    </xdr:from>
    <xdr:to>
      <xdr:col>94</xdr:col>
      <xdr:colOff>478578</xdr:colOff>
      <xdr:row>90</xdr:row>
      <xdr:rowOff>151130</xdr:rowOff>
    </xdr:to>
    <xdr:graphicFrame macro="">
      <xdr:nvGraphicFramePr>
        <xdr:cNvPr id="84" name="Chart 1">
          <a:extLst>
            <a:ext uri="{FF2B5EF4-FFF2-40B4-BE49-F238E27FC236}">
              <a16:creationId xmlns:a16="http://schemas.microsoft.com/office/drawing/2014/main" id="{C4216420-9665-4D9E-9C7C-8B933EE61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78</xdr:col>
      <xdr:colOff>0</xdr:colOff>
      <xdr:row>96</xdr:row>
      <xdr:rowOff>0</xdr:rowOff>
    </xdr:from>
    <xdr:to>
      <xdr:col>94</xdr:col>
      <xdr:colOff>478578</xdr:colOff>
      <xdr:row>108</xdr:row>
      <xdr:rowOff>114300</xdr:rowOff>
    </xdr:to>
    <xdr:graphicFrame macro="">
      <xdr:nvGraphicFramePr>
        <xdr:cNvPr id="85" name="Chart 1">
          <a:extLst>
            <a:ext uri="{FF2B5EF4-FFF2-40B4-BE49-F238E27FC236}">
              <a16:creationId xmlns:a16="http://schemas.microsoft.com/office/drawing/2014/main" id="{B6E8A706-28C2-435F-BCCC-445B7AFD8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78</xdr:col>
      <xdr:colOff>0</xdr:colOff>
      <xdr:row>113</xdr:row>
      <xdr:rowOff>0</xdr:rowOff>
    </xdr:from>
    <xdr:to>
      <xdr:col>94</xdr:col>
      <xdr:colOff>478578</xdr:colOff>
      <xdr:row>125</xdr:row>
      <xdr:rowOff>114300</xdr:rowOff>
    </xdr:to>
    <xdr:graphicFrame macro="">
      <xdr:nvGraphicFramePr>
        <xdr:cNvPr id="86" name="Chart 1">
          <a:extLst>
            <a:ext uri="{FF2B5EF4-FFF2-40B4-BE49-F238E27FC236}">
              <a16:creationId xmlns:a16="http://schemas.microsoft.com/office/drawing/2014/main" id="{C6311ABF-A63B-4C66-A0A3-9463514DB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0</xdr:row>
      <xdr:rowOff>175260</xdr:rowOff>
    </xdr:from>
    <xdr:to>
      <xdr:col>11</xdr:col>
      <xdr:colOff>449836</xdr:colOff>
      <xdr:row>7</xdr:row>
      <xdr:rowOff>53512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441960</xdr:colOff>
      <xdr:row>13</xdr:row>
      <xdr:rowOff>7620</xdr:rowOff>
    </xdr:from>
    <xdr:to>
      <xdr:col>17</xdr:col>
      <xdr:colOff>571500</xdr:colOff>
      <xdr:row>29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464820</xdr:colOff>
      <xdr:row>30</xdr:row>
      <xdr:rowOff>68580</xdr:rowOff>
    </xdr:from>
    <xdr:to>
      <xdr:col>17</xdr:col>
      <xdr:colOff>601980</xdr:colOff>
      <xdr:row>48</xdr:row>
      <xdr:rowOff>15240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358140</xdr:colOff>
      <xdr:row>1</xdr:row>
      <xdr:rowOff>76200</xdr:rowOff>
    </xdr:from>
    <xdr:to>
      <xdr:col>17</xdr:col>
      <xdr:colOff>327660</xdr:colOff>
      <xdr:row>11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9</xdr:row>
      <xdr:rowOff>0</xdr:rowOff>
    </xdr:from>
    <xdr:to>
      <xdr:col>25</xdr:col>
      <xdr:colOff>22860</xdr:colOff>
      <xdr:row>13</xdr:row>
      <xdr:rowOff>167640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8140C6B-FCE2-4B77-B1D8-9B7531B04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55</xdr:row>
      <xdr:rowOff>106680</xdr:rowOff>
    </xdr:from>
    <xdr:to>
      <xdr:col>17</xdr:col>
      <xdr:colOff>464820</xdr:colOff>
      <xdr:row>74</xdr:row>
      <xdr:rowOff>38100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F36AE727-3C79-41FD-98E5-3117F6F7B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38100</xdr:colOff>
      <xdr:row>121</xdr:row>
      <xdr:rowOff>106680</xdr:rowOff>
    </xdr:from>
    <xdr:to>
      <xdr:col>12</xdr:col>
      <xdr:colOff>358140</xdr:colOff>
      <xdr:row>140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567D38-23F6-AB70-3AEE-257139CA2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ence Burekeni" refreshedDate="46182.638961805555" createdVersion="8" refreshedVersion="8" minRefreshableVersion="3" recordCount="81" xr:uid="{748520C8-DDE6-47B9-AA1F-EEDD0CEC3226}">
  <cacheSource type="worksheet">
    <worksheetSource ref="A5:D86" sheet="Raw Data and Pivot tables "/>
  </cacheSource>
  <cacheFields count="4">
    <cacheField name="Collector" numFmtId="0">
      <sharedItems count="3">
        <s v="TA"/>
        <s v="AW"/>
        <s v="CM"/>
      </sharedItems>
    </cacheField>
    <cacheField name="Week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Boar" numFmtId="0">
      <sharedItems count="14">
        <s v="DA2338"/>
        <s v="DA1669"/>
        <s v="DA1130"/>
        <s v="DA1721"/>
        <s v="DA1627"/>
        <s v="DA2568"/>
        <s v="CL7180"/>
        <s v="CJ0211"/>
        <s v="CL5312"/>
        <s v="CL3033"/>
        <s v="DA0379"/>
        <s v="CE6835"/>
        <s v="CJ2150"/>
        <s v="DA2470"/>
      </sharedItems>
    </cacheField>
    <cacheField name="Raw Semen (mls)" numFmtId="0">
      <sharedItems containsSemiMixedTypes="0" containsString="0" containsNumber="1" containsInteger="1" minValue="112" maxValue="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x v="0"/>
    <n v="134"/>
  </r>
  <r>
    <x v="1"/>
    <x v="0"/>
    <x v="1"/>
    <n v="360"/>
  </r>
  <r>
    <x v="1"/>
    <x v="0"/>
    <x v="2"/>
    <n v="358"/>
  </r>
  <r>
    <x v="0"/>
    <x v="0"/>
    <x v="3"/>
    <n v="145"/>
  </r>
  <r>
    <x v="0"/>
    <x v="0"/>
    <x v="4"/>
    <n v="338"/>
  </r>
  <r>
    <x v="0"/>
    <x v="0"/>
    <x v="5"/>
    <n v="170"/>
  </r>
  <r>
    <x v="0"/>
    <x v="0"/>
    <x v="6"/>
    <n v="278"/>
  </r>
  <r>
    <x v="1"/>
    <x v="0"/>
    <x v="7"/>
    <n v="638"/>
  </r>
  <r>
    <x v="1"/>
    <x v="0"/>
    <x v="8"/>
    <n v="278"/>
  </r>
  <r>
    <x v="1"/>
    <x v="0"/>
    <x v="9"/>
    <n v="372"/>
  </r>
  <r>
    <x v="2"/>
    <x v="0"/>
    <x v="10"/>
    <n v="318"/>
  </r>
  <r>
    <x v="1"/>
    <x v="0"/>
    <x v="11"/>
    <n v="214"/>
  </r>
  <r>
    <x v="2"/>
    <x v="1"/>
    <x v="0"/>
    <n v="112"/>
  </r>
  <r>
    <x v="2"/>
    <x v="1"/>
    <x v="1"/>
    <n v="250"/>
  </r>
  <r>
    <x v="1"/>
    <x v="1"/>
    <x v="2"/>
    <n v="550"/>
  </r>
  <r>
    <x v="2"/>
    <x v="1"/>
    <x v="3"/>
    <n v="215"/>
  </r>
  <r>
    <x v="1"/>
    <x v="1"/>
    <x v="4"/>
    <n v="328"/>
  </r>
  <r>
    <x v="2"/>
    <x v="1"/>
    <x v="5"/>
    <n v="252"/>
  </r>
  <r>
    <x v="2"/>
    <x v="1"/>
    <x v="6"/>
    <n v="172"/>
  </r>
  <r>
    <x v="2"/>
    <x v="1"/>
    <x v="7"/>
    <n v="514"/>
  </r>
  <r>
    <x v="1"/>
    <x v="1"/>
    <x v="8"/>
    <n v="346"/>
  </r>
  <r>
    <x v="1"/>
    <x v="1"/>
    <x v="9"/>
    <n v="372"/>
  </r>
  <r>
    <x v="2"/>
    <x v="1"/>
    <x v="10"/>
    <n v="212"/>
  </r>
  <r>
    <x v="2"/>
    <x v="1"/>
    <x v="11"/>
    <n v="226"/>
  </r>
  <r>
    <x v="1"/>
    <x v="2"/>
    <x v="0"/>
    <n v="186"/>
  </r>
  <r>
    <x v="1"/>
    <x v="2"/>
    <x v="1"/>
    <n v="318"/>
  </r>
  <r>
    <x v="2"/>
    <x v="2"/>
    <x v="2"/>
    <n v="566"/>
  </r>
  <r>
    <x v="1"/>
    <x v="2"/>
    <x v="3"/>
    <n v="134"/>
  </r>
  <r>
    <x v="2"/>
    <x v="2"/>
    <x v="4"/>
    <n v="346"/>
  </r>
  <r>
    <x v="0"/>
    <x v="2"/>
    <x v="5"/>
    <n v="194"/>
  </r>
  <r>
    <x v="2"/>
    <x v="2"/>
    <x v="6"/>
    <n v="266"/>
  </r>
  <r>
    <x v="1"/>
    <x v="2"/>
    <x v="7"/>
    <n v="406"/>
  </r>
  <r>
    <x v="2"/>
    <x v="2"/>
    <x v="8"/>
    <n v="282"/>
  </r>
  <r>
    <x v="2"/>
    <x v="2"/>
    <x v="9"/>
    <n v="328"/>
  </r>
  <r>
    <x v="0"/>
    <x v="2"/>
    <x v="10"/>
    <n v="252"/>
  </r>
  <r>
    <x v="1"/>
    <x v="2"/>
    <x v="11"/>
    <n v="246"/>
  </r>
  <r>
    <x v="2"/>
    <x v="3"/>
    <x v="0"/>
    <n v="208"/>
  </r>
  <r>
    <x v="1"/>
    <x v="3"/>
    <x v="1"/>
    <n v="328"/>
  </r>
  <r>
    <x v="0"/>
    <x v="3"/>
    <x v="2"/>
    <n v="466"/>
  </r>
  <r>
    <x v="2"/>
    <x v="3"/>
    <x v="3"/>
    <n v="238"/>
  </r>
  <r>
    <x v="0"/>
    <x v="3"/>
    <x v="4"/>
    <n v="308"/>
  </r>
  <r>
    <x v="2"/>
    <x v="3"/>
    <x v="5"/>
    <n v="252"/>
  </r>
  <r>
    <x v="2"/>
    <x v="3"/>
    <x v="7"/>
    <n v="566"/>
  </r>
  <r>
    <x v="2"/>
    <x v="3"/>
    <x v="8"/>
    <n v="300"/>
  </r>
  <r>
    <x v="0"/>
    <x v="3"/>
    <x v="9"/>
    <n v="268"/>
  </r>
  <r>
    <x v="2"/>
    <x v="3"/>
    <x v="10"/>
    <n v="274"/>
  </r>
  <r>
    <x v="2"/>
    <x v="3"/>
    <x v="11"/>
    <n v="220"/>
  </r>
  <r>
    <x v="2"/>
    <x v="4"/>
    <x v="1"/>
    <n v="362"/>
  </r>
  <r>
    <x v="1"/>
    <x v="4"/>
    <x v="2"/>
    <n v="558"/>
  </r>
  <r>
    <x v="1"/>
    <x v="4"/>
    <x v="3"/>
    <n v="146"/>
  </r>
  <r>
    <x v="1"/>
    <x v="4"/>
    <x v="4"/>
    <n v="304"/>
  </r>
  <r>
    <x v="2"/>
    <x v="4"/>
    <x v="5"/>
    <n v="206"/>
  </r>
  <r>
    <x v="1"/>
    <x v="4"/>
    <x v="7"/>
    <n v="524"/>
  </r>
  <r>
    <x v="2"/>
    <x v="4"/>
    <x v="8"/>
    <n v="322"/>
  </r>
  <r>
    <x v="2"/>
    <x v="4"/>
    <x v="9"/>
    <n v="246"/>
  </r>
  <r>
    <x v="0"/>
    <x v="4"/>
    <x v="10"/>
    <n v="278"/>
  </r>
  <r>
    <x v="1"/>
    <x v="4"/>
    <x v="12"/>
    <n v="214"/>
  </r>
  <r>
    <x v="1"/>
    <x v="5"/>
    <x v="0"/>
    <n v="226"/>
  </r>
  <r>
    <x v="2"/>
    <x v="5"/>
    <x v="1"/>
    <n v="230"/>
  </r>
  <r>
    <x v="2"/>
    <x v="5"/>
    <x v="2"/>
    <n v="548"/>
  </r>
  <r>
    <x v="2"/>
    <x v="5"/>
    <x v="3"/>
    <n v="186"/>
  </r>
  <r>
    <x v="1"/>
    <x v="5"/>
    <x v="4"/>
    <n v="294"/>
  </r>
  <r>
    <x v="1"/>
    <x v="5"/>
    <x v="5"/>
    <n v="238"/>
  </r>
  <r>
    <x v="2"/>
    <x v="5"/>
    <x v="6"/>
    <n v="201"/>
  </r>
  <r>
    <x v="1"/>
    <x v="5"/>
    <x v="7"/>
    <n v="594"/>
  </r>
  <r>
    <x v="1"/>
    <x v="5"/>
    <x v="8"/>
    <n v="354"/>
  </r>
  <r>
    <x v="2"/>
    <x v="5"/>
    <x v="9"/>
    <n v="360"/>
  </r>
  <r>
    <x v="0"/>
    <x v="5"/>
    <x v="10"/>
    <n v="288"/>
  </r>
  <r>
    <x v="2"/>
    <x v="5"/>
    <x v="12"/>
    <n v="278"/>
  </r>
  <r>
    <x v="0"/>
    <x v="6"/>
    <x v="0"/>
    <n v="210"/>
  </r>
  <r>
    <x v="1"/>
    <x v="6"/>
    <x v="1"/>
    <n v="336"/>
  </r>
  <r>
    <x v="1"/>
    <x v="6"/>
    <x v="13"/>
    <n v="156"/>
  </r>
  <r>
    <x v="2"/>
    <x v="6"/>
    <x v="2"/>
    <n v="420"/>
  </r>
  <r>
    <x v="2"/>
    <x v="6"/>
    <x v="3"/>
    <n v="186"/>
  </r>
  <r>
    <x v="0"/>
    <x v="6"/>
    <x v="4"/>
    <n v="288"/>
  </r>
  <r>
    <x v="0"/>
    <x v="6"/>
    <x v="5"/>
    <n v="270"/>
  </r>
  <r>
    <x v="2"/>
    <x v="6"/>
    <x v="6"/>
    <n v="296"/>
  </r>
  <r>
    <x v="0"/>
    <x v="6"/>
    <x v="7"/>
    <n v="458"/>
  </r>
  <r>
    <x v="2"/>
    <x v="6"/>
    <x v="8"/>
    <n v="330"/>
  </r>
  <r>
    <x v="2"/>
    <x v="6"/>
    <x v="9"/>
    <n v="416"/>
  </r>
  <r>
    <x v="1"/>
    <x v="6"/>
    <x v="10"/>
    <n v="2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12C98-C8D5-41CB-98A2-1AC7348A63C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llector" colHeaderCaption="Boar">
  <location ref="G7:V12" firstHeaderRow="1" firstDataRow="2" firstDataCol="1" rowPageCount="1" colPageCount="1"/>
  <pivotFields count="4">
    <pivotField axis="axisRow" showAll="0">
      <items count="4">
        <item x="1"/>
        <item x="2"/>
        <item x="0"/>
        <item t="default"/>
      </items>
    </pivotField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5">
        <item x="11"/>
        <item x="7"/>
        <item x="12"/>
        <item x="9"/>
        <item x="8"/>
        <item x="6"/>
        <item x="10"/>
        <item x="2"/>
        <item x="4"/>
        <item x="1"/>
        <item x="3"/>
        <item x="0"/>
        <item x="13"/>
        <item x="5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1" hier="-1"/>
  </pageFields>
  <dataFields count="1">
    <dataField name="Sum of Raw Semen (mls)" fld="3" baseField="0" baseItem="0"/>
  </dataFields>
  <formats count="2">
    <format dxfId="1">
      <pivotArea field="1" type="button" dataOnly="0" labelOnly="1" outline="0" axis="axisPage" fieldPosition="0"/>
    </format>
    <format dxfId="0">
      <pivotArea field="1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EF4F7-1BCC-4CE6-8D28-4086192E122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oar" colHeaderCaption="Raw Semen">
  <location ref="G26:O42" firstHeaderRow="1" firstDataRow="2" firstDataCol="1" rowPageCount="1" colPageCount="1"/>
  <pivotFields count="4">
    <pivotField axis="axisPage" showAll="0">
      <items count="4">
        <item x="1"/>
        <item x="2"/>
        <item x="0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5">
        <item x="11"/>
        <item x="7"/>
        <item x="12"/>
        <item x="9"/>
        <item x="8"/>
        <item x="6"/>
        <item x="10"/>
        <item x="2"/>
        <item x="4"/>
        <item x="1"/>
        <item x="3"/>
        <item x="0"/>
        <item x="13"/>
        <item x="5"/>
        <item t="default"/>
      </items>
    </pivotField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0" hier="-1"/>
  </pageFields>
  <dataFields count="1">
    <dataField name="Sum of Raw Semen (mls)" fld="3" baseField="0" baseItem="0"/>
  </dataFields>
  <formats count="2">
    <format dxfId="3">
      <pivotArea field="0" type="button" dataOnly="0" labelOnly="1" outline="0" axis="axisPage" fieldPosition="0"/>
    </format>
    <format dxfId="2">
      <pivotArea field="0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CB213-70AE-4648-823C-752B762CEE1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llector" colHeaderCaption="Raw semen">
  <location ref="G16:O21" firstHeaderRow="1" firstDataRow="2" firstDataCol="1" rowPageCount="1" colPageCount="1"/>
  <pivotFields count="4">
    <pivotField axis="axisRow" showAll="0">
      <items count="4">
        <item x="1"/>
        <item x="2"/>
        <item x="0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11"/>
        <item x="7"/>
        <item x="12"/>
        <item x="9"/>
        <item x="8"/>
        <item x="6"/>
        <item x="10"/>
        <item x="2"/>
        <item x="4"/>
        <item x="1"/>
        <item x="3"/>
        <item x="0"/>
        <item x="13"/>
        <item x="5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Raw Semen (mls)" fld="3" baseField="0" baseItem="0"/>
  </dataFields>
  <formats count="2">
    <format dxfId="5">
      <pivotArea field="2" type="button" dataOnly="0" labelOnly="1" outline="0" axis="axisPage" fieldPosition="0"/>
    </format>
    <format dxfId="4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workbookViewId="0">
      <selection activeCell="C3" sqref="C3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 t="s">
        <v>14</v>
      </c>
      <c r="B3" s="106" t="s">
        <v>15</v>
      </c>
      <c r="C3" s="107">
        <v>114</v>
      </c>
      <c r="D3" s="108" t="s">
        <v>16</v>
      </c>
      <c r="E3" s="109">
        <v>1</v>
      </c>
      <c r="F3" s="108">
        <v>134</v>
      </c>
      <c r="G3" s="108">
        <v>30</v>
      </c>
      <c r="H3" s="110">
        <f>RANK(G3,$G$3:$G$17)+COUNTIF(G3:$G$3,G3)-1</f>
        <v>13</v>
      </c>
      <c r="I3" s="108">
        <v>88</v>
      </c>
      <c r="J3" s="109">
        <f>RANK(I3,$I$3:$I$17)+COUNTIF(I3:$I$3,I3)-1</f>
        <v>5</v>
      </c>
      <c r="K3" s="111">
        <f t="shared" ref="K3:K8" si="0">(E3+J3)/2</f>
        <v>3</v>
      </c>
      <c r="L3" s="108">
        <f>RANK(K3,$K$3:$K$17,1)+COUNTIF(K3:$K$3,K3)-1</f>
        <v>2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20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360</v>
      </c>
      <c r="G4" s="117">
        <v>80</v>
      </c>
      <c r="H4" s="119">
        <f>RANK(G4,$G$3:$G$17)+COUNTIF(G$3:$G4,G4)-1</f>
        <v>6</v>
      </c>
      <c r="I4" s="117">
        <v>87</v>
      </c>
      <c r="J4" s="118">
        <f>RANK(I4,$I$3:$I$17)+COUNTIF(I$3:$I4,I4)-1</f>
        <v>10</v>
      </c>
      <c r="K4" s="120">
        <f t="shared" si="0"/>
        <v>6</v>
      </c>
      <c r="L4" s="117">
        <f>RANK(K4,$K$3:$K$17,1)+COUNTIF(K$3:$K4,K4)-1</f>
        <v>4</v>
      </c>
      <c r="N4" s="121" t="s">
        <v>22</v>
      </c>
      <c r="O4" s="122">
        <f>SUM(O5:O9)</f>
        <v>480</v>
      </c>
      <c r="P4" s="104">
        <v>495</v>
      </c>
      <c r="Q4" s="105">
        <v>502</v>
      </c>
      <c r="R4" s="123">
        <f>SUM(R5:R9)</f>
        <v>180</v>
      </c>
      <c r="S4" s="104">
        <v>214</v>
      </c>
      <c r="T4" s="105">
        <v>291</v>
      </c>
      <c r="U4" s="101"/>
      <c r="V4" s="101"/>
      <c r="W4" s="101"/>
    </row>
    <row r="5" spans="1:25" x14ac:dyDescent="0.3">
      <c r="A5" s="9"/>
      <c r="B5" s="116" t="s">
        <v>23</v>
      </c>
      <c r="C5" s="116">
        <v>111</v>
      </c>
      <c r="D5" s="117" t="s">
        <v>16</v>
      </c>
      <c r="E5" s="118">
        <v>3</v>
      </c>
      <c r="F5" s="117">
        <v>100</v>
      </c>
      <c r="G5" s="117">
        <v>5</v>
      </c>
      <c r="H5" s="119">
        <f>RANK(G5,$G$3:$G$17)+COUNTIF(G$3:$G5,G5)-1</f>
        <v>14</v>
      </c>
      <c r="I5" s="117">
        <v>89</v>
      </c>
      <c r="J5" s="118">
        <f>RANK(I5,$I$3:$I$17)+COUNTIF(I$3:$I5,I5)-1</f>
        <v>1</v>
      </c>
      <c r="K5" s="120">
        <f t="shared" si="0"/>
        <v>2</v>
      </c>
      <c r="L5" s="117">
        <f>RANK(K5,$K$3:$K$17,1)+COUNTIF(K$3:$K5,K5)-1</f>
        <v>1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20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358</v>
      </c>
      <c r="G6" s="117">
        <v>48</v>
      </c>
      <c r="H6" s="119">
        <f>RANK(G6,$G$3:$G$17)+COUNTIF(G$3:$G6,G6)-1</f>
        <v>10</v>
      </c>
      <c r="I6" s="117">
        <v>87</v>
      </c>
      <c r="J6" s="118">
        <f>RANK(I6,$I$3:$I$17)+COUNTIF(I$3:$I6,I6)-1</f>
        <v>11</v>
      </c>
      <c r="K6" s="120">
        <f t="shared" si="0"/>
        <v>7.5</v>
      </c>
      <c r="L6" s="117">
        <f>RANK(K6,$K$3:$K$17,1)+COUNTIF(K$3:$K6,K6)-1</f>
        <v>7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14</v>
      </c>
      <c r="B7" s="115" t="s">
        <v>27</v>
      </c>
      <c r="C7" s="116">
        <v>107</v>
      </c>
      <c r="D7" s="117" t="s">
        <v>16</v>
      </c>
      <c r="E7" s="118">
        <v>5</v>
      </c>
      <c r="F7" s="117">
        <v>145</v>
      </c>
      <c r="G7" s="117">
        <v>154</v>
      </c>
      <c r="H7" s="119">
        <f>RANK(G7,$G$3:$G$17)+COUNTIF(G$3:$G7,G7)-1</f>
        <v>1</v>
      </c>
      <c r="I7" s="117">
        <v>86</v>
      </c>
      <c r="J7" s="118">
        <f>RANK(I7,$I$3:$I$17)+COUNTIF(I$3:$I7,I7)-1</f>
        <v>15</v>
      </c>
      <c r="K7" s="120">
        <f t="shared" si="0"/>
        <v>10</v>
      </c>
      <c r="L7" s="117">
        <f>RANK(K7,$K$3:$K$17,1)+COUNTIF(K$3:$K7,K7)-1</f>
        <v>11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14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338</v>
      </c>
      <c r="G8" s="117">
        <v>83</v>
      </c>
      <c r="H8" s="119">
        <f>RANK(G8,$G$3:$G$17)+COUNTIF(G$3:$G8,G8)-1</f>
        <v>5</v>
      </c>
      <c r="I8" s="117">
        <v>87</v>
      </c>
      <c r="J8" s="118">
        <f>RANK(I8,$I$3:$I$17)+COUNTIF(I$3:$I8,I8)-1</f>
        <v>12</v>
      </c>
      <c r="K8" s="120">
        <f t="shared" si="0"/>
        <v>9</v>
      </c>
      <c r="L8" s="117">
        <f>RANK(K8,$K$3:$K$17,1)+COUNTIF(K$3:$K8,K8)-1</f>
        <v>9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793</v>
      </c>
      <c r="V8" s="101">
        <f>P4+S4</f>
        <v>709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87</v>
      </c>
      <c r="J9" s="118">
        <f>RANK(I9,$I$3:$I$17)+COUNTIF(I$3:$I9,I9)-1</f>
        <v>13</v>
      </c>
      <c r="K9" s="120" t="s">
        <v>34</v>
      </c>
      <c r="L9" s="117" t="e">
        <f>RANK(K9,$K$3:$K$17,1)+COUNTIF(K$3:$K9,K9)-1</f>
        <v>#VALUE!</v>
      </c>
      <c r="N9" s="130" t="s">
        <v>35</v>
      </c>
      <c r="O9" s="131">
        <v>80</v>
      </c>
      <c r="P9" s="132"/>
      <c r="Q9" s="133"/>
      <c r="R9" s="131">
        <v>35</v>
      </c>
      <c r="S9" s="132"/>
      <c r="T9" s="133"/>
      <c r="U9" s="101"/>
      <c r="V9" s="101">
        <f>U8-V8</f>
        <v>84</v>
      </c>
      <c r="W9" s="101"/>
    </row>
    <row r="10" spans="1:25" x14ac:dyDescent="0.3">
      <c r="A10" s="9" t="s">
        <v>14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170</v>
      </c>
      <c r="G10" s="117">
        <v>41</v>
      </c>
      <c r="H10" s="119">
        <f>RANK(G10,$G$3:$G$17)+COUNTIF(G$3:$G10,G10)-1</f>
        <v>11</v>
      </c>
      <c r="I10" s="117">
        <v>88</v>
      </c>
      <c r="J10" s="118">
        <f>RANK(I10,$I$3:$I$17)+COUNTIF(I$3:$I10,I10)-1</f>
        <v>6</v>
      </c>
      <c r="K10" s="120">
        <f t="shared" ref="K10:K17" si="1">(E10+J10)/2</f>
        <v>7</v>
      </c>
      <c r="L10" s="117">
        <f>RANK(K10,$K$3:$K$17,1)+COUNTIF(K$3:$K10,K10)-1</f>
        <v>5</v>
      </c>
      <c r="W10" s="101"/>
    </row>
    <row r="11" spans="1:25" x14ac:dyDescent="0.3">
      <c r="A11" s="9" t="s">
        <v>14</v>
      </c>
      <c r="B11" s="128" t="s">
        <v>37</v>
      </c>
      <c r="C11" s="116">
        <v>102</v>
      </c>
      <c r="D11" s="117" t="s">
        <v>38</v>
      </c>
      <c r="E11" s="118">
        <v>9</v>
      </c>
      <c r="F11" s="117">
        <v>278</v>
      </c>
      <c r="G11" s="117">
        <v>61</v>
      </c>
      <c r="H11" s="119">
        <f>RANK(G11,$G$3:$G$17)+COUNTIF(G$3:$G11,G11)-1</f>
        <v>9</v>
      </c>
      <c r="I11" s="117">
        <v>89</v>
      </c>
      <c r="J11" s="118">
        <f>RANK(I11,$I$3:$I$17)+COUNTIF(I$3:$I11,I11)-1</f>
        <v>2</v>
      </c>
      <c r="K11" s="120">
        <f t="shared" si="1"/>
        <v>5.5</v>
      </c>
      <c r="L11" s="117">
        <f>RANK(K11,$K$3:$K$17,1)+COUNTIF(K$3:$K11,K11)-1</f>
        <v>3</v>
      </c>
      <c r="W11" s="101"/>
    </row>
    <row r="12" spans="1:25" x14ac:dyDescent="0.3">
      <c r="A12" s="9" t="s">
        <v>20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638</v>
      </c>
      <c r="G12" s="117">
        <v>91</v>
      </c>
      <c r="H12" s="119">
        <f>RANK(G12,$G$3:$G$17)+COUNTIF(G$3:$G12,G12)-1</f>
        <v>3</v>
      </c>
      <c r="I12" s="117">
        <v>88</v>
      </c>
      <c r="J12" s="118">
        <f>RANK(I12,$I$3:$I$17)+COUNTIF(I$3:$I12,I12)-1</f>
        <v>7</v>
      </c>
      <c r="K12" s="120">
        <f t="shared" si="1"/>
        <v>8.5</v>
      </c>
      <c r="L12" s="117">
        <f>RANK(K12,$K$3:$K$17,1)+COUNTIF(K$3:$K12,K12)-1</f>
        <v>8</v>
      </c>
      <c r="W12" s="101"/>
    </row>
    <row r="13" spans="1:25" x14ac:dyDescent="0.3">
      <c r="A13" s="9" t="s">
        <v>20</v>
      </c>
      <c r="B13" s="115" t="s">
        <v>40</v>
      </c>
      <c r="C13" s="116">
        <v>98</v>
      </c>
      <c r="D13" s="117" t="s">
        <v>41</v>
      </c>
      <c r="E13" s="118">
        <v>11</v>
      </c>
      <c r="F13" s="117">
        <v>278</v>
      </c>
      <c r="G13" s="117">
        <v>71</v>
      </c>
      <c r="H13" s="119">
        <f>RANK(G13,$G$3:$G$17)+COUNTIF(G$3:$G13,G13)-1</f>
        <v>7</v>
      </c>
      <c r="I13" s="117">
        <v>89</v>
      </c>
      <c r="J13" s="118">
        <f>RANK(I13,$I$3:$I$17)+COUNTIF(I$3:$I13,I13)-1</f>
        <v>3</v>
      </c>
      <c r="K13" s="120">
        <f t="shared" si="1"/>
        <v>7</v>
      </c>
      <c r="L13" s="117">
        <f>RANK(K13,$K$3:$K$17,1)+COUNTIF(K$3:$K13,K13)-1</f>
        <v>6</v>
      </c>
      <c r="W13" s="101"/>
    </row>
    <row r="14" spans="1:25" x14ac:dyDescent="0.3">
      <c r="A14" s="9" t="s">
        <v>20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372</v>
      </c>
      <c r="G14" s="117">
        <v>85</v>
      </c>
      <c r="H14" s="119">
        <f>RANK(G14,$G$3:$G$17)+COUNTIF(G$3:$G14,G14)-1</f>
        <v>4</v>
      </c>
      <c r="I14" s="117">
        <v>88</v>
      </c>
      <c r="J14" s="118">
        <f>RANK(I14,$I$3:$I$17)+COUNTIF(I$3:$I14,I14)-1</f>
        <v>8</v>
      </c>
      <c r="K14" s="120">
        <f t="shared" si="1"/>
        <v>10</v>
      </c>
      <c r="L14" s="117">
        <f>RANK(K14,$K$3:$K$17,1)+COUNTIF(K$3:$K14,K14)-1</f>
        <v>12</v>
      </c>
    </row>
    <row r="15" spans="1:25" x14ac:dyDescent="0.3">
      <c r="A15" s="9" t="s">
        <v>43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318</v>
      </c>
      <c r="G15" s="117">
        <v>92</v>
      </c>
      <c r="H15" s="119">
        <f>RANK(G15,$G$3:$G$17)+COUNTIF(G$3:$G15,G15)-1</f>
        <v>2</v>
      </c>
      <c r="I15" s="117">
        <v>87</v>
      </c>
      <c r="J15" s="118">
        <f>RANK(I15,$I$3:$I$17)+COUNTIF(I$3:$I15,I15)-1</f>
        <v>14</v>
      </c>
      <c r="K15" s="120">
        <f t="shared" si="1"/>
        <v>13.5</v>
      </c>
      <c r="L15" s="117">
        <f>RANK(K15,$K$3:$K$17,1)+COUNTIF(K$3:$K15,K15)-1</f>
        <v>14</v>
      </c>
    </row>
    <row r="16" spans="1:25" x14ac:dyDescent="0.3">
      <c r="A16" s="9"/>
      <c r="B16" s="116" t="s">
        <v>45</v>
      </c>
      <c r="C16" s="116">
        <v>91</v>
      </c>
      <c r="D16" s="117" t="s">
        <v>41</v>
      </c>
      <c r="E16" s="118">
        <v>14</v>
      </c>
      <c r="F16" s="117">
        <v>201</v>
      </c>
      <c r="G16" s="117">
        <v>41</v>
      </c>
      <c r="H16" s="119">
        <f>RANK(G16,$G$3:$G$17)+COUNTIF(G$3:$G16,G16)-1</f>
        <v>12</v>
      </c>
      <c r="I16" s="117">
        <v>89</v>
      </c>
      <c r="J16" s="118">
        <f>RANK(I16,$I$3:$I$17)+COUNTIF(I$3:$I16,I16)-1</f>
        <v>4</v>
      </c>
      <c r="K16" s="120">
        <f t="shared" si="1"/>
        <v>9</v>
      </c>
      <c r="L16" s="117">
        <f>RANK(K16,$K$3:$K$17,1)+COUNTIF(K$3:$K16,K16)-1</f>
        <v>10</v>
      </c>
    </row>
    <row r="17" spans="1:12" x14ac:dyDescent="0.3">
      <c r="A17" s="5" t="s">
        <v>20</v>
      </c>
      <c r="B17" s="11" t="s">
        <v>46</v>
      </c>
      <c r="C17" s="2">
        <v>90</v>
      </c>
      <c r="D17" s="134" t="s">
        <v>41</v>
      </c>
      <c r="E17" s="3">
        <v>15</v>
      </c>
      <c r="F17" s="4">
        <v>214</v>
      </c>
      <c r="G17" s="5">
        <v>63</v>
      </c>
      <c r="H17" s="135">
        <f>RANK(G17,$G$3:$G$17)+COUNTIF(G$3:$G17,G17)-1</f>
        <v>8</v>
      </c>
      <c r="I17" s="5">
        <v>88</v>
      </c>
      <c r="J17" s="136">
        <f>RANK(I17,$I$3:$I$17)+COUNTIF(I$3:$I17,I17)-1</f>
        <v>9</v>
      </c>
      <c r="K17" s="137">
        <f t="shared" si="1"/>
        <v>12</v>
      </c>
      <c r="L17" s="134">
        <f>RANK(K17,$K$3:$K$17,1)+COUNTIF(K$3:$K17,K17)-1</f>
        <v>13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 t="s">
        <v>51</v>
      </c>
      <c r="C25" s="6"/>
      <c r="D25" s="6"/>
      <c r="E25" s="6"/>
      <c r="F25" s="1"/>
    </row>
    <row r="26" spans="1:12" x14ac:dyDescent="0.3">
      <c r="B26" s="1" t="s">
        <v>52</v>
      </c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workbookViewId="0">
      <selection activeCell="D22" sqref="D22:D23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 t="s">
        <v>43</v>
      </c>
      <c r="B3" s="107" t="s">
        <v>15</v>
      </c>
      <c r="C3" s="107">
        <v>114</v>
      </c>
      <c r="D3" s="108" t="s">
        <v>16</v>
      </c>
      <c r="E3" s="109">
        <v>1</v>
      </c>
      <c r="F3" s="108">
        <v>112</v>
      </c>
      <c r="G3" s="108">
        <v>48</v>
      </c>
      <c r="H3" s="110">
        <f>RANK(G3,$G$3:$G$17)+COUNTIF(G3:$G$3,G3)-1</f>
        <v>8</v>
      </c>
      <c r="I3" s="108">
        <v>87</v>
      </c>
      <c r="J3" s="109">
        <f>RANK(I3,$I$3:$I$17)+COUNTIF(I3:$I$3,I3)-1</f>
        <v>10</v>
      </c>
      <c r="K3" s="111">
        <f t="shared" ref="K3:K17" si="0">(E3+J3)/2</f>
        <v>5.5</v>
      </c>
      <c r="L3" s="108">
        <f>RANK(K3,$K$3:$K$17,1)+COUNTIF(K3:$K$3,K3)-1</f>
        <v>3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43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250</v>
      </c>
      <c r="G4" s="117">
        <v>65</v>
      </c>
      <c r="H4" s="119">
        <f>RANK(G4,$G$3:$G$17)+COUNTIF(G$3:$G4,G4)-1</f>
        <v>5</v>
      </c>
      <c r="I4" s="117">
        <v>88</v>
      </c>
      <c r="J4" s="118">
        <f>RANK(I4,$I$3:$I$17)+COUNTIF(I$3:$I4,I4)-1</f>
        <v>4</v>
      </c>
      <c r="K4" s="120">
        <f t="shared" si="0"/>
        <v>3</v>
      </c>
      <c r="L4" s="117">
        <f>RANK(K4,$K$3:$K$17,1)+COUNTIF(K$3:$K4,K4)-1</f>
        <v>1</v>
      </c>
      <c r="N4" s="121" t="s">
        <v>22</v>
      </c>
      <c r="O4" s="122">
        <f>SUM(O5:O9)</f>
        <v>480</v>
      </c>
      <c r="P4" s="104">
        <v>509</v>
      </c>
      <c r="Q4" s="105">
        <v>490</v>
      </c>
      <c r="R4" s="123">
        <f>SUM(R5:R9)</f>
        <v>180</v>
      </c>
      <c r="S4" s="104">
        <v>291</v>
      </c>
      <c r="T4" s="105">
        <v>211</v>
      </c>
      <c r="U4" s="101"/>
      <c r="V4" s="101"/>
      <c r="W4" s="101"/>
    </row>
    <row r="5" spans="1:25" x14ac:dyDescent="0.3">
      <c r="A5" s="9"/>
      <c r="B5" s="116" t="s">
        <v>23</v>
      </c>
      <c r="C5" s="116">
        <v>111</v>
      </c>
      <c r="D5" s="117" t="s">
        <v>16</v>
      </c>
      <c r="E5" s="118">
        <v>3</v>
      </c>
      <c r="F5" s="117">
        <v>0</v>
      </c>
      <c r="G5" s="117">
        <v>0</v>
      </c>
      <c r="H5" s="119">
        <f>RANK(G5,$G$3:$G$17)+COUNTIF(G$3:$G5,G5)-1</f>
        <v>14</v>
      </c>
      <c r="I5" s="117">
        <v>0</v>
      </c>
      <c r="J5" s="118">
        <f>RANK(I5,$I$3:$I$17)+COUNTIF(I$3:$I5,I5)-1</f>
        <v>14</v>
      </c>
      <c r="K5" s="120">
        <f t="shared" si="0"/>
        <v>8.5</v>
      </c>
      <c r="L5" s="117">
        <f>RANK(K5,$K$3:$K$17,1)+COUNTIF(K$3:$K5,K5)-1</f>
        <v>10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20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550</v>
      </c>
      <c r="G6" s="117">
        <v>120</v>
      </c>
      <c r="H6" s="119">
        <f>RANK(G6,$G$3:$G$17)+COUNTIF(G$3:$G6,G6)-1</f>
        <v>1</v>
      </c>
      <c r="I6" s="117">
        <v>87</v>
      </c>
      <c r="J6" s="118">
        <f>RANK(I6,$I$3:$I$17)+COUNTIF(I$3:$I6,I6)-1</f>
        <v>11</v>
      </c>
      <c r="K6" s="120">
        <f t="shared" si="0"/>
        <v>7.5</v>
      </c>
      <c r="L6" s="117">
        <f>RANK(K6,$K$3:$K$17,1)+COUNTIF(K$3:$K6,K6)-1</f>
        <v>6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43</v>
      </c>
      <c r="B7" s="115" t="s">
        <v>27</v>
      </c>
      <c r="C7" s="116">
        <v>107</v>
      </c>
      <c r="D7" s="117" t="s">
        <v>16</v>
      </c>
      <c r="E7" s="118">
        <v>5</v>
      </c>
      <c r="F7" s="117">
        <v>215</v>
      </c>
      <c r="G7" s="117">
        <v>45</v>
      </c>
      <c r="H7" s="119">
        <f>RANK(G7,$G$3:$G$17)+COUNTIF(G$3:$G7,G7)-1</f>
        <v>9</v>
      </c>
      <c r="I7" s="117">
        <v>89</v>
      </c>
      <c r="J7" s="118">
        <f>RANK(I7,$I$3:$I$17)+COUNTIF(I$3:$I7,I7)-1</f>
        <v>2</v>
      </c>
      <c r="K7" s="120">
        <f t="shared" si="0"/>
        <v>3.5</v>
      </c>
      <c r="L7" s="117">
        <f>RANK(K7,$K$3:$K$17,1)+COUNTIF(K$3:$K7,K7)-1</f>
        <v>2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20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328</v>
      </c>
      <c r="G8" s="117">
        <v>57</v>
      </c>
      <c r="H8" s="119">
        <f>RANK(G8,$G$3:$G$17)+COUNTIF(G$3:$G8,G8)-1</f>
        <v>7</v>
      </c>
      <c r="I8" s="117">
        <v>88</v>
      </c>
      <c r="J8" s="118">
        <f>RANK(I8,$I$3:$I$17)+COUNTIF(I$3:$I8,I8)-1</f>
        <v>5</v>
      </c>
      <c r="K8" s="120">
        <f t="shared" si="0"/>
        <v>5.5</v>
      </c>
      <c r="L8" s="117">
        <f>RANK(K8,$K$3:$K$17,1)+COUNTIF(K$3:$K8,K8)-1</f>
        <v>4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701</v>
      </c>
      <c r="V8" s="101">
        <f>P4+S4</f>
        <v>800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0</v>
      </c>
      <c r="J9" s="118">
        <f>RANK(I9,$I$3:$I$17)+COUNTIF(I$3:$I9,I9)-1</f>
        <v>15</v>
      </c>
      <c r="K9" s="120">
        <f t="shared" si="0"/>
        <v>11</v>
      </c>
      <c r="L9" s="117">
        <f>RANK(K9,$K$3:$K$17,1)+COUNTIF(K$3:$K9,K9)-1</f>
        <v>13</v>
      </c>
      <c r="N9" s="130" t="s">
        <v>35</v>
      </c>
      <c r="O9" s="131">
        <v>80</v>
      </c>
      <c r="P9" s="132"/>
      <c r="Q9" s="133"/>
      <c r="R9" s="131">
        <v>35</v>
      </c>
      <c r="S9" s="132"/>
      <c r="T9" s="133"/>
      <c r="U9" s="101"/>
      <c r="V9" s="101">
        <f>U8-V8</f>
        <v>-99</v>
      </c>
      <c r="W9" s="101"/>
    </row>
    <row r="10" spans="1:25" x14ac:dyDescent="0.3">
      <c r="A10" s="9" t="s">
        <v>43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252</v>
      </c>
      <c r="G10" s="117">
        <v>44</v>
      </c>
      <c r="H10" s="119">
        <f>RANK(G10,$G$3:$G$17)+COUNTIF(G$3:$G10,G10)-1</f>
        <v>10</v>
      </c>
      <c r="I10" s="117">
        <v>88</v>
      </c>
      <c r="J10" s="118">
        <f>RANK(I10,$I$3:$I$17)+COUNTIF(I$3:$I10,I10)-1</f>
        <v>6</v>
      </c>
      <c r="K10" s="120">
        <f t="shared" si="0"/>
        <v>7</v>
      </c>
      <c r="L10" s="117">
        <f>RANK(K10,$K$3:$K$17,1)+COUNTIF(K$3:$K10,K10)-1</f>
        <v>5</v>
      </c>
      <c r="W10" s="101"/>
    </row>
    <row r="11" spans="1:25" x14ac:dyDescent="0.3">
      <c r="A11" s="9" t="s">
        <v>43</v>
      </c>
      <c r="B11" s="128" t="s">
        <v>37</v>
      </c>
      <c r="C11" s="116">
        <v>102</v>
      </c>
      <c r="D11" s="117" t="s">
        <v>38</v>
      </c>
      <c r="E11" s="118">
        <v>9</v>
      </c>
      <c r="F11" s="117">
        <v>172</v>
      </c>
      <c r="G11" s="117">
        <v>58</v>
      </c>
      <c r="H11" s="119">
        <f>RANK(G11,$G$3:$G$17)+COUNTIF(G$3:$G11,G11)-1</f>
        <v>6</v>
      </c>
      <c r="I11" s="117">
        <v>88</v>
      </c>
      <c r="J11" s="118">
        <f>RANK(I11,$I$3:$I$17)+COUNTIF(I$3:$I11,I11)-1</f>
        <v>7</v>
      </c>
      <c r="K11" s="120">
        <f t="shared" si="0"/>
        <v>8</v>
      </c>
      <c r="L11" s="117">
        <f>RANK(K11,$K$3:$K$17,1)+COUNTIF(K$3:$K11,K11)-1</f>
        <v>8</v>
      </c>
      <c r="W11" s="101"/>
    </row>
    <row r="12" spans="1:25" x14ac:dyDescent="0.3">
      <c r="A12" s="9" t="s">
        <v>43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514</v>
      </c>
      <c r="G12" s="117">
        <v>94</v>
      </c>
      <c r="H12" s="119">
        <f>RANK(G12,$G$3:$G$17)+COUNTIF(G$3:$G12,G12)-1</f>
        <v>2</v>
      </c>
      <c r="I12" s="117">
        <v>88</v>
      </c>
      <c r="J12" s="118">
        <f>RANK(I12,$I$3:$I$17)+COUNTIF(I$3:$I12,I12)-1</f>
        <v>8</v>
      </c>
      <c r="K12" s="120">
        <f t="shared" si="0"/>
        <v>9</v>
      </c>
      <c r="L12" s="117">
        <f>RANK(K12,$K$3:$K$17,1)+COUNTIF(K$3:$K12,K12)-1</f>
        <v>11</v>
      </c>
      <c r="W12" s="101"/>
    </row>
    <row r="13" spans="1:25" x14ac:dyDescent="0.3">
      <c r="A13" s="9" t="s">
        <v>20</v>
      </c>
      <c r="B13" s="115" t="s">
        <v>40</v>
      </c>
      <c r="C13" s="116">
        <v>98</v>
      </c>
      <c r="D13" s="117" t="s">
        <v>41</v>
      </c>
      <c r="E13" s="118">
        <v>11</v>
      </c>
      <c r="F13" s="117">
        <v>346</v>
      </c>
      <c r="G13" s="117">
        <v>67</v>
      </c>
      <c r="H13" s="119">
        <f>RANK(G13,$G$3:$G$17)+COUNTIF(G$3:$G13,G13)-1</f>
        <v>4</v>
      </c>
      <c r="I13" s="117">
        <v>88</v>
      </c>
      <c r="J13" s="118">
        <f>RANK(I13,$I$3:$I$17)+COUNTIF(I$3:$I13,I13)-1</f>
        <v>9</v>
      </c>
      <c r="K13" s="120">
        <f t="shared" si="0"/>
        <v>10</v>
      </c>
      <c r="L13" s="117">
        <f>RANK(K13,$K$3:$K$17,1)+COUNTIF(K$3:$K13,K13)-1</f>
        <v>12</v>
      </c>
      <c r="W13" s="101"/>
    </row>
    <row r="14" spans="1:25" x14ac:dyDescent="0.3">
      <c r="A14" s="9" t="s">
        <v>20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372</v>
      </c>
      <c r="G14" s="117">
        <v>90</v>
      </c>
      <c r="H14" s="119">
        <f>RANK(G14,$G$3:$G$17)+COUNTIF(G$3:$G14,G14)-1</f>
        <v>3</v>
      </c>
      <c r="I14" s="117">
        <v>87</v>
      </c>
      <c r="J14" s="118">
        <f>RANK(I14,$I$3:$I$17)+COUNTIF(I$3:$I14,I14)-1</f>
        <v>12</v>
      </c>
      <c r="K14" s="120">
        <f t="shared" si="0"/>
        <v>12</v>
      </c>
      <c r="L14" s="117">
        <f>RANK(K14,$K$3:$K$17,1)+COUNTIF(K$3:$K14,K14)-1</f>
        <v>14</v>
      </c>
    </row>
    <row r="15" spans="1:25" x14ac:dyDescent="0.3">
      <c r="A15" s="9" t="s">
        <v>43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212</v>
      </c>
      <c r="G15" s="117">
        <v>34</v>
      </c>
      <c r="H15" s="119">
        <f>RANK(G15,$G$3:$G$17)+COUNTIF(G$3:$G15,G15)-1</f>
        <v>11</v>
      </c>
      <c r="I15" s="117">
        <v>89</v>
      </c>
      <c r="J15" s="118">
        <f>RANK(I15,$I$3:$I$17)+COUNTIF(I$3:$I15,I15)-1</f>
        <v>3</v>
      </c>
      <c r="K15" s="120">
        <f t="shared" si="0"/>
        <v>8</v>
      </c>
      <c r="L15" s="117">
        <f>RANK(K15,$K$3:$K$17,1)+COUNTIF(K$3:$K15,K15)-1</f>
        <v>9</v>
      </c>
    </row>
    <row r="16" spans="1:25" x14ac:dyDescent="0.3">
      <c r="A16" s="9"/>
      <c r="B16" s="116" t="s">
        <v>45</v>
      </c>
      <c r="C16" s="116">
        <v>91</v>
      </c>
      <c r="D16" s="117" t="s">
        <v>41</v>
      </c>
      <c r="E16" s="118">
        <v>14</v>
      </c>
      <c r="F16" s="117">
        <v>145</v>
      </c>
      <c r="G16" s="117">
        <v>26</v>
      </c>
      <c r="H16" s="119">
        <f>RANK(G16,$G$3:$G$17)+COUNTIF(G$3:$G16,G16)-1</f>
        <v>13</v>
      </c>
      <c r="I16" s="117">
        <v>90</v>
      </c>
      <c r="J16" s="118">
        <f>RANK(I16,$I$3:$I$17)+COUNTIF(I$3:$I16,I16)-1</f>
        <v>1</v>
      </c>
      <c r="K16" s="120">
        <f t="shared" si="0"/>
        <v>7.5</v>
      </c>
      <c r="L16" s="117">
        <f>RANK(K16,$K$3:$K$17,1)+COUNTIF(K$3:$K16,K16)-1</f>
        <v>7</v>
      </c>
    </row>
    <row r="17" spans="1:12" x14ac:dyDescent="0.3">
      <c r="A17" s="5" t="s">
        <v>43</v>
      </c>
      <c r="B17" s="11" t="s">
        <v>46</v>
      </c>
      <c r="C17" s="2">
        <v>90</v>
      </c>
      <c r="D17" s="134" t="s">
        <v>41</v>
      </c>
      <c r="E17" s="3">
        <v>15</v>
      </c>
      <c r="F17" s="4">
        <v>226</v>
      </c>
      <c r="G17" s="5">
        <v>27</v>
      </c>
      <c r="H17" s="135">
        <f>RANK(G17,$G$3:$G$17)+COUNTIF(G$3:$G17,G17)-1</f>
        <v>12</v>
      </c>
      <c r="I17" s="5">
        <v>87</v>
      </c>
      <c r="J17" s="136">
        <f>RANK(I17,$I$3:$I$17)+COUNTIF(I$3:$I17,I17)-1</f>
        <v>13</v>
      </c>
      <c r="K17" s="137">
        <f t="shared" si="0"/>
        <v>14</v>
      </c>
      <c r="L17" s="134">
        <f>RANK(K17,$K$3:$K$17,1)+COUNTIF(K$3:$K17,K17)-1</f>
        <v>15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143" t="s">
        <v>53</v>
      </c>
      <c r="C25" s="143"/>
      <c r="F25" s="1"/>
    </row>
    <row r="26" spans="1:12" x14ac:dyDescent="0.3">
      <c r="B26" s="6" t="s">
        <v>51</v>
      </c>
      <c r="C26" s="6"/>
      <c r="D26" s="6"/>
      <c r="E26" s="6"/>
      <c r="F26" s="1"/>
    </row>
    <row r="27" spans="1:12" x14ac:dyDescent="0.3">
      <c r="F27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6"/>
  <sheetViews>
    <sheetView workbookViewId="0">
      <selection activeCell="F23" sqref="F23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 t="s">
        <v>20</v>
      </c>
      <c r="B3" s="106" t="s">
        <v>15</v>
      </c>
      <c r="C3" s="107">
        <v>114</v>
      </c>
      <c r="D3" s="108" t="s">
        <v>16</v>
      </c>
      <c r="E3" s="109">
        <v>1</v>
      </c>
      <c r="F3" s="108">
        <v>186</v>
      </c>
      <c r="G3" s="108">
        <v>32</v>
      </c>
      <c r="H3" s="110">
        <f>RANK(G3,$G$3:$G$17)+COUNTIF(G3:$G$3,G3)-1</f>
        <v>12</v>
      </c>
      <c r="I3" s="108">
        <v>87</v>
      </c>
      <c r="J3" s="109">
        <f>RANK(I3,$I$3:$I$17)+COUNTIF(I3:$I$3,I3)-1</f>
        <v>9</v>
      </c>
      <c r="K3" s="111">
        <f t="shared" ref="K3:K17" si="0">(E3+J3)/2</f>
        <v>5</v>
      </c>
      <c r="L3" s="108">
        <f>RANK(K3,$K$3:$K$17,1)+COUNTIF(K3:$K$3,K3)-1</f>
        <v>3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20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318</v>
      </c>
      <c r="G4" s="117">
        <v>45</v>
      </c>
      <c r="H4" s="119">
        <f>RANK(G4,$G$3:$G$17)+COUNTIF(G$3:$G4,G4)-1</f>
        <v>8</v>
      </c>
      <c r="I4" s="117">
        <v>89</v>
      </c>
      <c r="J4" s="118">
        <f>RANK(I4,$I$3:$I$17)+COUNTIF(I$3:$I4,I4)-1</f>
        <v>3</v>
      </c>
      <c r="K4" s="120">
        <f t="shared" si="0"/>
        <v>2.5</v>
      </c>
      <c r="L4" s="117">
        <f>RANK(K4,$K$3:$K$17,1)+COUNTIF(K$3:$K4,K4)-1</f>
        <v>1</v>
      </c>
      <c r="N4" s="121" t="s">
        <v>22</v>
      </c>
      <c r="O4" s="122">
        <f>SUM(O5:O9)</f>
        <v>480</v>
      </c>
      <c r="P4" s="104">
        <v>490</v>
      </c>
      <c r="Q4" s="105">
        <v>507</v>
      </c>
      <c r="R4" s="123">
        <f>SUM(R5:R9)</f>
        <v>180</v>
      </c>
      <c r="S4" s="104">
        <v>211</v>
      </c>
      <c r="T4" s="105">
        <v>217</v>
      </c>
      <c r="U4" s="101"/>
      <c r="V4" s="101"/>
      <c r="W4" s="101"/>
    </row>
    <row r="5" spans="1:25" x14ac:dyDescent="0.3">
      <c r="A5" s="9"/>
      <c r="B5" s="116" t="s">
        <v>23</v>
      </c>
      <c r="C5" s="116">
        <v>111</v>
      </c>
      <c r="D5" s="117" t="s">
        <v>16</v>
      </c>
      <c r="E5" s="118">
        <v>3</v>
      </c>
      <c r="F5" s="117">
        <v>0</v>
      </c>
      <c r="G5" s="117">
        <v>0</v>
      </c>
      <c r="H5" s="119">
        <f>RANK(G5,$G$3:$G$17)+COUNTIF(G$3:$G5,G5)-1</f>
        <v>14</v>
      </c>
      <c r="I5" s="117">
        <v>0</v>
      </c>
      <c r="J5" s="118">
        <f>RANK(I5,$I$3:$I$17)+COUNTIF(I$3:$I5,I5)-1</f>
        <v>14</v>
      </c>
      <c r="K5" s="120">
        <f t="shared" si="0"/>
        <v>8.5</v>
      </c>
      <c r="L5" s="117">
        <f>RANK(K5,$K$3:$K$17,1)+COUNTIF(K$3:$K5,K5)-1</f>
        <v>6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43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566</v>
      </c>
      <c r="G6" s="117">
        <v>113</v>
      </c>
      <c r="H6" s="119">
        <f>RANK(G6,$G$3:$G$17)+COUNTIF(G$3:$G6,G6)-1</f>
        <v>1</v>
      </c>
      <c r="I6" s="117">
        <v>90</v>
      </c>
      <c r="J6" s="118">
        <f>RANK(I6,$I$3:$I$17)+COUNTIF(I$3:$I6,I6)-1</f>
        <v>1</v>
      </c>
      <c r="K6" s="120">
        <f t="shared" si="0"/>
        <v>2.5</v>
      </c>
      <c r="L6" s="117">
        <f>RANK(K6,$K$3:$K$17,1)+COUNTIF(K$3:$K6,K6)-1</f>
        <v>2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20</v>
      </c>
      <c r="B7" s="115" t="s">
        <v>27</v>
      </c>
      <c r="C7" s="116">
        <v>107</v>
      </c>
      <c r="D7" s="117" t="s">
        <v>16</v>
      </c>
      <c r="E7" s="118">
        <v>5</v>
      </c>
      <c r="F7" s="117">
        <v>134</v>
      </c>
      <c r="G7" s="117">
        <v>37</v>
      </c>
      <c r="H7" s="119">
        <f>RANK(G7,$G$3:$G$17)+COUNTIF(G$3:$G7,G7)-1</f>
        <v>11</v>
      </c>
      <c r="I7" s="117">
        <v>88</v>
      </c>
      <c r="J7" s="118">
        <f>RANK(I7,$I$3:$I$17)+COUNTIF(I$3:$I7,I7)-1</f>
        <v>6</v>
      </c>
      <c r="K7" s="120">
        <f t="shared" si="0"/>
        <v>5.5</v>
      </c>
      <c r="L7" s="117">
        <f>RANK(K7,$K$3:$K$17,1)+COUNTIF(K$3:$K7,K7)-1</f>
        <v>5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43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346</v>
      </c>
      <c r="G8" s="117">
        <v>67</v>
      </c>
      <c r="H8" s="119">
        <f>RANK(G8,$G$3:$G$17)+COUNTIF(G$3:$G8,G8)-1</f>
        <v>5</v>
      </c>
      <c r="I8" s="117">
        <v>89</v>
      </c>
      <c r="J8" s="118">
        <f>RANK(I8,$I$3:$I$17)+COUNTIF(I$3:$I8,I8)-1</f>
        <v>4</v>
      </c>
      <c r="K8" s="120">
        <f t="shared" si="0"/>
        <v>5</v>
      </c>
      <c r="L8" s="117">
        <f>RANK(K8,$K$3:$K$17,1)+COUNTIF(K$3:$K8,K8)-1</f>
        <v>4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724</v>
      </c>
      <c r="V8" s="101">
        <f>P4+S4</f>
        <v>701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0</v>
      </c>
      <c r="J9" s="118">
        <f>RANK(I9,$I$3:$I$17)+COUNTIF(I$3:$I9,I9)-1</f>
        <v>15</v>
      </c>
      <c r="K9" s="120">
        <f t="shared" si="0"/>
        <v>11</v>
      </c>
      <c r="L9" s="117">
        <f>RANK(K9,$K$3:$K$17,1)+COUNTIF(K$3:$K9,K9)-1</f>
        <v>13</v>
      </c>
      <c r="N9" s="130" t="s">
        <v>35</v>
      </c>
      <c r="O9" s="131">
        <v>80</v>
      </c>
      <c r="P9" s="132"/>
      <c r="Q9" s="133"/>
      <c r="R9" s="131">
        <v>35</v>
      </c>
      <c r="S9" s="132"/>
      <c r="T9" s="133"/>
      <c r="U9" s="101"/>
      <c r="V9" s="101">
        <f>U8-V8</f>
        <v>23</v>
      </c>
      <c r="W9" s="101"/>
    </row>
    <row r="10" spans="1:25" x14ac:dyDescent="0.3">
      <c r="A10" s="9" t="s">
        <v>14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194</v>
      </c>
      <c r="G10" s="117">
        <v>43</v>
      </c>
      <c r="H10" s="119">
        <f>RANK(G10,$G$3:$G$17)+COUNTIF(G$3:$G10,G10)-1</f>
        <v>9</v>
      </c>
      <c r="I10" s="117">
        <v>86</v>
      </c>
      <c r="J10" s="118">
        <f>RANK(I10,$I$3:$I$17)+COUNTIF(I$3:$I10,I10)-1</f>
        <v>12</v>
      </c>
      <c r="K10" s="120">
        <f t="shared" si="0"/>
        <v>10</v>
      </c>
      <c r="L10" s="117">
        <f>RANK(K10,$K$3:$K$17,1)+COUNTIF(K$3:$K10,K10)-1</f>
        <v>10</v>
      </c>
      <c r="W10" s="101"/>
    </row>
    <row r="11" spans="1:25" x14ac:dyDescent="0.3">
      <c r="A11" s="9" t="s">
        <v>43</v>
      </c>
      <c r="B11" s="128" t="s">
        <v>37</v>
      </c>
      <c r="C11" s="116">
        <v>102</v>
      </c>
      <c r="D11" s="117" t="s">
        <v>38</v>
      </c>
      <c r="E11" s="118">
        <v>9</v>
      </c>
      <c r="F11" s="117">
        <v>266</v>
      </c>
      <c r="G11" s="117">
        <v>55</v>
      </c>
      <c r="H11" s="119">
        <f>RANK(G11,$G$3:$G$17)+COUNTIF(G$3:$G11,G11)-1</f>
        <v>7</v>
      </c>
      <c r="I11" s="117">
        <v>85</v>
      </c>
      <c r="J11" s="118">
        <f>RANK(I11,$I$3:$I$17)+COUNTIF(I$3:$I11,I11)-1</f>
        <v>13</v>
      </c>
      <c r="K11" s="120">
        <f t="shared" si="0"/>
        <v>11</v>
      </c>
      <c r="L11" s="117">
        <f>RANK(K11,$K$3:$K$17,1)+COUNTIF(K$3:$K11,K11)-1</f>
        <v>14</v>
      </c>
      <c r="W11" s="101"/>
    </row>
    <row r="12" spans="1:25" x14ac:dyDescent="0.3">
      <c r="A12" s="9" t="s">
        <v>20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406</v>
      </c>
      <c r="G12" s="117">
        <v>82</v>
      </c>
      <c r="H12" s="119">
        <f>RANK(G12,$G$3:$G$17)+COUNTIF(G$3:$G12,G12)-1</f>
        <v>3</v>
      </c>
      <c r="I12" s="117">
        <v>88</v>
      </c>
      <c r="J12" s="118">
        <f>RANK(I12,$I$3:$I$17)+COUNTIF(I$3:$I12,I12)-1</f>
        <v>7</v>
      </c>
      <c r="K12" s="120">
        <f t="shared" si="0"/>
        <v>8.5</v>
      </c>
      <c r="L12" s="117">
        <f>RANK(K12,$K$3:$K$17,1)+COUNTIF(K$3:$K12,K12)-1</f>
        <v>7</v>
      </c>
      <c r="W12" s="101"/>
    </row>
    <row r="13" spans="1:25" x14ac:dyDescent="0.3">
      <c r="A13" s="9" t="s">
        <v>43</v>
      </c>
      <c r="B13" s="115" t="s">
        <v>40</v>
      </c>
      <c r="C13" s="116">
        <v>98</v>
      </c>
      <c r="D13" s="117" t="s">
        <v>41</v>
      </c>
      <c r="E13" s="118">
        <v>11</v>
      </c>
      <c r="F13" s="117">
        <v>282</v>
      </c>
      <c r="G13" s="117">
        <v>66</v>
      </c>
      <c r="H13" s="119">
        <f>RANK(G13,$G$3:$G$17)+COUNTIF(G$3:$G13,G13)-1</f>
        <v>6</v>
      </c>
      <c r="I13" s="117">
        <v>87</v>
      </c>
      <c r="J13" s="118">
        <f>RANK(I13,$I$3:$I$17)+COUNTIF(I$3:$I13,I13)-1</f>
        <v>10</v>
      </c>
      <c r="K13" s="120">
        <f t="shared" si="0"/>
        <v>10.5</v>
      </c>
      <c r="L13" s="117">
        <f>RANK(K13,$K$3:$K$17,1)+COUNTIF(K$3:$K13,K13)-1</f>
        <v>12</v>
      </c>
      <c r="W13" s="101"/>
    </row>
    <row r="14" spans="1:25" x14ac:dyDescent="0.3">
      <c r="A14" s="9" t="s">
        <v>43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328</v>
      </c>
      <c r="G14" s="117">
        <v>92</v>
      </c>
      <c r="H14" s="119">
        <f>RANK(G14,$G$3:$G$17)+COUNTIF(G$3:$G14,G14)-1</f>
        <v>2</v>
      </c>
      <c r="I14" s="117">
        <v>88</v>
      </c>
      <c r="J14" s="118">
        <f>RANK(I14,$I$3:$I$17)+COUNTIF(I$3:$I14,I14)-1</f>
        <v>8</v>
      </c>
      <c r="K14" s="120">
        <f t="shared" si="0"/>
        <v>10</v>
      </c>
      <c r="L14" s="117">
        <f>RANK(K14,$K$3:$K$17,1)+COUNTIF(K$3:$K14,K14)-1</f>
        <v>11</v>
      </c>
    </row>
    <row r="15" spans="1:25" x14ac:dyDescent="0.3">
      <c r="A15" s="9" t="s">
        <v>14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252</v>
      </c>
      <c r="G15" s="117">
        <v>69</v>
      </c>
      <c r="H15" s="119">
        <f>RANK(G15,$G$3:$G$17)+COUNTIF(G$3:$G15,G15)-1</f>
        <v>4</v>
      </c>
      <c r="I15" s="117">
        <v>89</v>
      </c>
      <c r="J15" s="118">
        <f>RANK(I15,$I$3:$I$17)+COUNTIF(I$3:$I15,I15)-1</f>
        <v>5</v>
      </c>
      <c r="K15" s="120">
        <f t="shared" si="0"/>
        <v>9</v>
      </c>
      <c r="L15" s="117">
        <f>RANK(K15,$K$3:$K$17,1)+COUNTIF(K$3:$K15,K15)-1</f>
        <v>9</v>
      </c>
    </row>
    <row r="16" spans="1:25" x14ac:dyDescent="0.3">
      <c r="A16" s="9"/>
      <c r="B16" s="116" t="s">
        <v>45</v>
      </c>
      <c r="C16" s="116">
        <v>91</v>
      </c>
      <c r="D16" s="117" t="s">
        <v>41</v>
      </c>
      <c r="E16" s="118">
        <v>14</v>
      </c>
      <c r="F16" s="117">
        <v>240</v>
      </c>
      <c r="G16" s="117">
        <v>41</v>
      </c>
      <c r="H16" s="119">
        <f>RANK(G16,$G$3:$G$17)+COUNTIF(G$3:$G16,G16)-1</f>
        <v>10</v>
      </c>
      <c r="I16" s="117">
        <v>87</v>
      </c>
      <c r="J16" s="118">
        <f>RANK(I16,$I$3:$I$17)+COUNTIF(I$3:$I16,I16)-1</f>
        <v>11</v>
      </c>
      <c r="K16" s="120">
        <f t="shared" si="0"/>
        <v>12.5</v>
      </c>
      <c r="L16" s="117">
        <f>RANK(K16,$K$3:$K$17,1)+COUNTIF(K$3:$K16,K16)-1</f>
        <v>15</v>
      </c>
    </row>
    <row r="17" spans="1:12" x14ac:dyDescent="0.3">
      <c r="A17" s="5" t="s">
        <v>20</v>
      </c>
      <c r="B17" s="11" t="s">
        <v>46</v>
      </c>
      <c r="C17" s="2">
        <v>90</v>
      </c>
      <c r="D17" s="134" t="s">
        <v>41</v>
      </c>
      <c r="E17" s="3">
        <v>15</v>
      </c>
      <c r="F17" s="4">
        <v>246</v>
      </c>
      <c r="G17" s="5">
        <v>23</v>
      </c>
      <c r="H17" s="135">
        <f>RANK(G17,$G$3:$G$17)+COUNTIF(G$3:$G17,G17)-1</f>
        <v>13</v>
      </c>
      <c r="I17" s="5">
        <v>90</v>
      </c>
      <c r="J17" s="136">
        <f>RANK(I17,$I$3:$I$17)+COUNTIF(I$3:$I17,I17)-1</f>
        <v>2</v>
      </c>
      <c r="K17" s="137">
        <f t="shared" si="0"/>
        <v>8.5</v>
      </c>
      <c r="L17" s="134">
        <f>RANK(K17,$K$3:$K$17,1)+COUNTIF(K$3:$K17,K17)-1</f>
        <v>8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 t="s">
        <v>54</v>
      </c>
      <c r="C25" s="6"/>
      <c r="D25" s="6"/>
      <c r="E25" s="6"/>
      <c r="F25" s="1"/>
    </row>
    <row r="26" spans="1:12" x14ac:dyDescent="0.3">
      <c r="B26" s="6" t="s">
        <v>51</v>
      </c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6"/>
  <sheetViews>
    <sheetView workbookViewId="0">
      <selection activeCell="B26" sqref="B26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 t="s">
        <v>43</v>
      </c>
      <c r="B3" s="106" t="s">
        <v>15</v>
      </c>
      <c r="C3" s="107">
        <v>114</v>
      </c>
      <c r="D3" s="108" t="s">
        <v>16</v>
      </c>
      <c r="E3" s="109">
        <v>1</v>
      </c>
      <c r="F3" s="108">
        <v>208</v>
      </c>
      <c r="G3" s="108">
        <v>38</v>
      </c>
      <c r="H3" s="110">
        <f>RANK(G3,$G$3:$G$17)+COUNTIF(G3:$G$3,G3)-1</f>
        <v>12</v>
      </c>
      <c r="I3" s="108">
        <v>89</v>
      </c>
      <c r="J3" s="109">
        <f>RANK(I3,$I$3:$I$17)+COUNTIF(I3:$I$3,I3)-1</f>
        <v>1</v>
      </c>
      <c r="K3" s="111">
        <f t="shared" ref="K3:K17" si="0">(E3+J3)/2</f>
        <v>1</v>
      </c>
      <c r="L3" s="108">
        <f>RANK(K3,$K$3:$K$17,1)+COUNTIF(K3:$K$3,K3)-1</f>
        <v>1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20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328</v>
      </c>
      <c r="G4" s="117">
        <v>83</v>
      </c>
      <c r="H4" s="119">
        <f>RANK(G4,$G$3:$G$17)+COUNTIF(G$3:$G4,G4)-1</f>
        <v>4</v>
      </c>
      <c r="I4" s="117">
        <v>87</v>
      </c>
      <c r="J4" s="118">
        <f>RANK(I4,$I$3:$I$17)+COUNTIF(I$3:$I4,I4)-1</f>
        <v>6</v>
      </c>
      <c r="K4" s="120">
        <f t="shared" si="0"/>
        <v>4</v>
      </c>
      <c r="L4" s="117">
        <f>RANK(K4,$K$3:$K$17,1)+COUNTIF(K$3:$K4,K4)-1</f>
        <v>3</v>
      </c>
      <c r="N4" s="121" t="s">
        <v>22</v>
      </c>
      <c r="O4" s="122">
        <f>SUM(O5:O9)</f>
        <v>485</v>
      </c>
      <c r="P4" s="104">
        <v>507</v>
      </c>
      <c r="Q4" s="105">
        <v>488</v>
      </c>
      <c r="R4" s="123">
        <f>SUM(R5:R9)</f>
        <v>180</v>
      </c>
      <c r="S4" s="104">
        <v>217</v>
      </c>
      <c r="T4" s="105">
        <v>174</v>
      </c>
      <c r="U4" s="101"/>
      <c r="V4" s="101"/>
      <c r="W4" s="101"/>
    </row>
    <row r="5" spans="1:25" x14ac:dyDescent="0.3">
      <c r="A5" s="9"/>
      <c r="B5" s="116" t="s">
        <v>23</v>
      </c>
      <c r="C5" s="116">
        <v>111</v>
      </c>
      <c r="D5" s="117" t="s">
        <v>16</v>
      </c>
      <c r="E5" s="118">
        <v>3</v>
      </c>
      <c r="F5" s="117">
        <v>0</v>
      </c>
      <c r="G5" s="117">
        <v>0</v>
      </c>
      <c r="H5" s="119">
        <f>RANK(G5,$G$3:$G$17)+COUNTIF(G$3:$G5,G5)-1</f>
        <v>14</v>
      </c>
      <c r="I5" s="117">
        <v>0</v>
      </c>
      <c r="J5" s="118">
        <f>RANK(I5,$I$3:$I$17)+COUNTIF(I$3:$I5,I5)-1</f>
        <v>14</v>
      </c>
      <c r="K5" s="120">
        <f t="shared" si="0"/>
        <v>8.5</v>
      </c>
      <c r="L5" s="117">
        <f>RANK(K5,$K$3:$K$17,1)+COUNTIF(K$3:$K5,K5)-1</f>
        <v>8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14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466</v>
      </c>
      <c r="G6" s="117">
        <v>95</v>
      </c>
      <c r="H6" s="119">
        <f>RANK(G6,$G$3:$G$17)+COUNTIF(G$3:$G6,G6)-1</f>
        <v>1</v>
      </c>
      <c r="I6" s="117">
        <v>87</v>
      </c>
      <c r="J6" s="118">
        <f>RANK(I6,$I$3:$I$17)+COUNTIF(I$3:$I6,I6)-1</f>
        <v>7</v>
      </c>
      <c r="K6" s="120">
        <f t="shared" si="0"/>
        <v>5.5</v>
      </c>
      <c r="L6" s="117">
        <f>RANK(K6,$K$3:$K$17,1)+COUNTIF(K$3:$K6,K6)-1</f>
        <v>5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43</v>
      </c>
      <c r="B7" s="115" t="s">
        <v>27</v>
      </c>
      <c r="C7" s="116">
        <v>107</v>
      </c>
      <c r="D7" s="117" t="s">
        <v>16</v>
      </c>
      <c r="E7" s="118">
        <v>5</v>
      </c>
      <c r="F7" s="117">
        <v>238</v>
      </c>
      <c r="G7" s="117">
        <v>42</v>
      </c>
      <c r="H7" s="119">
        <f>RANK(G7,$G$3:$G$17)+COUNTIF(G$3:$G7,G7)-1</f>
        <v>9</v>
      </c>
      <c r="I7" s="117">
        <v>89</v>
      </c>
      <c r="J7" s="118">
        <f>RANK(I7,$I$3:$I$17)+COUNTIF(I$3:$I7,I7)-1</f>
        <v>2</v>
      </c>
      <c r="K7" s="120">
        <f t="shared" si="0"/>
        <v>3.5</v>
      </c>
      <c r="L7" s="117">
        <f>RANK(K7,$K$3:$K$17,1)+COUNTIF(K$3:$K7,K7)-1</f>
        <v>2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14</v>
      </c>
      <c r="B8" s="116" t="s">
        <v>31</v>
      </c>
      <c r="C8" s="116">
        <v>106</v>
      </c>
      <c r="D8" s="117" t="s">
        <v>16</v>
      </c>
      <c r="E8" s="118">
        <v>6</v>
      </c>
      <c r="F8" s="117">
        <v>308</v>
      </c>
      <c r="G8" s="117">
        <v>45</v>
      </c>
      <c r="H8" s="119">
        <f>RANK(G8,$G$3:$G$17)+COUNTIF(G$3:$G8,G8)-1</f>
        <v>8</v>
      </c>
      <c r="I8" s="117">
        <v>88</v>
      </c>
      <c r="J8" s="118">
        <f>RANK(I8,$I$3:$I$17)+COUNTIF(I$3:$I8,I8)-1</f>
        <v>3</v>
      </c>
      <c r="K8" s="120">
        <f t="shared" si="0"/>
        <v>4.5</v>
      </c>
      <c r="L8" s="117">
        <f>RANK(K8,$K$3:$K$17,1)+COUNTIF(K$3:$K8,K8)-1</f>
        <v>4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662</v>
      </c>
      <c r="V8" s="101">
        <f>P4+S4</f>
        <v>724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0</v>
      </c>
      <c r="J9" s="118">
        <f>RANK(I9,$I$3:$I$17)+COUNTIF(I$3:$I9,I9)-1</f>
        <v>15</v>
      </c>
      <c r="K9" s="120">
        <f t="shared" si="0"/>
        <v>11</v>
      </c>
      <c r="L9" s="117">
        <f>RANK(K9,$K$3:$K$17,1)+COUNTIF(K$3:$K9,K9)-1</f>
        <v>12</v>
      </c>
      <c r="N9" s="130" t="s">
        <v>35</v>
      </c>
      <c r="O9" s="131">
        <v>85</v>
      </c>
      <c r="P9" s="132"/>
      <c r="Q9" s="133"/>
      <c r="R9" s="131">
        <v>35</v>
      </c>
      <c r="S9" s="132"/>
      <c r="T9" s="133"/>
      <c r="U9" s="101"/>
      <c r="V9" s="101">
        <f>U8-V8</f>
        <v>-62</v>
      </c>
      <c r="W9" s="101"/>
    </row>
    <row r="10" spans="1:25" x14ac:dyDescent="0.3">
      <c r="A10" s="9" t="s">
        <v>43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252</v>
      </c>
      <c r="G10" s="117">
        <v>34</v>
      </c>
      <c r="H10" s="119">
        <f>RANK(G10,$G$3:$G$17)+COUNTIF(G$3:$G10,G10)-1</f>
        <v>13</v>
      </c>
      <c r="I10" s="117">
        <v>87</v>
      </c>
      <c r="J10" s="118">
        <f>RANK(I10,$I$3:$I$17)+COUNTIF(I$3:$I10,I10)-1</f>
        <v>8</v>
      </c>
      <c r="K10" s="120">
        <f t="shared" si="0"/>
        <v>8</v>
      </c>
      <c r="L10" s="117">
        <f>RANK(K10,$K$3:$K$17,1)+COUNTIF(K$3:$K10,K10)-1</f>
        <v>6</v>
      </c>
      <c r="W10" s="101"/>
    </row>
    <row r="11" spans="1:25" x14ac:dyDescent="0.3">
      <c r="A11" s="9"/>
      <c r="B11" s="116" t="s">
        <v>37</v>
      </c>
      <c r="C11" s="116">
        <v>102</v>
      </c>
      <c r="D11" s="117" t="s">
        <v>38</v>
      </c>
      <c r="E11" s="118">
        <v>9</v>
      </c>
      <c r="F11" s="117">
        <v>266</v>
      </c>
      <c r="G11" s="117">
        <v>55</v>
      </c>
      <c r="H11" s="119">
        <f>RANK(G11,$G$3:$G$17)+COUNTIF(G$3:$G11,G11)-1</f>
        <v>6</v>
      </c>
      <c r="I11" s="117">
        <v>86</v>
      </c>
      <c r="J11" s="118">
        <f>RANK(I11,$I$3:$I$17)+COUNTIF(I$3:$I11,I11)-1</f>
        <v>13</v>
      </c>
      <c r="K11" s="120">
        <f t="shared" si="0"/>
        <v>11</v>
      </c>
      <c r="L11" s="117">
        <f>RANK(K11,$K$3:$K$17,1)+COUNTIF(K$3:$K11,K11)-1</f>
        <v>13</v>
      </c>
      <c r="W11" s="101"/>
    </row>
    <row r="12" spans="1:25" x14ac:dyDescent="0.3">
      <c r="A12" s="9" t="s">
        <v>43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566</v>
      </c>
      <c r="G12" s="117">
        <v>87</v>
      </c>
      <c r="H12" s="119">
        <f>RANK(G12,$G$3:$G$17)+COUNTIF(G$3:$G12,G12)-1</f>
        <v>3</v>
      </c>
      <c r="I12" s="117">
        <v>87</v>
      </c>
      <c r="J12" s="118">
        <f>RANK(I12,$I$3:$I$17)+COUNTIF(I$3:$I12,I12)-1</f>
        <v>9</v>
      </c>
      <c r="K12" s="120">
        <f t="shared" si="0"/>
        <v>9.5</v>
      </c>
      <c r="L12" s="117">
        <f>RANK(K12,$K$3:$K$17,1)+COUNTIF(K$3:$K12,K12)-1</f>
        <v>10</v>
      </c>
      <c r="W12" s="101"/>
    </row>
    <row r="13" spans="1:25" x14ac:dyDescent="0.3">
      <c r="A13" s="9" t="s">
        <v>43</v>
      </c>
      <c r="B13" s="128" t="s">
        <v>40</v>
      </c>
      <c r="C13" s="116">
        <v>98</v>
      </c>
      <c r="D13" s="117" t="s">
        <v>41</v>
      </c>
      <c r="E13" s="118">
        <v>11</v>
      </c>
      <c r="F13" s="117">
        <v>300</v>
      </c>
      <c r="G13" s="117">
        <v>56</v>
      </c>
      <c r="H13" s="119">
        <f>RANK(G13,$G$3:$G$17)+COUNTIF(G$3:$G13,G13)-1</f>
        <v>5</v>
      </c>
      <c r="I13" s="117">
        <v>87</v>
      </c>
      <c r="J13" s="118">
        <f>RANK(I13,$I$3:$I$17)+COUNTIF(I$3:$I13,I13)-1</f>
        <v>10</v>
      </c>
      <c r="K13" s="120">
        <f t="shared" si="0"/>
        <v>10.5</v>
      </c>
      <c r="L13" s="117">
        <f>RANK(K13,$K$3:$K$17,1)+COUNTIF(K$3:$K13,K13)-1</f>
        <v>11</v>
      </c>
      <c r="W13" s="101"/>
    </row>
    <row r="14" spans="1:25" x14ac:dyDescent="0.3">
      <c r="A14" s="9" t="s">
        <v>14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268</v>
      </c>
      <c r="G14" s="117">
        <v>93</v>
      </c>
      <c r="H14" s="119">
        <f>RANK(G14,$G$3:$G$17)+COUNTIF(G$3:$G14,G14)-1</f>
        <v>2</v>
      </c>
      <c r="I14" s="117">
        <v>88</v>
      </c>
      <c r="J14" s="118">
        <f>RANK(I14,$I$3:$I$17)+COUNTIF(I$3:$I14,I14)-1</f>
        <v>4</v>
      </c>
      <c r="K14" s="120">
        <f t="shared" si="0"/>
        <v>8</v>
      </c>
      <c r="L14" s="117">
        <f>RANK(K14,$K$3:$K$17,1)+COUNTIF(K$3:$K14,K14)-1</f>
        <v>7</v>
      </c>
    </row>
    <row r="15" spans="1:25" x14ac:dyDescent="0.3">
      <c r="A15" s="9" t="s">
        <v>43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274</v>
      </c>
      <c r="G15" s="117">
        <v>49</v>
      </c>
      <c r="H15" s="119">
        <f>RANK(G15,$G$3:$G$17)+COUNTIF(G$3:$G15,G15)-1</f>
        <v>7</v>
      </c>
      <c r="I15" s="117">
        <v>88</v>
      </c>
      <c r="J15" s="118">
        <f>RANK(I15,$I$3:$I$17)+COUNTIF(I$3:$I15,I15)-1</f>
        <v>5</v>
      </c>
      <c r="K15" s="120">
        <f t="shared" si="0"/>
        <v>9</v>
      </c>
      <c r="L15" s="117">
        <f>RANK(K15,$K$3:$K$17,1)+COUNTIF(K$3:$K15,K15)-1</f>
        <v>9</v>
      </c>
    </row>
    <row r="16" spans="1:25" x14ac:dyDescent="0.3">
      <c r="A16" s="9"/>
      <c r="B16" s="116" t="s">
        <v>45</v>
      </c>
      <c r="C16" s="116">
        <v>91</v>
      </c>
      <c r="D16" s="117" t="s">
        <v>41</v>
      </c>
      <c r="E16" s="118">
        <v>14</v>
      </c>
      <c r="F16" s="117">
        <v>240</v>
      </c>
      <c r="G16" s="117">
        <v>41</v>
      </c>
      <c r="H16" s="119">
        <f>RANK(G16,$G$3:$G$17)+COUNTIF(G$3:$G16,G16)-1</f>
        <v>10</v>
      </c>
      <c r="I16" s="117">
        <v>87</v>
      </c>
      <c r="J16" s="118">
        <f>RANK(I16,$I$3:$I$17)+COUNTIF(I$3:$I16,I16)-1</f>
        <v>11</v>
      </c>
      <c r="K16" s="120">
        <f t="shared" si="0"/>
        <v>12.5</v>
      </c>
      <c r="L16" s="117">
        <f>RANK(K16,$K$3:$K$17,1)+COUNTIF(K$3:$K16,K16)-1</f>
        <v>14</v>
      </c>
    </row>
    <row r="17" spans="1:12" x14ac:dyDescent="0.3">
      <c r="A17" s="5" t="s">
        <v>43</v>
      </c>
      <c r="B17" s="11" t="s">
        <v>46</v>
      </c>
      <c r="C17" s="2">
        <v>90</v>
      </c>
      <c r="D17" s="134" t="s">
        <v>41</v>
      </c>
      <c r="E17" s="3">
        <v>15</v>
      </c>
      <c r="F17" s="4">
        <v>220</v>
      </c>
      <c r="G17" s="5">
        <v>40</v>
      </c>
      <c r="H17" s="135">
        <f>RANK(G17,$G$3:$G$17)+COUNTIF(G$3:$G17,G17)-1</f>
        <v>11</v>
      </c>
      <c r="I17" s="5">
        <v>87</v>
      </c>
      <c r="J17" s="136">
        <f>RANK(I17,$I$3:$I$17)+COUNTIF(I$3:$I17,I17)-1</f>
        <v>12</v>
      </c>
      <c r="K17" s="137">
        <f t="shared" si="0"/>
        <v>13.5</v>
      </c>
      <c r="L17" s="134">
        <f>RANK(K17,$K$3:$K$17,1)+COUNTIF(K$3:$K17,K17)-1</f>
        <v>15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 t="s">
        <v>51</v>
      </c>
      <c r="F25" s="1"/>
    </row>
    <row r="26" spans="1:12" x14ac:dyDescent="0.3">
      <c r="B26" s="1" t="s">
        <v>55</v>
      </c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6"/>
  <sheetViews>
    <sheetView workbookViewId="0">
      <selection activeCell="B9" sqref="B9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/>
      <c r="B3" s="107" t="s">
        <v>15</v>
      </c>
      <c r="C3" s="107">
        <v>114</v>
      </c>
      <c r="D3" s="108" t="s">
        <v>16</v>
      </c>
      <c r="E3" s="109">
        <v>1</v>
      </c>
      <c r="F3" s="108">
        <v>208</v>
      </c>
      <c r="G3" s="108">
        <v>38</v>
      </c>
      <c r="H3" s="110">
        <f>RANK(G3,$G$3:$G$17)+COUNTIF(G3:$G$3,G3)-1</f>
        <v>11</v>
      </c>
      <c r="I3" s="108">
        <v>89</v>
      </c>
      <c r="J3" s="109">
        <f>RANK(I3,$I$3:$I$17)+COUNTIF(I3:$I$3,I3)-1</f>
        <v>1</v>
      </c>
      <c r="K3" s="111">
        <f t="shared" ref="K3:K17" si="0">(E3+J3)/2</f>
        <v>1</v>
      </c>
      <c r="L3" s="108">
        <f>RANK(K3,$K$3:$K$17,1)+COUNTIF(K3:$K$3,K3)-1</f>
        <v>1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43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362</v>
      </c>
      <c r="G4" s="117">
        <v>70</v>
      </c>
      <c r="H4" s="119">
        <f>RANK(G4,$G$3:$G$17)+COUNTIF(G$3:$G4,G4)-1</f>
        <v>5</v>
      </c>
      <c r="I4" s="117">
        <v>88</v>
      </c>
      <c r="J4" s="118">
        <f>RANK(I4,$I$3:$I$17)+COUNTIF(I$3:$I4,I4)-1</f>
        <v>4</v>
      </c>
      <c r="K4" s="120">
        <f t="shared" si="0"/>
        <v>3</v>
      </c>
      <c r="L4" s="117">
        <f>RANK(K4,$K$3:$K$17,1)+COUNTIF(K$3:$K4,K4)-1</f>
        <v>2</v>
      </c>
      <c r="N4" s="121" t="s">
        <v>22</v>
      </c>
      <c r="O4" s="122">
        <f>SUM(O5:O9)</f>
        <v>480</v>
      </c>
      <c r="P4" s="104">
        <v>488</v>
      </c>
      <c r="Q4" s="105">
        <v>525</v>
      </c>
      <c r="R4" s="123">
        <f>SUM(R5:R9)</f>
        <v>180</v>
      </c>
      <c r="S4" s="104">
        <v>174</v>
      </c>
      <c r="T4" s="105">
        <v>185</v>
      </c>
      <c r="U4" s="101"/>
      <c r="V4" s="101"/>
      <c r="W4" s="101"/>
    </row>
    <row r="5" spans="1:25" x14ac:dyDescent="0.3">
      <c r="A5" s="9"/>
      <c r="B5" s="116" t="s">
        <v>23</v>
      </c>
      <c r="C5" s="116">
        <v>111</v>
      </c>
      <c r="D5" s="117" t="s">
        <v>16</v>
      </c>
      <c r="E5" s="118">
        <v>3</v>
      </c>
      <c r="F5" s="117">
        <v>0</v>
      </c>
      <c r="G5" s="117">
        <v>0</v>
      </c>
      <c r="H5" s="119">
        <f>RANK(G5,$G$3:$G$17)+COUNTIF(G$3:$G5,G5)-1</f>
        <v>14</v>
      </c>
      <c r="I5" s="117">
        <v>0</v>
      </c>
      <c r="J5" s="118">
        <f>RANK(I5,$I$3:$I$17)+COUNTIF(I$3:$I5,I5)-1</f>
        <v>14</v>
      </c>
      <c r="K5" s="120">
        <f t="shared" si="0"/>
        <v>8.5</v>
      </c>
      <c r="L5" s="117">
        <f>RANK(K5,$K$3:$K$17,1)+COUNTIF(K$3:$K5,K5)-1</f>
        <v>8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20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558</v>
      </c>
      <c r="G6" s="117">
        <v>102</v>
      </c>
      <c r="H6" s="119">
        <f>RANK(G6,$G$3:$G$17)+COUNTIF(G$3:$G6,G6)-1</f>
        <v>1</v>
      </c>
      <c r="I6" s="117">
        <v>87</v>
      </c>
      <c r="J6" s="118">
        <f>RANK(I6,$I$3:$I$17)+COUNTIF(I$3:$I6,I6)-1</f>
        <v>9</v>
      </c>
      <c r="K6" s="120">
        <f t="shared" si="0"/>
        <v>6.5</v>
      </c>
      <c r="L6" s="117">
        <f>RANK(K6,$K$3:$K$17,1)+COUNTIF(K$3:$K6,K6)-1</f>
        <v>6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20</v>
      </c>
      <c r="B7" s="115" t="s">
        <v>27</v>
      </c>
      <c r="C7" s="116">
        <v>107</v>
      </c>
      <c r="D7" s="117" t="s">
        <v>16</v>
      </c>
      <c r="E7" s="118">
        <v>5</v>
      </c>
      <c r="F7" s="117">
        <v>146</v>
      </c>
      <c r="G7" s="117">
        <v>35</v>
      </c>
      <c r="H7" s="119">
        <f>RANK(G7,$G$3:$G$17)+COUNTIF(G$3:$G7,G7)-1</f>
        <v>13</v>
      </c>
      <c r="I7" s="117">
        <v>89</v>
      </c>
      <c r="J7" s="118">
        <f>RANK(I7,$I$3:$I$17)+COUNTIF(I$3:$I7,I7)-1</f>
        <v>2</v>
      </c>
      <c r="K7" s="120">
        <f t="shared" si="0"/>
        <v>3.5</v>
      </c>
      <c r="L7" s="117">
        <f>RANK(K7,$K$3:$K$17,1)+COUNTIF(K$3:$K7,K7)-1</f>
        <v>3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20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304</v>
      </c>
      <c r="G8" s="117">
        <v>68</v>
      </c>
      <c r="H8" s="119">
        <f>RANK(G8,$G$3:$G$17)+COUNTIF(G$3:$G8,G8)-1</f>
        <v>6</v>
      </c>
      <c r="I8" s="117">
        <v>88</v>
      </c>
      <c r="J8" s="118">
        <f>RANK(I8,$I$3:$I$17)+COUNTIF(I$3:$I8,I8)-1</f>
        <v>5</v>
      </c>
      <c r="K8" s="120">
        <f t="shared" si="0"/>
        <v>5.5</v>
      </c>
      <c r="L8" s="117">
        <f>RANK(K8,$K$3:$K$17,1)+COUNTIF(K$3:$K8,K8)-1</f>
        <v>4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710</v>
      </c>
      <c r="V8" s="101">
        <f>P4+S4</f>
        <v>662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0</v>
      </c>
      <c r="J9" s="118">
        <f>RANK(I9,$I$3:$I$17)+COUNTIF(I$3:$I9,I9)-1</f>
        <v>15</v>
      </c>
      <c r="K9" s="120">
        <f t="shared" si="0"/>
        <v>11</v>
      </c>
      <c r="L9" s="117">
        <f>RANK(K9,$K$3:$K$17,1)+COUNTIF(K$3:$K9,K9)-1</f>
        <v>12</v>
      </c>
      <c r="N9" s="130" t="s">
        <v>35</v>
      </c>
      <c r="O9" s="131">
        <v>80</v>
      </c>
      <c r="P9" s="132"/>
      <c r="Q9" s="133"/>
      <c r="R9" s="131">
        <v>35</v>
      </c>
      <c r="S9" s="132"/>
      <c r="T9" s="133"/>
      <c r="U9" s="101"/>
      <c r="V9" s="101">
        <f>U8-V8</f>
        <v>48</v>
      </c>
      <c r="W9" s="101"/>
    </row>
    <row r="10" spans="1:25" x14ac:dyDescent="0.3">
      <c r="A10" s="9" t="s">
        <v>43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206</v>
      </c>
      <c r="G10" s="117">
        <v>38</v>
      </c>
      <c r="H10" s="119">
        <f>RANK(G10,$G$3:$G$17)+COUNTIF(G$3:$G10,G10)-1</f>
        <v>12</v>
      </c>
      <c r="I10" s="117">
        <v>89</v>
      </c>
      <c r="J10" s="118">
        <f>RANK(I10,$I$3:$I$17)+COUNTIF(I$3:$I10,I10)-1</f>
        <v>3</v>
      </c>
      <c r="K10" s="120">
        <f t="shared" si="0"/>
        <v>5.5</v>
      </c>
      <c r="L10" s="117">
        <f>RANK(K10,$K$3:$K$17,1)+COUNTIF(K$3:$K10,K10)-1</f>
        <v>5</v>
      </c>
      <c r="W10" s="101"/>
    </row>
    <row r="11" spans="1:25" x14ac:dyDescent="0.3">
      <c r="A11" s="9"/>
      <c r="B11" s="116" t="s">
        <v>37</v>
      </c>
      <c r="C11" s="116">
        <v>102</v>
      </c>
      <c r="D11" s="117" t="s">
        <v>38</v>
      </c>
      <c r="E11" s="118">
        <v>9</v>
      </c>
      <c r="F11" s="117">
        <v>266</v>
      </c>
      <c r="G11" s="117">
        <v>55</v>
      </c>
      <c r="H11" s="119">
        <f>RANK(G11,$G$3:$G$17)+COUNTIF(G$3:$G11,G11)-1</f>
        <v>9</v>
      </c>
      <c r="I11" s="117">
        <v>86</v>
      </c>
      <c r="J11" s="118">
        <f>RANK(I11,$I$3:$I$17)+COUNTIF(I$3:$I11,I11)-1</f>
        <v>13</v>
      </c>
      <c r="K11" s="120">
        <f t="shared" si="0"/>
        <v>11</v>
      </c>
      <c r="L11" s="117">
        <f>RANK(K11,$K$3:$K$17,1)+COUNTIF(K$3:$K11,K11)-1</f>
        <v>13</v>
      </c>
      <c r="W11" s="101"/>
    </row>
    <row r="12" spans="1:25" x14ac:dyDescent="0.3">
      <c r="A12" s="9" t="s">
        <v>20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524</v>
      </c>
      <c r="G12" s="117">
        <v>93</v>
      </c>
      <c r="H12" s="119">
        <f>RANK(G12,$G$3:$G$17)+COUNTIF(G$3:$G12,G12)-1</f>
        <v>2</v>
      </c>
      <c r="I12" s="117">
        <v>88</v>
      </c>
      <c r="J12" s="118">
        <f>RANK(I12,$I$3:$I$17)+COUNTIF(I$3:$I12,I12)-1</f>
        <v>6</v>
      </c>
      <c r="K12" s="120">
        <f t="shared" si="0"/>
        <v>8</v>
      </c>
      <c r="L12" s="117">
        <f>RANK(K12,$K$3:$K$17,1)+COUNTIF(K$3:$K12,K12)-1</f>
        <v>7</v>
      </c>
      <c r="W12" s="101"/>
    </row>
    <row r="13" spans="1:25" x14ac:dyDescent="0.3">
      <c r="A13" s="9" t="s">
        <v>43</v>
      </c>
      <c r="B13" s="128" t="s">
        <v>40</v>
      </c>
      <c r="C13" s="116">
        <v>98</v>
      </c>
      <c r="D13" s="117" t="s">
        <v>41</v>
      </c>
      <c r="E13" s="118">
        <v>11</v>
      </c>
      <c r="F13" s="117">
        <v>322</v>
      </c>
      <c r="G13" s="117">
        <v>68</v>
      </c>
      <c r="H13" s="119">
        <f>RANK(G13,$G$3:$G$17)+COUNTIF(G$3:$G13,G13)-1</f>
        <v>7</v>
      </c>
      <c r="I13" s="117">
        <v>87</v>
      </c>
      <c r="J13" s="118">
        <f>RANK(I13,$I$3:$I$17)+COUNTIF(I$3:$I13,I13)-1</f>
        <v>10</v>
      </c>
      <c r="K13" s="120">
        <f t="shared" si="0"/>
        <v>10.5</v>
      </c>
      <c r="L13" s="117">
        <f>RANK(K13,$K$3:$K$17,1)+COUNTIF(K$3:$K13,K13)-1</f>
        <v>10</v>
      </c>
      <c r="W13" s="101"/>
    </row>
    <row r="14" spans="1:25" x14ac:dyDescent="0.3">
      <c r="A14" s="9" t="s">
        <v>43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246</v>
      </c>
      <c r="G14" s="117">
        <v>65</v>
      </c>
      <c r="H14" s="119">
        <f>RANK(G14,$G$3:$G$17)+COUNTIF(G$3:$G14,G14)-1</f>
        <v>8</v>
      </c>
      <c r="I14" s="117">
        <v>88</v>
      </c>
      <c r="J14" s="118">
        <f>RANK(I14,$I$3:$I$17)+COUNTIF(I$3:$I14,I14)-1</f>
        <v>7</v>
      </c>
      <c r="K14" s="120">
        <f t="shared" si="0"/>
        <v>9.5</v>
      </c>
      <c r="L14" s="117">
        <f>RANK(K14,$K$3:$K$17,1)+COUNTIF(K$3:$K14,K14)-1</f>
        <v>9</v>
      </c>
    </row>
    <row r="15" spans="1:25" x14ac:dyDescent="0.3">
      <c r="A15" s="9" t="s">
        <v>14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278</v>
      </c>
      <c r="G15" s="117">
        <v>80</v>
      </c>
      <c r="H15" s="119">
        <f>RANK(G15,$G$3:$G$17)+COUNTIF(G$3:$G15,G15)-1</f>
        <v>4</v>
      </c>
      <c r="I15" s="117">
        <v>88</v>
      </c>
      <c r="J15" s="118">
        <f>RANK(I15,$I$3:$I$17)+COUNTIF(I$3:$I15,I15)-1</f>
        <v>8</v>
      </c>
      <c r="K15" s="120">
        <f t="shared" si="0"/>
        <v>10.5</v>
      </c>
      <c r="L15" s="117">
        <f>RANK(K15,$K$3:$K$17,1)+COUNTIF(K$3:$K15,K15)-1</f>
        <v>11</v>
      </c>
    </row>
    <row r="16" spans="1:25" x14ac:dyDescent="0.3">
      <c r="A16" s="9" t="s">
        <v>20</v>
      </c>
      <c r="B16" s="128" t="s">
        <v>45</v>
      </c>
      <c r="C16" s="116">
        <v>91</v>
      </c>
      <c r="D16" s="117" t="s">
        <v>41</v>
      </c>
      <c r="E16" s="118">
        <v>14</v>
      </c>
      <c r="F16" s="117">
        <v>214</v>
      </c>
      <c r="G16" s="117">
        <v>91</v>
      </c>
      <c r="H16" s="119">
        <f>RANK(G16,$G$3:$G$17)+COUNTIF(G$3:$G16,G16)-1</f>
        <v>3</v>
      </c>
      <c r="I16" s="117">
        <v>87</v>
      </c>
      <c r="J16" s="118">
        <f>RANK(I16,$I$3:$I$17)+COUNTIF(I$3:$I16,I16)-1</f>
        <v>11</v>
      </c>
      <c r="K16" s="120">
        <f t="shared" si="0"/>
        <v>12.5</v>
      </c>
      <c r="L16" s="117">
        <f>RANK(K16,$K$3:$K$17,1)+COUNTIF(K$3:$K16,K16)-1</f>
        <v>14</v>
      </c>
    </row>
    <row r="17" spans="1:12" x14ac:dyDescent="0.3">
      <c r="A17" s="5"/>
      <c r="B17" s="2" t="s">
        <v>46</v>
      </c>
      <c r="C17" s="2">
        <v>90</v>
      </c>
      <c r="D17" s="134" t="s">
        <v>41</v>
      </c>
      <c r="E17" s="3">
        <v>15</v>
      </c>
      <c r="F17" s="4">
        <v>220</v>
      </c>
      <c r="G17" s="5">
        <v>40</v>
      </c>
      <c r="H17" s="135">
        <f>RANK(G17,$G$3:$G$17)+COUNTIF(G$3:$G17,G17)-1</f>
        <v>10</v>
      </c>
      <c r="I17" s="5">
        <v>87</v>
      </c>
      <c r="J17" s="136">
        <f>RANK(I17,$I$3:$I$17)+COUNTIF(I$3:$I17,I17)-1</f>
        <v>12</v>
      </c>
      <c r="K17" s="137">
        <f t="shared" si="0"/>
        <v>13.5</v>
      </c>
      <c r="L17" s="134">
        <f>RANK(K17,$K$3:$K$17,1)+COUNTIF(K$3:$K17,K17)-1</f>
        <v>15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 t="s">
        <v>51</v>
      </c>
      <c r="C25" s="6"/>
      <c r="D25" s="6"/>
      <c r="E25" s="6"/>
      <c r="F25" s="1"/>
    </row>
    <row r="26" spans="1:12" x14ac:dyDescent="0.3">
      <c r="B26" s="1" t="s">
        <v>56</v>
      </c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6"/>
  <sheetViews>
    <sheetView workbookViewId="0">
      <selection activeCell="B10" sqref="B10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 t="s">
        <v>20</v>
      </c>
      <c r="B3" s="106" t="s">
        <v>15</v>
      </c>
      <c r="C3" s="107">
        <v>114</v>
      </c>
      <c r="D3" s="108" t="s">
        <v>16</v>
      </c>
      <c r="E3" s="109">
        <v>1</v>
      </c>
      <c r="F3" s="108">
        <v>226</v>
      </c>
      <c r="G3" s="108">
        <v>40</v>
      </c>
      <c r="H3" s="110">
        <f>RANK(G3,$G$3:$G$17)+COUNTIF(G3:$G$3,G3)-1</f>
        <v>10</v>
      </c>
      <c r="I3" s="108">
        <v>88</v>
      </c>
      <c r="J3" s="109">
        <f>RANK(I3,$I$3:$I$17)+COUNTIF(I3:$I$3,I3)-1</f>
        <v>4</v>
      </c>
      <c r="K3" s="111">
        <f t="shared" ref="K3:K17" si="0">(E3+J3)/2</f>
        <v>2.5</v>
      </c>
      <c r="L3" s="108">
        <f>RANK(K3,$K$3:$K$17,1)+COUNTIF(K3:$K$3,K3)-1</f>
        <v>2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43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230</v>
      </c>
      <c r="G4" s="117">
        <v>45</v>
      </c>
      <c r="H4" s="119">
        <f>RANK(G4,$G$3:$G$17)+COUNTIF(G$3:$G4,G4)-1</f>
        <v>9</v>
      </c>
      <c r="I4" s="117">
        <v>89</v>
      </c>
      <c r="J4" s="118">
        <f>RANK(I4,$I$3:$I$17)+COUNTIF(I$3:$I4,I4)-1</f>
        <v>1</v>
      </c>
      <c r="K4" s="120">
        <f t="shared" si="0"/>
        <v>1.5</v>
      </c>
      <c r="L4" s="117">
        <f>RANK(K4,$K$3:$K$17,1)+COUNTIF(K$3:$K4,K4)-1</f>
        <v>1</v>
      </c>
      <c r="N4" s="121" t="s">
        <v>22</v>
      </c>
      <c r="O4" s="122">
        <f>SUM(O5:O9)</f>
        <v>480</v>
      </c>
      <c r="P4" s="104">
        <v>525</v>
      </c>
      <c r="Q4" s="105">
        <v>490</v>
      </c>
      <c r="R4" s="123">
        <f>SUM(R5:R9)</f>
        <v>175</v>
      </c>
      <c r="S4" s="104">
        <v>185</v>
      </c>
      <c r="T4" s="105">
        <v>220</v>
      </c>
      <c r="U4" s="101"/>
      <c r="V4" s="101"/>
      <c r="W4" s="101"/>
    </row>
    <row r="5" spans="1:25" x14ac:dyDescent="0.3">
      <c r="A5" s="9"/>
      <c r="B5" s="116" t="s">
        <v>23</v>
      </c>
      <c r="C5" s="116">
        <v>111</v>
      </c>
      <c r="D5" s="117" t="s">
        <v>16</v>
      </c>
      <c r="E5" s="118">
        <v>3</v>
      </c>
      <c r="F5" s="117">
        <v>0</v>
      </c>
      <c r="G5" s="117">
        <v>0</v>
      </c>
      <c r="H5" s="119">
        <f>RANK(G5,$G$3:$G$17)+COUNTIF(G$3:$G5,G5)-1</f>
        <v>14</v>
      </c>
      <c r="I5" s="117">
        <v>0</v>
      </c>
      <c r="J5" s="118">
        <f>RANK(I5,$I$3:$I$17)+COUNTIF(I$3:$I5,I5)-1</f>
        <v>14</v>
      </c>
      <c r="K5" s="120">
        <f t="shared" si="0"/>
        <v>8.5</v>
      </c>
      <c r="L5" s="117">
        <f>RANK(K5,$K$3:$K$17,1)+COUNTIF(K$3:$K5,K5)-1</f>
        <v>6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43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548</v>
      </c>
      <c r="G6" s="117">
        <v>77</v>
      </c>
      <c r="H6" s="119">
        <f>RANK(G6,$G$3:$G$17)+COUNTIF(G$3:$G6,G6)-1</f>
        <v>3</v>
      </c>
      <c r="I6" s="117">
        <v>89</v>
      </c>
      <c r="J6" s="118">
        <f>RANK(I6,$I$3:$I$17)+COUNTIF(I$3:$I6,I6)-1</f>
        <v>2</v>
      </c>
      <c r="K6" s="120">
        <f t="shared" si="0"/>
        <v>3</v>
      </c>
      <c r="L6" s="117">
        <f>RANK(K6,$K$3:$K$17,1)+COUNTIF(K$3:$K6,K6)-1</f>
        <v>3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43</v>
      </c>
      <c r="B7" s="115" t="s">
        <v>27</v>
      </c>
      <c r="C7" s="116">
        <v>107</v>
      </c>
      <c r="D7" s="117" t="s">
        <v>16</v>
      </c>
      <c r="E7" s="118">
        <v>5</v>
      </c>
      <c r="F7" s="117">
        <v>186</v>
      </c>
      <c r="G7" s="117">
        <v>40</v>
      </c>
      <c r="H7" s="119">
        <f>RANK(G7,$G$3:$G$17)+COUNTIF(G$3:$G7,G7)-1</f>
        <v>11</v>
      </c>
      <c r="I7" s="117">
        <v>88</v>
      </c>
      <c r="J7" s="118">
        <f>RANK(I7,$I$3:$I$17)+COUNTIF(I$3:$I7,I7)-1</f>
        <v>5</v>
      </c>
      <c r="K7" s="120">
        <f t="shared" si="0"/>
        <v>5</v>
      </c>
      <c r="L7" s="117">
        <f>RANK(K7,$K$3:$K$17,1)+COUNTIF(K$3:$K7,K7)-1</f>
        <v>5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20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294</v>
      </c>
      <c r="G8" s="117">
        <v>51</v>
      </c>
      <c r="H8" s="119">
        <f>RANK(G8,$G$3:$G$17)+COUNTIF(G$3:$G8,G8)-1</f>
        <v>8</v>
      </c>
      <c r="I8" s="117">
        <v>89</v>
      </c>
      <c r="J8" s="118">
        <f>RANK(I8,$I$3:$I$17)+COUNTIF(I$3:$I8,I8)-1</f>
        <v>3</v>
      </c>
      <c r="K8" s="120">
        <f t="shared" si="0"/>
        <v>4.5</v>
      </c>
      <c r="L8" s="117">
        <f>RANK(K8,$K$3:$K$17,1)+COUNTIF(K$3:$K8,K8)-1</f>
        <v>4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710</v>
      </c>
      <c r="V8" s="101">
        <f>P4+S4</f>
        <v>710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0</v>
      </c>
      <c r="J9" s="118">
        <f>RANK(I9,$I$3:$I$17)+COUNTIF(I$3:$I9,I9)-1</f>
        <v>15</v>
      </c>
      <c r="K9" s="120">
        <f t="shared" si="0"/>
        <v>11</v>
      </c>
      <c r="L9" s="117">
        <f>RANK(K9,$K$3:$K$17,1)+COUNTIF(K$3:$K9,K9)-1</f>
        <v>12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0</v>
      </c>
      <c r="W9" s="101"/>
    </row>
    <row r="10" spans="1:25" x14ac:dyDescent="0.3">
      <c r="A10" s="9" t="s">
        <v>20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238</v>
      </c>
      <c r="G10" s="117">
        <v>52</v>
      </c>
      <c r="H10" s="119">
        <f>RANK(G10,$G$3:$G$17)+COUNTIF(G$3:$G10,G10)-1</f>
        <v>7</v>
      </c>
      <c r="I10" s="117">
        <v>87</v>
      </c>
      <c r="J10" s="118">
        <f>RANK(I10,$I$3:$I$17)+COUNTIF(I$3:$I10,I10)-1</f>
        <v>9</v>
      </c>
      <c r="K10" s="120">
        <f t="shared" si="0"/>
        <v>8.5</v>
      </c>
      <c r="L10" s="117">
        <f>RANK(K10,$K$3:$K$17,1)+COUNTIF(K$3:$K10,K10)-1</f>
        <v>7</v>
      </c>
      <c r="W10" s="101"/>
    </row>
    <row r="11" spans="1:25" x14ac:dyDescent="0.3">
      <c r="A11" s="9" t="s">
        <v>43</v>
      </c>
      <c r="B11" s="115" t="s">
        <v>37</v>
      </c>
      <c r="C11" s="116">
        <v>102</v>
      </c>
      <c r="D11" s="117" t="s">
        <v>38</v>
      </c>
      <c r="E11" s="118">
        <v>9</v>
      </c>
      <c r="F11" s="117">
        <v>201</v>
      </c>
      <c r="G11" s="117">
        <v>69</v>
      </c>
      <c r="H11" s="119">
        <f>RANK(G11,$G$3:$G$17)+COUNTIF(G$3:$G11,G11)-1</f>
        <v>4</v>
      </c>
      <c r="I11" s="117">
        <v>87</v>
      </c>
      <c r="J11" s="118">
        <f>RANK(I11,$I$3:$I$17)+COUNTIF(I$3:$I11,I11)-1</f>
        <v>10</v>
      </c>
      <c r="K11" s="120">
        <f t="shared" si="0"/>
        <v>9.5</v>
      </c>
      <c r="L11" s="117">
        <f>RANK(K11,$K$3:$K$17,1)+COUNTIF(K$3:$K11,K11)-1</f>
        <v>9</v>
      </c>
      <c r="W11" s="101"/>
    </row>
    <row r="12" spans="1:25" x14ac:dyDescent="0.3">
      <c r="A12" s="9" t="s">
        <v>20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594</v>
      </c>
      <c r="G12" s="117">
        <v>69</v>
      </c>
      <c r="H12" s="119">
        <f>RANK(G12,$G$3:$G$17)+COUNTIF(G$3:$G12,G12)-1</f>
        <v>5</v>
      </c>
      <c r="I12" s="117">
        <v>87</v>
      </c>
      <c r="J12" s="118">
        <f>RANK(I12,$I$3:$I$17)+COUNTIF(I$3:$I12,I12)-1</f>
        <v>11</v>
      </c>
      <c r="K12" s="120">
        <f t="shared" si="0"/>
        <v>10.5</v>
      </c>
      <c r="L12" s="117">
        <f>RANK(K12,$K$3:$K$17,1)+COUNTIF(K$3:$K12,K12)-1</f>
        <v>11</v>
      </c>
      <c r="W12" s="101"/>
    </row>
    <row r="13" spans="1:25" x14ac:dyDescent="0.3">
      <c r="A13" s="9" t="s">
        <v>20</v>
      </c>
      <c r="B13" s="128" t="s">
        <v>40</v>
      </c>
      <c r="C13" s="116">
        <v>98</v>
      </c>
      <c r="D13" s="117" t="s">
        <v>41</v>
      </c>
      <c r="E13" s="118">
        <v>11</v>
      </c>
      <c r="F13" s="117">
        <v>354</v>
      </c>
      <c r="G13" s="117">
        <v>33</v>
      </c>
      <c r="H13" s="119">
        <f>RANK(G13,$G$3:$G$17)+COUNTIF(G$3:$G13,G13)-1</f>
        <v>13</v>
      </c>
      <c r="I13" s="117">
        <v>88</v>
      </c>
      <c r="J13" s="118">
        <f>RANK(I13,$I$3:$I$17)+COUNTIF(I$3:$I13,I13)-1</f>
        <v>6</v>
      </c>
      <c r="K13" s="120">
        <f t="shared" si="0"/>
        <v>8.5</v>
      </c>
      <c r="L13" s="117">
        <f>RANK(K13,$K$3:$K$17,1)+COUNTIF(K$3:$K13,K13)-1</f>
        <v>8</v>
      </c>
      <c r="W13" s="101"/>
    </row>
    <row r="14" spans="1:25" x14ac:dyDescent="0.3">
      <c r="A14" s="9" t="s">
        <v>43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360</v>
      </c>
      <c r="G14" s="117">
        <v>84</v>
      </c>
      <c r="H14" s="119">
        <f>RANK(G14,$G$3:$G$17)+COUNTIF(G$3:$G14,G14)-1</f>
        <v>1</v>
      </c>
      <c r="I14" s="117">
        <v>86</v>
      </c>
      <c r="J14" s="118">
        <f>RANK(I14,$I$3:$I$17)+COUNTIF(I$3:$I14,I14)-1</f>
        <v>13</v>
      </c>
      <c r="K14" s="120">
        <f t="shared" si="0"/>
        <v>12.5</v>
      </c>
      <c r="L14" s="117">
        <f>RANK(K14,$K$3:$K$17,1)+COUNTIF(K$3:$K14,K14)-1</f>
        <v>14</v>
      </c>
    </row>
    <row r="15" spans="1:25" x14ac:dyDescent="0.3">
      <c r="A15" s="9" t="s">
        <v>14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288</v>
      </c>
      <c r="G15" s="117">
        <v>66</v>
      </c>
      <c r="H15" s="119">
        <f>RANK(G15,$G$3:$G$17)+COUNTIF(G$3:$G15,G15)-1</f>
        <v>6</v>
      </c>
      <c r="I15" s="117">
        <v>88</v>
      </c>
      <c r="J15" s="118">
        <f>RANK(I15,$I$3:$I$17)+COUNTIF(I$3:$I15,I15)-1</f>
        <v>7</v>
      </c>
      <c r="K15" s="120">
        <f t="shared" si="0"/>
        <v>10</v>
      </c>
      <c r="L15" s="117">
        <f>RANK(K15,$K$3:$K$17,1)+COUNTIF(K$3:$K15,K15)-1</f>
        <v>10</v>
      </c>
    </row>
    <row r="16" spans="1:25" x14ac:dyDescent="0.3">
      <c r="A16" s="9" t="s">
        <v>43</v>
      </c>
      <c r="B16" s="128" t="s">
        <v>45</v>
      </c>
      <c r="C16" s="116">
        <v>91</v>
      </c>
      <c r="D16" s="117" t="s">
        <v>41</v>
      </c>
      <c r="E16" s="118">
        <v>14</v>
      </c>
      <c r="F16" s="117">
        <v>278</v>
      </c>
      <c r="G16" s="117">
        <v>84</v>
      </c>
      <c r="H16" s="119">
        <f>RANK(G16,$G$3:$G$17)+COUNTIF(G$3:$G16,G16)-1</f>
        <v>2</v>
      </c>
      <c r="I16" s="117">
        <v>87</v>
      </c>
      <c r="J16" s="118">
        <f>RANK(I16,$I$3:$I$17)+COUNTIF(I$3:$I16,I16)-1</f>
        <v>12</v>
      </c>
      <c r="K16" s="120">
        <f t="shared" si="0"/>
        <v>13</v>
      </c>
      <c r="L16" s="117">
        <f>RANK(K16,$K$3:$K$17,1)+COUNTIF(K$3:$K16,K16)-1</f>
        <v>15</v>
      </c>
    </row>
    <row r="17" spans="1:12" x14ac:dyDescent="0.3">
      <c r="A17" s="5"/>
      <c r="B17" s="2" t="s">
        <v>46</v>
      </c>
      <c r="C17" s="2">
        <v>90</v>
      </c>
      <c r="D17" s="134" t="s">
        <v>41</v>
      </c>
      <c r="E17" s="3">
        <v>15</v>
      </c>
      <c r="F17" s="4">
        <v>220</v>
      </c>
      <c r="G17" s="5">
        <v>40</v>
      </c>
      <c r="H17" s="135">
        <f>RANK(G17,$G$3:$G$17)+COUNTIF(G$3:$G17,G17)-1</f>
        <v>12</v>
      </c>
      <c r="I17" s="5">
        <v>88</v>
      </c>
      <c r="J17" s="136">
        <f>RANK(I17,$I$3:$I$17)+COUNTIF(I$3:$I17,I17)-1</f>
        <v>8</v>
      </c>
      <c r="K17" s="137">
        <f t="shared" si="0"/>
        <v>11.5</v>
      </c>
      <c r="L17" s="134">
        <f>RANK(K17,$K$3:$K$17,1)+COUNTIF(K$3:$K17,K17)-1</f>
        <v>13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 t="s">
        <v>51</v>
      </c>
      <c r="C25" s="6"/>
      <c r="D25" s="6"/>
      <c r="E25" s="6"/>
      <c r="F25" s="1"/>
    </row>
    <row r="26" spans="1:12" x14ac:dyDescent="0.3">
      <c r="B26" s="1" t="s">
        <v>57</v>
      </c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6"/>
  <sheetViews>
    <sheetView workbookViewId="0">
      <selection activeCell="A14" sqref="A14:XFD14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 t="s">
        <v>14</v>
      </c>
      <c r="B3" s="106" t="s">
        <v>15</v>
      </c>
      <c r="C3" s="107">
        <v>114</v>
      </c>
      <c r="D3" s="108" t="s">
        <v>16</v>
      </c>
      <c r="E3" s="109">
        <v>1</v>
      </c>
      <c r="F3" s="108">
        <v>210</v>
      </c>
      <c r="G3" s="108">
        <v>50</v>
      </c>
      <c r="H3" s="110">
        <f>RANK(G3,$G$3:$G$17)+COUNTIF(G3:$G$3,G3)-1</f>
        <v>10</v>
      </c>
      <c r="I3" s="108">
        <v>88</v>
      </c>
      <c r="J3" s="109">
        <f>RANK(I3,$I$3:$I$17)+COUNTIF(I3:$I$3,I3)-1</f>
        <v>2</v>
      </c>
      <c r="K3" s="111">
        <f t="shared" ref="K3:K17" si="0">(E3+J3)/2</f>
        <v>1.5</v>
      </c>
      <c r="L3" s="108">
        <f>RANK(K3,$K$3:$K$17,1)+COUNTIF(K3:$K$3,K3)-1</f>
        <v>1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" t="s">
        <v>20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336</v>
      </c>
      <c r="G4" s="117">
        <v>79</v>
      </c>
      <c r="H4" s="119">
        <f>RANK(G4,$G$3:$G$17)+COUNTIF(G$3:$G4,G4)-1</f>
        <v>5</v>
      </c>
      <c r="I4" s="117">
        <v>87</v>
      </c>
      <c r="J4" s="118">
        <f>RANK(I4,$I$3:$I$17)+COUNTIF(I$3:$I4,I4)-1</f>
        <v>8</v>
      </c>
      <c r="K4" s="120">
        <f t="shared" si="0"/>
        <v>5</v>
      </c>
      <c r="L4" s="117">
        <f>RANK(K4,$K$3:$K$17,1)+COUNTIF(K$3:$K4,K4)-1</f>
        <v>5</v>
      </c>
      <c r="N4" s="121" t="s">
        <v>22</v>
      </c>
      <c r="O4" s="122">
        <f>SUM(O5:O9)</f>
        <v>480</v>
      </c>
      <c r="P4" s="104">
        <v>490</v>
      </c>
      <c r="Q4" s="105">
        <v>534</v>
      </c>
      <c r="R4" s="123">
        <f>SUM(R5:R9)</f>
        <v>175</v>
      </c>
      <c r="S4" s="104">
        <v>220</v>
      </c>
      <c r="T4" s="105"/>
      <c r="U4" s="101"/>
      <c r="V4" s="101"/>
      <c r="W4" s="101"/>
    </row>
    <row r="5" spans="1:25" x14ac:dyDescent="0.3">
      <c r="A5" s="9" t="s">
        <v>20</v>
      </c>
      <c r="B5" s="115" t="s">
        <v>23</v>
      </c>
      <c r="C5" s="116">
        <v>111</v>
      </c>
      <c r="D5" s="117" t="s">
        <v>16</v>
      </c>
      <c r="E5" s="118">
        <v>3</v>
      </c>
      <c r="F5" s="117">
        <v>156</v>
      </c>
      <c r="G5" s="117">
        <v>21</v>
      </c>
      <c r="H5" s="119">
        <f>RANK(G5,$G$3:$G$17)+COUNTIF(G$3:$G5,G5)-1</f>
        <v>14</v>
      </c>
      <c r="I5" s="117">
        <v>88</v>
      </c>
      <c r="J5" s="118">
        <f>RANK(I5,$I$3:$I$17)+COUNTIF(I$3:$I5,I5)-1</f>
        <v>3</v>
      </c>
      <c r="K5" s="120">
        <f t="shared" si="0"/>
        <v>3</v>
      </c>
      <c r="L5" s="117">
        <f>RANK(K5,$K$3:$K$17,1)+COUNTIF(K$3:$K5,K5)-1</f>
        <v>3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43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420</v>
      </c>
      <c r="G6" s="117">
        <v>92</v>
      </c>
      <c r="H6" s="119">
        <f>RANK(G6,$G$3:$G$17)+COUNTIF(G$3:$G6,G6)-1</f>
        <v>1</v>
      </c>
      <c r="I6" s="117">
        <v>89</v>
      </c>
      <c r="J6" s="118">
        <f>RANK(I6,$I$3:$I$17)+COUNTIF(I$3:$I6,I6)-1</f>
        <v>1</v>
      </c>
      <c r="K6" s="120">
        <f t="shared" si="0"/>
        <v>2.5</v>
      </c>
      <c r="L6" s="117">
        <f>RANK(K6,$K$3:$K$17,1)+COUNTIF(K$3:$K6,K6)-1</f>
        <v>2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43</v>
      </c>
      <c r="B7" s="116" t="s">
        <v>27</v>
      </c>
      <c r="C7" s="116">
        <v>107</v>
      </c>
      <c r="D7" s="117" t="s">
        <v>16</v>
      </c>
      <c r="E7" s="118">
        <v>5</v>
      </c>
      <c r="F7" s="117">
        <v>186</v>
      </c>
      <c r="G7" s="117">
        <v>40</v>
      </c>
      <c r="H7" s="119">
        <f>RANK(G7,$G$3:$G$17)+COUNTIF(G$3:$G7,G7)-1</f>
        <v>12</v>
      </c>
      <c r="I7" s="117">
        <v>88</v>
      </c>
      <c r="J7" s="118">
        <f>RANK(I7,$I$3:$I$17)+COUNTIF(I$3:$I7,I7)-1</f>
        <v>4</v>
      </c>
      <c r="K7" s="120">
        <f t="shared" si="0"/>
        <v>4.5</v>
      </c>
      <c r="L7" s="117">
        <f>RANK(K7,$K$3:$K$17,1)+COUNTIF(K$3:$K7,K7)-1</f>
        <v>4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14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288</v>
      </c>
      <c r="G8" s="117">
        <v>69</v>
      </c>
      <c r="H8" s="119">
        <f>RANK(G8,$G$3:$G$17)+COUNTIF(G$3:$G8,G8)-1</f>
        <v>7</v>
      </c>
      <c r="I8" s="117">
        <v>88</v>
      </c>
      <c r="J8" s="118">
        <f>RANK(I8,$I$3:$I$17)+COUNTIF(I$3:$I8,I8)-1</f>
        <v>5</v>
      </c>
      <c r="K8" s="120">
        <f t="shared" si="0"/>
        <v>5.5</v>
      </c>
      <c r="L8" s="117">
        <f>RANK(K8,$K$3:$K$17,1)+COUNTIF(K$3:$K8,K8)-1</f>
        <v>6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534</v>
      </c>
      <c r="V8" s="101">
        <f>P4+S4</f>
        <v>710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15</v>
      </c>
      <c r="I9" s="117">
        <v>0</v>
      </c>
      <c r="J9" s="118">
        <f>RANK(I9,$I$3:$I$17)+COUNTIF(I$3:$I9,I9)-1</f>
        <v>15</v>
      </c>
      <c r="K9" s="120">
        <f t="shared" si="0"/>
        <v>11</v>
      </c>
      <c r="L9" s="117">
        <f>RANK(K9,$K$3:$K$17,1)+COUNTIF(K$3:$K9,K9)-1</f>
        <v>10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-176</v>
      </c>
      <c r="W9" s="101"/>
    </row>
    <row r="10" spans="1:25" x14ac:dyDescent="0.3">
      <c r="A10" s="9" t="s">
        <v>14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270</v>
      </c>
      <c r="G10" s="117">
        <v>79</v>
      </c>
      <c r="H10" s="119">
        <f>RANK(G10,$G$3:$G$17)+COUNTIF(G$3:$G10,G10)-1</f>
        <v>6</v>
      </c>
      <c r="I10" s="117">
        <v>87</v>
      </c>
      <c r="J10" s="118">
        <f>RANK(I10,$I$3:$I$17)+COUNTIF(I$3:$I10,I10)-1</f>
        <v>9</v>
      </c>
      <c r="K10" s="120">
        <f t="shared" si="0"/>
        <v>8.5</v>
      </c>
      <c r="L10" s="117">
        <f>RANK(K10,$K$3:$K$17,1)+COUNTIF(K$3:$K10,K10)-1</f>
        <v>8</v>
      </c>
      <c r="W10" s="101"/>
    </row>
    <row r="11" spans="1:25" x14ac:dyDescent="0.3">
      <c r="A11" s="9" t="s">
        <v>43</v>
      </c>
      <c r="B11" s="115" t="s">
        <v>37</v>
      </c>
      <c r="C11" s="116">
        <v>102</v>
      </c>
      <c r="D11" s="117" t="s">
        <v>38</v>
      </c>
      <c r="E11" s="118">
        <v>9</v>
      </c>
      <c r="F11" s="117">
        <v>296</v>
      </c>
      <c r="G11" s="117">
        <v>46</v>
      </c>
      <c r="H11" s="119">
        <f>RANK(G11,$G$3:$G$17)+COUNTIF(G$3:$G11,G11)-1</f>
        <v>11</v>
      </c>
      <c r="I11" s="117">
        <v>87</v>
      </c>
      <c r="J11" s="118">
        <f>RANK(I11,$I$3:$I$17)+COUNTIF(I$3:$I11,I11)-1</f>
        <v>10</v>
      </c>
      <c r="K11" s="120">
        <f t="shared" si="0"/>
        <v>9.5</v>
      </c>
      <c r="L11" s="117">
        <f>RANK(K11,$K$3:$K$17,1)+COUNTIF(K$3:$K11,K11)-1</f>
        <v>9</v>
      </c>
      <c r="W11" s="101"/>
    </row>
    <row r="12" spans="1:25" x14ac:dyDescent="0.3">
      <c r="A12" s="9" t="s">
        <v>14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458</v>
      </c>
      <c r="G12" s="117">
        <v>89</v>
      </c>
      <c r="H12" s="119">
        <f>RANK(G12,$G$3:$G$17)+COUNTIF(G$3:$G12,G12)-1</f>
        <v>2</v>
      </c>
      <c r="I12" s="117">
        <v>88</v>
      </c>
      <c r="J12" s="118">
        <f>RANK(I12,$I$3:$I$17)+COUNTIF(I$3:$I12,I12)-1</f>
        <v>6</v>
      </c>
      <c r="K12" s="120">
        <f t="shared" si="0"/>
        <v>8</v>
      </c>
      <c r="L12" s="117">
        <f>RANK(K12,$K$3:$K$17,1)+COUNTIF(K$3:$K12,K12)-1</f>
        <v>7</v>
      </c>
      <c r="W12" s="101"/>
    </row>
    <row r="13" spans="1:25" x14ac:dyDescent="0.3">
      <c r="A13" s="9" t="s">
        <v>43</v>
      </c>
      <c r="B13" s="128" t="s">
        <v>40</v>
      </c>
      <c r="C13" s="116">
        <v>98</v>
      </c>
      <c r="D13" s="117" t="s">
        <v>41</v>
      </c>
      <c r="E13" s="118">
        <v>11</v>
      </c>
      <c r="F13" s="117">
        <v>330</v>
      </c>
      <c r="G13" s="117">
        <v>68</v>
      </c>
      <c r="H13" s="119">
        <f>RANK(G13,$G$3:$G$17)+COUNTIF(G$3:$G13,G13)-1</f>
        <v>8</v>
      </c>
      <c r="I13" s="117">
        <v>87</v>
      </c>
      <c r="J13" s="118">
        <f>RANK(I13,$I$3:$I$17)+COUNTIF(I$3:$I13,I13)-1</f>
        <v>11</v>
      </c>
      <c r="K13" s="120">
        <f t="shared" si="0"/>
        <v>11</v>
      </c>
      <c r="L13" s="117">
        <f>RANK(K13,$K$3:$K$17,1)+COUNTIF(K$3:$K13,K13)-1</f>
        <v>11</v>
      </c>
      <c r="W13" s="101"/>
    </row>
    <row r="14" spans="1:25" x14ac:dyDescent="0.3">
      <c r="A14" s="9" t="s">
        <v>43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416</v>
      </c>
      <c r="G14" s="117">
        <v>87</v>
      </c>
      <c r="H14" s="119">
        <f>RANK(G14,$G$3:$G$17)+COUNTIF(G$3:$G14,G14)-1</f>
        <v>3</v>
      </c>
      <c r="I14" s="117">
        <v>87</v>
      </c>
      <c r="J14" s="118">
        <f>RANK(I14,$I$3:$I$17)+COUNTIF(I$3:$I14,I14)-1</f>
        <v>12</v>
      </c>
      <c r="K14" s="120">
        <f t="shared" si="0"/>
        <v>12</v>
      </c>
      <c r="L14" s="117">
        <f>RANK(K14,$K$3:$K$17,1)+COUNTIF(K$3:$K14,K14)-1</f>
        <v>13</v>
      </c>
    </row>
    <row r="15" spans="1:25" x14ac:dyDescent="0.3">
      <c r="A15" s="9" t="s">
        <v>20</v>
      </c>
      <c r="B15" s="115" t="s">
        <v>44</v>
      </c>
      <c r="C15" s="116">
        <v>95</v>
      </c>
      <c r="D15" s="117" t="s">
        <v>41</v>
      </c>
      <c r="E15" s="118">
        <v>13</v>
      </c>
      <c r="F15" s="117">
        <v>268</v>
      </c>
      <c r="G15" s="117">
        <v>59</v>
      </c>
      <c r="H15" s="119">
        <f>RANK(G15,$G$3:$G$17)+COUNTIF(G$3:$G15,G15)-1</f>
        <v>9</v>
      </c>
      <c r="I15" s="117">
        <v>86</v>
      </c>
      <c r="J15" s="118">
        <f>RANK(I15,$I$3:$I$17)+COUNTIF(I$3:$I15,I15)-1</f>
        <v>14</v>
      </c>
      <c r="K15" s="120">
        <f t="shared" si="0"/>
        <v>13.5</v>
      </c>
      <c r="L15" s="117">
        <f>RANK(K15,$K$3:$K$17,1)+COUNTIF(K$3:$K15,K15)-1</f>
        <v>14</v>
      </c>
    </row>
    <row r="16" spans="1:25" x14ac:dyDescent="0.3">
      <c r="A16" s="39" t="s">
        <v>43</v>
      </c>
      <c r="B16" s="116" t="s">
        <v>45</v>
      </c>
      <c r="C16" s="116">
        <v>91</v>
      </c>
      <c r="D16" s="117" t="s">
        <v>41</v>
      </c>
      <c r="E16" s="118">
        <v>14</v>
      </c>
      <c r="F16" s="117">
        <v>278</v>
      </c>
      <c r="G16" s="117">
        <v>84</v>
      </c>
      <c r="H16" s="119">
        <f>RANK(G16,$G$3:$G$17)+COUNTIF(G$3:$G16,G16)-1</f>
        <v>4</v>
      </c>
      <c r="I16" s="117">
        <v>87</v>
      </c>
      <c r="J16" s="118">
        <f>RANK(I16,$I$3:$I$17)+COUNTIF(I$3:$I16,I16)-1</f>
        <v>13</v>
      </c>
      <c r="K16" s="120">
        <f t="shared" si="0"/>
        <v>13.5</v>
      </c>
      <c r="L16" s="117">
        <f>RANK(K16,$K$3:$K$17,1)+COUNTIF(K$3:$K16,K16)-1</f>
        <v>15</v>
      </c>
    </row>
    <row r="17" spans="1:12" x14ac:dyDescent="0.3">
      <c r="A17" s="5"/>
      <c r="B17" s="2" t="s">
        <v>46</v>
      </c>
      <c r="C17" s="2">
        <v>90</v>
      </c>
      <c r="D17" s="134" t="s">
        <v>41</v>
      </c>
      <c r="E17" s="3">
        <v>15</v>
      </c>
      <c r="F17" s="4">
        <v>220</v>
      </c>
      <c r="G17" s="5">
        <v>40</v>
      </c>
      <c r="H17" s="135">
        <f>RANK(G17,$G$3:$G$17)+COUNTIF(G$3:$G17,G17)-1</f>
        <v>13</v>
      </c>
      <c r="I17" s="5">
        <v>88</v>
      </c>
      <c r="J17" s="136">
        <f>RANK(I17,$I$3:$I$17)+COUNTIF(I$3:$I17,I17)-1</f>
        <v>7</v>
      </c>
      <c r="K17" s="137">
        <f t="shared" si="0"/>
        <v>11</v>
      </c>
      <c r="L17" s="134">
        <f>RANK(K17,$K$3:$K$17,1)+COUNTIF(K$3:$K17,K17)-1</f>
        <v>12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/>
      <c r="C25" s="6"/>
      <c r="D25" s="6"/>
      <c r="E25" s="6"/>
      <c r="F25" s="1"/>
    </row>
    <row r="26" spans="1:12" x14ac:dyDescent="0.3"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6"/>
  <sheetViews>
    <sheetView workbookViewId="0">
      <selection activeCell="F3" activeCellId="1" sqref="A3:B15 F3:F15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/>
      <c r="B3" s="107" t="s">
        <v>15</v>
      </c>
      <c r="C3" s="107">
        <v>114</v>
      </c>
      <c r="D3" s="108" t="s">
        <v>16</v>
      </c>
      <c r="E3" s="109">
        <v>1</v>
      </c>
      <c r="F3" s="108"/>
      <c r="G3" s="108"/>
      <c r="H3" s="110">
        <f>RANK(G3,$G$3:$G$17)+COUNTIF(G3:$G$3,G3)-1</f>
        <v>13</v>
      </c>
      <c r="I3" s="108"/>
      <c r="J3" s="109">
        <f>RANK(I3,$I$3:$I$17)+COUNTIF(I3:$I$3,I3)-1</f>
        <v>13</v>
      </c>
      <c r="K3" s="111">
        <f t="shared" ref="K3:K17" si="0">(E3+J3)/2</f>
        <v>7</v>
      </c>
      <c r="L3" s="108">
        <f>RANK(K3,$K$3:$K$17,1)+COUNTIF(K3:$K$3,K3)-1</f>
        <v>6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39" t="s">
        <v>14</v>
      </c>
      <c r="B4" s="115" t="s">
        <v>21</v>
      </c>
      <c r="C4" s="116">
        <v>111</v>
      </c>
      <c r="D4" s="117" t="s">
        <v>16</v>
      </c>
      <c r="E4" s="118">
        <v>2</v>
      </c>
      <c r="F4" s="117">
        <v>352</v>
      </c>
      <c r="G4" s="117">
        <v>84</v>
      </c>
      <c r="H4" s="119">
        <f>RANK(G4,$G$3:$G$17)+COUNTIF(G$3:$G4,G4)-1</f>
        <v>6</v>
      </c>
      <c r="I4" s="117">
        <v>89</v>
      </c>
      <c r="J4" s="118">
        <f>RANK(I4,$I$3:$I$17)+COUNTIF(I$3:$I4,I4)-1</f>
        <v>1</v>
      </c>
      <c r="K4" s="120">
        <f t="shared" si="0"/>
        <v>1.5</v>
      </c>
      <c r="L4" s="117">
        <f>RANK(K4,$K$3:$K$17,1)+COUNTIF(K$3:$K4,K4)-1</f>
        <v>1</v>
      </c>
      <c r="N4" s="121" t="s">
        <v>22</v>
      </c>
      <c r="O4" s="122">
        <f>SUM(O5:O9)</f>
        <v>480</v>
      </c>
      <c r="P4" s="104">
        <v>534</v>
      </c>
      <c r="Q4" s="105">
        <v>619</v>
      </c>
      <c r="R4" s="123">
        <f>SUM(R5:R9)</f>
        <v>175</v>
      </c>
      <c r="S4" s="104">
        <v>205</v>
      </c>
      <c r="T4" s="105">
        <v>210</v>
      </c>
      <c r="U4" s="101"/>
      <c r="V4" s="101"/>
      <c r="W4" s="101"/>
    </row>
    <row r="5" spans="1:25" x14ac:dyDescent="0.3">
      <c r="A5" s="39" t="s">
        <v>14</v>
      </c>
      <c r="B5" s="115" t="s">
        <v>23</v>
      </c>
      <c r="C5" s="116">
        <v>111</v>
      </c>
      <c r="D5" s="117" t="s">
        <v>16</v>
      </c>
      <c r="E5" s="118">
        <v>3</v>
      </c>
      <c r="F5" s="117">
        <v>106</v>
      </c>
      <c r="G5" s="117">
        <v>12</v>
      </c>
      <c r="H5" s="119">
        <f>RANK(G5,$G$3:$G$17)+COUNTIF(G$3:$G5,G5)-1</f>
        <v>13</v>
      </c>
      <c r="I5" s="117">
        <v>88</v>
      </c>
      <c r="J5" s="118">
        <f>RANK(I5,$I$3:$I$17)+COUNTIF(I$3:$I5,I5)-1</f>
        <v>4</v>
      </c>
      <c r="K5" s="120">
        <f t="shared" si="0"/>
        <v>3.5</v>
      </c>
      <c r="L5" s="117">
        <f>RANK(K5,$K$3:$K$17,1)+COUNTIF(K$3:$K5,K5)-1</f>
        <v>2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" t="s">
        <v>20</v>
      </c>
      <c r="B6" s="128" t="s">
        <v>25</v>
      </c>
      <c r="C6" s="116">
        <v>107</v>
      </c>
      <c r="D6" s="117" t="s">
        <v>16</v>
      </c>
      <c r="E6" s="118">
        <v>4</v>
      </c>
      <c r="F6" s="117">
        <v>626</v>
      </c>
      <c r="G6" s="117">
        <v>125</v>
      </c>
      <c r="H6" s="119">
        <f>RANK(G6,$G$3:$G$17)+COUNTIF(G$3:$G6,G6)-1</f>
        <v>1</v>
      </c>
      <c r="I6" s="117">
        <v>88</v>
      </c>
      <c r="J6" s="118">
        <f>RANK(I6,$I$3:$I$17)+COUNTIF(I$3:$I6,I6)-1</f>
        <v>5</v>
      </c>
      <c r="K6" s="120">
        <f t="shared" si="0"/>
        <v>4.5</v>
      </c>
      <c r="L6" s="117">
        <f>RANK(K6,$K$3:$K$17,1)+COUNTIF(K$3:$K6,K6)-1</f>
        <v>3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" t="s">
        <v>14</v>
      </c>
      <c r="B7" s="128" t="s">
        <v>27</v>
      </c>
      <c r="C7" s="116">
        <v>107</v>
      </c>
      <c r="D7" s="117" t="s">
        <v>16</v>
      </c>
      <c r="E7" s="118">
        <v>5</v>
      </c>
      <c r="F7" s="117">
        <v>362</v>
      </c>
      <c r="G7" s="117">
        <v>59</v>
      </c>
      <c r="H7" s="119">
        <f>RANK(G7,$G$3:$G$17)+COUNTIF(G$3:$G7,G7)-1</f>
        <v>9</v>
      </c>
      <c r="I7" s="117">
        <v>87</v>
      </c>
      <c r="J7" s="118">
        <f>RANK(I7,$I$3:$I$17)+COUNTIF(I$3:$I7,I7)-1</f>
        <v>10</v>
      </c>
      <c r="K7" s="120">
        <f t="shared" si="0"/>
        <v>7.5</v>
      </c>
      <c r="L7" s="117">
        <f>RANK(K7,$K$3:$K$17,1)+COUNTIF(K$3:$K7,K7)-1</f>
        <v>7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" t="s">
        <v>14</v>
      </c>
      <c r="B8" s="128" t="s">
        <v>31</v>
      </c>
      <c r="C8" s="116">
        <v>106</v>
      </c>
      <c r="D8" s="117" t="s">
        <v>16</v>
      </c>
      <c r="E8" s="118">
        <v>6</v>
      </c>
      <c r="F8" s="117">
        <v>280</v>
      </c>
      <c r="G8" s="117">
        <v>95</v>
      </c>
      <c r="H8" s="119">
        <f>RANK(G8,$G$3:$G$17)+COUNTIF(G$3:$G8,G8)-1</f>
        <v>4</v>
      </c>
      <c r="I8" s="117">
        <v>88</v>
      </c>
      <c r="J8" s="118">
        <f>RANK(I8,$I$3:$I$17)+COUNTIF(I$3:$I8,I8)-1</f>
        <v>6</v>
      </c>
      <c r="K8" s="120">
        <f t="shared" si="0"/>
        <v>6</v>
      </c>
      <c r="L8" s="117">
        <f>RANK(K8,$K$3:$K$17,1)+COUNTIF(K$3:$K8,K8)-1</f>
        <v>5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829</v>
      </c>
      <c r="V8" s="101">
        <f>P4+S4</f>
        <v>739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14</v>
      </c>
      <c r="I9" s="117">
        <v>0</v>
      </c>
      <c r="J9" s="118">
        <f>RANK(I9,$I$3:$I$17)+COUNTIF(I$3:$I9,I9)-1</f>
        <v>14</v>
      </c>
      <c r="K9" s="120">
        <f t="shared" si="0"/>
        <v>10.5</v>
      </c>
      <c r="L9" s="117">
        <f>RANK(K9,$K$3:$K$17,1)+COUNTIF(K$3:$K9,K9)-1</f>
        <v>11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90</v>
      </c>
      <c r="W9" s="101"/>
    </row>
    <row r="10" spans="1:25" x14ac:dyDescent="0.3">
      <c r="A10" s="9" t="s">
        <v>14</v>
      </c>
      <c r="B10" s="128" t="s">
        <v>36</v>
      </c>
      <c r="C10" s="116">
        <v>104</v>
      </c>
      <c r="D10" s="117" t="s">
        <v>16</v>
      </c>
      <c r="E10" s="118">
        <v>8</v>
      </c>
      <c r="F10" s="117">
        <v>238</v>
      </c>
      <c r="G10" s="117">
        <v>44</v>
      </c>
      <c r="H10" s="119">
        <f>RANK(G10,$G$3:$G$17)+COUNTIF(G$3:$G10,G10)-1</f>
        <v>12</v>
      </c>
      <c r="I10" s="117">
        <v>86</v>
      </c>
      <c r="J10" s="118">
        <f>RANK(I10,$I$3:$I$17)+COUNTIF(I$3:$I10,I10)-1</f>
        <v>13</v>
      </c>
      <c r="K10" s="120">
        <f t="shared" si="0"/>
        <v>10.5</v>
      </c>
      <c r="L10" s="117">
        <f>RANK(K10,$K$3:$K$17,1)+COUNTIF(K$3:$K10,K10)-1</f>
        <v>12</v>
      </c>
      <c r="W10" s="101"/>
    </row>
    <row r="11" spans="1:25" x14ac:dyDescent="0.3">
      <c r="A11" s="39" t="s">
        <v>43</v>
      </c>
      <c r="B11" s="115" t="s">
        <v>37</v>
      </c>
      <c r="C11" s="116">
        <v>102</v>
      </c>
      <c r="D11" s="117" t="s">
        <v>38</v>
      </c>
      <c r="E11" s="118">
        <v>9</v>
      </c>
      <c r="F11" s="117">
        <v>346</v>
      </c>
      <c r="G11" s="117">
        <v>67</v>
      </c>
      <c r="H11" s="119">
        <f>RANK(G11,$G$3:$G$17)+COUNTIF(G$3:$G11,G11)-1</f>
        <v>8</v>
      </c>
      <c r="I11" s="117">
        <v>89</v>
      </c>
      <c r="J11" s="118">
        <f>RANK(I11,$I$3:$I$17)+COUNTIF(I$3:$I11,I11)-1</f>
        <v>2</v>
      </c>
      <c r="K11" s="120">
        <f t="shared" si="0"/>
        <v>5.5</v>
      </c>
      <c r="L11" s="117">
        <f>RANK(K11,$K$3:$K$17,1)+COUNTIF(K$3:$K11,K11)-1</f>
        <v>4</v>
      </c>
      <c r="W11" s="101"/>
    </row>
    <row r="12" spans="1:25" x14ac:dyDescent="0.3">
      <c r="A12" s="9" t="s">
        <v>20</v>
      </c>
      <c r="B12" s="128" t="s">
        <v>39</v>
      </c>
      <c r="C12" s="116">
        <v>101</v>
      </c>
      <c r="D12" s="117" t="s">
        <v>38</v>
      </c>
      <c r="E12" s="118">
        <v>10</v>
      </c>
      <c r="F12" s="117">
        <v>572</v>
      </c>
      <c r="G12" s="117">
        <v>95</v>
      </c>
      <c r="H12" s="119">
        <f>RANK(G12,$G$3:$G$17)+COUNTIF(G$3:$G12,G12)-1</f>
        <v>5</v>
      </c>
      <c r="I12" s="117">
        <v>87</v>
      </c>
      <c r="J12" s="118">
        <f>RANK(I12,$I$3:$I$17)+COUNTIF(I$3:$I12,I12)-1</f>
        <v>11</v>
      </c>
      <c r="K12" s="120">
        <f t="shared" si="0"/>
        <v>10.5</v>
      </c>
      <c r="L12" s="117">
        <f>RANK(K12,$K$3:$K$17,1)+COUNTIF(K$3:$K12,K12)-1</f>
        <v>13</v>
      </c>
      <c r="W12" s="101"/>
    </row>
    <row r="13" spans="1:25" x14ac:dyDescent="0.3">
      <c r="A13" s="39" t="s">
        <v>43</v>
      </c>
      <c r="B13" s="115" t="s">
        <v>40</v>
      </c>
      <c r="C13" s="116">
        <v>98</v>
      </c>
      <c r="D13" s="117" t="s">
        <v>41</v>
      </c>
      <c r="E13" s="118">
        <v>11</v>
      </c>
      <c r="F13" s="117">
        <v>180</v>
      </c>
      <c r="G13" s="117">
        <v>47</v>
      </c>
      <c r="H13" s="119">
        <f>RANK(G13,$G$3:$G$17)+COUNTIF(G$3:$G13,G13)-1</f>
        <v>11</v>
      </c>
      <c r="I13" s="117">
        <v>88</v>
      </c>
      <c r="J13" s="118">
        <f>RANK(I13,$I$3:$I$17)+COUNTIF(I$3:$I13,I13)-1</f>
        <v>7</v>
      </c>
      <c r="K13" s="120">
        <f t="shared" si="0"/>
        <v>9</v>
      </c>
      <c r="L13" s="117">
        <f>RANK(K13,$K$3:$K$17,1)+COUNTIF(K$3:$K13,K13)-1</f>
        <v>8</v>
      </c>
      <c r="W13" s="101"/>
    </row>
    <row r="14" spans="1:25" x14ac:dyDescent="0.3">
      <c r="A14" s="9" t="s">
        <v>20</v>
      </c>
      <c r="B14" s="128" t="s">
        <v>42</v>
      </c>
      <c r="C14" s="116">
        <v>97</v>
      </c>
      <c r="D14" s="117" t="s">
        <v>41</v>
      </c>
      <c r="E14" s="118">
        <v>12</v>
      </c>
      <c r="F14" s="117">
        <v>442</v>
      </c>
      <c r="G14" s="117">
        <v>102</v>
      </c>
      <c r="H14" s="119">
        <f>RANK(G14,$G$3:$G$17)+COUNTIF(G$3:$G14,G14)-1</f>
        <v>2</v>
      </c>
      <c r="I14" s="117">
        <v>88</v>
      </c>
      <c r="J14" s="118">
        <f>RANK(I14,$I$3:$I$17)+COUNTIF(I$3:$I14,I14)-1</f>
        <v>8</v>
      </c>
      <c r="K14" s="120">
        <f t="shared" si="0"/>
        <v>10</v>
      </c>
      <c r="L14" s="117">
        <f>RANK(K14,$K$3:$K$17,1)+COUNTIF(K$3:$K14,K14)-1</f>
        <v>10</v>
      </c>
    </row>
    <row r="15" spans="1:25" x14ac:dyDescent="0.3">
      <c r="A15" s="9" t="s">
        <v>14</v>
      </c>
      <c r="B15" s="128" t="s">
        <v>44</v>
      </c>
      <c r="C15" s="116">
        <v>95</v>
      </c>
      <c r="D15" s="117" t="s">
        <v>41</v>
      </c>
      <c r="E15" s="118">
        <v>13</v>
      </c>
      <c r="F15" s="117">
        <v>336</v>
      </c>
      <c r="G15" s="117">
        <v>99</v>
      </c>
      <c r="H15" s="119">
        <f>RANK(G15,$G$3:$G$17)+COUNTIF(G$3:$G15,G15)-1</f>
        <v>3</v>
      </c>
      <c r="I15" s="117">
        <v>87</v>
      </c>
      <c r="J15" s="118">
        <f>RANK(I15,$I$3:$I$17)+COUNTIF(I$3:$I15,I15)-1</f>
        <v>12</v>
      </c>
      <c r="K15" s="120">
        <f t="shared" si="0"/>
        <v>12.5</v>
      </c>
      <c r="L15" s="117">
        <f>RANK(K15,$K$3:$K$17,1)+COUNTIF(K$3:$K15,K15)-1</f>
        <v>15</v>
      </c>
    </row>
    <row r="16" spans="1:25" x14ac:dyDescent="0.3">
      <c r="A16" s="39" t="s">
        <v>43</v>
      </c>
      <c r="B16" s="116" t="s">
        <v>45</v>
      </c>
      <c r="C16" s="116">
        <v>91</v>
      </c>
      <c r="D16" s="117" t="s">
        <v>41</v>
      </c>
      <c r="E16" s="118">
        <v>14</v>
      </c>
      <c r="F16" s="117">
        <v>278</v>
      </c>
      <c r="G16" s="117">
        <v>84</v>
      </c>
      <c r="H16" s="119">
        <f>RANK(G16,$G$3:$G$17)+COUNTIF(G$3:$G16,G16)-1</f>
        <v>7</v>
      </c>
      <c r="I16" s="117">
        <v>88</v>
      </c>
      <c r="J16" s="118">
        <f>RANK(I16,$I$3:$I$17)+COUNTIF(I$3:$I16,I16)-1</f>
        <v>9</v>
      </c>
      <c r="K16" s="120">
        <f t="shared" si="0"/>
        <v>11.5</v>
      </c>
      <c r="L16" s="117">
        <f>RANK(K16,$K$3:$K$17,1)+COUNTIF(K$3:$K16,K16)-1</f>
        <v>14</v>
      </c>
    </row>
    <row r="17" spans="1:12" x14ac:dyDescent="0.3">
      <c r="A17" s="41" t="s">
        <v>20</v>
      </c>
      <c r="B17" s="2" t="s">
        <v>46</v>
      </c>
      <c r="C17" s="2">
        <v>90</v>
      </c>
      <c r="D17" s="134" t="s">
        <v>41</v>
      </c>
      <c r="E17" s="3">
        <v>15</v>
      </c>
      <c r="F17" s="4">
        <v>201</v>
      </c>
      <c r="G17" s="5">
        <v>48</v>
      </c>
      <c r="H17" s="135">
        <f>RANK(G17,$G$3:$G$17)+COUNTIF(G$3:$G17,G17)-1</f>
        <v>10</v>
      </c>
      <c r="I17" s="5">
        <v>89</v>
      </c>
      <c r="J17" s="136">
        <f>RANK(I17,$I$3:$I$17)+COUNTIF(I$3:$I17,I17)-1</f>
        <v>3</v>
      </c>
      <c r="K17" s="137">
        <f t="shared" si="0"/>
        <v>9</v>
      </c>
      <c r="L17" s="134">
        <f>RANK(K17,$K$3:$K$17,1)+COUNTIF(K$3:$K17,K17)-1</f>
        <v>9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/>
      <c r="C25" s="6"/>
      <c r="D25" s="6"/>
      <c r="E25" s="6"/>
      <c r="F25" s="1"/>
    </row>
    <row r="26" spans="1:12" x14ac:dyDescent="0.3"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6"/>
  <sheetViews>
    <sheetView workbookViewId="0">
      <selection activeCell="F4" sqref="F4:G4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x14ac:dyDescent="0.3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x14ac:dyDescent="0.3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x14ac:dyDescent="0.3">
      <c r="A3" s="8"/>
      <c r="B3" s="107"/>
      <c r="C3" s="107"/>
      <c r="D3" s="108"/>
      <c r="E3" s="109"/>
      <c r="F3" s="108"/>
      <c r="G3" s="108"/>
      <c r="H3" s="110"/>
      <c r="I3" s="108"/>
      <c r="J3" s="109"/>
      <c r="K3" s="111"/>
      <c r="L3" s="108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39" t="s">
        <v>20</v>
      </c>
      <c r="B4" s="144" t="s">
        <v>21</v>
      </c>
      <c r="C4" s="116">
        <v>111</v>
      </c>
      <c r="D4" s="117" t="s">
        <v>16</v>
      </c>
      <c r="E4" s="118">
        <v>2</v>
      </c>
      <c r="F4" s="117">
        <v>388</v>
      </c>
      <c r="G4" s="117">
        <v>55</v>
      </c>
      <c r="H4" s="119">
        <f>RANK(G4,$G$3:$G$17)+COUNTIF(G$3:$G4,G4)-1</f>
        <v>8</v>
      </c>
      <c r="I4" s="117">
        <v>87</v>
      </c>
      <c r="J4" s="118">
        <f>RANK(I4,$I$3:$I$17)+COUNTIF(I$3:$I4,I4)-1</f>
        <v>9</v>
      </c>
      <c r="K4" s="120">
        <f t="shared" ref="K4:K17" si="0">(E4+J4)/2</f>
        <v>5.5</v>
      </c>
      <c r="L4" s="117">
        <f>RANK(K4,$K$3:$K$17,1)+COUNTIF(K$3:$K4,K4)-1</f>
        <v>3</v>
      </c>
      <c r="N4" s="121" t="s">
        <v>22</v>
      </c>
      <c r="O4" s="122">
        <f>SUM(O5:O9)</f>
        <v>480</v>
      </c>
      <c r="P4" s="104">
        <v>619</v>
      </c>
      <c r="Q4" s="105">
        <v>483</v>
      </c>
      <c r="R4" s="123">
        <f>SUM(R5:R9)</f>
        <v>175</v>
      </c>
      <c r="S4" s="104">
        <v>210</v>
      </c>
      <c r="T4" s="105">
        <v>239</v>
      </c>
      <c r="U4" s="101"/>
      <c r="V4" s="101"/>
      <c r="W4" s="101"/>
    </row>
    <row r="5" spans="1:25" x14ac:dyDescent="0.3">
      <c r="A5" s="39" t="s">
        <v>14</v>
      </c>
      <c r="B5" s="145" t="s">
        <v>23</v>
      </c>
      <c r="C5" s="116">
        <v>111</v>
      </c>
      <c r="D5" s="117" t="s">
        <v>16</v>
      </c>
      <c r="E5" s="118">
        <v>3</v>
      </c>
      <c r="F5" s="117">
        <v>265</v>
      </c>
      <c r="G5" s="117">
        <v>34</v>
      </c>
      <c r="H5" s="119">
        <f>RANK(G5,$G$3:$G$17)+COUNTIF(G$3:$G5,G5)-1</f>
        <v>12</v>
      </c>
      <c r="I5" s="117">
        <v>88</v>
      </c>
      <c r="J5" s="118">
        <f>RANK(I5,$I$3:$I$17)+COUNTIF(I$3:$I5,I5)-1</f>
        <v>5</v>
      </c>
      <c r="K5" s="120">
        <f t="shared" si="0"/>
        <v>4</v>
      </c>
      <c r="L5" s="117">
        <f>RANK(K5,$K$3:$K$17,1)+COUNTIF(K$3:$K5,K5)-1</f>
        <v>2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39" t="s">
        <v>43</v>
      </c>
      <c r="B6" s="145" t="s">
        <v>25</v>
      </c>
      <c r="C6" s="116">
        <v>107</v>
      </c>
      <c r="D6" s="117" t="s">
        <v>16</v>
      </c>
      <c r="E6" s="118">
        <v>4</v>
      </c>
      <c r="F6" s="117">
        <v>706</v>
      </c>
      <c r="G6" s="117">
        <v>88</v>
      </c>
      <c r="H6" s="119">
        <f>RANK(G6,$G$3:$G$17)+COUNTIF(G$3:$G6,G6)-1</f>
        <v>3</v>
      </c>
      <c r="I6" s="117">
        <v>89</v>
      </c>
      <c r="J6" s="118">
        <f>RANK(I6,$I$3:$I$17)+COUNTIF(I$3:$I6,I6)-1</f>
        <v>2</v>
      </c>
      <c r="K6" s="120">
        <f t="shared" si="0"/>
        <v>3</v>
      </c>
      <c r="L6" s="117">
        <f>RANK(K6,$K$3:$K$17,1)+COUNTIF(K$3:$K6,K6)-1</f>
        <v>1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39" t="s">
        <v>43</v>
      </c>
      <c r="B7" s="145" t="s">
        <v>27</v>
      </c>
      <c r="C7" s="116">
        <v>107</v>
      </c>
      <c r="D7" s="117" t="s">
        <v>16</v>
      </c>
      <c r="E7" s="118">
        <v>5</v>
      </c>
      <c r="F7" s="117">
        <v>158</v>
      </c>
      <c r="G7" s="117">
        <v>36</v>
      </c>
      <c r="H7" s="119">
        <f>RANK(G7,$G$3:$G$17)+COUNTIF(G$3:$G7,G7)-1</f>
        <v>11</v>
      </c>
      <c r="I7" s="117">
        <v>88</v>
      </c>
      <c r="J7" s="118">
        <f>RANK(I7,$I$3:$I$17)+COUNTIF(I$3:$I7,I7)-1</f>
        <v>6</v>
      </c>
      <c r="K7" s="120">
        <f t="shared" si="0"/>
        <v>5.5</v>
      </c>
      <c r="L7" s="117">
        <f>RANK(K7,$K$3:$K$17,1)+COUNTIF(K$3:$K7,K7)-1</f>
        <v>4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39" t="s">
        <v>14</v>
      </c>
      <c r="B8" s="145" t="s">
        <v>31</v>
      </c>
      <c r="C8" s="116">
        <v>106</v>
      </c>
      <c r="D8" s="117" t="s">
        <v>16</v>
      </c>
      <c r="E8" s="118">
        <v>6</v>
      </c>
      <c r="F8" s="117">
        <v>270</v>
      </c>
      <c r="G8" s="117">
        <v>45</v>
      </c>
      <c r="H8" s="119">
        <f>RANK(G8,$G$3:$G$17)+COUNTIF(G$3:$G8,G8)-1</f>
        <v>9</v>
      </c>
      <c r="I8" s="117">
        <v>87</v>
      </c>
      <c r="J8" s="118">
        <f>RANK(I8,$I$3:$I$17)+COUNTIF(I$3:$I8,I8)-1</f>
        <v>10</v>
      </c>
      <c r="K8" s="120">
        <f t="shared" si="0"/>
        <v>8</v>
      </c>
      <c r="L8" s="117">
        <f>RANK(K8,$K$3:$K$17,1)+COUNTIF(K$3:$K8,K8)-1</f>
        <v>7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722</v>
      </c>
      <c r="V8" s="101">
        <f>P4+S4</f>
        <v>829</v>
      </c>
      <c r="W8" s="101"/>
    </row>
    <row r="9" spans="1:25" x14ac:dyDescent="0.3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14</v>
      </c>
      <c r="I9" s="117">
        <v>0</v>
      </c>
      <c r="J9" s="118">
        <f>RANK(I9,$I$3:$I$17)+COUNTIF(I$3:$I9,I9)-1</f>
        <v>14</v>
      </c>
      <c r="K9" s="120">
        <f t="shared" si="0"/>
        <v>10.5</v>
      </c>
      <c r="L9" s="117">
        <f>RANK(K9,$K$3:$K$17,1)+COUNTIF(K$3:$K9,K9)-1</f>
        <v>12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-107</v>
      </c>
      <c r="W9" s="101"/>
    </row>
    <row r="10" spans="1:25" x14ac:dyDescent="0.3">
      <c r="A10" s="39" t="s">
        <v>14</v>
      </c>
      <c r="B10" s="145" t="s">
        <v>36</v>
      </c>
      <c r="C10" s="116">
        <v>104</v>
      </c>
      <c r="D10" s="117" t="s">
        <v>16</v>
      </c>
      <c r="E10" s="118">
        <v>8</v>
      </c>
      <c r="F10" s="117">
        <v>170</v>
      </c>
      <c r="G10" s="117">
        <v>34</v>
      </c>
      <c r="H10" s="119">
        <f>RANK(G10,$G$3:$G$17)+COUNTIF(G$3:$G10,G10)-1</f>
        <v>13</v>
      </c>
      <c r="I10" s="117">
        <v>86</v>
      </c>
      <c r="J10" s="118">
        <f>RANK(I10,$I$3:$I$17)+COUNTIF(I$3:$I10,I10)-1</f>
        <v>13</v>
      </c>
      <c r="K10" s="120">
        <f t="shared" si="0"/>
        <v>10.5</v>
      </c>
      <c r="L10" s="117">
        <f>RANK(K10,$K$3:$K$17,1)+COUNTIF(K$3:$K10,K10)-1</f>
        <v>13</v>
      </c>
      <c r="W10" s="101"/>
    </row>
    <row r="11" spans="1:25" x14ac:dyDescent="0.3">
      <c r="A11" s="39" t="s">
        <v>20</v>
      </c>
      <c r="B11" s="144" t="s">
        <v>37</v>
      </c>
      <c r="C11" s="116">
        <v>102</v>
      </c>
      <c r="D11" s="117" t="s">
        <v>38</v>
      </c>
      <c r="E11" s="118">
        <v>9</v>
      </c>
      <c r="F11" s="117">
        <v>344</v>
      </c>
      <c r="G11" s="117">
        <v>58</v>
      </c>
      <c r="H11" s="119">
        <f>RANK(G11,$G$3:$G$17)+COUNTIF(G$3:$G11,G11)-1</f>
        <v>7</v>
      </c>
      <c r="I11" s="117">
        <v>87</v>
      </c>
      <c r="J11" s="118">
        <f>RANK(I11,$I$3:$I$17)+COUNTIF(I$3:$I11,I11)-1</f>
        <v>11</v>
      </c>
      <c r="K11" s="120">
        <f t="shared" si="0"/>
        <v>10</v>
      </c>
      <c r="L11" s="117">
        <f>RANK(K11,$K$3:$K$17,1)+COUNTIF(K$3:$K11,K11)-1</f>
        <v>10</v>
      </c>
      <c r="W11" s="101"/>
    </row>
    <row r="12" spans="1:25" x14ac:dyDescent="0.3">
      <c r="A12" s="39" t="s">
        <v>14</v>
      </c>
      <c r="B12" s="145" t="s">
        <v>39</v>
      </c>
      <c r="C12" s="116">
        <v>101</v>
      </c>
      <c r="D12" s="117" t="s">
        <v>38</v>
      </c>
      <c r="E12" s="118">
        <v>10</v>
      </c>
      <c r="F12" s="117">
        <v>552</v>
      </c>
      <c r="G12" s="117">
        <v>100</v>
      </c>
      <c r="H12" s="119">
        <f>RANK(G12,$G$3:$G$17)+COUNTIF(G$3:$G12,G12)-1</f>
        <v>2</v>
      </c>
      <c r="I12" s="117">
        <v>88</v>
      </c>
      <c r="J12" s="118">
        <f>RANK(I12,$I$3:$I$17)+COUNTIF(I$3:$I12,I12)-1</f>
        <v>7</v>
      </c>
      <c r="K12" s="120">
        <f t="shared" si="0"/>
        <v>8.5</v>
      </c>
      <c r="L12" s="117">
        <f>RANK(K12,$K$3:$K$17,1)+COUNTIF(K$3:$K12,K12)-1</f>
        <v>8</v>
      </c>
      <c r="W12" s="101"/>
    </row>
    <row r="13" spans="1:25" x14ac:dyDescent="0.3">
      <c r="A13" s="39" t="s">
        <v>20</v>
      </c>
      <c r="B13" s="144" t="s">
        <v>40</v>
      </c>
      <c r="C13" s="116">
        <v>98</v>
      </c>
      <c r="D13" s="117" t="s">
        <v>41</v>
      </c>
      <c r="E13" s="118">
        <v>11</v>
      </c>
      <c r="F13" s="117">
        <v>362</v>
      </c>
      <c r="G13" s="117">
        <v>59</v>
      </c>
      <c r="H13" s="119">
        <f>RANK(G13,$G$3:$G$17)+COUNTIF(G$3:$G13,G13)-1</f>
        <v>6</v>
      </c>
      <c r="I13" s="117">
        <v>89</v>
      </c>
      <c r="J13" s="118">
        <f>RANK(I13,$I$3:$I$17)+COUNTIF(I$3:$I13,I13)-1</f>
        <v>3</v>
      </c>
      <c r="K13" s="120">
        <f t="shared" si="0"/>
        <v>7</v>
      </c>
      <c r="L13" s="117">
        <f>RANK(K13,$K$3:$K$17,1)+COUNTIF(K$3:$K13,K13)-1</f>
        <v>5</v>
      </c>
      <c r="W13" s="101"/>
    </row>
    <row r="14" spans="1:25" x14ac:dyDescent="0.3">
      <c r="A14" s="39" t="s">
        <v>43</v>
      </c>
      <c r="B14" s="145" t="s">
        <v>42</v>
      </c>
      <c r="C14" s="116">
        <v>97</v>
      </c>
      <c r="D14" s="117" t="s">
        <v>41</v>
      </c>
      <c r="E14" s="118">
        <v>12</v>
      </c>
      <c r="F14" s="117">
        <v>434</v>
      </c>
      <c r="G14" s="117">
        <v>101</v>
      </c>
      <c r="H14" s="119">
        <f>RANK(G14,$G$3:$G$17)+COUNTIF(G$3:$G14,G14)-1</f>
        <v>1</v>
      </c>
      <c r="I14" s="117">
        <v>88</v>
      </c>
      <c r="J14" s="118">
        <f>RANK(I14,$I$3:$I$17)+COUNTIF(I$3:$I14,I14)-1</f>
        <v>8</v>
      </c>
      <c r="K14" s="120">
        <f t="shared" si="0"/>
        <v>10</v>
      </c>
      <c r="L14" s="117">
        <f>RANK(K14,$K$3:$K$17,1)+COUNTIF(K$3:$K14,K14)-1</f>
        <v>11</v>
      </c>
    </row>
    <row r="15" spans="1:25" x14ac:dyDescent="0.3">
      <c r="A15" s="39" t="s">
        <v>14</v>
      </c>
      <c r="B15" s="145" t="s">
        <v>44</v>
      </c>
      <c r="C15" s="116">
        <v>95</v>
      </c>
      <c r="D15" s="117" t="s">
        <v>41</v>
      </c>
      <c r="E15" s="118">
        <v>13</v>
      </c>
      <c r="F15" s="117">
        <v>270</v>
      </c>
      <c r="G15" s="117">
        <v>45</v>
      </c>
      <c r="H15" s="119">
        <f>RANK(G15,$G$3:$G$17)+COUNTIF(G$3:$G15,G15)-1</f>
        <v>10</v>
      </c>
      <c r="I15" s="117">
        <v>89</v>
      </c>
      <c r="J15" s="118">
        <f>RANK(I15,$I$3:$I$17)+COUNTIF(I$3:$I15,I15)-1</f>
        <v>4</v>
      </c>
      <c r="K15" s="120">
        <f t="shared" si="0"/>
        <v>8.5</v>
      </c>
      <c r="L15" s="117">
        <f>RANK(K15,$K$3:$K$17,1)+COUNTIF(K$3:$K15,K15)-1</f>
        <v>9</v>
      </c>
    </row>
    <row r="16" spans="1:25" x14ac:dyDescent="0.3">
      <c r="A16" s="39" t="s">
        <v>43</v>
      </c>
      <c r="B16" s="116" t="s">
        <v>45</v>
      </c>
      <c r="C16" s="116">
        <v>91</v>
      </c>
      <c r="D16" s="117" t="s">
        <v>41</v>
      </c>
      <c r="E16" s="118">
        <v>14</v>
      </c>
      <c r="F16" s="117">
        <v>278</v>
      </c>
      <c r="G16" s="117">
        <v>84</v>
      </c>
      <c r="H16" s="119">
        <f>RANK(G16,$G$3:$G$17)+COUNTIF(G$3:$G16,G16)-1</f>
        <v>4</v>
      </c>
      <c r="I16" s="117">
        <v>90</v>
      </c>
      <c r="J16" s="118">
        <f>RANK(I16,$I$3:$I$17)+COUNTIF(I$3:$I16,I16)-1</f>
        <v>1</v>
      </c>
      <c r="K16" s="120">
        <f t="shared" si="0"/>
        <v>7.5</v>
      </c>
      <c r="L16" s="117">
        <f>RANK(K16,$K$3:$K$17,1)+COUNTIF(K$3:$K16,K16)-1</f>
        <v>6</v>
      </c>
    </row>
    <row r="17" spans="1:12" x14ac:dyDescent="0.3">
      <c r="A17" s="41" t="s">
        <v>20</v>
      </c>
      <c r="B17" s="40" t="s">
        <v>46</v>
      </c>
      <c r="C17" s="2">
        <v>90</v>
      </c>
      <c r="D17" s="134" t="s">
        <v>41</v>
      </c>
      <c r="E17" s="3">
        <v>15</v>
      </c>
      <c r="F17" s="4">
        <v>212</v>
      </c>
      <c r="G17" s="5">
        <v>67</v>
      </c>
      <c r="H17" s="135">
        <f>RANK(G17,$G$3:$G$17)+COUNTIF(G$3:$G17,G17)-1</f>
        <v>5</v>
      </c>
      <c r="I17" s="5">
        <v>87</v>
      </c>
      <c r="J17" s="136">
        <f>RANK(I17,$I$3:$I$17)+COUNTIF(I$3:$I17,I17)-1</f>
        <v>12</v>
      </c>
      <c r="K17" s="137">
        <f t="shared" si="0"/>
        <v>13.5</v>
      </c>
      <c r="L17" s="134">
        <f>RANK(K17,$K$3:$K$17,1)+COUNTIF(K$3:$K17,K17)-1</f>
        <v>14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/>
      <c r="C25" s="6"/>
      <c r="D25" s="6"/>
      <c r="E25" s="6"/>
      <c r="F25" s="1"/>
    </row>
    <row r="26" spans="1:12" x14ac:dyDescent="0.3"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6"/>
  <sheetViews>
    <sheetView workbookViewId="0">
      <selection activeCell="A11" sqref="A11:XFD11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10"/>
      <c r="B2" s="208"/>
      <c r="C2" s="208"/>
      <c r="D2" s="212"/>
      <c r="E2" s="214"/>
      <c r="F2" s="212"/>
      <c r="G2" s="212"/>
      <c r="H2" s="216"/>
      <c r="I2" s="212"/>
      <c r="J2" s="218"/>
      <c r="K2" s="208"/>
      <c r="L2" s="208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8"/>
      <c r="B3" s="107"/>
      <c r="C3" s="107"/>
      <c r="D3" s="108"/>
      <c r="E3" s="109"/>
      <c r="F3" s="108"/>
      <c r="G3" s="108"/>
      <c r="H3" s="110"/>
      <c r="I3" s="108"/>
      <c r="J3" s="109"/>
      <c r="K3" s="111"/>
      <c r="L3" s="108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39" t="s">
        <v>20</v>
      </c>
      <c r="B4" s="116" t="s">
        <v>21</v>
      </c>
      <c r="C4" s="116">
        <v>111</v>
      </c>
      <c r="D4" s="117" t="s">
        <v>16</v>
      </c>
      <c r="E4" s="118">
        <v>2</v>
      </c>
      <c r="F4" s="117">
        <v>388</v>
      </c>
      <c r="G4" s="117">
        <v>55</v>
      </c>
      <c r="H4" s="119">
        <f>RANK(G4,$G$3:$G$17)+COUNTIF(G$3:$G4,G4)-1</f>
        <v>9</v>
      </c>
      <c r="I4" s="117">
        <v>88</v>
      </c>
      <c r="J4" s="118">
        <f>RANK(I4,$I$3:$I$17)+COUNTIF(I$3:$I4,I4)-1</f>
        <v>2</v>
      </c>
      <c r="K4" s="120">
        <f t="shared" ref="K4:K17" si="0">(E4+J4)/2</f>
        <v>2</v>
      </c>
      <c r="L4" s="117">
        <f>RANK(K4,$K$3:$K$17,1)+COUNTIF(K$3:$K4,K4)-1</f>
        <v>1</v>
      </c>
      <c r="N4" s="121" t="s">
        <v>22</v>
      </c>
      <c r="O4" s="122">
        <f>SUM(O5:O9)</f>
        <v>480</v>
      </c>
      <c r="P4" s="104">
        <v>483</v>
      </c>
      <c r="Q4" s="105">
        <v>497</v>
      </c>
      <c r="R4" s="123">
        <f>SUM(R5:R9)</f>
        <v>175</v>
      </c>
      <c r="S4" s="104">
        <v>239</v>
      </c>
      <c r="T4" s="105"/>
      <c r="U4" s="101"/>
      <c r="V4" s="101"/>
      <c r="W4" s="101"/>
    </row>
    <row r="5" spans="1:25" x14ac:dyDescent="0.3">
      <c r="A5" s="39" t="s">
        <v>20</v>
      </c>
      <c r="B5" s="144" t="s">
        <v>23</v>
      </c>
      <c r="C5" s="116">
        <v>111</v>
      </c>
      <c r="D5" s="117" t="s">
        <v>16</v>
      </c>
      <c r="E5" s="118">
        <v>3</v>
      </c>
      <c r="F5" s="117">
        <v>164</v>
      </c>
      <c r="G5" s="117">
        <v>39</v>
      </c>
      <c r="H5" s="119">
        <f>RANK(G5,$G$3:$G$17)+COUNTIF(G$3:$G5,G5)-1</f>
        <v>11</v>
      </c>
      <c r="I5" s="117">
        <v>87</v>
      </c>
      <c r="J5" s="118">
        <f>RANK(I5,$I$3:$I$17)+COUNTIF(I$3:$I5,I5)-1</f>
        <v>7</v>
      </c>
      <c r="K5" s="120">
        <f t="shared" si="0"/>
        <v>5</v>
      </c>
      <c r="L5" s="117">
        <f>RANK(K5,$K$3:$K$17,1)+COUNTIF(K$3:$K5,K5)-1</f>
        <v>3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39" t="s">
        <v>20</v>
      </c>
      <c r="B6" s="145" t="s">
        <v>25</v>
      </c>
      <c r="C6" s="116">
        <v>107</v>
      </c>
      <c r="D6" s="117" t="s">
        <v>16</v>
      </c>
      <c r="E6" s="118">
        <v>4</v>
      </c>
      <c r="F6" s="117">
        <v>574</v>
      </c>
      <c r="G6" s="117">
        <v>67</v>
      </c>
      <c r="H6" s="119">
        <f>RANK(G6,$G$3:$G$17)+COUNTIF(G$3:$G6,G6)-1</f>
        <v>6</v>
      </c>
      <c r="I6" s="117">
        <v>86</v>
      </c>
      <c r="J6" s="118">
        <f>RANK(I6,$I$3:$I$17)+COUNTIF(I$3:$I6,I6)-1</f>
        <v>12</v>
      </c>
      <c r="K6" s="120">
        <f t="shared" si="0"/>
        <v>8</v>
      </c>
      <c r="L6" s="117">
        <f>RANK(K6,$K$3:$K$17,1)+COUNTIF(K$3:$K6,K6)-1</f>
        <v>7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39" t="s">
        <v>14</v>
      </c>
      <c r="B7" s="145" t="s">
        <v>27</v>
      </c>
      <c r="C7" s="116">
        <v>107</v>
      </c>
      <c r="D7" s="117" t="s">
        <v>16</v>
      </c>
      <c r="E7" s="118">
        <v>5</v>
      </c>
      <c r="F7" s="117">
        <v>338</v>
      </c>
      <c r="G7" s="117">
        <v>83</v>
      </c>
      <c r="H7" s="119">
        <f>RANK(G7,$G$3:$G$17)+COUNTIF(G$3:$G7,G7)-1</f>
        <v>3</v>
      </c>
      <c r="I7" s="117">
        <v>87</v>
      </c>
      <c r="J7" s="118">
        <f>RANK(I7,$I$3:$I$17)+COUNTIF(I$3:$I7,I7)-1</f>
        <v>8</v>
      </c>
      <c r="K7" s="120">
        <f t="shared" si="0"/>
        <v>6.5</v>
      </c>
      <c r="L7" s="117">
        <f>RANK(K7,$K$3:$K$17,1)+COUNTIF(K$3:$K7,K7)-1</f>
        <v>4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39" t="s">
        <v>20</v>
      </c>
      <c r="B8" s="145" t="s">
        <v>31</v>
      </c>
      <c r="C8" s="116">
        <v>106</v>
      </c>
      <c r="D8" s="117" t="s">
        <v>16</v>
      </c>
      <c r="E8" s="118">
        <v>6</v>
      </c>
      <c r="F8" s="117">
        <v>150</v>
      </c>
      <c r="G8" s="117">
        <v>29</v>
      </c>
      <c r="H8" s="119">
        <f>RANK(G8,$G$3:$G$17)+COUNTIF(G$3:$G8,G8)-1</f>
        <v>13</v>
      </c>
      <c r="I8" s="117">
        <v>88</v>
      </c>
      <c r="J8" s="118">
        <f>RANK(I8,$I$3:$I$17)+COUNTIF(I$3:$I8,I8)-1</f>
        <v>3</v>
      </c>
      <c r="K8" s="120">
        <f t="shared" si="0"/>
        <v>4.5</v>
      </c>
      <c r="L8" s="117">
        <f>RANK(K8,$K$3:$K$17,1)+COUNTIF(K$3:$K8,K8)-1</f>
        <v>2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497</v>
      </c>
      <c r="V8" s="101">
        <f>P4+S4</f>
        <v>722</v>
      </c>
      <c r="W8" s="101"/>
    </row>
    <row r="9" spans="1:25" ht="15" thickBot="1" x14ac:dyDescent="0.35">
      <c r="A9" s="9"/>
      <c r="B9" s="116" t="s">
        <v>33</v>
      </c>
      <c r="C9" s="116">
        <v>105</v>
      </c>
      <c r="D9" s="117" t="s">
        <v>16</v>
      </c>
      <c r="E9" s="118">
        <v>7</v>
      </c>
      <c r="F9" s="117">
        <v>0</v>
      </c>
      <c r="G9" s="117">
        <v>0</v>
      </c>
      <c r="H9" s="119">
        <f>RANK(G9,$G$3:$G$17)+COUNTIF(G$3:$G9,G9)-1</f>
        <v>14</v>
      </c>
      <c r="I9" s="117">
        <v>0</v>
      </c>
      <c r="J9" s="118">
        <f>RANK(I9,$I$3:$I$17)+COUNTIF(I$3:$I9,I9)-1</f>
        <v>14</v>
      </c>
      <c r="K9" s="120">
        <f t="shared" si="0"/>
        <v>10.5</v>
      </c>
      <c r="L9" s="117">
        <f>RANK(K9,$K$3:$K$17,1)+COUNTIF(K$3:$K9,K9)-1</f>
        <v>11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-225</v>
      </c>
      <c r="W9" s="101"/>
    </row>
    <row r="10" spans="1:25" x14ac:dyDescent="0.3">
      <c r="A10" s="39" t="s">
        <v>14</v>
      </c>
      <c r="B10" s="145" t="s">
        <v>36</v>
      </c>
      <c r="C10" s="116">
        <v>104</v>
      </c>
      <c r="D10" s="117" t="s">
        <v>16</v>
      </c>
      <c r="E10" s="118">
        <v>8</v>
      </c>
      <c r="F10" s="117">
        <v>232</v>
      </c>
      <c r="G10" s="117">
        <v>64</v>
      </c>
      <c r="H10" s="119">
        <f>RANK(G10,$G$3:$G$17)+COUNTIF(G$3:$G10,G10)-1</f>
        <v>7</v>
      </c>
      <c r="I10" s="117">
        <v>87</v>
      </c>
      <c r="J10" s="118">
        <f>RANK(I10,$I$3:$I$17)+COUNTIF(I$3:$I10,I10)-1</f>
        <v>9</v>
      </c>
      <c r="K10" s="120">
        <f t="shared" si="0"/>
        <v>8.5</v>
      </c>
      <c r="L10" s="117">
        <f>RANK(K10,$K$3:$K$17,1)+COUNTIF(K$3:$K10,K10)-1</f>
        <v>8</v>
      </c>
      <c r="W10" s="101"/>
    </row>
    <row r="11" spans="1:25" x14ac:dyDescent="0.3">
      <c r="A11" s="39" t="s">
        <v>20</v>
      </c>
      <c r="B11" s="144" t="s">
        <v>37</v>
      </c>
      <c r="C11" s="116">
        <v>102</v>
      </c>
      <c r="D11" s="117" t="s">
        <v>38</v>
      </c>
      <c r="E11" s="118">
        <v>9</v>
      </c>
      <c r="F11" s="117">
        <v>326</v>
      </c>
      <c r="G11" s="117">
        <v>42</v>
      </c>
      <c r="H11" s="119">
        <f>RANK(G11,$G$3:$G$17)+COUNTIF(G$3:$G11,G11)-1</f>
        <v>10</v>
      </c>
      <c r="I11" s="117">
        <v>86</v>
      </c>
      <c r="J11" s="118">
        <f>RANK(I11,$I$3:$I$17)+COUNTIF(I$3:$I11,I11)-1</f>
        <v>13</v>
      </c>
      <c r="K11" s="120">
        <f t="shared" si="0"/>
        <v>11</v>
      </c>
      <c r="L11" s="117">
        <f>RANK(K11,$K$3:$K$17,1)+COUNTIF(K$3:$K11,K11)-1</f>
        <v>13</v>
      </c>
      <c r="W11" s="101"/>
    </row>
    <row r="12" spans="1:25" x14ac:dyDescent="0.3">
      <c r="A12" s="39" t="s">
        <v>20</v>
      </c>
      <c r="B12" s="145" t="s">
        <v>39</v>
      </c>
      <c r="C12" s="116">
        <v>101</v>
      </c>
      <c r="D12" s="117" t="s">
        <v>38</v>
      </c>
      <c r="E12" s="118">
        <v>10</v>
      </c>
      <c r="F12" s="117">
        <v>568</v>
      </c>
      <c r="G12" s="117">
        <v>79</v>
      </c>
      <c r="H12" s="119">
        <f>RANK(G12,$G$3:$G$17)+COUNTIF(G$3:$G12,G12)-1</f>
        <v>5</v>
      </c>
      <c r="I12" s="117">
        <v>87</v>
      </c>
      <c r="J12" s="118">
        <f>RANK(I12,$I$3:$I$17)+COUNTIF(I$3:$I12,I12)-1</f>
        <v>10</v>
      </c>
      <c r="K12" s="120">
        <f t="shared" si="0"/>
        <v>10</v>
      </c>
      <c r="L12" s="117">
        <f>RANK(K12,$K$3:$K$17,1)+COUNTIF(K$3:$K12,K12)-1</f>
        <v>10</v>
      </c>
      <c r="W12" s="101"/>
    </row>
    <row r="13" spans="1:25" x14ac:dyDescent="0.3">
      <c r="A13" s="39" t="s">
        <v>14</v>
      </c>
      <c r="B13" s="144" t="s">
        <v>40</v>
      </c>
      <c r="C13" s="116">
        <v>98</v>
      </c>
      <c r="D13" s="117" t="s">
        <v>41</v>
      </c>
      <c r="E13" s="118">
        <v>11</v>
      </c>
      <c r="F13" s="117">
        <v>298</v>
      </c>
      <c r="G13" s="117">
        <v>56</v>
      </c>
      <c r="H13" s="119">
        <f>RANK(G13,$G$3:$G$17)+COUNTIF(G$3:$G13,G13)-1</f>
        <v>8</v>
      </c>
      <c r="I13" s="117">
        <v>88</v>
      </c>
      <c r="J13" s="118">
        <f>RANK(I13,$I$3:$I$17)+COUNTIF(I$3:$I13,I13)-1</f>
        <v>4</v>
      </c>
      <c r="K13" s="120">
        <f t="shared" si="0"/>
        <v>7.5</v>
      </c>
      <c r="L13" s="117">
        <f>RANK(K13,$K$3:$K$17,1)+COUNTIF(K$3:$K13,K13)-1</f>
        <v>6</v>
      </c>
      <c r="W13" s="101"/>
    </row>
    <row r="14" spans="1:25" x14ac:dyDescent="0.3">
      <c r="A14" s="39" t="s">
        <v>14</v>
      </c>
      <c r="B14" s="145" t="s">
        <v>42</v>
      </c>
      <c r="C14" s="116">
        <v>97</v>
      </c>
      <c r="D14" s="117" t="s">
        <v>41</v>
      </c>
      <c r="E14" s="118">
        <v>12</v>
      </c>
      <c r="F14" s="117">
        <v>408</v>
      </c>
      <c r="G14" s="117">
        <v>82</v>
      </c>
      <c r="H14" s="119">
        <f>RANK(G14,$G$3:$G$17)+COUNTIF(G$3:$G14,G14)-1</f>
        <v>4</v>
      </c>
      <c r="I14" s="117">
        <v>89</v>
      </c>
      <c r="J14" s="118">
        <f>RANK(I14,$I$3:$I$17)+COUNTIF(I$3:$I14,I14)-1</f>
        <v>1</v>
      </c>
      <c r="K14" s="120">
        <f t="shared" si="0"/>
        <v>6.5</v>
      </c>
      <c r="L14" s="117">
        <f>RANK(K14,$K$3:$K$17,1)+COUNTIF(K$3:$K14,K14)-1</f>
        <v>5</v>
      </c>
    </row>
    <row r="15" spans="1:25" x14ac:dyDescent="0.3">
      <c r="A15" s="39" t="s">
        <v>14</v>
      </c>
      <c r="B15" s="145" t="s">
        <v>44</v>
      </c>
      <c r="C15" s="116">
        <v>95</v>
      </c>
      <c r="D15" s="117" t="s">
        <v>41</v>
      </c>
      <c r="E15" s="118">
        <v>13</v>
      </c>
      <c r="F15" s="117">
        <v>244</v>
      </c>
      <c r="G15" s="117">
        <v>93</v>
      </c>
      <c r="H15" s="119">
        <f>RANK(G15,$G$3:$G$17)+COUNTIF(G$3:$G15,G15)-1</f>
        <v>1</v>
      </c>
      <c r="I15" s="117">
        <v>88</v>
      </c>
      <c r="J15" s="118">
        <f>RANK(I15,$I$3:$I$17)+COUNTIF(I$3:$I15,I15)-1</f>
        <v>5</v>
      </c>
      <c r="K15" s="120">
        <f t="shared" si="0"/>
        <v>9</v>
      </c>
      <c r="L15" s="117">
        <f>RANK(K15,$K$3:$K$17,1)+COUNTIF(K$3:$K15,K15)-1</f>
        <v>9</v>
      </c>
    </row>
    <row r="16" spans="1:25" x14ac:dyDescent="0.3">
      <c r="A16" s="39" t="s">
        <v>43</v>
      </c>
      <c r="B16" s="116" t="s">
        <v>45</v>
      </c>
      <c r="C16" s="116">
        <v>91</v>
      </c>
      <c r="D16" s="117" t="s">
        <v>41</v>
      </c>
      <c r="E16" s="118">
        <v>14</v>
      </c>
      <c r="F16" s="117">
        <v>278</v>
      </c>
      <c r="G16" s="117">
        <v>84</v>
      </c>
      <c r="H16" s="119">
        <f>RANK(G16,$G$3:$G$17)+COUNTIF(G$3:$G16,G16)-1</f>
        <v>2</v>
      </c>
      <c r="I16" s="117">
        <v>87</v>
      </c>
      <c r="J16" s="118">
        <f>RANK(I16,$I$3:$I$17)+COUNTIF(I$3:$I16,I16)-1</f>
        <v>11</v>
      </c>
      <c r="K16" s="120">
        <f t="shared" si="0"/>
        <v>12.5</v>
      </c>
      <c r="L16" s="117">
        <f>RANK(K16,$K$3:$K$17,1)+COUNTIF(K$3:$K16,K16)-1</f>
        <v>14</v>
      </c>
    </row>
    <row r="17" spans="1:12" ht="15" thickBot="1" x14ac:dyDescent="0.35">
      <c r="A17" s="41" t="s">
        <v>14</v>
      </c>
      <c r="B17" s="40" t="s">
        <v>46</v>
      </c>
      <c r="C17" s="2">
        <v>90</v>
      </c>
      <c r="D17" s="134" t="s">
        <v>41</v>
      </c>
      <c r="E17" s="3">
        <v>15</v>
      </c>
      <c r="F17" s="4">
        <v>128</v>
      </c>
      <c r="G17" s="5">
        <v>38</v>
      </c>
      <c r="H17" s="135">
        <f>RANK(G17,$G$3:$G$17)+COUNTIF(G$3:$G17,G17)-1</f>
        <v>12</v>
      </c>
      <c r="I17" s="5">
        <v>88</v>
      </c>
      <c r="J17" s="136">
        <f>RANK(I17,$I$3:$I$17)+COUNTIF(I$3:$I17,I17)-1</f>
        <v>6</v>
      </c>
      <c r="K17" s="137">
        <f t="shared" si="0"/>
        <v>10.5</v>
      </c>
      <c r="L17" s="134">
        <f>RANK(K17,$K$3:$K$17,1)+COUNTIF(K$3:$K17,K17)-1</f>
        <v>12</v>
      </c>
    </row>
    <row r="18" spans="1:12" x14ac:dyDescent="0.3">
      <c r="B18" s="6"/>
      <c r="C18" s="6"/>
      <c r="F18" s="1"/>
    </row>
    <row r="19" spans="1:12" x14ac:dyDescent="0.3">
      <c r="F19" s="1"/>
    </row>
    <row r="20" spans="1:12" x14ac:dyDescent="0.3">
      <c r="B20" s="138" t="s">
        <v>12</v>
      </c>
      <c r="C20" s="139" t="s">
        <v>47</v>
      </c>
      <c r="D20" s="140"/>
      <c r="F20" s="1"/>
    </row>
    <row r="21" spans="1:12" x14ac:dyDescent="0.3">
      <c r="B21" s="10" t="s">
        <v>48</v>
      </c>
      <c r="C21" s="141" t="s">
        <v>49</v>
      </c>
      <c r="D21" s="142"/>
      <c r="F21" s="1"/>
    </row>
    <row r="22" spans="1:12" x14ac:dyDescent="0.3">
      <c r="F22" s="1"/>
    </row>
    <row r="23" spans="1:12" x14ac:dyDescent="0.3">
      <c r="F23" s="1"/>
    </row>
    <row r="24" spans="1:12" x14ac:dyDescent="0.3">
      <c r="B24" s="143" t="s">
        <v>50</v>
      </c>
      <c r="C24" s="143"/>
      <c r="F24" s="1"/>
    </row>
    <row r="25" spans="1:12" x14ac:dyDescent="0.3">
      <c r="B25" s="6"/>
      <c r="C25" s="6"/>
      <c r="D25" s="6"/>
      <c r="E25" s="6"/>
      <c r="F25" s="1"/>
    </row>
    <row r="26" spans="1:12" x14ac:dyDescent="0.3">
      <c r="F26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7"/>
  <sheetViews>
    <sheetView workbookViewId="0">
      <selection activeCell="E20" sqref="E20"/>
    </sheetView>
  </sheetViews>
  <sheetFormatPr defaultColWidth="9" defaultRowHeight="14.4" x14ac:dyDescent="0.3"/>
  <cols>
    <col min="1" max="1" width="9" style="1"/>
    <col min="2" max="2" width="11.5546875" style="1" customWidth="1"/>
    <col min="3" max="4" width="10.5546875" style="1" customWidth="1"/>
    <col min="5" max="5" width="16.5546875" style="1" customWidth="1"/>
    <col min="6" max="6" width="10.44140625" style="1" customWidth="1"/>
    <col min="7" max="7" width="12.88671875" style="6" customWidth="1"/>
    <col min="8" max="9" width="12.88671875" style="1" customWidth="1"/>
    <col min="10" max="10" width="15.88671875" style="1" customWidth="1"/>
    <col min="11" max="11" width="11.6640625" style="1" customWidth="1"/>
    <col min="12" max="12" width="14" style="1" customWidth="1"/>
    <col min="13" max="13" width="11.6640625" style="1" customWidth="1"/>
    <col min="14" max="14" width="13.33203125" style="1" customWidth="1"/>
    <col min="15" max="15" width="10.44140625" style="1" customWidth="1"/>
    <col min="16" max="16" width="9.6640625" style="1" customWidth="1"/>
    <col min="17" max="20" width="9" style="1"/>
    <col min="21" max="21" width="12.33203125" style="1" customWidth="1"/>
    <col min="22" max="22" width="10.88671875" style="1" customWidth="1"/>
    <col min="23" max="23" width="13.5546875" style="1" customWidth="1"/>
    <col min="24" max="24" width="9" style="1"/>
    <col min="25" max="25" width="4.109375" style="1" customWidth="1"/>
    <col min="26" max="26" width="9.5546875" style="1" customWidth="1"/>
    <col min="27" max="16384" width="9" style="1"/>
  </cols>
  <sheetData>
    <row r="1" spans="2:26" ht="64.2" customHeight="1" thickBot="1" x14ac:dyDescent="0.35">
      <c r="B1" s="209" t="s">
        <v>0</v>
      </c>
      <c r="C1" s="207" t="s">
        <v>1</v>
      </c>
      <c r="D1" s="207" t="s">
        <v>2</v>
      </c>
      <c r="E1" s="211" t="s">
        <v>3</v>
      </c>
      <c r="F1" s="213" t="s">
        <v>4</v>
      </c>
      <c r="G1" s="211" t="s">
        <v>5</v>
      </c>
      <c r="H1" s="211" t="s">
        <v>6</v>
      </c>
      <c r="I1" s="215" t="s">
        <v>7</v>
      </c>
      <c r="J1" s="211" t="s">
        <v>8</v>
      </c>
      <c r="K1" s="217" t="s">
        <v>9</v>
      </c>
      <c r="L1" s="207" t="s">
        <v>10</v>
      </c>
      <c r="M1" s="207" t="s">
        <v>11</v>
      </c>
      <c r="O1" s="101"/>
      <c r="P1" s="101"/>
      <c r="Q1" s="101"/>
      <c r="R1" s="101"/>
      <c r="S1" s="101"/>
      <c r="T1" s="101"/>
      <c r="U1" s="101"/>
      <c r="V1" s="101"/>
      <c r="W1" s="101"/>
      <c r="X1" s="101"/>
      <c r="Z1" s="102">
        <v>45677</v>
      </c>
    </row>
    <row r="2" spans="2:26" ht="19.95" customHeight="1" thickBot="1" x14ac:dyDescent="0.35">
      <c r="B2" s="210"/>
      <c r="C2" s="219"/>
      <c r="D2" s="219"/>
      <c r="E2" s="220"/>
      <c r="F2" s="221"/>
      <c r="G2" s="220"/>
      <c r="H2" s="220"/>
      <c r="I2" s="222"/>
      <c r="J2" s="220"/>
      <c r="K2" s="223"/>
      <c r="L2" s="219"/>
      <c r="M2" s="219"/>
      <c r="O2" s="101"/>
      <c r="P2" s="103" t="s">
        <v>12</v>
      </c>
      <c r="Q2" s="104" t="s">
        <v>12</v>
      </c>
      <c r="R2" s="105" t="s">
        <v>12</v>
      </c>
      <c r="S2" s="103" t="s">
        <v>13</v>
      </c>
      <c r="T2" s="104" t="s">
        <v>13</v>
      </c>
      <c r="U2" s="105" t="s">
        <v>13</v>
      </c>
      <c r="V2" s="101"/>
      <c r="W2" s="101"/>
      <c r="X2" s="101"/>
    </row>
    <row r="3" spans="2:26" ht="15" thickBot="1" x14ac:dyDescent="0.35">
      <c r="B3" s="42"/>
      <c r="C3" s="96" t="s">
        <v>58</v>
      </c>
      <c r="D3" s="146">
        <v>119</v>
      </c>
      <c r="E3" s="146" t="s">
        <v>59</v>
      </c>
      <c r="F3" s="147">
        <v>1</v>
      </c>
      <c r="G3" s="148"/>
      <c r="H3" s="149"/>
      <c r="I3" s="150"/>
      <c r="J3" s="149"/>
      <c r="K3" s="149"/>
      <c r="L3" s="151"/>
      <c r="M3" s="152"/>
      <c r="O3" s="101"/>
      <c r="P3" s="112" t="s">
        <v>17</v>
      </c>
      <c r="Q3" s="113" t="s">
        <v>18</v>
      </c>
      <c r="R3" s="114" t="s">
        <v>19</v>
      </c>
      <c r="S3" s="112" t="s">
        <v>17</v>
      </c>
      <c r="T3" s="113" t="s">
        <v>18</v>
      </c>
      <c r="U3" s="114" t="s">
        <v>19</v>
      </c>
      <c r="V3" s="101"/>
      <c r="W3" s="101"/>
      <c r="X3" s="101"/>
    </row>
    <row r="4" spans="2:26" x14ac:dyDescent="0.3">
      <c r="B4" s="43"/>
      <c r="C4" s="153" t="s">
        <v>60</v>
      </c>
      <c r="D4" s="153">
        <v>118</v>
      </c>
      <c r="E4" s="153" t="s">
        <v>59</v>
      </c>
      <c r="F4" s="154">
        <v>2</v>
      </c>
      <c r="G4" s="155"/>
      <c r="H4" s="156"/>
      <c r="I4" s="157"/>
      <c r="J4" s="156"/>
      <c r="K4" s="156"/>
      <c r="L4" s="158"/>
      <c r="M4" s="159"/>
      <c r="O4" s="121" t="s">
        <v>22</v>
      </c>
      <c r="P4" s="122">
        <f>SUM(P5:P9)</f>
        <v>480</v>
      </c>
      <c r="Q4" s="104">
        <v>497</v>
      </c>
      <c r="R4" s="105">
        <v>534</v>
      </c>
      <c r="S4" s="123">
        <f>SUM(S5:S9)</f>
        <v>175</v>
      </c>
      <c r="T4" s="104" t="e">
        <f>#REF!</f>
        <v>#REF!</v>
      </c>
      <c r="U4" s="105">
        <v>184</v>
      </c>
      <c r="V4" s="101"/>
      <c r="W4" s="101"/>
      <c r="X4" s="101"/>
    </row>
    <row r="5" spans="2:26" x14ac:dyDescent="0.3">
      <c r="B5" s="43"/>
      <c r="C5" s="153" t="s">
        <v>61</v>
      </c>
      <c r="D5" s="153">
        <v>117</v>
      </c>
      <c r="E5" s="153" t="s">
        <v>59</v>
      </c>
      <c r="F5" s="154">
        <v>3</v>
      </c>
      <c r="G5" s="155"/>
      <c r="H5" s="156"/>
      <c r="I5" s="157"/>
      <c r="J5" s="156"/>
      <c r="K5" s="156"/>
      <c r="L5" s="158"/>
      <c r="M5" s="159"/>
      <c r="O5" s="124" t="s">
        <v>24</v>
      </c>
      <c r="P5" s="125">
        <v>180</v>
      </c>
      <c r="Q5" s="126"/>
      <c r="R5" s="127"/>
      <c r="S5" s="125">
        <v>60</v>
      </c>
      <c r="T5" s="126"/>
      <c r="U5" s="127"/>
      <c r="V5" s="101"/>
      <c r="W5" s="101"/>
      <c r="X5" s="101"/>
    </row>
    <row r="6" spans="2:26" x14ac:dyDescent="0.3">
      <c r="B6" s="99" t="s">
        <v>20</v>
      </c>
      <c r="C6" s="145" t="s">
        <v>27</v>
      </c>
      <c r="D6" s="116">
        <v>108</v>
      </c>
      <c r="E6" s="116" t="s">
        <v>16</v>
      </c>
      <c r="F6" s="160">
        <v>4</v>
      </c>
      <c r="G6" s="161">
        <v>172</v>
      </c>
      <c r="H6" s="117">
        <v>40</v>
      </c>
      <c r="I6" s="119">
        <f>RANK(H6,$H$3:$H$17)+COUNTIF(H$3:$H6,H6)-1</f>
        <v>11</v>
      </c>
      <c r="J6" s="117">
        <v>88</v>
      </c>
      <c r="K6" s="118">
        <f>RANK(J6,$J$3:$J$17)+COUNTIF(J$3:$J6,J6)-1</f>
        <v>1</v>
      </c>
      <c r="L6" s="120">
        <f t="shared" ref="L6:L17" si="0">(F6+K6)/2</f>
        <v>2.5</v>
      </c>
      <c r="M6" s="162">
        <f>RANK(L6,$L$3:$L$17,1)+COUNTIF(L$3:$L6,L6)-1</f>
        <v>1</v>
      </c>
      <c r="O6" s="124" t="s">
        <v>26</v>
      </c>
      <c r="P6" s="125">
        <v>85</v>
      </c>
      <c r="Q6" s="126"/>
      <c r="R6" s="127"/>
      <c r="S6" s="125">
        <v>35</v>
      </c>
      <c r="T6" s="126"/>
      <c r="U6" s="127"/>
      <c r="V6" s="101"/>
      <c r="W6" s="101"/>
      <c r="X6" s="101"/>
    </row>
    <row r="7" spans="2:26" x14ac:dyDescent="0.3">
      <c r="B7" s="99" t="s">
        <v>14</v>
      </c>
      <c r="C7" s="116" t="s">
        <v>21</v>
      </c>
      <c r="D7" s="116">
        <v>107</v>
      </c>
      <c r="E7" s="116" t="s">
        <v>16</v>
      </c>
      <c r="F7" s="160">
        <v>5</v>
      </c>
      <c r="G7" s="161">
        <v>236</v>
      </c>
      <c r="H7" s="117">
        <v>82</v>
      </c>
      <c r="I7" s="119">
        <f>RANK(H7,$H$3:$H$17)+COUNTIF(H$3:$H7,H7)-1</f>
        <v>4</v>
      </c>
      <c r="J7" s="117">
        <v>87</v>
      </c>
      <c r="K7" s="118">
        <f>RANK(J7,$J$3:$J$17)+COUNTIF(J$3:$J7,J7)-1</f>
        <v>6</v>
      </c>
      <c r="L7" s="120">
        <f t="shared" si="0"/>
        <v>5.5</v>
      </c>
      <c r="M7" s="162">
        <f>RANK(L7,$L$3:$L$17,1)+COUNTIF(L$3:$L7,L7)-1</f>
        <v>3</v>
      </c>
      <c r="O7" s="124" t="s">
        <v>28</v>
      </c>
      <c r="P7" s="125">
        <v>40</v>
      </c>
      <c r="Q7" s="129"/>
      <c r="R7" s="127"/>
      <c r="S7" s="125">
        <v>10</v>
      </c>
      <c r="T7" s="129"/>
      <c r="U7" s="127"/>
      <c r="V7" s="101" t="s">
        <v>29</v>
      </c>
      <c r="W7" s="101" t="s">
        <v>30</v>
      </c>
      <c r="X7" s="101"/>
    </row>
    <row r="8" spans="2:26" x14ac:dyDescent="0.3">
      <c r="B8" s="99" t="s">
        <v>14</v>
      </c>
      <c r="C8" s="144" t="s">
        <v>23</v>
      </c>
      <c r="D8" s="116">
        <v>106</v>
      </c>
      <c r="E8" s="116" t="s">
        <v>16</v>
      </c>
      <c r="F8" s="160">
        <v>6</v>
      </c>
      <c r="G8" s="161">
        <v>112</v>
      </c>
      <c r="H8" s="117">
        <v>30</v>
      </c>
      <c r="I8" s="119">
        <f>RANK(H8,$H$3:$H$17)+COUNTIF(H$3:$H8,H8)-1</f>
        <v>12</v>
      </c>
      <c r="J8" s="117">
        <v>86</v>
      </c>
      <c r="K8" s="118">
        <f>RANK(J8,$J$3:$J$17)+COUNTIF(J$3:$J8,J8)-1</f>
        <v>10</v>
      </c>
      <c r="L8" s="120">
        <f t="shared" si="0"/>
        <v>8</v>
      </c>
      <c r="M8" s="162">
        <f>RANK(L8,$L$3:$L$17,1)+COUNTIF(L$3:$L8,L8)-1</f>
        <v>6</v>
      </c>
      <c r="O8" s="124" t="s">
        <v>32</v>
      </c>
      <c r="P8" s="125">
        <v>95</v>
      </c>
      <c r="Q8" s="129"/>
      <c r="R8" s="127"/>
      <c r="S8" s="125">
        <v>40</v>
      </c>
      <c r="T8" s="129"/>
      <c r="U8" s="127"/>
      <c r="V8" s="101">
        <f>R4+U4</f>
        <v>718</v>
      </c>
      <c r="W8" s="101" t="e">
        <f>Q4+T4</f>
        <v>#REF!</v>
      </c>
      <c r="X8" s="101"/>
    </row>
    <row r="9" spans="2:26" ht="15" thickBot="1" x14ac:dyDescent="0.35">
      <c r="B9" s="99" t="s">
        <v>20</v>
      </c>
      <c r="C9" s="145" t="s">
        <v>31</v>
      </c>
      <c r="D9" s="116">
        <v>102</v>
      </c>
      <c r="E9" s="116" t="s">
        <v>38</v>
      </c>
      <c r="F9" s="160">
        <v>7</v>
      </c>
      <c r="G9" s="161">
        <v>302</v>
      </c>
      <c r="H9" s="117">
        <v>78</v>
      </c>
      <c r="I9" s="119">
        <f>RANK(H9,$H$3:$H$17)+COUNTIF(H$3:$H9,H9)-1</f>
        <v>6</v>
      </c>
      <c r="J9" s="117">
        <v>87</v>
      </c>
      <c r="K9" s="118">
        <f>RANK(J9,$J$3:$J$17)+COUNTIF(J$3:$J9,J9)-1</f>
        <v>7</v>
      </c>
      <c r="L9" s="120">
        <f t="shared" si="0"/>
        <v>7</v>
      </c>
      <c r="M9" s="162">
        <f>RANK(L9,$L$3:$L$17,1)+COUNTIF(L$3:$L9,L9)-1</f>
        <v>4</v>
      </c>
      <c r="O9" s="130" t="s">
        <v>35</v>
      </c>
      <c r="P9" s="131">
        <v>80</v>
      </c>
      <c r="Q9" s="132"/>
      <c r="R9" s="133"/>
      <c r="S9" s="131">
        <v>30</v>
      </c>
      <c r="T9" s="132"/>
      <c r="U9" s="133"/>
      <c r="V9" s="101"/>
      <c r="W9" s="101" t="e">
        <f>V8-W8</f>
        <v>#REF!</v>
      </c>
      <c r="X9" s="101"/>
    </row>
    <row r="10" spans="2:26" x14ac:dyDescent="0.3">
      <c r="B10" s="99" t="s">
        <v>43</v>
      </c>
      <c r="C10" s="145" t="s">
        <v>25</v>
      </c>
      <c r="D10" s="116">
        <v>100</v>
      </c>
      <c r="E10" s="116" t="s">
        <v>41</v>
      </c>
      <c r="F10" s="160">
        <v>8</v>
      </c>
      <c r="G10" s="161">
        <v>556</v>
      </c>
      <c r="H10" s="117">
        <v>128</v>
      </c>
      <c r="I10" s="119">
        <f>RANK(H10,$H$3:$H$17)+COUNTIF(H$3:$H10,H10)-1</f>
        <v>1</v>
      </c>
      <c r="J10" s="117">
        <v>88</v>
      </c>
      <c r="K10" s="118">
        <f>RANK(J10,$J$3:$J$17)+COUNTIF(J$3:$J10,J10)-1</f>
        <v>2</v>
      </c>
      <c r="L10" s="120">
        <f t="shared" si="0"/>
        <v>5</v>
      </c>
      <c r="M10" s="162">
        <f>RANK(L10,$L$3:$L$17,1)+COUNTIF(L$3:$L10,L10)-1</f>
        <v>2</v>
      </c>
      <c r="X10" s="101"/>
    </row>
    <row r="11" spans="2:26" x14ac:dyDescent="0.3">
      <c r="B11" s="99" t="s">
        <v>14</v>
      </c>
      <c r="C11" s="144" t="s">
        <v>37</v>
      </c>
      <c r="D11" s="116">
        <v>99</v>
      </c>
      <c r="E11" s="116" t="s">
        <v>41</v>
      </c>
      <c r="F11" s="160">
        <v>9</v>
      </c>
      <c r="G11" s="161">
        <v>344</v>
      </c>
      <c r="H11" s="117">
        <v>67</v>
      </c>
      <c r="I11" s="119">
        <f>RANK(H11,$H$3:$H$17)+COUNTIF(H$3:$H11,H11)-1</f>
        <v>7</v>
      </c>
      <c r="J11" s="117">
        <v>87</v>
      </c>
      <c r="K11" s="118">
        <f>RANK(J11,$J$3:$J$17)+COUNTIF(J$3:$J11,J11)-1</f>
        <v>8</v>
      </c>
      <c r="L11" s="120">
        <f t="shared" si="0"/>
        <v>8.5</v>
      </c>
      <c r="M11" s="162">
        <f>RANK(L11,$L$3:$L$17,1)+COUNTIF(L$3:$L11,L11)-1</f>
        <v>7</v>
      </c>
      <c r="X11" s="101"/>
    </row>
    <row r="12" spans="2:26" x14ac:dyDescent="0.3">
      <c r="B12" s="99" t="s">
        <v>20</v>
      </c>
      <c r="C12" s="145" t="s">
        <v>36</v>
      </c>
      <c r="D12" s="116">
        <v>99</v>
      </c>
      <c r="E12" s="116" t="s">
        <v>41</v>
      </c>
      <c r="F12" s="160">
        <v>11</v>
      </c>
      <c r="G12" s="161">
        <v>226</v>
      </c>
      <c r="H12" s="117">
        <v>53</v>
      </c>
      <c r="I12" s="119">
        <f>RANK(H12,$H$3:$H$17)+COUNTIF(H$3:$H12,H12)-1</f>
        <v>9</v>
      </c>
      <c r="J12" s="117">
        <v>88</v>
      </c>
      <c r="K12" s="118">
        <f>RANK(J12,$J$3:$J$17)+COUNTIF(J$3:$J12,J12)-1</f>
        <v>3</v>
      </c>
      <c r="L12" s="120">
        <f t="shared" si="0"/>
        <v>7</v>
      </c>
      <c r="M12" s="162">
        <f>RANK(L12,$L$3:$L$17,1)+COUNTIF(L$3:$L12,L12)-1</f>
        <v>5</v>
      </c>
      <c r="X12" s="101"/>
    </row>
    <row r="13" spans="2:26" x14ac:dyDescent="0.3">
      <c r="B13" s="99" t="s">
        <v>43</v>
      </c>
      <c r="C13" s="145" t="s">
        <v>42</v>
      </c>
      <c r="D13" s="116">
        <v>98</v>
      </c>
      <c r="E13" s="116" t="s">
        <v>41</v>
      </c>
      <c r="F13" s="160">
        <v>12</v>
      </c>
      <c r="G13" s="161">
        <v>396</v>
      </c>
      <c r="H13" s="117">
        <v>82</v>
      </c>
      <c r="I13" s="119">
        <f>RANK(H13,$H$3:$H$17)+COUNTIF(H$3:$H13,H13)-1</f>
        <v>5</v>
      </c>
      <c r="J13" s="117">
        <v>86</v>
      </c>
      <c r="K13" s="118">
        <f>RANK(J13,$J$3:$J$17)+COUNTIF(J$3:$J13,J13)-1</f>
        <v>11</v>
      </c>
      <c r="L13" s="120">
        <f t="shared" si="0"/>
        <v>11.5</v>
      </c>
      <c r="M13" s="162">
        <f>RANK(L13,$L$3:$L$17,1)+COUNTIF(L$3:$L13,L13)-1</f>
        <v>10</v>
      </c>
    </row>
    <row r="14" spans="2:26" x14ac:dyDescent="0.3">
      <c r="B14" s="99" t="s">
        <v>43</v>
      </c>
      <c r="C14" s="145" t="s">
        <v>39</v>
      </c>
      <c r="D14" s="116">
        <v>98</v>
      </c>
      <c r="E14" s="116" t="s">
        <v>41</v>
      </c>
      <c r="F14" s="160">
        <v>13</v>
      </c>
      <c r="G14" s="161">
        <v>540</v>
      </c>
      <c r="H14" s="117">
        <v>66</v>
      </c>
      <c r="I14" s="119">
        <f>RANK(H14,$H$3:$H$17)+COUNTIF(H$3:$H14,H14)-1</f>
        <v>8</v>
      </c>
      <c r="J14" s="117">
        <v>88</v>
      </c>
      <c r="K14" s="118">
        <f>RANK(J14,$J$3:$J$17)+COUNTIF(J$3:$J14,J14)-1</f>
        <v>4</v>
      </c>
      <c r="L14" s="120">
        <f t="shared" si="0"/>
        <v>8.5</v>
      </c>
      <c r="M14" s="162">
        <f>RANK(L14,$L$3:$L$17,1)+COUNTIF(L$3:$L14,L14)-1</f>
        <v>8</v>
      </c>
    </row>
    <row r="15" spans="2:26" x14ac:dyDescent="0.3">
      <c r="B15" s="99" t="s">
        <v>20</v>
      </c>
      <c r="C15" s="145" t="s">
        <v>44</v>
      </c>
      <c r="D15" s="116">
        <v>97</v>
      </c>
      <c r="E15" s="116" t="s">
        <v>41</v>
      </c>
      <c r="F15" s="160">
        <v>14</v>
      </c>
      <c r="G15" s="161">
        <v>316</v>
      </c>
      <c r="H15" s="117">
        <v>87</v>
      </c>
      <c r="I15" s="119">
        <f>RANK(H15,$H$3:$H$17)+COUNTIF(H$3:$H15,H15)-1</f>
        <v>2</v>
      </c>
      <c r="J15" s="117">
        <v>87</v>
      </c>
      <c r="K15" s="118">
        <f>RANK(J15,$J$3:$J$17)+COUNTIF(J$3:$J15,J15)-1</f>
        <v>9</v>
      </c>
      <c r="L15" s="120">
        <f t="shared" si="0"/>
        <v>11.5</v>
      </c>
      <c r="M15" s="162">
        <f>RANK(L15,$L$3:$L$17,1)+COUNTIF(L$3:$L15,L15)-1</f>
        <v>11</v>
      </c>
    </row>
    <row r="16" spans="2:26" x14ac:dyDescent="0.3">
      <c r="B16" s="99" t="s">
        <v>43</v>
      </c>
      <c r="C16" s="144" t="s">
        <v>40</v>
      </c>
      <c r="D16" s="116">
        <v>96</v>
      </c>
      <c r="E16" s="116" t="s">
        <v>41</v>
      </c>
      <c r="F16" s="160">
        <v>15</v>
      </c>
      <c r="G16" s="161">
        <v>394</v>
      </c>
      <c r="H16" s="117">
        <v>44</v>
      </c>
      <c r="I16" s="119">
        <f>RANK(H16,$H$3:$H$17)+COUNTIF(H$3:$H16,H16)-1</f>
        <v>10</v>
      </c>
      <c r="J16" s="117">
        <v>86</v>
      </c>
      <c r="K16" s="118">
        <f>RANK(J16,$J$3:$J$17)+COUNTIF(J$3:$J16,J16)-1</f>
        <v>12</v>
      </c>
      <c r="L16" s="120">
        <f t="shared" si="0"/>
        <v>13.5</v>
      </c>
      <c r="M16" s="162">
        <f>RANK(L16,$L$3:$L$17,1)+COUNTIF(L$3:$L16,L16)-1</f>
        <v>12</v>
      </c>
    </row>
    <row r="17" spans="1:13" ht="15" thickBot="1" x14ac:dyDescent="0.35">
      <c r="A17" s="184" t="s">
        <v>223</v>
      </c>
      <c r="B17" s="100" t="s">
        <v>14</v>
      </c>
      <c r="C17" s="163" t="s">
        <v>45</v>
      </c>
      <c r="D17" s="163">
        <v>90</v>
      </c>
      <c r="E17" s="163" t="s">
        <v>62</v>
      </c>
      <c r="F17" s="164">
        <v>16</v>
      </c>
      <c r="G17" s="165">
        <v>278</v>
      </c>
      <c r="H17" s="166">
        <v>84</v>
      </c>
      <c r="I17" s="167">
        <f>RANK(H17,$H$3:$H$17)+COUNTIF(H$3:$H17,H17)-1</f>
        <v>3</v>
      </c>
      <c r="J17" s="166">
        <v>88</v>
      </c>
      <c r="K17" s="168">
        <f>RANK(J17,$J$3:$J$17)+COUNTIF(J$3:$J17,J17)-1</f>
        <v>5</v>
      </c>
      <c r="L17" s="169">
        <f t="shared" si="0"/>
        <v>10.5</v>
      </c>
      <c r="M17" s="170">
        <f>RANK(L17,$L$3:$L$17,1)+COUNTIF(L$3:$L17,L17)-1</f>
        <v>9</v>
      </c>
    </row>
    <row r="18" spans="1:13" x14ac:dyDescent="0.3">
      <c r="A18" s="184" t="s">
        <v>223</v>
      </c>
      <c r="C18" s="98" t="s">
        <v>221</v>
      </c>
      <c r="D18" s="6"/>
      <c r="G18" s="1"/>
    </row>
    <row r="19" spans="1:13" x14ac:dyDescent="0.3">
      <c r="A19" s="184" t="s">
        <v>223</v>
      </c>
      <c r="C19" s="184" t="s">
        <v>222</v>
      </c>
      <c r="G19" s="1"/>
    </row>
    <row r="20" spans="1:13" x14ac:dyDescent="0.3">
      <c r="C20" s="184"/>
      <c r="G20" s="1"/>
    </row>
    <row r="21" spans="1:13" x14ac:dyDescent="0.3">
      <c r="C21" s="138" t="s">
        <v>12</v>
      </c>
      <c r="D21" s="139" t="s">
        <v>47</v>
      </c>
      <c r="E21" s="140"/>
      <c r="G21" s="1"/>
    </row>
    <row r="22" spans="1:13" x14ac:dyDescent="0.3">
      <c r="C22" s="10" t="s">
        <v>48</v>
      </c>
      <c r="D22" s="141" t="s">
        <v>49</v>
      </c>
      <c r="E22" s="142"/>
      <c r="G22" s="1"/>
    </row>
    <row r="23" spans="1:13" x14ac:dyDescent="0.3">
      <c r="G23" s="1"/>
    </row>
    <row r="24" spans="1:13" x14ac:dyDescent="0.3">
      <c r="G24" s="1"/>
    </row>
    <row r="25" spans="1:13" x14ac:dyDescent="0.3">
      <c r="C25" s="143" t="s">
        <v>50</v>
      </c>
      <c r="D25" s="143"/>
      <c r="G25" s="1"/>
    </row>
    <row r="26" spans="1:13" x14ac:dyDescent="0.3">
      <c r="C26" s="97"/>
      <c r="D26" s="98" t="s">
        <v>63</v>
      </c>
      <c r="E26" s="6"/>
      <c r="F26" s="6"/>
      <c r="G26" s="1"/>
    </row>
    <row r="27" spans="1:13" x14ac:dyDescent="0.3">
      <c r="G27" s="1"/>
    </row>
  </sheetData>
  <mergeCells count="12"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A214-1333-41CD-8CD1-25D78DD694AD}">
  <dimension ref="A1:Y25"/>
  <sheetViews>
    <sheetView workbookViewId="0">
      <selection activeCell="G14" sqref="G14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10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19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534</v>
      </c>
      <c r="Q4" s="105">
        <v>572</v>
      </c>
      <c r="R4" s="123">
        <f>SUM(R5:R9)</f>
        <v>175</v>
      </c>
      <c r="S4" s="104" t="e">
        <f>#REF!</f>
        <v>#REF!</v>
      </c>
      <c r="T4" s="105"/>
      <c r="U4" s="101"/>
      <c r="V4" s="101"/>
      <c r="W4" s="101"/>
    </row>
    <row r="5" spans="1:25" x14ac:dyDescent="0.3">
      <c r="A5" s="43"/>
      <c r="B5" s="153" t="s">
        <v>61</v>
      </c>
      <c r="C5" s="153">
        <v>117</v>
      </c>
      <c r="D5" s="153" t="s">
        <v>59</v>
      </c>
      <c r="E5" s="154">
        <v>3</v>
      </c>
      <c r="F5" s="155"/>
      <c r="G5" s="156"/>
      <c r="H5" s="157"/>
      <c r="I5" s="156"/>
      <c r="J5" s="156"/>
      <c r="K5" s="158"/>
      <c r="L5" s="159"/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43</v>
      </c>
      <c r="B6" s="145" t="s">
        <v>27</v>
      </c>
      <c r="C6" s="116">
        <v>108</v>
      </c>
      <c r="D6" s="116" t="s">
        <v>16</v>
      </c>
      <c r="E6" s="160">
        <v>4</v>
      </c>
      <c r="F6" s="161">
        <v>344</v>
      </c>
      <c r="G6" s="117">
        <v>93</v>
      </c>
      <c r="H6" s="119">
        <f>RANK(G6,$G$3:$G$16)+COUNTIF(G$3:$G6,G6)-1</f>
        <v>2</v>
      </c>
      <c r="I6" s="117">
        <v>87</v>
      </c>
      <c r="J6" s="118">
        <f>RANK(I6,$I$3:$I$16)+COUNTIF(I$3:$I6,I6)-1</f>
        <v>9</v>
      </c>
      <c r="K6" s="120">
        <f t="shared" ref="K6:K16" si="0">(E6+J6)/2</f>
        <v>6.5</v>
      </c>
      <c r="L6" s="162">
        <f>RANK(K6,$K$3:$K$16,1)+COUNTIF(K$3:$K6,K6)-1</f>
        <v>5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14</v>
      </c>
      <c r="B7" s="144" t="s">
        <v>21</v>
      </c>
      <c r="C7" s="116">
        <v>107</v>
      </c>
      <c r="D7" s="116" t="s">
        <v>16</v>
      </c>
      <c r="E7" s="160">
        <v>5</v>
      </c>
      <c r="F7" s="161">
        <v>236</v>
      </c>
      <c r="G7" s="117">
        <v>68</v>
      </c>
      <c r="H7" s="119">
        <f>RANK(G7,$G$3:$G$16)+COUNTIF(G$3:$G7,G7)-1</f>
        <v>7</v>
      </c>
      <c r="I7" s="117">
        <v>88</v>
      </c>
      <c r="J7" s="118">
        <f>RANK(I7,$I$3:$I$16)+COUNTIF(I$3:$I7,I7)-1</f>
        <v>2</v>
      </c>
      <c r="K7" s="120">
        <f t="shared" si="0"/>
        <v>3.5</v>
      </c>
      <c r="L7" s="162">
        <f>RANK(K7,$K$3:$K$16,1)+COUNTIF(K$3:$K7,K7)-1</f>
        <v>1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43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136</v>
      </c>
      <c r="G8" s="117">
        <v>22</v>
      </c>
      <c r="H8" s="119">
        <f>RANK(G8,$G$3:$G$16)+COUNTIF(G$3:$G8,G8)-1</f>
        <v>11</v>
      </c>
      <c r="I8" s="117">
        <v>89</v>
      </c>
      <c r="J8" s="118">
        <f>RANK(I8,$I$3:$I$16)+COUNTIF(I$3:$I8,I8)-1</f>
        <v>1</v>
      </c>
      <c r="K8" s="120">
        <f t="shared" si="0"/>
        <v>3.5</v>
      </c>
      <c r="L8" s="162">
        <f>RANK(K8,$K$3:$K$16,1)+COUNTIF(K$3:$K8,K8)-1</f>
        <v>2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572</v>
      </c>
      <c r="V8" s="101" t="e">
        <f>P4+S4</f>
        <v>#REF!</v>
      </c>
      <c r="W8" s="101"/>
    </row>
    <row r="9" spans="1:25" ht="15" thickBot="1" x14ac:dyDescent="0.35">
      <c r="A9" s="99" t="s">
        <v>43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294</v>
      </c>
      <c r="G9" s="117">
        <v>71</v>
      </c>
      <c r="H9" s="119">
        <f>RANK(G9,$G$3:$G$16)+COUNTIF(G$3:$G9,G9)-1</f>
        <v>6</v>
      </c>
      <c r="I9" s="117">
        <v>88</v>
      </c>
      <c r="J9" s="118">
        <f>RANK(I9,$I$3:$I$16)+COUNTIF(I$3:$I9,I9)-1</f>
        <v>3</v>
      </c>
      <c r="K9" s="120">
        <f t="shared" si="0"/>
        <v>5</v>
      </c>
      <c r="L9" s="162">
        <f>RANK(K9,$K$3:$K$16,1)+COUNTIF(K$3:$K9,K9)-1</f>
        <v>3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 t="e">
        <f>U8-V8</f>
        <v>#REF!</v>
      </c>
      <c r="W9" s="101"/>
    </row>
    <row r="10" spans="1:25" x14ac:dyDescent="0.3">
      <c r="A10" s="99" t="s">
        <v>14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506</v>
      </c>
      <c r="G10" s="117">
        <v>103</v>
      </c>
      <c r="H10" s="119">
        <f>RANK(G10,$G$3:$G$16)+COUNTIF(G$3:$G10,G10)-1</f>
        <v>1</v>
      </c>
      <c r="I10" s="117">
        <v>88</v>
      </c>
      <c r="J10" s="118">
        <f>RANK(I10,$I$3:$I$16)+COUNTIF(I$3:$I10,I10)-1</f>
        <v>4</v>
      </c>
      <c r="K10" s="120">
        <f t="shared" si="0"/>
        <v>6</v>
      </c>
      <c r="L10" s="162">
        <f>RANK(K10,$K$3:$K$16,1)+COUNTIF(K$3:$K10,K10)-1</f>
        <v>4</v>
      </c>
      <c r="W10" s="101"/>
    </row>
    <row r="11" spans="1:25" x14ac:dyDescent="0.3">
      <c r="A11" s="99" t="s">
        <v>43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376</v>
      </c>
      <c r="G11" s="117">
        <v>33</v>
      </c>
      <c r="H11" s="119">
        <f>RANK(G11,$G$3:$G$16)+COUNTIF(G$3:$G11,G11)-1</f>
        <v>10</v>
      </c>
      <c r="I11" s="117">
        <v>88</v>
      </c>
      <c r="J11" s="118">
        <f>RANK(I11,$I$3:$I$16)+COUNTIF(I$3:$I11,I11)-1</f>
        <v>5</v>
      </c>
      <c r="K11" s="120">
        <f t="shared" si="0"/>
        <v>7</v>
      </c>
      <c r="L11" s="162">
        <f>RANK(K11,$K$3:$K$16,1)+COUNTIF(K$3:$K11,K11)-1</f>
        <v>6</v>
      </c>
      <c r="W11" s="101"/>
    </row>
    <row r="12" spans="1:25" x14ac:dyDescent="0.3">
      <c r="A12" s="99" t="s">
        <v>43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250</v>
      </c>
      <c r="G12" s="117">
        <v>73</v>
      </c>
      <c r="H12" s="119">
        <f>RANK(G12,$G$3:$G$16)+COUNTIF(G$3:$G12,G12)-1</f>
        <v>5</v>
      </c>
      <c r="I12" s="117">
        <v>86</v>
      </c>
      <c r="J12" s="118">
        <f>RANK(I12,$I$3:$I$16)+COUNTIF(I$3:$I12,I12)-1</f>
        <v>11</v>
      </c>
      <c r="K12" s="120">
        <f t="shared" si="0"/>
        <v>11</v>
      </c>
      <c r="L12" s="162">
        <f>RANK(K12,$K$3:$K$16,1)+COUNTIF(K$3:$K12,K12)-1</f>
        <v>9</v>
      </c>
      <c r="W12" s="101"/>
    </row>
    <row r="13" spans="1:25" x14ac:dyDescent="0.3">
      <c r="A13" s="99" t="s">
        <v>14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396</v>
      </c>
      <c r="G13" s="117">
        <v>86</v>
      </c>
      <c r="H13" s="119">
        <f>RANK(G13,$G$3:$G$16)+COUNTIF(G$3:$G13,G13)-1</f>
        <v>4</v>
      </c>
      <c r="I13" s="117">
        <v>88</v>
      </c>
      <c r="J13" s="118">
        <f>RANK(I13,$I$3:$I$16)+COUNTIF(I$3:$I13,I13)-1</f>
        <v>6</v>
      </c>
      <c r="K13" s="120">
        <f t="shared" si="0"/>
        <v>9</v>
      </c>
      <c r="L13" s="162">
        <f>RANK(K13,$K$3:$K$16,1)+COUNTIF(K$3:$K13,K13)-1</f>
        <v>7</v>
      </c>
    </row>
    <row r="14" spans="1:25" x14ac:dyDescent="0.3">
      <c r="A14" s="99" t="s">
        <v>14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516</v>
      </c>
      <c r="G14" s="117">
        <v>92</v>
      </c>
      <c r="H14" s="119">
        <f>RANK(G14,$G$3:$G$16)+COUNTIF(G$3:$G14,G14)-1</f>
        <v>3</v>
      </c>
      <c r="I14" s="117">
        <v>87</v>
      </c>
      <c r="J14" s="118">
        <f>RANK(I14,$I$3:$I$16)+COUNTIF(I$3:$I14,I14)-1</f>
        <v>10</v>
      </c>
      <c r="K14" s="120">
        <f t="shared" si="0"/>
        <v>11.5</v>
      </c>
      <c r="L14" s="162">
        <f>RANK(K14,$K$3:$K$16,1)+COUNTIF(K$3:$K14,K14)-1</f>
        <v>10</v>
      </c>
    </row>
    <row r="15" spans="1:25" x14ac:dyDescent="0.3">
      <c r="A15" s="99" t="s">
        <v>43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256</v>
      </c>
      <c r="G15" s="117">
        <v>54</v>
      </c>
      <c r="H15" s="119">
        <f>RANK(G15,$G$3:$G$16)+COUNTIF(G$3:$G15,G15)-1</f>
        <v>8</v>
      </c>
      <c r="I15" s="117">
        <v>88</v>
      </c>
      <c r="J15" s="118">
        <f>RANK(I15,$I$3:$I$16)+COUNTIF(I$3:$I15,I15)-1</f>
        <v>7</v>
      </c>
      <c r="K15" s="120">
        <f t="shared" si="0"/>
        <v>10.5</v>
      </c>
      <c r="L15" s="162">
        <f>RANK(K15,$K$3:$K$16,1)+COUNTIF(K$3:$K15,K15)-1</f>
        <v>8</v>
      </c>
    </row>
    <row r="16" spans="1:25" ht="15" thickBot="1" x14ac:dyDescent="0.35">
      <c r="A16" s="100" t="s">
        <v>14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374</v>
      </c>
      <c r="G16" s="166">
        <v>45</v>
      </c>
      <c r="H16" s="167">
        <f>RANK(G16,$G$3:$G$16)+COUNTIF(G$3:$G16,G16)-1</f>
        <v>9</v>
      </c>
      <c r="I16" s="166">
        <v>88</v>
      </c>
      <c r="J16" s="168">
        <f>RANK(I16,$I$3:$I$16)+COUNTIF(I$3:$I16,I16)-1</f>
        <v>8</v>
      </c>
      <c r="K16" s="169">
        <f t="shared" si="0"/>
        <v>11.5</v>
      </c>
      <c r="L16" s="170">
        <f>RANK(K16,$K$3:$K$16,1)+COUNTIF(K$3:$K16,K16)-1</f>
        <v>11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8557-CD8A-4A89-9BCB-5BD4678BEFA5}">
  <dimension ref="A1:Y25"/>
  <sheetViews>
    <sheetView workbookViewId="0">
      <selection activeCell="F19" sqref="F19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10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19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572</v>
      </c>
      <c r="Q4" s="105">
        <v>489</v>
      </c>
      <c r="R4" s="123">
        <f>SUM(R5:R9)</f>
        <v>175</v>
      </c>
      <c r="S4" s="104" t="e">
        <f>#REF!</f>
        <v>#REF!</v>
      </c>
      <c r="T4" s="105">
        <v>185</v>
      </c>
      <c r="U4" s="101"/>
      <c r="V4" s="101"/>
      <c r="W4" s="101"/>
    </row>
    <row r="5" spans="1:25" x14ac:dyDescent="0.3">
      <c r="A5" s="43"/>
      <c r="B5" s="153" t="s">
        <v>61</v>
      </c>
      <c r="C5" s="153">
        <v>117</v>
      </c>
      <c r="D5" s="153" t="s">
        <v>59</v>
      </c>
      <c r="E5" s="154">
        <v>3</v>
      </c>
      <c r="F5" s="155"/>
      <c r="G5" s="156"/>
      <c r="H5" s="157"/>
      <c r="I5" s="156"/>
      <c r="J5" s="156"/>
      <c r="K5" s="158"/>
      <c r="L5" s="159"/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14</v>
      </c>
      <c r="B6" s="145" t="s">
        <v>27</v>
      </c>
      <c r="C6" s="116">
        <v>108</v>
      </c>
      <c r="D6" s="116" t="s">
        <v>16</v>
      </c>
      <c r="E6" s="160">
        <v>4</v>
      </c>
      <c r="F6" s="161">
        <v>142</v>
      </c>
      <c r="G6" s="117">
        <v>32</v>
      </c>
      <c r="H6" s="119">
        <f>RANK(G6,$G$3:$G$16)+COUNTIF(G$3:$G6,G6)-1</f>
        <v>10</v>
      </c>
      <c r="I6" s="117">
        <v>87</v>
      </c>
      <c r="J6" s="118">
        <f>RANK(I6,$I$3:$I$16)+COUNTIF(I$3:$I6,I6)-1</f>
        <v>4</v>
      </c>
      <c r="K6" s="120">
        <f t="shared" ref="K6:K16" si="0">(E6+J6)/2</f>
        <v>4</v>
      </c>
      <c r="L6" s="162">
        <f>RANK(K6,$K$3:$K$16,1)+COUNTIF(K$3:$K6,K6)-1</f>
        <v>1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43</v>
      </c>
      <c r="B7" s="144" t="s">
        <v>21</v>
      </c>
      <c r="C7" s="116">
        <v>107</v>
      </c>
      <c r="D7" s="116" t="s">
        <v>16</v>
      </c>
      <c r="E7" s="160">
        <v>5</v>
      </c>
      <c r="F7" s="161">
        <v>304</v>
      </c>
      <c r="G7" s="117">
        <v>40</v>
      </c>
      <c r="H7" s="119">
        <f>RANK(G7,$G$3:$G$16)+COUNTIF(G$3:$G7,G7)-1</f>
        <v>9</v>
      </c>
      <c r="I7" s="117">
        <v>87</v>
      </c>
      <c r="J7" s="118">
        <f>RANK(I7,$I$3:$I$16)+COUNTIF(I$3:$I7,I7)-1</f>
        <v>5</v>
      </c>
      <c r="K7" s="120">
        <f t="shared" si="0"/>
        <v>5</v>
      </c>
      <c r="L7" s="162">
        <f>RANK(K7,$K$3:$K$16,1)+COUNTIF(K$3:$K7,K7)-1</f>
        <v>2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20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118</v>
      </c>
      <c r="G8" s="117">
        <v>28</v>
      </c>
      <c r="H8" s="119">
        <f>RANK(G8,$G$3:$G$16)+COUNTIF(G$3:$G8,G8)-1</f>
        <v>11</v>
      </c>
      <c r="I8" s="117">
        <v>86</v>
      </c>
      <c r="J8" s="118">
        <f>RANK(I8,$I$3:$I$16)+COUNTIF(I$3:$I8,I8)-1</f>
        <v>8</v>
      </c>
      <c r="K8" s="120">
        <f t="shared" si="0"/>
        <v>7</v>
      </c>
      <c r="L8" s="162">
        <f>RANK(K8,$K$3:$K$16,1)+COUNTIF(K$3:$K8,K8)-1</f>
        <v>5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674</v>
      </c>
      <c r="V8" s="101" t="e">
        <f>P4+S4</f>
        <v>#REF!</v>
      </c>
      <c r="W8" s="101"/>
    </row>
    <row r="9" spans="1:25" ht="15" thickBot="1" x14ac:dyDescent="0.35">
      <c r="A9" s="99" t="s">
        <v>14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310</v>
      </c>
      <c r="G9" s="117">
        <v>46</v>
      </c>
      <c r="H9" s="119">
        <f>RANK(G9,$G$3:$G$16)+COUNTIF(G$3:$G9,G9)-1</f>
        <v>8</v>
      </c>
      <c r="I9" s="117">
        <v>87</v>
      </c>
      <c r="J9" s="118">
        <f>RANK(I9,$I$3:$I$16)+COUNTIF(I$3:$I9,I9)-1</f>
        <v>6</v>
      </c>
      <c r="K9" s="120">
        <f t="shared" si="0"/>
        <v>6.5</v>
      </c>
      <c r="L9" s="162">
        <f>RANK(K9,$K$3:$K$16,1)+COUNTIF(K$3:$K9,K9)-1</f>
        <v>4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 t="e">
        <f>U8-V8</f>
        <v>#REF!</v>
      </c>
      <c r="W9" s="101"/>
    </row>
    <row r="10" spans="1:25" x14ac:dyDescent="0.3">
      <c r="A10" s="99" t="s">
        <v>20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538</v>
      </c>
      <c r="G10" s="117">
        <v>68</v>
      </c>
      <c r="H10" s="119">
        <f>RANK(G10,$G$3:$G$16)+COUNTIF(G$3:$G10,G10)-1</f>
        <v>4</v>
      </c>
      <c r="I10" s="117">
        <v>89</v>
      </c>
      <c r="J10" s="118">
        <f>RANK(I10,$I$3:$I$16)+COUNTIF(I$3:$I10,I10)-1</f>
        <v>2</v>
      </c>
      <c r="K10" s="120">
        <f t="shared" si="0"/>
        <v>5</v>
      </c>
      <c r="L10" s="162">
        <f>RANK(K10,$K$3:$K$16,1)+COUNTIF(K$3:$K10,K10)-1</f>
        <v>3</v>
      </c>
      <c r="W10" s="101"/>
    </row>
    <row r="11" spans="1:25" x14ac:dyDescent="0.3">
      <c r="A11" s="99" t="s">
        <v>20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354</v>
      </c>
      <c r="G11" s="117">
        <v>58</v>
      </c>
      <c r="H11" s="119">
        <f>RANK(G11,$G$3:$G$16)+COUNTIF(G$3:$G11,G11)-1</f>
        <v>6</v>
      </c>
      <c r="I11" s="117">
        <v>86</v>
      </c>
      <c r="J11" s="118">
        <f>RANK(I11,$I$3:$I$16)+COUNTIF(I$3:$I11,I11)-1</f>
        <v>9</v>
      </c>
      <c r="K11" s="120">
        <f t="shared" si="0"/>
        <v>9</v>
      </c>
      <c r="L11" s="162">
        <f>RANK(K11,$K$3:$K$16,1)+COUNTIF(K$3:$K11,K11)-1</f>
        <v>7</v>
      </c>
      <c r="W11" s="101"/>
    </row>
    <row r="12" spans="1:25" x14ac:dyDescent="0.3">
      <c r="A12" s="99" t="s">
        <v>14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184</v>
      </c>
      <c r="G12" s="117">
        <v>47</v>
      </c>
      <c r="H12" s="119">
        <f>RANK(G12,$G$3:$G$16)+COUNTIF(G$3:$G12,G12)-1</f>
        <v>7</v>
      </c>
      <c r="I12" s="117">
        <v>85</v>
      </c>
      <c r="J12" s="118">
        <f>RANK(I12,$I$3:$I$16)+COUNTIF(I$3:$I12,I12)-1</f>
        <v>11</v>
      </c>
      <c r="K12" s="120">
        <f t="shared" si="0"/>
        <v>11</v>
      </c>
      <c r="L12" s="162">
        <f>RANK(K12,$K$3:$K$16,1)+COUNTIF(K$3:$K12,K12)-1</f>
        <v>10</v>
      </c>
      <c r="W12" s="101"/>
    </row>
    <row r="13" spans="1:25" x14ac:dyDescent="0.3">
      <c r="A13" s="99" t="s">
        <v>20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402</v>
      </c>
      <c r="G13" s="117">
        <v>103</v>
      </c>
      <c r="H13" s="119">
        <f>RANK(G13,$G$3:$G$16)+COUNTIF(G$3:$G13,G13)-1</f>
        <v>2</v>
      </c>
      <c r="I13" s="117">
        <v>86</v>
      </c>
      <c r="J13" s="118">
        <f>RANK(I13,$I$3:$I$16)+COUNTIF(I$3:$I13,I13)-1</f>
        <v>10</v>
      </c>
      <c r="K13" s="120">
        <f t="shared" si="0"/>
        <v>11</v>
      </c>
      <c r="L13" s="162">
        <f>RANK(K13,$K$3:$K$16,1)+COUNTIF(K$3:$K13,K13)-1</f>
        <v>11</v>
      </c>
    </row>
    <row r="14" spans="1:25" x14ac:dyDescent="0.3">
      <c r="A14" s="99" t="s">
        <v>20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496</v>
      </c>
      <c r="G14" s="117">
        <v>109</v>
      </c>
      <c r="H14" s="119">
        <f>RANK(G14,$G$3:$G$16)+COUNTIF(G$3:$G14,G14)-1</f>
        <v>1</v>
      </c>
      <c r="I14" s="117">
        <v>87</v>
      </c>
      <c r="J14" s="118">
        <f>RANK(I14,$I$3:$I$16)+COUNTIF(I$3:$I14,I14)-1</f>
        <v>7</v>
      </c>
      <c r="K14" s="120">
        <f t="shared" si="0"/>
        <v>10</v>
      </c>
      <c r="L14" s="162">
        <f>RANK(K14,$K$3:$K$16,1)+COUNTIF(K$3:$K14,K14)-1</f>
        <v>9</v>
      </c>
    </row>
    <row r="15" spans="1:25" x14ac:dyDescent="0.3">
      <c r="A15" s="99" t="s">
        <v>14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272</v>
      </c>
      <c r="G15" s="117">
        <v>84</v>
      </c>
      <c r="H15" s="119">
        <f>RANK(G15,$G$3:$G$16)+COUNTIF(G$3:$G15,G15)-1</f>
        <v>3</v>
      </c>
      <c r="I15" s="117">
        <v>90</v>
      </c>
      <c r="J15" s="118">
        <f>RANK(I15,$I$3:$I$16)+COUNTIF(I$3:$I15,I15)-1</f>
        <v>1</v>
      </c>
      <c r="K15" s="120">
        <f t="shared" si="0"/>
        <v>7.5</v>
      </c>
      <c r="L15" s="162">
        <f>RANK(K15,$K$3:$K$16,1)+COUNTIF(K$3:$K15,K15)-1</f>
        <v>6</v>
      </c>
    </row>
    <row r="16" spans="1:25" ht="15" thickBot="1" x14ac:dyDescent="0.35">
      <c r="A16" s="100" t="s">
        <v>20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356</v>
      </c>
      <c r="G16" s="166">
        <v>59</v>
      </c>
      <c r="H16" s="167">
        <f>RANK(G16,$G$3:$G$16)+COUNTIF(G$3:$G16,G16)-1</f>
        <v>5</v>
      </c>
      <c r="I16" s="166">
        <v>88</v>
      </c>
      <c r="J16" s="168">
        <f>RANK(I16,$I$3:$I$16)+COUNTIF(I$3:$I16,I16)-1</f>
        <v>3</v>
      </c>
      <c r="K16" s="169">
        <f t="shared" si="0"/>
        <v>9</v>
      </c>
      <c r="L16" s="170">
        <f>RANK(K16,$K$3:$K$16,1)+COUNTIF(K$3:$K16,K16)-1</f>
        <v>8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9D5E-4437-41AE-A85A-666C79C67648}">
  <dimension ref="A1:Y25"/>
  <sheetViews>
    <sheetView workbookViewId="0">
      <selection activeCell="F18" sqref="F18:F19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09" t="s">
        <v>0</v>
      </c>
      <c r="B1" s="207" t="s">
        <v>1</v>
      </c>
      <c r="C1" s="207" t="s">
        <v>2</v>
      </c>
      <c r="D1" s="211" t="s">
        <v>3</v>
      </c>
      <c r="E1" s="213" t="s">
        <v>4</v>
      </c>
      <c r="F1" s="211" t="s">
        <v>5</v>
      </c>
      <c r="G1" s="211" t="s">
        <v>6</v>
      </c>
      <c r="H1" s="215" t="s">
        <v>7</v>
      </c>
      <c r="I1" s="211" t="s">
        <v>8</v>
      </c>
      <c r="J1" s="217" t="s">
        <v>9</v>
      </c>
      <c r="K1" s="207" t="s">
        <v>10</v>
      </c>
      <c r="L1" s="207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10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19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489</v>
      </c>
      <c r="Q4" s="105">
        <v>545</v>
      </c>
      <c r="R4" s="123">
        <f>SUM(R5:R9)</f>
        <v>175</v>
      </c>
      <c r="S4" s="104">
        <v>185</v>
      </c>
      <c r="T4" s="105">
        <v>186</v>
      </c>
      <c r="U4" s="101"/>
      <c r="V4" s="101"/>
      <c r="W4" s="101"/>
    </row>
    <row r="5" spans="1:25" x14ac:dyDescent="0.3">
      <c r="A5" s="43"/>
      <c r="B5" s="153" t="s">
        <v>61</v>
      </c>
      <c r="C5" s="153">
        <v>117</v>
      </c>
      <c r="D5" s="153" t="s">
        <v>59</v>
      </c>
      <c r="E5" s="154">
        <v>3</v>
      </c>
      <c r="F5" s="155"/>
      <c r="G5" s="156"/>
      <c r="H5" s="157"/>
      <c r="I5" s="156"/>
      <c r="J5" s="156"/>
      <c r="K5" s="158"/>
      <c r="L5" s="159"/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20</v>
      </c>
      <c r="B6" s="145" t="s">
        <v>27</v>
      </c>
      <c r="C6" s="116">
        <v>108</v>
      </c>
      <c r="D6" s="116" t="s">
        <v>16</v>
      </c>
      <c r="E6" s="160">
        <v>4</v>
      </c>
      <c r="F6" s="161">
        <v>462</v>
      </c>
      <c r="G6" s="117">
        <v>86</v>
      </c>
      <c r="H6" s="119">
        <f>RANK(G6,$G$3:$G$16)+COUNTIF(G$3:$G6,G6)-1</f>
        <v>2</v>
      </c>
      <c r="I6" s="117">
        <v>88</v>
      </c>
      <c r="J6" s="118">
        <f>RANK(I6,$I$3:$I$16)+COUNTIF(I$3:$I6,I6)-1</f>
        <v>1</v>
      </c>
      <c r="K6" s="120">
        <f t="shared" ref="K6:K16" si="0">(E6+J6)/2</f>
        <v>2.5</v>
      </c>
      <c r="L6" s="162">
        <f>RANK(K6,$K$3:$K$16,1)+COUNTIF(K$3:$K6,K6)-1</f>
        <v>1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20</v>
      </c>
      <c r="B7" s="144" t="s">
        <v>21</v>
      </c>
      <c r="C7" s="116">
        <v>107</v>
      </c>
      <c r="D7" s="116" t="s">
        <v>16</v>
      </c>
      <c r="E7" s="160">
        <v>5</v>
      </c>
      <c r="F7" s="161">
        <v>374</v>
      </c>
      <c r="G7" s="117">
        <v>59</v>
      </c>
      <c r="H7" s="119">
        <f>RANK(G7,$G$3:$G$16)+COUNTIF(G$3:$G7,G7)-1</f>
        <v>6</v>
      </c>
      <c r="I7" s="117">
        <v>87</v>
      </c>
      <c r="J7" s="118">
        <f>RANK(I7,$I$3:$I$16)+COUNTIF(I$3:$I7,I7)-1</f>
        <v>5</v>
      </c>
      <c r="K7" s="120">
        <f t="shared" si="0"/>
        <v>5</v>
      </c>
      <c r="L7" s="162">
        <f>RANK(K7,$K$3:$K$16,1)+COUNTIF(K$3:$K7,K7)-1</f>
        <v>2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43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134</v>
      </c>
      <c r="G8" s="117">
        <v>27</v>
      </c>
      <c r="H8" s="119">
        <f>RANK(G8,$G$3:$G$16)+COUNTIF(G$3:$G8,G8)-1</f>
        <v>11</v>
      </c>
      <c r="I8" s="117">
        <v>86</v>
      </c>
      <c r="J8" s="118">
        <f>RANK(I8,$I$3:$I$16)+COUNTIF(I$3:$I8,I8)-1</f>
        <v>9</v>
      </c>
      <c r="K8" s="120">
        <f t="shared" si="0"/>
        <v>7.5</v>
      </c>
      <c r="L8" s="162">
        <f>RANK(K8,$K$3:$K$16,1)+COUNTIF(K$3:$K8,K8)-1</f>
        <v>6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731</v>
      </c>
      <c r="V8" s="101">
        <f>P4+S4</f>
        <v>674</v>
      </c>
      <c r="W8" s="101"/>
    </row>
    <row r="9" spans="1:25" ht="15" thickBot="1" x14ac:dyDescent="0.35">
      <c r="A9" s="99" t="s">
        <v>20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360</v>
      </c>
      <c r="G9" s="117">
        <v>59</v>
      </c>
      <c r="H9" s="119">
        <f>RANK(G9,$G$3:$G$16)+COUNTIF(G$3:$G9,G9)-1</f>
        <v>7</v>
      </c>
      <c r="I9" s="117">
        <v>87</v>
      </c>
      <c r="J9" s="118">
        <f>RANK(I9,$I$3:$I$16)+COUNTIF(I$3:$I9,I9)-1</f>
        <v>6</v>
      </c>
      <c r="K9" s="120">
        <f t="shared" si="0"/>
        <v>6.5</v>
      </c>
      <c r="L9" s="162">
        <f>RANK(K9,$K$3:$K$16,1)+COUNTIF(K$3:$K9,K9)-1</f>
        <v>4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57</v>
      </c>
      <c r="W9" s="101"/>
    </row>
    <row r="10" spans="1:25" x14ac:dyDescent="0.3">
      <c r="A10" s="99" t="s">
        <v>43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340</v>
      </c>
      <c r="G10" s="117">
        <v>102</v>
      </c>
      <c r="H10" s="119">
        <f>RANK(G10,$G$3:$G$16)+COUNTIF(G$3:$G10,G10)-1</f>
        <v>1</v>
      </c>
      <c r="I10" s="117">
        <v>88</v>
      </c>
      <c r="J10" s="118">
        <f>RANK(I10,$I$3:$I$16)+COUNTIF(I$3:$I10,I10)-1</f>
        <v>2</v>
      </c>
      <c r="K10" s="120">
        <f t="shared" si="0"/>
        <v>5</v>
      </c>
      <c r="L10" s="162">
        <f>RANK(K10,$K$3:$K$16,1)+COUNTIF(K$3:$K10,K10)-1</f>
        <v>3</v>
      </c>
      <c r="W10" s="101"/>
    </row>
    <row r="11" spans="1:25" x14ac:dyDescent="0.3">
      <c r="A11" s="99" t="s">
        <v>43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318</v>
      </c>
      <c r="G11" s="117">
        <v>41</v>
      </c>
      <c r="H11" s="119">
        <f>RANK(G11,$G$3:$G$16)+COUNTIF(G$3:$G11,G11)-1</f>
        <v>10</v>
      </c>
      <c r="I11" s="117">
        <v>87</v>
      </c>
      <c r="J11" s="118">
        <f>RANK(I11,$I$3:$I$16)+COUNTIF(I$3:$I11,I11)-1</f>
        <v>7</v>
      </c>
      <c r="K11" s="120">
        <f t="shared" si="0"/>
        <v>8</v>
      </c>
      <c r="L11" s="162">
        <f>RANK(K11,$K$3:$K$16,1)+COUNTIF(K$3:$K11,K11)-1</f>
        <v>7</v>
      </c>
      <c r="W11" s="101"/>
    </row>
    <row r="12" spans="1:25" x14ac:dyDescent="0.3">
      <c r="A12" s="99" t="s">
        <v>20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240</v>
      </c>
      <c r="G12" s="117">
        <v>77</v>
      </c>
      <c r="H12" s="119">
        <f>RANK(G12,$G$3:$G$16)+COUNTIF(G$3:$G12,G12)-1</f>
        <v>5</v>
      </c>
      <c r="I12" s="117">
        <v>88</v>
      </c>
      <c r="J12" s="118">
        <f>RANK(I12,$I$3:$I$16)+COUNTIF(I$3:$I12,I12)-1</f>
        <v>3</v>
      </c>
      <c r="K12" s="120">
        <f t="shared" si="0"/>
        <v>7</v>
      </c>
      <c r="L12" s="162">
        <f>RANK(K12,$K$3:$K$16,1)+COUNTIF(K$3:$K12,K12)-1</f>
        <v>5</v>
      </c>
      <c r="W12" s="101"/>
    </row>
    <row r="13" spans="1:25" x14ac:dyDescent="0.3">
      <c r="A13" s="99" t="s">
        <v>43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310</v>
      </c>
      <c r="G13" s="117">
        <v>82</v>
      </c>
      <c r="H13" s="119">
        <f>RANK(G13,$G$3:$G$16)+COUNTIF(G$3:$G13,G13)-1</f>
        <v>4</v>
      </c>
      <c r="I13" s="117">
        <v>86</v>
      </c>
      <c r="J13" s="118">
        <f>RANK(I13,$I$3:$I$16)+COUNTIF(I$3:$I13,I13)-1</f>
        <v>10</v>
      </c>
      <c r="K13" s="120">
        <f t="shared" si="0"/>
        <v>11</v>
      </c>
      <c r="L13" s="162">
        <f>RANK(K13,$K$3:$K$16,1)+COUNTIF(K$3:$K13,K13)-1</f>
        <v>9</v>
      </c>
    </row>
    <row r="14" spans="1:25" x14ac:dyDescent="0.3">
      <c r="A14" s="99" t="s">
        <v>43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462</v>
      </c>
      <c r="G14" s="117">
        <v>86</v>
      </c>
      <c r="H14" s="119">
        <f>RANK(G14,$G$3:$G$16)+COUNTIF(G$3:$G14,G14)-1</f>
        <v>3</v>
      </c>
      <c r="I14" s="117">
        <v>88</v>
      </c>
      <c r="J14" s="118">
        <f>RANK(I14,$I$3:$I$16)+COUNTIF(I$3:$I14,I14)-1</f>
        <v>4</v>
      </c>
      <c r="K14" s="120">
        <f t="shared" si="0"/>
        <v>8.5</v>
      </c>
      <c r="L14" s="162">
        <f>RANK(K14,$K$3:$K$16,1)+COUNTIF(K$3:$K14,K14)-1</f>
        <v>8</v>
      </c>
    </row>
    <row r="15" spans="1:25" x14ac:dyDescent="0.3">
      <c r="A15" s="99" t="s">
        <v>20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340</v>
      </c>
      <c r="G15" s="117">
        <v>53</v>
      </c>
      <c r="H15" s="119">
        <f>RANK(G15,$G$3:$G$16)+COUNTIF(G$3:$G15,G15)-1</f>
        <v>9</v>
      </c>
      <c r="I15" s="117">
        <v>87</v>
      </c>
      <c r="J15" s="118">
        <f>RANK(I15,$I$3:$I$16)+COUNTIF(I$3:$I15,I15)-1</f>
        <v>8</v>
      </c>
      <c r="K15" s="120">
        <f t="shared" si="0"/>
        <v>11</v>
      </c>
      <c r="L15" s="162">
        <f>RANK(K15,$K$3:$K$16,1)+COUNTIF(K$3:$K15,K15)-1</f>
        <v>10</v>
      </c>
    </row>
    <row r="16" spans="1:25" ht="15" thickBot="1" x14ac:dyDescent="0.35">
      <c r="A16" s="100" t="s">
        <v>20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374</v>
      </c>
      <c r="G16" s="166">
        <v>59</v>
      </c>
      <c r="H16" s="167">
        <f>RANK(G16,$G$3:$G$16)+COUNTIF(G$3:$G16,G16)-1</f>
        <v>8</v>
      </c>
      <c r="I16" s="166">
        <v>86</v>
      </c>
      <c r="J16" s="168">
        <f>RANK(I16,$I$3:$I$16)+COUNTIF(I$3:$I16,I16)-1</f>
        <v>11</v>
      </c>
      <c r="K16" s="169">
        <f t="shared" si="0"/>
        <v>13</v>
      </c>
      <c r="L16" s="170">
        <f>RANK(K16,$K$3:$K$16,1)+COUNTIF(K$3:$K16,K16)-1</f>
        <v>11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AF1B-1FAE-4BEF-AA62-6F9D85318E5D}">
  <dimension ref="A1:Y25"/>
  <sheetViews>
    <sheetView workbookViewId="0">
      <selection activeCell="H22" sqref="H22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26" t="s">
        <v>0</v>
      </c>
      <c r="B1" s="228" t="s">
        <v>1</v>
      </c>
      <c r="C1" s="228" t="s">
        <v>2</v>
      </c>
      <c r="D1" s="229" t="s">
        <v>3</v>
      </c>
      <c r="E1" s="230" t="s">
        <v>4</v>
      </c>
      <c r="F1" s="229" t="s">
        <v>5</v>
      </c>
      <c r="G1" s="229" t="s">
        <v>6</v>
      </c>
      <c r="H1" s="231" t="s">
        <v>7</v>
      </c>
      <c r="I1" s="229" t="s">
        <v>8</v>
      </c>
      <c r="J1" s="232" t="s">
        <v>9</v>
      </c>
      <c r="K1" s="228" t="s">
        <v>10</v>
      </c>
      <c r="L1" s="224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27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25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545</v>
      </c>
      <c r="Q4" s="105">
        <v>544</v>
      </c>
      <c r="R4" s="123">
        <f>SUM(R5:R9)</f>
        <v>175</v>
      </c>
      <c r="S4" s="104">
        <v>186</v>
      </c>
      <c r="T4" s="105">
        <v>194</v>
      </c>
      <c r="U4" s="101"/>
      <c r="V4" s="101"/>
      <c r="W4" s="101"/>
    </row>
    <row r="5" spans="1:25" x14ac:dyDescent="0.3">
      <c r="A5" s="99" t="s">
        <v>14</v>
      </c>
      <c r="B5" s="144" t="s">
        <v>61</v>
      </c>
      <c r="C5" s="171">
        <v>117</v>
      </c>
      <c r="D5" s="171" t="s">
        <v>59</v>
      </c>
      <c r="E5" s="190">
        <v>3</v>
      </c>
      <c r="F5" s="186">
        <v>80</v>
      </c>
      <c r="G5" s="187">
        <v>30</v>
      </c>
      <c r="H5" s="119">
        <f>RANK(G5,$G$3:$G$16)+COUNTIF(G$3:$G5,G5)-1</f>
        <v>12</v>
      </c>
      <c r="I5" s="187">
        <v>88</v>
      </c>
      <c r="J5" s="118">
        <f>RANK(I5,$I$3:$I$16)+COUNTIF(I$3:$I5,I5)-1</f>
        <v>1</v>
      </c>
      <c r="K5" s="188"/>
      <c r="L5" s="189"/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43</v>
      </c>
      <c r="B6" s="145" t="s">
        <v>27</v>
      </c>
      <c r="C6" s="116">
        <v>108</v>
      </c>
      <c r="D6" s="116" t="s">
        <v>16</v>
      </c>
      <c r="E6" s="160">
        <v>4</v>
      </c>
      <c r="F6" s="161">
        <v>100</v>
      </c>
      <c r="G6" s="117">
        <v>38</v>
      </c>
      <c r="H6" s="119">
        <f>RANK(G6,$G$3:$G$16)+COUNTIF(G$3:$G6,G6)-1</f>
        <v>10</v>
      </c>
      <c r="I6" s="117">
        <v>88</v>
      </c>
      <c r="J6" s="118">
        <f>RANK(I6,$I$3:$I$16)+COUNTIF(I$3:$I6,I6)-1</f>
        <v>2</v>
      </c>
      <c r="K6" s="120">
        <f t="shared" ref="K6:K16" si="0">(E6+J6)/2</f>
        <v>3</v>
      </c>
      <c r="L6" s="162">
        <f>RANK(K6,$K$3:$K$16,1)+COUNTIF(K$3:$K6,K6)-1</f>
        <v>1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43</v>
      </c>
      <c r="B7" s="144" t="s">
        <v>21</v>
      </c>
      <c r="C7" s="116">
        <v>107</v>
      </c>
      <c r="D7" s="116" t="s">
        <v>16</v>
      </c>
      <c r="E7" s="160">
        <v>5</v>
      </c>
      <c r="F7" s="161">
        <v>400</v>
      </c>
      <c r="G7" s="117">
        <v>82</v>
      </c>
      <c r="H7" s="119">
        <f>RANK(G7,$G$3:$G$16)+COUNTIF(G$3:$G7,G7)-1</f>
        <v>4</v>
      </c>
      <c r="I7" s="117">
        <v>87</v>
      </c>
      <c r="J7" s="118">
        <f>RANK(I7,$I$3:$I$16)+COUNTIF(I$3:$I7,I7)-1</f>
        <v>6</v>
      </c>
      <c r="K7" s="120">
        <f t="shared" si="0"/>
        <v>5.5</v>
      </c>
      <c r="L7" s="162">
        <f>RANK(K7,$K$3:$K$16,1)+COUNTIF(K$3:$K7,K7)-1</f>
        <v>2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43</v>
      </c>
      <c r="B8" s="171" t="s">
        <v>23</v>
      </c>
      <c r="C8" s="116">
        <v>106</v>
      </c>
      <c r="D8" s="116" t="s">
        <v>16</v>
      </c>
      <c r="E8" s="160">
        <v>6</v>
      </c>
      <c r="F8" s="161">
        <v>88</v>
      </c>
      <c r="G8" s="117">
        <v>38</v>
      </c>
      <c r="H8" s="119">
        <f>RANK(G8,$G$3:$G$16)+COUNTIF(G$3:$G8,G8)-1</f>
        <v>11</v>
      </c>
      <c r="I8" s="117">
        <v>86</v>
      </c>
      <c r="J8" s="118">
        <f>RANK(I8,$I$3:$I$16)+COUNTIF(I$3:$I8,I8)-1</f>
        <v>10</v>
      </c>
      <c r="K8" s="120">
        <f t="shared" si="0"/>
        <v>8</v>
      </c>
      <c r="L8" s="162">
        <f>RANK(K8,$K$3:$K$16,1)+COUNTIF(K$3:$K8,K8)-1</f>
        <v>6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738</v>
      </c>
      <c r="V8" s="101">
        <f>P4+S4</f>
        <v>731</v>
      </c>
      <c r="W8" s="101"/>
    </row>
    <row r="9" spans="1:25" ht="15" thickBot="1" x14ac:dyDescent="0.35">
      <c r="A9" s="99" t="s">
        <v>43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312</v>
      </c>
      <c r="G9" s="117">
        <v>72</v>
      </c>
      <c r="H9" s="119">
        <f>RANK(G9,$G$3:$G$16)+COUNTIF(G$3:$G9,G9)-1</f>
        <v>7</v>
      </c>
      <c r="I9" s="117">
        <v>87</v>
      </c>
      <c r="J9" s="118">
        <f>RANK(I9,$I$3:$I$16)+COUNTIF(I$3:$I9,I9)-1</f>
        <v>7</v>
      </c>
      <c r="K9" s="120">
        <f t="shared" si="0"/>
        <v>7</v>
      </c>
      <c r="L9" s="162">
        <f>RANK(K9,$K$3:$K$16,1)+COUNTIF(K$3:$K9,K9)-1</f>
        <v>4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7</v>
      </c>
      <c r="W9" s="101"/>
    </row>
    <row r="10" spans="1:25" x14ac:dyDescent="0.3">
      <c r="A10" s="99" t="s">
        <v>20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626</v>
      </c>
      <c r="G10" s="117">
        <v>118</v>
      </c>
      <c r="H10" s="119">
        <f>RANK(G10,$G$3:$G$16)+COUNTIF(G$3:$G10,G10)-1</f>
        <v>1</v>
      </c>
      <c r="I10" s="117">
        <v>88</v>
      </c>
      <c r="J10" s="118">
        <f>RANK(I10,$I$3:$I$16)+COUNTIF(I$3:$I10,I10)-1</f>
        <v>3</v>
      </c>
      <c r="K10" s="120">
        <f t="shared" si="0"/>
        <v>5.5</v>
      </c>
      <c r="L10" s="162">
        <f>RANK(K10,$K$3:$K$16,1)+COUNTIF(K$3:$K10,K10)-1</f>
        <v>3</v>
      </c>
      <c r="W10" s="101"/>
    </row>
    <row r="11" spans="1:25" x14ac:dyDescent="0.3">
      <c r="A11" s="99" t="s">
        <v>14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320</v>
      </c>
      <c r="G11" s="117">
        <v>73</v>
      </c>
      <c r="H11" s="119">
        <f>RANK(G11,$G$3:$G$16)+COUNTIF(G$3:$G11,G11)-1</f>
        <v>6</v>
      </c>
      <c r="I11" s="117">
        <v>87</v>
      </c>
      <c r="J11" s="118">
        <f>RANK(I11,$I$3:$I$16)+COUNTIF(I$3:$I11,I11)-1</f>
        <v>8</v>
      </c>
      <c r="K11" s="120">
        <f t="shared" si="0"/>
        <v>8.5</v>
      </c>
      <c r="L11" s="162">
        <f>RANK(K11,$K$3:$K$16,1)+COUNTIF(K$3:$K11,K11)-1</f>
        <v>7</v>
      </c>
      <c r="W11" s="101"/>
    </row>
    <row r="12" spans="1:25" x14ac:dyDescent="0.3">
      <c r="A12" s="99" t="s">
        <v>43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200</v>
      </c>
      <c r="G12" s="117">
        <v>66</v>
      </c>
      <c r="H12" s="119">
        <f>RANK(G12,$G$3:$G$16)+COUNTIF(G$3:$G12,G12)-1</f>
        <v>9</v>
      </c>
      <c r="I12" s="117">
        <v>88</v>
      </c>
      <c r="J12" s="118">
        <f>RANK(I12,$I$3:$I$16)+COUNTIF(I$3:$I12,I12)-1</f>
        <v>4</v>
      </c>
      <c r="K12" s="120">
        <f t="shared" si="0"/>
        <v>7.5</v>
      </c>
      <c r="L12" s="162">
        <f>RANK(K12,$K$3:$K$16,1)+COUNTIF(K$3:$K12,K12)-1</f>
        <v>5</v>
      </c>
      <c r="W12" s="101"/>
    </row>
    <row r="13" spans="1:25" x14ac:dyDescent="0.3">
      <c r="A13" s="99" t="s">
        <v>20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454</v>
      </c>
      <c r="G13" s="117">
        <v>108</v>
      </c>
      <c r="H13" s="119">
        <f>RANK(G13,$G$3:$G$16)+COUNTIF(G$3:$G13,G13)-1</f>
        <v>2</v>
      </c>
      <c r="I13" s="117">
        <v>86</v>
      </c>
      <c r="J13" s="118">
        <f>RANK(I13,$I$3:$I$16)+COUNTIF(I$3:$I13,I13)-1</f>
        <v>11</v>
      </c>
      <c r="K13" s="120">
        <f t="shared" si="0"/>
        <v>11.5</v>
      </c>
      <c r="L13" s="162">
        <f>RANK(K13,$K$3:$K$16,1)+COUNTIF(K$3:$K13,K13)-1</f>
        <v>9</v>
      </c>
    </row>
    <row r="14" spans="1:25" x14ac:dyDescent="0.3">
      <c r="A14" s="99" t="s">
        <v>20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610</v>
      </c>
      <c r="G14" s="117">
        <v>68</v>
      </c>
      <c r="H14" s="119">
        <f>RANK(G14,$G$3:$G$16)+COUNTIF(G$3:$G14,G14)-1</f>
        <v>8</v>
      </c>
      <c r="I14" s="117">
        <v>88</v>
      </c>
      <c r="J14" s="118">
        <f>RANK(I14,$I$3:$I$16)+COUNTIF(I$3:$I14,I14)-1</f>
        <v>5</v>
      </c>
      <c r="K14" s="120">
        <f t="shared" si="0"/>
        <v>9</v>
      </c>
      <c r="L14" s="162">
        <f>RANK(K14,$K$3:$K$16,1)+COUNTIF(K$3:$K14,K14)-1</f>
        <v>8</v>
      </c>
    </row>
    <row r="15" spans="1:25" x14ac:dyDescent="0.3">
      <c r="A15" s="99" t="s">
        <v>43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232</v>
      </c>
      <c r="G15" s="117">
        <v>74</v>
      </c>
      <c r="H15" s="119">
        <f>RANK(G15,$G$3:$G$16)+COUNTIF(G$3:$G15,G15)-1</f>
        <v>5</v>
      </c>
      <c r="I15" s="117">
        <v>87</v>
      </c>
      <c r="J15" s="118">
        <f>RANK(I15,$I$3:$I$16)+COUNTIF(I$3:$I15,I15)-1</f>
        <v>9</v>
      </c>
      <c r="K15" s="120">
        <f t="shared" si="0"/>
        <v>11.5</v>
      </c>
      <c r="L15" s="162">
        <f>RANK(K15,$K$3:$K$16,1)+COUNTIF(K$3:$K15,K15)-1</f>
        <v>10</v>
      </c>
    </row>
    <row r="16" spans="1:25" ht="15" thickBot="1" x14ac:dyDescent="0.35">
      <c r="A16" s="100" t="s">
        <v>43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400</v>
      </c>
      <c r="G16" s="166">
        <v>86</v>
      </c>
      <c r="H16" s="167">
        <f>RANK(G16,$G$3:$G$16)+COUNTIF(G$3:$G16,G16)-1</f>
        <v>3</v>
      </c>
      <c r="I16" s="166">
        <v>86</v>
      </c>
      <c r="J16" s="168">
        <f>RANK(I16,$I$3:$I$16)+COUNTIF(I$3:$I16,I16)-1</f>
        <v>12</v>
      </c>
      <c r="K16" s="169">
        <f t="shared" si="0"/>
        <v>13.5</v>
      </c>
      <c r="L16" s="170">
        <f>RANK(K16,$K$3:$K$16,1)+COUNTIF(K$3:$K16,K16)-1</f>
        <v>11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61B-26C0-4F14-A8BD-B6F35E40E8AB}">
  <dimension ref="A1:Y25"/>
  <sheetViews>
    <sheetView workbookViewId="0">
      <selection activeCell="S5" sqref="S5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26" t="s">
        <v>0</v>
      </c>
      <c r="B1" s="228" t="s">
        <v>1</v>
      </c>
      <c r="C1" s="228" t="s">
        <v>2</v>
      </c>
      <c r="D1" s="229" t="s">
        <v>3</v>
      </c>
      <c r="E1" s="230" t="s">
        <v>4</v>
      </c>
      <c r="F1" s="229" t="s">
        <v>5</v>
      </c>
      <c r="G1" s="229" t="s">
        <v>6</v>
      </c>
      <c r="H1" s="231" t="s">
        <v>7</v>
      </c>
      <c r="I1" s="229" t="s">
        <v>8</v>
      </c>
      <c r="J1" s="232" t="s">
        <v>9</v>
      </c>
      <c r="K1" s="228" t="s">
        <v>10</v>
      </c>
      <c r="L1" s="224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27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25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544</v>
      </c>
      <c r="Q4" s="105">
        <v>504</v>
      </c>
      <c r="R4" s="123">
        <f>SUM(R5:R9)</f>
        <v>175</v>
      </c>
      <c r="S4" s="104">
        <v>194</v>
      </c>
      <c r="T4" s="105">
        <v>237</v>
      </c>
      <c r="U4" s="101"/>
      <c r="V4" s="101"/>
      <c r="W4" s="101"/>
    </row>
    <row r="5" spans="1:25" x14ac:dyDescent="0.3">
      <c r="A5" s="99" t="s">
        <v>20</v>
      </c>
      <c r="B5" s="144" t="s">
        <v>61</v>
      </c>
      <c r="C5" s="171">
        <v>117</v>
      </c>
      <c r="D5" s="171" t="s">
        <v>59</v>
      </c>
      <c r="E5" s="160">
        <v>3</v>
      </c>
      <c r="F5" s="161">
        <v>154</v>
      </c>
      <c r="G5" s="117">
        <v>77</v>
      </c>
      <c r="H5" s="119">
        <f>RANK(G5,$G$3:$G$16)+COUNTIF(G$3:$G5,G5)-1</f>
        <v>4</v>
      </c>
      <c r="I5" s="117">
        <v>87</v>
      </c>
      <c r="J5" s="118">
        <f>RANK(I5,$I$3:$I$16)+COUNTIF(I$3:$I5,I5)-1</f>
        <v>5</v>
      </c>
      <c r="K5" s="120">
        <f>(E5+J5)/2</f>
        <v>4</v>
      </c>
      <c r="L5" s="162">
        <f>RANK(K5,$K$3:$K$16,1)+COUNTIF(K$3:$K5,K5)-1</f>
        <v>2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20</v>
      </c>
      <c r="B6" s="145" t="s">
        <v>27</v>
      </c>
      <c r="C6" s="116">
        <v>108</v>
      </c>
      <c r="D6" s="116" t="s">
        <v>16</v>
      </c>
      <c r="E6" s="160">
        <v>4</v>
      </c>
      <c r="F6" s="161">
        <v>134</v>
      </c>
      <c r="G6" s="117">
        <v>37</v>
      </c>
      <c r="H6" s="119">
        <f>RANK(G6,$G$3:$G$16)+COUNTIF(G$3:$G6,G6)-1</f>
        <v>10</v>
      </c>
      <c r="I6" s="117">
        <v>88</v>
      </c>
      <c r="J6" s="118">
        <f>RANK(I6,$I$3:$I$16)+COUNTIF(I$3:$I6,I6)-1</f>
        <v>1</v>
      </c>
      <c r="K6" s="120">
        <f t="shared" ref="K6:K16" si="0">(E6+J6)/2</f>
        <v>2.5</v>
      </c>
      <c r="L6" s="162">
        <f>RANK(K6,$K$3:$K$16,1)+COUNTIF(K$3:$K6,K6)-1</f>
        <v>1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20</v>
      </c>
      <c r="B7" s="145" t="s">
        <v>21</v>
      </c>
      <c r="C7" s="116">
        <v>107</v>
      </c>
      <c r="D7" s="116" t="s">
        <v>16</v>
      </c>
      <c r="E7" s="160">
        <v>5</v>
      </c>
      <c r="F7" s="161">
        <v>360</v>
      </c>
      <c r="G7" s="117">
        <v>33</v>
      </c>
      <c r="H7" s="119">
        <f>RANK(G7,$G$3:$G$16)+COUNTIF(G$3:$G7,G7)-1</f>
        <v>12</v>
      </c>
      <c r="I7" s="117">
        <v>87</v>
      </c>
      <c r="J7" s="118">
        <f>RANK(I7,$I$3:$I$16)+COUNTIF(I$3:$I7,I7)-1</f>
        <v>6</v>
      </c>
      <c r="K7" s="120">
        <f t="shared" si="0"/>
        <v>5.5</v>
      </c>
      <c r="L7" s="162">
        <f>RANK(K7,$K$3:$K$16,1)+COUNTIF(K$3:$K7,K7)-1</f>
        <v>4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14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88</v>
      </c>
      <c r="G8" s="117">
        <v>38</v>
      </c>
      <c r="H8" s="119">
        <f>RANK(G8,$G$3:$G$16)+COUNTIF(G$3:$G8,G8)-1</f>
        <v>9</v>
      </c>
      <c r="I8" s="117">
        <v>86</v>
      </c>
      <c r="J8" s="118">
        <f>RANK(I8,$I$3:$I$16)+COUNTIF(I$3:$I8,I8)-1</f>
        <v>10</v>
      </c>
      <c r="K8" s="120">
        <f t="shared" si="0"/>
        <v>8</v>
      </c>
      <c r="L8" s="162">
        <f>RANK(K8,$K$3:$K$16,1)+COUNTIF(K$3:$K8,K8)-1</f>
        <v>7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741</v>
      </c>
      <c r="V8" s="101">
        <f>P4+S4</f>
        <v>738</v>
      </c>
      <c r="W8" s="101"/>
    </row>
    <row r="9" spans="1:25" ht="15" thickBot="1" x14ac:dyDescent="0.35">
      <c r="A9" s="99" t="s">
        <v>20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296</v>
      </c>
      <c r="G9" s="117">
        <v>37</v>
      </c>
      <c r="H9" s="119">
        <f>RANK(G9,$G$3:$G$16)+COUNTIF(G$3:$G9,G9)-1</f>
        <v>11</v>
      </c>
      <c r="I9" s="117">
        <v>87</v>
      </c>
      <c r="J9" s="118">
        <f>RANK(I9,$I$3:$I$16)+COUNTIF(I$3:$I9,I9)-1</f>
        <v>7</v>
      </c>
      <c r="K9" s="120">
        <f t="shared" si="0"/>
        <v>7</v>
      </c>
      <c r="L9" s="162">
        <f>RANK(K9,$K$3:$K$16,1)+COUNTIF(K$3:$K9,K9)-1</f>
        <v>5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3</v>
      </c>
      <c r="W9" s="101"/>
    </row>
    <row r="10" spans="1:25" x14ac:dyDescent="0.3">
      <c r="A10" s="99" t="s">
        <v>14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504</v>
      </c>
      <c r="G10" s="117">
        <v>76</v>
      </c>
      <c r="H10" s="119">
        <f>RANK(G10,$G$3:$G$16)+COUNTIF(G$3:$G10,G10)-1</f>
        <v>5</v>
      </c>
      <c r="I10" s="117">
        <v>88</v>
      </c>
      <c r="J10" s="118">
        <f>RANK(I10,$I$3:$I$16)+COUNTIF(I$3:$I10,I10)-1</f>
        <v>2</v>
      </c>
      <c r="K10" s="120">
        <f t="shared" si="0"/>
        <v>5</v>
      </c>
      <c r="L10" s="162">
        <f>RANK(K10,$K$3:$K$16,1)+COUNTIF(K$3:$K10,K10)-1</f>
        <v>3</v>
      </c>
      <c r="W10" s="101"/>
    </row>
    <row r="11" spans="1:25" x14ac:dyDescent="0.3">
      <c r="A11" s="99" t="s">
        <v>20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262</v>
      </c>
      <c r="G11" s="117">
        <v>42</v>
      </c>
      <c r="H11" s="119">
        <f>RANK(G11,$G$3:$G$16)+COUNTIF(G$3:$G11,G11)-1</f>
        <v>8</v>
      </c>
      <c r="I11" s="117">
        <v>87</v>
      </c>
      <c r="J11" s="118">
        <f>RANK(I11,$I$3:$I$16)+COUNTIF(I$3:$I11,I11)-1</f>
        <v>8</v>
      </c>
      <c r="K11" s="120">
        <f t="shared" si="0"/>
        <v>8.5</v>
      </c>
      <c r="L11" s="162">
        <f>RANK(K11,$K$3:$K$16,1)+COUNTIF(K$3:$K11,K11)-1</f>
        <v>8</v>
      </c>
      <c r="W11" s="101"/>
    </row>
    <row r="12" spans="1:25" x14ac:dyDescent="0.3">
      <c r="A12" s="99" t="s">
        <v>20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200</v>
      </c>
      <c r="G12" s="117">
        <v>75</v>
      </c>
      <c r="H12" s="119">
        <f>RANK(G12,$G$3:$G$16)+COUNTIF(G$3:$G12,G12)-1</f>
        <v>6</v>
      </c>
      <c r="I12" s="117">
        <v>88</v>
      </c>
      <c r="J12" s="118">
        <f>RANK(I12,$I$3:$I$16)+COUNTIF(I$3:$I12,I12)-1</f>
        <v>3</v>
      </c>
      <c r="K12" s="120">
        <f t="shared" si="0"/>
        <v>7</v>
      </c>
      <c r="L12" s="162">
        <f>RANK(K12,$K$3:$K$16,1)+COUNTIF(K$3:$K12,K12)-1</f>
        <v>6</v>
      </c>
      <c r="W12" s="101"/>
    </row>
    <row r="13" spans="1:25" x14ac:dyDescent="0.3">
      <c r="A13" s="99" t="s">
        <v>14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310</v>
      </c>
      <c r="G13" s="117">
        <v>86</v>
      </c>
      <c r="H13" s="119">
        <f>RANK(G13,$G$3:$G$16)+COUNTIF(G$3:$G13,G13)-1</f>
        <v>2</v>
      </c>
      <c r="I13" s="117">
        <v>86</v>
      </c>
      <c r="J13" s="118">
        <f>RANK(I13,$I$3:$I$16)+COUNTIF(I$3:$I13,I13)-1</f>
        <v>11</v>
      </c>
      <c r="K13" s="120">
        <f t="shared" si="0"/>
        <v>11.5</v>
      </c>
      <c r="L13" s="162">
        <f>RANK(K13,$K$3:$K$16,1)+COUNTIF(K$3:$K13,K13)-1</f>
        <v>10</v>
      </c>
    </row>
    <row r="14" spans="1:25" x14ac:dyDescent="0.3">
      <c r="A14" s="99" t="s">
        <v>14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466</v>
      </c>
      <c r="G14" s="117">
        <v>95</v>
      </c>
      <c r="H14" s="119">
        <f>RANK(G14,$G$3:$G$16)+COUNTIF(G$3:$G14,G14)-1</f>
        <v>1</v>
      </c>
      <c r="I14" s="117">
        <v>88</v>
      </c>
      <c r="J14" s="118">
        <f>RANK(I14,$I$3:$I$16)+COUNTIF(I$3:$I14,I14)-1</f>
        <v>4</v>
      </c>
      <c r="K14" s="120">
        <f t="shared" si="0"/>
        <v>8.5</v>
      </c>
      <c r="L14" s="162">
        <f>RANK(K14,$K$3:$K$16,1)+COUNTIF(K$3:$K14,K14)-1</f>
        <v>9</v>
      </c>
    </row>
    <row r="15" spans="1:25" x14ac:dyDescent="0.3">
      <c r="A15" s="99" t="s">
        <v>20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250</v>
      </c>
      <c r="G15" s="117">
        <v>65</v>
      </c>
      <c r="H15" s="119">
        <f>RANK(G15,$G$3:$G$16)+COUNTIF(G$3:$G15,G15)-1</f>
        <v>7</v>
      </c>
      <c r="I15" s="117">
        <v>87</v>
      </c>
      <c r="J15" s="118">
        <f>RANK(I15,$I$3:$I$16)+COUNTIF(I$3:$I15,I15)-1</f>
        <v>9</v>
      </c>
      <c r="K15" s="120">
        <f t="shared" si="0"/>
        <v>11.5</v>
      </c>
      <c r="L15" s="162">
        <f>RANK(K15,$K$3:$K$16,1)+COUNTIF(K$3:$K15,K15)-1</f>
        <v>11</v>
      </c>
    </row>
    <row r="16" spans="1:25" ht="15" thickBot="1" x14ac:dyDescent="0.35">
      <c r="A16" s="100" t="s">
        <v>14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288</v>
      </c>
      <c r="G16" s="166">
        <v>80</v>
      </c>
      <c r="H16" s="167">
        <f>RANK(G16,$G$3:$G$16)+COUNTIF(G$3:$G16,G16)-1</f>
        <v>3</v>
      </c>
      <c r="I16" s="166">
        <v>86</v>
      </c>
      <c r="J16" s="168">
        <f>RANK(I16,$I$3:$I$16)+COUNTIF(I$3:$I16,I16)-1</f>
        <v>12</v>
      </c>
      <c r="K16" s="169">
        <f t="shared" si="0"/>
        <v>13.5</v>
      </c>
      <c r="L16" s="170">
        <f>RANK(K16,$K$3:$K$16,1)+COUNTIF(K$3:$K16,K16)-1</f>
        <v>12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2185-6E4E-4195-8E6D-B5E2FF1746FE}">
  <dimension ref="A1:Y25"/>
  <sheetViews>
    <sheetView workbookViewId="0">
      <selection activeCell="I17" sqref="I17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26" t="s">
        <v>0</v>
      </c>
      <c r="B1" s="228" t="s">
        <v>1</v>
      </c>
      <c r="C1" s="228" t="s">
        <v>2</v>
      </c>
      <c r="D1" s="229" t="s">
        <v>3</v>
      </c>
      <c r="E1" s="230" t="s">
        <v>4</v>
      </c>
      <c r="F1" s="229" t="s">
        <v>5</v>
      </c>
      <c r="G1" s="229" t="s">
        <v>6</v>
      </c>
      <c r="H1" s="231" t="s">
        <v>7</v>
      </c>
      <c r="I1" s="229" t="s">
        <v>8</v>
      </c>
      <c r="J1" s="232" t="s">
        <v>9</v>
      </c>
      <c r="K1" s="228" t="s">
        <v>10</v>
      </c>
      <c r="L1" s="224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27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25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544</v>
      </c>
      <c r="Q4" s="105">
        <v>563</v>
      </c>
      <c r="R4" s="123">
        <f>SUM(R5:R9)</f>
        <v>175</v>
      </c>
      <c r="S4" s="104">
        <v>237</v>
      </c>
      <c r="T4" s="105">
        <v>217</v>
      </c>
      <c r="U4" s="101"/>
      <c r="V4" s="101"/>
      <c r="W4" s="101"/>
    </row>
    <row r="5" spans="1:25" x14ac:dyDescent="0.3">
      <c r="A5" s="99" t="s">
        <v>43</v>
      </c>
      <c r="B5" s="144" t="s">
        <v>61</v>
      </c>
      <c r="C5" s="171">
        <v>117</v>
      </c>
      <c r="D5" s="171" t="s">
        <v>59</v>
      </c>
      <c r="E5" s="160">
        <v>3</v>
      </c>
      <c r="F5" s="186">
        <v>170</v>
      </c>
      <c r="G5" s="187">
        <v>51</v>
      </c>
      <c r="H5" s="119">
        <f>RANK(G5,$G$3:$G$16)+COUNTIF(G$3:$G5,G5)-1</f>
        <v>9</v>
      </c>
      <c r="I5" s="187">
        <v>88</v>
      </c>
      <c r="J5" s="118">
        <f>RANK(I5,$I$3:$I$16)+COUNTIF(I$3:$I5,I5)-1</f>
        <v>5</v>
      </c>
      <c r="K5" s="120">
        <f t="shared" ref="K5:K16" si="0">(E5+J5)/2</f>
        <v>4</v>
      </c>
      <c r="L5" s="162">
        <f>RANK(K5,$K$3:$K$16,1)+COUNTIF(K$3:$K5,K5)-1</f>
        <v>2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20</v>
      </c>
      <c r="B6" s="171" t="s">
        <v>27</v>
      </c>
      <c r="C6" s="116">
        <v>108</v>
      </c>
      <c r="D6" s="116" t="s">
        <v>16</v>
      </c>
      <c r="E6" s="160">
        <v>4</v>
      </c>
      <c r="F6" s="161">
        <v>134</v>
      </c>
      <c r="G6" s="117">
        <v>37</v>
      </c>
      <c r="H6" s="119">
        <f>RANK(G6,$G$3:$G$16)+COUNTIF(G$3:$G6,G6)-1</f>
        <v>12</v>
      </c>
      <c r="I6" s="117">
        <v>89</v>
      </c>
      <c r="J6" s="118">
        <f>RANK(I6,$I$3:$I$16)+COUNTIF(I$3:$I6,I6)-1</f>
        <v>1</v>
      </c>
      <c r="K6" s="120">
        <f t="shared" si="0"/>
        <v>2.5</v>
      </c>
      <c r="L6" s="162">
        <f>RANK(K6,$K$3:$K$16,1)+COUNTIF(K$3:$K6,K6)-1</f>
        <v>1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43</v>
      </c>
      <c r="B7" s="145" t="s">
        <v>21</v>
      </c>
      <c r="C7" s="116">
        <v>107</v>
      </c>
      <c r="D7" s="116" t="s">
        <v>16</v>
      </c>
      <c r="E7" s="160">
        <v>5</v>
      </c>
      <c r="F7" s="161">
        <v>344</v>
      </c>
      <c r="G7" s="117">
        <v>83</v>
      </c>
      <c r="H7" s="119">
        <f>RANK(G7,$G$3:$G$16)+COUNTIF(G$3:$G7,G7)-1</f>
        <v>3</v>
      </c>
      <c r="I7" s="117">
        <v>88</v>
      </c>
      <c r="J7" s="118">
        <f>RANK(I7,$I$3:$I$16)+COUNTIF(I$3:$I7,I7)-1</f>
        <v>6</v>
      </c>
      <c r="K7" s="120">
        <f t="shared" si="0"/>
        <v>5.5</v>
      </c>
      <c r="L7" s="162">
        <f>RANK(K7,$K$3:$K$16,1)+COUNTIF(K$3:$K7,K7)-1</f>
        <v>4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20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188</v>
      </c>
      <c r="G8" s="117">
        <v>51</v>
      </c>
      <c r="H8" s="119">
        <f>RANK(G8,$G$3:$G$16)+COUNTIF(G$3:$G8,G8)-1</f>
        <v>10</v>
      </c>
      <c r="I8" s="117">
        <v>87</v>
      </c>
      <c r="J8" s="118">
        <f>RANK(I8,$I$3:$I$16)+COUNTIF(I$3:$I8,I8)-1</f>
        <v>11</v>
      </c>
      <c r="K8" s="120">
        <f t="shared" si="0"/>
        <v>8.5</v>
      </c>
      <c r="L8" s="162">
        <f>RANK(K8,$K$3:$K$16,1)+COUNTIF(K$3:$K8,K8)-1</f>
        <v>7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780</v>
      </c>
      <c r="V8" s="101">
        <f>P4+S4</f>
        <v>781</v>
      </c>
      <c r="W8" s="101"/>
    </row>
    <row r="9" spans="1:25" ht="15" thickBot="1" x14ac:dyDescent="0.35">
      <c r="A9" s="99" t="s">
        <v>43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346</v>
      </c>
      <c r="G9" s="117">
        <v>58</v>
      </c>
      <c r="H9" s="119">
        <f>RANK(G9,$G$3:$G$16)+COUNTIF(G$3:$G9,G9)-1</f>
        <v>8</v>
      </c>
      <c r="I9" s="117">
        <v>88</v>
      </c>
      <c r="J9" s="118">
        <f>RANK(I9,$I$3:$I$16)+COUNTIF(I$3:$I9,I9)-1</f>
        <v>7</v>
      </c>
      <c r="K9" s="120">
        <f t="shared" si="0"/>
        <v>7</v>
      </c>
      <c r="L9" s="162">
        <f>RANK(K9,$K$3:$K$16,1)+COUNTIF(K$3:$K9,K9)-1</f>
        <v>5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-1</v>
      </c>
      <c r="W9" s="101"/>
    </row>
    <row r="10" spans="1:25" x14ac:dyDescent="0.3">
      <c r="A10" s="99" t="s">
        <v>20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568</v>
      </c>
      <c r="G10" s="117">
        <v>114</v>
      </c>
      <c r="H10" s="119">
        <f>RANK(G10,$G$3:$G$16)+COUNTIF(G$3:$G10,G10)-1</f>
        <v>1</v>
      </c>
      <c r="I10" s="117">
        <v>89</v>
      </c>
      <c r="J10" s="118">
        <f>RANK(I10,$I$3:$I$16)+COUNTIF(I$3:$I10,I10)-1</f>
        <v>2</v>
      </c>
      <c r="K10" s="120">
        <f t="shared" si="0"/>
        <v>5</v>
      </c>
      <c r="L10" s="162">
        <f>RANK(K10,$K$3:$K$16,1)+COUNTIF(K$3:$K10,K10)-1</f>
        <v>3</v>
      </c>
      <c r="W10" s="101"/>
    </row>
    <row r="11" spans="1:25" x14ac:dyDescent="0.3">
      <c r="A11" s="99" t="s">
        <v>20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278</v>
      </c>
      <c r="G11" s="117">
        <v>42</v>
      </c>
      <c r="H11" s="119">
        <f>RANK(G11,$G$3:$G$16)+COUNTIF(G$3:$G11,G11)-1</f>
        <v>11</v>
      </c>
      <c r="I11" s="117">
        <v>88</v>
      </c>
      <c r="J11" s="118">
        <f>RANK(I11,$I$3:$I$16)+COUNTIF(I$3:$I11,I11)-1</f>
        <v>8</v>
      </c>
      <c r="K11" s="120">
        <f t="shared" si="0"/>
        <v>8.5</v>
      </c>
      <c r="L11" s="162">
        <f>RANK(K11,$K$3:$K$16,1)+COUNTIF(K$3:$K11,K11)-1</f>
        <v>8</v>
      </c>
      <c r="W11" s="101"/>
    </row>
    <row r="12" spans="1:25" x14ac:dyDescent="0.3">
      <c r="A12" s="99" t="s">
        <v>43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190</v>
      </c>
      <c r="G12" s="117">
        <v>66</v>
      </c>
      <c r="H12" s="119">
        <f>RANK(G12,$G$3:$G$16)+COUNTIF(G$3:$G12,G12)-1</f>
        <v>7</v>
      </c>
      <c r="I12" s="117">
        <v>89</v>
      </c>
      <c r="J12" s="118">
        <f>RANK(I12,$I$3:$I$16)+COUNTIF(I$3:$I12,I12)-1</f>
        <v>3</v>
      </c>
      <c r="K12" s="120">
        <f t="shared" si="0"/>
        <v>7</v>
      </c>
      <c r="L12" s="162">
        <f>RANK(K12,$K$3:$K$16,1)+COUNTIF(K$3:$K12,K12)-1</f>
        <v>6</v>
      </c>
      <c r="W12" s="101"/>
    </row>
    <row r="13" spans="1:25" x14ac:dyDescent="0.3">
      <c r="A13" s="99" t="s">
        <v>20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532</v>
      </c>
      <c r="G13" s="117">
        <v>104</v>
      </c>
      <c r="H13" s="119">
        <f>RANK(G13,$G$3:$G$16)+COUNTIF(G$3:$G13,G13)-1</f>
        <v>2</v>
      </c>
      <c r="I13" s="117">
        <v>87</v>
      </c>
      <c r="J13" s="118">
        <f>RANK(I13,$I$3:$I$16)+COUNTIF(I$3:$I13,I13)-1</f>
        <v>12</v>
      </c>
      <c r="K13" s="120">
        <f t="shared" si="0"/>
        <v>12</v>
      </c>
      <c r="L13" s="162">
        <f>RANK(K13,$K$3:$K$16,1)+COUNTIF(K$3:$K13,K13)-1</f>
        <v>11</v>
      </c>
    </row>
    <row r="14" spans="1:25" x14ac:dyDescent="0.3">
      <c r="A14" s="99" t="s">
        <v>20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582</v>
      </c>
      <c r="G14" s="117">
        <v>70</v>
      </c>
      <c r="H14" s="119">
        <f>RANK(G14,$G$3:$G$16)+COUNTIF(G$3:$G14,G14)-1</f>
        <v>5</v>
      </c>
      <c r="I14" s="117">
        <v>88</v>
      </c>
      <c r="J14" s="118">
        <f>RANK(I14,$I$3:$I$16)+COUNTIF(I$3:$I14,I14)-1</f>
        <v>9</v>
      </c>
      <c r="K14" s="120">
        <f t="shared" si="0"/>
        <v>11</v>
      </c>
      <c r="L14" s="162">
        <f>RANK(K14,$K$3:$K$16,1)+COUNTIF(K$3:$K14,K14)-1</f>
        <v>10</v>
      </c>
    </row>
    <row r="15" spans="1:25" x14ac:dyDescent="0.3">
      <c r="A15" s="99" t="s">
        <v>43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320</v>
      </c>
      <c r="G15" s="117">
        <v>68</v>
      </c>
      <c r="H15" s="119">
        <f>RANK(G15,$G$3:$G$16)+COUNTIF(G$3:$G15,G15)-1</f>
        <v>6</v>
      </c>
      <c r="I15" s="117">
        <v>89</v>
      </c>
      <c r="J15" s="118">
        <f>RANK(I15,$I$3:$I$16)+COUNTIF(I$3:$I15,I15)-1</f>
        <v>4</v>
      </c>
      <c r="K15" s="120">
        <f t="shared" si="0"/>
        <v>9</v>
      </c>
      <c r="L15" s="162">
        <f>RANK(K15,$K$3:$K$16,1)+COUNTIF(K$3:$K15,K15)-1</f>
        <v>9</v>
      </c>
    </row>
    <row r="16" spans="1:25" ht="15" thickBot="1" x14ac:dyDescent="0.35">
      <c r="A16" s="100" t="s">
        <v>43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318</v>
      </c>
      <c r="G16" s="166">
        <v>73</v>
      </c>
      <c r="H16" s="167">
        <f>RANK(G16,$G$3:$G$16)+COUNTIF(G$3:$G16,G16)-1</f>
        <v>4</v>
      </c>
      <c r="I16" s="166">
        <v>88</v>
      </c>
      <c r="J16" s="168">
        <f>RANK(I16,$I$3:$I$16)+COUNTIF(I$3:$I16,I16)-1</f>
        <v>10</v>
      </c>
      <c r="K16" s="169">
        <f t="shared" si="0"/>
        <v>12.5</v>
      </c>
      <c r="L16" s="170">
        <f>RANK(K16,$K$3:$K$16,1)+COUNTIF(K$3:$K16,K16)-1</f>
        <v>12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36D8-2648-40A1-9137-D25701B04001}">
  <dimension ref="A1:Y25"/>
  <sheetViews>
    <sheetView workbookViewId="0">
      <selection activeCell="F20" sqref="F20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26" t="s">
        <v>0</v>
      </c>
      <c r="B1" s="228" t="s">
        <v>1</v>
      </c>
      <c r="C1" s="228" t="s">
        <v>2</v>
      </c>
      <c r="D1" s="229" t="s">
        <v>3</v>
      </c>
      <c r="E1" s="230" t="s">
        <v>4</v>
      </c>
      <c r="F1" s="229" t="s">
        <v>5</v>
      </c>
      <c r="G1" s="229" t="s">
        <v>6</v>
      </c>
      <c r="H1" s="231" t="s">
        <v>7</v>
      </c>
      <c r="I1" s="229" t="s">
        <v>8</v>
      </c>
      <c r="J1" s="232" t="s">
        <v>9</v>
      </c>
      <c r="K1" s="228" t="s">
        <v>10</v>
      </c>
      <c r="L1" s="224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27"/>
      <c r="B2" s="219"/>
      <c r="C2" s="219"/>
      <c r="D2" s="220"/>
      <c r="E2" s="221"/>
      <c r="F2" s="220"/>
      <c r="G2" s="220"/>
      <c r="H2" s="222"/>
      <c r="I2" s="220"/>
      <c r="J2" s="223"/>
      <c r="K2" s="219"/>
      <c r="L2" s="225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42"/>
      <c r="B3" s="96" t="s">
        <v>58</v>
      </c>
      <c r="C3" s="146">
        <v>119</v>
      </c>
      <c r="D3" s="146" t="s">
        <v>59</v>
      </c>
      <c r="E3" s="147">
        <v>1</v>
      </c>
      <c r="F3" s="148"/>
      <c r="G3" s="149"/>
      <c r="H3" s="150"/>
      <c r="I3" s="149"/>
      <c r="J3" s="149"/>
      <c r="K3" s="151"/>
      <c r="L3" s="152"/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43"/>
      <c r="B4" s="153" t="s">
        <v>60</v>
      </c>
      <c r="C4" s="153">
        <v>118</v>
      </c>
      <c r="D4" s="153" t="s">
        <v>59</v>
      </c>
      <c r="E4" s="154">
        <v>2</v>
      </c>
      <c r="F4" s="155"/>
      <c r="G4" s="156"/>
      <c r="H4" s="157"/>
      <c r="I4" s="156"/>
      <c r="J4" s="156"/>
      <c r="K4" s="158"/>
      <c r="L4" s="159"/>
      <c r="N4" s="121" t="s">
        <v>22</v>
      </c>
      <c r="O4" s="122">
        <f>SUM(O5:O9)</f>
        <v>480</v>
      </c>
      <c r="P4" s="104">
        <v>563</v>
      </c>
      <c r="Q4" s="105">
        <v>538</v>
      </c>
      <c r="R4" s="123">
        <f>SUM(R5:R9)</f>
        <v>175</v>
      </c>
      <c r="S4" s="104">
        <v>217</v>
      </c>
      <c r="T4" s="105">
        <v>310</v>
      </c>
      <c r="U4" s="101"/>
      <c r="V4" s="101"/>
      <c r="W4" s="101"/>
    </row>
    <row r="5" spans="1:25" x14ac:dyDescent="0.3">
      <c r="A5" s="99" t="s">
        <v>14</v>
      </c>
      <c r="B5" s="144" t="s">
        <v>61</v>
      </c>
      <c r="C5" s="171">
        <v>117</v>
      </c>
      <c r="D5" s="171" t="s">
        <v>59</v>
      </c>
      <c r="E5" s="160">
        <v>3</v>
      </c>
      <c r="F5" s="186">
        <v>90</v>
      </c>
      <c r="G5" s="187">
        <v>55</v>
      </c>
      <c r="H5" s="119">
        <f>RANK(G5,$G$3:$G$16)+COUNTIF(G$3:$G5,G5)-1</f>
        <v>10</v>
      </c>
      <c r="I5" s="187">
        <v>88</v>
      </c>
      <c r="J5" s="118">
        <f>RANK(I5,$I$3:$I$16)+COUNTIF(I$3:$I5,I5)-1</f>
        <v>5</v>
      </c>
      <c r="K5" s="120">
        <f t="shared" ref="K5:K16" si="0">(E5+J5)/2</f>
        <v>4</v>
      </c>
      <c r="L5" s="162">
        <f>RANK(K5,$K$3:$K$16,1)+COUNTIF(K$3:$K5,K5)-1</f>
        <v>1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20</v>
      </c>
      <c r="B6" s="171" t="s">
        <v>27</v>
      </c>
      <c r="C6" s="116">
        <v>108</v>
      </c>
      <c r="D6" s="116" t="s">
        <v>16</v>
      </c>
      <c r="E6" s="160">
        <v>4</v>
      </c>
      <c r="F6" s="161">
        <v>134</v>
      </c>
      <c r="G6" s="117">
        <v>37</v>
      </c>
      <c r="H6" s="119">
        <f>RANK(G6,$G$3:$G$16)+COUNTIF(G$3:$G6,G6)-1</f>
        <v>12</v>
      </c>
      <c r="I6" s="117">
        <v>87</v>
      </c>
      <c r="J6" s="118">
        <f>RANK(I6,$I$3:$I$16)+COUNTIF(I$3:$I6,I6)-1</f>
        <v>9</v>
      </c>
      <c r="K6" s="120">
        <f t="shared" si="0"/>
        <v>6.5</v>
      </c>
      <c r="L6" s="162">
        <f>RANK(K6,$K$3:$K$16,1)+COUNTIF(K$3:$K6,K6)-1</f>
        <v>5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20</v>
      </c>
      <c r="B7" s="145" t="s">
        <v>21</v>
      </c>
      <c r="C7" s="116">
        <v>107</v>
      </c>
      <c r="D7" s="116" t="s">
        <v>16</v>
      </c>
      <c r="E7" s="160">
        <v>5</v>
      </c>
      <c r="F7" s="161">
        <v>352</v>
      </c>
      <c r="G7" s="117">
        <v>79</v>
      </c>
      <c r="H7" s="119">
        <f>RANK(G7,$G$3:$G$16)+COUNTIF(G$3:$G7,G7)-1</f>
        <v>5</v>
      </c>
      <c r="I7" s="117">
        <v>88</v>
      </c>
      <c r="J7" s="118">
        <f>RANK(I7,$I$3:$I$16)+COUNTIF(I$3:$I7,I7)-1</f>
        <v>6</v>
      </c>
      <c r="K7" s="120">
        <f t="shared" si="0"/>
        <v>5.5</v>
      </c>
      <c r="L7" s="162">
        <f>RANK(K7,$K$3:$K$16,1)+COUNTIF(K$3:$K7,K7)-1</f>
        <v>3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43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115</v>
      </c>
      <c r="G8" s="117">
        <v>68</v>
      </c>
      <c r="H8" s="119">
        <f>RANK(G8,$G$3:$G$16)+COUNTIF(G$3:$G8,G8)-1</f>
        <v>9</v>
      </c>
      <c r="I8" s="117">
        <v>87</v>
      </c>
      <c r="J8" s="118">
        <f>RANK(I8,$I$3:$I$16)+COUNTIF(I$3:$I8,I8)-1</f>
        <v>10</v>
      </c>
      <c r="K8" s="120">
        <f t="shared" si="0"/>
        <v>8</v>
      </c>
      <c r="L8" s="162">
        <f>RANK(K8,$K$3:$K$16,1)+COUNTIF(K$3:$K8,K8)-1</f>
        <v>6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848</v>
      </c>
      <c r="V8" s="101">
        <f>P4+S4</f>
        <v>780</v>
      </c>
      <c r="W8" s="101"/>
    </row>
    <row r="9" spans="1:25" ht="15" thickBot="1" x14ac:dyDescent="0.35">
      <c r="A9" s="99" t="s">
        <v>20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350</v>
      </c>
      <c r="G9" s="117">
        <v>71</v>
      </c>
      <c r="H9" s="119">
        <f>RANK(G9,$G$3:$G$16)+COUNTIF(G$3:$G9,G9)-1</f>
        <v>8</v>
      </c>
      <c r="I9" s="117">
        <v>89</v>
      </c>
      <c r="J9" s="118">
        <f>RANK(I9,$I$3:$I$16)+COUNTIF(I$3:$I9,I9)-1</f>
        <v>2</v>
      </c>
      <c r="K9" s="120">
        <f t="shared" si="0"/>
        <v>4.5</v>
      </c>
      <c r="L9" s="162">
        <f>RANK(K9,$K$3:$K$16,1)+COUNTIF(K$3:$K9,K9)-1</f>
        <v>2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68</v>
      </c>
      <c r="W9" s="101"/>
    </row>
    <row r="10" spans="1:25" x14ac:dyDescent="0.3">
      <c r="A10" s="99" t="s">
        <v>43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444</v>
      </c>
      <c r="G10" s="117">
        <v>102</v>
      </c>
      <c r="H10" s="119">
        <f>RANK(G10,$G$3:$G$16)+COUNTIF(G$3:$G10,G10)-1</f>
        <v>1</v>
      </c>
      <c r="I10" s="117">
        <v>89</v>
      </c>
      <c r="J10" s="118">
        <f>RANK(I10,$I$3:$I$16)+COUNTIF(I$3:$I10,I10)-1</f>
        <v>3</v>
      </c>
      <c r="K10" s="120">
        <f t="shared" si="0"/>
        <v>5.5</v>
      </c>
      <c r="L10" s="162">
        <f>RANK(K10,$K$3:$K$16,1)+COUNTIF(K$3:$K10,K10)-1</f>
        <v>4</v>
      </c>
      <c r="W10" s="101"/>
    </row>
    <row r="11" spans="1:25" x14ac:dyDescent="0.3">
      <c r="A11" s="99" t="s">
        <v>43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380</v>
      </c>
      <c r="G11" s="117">
        <v>101</v>
      </c>
      <c r="H11" s="119">
        <f>RANK(G11,$G$3:$G$16)+COUNTIF(G$3:$G11,G11)-1</f>
        <v>2</v>
      </c>
      <c r="I11" s="117">
        <v>88</v>
      </c>
      <c r="J11" s="118">
        <f>RANK(I11,$I$3:$I$16)+COUNTIF(I$3:$I11,I11)-1</f>
        <v>7</v>
      </c>
      <c r="K11" s="120">
        <f t="shared" si="0"/>
        <v>8</v>
      </c>
      <c r="L11" s="162">
        <f>RANK(K11,$K$3:$K$16,1)+COUNTIF(K$3:$K11,K11)-1</f>
        <v>7</v>
      </c>
      <c r="W11" s="101"/>
    </row>
    <row r="12" spans="1:25" x14ac:dyDescent="0.3">
      <c r="A12" s="99" t="s">
        <v>20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236</v>
      </c>
      <c r="G12" s="117">
        <v>72</v>
      </c>
      <c r="H12" s="119">
        <f>RANK(G12,$G$3:$G$16)+COUNTIF(G$3:$G12,G12)-1</f>
        <v>7</v>
      </c>
      <c r="I12" s="117">
        <v>87</v>
      </c>
      <c r="J12" s="118">
        <f>RANK(I12,$I$3:$I$16)+COUNTIF(I$3:$I12,I12)-1</f>
        <v>11</v>
      </c>
      <c r="K12" s="120">
        <f t="shared" si="0"/>
        <v>11</v>
      </c>
      <c r="L12" s="162">
        <f>RANK(K12,$K$3:$K$16,1)+COUNTIF(K$3:$K12,K12)-1</f>
        <v>11</v>
      </c>
      <c r="W12" s="101"/>
    </row>
    <row r="13" spans="1:25" x14ac:dyDescent="0.3">
      <c r="A13" s="99" t="s">
        <v>43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434</v>
      </c>
      <c r="G13" s="117">
        <v>84</v>
      </c>
      <c r="H13" s="119">
        <f>RANK(G13,$G$3:$G$16)+COUNTIF(G$3:$G13,G13)-1</f>
        <v>4</v>
      </c>
      <c r="I13" s="117">
        <v>86</v>
      </c>
      <c r="J13" s="118">
        <f>RANK(I13,$I$3:$I$16)+COUNTIF(I$3:$I13,I13)-1</f>
        <v>12</v>
      </c>
      <c r="K13" s="120">
        <f t="shared" si="0"/>
        <v>12</v>
      </c>
      <c r="L13" s="162">
        <f>RANK(K13,$K$3:$K$16,1)+COUNTIF(K$3:$K13,K13)-1</f>
        <v>12</v>
      </c>
    </row>
    <row r="14" spans="1:25" x14ac:dyDescent="0.3">
      <c r="A14" s="99" t="s">
        <v>43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570</v>
      </c>
      <c r="G14" s="117">
        <v>54</v>
      </c>
      <c r="H14" s="119">
        <f>RANK(G14,$G$3:$G$16)+COUNTIF(G$3:$G14,G14)-1</f>
        <v>11</v>
      </c>
      <c r="I14" s="117">
        <v>88</v>
      </c>
      <c r="J14" s="118">
        <f>RANK(I14,$I$3:$I$16)+COUNTIF(I$3:$I14,I14)-1</f>
        <v>8</v>
      </c>
      <c r="K14" s="120">
        <f t="shared" si="0"/>
        <v>10.5</v>
      </c>
      <c r="L14" s="162">
        <f>RANK(K14,$K$3:$K$16,1)+COUNTIF(K$3:$K14,K14)-1</f>
        <v>10</v>
      </c>
    </row>
    <row r="15" spans="1:25" x14ac:dyDescent="0.3">
      <c r="A15" s="99" t="s">
        <v>20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288</v>
      </c>
      <c r="G15" s="117">
        <v>76</v>
      </c>
      <c r="H15" s="119">
        <f>RANK(G15,$G$3:$G$16)+COUNTIF(G$3:$G15,G15)-1</f>
        <v>6</v>
      </c>
      <c r="I15" s="117">
        <v>89</v>
      </c>
      <c r="J15" s="118">
        <f>RANK(I15,$I$3:$I$16)+COUNTIF(I$3:$I15,I15)-1</f>
        <v>4</v>
      </c>
      <c r="K15" s="120">
        <f t="shared" si="0"/>
        <v>9</v>
      </c>
      <c r="L15" s="162">
        <f>RANK(K15,$K$3:$K$16,1)+COUNTIF(K$3:$K15,K15)-1</f>
        <v>9</v>
      </c>
    </row>
    <row r="16" spans="1:25" ht="15" thickBot="1" x14ac:dyDescent="0.35">
      <c r="A16" s="100" t="s">
        <v>14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302</v>
      </c>
      <c r="G16" s="166">
        <v>86</v>
      </c>
      <c r="H16" s="167">
        <f>RANK(G16,$G$3:$G$16)+COUNTIF(G$3:$G16,G16)-1</f>
        <v>3</v>
      </c>
      <c r="I16" s="166">
        <v>90</v>
      </c>
      <c r="J16" s="168">
        <f>RANK(I16,$I$3:$I$16)+COUNTIF(I$3:$I16,I16)-1</f>
        <v>1</v>
      </c>
      <c r="K16" s="169">
        <f t="shared" si="0"/>
        <v>8</v>
      </c>
      <c r="L16" s="170">
        <f>RANK(K16,$K$3:$K$16,1)+COUNTIF(K$3:$K16,K16)-1</f>
        <v>8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14C6-4AD1-46EF-BF67-AEDB8D8ECA68}">
  <dimension ref="A1:Y25"/>
  <sheetViews>
    <sheetView zoomScaleNormal="100" workbookViewId="0">
      <selection activeCell="F21" sqref="F21"/>
    </sheetView>
  </sheetViews>
  <sheetFormatPr defaultColWidth="9" defaultRowHeight="14.4" x14ac:dyDescent="0.3"/>
  <cols>
    <col min="1" max="1" width="11.5546875" style="1" customWidth="1"/>
    <col min="2" max="3" width="10.5546875" style="1" customWidth="1"/>
    <col min="4" max="4" width="16.5546875" style="1" customWidth="1"/>
    <col min="5" max="5" width="10.44140625" style="1" customWidth="1"/>
    <col min="6" max="6" width="12.88671875" style="6" customWidth="1"/>
    <col min="7" max="8" width="12.88671875" style="1" customWidth="1"/>
    <col min="9" max="9" width="15.88671875" style="1" customWidth="1"/>
    <col min="10" max="10" width="11.6640625" style="1" customWidth="1"/>
    <col min="11" max="11" width="14" style="1" customWidth="1"/>
    <col min="12" max="12" width="11.6640625" style="1" customWidth="1"/>
    <col min="13" max="13" width="13.33203125" style="1" customWidth="1"/>
    <col min="14" max="14" width="10.44140625" style="1" customWidth="1"/>
    <col min="15" max="15" width="9.6640625" style="1" customWidth="1"/>
    <col min="16" max="19" width="9" style="1"/>
    <col min="20" max="20" width="12.33203125" style="1" customWidth="1"/>
    <col min="21" max="21" width="10.88671875" style="1" customWidth="1"/>
    <col min="22" max="22" width="13.5546875" style="1" customWidth="1"/>
    <col min="23" max="23" width="9" style="1"/>
    <col min="24" max="24" width="4.109375" style="1" customWidth="1"/>
    <col min="25" max="25" width="9.5546875" style="1" customWidth="1"/>
    <col min="26" max="16384" width="9" style="1"/>
  </cols>
  <sheetData>
    <row r="1" spans="1:25" ht="64.2" customHeight="1" thickBot="1" x14ac:dyDescent="0.35">
      <c r="A1" s="226" t="s">
        <v>0</v>
      </c>
      <c r="B1" s="228" t="s">
        <v>1</v>
      </c>
      <c r="C1" s="228" t="s">
        <v>2</v>
      </c>
      <c r="D1" s="229" t="s">
        <v>3</v>
      </c>
      <c r="E1" s="230" t="s">
        <v>4</v>
      </c>
      <c r="F1" s="229" t="s">
        <v>5</v>
      </c>
      <c r="G1" s="229" t="s">
        <v>6</v>
      </c>
      <c r="H1" s="231" t="s">
        <v>7</v>
      </c>
      <c r="I1" s="229" t="s">
        <v>8</v>
      </c>
      <c r="J1" s="232" t="s">
        <v>9</v>
      </c>
      <c r="K1" s="228" t="s">
        <v>10</v>
      </c>
      <c r="L1" s="224" t="s">
        <v>11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Y1" s="102">
        <v>45677</v>
      </c>
    </row>
    <row r="2" spans="1:25" ht="19.95" customHeight="1" thickBot="1" x14ac:dyDescent="0.35">
      <c r="A2" s="234"/>
      <c r="B2" s="235"/>
      <c r="C2" s="235"/>
      <c r="D2" s="236"/>
      <c r="E2" s="237"/>
      <c r="F2" s="236"/>
      <c r="G2" s="236"/>
      <c r="H2" s="238"/>
      <c r="I2" s="236"/>
      <c r="J2" s="239"/>
      <c r="K2" s="235"/>
      <c r="L2" s="233"/>
      <c r="N2" s="101"/>
      <c r="O2" s="103" t="s">
        <v>12</v>
      </c>
      <c r="P2" s="104" t="s">
        <v>12</v>
      </c>
      <c r="Q2" s="105" t="s">
        <v>12</v>
      </c>
      <c r="R2" s="103" t="s">
        <v>13</v>
      </c>
      <c r="S2" s="104" t="s">
        <v>13</v>
      </c>
      <c r="T2" s="105" t="s">
        <v>13</v>
      </c>
      <c r="U2" s="101"/>
      <c r="V2" s="101"/>
      <c r="W2" s="101"/>
    </row>
    <row r="3" spans="1:25" ht="15" thickBot="1" x14ac:dyDescent="0.35">
      <c r="A3" s="194" t="s">
        <v>43</v>
      </c>
      <c r="B3" s="193" t="s">
        <v>58</v>
      </c>
      <c r="C3" s="171">
        <v>119</v>
      </c>
      <c r="D3" s="171" t="s">
        <v>59</v>
      </c>
      <c r="E3" s="160">
        <v>1</v>
      </c>
      <c r="F3" s="186">
        <v>102</v>
      </c>
      <c r="G3" s="187">
        <v>20</v>
      </c>
      <c r="H3" s="119">
        <f>RANK(G3,$G$3:$G$16)+COUNTIF(G$3:$G3,G3)-1</f>
        <v>13</v>
      </c>
      <c r="I3" s="187">
        <v>88</v>
      </c>
      <c r="J3" s="118">
        <f>RANK(I3,$I$3:$I$16)+COUNTIF(I$3:$I3,I3)-1</f>
        <v>5</v>
      </c>
      <c r="K3" s="120">
        <f>(E3+J3)/2</f>
        <v>3</v>
      </c>
      <c r="L3" s="162">
        <f>RANK(K3,$K$3:$K$16,1)+COUNTIF(K$3:$K3,K3)-1</f>
        <v>1</v>
      </c>
      <c r="N3" s="101"/>
      <c r="O3" s="112" t="s">
        <v>17</v>
      </c>
      <c r="P3" s="113" t="s">
        <v>18</v>
      </c>
      <c r="Q3" s="114" t="s">
        <v>19</v>
      </c>
      <c r="R3" s="112" t="s">
        <v>17</v>
      </c>
      <c r="S3" s="113" t="s">
        <v>18</v>
      </c>
      <c r="T3" s="114" t="s">
        <v>19</v>
      </c>
      <c r="U3" s="101"/>
      <c r="V3" s="101"/>
      <c r="W3" s="101"/>
    </row>
    <row r="4" spans="1:25" x14ac:dyDescent="0.3">
      <c r="A4" s="99" t="s">
        <v>14</v>
      </c>
      <c r="B4" s="171" t="s">
        <v>60</v>
      </c>
      <c r="C4" s="171">
        <v>118</v>
      </c>
      <c r="D4" s="171" t="s">
        <v>59</v>
      </c>
      <c r="E4" s="160">
        <v>2</v>
      </c>
      <c r="F4" s="186">
        <v>112</v>
      </c>
      <c r="G4" s="187">
        <v>19</v>
      </c>
      <c r="H4" s="119">
        <f>RANK(G4,$G$3:$G$16)+COUNTIF(G$3:$G4,G4)-1</f>
        <v>14</v>
      </c>
      <c r="I4" s="187">
        <v>88</v>
      </c>
      <c r="J4" s="118">
        <f>RANK(I4,$I$3:$I$16)+COUNTIF(I$3:$I4,I4)-1</f>
        <v>6</v>
      </c>
      <c r="K4" s="120">
        <f>(E4+J4)/2</f>
        <v>4</v>
      </c>
      <c r="L4" s="162">
        <f>RANK(K4,$K$3:$K$16,1)+COUNTIF(K$3:$K4,K4)-1</f>
        <v>2</v>
      </c>
      <c r="N4" s="121" t="s">
        <v>22</v>
      </c>
      <c r="O4" s="122">
        <f>SUM(O5:O9)</f>
        <v>480</v>
      </c>
      <c r="P4" s="104">
        <v>563</v>
      </c>
      <c r="Q4" s="105">
        <v>588</v>
      </c>
      <c r="R4" s="123">
        <f>SUM(R5:R9)</f>
        <v>175</v>
      </c>
      <c r="S4" s="104">
        <v>217</v>
      </c>
      <c r="T4" s="105">
        <v>310</v>
      </c>
      <c r="U4" s="101"/>
      <c r="V4" s="101"/>
      <c r="W4" s="101"/>
    </row>
    <row r="5" spans="1:25" x14ac:dyDescent="0.3">
      <c r="A5" s="99" t="s">
        <v>14</v>
      </c>
      <c r="B5" s="144" t="s">
        <v>61</v>
      </c>
      <c r="C5" s="171">
        <v>117</v>
      </c>
      <c r="D5" s="171" t="s">
        <v>59</v>
      </c>
      <c r="E5" s="160">
        <v>3</v>
      </c>
      <c r="F5" s="186">
        <v>118</v>
      </c>
      <c r="G5" s="187">
        <v>29</v>
      </c>
      <c r="H5" s="119">
        <f>RANK(G5,$G$3:$G$16)+COUNTIF(G$3:$G5,G5)-1</f>
        <v>12</v>
      </c>
      <c r="I5" s="187">
        <v>88</v>
      </c>
      <c r="J5" s="118">
        <f>RANK(I5,$I$3:$I$16)+COUNTIF(I$3:$I5,I5)-1</f>
        <v>7</v>
      </c>
      <c r="K5" s="120">
        <f t="shared" ref="K5:K16" si="0">(E5+J5)/2</f>
        <v>5</v>
      </c>
      <c r="L5" s="162">
        <f>RANK(K5,$K$3:$K$16,1)+COUNTIF(K$3:$K5,K5)-1</f>
        <v>4</v>
      </c>
      <c r="N5" s="124" t="s">
        <v>24</v>
      </c>
      <c r="O5" s="125">
        <v>180</v>
      </c>
      <c r="P5" s="126"/>
      <c r="Q5" s="127"/>
      <c r="R5" s="125">
        <v>60</v>
      </c>
      <c r="S5" s="126"/>
      <c r="T5" s="127"/>
      <c r="U5" s="101"/>
      <c r="V5" s="101"/>
      <c r="W5" s="101"/>
    </row>
    <row r="6" spans="1:25" x14ac:dyDescent="0.3">
      <c r="A6" s="99" t="s">
        <v>20</v>
      </c>
      <c r="B6" s="171" t="s">
        <v>27</v>
      </c>
      <c r="C6" s="116">
        <v>108</v>
      </c>
      <c r="D6" s="116" t="s">
        <v>16</v>
      </c>
      <c r="E6" s="160">
        <v>4</v>
      </c>
      <c r="F6" s="161">
        <v>134</v>
      </c>
      <c r="G6" s="117">
        <v>37</v>
      </c>
      <c r="H6" s="119">
        <f>RANK(G6,$G$3:$G$16)+COUNTIF(G$3:$G6,G6)-1</f>
        <v>10</v>
      </c>
      <c r="I6" s="117">
        <v>87</v>
      </c>
      <c r="J6" s="118">
        <f>RANK(I6,$I$3:$I$16)+COUNTIF(I$3:$I6,I6)-1</f>
        <v>11</v>
      </c>
      <c r="K6" s="120">
        <f t="shared" si="0"/>
        <v>7.5</v>
      </c>
      <c r="L6" s="162">
        <f>RANK(K6,$K$3:$K$16,1)+COUNTIF(K$3:$K6,K6)-1</f>
        <v>7</v>
      </c>
      <c r="N6" s="124" t="s">
        <v>26</v>
      </c>
      <c r="O6" s="125">
        <v>85</v>
      </c>
      <c r="P6" s="126"/>
      <c r="Q6" s="127"/>
      <c r="R6" s="125">
        <v>35</v>
      </c>
      <c r="S6" s="126"/>
      <c r="T6" s="127"/>
      <c r="U6" s="101"/>
      <c r="V6" s="101"/>
      <c r="W6" s="101"/>
    </row>
    <row r="7" spans="1:25" x14ac:dyDescent="0.3">
      <c r="A7" s="99" t="s">
        <v>20</v>
      </c>
      <c r="B7" s="145" t="s">
        <v>21</v>
      </c>
      <c r="C7" s="116">
        <v>107</v>
      </c>
      <c r="D7" s="116" t="s">
        <v>16</v>
      </c>
      <c r="E7" s="160">
        <v>5</v>
      </c>
      <c r="F7" s="161">
        <v>300</v>
      </c>
      <c r="G7" s="117">
        <v>96</v>
      </c>
      <c r="H7" s="119">
        <f>RANK(G7,$G$3:$G$16)+COUNTIF(G$3:$G7,G7)-1</f>
        <v>2</v>
      </c>
      <c r="I7" s="117">
        <v>88</v>
      </c>
      <c r="J7" s="118">
        <f>RANK(I7,$I$3:$I$16)+COUNTIF(I$3:$I7,I7)-1</f>
        <v>8</v>
      </c>
      <c r="K7" s="120">
        <f t="shared" si="0"/>
        <v>6.5</v>
      </c>
      <c r="L7" s="162">
        <f>RANK(K7,$K$3:$K$16,1)+COUNTIF(K$3:$K7,K7)-1</f>
        <v>6</v>
      </c>
      <c r="N7" s="124" t="s">
        <v>28</v>
      </c>
      <c r="O7" s="125">
        <v>40</v>
      </c>
      <c r="P7" s="129"/>
      <c r="Q7" s="127"/>
      <c r="R7" s="125">
        <v>10</v>
      </c>
      <c r="S7" s="129"/>
      <c r="T7" s="127"/>
      <c r="U7" s="101" t="s">
        <v>29</v>
      </c>
      <c r="V7" s="101" t="s">
        <v>30</v>
      </c>
      <c r="W7" s="101"/>
    </row>
    <row r="8" spans="1:25" x14ac:dyDescent="0.3">
      <c r="A8" s="99" t="s">
        <v>43</v>
      </c>
      <c r="B8" s="144" t="s">
        <v>23</v>
      </c>
      <c r="C8" s="116">
        <v>106</v>
      </c>
      <c r="D8" s="116" t="s">
        <v>16</v>
      </c>
      <c r="E8" s="160">
        <v>6</v>
      </c>
      <c r="F8" s="161">
        <v>155</v>
      </c>
      <c r="G8" s="117">
        <v>34</v>
      </c>
      <c r="H8" s="119">
        <f>RANK(G8,$G$3:$G$16)+COUNTIF(G$3:$G8,G8)-1</f>
        <v>11</v>
      </c>
      <c r="I8" s="117">
        <v>87</v>
      </c>
      <c r="J8" s="118">
        <f>RANK(I8,$I$3:$I$16)+COUNTIF(I$3:$I8,I8)-1</f>
        <v>12</v>
      </c>
      <c r="K8" s="120">
        <f t="shared" si="0"/>
        <v>9</v>
      </c>
      <c r="L8" s="162">
        <f>RANK(K8,$K$3:$K$16,1)+COUNTIF(K$3:$K8,K8)-1</f>
        <v>9</v>
      </c>
      <c r="N8" s="124" t="s">
        <v>32</v>
      </c>
      <c r="O8" s="125">
        <v>95</v>
      </c>
      <c r="P8" s="129"/>
      <c r="Q8" s="127"/>
      <c r="R8" s="125">
        <v>40</v>
      </c>
      <c r="S8" s="129"/>
      <c r="T8" s="127"/>
      <c r="U8" s="101">
        <f>Q4+T4</f>
        <v>898</v>
      </c>
      <c r="V8" s="101">
        <f>P4+S4</f>
        <v>780</v>
      </c>
      <c r="W8" s="101"/>
    </row>
    <row r="9" spans="1:25" ht="15" thickBot="1" x14ac:dyDescent="0.35">
      <c r="A9" s="99" t="s">
        <v>20</v>
      </c>
      <c r="B9" s="145" t="s">
        <v>31</v>
      </c>
      <c r="C9" s="116">
        <v>102</v>
      </c>
      <c r="D9" s="116" t="s">
        <v>38</v>
      </c>
      <c r="E9" s="160">
        <v>7</v>
      </c>
      <c r="F9" s="161">
        <v>328</v>
      </c>
      <c r="G9" s="117">
        <v>78</v>
      </c>
      <c r="H9" s="119">
        <f>RANK(G9,$G$3:$G$16)+COUNTIF(G$3:$G9,G9)-1</f>
        <v>4</v>
      </c>
      <c r="I9" s="117">
        <v>89</v>
      </c>
      <c r="J9" s="118">
        <f>RANK(I9,$I$3:$I$16)+COUNTIF(I$3:$I9,I9)-1</f>
        <v>2</v>
      </c>
      <c r="K9" s="120">
        <f t="shared" si="0"/>
        <v>4.5</v>
      </c>
      <c r="L9" s="162">
        <f>RANK(K9,$K$3:$K$16,1)+COUNTIF(K$3:$K9,K9)-1</f>
        <v>3</v>
      </c>
      <c r="N9" s="130" t="s">
        <v>35</v>
      </c>
      <c r="O9" s="131">
        <v>80</v>
      </c>
      <c r="P9" s="132"/>
      <c r="Q9" s="133"/>
      <c r="R9" s="131">
        <v>30</v>
      </c>
      <c r="S9" s="132"/>
      <c r="T9" s="133"/>
      <c r="U9" s="101"/>
      <c r="V9" s="101">
        <f>U8-V8</f>
        <v>118</v>
      </c>
      <c r="W9" s="101"/>
    </row>
    <row r="10" spans="1:25" x14ac:dyDescent="0.3">
      <c r="A10" s="99" t="s">
        <v>43</v>
      </c>
      <c r="B10" s="145" t="s">
        <v>25</v>
      </c>
      <c r="C10" s="116">
        <v>100</v>
      </c>
      <c r="D10" s="116" t="s">
        <v>41</v>
      </c>
      <c r="E10" s="160">
        <v>8</v>
      </c>
      <c r="F10" s="161">
        <v>444</v>
      </c>
      <c r="G10" s="117">
        <v>102</v>
      </c>
      <c r="H10" s="119">
        <f>RANK(G10,$G$3:$G$16)+COUNTIF(G$3:$G10,G10)-1</f>
        <v>1</v>
      </c>
      <c r="I10" s="117">
        <v>89</v>
      </c>
      <c r="J10" s="118">
        <f>RANK(I10,$I$3:$I$16)+COUNTIF(I$3:$I10,I10)-1</f>
        <v>3</v>
      </c>
      <c r="K10" s="120">
        <f t="shared" si="0"/>
        <v>5.5</v>
      </c>
      <c r="L10" s="162">
        <f>RANK(K10,$K$3:$K$16,1)+COUNTIF(K$3:$K10,K10)-1</f>
        <v>5</v>
      </c>
      <c r="W10" s="101"/>
    </row>
    <row r="11" spans="1:25" x14ac:dyDescent="0.3">
      <c r="A11" s="99" t="s">
        <v>43</v>
      </c>
      <c r="B11" s="144" t="s">
        <v>37</v>
      </c>
      <c r="C11" s="116">
        <v>99</v>
      </c>
      <c r="D11" s="116" t="s">
        <v>41</v>
      </c>
      <c r="E11" s="160">
        <v>9</v>
      </c>
      <c r="F11" s="161">
        <v>228</v>
      </c>
      <c r="G11" s="117">
        <v>64</v>
      </c>
      <c r="H11" s="119">
        <f>RANK(G11,$G$3:$G$16)+COUNTIF(G$3:$G11,G11)-1</f>
        <v>9</v>
      </c>
      <c r="I11" s="117">
        <v>88</v>
      </c>
      <c r="J11" s="118">
        <f>RANK(I11,$I$3:$I$16)+COUNTIF(I$3:$I11,I11)-1</f>
        <v>9</v>
      </c>
      <c r="K11" s="120">
        <f t="shared" si="0"/>
        <v>9</v>
      </c>
      <c r="L11" s="162">
        <f>RANK(K11,$K$3:$K$16,1)+COUNTIF(K$3:$K11,K11)-1</f>
        <v>10</v>
      </c>
      <c r="W11" s="101"/>
    </row>
    <row r="12" spans="1:25" x14ac:dyDescent="0.3">
      <c r="A12" s="99" t="s">
        <v>20</v>
      </c>
      <c r="B12" s="145" t="s">
        <v>36</v>
      </c>
      <c r="C12" s="116">
        <v>99</v>
      </c>
      <c r="D12" s="116" t="s">
        <v>41</v>
      </c>
      <c r="E12" s="160">
        <v>11</v>
      </c>
      <c r="F12" s="161">
        <v>236</v>
      </c>
      <c r="G12" s="117">
        <v>72</v>
      </c>
      <c r="H12" s="119">
        <f>RANK(G12,$G$3:$G$16)+COUNTIF(G$3:$G12,G12)-1</f>
        <v>7</v>
      </c>
      <c r="I12" s="117">
        <v>87</v>
      </c>
      <c r="J12" s="118">
        <f>RANK(I12,$I$3:$I$16)+COUNTIF(I$3:$I12,I12)-1</f>
        <v>13</v>
      </c>
      <c r="K12" s="120">
        <f t="shared" si="0"/>
        <v>12</v>
      </c>
      <c r="L12" s="162">
        <f>RANK(K12,$K$3:$K$16,1)+COUNTIF(K$3:$K12,K12)-1</f>
        <v>13</v>
      </c>
      <c r="W12" s="101"/>
    </row>
    <row r="13" spans="1:25" x14ac:dyDescent="0.3">
      <c r="A13" s="99" t="s">
        <v>43</v>
      </c>
      <c r="B13" s="145" t="s">
        <v>42</v>
      </c>
      <c r="C13" s="116">
        <v>98</v>
      </c>
      <c r="D13" s="116" t="s">
        <v>41</v>
      </c>
      <c r="E13" s="160">
        <v>12</v>
      </c>
      <c r="F13" s="161">
        <v>294</v>
      </c>
      <c r="G13" s="117">
        <v>67</v>
      </c>
      <c r="H13" s="119">
        <f>RANK(G13,$G$3:$G$16)+COUNTIF(G$3:$G13,G13)-1</f>
        <v>8</v>
      </c>
      <c r="I13" s="117">
        <v>86</v>
      </c>
      <c r="J13" s="118">
        <f>RANK(I13,$I$3:$I$16)+COUNTIF(I$3:$I13,I13)-1</f>
        <v>14</v>
      </c>
      <c r="K13" s="120">
        <f t="shared" si="0"/>
        <v>13</v>
      </c>
      <c r="L13" s="162">
        <f>RANK(K13,$K$3:$K$16,1)+COUNTIF(K$3:$K13,K13)-1</f>
        <v>14</v>
      </c>
    </row>
    <row r="14" spans="1:25" x14ac:dyDescent="0.3">
      <c r="A14" s="99" t="s">
        <v>43</v>
      </c>
      <c r="B14" s="145" t="s">
        <v>39</v>
      </c>
      <c r="C14" s="116">
        <v>98</v>
      </c>
      <c r="D14" s="116" t="s">
        <v>41</v>
      </c>
      <c r="E14" s="160">
        <v>13</v>
      </c>
      <c r="F14" s="161">
        <v>504</v>
      </c>
      <c r="G14" s="117">
        <v>76</v>
      </c>
      <c r="H14" s="119">
        <f>RANK(G14,$G$3:$G$16)+COUNTIF(G$3:$G14,G14)-1</f>
        <v>6</v>
      </c>
      <c r="I14" s="117">
        <v>88</v>
      </c>
      <c r="J14" s="118">
        <f>RANK(I14,$I$3:$I$16)+COUNTIF(I$3:$I14,I14)-1</f>
        <v>10</v>
      </c>
      <c r="K14" s="120">
        <f t="shared" si="0"/>
        <v>11.5</v>
      </c>
      <c r="L14" s="162">
        <f>RANK(K14,$K$3:$K$16,1)+COUNTIF(K$3:$K14,K14)-1</f>
        <v>12</v>
      </c>
    </row>
    <row r="15" spans="1:25" x14ac:dyDescent="0.3">
      <c r="A15" s="99" t="s">
        <v>20</v>
      </c>
      <c r="B15" s="145" t="s">
        <v>44</v>
      </c>
      <c r="C15" s="116">
        <v>97</v>
      </c>
      <c r="D15" s="116" t="s">
        <v>41</v>
      </c>
      <c r="E15" s="160">
        <v>14</v>
      </c>
      <c r="F15" s="161">
        <v>234</v>
      </c>
      <c r="G15" s="117">
        <v>77</v>
      </c>
      <c r="H15" s="119">
        <f>RANK(G15,$G$3:$G$16)+COUNTIF(G$3:$G15,G15)-1</f>
        <v>5</v>
      </c>
      <c r="I15" s="117">
        <v>89</v>
      </c>
      <c r="J15" s="118">
        <f>RANK(I15,$I$3:$I$16)+COUNTIF(I$3:$I15,I15)-1</f>
        <v>4</v>
      </c>
      <c r="K15" s="120">
        <f t="shared" si="0"/>
        <v>9</v>
      </c>
      <c r="L15" s="162">
        <f>RANK(K15,$K$3:$K$16,1)+COUNTIF(K$3:$K15,K15)-1</f>
        <v>11</v>
      </c>
    </row>
    <row r="16" spans="1:25" ht="15" thickBot="1" x14ac:dyDescent="0.35">
      <c r="A16" s="100" t="s">
        <v>14</v>
      </c>
      <c r="B16" s="185" t="s">
        <v>40</v>
      </c>
      <c r="C16" s="163">
        <v>96</v>
      </c>
      <c r="D16" s="163" t="s">
        <v>41</v>
      </c>
      <c r="E16" s="164">
        <v>15</v>
      </c>
      <c r="F16" s="165">
        <v>402</v>
      </c>
      <c r="G16" s="166">
        <v>79</v>
      </c>
      <c r="H16" s="167">
        <f>RANK(G16,$G$3:$G$16)+COUNTIF(G$3:$G16,G16)-1</f>
        <v>3</v>
      </c>
      <c r="I16" s="166">
        <v>90</v>
      </c>
      <c r="J16" s="168">
        <f>RANK(I16,$I$3:$I$16)+COUNTIF(I$3:$I16,I16)-1</f>
        <v>1</v>
      </c>
      <c r="K16" s="169">
        <f t="shared" si="0"/>
        <v>8</v>
      </c>
      <c r="L16" s="170">
        <f>RANK(K16,$K$3:$K$16,1)+COUNTIF(K$3:$K16,K16)-1</f>
        <v>8</v>
      </c>
    </row>
    <row r="17" spans="2:6" x14ac:dyDescent="0.3">
      <c r="B17" s="6"/>
      <c r="C17" s="6"/>
      <c r="F17" s="1"/>
    </row>
    <row r="18" spans="2:6" x14ac:dyDescent="0.3">
      <c r="F18" s="1"/>
    </row>
    <row r="19" spans="2:6" x14ac:dyDescent="0.3">
      <c r="B19" s="138" t="s">
        <v>12</v>
      </c>
      <c r="C19" s="139" t="s">
        <v>47</v>
      </c>
      <c r="D19" s="140"/>
      <c r="F19" s="1"/>
    </row>
    <row r="20" spans="2:6" x14ac:dyDescent="0.3">
      <c r="B20" s="10" t="s">
        <v>48</v>
      </c>
      <c r="C20" s="141" t="s">
        <v>49</v>
      </c>
      <c r="D20" s="142"/>
      <c r="F20" s="1"/>
    </row>
    <row r="21" spans="2:6" x14ac:dyDescent="0.3">
      <c r="F21" s="1"/>
    </row>
    <row r="22" spans="2:6" x14ac:dyDescent="0.3">
      <c r="F22" s="1"/>
    </row>
    <row r="23" spans="2:6" x14ac:dyDescent="0.3">
      <c r="B23" s="143" t="s">
        <v>50</v>
      </c>
      <c r="C23" s="143"/>
      <c r="F23" s="1"/>
    </row>
    <row r="24" spans="2:6" x14ac:dyDescent="0.3">
      <c r="B24" s="97"/>
      <c r="C24" s="98" t="s">
        <v>63</v>
      </c>
      <c r="D24" s="6"/>
      <c r="E24" s="6"/>
      <c r="F24" s="1"/>
    </row>
    <row r="25" spans="2:6" x14ac:dyDescent="0.3">
      <c r="F25" s="1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7259-EDFE-4A47-80C3-803492DB0AB0}">
  <dimension ref="A1:AA25"/>
  <sheetViews>
    <sheetView workbookViewId="0">
      <selection activeCell="O3" sqref="O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O2" s="13">
        <v>46146</v>
      </c>
      <c r="P2" s="101"/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43</v>
      </c>
      <c r="B3" s="192" t="s">
        <v>58</v>
      </c>
      <c r="C3" s="197">
        <v>45883</v>
      </c>
      <c r="D3" s="202">
        <f>$O$2-C3</f>
        <v>263</v>
      </c>
      <c r="E3" s="200">
        <v>119</v>
      </c>
      <c r="F3" s="171" t="s">
        <v>59</v>
      </c>
      <c r="G3" s="160">
        <v>1</v>
      </c>
      <c r="H3" s="186">
        <v>136</v>
      </c>
      <c r="I3" s="187">
        <v>25</v>
      </c>
      <c r="J3" s="119">
        <f>RANK(I3,$I$3:$I$16)+COUNTIF(I$3:$I3,I3)-1</f>
        <v>13</v>
      </c>
      <c r="K3" s="187">
        <v>88</v>
      </c>
      <c r="L3" s="118">
        <f>RANK(K3,$K$3:$K$16)+COUNTIF(K$3:$K3,K3)-1</f>
        <v>7</v>
      </c>
      <c r="M3" s="120">
        <f>(G3+L3)/2</f>
        <v>4</v>
      </c>
      <c r="N3" s="162">
        <f>RANK(M3,$M$3:$M$16,1)+COUNTIF(M$3:$M3,M3)-1</f>
        <v>2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14</v>
      </c>
      <c r="B4" s="145" t="s">
        <v>60</v>
      </c>
      <c r="C4" s="198">
        <v>45850</v>
      </c>
      <c r="D4" s="203">
        <f t="shared" ref="D4:D16" si="0">$O$2-C4</f>
        <v>296</v>
      </c>
      <c r="E4" s="200">
        <v>118</v>
      </c>
      <c r="F4" s="171" t="s">
        <v>59</v>
      </c>
      <c r="G4" s="160">
        <v>2</v>
      </c>
      <c r="H4" s="186">
        <v>203</v>
      </c>
      <c r="I4" s="187">
        <v>25</v>
      </c>
      <c r="J4" s="119">
        <f>RANK(I4,$I$3:$I$16)+COUNTIF(I$3:$I4,I4)-1</f>
        <v>14</v>
      </c>
      <c r="K4" s="187">
        <v>89</v>
      </c>
      <c r="L4" s="118">
        <f>RANK(K4,$K$3:$K$16)+COUNTIF(K$3:$K4,K4)-1</f>
        <v>3</v>
      </c>
      <c r="M4" s="120">
        <f>(G4+L4)/2</f>
        <v>2.5</v>
      </c>
      <c r="N4" s="162">
        <f>RANK(M4,$M$3:$M$16,1)+COUNTIF(M$3:$M4,M4)-1</f>
        <v>1</v>
      </c>
      <c r="P4" s="121" t="s">
        <v>22</v>
      </c>
      <c r="Q4" s="122">
        <f>SUM(Q5:Q9)</f>
        <v>480</v>
      </c>
      <c r="R4" s="104">
        <v>602</v>
      </c>
      <c r="S4" s="105">
        <v>588</v>
      </c>
      <c r="T4" s="123">
        <f>SUM(T5:T9)</f>
        <v>175</v>
      </c>
      <c r="U4" s="104"/>
      <c r="V4" s="105">
        <v>224</v>
      </c>
      <c r="W4" s="101"/>
      <c r="X4" s="101"/>
      <c r="Y4" s="101"/>
    </row>
    <row r="5" spans="1:27" x14ac:dyDescent="0.3">
      <c r="A5" s="99"/>
      <c r="B5" s="171" t="s">
        <v>61</v>
      </c>
      <c r="C5" s="198">
        <v>45873</v>
      </c>
      <c r="D5" s="203">
        <f t="shared" si="0"/>
        <v>273</v>
      </c>
      <c r="E5" s="200">
        <v>117</v>
      </c>
      <c r="F5" s="171" t="s">
        <v>59</v>
      </c>
      <c r="G5" s="160">
        <v>3</v>
      </c>
      <c r="H5" s="186">
        <v>118</v>
      </c>
      <c r="I5" s="187">
        <v>29</v>
      </c>
      <c r="J5" s="119">
        <f>RANK(I5,$I$3:$I$16)+COUNTIF(I$3:$I5,I5)-1</f>
        <v>12</v>
      </c>
      <c r="K5" s="187">
        <v>88</v>
      </c>
      <c r="L5" s="118">
        <f>RANK(K5,$K$3:$K$16)+COUNTIF(K$3:$K5,K5)-1</f>
        <v>8</v>
      </c>
      <c r="M5" s="120">
        <f t="shared" ref="M5:M16" si="1">(G5+L5)/2</f>
        <v>5.5</v>
      </c>
      <c r="N5" s="162">
        <f>RANK(M5,$M$3:$M$16,1)+COUNTIF(M$3:$M5,M5)-1</f>
        <v>3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4" t="s">
        <v>27</v>
      </c>
      <c r="C6" s="198">
        <v>45561</v>
      </c>
      <c r="D6" s="203">
        <f t="shared" si="0"/>
        <v>585</v>
      </c>
      <c r="E6" s="101">
        <v>108</v>
      </c>
      <c r="F6" s="116" t="s">
        <v>16</v>
      </c>
      <c r="G6" s="160">
        <v>4</v>
      </c>
      <c r="H6" s="161">
        <v>216</v>
      </c>
      <c r="I6" s="117">
        <v>67</v>
      </c>
      <c r="J6" s="119">
        <f>RANK(I6,$I$3:$I$16)+COUNTIF(I$3:$I6,I6)-1</f>
        <v>8</v>
      </c>
      <c r="K6" s="117">
        <v>88</v>
      </c>
      <c r="L6" s="118">
        <f>RANK(K6,$K$3:$K$16)+COUNTIF(K$3:$K6,K6)-1</f>
        <v>9</v>
      </c>
      <c r="M6" s="120">
        <f t="shared" si="1"/>
        <v>6.5</v>
      </c>
      <c r="N6" s="162">
        <f>RANK(M6,$M$3:$M$16,1)+COUNTIF(M$3:$M6,M6)-1</f>
        <v>5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14</v>
      </c>
      <c r="B7" s="145" t="s">
        <v>21</v>
      </c>
      <c r="C7" s="198">
        <v>45553</v>
      </c>
      <c r="D7" s="203">
        <f t="shared" si="0"/>
        <v>593</v>
      </c>
      <c r="E7" s="101">
        <v>107</v>
      </c>
      <c r="F7" s="116" t="s">
        <v>16</v>
      </c>
      <c r="G7" s="160">
        <v>5</v>
      </c>
      <c r="H7" s="161">
        <v>366</v>
      </c>
      <c r="I7" s="117">
        <v>85</v>
      </c>
      <c r="J7" s="119">
        <f>RANK(I7,$I$3:$I$16)+COUNTIF(I$3:$I7,I7)-1</f>
        <v>5</v>
      </c>
      <c r="K7" s="117">
        <v>88</v>
      </c>
      <c r="L7" s="118">
        <f>RANK(K7,$K$3:$K$16)+COUNTIF(K$3:$K7,K7)-1</f>
        <v>10</v>
      </c>
      <c r="M7" s="120">
        <f t="shared" si="1"/>
        <v>7.5</v>
      </c>
      <c r="N7" s="162">
        <f>RANK(M7,$M$3:$M$16,1)+COUNTIF(M$3:$M7,M7)-1</f>
        <v>8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14</v>
      </c>
      <c r="B8" s="144" t="s">
        <v>23</v>
      </c>
      <c r="C8" s="198">
        <v>45711</v>
      </c>
      <c r="D8" s="203">
        <f t="shared" si="0"/>
        <v>435</v>
      </c>
      <c r="E8" s="101">
        <v>106</v>
      </c>
      <c r="F8" s="116" t="s">
        <v>16</v>
      </c>
      <c r="G8" s="160">
        <v>6</v>
      </c>
      <c r="H8" s="161">
        <v>136</v>
      </c>
      <c r="I8" s="117">
        <v>45</v>
      </c>
      <c r="J8" s="119">
        <f>RANK(I8,$I$3:$I$16)+COUNTIF(I$3:$I8,I8)-1</f>
        <v>11</v>
      </c>
      <c r="K8" s="117">
        <v>87</v>
      </c>
      <c r="L8" s="118">
        <f>RANK(K8,$K$3:$K$16)+COUNTIF(K$3:$K8,K8)-1</f>
        <v>12</v>
      </c>
      <c r="M8" s="120">
        <f t="shared" si="1"/>
        <v>9</v>
      </c>
      <c r="N8" s="162">
        <f>RANK(M8,$M$3:$M$16,1)+COUNTIF(M$3:$M8,M8)-1</f>
        <v>10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812</v>
      </c>
      <c r="X8" s="101">
        <f>R4+U4</f>
        <v>602</v>
      </c>
      <c r="Y8" s="101"/>
    </row>
    <row r="9" spans="1:27" ht="15" thickBot="1" x14ac:dyDescent="0.35">
      <c r="A9" s="99" t="s">
        <v>14</v>
      </c>
      <c r="B9" s="145" t="s">
        <v>31</v>
      </c>
      <c r="C9" s="198">
        <v>45545</v>
      </c>
      <c r="D9" s="203">
        <f t="shared" si="0"/>
        <v>601</v>
      </c>
      <c r="E9" s="101">
        <v>102</v>
      </c>
      <c r="F9" s="116" t="s">
        <v>38</v>
      </c>
      <c r="G9" s="160">
        <v>7</v>
      </c>
      <c r="H9" s="161">
        <v>322</v>
      </c>
      <c r="I9" s="117">
        <v>95</v>
      </c>
      <c r="J9" s="119">
        <f>RANK(I9,$I$3:$I$16)+COUNTIF(I$3:$I9,I9)-1</f>
        <v>2</v>
      </c>
      <c r="K9" s="117">
        <v>89</v>
      </c>
      <c r="L9" s="118">
        <f>RANK(K9,$K$3:$K$16)+COUNTIF(K$3:$K9,K9)-1</f>
        <v>4</v>
      </c>
      <c r="M9" s="120">
        <f t="shared" si="1"/>
        <v>5.5</v>
      </c>
      <c r="N9" s="162">
        <f>RANK(M9,$M$3:$M$16,1)+COUNTIF(M$3:$M9,M9)-1</f>
        <v>4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210</v>
      </c>
      <c r="Y9" s="101"/>
    </row>
    <row r="10" spans="1:27" x14ac:dyDescent="0.3">
      <c r="A10" s="99" t="s">
        <v>43</v>
      </c>
      <c r="B10" s="145" t="s">
        <v>25</v>
      </c>
      <c r="C10" s="198">
        <v>45418</v>
      </c>
      <c r="D10" s="203">
        <f t="shared" si="0"/>
        <v>728</v>
      </c>
      <c r="E10" s="101">
        <v>100</v>
      </c>
      <c r="F10" s="116" t="s">
        <v>41</v>
      </c>
      <c r="G10" s="160">
        <v>8</v>
      </c>
      <c r="H10" s="161">
        <v>516</v>
      </c>
      <c r="I10" s="117">
        <v>126</v>
      </c>
      <c r="J10" s="119">
        <f>RANK(I10,$I$3:$I$16)+COUNTIF(I$3:$I10,I10)-1</f>
        <v>1</v>
      </c>
      <c r="K10" s="117">
        <v>89</v>
      </c>
      <c r="L10" s="118">
        <f>RANK(K10,$K$3:$K$16)+COUNTIF(K$3:$K10,K10)-1</f>
        <v>5</v>
      </c>
      <c r="M10" s="120">
        <f t="shared" si="1"/>
        <v>6.5</v>
      </c>
      <c r="N10" s="162">
        <f>RANK(M10,$M$3:$M$16,1)+COUNTIF(M$3:$M10,M10)-1</f>
        <v>6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1013</v>
      </c>
      <c r="E11" s="101">
        <v>99</v>
      </c>
      <c r="F11" s="116" t="s">
        <v>41</v>
      </c>
      <c r="G11" s="160">
        <v>9</v>
      </c>
      <c r="H11" s="161">
        <v>330</v>
      </c>
      <c r="I11" s="117">
        <v>87</v>
      </c>
      <c r="J11" s="119">
        <f>RANK(I11,$I$3:$I$16)+COUNTIF(I$3:$I11,I11)-1</f>
        <v>3</v>
      </c>
      <c r="K11" s="117">
        <v>88</v>
      </c>
      <c r="L11" s="118">
        <f>RANK(K11,$K$3:$K$16)+COUNTIF(K$3:$K11,K11)-1</f>
        <v>11</v>
      </c>
      <c r="M11" s="120">
        <f t="shared" si="1"/>
        <v>10</v>
      </c>
      <c r="N11" s="162">
        <f>RANK(M11,$M$3:$M$16,1)+COUNTIF(M$3:$M11,M11)-1</f>
        <v>11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417</v>
      </c>
      <c r="E12" s="101">
        <v>99</v>
      </c>
      <c r="F12" s="116" t="s">
        <v>41</v>
      </c>
      <c r="G12" s="160">
        <v>11</v>
      </c>
      <c r="H12" s="161">
        <v>222</v>
      </c>
      <c r="I12" s="117">
        <v>71</v>
      </c>
      <c r="J12" s="119">
        <f>RANK(I12,$I$3:$I$16)+COUNTIF(I$3:$I12,I12)-1</f>
        <v>7</v>
      </c>
      <c r="K12" s="117">
        <v>87</v>
      </c>
      <c r="L12" s="118">
        <f>RANK(K12,$K$3:$K$16)+COUNTIF(K$3:$K12,K12)-1</f>
        <v>13</v>
      </c>
      <c r="M12" s="120">
        <f t="shared" si="1"/>
        <v>12</v>
      </c>
      <c r="N12" s="162">
        <f>RANK(M12,$M$3:$M$16,1)+COUNTIF(M$3:$M12,M12)-1</f>
        <v>13</v>
      </c>
      <c r="Y12" s="101"/>
    </row>
    <row r="13" spans="1:27" x14ac:dyDescent="0.3">
      <c r="A13" s="99" t="s">
        <v>43</v>
      </c>
      <c r="B13" s="145" t="s">
        <v>42</v>
      </c>
      <c r="C13" s="198">
        <v>45107</v>
      </c>
      <c r="D13" s="203">
        <f t="shared" si="0"/>
        <v>1039</v>
      </c>
      <c r="E13" s="101">
        <v>98</v>
      </c>
      <c r="F13" s="116" t="s">
        <v>41</v>
      </c>
      <c r="G13" s="160">
        <v>12</v>
      </c>
      <c r="H13" s="161">
        <v>458</v>
      </c>
      <c r="I13" s="117">
        <v>87</v>
      </c>
      <c r="J13" s="119">
        <f>RANK(I13,$I$3:$I$16)+COUNTIF(I$3:$I13,I13)-1</f>
        <v>4</v>
      </c>
      <c r="K13" s="117">
        <v>90</v>
      </c>
      <c r="L13" s="118">
        <f>RANK(K13,$K$3:$K$16)+COUNTIF(K$3:$K13,K13)-1</f>
        <v>1</v>
      </c>
      <c r="M13" s="120">
        <f t="shared" si="1"/>
        <v>6.5</v>
      </c>
      <c r="N13" s="162">
        <f>RANK(M13,$M$3:$M$16,1)+COUNTIF(M$3:$M13,M13)-1</f>
        <v>7</v>
      </c>
    </row>
    <row r="14" spans="1:27" x14ac:dyDescent="0.3">
      <c r="A14" s="99" t="s">
        <v>43</v>
      </c>
      <c r="B14" s="145" t="s">
        <v>39</v>
      </c>
      <c r="C14" s="198">
        <v>44955</v>
      </c>
      <c r="D14" s="203">
        <f t="shared" si="0"/>
        <v>1191</v>
      </c>
      <c r="E14" s="101">
        <v>98</v>
      </c>
      <c r="F14" s="116" t="s">
        <v>41</v>
      </c>
      <c r="G14" s="160">
        <v>13</v>
      </c>
      <c r="H14" s="161">
        <v>576</v>
      </c>
      <c r="I14" s="117">
        <v>56</v>
      </c>
      <c r="J14" s="119">
        <f>RANK(I14,$I$3:$I$16)+COUNTIF(I$3:$I14,I14)-1</f>
        <v>10</v>
      </c>
      <c r="K14" s="117">
        <v>87</v>
      </c>
      <c r="L14" s="118">
        <f>RANK(K14,$K$3:$K$16)+COUNTIF(K$3:$K14,K14)-1</f>
        <v>14</v>
      </c>
      <c r="M14" s="120">
        <f t="shared" si="1"/>
        <v>13.5</v>
      </c>
      <c r="N14" s="162">
        <f>RANK(M14,$M$3:$M$16,1)+COUNTIF(M$3:$M14,M14)-1</f>
        <v>14</v>
      </c>
    </row>
    <row r="15" spans="1:27" x14ac:dyDescent="0.3">
      <c r="A15" s="99" t="s">
        <v>14</v>
      </c>
      <c r="B15" s="145" t="s">
        <v>44</v>
      </c>
      <c r="C15" s="198">
        <v>45281</v>
      </c>
      <c r="D15" s="203">
        <f t="shared" si="0"/>
        <v>865</v>
      </c>
      <c r="E15" s="101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9</v>
      </c>
      <c r="K15" s="117">
        <v>89</v>
      </c>
      <c r="L15" s="118">
        <f>RANK(K15,$K$3:$K$16)+COUNTIF(K$3:$K15,K15)-1</f>
        <v>6</v>
      </c>
      <c r="M15" s="120">
        <f t="shared" si="1"/>
        <v>10</v>
      </c>
      <c r="N15" s="162">
        <f>RANK(M15,$M$3:$M$16,1)+COUNTIF(M$3:$M15,M15)-1</f>
        <v>12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1026</v>
      </c>
      <c r="E16" s="201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6</v>
      </c>
      <c r="K16" s="166">
        <v>90</v>
      </c>
      <c r="L16" s="168">
        <f>RANK(K16,$K$3:$K$16)+COUNTIF(K$3:$K16,K16)-1</f>
        <v>2</v>
      </c>
      <c r="M16" s="169">
        <f t="shared" si="1"/>
        <v>8.5</v>
      </c>
      <c r="N16" s="170">
        <f>RANK(M16,$M$3:$M$16,1)+COUNTIF(M$3:$M16,M16)-1</f>
        <v>9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9997-47ED-4CBD-813E-A4B433CE8A5D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46153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14</v>
      </c>
      <c r="B3" s="192" t="s">
        <v>58</v>
      </c>
      <c r="C3" s="197">
        <v>45883</v>
      </c>
      <c r="D3" s="202">
        <f>$P$2-C3</f>
        <v>270</v>
      </c>
      <c r="E3" s="171">
        <v>119</v>
      </c>
      <c r="F3" s="171" t="s">
        <v>59</v>
      </c>
      <c r="G3" s="160">
        <v>1</v>
      </c>
      <c r="H3" s="186">
        <v>170</v>
      </c>
      <c r="I3" s="187">
        <v>29</v>
      </c>
      <c r="J3" s="119">
        <f>RANK(I3,$I$3:$I$16)+COUNTIF(I$3:$I3,I3)-1</f>
        <v>13</v>
      </c>
      <c r="K3" s="187">
        <v>87</v>
      </c>
      <c r="L3" s="118">
        <f>RANK(K3,$K$3:$K$16)+COUNTIF(K$3:$K3,K3)-1</f>
        <v>10</v>
      </c>
      <c r="M3" s="120">
        <f>(G3+L3)/2</f>
        <v>5.5</v>
      </c>
      <c r="N3" s="162">
        <f>RANK(M3,$M$3:$M$16,1)+COUNTIF(M$3:$M3,M3)-1</f>
        <v>5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/>
      <c r="B4" s="171" t="s">
        <v>60</v>
      </c>
      <c r="C4" s="198">
        <v>45850</v>
      </c>
      <c r="D4" s="203">
        <f t="shared" ref="D4:D16" si="0">$P$2-C4</f>
        <v>303</v>
      </c>
      <c r="E4" s="171">
        <v>118</v>
      </c>
      <c r="F4" s="171" t="s">
        <v>59</v>
      </c>
      <c r="G4" s="160">
        <v>2</v>
      </c>
      <c r="H4" s="186">
        <v>203</v>
      </c>
      <c r="I4" s="187">
        <v>25</v>
      </c>
      <c r="J4" s="119">
        <f>RANK(I4,$I$3:$I$16)+COUNTIF(I$3:$I4,I4)-1</f>
        <v>14</v>
      </c>
      <c r="K4" s="187">
        <v>89</v>
      </c>
      <c r="L4" s="118">
        <f>RANK(K4,$K$3:$K$16)+COUNTIF(K$3:$K4,K4)-1</f>
        <v>3</v>
      </c>
      <c r="M4" s="120">
        <f>(G4+L4)/2</f>
        <v>2.5</v>
      </c>
      <c r="N4" s="162">
        <f>RANK(M4,$M$3:$M$16,1)+COUNTIF(M$3:$M4,M4)-1</f>
        <v>1</v>
      </c>
      <c r="P4" s="121" t="s">
        <v>22</v>
      </c>
      <c r="Q4" s="122">
        <f>SUM(Q5:Q9)</f>
        <v>480</v>
      </c>
      <c r="R4" s="104">
        <v>588</v>
      </c>
      <c r="S4" s="105">
        <v>545</v>
      </c>
      <c r="T4" s="123">
        <f>SUM(T5:T9)</f>
        <v>175</v>
      </c>
      <c r="U4" s="104">
        <v>224</v>
      </c>
      <c r="V4" s="105">
        <v>210</v>
      </c>
      <c r="W4" s="101"/>
      <c r="X4" s="101"/>
      <c r="Y4" s="101"/>
    </row>
    <row r="5" spans="1:27" x14ac:dyDescent="0.3">
      <c r="A5" s="99" t="s">
        <v>14</v>
      </c>
      <c r="B5" s="145" t="s">
        <v>61</v>
      </c>
      <c r="C5" s="198">
        <v>45873</v>
      </c>
      <c r="D5" s="203">
        <f t="shared" si="0"/>
        <v>280</v>
      </c>
      <c r="E5" s="171">
        <v>117</v>
      </c>
      <c r="F5" s="171" t="s">
        <v>59</v>
      </c>
      <c r="G5" s="160">
        <v>3</v>
      </c>
      <c r="H5" s="186">
        <v>134</v>
      </c>
      <c r="I5" s="187">
        <v>63</v>
      </c>
      <c r="J5" s="119">
        <f>RANK(I5,$I$3:$I$16)+COUNTIF(I$3:$I5,I5)-1</f>
        <v>7</v>
      </c>
      <c r="K5" s="187">
        <v>87</v>
      </c>
      <c r="L5" s="118">
        <f>RANK(K5,$K$3:$K$16)+COUNTIF(K$3:$K5,K5)-1</f>
        <v>11</v>
      </c>
      <c r="M5" s="120">
        <f t="shared" ref="M5:M16" si="1">(G5+L5)/2</f>
        <v>7</v>
      </c>
      <c r="N5" s="162">
        <f>RANK(M5,$M$3:$M$16,1)+COUNTIF(M$3:$M5,M5)-1</f>
        <v>6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43</v>
      </c>
      <c r="B6" s="144" t="s">
        <v>27</v>
      </c>
      <c r="C6" s="198">
        <v>45561</v>
      </c>
      <c r="D6" s="203">
        <f t="shared" si="0"/>
        <v>592</v>
      </c>
      <c r="E6" s="116">
        <v>108</v>
      </c>
      <c r="F6" s="116" t="s">
        <v>16</v>
      </c>
      <c r="G6" s="160">
        <v>4</v>
      </c>
      <c r="H6" s="161">
        <v>180</v>
      </c>
      <c r="I6" s="117">
        <v>32</v>
      </c>
      <c r="J6" s="119">
        <f>RANK(I6,$I$3:$I$16)+COUNTIF(I$3:$I6,I6)-1</f>
        <v>12</v>
      </c>
      <c r="K6" s="117">
        <v>89</v>
      </c>
      <c r="L6" s="118">
        <f>RANK(K6,$K$3:$K$16)+COUNTIF(K$3:$K6,K6)-1</f>
        <v>4</v>
      </c>
      <c r="M6" s="120">
        <f t="shared" si="1"/>
        <v>4</v>
      </c>
      <c r="N6" s="162">
        <f>RANK(M6,$M$3:$M$16,1)+COUNTIF(M$3:$M6,M6)-1</f>
        <v>2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14</v>
      </c>
      <c r="B7" s="145" t="s">
        <v>21</v>
      </c>
      <c r="C7" s="198">
        <v>45553</v>
      </c>
      <c r="D7" s="203">
        <f t="shared" si="0"/>
        <v>600</v>
      </c>
      <c r="E7" s="116">
        <v>107</v>
      </c>
      <c r="F7" s="116" t="s">
        <v>16</v>
      </c>
      <c r="G7" s="160">
        <v>5</v>
      </c>
      <c r="H7" s="161">
        <v>258</v>
      </c>
      <c r="I7" s="117">
        <v>54</v>
      </c>
      <c r="J7" s="119">
        <f>RANK(I7,$I$3:$I$16)+COUNTIF(I$3:$I7,I7)-1</f>
        <v>10</v>
      </c>
      <c r="K7" s="117">
        <v>89</v>
      </c>
      <c r="L7" s="118">
        <f>RANK(K7,$K$3:$K$16)+COUNTIF(K$3:$K7,K7)-1</f>
        <v>5</v>
      </c>
      <c r="M7" s="120">
        <f t="shared" si="1"/>
        <v>5</v>
      </c>
      <c r="N7" s="162">
        <f>RANK(M7,$M$3:$M$16,1)+COUNTIF(M$3:$M7,M7)-1</f>
        <v>4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43</v>
      </c>
      <c r="B8" s="144" t="s">
        <v>23</v>
      </c>
      <c r="C8" s="198">
        <v>45711</v>
      </c>
      <c r="D8" s="203">
        <f t="shared" si="0"/>
        <v>442</v>
      </c>
      <c r="E8" s="116">
        <v>106</v>
      </c>
      <c r="F8" s="116" t="s">
        <v>16</v>
      </c>
      <c r="G8" s="160">
        <v>6</v>
      </c>
      <c r="H8" s="161">
        <v>178</v>
      </c>
      <c r="I8" s="117">
        <v>51</v>
      </c>
      <c r="J8" s="119">
        <f>RANK(I8,$I$3:$I$16)+COUNTIF(I$3:$I8,I8)-1</f>
        <v>11</v>
      </c>
      <c r="K8" s="117">
        <v>87</v>
      </c>
      <c r="L8" s="118">
        <f>RANK(K8,$K$3:$K$16)+COUNTIF(K$3:$K8,K8)-1</f>
        <v>12</v>
      </c>
      <c r="M8" s="120">
        <f t="shared" si="1"/>
        <v>9</v>
      </c>
      <c r="N8" s="162">
        <f>RANK(M8,$M$3:$M$16,1)+COUNTIF(M$3:$M8,M8)-1</f>
        <v>10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755</v>
      </c>
      <c r="X8" s="101">
        <f>R4+U4</f>
        <v>812</v>
      </c>
      <c r="Y8" s="101"/>
    </row>
    <row r="9" spans="1:27" ht="15" thickBot="1" x14ac:dyDescent="0.35">
      <c r="A9" s="99" t="s">
        <v>14</v>
      </c>
      <c r="B9" s="145" t="s">
        <v>31</v>
      </c>
      <c r="C9" s="198">
        <v>45545</v>
      </c>
      <c r="D9" s="203">
        <f t="shared" si="0"/>
        <v>608</v>
      </c>
      <c r="E9" s="116">
        <v>102</v>
      </c>
      <c r="F9" s="116" t="s">
        <v>38</v>
      </c>
      <c r="G9" s="160">
        <v>7</v>
      </c>
      <c r="H9" s="161">
        <v>420</v>
      </c>
      <c r="I9" s="117">
        <v>101</v>
      </c>
      <c r="J9" s="119">
        <f>RANK(I9,$I$3:$I$16)+COUNTIF(I$3:$I9,I9)-1</f>
        <v>2</v>
      </c>
      <c r="K9" s="117">
        <v>90</v>
      </c>
      <c r="L9" s="118">
        <f>RANK(K9,$K$3:$K$16)+COUNTIF(K$3:$K9,K9)-1</f>
        <v>1</v>
      </c>
      <c r="M9" s="120">
        <f t="shared" si="1"/>
        <v>4</v>
      </c>
      <c r="N9" s="162">
        <f>RANK(M9,$M$3:$M$16,1)+COUNTIF(M$3:$M9,M9)-1</f>
        <v>3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-57</v>
      </c>
      <c r="Y9" s="101"/>
    </row>
    <row r="10" spans="1:27" x14ac:dyDescent="0.3">
      <c r="A10" s="99" t="s">
        <v>20</v>
      </c>
      <c r="B10" s="145" t="s">
        <v>25</v>
      </c>
      <c r="C10" s="198">
        <v>45418</v>
      </c>
      <c r="D10" s="203">
        <f t="shared" si="0"/>
        <v>735</v>
      </c>
      <c r="E10" s="116">
        <v>100</v>
      </c>
      <c r="F10" s="116" t="s">
        <v>41</v>
      </c>
      <c r="G10" s="160">
        <v>8</v>
      </c>
      <c r="H10" s="161">
        <v>464</v>
      </c>
      <c r="I10" s="117">
        <v>86</v>
      </c>
      <c r="J10" s="119">
        <f>RANK(I10,$I$3:$I$16)+COUNTIF(I$3:$I10,I10)-1</f>
        <v>4</v>
      </c>
      <c r="K10" s="117">
        <v>89</v>
      </c>
      <c r="L10" s="118">
        <f>RANK(K10,$K$3:$K$16)+COUNTIF(K$3:$K10,K10)-1</f>
        <v>6</v>
      </c>
      <c r="M10" s="120">
        <f t="shared" si="1"/>
        <v>7</v>
      </c>
      <c r="N10" s="162">
        <f>RANK(M10,$M$3:$M$16,1)+COUNTIF(M$3:$M10,M10)-1</f>
        <v>7</v>
      </c>
      <c r="Y10" s="101"/>
    </row>
    <row r="11" spans="1:27" x14ac:dyDescent="0.3">
      <c r="A11" s="99" t="s">
        <v>14</v>
      </c>
      <c r="B11" s="144" t="s">
        <v>37</v>
      </c>
      <c r="C11" s="198">
        <v>45133</v>
      </c>
      <c r="D11" s="203">
        <f t="shared" si="0"/>
        <v>1020</v>
      </c>
      <c r="E11" s="116">
        <v>99</v>
      </c>
      <c r="F11" s="116" t="s">
        <v>41</v>
      </c>
      <c r="G11" s="160">
        <v>9</v>
      </c>
      <c r="H11" s="161">
        <v>374</v>
      </c>
      <c r="I11" s="117">
        <v>98</v>
      </c>
      <c r="J11" s="119">
        <f>RANK(I11,$I$3:$I$16)+COUNTIF(I$3:$I11,I11)-1</f>
        <v>3</v>
      </c>
      <c r="K11" s="117">
        <v>88</v>
      </c>
      <c r="L11" s="118">
        <f>RANK(K11,$K$3:$K$16)+COUNTIF(K$3:$K11,K11)-1</f>
        <v>8</v>
      </c>
      <c r="M11" s="120">
        <f t="shared" si="1"/>
        <v>8.5</v>
      </c>
      <c r="N11" s="162">
        <f>RANK(M11,$M$3:$M$16,1)+COUNTIF(M$3:$M11,M11)-1</f>
        <v>8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424</v>
      </c>
      <c r="E12" s="116">
        <v>99</v>
      </c>
      <c r="F12" s="116" t="s">
        <v>41</v>
      </c>
      <c r="G12" s="160">
        <v>11</v>
      </c>
      <c r="H12" s="161">
        <v>150</v>
      </c>
      <c r="I12" s="117">
        <v>56</v>
      </c>
      <c r="J12" s="119">
        <f>RANK(I12,$I$3:$I$16)+COUNTIF(I$3:$I12,I12)-1</f>
        <v>9</v>
      </c>
      <c r="K12" s="117">
        <v>87</v>
      </c>
      <c r="L12" s="118">
        <f>RANK(K12,$K$3:$K$16)+COUNTIF(K$3:$K12,K12)-1</f>
        <v>13</v>
      </c>
      <c r="M12" s="120">
        <f t="shared" si="1"/>
        <v>12</v>
      </c>
      <c r="N12" s="162">
        <f>RANK(M12,$M$3:$M$16,1)+COUNTIF(M$3:$M12,M12)-1</f>
        <v>13</v>
      </c>
      <c r="Y12" s="101"/>
    </row>
    <row r="13" spans="1:27" x14ac:dyDescent="0.3">
      <c r="A13" s="99" t="s">
        <v>20</v>
      </c>
      <c r="B13" s="145" t="s">
        <v>42</v>
      </c>
      <c r="C13" s="198">
        <v>45107</v>
      </c>
      <c r="D13" s="203">
        <f t="shared" si="0"/>
        <v>1046</v>
      </c>
      <c r="E13" s="116">
        <v>98</v>
      </c>
      <c r="F13" s="116" t="s">
        <v>41</v>
      </c>
      <c r="G13" s="160">
        <v>12</v>
      </c>
      <c r="H13" s="161">
        <v>398</v>
      </c>
      <c r="I13" s="117">
        <v>103</v>
      </c>
      <c r="J13" s="119">
        <f>RANK(I13,$I$3:$I$16)+COUNTIF(I$3:$I13,I13)-1</f>
        <v>1</v>
      </c>
      <c r="K13" s="117">
        <v>87</v>
      </c>
      <c r="L13" s="118">
        <f>RANK(K13,$K$3:$K$16)+COUNTIF(K$3:$K13,K13)-1</f>
        <v>14</v>
      </c>
      <c r="M13" s="120">
        <f t="shared" si="1"/>
        <v>13</v>
      </c>
      <c r="N13" s="162">
        <f>RANK(M13,$M$3:$M$16,1)+COUNTIF(M$3:$M13,M13)-1</f>
        <v>14</v>
      </c>
    </row>
    <row r="14" spans="1:27" x14ac:dyDescent="0.3">
      <c r="A14" s="99" t="s">
        <v>14</v>
      </c>
      <c r="B14" s="145" t="s">
        <v>39</v>
      </c>
      <c r="C14" s="198">
        <v>44955</v>
      </c>
      <c r="D14" s="203">
        <f t="shared" si="0"/>
        <v>1198</v>
      </c>
      <c r="E14" s="116">
        <v>98</v>
      </c>
      <c r="F14" s="116" t="s">
        <v>41</v>
      </c>
      <c r="G14" s="160">
        <v>13</v>
      </c>
      <c r="H14" s="161">
        <v>650</v>
      </c>
      <c r="I14" s="117">
        <v>82</v>
      </c>
      <c r="J14" s="119">
        <f>RANK(I14,$I$3:$I$16)+COUNTIF(I$3:$I14,I14)-1</f>
        <v>5</v>
      </c>
      <c r="K14" s="117">
        <v>88</v>
      </c>
      <c r="L14" s="118">
        <f>RANK(K14,$K$3:$K$16)+COUNTIF(K$3:$K14,K14)-1</f>
        <v>9</v>
      </c>
      <c r="M14" s="120">
        <f t="shared" si="1"/>
        <v>11</v>
      </c>
      <c r="N14" s="162">
        <f>RANK(M14,$M$3:$M$16,1)+COUNTIF(M$3:$M14,M14)-1</f>
        <v>12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872</v>
      </c>
      <c r="E15" s="116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8</v>
      </c>
      <c r="K15" s="117">
        <v>89</v>
      </c>
      <c r="L15" s="118">
        <f>RANK(K15,$K$3:$K$16)+COUNTIF(K$3:$K15,K15)-1</f>
        <v>7</v>
      </c>
      <c r="M15" s="120">
        <f t="shared" si="1"/>
        <v>10.5</v>
      </c>
      <c r="N15" s="162">
        <f>RANK(M15,$M$3:$M$16,1)+COUNTIF(M$3:$M15,M15)-1</f>
        <v>11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1033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6</v>
      </c>
      <c r="K16" s="166">
        <v>90</v>
      </c>
      <c r="L16" s="168">
        <f>RANK(K16,$K$3:$K$16)+COUNTIF(K$3:$K16,K16)-1</f>
        <v>2</v>
      </c>
      <c r="M16" s="169">
        <f t="shared" si="1"/>
        <v>8.5</v>
      </c>
      <c r="N16" s="170">
        <f>RANK(M16,$M$3:$M$16,1)+COUNTIF(M$3:$M16,M16)-1</f>
        <v>9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D707-2A98-4D78-83AA-56DAAE19FE76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46160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43</v>
      </c>
      <c r="B3" s="192" t="s">
        <v>58</v>
      </c>
      <c r="C3" s="197">
        <v>45883</v>
      </c>
      <c r="D3" s="202">
        <f>$P$2-C3</f>
        <v>277</v>
      </c>
      <c r="E3" s="171">
        <v>119</v>
      </c>
      <c r="F3" s="171" t="s">
        <v>59</v>
      </c>
      <c r="G3" s="160">
        <v>1</v>
      </c>
      <c r="H3" s="186">
        <v>106</v>
      </c>
      <c r="I3" s="187">
        <v>48</v>
      </c>
      <c r="J3" s="119">
        <f>RANK(I3,$I$3:$I$16)+COUNTIF(I$3:$I3,I3)-1</f>
        <v>11</v>
      </c>
      <c r="K3" s="187">
        <v>87</v>
      </c>
      <c r="L3" s="118">
        <f>RANK(K3,$K$3:$K$16)+COUNTIF(K$3:$K3,K3)-1</f>
        <v>7</v>
      </c>
      <c r="M3" s="120">
        <f>(G3+L3)/2</f>
        <v>4</v>
      </c>
      <c r="N3" s="162">
        <f>RANK(M3,$M$3:$M$16,1)+COUNTIF(M$3:$M3,M3)-1</f>
        <v>2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/>
      <c r="B4" s="171" t="s">
        <v>60</v>
      </c>
      <c r="C4" s="198">
        <v>45850</v>
      </c>
      <c r="D4" s="203">
        <f t="shared" ref="D4:D16" si="0">$P$2-C4</f>
        <v>310</v>
      </c>
      <c r="E4" s="171">
        <v>118</v>
      </c>
      <c r="F4" s="171" t="s">
        <v>59</v>
      </c>
      <c r="G4" s="160">
        <v>2</v>
      </c>
      <c r="H4" s="186">
        <v>203</v>
      </c>
      <c r="I4" s="187">
        <v>25</v>
      </c>
      <c r="J4" s="119">
        <f>RANK(I4,$I$3:$I$16)+COUNTIF(I$3:$I4,I4)-1</f>
        <v>14</v>
      </c>
      <c r="K4" s="187">
        <v>88</v>
      </c>
      <c r="L4" s="118">
        <f>RANK(K4,$K$3:$K$16)+COUNTIF(K$3:$K4,K4)-1</f>
        <v>6</v>
      </c>
      <c r="M4" s="120">
        <f>(G4+L4)/2</f>
        <v>4</v>
      </c>
      <c r="N4" s="162">
        <f>RANK(M4,$M$3:$M$16,1)+COUNTIF(M$3:$M4,M4)-1</f>
        <v>3</v>
      </c>
      <c r="P4" s="121" t="s">
        <v>22</v>
      </c>
      <c r="Q4" s="122">
        <f>SUM(Q5:Q9)</f>
        <v>480</v>
      </c>
      <c r="R4" s="104">
        <v>545</v>
      </c>
      <c r="S4" s="105">
        <v>565</v>
      </c>
      <c r="T4" s="123">
        <f>SUM(T5:T9)</f>
        <v>175</v>
      </c>
      <c r="U4" s="104">
        <v>210</v>
      </c>
      <c r="V4" s="105">
        <v>258</v>
      </c>
      <c r="W4" s="101"/>
      <c r="X4" s="101"/>
      <c r="Y4" s="101"/>
    </row>
    <row r="5" spans="1:27" x14ac:dyDescent="0.3">
      <c r="A5" s="99" t="s">
        <v>20</v>
      </c>
      <c r="B5" s="145" t="s">
        <v>61</v>
      </c>
      <c r="C5" s="198">
        <v>45873</v>
      </c>
      <c r="D5" s="203">
        <f t="shared" si="0"/>
        <v>287</v>
      </c>
      <c r="E5" s="171">
        <v>117</v>
      </c>
      <c r="F5" s="171" t="s">
        <v>59</v>
      </c>
      <c r="G5" s="160">
        <v>3</v>
      </c>
      <c r="H5" s="186">
        <v>150</v>
      </c>
      <c r="I5" s="187">
        <v>57</v>
      </c>
      <c r="J5" s="119">
        <f>RANK(I5,$I$3:$I$16)+COUNTIF(I$3:$I5,I5)-1</f>
        <v>9</v>
      </c>
      <c r="K5" s="187">
        <v>90</v>
      </c>
      <c r="L5" s="118">
        <f>RANK(K5,$K$3:$K$16)+COUNTIF(K$3:$K5,K5)-1</f>
        <v>1</v>
      </c>
      <c r="M5" s="120">
        <f t="shared" ref="M5:M16" si="1">(G5+L5)/2</f>
        <v>2</v>
      </c>
      <c r="N5" s="162">
        <f>RANK(M5,$M$3:$M$16,1)+COUNTIF(M$3:$M5,M5)-1</f>
        <v>1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4" t="s">
        <v>27</v>
      </c>
      <c r="C6" s="198">
        <v>45561</v>
      </c>
      <c r="D6" s="203">
        <f t="shared" si="0"/>
        <v>599</v>
      </c>
      <c r="E6" s="116">
        <v>108</v>
      </c>
      <c r="F6" s="116" t="s">
        <v>16</v>
      </c>
      <c r="G6" s="160">
        <v>4</v>
      </c>
      <c r="H6" s="161">
        <v>218</v>
      </c>
      <c r="I6" s="117">
        <v>71</v>
      </c>
      <c r="J6" s="119">
        <f>RANK(I6,$I$3:$I$16)+COUNTIF(I$3:$I6,I6)-1</f>
        <v>8</v>
      </c>
      <c r="K6" s="117">
        <v>87</v>
      </c>
      <c r="L6" s="118">
        <f>RANK(K6,$K$3:$K$16)+COUNTIF(K$3:$K6,K6)-1</f>
        <v>8</v>
      </c>
      <c r="M6" s="120">
        <f t="shared" si="1"/>
        <v>6</v>
      </c>
      <c r="N6" s="162">
        <f>RANK(M6,$M$3:$M$16,1)+COUNTIF(M$3:$M6,M6)-1</f>
        <v>5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20</v>
      </c>
      <c r="B7" s="145" t="s">
        <v>21</v>
      </c>
      <c r="C7" s="198">
        <v>45553</v>
      </c>
      <c r="D7" s="203">
        <f t="shared" si="0"/>
        <v>607</v>
      </c>
      <c r="E7" s="116">
        <v>107</v>
      </c>
      <c r="F7" s="116" t="s">
        <v>16</v>
      </c>
      <c r="G7" s="160">
        <v>5</v>
      </c>
      <c r="H7" s="161">
        <v>382</v>
      </c>
      <c r="I7" s="117">
        <v>76</v>
      </c>
      <c r="J7" s="119">
        <f>RANK(I7,$I$3:$I$16)+COUNTIF(I$3:$I7,I7)-1</f>
        <v>7</v>
      </c>
      <c r="K7" s="117">
        <v>87</v>
      </c>
      <c r="L7" s="118">
        <f>RANK(K7,$K$3:$K$16)+COUNTIF(K$3:$K7,K7)-1</f>
        <v>9</v>
      </c>
      <c r="M7" s="120">
        <f t="shared" si="1"/>
        <v>7</v>
      </c>
      <c r="N7" s="162">
        <f>RANK(M7,$M$3:$M$16,1)+COUNTIF(M$3:$M7,M7)-1</f>
        <v>6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14</v>
      </c>
      <c r="B8" s="144" t="s">
        <v>23</v>
      </c>
      <c r="C8" s="198">
        <v>45711</v>
      </c>
      <c r="D8" s="203">
        <f t="shared" si="0"/>
        <v>449</v>
      </c>
      <c r="E8" s="116">
        <v>106</v>
      </c>
      <c r="F8" s="116" t="s">
        <v>16</v>
      </c>
      <c r="G8" s="160">
        <v>6</v>
      </c>
      <c r="H8" s="161">
        <v>106</v>
      </c>
      <c r="I8" s="117">
        <v>48</v>
      </c>
      <c r="J8" s="119">
        <f>RANK(I8,$I$3:$I$16)+COUNTIF(I$3:$I8,I8)-1</f>
        <v>12</v>
      </c>
      <c r="K8" s="117">
        <v>87</v>
      </c>
      <c r="L8" s="118">
        <f>RANK(K8,$K$3:$K$16)+COUNTIF(K$3:$K8,K8)-1</f>
        <v>10</v>
      </c>
      <c r="M8" s="120">
        <f t="shared" si="1"/>
        <v>8</v>
      </c>
      <c r="N8" s="162">
        <f>RANK(M8,$M$3:$M$16,1)+COUNTIF(M$3:$M8,M8)-1</f>
        <v>7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823</v>
      </c>
      <c r="X8" s="101">
        <f>R4+U4</f>
        <v>755</v>
      </c>
      <c r="Y8" s="101"/>
    </row>
    <row r="9" spans="1:27" ht="15" thickBot="1" x14ac:dyDescent="0.35">
      <c r="A9" s="99" t="s">
        <v>20</v>
      </c>
      <c r="B9" s="145" t="s">
        <v>31</v>
      </c>
      <c r="C9" s="198">
        <v>45545</v>
      </c>
      <c r="D9" s="203">
        <f t="shared" si="0"/>
        <v>615</v>
      </c>
      <c r="E9" s="116">
        <v>102</v>
      </c>
      <c r="F9" s="116" t="s">
        <v>38</v>
      </c>
      <c r="G9" s="160">
        <v>7</v>
      </c>
      <c r="H9" s="161">
        <v>344</v>
      </c>
      <c r="I9" s="117">
        <v>110</v>
      </c>
      <c r="J9" s="119">
        <f>RANK(I9,$I$3:$I$16)+COUNTIF(I$3:$I9,I9)-1</f>
        <v>2</v>
      </c>
      <c r="K9" s="117">
        <v>86</v>
      </c>
      <c r="L9" s="118">
        <f>RANK(K9,$K$3:$K$16)+COUNTIF(K$3:$K9,K9)-1</f>
        <v>14</v>
      </c>
      <c r="M9" s="120">
        <f t="shared" si="1"/>
        <v>10.5</v>
      </c>
      <c r="N9" s="162">
        <f>RANK(M9,$M$3:$M$16,1)+COUNTIF(M$3:$M9,M9)-1</f>
        <v>12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68</v>
      </c>
      <c r="Y9" s="101"/>
    </row>
    <row r="10" spans="1:27" x14ac:dyDescent="0.3">
      <c r="A10" s="99" t="s">
        <v>43</v>
      </c>
      <c r="B10" s="145" t="s">
        <v>25</v>
      </c>
      <c r="C10" s="198">
        <v>45418</v>
      </c>
      <c r="D10" s="203">
        <f t="shared" si="0"/>
        <v>742</v>
      </c>
      <c r="E10" s="116">
        <v>100</v>
      </c>
      <c r="F10" s="116" t="s">
        <v>41</v>
      </c>
      <c r="G10" s="160">
        <v>8</v>
      </c>
      <c r="H10" s="161">
        <v>486</v>
      </c>
      <c r="I10" s="117">
        <v>116</v>
      </c>
      <c r="J10" s="119">
        <f>RANK(I10,$I$3:$I$16)+COUNTIF(I$3:$I10,I10)-1</f>
        <v>1</v>
      </c>
      <c r="K10" s="117">
        <v>89</v>
      </c>
      <c r="L10" s="118">
        <f>RANK(K10,$K$3:$K$16)+COUNTIF(K$3:$K10,K10)-1</f>
        <v>3</v>
      </c>
      <c r="M10" s="120">
        <f t="shared" si="1"/>
        <v>5.5</v>
      </c>
      <c r="N10" s="162">
        <f>RANK(M10,$M$3:$M$16,1)+COUNTIF(M$3:$M10,M10)-1</f>
        <v>4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1027</v>
      </c>
      <c r="E11" s="116">
        <v>99</v>
      </c>
      <c r="F11" s="116" t="s">
        <v>41</v>
      </c>
      <c r="G11" s="160">
        <v>9</v>
      </c>
      <c r="H11" s="161">
        <v>390</v>
      </c>
      <c r="I11" s="117">
        <v>91</v>
      </c>
      <c r="J11" s="119">
        <f>RANK(I11,$I$3:$I$16)+COUNTIF(I$3:$I11,I11)-1</f>
        <v>3</v>
      </c>
      <c r="K11" s="117">
        <v>87</v>
      </c>
      <c r="L11" s="118">
        <f>RANK(K11,$K$3:$K$16)+COUNTIF(K$3:$K11,K11)-1</f>
        <v>11</v>
      </c>
      <c r="M11" s="120">
        <f t="shared" si="1"/>
        <v>10</v>
      </c>
      <c r="N11" s="162">
        <f>RANK(M11,$M$3:$M$16,1)+COUNTIF(M$3:$M11,M11)-1</f>
        <v>11</v>
      </c>
      <c r="Y11" s="101"/>
    </row>
    <row r="12" spans="1:27" x14ac:dyDescent="0.3">
      <c r="A12" s="99" t="s">
        <v>20</v>
      </c>
      <c r="B12" s="145" t="s">
        <v>36</v>
      </c>
      <c r="C12" s="198">
        <v>45729</v>
      </c>
      <c r="D12" s="203">
        <f t="shared" si="0"/>
        <v>431</v>
      </c>
      <c r="E12" s="116">
        <v>99</v>
      </c>
      <c r="F12" s="116" t="s">
        <v>41</v>
      </c>
      <c r="G12" s="160">
        <v>11</v>
      </c>
      <c r="H12" s="161">
        <v>200</v>
      </c>
      <c r="I12" s="117">
        <v>41</v>
      </c>
      <c r="J12" s="119">
        <f>RANK(I12,$I$3:$I$16)+COUNTIF(I$3:$I12,I12)-1</f>
        <v>13</v>
      </c>
      <c r="K12" s="117">
        <v>87</v>
      </c>
      <c r="L12" s="118">
        <f>RANK(K12,$K$3:$K$16)+COUNTIF(K$3:$K12,K12)-1</f>
        <v>12</v>
      </c>
      <c r="M12" s="120">
        <f t="shared" si="1"/>
        <v>11.5</v>
      </c>
      <c r="N12" s="162">
        <f>RANK(M12,$M$3:$M$16,1)+COUNTIF(M$3:$M12,M12)-1</f>
        <v>13</v>
      </c>
      <c r="Y12" s="101"/>
    </row>
    <row r="13" spans="1:27" x14ac:dyDescent="0.3">
      <c r="A13" s="99" t="s">
        <v>43</v>
      </c>
      <c r="B13" s="145" t="s">
        <v>42</v>
      </c>
      <c r="C13" s="198">
        <v>45107</v>
      </c>
      <c r="D13" s="203">
        <f t="shared" si="0"/>
        <v>1053</v>
      </c>
      <c r="E13" s="116">
        <v>98</v>
      </c>
      <c r="F13" s="116" t="s">
        <v>41</v>
      </c>
      <c r="G13" s="160">
        <v>12</v>
      </c>
      <c r="H13" s="161">
        <v>234</v>
      </c>
      <c r="I13" s="117">
        <v>78</v>
      </c>
      <c r="J13" s="119">
        <f>RANK(I13,$I$3:$I$16)+COUNTIF(I$3:$I13,I13)-1</f>
        <v>6</v>
      </c>
      <c r="K13" s="117">
        <v>87</v>
      </c>
      <c r="L13" s="118">
        <f>RANK(K13,$K$3:$K$16)+COUNTIF(K$3:$K13,K13)-1</f>
        <v>13</v>
      </c>
      <c r="M13" s="120">
        <f t="shared" si="1"/>
        <v>12.5</v>
      </c>
      <c r="N13" s="162">
        <f>RANK(M13,$M$3:$M$16,1)+COUNTIF(M$3:$M13,M13)-1</f>
        <v>14</v>
      </c>
    </row>
    <row r="14" spans="1:27" x14ac:dyDescent="0.3">
      <c r="A14" s="99" t="s">
        <v>43</v>
      </c>
      <c r="B14" s="145" t="s">
        <v>39</v>
      </c>
      <c r="C14" s="198">
        <v>44955</v>
      </c>
      <c r="D14" s="203">
        <f t="shared" si="0"/>
        <v>1205</v>
      </c>
      <c r="E14" s="116">
        <v>98</v>
      </c>
      <c r="F14" s="116" t="s">
        <v>41</v>
      </c>
      <c r="G14" s="160">
        <v>13</v>
      </c>
      <c r="H14" s="161">
        <v>622</v>
      </c>
      <c r="I14" s="117">
        <v>87</v>
      </c>
      <c r="J14" s="119">
        <f>RANK(I14,$I$3:$I$16)+COUNTIF(I$3:$I14,I14)-1</f>
        <v>4</v>
      </c>
      <c r="K14" s="117">
        <v>89</v>
      </c>
      <c r="L14" s="118">
        <f>RANK(K14,$K$3:$K$16)+COUNTIF(K$3:$K14,K14)-1</f>
        <v>4</v>
      </c>
      <c r="M14" s="120">
        <f t="shared" si="1"/>
        <v>8.5</v>
      </c>
      <c r="N14" s="162">
        <f>RANK(M14,$M$3:$M$16,1)+COUNTIF(M$3:$M14,M14)-1</f>
        <v>8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879</v>
      </c>
      <c r="E15" s="116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10</v>
      </c>
      <c r="K15" s="117">
        <v>89</v>
      </c>
      <c r="L15" s="118">
        <f>RANK(K15,$K$3:$K$16)+COUNTIF(K$3:$K15,K15)-1</f>
        <v>5</v>
      </c>
      <c r="M15" s="120">
        <f t="shared" si="1"/>
        <v>9.5</v>
      </c>
      <c r="N15" s="162">
        <f>RANK(M15,$M$3:$M$16,1)+COUNTIF(M$3:$M15,M15)-1</f>
        <v>10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1040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5</v>
      </c>
      <c r="K16" s="166">
        <v>90</v>
      </c>
      <c r="L16" s="168">
        <f>RANK(K16,$K$3:$K$16)+COUNTIF(K$3:$K16,K16)-1</f>
        <v>2</v>
      </c>
      <c r="M16" s="169">
        <f t="shared" si="1"/>
        <v>8.5</v>
      </c>
      <c r="N16" s="170">
        <f>RANK(M16,$M$3:$M$16,1)+COUNTIF(M$3:$M16,M16)-1</f>
        <v>9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3C89-89BA-435F-8823-DFCF6A339ED7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46167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20</v>
      </c>
      <c r="B3" s="192" t="s">
        <v>58</v>
      </c>
      <c r="C3" s="197">
        <v>45883</v>
      </c>
      <c r="D3" s="202">
        <f>$P$2-C3</f>
        <v>284</v>
      </c>
      <c r="E3" s="171">
        <v>119</v>
      </c>
      <c r="F3" s="171" t="s">
        <v>59</v>
      </c>
      <c r="G3" s="160">
        <v>1</v>
      </c>
      <c r="H3" s="186">
        <v>194</v>
      </c>
      <c r="I3" s="187">
        <v>42</v>
      </c>
      <c r="J3" s="119">
        <f>RANK(I3,$I$3:$I$16)+COUNTIF(I$3:$I3,I3)-1</f>
        <v>11</v>
      </c>
      <c r="K3" s="187">
        <v>88</v>
      </c>
      <c r="L3" s="118">
        <f>RANK(K3,$K$3:$K$16)+COUNTIF(K$3:$K3,K3)-1</f>
        <v>5</v>
      </c>
      <c r="M3" s="120">
        <f>(G3+L3)/2</f>
        <v>3</v>
      </c>
      <c r="N3" s="162">
        <f>RANK(M3,$M$3:$M$16,1)+COUNTIF(M$3:$M3,M3)-1</f>
        <v>2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20</v>
      </c>
      <c r="B4" s="145" t="s">
        <v>60</v>
      </c>
      <c r="C4" s="198">
        <v>45850</v>
      </c>
      <c r="D4" s="203">
        <f t="shared" ref="D4:D16" si="0">$P$2-C4</f>
        <v>317</v>
      </c>
      <c r="E4" s="171">
        <v>118</v>
      </c>
      <c r="F4" s="171" t="s">
        <v>59</v>
      </c>
      <c r="G4" s="160">
        <v>2</v>
      </c>
      <c r="H4" s="186">
        <v>200</v>
      </c>
      <c r="I4" s="187">
        <v>17</v>
      </c>
      <c r="J4" s="119">
        <f>RANK(I4,$I$3:$I$16)+COUNTIF(I$3:$I4,I4)-1</f>
        <v>14</v>
      </c>
      <c r="K4" s="187">
        <v>89</v>
      </c>
      <c r="L4" s="118">
        <f>RANK(K4,$K$3:$K$16)+COUNTIF(K$3:$K4,K4)-1</f>
        <v>3</v>
      </c>
      <c r="M4" s="120">
        <f>(G4+L4)/2</f>
        <v>2.5</v>
      </c>
      <c r="N4" s="162">
        <f>RANK(M4,$M$3:$M$16,1)+COUNTIF(M$3:$M4,M4)-1</f>
        <v>1</v>
      </c>
      <c r="P4" s="121" t="s">
        <v>22</v>
      </c>
      <c r="Q4" s="122">
        <f>SUM(Q5:Q9)</f>
        <v>480</v>
      </c>
      <c r="R4" s="104">
        <v>565</v>
      </c>
      <c r="S4" s="105">
        <v>493</v>
      </c>
      <c r="T4" s="123">
        <f>SUM(T5:T9)</f>
        <v>175</v>
      </c>
      <c r="U4" s="104">
        <v>258</v>
      </c>
      <c r="V4" s="105">
        <v>202</v>
      </c>
      <c r="W4" s="101"/>
      <c r="X4" s="101"/>
      <c r="Y4" s="101"/>
    </row>
    <row r="5" spans="1:27" x14ac:dyDescent="0.3">
      <c r="A5" s="99"/>
      <c r="B5" s="171" t="s">
        <v>61</v>
      </c>
      <c r="C5" s="198">
        <v>45873</v>
      </c>
      <c r="D5" s="203">
        <f t="shared" si="0"/>
        <v>294</v>
      </c>
      <c r="E5" s="171">
        <v>117</v>
      </c>
      <c r="F5" s="171" t="s">
        <v>59</v>
      </c>
      <c r="G5" s="160">
        <v>3</v>
      </c>
      <c r="H5" s="186">
        <v>150</v>
      </c>
      <c r="I5" s="187">
        <v>57</v>
      </c>
      <c r="J5" s="119">
        <f>RANK(I5,$I$3:$I$16)+COUNTIF(I$3:$I5,I5)-1</f>
        <v>9</v>
      </c>
      <c r="K5" s="187">
        <v>88</v>
      </c>
      <c r="L5" s="118">
        <f>RANK(K5,$K$3:$K$16)+COUNTIF(K$3:$K5,K5)-1</f>
        <v>6</v>
      </c>
      <c r="M5" s="120">
        <f t="shared" ref="M5:M16" si="1">(G5+L5)/2</f>
        <v>4.5</v>
      </c>
      <c r="N5" s="162">
        <f>RANK(M5,$M$3:$M$16,1)+COUNTIF(M$3:$M5,M5)-1</f>
        <v>4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20</v>
      </c>
      <c r="B6" s="144" t="s">
        <v>27</v>
      </c>
      <c r="C6" s="198">
        <v>45561</v>
      </c>
      <c r="D6" s="203">
        <f t="shared" si="0"/>
        <v>606</v>
      </c>
      <c r="E6" s="116">
        <v>108</v>
      </c>
      <c r="F6" s="116" t="s">
        <v>16</v>
      </c>
      <c r="G6" s="160">
        <v>4</v>
      </c>
      <c r="H6" s="161">
        <v>186</v>
      </c>
      <c r="I6" s="117">
        <v>40</v>
      </c>
      <c r="J6" s="119">
        <f>RANK(I6,$I$3:$I$16)+COUNTIF(I$3:$I6,I6)-1</f>
        <v>12</v>
      </c>
      <c r="K6" s="117">
        <v>88</v>
      </c>
      <c r="L6" s="118">
        <f>RANK(K6,$K$3:$K$16)+COUNTIF(K$3:$K6,K6)-1</f>
        <v>7</v>
      </c>
      <c r="M6" s="120">
        <f t="shared" si="1"/>
        <v>5.5</v>
      </c>
      <c r="N6" s="162">
        <f>RANK(M6,$M$3:$M$16,1)+COUNTIF(M$3:$M6,M6)-1</f>
        <v>5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14</v>
      </c>
      <c r="B7" s="145" t="s">
        <v>21</v>
      </c>
      <c r="C7" s="198">
        <v>45553</v>
      </c>
      <c r="D7" s="203">
        <f t="shared" si="0"/>
        <v>614</v>
      </c>
      <c r="E7" s="116">
        <v>107</v>
      </c>
      <c r="F7" s="116" t="s">
        <v>16</v>
      </c>
      <c r="G7" s="160">
        <v>5</v>
      </c>
      <c r="H7" s="161">
        <v>292</v>
      </c>
      <c r="I7" s="117">
        <v>70</v>
      </c>
      <c r="J7" s="119">
        <f>RANK(I7,$I$3:$I$16)+COUNTIF(I$3:$I7,I7)-1</f>
        <v>7</v>
      </c>
      <c r="K7" s="117">
        <v>88</v>
      </c>
      <c r="L7" s="118">
        <f>RANK(K7,$K$3:$K$16)+COUNTIF(K$3:$K7,K7)-1</f>
        <v>8</v>
      </c>
      <c r="M7" s="120">
        <f t="shared" si="1"/>
        <v>6.5</v>
      </c>
      <c r="N7" s="162">
        <f>RANK(M7,$M$3:$M$16,1)+COUNTIF(M$3:$M7,M7)-1</f>
        <v>7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20</v>
      </c>
      <c r="B8" s="144" t="s">
        <v>23</v>
      </c>
      <c r="C8" s="198">
        <v>45711</v>
      </c>
      <c r="D8" s="203">
        <f t="shared" si="0"/>
        <v>456</v>
      </c>
      <c r="E8" s="116">
        <v>106</v>
      </c>
      <c r="F8" s="116" t="s">
        <v>16</v>
      </c>
      <c r="G8" s="160">
        <v>6</v>
      </c>
      <c r="H8" s="161">
        <v>182</v>
      </c>
      <c r="I8" s="117">
        <v>38</v>
      </c>
      <c r="J8" s="119">
        <f>RANK(I8,$I$3:$I$16)+COUNTIF(I$3:$I8,I8)-1</f>
        <v>13</v>
      </c>
      <c r="K8" s="117">
        <v>87</v>
      </c>
      <c r="L8" s="118">
        <f>RANK(K8,$K$3:$K$16)+COUNTIF(K$3:$K8,K8)-1</f>
        <v>12</v>
      </c>
      <c r="M8" s="120">
        <f t="shared" si="1"/>
        <v>9</v>
      </c>
      <c r="N8" s="162">
        <f>RANK(M8,$M$3:$M$16,1)+COUNTIF(M$3:$M8,M8)-1</f>
        <v>9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695</v>
      </c>
      <c r="X8" s="101">
        <f>R4+U4</f>
        <v>823</v>
      </c>
      <c r="Y8" s="101"/>
    </row>
    <row r="9" spans="1:27" ht="15" thickBot="1" x14ac:dyDescent="0.35">
      <c r="A9" s="99" t="s">
        <v>14</v>
      </c>
      <c r="B9" s="145" t="s">
        <v>31</v>
      </c>
      <c r="C9" s="198">
        <v>45545</v>
      </c>
      <c r="D9" s="203">
        <f t="shared" si="0"/>
        <v>622</v>
      </c>
      <c r="E9" s="116">
        <v>102</v>
      </c>
      <c r="F9" s="116" t="s">
        <v>38</v>
      </c>
      <c r="G9" s="160">
        <v>7</v>
      </c>
      <c r="H9" s="161">
        <v>266</v>
      </c>
      <c r="I9" s="117">
        <v>65</v>
      </c>
      <c r="J9" s="119">
        <f>RANK(I9,$I$3:$I$16)+COUNTIF(I$3:$I9,I9)-1</f>
        <v>8</v>
      </c>
      <c r="K9" s="117">
        <v>90</v>
      </c>
      <c r="L9" s="118">
        <f>RANK(K9,$K$3:$K$16)+COUNTIF(K$3:$K9,K9)-1</f>
        <v>1</v>
      </c>
      <c r="M9" s="120">
        <f t="shared" si="1"/>
        <v>4</v>
      </c>
      <c r="N9" s="162">
        <f>RANK(M9,$M$3:$M$16,1)+COUNTIF(M$3:$M9,M9)-1</f>
        <v>3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-128</v>
      </c>
      <c r="Y9" s="101"/>
    </row>
    <row r="10" spans="1:27" x14ac:dyDescent="0.3">
      <c r="A10" s="99" t="s">
        <v>20</v>
      </c>
      <c r="B10" s="145" t="s">
        <v>25</v>
      </c>
      <c r="C10" s="198">
        <v>45418</v>
      </c>
      <c r="D10" s="203">
        <f t="shared" si="0"/>
        <v>749</v>
      </c>
      <c r="E10" s="116">
        <v>100</v>
      </c>
      <c r="F10" s="116" t="s">
        <v>41</v>
      </c>
      <c r="G10" s="160">
        <v>8</v>
      </c>
      <c r="H10" s="161">
        <v>512</v>
      </c>
      <c r="I10" s="117">
        <v>97</v>
      </c>
      <c r="J10" s="119">
        <f>RANK(I10,$I$3:$I$16)+COUNTIF(I$3:$I10,I10)-1</f>
        <v>1</v>
      </c>
      <c r="K10" s="117">
        <v>89</v>
      </c>
      <c r="L10" s="118">
        <f>RANK(K10,$K$3:$K$16)+COUNTIF(K$3:$K10,K10)-1</f>
        <v>4</v>
      </c>
      <c r="M10" s="120">
        <f t="shared" si="1"/>
        <v>6</v>
      </c>
      <c r="N10" s="162">
        <f>RANK(M10,$M$3:$M$16,1)+COUNTIF(M$3:$M10,M10)-1</f>
        <v>6</v>
      </c>
      <c r="Y10" s="101"/>
    </row>
    <row r="11" spans="1:27" x14ac:dyDescent="0.3">
      <c r="A11" s="99" t="s">
        <v>14</v>
      </c>
      <c r="B11" s="144" t="s">
        <v>37</v>
      </c>
      <c r="C11" s="198">
        <v>45133</v>
      </c>
      <c r="D11" s="203">
        <f t="shared" si="0"/>
        <v>1034</v>
      </c>
      <c r="E11" s="116">
        <v>99</v>
      </c>
      <c r="F11" s="116" t="s">
        <v>41</v>
      </c>
      <c r="G11" s="160">
        <v>9</v>
      </c>
      <c r="H11" s="161">
        <v>310</v>
      </c>
      <c r="I11" s="117">
        <v>82</v>
      </c>
      <c r="J11" s="119">
        <f>RANK(I11,$I$3:$I$16)+COUNTIF(I$3:$I11,I11)-1</f>
        <v>3</v>
      </c>
      <c r="K11" s="117">
        <v>88</v>
      </c>
      <c r="L11" s="118">
        <f>RANK(K11,$K$3:$K$16)+COUNTIF(K$3:$K11,K11)-1</f>
        <v>9</v>
      </c>
      <c r="M11" s="120">
        <f t="shared" si="1"/>
        <v>9</v>
      </c>
      <c r="N11" s="162">
        <f>RANK(M11,$M$3:$M$16,1)+COUNTIF(M$3:$M11,M11)-1</f>
        <v>10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438</v>
      </c>
      <c r="E12" s="116">
        <v>99</v>
      </c>
      <c r="F12" s="116" t="s">
        <v>41</v>
      </c>
      <c r="G12" s="160">
        <v>11</v>
      </c>
      <c r="H12" s="161">
        <v>186</v>
      </c>
      <c r="I12" s="117">
        <v>74</v>
      </c>
      <c r="J12" s="119">
        <f>RANK(I12,$I$3:$I$16)+COUNTIF(I$3:$I12,I12)-1</f>
        <v>6</v>
      </c>
      <c r="K12" s="117">
        <v>88</v>
      </c>
      <c r="L12" s="118">
        <f>RANK(K12,$K$3:$K$16)+COUNTIF(K$3:$K12,K12)-1</f>
        <v>10</v>
      </c>
      <c r="M12" s="120">
        <f t="shared" si="1"/>
        <v>10.5</v>
      </c>
      <c r="N12" s="162">
        <f>RANK(M12,$M$3:$M$16,1)+COUNTIF(M$3:$M12,M12)-1</f>
        <v>11</v>
      </c>
      <c r="Y12" s="101"/>
    </row>
    <row r="13" spans="1:27" x14ac:dyDescent="0.3">
      <c r="A13" s="99" t="s">
        <v>20</v>
      </c>
      <c r="B13" s="145" t="s">
        <v>42</v>
      </c>
      <c r="C13" s="198">
        <v>45107</v>
      </c>
      <c r="D13" s="203">
        <f t="shared" si="0"/>
        <v>1060</v>
      </c>
      <c r="E13" s="116">
        <v>98</v>
      </c>
      <c r="F13" s="116" t="s">
        <v>41</v>
      </c>
      <c r="G13" s="160">
        <v>12</v>
      </c>
      <c r="H13" s="161">
        <v>286</v>
      </c>
      <c r="I13" s="117">
        <v>90</v>
      </c>
      <c r="J13" s="119">
        <f>RANK(I13,$I$3:$I$16)+COUNTIF(I$3:$I13,I13)-1</f>
        <v>2</v>
      </c>
      <c r="K13" s="117">
        <v>86</v>
      </c>
      <c r="L13" s="118">
        <f>RANK(K13,$K$3:$K$16)+COUNTIF(K$3:$K13,K13)-1</f>
        <v>14</v>
      </c>
      <c r="M13" s="120">
        <f t="shared" si="1"/>
        <v>13</v>
      </c>
      <c r="N13" s="162">
        <f>RANK(M13,$M$3:$M$16,1)+COUNTIF(M$3:$M13,M13)-1</f>
        <v>13</v>
      </c>
    </row>
    <row r="14" spans="1:27" x14ac:dyDescent="0.3">
      <c r="A14" s="99" t="s">
        <v>14</v>
      </c>
      <c r="B14" s="145" t="s">
        <v>39</v>
      </c>
      <c r="C14" s="198">
        <v>44955</v>
      </c>
      <c r="D14" s="203">
        <f t="shared" si="0"/>
        <v>1212</v>
      </c>
      <c r="E14" s="116">
        <v>98</v>
      </c>
      <c r="F14" s="116" t="s">
        <v>41</v>
      </c>
      <c r="G14" s="160">
        <v>13</v>
      </c>
      <c r="H14" s="161">
        <v>506</v>
      </c>
      <c r="I14" s="117">
        <v>80</v>
      </c>
      <c r="J14" s="119">
        <f>RANK(I14,$I$3:$I$16)+COUNTIF(I$3:$I14,I14)-1</f>
        <v>4</v>
      </c>
      <c r="K14" s="117">
        <v>88</v>
      </c>
      <c r="L14" s="118">
        <f>RANK(K14,$K$3:$K$16)+COUNTIF(K$3:$K14,K14)-1</f>
        <v>11</v>
      </c>
      <c r="M14" s="120">
        <f t="shared" si="1"/>
        <v>12</v>
      </c>
      <c r="N14" s="162">
        <f>RANK(M14,$M$3:$M$16,1)+COUNTIF(M$3:$M14,M14)-1</f>
        <v>12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886</v>
      </c>
      <c r="E15" s="116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10</v>
      </c>
      <c r="K15" s="117">
        <v>87</v>
      </c>
      <c r="L15" s="118">
        <f>RANK(K15,$K$3:$K$16)+COUNTIF(K$3:$K15,K15)-1</f>
        <v>13</v>
      </c>
      <c r="M15" s="120">
        <f t="shared" si="1"/>
        <v>13.5</v>
      </c>
      <c r="N15" s="162">
        <f>RANK(M15,$M$3:$M$16,1)+COUNTIF(M$3:$M15,M15)-1</f>
        <v>14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1047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5</v>
      </c>
      <c r="K16" s="166">
        <v>90</v>
      </c>
      <c r="L16" s="168">
        <f>RANK(K16,$K$3:$K$16)+COUNTIF(K$3:$K16,K16)-1</f>
        <v>2</v>
      </c>
      <c r="M16" s="169">
        <f t="shared" si="1"/>
        <v>8.5</v>
      </c>
      <c r="N16" s="170">
        <f>RANK(M16,$M$3:$M$16,1)+COUNTIF(M$3:$M16,M16)-1</f>
        <v>8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95D0-E058-466E-AE22-58EDB44B1799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46174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20</v>
      </c>
      <c r="B3" s="192" t="s">
        <v>58</v>
      </c>
      <c r="C3" s="197">
        <v>45883</v>
      </c>
      <c r="D3" s="202">
        <f>$P$2-C3</f>
        <v>291</v>
      </c>
      <c r="E3" s="171">
        <v>119</v>
      </c>
      <c r="F3" s="171" t="s">
        <v>59</v>
      </c>
      <c r="G3" s="160">
        <v>1</v>
      </c>
      <c r="H3" s="186">
        <v>140</v>
      </c>
      <c r="I3" s="187">
        <v>35</v>
      </c>
      <c r="J3" s="119">
        <f>RANK(I3,$I$3:$I$16)+COUNTIF(I$3:$I3,I3)-1</f>
        <v>12</v>
      </c>
      <c r="K3" s="187">
        <v>90</v>
      </c>
      <c r="L3" s="118">
        <f>RANK(K3,$K$3:$K$16)+COUNTIF(K$3:$K3,K3)-1</f>
        <v>1</v>
      </c>
      <c r="M3" s="120">
        <f>(G3+L3)/2</f>
        <v>1</v>
      </c>
      <c r="N3" s="162">
        <f>RANK(M3,$M$3:$M$16,1)+COUNTIF(M$3:$M3,M3)-1</f>
        <v>1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20</v>
      </c>
      <c r="B4" s="145" t="s">
        <v>60</v>
      </c>
      <c r="C4" s="198">
        <v>45850</v>
      </c>
      <c r="D4" s="203">
        <f t="shared" ref="D4:D16" si="0">$P$2-C4</f>
        <v>324</v>
      </c>
      <c r="E4" s="171">
        <v>118</v>
      </c>
      <c r="F4" s="171" t="s">
        <v>59</v>
      </c>
      <c r="G4" s="160">
        <v>2</v>
      </c>
      <c r="H4" s="186">
        <v>124</v>
      </c>
      <c r="I4" s="187">
        <v>17</v>
      </c>
      <c r="J4" s="119">
        <f>RANK(I4,$I$3:$I$16)+COUNTIF(I$3:$I4,I4)-1</f>
        <v>14</v>
      </c>
      <c r="K4" s="187">
        <v>87</v>
      </c>
      <c r="L4" s="118">
        <f>RANK(K4,$K$3:$K$16)+COUNTIF(K$3:$K4,K4)-1</f>
        <v>9</v>
      </c>
      <c r="M4" s="120">
        <f>(G4+L4)/2</f>
        <v>5.5</v>
      </c>
      <c r="N4" s="162">
        <f>RANK(M4,$M$3:$M$16,1)+COUNTIF(M$3:$M4,M4)-1</f>
        <v>2</v>
      </c>
      <c r="P4" s="121" t="s">
        <v>22</v>
      </c>
      <c r="Q4" s="122">
        <f>SUM(Q5:Q9)</f>
        <v>480</v>
      </c>
      <c r="R4" s="104">
        <v>493</v>
      </c>
      <c r="S4" s="105">
        <v>519</v>
      </c>
      <c r="T4" s="123">
        <f>SUM(T5:T9)</f>
        <v>175</v>
      </c>
      <c r="U4" s="104">
        <v>202</v>
      </c>
      <c r="V4" s="105">
        <v>181</v>
      </c>
      <c r="W4" s="101"/>
      <c r="X4" s="101"/>
      <c r="Y4" s="101"/>
    </row>
    <row r="5" spans="1:27" x14ac:dyDescent="0.3">
      <c r="A5" s="99"/>
      <c r="B5" s="171" t="s">
        <v>61</v>
      </c>
      <c r="C5" s="198">
        <v>45873</v>
      </c>
      <c r="D5" s="203">
        <f t="shared" si="0"/>
        <v>301</v>
      </c>
      <c r="E5" s="171">
        <v>117</v>
      </c>
      <c r="F5" s="171" t="s">
        <v>59</v>
      </c>
      <c r="G5" s="160">
        <v>3</v>
      </c>
      <c r="H5" s="186">
        <v>150</v>
      </c>
      <c r="I5" s="187">
        <v>57</v>
      </c>
      <c r="J5" s="119">
        <f>RANK(I5,$I$3:$I$16)+COUNTIF(I$3:$I5,I5)-1</f>
        <v>9</v>
      </c>
      <c r="K5" s="187">
        <v>87</v>
      </c>
      <c r="L5" s="118">
        <f>RANK(K5,$K$3:$K$16)+COUNTIF(K$3:$K5,K5)-1</f>
        <v>10</v>
      </c>
      <c r="M5" s="120">
        <f t="shared" ref="M5:M16" si="1">(G5+L5)/2</f>
        <v>6.5</v>
      </c>
      <c r="N5" s="162">
        <f>RANK(M5,$M$3:$M$16,1)+COUNTIF(M$3:$M5,M5)-1</f>
        <v>4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4" t="s">
        <v>27</v>
      </c>
      <c r="C6" s="198">
        <v>45561</v>
      </c>
      <c r="D6" s="203">
        <f t="shared" si="0"/>
        <v>613</v>
      </c>
      <c r="E6" s="116">
        <v>108</v>
      </c>
      <c r="F6" s="116" t="s">
        <v>16</v>
      </c>
      <c r="G6" s="160">
        <v>4</v>
      </c>
      <c r="H6" s="161">
        <v>180</v>
      </c>
      <c r="I6" s="117">
        <v>34</v>
      </c>
      <c r="J6" s="119">
        <f>RANK(I6,$I$3:$I$16)+COUNTIF(I$3:$I6,I6)-1</f>
        <v>13</v>
      </c>
      <c r="K6" s="117">
        <v>87</v>
      </c>
      <c r="L6" s="118">
        <f>RANK(K6,$K$3:$K$16)+COUNTIF(K$3:$K6,K6)-1</f>
        <v>11</v>
      </c>
      <c r="M6" s="120">
        <f t="shared" si="1"/>
        <v>7.5</v>
      </c>
      <c r="N6" s="162">
        <f>RANK(M6,$M$3:$M$16,1)+COUNTIF(M$3:$M6,M6)-1</f>
        <v>6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43</v>
      </c>
      <c r="B7" s="145" t="s">
        <v>21</v>
      </c>
      <c r="C7" s="198">
        <v>45553</v>
      </c>
      <c r="D7" s="203">
        <f t="shared" si="0"/>
        <v>621</v>
      </c>
      <c r="E7" s="116">
        <v>107</v>
      </c>
      <c r="F7" s="116" t="s">
        <v>16</v>
      </c>
      <c r="G7" s="160">
        <v>5</v>
      </c>
      <c r="H7" s="161">
        <v>336</v>
      </c>
      <c r="I7" s="117">
        <v>75</v>
      </c>
      <c r="J7" s="119">
        <f>RANK(I7,$I$3:$I$16)+COUNTIF(I$3:$I7,I7)-1</f>
        <v>6</v>
      </c>
      <c r="K7" s="117">
        <v>87</v>
      </c>
      <c r="L7" s="118">
        <f>RANK(K7,$K$3:$K$16)+COUNTIF(K$3:$K7,K7)-1</f>
        <v>12</v>
      </c>
      <c r="M7" s="120">
        <f t="shared" si="1"/>
        <v>8.5</v>
      </c>
      <c r="N7" s="162">
        <f>RANK(M7,$M$3:$M$16,1)+COUNTIF(M$3:$M7,M7)-1</f>
        <v>8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14</v>
      </c>
      <c r="B8" s="144" t="s">
        <v>23</v>
      </c>
      <c r="C8" s="198">
        <v>45711</v>
      </c>
      <c r="D8" s="203">
        <f t="shared" si="0"/>
        <v>463</v>
      </c>
      <c r="E8" s="116">
        <v>106</v>
      </c>
      <c r="F8" s="116" t="s">
        <v>16</v>
      </c>
      <c r="G8" s="160">
        <v>6</v>
      </c>
      <c r="H8" s="161">
        <v>116</v>
      </c>
      <c r="I8" s="117">
        <v>40</v>
      </c>
      <c r="J8" s="119">
        <f>RANK(I8,$I$3:$I$16)+COUNTIF(I$3:$I8,I8)-1</f>
        <v>11</v>
      </c>
      <c r="K8" s="117">
        <v>87</v>
      </c>
      <c r="L8" s="118">
        <f>RANK(K8,$K$3:$K$16)+COUNTIF(K$3:$K8,K8)-1</f>
        <v>13</v>
      </c>
      <c r="M8" s="120">
        <f t="shared" si="1"/>
        <v>9.5</v>
      </c>
      <c r="N8" s="162">
        <f>RANK(M8,$M$3:$M$16,1)+COUNTIF(M$3:$M8,M8)-1</f>
        <v>11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700</v>
      </c>
      <c r="X8" s="101">
        <f>R4+U4</f>
        <v>695</v>
      </c>
      <c r="Y8" s="101"/>
    </row>
    <row r="9" spans="1:27" ht="15" thickBot="1" x14ac:dyDescent="0.35">
      <c r="A9" s="99" t="s">
        <v>43</v>
      </c>
      <c r="B9" s="145" t="s">
        <v>31</v>
      </c>
      <c r="C9" s="198">
        <v>45545</v>
      </c>
      <c r="D9" s="203">
        <f t="shared" si="0"/>
        <v>629</v>
      </c>
      <c r="E9" s="116">
        <v>102</v>
      </c>
      <c r="F9" s="116" t="s">
        <v>38</v>
      </c>
      <c r="G9" s="160">
        <v>7</v>
      </c>
      <c r="H9" s="161">
        <v>406</v>
      </c>
      <c r="I9" s="117">
        <v>87</v>
      </c>
      <c r="J9" s="119">
        <f>RANK(I9,$I$3:$I$16)+COUNTIF(I$3:$I9,I9)-1</f>
        <v>2</v>
      </c>
      <c r="K9" s="117">
        <v>88</v>
      </c>
      <c r="L9" s="118">
        <f>RANK(K9,$K$3:$K$16)+COUNTIF(K$3:$K9,K9)-1</f>
        <v>6</v>
      </c>
      <c r="M9" s="120">
        <f t="shared" si="1"/>
        <v>6.5</v>
      </c>
      <c r="N9" s="162">
        <f>RANK(M9,$M$3:$M$16,1)+COUNTIF(M$3:$M9,M9)-1</f>
        <v>5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5</v>
      </c>
      <c r="Y9" s="101"/>
    </row>
    <row r="10" spans="1:27" x14ac:dyDescent="0.3">
      <c r="A10" s="99" t="s">
        <v>43</v>
      </c>
      <c r="B10" s="145" t="s">
        <v>25</v>
      </c>
      <c r="C10" s="198">
        <v>45418</v>
      </c>
      <c r="D10" s="203">
        <f t="shared" si="0"/>
        <v>756</v>
      </c>
      <c r="E10" s="116">
        <v>100</v>
      </c>
      <c r="F10" s="116" t="s">
        <v>41</v>
      </c>
      <c r="G10" s="160">
        <v>8</v>
      </c>
      <c r="H10" s="161">
        <v>470</v>
      </c>
      <c r="I10" s="117">
        <v>107</v>
      </c>
      <c r="J10" s="119">
        <f>RANK(I10,$I$3:$I$16)+COUNTIF(I$3:$I10,I10)-1</f>
        <v>1</v>
      </c>
      <c r="K10" s="117">
        <v>89</v>
      </c>
      <c r="L10" s="118">
        <f>RANK(K10,$K$3:$K$16)+COUNTIF(K$3:$K10,K10)-1</f>
        <v>3</v>
      </c>
      <c r="M10" s="120">
        <f t="shared" si="1"/>
        <v>5.5</v>
      </c>
      <c r="N10" s="162">
        <f>RANK(M10,$M$3:$M$16,1)+COUNTIF(M$3:$M10,M10)-1</f>
        <v>3</v>
      </c>
      <c r="Y10" s="101"/>
    </row>
    <row r="11" spans="1:27" x14ac:dyDescent="0.3">
      <c r="A11" s="99" t="s">
        <v>20</v>
      </c>
      <c r="B11" s="144" t="s">
        <v>37</v>
      </c>
      <c r="C11" s="198">
        <v>45133</v>
      </c>
      <c r="D11" s="203">
        <f t="shared" si="0"/>
        <v>1041</v>
      </c>
      <c r="E11" s="116">
        <v>99</v>
      </c>
      <c r="F11" s="116" t="s">
        <v>41</v>
      </c>
      <c r="G11" s="160">
        <v>9</v>
      </c>
      <c r="H11" s="161">
        <v>378</v>
      </c>
      <c r="I11" s="117">
        <v>72</v>
      </c>
      <c r="J11" s="119">
        <f>RANK(I11,$I$3:$I$16)+COUNTIF(I$3:$I11,I11)-1</f>
        <v>7</v>
      </c>
      <c r="K11" s="117">
        <v>88</v>
      </c>
      <c r="L11" s="118">
        <f>RANK(K11,$K$3:$K$16)+COUNTIF(K$3:$K11,K11)-1</f>
        <v>7</v>
      </c>
      <c r="M11" s="120">
        <f t="shared" si="1"/>
        <v>8</v>
      </c>
      <c r="N11" s="162">
        <f>RANK(M11,$M$3:$M$16,1)+COUNTIF(M$3:$M11,M11)-1</f>
        <v>7</v>
      </c>
      <c r="Y11" s="101"/>
    </row>
    <row r="12" spans="1:27" x14ac:dyDescent="0.3">
      <c r="A12" s="99" t="s">
        <v>20</v>
      </c>
      <c r="B12" s="145" t="s">
        <v>36</v>
      </c>
      <c r="C12" s="198">
        <v>45729</v>
      </c>
      <c r="D12" s="203">
        <f t="shared" si="0"/>
        <v>445</v>
      </c>
      <c r="E12" s="116">
        <v>99</v>
      </c>
      <c r="F12" s="116" t="s">
        <v>41</v>
      </c>
      <c r="G12" s="160">
        <v>11</v>
      </c>
      <c r="H12" s="161">
        <v>214</v>
      </c>
      <c r="I12" s="117">
        <v>77</v>
      </c>
      <c r="J12" s="119">
        <f>RANK(I12,$I$3:$I$16)+COUNTIF(I$3:$I12,I12)-1</f>
        <v>5</v>
      </c>
      <c r="K12" s="117">
        <v>88</v>
      </c>
      <c r="L12" s="118">
        <f>RANK(K12,$K$3:$K$16)+COUNTIF(K$3:$K12,K12)-1</f>
        <v>8</v>
      </c>
      <c r="M12" s="120">
        <f t="shared" si="1"/>
        <v>9.5</v>
      </c>
      <c r="N12" s="162">
        <f>RANK(M12,$M$3:$M$16,1)+COUNTIF(M$3:$M12,M12)-1</f>
        <v>12</v>
      </c>
      <c r="Y12" s="101"/>
    </row>
    <row r="13" spans="1:27" x14ac:dyDescent="0.3">
      <c r="A13" s="99" t="s">
        <v>20</v>
      </c>
      <c r="B13" s="145" t="s">
        <v>42</v>
      </c>
      <c r="C13" s="198">
        <v>45107</v>
      </c>
      <c r="D13" s="203">
        <f t="shared" si="0"/>
        <v>1067</v>
      </c>
      <c r="E13" s="116">
        <v>98</v>
      </c>
      <c r="F13" s="116" t="s">
        <v>41</v>
      </c>
      <c r="G13" s="160">
        <v>12</v>
      </c>
      <c r="H13" s="161">
        <v>338</v>
      </c>
      <c r="I13" s="117">
        <v>71</v>
      </c>
      <c r="J13" s="119">
        <f>RANK(I13,$I$3:$I$16)+COUNTIF(I$3:$I13,I13)-1</f>
        <v>8</v>
      </c>
      <c r="K13" s="117">
        <v>86</v>
      </c>
      <c r="L13" s="118">
        <f>RANK(K13,$K$3:$K$16)+COUNTIF(K$3:$K13,K13)-1</f>
        <v>14</v>
      </c>
      <c r="M13" s="120">
        <f t="shared" si="1"/>
        <v>13</v>
      </c>
      <c r="N13" s="162">
        <f>RANK(M13,$M$3:$M$16,1)+COUNTIF(M$3:$M13,M13)-1</f>
        <v>14</v>
      </c>
    </row>
    <row r="14" spans="1:27" x14ac:dyDescent="0.3">
      <c r="A14" s="99" t="s">
        <v>20</v>
      </c>
      <c r="B14" s="145" t="s">
        <v>39</v>
      </c>
      <c r="C14" s="198">
        <v>44955</v>
      </c>
      <c r="D14" s="203">
        <f t="shared" si="0"/>
        <v>1219</v>
      </c>
      <c r="E14" s="116">
        <v>98</v>
      </c>
      <c r="F14" s="116" t="s">
        <v>41</v>
      </c>
      <c r="G14" s="160">
        <v>13</v>
      </c>
      <c r="H14" s="161">
        <v>540</v>
      </c>
      <c r="I14" s="117">
        <v>85</v>
      </c>
      <c r="J14" s="119">
        <f>RANK(I14,$I$3:$I$16)+COUNTIF(I$3:$I14,I14)-1</f>
        <v>3</v>
      </c>
      <c r="K14" s="117">
        <v>89</v>
      </c>
      <c r="L14" s="118">
        <f>RANK(K14,$K$3:$K$16)+COUNTIF(K$3:$K14,K14)-1</f>
        <v>4</v>
      </c>
      <c r="M14" s="120">
        <f t="shared" si="1"/>
        <v>8.5</v>
      </c>
      <c r="N14" s="162">
        <f>RANK(M14,$M$3:$M$16,1)+COUNTIF(M$3:$M14,M14)-1</f>
        <v>9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893</v>
      </c>
      <c r="E15" s="116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10</v>
      </c>
      <c r="K15" s="117">
        <v>89</v>
      </c>
      <c r="L15" s="118">
        <f>RANK(K15,$K$3:$K$16)+COUNTIF(K$3:$K15,K15)-1</f>
        <v>5</v>
      </c>
      <c r="M15" s="120">
        <f t="shared" si="1"/>
        <v>9.5</v>
      </c>
      <c r="N15" s="162">
        <f>RANK(M15,$M$3:$M$16,1)+COUNTIF(M$3:$M15,M15)-1</f>
        <v>13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1054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4</v>
      </c>
      <c r="K16" s="166">
        <v>90</v>
      </c>
      <c r="L16" s="168">
        <f>RANK(K16,$K$3:$K$16)+COUNTIF(K$3:$K16,K16)-1</f>
        <v>2</v>
      </c>
      <c r="M16" s="169">
        <f t="shared" si="1"/>
        <v>8.5</v>
      </c>
      <c r="N16" s="170">
        <f>RANK(M16,$M$3:$M$16,1)+COUNTIF(M$3:$M16,M16)-1</f>
        <v>10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FD55-0B51-413A-959D-666E21075F13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46181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43</v>
      </c>
      <c r="B3" s="192" t="s">
        <v>58</v>
      </c>
      <c r="C3" s="197">
        <v>45883</v>
      </c>
      <c r="D3" s="202">
        <f>$P$2-C3</f>
        <v>298</v>
      </c>
      <c r="E3" s="171">
        <v>119</v>
      </c>
      <c r="F3" s="171" t="s">
        <v>59</v>
      </c>
      <c r="G3" s="160">
        <v>1</v>
      </c>
      <c r="H3" s="186">
        <v>186</v>
      </c>
      <c r="I3" s="187">
        <v>40</v>
      </c>
      <c r="J3" s="119">
        <f>RANK(I3,$I$3:$I$16)+COUNTIF(I$3:$I3,I3)-1</f>
        <v>12</v>
      </c>
      <c r="K3" s="187">
        <v>88</v>
      </c>
      <c r="L3" s="118">
        <f>RANK(K3,$K$3:$K$16)+COUNTIF(K$3:$K3,K3)-1</f>
        <v>7</v>
      </c>
      <c r="M3" s="120">
        <f>(G3+L3)/2</f>
        <v>4</v>
      </c>
      <c r="N3" s="162">
        <f>RANK(M3,$M$3:$M$16,1)+COUNTIF(M$3:$M3,M3)-1</f>
        <v>2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43</v>
      </c>
      <c r="B4" s="145" t="s">
        <v>60</v>
      </c>
      <c r="C4" s="198">
        <v>45850</v>
      </c>
      <c r="D4" s="203">
        <f t="shared" ref="D4:D16" si="0">$P$2-C4</f>
        <v>331</v>
      </c>
      <c r="E4" s="171">
        <v>118</v>
      </c>
      <c r="F4" s="171" t="s">
        <v>59</v>
      </c>
      <c r="G4" s="160">
        <v>2</v>
      </c>
      <c r="H4" s="186">
        <v>142</v>
      </c>
      <c r="I4" s="187">
        <v>46</v>
      </c>
      <c r="J4" s="119">
        <f>RANK(I4,$I$3:$I$16)+COUNTIF(I$3:$I4,I4)-1</f>
        <v>11</v>
      </c>
      <c r="K4" s="187">
        <v>87</v>
      </c>
      <c r="L4" s="118">
        <f>RANK(K4,$K$3:$K$16)+COUNTIF(K$3:$K4,K4)-1</f>
        <v>12</v>
      </c>
      <c r="M4" s="120">
        <f>(G4+L4)/2</f>
        <v>7</v>
      </c>
      <c r="N4" s="162">
        <f>RANK(M4,$M$3:$M$16,1)+COUNTIF(M$3:$M4,M4)-1</f>
        <v>6</v>
      </c>
      <c r="P4" s="121" t="s">
        <v>22</v>
      </c>
      <c r="Q4" s="122">
        <f>SUM(Q5:Q9)</f>
        <v>480</v>
      </c>
      <c r="R4" s="104">
        <v>519</v>
      </c>
      <c r="S4" s="105">
        <v>504</v>
      </c>
      <c r="T4" s="123">
        <f>SUM(T5:T9)</f>
        <v>175</v>
      </c>
      <c r="U4" s="104">
        <v>181</v>
      </c>
      <c r="V4" s="105"/>
      <c r="W4" s="101"/>
      <c r="X4" s="101"/>
      <c r="Y4" s="101"/>
    </row>
    <row r="5" spans="1:27" x14ac:dyDescent="0.3">
      <c r="A5" s="99" t="s">
        <v>14</v>
      </c>
      <c r="B5" s="144" t="s">
        <v>61</v>
      </c>
      <c r="C5" s="198">
        <v>45873</v>
      </c>
      <c r="D5" s="203">
        <f t="shared" si="0"/>
        <v>308</v>
      </c>
      <c r="E5" s="171">
        <v>117</v>
      </c>
      <c r="F5" s="171" t="s">
        <v>59</v>
      </c>
      <c r="G5" s="160">
        <v>3</v>
      </c>
      <c r="H5" s="186">
        <v>156</v>
      </c>
      <c r="I5" s="187">
        <v>50</v>
      </c>
      <c r="J5" s="119">
        <f>RANK(I5,$I$3:$I$16)+COUNTIF(I$3:$I5,I5)-1</f>
        <v>10</v>
      </c>
      <c r="K5" s="187">
        <v>88</v>
      </c>
      <c r="L5" s="118">
        <f>RANK(K5,$K$3:$K$16)+COUNTIF(K$3:$K5,K5)-1</f>
        <v>8</v>
      </c>
      <c r="M5" s="120">
        <f t="shared" ref="M5:M16" si="1">(G5+L5)/2</f>
        <v>5.5</v>
      </c>
      <c r="N5" s="162">
        <f>RANK(M5,$M$3:$M$16,1)+COUNTIF(M$3:$M5,M5)-1</f>
        <v>4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/>
      <c r="B6" s="171" t="s">
        <v>27</v>
      </c>
      <c r="C6" s="198">
        <v>45561</v>
      </c>
      <c r="D6" s="203">
        <f t="shared" si="0"/>
        <v>620</v>
      </c>
      <c r="E6" s="116">
        <v>108</v>
      </c>
      <c r="F6" s="116" t="s">
        <v>16</v>
      </c>
      <c r="G6" s="160">
        <v>4</v>
      </c>
      <c r="H6" s="161">
        <v>180</v>
      </c>
      <c r="I6" s="117">
        <v>34</v>
      </c>
      <c r="J6" s="119">
        <f>RANK(I6,$I$3:$I$16)+COUNTIF(I$3:$I6,I6)-1</f>
        <v>13</v>
      </c>
      <c r="K6" s="117">
        <v>87</v>
      </c>
      <c r="L6" s="118">
        <f>RANK(K6,$K$3:$K$16)+COUNTIF(K$3:$K6,K6)-1</f>
        <v>13</v>
      </c>
      <c r="M6" s="120">
        <f t="shared" si="1"/>
        <v>8.5</v>
      </c>
      <c r="N6" s="162">
        <f>RANK(M6,$M$3:$M$16,1)+COUNTIF(M$3:$M6,M6)-1</f>
        <v>7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43</v>
      </c>
      <c r="B7" s="145" t="s">
        <v>21</v>
      </c>
      <c r="C7" s="198">
        <v>45553</v>
      </c>
      <c r="D7" s="203">
        <f t="shared" si="0"/>
        <v>628</v>
      </c>
      <c r="E7" s="116">
        <v>107</v>
      </c>
      <c r="F7" s="116" t="s">
        <v>16</v>
      </c>
      <c r="G7" s="160">
        <v>5</v>
      </c>
      <c r="H7" s="161">
        <v>376</v>
      </c>
      <c r="I7" s="117">
        <v>68</v>
      </c>
      <c r="J7" s="119">
        <f>RANK(I7,$I$3:$I$16)+COUNTIF(I$3:$I7,I7)-1</f>
        <v>6</v>
      </c>
      <c r="K7" s="117">
        <v>89</v>
      </c>
      <c r="L7" s="118">
        <f>RANK(K7,$K$3:$K$16)+COUNTIF(K$3:$K7,K7)-1</f>
        <v>3</v>
      </c>
      <c r="M7" s="120">
        <f t="shared" si="1"/>
        <v>4</v>
      </c>
      <c r="N7" s="162">
        <f>RANK(M7,$M$3:$M$16,1)+COUNTIF(M$3:$M7,M7)-1</f>
        <v>3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43</v>
      </c>
      <c r="B8" s="144" t="s">
        <v>23</v>
      </c>
      <c r="C8" s="198">
        <v>45711</v>
      </c>
      <c r="D8" s="203">
        <f t="shared" si="0"/>
        <v>470</v>
      </c>
      <c r="E8" s="116">
        <v>106</v>
      </c>
      <c r="F8" s="116" t="s">
        <v>16</v>
      </c>
      <c r="G8" s="160">
        <v>6</v>
      </c>
      <c r="H8" s="161">
        <v>206</v>
      </c>
      <c r="I8" s="117">
        <v>33</v>
      </c>
      <c r="J8" s="119">
        <f>RANK(I8,$I$3:$I$16)+COUNTIF(I$3:$I8,I8)-1</f>
        <v>14</v>
      </c>
      <c r="K8" s="117">
        <v>90</v>
      </c>
      <c r="L8" s="118">
        <f>RANK(K8,$K$3:$K$16)+COUNTIF(K$3:$K8,K8)-1</f>
        <v>1</v>
      </c>
      <c r="M8" s="120">
        <f t="shared" si="1"/>
        <v>3.5</v>
      </c>
      <c r="N8" s="162">
        <f>RANK(M8,$M$3:$M$16,1)+COUNTIF(M$3:$M8,M8)-1</f>
        <v>1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504</v>
      </c>
      <c r="X8" s="101">
        <f>R4+U4</f>
        <v>700</v>
      </c>
      <c r="Y8" s="101"/>
    </row>
    <row r="9" spans="1:27" ht="15" thickBot="1" x14ac:dyDescent="0.35">
      <c r="A9" s="99" t="s">
        <v>43</v>
      </c>
      <c r="B9" s="145" t="s">
        <v>31</v>
      </c>
      <c r="C9" s="198">
        <v>45545</v>
      </c>
      <c r="D9" s="203">
        <f t="shared" si="0"/>
        <v>636</v>
      </c>
      <c r="E9" s="116">
        <v>102</v>
      </c>
      <c r="F9" s="116" t="s">
        <v>38</v>
      </c>
      <c r="G9" s="160">
        <v>7</v>
      </c>
      <c r="H9" s="161">
        <v>264</v>
      </c>
      <c r="I9" s="117">
        <v>79</v>
      </c>
      <c r="J9" s="119">
        <f>RANK(I9,$I$3:$I$16)+COUNTIF(I$3:$I9,I9)-1</f>
        <v>4</v>
      </c>
      <c r="K9" s="117">
        <v>89</v>
      </c>
      <c r="L9" s="118">
        <f>RANK(K9,$K$3:$K$16)+COUNTIF(K$3:$K9,K9)-1</f>
        <v>4</v>
      </c>
      <c r="M9" s="120">
        <f t="shared" si="1"/>
        <v>5.5</v>
      </c>
      <c r="N9" s="162">
        <f>RANK(M9,$M$3:$M$16,1)+COUNTIF(M$3:$M9,M9)-1</f>
        <v>5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-196</v>
      </c>
      <c r="Y9" s="101"/>
    </row>
    <row r="10" spans="1:27" x14ac:dyDescent="0.3">
      <c r="A10" s="99" t="s">
        <v>14</v>
      </c>
      <c r="B10" s="145" t="s">
        <v>25</v>
      </c>
      <c r="C10" s="198">
        <v>45418</v>
      </c>
      <c r="D10" s="203">
        <f t="shared" si="0"/>
        <v>763</v>
      </c>
      <c r="E10" s="116">
        <v>100</v>
      </c>
      <c r="F10" s="116" t="s">
        <v>41</v>
      </c>
      <c r="G10" s="160">
        <v>8</v>
      </c>
      <c r="H10" s="161">
        <v>330</v>
      </c>
      <c r="I10" s="117">
        <v>52</v>
      </c>
      <c r="J10" s="119">
        <f>RANK(I10,$I$3:$I$16)+COUNTIF(I$3:$I10,I10)-1</f>
        <v>9</v>
      </c>
      <c r="K10" s="117">
        <v>88</v>
      </c>
      <c r="L10" s="118">
        <f>RANK(K10,$K$3:$K$16)+COUNTIF(K$3:$K10,K10)-1</f>
        <v>9</v>
      </c>
      <c r="M10" s="120">
        <f t="shared" si="1"/>
        <v>8.5</v>
      </c>
      <c r="N10" s="162">
        <f>RANK(M10,$M$3:$M$16,1)+COUNTIF(M$3:$M10,M10)-1</f>
        <v>8</v>
      </c>
      <c r="Y10" s="101"/>
    </row>
    <row r="11" spans="1:27" x14ac:dyDescent="0.3">
      <c r="A11" s="99" t="s">
        <v>14</v>
      </c>
      <c r="B11" s="144" t="s">
        <v>37</v>
      </c>
      <c r="C11" s="198">
        <v>45133</v>
      </c>
      <c r="D11" s="203">
        <f t="shared" si="0"/>
        <v>1048</v>
      </c>
      <c r="E11" s="116">
        <v>99</v>
      </c>
      <c r="F11" s="116" t="s">
        <v>41</v>
      </c>
      <c r="G11" s="160">
        <v>9</v>
      </c>
      <c r="H11" s="161">
        <v>324</v>
      </c>
      <c r="I11" s="117">
        <v>87</v>
      </c>
      <c r="J11" s="119">
        <f>RANK(I11,$I$3:$I$16)+COUNTIF(I$3:$I11,I11)-1</f>
        <v>3</v>
      </c>
      <c r="K11" s="117">
        <v>87</v>
      </c>
      <c r="L11" s="118">
        <f>RANK(K11,$K$3:$K$16)+COUNTIF(K$3:$K11,K11)-1</f>
        <v>14</v>
      </c>
      <c r="M11" s="120">
        <f t="shared" si="1"/>
        <v>11.5</v>
      </c>
      <c r="N11" s="162">
        <f>RANK(M11,$M$3:$M$16,1)+COUNTIF(M$3:$M11,M11)-1</f>
        <v>13</v>
      </c>
      <c r="Y11" s="101"/>
    </row>
    <row r="12" spans="1:27" x14ac:dyDescent="0.3">
      <c r="A12" s="99" t="s">
        <v>43</v>
      </c>
      <c r="B12" s="145" t="s">
        <v>36</v>
      </c>
      <c r="C12" s="198">
        <v>45729</v>
      </c>
      <c r="D12" s="203">
        <f t="shared" si="0"/>
        <v>452</v>
      </c>
      <c r="E12" s="116">
        <v>99</v>
      </c>
      <c r="F12" s="116" t="s">
        <v>41</v>
      </c>
      <c r="G12" s="160">
        <v>11</v>
      </c>
      <c r="H12" s="161">
        <v>176</v>
      </c>
      <c r="I12" s="117">
        <v>64</v>
      </c>
      <c r="J12" s="119">
        <f>RANK(I12,$I$3:$I$16)+COUNTIF(I$3:$I12,I12)-1</f>
        <v>7</v>
      </c>
      <c r="K12" s="117">
        <v>88</v>
      </c>
      <c r="L12" s="118">
        <f>RANK(K12,$K$3:$K$16)+COUNTIF(K$3:$K12,K12)-1</f>
        <v>10</v>
      </c>
      <c r="M12" s="120">
        <f t="shared" si="1"/>
        <v>10.5</v>
      </c>
      <c r="N12" s="162">
        <f>RANK(M12,$M$3:$M$16,1)+COUNTIF(M$3:$M12,M12)-1</f>
        <v>12</v>
      </c>
      <c r="Y12" s="101"/>
    </row>
    <row r="13" spans="1:27" x14ac:dyDescent="0.3">
      <c r="A13" s="99" t="s">
        <v>14</v>
      </c>
      <c r="B13" s="145" t="s">
        <v>42</v>
      </c>
      <c r="C13" s="198">
        <v>45107</v>
      </c>
      <c r="D13" s="203">
        <f t="shared" si="0"/>
        <v>1074</v>
      </c>
      <c r="E13" s="116">
        <v>98</v>
      </c>
      <c r="F13" s="116" t="s">
        <v>41</v>
      </c>
      <c r="G13" s="160">
        <v>12</v>
      </c>
      <c r="H13" s="161">
        <v>218</v>
      </c>
      <c r="I13" s="117">
        <v>107</v>
      </c>
      <c r="J13" s="119">
        <f>RANK(I13,$I$3:$I$16)+COUNTIF(I$3:$I13,I13)-1</f>
        <v>1</v>
      </c>
      <c r="K13" s="117">
        <v>89</v>
      </c>
      <c r="L13" s="118">
        <f>RANK(K13,$K$3:$K$16)+COUNTIF(K$3:$K13,K13)-1</f>
        <v>5</v>
      </c>
      <c r="M13" s="120">
        <f t="shared" si="1"/>
        <v>8.5</v>
      </c>
      <c r="N13" s="162">
        <f>RANK(M13,$M$3:$M$16,1)+COUNTIF(M$3:$M13,M13)-1</f>
        <v>9</v>
      </c>
    </row>
    <row r="14" spans="1:27" x14ac:dyDescent="0.3">
      <c r="A14" s="99" t="s">
        <v>43</v>
      </c>
      <c r="B14" s="145" t="s">
        <v>39</v>
      </c>
      <c r="C14" s="198">
        <v>44955</v>
      </c>
      <c r="D14" s="203">
        <f t="shared" si="0"/>
        <v>1226</v>
      </c>
      <c r="E14" s="116">
        <v>98</v>
      </c>
      <c r="F14" s="116" t="s">
        <v>41</v>
      </c>
      <c r="G14" s="160">
        <v>13</v>
      </c>
      <c r="H14" s="161">
        <v>598</v>
      </c>
      <c r="I14" s="117">
        <v>88</v>
      </c>
      <c r="J14" s="119">
        <f>RANK(I14,$I$3:$I$16)+COUNTIF(I$3:$I14,I14)-1</f>
        <v>2</v>
      </c>
      <c r="K14" s="117">
        <v>88</v>
      </c>
      <c r="L14" s="118">
        <f>RANK(K14,$K$3:$K$16)+COUNTIF(K$3:$K14,K14)-1</f>
        <v>11</v>
      </c>
      <c r="M14" s="120">
        <f t="shared" si="1"/>
        <v>12</v>
      </c>
      <c r="N14" s="162">
        <f>RANK(M14,$M$3:$M$16,1)+COUNTIF(M$3:$M14,M14)-1</f>
        <v>14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900</v>
      </c>
      <c r="E15" s="116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8</v>
      </c>
      <c r="K15" s="117">
        <v>89</v>
      </c>
      <c r="L15" s="118">
        <f>RANK(K15,$K$3:$K$16)+COUNTIF(K$3:$K15,K15)-1</f>
        <v>6</v>
      </c>
      <c r="M15" s="120">
        <f t="shared" si="1"/>
        <v>10</v>
      </c>
      <c r="N15" s="162">
        <f>RANK(M15,$M$3:$M$16,1)+COUNTIF(M$3:$M15,M15)-1</f>
        <v>11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1061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5</v>
      </c>
      <c r="K16" s="166">
        <v>90</v>
      </c>
      <c r="L16" s="168">
        <f>RANK(K16,$K$3:$K$16)+COUNTIF(K$3:$K16,K16)-1</f>
        <v>2</v>
      </c>
      <c r="M16" s="169">
        <f t="shared" si="1"/>
        <v>8.5</v>
      </c>
      <c r="N16" s="170">
        <f>RANK(M16,$M$3:$M$16,1)+COUNTIF(M$3:$M16,M16)-1</f>
        <v>10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7A23-D9E5-4D56-BEE4-DCC996CE95EC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46188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20</v>
      </c>
      <c r="B3" s="192" t="s">
        <v>58</v>
      </c>
      <c r="C3" s="197">
        <v>45883</v>
      </c>
      <c r="D3" s="202">
        <f>$P$2-C3</f>
        <v>305</v>
      </c>
      <c r="E3" s="171">
        <v>119</v>
      </c>
      <c r="F3" s="171" t="s">
        <v>59</v>
      </c>
      <c r="G3" s="160">
        <v>1</v>
      </c>
      <c r="H3" s="186">
        <v>152</v>
      </c>
      <c r="I3" s="187">
        <v>52</v>
      </c>
      <c r="J3" s="119">
        <f>RANK(I3,$I$3:$I$16)+COUNTIF(I$3:$I3,I3)-1</f>
        <v>11</v>
      </c>
      <c r="K3" s="187">
        <v>88</v>
      </c>
      <c r="L3" s="118">
        <f>RANK(K3,$K$3:$K$16)+COUNTIF(K$3:$K3,K3)-1</f>
        <v>5</v>
      </c>
      <c r="M3" s="120">
        <f>(G3+L3)/2</f>
        <v>3</v>
      </c>
      <c r="N3" s="162">
        <f>RANK(M3,$M$3:$M$16,1)+COUNTIF(M$3:$M3,M3)-1</f>
        <v>1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43</v>
      </c>
      <c r="B4" s="145" t="s">
        <v>60</v>
      </c>
      <c r="C4" s="198">
        <v>45850</v>
      </c>
      <c r="D4" s="203">
        <f t="shared" ref="D4:D16" si="0">$P$2-C4</f>
        <v>338</v>
      </c>
      <c r="E4" s="171">
        <v>118</v>
      </c>
      <c r="F4" s="171" t="s">
        <v>59</v>
      </c>
      <c r="G4" s="160">
        <v>2</v>
      </c>
      <c r="H4" s="186">
        <v>158</v>
      </c>
      <c r="I4" s="187">
        <v>60</v>
      </c>
      <c r="J4" s="119">
        <f>RANK(I4,$I$3:$I$16)+COUNTIF(I$3:$I4,I4)-1</f>
        <v>8</v>
      </c>
      <c r="K4" s="187">
        <v>88</v>
      </c>
      <c r="L4" s="118">
        <f>RANK(K4,$K$3:$K$16)+COUNTIF(K$3:$K4,K4)-1</f>
        <v>6</v>
      </c>
      <c r="M4" s="120">
        <f>(G4+L4)/2</f>
        <v>4</v>
      </c>
      <c r="N4" s="162">
        <f>RANK(M4,$M$3:$M$16,1)+COUNTIF(M$3:$M4,M4)-1</f>
        <v>2</v>
      </c>
      <c r="P4" s="121" t="s">
        <v>22</v>
      </c>
      <c r="Q4" s="122">
        <f>SUM(Q5:Q9)</f>
        <v>480</v>
      </c>
      <c r="R4" s="104">
        <v>504</v>
      </c>
      <c r="S4" s="105">
        <v>588</v>
      </c>
      <c r="T4" s="123">
        <f>SUM(T5:T9)</f>
        <v>175</v>
      </c>
      <c r="U4" s="104">
        <v>217</v>
      </c>
      <c r="V4" s="105">
        <v>310</v>
      </c>
      <c r="W4" s="101"/>
      <c r="X4" s="101"/>
      <c r="Y4" s="101"/>
    </row>
    <row r="5" spans="1:27" x14ac:dyDescent="0.3">
      <c r="A5" s="99" t="s">
        <v>43</v>
      </c>
      <c r="B5" s="144" t="s">
        <v>61</v>
      </c>
      <c r="C5" s="198">
        <v>45873</v>
      </c>
      <c r="D5" s="203">
        <f t="shared" si="0"/>
        <v>315</v>
      </c>
      <c r="E5" s="171">
        <v>117</v>
      </c>
      <c r="F5" s="171" t="s">
        <v>59</v>
      </c>
      <c r="G5" s="160">
        <v>3</v>
      </c>
      <c r="H5" s="186">
        <v>180</v>
      </c>
      <c r="I5" s="187">
        <v>47</v>
      </c>
      <c r="J5" s="119">
        <f>RANK(I5,$I$3:$I$16)+COUNTIF(I$3:$I5,I5)-1</f>
        <v>13</v>
      </c>
      <c r="K5" s="187">
        <v>88</v>
      </c>
      <c r="L5" s="118">
        <f>RANK(K5,$K$3:$K$16)+COUNTIF(K$3:$K5,K5)-1</f>
        <v>7</v>
      </c>
      <c r="M5" s="120">
        <f t="shared" ref="M5:M16" si="1">(G5+L5)/2</f>
        <v>5</v>
      </c>
      <c r="N5" s="162">
        <f>RANK(M5,$M$3:$M$16,1)+COUNTIF(M$3:$M5,M5)-1</f>
        <v>4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5" t="s">
        <v>27</v>
      </c>
      <c r="C6" s="198">
        <v>45561</v>
      </c>
      <c r="D6" s="203">
        <f t="shared" si="0"/>
        <v>627</v>
      </c>
      <c r="E6" s="116">
        <v>108</v>
      </c>
      <c r="F6" s="116" t="s">
        <v>16</v>
      </c>
      <c r="G6" s="160">
        <v>4</v>
      </c>
      <c r="H6" s="161">
        <v>348</v>
      </c>
      <c r="I6" s="117">
        <v>58</v>
      </c>
      <c r="J6" s="119">
        <f>RANK(I6,$I$3:$I$16)+COUNTIF(I$3:$I6,I6)-1</f>
        <v>9</v>
      </c>
      <c r="K6" s="117">
        <v>87</v>
      </c>
      <c r="L6" s="118">
        <f>RANK(K6,$K$3:$K$16)+COUNTIF(K$3:$K6,K6)-1</f>
        <v>11</v>
      </c>
      <c r="M6" s="120">
        <f t="shared" si="1"/>
        <v>7.5</v>
      </c>
      <c r="N6" s="162">
        <f>RANK(M6,$M$3:$M$16,1)+COUNTIF(M$3:$M6,M6)-1</f>
        <v>7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14</v>
      </c>
      <c r="B7" s="145" t="s">
        <v>21</v>
      </c>
      <c r="C7" s="198">
        <v>45553</v>
      </c>
      <c r="D7" s="203">
        <f t="shared" si="0"/>
        <v>635</v>
      </c>
      <c r="E7" s="116">
        <v>107</v>
      </c>
      <c r="F7" s="116" t="s">
        <v>16</v>
      </c>
      <c r="G7" s="160">
        <v>5</v>
      </c>
      <c r="H7" s="161">
        <v>324</v>
      </c>
      <c r="I7" s="117">
        <v>52</v>
      </c>
      <c r="J7" s="119">
        <f>RANK(I7,$I$3:$I$16)+COUNTIF(I$3:$I7,I7)-1</f>
        <v>12</v>
      </c>
      <c r="K7" s="117">
        <v>88</v>
      </c>
      <c r="L7" s="118">
        <f>RANK(K7,$K$3:$K$16)+COUNTIF(K$3:$K7,K7)-1</f>
        <v>8</v>
      </c>
      <c r="M7" s="120">
        <f t="shared" si="1"/>
        <v>6.5</v>
      </c>
      <c r="N7" s="162">
        <f>RANK(M7,$M$3:$M$16,1)+COUNTIF(M$3:$M7,M7)-1</f>
        <v>6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20</v>
      </c>
      <c r="B8" s="144" t="s">
        <v>23</v>
      </c>
      <c r="C8" s="198">
        <v>45711</v>
      </c>
      <c r="D8" s="203">
        <f t="shared" si="0"/>
        <v>477</v>
      </c>
      <c r="E8" s="116">
        <v>106</v>
      </c>
      <c r="F8" s="116" t="s">
        <v>16</v>
      </c>
      <c r="G8" s="160">
        <v>6</v>
      </c>
      <c r="H8" s="161">
        <v>136</v>
      </c>
      <c r="I8" s="117">
        <v>46</v>
      </c>
      <c r="J8" s="119">
        <f>RANK(I8,$I$3:$I$16)+COUNTIF(I$3:$I8,I8)-1</f>
        <v>14</v>
      </c>
      <c r="K8" s="117">
        <v>87</v>
      </c>
      <c r="L8" s="118">
        <f>RANK(K8,$K$3:$K$16)+COUNTIF(K$3:$K8,K8)-1</f>
        <v>12</v>
      </c>
      <c r="M8" s="120">
        <f t="shared" si="1"/>
        <v>9</v>
      </c>
      <c r="N8" s="162">
        <f>RANK(M8,$M$3:$M$16,1)+COUNTIF(M$3:$M8,M8)-1</f>
        <v>9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898</v>
      </c>
      <c r="X8" s="101">
        <f>R4+U4</f>
        <v>721</v>
      </c>
      <c r="Y8" s="101"/>
    </row>
    <row r="9" spans="1:27" ht="15" thickBot="1" x14ac:dyDescent="0.35">
      <c r="A9" s="99"/>
      <c r="B9" s="171" t="s">
        <v>31</v>
      </c>
      <c r="C9" s="198">
        <v>45545</v>
      </c>
      <c r="D9" s="203">
        <f t="shared" si="0"/>
        <v>643</v>
      </c>
      <c r="E9" s="116">
        <v>102</v>
      </c>
      <c r="F9" s="116" t="s">
        <v>38</v>
      </c>
      <c r="G9" s="160">
        <v>7</v>
      </c>
      <c r="H9" s="161">
        <v>264</v>
      </c>
      <c r="I9" s="117">
        <v>79</v>
      </c>
      <c r="J9" s="119">
        <f>RANK(I9,$I$3:$I$16)+COUNTIF(I$3:$I9,I9)-1</f>
        <v>4</v>
      </c>
      <c r="K9" s="117">
        <v>89</v>
      </c>
      <c r="L9" s="118">
        <f>RANK(K9,$K$3:$K$16)+COUNTIF(K$3:$K9,K9)-1</f>
        <v>2</v>
      </c>
      <c r="M9" s="120">
        <f t="shared" si="1"/>
        <v>4.5</v>
      </c>
      <c r="N9" s="162">
        <f>RANK(M9,$M$3:$M$16,1)+COUNTIF(M$3:$M9,M9)-1</f>
        <v>3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177</v>
      </c>
      <c r="Y9" s="101"/>
    </row>
    <row r="10" spans="1:27" x14ac:dyDescent="0.3">
      <c r="A10" s="99" t="s">
        <v>14</v>
      </c>
      <c r="B10" s="145" t="s">
        <v>25</v>
      </c>
      <c r="C10" s="198">
        <v>45418</v>
      </c>
      <c r="D10" s="203">
        <f t="shared" si="0"/>
        <v>770</v>
      </c>
      <c r="E10" s="116">
        <v>100</v>
      </c>
      <c r="F10" s="116" t="s">
        <v>41</v>
      </c>
      <c r="G10" s="160">
        <v>8</v>
      </c>
      <c r="H10" s="161">
        <v>412</v>
      </c>
      <c r="I10" s="117">
        <v>100</v>
      </c>
      <c r="J10" s="119">
        <f>RANK(I10,$I$3:$I$16)+COUNTIF(I$3:$I10,I10)-1</f>
        <v>1</v>
      </c>
      <c r="K10" s="117">
        <v>89</v>
      </c>
      <c r="L10" s="118">
        <f>RANK(K10,$K$3:$K$16)+COUNTIF(K$3:$K10,K10)-1</f>
        <v>3</v>
      </c>
      <c r="M10" s="120">
        <f t="shared" si="1"/>
        <v>5.5</v>
      </c>
      <c r="N10" s="162">
        <f>RANK(M10,$M$3:$M$16,1)+COUNTIF(M$3:$M10,M10)-1</f>
        <v>5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1055</v>
      </c>
      <c r="E11" s="116">
        <v>99</v>
      </c>
      <c r="F11" s="116" t="s">
        <v>41</v>
      </c>
      <c r="G11" s="160">
        <v>9</v>
      </c>
      <c r="H11" s="161">
        <v>306</v>
      </c>
      <c r="I11" s="117">
        <v>68</v>
      </c>
      <c r="J11" s="119">
        <f>RANK(I11,$I$3:$I$16)+COUNTIF(I$3:$I11,I11)-1</f>
        <v>7</v>
      </c>
      <c r="K11" s="117">
        <v>88</v>
      </c>
      <c r="L11" s="118">
        <f>RANK(K11,$K$3:$K$16)+COUNTIF(K$3:$K11,K11)-1</f>
        <v>9</v>
      </c>
      <c r="M11" s="120">
        <f t="shared" si="1"/>
        <v>9</v>
      </c>
      <c r="N11" s="162">
        <f>RANK(M11,$M$3:$M$16,1)+COUNTIF(M$3:$M11,M11)-1</f>
        <v>10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459</v>
      </c>
      <c r="E12" s="116">
        <v>99</v>
      </c>
      <c r="F12" s="116" t="s">
        <v>41</v>
      </c>
      <c r="G12" s="160">
        <v>11</v>
      </c>
      <c r="H12" s="161">
        <v>182</v>
      </c>
      <c r="I12" s="117">
        <v>73</v>
      </c>
      <c r="J12" s="119">
        <f>RANK(I12,$I$3:$I$16)+COUNTIF(I$3:$I12,I12)-1</f>
        <v>6</v>
      </c>
      <c r="K12" s="117">
        <v>87</v>
      </c>
      <c r="L12" s="118">
        <f>RANK(K12,$K$3:$K$16)+COUNTIF(K$3:$K12,K12)-1</f>
        <v>13</v>
      </c>
      <c r="M12" s="120">
        <f t="shared" si="1"/>
        <v>12</v>
      </c>
      <c r="N12" s="162">
        <f>RANK(M12,$M$3:$M$16,1)+COUNTIF(M$3:$M12,M12)-1</f>
        <v>13</v>
      </c>
      <c r="Y12" s="101"/>
    </row>
    <row r="13" spans="1:27" x14ac:dyDescent="0.3">
      <c r="A13" s="99" t="s">
        <v>14</v>
      </c>
      <c r="B13" s="145" t="s">
        <v>42</v>
      </c>
      <c r="C13" s="198">
        <v>45107</v>
      </c>
      <c r="D13" s="203">
        <f t="shared" si="0"/>
        <v>1081</v>
      </c>
      <c r="E13" s="116">
        <v>98</v>
      </c>
      <c r="F13" s="116" t="s">
        <v>41</v>
      </c>
      <c r="G13" s="160">
        <v>12</v>
      </c>
      <c r="H13" s="161">
        <v>320</v>
      </c>
      <c r="I13" s="117">
        <v>82</v>
      </c>
      <c r="J13" s="119">
        <f>RANK(I13,$I$3:$I$16)+COUNTIF(I$3:$I13,I13)-1</f>
        <v>3</v>
      </c>
      <c r="K13" s="117">
        <v>86</v>
      </c>
      <c r="L13" s="118">
        <f>RANK(K13,$K$3:$K$16)+COUNTIF(K$3:$K13,K13)-1</f>
        <v>14</v>
      </c>
      <c r="M13" s="120">
        <f t="shared" si="1"/>
        <v>13</v>
      </c>
      <c r="N13" s="162">
        <f>RANK(M13,$M$3:$M$16,1)+COUNTIF(M$3:$M13,M13)-1</f>
        <v>14</v>
      </c>
    </row>
    <row r="14" spans="1:27" x14ac:dyDescent="0.3">
      <c r="A14" s="99" t="s">
        <v>43</v>
      </c>
      <c r="B14" s="145" t="s">
        <v>39</v>
      </c>
      <c r="C14" s="198">
        <v>44955</v>
      </c>
      <c r="D14" s="203">
        <f t="shared" si="0"/>
        <v>1233</v>
      </c>
      <c r="E14" s="116">
        <v>98</v>
      </c>
      <c r="F14" s="116" t="s">
        <v>41</v>
      </c>
      <c r="G14" s="160">
        <v>13</v>
      </c>
      <c r="H14" s="161">
        <v>542</v>
      </c>
      <c r="I14" s="117">
        <v>85</v>
      </c>
      <c r="J14" s="119">
        <f>RANK(I14,$I$3:$I$16)+COUNTIF(I$3:$I14,I14)-1</f>
        <v>2</v>
      </c>
      <c r="K14" s="117">
        <v>88</v>
      </c>
      <c r="L14" s="118">
        <f>RANK(K14,$K$3:$K$16)+COUNTIF(K$3:$K14,K14)-1</f>
        <v>10</v>
      </c>
      <c r="M14" s="120">
        <f t="shared" si="1"/>
        <v>11.5</v>
      </c>
      <c r="N14" s="162">
        <f>RANK(M14,$M$3:$M$16,1)+COUNTIF(M$3:$M14,M14)-1</f>
        <v>12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907</v>
      </c>
      <c r="E15" s="116">
        <v>97</v>
      </c>
      <c r="F15" s="116" t="s">
        <v>41</v>
      </c>
      <c r="G15" s="160">
        <v>14</v>
      </c>
      <c r="H15" s="161">
        <v>196</v>
      </c>
      <c r="I15" s="117">
        <v>57</v>
      </c>
      <c r="J15" s="119">
        <f>RANK(I15,$I$3:$I$16)+COUNTIF(I$3:$I15,I15)-1</f>
        <v>10</v>
      </c>
      <c r="K15" s="117">
        <v>89</v>
      </c>
      <c r="L15" s="118">
        <f>RANK(K15,$K$3:$K$16)+COUNTIF(K$3:$K15,K15)-1</f>
        <v>4</v>
      </c>
      <c r="M15" s="120">
        <f t="shared" si="1"/>
        <v>9</v>
      </c>
      <c r="N15" s="162">
        <f>RANK(M15,$M$3:$M$16,1)+COUNTIF(M$3:$M15,M15)-1</f>
        <v>11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1068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5</v>
      </c>
      <c r="K16" s="166">
        <v>90</v>
      </c>
      <c r="L16" s="168">
        <f>RANK(K16,$K$3:$K$16)+COUNTIF(K$3:$K16,K16)-1</f>
        <v>1</v>
      </c>
      <c r="M16" s="169">
        <f t="shared" si="1"/>
        <v>8</v>
      </c>
      <c r="N16" s="170">
        <f>RANK(M16,$M$3:$M$16,1)+COUNTIF(M$3:$M16,M16)-1</f>
        <v>8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2499-A9A9-47B4-A191-F3558641A93E}">
  <dimension ref="A1:AA25"/>
  <sheetViews>
    <sheetView workbookViewId="0">
      <selection activeCell="P3" sqref="P3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46195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20</v>
      </c>
      <c r="B3" s="192" t="s">
        <v>58</v>
      </c>
      <c r="C3" s="197">
        <v>45883</v>
      </c>
      <c r="D3" s="202">
        <f>$P$2-C3</f>
        <v>312</v>
      </c>
      <c r="E3" s="171">
        <v>119</v>
      </c>
      <c r="F3" s="171" t="s">
        <v>59</v>
      </c>
      <c r="G3" s="160">
        <v>1</v>
      </c>
      <c r="H3" s="186">
        <v>354</v>
      </c>
      <c r="I3" s="187">
        <v>46</v>
      </c>
      <c r="J3" s="119">
        <f>RANK(I3,$I$3:$I$16)+COUNTIF(I$3:$I3,I3)-1</f>
        <v>12</v>
      </c>
      <c r="K3" s="187">
        <v>88</v>
      </c>
      <c r="L3" s="118">
        <f>RANK(K3,$K$3:$K$16)+COUNTIF(K$3:$K3,K3)-1</f>
        <v>4</v>
      </c>
      <c r="M3" s="120">
        <f>(G3+L3)/2</f>
        <v>2.5</v>
      </c>
      <c r="N3" s="162">
        <f>RANK(M3,$M$3:$M$16,1)+COUNTIF(M$3:$M3,M3)-1</f>
        <v>1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14</v>
      </c>
      <c r="B4" s="145" t="s">
        <v>60</v>
      </c>
      <c r="C4" s="198">
        <v>45850</v>
      </c>
      <c r="D4" s="203">
        <f t="shared" ref="D4:D16" si="0">$P$2-C4</f>
        <v>345</v>
      </c>
      <c r="E4" s="171">
        <v>118</v>
      </c>
      <c r="F4" s="171" t="s">
        <v>59</v>
      </c>
      <c r="G4" s="160">
        <v>2</v>
      </c>
      <c r="H4" s="186">
        <v>172</v>
      </c>
      <c r="I4" s="187">
        <v>74</v>
      </c>
      <c r="J4" s="119">
        <f>RANK(I4,$I$3:$I$16)+COUNTIF(I$3:$I4,I4)-1</f>
        <v>8</v>
      </c>
      <c r="K4" s="187">
        <v>87</v>
      </c>
      <c r="L4" s="118">
        <f>RANK(K4,$K$3:$K$16)+COUNTIF(K$3:$K4,K4)-1</f>
        <v>10</v>
      </c>
      <c r="M4" s="120">
        <f>(G4+L4)/2</f>
        <v>6</v>
      </c>
      <c r="N4" s="162">
        <f>RANK(M4,$M$3:$M$16,1)+COUNTIF(M$3:$M4,M4)-1</f>
        <v>6</v>
      </c>
      <c r="P4" s="121" t="s">
        <v>22</v>
      </c>
      <c r="Q4" s="122">
        <f>SUM(Q5:Q9)</f>
        <v>480</v>
      </c>
      <c r="R4" s="104">
        <v>602</v>
      </c>
      <c r="S4" s="105">
        <v>486</v>
      </c>
      <c r="T4" s="123">
        <f>SUM(T5:T9)</f>
        <v>175</v>
      </c>
      <c r="U4" s="104">
        <v>217</v>
      </c>
      <c r="V4" s="105">
        <v>286</v>
      </c>
      <c r="W4" s="101"/>
      <c r="X4" s="101"/>
      <c r="Y4" s="101"/>
    </row>
    <row r="5" spans="1:27" x14ac:dyDescent="0.3">
      <c r="A5" s="99" t="s">
        <v>14</v>
      </c>
      <c r="B5" s="145" t="s">
        <v>61</v>
      </c>
      <c r="C5" s="198">
        <v>45873</v>
      </c>
      <c r="D5" s="203">
        <f t="shared" si="0"/>
        <v>322</v>
      </c>
      <c r="E5" s="171">
        <v>117</v>
      </c>
      <c r="F5" s="171" t="s">
        <v>59</v>
      </c>
      <c r="G5" s="160">
        <v>3</v>
      </c>
      <c r="H5" s="186">
        <v>94</v>
      </c>
      <c r="I5" s="187">
        <v>28</v>
      </c>
      <c r="J5" s="119">
        <f>RANK(I5,$I$3:$I$16)+COUNTIF(I$3:$I5,I5)-1</f>
        <v>14</v>
      </c>
      <c r="K5" s="187">
        <v>87</v>
      </c>
      <c r="L5" s="118">
        <f>RANK(K5,$K$3:$K$16)+COUNTIF(K$3:$K5,K5)-1</f>
        <v>11</v>
      </c>
      <c r="M5" s="120">
        <f t="shared" ref="M5:M16" si="1">(G5+L5)/2</f>
        <v>7</v>
      </c>
      <c r="N5" s="162">
        <f>RANK(M5,$M$3:$M$16,1)+COUNTIF(M$3:$M5,M5)-1</f>
        <v>7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5" t="s">
        <v>27</v>
      </c>
      <c r="C6" s="198">
        <v>45561</v>
      </c>
      <c r="D6" s="203">
        <f t="shared" si="0"/>
        <v>634</v>
      </c>
      <c r="E6" s="116">
        <v>108</v>
      </c>
      <c r="F6" s="116" t="s">
        <v>16</v>
      </c>
      <c r="G6" s="160">
        <v>4</v>
      </c>
      <c r="H6" s="161">
        <v>192</v>
      </c>
      <c r="I6" s="117">
        <v>56</v>
      </c>
      <c r="J6" s="119">
        <f>RANK(I6,$I$3:$I$16)+COUNTIF(I$3:$I6,I6)-1</f>
        <v>11</v>
      </c>
      <c r="K6" s="117">
        <v>88</v>
      </c>
      <c r="L6" s="118">
        <f>RANK(K6,$K$3:$K$16)+COUNTIF(K$3:$K6,K6)-1</f>
        <v>5</v>
      </c>
      <c r="M6" s="120">
        <f t="shared" si="1"/>
        <v>4.5</v>
      </c>
      <c r="N6" s="162">
        <f>RANK(M6,$M$3:$M$16,1)+COUNTIF(M$3:$M6,M6)-1</f>
        <v>3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43</v>
      </c>
      <c r="B7" s="144" t="s">
        <v>21</v>
      </c>
      <c r="C7" s="198">
        <v>45553</v>
      </c>
      <c r="D7" s="203">
        <f t="shared" si="0"/>
        <v>642</v>
      </c>
      <c r="E7" s="116">
        <v>107</v>
      </c>
      <c r="F7" s="116" t="s">
        <v>16</v>
      </c>
      <c r="G7" s="160">
        <v>5</v>
      </c>
      <c r="H7" s="161">
        <v>330</v>
      </c>
      <c r="I7" s="117">
        <v>66</v>
      </c>
      <c r="J7" s="119">
        <f>RANK(I7,$I$3:$I$16)+COUNTIF(I$3:$I7,I7)-1</f>
        <v>10</v>
      </c>
      <c r="K7" s="117">
        <v>88</v>
      </c>
      <c r="L7" s="118">
        <f>RANK(K7,$K$3:$K$16)+COUNTIF(K$3:$K7,K7)-1</f>
        <v>6</v>
      </c>
      <c r="M7" s="120">
        <f t="shared" si="1"/>
        <v>5.5</v>
      </c>
      <c r="N7" s="162">
        <f>RANK(M7,$M$3:$M$16,1)+COUNTIF(M$3:$M7,M7)-1</f>
        <v>5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20</v>
      </c>
      <c r="B8" s="171" t="s">
        <v>23</v>
      </c>
      <c r="C8" s="198">
        <v>45711</v>
      </c>
      <c r="D8" s="203">
        <f t="shared" si="0"/>
        <v>484</v>
      </c>
      <c r="E8" s="116">
        <v>106</v>
      </c>
      <c r="F8" s="116" t="s">
        <v>16</v>
      </c>
      <c r="G8" s="160">
        <v>6</v>
      </c>
      <c r="H8" s="161">
        <v>136</v>
      </c>
      <c r="I8" s="117">
        <v>46</v>
      </c>
      <c r="J8" s="119">
        <f>RANK(I8,$I$3:$I$16)+COUNTIF(I$3:$I8,I8)-1</f>
        <v>13</v>
      </c>
      <c r="K8" s="117">
        <v>89</v>
      </c>
      <c r="L8" s="118">
        <f>RANK(K8,$K$3:$K$16)+COUNTIF(K$3:$K8,K8)-1</f>
        <v>1</v>
      </c>
      <c r="M8" s="120">
        <f t="shared" si="1"/>
        <v>3.5</v>
      </c>
      <c r="N8" s="162">
        <f>RANK(M8,$M$3:$M$16,1)+COUNTIF(M$3:$M8,M8)-1</f>
        <v>2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772</v>
      </c>
      <c r="X8" s="101">
        <f>R4+U4</f>
        <v>819</v>
      </c>
      <c r="Y8" s="101"/>
    </row>
    <row r="9" spans="1:27" ht="15" thickBot="1" x14ac:dyDescent="0.35">
      <c r="A9" s="99" t="s">
        <v>43</v>
      </c>
      <c r="B9" s="144" t="s">
        <v>31</v>
      </c>
      <c r="C9" s="198">
        <v>45545</v>
      </c>
      <c r="D9" s="203">
        <f t="shared" si="0"/>
        <v>650</v>
      </c>
      <c r="E9" s="116">
        <v>102</v>
      </c>
      <c r="F9" s="116" t="s">
        <v>38</v>
      </c>
      <c r="G9" s="160">
        <v>7</v>
      </c>
      <c r="H9" s="161">
        <v>384</v>
      </c>
      <c r="I9" s="117">
        <v>74</v>
      </c>
      <c r="J9" s="119">
        <f>RANK(I9,$I$3:$I$16)+COUNTIF(I$3:$I9,I9)-1</f>
        <v>9</v>
      </c>
      <c r="K9" s="117">
        <v>89</v>
      </c>
      <c r="L9" s="118">
        <f>RANK(K9,$K$3:$K$16)+COUNTIF(K$3:$K9,K9)-1</f>
        <v>2</v>
      </c>
      <c r="M9" s="120">
        <f t="shared" si="1"/>
        <v>4.5</v>
      </c>
      <c r="N9" s="162">
        <f>RANK(M9,$M$3:$M$16,1)+COUNTIF(M$3:$M9,M9)-1</f>
        <v>4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-47</v>
      </c>
      <c r="Y9" s="101"/>
    </row>
    <row r="10" spans="1:27" x14ac:dyDescent="0.3">
      <c r="A10" s="99" t="s">
        <v>43</v>
      </c>
      <c r="B10" s="145" t="s">
        <v>25</v>
      </c>
      <c r="C10" s="198">
        <v>45418</v>
      </c>
      <c r="D10" s="203">
        <f t="shared" si="0"/>
        <v>777</v>
      </c>
      <c r="E10" s="116">
        <v>100</v>
      </c>
      <c r="F10" s="116" t="s">
        <v>41</v>
      </c>
      <c r="G10" s="160">
        <v>8</v>
      </c>
      <c r="H10" s="161">
        <v>540</v>
      </c>
      <c r="I10" s="117">
        <v>81</v>
      </c>
      <c r="J10" s="119">
        <f>RANK(I10,$I$3:$I$16)+COUNTIF(I$3:$I10,I10)-1</f>
        <v>5</v>
      </c>
      <c r="K10" s="117">
        <v>88</v>
      </c>
      <c r="L10" s="118">
        <f>RANK(K10,$K$3:$K$16)+COUNTIF(K$3:$K10,K10)-1</f>
        <v>7</v>
      </c>
      <c r="M10" s="120">
        <f t="shared" si="1"/>
        <v>7.5</v>
      </c>
      <c r="N10" s="162">
        <f>RANK(M10,$M$3:$M$16,1)+COUNTIF(M$3:$M10,M10)-1</f>
        <v>8</v>
      </c>
      <c r="Y10" s="101"/>
    </row>
    <row r="11" spans="1:27" x14ac:dyDescent="0.3">
      <c r="A11" s="99" t="s">
        <v>20</v>
      </c>
      <c r="B11" s="144" t="s">
        <v>37</v>
      </c>
      <c r="C11" s="198">
        <v>45133</v>
      </c>
      <c r="D11" s="203">
        <f t="shared" si="0"/>
        <v>1062</v>
      </c>
      <c r="E11" s="116">
        <v>99</v>
      </c>
      <c r="F11" s="116" t="s">
        <v>41</v>
      </c>
      <c r="G11" s="160">
        <v>9</v>
      </c>
      <c r="H11" s="161">
        <v>354</v>
      </c>
      <c r="I11" s="117">
        <v>100</v>
      </c>
      <c r="J11" s="119">
        <f>RANK(I11,$I$3:$I$16)+COUNTIF(I$3:$I11,I11)-1</f>
        <v>1</v>
      </c>
      <c r="K11" s="117">
        <v>88</v>
      </c>
      <c r="L11" s="118">
        <f>RANK(K11,$K$3:$K$16)+COUNTIF(K$3:$K11,K11)-1</f>
        <v>8</v>
      </c>
      <c r="M11" s="120">
        <f t="shared" si="1"/>
        <v>8.5</v>
      </c>
      <c r="N11" s="162">
        <f>RANK(M11,$M$3:$M$16,1)+COUNTIF(M$3:$M11,M11)-1</f>
        <v>9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466</v>
      </c>
      <c r="E12" s="116">
        <v>99</v>
      </c>
      <c r="F12" s="116" t="s">
        <v>41</v>
      </c>
      <c r="G12" s="160">
        <v>11</v>
      </c>
      <c r="H12" s="161">
        <v>262</v>
      </c>
      <c r="I12" s="117">
        <v>75</v>
      </c>
      <c r="J12" s="119">
        <f>RANK(I12,$I$3:$I$16)+COUNTIF(I$3:$I12,I12)-1</f>
        <v>7</v>
      </c>
      <c r="K12" s="117">
        <v>87</v>
      </c>
      <c r="L12" s="118">
        <f>RANK(K12,$K$3:$K$16)+COUNTIF(K$3:$K12,K12)-1</f>
        <v>12</v>
      </c>
      <c r="M12" s="120">
        <f t="shared" si="1"/>
        <v>11.5</v>
      </c>
      <c r="N12" s="162">
        <f>RANK(M12,$M$3:$M$16,1)+COUNTIF(M$3:$M12,M12)-1</f>
        <v>12</v>
      </c>
      <c r="Y12" s="101"/>
    </row>
    <row r="13" spans="1:27" x14ac:dyDescent="0.3">
      <c r="A13" s="99" t="s">
        <v>43</v>
      </c>
      <c r="B13" s="145" t="s">
        <v>42</v>
      </c>
      <c r="C13" s="198">
        <v>45107</v>
      </c>
      <c r="D13" s="203">
        <f t="shared" si="0"/>
        <v>1088</v>
      </c>
      <c r="E13" s="116">
        <v>98</v>
      </c>
      <c r="F13" s="116" t="s">
        <v>41</v>
      </c>
      <c r="G13" s="160">
        <v>12</v>
      </c>
      <c r="H13" s="161">
        <v>280</v>
      </c>
      <c r="I13" s="117">
        <v>84</v>
      </c>
      <c r="J13" s="119">
        <f>RANK(I13,$I$3:$I$16)+COUNTIF(I$3:$I13,I13)-1</f>
        <v>4</v>
      </c>
      <c r="K13" s="117">
        <v>87</v>
      </c>
      <c r="L13" s="118">
        <f>RANK(K13,$K$3:$K$16)+COUNTIF(K$3:$K13,K13)-1</f>
        <v>13</v>
      </c>
      <c r="M13" s="120">
        <f t="shared" si="1"/>
        <v>12.5</v>
      </c>
      <c r="N13" s="162">
        <f>RANK(M13,$M$3:$M$16,1)+COUNTIF(M$3:$M13,M13)-1</f>
        <v>13</v>
      </c>
    </row>
    <row r="14" spans="1:27" x14ac:dyDescent="0.3">
      <c r="A14" s="99" t="s">
        <v>43</v>
      </c>
      <c r="B14" s="171" t="s">
        <v>39</v>
      </c>
      <c r="C14" s="198">
        <v>44955</v>
      </c>
      <c r="D14" s="203">
        <f t="shared" si="0"/>
        <v>1240</v>
      </c>
      <c r="E14" s="116">
        <v>98</v>
      </c>
      <c r="F14" s="116" t="s">
        <v>41</v>
      </c>
      <c r="G14" s="160">
        <v>13</v>
      </c>
      <c r="H14" s="161">
        <v>542</v>
      </c>
      <c r="I14" s="117">
        <v>85</v>
      </c>
      <c r="J14" s="119">
        <f>RANK(I14,$I$3:$I$16)+COUNTIF(I$3:$I14,I14)-1</f>
        <v>3</v>
      </c>
      <c r="K14" s="117">
        <v>88</v>
      </c>
      <c r="L14" s="118">
        <f>RANK(K14,$K$3:$K$16)+COUNTIF(K$3:$K14,K14)-1</f>
        <v>9</v>
      </c>
      <c r="M14" s="120">
        <f t="shared" si="1"/>
        <v>11</v>
      </c>
      <c r="N14" s="162">
        <f>RANK(M14,$M$3:$M$16,1)+COUNTIF(M$3:$M14,M14)-1</f>
        <v>11</v>
      </c>
    </row>
    <row r="15" spans="1:27" x14ac:dyDescent="0.3">
      <c r="A15" s="99" t="s">
        <v>43</v>
      </c>
      <c r="B15" s="145" t="s">
        <v>44</v>
      </c>
      <c r="C15" s="198">
        <v>45281</v>
      </c>
      <c r="D15" s="203">
        <f t="shared" si="0"/>
        <v>914</v>
      </c>
      <c r="E15" s="116">
        <v>97</v>
      </c>
      <c r="F15" s="116" t="s">
        <v>41</v>
      </c>
      <c r="G15" s="160">
        <v>14</v>
      </c>
      <c r="H15" s="161">
        <v>312</v>
      </c>
      <c r="I15" s="117">
        <v>88</v>
      </c>
      <c r="J15" s="119">
        <f>RANK(I15,$I$3:$I$16)+COUNTIF(I$3:$I15,I15)-1</f>
        <v>2</v>
      </c>
      <c r="K15" s="117">
        <v>89</v>
      </c>
      <c r="L15" s="118">
        <f>RANK(K15,$K$3:$K$16)+COUNTIF(K$3:$K15,K15)-1</f>
        <v>3</v>
      </c>
      <c r="M15" s="120">
        <f t="shared" si="1"/>
        <v>8.5</v>
      </c>
      <c r="N15" s="162">
        <f>RANK(M15,$M$3:$M$16,1)+COUNTIF(M$3:$M15,M15)-1</f>
        <v>10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1075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6</v>
      </c>
      <c r="K16" s="166">
        <v>87</v>
      </c>
      <c r="L16" s="168">
        <f>RANK(K16,$K$3:$K$16)+COUNTIF(K$3:$K16,K16)-1</f>
        <v>14</v>
      </c>
      <c r="M16" s="169">
        <f t="shared" si="1"/>
        <v>14.5</v>
      </c>
      <c r="N16" s="170">
        <f>RANK(M16,$M$3:$M$16,1)+COUNTIF(M$3:$M16,M16)-1</f>
        <v>14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14D3-9169-4881-BD89-90B7B82C9A54}">
  <dimension ref="A1:AA25"/>
  <sheetViews>
    <sheetView workbookViewId="0">
      <selection activeCell="C1" sqref="C1:D1048576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46202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43</v>
      </c>
      <c r="B3" s="193" t="s">
        <v>58</v>
      </c>
      <c r="C3" s="197">
        <v>45883</v>
      </c>
      <c r="D3" s="202">
        <f>$P$2-C3</f>
        <v>319</v>
      </c>
      <c r="E3" s="171">
        <v>119</v>
      </c>
      <c r="F3" s="171" t="s">
        <v>59</v>
      </c>
      <c r="G3" s="160">
        <v>1</v>
      </c>
      <c r="H3" s="186">
        <v>178</v>
      </c>
      <c r="I3" s="187">
        <v>51</v>
      </c>
      <c r="J3" s="119">
        <f>RANK(I3,$I$3:$I$16)+COUNTIF(I$3:$I3,I3)-1</f>
        <v>10</v>
      </c>
      <c r="K3" s="187">
        <v>86</v>
      </c>
      <c r="L3" s="118">
        <f>RANK(K3,$K$3:$K$16)+COUNTIF(K$3:$K3,K3)-1</f>
        <v>9</v>
      </c>
      <c r="M3" s="120">
        <f>(G3+L3)/2</f>
        <v>5</v>
      </c>
      <c r="N3" s="162">
        <f>RANK(M3,$M$3:$M$16,1)+COUNTIF(M$3:$M3,M3)-1</f>
        <v>3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20</v>
      </c>
      <c r="B4" s="144" t="s">
        <v>60</v>
      </c>
      <c r="C4" s="198">
        <v>45850</v>
      </c>
      <c r="D4" s="203">
        <f t="shared" ref="D4:D16" si="0">$P$2-C4</f>
        <v>352</v>
      </c>
      <c r="E4" s="171">
        <v>118</v>
      </c>
      <c r="F4" s="171" t="s">
        <v>59</v>
      </c>
      <c r="G4" s="160">
        <v>2</v>
      </c>
      <c r="H4" s="186">
        <v>62</v>
      </c>
      <c r="I4" s="187">
        <v>15</v>
      </c>
      <c r="J4" s="119">
        <f>RANK(I4,$I$3:$I$16)+COUNTIF(I$3:$I4,I4)-1</f>
        <v>14</v>
      </c>
      <c r="K4" s="187">
        <v>87</v>
      </c>
      <c r="L4" s="118">
        <f>RANK(K4,$K$3:$K$16)+COUNTIF(K$3:$K4,K4)-1</f>
        <v>5</v>
      </c>
      <c r="M4" s="120">
        <f>(G4+L4)/2</f>
        <v>3.5</v>
      </c>
      <c r="N4" s="162">
        <f>RANK(M4,$M$3:$M$16,1)+COUNTIF(M$3:$M4,M4)-1</f>
        <v>1</v>
      </c>
      <c r="P4" s="121" t="s">
        <v>22</v>
      </c>
      <c r="Q4" s="122">
        <f>SUM(Q5:Q9)</f>
        <v>480</v>
      </c>
      <c r="R4" s="104">
        <v>486</v>
      </c>
      <c r="S4" s="105">
        <v>499</v>
      </c>
      <c r="T4" s="123">
        <f>SUM(T5:T9)</f>
        <v>175</v>
      </c>
      <c r="U4" s="104">
        <v>286</v>
      </c>
      <c r="V4" s="105">
        <v>263</v>
      </c>
      <c r="W4" s="101"/>
      <c r="X4" s="101"/>
      <c r="Y4" s="101"/>
    </row>
    <row r="5" spans="1:27" x14ac:dyDescent="0.3">
      <c r="A5" s="99" t="s">
        <v>14</v>
      </c>
      <c r="B5" s="145" t="s">
        <v>61</v>
      </c>
      <c r="C5" s="198">
        <v>45873</v>
      </c>
      <c r="D5" s="203">
        <f t="shared" si="0"/>
        <v>329</v>
      </c>
      <c r="E5" s="171">
        <v>117</v>
      </c>
      <c r="F5" s="171" t="s">
        <v>59</v>
      </c>
      <c r="G5" s="160">
        <v>3</v>
      </c>
      <c r="H5" s="186">
        <v>266</v>
      </c>
      <c r="I5" s="187">
        <v>57</v>
      </c>
      <c r="J5" s="119">
        <f>RANK(I5,$I$3:$I$16)+COUNTIF(I$3:$I5,I5)-1</f>
        <v>9</v>
      </c>
      <c r="K5" s="187">
        <v>86</v>
      </c>
      <c r="L5" s="118">
        <f>RANK(K5,$K$3:$K$16)+COUNTIF(K$3:$K5,K5)-1</f>
        <v>10</v>
      </c>
      <c r="M5" s="120">
        <f t="shared" ref="M5:M16" si="1">(G5+L5)/2</f>
        <v>6.5</v>
      </c>
      <c r="N5" s="162">
        <f>RANK(M5,$M$3:$M$16,1)+COUNTIF(M$3:$M5,M5)-1</f>
        <v>6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5" t="s">
        <v>27</v>
      </c>
      <c r="C6" s="198">
        <v>45561</v>
      </c>
      <c r="D6" s="203">
        <f t="shared" si="0"/>
        <v>641</v>
      </c>
      <c r="E6" s="116">
        <v>108</v>
      </c>
      <c r="F6" s="116" t="s">
        <v>16</v>
      </c>
      <c r="G6" s="160">
        <v>4</v>
      </c>
      <c r="H6" s="161">
        <v>162</v>
      </c>
      <c r="I6" s="117">
        <v>44</v>
      </c>
      <c r="J6" s="119">
        <f>RANK(I6,$I$3:$I$16)+COUNTIF(I$3:$I6,I6)-1</f>
        <v>13</v>
      </c>
      <c r="K6" s="117">
        <v>85</v>
      </c>
      <c r="L6" s="118">
        <f>RANK(K6,$K$3:$K$16)+COUNTIF(K$3:$K6,K6)-1</f>
        <v>12</v>
      </c>
      <c r="M6" s="120">
        <f t="shared" si="1"/>
        <v>8</v>
      </c>
      <c r="N6" s="162">
        <f>RANK(M6,$M$3:$M$16,1)+COUNTIF(M$3:$M6,M6)-1</f>
        <v>9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14</v>
      </c>
      <c r="B7" s="144" t="s">
        <v>21</v>
      </c>
      <c r="C7" s="198">
        <v>45553</v>
      </c>
      <c r="D7" s="203">
        <f t="shared" si="0"/>
        <v>649</v>
      </c>
      <c r="E7" s="116">
        <v>107</v>
      </c>
      <c r="F7" s="116" t="s">
        <v>16</v>
      </c>
      <c r="G7" s="160">
        <v>5</v>
      </c>
      <c r="H7" s="161">
        <v>356</v>
      </c>
      <c r="I7" s="117">
        <v>58</v>
      </c>
      <c r="J7" s="119">
        <f>RANK(I7,$I$3:$I$16)+COUNTIF(I$3:$I7,I7)-1</f>
        <v>8</v>
      </c>
      <c r="K7" s="117">
        <v>88</v>
      </c>
      <c r="L7" s="118">
        <f>RANK(K7,$K$3:$K$16)+COUNTIF(K$3:$K7,K7)-1</f>
        <v>2</v>
      </c>
      <c r="M7" s="120">
        <f t="shared" si="1"/>
        <v>3.5</v>
      </c>
      <c r="N7" s="162">
        <f>RANK(M7,$M$3:$M$16,1)+COUNTIF(M$3:$M7,M7)-1</f>
        <v>2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20</v>
      </c>
      <c r="B8" s="171" t="s">
        <v>23</v>
      </c>
      <c r="C8" s="198">
        <v>45711</v>
      </c>
      <c r="D8" s="203">
        <f t="shared" si="0"/>
        <v>491</v>
      </c>
      <c r="E8" s="116">
        <v>106</v>
      </c>
      <c r="F8" s="116" t="s">
        <v>16</v>
      </c>
      <c r="G8" s="160">
        <v>6</v>
      </c>
      <c r="H8" s="161">
        <v>136</v>
      </c>
      <c r="I8" s="117">
        <v>46</v>
      </c>
      <c r="J8" s="119">
        <f>RANK(I8,$I$3:$I$16)+COUNTIF(I$3:$I8,I8)-1</f>
        <v>12</v>
      </c>
      <c r="K8" s="117">
        <v>87</v>
      </c>
      <c r="L8" s="118">
        <f>RANK(K8,$K$3:$K$16)+COUNTIF(K$3:$K8,K8)-1</f>
        <v>6</v>
      </c>
      <c r="M8" s="120">
        <f t="shared" si="1"/>
        <v>6</v>
      </c>
      <c r="N8" s="162">
        <f>RANK(M8,$M$3:$M$16,1)+COUNTIF(M$3:$M8,M8)-1</f>
        <v>5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762</v>
      </c>
      <c r="X8" s="101">
        <f>R4+U4</f>
        <v>772</v>
      </c>
      <c r="Y8" s="101"/>
    </row>
    <row r="9" spans="1:27" ht="15" thickBot="1" x14ac:dyDescent="0.35">
      <c r="A9" s="99" t="s">
        <v>43</v>
      </c>
      <c r="B9" s="171" t="s">
        <v>31</v>
      </c>
      <c r="C9" s="198">
        <v>45545</v>
      </c>
      <c r="D9" s="203">
        <f t="shared" si="0"/>
        <v>657</v>
      </c>
      <c r="E9" s="116">
        <v>102</v>
      </c>
      <c r="F9" s="116" t="s">
        <v>38</v>
      </c>
      <c r="G9" s="160">
        <v>7</v>
      </c>
      <c r="H9" s="161">
        <v>384</v>
      </c>
      <c r="I9" s="117">
        <v>74</v>
      </c>
      <c r="J9" s="119">
        <f>RANK(I9,$I$3:$I$16)+COUNTIF(I$3:$I9,I9)-1</f>
        <v>7</v>
      </c>
      <c r="K9" s="117">
        <v>88</v>
      </c>
      <c r="L9" s="118">
        <f>RANK(K9,$K$3:$K$16)+COUNTIF(K$3:$K9,K9)-1</f>
        <v>3</v>
      </c>
      <c r="M9" s="120">
        <f t="shared" si="1"/>
        <v>5</v>
      </c>
      <c r="N9" s="162">
        <f>RANK(M9,$M$3:$M$16,1)+COUNTIF(M$3:$M9,M9)-1</f>
        <v>4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-10</v>
      </c>
      <c r="Y9" s="101"/>
    </row>
    <row r="10" spans="1:27" x14ac:dyDescent="0.3">
      <c r="A10" s="99" t="s">
        <v>20</v>
      </c>
      <c r="B10" s="145" t="s">
        <v>25</v>
      </c>
      <c r="C10" s="198">
        <v>45418</v>
      </c>
      <c r="D10" s="203">
        <f t="shared" si="0"/>
        <v>784</v>
      </c>
      <c r="E10" s="116">
        <v>100</v>
      </c>
      <c r="F10" s="116" t="s">
        <v>41</v>
      </c>
      <c r="G10" s="160">
        <v>8</v>
      </c>
      <c r="H10" s="161">
        <v>526</v>
      </c>
      <c r="I10" s="117">
        <v>106</v>
      </c>
      <c r="J10" s="119">
        <f>RANK(I10,$I$3:$I$16)+COUNTIF(I$3:$I10,I10)-1</f>
        <v>3</v>
      </c>
      <c r="K10" s="117">
        <v>87</v>
      </c>
      <c r="L10" s="118">
        <f>RANK(K10,$K$3:$K$16)+COUNTIF(K$3:$K10,K10)-1</f>
        <v>7</v>
      </c>
      <c r="M10" s="120">
        <f t="shared" si="1"/>
        <v>7.5</v>
      </c>
      <c r="N10" s="162">
        <f>RANK(M10,$M$3:$M$16,1)+COUNTIF(M$3:$M10,M10)-1</f>
        <v>7</v>
      </c>
      <c r="Y10" s="101"/>
    </row>
    <row r="11" spans="1:27" x14ac:dyDescent="0.3">
      <c r="A11" s="99" t="s">
        <v>14</v>
      </c>
      <c r="B11" s="144" t="s">
        <v>37</v>
      </c>
      <c r="C11" s="198">
        <v>45133</v>
      </c>
      <c r="D11" s="203">
        <f t="shared" si="0"/>
        <v>1069</v>
      </c>
      <c r="E11" s="116">
        <v>99</v>
      </c>
      <c r="F11" s="116" t="s">
        <v>41</v>
      </c>
      <c r="G11" s="160">
        <v>9</v>
      </c>
      <c r="H11" s="161">
        <v>310</v>
      </c>
      <c r="I11" s="117">
        <v>78</v>
      </c>
      <c r="J11" s="119">
        <f>RANK(I11,$I$3:$I$16)+COUNTIF(I$3:$I11,I11)-1</f>
        <v>6</v>
      </c>
      <c r="K11" s="117">
        <v>85</v>
      </c>
      <c r="L11" s="118">
        <f>RANK(K11,$K$3:$K$16)+COUNTIF(K$3:$K11,K11)-1</f>
        <v>13</v>
      </c>
      <c r="M11" s="120">
        <f t="shared" si="1"/>
        <v>11</v>
      </c>
      <c r="N11" s="162">
        <f>RANK(M11,$M$3:$M$16,1)+COUNTIF(M$3:$M11,M11)-1</f>
        <v>11</v>
      </c>
      <c r="Y11" s="101"/>
    </row>
    <row r="12" spans="1:27" x14ac:dyDescent="0.3">
      <c r="A12" s="99" t="s">
        <v>43</v>
      </c>
      <c r="B12" s="145" t="s">
        <v>36</v>
      </c>
      <c r="C12" s="198">
        <v>45729</v>
      </c>
      <c r="D12" s="203">
        <f t="shared" si="0"/>
        <v>473</v>
      </c>
      <c r="E12" s="116">
        <v>99</v>
      </c>
      <c r="F12" s="116" t="s">
        <v>41</v>
      </c>
      <c r="G12" s="160">
        <v>11</v>
      </c>
      <c r="H12" s="161">
        <v>220</v>
      </c>
      <c r="I12" s="117">
        <v>48</v>
      </c>
      <c r="J12" s="119">
        <f>RANK(I12,$I$3:$I$16)+COUNTIF(I$3:$I12,I12)-1</f>
        <v>11</v>
      </c>
      <c r="K12" s="117">
        <v>85</v>
      </c>
      <c r="L12" s="118">
        <f>RANK(K12,$K$3:$K$16)+COUNTIF(K$3:$K12,K12)-1</f>
        <v>14</v>
      </c>
      <c r="M12" s="120">
        <f t="shared" si="1"/>
        <v>12.5</v>
      </c>
      <c r="N12" s="162">
        <f>RANK(M12,$M$3:$M$16,1)+COUNTIF(M$3:$M12,M12)-1</f>
        <v>14</v>
      </c>
      <c r="Y12" s="101"/>
    </row>
    <row r="13" spans="1:27" x14ac:dyDescent="0.3">
      <c r="A13" s="99" t="s">
        <v>43</v>
      </c>
      <c r="B13" s="145" t="s">
        <v>42</v>
      </c>
      <c r="C13" s="198">
        <v>45107</v>
      </c>
      <c r="D13" s="203">
        <f t="shared" si="0"/>
        <v>1095</v>
      </c>
      <c r="E13" s="116">
        <v>98</v>
      </c>
      <c r="F13" s="116" t="s">
        <v>41</v>
      </c>
      <c r="G13" s="160">
        <v>12</v>
      </c>
      <c r="H13" s="161">
        <v>436</v>
      </c>
      <c r="I13" s="117">
        <v>113</v>
      </c>
      <c r="J13" s="119">
        <f>RANK(I13,$I$3:$I$16)+COUNTIF(I$3:$I13,I13)-1</f>
        <v>1</v>
      </c>
      <c r="K13" s="117">
        <v>86</v>
      </c>
      <c r="L13" s="118">
        <f>RANK(K13,$K$3:$K$16)+COUNTIF(K$3:$K13,K13)-1</f>
        <v>11</v>
      </c>
      <c r="M13" s="120">
        <f t="shared" si="1"/>
        <v>11.5</v>
      </c>
      <c r="N13" s="162">
        <f>RANK(M13,$M$3:$M$16,1)+COUNTIF(M$3:$M13,M13)-1</f>
        <v>12</v>
      </c>
    </row>
    <row r="14" spans="1:27" x14ac:dyDescent="0.3">
      <c r="A14" s="99" t="s">
        <v>20</v>
      </c>
      <c r="B14" s="144" t="s">
        <v>39</v>
      </c>
      <c r="C14" s="198">
        <v>44955</v>
      </c>
      <c r="D14" s="203">
        <f t="shared" si="0"/>
        <v>1247</v>
      </c>
      <c r="E14" s="116">
        <v>98</v>
      </c>
      <c r="F14" s="116" t="s">
        <v>41</v>
      </c>
      <c r="G14" s="160">
        <v>13</v>
      </c>
      <c r="H14" s="161">
        <v>550</v>
      </c>
      <c r="I14" s="117">
        <v>112</v>
      </c>
      <c r="J14" s="119">
        <f>RANK(I14,$I$3:$I$16)+COUNTIF(I$3:$I14,I14)-1</f>
        <v>2</v>
      </c>
      <c r="K14" s="117">
        <v>88</v>
      </c>
      <c r="L14" s="118">
        <f>RANK(K14,$K$3:$K$16)+COUNTIF(K$3:$K14,K14)-1</f>
        <v>4</v>
      </c>
      <c r="M14" s="120">
        <f t="shared" si="1"/>
        <v>8.5</v>
      </c>
      <c r="N14" s="162">
        <f>RANK(M14,$M$3:$M$16,1)+COUNTIF(M$3:$M14,M14)-1</f>
        <v>10</v>
      </c>
    </row>
    <row r="15" spans="1:27" x14ac:dyDescent="0.3">
      <c r="A15" s="99" t="s">
        <v>43</v>
      </c>
      <c r="B15" s="145" t="s">
        <v>44</v>
      </c>
      <c r="C15" s="198">
        <v>45281</v>
      </c>
      <c r="D15" s="203">
        <f t="shared" si="0"/>
        <v>921</v>
      </c>
      <c r="E15" s="116">
        <v>97</v>
      </c>
      <c r="F15" s="116" t="s">
        <v>41</v>
      </c>
      <c r="G15" s="160">
        <v>14</v>
      </c>
      <c r="H15" s="161">
        <v>200</v>
      </c>
      <c r="I15" s="117">
        <v>80</v>
      </c>
      <c r="J15" s="119">
        <f>RANK(I15,$I$3:$I$16)+COUNTIF(I$3:$I15,I15)-1</f>
        <v>4</v>
      </c>
      <c r="K15" s="117">
        <v>89</v>
      </c>
      <c r="L15" s="118">
        <f>RANK(K15,$K$3:$K$16)+COUNTIF(K$3:$K15,K15)-1</f>
        <v>1</v>
      </c>
      <c r="M15" s="120">
        <f t="shared" si="1"/>
        <v>7.5</v>
      </c>
      <c r="N15" s="162">
        <f>RANK(M15,$M$3:$M$16,1)+COUNTIF(M$3:$M15,M15)-1</f>
        <v>8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1082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5</v>
      </c>
      <c r="K16" s="166">
        <v>87</v>
      </c>
      <c r="L16" s="168">
        <f>RANK(K16,$K$3:$K$16)+COUNTIF(K$3:$K16,K16)-1</f>
        <v>8</v>
      </c>
      <c r="M16" s="169">
        <f t="shared" si="1"/>
        <v>11.5</v>
      </c>
      <c r="N16" s="170">
        <f>RANK(M16,$M$3:$M$16,1)+COUNTIF(M$3:$M16,M16)-1</f>
        <v>13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F19" s="140"/>
      <c r="H19" s="1"/>
    </row>
    <row r="20" spans="2:8" x14ac:dyDescent="0.3">
      <c r="B20" s="10" t="s">
        <v>48</v>
      </c>
      <c r="C20" s="141" t="s">
        <v>49</v>
      </c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8815-FF47-40EA-9FA0-FA8F9B82821B}">
  <dimension ref="A1:AA25"/>
  <sheetViews>
    <sheetView workbookViewId="0">
      <selection activeCell="C1" sqref="C1:D1048576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46209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14</v>
      </c>
      <c r="B3" s="193" t="s">
        <v>58</v>
      </c>
      <c r="C3" s="197">
        <v>45883</v>
      </c>
      <c r="D3" s="202">
        <f>$P$2-C3</f>
        <v>326</v>
      </c>
      <c r="E3" s="171">
        <v>119</v>
      </c>
      <c r="F3" s="171" t="s">
        <v>59</v>
      </c>
      <c r="G3" s="160">
        <v>1</v>
      </c>
      <c r="H3" s="186">
        <v>144</v>
      </c>
      <c r="I3" s="187">
        <v>45</v>
      </c>
      <c r="J3" s="119">
        <f>RANK(I3,$I$3:$I$16)+COUNTIF(I$3:$I3,I3)-1</f>
        <v>13</v>
      </c>
      <c r="K3" s="187">
        <v>86</v>
      </c>
      <c r="L3" s="118">
        <f>RANK(K3,$K$3:$K$16)+COUNTIF(K$3:$K3,K3)-1</f>
        <v>10</v>
      </c>
      <c r="M3" s="120">
        <f>(G3+L3)/2</f>
        <v>5.5</v>
      </c>
      <c r="N3" s="162">
        <f>RANK(M3,$M$3:$M$16,1)+COUNTIF(M$3:$M3,M3)-1</f>
        <v>4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20</v>
      </c>
      <c r="B4" s="144" t="s">
        <v>60</v>
      </c>
      <c r="C4" s="198">
        <v>45850</v>
      </c>
      <c r="D4" s="203">
        <f t="shared" ref="D4:D16" si="0">$P$2-C4</f>
        <v>359</v>
      </c>
      <c r="E4" s="171">
        <v>118</v>
      </c>
      <c r="F4" s="171" t="s">
        <v>59</v>
      </c>
      <c r="G4" s="160">
        <v>2</v>
      </c>
      <c r="H4" s="186">
        <v>100</v>
      </c>
      <c r="I4" s="187">
        <v>16</v>
      </c>
      <c r="J4" s="119">
        <f>RANK(I4,$I$3:$I$16)+COUNTIF(I$3:$I4,I4)-1</f>
        <v>14</v>
      </c>
      <c r="K4" s="187">
        <v>86</v>
      </c>
      <c r="L4" s="118">
        <f>RANK(K4,$K$3:$K$16)+COUNTIF(K$3:$K4,K4)-1</f>
        <v>11</v>
      </c>
      <c r="M4" s="120">
        <f>(G4+L4)/2</f>
        <v>6.5</v>
      </c>
      <c r="N4" s="162">
        <f>RANK(M4,$M$3:$M$16,1)+COUNTIF(M$3:$M4,M4)-1</f>
        <v>6</v>
      </c>
      <c r="P4" s="121" t="s">
        <v>22</v>
      </c>
      <c r="Q4" s="122">
        <f>SUM(Q5:Q9)</f>
        <v>480</v>
      </c>
      <c r="R4" s="104">
        <v>499</v>
      </c>
      <c r="S4" s="105">
        <v>528</v>
      </c>
      <c r="T4" s="123">
        <f>SUM(T5:T9)</f>
        <v>175</v>
      </c>
      <c r="U4" s="104">
        <v>263</v>
      </c>
      <c r="V4" s="105">
        <v>257</v>
      </c>
      <c r="W4" s="101"/>
      <c r="X4" s="101"/>
      <c r="Y4" s="101"/>
    </row>
    <row r="5" spans="1:27" x14ac:dyDescent="0.3">
      <c r="A5" s="99" t="s">
        <v>20</v>
      </c>
      <c r="B5" s="145" t="s">
        <v>61</v>
      </c>
      <c r="C5" s="198">
        <v>45873</v>
      </c>
      <c r="D5" s="203">
        <f t="shared" si="0"/>
        <v>336</v>
      </c>
      <c r="E5" s="171">
        <v>117</v>
      </c>
      <c r="F5" s="171" t="s">
        <v>59</v>
      </c>
      <c r="G5" s="160">
        <v>3</v>
      </c>
      <c r="H5" s="186">
        <v>230</v>
      </c>
      <c r="I5" s="187">
        <v>59</v>
      </c>
      <c r="J5" s="119">
        <f>RANK(I5,$I$3:$I$16)+COUNTIF(I$3:$I5,I5)-1</f>
        <v>11</v>
      </c>
      <c r="K5" s="187">
        <v>87</v>
      </c>
      <c r="L5" s="118">
        <f>RANK(K5,$K$3:$K$16)+COUNTIF(K$3:$K5,K5)-1</f>
        <v>4</v>
      </c>
      <c r="M5" s="120">
        <f t="shared" ref="M5:M16" si="1">(G5+L5)/2</f>
        <v>3.5</v>
      </c>
      <c r="N5" s="162">
        <f>RANK(M5,$M$3:$M$16,1)+COUNTIF(M$3:$M5,M5)-1</f>
        <v>1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45" t="s">
        <v>27</v>
      </c>
      <c r="C6" s="198">
        <v>45561</v>
      </c>
      <c r="D6" s="203">
        <f t="shared" si="0"/>
        <v>648</v>
      </c>
      <c r="E6" s="116">
        <v>108</v>
      </c>
      <c r="F6" s="116" t="s">
        <v>16</v>
      </c>
      <c r="G6" s="160">
        <v>4</v>
      </c>
      <c r="H6" s="161">
        <v>188</v>
      </c>
      <c r="I6" s="117">
        <v>62</v>
      </c>
      <c r="J6" s="119">
        <f>RANK(I6,$I$3:$I$16)+COUNTIF(I$3:$I6,I6)-1</f>
        <v>10</v>
      </c>
      <c r="K6" s="117">
        <v>87</v>
      </c>
      <c r="L6" s="118">
        <f>RANK(K6,$K$3:$K$16)+COUNTIF(K$3:$K6,K6)-1</f>
        <v>5</v>
      </c>
      <c r="M6" s="120">
        <f t="shared" si="1"/>
        <v>4.5</v>
      </c>
      <c r="N6" s="162">
        <f>RANK(M6,$M$3:$M$16,1)+COUNTIF(M$3:$M6,M6)-1</f>
        <v>2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20</v>
      </c>
      <c r="B7" s="144" t="s">
        <v>21</v>
      </c>
      <c r="C7" s="198">
        <v>45553</v>
      </c>
      <c r="D7" s="203">
        <f t="shared" si="0"/>
        <v>656</v>
      </c>
      <c r="E7" s="116">
        <v>107</v>
      </c>
      <c r="F7" s="116" t="s">
        <v>16</v>
      </c>
      <c r="G7" s="160">
        <v>5</v>
      </c>
      <c r="H7" s="161">
        <v>384</v>
      </c>
      <c r="I7" s="117">
        <v>81</v>
      </c>
      <c r="J7" s="119">
        <f>RANK(I7,$I$3:$I$16)+COUNTIF(I$3:$I7,I7)-1</f>
        <v>4</v>
      </c>
      <c r="K7" s="117">
        <v>86</v>
      </c>
      <c r="L7" s="118">
        <f>RANK(K7,$K$3:$K$16)+COUNTIF(K$3:$K7,K7)-1</f>
        <v>12</v>
      </c>
      <c r="M7" s="120">
        <f t="shared" si="1"/>
        <v>8.5</v>
      </c>
      <c r="N7" s="162">
        <f>RANK(M7,$M$3:$M$16,1)+COUNTIF(M$3:$M7,M7)-1</f>
        <v>9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20</v>
      </c>
      <c r="B8" s="171" t="s">
        <v>23</v>
      </c>
      <c r="C8" s="198">
        <v>45711</v>
      </c>
      <c r="D8" s="203">
        <f t="shared" si="0"/>
        <v>498</v>
      </c>
      <c r="E8" s="116">
        <v>106</v>
      </c>
      <c r="F8" s="116" t="s">
        <v>16</v>
      </c>
      <c r="G8" s="160">
        <v>6</v>
      </c>
      <c r="H8" s="161">
        <v>136</v>
      </c>
      <c r="I8" s="117">
        <v>46</v>
      </c>
      <c r="J8" s="119">
        <f>RANK(I8,$I$3:$I$16)+COUNTIF(I$3:$I8,I8)-1</f>
        <v>12</v>
      </c>
      <c r="K8" s="117">
        <v>87</v>
      </c>
      <c r="L8" s="118">
        <f>RANK(K8,$K$3:$K$16)+COUNTIF(K$3:$K8,K8)-1</f>
        <v>6</v>
      </c>
      <c r="M8" s="120">
        <f t="shared" si="1"/>
        <v>6</v>
      </c>
      <c r="N8" s="162">
        <f>RANK(M8,$M$3:$M$16,1)+COUNTIF(M$3:$M8,M8)-1</f>
        <v>5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785</v>
      </c>
      <c r="X8" s="101">
        <f>R4+U4</f>
        <v>762</v>
      </c>
      <c r="Y8" s="101"/>
    </row>
    <row r="9" spans="1:27" ht="15" thickBot="1" x14ac:dyDescent="0.35">
      <c r="A9" s="99" t="s">
        <v>43</v>
      </c>
      <c r="B9" s="171" t="s">
        <v>31</v>
      </c>
      <c r="C9" s="198">
        <v>45545</v>
      </c>
      <c r="D9" s="203">
        <f t="shared" si="0"/>
        <v>664</v>
      </c>
      <c r="E9" s="116">
        <v>102</v>
      </c>
      <c r="F9" s="116" t="s">
        <v>38</v>
      </c>
      <c r="G9" s="160">
        <v>7</v>
      </c>
      <c r="H9" s="161">
        <v>384</v>
      </c>
      <c r="I9" s="117">
        <v>74</v>
      </c>
      <c r="J9" s="119">
        <f>RANK(I9,$I$3:$I$16)+COUNTIF(I$3:$I9,I9)-1</f>
        <v>7</v>
      </c>
      <c r="K9" s="117">
        <v>86</v>
      </c>
      <c r="L9" s="118">
        <f>RANK(K9,$K$3:$K$16)+COUNTIF(K$3:$K9,K9)-1</f>
        <v>13</v>
      </c>
      <c r="M9" s="120">
        <f t="shared" si="1"/>
        <v>10</v>
      </c>
      <c r="N9" s="162">
        <f>RANK(M9,$M$3:$M$16,1)+COUNTIF(M$3:$M9,M9)-1</f>
        <v>11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23</v>
      </c>
      <c r="Y9" s="101"/>
    </row>
    <row r="10" spans="1:27" x14ac:dyDescent="0.3">
      <c r="A10" s="99" t="s">
        <v>20</v>
      </c>
      <c r="B10" s="145" t="s">
        <v>25</v>
      </c>
      <c r="C10" s="198">
        <v>45418</v>
      </c>
      <c r="D10" s="203">
        <f t="shared" si="0"/>
        <v>791</v>
      </c>
      <c r="E10" s="116">
        <v>100</v>
      </c>
      <c r="F10" s="116" t="s">
        <v>41</v>
      </c>
      <c r="G10" s="160">
        <v>8</v>
      </c>
      <c r="H10" s="161">
        <v>482</v>
      </c>
      <c r="I10" s="117">
        <v>104</v>
      </c>
      <c r="J10" s="119">
        <f>RANK(I10,$I$3:$I$16)+COUNTIF(I$3:$I10,I10)-1</f>
        <v>2</v>
      </c>
      <c r="K10" s="117">
        <v>87</v>
      </c>
      <c r="L10" s="118">
        <f>RANK(K10,$K$3:$K$16)+COUNTIF(K$3:$K10,K10)-1</f>
        <v>7</v>
      </c>
      <c r="M10" s="120">
        <f t="shared" si="1"/>
        <v>7.5</v>
      </c>
      <c r="N10" s="162">
        <f>RANK(M10,$M$3:$M$16,1)+COUNTIF(M$3:$M10,M10)-1</f>
        <v>8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1076</v>
      </c>
      <c r="E11" s="116">
        <v>99</v>
      </c>
      <c r="F11" s="116" t="s">
        <v>41</v>
      </c>
      <c r="G11" s="160">
        <v>9</v>
      </c>
      <c r="H11" s="161">
        <v>378</v>
      </c>
      <c r="I11" s="117">
        <v>95</v>
      </c>
      <c r="J11" s="119">
        <f>RANK(I11,$I$3:$I$16)+COUNTIF(I$3:$I11,I11)-1</f>
        <v>3</v>
      </c>
      <c r="K11" s="117">
        <v>88</v>
      </c>
      <c r="L11" s="118">
        <f>RANK(K11,$K$3:$K$16)+COUNTIF(K$3:$K11,K11)-1</f>
        <v>1</v>
      </c>
      <c r="M11" s="120">
        <f t="shared" si="1"/>
        <v>5</v>
      </c>
      <c r="N11" s="162">
        <f>RANK(M11,$M$3:$M$16,1)+COUNTIF(M$3:$M11,M11)-1</f>
        <v>3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480</v>
      </c>
      <c r="E12" s="116">
        <v>99</v>
      </c>
      <c r="F12" s="116" t="s">
        <v>41</v>
      </c>
      <c r="G12" s="160">
        <v>11</v>
      </c>
      <c r="H12" s="161">
        <v>240</v>
      </c>
      <c r="I12" s="117">
        <v>78</v>
      </c>
      <c r="J12" s="119">
        <f>RANK(I12,$I$3:$I$16)+COUNTIF(I$3:$I12,I12)-1</f>
        <v>6</v>
      </c>
      <c r="K12" s="117">
        <v>88</v>
      </c>
      <c r="L12" s="118">
        <f>RANK(K12,$K$3:$K$16)+COUNTIF(K$3:$K12,K12)-1</f>
        <v>2</v>
      </c>
      <c r="M12" s="120">
        <f t="shared" si="1"/>
        <v>6.5</v>
      </c>
      <c r="N12" s="162">
        <f>RANK(M12,$M$3:$M$16,1)+COUNTIF(M$3:$M12,M12)-1</f>
        <v>7</v>
      </c>
      <c r="Y12" s="101"/>
    </row>
    <row r="13" spans="1:27" x14ac:dyDescent="0.3">
      <c r="A13" s="99" t="s">
        <v>20</v>
      </c>
      <c r="B13" s="145" t="s">
        <v>42</v>
      </c>
      <c r="C13" s="198">
        <v>45107</v>
      </c>
      <c r="D13" s="203">
        <f t="shared" si="0"/>
        <v>1102</v>
      </c>
      <c r="E13" s="116">
        <v>98</v>
      </c>
      <c r="F13" s="116" t="s">
        <v>41</v>
      </c>
      <c r="G13" s="160">
        <v>12</v>
      </c>
      <c r="H13" s="161">
        <v>306</v>
      </c>
      <c r="I13" s="117">
        <v>112</v>
      </c>
      <c r="J13" s="119">
        <f>RANK(I13,$I$3:$I$16)+COUNTIF(I$3:$I13,I13)-1</f>
        <v>1</v>
      </c>
      <c r="K13" s="117">
        <v>87</v>
      </c>
      <c r="L13" s="118">
        <f>RANK(K13,$K$3:$K$16)+COUNTIF(K$3:$K13,K13)-1</f>
        <v>8</v>
      </c>
      <c r="M13" s="120">
        <f t="shared" si="1"/>
        <v>10</v>
      </c>
      <c r="N13" s="162">
        <f>RANK(M13,$M$3:$M$16,1)+COUNTIF(M$3:$M13,M13)-1</f>
        <v>12</v>
      </c>
    </row>
    <row r="14" spans="1:27" x14ac:dyDescent="0.3">
      <c r="A14" s="99" t="s">
        <v>43</v>
      </c>
      <c r="B14" s="144" t="s">
        <v>39</v>
      </c>
      <c r="C14" s="198">
        <v>44955</v>
      </c>
      <c r="D14" s="203">
        <f t="shared" si="0"/>
        <v>1254</v>
      </c>
      <c r="E14" s="116">
        <v>98</v>
      </c>
      <c r="F14" s="116" t="s">
        <v>41</v>
      </c>
      <c r="G14" s="160">
        <v>13</v>
      </c>
      <c r="H14" s="161">
        <v>528</v>
      </c>
      <c r="I14" s="117">
        <v>65</v>
      </c>
      <c r="J14" s="119">
        <f>RANK(I14,$I$3:$I$16)+COUNTIF(I$3:$I14,I14)-1</f>
        <v>9</v>
      </c>
      <c r="K14" s="117">
        <v>86</v>
      </c>
      <c r="L14" s="118">
        <f>RANK(K14,$K$3:$K$16)+COUNTIF(K$3:$K14,K14)-1</f>
        <v>14</v>
      </c>
      <c r="M14" s="120">
        <f t="shared" si="1"/>
        <v>13.5</v>
      </c>
      <c r="N14" s="162">
        <f>RANK(M14,$M$3:$M$16,1)+COUNTIF(M$3:$M14,M14)-1</f>
        <v>14</v>
      </c>
    </row>
    <row r="15" spans="1:27" x14ac:dyDescent="0.3">
      <c r="A15" s="99" t="s">
        <v>14</v>
      </c>
      <c r="B15" s="145" t="s">
        <v>44</v>
      </c>
      <c r="C15" s="198">
        <v>45281</v>
      </c>
      <c r="D15" s="203">
        <f t="shared" si="0"/>
        <v>928</v>
      </c>
      <c r="E15" s="116">
        <v>97</v>
      </c>
      <c r="F15" s="116" t="s">
        <v>41</v>
      </c>
      <c r="G15" s="160">
        <v>14</v>
      </c>
      <c r="H15" s="161">
        <v>158</v>
      </c>
      <c r="I15" s="117">
        <v>68</v>
      </c>
      <c r="J15" s="119">
        <f>RANK(I15,$I$3:$I$16)+COUNTIF(I$3:$I15,I15)-1</f>
        <v>8</v>
      </c>
      <c r="K15" s="117">
        <v>87</v>
      </c>
      <c r="L15" s="118">
        <f>RANK(K15,$K$3:$K$16)+COUNTIF(K$3:$K15,K15)-1</f>
        <v>9</v>
      </c>
      <c r="M15" s="120">
        <f t="shared" si="1"/>
        <v>11.5</v>
      </c>
      <c r="N15" s="162">
        <f>RANK(M15,$M$3:$M$16,1)+COUNTIF(M$3:$M15,M15)-1</f>
        <v>13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1089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5</v>
      </c>
      <c r="K16" s="166">
        <v>88</v>
      </c>
      <c r="L16" s="168">
        <f>RANK(K16,$K$3:$K$16)+COUNTIF(K$3:$K16,K16)-1</f>
        <v>3</v>
      </c>
      <c r="M16" s="169">
        <f t="shared" si="1"/>
        <v>9</v>
      </c>
      <c r="N16" s="170">
        <f>RANK(M16,$M$3:$M$16,1)+COUNTIF(M$3:$M16,M16)-1</f>
        <v>10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H19" s="1"/>
    </row>
    <row r="20" spans="2:8" x14ac:dyDescent="0.3">
      <c r="B20" s="10" t="s">
        <v>48</v>
      </c>
      <c r="C20" s="141" t="s">
        <v>49</v>
      </c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898C-7EF1-49AD-BFAD-58435E357648}">
  <dimension ref="A1:AA25"/>
  <sheetViews>
    <sheetView workbookViewId="0">
      <selection activeCell="F20" sqref="F20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46216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14</v>
      </c>
      <c r="B3" s="193" t="s">
        <v>58</v>
      </c>
      <c r="C3" s="197">
        <v>45883</v>
      </c>
      <c r="D3" s="202">
        <f>$P$2-C3</f>
        <v>333</v>
      </c>
      <c r="E3" s="171">
        <v>119</v>
      </c>
      <c r="F3" s="171" t="s">
        <v>59</v>
      </c>
      <c r="G3" s="160">
        <v>1</v>
      </c>
      <c r="H3" s="186">
        <v>158</v>
      </c>
      <c r="I3" s="187">
        <v>54</v>
      </c>
      <c r="J3" s="119">
        <f>RANK(I3,$I$3:$I$16)+COUNTIF(I$3:$I3,I3)-1</f>
        <v>14</v>
      </c>
      <c r="K3" s="187">
        <v>87</v>
      </c>
      <c r="L3" s="118">
        <f>RANK(K3,$K$3:$K$16)+COUNTIF(K$3:$K3,K3)-1</f>
        <v>6</v>
      </c>
      <c r="M3" s="120">
        <f>(G3+L3)/2</f>
        <v>3.5</v>
      </c>
      <c r="N3" s="162">
        <f>RANK(M3,$M$3:$M$16,1)+COUNTIF(M$3:$M3,M3)-1</f>
        <v>2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43</v>
      </c>
      <c r="B4" s="144" t="s">
        <v>60</v>
      </c>
      <c r="C4" s="198">
        <v>45850</v>
      </c>
      <c r="D4" s="203">
        <f t="shared" ref="D4:D16" si="0">$P$2-C4</f>
        <v>366</v>
      </c>
      <c r="E4" s="171">
        <v>118</v>
      </c>
      <c r="F4" s="171" t="s">
        <v>59</v>
      </c>
      <c r="G4" s="160">
        <v>2</v>
      </c>
      <c r="H4" s="186">
        <v>224</v>
      </c>
      <c r="I4" s="187">
        <v>86</v>
      </c>
      <c r="J4" s="119">
        <f>RANK(I4,$I$3:$I$16)+COUNTIF(I$3:$I4,I4)-1</f>
        <v>3</v>
      </c>
      <c r="K4" s="187">
        <v>86</v>
      </c>
      <c r="L4" s="118">
        <f>RANK(K4,$K$3:$K$16)+COUNTIF(K$3:$K4,K4)-1</f>
        <v>12</v>
      </c>
      <c r="M4" s="120">
        <f>(G4+L4)/2</f>
        <v>7</v>
      </c>
      <c r="N4" s="162">
        <f>RANK(M4,$M$3:$M$16,1)+COUNTIF(M$3:$M4,M4)-1</f>
        <v>6</v>
      </c>
      <c r="P4" s="121" t="s">
        <v>22</v>
      </c>
      <c r="Q4" s="122">
        <f>SUM(Q5:Q9)</f>
        <v>480</v>
      </c>
      <c r="R4" s="104">
        <v>528</v>
      </c>
      <c r="S4" s="105">
        <v>507</v>
      </c>
      <c r="T4" s="123">
        <f>SUM(T5:T9)</f>
        <v>175</v>
      </c>
      <c r="U4" s="104"/>
      <c r="V4" s="105"/>
      <c r="W4" s="101"/>
      <c r="X4" s="101"/>
      <c r="Y4" s="101"/>
    </row>
    <row r="5" spans="1:27" x14ac:dyDescent="0.3">
      <c r="A5" s="99" t="s">
        <v>43</v>
      </c>
      <c r="B5" s="171" t="s">
        <v>61</v>
      </c>
      <c r="C5" s="198">
        <v>45873</v>
      </c>
      <c r="D5" s="203">
        <f t="shared" si="0"/>
        <v>343</v>
      </c>
      <c r="E5" s="171">
        <v>117</v>
      </c>
      <c r="F5" s="171" t="s">
        <v>59</v>
      </c>
      <c r="G5" s="160">
        <v>3</v>
      </c>
      <c r="H5" s="186">
        <v>230</v>
      </c>
      <c r="I5" s="187">
        <v>59</v>
      </c>
      <c r="J5" s="119">
        <f>RANK(I5,$I$3:$I$16)+COUNTIF(I$3:$I5,I5)-1</f>
        <v>12</v>
      </c>
      <c r="K5" s="187">
        <v>88</v>
      </c>
      <c r="L5" s="118">
        <f>RANK(K5,$K$3:$K$16)+COUNTIF(K$3:$K5,K5)-1</f>
        <v>3</v>
      </c>
      <c r="M5" s="120">
        <f t="shared" ref="M5:M16" si="1">(G5+L5)/2</f>
        <v>3</v>
      </c>
      <c r="N5" s="162">
        <f>RANK(M5,$M$3:$M$16,1)+COUNTIF(M$3:$M5,M5)-1</f>
        <v>1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 t="s">
        <v>14</v>
      </c>
      <c r="B6" s="171" t="s">
        <v>27</v>
      </c>
      <c r="C6" s="198">
        <v>45561</v>
      </c>
      <c r="D6" s="203">
        <f t="shared" si="0"/>
        <v>655</v>
      </c>
      <c r="E6" s="116">
        <v>108</v>
      </c>
      <c r="F6" s="116" t="s">
        <v>16</v>
      </c>
      <c r="G6" s="160">
        <v>4</v>
      </c>
      <c r="H6" s="161">
        <v>188</v>
      </c>
      <c r="I6" s="117">
        <v>62</v>
      </c>
      <c r="J6" s="119">
        <f>RANK(I6,$I$3:$I$16)+COUNTIF(I$3:$I6,I6)-1</f>
        <v>10</v>
      </c>
      <c r="K6" s="117">
        <v>87</v>
      </c>
      <c r="L6" s="118">
        <f>RANK(K6,$K$3:$K$16)+COUNTIF(K$3:$K6,K6)-1</f>
        <v>7</v>
      </c>
      <c r="M6" s="120">
        <f t="shared" si="1"/>
        <v>5.5</v>
      </c>
      <c r="N6" s="162">
        <f>RANK(M6,$M$3:$M$16,1)+COUNTIF(M$3:$M6,M6)-1</f>
        <v>4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20</v>
      </c>
      <c r="B7" s="144" t="s">
        <v>21</v>
      </c>
      <c r="C7" s="198">
        <v>45553</v>
      </c>
      <c r="D7" s="203">
        <f t="shared" si="0"/>
        <v>663</v>
      </c>
      <c r="E7" s="116">
        <v>107</v>
      </c>
      <c r="F7" s="116" t="s">
        <v>16</v>
      </c>
      <c r="G7" s="160">
        <v>5</v>
      </c>
      <c r="H7" s="161">
        <v>328</v>
      </c>
      <c r="I7" s="117">
        <v>60</v>
      </c>
      <c r="J7" s="119">
        <f>RANK(I7,$I$3:$I$16)+COUNTIF(I$3:$I7,I7)-1</f>
        <v>11</v>
      </c>
      <c r="K7" s="117">
        <v>86</v>
      </c>
      <c r="L7" s="118">
        <f>RANK(K7,$K$3:$K$16)+COUNTIF(K$3:$K7,K7)-1</f>
        <v>13</v>
      </c>
      <c r="M7" s="120">
        <f t="shared" si="1"/>
        <v>9</v>
      </c>
      <c r="N7" s="162">
        <f>RANK(M7,$M$3:$M$16,1)+COUNTIF(M$3:$M7,M7)-1</f>
        <v>11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14</v>
      </c>
      <c r="B8" s="145" t="s">
        <v>23</v>
      </c>
      <c r="C8" s="198">
        <v>45711</v>
      </c>
      <c r="D8" s="203">
        <f t="shared" si="0"/>
        <v>505</v>
      </c>
      <c r="E8" s="116">
        <v>106</v>
      </c>
      <c r="F8" s="116" t="s">
        <v>16</v>
      </c>
      <c r="G8" s="160">
        <v>6</v>
      </c>
      <c r="H8" s="161">
        <v>100</v>
      </c>
      <c r="I8" s="117">
        <v>57</v>
      </c>
      <c r="J8" s="119">
        <f>RANK(I8,$I$3:$I$16)+COUNTIF(I$3:$I8,I8)-1</f>
        <v>13</v>
      </c>
      <c r="K8" s="117">
        <v>87</v>
      </c>
      <c r="L8" s="118">
        <f>RANK(K8,$K$3:$K$16)+COUNTIF(K$3:$K8,K8)-1</f>
        <v>8</v>
      </c>
      <c r="M8" s="120">
        <f t="shared" si="1"/>
        <v>7</v>
      </c>
      <c r="N8" s="162">
        <f>RANK(M8,$M$3:$M$16,1)+COUNTIF(M$3:$M8,M8)-1</f>
        <v>7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507</v>
      </c>
      <c r="X8" s="101">
        <f>R4+U4</f>
        <v>528</v>
      </c>
      <c r="Y8" s="101"/>
    </row>
    <row r="9" spans="1:27" ht="15" thickBot="1" x14ac:dyDescent="0.35">
      <c r="A9" s="99" t="s">
        <v>43</v>
      </c>
      <c r="B9" s="145" t="s">
        <v>31</v>
      </c>
      <c r="C9" s="198">
        <v>45545</v>
      </c>
      <c r="D9" s="203">
        <f t="shared" si="0"/>
        <v>671</v>
      </c>
      <c r="E9" s="116">
        <v>102</v>
      </c>
      <c r="F9" s="116" t="s">
        <v>38</v>
      </c>
      <c r="G9" s="160">
        <v>7</v>
      </c>
      <c r="H9" s="161">
        <v>346</v>
      </c>
      <c r="I9" s="117">
        <v>69</v>
      </c>
      <c r="J9" s="119">
        <f>RANK(I9,$I$3:$I$16)+COUNTIF(I$3:$I9,I9)-1</f>
        <v>5</v>
      </c>
      <c r="K9" s="117">
        <v>87</v>
      </c>
      <c r="L9" s="118">
        <f>RANK(K9,$K$3:$K$16)+COUNTIF(K$3:$K9,K9)-1</f>
        <v>9</v>
      </c>
      <c r="M9" s="120">
        <f t="shared" si="1"/>
        <v>8</v>
      </c>
      <c r="N9" s="162">
        <f>RANK(M9,$M$3:$M$16,1)+COUNTIF(M$3:$M9,M9)-1</f>
        <v>8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-21</v>
      </c>
      <c r="Y9" s="101"/>
    </row>
    <row r="10" spans="1:27" x14ac:dyDescent="0.3">
      <c r="A10" s="99" t="s">
        <v>43</v>
      </c>
      <c r="B10" s="145" t="s">
        <v>25</v>
      </c>
      <c r="C10" s="198">
        <v>45418</v>
      </c>
      <c r="D10" s="203">
        <f t="shared" si="0"/>
        <v>798</v>
      </c>
      <c r="E10" s="116">
        <v>100</v>
      </c>
      <c r="F10" s="116" t="s">
        <v>41</v>
      </c>
      <c r="G10" s="160">
        <v>8</v>
      </c>
      <c r="H10" s="161">
        <v>408</v>
      </c>
      <c r="I10" s="117">
        <v>92</v>
      </c>
      <c r="J10" s="119">
        <f>RANK(I10,$I$3:$I$16)+COUNTIF(I$3:$I10,I10)-1</f>
        <v>2</v>
      </c>
      <c r="K10" s="117">
        <v>88</v>
      </c>
      <c r="L10" s="118">
        <f>RANK(K10,$K$3:$K$16)+COUNTIF(K$3:$K10,K10)-1</f>
        <v>4</v>
      </c>
      <c r="M10" s="120">
        <f t="shared" si="1"/>
        <v>6</v>
      </c>
      <c r="N10" s="162">
        <f>RANK(M10,$M$3:$M$16,1)+COUNTIF(M$3:$M10,M10)-1</f>
        <v>5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1083</v>
      </c>
      <c r="E11" s="116">
        <v>99</v>
      </c>
      <c r="F11" s="116" t="s">
        <v>41</v>
      </c>
      <c r="G11" s="160">
        <v>9</v>
      </c>
      <c r="H11" s="161">
        <v>352</v>
      </c>
      <c r="I11" s="117">
        <v>69</v>
      </c>
      <c r="J11" s="119">
        <f>RANK(I11,$I$3:$I$16)+COUNTIF(I$3:$I11,I11)-1</f>
        <v>6</v>
      </c>
      <c r="K11" s="117">
        <v>89</v>
      </c>
      <c r="L11" s="118">
        <f>RANK(K11,$K$3:$K$16)+COUNTIF(K$3:$K11,K11)-1</f>
        <v>1</v>
      </c>
      <c r="M11" s="120">
        <f t="shared" si="1"/>
        <v>5</v>
      </c>
      <c r="N11" s="162">
        <f>RANK(M11,$M$3:$M$16,1)+COUNTIF(M$3:$M11,M11)-1</f>
        <v>3</v>
      </c>
      <c r="Y11" s="101"/>
    </row>
    <row r="12" spans="1:27" x14ac:dyDescent="0.3">
      <c r="A12" s="99" t="s">
        <v>14</v>
      </c>
      <c r="B12" s="145" t="s">
        <v>36</v>
      </c>
      <c r="C12" s="198">
        <v>45729</v>
      </c>
      <c r="D12" s="203">
        <f t="shared" si="0"/>
        <v>487</v>
      </c>
      <c r="E12" s="116">
        <v>99</v>
      </c>
      <c r="F12" s="116" t="s">
        <v>41</v>
      </c>
      <c r="G12" s="160">
        <v>11</v>
      </c>
      <c r="H12" s="161">
        <v>178</v>
      </c>
      <c r="I12" s="117">
        <v>65</v>
      </c>
      <c r="J12" s="119">
        <f>RANK(I12,$I$3:$I$16)+COUNTIF(I$3:$I12,I12)-1</f>
        <v>7</v>
      </c>
      <c r="K12" s="117">
        <v>88</v>
      </c>
      <c r="L12" s="118">
        <f>RANK(K12,$K$3:$K$16)+COUNTIF(K$3:$K12,K12)-1</f>
        <v>5</v>
      </c>
      <c r="M12" s="120">
        <f t="shared" si="1"/>
        <v>8</v>
      </c>
      <c r="N12" s="162">
        <f>RANK(M12,$M$3:$M$16,1)+COUNTIF(M$3:$M12,M12)-1</f>
        <v>9</v>
      </c>
      <c r="Y12" s="101"/>
    </row>
    <row r="13" spans="1:27" x14ac:dyDescent="0.3">
      <c r="A13" s="99" t="s">
        <v>43</v>
      </c>
      <c r="B13" s="145" t="s">
        <v>42</v>
      </c>
      <c r="C13" s="198">
        <v>45107</v>
      </c>
      <c r="D13" s="203">
        <f t="shared" si="0"/>
        <v>1109</v>
      </c>
      <c r="E13" s="116">
        <v>98</v>
      </c>
      <c r="F13" s="116" t="s">
        <v>41</v>
      </c>
      <c r="G13" s="160">
        <v>12</v>
      </c>
      <c r="H13" s="161">
        <v>294</v>
      </c>
      <c r="I13" s="117">
        <v>105</v>
      </c>
      <c r="J13" s="119">
        <f>RANK(I13,$I$3:$I$16)+COUNTIF(I$3:$I13,I13)-1</f>
        <v>1</v>
      </c>
      <c r="K13" s="117">
        <v>86</v>
      </c>
      <c r="L13" s="118">
        <f>RANK(K13,$K$3:$K$16)+COUNTIF(K$3:$K13,K13)-1</f>
        <v>14</v>
      </c>
      <c r="M13" s="120">
        <f t="shared" si="1"/>
        <v>13</v>
      </c>
      <c r="N13" s="162">
        <f>RANK(M13,$M$3:$M$16,1)+COUNTIF(M$3:$M13,M13)-1</f>
        <v>13</v>
      </c>
    </row>
    <row r="14" spans="1:27" x14ac:dyDescent="0.3">
      <c r="A14" s="99" t="s">
        <v>14</v>
      </c>
      <c r="B14" s="171" t="s">
        <v>39</v>
      </c>
      <c r="C14" s="198">
        <v>44955</v>
      </c>
      <c r="D14" s="203">
        <f t="shared" si="0"/>
        <v>1261</v>
      </c>
      <c r="E14" s="116">
        <v>98</v>
      </c>
      <c r="F14" s="116" t="s">
        <v>41</v>
      </c>
      <c r="G14" s="160">
        <v>13</v>
      </c>
      <c r="H14" s="161">
        <v>528</v>
      </c>
      <c r="I14" s="117">
        <v>65</v>
      </c>
      <c r="J14" s="119">
        <f>RANK(I14,$I$3:$I$16)+COUNTIF(I$3:$I14,I14)-1</f>
        <v>8</v>
      </c>
      <c r="K14" s="117">
        <v>87</v>
      </c>
      <c r="L14" s="118">
        <f>RANK(K14,$K$3:$K$16)+COUNTIF(K$3:$K14,K14)-1</f>
        <v>10</v>
      </c>
      <c r="M14" s="120">
        <f t="shared" si="1"/>
        <v>11.5</v>
      </c>
      <c r="N14" s="162">
        <f>RANK(M14,$M$3:$M$16,1)+COUNTIF(M$3:$M14,M14)-1</f>
        <v>12</v>
      </c>
    </row>
    <row r="15" spans="1:27" x14ac:dyDescent="0.3">
      <c r="A15" s="99" t="s">
        <v>14</v>
      </c>
      <c r="B15" s="145" t="s">
        <v>44</v>
      </c>
      <c r="C15" s="198">
        <v>45281</v>
      </c>
      <c r="D15" s="203">
        <f t="shared" si="0"/>
        <v>935</v>
      </c>
      <c r="E15" s="116">
        <v>97</v>
      </c>
      <c r="F15" s="116" t="s">
        <v>41</v>
      </c>
      <c r="G15" s="160">
        <v>14</v>
      </c>
      <c r="H15" s="161">
        <v>178</v>
      </c>
      <c r="I15" s="117">
        <v>65</v>
      </c>
      <c r="J15" s="119">
        <f>RANK(I15,$I$3:$I$16)+COUNTIF(I$3:$I15,I15)-1</f>
        <v>9</v>
      </c>
      <c r="K15" s="117">
        <v>89</v>
      </c>
      <c r="L15" s="118">
        <f>RANK(K15,$K$3:$K$16)+COUNTIF(K$3:$K15,K15)-1</f>
        <v>2</v>
      </c>
      <c r="M15" s="120">
        <f t="shared" si="1"/>
        <v>8</v>
      </c>
      <c r="N15" s="162">
        <f>RANK(M15,$M$3:$M$16,1)+COUNTIF(M$3:$M15,M15)-1</f>
        <v>10</v>
      </c>
    </row>
    <row r="16" spans="1:27" ht="15" thickBot="1" x14ac:dyDescent="0.35">
      <c r="A16" s="100" t="s">
        <v>43</v>
      </c>
      <c r="B16" s="191" t="s">
        <v>40</v>
      </c>
      <c r="C16" s="199">
        <v>45120</v>
      </c>
      <c r="D16" s="204">
        <f t="shared" si="0"/>
        <v>1096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4</v>
      </c>
      <c r="K16" s="166">
        <v>87</v>
      </c>
      <c r="L16" s="168">
        <f>RANK(K16,$K$3:$K$16)+COUNTIF(K$3:$K16,K16)-1</f>
        <v>11</v>
      </c>
      <c r="M16" s="169">
        <f t="shared" si="1"/>
        <v>13</v>
      </c>
      <c r="N16" s="170">
        <f>RANK(M16,$M$3:$M$16,1)+COUNTIF(M$3:$M16,M16)-1</f>
        <v>14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H19" s="1"/>
    </row>
    <row r="20" spans="2:8" x14ac:dyDescent="0.3">
      <c r="B20" s="10" t="s">
        <v>48</v>
      </c>
      <c r="C20" s="141" t="s">
        <v>49</v>
      </c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FC99-FC10-448A-B592-FC89A3791865}">
  <dimension ref="A1:AA25"/>
  <sheetViews>
    <sheetView workbookViewId="0">
      <selection activeCell="A11" sqref="A11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46223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43</v>
      </c>
      <c r="B3" s="193" t="s">
        <v>58</v>
      </c>
      <c r="C3" s="197">
        <v>45883</v>
      </c>
      <c r="D3" s="202">
        <f>$P$2-C3</f>
        <v>340</v>
      </c>
      <c r="E3" s="171">
        <v>119</v>
      </c>
      <c r="F3" s="171" t="s">
        <v>59</v>
      </c>
      <c r="G3" s="160">
        <v>1</v>
      </c>
      <c r="H3" s="186">
        <v>162</v>
      </c>
      <c r="I3" s="187">
        <v>40</v>
      </c>
      <c r="J3" s="119">
        <f>RANK(I3,$I$3:$I$16)+COUNTIF(I$3:$I3,I3)-1</f>
        <v>14</v>
      </c>
      <c r="K3" s="187">
        <v>87</v>
      </c>
      <c r="L3" s="118">
        <f>RANK(K3,$K$3:$K$16)+COUNTIF(K$3:$K3,K3)-1</f>
        <v>6</v>
      </c>
      <c r="M3" s="120">
        <f>(G3+L3)/2</f>
        <v>3.5</v>
      </c>
      <c r="N3" s="162">
        <f>RANK(M3,$M$3:$M$16,1)+COUNTIF(M$3:$M3,M3)-1</f>
        <v>2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20</v>
      </c>
      <c r="B4" s="144" t="s">
        <v>60</v>
      </c>
      <c r="C4" s="198">
        <v>45850</v>
      </c>
      <c r="D4" s="203">
        <f t="shared" ref="D4:D16" si="0">$P$2-C4</f>
        <v>373</v>
      </c>
      <c r="E4" s="171">
        <v>118</v>
      </c>
      <c r="F4" s="171" t="s">
        <v>59</v>
      </c>
      <c r="G4" s="160">
        <v>2</v>
      </c>
      <c r="H4" s="186">
        <v>108</v>
      </c>
      <c r="I4" s="187">
        <v>52</v>
      </c>
      <c r="J4" s="119">
        <f>RANK(I4,$I$3:$I$16)+COUNTIF(I$3:$I4,I4)-1</f>
        <v>12</v>
      </c>
      <c r="K4" s="187">
        <v>88</v>
      </c>
      <c r="L4" s="118">
        <f>RANK(K4,$K$3:$K$16)+COUNTIF(K$3:$K4,K4)-1</f>
        <v>3</v>
      </c>
      <c r="M4" s="120">
        <f>(G4+L4)/2</f>
        <v>2.5</v>
      </c>
      <c r="N4" s="162">
        <f>RANK(M4,$M$3:$M$16,1)+COUNTIF(M$3:$M4,M4)-1</f>
        <v>1</v>
      </c>
      <c r="P4" s="121" t="s">
        <v>22</v>
      </c>
      <c r="Q4" s="122">
        <f>SUM(Q5:Q9)</f>
        <v>480</v>
      </c>
      <c r="R4" s="104">
        <v>507</v>
      </c>
      <c r="S4" s="105">
        <v>510</v>
      </c>
      <c r="T4" s="123">
        <f>SUM(T5:T9)</f>
        <v>175</v>
      </c>
      <c r="U4" s="104">
        <v>217</v>
      </c>
      <c r="V4" s="105">
        <v>310</v>
      </c>
      <c r="W4" s="101"/>
      <c r="X4" s="101"/>
      <c r="Y4" s="101"/>
    </row>
    <row r="5" spans="1:27" x14ac:dyDescent="0.3">
      <c r="A5" s="99" t="s">
        <v>43</v>
      </c>
      <c r="B5" s="145" t="s">
        <v>61</v>
      </c>
      <c r="C5" s="198">
        <v>45873</v>
      </c>
      <c r="D5" s="203">
        <f t="shared" si="0"/>
        <v>350</v>
      </c>
      <c r="E5" s="171">
        <v>117</v>
      </c>
      <c r="F5" s="171" t="s">
        <v>59</v>
      </c>
      <c r="G5" s="160">
        <v>3</v>
      </c>
      <c r="H5" s="186">
        <v>152</v>
      </c>
      <c r="I5" s="187">
        <v>41</v>
      </c>
      <c r="J5" s="119">
        <f>RANK(I5,$I$3:$I$16)+COUNTIF(I$3:$I5,I5)-1</f>
        <v>13</v>
      </c>
      <c r="K5" s="187">
        <v>87</v>
      </c>
      <c r="L5" s="118">
        <f>RANK(K5,$K$3:$K$16)+COUNTIF(K$3:$K5,K5)-1</f>
        <v>7</v>
      </c>
      <c r="M5" s="120">
        <f t="shared" ref="M5:M16" si="1">(G5+L5)/2</f>
        <v>5</v>
      </c>
      <c r="N5" s="162">
        <f>RANK(M5,$M$3:$M$16,1)+COUNTIF(M$3:$M5,M5)-1</f>
        <v>4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/>
      <c r="B6" s="171" t="s">
        <v>27</v>
      </c>
      <c r="C6" s="198">
        <v>45561</v>
      </c>
      <c r="D6" s="203">
        <f t="shared" si="0"/>
        <v>662</v>
      </c>
      <c r="E6" s="116">
        <v>108</v>
      </c>
      <c r="F6" s="116" t="s">
        <v>16</v>
      </c>
      <c r="G6" s="160">
        <v>4</v>
      </c>
      <c r="H6" s="161">
        <v>188</v>
      </c>
      <c r="I6" s="117">
        <v>62</v>
      </c>
      <c r="J6" s="119">
        <f>RANK(I6,$I$3:$I$16)+COUNTIF(I$3:$I6,I6)-1</f>
        <v>10</v>
      </c>
      <c r="K6" s="117">
        <v>86</v>
      </c>
      <c r="L6" s="118">
        <f>RANK(K6,$K$3:$K$16)+COUNTIF(K$3:$K6,K6)-1</f>
        <v>13</v>
      </c>
      <c r="M6" s="120">
        <f t="shared" si="1"/>
        <v>8.5</v>
      </c>
      <c r="N6" s="162">
        <f>RANK(M6,$M$3:$M$16,1)+COUNTIF(M$3:$M6,M6)-1</f>
        <v>9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43</v>
      </c>
      <c r="B7" s="144" t="s">
        <v>21</v>
      </c>
      <c r="C7" s="198">
        <v>45553</v>
      </c>
      <c r="D7" s="203">
        <f t="shared" si="0"/>
        <v>670</v>
      </c>
      <c r="E7" s="116">
        <v>107</v>
      </c>
      <c r="F7" s="116" t="s">
        <v>16</v>
      </c>
      <c r="G7" s="160">
        <v>5</v>
      </c>
      <c r="H7" s="161">
        <v>290</v>
      </c>
      <c r="I7" s="117">
        <v>56</v>
      </c>
      <c r="J7" s="119">
        <f>RANK(I7,$I$3:$I$16)+COUNTIF(I$3:$I7,I7)-1</f>
        <v>11</v>
      </c>
      <c r="K7" s="117">
        <v>87</v>
      </c>
      <c r="L7" s="118">
        <f>RANK(K7,$K$3:$K$16)+COUNTIF(K$3:$K7,K7)-1</f>
        <v>8</v>
      </c>
      <c r="M7" s="120">
        <f t="shared" si="1"/>
        <v>6.5</v>
      </c>
      <c r="N7" s="162">
        <f>RANK(M7,$M$3:$M$16,1)+COUNTIF(M$3:$M7,M7)-1</f>
        <v>6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43</v>
      </c>
      <c r="B8" s="145" t="s">
        <v>23</v>
      </c>
      <c r="C8" s="198">
        <v>45711</v>
      </c>
      <c r="D8" s="203">
        <f t="shared" si="0"/>
        <v>512</v>
      </c>
      <c r="E8" s="116">
        <v>106</v>
      </c>
      <c r="F8" s="116" t="s">
        <v>16</v>
      </c>
      <c r="G8" s="160">
        <v>6</v>
      </c>
      <c r="H8" s="161">
        <v>260</v>
      </c>
      <c r="I8" s="117">
        <v>65</v>
      </c>
      <c r="J8" s="119">
        <f>RANK(I8,$I$3:$I$16)+COUNTIF(I$3:$I8,I8)-1</f>
        <v>8</v>
      </c>
      <c r="K8" s="117">
        <v>87</v>
      </c>
      <c r="L8" s="118">
        <f>RANK(K8,$K$3:$K$16)+COUNTIF(K$3:$K8,K8)-1</f>
        <v>9</v>
      </c>
      <c r="M8" s="120">
        <f t="shared" si="1"/>
        <v>7.5</v>
      </c>
      <c r="N8" s="162">
        <f>RANK(M8,$M$3:$M$16,1)+COUNTIF(M$3:$M8,M8)-1</f>
        <v>8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820</v>
      </c>
      <c r="X8" s="101">
        <f>R4+U4</f>
        <v>724</v>
      </c>
      <c r="Y8" s="101"/>
    </row>
    <row r="9" spans="1:27" ht="15" thickBot="1" x14ac:dyDescent="0.35">
      <c r="A9" s="99" t="s">
        <v>20</v>
      </c>
      <c r="B9" s="144" t="s">
        <v>31</v>
      </c>
      <c r="C9" s="198">
        <v>45545</v>
      </c>
      <c r="D9" s="203">
        <f t="shared" si="0"/>
        <v>678</v>
      </c>
      <c r="E9" s="116">
        <v>102</v>
      </c>
      <c r="F9" s="116" t="s">
        <v>38</v>
      </c>
      <c r="G9" s="160">
        <v>7</v>
      </c>
      <c r="H9" s="161">
        <v>376</v>
      </c>
      <c r="I9" s="117">
        <v>90</v>
      </c>
      <c r="J9" s="119">
        <f>RANK(I9,$I$3:$I$16)+COUNTIF(I$3:$I9,I9)-1</f>
        <v>2</v>
      </c>
      <c r="K9" s="117">
        <v>89</v>
      </c>
      <c r="L9" s="118">
        <f>RANK(K9,$K$3:$K$16)+COUNTIF(K$3:$K9,K9)-1</f>
        <v>1</v>
      </c>
      <c r="M9" s="120">
        <f t="shared" si="1"/>
        <v>4</v>
      </c>
      <c r="N9" s="162">
        <f>RANK(M9,$M$3:$M$16,1)+COUNTIF(M$3:$M9,M9)-1</f>
        <v>3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96</v>
      </c>
      <c r="Y9" s="101"/>
    </row>
    <row r="10" spans="1:27" x14ac:dyDescent="0.3">
      <c r="A10" s="99" t="s">
        <v>20</v>
      </c>
      <c r="B10" s="145" t="s">
        <v>25</v>
      </c>
      <c r="C10" s="198">
        <v>45418</v>
      </c>
      <c r="D10" s="203">
        <f t="shared" si="0"/>
        <v>805</v>
      </c>
      <c r="E10" s="116">
        <v>100</v>
      </c>
      <c r="F10" s="116" t="s">
        <v>41</v>
      </c>
      <c r="G10" s="160">
        <v>8</v>
      </c>
      <c r="H10" s="161">
        <v>436</v>
      </c>
      <c r="I10" s="117">
        <v>73</v>
      </c>
      <c r="J10" s="119">
        <f>RANK(I10,$I$3:$I$16)+COUNTIF(I$3:$I10,I10)-1</f>
        <v>7</v>
      </c>
      <c r="K10" s="117">
        <v>89</v>
      </c>
      <c r="L10" s="118">
        <f>RANK(K10,$K$3:$K$16)+COUNTIF(K$3:$K10,K10)-1</f>
        <v>2</v>
      </c>
      <c r="M10" s="120">
        <f t="shared" si="1"/>
        <v>5</v>
      </c>
      <c r="N10" s="162">
        <f>RANK(M10,$M$3:$M$16,1)+COUNTIF(M$3:$M10,M10)-1</f>
        <v>5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1090</v>
      </c>
      <c r="E11" s="116">
        <v>99</v>
      </c>
      <c r="F11" s="116" t="s">
        <v>41</v>
      </c>
      <c r="G11" s="160">
        <v>9</v>
      </c>
      <c r="H11" s="161">
        <v>300</v>
      </c>
      <c r="I11" s="117">
        <v>76</v>
      </c>
      <c r="J11" s="119">
        <f>RANK(I11,$I$3:$I$16)+COUNTIF(I$3:$I11,I11)-1</f>
        <v>5</v>
      </c>
      <c r="K11" s="117">
        <v>88</v>
      </c>
      <c r="L11" s="118">
        <f>RANK(K11,$K$3:$K$16)+COUNTIF(K$3:$K11,K11)-1</f>
        <v>4</v>
      </c>
      <c r="M11" s="120">
        <f t="shared" si="1"/>
        <v>6.5</v>
      </c>
      <c r="N11" s="162">
        <f>RANK(M11,$M$3:$M$16,1)+COUNTIF(M$3:$M11,M11)-1</f>
        <v>7</v>
      </c>
      <c r="Y11" s="101"/>
    </row>
    <row r="12" spans="1:27" x14ac:dyDescent="0.3">
      <c r="A12" s="99" t="s">
        <v>43</v>
      </c>
      <c r="B12" s="145" t="s">
        <v>36</v>
      </c>
      <c r="C12" s="198">
        <v>45729</v>
      </c>
      <c r="D12" s="203">
        <f t="shared" si="0"/>
        <v>494</v>
      </c>
      <c r="E12" s="116">
        <v>99</v>
      </c>
      <c r="F12" s="116" t="s">
        <v>41</v>
      </c>
      <c r="G12" s="160">
        <v>11</v>
      </c>
      <c r="H12" s="161">
        <v>208</v>
      </c>
      <c r="I12" s="117">
        <v>76</v>
      </c>
      <c r="J12" s="119">
        <f>RANK(I12,$I$3:$I$16)+COUNTIF(I$3:$I12,I12)-1</f>
        <v>6</v>
      </c>
      <c r="K12" s="117">
        <v>87</v>
      </c>
      <c r="L12" s="118">
        <f>RANK(K12,$K$3:$K$16)+COUNTIF(K$3:$K12,K12)-1</f>
        <v>10</v>
      </c>
      <c r="M12" s="120">
        <f t="shared" si="1"/>
        <v>10.5</v>
      </c>
      <c r="N12" s="162">
        <f>RANK(M12,$M$3:$M$16,1)+COUNTIF(M$3:$M12,M12)-1</f>
        <v>11</v>
      </c>
      <c r="Y12" s="101"/>
    </row>
    <row r="13" spans="1:27" x14ac:dyDescent="0.3">
      <c r="A13" s="99" t="s">
        <v>20</v>
      </c>
      <c r="B13" s="145" t="s">
        <v>42</v>
      </c>
      <c r="C13" s="198">
        <v>45107</v>
      </c>
      <c r="D13" s="203">
        <f t="shared" si="0"/>
        <v>1116</v>
      </c>
      <c r="E13" s="116">
        <v>98</v>
      </c>
      <c r="F13" s="116" t="s">
        <v>41</v>
      </c>
      <c r="G13" s="160">
        <v>12</v>
      </c>
      <c r="H13" s="161">
        <v>276</v>
      </c>
      <c r="I13" s="117">
        <v>88</v>
      </c>
      <c r="J13" s="119">
        <f>RANK(I13,$I$3:$I$16)+COUNTIF(I$3:$I13,I13)-1</f>
        <v>3</v>
      </c>
      <c r="K13" s="117">
        <v>86</v>
      </c>
      <c r="L13" s="118">
        <f>RANK(K13,$K$3:$K$16)+COUNTIF(K$3:$K13,K13)-1</f>
        <v>14</v>
      </c>
      <c r="M13" s="120">
        <f t="shared" si="1"/>
        <v>13</v>
      </c>
      <c r="N13" s="162">
        <f>RANK(M13,$M$3:$M$16,1)+COUNTIF(M$3:$M13,M13)-1</f>
        <v>13</v>
      </c>
    </row>
    <row r="14" spans="1:27" x14ac:dyDescent="0.3">
      <c r="A14" s="99" t="s">
        <v>20</v>
      </c>
      <c r="B14" s="145" t="s">
        <v>39</v>
      </c>
      <c r="C14" s="198">
        <v>44955</v>
      </c>
      <c r="D14" s="203">
        <f t="shared" si="0"/>
        <v>1268</v>
      </c>
      <c r="E14" s="116">
        <v>98</v>
      </c>
      <c r="F14" s="116" t="s">
        <v>41</v>
      </c>
      <c r="G14" s="160">
        <v>13</v>
      </c>
      <c r="H14" s="161">
        <v>668</v>
      </c>
      <c r="I14" s="117">
        <v>127</v>
      </c>
      <c r="J14" s="119">
        <f>RANK(I14,$I$3:$I$16)+COUNTIF(I$3:$I14,I14)-1</f>
        <v>1</v>
      </c>
      <c r="K14" s="117">
        <v>88</v>
      </c>
      <c r="L14" s="118">
        <f>RANK(K14,$K$3:$K$16)+COUNTIF(K$3:$K14,K14)-1</f>
        <v>5</v>
      </c>
      <c r="M14" s="120">
        <f t="shared" si="1"/>
        <v>9</v>
      </c>
      <c r="N14" s="162">
        <f>RANK(M14,$M$3:$M$16,1)+COUNTIF(M$3:$M14,M14)-1</f>
        <v>10</v>
      </c>
    </row>
    <row r="15" spans="1:27" x14ac:dyDescent="0.3">
      <c r="A15" s="99"/>
      <c r="B15" s="171" t="s">
        <v>44</v>
      </c>
      <c r="C15" s="198">
        <v>45281</v>
      </c>
      <c r="D15" s="203">
        <f t="shared" si="0"/>
        <v>942</v>
      </c>
      <c r="E15" s="116">
        <v>97</v>
      </c>
      <c r="F15" s="116" t="s">
        <v>41</v>
      </c>
      <c r="G15" s="160">
        <v>14</v>
      </c>
      <c r="H15" s="161">
        <v>178</v>
      </c>
      <c r="I15" s="117">
        <v>65</v>
      </c>
      <c r="J15" s="119">
        <f>RANK(I15,$I$3:$I$16)+COUNTIF(I$3:$I15,I15)-1</f>
        <v>9</v>
      </c>
      <c r="K15" s="117">
        <v>87</v>
      </c>
      <c r="L15" s="118">
        <f>RANK(K15,$K$3:$K$16)+COUNTIF(K$3:$K15,K15)-1</f>
        <v>11</v>
      </c>
      <c r="M15" s="120">
        <f t="shared" si="1"/>
        <v>12.5</v>
      </c>
      <c r="N15" s="162">
        <f>RANK(M15,$M$3:$M$16,1)+COUNTIF(M$3:$M15,M15)-1</f>
        <v>12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1103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4</v>
      </c>
      <c r="K16" s="166">
        <v>87</v>
      </c>
      <c r="L16" s="168">
        <f>RANK(K16,$K$3:$K$16)+COUNTIF(K$3:$K16,K16)-1</f>
        <v>12</v>
      </c>
      <c r="M16" s="169">
        <f t="shared" si="1"/>
        <v>13.5</v>
      </c>
      <c r="N16" s="170">
        <f>RANK(M16,$M$3:$M$16,1)+COUNTIF(M$3:$M16,M16)-1</f>
        <v>14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E19" s="140"/>
      <c r="F19" s="140"/>
      <c r="H19" s="1"/>
    </row>
    <row r="20" spans="2:8" x14ac:dyDescent="0.3">
      <c r="B20" s="10" t="s">
        <v>48</v>
      </c>
      <c r="C20" s="141" t="s">
        <v>49</v>
      </c>
      <c r="E20" s="142"/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8446-7A33-4C8C-B2E8-A33558C28518}">
  <dimension ref="A1:AA25"/>
  <sheetViews>
    <sheetView tabSelected="1" workbookViewId="0">
      <selection activeCell="I21" sqref="I21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5</v>
      </c>
      <c r="I1" s="229" t="s">
        <v>6</v>
      </c>
      <c r="J1" s="231" t="s">
        <v>7</v>
      </c>
      <c r="K1" s="229" t="s">
        <v>8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46230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99" t="s">
        <v>20</v>
      </c>
      <c r="B3" s="193" t="s">
        <v>58</v>
      </c>
      <c r="C3" s="197">
        <v>45883</v>
      </c>
      <c r="D3" s="202">
        <f>$P$2-C3</f>
        <v>347</v>
      </c>
      <c r="E3" s="171">
        <v>119</v>
      </c>
      <c r="F3" s="171" t="s">
        <v>59</v>
      </c>
      <c r="G3" s="160">
        <v>1</v>
      </c>
      <c r="H3" s="186">
        <v>176</v>
      </c>
      <c r="I3" s="187">
        <v>69</v>
      </c>
      <c r="J3" s="119">
        <f>RANK(I3,$I$3:$I$16)+COUNTIF(I$3:$I3,I3)-1</f>
        <v>7</v>
      </c>
      <c r="K3" s="187">
        <v>86</v>
      </c>
      <c r="L3" s="118">
        <f>RANK(K3,$K$3:$K$16)+COUNTIF(K$3:$K3,K3)-1</f>
        <v>9</v>
      </c>
      <c r="M3" s="120">
        <f>(G3+L3)/2</f>
        <v>5</v>
      </c>
      <c r="N3" s="162">
        <f>RANK(M3,$M$3:$M$16,1)+COUNTIF(M$3:$M3,M3)-1</f>
        <v>5</v>
      </c>
      <c r="P3" s="101"/>
      <c r="Q3" s="112" t="s">
        <v>17</v>
      </c>
      <c r="R3" s="113" t="s">
        <v>18</v>
      </c>
      <c r="S3" s="114" t="s">
        <v>19</v>
      </c>
      <c r="T3" s="112" t="s">
        <v>17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99" t="s">
        <v>43</v>
      </c>
      <c r="B4" s="144" t="s">
        <v>60</v>
      </c>
      <c r="C4" s="198">
        <v>45850</v>
      </c>
      <c r="D4" s="203">
        <f t="shared" ref="D4:D16" si="0">$P$2-C4</f>
        <v>380</v>
      </c>
      <c r="E4" s="171">
        <v>118</v>
      </c>
      <c r="F4" s="171" t="s">
        <v>59</v>
      </c>
      <c r="G4" s="160">
        <v>2</v>
      </c>
      <c r="H4" s="186">
        <v>282</v>
      </c>
      <c r="I4" s="187">
        <v>42</v>
      </c>
      <c r="J4" s="119">
        <f>RANK(I4,$I$3:$I$16)+COUNTIF(I$3:$I4,I4)-1</f>
        <v>12</v>
      </c>
      <c r="K4" s="187">
        <v>87</v>
      </c>
      <c r="L4" s="118">
        <f>RANK(K4,$K$3:$K$16)+COUNTIF(K$3:$K4,K4)-1</f>
        <v>4</v>
      </c>
      <c r="M4" s="120">
        <f>(G4+L4)/2</f>
        <v>3</v>
      </c>
      <c r="N4" s="162">
        <f>RANK(M4,$M$3:$M$16,1)+COUNTIF(M$3:$M4,M4)-1</f>
        <v>1</v>
      </c>
      <c r="P4" s="121" t="s">
        <v>22</v>
      </c>
      <c r="Q4" s="122">
        <f>SUM(Q5:Q9)</f>
        <v>480</v>
      </c>
      <c r="R4" s="104">
        <v>507</v>
      </c>
      <c r="S4" s="105">
        <v>549</v>
      </c>
      <c r="T4" s="123">
        <f>SUM(T5:T9)</f>
        <v>175</v>
      </c>
      <c r="U4" s="104">
        <v>217</v>
      </c>
      <c r="V4" s="105">
        <v>232</v>
      </c>
      <c r="W4" s="101"/>
      <c r="X4" s="101"/>
      <c r="Y4" s="101"/>
    </row>
    <row r="5" spans="1:27" x14ac:dyDescent="0.3">
      <c r="A5" s="99"/>
      <c r="B5" s="171" t="s">
        <v>61</v>
      </c>
      <c r="C5" s="198">
        <v>45873</v>
      </c>
      <c r="D5" s="203">
        <f t="shared" si="0"/>
        <v>357</v>
      </c>
      <c r="E5" s="171">
        <v>117</v>
      </c>
      <c r="F5" s="171" t="s">
        <v>59</v>
      </c>
      <c r="G5" s="160">
        <v>3</v>
      </c>
      <c r="H5" s="186">
        <v>152</v>
      </c>
      <c r="I5" s="187">
        <v>41</v>
      </c>
      <c r="J5" s="119">
        <f>RANK(I5,$I$3:$I$16)+COUNTIF(I$3:$I5,I5)-1</f>
        <v>13</v>
      </c>
      <c r="K5" s="187">
        <v>87</v>
      </c>
      <c r="L5" s="118">
        <f>RANK(K5,$K$3:$K$16)+COUNTIF(K$3:$K5,K5)-1</f>
        <v>5</v>
      </c>
      <c r="M5" s="120">
        <f t="shared" ref="M5:M16" si="1">(G5+L5)/2</f>
        <v>4</v>
      </c>
      <c r="N5" s="162">
        <f>RANK(M5,$M$3:$M$16,1)+COUNTIF(M$3:$M5,M5)-1</f>
        <v>4</v>
      </c>
      <c r="P5" s="124" t="s">
        <v>24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99"/>
      <c r="B6" s="171" t="s">
        <v>27</v>
      </c>
      <c r="C6" s="198">
        <v>45561</v>
      </c>
      <c r="D6" s="203">
        <f t="shared" si="0"/>
        <v>669</v>
      </c>
      <c r="E6" s="116">
        <v>108</v>
      </c>
      <c r="F6" s="116" t="s">
        <v>16</v>
      </c>
      <c r="G6" s="160">
        <v>4</v>
      </c>
      <c r="H6" s="161">
        <v>188</v>
      </c>
      <c r="I6" s="117">
        <v>62</v>
      </c>
      <c r="J6" s="119">
        <f>RANK(I6,$I$3:$I$16)+COUNTIF(I$3:$I6,I6)-1</f>
        <v>10</v>
      </c>
      <c r="K6" s="117">
        <v>88</v>
      </c>
      <c r="L6" s="118">
        <f>RANK(K6,$K$3:$K$16)+COUNTIF(K$3:$K6,K6)-1</f>
        <v>2</v>
      </c>
      <c r="M6" s="120">
        <f t="shared" si="1"/>
        <v>3</v>
      </c>
      <c r="N6" s="162">
        <f>RANK(M6,$M$3:$M$16,1)+COUNTIF(M$3:$M6,M6)-1</f>
        <v>2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99" t="s">
        <v>20</v>
      </c>
      <c r="B7" s="144" t="s">
        <v>21</v>
      </c>
      <c r="C7" s="198">
        <v>45553</v>
      </c>
      <c r="D7" s="203">
        <f t="shared" si="0"/>
        <v>677</v>
      </c>
      <c r="E7" s="116">
        <v>107</v>
      </c>
      <c r="F7" s="116" t="s">
        <v>16</v>
      </c>
      <c r="G7" s="160">
        <v>5</v>
      </c>
      <c r="H7" s="161">
        <v>274</v>
      </c>
      <c r="I7" s="117">
        <v>69</v>
      </c>
      <c r="J7" s="119">
        <f>RANK(I7,$I$3:$I$16)+COUNTIF(I$3:$I7,I7)-1</f>
        <v>8</v>
      </c>
      <c r="K7" s="117">
        <v>89</v>
      </c>
      <c r="L7" s="118">
        <f>RANK(K7,$K$3:$K$16)+COUNTIF(K$3:$K7,K7)-1</f>
        <v>1</v>
      </c>
      <c r="M7" s="120">
        <f t="shared" si="1"/>
        <v>3</v>
      </c>
      <c r="N7" s="162">
        <f>RANK(M7,$M$3:$M$16,1)+COUNTIF(M$3:$M7,M7)-1</f>
        <v>3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99" t="s">
        <v>20</v>
      </c>
      <c r="B8" s="145" t="s">
        <v>23</v>
      </c>
      <c r="C8" s="198">
        <v>45711</v>
      </c>
      <c r="D8" s="203">
        <f t="shared" si="0"/>
        <v>519</v>
      </c>
      <c r="E8" s="116">
        <v>106</v>
      </c>
      <c r="F8" s="116" t="s">
        <v>16</v>
      </c>
      <c r="G8" s="160">
        <v>6</v>
      </c>
      <c r="H8" s="161">
        <v>166</v>
      </c>
      <c r="I8" s="117">
        <v>38</v>
      </c>
      <c r="J8" s="119">
        <f>RANK(I8,$I$3:$I$16)+COUNTIF(I$3:$I8,I8)-1</f>
        <v>14</v>
      </c>
      <c r="K8" s="117">
        <v>87</v>
      </c>
      <c r="L8" s="118">
        <f>RANK(K8,$K$3:$K$16)+COUNTIF(K$3:$K8,K8)-1</f>
        <v>6</v>
      </c>
      <c r="M8" s="120">
        <f t="shared" si="1"/>
        <v>6</v>
      </c>
      <c r="N8" s="162">
        <f>RANK(M8,$M$3:$M$16,1)+COUNTIF(M$3:$M8,M8)-1</f>
        <v>7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781</v>
      </c>
      <c r="X8" s="101">
        <f>R4+U4</f>
        <v>724</v>
      </c>
      <c r="Y8" s="101"/>
    </row>
    <row r="9" spans="1:27" ht="15" thickBot="1" x14ac:dyDescent="0.35">
      <c r="A9" s="99" t="s">
        <v>20</v>
      </c>
      <c r="B9" s="144" t="s">
        <v>31</v>
      </c>
      <c r="C9" s="198">
        <v>45545</v>
      </c>
      <c r="D9" s="203">
        <f t="shared" si="0"/>
        <v>685</v>
      </c>
      <c r="E9" s="116">
        <v>102</v>
      </c>
      <c r="F9" s="116" t="s">
        <v>38</v>
      </c>
      <c r="G9" s="160">
        <v>7</v>
      </c>
      <c r="H9" s="161">
        <v>398</v>
      </c>
      <c r="I9" s="117">
        <v>55</v>
      </c>
      <c r="J9" s="119">
        <f>RANK(I9,$I$3:$I$16)+COUNTIF(I$3:$I9,I9)-1</f>
        <v>11</v>
      </c>
      <c r="K9" s="117">
        <v>88</v>
      </c>
      <c r="L9" s="118">
        <f>RANK(K9,$K$3:$K$16)+COUNTIF(K$3:$K9,K9)-1</f>
        <v>3</v>
      </c>
      <c r="M9" s="120">
        <f t="shared" si="1"/>
        <v>5</v>
      </c>
      <c r="N9" s="162">
        <f>RANK(M9,$M$3:$M$16,1)+COUNTIF(M$3:$M9,M9)-1</f>
        <v>6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57</v>
      </c>
      <c r="Y9" s="101"/>
    </row>
    <row r="10" spans="1:27" x14ac:dyDescent="0.3">
      <c r="A10" s="99" t="s">
        <v>43</v>
      </c>
      <c r="B10" s="145" t="s">
        <v>25</v>
      </c>
      <c r="C10" s="198">
        <v>45418</v>
      </c>
      <c r="D10" s="203">
        <f t="shared" si="0"/>
        <v>812</v>
      </c>
      <c r="E10" s="116">
        <v>100</v>
      </c>
      <c r="F10" s="116" t="s">
        <v>41</v>
      </c>
      <c r="G10" s="160">
        <v>8</v>
      </c>
      <c r="H10" s="161">
        <v>318</v>
      </c>
      <c r="I10" s="117">
        <v>101</v>
      </c>
      <c r="J10" s="119">
        <f>RANK(I10,$I$3:$I$16)+COUNTIF(I$3:$I10,I10)-1</f>
        <v>1</v>
      </c>
      <c r="K10" s="117">
        <v>87</v>
      </c>
      <c r="L10" s="118">
        <f>RANK(K10,$K$3:$K$16)+COUNTIF(K$3:$K10,K10)-1</f>
        <v>7</v>
      </c>
      <c r="M10" s="120">
        <f t="shared" si="1"/>
        <v>7.5</v>
      </c>
      <c r="N10" s="162">
        <f>RANK(M10,$M$3:$M$16,1)+COUNTIF(M$3:$M10,M10)-1</f>
        <v>8</v>
      </c>
      <c r="Y10" s="101"/>
    </row>
    <row r="11" spans="1:27" x14ac:dyDescent="0.3">
      <c r="A11" s="99" t="s">
        <v>43</v>
      </c>
      <c r="B11" s="144" t="s">
        <v>37</v>
      </c>
      <c r="C11" s="198">
        <v>45133</v>
      </c>
      <c r="D11" s="203">
        <f t="shared" si="0"/>
        <v>1097</v>
      </c>
      <c r="E11" s="116">
        <v>99</v>
      </c>
      <c r="F11" s="116" t="s">
        <v>41</v>
      </c>
      <c r="G11" s="160">
        <v>9</v>
      </c>
      <c r="H11" s="161">
        <v>286</v>
      </c>
      <c r="I11" s="117">
        <v>66</v>
      </c>
      <c r="J11" s="119">
        <f>RANK(I11,$I$3:$I$16)+COUNTIF(I$3:$I11,I11)-1</f>
        <v>9</v>
      </c>
      <c r="K11" s="117">
        <v>85</v>
      </c>
      <c r="L11" s="118">
        <f>RANK(K11,$K$3:$K$16)+COUNTIF(K$3:$K11,K11)-1</f>
        <v>11</v>
      </c>
      <c r="M11" s="120">
        <f t="shared" si="1"/>
        <v>10</v>
      </c>
      <c r="N11" s="162">
        <f>RANK(M11,$M$3:$M$16,1)+COUNTIF(M$3:$M11,M11)-1</f>
        <v>9</v>
      </c>
      <c r="Y11" s="101"/>
    </row>
    <row r="12" spans="1:27" x14ac:dyDescent="0.3">
      <c r="A12" s="99" t="s">
        <v>20</v>
      </c>
      <c r="B12" s="145" t="s">
        <v>36</v>
      </c>
      <c r="C12" s="198">
        <v>45729</v>
      </c>
      <c r="D12" s="203">
        <f t="shared" si="0"/>
        <v>501</v>
      </c>
      <c r="E12" s="116">
        <v>99</v>
      </c>
      <c r="F12" s="116" t="s">
        <v>41</v>
      </c>
      <c r="G12" s="160">
        <v>11</v>
      </c>
      <c r="H12" s="161">
        <v>204</v>
      </c>
      <c r="I12" s="117">
        <v>80</v>
      </c>
      <c r="J12" s="119">
        <f>RANK(I12,$I$3:$I$16)+COUNTIF(I$3:$I12,I12)-1</f>
        <v>4</v>
      </c>
      <c r="K12" s="117">
        <v>84</v>
      </c>
      <c r="L12" s="118">
        <f>RANK(K12,$K$3:$K$16)+COUNTIF(K$3:$K12,K12)-1</f>
        <v>14</v>
      </c>
      <c r="M12" s="120">
        <f t="shared" si="1"/>
        <v>12.5</v>
      </c>
      <c r="N12" s="162">
        <f>RANK(M12,$M$3:$M$16,1)+COUNTIF(M$3:$M12,M12)-1</f>
        <v>12</v>
      </c>
      <c r="Y12" s="101"/>
    </row>
    <row r="13" spans="1:27" x14ac:dyDescent="0.3">
      <c r="A13" s="99" t="s">
        <v>43</v>
      </c>
      <c r="B13" s="145" t="s">
        <v>42</v>
      </c>
      <c r="C13" s="198">
        <v>45107</v>
      </c>
      <c r="D13" s="203">
        <f t="shared" si="0"/>
        <v>1123</v>
      </c>
      <c r="E13" s="116">
        <v>98</v>
      </c>
      <c r="F13" s="116" t="s">
        <v>41</v>
      </c>
      <c r="G13" s="160">
        <v>12</v>
      </c>
      <c r="H13" s="161">
        <v>304</v>
      </c>
      <c r="I13" s="117">
        <v>91</v>
      </c>
      <c r="J13" s="119">
        <f>RANK(I13,$I$3:$I$16)+COUNTIF(I$3:$I13,I13)-1</f>
        <v>2</v>
      </c>
      <c r="K13" s="117">
        <v>86</v>
      </c>
      <c r="L13" s="118">
        <f>RANK(K13,$K$3:$K$16)+COUNTIF(K$3:$K13,K13)-1</f>
        <v>10</v>
      </c>
      <c r="M13" s="120">
        <f t="shared" si="1"/>
        <v>11</v>
      </c>
      <c r="N13" s="162">
        <f>RANK(M13,$M$3:$M$16,1)+COUNTIF(M$3:$M13,M13)-1</f>
        <v>11</v>
      </c>
    </row>
    <row r="14" spans="1:27" x14ac:dyDescent="0.3">
      <c r="A14" s="99" t="s">
        <v>43</v>
      </c>
      <c r="B14" s="145" t="s">
        <v>39</v>
      </c>
      <c r="C14" s="198">
        <v>44955</v>
      </c>
      <c r="D14" s="203">
        <f t="shared" si="0"/>
        <v>1275</v>
      </c>
      <c r="E14" s="116">
        <v>98</v>
      </c>
      <c r="F14" s="116" t="s">
        <v>41</v>
      </c>
      <c r="G14" s="160">
        <v>13</v>
      </c>
      <c r="H14" s="161">
        <v>492</v>
      </c>
      <c r="I14" s="117">
        <v>90</v>
      </c>
      <c r="J14" s="119">
        <f>RANK(I14,$I$3:$I$16)+COUNTIF(I$3:$I14,I14)-1</f>
        <v>3</v>
      </c>
      <c r="K14" s="117">
        <v>87</v>
      </c>
      <c r="L14" s="118">
        <f>RANK(K14,$K$3:$K$16)+COUNTIF(K$3:$K14,K14)-1</f>
        <v>8</v>
      </c>
      <c r="M14" s="120">
        <f t="shared" si="1"/>
        <v>10.5</v>
      </c>
      <c r="N14" s="162">
        <f>RANK(M14,$M$3:$M$16,1)+COUNTIF(M$3:$M14,M14)-1</f>
        <v>10</v>
      </c>
    </row>
    <row r="15" spans="1:27" x14ac:dyDescent="0.3">
      <c r="A15" s="99" t="s">
        <v>20</v>
      </c>
      <c r="B15" s="145" t="s">
        <v>44</v>
      </c>
      <c r="C15" s="198">
        <v>45281</v>
      </c>
      <c r="D15" s="203">
        <f t="shared" si="0"/>
        <v>949</v>
      </c>
      <c r="E15" s="116">
        <v>97</v>
      </c>
      <c r="F15" s="116" t="s">
        <v>41</v>
      </c>
      <c r="G15" s="160">
        <v>14</v>
      </c>
      <c r="H15" s="161">
        <v>204</v>
      </c>
      <c r="I15" s="117">
        <v>80</v>
      </c>
      <c r="J15" s="119">
        <f>RANK(I15,$I$3:$I$16)+COUNTIF(I$3:$I15,I15)-1</f>
        <v>5</v>
      </c>
      <c r="K15" s="117">
        <v>85</v>
      </c>
      <c r="L15" s="118">
        <f>RANK(K15,$K$3:$K$16)+COUNTIF(K$3:$K15,K15)-1</f>
        <v>12</v>
      </c>
      <c r="M15" s="120">
        <f t="shared" si="1"/>
        <v>13</v>
      </c>
      <c r="N15" s="162">
        <f>RANK(M15,$M$3:$M$16,1)+COUNTIF(M$3:$M15,M15)-1</f>
        <v>13</v>
      </c>
    </row>
    <row r="16" spans="1:27" ht="15" thickBot="1" x14ac:dyDescent="0.35">
      <c r="A16" s="100"/>
      <c r="B16" s="191" t="s">
        <v>40</v>
      </c>
      <c r="C16" s="199">
        <v>45120</v>
      </c>
      <c r="D16" s="204">
        <f t="shared" si="0"/>
        <v>1110</v>
      </c>
      <c r="E16" s="163">
        <v>96</v>
      </c>
      <c r="F16" s="163" t="s">
        <v>41</v>
      </c>
      <c r="G16" s="164">
        <v>15</v>
      </c>
      <c r="H16" s="165">
        <v>402</v>
      </c>
      <c r="I16" s="166">
        <v>79</v>
      </c>
      <c r="J16" s="167">
        <f>RANK(I16,$I$3:$I$16)+COUNTIF(I$3:$I16,I16)-1</f>
        <v>6</v>
      </c>
      <c r="K16" s="166">
        <v>85</v>
      </c>
      <c r="L16" s="168">
        <f>RANK(K16,$K$3:$K$16)+COUNTIF(K$3:$K16,K16)-1</f>
        <v>13</v>
      </c>
      <c r="M16" s="169">
        <f t="shared" si="1"/>
        <v>14</v>
      </c>
      <c r="N16" s="170">
        <f>RANK(M16,$M$3:$M$16,1)+COUNTIF(M$3:$M16,M16)-1</f>
        <v>14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E19" s="140"/>
      <c r="F19" s="140"/>
      <c r="H19" s="1"/>
    </row>
    <row r="20" spans="2:8" x14ac:dyDescent="0.3">
      <c r="B20" s="10" t="s">
        <v>48</v>
      </c>
      <c r="C20" s="141" t="s">
        <v>49</v>
      </c>
      <c r="E20" s="142"/>
      <c r="F20" s="142"/>
      <c r="H20" s="1"/>
    </row>
    <row r="21" spans="2:8" x14ac:dyDescent="0.3">
      <c r="H21" s="1"/>
    </row>
    <row r="22" spans="2:8" x14ac:dyDescent="0.3"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N1:N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4FD0-E144-48EC-84E9-CFA3BF44B2AE}">
  <dimension ref="A1:AB25"/>
  <sheetViews>
    <sheetView workbookViewId="0">
      <selection activeCell="J12" sqref="J12"/>
    </sheetView>
  </sheetViews>
  <sheetFormatPr defaultColWidth="9" defaultRowHeight="14.4" x14ac:dyDescent="0.3"/>
  <cols>
    <col min="1" max="1" width="9" style="1"/>
    <col min="2" max="2" width="11.5546875" style="1" customWidth="1"/>
    <col min="3" max="6" width="10.5546875" style="1" customWidth="1"/>
    <col min="7" max="7" width="16.5546875" style="1" customWidth="1"/>
    <col min="8" max="8" width="10.44140625" style="1" customWidth="1"/>
    <col min="9" max="9" width="12.88671875" style="6" customWidth="1"/>
    <col min="10" max="11" width="12.88671875" style="1" customWidth="1"/>
    <col min="12" max="12" width="15.88671875" style="1" customWidth="1"/>
    <col min="13" max="13" width="11.6640625" style="1" customWidth="1"/>
    <col min="14" max="14" width="14" style="1" customWidth="1"/>
    <col min="15" max="15" width="11.6640625" style="1" customWidth="1"/>
    <col min="16" max="16" width="13.33203125" style="1" customWidth="1"/>
    <col min="17" max="17" width="10.44140625" style="1" customWidth="1"/>
    <col min="18" max="18" width="9.6640625" style="1" customWidth="1"/>
    <col min="19" max="22" width="9" style="1"/>
    <col min="23" max="23" width="12.33203125" style="1" customWidth="1"/>
    <col min="24" max="24" width="10.88671875" style="1" customWidth="1"/>
    <col min="25" max="25" width="13.5546875" style="1" customWidth="1"/>
    <col min="26" max="26" width="9" style="1"/>
    <col min="27" max="27" width="4.109375" style="1" customWidth="1"/>
    <col min="28" max="28" width="9.5546875" style="1" customWidth="1"/>
    <col min="29" max="16384" width="9" style="1"/>
  </cols>
  <sheetData>
    <row r="1" spans="1:28" ht="64.2" customHeight="1" thickBot="1" x14ac:dyDescent="0.35">
      <c r="B1" s="226" t="s">
        <v>0</v>
      </c>
      <c r="C1" s="228" t="s">
        <v>1</v>
      </c>
      <c r="D1" s="195" t="s">
        <v>224</v>
      </c>
      <c r="E1" s="195" t="s">
        <v>81</v>
      </c>
      <c r="F1" s="228" t="s">
        <v>2</v>
      </c>
      <c r="G1" s="229" t="s">
        <v>3</v>
      </c>
      <c r="H1" s="230" t="s">
        <v>4</v>
      </c>
      <c r="I1" s="229" t="s">
        <v>5</v>
      </c>
      <c r="J1" s="229" t="s">
        <v>6</v>
      </c>
      <c r="K1" s="231" t="s">
        <v>7</v>
      </c>
      <c r="L1" s="229" t="s">
        <v>8</v>
      </c>
      <c r="M1" s="232" t="s">
        <v>9</v>
      </c>
      <c r="N1" s="228" t="s">
        <v>10</v>
      </c>
      <c r="O1" s="224" t="s">
        <v>11</v>
      </c>
      <c r="Q1" s="101"/>
      <c r="R1" s="101"/>
      <c r="S1" s="101"/>
      <c r="T1" s="101"/>
      <c r="U1" s="101"/>
      <c r="V1" s="101"/>
      <c r="W1" s="101"/>
      <c r="X1" s="101"/>
      <c r="Y1" s="101"/>
      <c r="Z1" s="101"/>
      <c r="AB1" s="102">
        <v>45677</v>
      </c>
    </row>
    <row r="2" spans="1:28" ht="19.95" customHeight="1" thickBot="1" x14ac:dyDescent="0.35">
      <c r="B2" s="234"/>
      <c r="C2" s="235"/>
      <c r="D2" s="196"/>
      <c r="E2" s="196"/>
      <c r="F2" s="235"/>
      <c r="G2" s="236"/>
      <c r="H2" s="237"/>
      <c r="I2" s="236"/>
      <c r="J2" s="236"/>
      <c r="K2" s="238"/>
      <c r="L2" s="236"/>
      <c r="M2" s="239"/>
      <c r="N2" s="235"/>
      <c r="O2" s="233"/>
      <c r="Q2" s="205">
        <v>46237</v>
      </c>
      <c r="R2" s="103" t="s">
        <v>12</v>
      </c>
      <c r="S2" s="104" t="s">
        <v>12</v>
      </c>
      <c r="T2" s="105" t="s">
        <v>12</v>
      </c>
      <c r="U2" s="103" t="s">
        <v>13</v>
      </c>
      <c r="V2" s="104" t="s">
        <v>13</v>
      </c>
      <c r="W2" s="105" t="s">
        <v>13</v>
      </c>
      <c r="X2" s="101"/>
      <c r="Y2" s="101"/>
      <c r="Z2" s="101"/>
    </row>
    <row r="3" spans="1:28" ht="15" thickBot="1" x14ac:dyDescent="0.35">
      <c r="B3" s="206" t="s">
        <v>20</v>
      </c>
      <c r="C3" s="193" t="s">
        <v>58</v>
      </c>
      <c r="D3" s="197">
        <v>45883</v>
      </c>
      <c r="E3" s="202">
        <f>$Q$2-D3</f>
        <v>354</v>
      </c>
      <c r="F3" s="171">
        <v>119</v>
      </c>
      <c r="G3" s="171" t="s">
        <v>59</v>
      </c>
      <c r="H3" s="160">
        <v>1</v>
      </c>
      <c r="I3" s="186">
        <v>128</v>
      </c>
      <c r="J3" s="187">
        <v>54</v>
      </c>
      <c r="K3" s="119">
        <f>RANK(J3,$J$3:$J$16)+COUNTIF(J$3:$J3,J3)-1</f>
        <v>11</v>
      </c>
      <c r="L3" s="187">
        <v>87</v>
      </c>
      <c r="M3" s="118">
        <f>RANK(L3,$L$3:$L$16)+COUNTIF(L$3:$L3,L3)-1</f>
        <v>4</v>
      </c>
      <c r="N3" s="120">
        <f>(H3+M3)/2</f>
        <v>2.5</v>
      </c>
      <c r="O3" s="162">
        <f>RANK(N3,$N$3:$N$16,1)+COUNTIF(N$3:$N3,N3)-1</f>
        <v>1</v>
      </c>
      <c r="Q3" s="101"/>
      <c r="R3" s="112" t="s">
        <v>17</v>
      </c>
      <c r="S3" s="113" t="s">
        <v>18</v>
      </c>
      <c r="T3" s="114" t="s">
        <v>19</v>
      </c>
      <c r="U3" s="112" t="s">
        <v>17</v>
      </c>
      <c r="V3" s="113" t="s">
        <v>18</v>
      </c>
      <c r="W3" s="114" t="s">
        <v>19</v>
      </c>
      <c r="X3" s="101"/>
      <c r="Y3" s="101"/>
      <c r="Z3" s="101"/>
    </row>
    <row r="4" spans="1:28" x14ac:dyDescent="0.3">
      <c r="B4" s="206" t="s">
        <v>14</v>
      </c>
      <c r="C4" s="144" t="s">
        <v>60</v>
      </c>
      <c r="D4" s="198">
        <v>45850</v>
      </c>
      <c r="E4" s="203">
        <f t="shared" ref="E4:E16" si="0">$Q$2-D4</f>
        <v>387</v>
      </c>
      <c r="F4" s="171">
        <v>118</v>
      </c>
      <c r="G4" s="171" t="s">
        <v>59</v>
      </c>
      <c r="H4" s="160">
        <v>2</v>
      </c>
      <c r="I4" s="186">
        <v>218</v>
      </c>
      <c r="J4" s="187">
        <v>63</v>
      </c>
      <c r="K4" s="119">
        <f>RANK(J4,$J$3:$J$16)+COUNTIF(J$3:$J4,J4)-1</f>
        <v>9</v>
      </c>
      <c r="L4" s="187">
        <v>87</v>
      </c>
      <c r="M4" s="118">
        <f>RANK(L4,$L$3:$L$16)+COUNTIF(L$3:$L4,L4)-1</f>
        <v>5</v>
      </c>
      <c r="N4" s="120">
        <f>(H4+M4)/2</f>
        <v>3.5</v>
      </c>
      <c r="O4" s="162">
        <f>RANK(N4,$N$3:$N$16,1)+COUNTIF(N$3:$N4,N4)-1</f>
        <v>2</v>
      </c>
      <c r="Q4" s="121" t="s">
        <v>22</v>
      </c>
      <c r="R4" s="122">
        <f>SUM(R5:R9)</f>
        <v>480</v>
      </c>
      <c r="S4" s="104">
        <v>549</v>
      </c>
      <c r="T4" s="105"/>
      <c r="U4" s="123">
        <f>SUM(U5:U9)</f>
        <v>175</v>
      </c>
      <c r="V4" s="104">
        <v>232</v>
      </c>
      <c r="W4" s="105"/>
      <c r="X4" s="101"/>
      <c r="Y4" s="101"/>
      <c r="Z4" s="101"/>
    </row>
    <row r="5" spans="1:28" x14ac:dyDescent="0.3">
      <c r="B5" s="206" t="s">
        <v>20</v>
      </c>
      <c r="C5" s="144" t="s">
        <v>61</v>
      </c>
      <c r="D5" s="198">
        <v>45873</v>
      </c>
      <c r="E5" s="203">
        <f t="shared" si="0"/>
        <v>364</v>
      </c>
      <c r="F5" s="171">
        <v>117</v>
      </c>
      <c r="G5" s="171" t="s">
        <v>59</v>
      </c>
      <c r="H5" s="160">
        <v>3</v>
      </c>
      <c r="I5" s="186">
        <v>138</v>
      </c>
      <c r="J5" s="187">
        <v>59</v>
      </c>
      <c r="K5" s="119">
        <f>RANK(J5,$J$3:$J$16)+COUNTIF(J$3:$J5,J5)-1</f>
        <v>10</v>
      </c>
      <c r="L5" s="187">
        <v>86</v>
      </c>
      <c r="M5" s="118">
        <f>RANK(L5,$L$3:$L$16)+COUNTIF(L$3:$L5,L5)-1</f>
        <v>10</v>
      </c>
      <c r="N5" s="120">
        <f t="shared" ref="N5:N16" si="1">(H5+M5)/2</f>
        <v>6.5</v>
      </c>
      <c r="O5" s="162">
        <f>RANK(N5,$N$3:$N$16,1)+COUNTIF(N$3:$N5,N5)-1</f>
        <v>6</v>
      </c>
      <c r="Q5" s="124" t="s">
        <v>24</v>
      </c>
      <c r="R5" s="125">
        <v>180</v>
      </c>
      <c r="S5" s="126"/>
      <c r="T5" s="127"/>
      <c r="U5" s="125">
        <v>60</v>
      </c>
      <c r="V5" s="126"/>
      <c r="W5" s="127"/>
      <c r="X5" s="101"/>
      <c r="Y5" s="101"/>
      <c r="Z5" s="101"/>
    </row>
    <row r="6" spans="1:28" x14ac:dyDescent="0.3">
      <c r="B6" s="206" t="s">
        <v>20</v>
      </c>
      <c r="C6" s="144" t="s">
        <v>27</v>
      </c>
      <c r="D6" s="198">
        <v>45561</v>
      </c>
      <c r="E6" s="203">
        <f t="shared" si="0"/>
        <v>676</v>
      </c>
      <c r="F6" s="116">
        <v>108</v>
      </c>
      <c r="G6" s="116" t="s">
        <v>16</v>
      </c>
      <c r="H6" s="160">
        <v>4</v>
      </c>
      <c r="I6" s="161">
        <v>224</v>
      </c>
      <c r="J6" s="117">
        <v>76</v>
      </c>
      <c r="K6" s="119">
        <f>RANK(J6,$J$3:$J$16)+COUNTIF(J$3:$J6,J6)-1</f>
        <v>5</v>
      </c>
      <c r="L6" s="117">
        <v>87</v>
      </c>
      <c r="M6" s="118">
        <f>RANK(L6,$L$3:$L$16)+COUNTIF(L$3:$L6,L6)-1</f>
        <v>6</v>
      </c>
      <c r="N6" s="120">
        <f t="shared" si="1"/>
        <v>5</v>
      </c>
      <c r="O6" s="162">
        <f>RANK(N6,$N$3:$N$16,1)+COUNTIF(N$3:$N6,N6)-1</f>
        <v>5</v>
      </c>
      <c r="Q6" s="124" t="s">
        <v>26</v>
      </c>
      <c r="R6" s="125">
        <v>85</v>
      </c>
      <c r="S6" s="126"/>
      <c r="T6" s="127"/>
      <c r="U6" s="125">
        <v>35</v>
      </c>
      <c r="V6" s="126"/>
      <c r="W6" s="127"/>
      <c r="X6" s="101"/>
      <c r="Y6" s="101"/>
      <c r="Z6" s="101"/>
    </row>
    <row r="7" spans="1:28" x14ac:dyDescent="0.3">
      <c r="B7" s="206" t="s">
        <v>14</v>
      </c>
      <c r="C7" s="145" t="s">
        <v>21</v>
      </c>
      <c r="D7" s="198">
        <v>45553</v>
      </c>
      <c r="E7" s="203">
        <f t="shared" si="0"/>
        <v>684</v>
      </c>
      <c r="F7" s="116">
        <v>107</v>
      </c>
      <c r="G7" s="116" t="s">
        <v>16</v>
      </c>
      <c r="H7" s="160">
        <v>5</v>
      </c>
      <c r="I7" s="161">
        <v>206</v>
      </c>
      <c r="J7" s="117">
        <v>45</v>
      </c>
      <c r="K7" s="119">
        <f>RANK(J7,$J$3:$J$16)+COUNTIF(J$3:$J7,J7)-1</f>
        <v>14</v>
      </c>
      <c r="L7" s="117">
        <v>85</v>
      </c>
      <c r="M7" s="118">
        <f>RANK(L7,$L$3:$L$16)+COUNTIF(L$3:$L7,L7)-1</f>
        <v>13</v>
      </c>
      <c r="N7" s="120">
        <f t="shared" si="1"/>
        <v>9</v>
      </c>
      <c r="O7" s="162">
        <f>RANK(N7,$N$3:$N$16,1)+COUNTIF(N$3:$N7,N7)-1</f>
        <v>9</v>
      </c>
      <c r="Q7" s="124" t="s">
        <v>28</v>
      </c>
      <c r="R7" s="125">
        <v>40</v>
      </c>
      <c r="S7" s="129"/>
      <c r="T7" s="127"/>
      <c r="U7" s="125">
        <v>10</v>
      </c>
      <c r="V7" s="129"/>
      <c r="W7" s="127"/>
      <c r="X7" s="101" t="s">
        <v>29</v>
      </c>
      <c r="Y7" s="101" t="s">
        <v>30</v>
      </c>
      <c r="Z7" s="101"/>
    </row>
    <row r="8" spans="1:28" x14ac:dyDescent="0.3">
      <c r="B8" s="206" t="s">
        <v>14</v>
      </c>
      <c r="C8" s="145" t="s">
        <v>23</v>
      </c>
      <c r="D8" s="198">
        <v>45711</v>
      </c>
      <c r="E8" s="203">
        <f t="shared" si="0"/>
        <v>526</v>
      </c>
      <c r="F8" s="116">
        <v>106</v>
      </c>
      <c r="G8" s="116" t="s">
        <v>16</v>
      </c>
      <c r="H8" s="160">
        <v>6</v>
      </c>
      <c r="I8" s="161">
        <v>122</v>
      </c>
      <c r="J8" s="117">
        <v>54</v>
      </c>
      <c r="K8" s="119">
        <f>RANK(J8,$J$3:$J$16)+COUNTIF(J$3:$J8,J8)-1</f>
        <v>12</v>
      </c>
      <c r="L8" s="117">
        <v>88</v>
      </c>
      <c r="M8" s="118">
        <f>RANK(L8,$L$3:$L$16)+COUNTIF(L$3:$L8,L8)-1</f>
        <v>2</v>
      </c>
      <c r="N8" s="120">
        <f t="shared" si="1"/>
        <v>4</v>
      </c>
      <c r="O8" s="162">
        <f>RANK(N8,$N$3:$N$16,1)+COUNTIF(N$3:$N8,N8)-1</f>
        <v>3</v>
      </c>
      <c r="Q8" s="124" t="s">
        <v>32</v>
      </c>
      <c r="R8" s="125">
        <v>95</v>
      </c>
      <c r="S8" s="129"/>
      <c r="T8" s="127"/>
      <c r="U8" s="125">
        <v>40</v>
      </c>
      <c r="V8" s="129"/>
      <c r="W8" s="127"/>
      <c r="X8" s="101">
        <f>T4+W4</f>
        <v>0</v>
      </c>
      <c r="Y8" s="101">
        <f>S4+V4</f>
        <v>781</v>
      </c>
      <c r="Z8" s="101"/>
    </row>
    <row r="9" spans="1:28" ht="15" thickBot="1" x14ac:dyDescent="0.35">
      <c r="B9" s="206" t="s">
        <v>43</v>
      </c>
      <c r="C9" s="144" t="s">
        <v>31</v>
      </c>
      <c r="D9" s="198">
        <v>45545</v>
      </c>
      <c r="E9" s="203">
        <f t="shared" si="0"/>
        <v>692</v>
      </c>
      <c r="F9" s="116">
        <v>102</v>
      </c>
      <c r="G9" s="116" t="s">
        <v>38</v>
      </c>
      <c r="H9" s="160">
        <v>7</v>
      </c>
      <c r="I9" s="161">
        <v>182</v>
      </c>
      <c r="J9" s="117">
        <v>65</v>
      </c>
      <c r="K9" s="119">
        <f>RANK(J9,$J$3:$J$16)+COUNTIF(J$3:$J9,J9)-1</f>
        <v>8</v>
      </c>
      <c r="L9" s="117">
        <v>89</v>
      </c>
      <c r="M9" s="118">
        <f>RANK(L9,$L$3:$L$16)+COUNTIF(L$3:$L9,L9)-1</f>
        <v>1</v>
      </c>
      <c r="N9" s="120">
        <f t="shared" si="1"/>
        <v>4</v>
      </c>
      <c r="O9" s="162">
        <f>RANK(N9,$N$3:$N$16,1)+COUNTIF(N$3:$N9,N9)-1</f>
        <v>4</v>
      </c>
      <c r="Q9" s="130" t="s">
        <v>35</v>
      </c>
      <c r="R9" s="131">
        <v>80</v>
      </c>
      <c r="S9" s="132"/>
      <c r="T9" s="133"/>
      <c r="U9" s="131">
        <v>30</v>
      </c>
      <c r="V9" s="132"/>
      <c r="W9" s="133"/>
      <c r="X9" s="101"/>
      <c r="Y9" s="101">
        <f>X8-Y8</f>
        <v>-781</v>
      </c>
      <c r="Z9" s="101"/>
    </row>
    <row r="10" spans="1:28" x14ac:dyDescent="0.3">
      <c r="B10" s="206" t="s">
        <v>43</v>
      </c>
      <c r="C10" s="145" t="s">
        <v>25</v>
      </c>
      <c r="D10" s="198">
        <v>45418</v>
      </c>
      <c r="E10" s="203">
        <f t="shared" si="0"/>
        <v>819</v>
      </c>
      <c r="F10" s="116">
        <v>100</v>
      </c>
      <c r="G10" s="116" t="s">
        <v>41</v>
      </c>
      <c r="H10" s="160">
        <v>8</v>
      </c>
      <c r="I10" s="161">
        <v>358</v>
      </c>
      <c r="J10" s="117">
        <v>117</v>
      </c>
      <c r="K10" s="119">
        <f>RANK(J10,$J$3:$J$16)+COUNTIF(J$3:$J10,J10)-1</f>
        <v>1</v>
      </c>
      <c r="L10" s="117">
        <v>87</v>
      </c>
      <c r="M10" s="118">
        <f>RANK(L10,$L$3:$L$16)+COUNTIF(L$3:$L10,L10)-1</f>
        <v>7</v>
      </c>
      <c r="N10" s="120">
        <f t="shared" si="1"/>
        <v>7.5</v>
      </c>
      <c r="O10" s="162">
        <f>RANK(N10,$N$3:$N$16,1)+COUNTIF(N$3:$N10,N10)-1</f>
        <v>7</v>
      </c>
      <c r="Z10" s="101"/>
    </row>
    <row r="11" spans="1:28" x14ac:dyDescent="0.3">
      <c r="A11" s="184" t="s">
        <v>223</v>
      </c>
      <c r="B11" s="206"/>
      <c r="C11" s="171" t="s">
        <v>37</v>
      </c>
      <c r="D11" s="198">
        <v>45133</v>
      </c>
      <c r="E11" s="203">
        <f t="shared" si="0"/>
        <v>1104</v>
      </c>
      <c r="F11" s="116">
        <v>99</v>
      </c>
      <c r="G11" s="116" t="s">
        <v>41</v>
      </c>
      <c r="H11" s="160">
        <v>9</v>
      </c>
      <c r="I11" s="161">
        <v>209</v>
      </c>
      <c r="J11" s="117">
        <v>50</v>
      </c>
      <c r="K11" s="119">
        <f>RANK(J11,$J$3:$J$16)+COUNTIF(J$3:$J11,J11)-1</f>
        <v>13</v>
      </c>
      <c r="L11" s="117">
        <v>87</v>
      </c>
      <c r="M11" s="118">
        <f>RANK(L11,$L$3:$L$16)+COUNTIF(L$3:$L11,L11)-1</f>
        <v>8</v>
      </c>
      <c r="N11" s="120">
        <f t="shared" si="1"/>
        <v>8.5</v>
      </c>
      <c r="O11" s="162">
        <f>RANK(N11,$N$3:$N$16,1)+COUNTIF(N$3:$N11,N11)-1</f>
        <v>8</v>
      </c>
      <c r="Z11" s="101"/>
    </row>
    <row r="12" spans="1:28" x14ac:dyDescent="0.3">
      <c r="B12" s="206" t="s">
        <v>14</v>
      </c>
      <c r="C12" s="145" t="s">
        <v>36</v>
      </c>
      <c r="D12" s="198">
        <v>45729</v>
      </c>
      <c r="E12" s="203">
        <f t="shared" si="0"/>
        <v>508</v>
      </c>
      <c r="F12" s="116">
        <v>99</v>
      </c>
      <c r="G12" s="116" t="s">
        <v>41</v>
      </c>
      <c r="H12" s="160">
        <v>11</v>
      </c>
      <c r="I12" s="161">
        <v>190</v>
      </c>
      <c r="J12" s="117">
        <v>75</v>
      </c>
      <c r="K12" s="119">
        <f>RANK(J12,$J$3:$J$16)+COUNTIF(J$3:$J12,J12)-1</f>
        <v>6</v>
      </c>
      <c r="L12" s="117">
        <v>85</v>
      </c>
      <c r="M12" s="118">
        <f>RANK(L12,$L$3:$L$16)+COUNTIF(L$3:$L12,L12)-1</f>
        <v>14</v>
      </c>
      <c r="N12" s="120">
        <f t="shared" si="1"/>
        <v>12.5</v>
      </c>
      <c r="O12" s="162">
        <f>RANK(N12,$N$3:$N$16,1)+COUNTIF(N$3:$N12,N12)-1</f>
        <v>13</v>
      </c>
      <c r="Z12" s="101"/>
    </row>
    <row r="13" spans="1:28" x14ac:dyDescent="0.3">
      <c r="B13" s="206" t="s">
        <v>43</v>
      </c>
      <c r="C13" s="145" t="s">
        <v>42</v>
      </c>
      <c r="D13" s="198">
        <v>45107</v>
      </c>
      <c r="E13" s="203">
        <f t="shared" si="0"/>
        <v>1130</v>
      </c>
      <c r="F13" s="116">
        <v>98</v>
      </c>
      <c r="G13" s="116" t="s">
        <v>41</v>
      </c>
      <c r="H13" s="160">
        <v>12</v>
      </c>
      <c r="I13" s="161">
        <v>280</v>
      </c>
      <c r="J13" s="117">
        <v>80</v>
      </c>
      <c r="K13" s="119">
        <f>RANK(J13,$J$3:$J$16)+COUNTIF(J$3:$J13,J13)-1</f>
        <v>3</v>
      </c>
      <c r="L13" s="117">
        <v>86</v>
      </c>
      <c r="M13" s="118">
        <f>RANK(L13,$L$3:$L$16)+COUNTIF(L$3:$L13,L13)-1</f>
        <v>11</v>
      </c>
      <c r="N13" s="120">
        <f t="shared" si="1"/>
        <v>11.5</v>
      </c>
      <c r="O13" s="162">
        <f>RANK(N13,$N$3:$N$16,1)+COUNTIF(N$3:$N13,N13)-1</f>
        <v>11</v>
      </c>
    </row>
    <row r="14" spans="1:28" x14ac:dyDescent="0.3">
      <c r="B14" s="206" t="s">
        <v>43</v>
      </c>
      <c r="C14" s="145" t="s">
        <v>39</v>
      </c>
      <c r="D14" s="198">
        <v>44955</v>
      </c>
      <c r="E14" s="203">
        <f t="shared" si="0"/>
        <v>1282</v>
      </c>
      <c r="F14" s="116">
        <v>98</v>
      </c>
      <c r="G14" s="116" t="s">
        <v>41</v>
      </c>
      <c r="H14" s="160">
        <v>13</v>
      </c>
      <c r="I14" s="161">
        <v>556</v>
      </c>
      <c r="J14" s="117">
        <v>97</v>
      </c>
      <c r="K14" s="119">
        <f>RANK(J14,$J$3:$J$16)+COUNTIF(J$3:$J14,J14)-1</f>
        <v>2</v>
      </c>
      <c r="L14" s="117">
        <v>86</v>
      </c>
      <c r="M14" s="118">
        <f>RANK(L14,$L$3:$L$16)+COUNTIF(L$3:$L14,L14)-1</f>
        <v>12</v>
      </c>
      <c r="N14" s="120">
        <f t="shared" si="1"/>
        <v>12.5</v>
      </c>
      <c r="O14" s="162">
        <f>RANK(N14,$N$3:$N$16,1)+COUNTIF(N$3:$N14,N14)-1</f>
        <v>14</v>
      </c>
    </row>
    <row r="15" spans="1:28" x14ac:dyDescent="0.3">
      <c r="A15" s="184" t="s">
        <v>223</v>
      </c>
      <c r="B15" s="99" t="s">
        <v>14</v>
      </c>
      <c r="C15" s="145" t="s">
        <v>44</v>
      </c>
      <c r="D15" s="198">
        <v>45281</v>
      </c>
      <c r="E15" s="203">
        <f t="shared" si="0"/>
        <v>956</v>
      </c>
      <c r="F15" s="116">
        <v>97</v>
      </c>
      <c r="G15" s="116" t="s">
        <v>41</v>
      </c>
      <c r="H15" s="160">
        <v>14</v>
      </c>
      <c r="I15" s="161">
        <v>262</v>
      </c>
      <c r="J15" s="117">
        <v>74</v>
      </c>
      <c r="K15" s="119">
        <f>RANK(J15,$J$3:$J$16)+COUNTIF(J$3:$J15,J15)-1</f>
        <v>7</v>
      </c>
      <c r="L15" s="117">
        <v>87</v>
      </c>
      <c r="M15" s="118">
        <f>RANK(L15,$L$3:$L$16)+COUNTIF(L$3:$L15,L15)-1</f>
        <v>9</v>
      </c>
      <c r="N15" s="120">
        <f t="shared" si="1"/>
        <v>11.5</v>
      </c>
      <c r="O15" s="162">
        <f>RANK(N15,$N$3:$N$16,1)+COUNTIF(N$3:$N15,N15)-1</f>
        <v>12</v>
      </c>
    </row>
    <row r="16" spans="1:28" ht="15" thickBot="1" x14ac:dyDescent="0.35">
      <c r="A16" s="184" t="s">
        <v>223</v>
      </c>
      <c r="B16" s="100"/>
      <c r="C16" s="191" t="s">
        <v>40</v>
      </c>
      <c r="D16" s="199">
        <v>45120</v>
      </c>
      <c r="E16" s="204">
        <f t="shared" si="0"/>
        <v>1117</v>
      </c>
      <c r="F16" s="163">
        <v>96</v>
      </c>
      <c r="G16" s="163" t="s">
        <v>41</v>
      </c>
      <c r="H16" s="164">
        <v>15</v>
      </c>
      <c r="I16" s="165">
        <v>201</v>
      </c>
      <c r="J16" s="166">
        <v>78</v>
      </c>
      <c r="K16" s="167">
        <f>RANK(J16,$J$3:$J$16)+COUNTIF(J$3:$J16,J16)-1</f>
        <v>4</v>
      </c>
      <c r="L16" s="166">
        <v>88</v>
      </c>
      <c r="M16" s="168">
        <f>RANK(L16,$L$3:$L$16)+COUNTIF(L$3:$L16,L16)-1</f>
        <v>3</v>
      </c>
      <c r="N16" s="169">
        <f t="shared" si="1"/>
        <v>9</v>
      </c>
      <c r="O16" s="170">
        <f>RANK(N16,$N$3:$N$16,1)+COUNTIF(N$3:$N16,N16)-1</f>
        <v>10</v>
      </c>
    </row>
    <row r="17" spans="3:9" x14ac:dyDescent="0.3">
      <c r="C17" s="6"/>
      <c r="D17" s="6"/>
      <c r="E17" s="6"/>
      <c r="F17" s="6"/>
      <c r="I17" s="1"/>
    </row>
    <row r="18" spans="3:9" x14ac:dyDescent="0.3">
      <c r="I18" s="1"/>
    </row>
    <row r="19" spans="3:9" x14ac:dyDescent="0.3">
      <c r="C19" s="138" t="s">
        <v>12</v>
      </c>
      <c r="D19" s="139" t="s">
        <v>47</v>
      </c>
      <c r="F19" s="140"/>
      <c r="G19" s="140"/>
      <c r="I19" s="1"/>
    </row>
    <row r="20" spans="3:9" x14ac:dyDescent="0.3">
      <c r="C20" s="10" t="s">
        <v>48</v>
      </c>
      <c r="D20" s="141" t="s">
        <v>49</v>
      </c>
      <c r="F20" s="142"/>
      <c r="G20" s="142"/>
      <c r="I20" s="1"/>
    </row>
    <row r="21" spans="3:9" x14ac:dyDescent="0.3">
      <c r="I21" s="1"/>
    </row>
    <row r="22" spans="3:9" x14ac:dyDescent="0.3">
      <c r="H22" s="184"/>
      <c r="I22" s="1"/>
    </row>
    <row r="23" spans="3:9" x14ac:dyDescent="0.3">
      <c r="C23" s="143" t="s">
        <v>50</v>
      </c>
      <c r="D23" s="143"/>
      <c r="E23" s="143"/>
      <c r="F23" s="143"/>
      <c r="I23" s="1"/>
    </row>
    <row r="24" spans="3:9" x14ac:dyDescent="0.3">
      <c r="C24" s="97"/>
      <c r="D24" s="97"/>
      <c r="E24" s="97"/>
      <c r="F24" s="98" t="s">
        <v>63</v>
      </c>
      <c r="G24" s="6"/>
      <c r="H24" s="6"/>
      <c r="I24" s="1"/>
    </row>
    <row r="25" spans="3:9" x14ac:dyDescent="0.3">
      <c r="I25" s="1"/>
    </row>
  </sheetData>
  <mergeCells count="12">
    <mergeCell ref="O1:O2"/>
    <mergeCell ref="B1:B2"/>
    <mergeCell ref="C1:C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64D4-988E-4C0E-93C7-FA230E4E22DD}">
  <dimension ref="A1:AB25"/>
  <sheetViews>
    <sheetView workbookViewId="0">
      <selection activeCell="G22" sqref="G22"/>
    </sheetView>
  </sheetViews>
  <sheetFormatPr defaultColWidth="9" defaultRowHeight="14.4" x14ac:dyDescent="0.3"/>
  <cols>
    <col min="1" max="1" width="9" style="1"/>
    <col min="2" max="2" width="11.5546875" style="1" customWidth="1"/>
    <col min="3" max="6" width="10.5546875" style="1" customWidth="1"/>
    <col min="7" max="7" width="16.5546875" style="1" customWidth="1"/>
    <col min="8" max="8" width="10.44140625" style="1" customWidth="1"/>
    <col min="9" max="9" width="12.88671875" style="6" customWidth="1"/>
    <col min="10" max="11" width="12.88671875" style="1" customWidth="1"/>
    <col min="12" max="12" width="15.88671875" style="1" customWidth="1"/>
    <col min="13" max="13" width="11.6640625" style="1" customWidth="1"/>
    <col min="14" max="14" width="14" style="1" customWidth="1"/>
    <col min="15" max="15" width="11.6640625" style="1" customWidth="1"/>
    <col min="16" max="16" width="13.33203125" style="1" customWidth="1"/>
    <col min="17" max="17" width="10.44140625" style="1" customWidth="1"/>
    <col min="18" max="18" width="9.6640625" style="1" customWidth="1"/>
    <col min="19" max="22" width="9" style="1"/>
    <col min="23" max="23" width="12.33203125" style="1" customWidth="1"/>
    <col min="24" max="24" width="10.88671875" style="1" customWidth="1"/>
    <col min="25" max="25" width="13.5546875" style="1" customWidth="1"/>
    <col min="26" max="26" width="9" style="1"/>
    <col min="27" max="27" width="4.109375" style="1" customWidth="1"/>
    <col min="28" max="28" width="9.5546875" style="1" customWidth="1"/>
    <col min="29" max="16384" width="9" style="1"/>
  </cols>
  <sheetData>
    <row r="1" spans="1:28" ht="64.2" customHeight="1" thickBot="1" x14ac:dyDescent="0.35">
      <c r="B1" s="226" t="s">
        <v>0</v>
      </c>
      <c r="C1" s="228" t="s">
        <v>1</v>
      </c>
      <c r="D1" s="195" t="s">
        <v>224</v>
      </c>
      <c r="E1" s="195" t="s">
        <v>81</v>
      </c>
      <c r="F1" s="228" t="s">
        <v>2</v>
      </c>
      <c r="G1" s="229" t="s">
        <v>3</v>
      </c>
      <c r="H1" s="230" t="s">
        <v>4</v>
      </c>
      <c r="I1" s="229" t="s">
        <v>5</v>
      </c>
      <c r="J1" s="229" t="s">
        <v>6</v>
      </c>
      <c r="K1" s="231" t="s">
        <v>7</v>
      </c>
      <c r="L1" s="229" t="s">
        <v>8</v>
      </c>
      <c r="M1" s="232" t="s">
        <v>9</v>
      </c>
      <c r="N1" s="228" t="s">
        <v>10</v>
      </c>
      <c r="O1" s="224" t="s">
        <v>11</v>
      </c>
      <c r="Q1" s="101"/>
      <c r="R1" s="101"/>
      <c r="S1" s="101"/>
      <c r="T1" s="101"/>
      <c r="U1" s="101"/>
      <c r="V1" s="101"/>
      <c r="W1" s="101"/>
      <c r="X1" s="101"/>
      <c r="Y1" s="101"/>
      <c r="Z1" s="101"/>
      <c r="AB1" s="102">
        <v>45677</v>
      </c>
    </row>
    <row r="2" spans="1:28" ht="19.95" customHeight="1" thickBot="1" x14ac:dyDescent="0.35">
      <c r="B2" s="234"/>
      <c r="C2" s="235"/>
      <c r="D2" s="196"/>
      <c r="E2" s="196"/>
      <c r="F2" s="235"/>
      <c r="G2" s="236"/>
      <c r="H2" s="237"/>
      <c r="I2" s="236"/>
      <c r="J2" s="236"/>
      <c r="K2" s="238"/>
      <c r="L2" s="236"/>
      <c r="M2" s="239"/>
      <c r="N2" s="235"/>
      <c r="O2" s="233"/>
      <c r="Q2" s="205">
        <v>46237</v>
      </c>
      <c r="R2" s="103" t="s">
        <v>12</v>
      </c>
      <c r="S2" s="104" t="s">
        <v>12</v>
      </c>
      <c r="T2" s="105" t="s">
        <v>12</v>
      </c>
      <c r="U2" s="103" t="s">
        <v>13</v>
      </c>
      <c r="V2" s="104" t="s">
        <v>13</v>
      </c>
      <c r="W2" s="105" t="s">
        <v>13</v>
      </c>
      <c r="X2" s="101"/>
      <c r="Y2" s="101"/>
      <c r="Z2" s="101"/>
    </row>
    <row r="3" spans="1:28" ht="15" thickBot="1" x14ac:dyDescent="0.35">
      <c r="B3" s="206" t="s">
        <v>14</v>
      </c>
      <c r="C3" s="193" t="s">
        <v>58</v>
      </c>
      <c r="D3" s="197">
        <v>45883</v>
      </c>
      <c r="E3" s="202">
        <f>$Q$2-D3</f>
        <v>354</v>
      </c>
      <c r="F3" s="171">
        <v>119</v>
      </c>
      <c r="G3" s="171" t="s">
        <v>59</v>
      </c>
      <c r="H3" s="160">
        <v>1</v>
      </c>
      <c r="I3" s="186">
        <v>128</v>
      </c>
      <c r="J3" s="187">
        <v>54</v>
      </c>
      <c r="K3" s="119">
        <f>RANK(J3,$J$3:$J$16)+COUNTIF(J$3:$J3,J3)-1</f>
        <v>6</v>
      </c>
      <c r="L3" s="187">
        <v>87</v>
      </c>
      <c r="M3" s="118">
        <f>RANK(L3,$L$3:$L$16)+COUNTIF(L$3:$L3,L3)-1</f>
        <v>2</v>
      </c>
      <c r="N3" s="120">
        <f>(H3+M3)/2</f>
        <v>1.5</v>
      </c>
      <c r="O3" s="162">
        <f>RANK(N3,$N$3:$N$16,1)+COUNTIF(N$3:$N3,N3)-1</f>
        <v>1</v>
      </c>
      <c r="Q3" s="101"/>
      <c r="R3" s="112" t="s">
        <v>17</v>
      </c>
      <c r="S3" s="113" t="s">
        <v>18</v>
      </c>
      <c r="T3" s="114" t="s">
        <v>19</v>
      </c>
      <c r="U3" s="112" t="s">
        <v>17</v>
      </c>
      <c r="V3" s="113" t="s">
        <v>18</v>
      </c>
      <c r="W3" s="114" t="s">
        <v>19</v>
      </c>
      <c r="X3" s="101"/>
      <c r="Y3" s="101"/>
      <c r="Z3" s="101"/>
    </row>
    <row r="4" spans="1:28" x14ac:dyDescent="0.3">
      <c r="B4" s="206"/>
      <c r="C4" s="171" t="s">
        <v>60</v>
      </c>
      <c r="D4" s="198">
        <v>45850</v>
      </c>
      <c r="E4" s="203">
        <f t="shared" ref="E4:E16" si="0">$Q$2-D4</f>
        <v>387</v>
      </c>
      <c r="F4" s="171">
        <v>118</v>
      </c>
      <c r="G4" s="171" t="s">
        <v>59</v>
      </c>
      <c r="H4" s="160">
        <v>2</v>
      </c>
      <c r="I4" s="186">
        <v>200</v>
      </c>
      <c r="J4" s="187">
        <v>41</v>
      </c>
      <c r="K4" s="119">
        <f>RANK(J4,$J$3:$J$16)+COUNTIF(J$3:$J4,J4)-1</f>
        <v>10</v>
      </c>
      <c r="L4" s="187">
        <v>87</v>
      </c>
      <c r="M4" s="118">
        <f>RANK(L4,$L$3:$L$16)+COUNTIF(L$3:$L4,L4)-1</f>
        <v>3</v>
      </c>
      <c r="N4" s="120">
        <f>(H4+M4)/2</f>
        <v>2.5</v>
      </c>
      <c r="O4" s="162">
        <f>RANK(N4,$N$3:$N$16,1)+COUNTIF(N$3:$N4,N4)-1</f>
        <v>2</v>
      </c>
      <c r="Q4" s="121" t="s">
        <v>22</v>
      </c>
      <c r="R4" s="122">
        <f>SUM(R5:R9)</f>
        <v>480</v>
      </c>
      <c r="S4" s="104">
        <v>549</v>
      </c>
      <c r="T4" s="105"/>
      <c r="U4" s="123">
        <f>SUM(U5:U9)</f>
        <v>175</v>
      </c>
      <c r="V4" s="104">
        <v>232</v>
      </c>
      <c r="W4" s="105"/>
      <c r="X4" s="101"/>
      <c r="Y4" s="101"/>
      <c r="Z4" s="101"/>
    </row>
    <row r="5" spans="1:28" x14ac:dyDescent="0.3">
      <c r="B5" s="206" t="s">
        <v>43</v>
      </c>
      <c r="C5" s="144" t="s">
        <v>61</v>
      </c>
      <c r="D5" s="198">
        <v>45873</v>
      </c>
      <c r="E5" s="203">
        <f t="shared" si="0"/>
        <v>364</v>
      </c>
      <c r="F5" s="171">
        <v>117</v>
      </c>
      <c r="G5" s="171" t="s">
        <v>59</v>
      </c>
      <c r="H5" s="160">
        <v>3</v>
      </c>
      <c r="I5" s="186">
        <v>166</v>
      </c>
      <c r="J5" s="187">
        <v>46</v>
      </c>
      <c r="K5" s="119">
        <f>RANK(J5,$J$3:$J$16)+COUNTIF(J$3:$J5,J5)-1</f>
        <v>9</v>
      </c>
      <c r="L5" s="187">
        <v>86</v>
      </c>
      <c r="M5" s="118">
        <f>RANK(L5,$L$3:$L$16)+COUNTIF(L$3:$L5,L5)-1</f>
        <v>10</v>
      </c>
      <c r="N5" s="120">
        <f t="shared" ref="N5:N16" si="1">(H5+M5)/2</f>
        <v>6.5</v>
      </c>
      <c r="O5" s="162">
        <f>RANK(N5,$N$3:$N$16,1)+COUNTIF(N$3:$N5,N5)-1</f>
        <v>6</v>
      </c>
      <c r="Q5" s="124" t="s">
        <v>24</v>
      </c>
      <c r="R5" s="125">
        <v>180</v>
      </c>
      <c r="S5" s="126"/>
      <c r="T5" s="127"/>
      <c r="U5" s="125">
        <v>60</v>
      </c>
      <c r="V5" s="126"/>
      <c r="W5" s="127"/>
      <c r="X5" s="101"/>
      <c r="Y5" s="101"/>
      <c r="Z5" s="101"/>
    </row>
    <row r="6" spans="1:28" x14ac:dyDescent="0.3">
      <c r="B6" s="206" t="s">
        <v>43</v>
      </c>
      <c r="C6" s="144" t="s">
        <v>27</v>
      </c>
      <c r="D6" s="198">
        <v>45561</v>
      </c>
      <c r="E6" s="203">
        <f t="shared" si="0"/>
        <v>676</v>
      </c>
      <c r="F6" s="116">
        <v>108</v>
      </c>
      <c r="G6" s="116" t="s">
        <v>16</v>
      </c>
      <c r="H6" s="160">
        <v>4</v>
      </c>
      <c r="I6" s="161">
        <v>266</v>
      </c>
      <c r="J6" s="117">
        <v>68</v>
      </c>
      <c r="K6" s="119">
        <f>RANK(J6,$J$3:$J$16)+COUNTIF(J$3:$J6,J6)-1</f>
        <v>5</v>
      </c>
      <c r="L6" s="117">
        <v>87</v>
      </c>
      <c r="M6" s="118">
        <f>RANK(L6,$L$3:$L$16)+COUNTIF(L$3:$L6,L6)-1</f>
        <v>4</v>
      </c>
      <c r="N6" s="120">
        <f t="shared" si="1"/>
        <v>4</v>
      </c>
      <c r="O6" s="162">
        <f>RANK(N6,$N$3:$N$16,1)+COUNTIF(N$3:$N6,N6)-1</f>
        <v>4</v>
      </c>
      <c r="Q6" s="124" t="s">
        <v>26</v>
      </c>
      <c r="R6" s="125">
        <v>85</v>
      </c>
      <c r="S6" s="126"/>
      <c r="T6" s="127"/>
      <c r="U6" s="125">
        <v>35</v>
      </c>
      <c r="V6" s="126"/>
      <c r="W6" s="127"/>
      <c r="X6" s="101"/>
      <c r="Y6" s="101"/>
      <c r="Z6" s="101"/>
    </row>
    <row r="7" spans="1:28" x14ac:dyDescent="0.3">
      <c r="B7" s="206" t="s">
        <v>14</v>
      </c>
      <c r="C7" s="145" t="s">
        <v>21</v>
      </c>
      <c r="D7" s="198">
        <v>45553</v>
      </c>
      <c r="E7" s="203">
        <f t="shared" si="0"/>
        <v>684</v>
      </c>
      <c r="F7" s="116">
        <v>107</v>
      </c>
      <c r="G7" s="116" t="s">
        <v>16</v>
      </c>
      <c r="H7" s="160">
        <v>5</v>
      </c>
      <c r="I7" s="161">
        <v>294</v>
      </c>
      <c r="J7" s="117">
        <v>36</v>
      </c>
      <c r="K7" s="119">
        <f>RANK(J7,$J$3:$J$16)+COUNTIF(J$3:$J7,J7)-1</f>
        <v>12</v>
      </c>
      <c r="L7" s="117">
        <v>87</v>
      </c>
      <c r="M7" s="118">
        <f>RANK(L7,$L$3:$L$16)+COUNTIF(L$3:$L7,L7)-1</f>
        <v>5</v>
      </c>
      <c r="N7" s="120">
        <f t="shared" si="1"/>
        <v>5</v>
      </c>
      <c r="O7" s="162">
        <f>RANK(N7,$N$3:$N$16,1)+COUNTIF(N$3:$N7,N7)-1</f>
        <v>5</v>
      </c>
      <c r="Q7" s="124" t="s">
        <v>28</v>
      </c>
      <c r="R7" s="125">
        <v>40</v>
      </c>
      <c r="S7" s="129"/>
      <c r="T7" s="127"/>
      <c r="U7" s="125">
        <v>10</v>
      </c>
      <c r="V7" s="129"/>
      <c r="W7" s="127"/>
      <c r="X7" s="101" t="s">
        <v>29</v>
      </c>
      <c r="Y7" s="101" t="s">
        <v>30</v>
      </c>
      <c r="Z7" s="101"/>
    </row>
    <row r="8" spans="1:28" x14ac:dyDescent="0.3">
      <c r="B8" s="206" t="s">
        <v>14</v>
      </c>
      <c r="C8" s="145" t="s">
        <v>23</v>
      </c>
      <c r="D8" s="198">
        <v>45711</v>
      </c>
      <c r="E8" s="203">
        <f t="shared" si="0"/>
        <v>526</v>
      </c>
      <c r="F8" s="116">
        <v>106</v>
      </c>
      <c r="G8" s="116" t="s">
        <v>16</v>
      </c>
      <c r="H8" s="160">
        <v>6</v>
      </c>
      <c r="I8" s="161">
        <v>90</v>
      </c>
      <c r="J8" s="117">
        <v>40</v>
      </c>
      <c r="K8" s="119">
        <f>RANK(J8,$J$3:$J$16)+COUNTIF(J$3:$J8,J8)-1</f>
        <v>11</v>
      </c>
      <c r="L8" s="117">
        <v>88</v>
      </c>
      <c r="M8" s="118">
        <f>RANK(L8,$L$3:$L$16)+COUNTIF(L$3:$L8,L8)-1</f>
        <v>1</v>
      </c>
      <c r="N8" s="120">
        <f t="shared" si="1"/>
        <v>3.5</v>
      </c>
      <c r="O8" s="162">
        <f>RANK(N8,$N$3:$N$16,1)+COUNTIF(N$3:$N8,N8)-1</f>
        <v>3</v>
      </c>
      <c r="Q8" s="124" t="s">
        <v>32</v>
      </c>
      <c r="R8" s="125">
        <v>95</v>
      </c>
      <c r="S8" s="129"/>
      <c r="T8" s="127"/>
      <c r="U8" s="125">
        <v>40</v>
      </c>
      <c r="V8" s="129"/>
      <c r="W8" s="127"/>
      <c r="X8" s="101">
        <f>T4+W4</f>
        <v>0</v>
      </c>
      <c r="Y8" s="101">
        <f>S4+V4</f>
        <v>781</v>
      </c>
      <c r="Z8" s="101"/>
    </row>
    <row r="9" spans="1:28" ht="15" thickBot="1" x14ac:dyDescent="0.35">
      <c r="B9" s="206" t="s">
        <v>20</v>
      </c>
      <c r="C9" s="144" t="s">
        <v>31</v>
      </c>
      <c r="D9" s="198">
        <v>45545</v>
      </c>
      <c r="E9" s="203">
        <f t="shared" si="0"/>
        <v>692</v>
      </c>
      <c r="F9" s="116">
        <v>102</v>
      </c>
      <c r="G9" s="116" t="s">
        <v>38</v>
      </c>
      <c r="H9" s="160">
        <v>7</v>
      </c>
      <c r="I9" s="161">
        <v>202</v>
      </c>
      <c r="J9" s="117">
        <v>26</v>
      </c>
      <c r="K9" s="119">
        <f>RANK(J9,$J$3:$J$16)+COUNTIF(J$3:$J9,J9)-1</f>
        <v>14</v>
      </c>
      <c r="L9" s="117">
        <v>87</v>
      </c>
      <c r="M9" s="118">
        <f>RANK(L9,$L$3:$L$16)+COUNTIF(L$3:$L9,L9)-1</f>
        <v>6</v>
      </c>
      <c r="N9" s="120">
        <f t="shared" si="1"/>
        <v>6.5</v>
      </c>
      <c r="O9" s="162">
        <f>RANK(N9,$N$3:$N$16,1)+COUNTIF(N$3:$N9,N9)-1</f>
        <v>7</v>
      </c>
      <c r="Q9" s="130" t="s">
        <v>35</v>
      </c>
      <c r="R9" s="131">
        <v>80</v>
      </c>
      <c r="S9" s="132"/>
      <c r="T9" s="133"/>
      <c r="U9" s="131">
        <v>30</v>
      </c>
      <c r="V9" s="132"/>
      <c r="W9" s="133"/>
      <c r="X9" s="101"/>
      <c r="Y9" s="101">
        <f>X8-Y8</f>
        <v>-781</v>
      </c>
      <c r="Z9" s="101"/>
    </row>
    <row r="10" spans="1:28" x14ac:dyDescent="0.3">
      <c r="B10" s="206" t="s">
        <v>43</v>
      </c>
      <c r="C10" s="145" t="s">
        <v>25</v>
      </c>
      <c r="D10" s="198">
        <v>45418</v>
      </c>
      <c r="E10" s="203">
        <f t="shared" si="0"/>
        <v>819</v>
      </c>
      <c r="F10" s="116">
        <v>100</v>
      </c>
      <c r="G10" s="116" t="s">
        <v>41</v>
      </c>
      <c r="H10" s="160">
        <v>8</v>
      </c>
      <c r="I10" s="161">
        <v>484</v>
      </c>
      <c r="J10" s="117">
        <v>102</v>
      </c>
      <c r="K10" s="119">
        <f>RANK(J10,$J$3:$J$16)+COUNTIF(J$3:$J10,J10)-1</f>
        <v>1</v>
      </c>
      <c r="L10" s="117">
        <v>87</v>
      </c>
      <c r="M10" s="118">
        <f>RANK(L10,$L$3:$L$16)+COUNTIF(L$3:$L10,L10)-1</f>
        <v>7</v>
      </c>
      <c r="N10" s="120">
        <f t="shared" si="1"/>
        <v>7.5</v>
      </c>
      <c r="O10" s="162">
        <f>RANK(N10,$N$3:$N$16,1)+COUNTIF(N$3:$N10,N10)-1</f>
        <v>8</v>
      </c>
      <c r="Z10" s="101"/>
    </row>
    <row r="11" spans="1:28" x14ac:dyDescent="0.3">
      <c r="A11" s="184" t="s">
        <v>223</v>
      </c>
      <c r="B11" s="206"/>
      <c r="C11" s="171" t="s">
        <v>37</v>
      </c>
      <c r="D11" s="198">
        <v>45133</v>
      </c>
      <c r="E11" s="203">
        <f t="shared" si="0"/>
        <v>1104</v>
      </c>
      <c r="F11" s="116">
        <v>99</v>
      </c>
      <c r="G11" s="116" t="s">
        <v>41</v>
      </c>
      <c r="H11" s="160">
        <v>9</v>
      </c>
      <c r="I11" s="161">
        <v>268</v>
      </c>
      <c r="J11" s="117">
        <v>54</v>
      </c>
      <c r="K11" s="119">
        <f>RANK(J11,$J$3:$J$16)+COUNTIF(J$3:$J11,J11)-1</f>
        <v>7</v>
      </c>
      <c r="L11" s="117">
        <v>86</v>
      </c>
      <c r="M11" s="118">
        <f>RANK(L11,$L$3:$L$16)+COUNTIF(L$3:$L11,L11)-1</f>
        <v>11</v>
      </c>
      <c r="N11" s="120">
        <f t="shared" si="1"/>
        <v>10</v>
      </c>
      <c r="O11" s="162">
        <f>RANK(N11,$N$3:$N$16,1)+COUNTIF(N$3:$N11,N11)-1</f>
        <v>9</v>
      </c>
      <c r="Z11" s="101"/>
    </row>
    <row r="12" spans="1:28" x14ac:dyDescent="0.3">
      <c r="B12" s="206" t="s">
        <v>14</v>
      </c>
      <c r="C12" s="145" t="s">
        <v>36</v>
      </c>
      <c r="D12" s="198">
        <v>45729</v>
      </c>
      <c r="E12" s="203">
        <f t="shared" si="0"/>
        <v>508</v>
      </c>
      <c r="F12" s="116">
        <v>99</v>
      </c>
      <c r="G12" s="116" t="s">
        <v>41</v>
      </c>
      <c r="H12" s="160">
        <v>11</v>
      </c>
      <c r="I12" s="161">
        <v>294</v>
      </c>
      <c r="J12" s="117">
        <v>36</v>
      </c>
      <c r="K12" s="119">
        <f>RANK(J12,$J$3:$J$16)+COUNTIF(J$3:$J12,J12)-1</f>
        <v>13</v>
      </c>
      <c r="L12" s="117">
        <v>85</v>
      </c>
      <c r="M12" s="118">
        <f>RANK(L12,$L$3:$L$16)+COUNTIF(L$3:$L12,L12)-1</f>
        <v>14</v>
      </c>
      <c r="N12" s="120">
        <f t="shared" si="1"/>
        <v>12.5</v>
      </c>
      <c r="O12" s="162">
        <f>RANK(N12,$N$3:$N$16,1)+COUNTIF(N$3:$N12,N12)-1</f>
        <v>13</v>
      </c>
      <c r="Z12" s="101"/>
    </row>
    <row r="13" spans="1:28" x14ac:dyDescent="0.3">
      <c r="B13" s="206" t="s">
        <v>20</v>
      </c>
      <c r="C13" s="145" t="s">
        <v>42</v>
      </c>
      <c r="D13" s="198">
        <v>45107</v>
      </c>
      <c r="E13" s="203">
        <f t="shared" si="0"/>
        <v>1130</v>
      </c>
      <c r="F13" s="116">
        <v>98</v>
      </c>
      <c r="G13" s="116" t="s">
        <v>41</v>
      </c>
      <c r="H13" s="160">
        <v>12</v>
      </c>
      <c r="I13" s="161">
        <v>358</v>
      </c>
      <c r="J13" s="117">
        <v>89</v>
      </c>
      <c r="K13" s="119">
        <f>RANK(J13,$J$3:$J$16)+COUNTIF(J$3:$J13,J13)-1</f>
        <v>2</v>
      </c>
      <c r="L13" s="117">
        <v>86</v>
      </c>
      <c r="M13" s="118">
        <f>RANK(L13,$L$3:$L$16)+COUNTIF(L$3:$L13,L13)-1</f>
        <v>12</v>
      </c>
      <c r="N13" s="120">
        <f t="shared" si="1"/>
        <v>12</v>
      </c>
      <c r="O13" s="162">
        <f>RANK(N13,$N$3:$N$16,1)+COUNTIF(N$3:$N13,N13)-1</f>
        <v>11</v>
      </c>
    </row>
    <row r="14" spans="1:28" x14ac:dyDescent="0.3">
      <c r="B14" s="206" t="s">
        <v>20</v>
      </c>
      <c r="C14" s="145" t="s">
        <v>39</v>
      </c>
      <c r="D14" s="198">
        <v>44955</v>
      </c>
      <c r="E14" s="203">
        <f t="shared" si="0"/>
        <v>1282</v>
      </c>
      <c r="F14" s="116">
        <v>98</v>
      </c>
      <c r="G14" s="116" t="s">
        <v>41</v>
      </c>
      <c r="H14" s="160">
        <v>13</v>
      </c>
      <c r="I14" s="161">
        <v>480</v>
      </c>
      <c r="J14" s="117">
        <v>82</v>
      </c>
      <c r="K14" s="119">
        <f>RANK(J14,$J$3:$J$16)+COUNTIF(J$3:$J14,J14)-1</f>
        <v>3</v>
      </c>
      <c r="L14" s="117">
        <v>86</v>
      </c>
      <c r="M14" s="118">
        <f>RANK(L14,$L$3:$L$16)+COUNTIF(L$3:$L14,L14)-1</f>
        <v>13</v>
      </c>
      <c r="N14" s="120">
        <f t="shared" si="1"/>
        <v>13</v>
      </c>
      <c r="O14" s="162">
        <f>RANK(N14,$N$3:$N$16,1)+COUNTIF(N$3:$N14,N14)-1</f>
        <v>14</v>
      </c>
    </row>
    <row r="15" spans="1:28" x14ac:dyDescent="0.3">
      <c r="A15" s="184" t="s">
        <v>223</v>
      </c>
      <c r="B15" s="99" t="s">
        <v>14</v>
      </c>
      <c r="C15" s="171" t="s">
        <v>44</v>
      </c>
      <c r="D15" s="198">
        <v>45281</v>
      </c>
      <c r="E15" s="203">
        <f t="shared" si="0"/>
        <v>956</v>
      </c>
      <c r="F15" s="116">
        <v>97</v>
      </c>
      <c r="G15" s="116" t="s">
        <v>41</v>
      </c>
      <c r="H15" s="160">
        <v>14</v>
      </c>
      <c r="I15" s="161">
        <v>262</v>
      </c>
      <c r="J15" s="117">
        <v>74</v>
      </c>
      <c r="K15" s="119">
        <f>RANK(J15,$J$3:$J$16)+COUNTIF(J$3:$J15,J15)-1</f>
        <v>4</v>
      </c>
      <c r="L15" s="117">
        <v>87</v>
      </c>
      <c r="M15" s="118">
        <f>RANK(L15,$L$3:$L$16)+COUNTIF(L$3:$L15,L15)-1</f>
        <v>8</v>
      </c>
      <c r="N15" s="120">
        <f t="shared" si="1"/>
        <v>11</v>
      </c>
      <c r="O15" s="162">
        <f>RANK(N15,$N$3:$N$16,1)+COUNTIF(N$3:$N15,N15)-1</f>
        <v>10</v>
      </c>
    </row>
    <row r="16" spans="1:28" ht="15" thickBot="1" x14ac:dyDescent="0.35">
      <c r="A16" s="184" t="s">
        <v>223</v>
      </c>
      <c r="B16" s="100" t="s">
        <v>43</v>
      </c>
      <c r="C16" s="260" t="s">
        <v>40</v>
      </c>
      <c r="D16" s="199">
        <v>45120</v>
      </c>
      <c r="E16" s="204">
        <f t="shared" si="0"/>
        <v>1117</v>
      </c>
      <c r="F16" s="163">
        <v>96</v>
      </c>
      <c r="G16" s="163" t="s">
        <v>41</v>
      </c>
      <c r="H16" s="164">
        <v>15</v>
      </c>
      <c r="I16" s="165">
        <v>264</v>
      </c>
      <c r="J16" s="166">
        <v>50</v>
      </c>
      <c r="K16" s="167">
        <f>RANK(J16,$J$3:$J$16)+COUNTIF(J$3:$J16,J16)-1</f>
        <v>8</v>
      </c>
      <c r="L16" s="166">
        <v>87</v>
      </c>
      <c r="M16" s="168">
        <f>RANK(L16,$L$3:$L$16)+COUNTIF(L$3:$L16,L16)-1</f>
        <v>9</v>
      </c>
      <c r="N16" s="169">
        <f t="shared" si="1"/>
        <v>12</v>
      </c>
      <c r="O16" s="170">
        <f>RANK(N16,$N$3:$N$16,1)+COUNTIF(N$3:$N16,N16)-1</f>
        <v>12</v>
      </c>
    </row>
    <row r="17" spans="3:9" x14ac:dyDescent="0.3">
      <c r="C17" s="6"/>
      <c r="D17" s="6"/>
      <c r="E17" s="6"/>
      <c r="F17" s="6"/>
      <c r="I17" s="1"/>
    </row>
    <row r="18" spans="3:9" x14ac:dyDescent="0.3">
      <c r="I18" s="1"/>
    </row>
    <row r="19" spans="3:9" x14ac:dyDescent="0.3">
      <c r="C19" s="138" t="s">
        <v>12</v>
      </c>
      <c r="D19" s="139" t="s">
        <v>47</v>
      </c>
      <c r="F19" s="140"/>
      <c r="G19" s="140"/>
      <c r="I19" s="1"/>
    </row>
    <row r="20" spans="3:9" x14ac:dyDescent="0.3">
      <c r="C20" s="10" t="s">
        <v>48</v>
      </c>
      <c r="D20" s="141" t="s">
        <v>49</v>
      </c>
      <c r="F20" s="142"/>
      <c r="G20" s="142"/>
      <c r="I20" s="1"/>
    </row>
    <row r="21" spans="3:9" x14ac:dyDescent="0.3">
      <c r="I21" s="1"/>
    </row>
    <row r="22" spans="3:9" x14ac:dyDescent="0.3">
      <c r="H22" s="184"/>
      <c r="I22" s="1"/>
    </row>
    <row r="23" spans="3:9" x14ac:dyDescent="0.3">
      <c r="C23" s="143" t="s">
        <v>50</v>
      </c>
      <c r="D23" s="143"/>
      <c r="E23" s="143"/>
      <c r="F23" s="143"/>
      <c r="I23" s="1"/>
    </row>
    <row r="24" spans="3:9" x14ac:dyDescent="0.3">
      <c r="C24" s="97"/>
      <c r="D24" s="97"/>
      <c r="E24" s="97"/>
      <c r="F24" s="98" t="s">
        <v>63</v>
      </c>
      <c r="G24" s="6"/>
      <c r="H24" s="6"/>
      <c r="I24" s="1"/>
    </row>
    <row r="25" spans="3:9" x14ac:dyDescent="0.3">
      <c r="I25" s="1"/>
    </row>
  </sheetData>
  <mergeCells count="12">
    <mergeCell ref="J1:J2"/>
    <mergeCell ref="K1:K2"/>
    <mergeCell ref="L1:L2"/>
    <mergeCell ref="M1:M2"/>
    <mergeCell ref="N1:N2"/>
    <mergeCell ref="O1:O2"/>
    <mergeCell ref="B1:B2"/>
    <mergeCell ref="C1:C2"/>
    <mergeCell ref="F1:F2"/>
    <mergeCell ref="G1:G2"/>
    <mergeCell ref="H1:H2"/>
    <mergeCell ref="I1:I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FE38-97A4-4170-8391-458866431F40}">
  <dimension ref="A1:AA25"/>
  <sheetViews>
    <sheetView workbookViewId="0">
      <selection activeCell="I17" sqref="I17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225</v>
      </c>
      <c r="I1" s="229" t="s">
        <v>226</v>
      </c>
      <c r="J1" s="231" t="s">
        <v>7</v>
      </c>
      <c r="K1" s="229" t="s">
        <v>227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46250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206" t="s">
        <v>20</v>
      </c>
      <c r="B3" s="193" t="s">
        <v>58</v>
      </c>
      <c r="C3" s="197">
        <v>45874</v>
      </c>
      <c r="D3" s="202">
        <f>$P$2-C3</f>
        <v>376</v>
      </c>
      <c r="E3" s="171">
        <v>116</v>
      </c>
      <c r="F3" s="171" t="s">
        <v>16</v>
      </c>
      <c r="G3" s="259">
        <v>1</v>
      </c>
      <c r="H3" s="186">
        <v>152</v>
      </c>
      <c r="I3" s="187">
        <v>34</v>
      </c>
      <c r="J3" s="119">
        <f>RANK(I3,$I$3:$I$16)+COUNTIF(I$3:$I3,I3)-1</f>
        <v>6</v>
      </c>
      <c r="K3" s="187"/>
      <c r="L3" s="118" t="e">
        <f>RANK(K3,$K$3:$K$16)+COUNTIF(K$3:$K3,K3)-1</f>
        <v>#N/A</v>
      </c>
      <c r="M3" s="120" t="e">
        <f>(G3+L3)/2</f>
        <v>#N/A</v>
      </c>
      <c r="N3" s="162" t="e">
        <f>RANK(M3,$M$3:$M$16,1)+COUNTIF(M$3:$M3,M3)-1</f>
        <v>#N/A</v>
      </c>
      <c r="P3" s="101"/>
      <c r="Q3" s="112" t="s">
        <v>228</v>
      </c>
      <c r="R3" s="113" t="s">
        <v>18</v>
      </c>
      <c r="S3" s="114" t="s">
        <v>19</v>
      </c>
      <c r="T3" s="112" t="s">
        <v>228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206"/>
      <c r="B4" s="144" t="s">
        <v>60</v>
      </c>
      <c r="C4" s="198">
        <v>45841</v>
      </c>
      <c r="D4" s="203">
        <f>$P$2-C4</f>
        <v>409</v>
      </c>
      <c r="E4" s="171">
        <v>113</v>
      </c>
      <c r="F4" s="171" t="s">
        <v>16</v>
      </c>
      <c r="G4" s="160">
        <v>2</v>
      </c>
      <c r="H4" s="186"/>
      <c r="I4" s="187"/>
      <c r="J4" s="119" t="e">
        <f>RANK(I4,$I$3:$I$16)+COUNTIF(I$3:$I4,I4)-1</f>
        <v>#N/A</v>
      </c>
      <c r="K4" s="187"/>
      <c r="L4" s="118" t="e">
        <f>RANK(K4,$K$3:$K$16)+COUNTIF(K$3:$K4,K4)-1</f>
        <v>#N/A</v>
      </c>
      <c r="M4" s="120" t="e">
        <f>(G4+L4)/2</f>
        <v>#N/A</v>
      </c>
      <c r="N4" s="162" t="e">
        <f>RANK(M4,$M$3:$M$16,1)+COUNTIF(M$3:$M4,M4)-1</f>
        <v>#N/A</v>
      </c>
      <c r="P4" s="121" t="s">
        <v>22</v>
      </c>
      <c r="Q4" s="122">
        <f>SUM(Q5:Q9)</f>
        <v>480</v>
      </c>
      <c r="R4" s="104">
        <v>549</v>
      </c>
      <c r="S4" s="105"/>
      <c r="T4" s="123">
        <f>SUM(T5:T9)</f>
        <v>175</v>
      </c>
      <c r="U4" s="104">
        <v>232</v>
      </c>
      <c r="V4" s="105"/>
      <c r="W4" s="101"/>
      <c r="X4" s="101"/>
      <c r="Y4" s="101"/>
    </row>
    <row r="5" spans="1:27" x14ac:dyDescent="0.3">
      <c r="A5" s="206"/>
      <c r="B5" s="144" t="s">
        <v>61</v>
      </c>
      <c r="C5" s="198">
        <v>45864</v>
      </c>
      <c r="D5" s="203">
        <f>$P$2-C5</f>
        <v>386</v>
      </c>
      <c r="E5" s="171">
        <v>113</v>
      </c>
      <c r="F5" s="171" t="s">
        <v>16</v>
      </c>
      <c r="G5" s="160">
        <v>3</v>
      </c>
      <c r="H5" s="186"/>
      <c r="I5" s="187"/>
      <c r="J5" s="119" t="e">
        <f>RANK(I5,$I$3:$I$16)+COUNTIF(I$3:$I5,I5)-1</f>
        <v>#N/A</v>
      </c>
      <c r="K5" s="187"/>
      <c r="L5" s="118" t="e">
        <f>RANK(K5,$K$3:$K$16)+COUNTIF(K$3:$K5,K5)-1</f>
        <v>#N/A</v>
      </c>
      <c r="M5" s="120" t="e">
        <f t="shared" ref="M5:M16" si="0">(G5+L5)/2</f>
        <v>#N/A</v>
      </c>
      <c r="N5" s="162" t="e">
        <f>RANK(M5,$M$3:$M$16,1)+COUNTIF(M$3:$M5,M5)-1</f>
        <v>#N/A</v>
      </c>
      <c r="P5" s="124" t="s">
        <v>229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206"/>
      <c r="B6" s="153" t="s">
        <v>230</v>
      </c>
      <c r="C6" s="198">
        <v>46027</v>
      </c>
      <c r="D6" s="203">
        <f>$P$2-C6</f>
        <v>223</v>
      </c>
      <c r="E6" s="116">
        <v>113</v>
      </c>
      <c r="F6" s="116" t="s">
        <v>16</v>
      </c>
      <c r="G6" s="160">
        <v>4</v>
      </c>
      <c r="H6" s="161"/>
      <c r="I6" s="117"/>
      <c r="J6" s="119" t="e">
        <f>RANK(I6,$I$3:$I$16)+COUNTIF(I$3:$I6,I6)-1</f>
        <v>#N/A</v>
      </c>
      <c r="K6" s="117"/>
      <c r="L6" s="118" t="e">
        <f>RANK(K6,$K$3:$K$16)+COUNTIF(K$3:$K6,K6)-1</f>
        <v>#N/A</v>
      </c>
      <c r="M6" s="120" t="e">
        <f t="shared" si="0"/>
        <v>#N/A</v>
      </c>
      <c r="N6" s="162" t="e">
        <f>RANK(M6,$M$3:$M$16,1)+COUNTIF(M$3:$M6,M6)-1</f>
        <v>#N/A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206"/>
      <c r="B7" s="153" t="s">
        <v>231</v>
      </c>
      <c r="C7" s="198">
        <v>46011</v>
      </c>
      <c r="D7" s="203">
        <f>$P$2-C7</f>
        <v>239</v>
      </c>
      <c r="E7" s="116">
        <v>110</v>
      </c>
      <c r="F7" s="116" t="s">
        <v>16</v>
      </c>
      <c r="G7" s="160">
        <v>5</v>
      </c>
      <c r="H7" s="161"/>
      <c r="I7" s="117"/>
      <c r="J7" s="119" t="e">
        <f>RANK(I7,$I$3:$I$16)+COUNTIF(I$3:$I7,I7)-1</f>
        <v>#N/A</v>
      </c>
      <c r="K7" s="117"/>
      <c r="L7" s="118" t="e">
        <f>RANK(K7,$K$3:$K$16)+COUNTIF(K$3:$K7,K7)-1</f>
        <v>#N/A</v>
      </c>
      <c r="M7" s="120" t="e">
        <f t="shared" si="0"/>
        <v>#N/A</v>
      </c>
      <c r="N7" s="162" t="e">
        <f>RANK(M7,$M$3:$M$16,1)+COUNTIF(M$3:$M7,M7)-1</f>
        <v>#N/A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206"/>
      <c r="B8" s="153" t="s">
        <v>232</v>
      </c>
      <c r="C8" s="198">
        <v>46033</v>
      </c>
      <c r="D8" s="203">
        <f>$P$2-C8</f>
        <v>217</v>
      </c>
      <c r="E8" s="116">
        <v>110</v>
      </c>
      <c r="F8" s="116" t="s">
        <v>16</v>
      </c>
      <c r="G8" s="160">
        <v>6</v>
      </c>
      <c r="H8" s="161"/>
      <c r="I8" s="117"/>
      <c r="J8" s="119" t="e">
        <f>RANK(I8,$I$3:$I$16)+COUNTIF(I$3:$I8,I8)-1</f>
        <v>#N/A</v>
      </c>
      <c r="K8" s="117"/>
      <c r="L8" s="118" t="e">
        <f>RANK(K8,$K$3:$K$16)+COUNTIF(K$3:$K8,K8)-1</f>
        <v>#N/A</v>
      </c>
      <c r="M8" s="120" t="e">
        <f t="shared" si="0"/>
        <v>#N/A</v>
      </c>
      <c r="N8" s="162" t="e">
        <f>RANK(M8,$M$3:$M$16,1)+COUNTIF(M$3:$M8,M8)-1</f>
        <v>#N/A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0</v>
      </c>
      <c r="X8" s="101">
        <f>R4+U4</f>
        <v>781</v>
      </c>
      <c r="Y8" s="101"/>
    </row>
    <row r="9" spans="1:27" ht="15" thickBot="1" x14ac:dyDescent="0.35">
      <c r="A9" s="206"/>
      <c r="B9" s="153" t="s">
        <v>233</v>
      </c>
      <c r="C9" s="198">
        <v>46033</v>
      </c>
      <c r="D9" s="203">
        <f>$P$2-C9</f>
        <v>217</v>
      </c>
      <c r="E9" s="116">
        <v>110</v>
      </c>
      <c r="F9" s="116" t="s">
        <v>16</v>
      </c>
      <c r="G9" s="160">
        <v>7</v>
      </c>
      <c r="H9" s="161"/>
      <c r="I9" s="117"/>
      <c r="J9" s="119" t="e">
        <f>RANK(I9,$I$3:$I$16)+COUNTIF(I$3:$I9,I9)-1</f>
        <v>#N/A</v>
      </c>
      <c r="K9" s="117"/>
      <c r="L9" s="118" t="e">
        <f>RANK(K9,$K$3:$K$16)+COUNTIF(K$3:$K9,K9)-1</f>
        <v>#N/A</v>
      </c>
      <c r="M9" s="120" t="e">
        <f t="shared" si="0"/>
        <v>#N/A</v>
      </c>
      <c r="N9" s="162" t="e">
        <f>RANK(M9,$M$3:$M$16,1)+COUNTIF(M$3:$M9,M9)-1</f>
        <v>#N/A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-781</v>
      </c>
      <c r="Y9" s="101"/>
    </row>
    <row r="10" spans="1:27" x14ac:dyDescent="0.3">
      <c r="A10" s="206"/>
      <c r="B10" s="153" t="s">
        <v>234</v>
      </c>
      <c r="C10" s="198">
        <v>46011</v>
      </c>
      <c r="D10" s="203">
        <f>$P$2-C10</f>
        <v>239</v>
      </c>
      <c r="E10" s="116">
        <v>109</v>
      </c>
      <c r="F10" s="116" t="s">
        <v>16</v>
      </c>
      <c r="G10" s="160">
        <v>8</v>
      </c>
      <c r="H10" s="161"/>
      <c r="I10" s="117"/>
      <c r="J10" s="119" t="e">
        <f>RANK(I10,$I$3:$I$16)+COUNTIF(I$3:$I10,I10)-1</f>
        <v>#N/A</v>
      </c>
      <c r="K10" s="117"/>
      <c r="L10" s="118" t="e">
        <f>RANK(K10,$K$3:$K$16)+COUNTIF(K$3:$K10,K10)-1</f>
        <v>#N/A</v>
      </c>
      <c r="M10" s="120" t="e">
        <f t="shared" si="0"/>
        <v>#N/A</v>
      </c>
      <c r="N10" s="162" t="e">
        <f>RANK(M10,$M$3:$M$16,1)+COUNTIF(M$3:$M10,M10)-1</f>
        <v>#N/A</v>
      </c>
      <c r="Y10" s="101"/>
    </row>
    <row r="11" spans="1:27" x14ac:dyDescent="0.3">
      <c r="A11" s="206" t="s">
        <v>20</v>
      </c>
      <c r="B11" s="145" t="s">
        <v>21</v>
      </c>
      <c r="C11" s="198">
        <v>45544</v>
      </c>
      <c r="D11" s="203">
        <f>$P$2-C11</f>
        <v>706</v>
      </c>
      <c r="E11" s="116">
        <v>102</v>
      </c>
      <c r="F11" s="116" t="s">
        <v>38</v>
      </c>
      <c r="G11" s="160">
        <v>9</v>
      </c>
      <c r="H11" s="161">
        <v>348</v>
      </c>
      <c r="I11" s="117">
        <v>44</v>
      </c>
      <c r="J11" s="119">
        <f>RANK(I11,$I$3:$I$16)+COUNTIF(I$3:$I11,I11)-1</f>
        <v>5</v>
      </c>
      <c r="K11" s="117"/>
      <c r="L11" s="118" t="e">
        <f>RANK(K11,$K$3:$K$16)+COUNTIF(K$3:$K11,K11)-1</f>
        <v>#N/A</v>
      </c>
      <c r="M11" s="120" t="e">
        <f t="shared" si="0"/>
        <v>#N/A</v>
      </c>
      <c r="N11" s="162" t="e">
        <f>RANK(M11,$M$3:$M$16,1)+COUNTIF(M$3:$M11,M11)-1</f>
        <v>#N/A</v>
      </c>
      <c r="Y11" s="101"/>
    </row>
    <row r="12" spans="1:27" x14ac:dyDescent="0.3">
      <c r="A12" s="206" t="s">
        <v>43</v>
      </c>
      <c r="B12" s="145" t="s">
        <v>27</v>
      </c>
      <c r="C12" s="198">
        <v>45552</v>
      </c>
      <c r="D12" s="203">
        <f>$P$2-C12</f>
        <v>698</v>
      </c>
      <c r="E12" s="116">
        <v>102</v>
      </c>
      <c r="F12" s="116" t="s">
        <v>38</v>
      </c>
      <c r="G12" s="160">
        <v>10</v>
      </c>
      <c r="H12" s="161">
        <v>164</v>
      </c>
      <c r="I12" s="117">
        <v>34</v>
      </c>
      <c r="J12" s="119">
        <f>RANK(I12,$I$3:$I$16)+COUNTIF(I$3:$I12,I12)-1</f>
        <v>7</v>
      </c>
      <c r="K12" s="117"/>
      <c r="L12" s="118" t="e">
        <f>RANK(K12,$K$3:$K$16)+COUNTIF(K$3:$K12,K12)-1</f>
        <v>#N/A</v>
      </c>
      <c r="M12" s="120" t="e">
        <f t="shared" si="0"/>
        <v>#N/A</v>
      </c>
      <c r="N12" s="162" t="e">
        <f>RANK(M12,$M$3:$M$16,1)+COUNTIF(M$3:$M12,M12)-1</f>
        <v>#N/A</v>
      </c>
      <c r="Y12" s="101"/>
    </row>
    <row r="13" spans="1:27" x14ac:dyDescent="0.3">
      <c r="A13" s="206" t="s">
        <v>20</v>
      </c>
      <c r="B13" s="145" t="s">
        <v>36</v>
      </c>
      <c r="C13" s="198">
        <v>45720</v>
      </c>
      <c r="D13" s="203">
        <f>$P$2-C13</f>
        <v>530</v>
      </c>
      <c r="E13" s="116">
        <v>98</v>
      </c>
      <c r="F13" s="116" t="s">
        <v>41</v>
      </c>
      <c r="G13" s="160">
        <v>13</v>
      </c>
      <c r="H13" s="161">
        <v>168</v>
      </c>
      <c r="I13" s="117">
        <v>61</v>
      </c>
      <c r="J13" s="119">
        <f>RANK(I13,$I$3:$I$16)+COUNTIF(I$3:$I13,I13)-1</f>
        <v>4</v>
      </c>
      <c r="K13" s="117"/>
      <c r="L13" s="118" t="e">
        <f>RANK(K13,$K$3:$K$16)+COUNTIF(K$3:$K13,K13)-1</f>
        <v>#N/A</v>
      </c>
      <c r="M13" s="120" t="e">
        <f t="shared" ref="M13" si="1">(G13+L13)/2</f>
        <v>#N/A</v>
      </c>
      <c r="N13" s="162" t="e">
        <f>RANK(M13,$M$3:$M$16,1)+COUNTIF(M$3:$M13,M13)-1</f>
        <v>#N/A</v>
      </c>
    </row>
    <row r="14" spans="1:27" x14ac:dyDescent="0.3">
      <c r="A14" s="206" t="s">
        <v>43</v>
      </c>
      <c r="B14" s="145" t="s">
        <v>25</v>
      </c>
      <c r="C14" s="198">
        <v>45409</v>
      </c>
      <c r="D14" s="203">
        <f>$P$2-C14</f>
        <v>841</v>
      </c>
      <c r="E14" s="116">
        <v>97</v>
      </c>
      <c r="F14" s="116" t="s">
        <v>41</v>
      </c>
      <c r="G14" s="160">
        <v>14</v>
      </c>
      <c r="H14" s="161">
        <v>418</v>
      </c>
      <c r="I14" s="117">
        <v>72</v>
      </c>
      <c r="J14" s="119">
        <f>RANK(I14,$I$3:$I$16)+COUNTIF(I$3:$I14,I14)-1</f>
        <v>2</v>
      </c>
      <c r="K14" s="117"/>
      <c r="L14" s="118" t="e">
        <f>RANK(K14,$K$3:$K$16)+COUNTIF(K$3:$K14,K14)-1</f>
        <v>#N/A</v>
      </c>
      <c r="M14" s="120" t="e">
        <f t="shared" si="0"/>
        <v>#N/A</v>
      </c>
      <c r="N14" s="162" t="e">
        <f>RANK(M14,$M$3:$M$16,1)+COUNTIF(M$3:$M14,M14)-1</f>
        <v>#N/A</v>
      </c>
    </row>
    <row r="15" spans="1:27" x14ac:dyDescent="0.3">
      <c r="A15" s="99" t="s">
        <v>43</v>
      </c>
      <c r="B15" s="145" t="s">
        <v>39</v>
      </c>
      <c r="C15" s="198">
        <v>44946</v>
      </c>
      <c r="D15" s="203">
        <f>$P$2-C15</f>
        <v>1304</v>
      </c>
      <c r="E15" s="116">
        <v>95</v>
      </c>
      <c r="F15" s="116" t="s">
        <v>62</v>
      </c>
      <c r="G15" s="160">
        <v>15</v>
      </c>
      <c r="H15" s="161">
        <v>662</v>
      </c>
      <c r="I15" s="117">
        <v>92</v>
      </c>
      <c r="J15" s="119">
        <f>RANK(I15,$I$3:$I$16)+COUNTIF(I$3:$I15,I15)-1</f>
        <v>1</v>
      </c>
      <c r="K15" s="117"/>
      <c r="L15" s="118" t="e">
        <f>RANK(K15,$K$3:$K$16)+COUNTIF(K$3:$K15,K15)-1</f>
        <v>#N/A</v>
      </c>
      <c r="M15" s="120" t="e">
        <f t="shared" si="0"/>
        <v>#N/A</v>
      </c>
      <c r="N15" s="162" t="e">
        <f>RANK(M15,$M$3:$M$16,1)+COUNTIF(M$3:$M15,M15)-1</f>
        <v>#N/A</v>
      </c>
    </row>
    <row r="16" spans="1:27" ht="15" thickBot="1" x14ac:dyDescent="0.35">
      <c r="A16" s="100" t="s">
        <v>43</v>
      </c>
      <c r="B16" s="260" t="s">
        <v>42</v>
      </c>
      <c r="C16" s="199">
        <v>45098</v>
      </c>
      <c r="D16" s="204">
        <f>$P$2-C16</f>
        <v>1152</v>
      </c>
      <c r="E16" s="163">
        <v>93</v>
      </c>
      <c r="F16" s="163" t="s">
        <v>62</v>
      </c>
      <c r="G16" s="164">
        <v>16</v>
      </c>
      <c r="H16" s="165">
        <v>296</v>
      </c>
      <c r="I16" s="166">
        <v>72</v>
      </c>
      <c r="J16" s="167">
        <f>RANK(I16,$I$3:$I$16)+COUNTIF(I$3:$I16,I16)-1</f>
        <v>3</v>
      </c>
      <c r="K16" s="166"/>
      <c r="L16" s="168" t="e">
        <f>RANK(K16,$K$3:$K$16)+COUNTIF(K$3:$K16,K16)-1</f>
        <v>#N/A</v>
      </c>
      <c r="M16" s="169" t="e">
        <f t="shared" si="0"/>
        <v>#N/A</v>
      </c>
      <c r="N16" s="170" t="e">
        <f>RANK(M16,$M$3:$M$16,1)+COUNTIF(M$3:$M16,M16)-1</f>
        <v>#N/A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E19" s="140"/>
      <c r="F19" s="140"/>
      <c r="H19" s="1"/>
    </row>
    <row r="20" spans="2:8" x14ac:dyDescent="0.3">
      <c r="B20" s="10" t="s">
        <v>48</v>
      </c>
      <c r="C20" s="141" t="s">
        <v>49</v>
      </c>
      <c r="E20" s="142"/>
      <c r="F20" s="142"/>
      <c r="H20" s="1"/>
    </row>
    <row r="21" spans="2:8" x14ac:dyDescent="0.3">
      <c r="H21" s="1"/>
    </row>
    <row r="22" spans="2:8" x14ac:dyDescent="0.3">
      <c r="G22" s="184"/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I1:I2"/>
    <mergeCell ref="J1:J2"/>
    <mergeCell ref="K1:K2"/>
    <mergeCell ref="L1:L2"/>
    <mergeCell ref="M1:M2"/>
    <mergeCell ref="N1:N2"/>
    <mergeCell ref="A1:A2"/>
    <mergeCell ref="B1:B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B0E8-EC75-48FA-A053-065C42C0C64B}">
  <dimension ref="A1:AA25"/>
  <sheetViews>
    <sheetView workbookViewId="0">
      <selection activeCell="H22" sqref="H22"/>
    </sheetView>
  </sheetViews>
  <sheetFormatPr defaultColWidth="9" defaultRowHeight="14.4" x14ac:dyDescent="0.3"/>
  <cols>
    <col min="1" max="1" width="11.5546875" style="1" customWidth="1"/>
    <col min="2" max="5" width="10.5546875" style="1" customWidth="1"/>
    <col min="6" max="6" width="16.5546875" style="1" customWidth="1"/>
    <col min="7" max="7" width="10.44140625" style="1" customWidth="1"/>
    <col min="8" max="8" width="12.88671875" style="6" customWidth="1"/>
    <col min="9" max="10" width="12.88671875" style="1" customWidth="1"/>
    <col min="11" max="11" width="15.88671875" style="1" customWidth="1"/>
    <col min="12" max="12" width="11.6640625" style="1" customWidth="1"/>
    <col min="13" max="13" width="14" style="1" customWidth="1"/>
    <col min="14" max="14" width="11.6640625" style="1" customWidth="1"/>
    <col min="15" max="15" width="13.33203125" style="1" customWidth="1"/>
    <col min="16" max="16" width="10.44140625" style="1" customWidth="1"/>
    <col min="17" max="17" width="9.6640625" style="1" customWidth="1"/>
    <col min="18" max="21" width="9" style="1"/>
    <col min="22" max="22" width="12.33203125" style="1" customWidth="1"/>
    <col min="23" max="23" width="10.88671875" style="1" customWidth="1"/>
    <col min="24" max="24" width="13.5546875" style="1" customWidth="1"/>
    <col min="25" max="25" width="9" style="1"/>
    <col min="26" max="26" width="4.109375" style="1" customWidth="1"/>
    <col min="27" max="27" width="9.5546875" style="1" customWidth="1"/>
    <col min="28" max="16384" width="9" style="1"/>
  </cols>
  <sheetData>
    <row r="1" spans="1:27" ht="64.2" customHeight="1" thickBot="1" x14ac:dyDescent="0.35">
      <c r="A1" s="226" t="s">
        <v>0</v>
      </c>
      <c r="B1" s="228" t="s">
        <v>1</v>
      </c>
      <c r="C1" s="195" t="s">
        <v>224</v>
      </c>
      <c r="D1" s="195" t="s">
        <v>81</v>
      </c>
      <c r="E1" s="228" t="s">
        <v>2</v>
      </c>
      <c r="F1" s="229" t="s">
        <v>3</v>
      </c>
      <c r="G1" s="230" t="s">
        <v>4</v>
      </c>
      <c r="H1" s="229" t="s">
        <v>225</v>
      </c>
      <c r="I1" s="229" t="s">
        <v>226</v>
      </c>
      <c r="J1" s="231" t="s">
        <v>7</v>
      </c>
      <c r="K1" s="229" t="s">
        <v>227</v>
      </c>
      <c r="L1" s="232" t="s">
        <v>9</v>
      </c>
      <c r="M1" s="228" t="s">
        <v>10</v>
      </c>
      <c r="N1" s="224" t="s">
        <v>11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2">
        <v>45677</v>
      </c>
    </row>
    <row r="2" spans="1:27" ht="19.95" customHeight="1" thickBot="1" x14ac:dyDescent="0.35">
      <c r="A2" s="234"/>
      <c r="B2" s="235"/>
      <c r="C2" s="196"/>
      <c r="D2" s="196"/>
      <c r="E2" s="235"/>
      <c r="F2" s="236"/>
      <c r="G2" s="237"/>
      <c r="H2" s="236"/>
      <c r="I2" s="236"/>
      <c r="J2" s="238"/>
      <c r="K2" s="236"/>
      <c r="L2" s="239"/>
      <c r="M2" s="235"/>
      <c r="N2" s="233"/>
      <c r="P2" s="205">
        <v>46250</v>
      </c>
      <c r="Q2" s="103" t="s">
        <v>12</v>
      </c>
      <c r="R2" s="104" t="s">
        <v>12</v>
      </c>
      <c r="S2" s="105" t="s">
        <v>12</v>
      </c>
      <c r="T2" s="103" t="s">
        <v>13</v>
      </c>
      <c r="U2" s="104" t="s">
        <v>13</v>
      </c>
      <c r="V2" s="105" t="s">
        <v>13</v>
      </c>
      <c r="W2" s="101"/>
      <c r="X2" s="101"/>
      <c r="Y2" s="101"/>
    </row>
    <row r="3" spans="1:27" ht="15" thickBot="1" x14ac:dyDescent="0.35">
      <c r="A3" s="206"/>
      <c r="B3" s="258" t="s">
        <v>58</v>
      </c>
      <c r="C3" s="197">
        <v>45874</v>
      </c>
      <c r="D3" s="202">
        <f>$P$2-C3</f>
        <v>376</v>
      </c>
      <c r="E3" s="171">
        <v>116</v>
      </c>
      <c r="F3" s="171" t="s">
        <v>16</v>
      </c>
      <c r="G3" s="259">
        <v>1</v>
      </c>
      <c r="H3" s="186"/>
      <c r="I3" s="187"/>
      <c r="J3" s="119" t="e">
        <f>RANK(I3,$I$3:$I$16)+COUNTIF(I$3:$I3,I3)-1</f>
        <v>#N/A</v>
      </c>
      <c r="K3" s="187"/>
      <c r="L3" s="118" t="e">
        <f>RANK(K3,$K$3:$K$16)+COUNTIF(K$3:$K3,K3)-1</f>
        <v>#N/A</v>
      </c>
      <c r="M3" s="120" t="e">
        <f>(G3+L3)/2</f>
        <v>#N/A</v>
      </c>
      <c r="N3" s="162" t="e">
        <f>RANK(M3,$M$3:$M$16,1)+COUNTIF(M$3:$M3,M3)-1</f>
        <v>#N/A</v>
      </c>
      <c r="P3" s="101"/>
      <c r="Q3" s="112" t="s">
        <v>228</v>
      </c>
      <c r="R3" s="113" t="s">
        <v>18</v>
      </c>
      <c r="S3" s="114" t="s">
        <v>19</v>
      </c>
      <c r="T3" s="112" t="s">
        <v>228</v>
      </c>
      <c r="U3" s="113" t="s">
        <v>18</v>
      </c>
      <c r="V3" s="114" t="s">
        <v>19</v>
      </c>
      <c r="W3" s="101"/>
      <c r="X3" s="101"/>
      <c r="Y3" s="101"/>
    </row>
    <row r="4" spans="1:27" x14ac:dyDescent="0.3">
      <c r="A4" s="206"/>
      <c r="B4" s="171" t="s">
        <v>60</v>
      </c>
      <c r="C4" s="198">
        <v>45841</v>
      </c>
      <c r="D4" s="203">
        <f>$P$2-C4</f>
        <v>409</v>
      </c>
      <c r="E4" s="171">
        <v>113</v>
      </c>
      <c r="F4" s="171" t="s">
        <v>16</v>
      </c>
      <c r="G4" s="160">
        <v>2</v>
      </c>
      <c r="H4" s="186"/>
      <c r="I4" s="187"/>
      <c r="J4" s="119" t="e">
        <f>RANK(I4,$I$3:$I$16)+COUNTIF(I$3:$I4,I4)-1</f>
        <v>#N/A</v>
      </c>
      <c r="K4" s="187"/>
      <c r="L4" s="118" t="e">
        <f>RANK(K4,$K$3:$K$16)+COUNTIF(K$3:$K4,K4)-1</f>
        <v>#N/A</v>
      </c>
      <c r="M4" s="120" t="e">
        <f>(G4+L4)/2</f>
        <v>#N/A</v>
      </c>
      <c r="N4" s="162" t="e">
        <f>RANK(M4,$M$3:$M$16,1)+COUNTIF(M$3:$M4,M4)-1</f>
        <v>#N/A</v>
      </c>
      <c r="P4" s="121" t="s">
        <v>22</v>
      </c>
      <c r="Q4" s="122">
        <f>SUM(Q5:Q9)</f>
        <v>480</v>
      </c>
      <c r="R4" s="104">
        <v>549</v>
      </c>
      <c r="S4" s="105"/>
      <c r="T4" s="123">
        <f>SUM(T5:T9)</f>
        <v>175</v>
      </c>
      <c r="U4" s="104">
        <v>232</v>
      </c>
      <c r="V4" s="105"/>
      <c r="W4" s="101"/>
      <c r="X4" s="101"/>
      <c r="Y4" s="101"/>
    </row>
    <row r="5" spans="1:27" x14ac:dyDescent="0.3">
      <c r="A5" s="206"/>
      <c r="B5" s="171" t="s">
        <v>61</v>
      </c>
      <c r="C5" s="198">
        <v>45864</v>
      </c>
      <c r="D5" s="203">
        <f>$P$2-C5</f>
        <v>386</v>
      </c>
      <c r="E5" s="171">
        <v>113</v>
      </c>
      <c r="F5" s="171" t="s">
        <v>16</v>
      </c>
      <c r="G5" s="160">
        <v>3</v>
      </c>
      <c r="H5" s="186"/>
      <c r="I5" s="187"/>
      <c r="J5" s="119" t="e">
        <f>RANK(I5,$I$3:$I$16)+COUNTIF(I$3:$I5,I5)-1</f>
        <v>#N/A</v>
      </c>
      <c r="K5" s="187"/>
      <c r="L5" s="118" t="e">
        <f>RANK(K5,$K$3:$K$16)+COUNTIF(K$3:$K5,K5)-1</f>
        <v>#N/A</v>
      </c>
      <c r="M5" s="120" t="e">
        <f t="shared" ref="M5:M16" si="0">(G5+L5)/2</f>
        <v>#N/A</v>
      </c>
      <c r="N5" s="162" t="e">
        <f>RANK(M5,$M$3:$M$16,1)+COUNTIF(M$3:$M5,M5)-1</f>
        <v>#N/A</v>
      </c>
      <c r="P5" s="124" t="s">
        <v>229</v>
      </c>
      <c r="Q5" s="125">
        <v>180</v>
      </c>
      <c r="R5" s="126"/>
      <c r="S5" s="127"/>
      <c r="T5" s="125">
        <v>60</v>
      </c>
      <c r="U5" s="126"/>
      <c r="V5" s="127"/>
      <c r="W5" s="101"/>
      <c r="X5" s="101"/>
      <c r="Y5" s="101"/>
    </row>
    <row r="6" spans="1:27" x14ac:dyDescent="0.3">
      <c r="A6" s="206"/>
      <c r="B6" s="171" t="s">
        <v>230</v>
      </c>
      <c r="C6" s="198">
        <v>46027</v>
      </c>
      <c r="D6" s="203">
        <f>$P$2-C6</f>
        <v>223</v>
      </c>
      <c r="E6" s="116">
        <v>113</v>
      </c>
      <c r="F6" s="116" t="s">
        <v>16</v>
      </c>
      <c r="G6" s="160">
        <v>4</v>
      </c>
      <c r="H6" s="161"/>
      <c r="I6" s="117"/>
      <c r="J6" s="119" t="e">
        <f>RANK(I6,$I$3:$I$16)+COUNTIF(I$3:$I6,I6)-1</f>
        <v>#N/A</v>
      </c>
      <c r="K6" s="117"/>
      <c r="L6" s="118" t="e">
        <f>RANK(K6,$K$3:$K$16)+COUNTIF(K$3:$K6,K6)-1</f>
        <v>#N/A</v>
      </c>
      <c r="M6" s="120" t="e">
        <f t="shared" si="0"/>
        <v>#N/A</v>
      </c>
      <c r="N6" s="162" t="e">
        <f>RANK(M6,$M$3:$M$16,1)+COUNTIF(M$3:$M6,M6)-1</f>
        <v>#N/A</v>
      </c>
      <c r="P6" s="124" t="s">
        <v>26</v>
      </c>
      <c r="Q6" s="125">
        <v>85</v>
      </c>
      <c r="R6" s="126"/>
      <c r="S6" s="127"/>
      <c r="T6" s="125">
        <v>35</v>
      </c>
      <c r="U6" s="126"/>
      <c r="V6" s="127"/>
      <c r="W6" s="101"/>
      <c r="X6" s="101"/>
      <c r="Y6" s="101"/>
    </row>
    <row r="7" spans="1:27" x14ac:dyDescent="0.3">
      <c r="A7" s="206"/>
      <c r="B7" s="171" t="s">
        <v>231</v>
      </c>
      <c r="C7" s="198">
        <v>46011</v>
      </c>
      <c r="D7" s="203">
        <f>$P$2-C7</f>
        <v>239</v>
      </c>
      <c r="E7" s="116">
        <v>110</v>
      </c>
      <c r="F7" s="116" t="s">
        <v>16</v>
      </c>
      <c r="G7" s="160">
        <v>5</v>
      </c>
      <c r="H7" s="161"/>
      <c r="I7" s="117"/>
      <c r="J7" s="119" t="e">
        <f>RANK(I7,$I$3:$I$16)+COUNTIF(I$3:$I7,I7)-1</f>
        <v>#N/A</v>
      </c>
      <c r="K7" s="117"/>
      <c r="L7" s="118" t="e">
        <f>RANK(K7,$K$3:$K$16)+COUNTIF(K$3:$K7,K7)-1</f>
        <v>#N/A</v>
      </c>
      <c r="M7" s="120" t="e">
        <f t="shared" si="0"/>
        <v>#N/A</v>
      </c>
      <c r="N7" s="162" t="e">
        <f>RANK(M7,$M$3:$M$16,1)+COUNTIF(M$3:$M7,M7)-1</f>
        <v>#N/A</v>
      </c>
      <c r="P7" s="124" t="s">
        <v>28</v>
      </c>
      <c r="Q7" s="125">
        <v>40</v>
      </c>
      <c r="R7" s="129"/>
      <c r="S7" s="127"/>
      <c r="T7" s="125">
        <v>10</v>
      </c>
      <c r="U7" s="129"/>
      <c r="V7" s="127"/>
      <c r="W7" s="101" t="s">
        <v>29</v>
      </c>
      <c r="X7" s="101" t="s">
        <v>30</v>
      </c>
      <c r="Y7" s="101"/>
    </row>
    <row r="8" spans="1:27" x14ac:dyDescent="0.3">
      <c r="A8" s="206"/>
      <c r="B8" s="171" t="s">
        <v>232</v>
      </c>
      <c r="C8" s="198">
        <v>46033</v>
      </c>
      <c r="D8" s="203">
        <f>$P$2-C8</f>
        <v>217</v>
      </c>
      <c r="E8" s="116">
        <v>110</v>
      </c>
      <c r="F8" s="116" t="s">
        <v>16</v>
      </c>
      <c r="G8" s="160">
        <v>6</v>
      </c>
      <c r="H8" s="161"/>
      <c r="I8" s="117"/>
      <c r="J8" s="119" t="e">
        <f>RANK(I8,$I$3:$I$16)+COUNTIF(I$3:$I8,I8)-1</f>
        <v>#N/A</v>
      </c>
      <c r="K8" s="117"/>
      <c r="L8" s="118" t="e">
        <f>RANK(K8,$K$3:$K$16)+COUNTIF(K$3:$K8,K8)-1</f>
        <v>#N/A</v>
      </c>
      <c r="M8" s="120" t="e">
        <f t="shared" si="0"/>
        <v>#N/A</v>
      </c>
      <c r="N8" s="162" t="e">
        <f>RANK(M8,$M$3:$M$16,1)+COUNTIF(M$3:$M8,M8)-1</f>
        <v>#N/A</v>
      </c>
      <c r="P8" s="124" t="s">
        <v>32</v>
      </c>
      <c r="Q8" s="125">
        <v>95</v>
      </c>
      <c r="R8" s="129"/>
      <c r="S8" s="127"/>
      <c r="T8" s="125">
        <v>40</v>
      </c>
      <c r="U8" s="129"/>
      <c r="V8" s="127"/>
      <c r="W8" s="101">
        <f>S4+V4</f>
        <v>0</v>
      </c>
      <c r="X8" s="101">
        <f>R4+U4</f>
        <v>781</v>
      </c>
      <c r="Y8" s="101"/>
    </row>
    <row r="9" spans="1:27" ht="15" thickBot="1" x14ac:dyDescent="0.35">
      <c r="A9" s="206"/>
      <c r="B9" s="171" t="s">
        <v>233</v>
      </c>
      <c r="C9" s="198">
        <v>46033</v>
      </c>
      <c r="D9" s="203">
        <f>$P$2-C9</f>
        <v>217</v>
      </c>
      <c r="E9" s="116">
        <v>110</v>
      </c>
      <c r="F9" s="116" t="s">
        <v>16</v>
      </c>
      <c r="G9" s="160">
        <v>7</v>
      </c>
      <c r="H9" s="161"/>
      <c r="I9" s="117"/>
      <c r="J9" s="119" t="e">
        <f>RANK(I9,$I$3:$I$16)+COUNTIF(I$3:$I9,I9)-1</f>
        <v>#N/A</v>
      </c>
      <c r="K9" s="117"/>
      <c r="L9" s="118" t="e">
        <f>RANK(K9,$K$3:$K$16)+COUNTIF(K$3:$K9,K9)-1</f>
        <v>#N/A</v>
      </c>
      <c r="M9" s="120" t="e">
        <f t="shared" si="0"/>
        <v>#N/A</v>
      </c>
      <c r="N9" s="162" t="e">
        <f>RANK(M9,$M$3:$M$16,1)+COUNTIF(M$3:$M9,M9)-1</f>
        <v>#N/A</v>
      </c>
      <c r="P9" s="130" t="s">
        <v>35</v>
      </c>
      <c r="Q9" s="131">
        <v>80</v>
      </c>
      <c r="R9" s="132"/>
      <c r="S9" s="133"/>
      <c r="T9" s="131">
        <v>30</v>
      </c>
      <c r="U9" s="132"/>
      <c r="V9" s="133"/>
      <c r="W9" s="101"/>
      <c r="X9" s="101">
        <f>W8-X8</f>
        <v>-781</v>
      </c>
      <c r="Y9" s="101"/>
    </row>
    <row r="10" spans="1:27" x14ac:dyDescent="0.3">
      <c r="A10" s="206"/>
      <c r="B10" s="171" t="s">
        <v>234</v>
      </c>
      <c r="C10" s="198">
        <v>46011</v>
      </c>
      <c r="D10" s="203">
        <f>$P$2-C10</f>
        <v>239</v>
      </c>
      <c r="E10" s="116">
        <v>109</v>
      </c>
      <c r="F10" s="116" t="s">
        <v>16</v>
      </c>
      <c r="G10" s="160">
        <v>8</v>
      </c>
      <c r="H10" s="161"/>
      <c r="I10" s="117"/>
      <c r="J10" s="119" t="e">
        <f>RANK(I10,$I$3:$I$16)+COUNTIF(I$3:$I10,I10)-1</f>
        <v>#N/A</v>
      </c>
      <c r="K10" s="117"/>
      <c r="L10" s="118" t="e">
        <f>RANK(K10,$K$3:$K$16)+COUNTIF(K$3:$K10,K10)-1</f>
        <v>#N/A</v>
      </c>
      <c r="M10" s="120" t="e">
        <f t="shared" si="0"/>
        <v>#N/A</v>
      </c>
      <c r="N10" s="162" t="e">
        <f>RANK(M10,$M$3:$M$16,1)+COUNTIF(M$3:$M10,M10)-1</f>
        <v>#N/A</v>
      </c>
      <c r="Y10" s="101"/>
    </row>
    <row r="11" spans="1:27" x14ac:dyDescent="0.3">
      <c r="A11" s="206"/>
      <c r="B11" s="171" t="s">
        <v>21</v>
      </c>
      <c r="C11" s="198">
        <v>45544</v>
      </c>
      <c r="D11" s="203">
        <f>$P$2-C11</f>
        <v>706</v>
      </c>
      <c r="E11" s="116">
        <v>102</v>
      </c>
      <c r="F11" s="116" t="s">
        <v>38</v>
      </c>
      <c r="G11" s="160">
        <v>9</v>
      </c>
      <c r="H11" s="161"/>
      <c r="I11" s="117"/>
      <c r="J11" s="119" t="e">
        <f>RANK(I11,$I$3:$I$16)+COUNTIF(I$3:$I11,I11)-1</f>
        <v>#N/A</v>
      </c>
      <c r="K11" s="117"/>
      <c r="L11" s="118" t="e">
        <f>RANK(K11,$K$3:$K$16)+COUNTIF(K$3:$K11,K11)-1</f>
        <v>#N/A</v>
      </c>
      <c r="M11" s="120" t="e">
        <f t="shared" si="0"/>
        <v>#N/A</v>
      </c>
      <c r="N11" s="162" t="e">
        <f>RANK(M11,$M$3:$M$16,1)+COUNTIF(M$3:$M11,M11)-1</f>
        <v>#N/A</v>
      </c>
      <c r="Y11" s="101"/>
    </row>
    <row r="12" spans="1:27" x14ac:dyDescent="0.3">
      <c r="A12" s="206"/>
      <c r="B12" s="171" t="s">
        <v>27</v>
      </c>
      <c r="C12" s="198">
        <v>45552</v>
      </c>
      <c r="D12" s="203">
        <f>$P$2-C12</f>
        <v>698</v>
      </c>
      <c r="E12" s="116">
        <v>102</v>
      </c>
      <c r="F12" s="116" t="s">
        <v>38</v>
      </c>
      <c r="G12" s="160">
        <v>10</v>
      </c>
      <c r="H12" s="161"/>
      <c r="I12" s="117"/>
      <c r="J12" s="119" t="e">
        <f>RANK(I12,$I$3:$I$16)+COUNTIF(I$3:$I12,I12)-1</f>
        <v>#N/A</v>
      </c>
      <c r="K12" s="117"/>
      <c r="L12" s="118" t="e">
        <f>RANK(K12,$K$3:$K$16)+COUNTIF(K$3:$K12,K12)-1</f>
        <v>#N/A</v>
      </c>
      <c r="M12" s="120" t="e">
        <f t="shared" si="0"/>
        <v>#N/A</v>
      </c>
      <c r="N12" s="162" t="e">
        <f>RANK(M12,$M$3:$M$16,1)+COUNTIF(M$3:$M12,M12)-1</f>
        <v>#N/A</v>
      </c>
      <c r="Y12" s="101"/>
    </row>
    <row r="13" spans="1:27" x14ac:dyDescent="0.3">
      <c r="A13" s="206"/>
      <c r="B13" s="171" t="s">
        <v>36</v>
      </c>
      <c r="C13" s="198">
        <v>45720</v>
      </c>
      <c r="D13" s="203">
        <f>$P$2-C13</f>
        <v>530</v>
      </c>
      <c r="E13" s="116">
        <v>98</v>
      </c>
      <c r="F13" s="116" t="s">
        <v>41</v>
      </c>
      <c r="G13" s="160">
        <v>13</v>
      </c>
      <c r="H13" s="161"/>
      <c r="I13" s="117"/>
      <c r="J13" s="119" t="e">
        <f>RANK(I13,$I$3:$I$16)+COUNTIF(I$3:$I13,I13)-1</f>
        <v>#N/A</v>
      </c>
      <c r="K13" s="117"/>
      <c r="L13" s="118" t="e">
        <f>RANK(K13,$K$3:$K$16)+COUNTIF(K$3:$K13,K13)-1</f>
        <v>#N/A</v>
      </c>
      <c r="M13" s="120" t="e">
        <f t="shared" si="0"/>
        <v>#N/A</v>
      </c>
      <c r="N13" s="162" t="e">
        <f>RANK(M13,$M$3:$M$16,1)+COUNTIF(M$3:$M13,M13)-1</f>
        <v>#N/A</v>
      </c>
    </row>
    <row r="14" spans="1:27" x14ac:dyDescent="0.3">
      <c r="A14" s="206"/>
      <c r="B14" s="171" t="s">
        <v>25</v>
      </c>
      <c r="C14" s="198">
        <v>45409</v>
      </c>
      <c r="D14" s="203">
        <f>$P$2-C14</f>
        <v>841</v>
      </c>
      <c r="E14" s="116">
        <v>97</v>
      </c>
      <c r="F14" s="116" t="s">
        <v>41</v>
      </c>
      <c r="G14" s="160">
        <v>14</v>
      </c>
      <c r="H14" s="161"/>
      <c r="I14" s="117"/>
      <c r="J14" s="119" t="e">
        <f>RANK(I14,$I$3:$I$16)+COUNTIF(I$3:$I14,I14)-1</f>
        <v>#N/A</v>
      </c>
      <c r="K14" s="117"/>
      <c r="L14" s="118" t="e">
        <f>RANK(K14,$K$3:$K$16)+COUNTIF(K$3:$K14,K14)-1</f>
        <v>#N/A</v>
      </c>
      <c r="M14" s="120" t="e">
        <f t="shared" si="0"/>
        <v>#N/A</v>
      </c>
      <c r="N14" s="162" t="e">
        <f>RANK(M14,$M$3:$M$16,1)+COUNTIF(M$3:$M14,M14)-1</f>
        <v>#N/A</v>
      </c>
    </row>
    <row r="15" spans="1:27" x14ac:dyDescent="0.3">
      <c r="A15" s="99"/>
      <c r="B15" s="171" t="s">
        <v>39</v>
      </c>
      <c r="C15" s="198">
        <v>44946</v>
      </c>
      <c r="D15" s="203">
        <f>$P$2-C15</f>
        <v>1304</v>
      </c>
      <c r="E15" s="116">
        <v>95</v>
      </c>
      <c r="F15" s="116" t="s">
        <v>62</v>
      </c>
      <c r="G15" s="160">
        <v>15</v>
      </c>
      <c r="H15" s="161"/>
      <c r="I15" s="117"/>
      <c r="J15" s="119" t="e">
        <f>RANK(I15,$I$3:$I$16)+COUNTIF(I$3:$I15,I15)-1</f>
        <v>#N/A</v>
      </c>
      <c r="K15" s="117"/>
      <c r="L15" s="118" t="e">
        <f>RANK(K15,$K$3:$K$16)+COUNTIF(K$3:$K15,K15)-1</f>
        <v>#N/A</v>
      </c>
      <c r="M15" s="120" t="e">
        <f t="shared" si="0"/>
        <v>#N/A</v>
      </c>
      <c r="N15" s="162" t="e">
        <f>RANK(M15,$M$3:$M$16,1)+COUNTIF(M$3:$M15,M15)-1</f>
        <v>#N/A</v>
      </c>
    </row>
    <row r="16" spans="1:27" ht="15" thickBot="1" x14ac:dyDescent="0.35">
      <c r="A16" s="100"/>
      <c r="B16" s="191" t="s">
        <v>42</v>
      </c>
      <c r="C16" s="199">
        <v>45098</v>
      </c>
      <c r="D16" s="204">
        <f>$P$2-C16</f>
        <v>1152</v>
      </c>
      <c r="E16" s="163">
        <v>93</v>
      </c>
      <c r="F16" s="163" t="s">
        <v>62</v>
      </c>
      <c r="G16" s="164">
        <v>16</v>
      </c>
      <c r="H16" s="165"/>
      <c r="I16" s="166"/>
      <c r="J16" s="167" t="e">
        <f>RANK(I16,$I$3:$I$16)+COUNTIF(I$3:$I16,I16)-1</f>
        <v>#N/A</v>
      </c>
      <c r="K16" s="166"/>
      <c r="L16" s="168" t="e">
        <f>RANK(K16,$K$3:$K$16)+COUNTIF(K$3:$K16,K16)-1</f>
        <v>#N/A</v>
      </c>
      <c r="M16" s="169" t="e">
        <f t="shared" si="0"/>
        <v>#N/A</v>
      </c>
      <c r="N16" s="170" t="e">
        <f>RANK(M16,$M$3:$M$16,1)+COUNTIF(M$3:$M16,M16)-1</f>
        <v>#N/A</v>
      </c>
    </row>
    <row r="17" spans="2:8" x14ac:dyDescent="0.3">
      <c r="B17" s="6"/>
      <c r="C17" s="6"/>
      <c r="D17" s="6"/>
      <c r="E17" s="6"/>
      <c r="H17" s="1"/>
    </row>
    <row r="18" spans="2:8" x14ac:dyDescent="0.3">
      <c r="H18" s="1"/>
    </row>
    <row r="19" spans="2:8" x14ac:dyDescent="0.3">
      <c r="B19" s="138" t="s">
        <v>12</v>
      </c>
      <c r="C19" s="139" t="s">
        <v>47</v>
      </c>
      <c r="E19" s="140"/>
      <c r="F19" s="140"/>
      <c r="H19" s="1"/>
    </row>
    <row r="20" spans="2:8" x14ac:dyDescent="0.3">
      <c r="B20" s="10" t="s">
        <v>48</v>
      </c>
      <c r="C20" s="141" t="s">
        <v>49</v>
      </c>
      <c r="E20" s="142"/>
      <c r="F20" s="142"/>
      <c r="H20" s="1"/>
    </row>
    <row r="21" spans="2:8" x14ac:dyDescent="0.3">
      <c r="H21" s="1"/>
    </row>
    <row r="22" spans="2:8" x14ac:dyDescent="0.3">
      <c r="G22" s="184"/>
      <c r="H22" s="1"/>
    </row>
    <row r="23" spans="2:8" x14ac:dyDescent="0.3">
      <c r="B23" s="143" t="s">
        <v>50</v>
      </c>
      <c r="C23" s="143"/>
      <c r="D23" s="143"/>
      <c r="E23" s="143"/>
      <c r="H23" s="1"/>
    </row>
    <row r="24" spans="2:8" x14ac:dyDescent="0.3">
      <c r="B24" s="97"/>
      <c r="C24" s="97"/>
      <c r="D24" s="97"/>
      <c r="E24" s="98" t="s">
        <v>63</v>
      </c>
      <c r="F24" s="6"/>
      <c r="G24" s="6"/>
      <c r="H24" s="1"/>
    </row>
    <row r="25" spans="2:8" x14ac:dyDescent="0.3">
      <c r="H25" s="1"/>
    </row>
  </sheetData>
  <mergeCells count="12">
    <mergeCell ref="I1:I2"/>
    <mergeCell ref="J1:J2"/>
    <mergeCell ref="K1:K2"/>
    <mergeCell ref="L1:L2"/>
    <mergeCell ref="M1:M2"/>
    <mergeCell ref="N1:N2"/>
    <mergeCell ref="A1:A2"/>
    <mergeCell ref="B1:B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034F-CBCA-495F-936E-A576C1E2A310}">
  <dimension ref="A2:BA375"/>
  <sheetViews>
    <sheetView workbookViewId="0">
      <pane xSplit="2" topLeftCell="C1" activePane="topRight" state="frozen"/>
      <selection pane="topRight" activeCell="E146" sqref="E146"/>
    </sheetView>
  </sheetViews>
  <sheetFormatPr defaultColWidth="9" defaultRowHeight="14.4" x14ac:dyDescent="0.3"/>
  <cols>
    <col min="1" max="1" width="22.109375" style="63" customWidth="1"/>
    <col min="2" max="2" width="24.44140625" style="63" customWidth="1"/>
    <col min="3" max="3" width="20.5546875" style="63" customWidth="1"/>
    <col min="4" max="4" width="17" style="63" customWidth="1"/>
    <col min="5" max="5" width="20.33203125" style="63" customWidth="1"/>
    <col min="6" max="6" width="15.44140625" style="63" customWidth="1"/>
    <col min="7" max="7" width="18" style="63" customWidth="1"/>
    <col min="8" max="8" width="13.44140625" style="63" customWidth="1"/>
    <col min="9" max="9" width="14.44140625" style="63" customWidth="1"/>
    <col min="10" max="10" width="14.6640625" style="63" customWidth="1"/>
    <col min="11" max="11" width="9" style="63"/>
    <col min="12" max="12" width="18.6640625" style="63" customWidth="1"/>
    <col min="13" max="13" width="14.109375" style="63" customWidth="1"/>
    <col min="14" max="14" width="15.6640625" style="63" customWidth="1"/>
    <col min="15" max="15" width="19.109375" style="63" customWidth="1"/>
    <col min="16" max="16" width="15.5546875" style="63" customWidth="1"/>
    <col min="17" max="17" width="28" style="63" customWidth="1"/>
    <col min="18" max="18" width="21.109375" style="63" customWidth="1"/>
    <col min="19" max="19" width="9" style="63"/>
    <col min="20" max="20" width="22" style="63" customWidth="1"/>
    <col min="21" max="21" width="23.6640625" style="63" customWidth="1"/>
    <col min="22" max="22" width="16.6640625" style="63" customWidth="1"/>
    <col min="23" max="25" width="9" style="63"/>
    <col min="26" max="26" width="12.6640625" style="63" customWidth="1"/>
    <col min="27" max="27" width="13.33203125" style="63" customWidth="1"/>
    <col min="28" max="28" width="10.5546875" style="63" customWidth="1"/>
    <col min="29" max="29" width="13" style="63" customWidth="1"/>
    <col min="30" max="30" width="11" style="63" customWidth="1"/>
    <col min="31" max="31" width="13.109375" style="63" customWidth="1"/>
    <col min="32" max="32" width="12" style="63" customWidth="1"/>
    <col min="33" max="33" width="9" style="63"/>
    <col min="34" max="34" width="13.44140625" style="63" customWidth="1"/>
    <col min="35" max="35" width="15.5546875" style="63" customWidth="1"/>
    <col min="36" max="37" width="9" style="63"/>
    <col min="38" max="38" width="7.88671875" style="63" customWidth="1"/>
    <col min="39" max="39" width="14.44140625" style="63" customWidth="1"/>
    <col min="40" max="40" width="20" style="63" customWidth="1"/>
    <col min="41" max="41" width="12.6640625" style="63" customWidth="1"/>
    <col min="42" max="42" width="20.109375" style="63" customWidth="1"/>
    <col min="43" max="44" width="9" style="63"/>
    <col min="45" max="45" width="13.88671875" style="63" customWidth="1"/>
    <col min="46" max="46" width="9" style="63"/>
    <col min="47" max="47" width="24.44140625" style="63" customWidth="1"/>
    <col min="48" max="48" width="9" style="63"/>
    <col min="49" max="49" width="12.44140625" style="63" customWidth="1"/>
    <col min="50" max="50" width="34.88671875" style="63" customWidth="1"/>
    <col min="51" max="52" width="9" style="63"/>
    <col min="53" max="53" width="16.5546875" style="63" customWidth="1"/>
    <col min="54" max="16384" width="9" style="63"/>
  </cols>
  <sheetData>
    <row r="2" spans="1:53" s="58" customFormat="1" ht="15" thickBot="1" x14ac:dyDescent="0.35">
      <c r="A2" s="57"/>
      <c r="AO2" s="59"/>
    </row>
    <row r="3" spans="1:53" ht="18" x14ac:dyDescent="0.35">
      <c r="A3" s="60" t="s">
        <v>1</v>
      </c>
      <c r="B3" s="61" t="s">
        <v>64</v>
      </c>
      <c r="C3" s="62" t="s">
        <v>65</v>
      </c>
      <c r="E3" s="64"/>
      <c r="F3" s="65"/>
      <c r="G3" s="63">
        <v>60</v>
      </c>
    </row>
    <row r="4" spans="1:53" ht="18.600000000000001" thickBot="1" x14ac:dyDescent="0.4">
      <c r="A4" s="66" t="s">
        <v>58</v>
      </c>
      <c r="B4" s="64">
        <v>1</v>
      </c>
      <c r="C4" s="67" t="s">
        <v>66</v>
      </c>
      <c r="D4" s="68"/>
    </row>
    <row r="5" spans="1:53" x14ac:dyDescent="0.3">
      <c r="A5" s="69" t="s">
        <v>67</v>
      </c>
      <c r="B5" s="70">
        <v>1</v>
      </c>
      <c r="C5" s="70">
        <v>2</v>
      </c>
      <c r="D5" s="70">
        <v>3</v>
      </c>
      <c r="E5" s="70">
        <v>4</v>
      </c>
      <c r="F5" s="70">
        <v>5</v>
      </c>
      <c r="G5" s="70">
        <v>6</v>
      </c>
      <c r="H5" s="70">
        <v>7</v>
      </c>
      <c r="I5" s="70">
        <v>8</v>
      </c>
      <c r="J5" s="70">
        <v>9</v>
      </c>
      <c r="K5" s="70">
        <v>10</v>
      </c>
      <c r="L5" s="70">
        <v>11</v>
      </c>
      <c r="M5" s="70">
        <v>12</v>
      </c>
      <c r="N5" s="70">
        <v>13</v>
      </c>
      <c r="O5" s="70">
        <v>14</v>
      </c>
      <c r="P5" s="70">
        <v>15</v>
      </c>
      <c r="Q5" s="70">
        <v>16</v>
      </c>
      <c r="R5" s="70">
        <v>17</v>
      </c>
      <c r="S5" s="70">
        <v>18</v>
      </c>
      <c r="T5" s="70">
        <v>19</v>
      </c>
      <c r="U5" s="70">
        <v>20</v>
      </c>
      <c r="V5" s="70">
        <v>21</v>
      </c>
      <c r="W5" s="70">
        <v>22</v>
      </c>
      <c r="X5" s="70">
        <v>23</v>
      </c>
      <c r="Y5" s="70">
        <v>24</v>
      </c>
      <c r="Z5" s="70">
        <v>25</v>
      </c>
      <c r="AA5" s="70">
        <v>26</v>
      </c>
      <c r="AB5" s="70">
        <v>27</v>
      </c>
      <c r="AC5" s="70">
        <v>28</v>
      </c>
      <c r="AD5" s="70">
        <v>29</v>
      </c>
      <c r="AE5" s="70">
        <v>30</v>
      </c>
      <c r="AF5" s="70">
        <v>31</v>
      </c>
      <c r="AG5" s="70">
        <v>32</v>
      </c>
      <c r="AH5" s="70">
        <v>33</v>
      </c>
      <c r="AI5" s="70">
        <v>34</v>
      </c>
      <c r="AJ5" s="70">
        <v>35</v>
      </c>
      <c r="AK5" s="70">
        <v>36</v>
      </c>
      <c r="AL5" s="70">
        <v>37</v>
      </c>
      <c r="AM5" s="70">
        <v>38</v>
      </c>
      <c r="AN5" s="70">
        <v>39</v>
      </c>
      <c r="AO5" s="70">
        <v>40</v>
      </c>
      <c r="AP5" s="70">
        <v>41</v>
      </c>
      <c r="AQ5" s="70">
        <v>42</v>
      </c>
      <c r="AR5" s="70">
        <v>43</v>
      </c>
      <c r="AS5" s="70">
        <v>44</v>
      </c>
      <c r="AT5" s="70">
        <v>45</v>
      </c>
      <c r="AU5" s="70">
        <v>46</v>
      </c>
      <c r="AV5" s="70">
        <v>47</v>
      </c>
      <c r="AW5" s="70">
        <v>48</v>
      </c>
      <c r="AX5" s="70">
        <v>49</v>
      </c>
      <c r="AY5" s="70">
        <v>50</v>
      </c>
      <c r="AZ5" s="70">
        <v>51</v>
      </c>
      <c r="BA5" s="71">
        <v>52</v>
      </c>
    </row>
    <row r="6" spans="1:53" x14ac:dyDescent="0.3">
      <c r="A6" s="72" t="s">
        <v>68</v>
      </c>
      <c r="B6" s="73">
        <v>85</v>
      </c>
      <c r="C6" s="73">
        <v>85</v>
      </c>
      <c r="D6" s="73">
        <v>85</v>
      </c>
      <c r="E6" s="73">
        <v>85</v>
      </c>
      <c r="F6" s="73">
        <v>85</v>
      </c>
      <c r="G6" s="73">
        <v>85</v>
      </c>
      <c r="H6" s="73">
        <v>85</v>
      </c>
      <c r="I6" s="73">
        <v>85</v>
      </c>
      <c r="J6" s="73">
        <v>85</v>
      </c>
      <c r="K6" s="73">
        <v>85</v>
      </c>
      <c r="L6" s="73">
        <v>85</v>
      </c>
      <c r="M6" s="73">
        <v>85</v>
      </c>
      <c r="N6" s="73">
        <v>85</v>
      </c>
      <c r="O6" s="73">
        <v>85</v>
      </c>
      <c r="P6" s="73">
        <v>85</v>
      </c>
      <c r="Q6" s="73">
        <v>85</v>
      </c>
      <c r="R6" s="73">
        <v>85</v>
      </c>
      <c r="S6" s="73">
        <v>85</v>
      </c>
      <c r="T6" s="73">
        <v>85</v>
      </c>
      <c r="U6" s="73">
        <v>85</v>
      </c>
      <c r="V6" s="73">
        <v>85</v>
      </c>
      <c r="W6" s="73">
        <v>85</v>
      </c>
      <c r="X6" s="73">
        <v>85</v>
      </c>
      <c r="Y6" s="73">
        <v>85</v>
      </c>
      <c r="Z6" s="73">
        <v>85</v>
      </c>
      <c r="AA6" s="73">
        <v>85</v>
      </c>
      <c r="AB6" s="73">
        <v>85</v>
      </c>
      <c r="AC6" s="73">
        <v>85</v>
      </c>
      <c r="AD6" s="73">
        <v>85</v>
      </c>
      <c r="AE6" s="73">
        <v>85</v>
      </c>
      <c r="AF6" s="73">
        <v>85</v>
      </c>
      <c r="AG6" s="73">
        <v>85</v>
      </c>
      <c r="AH6" s="73">
        <v>85</v>
      </c>
      <c r="AI6" s="73">
        <v>85</v>
      </c>
      <c r="AJ6" s="73">
        <v>85</v>
      </c>
      <c r="AK6" s="73">
        <v>85</v>
      </c>
      <c r="AL6" s="73">
        <v>85</v>
      </c>
      <c r="AM6" s="73">
        <v>85</v>
      </c>
      <c r="AN6" s="73">
        <v>85</v>
      </c>
      <c r="AO6" s="73">
        <v>85</v>
      </c>
      <c r="AP6" s="73">
        <v>85</v>
      </c>
      <c r="AQ6" s="73">
        <v>85</v>
      </c>
      <c r="AR6" s="73">
        <v>85</v>
      </c>
      <c r="AS6" s="73">
        <v>85</v>
      </c>
      <c r="AT6" s="73">
        <v>85</v>
      </c>
      <c r="AU6" s="73">
        <v>85</v>
      </c>
      <c r="AV6" s="73">
        <v>85</v>
      </c>
      <c r="AW6" s="73">
        <v>85</v>
      </c>
      <c r="AX6" s="73">
        <v>85</v>
      </c>
      <c r="AY6" s="73">
        <v>85</v>
      </c>
      <c r="AZ6" s="73">
        <v>85</v>
      </c>
      <c r="BA6" s="73">
        <v>85</v>
      </c>
    </row>
    <row r="7" spans="1:53" ht="15" thickBot="1" x14ac:dyDescent="0.35">
      <c r="A7" s="74" t="s">
        <v>69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>
        <f>'week 19'!I3</f>
        <v>88</v>
      </c>
      <c r="T7" s="75">
        <f>'week 20'!K3</f>
        <v>88</v>
      </c>
      <c r="U7" s="75">
        <f>'week 21'!K3</f>
        <v>87</v>
      </c>
      <c r="V7" s="75">
        <f>'week 22'!K3</f>
        <v>87</v>
      </c>
      <c r="W7" s="75">
        <f>'week 23'!K3</f>
        <v>88</v>
      </c>
      <c r="X7" s="75">
        <f>'week 24'!K3</f>
        <v>90</v>
      </c>
      <c r="Y7" s="75">
        <f>'week 25'!K3</f>
        <v>88</v>
      </c>
      <c r="Z7" s="75">
        <f>'week 26'!K3</f>
        <v>88</v>
      </c>
      <c r="AA7" s="75">
        <v>88</v>
      </c>
      <c r="AB7" s="75">
        <v>86</v>
      </c>
      <c r="AC7" s="75">
        <v>86</v>
      </c>
      <c r="AD7" s="75">
        <v>86</v>
      </c>
      <c r="AE7" s="75">
        <v>87</v>
      </c>
      <c r="AF7" s="75">
        <v>87</v>
      </c>
      <c r="AG7" s="75">
        <v>87</v>
      </c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6"/>
    </row>
    <row r="8" spans="1:53" x14ac:dyDescent="0.3">
      <c r="A8" s="77" t="s">
        <v>67</v>
      </c>
      <c r="B8" s="59">
        <v>1</v>
      </c>
      <c r="C8" s="59">
        <v>2</v>
      </c>
      <c r="D8" s="59">
        <v>3</v>
      </c>
      <c r="E8" s="59">
        <v>4</v>
      </c>
      <c r="F8" s="59">
        <v>5</v>
      </c>
      <c r="G8" s="59">
        <v>6</v>
      </c>
      <c r="H8" s="59">
        <v>7</v>
      </c>
      <c r="I8" s="59">
        <v>8</v>
      </c>
      <c r="J8" s="59">
        <v>9</v>
      </c>
      <c r="K8" s="59">
        <v>10</v>
      </c>
      <c r="L8" s="59">
        <v>11</v>
      </c>
      <c r="M8" s="59">
        <v>12</v>
      </c>
      <c r="N8" s="59">
        <v>13</v>
      </c>
      <c r="O8" s="59">
        <v>14</v>
      </c>
      <c r="P8" s="59">
        <v>15</v>
      </c>
      <c r="Q8" s="59">
        <v>16</v>
      </c>
      <c r="R8" s="59">
        <v>17</v>
      </c>
      <c r="S8" s="59">
        <v>18</v>
      </c>
      <c r="T8" s="59">
        <v>19</v>
      </c>
      <c r="U8" s="59">
        <v>20</v>
      </c>
      <c r="V8" s="59">
        <v>21</v>
      </c>
      <c r="W8" s="59">
        <v>22</v>
      </c>
      <c r="X8" s="59">
        <v>23</v>
      </c>
      <c r="Y8" s="59">
        <v>24</v>
      </c>
      <c r="Z8" s="59">
        <v>25</v>
      </c>
      <c r="AA8" s="59">
        <v>26</v>
      </c>
      <c r="AB8" s="59">
        <v>27</v>
      </c>
      <c r="AC8" s="59">
        <v>28</v>
      </c>
      <c r="AD8" s="59">
        <v>29</v>
      </c>
      <c r="AE8" s="59">
        <v>30</v>
      </c>
      <c r="AF8" s="59">
        <v>31</v>
      </c>
      <c r="AG8" s="59">
        <v>32</v>
      </c>
      <c r="AH8" s="59">
        <v>33</v>
      </c>
      <c r="AI8" s="59">
        <v>34</v>
      </c>
      <c r="AJ8" s="59">
        <v>35</v>
      </c>
      <c r="AK8" s="59">
        <v>36</v>
      </c>
      <c r="AL8" s="59">
        <v>37</v>
      </c>
      <c r="AM8" s="59">
        <v>38</v>
      </c>
      <c r="AN8" s="59">
        <v>39</v>
      </c>
      <c r="AO8" s="59">
        <v>40</v>
      </c>
      <c r="AP8" s="59">
        <v>41</v>
      </c>
      <c r="AQ8" s="59">
        <v>42</v>
      </c>
      <c r="AR8" s="59">
        <v>43</v>
      </c>
      <c r="AS8" s="59">
        <v>44</v>
      </c>
      <c r="AT8" s="59">
        <v>45</v>
      </c>
      <c r="AU8" s="59">
        <v>46</v>
      </c>
      <c r="AV8" s="59">
        <v>47</v>
      </c>
      <c r="AW8" s="70">
        <v>48</v>
      </c>
      <c r="AX8" s="70">
        <v>49</v>
      </c>
      <c r="AY8" s="70">
        <v>50</v>
      </c>
      <c r="AZ8" s="70">
        <v>51</v>
      </c>
      <c r="BA8" s="71">
        <v>52</v>
      </c>
    </row>
    <row r="9" spans="1:53" x14ac:dyDescent="0.3">
      <c r="A9" s="78" t="s">
        <v>70</v>
      </c>
      <c r="B9" s="79">
        <f>G3</f>
        <v>60</v>
      </c>
      <c r="C9" s="79">
        <f t="shared" ref="C9:AV9" si="0">B9</f>
        <v>60</v>
      </c>
      <c r="D9" s="79">
        <f t="shared" si="0"/>
        <v>60</v>
      </c>
      <c r="E9" s="79">
        <f t="shared" si="0"/>
        <v>60</v>
      </c>
      <c r="F9" s="79">
        <f t="shared" si="0"/>
        <v>60</v>
      </c>
      <c r="G9" s="79">
        <f t="shared" si="0"/>
        <v>60</v>
      </c>
      <c r="H9" s="79">
        <f t="shared" si="0"/>
        <v>60</v>
      </c>
      <c r="I9" s="79">
        <f t="shared" si="0"/>
        <v>60</v>
      </c>
      <c r="J9" s="79">
        <f t="shared" si="0"/>
        <v>60</v>
      </c>
      <c r="K9" s="79">
        <f t="shared" si="0"/>
        <v>60</v>
      </c>
      <c r="L9" s="79">
        <f t="shared" si="0"/>
        <v>60</v>
      </c>
      <c r="M9" s="79">
        <f t="shared" si="0"/>
        <v>60</v>
      </c>
      <c r="N9" s="79">
        <f t="shared" si="0"/>
        <v>60</v>
      </c>
      <c r="O9" s="79">
        <f t="shared" si="0"/>
        <v>60</v>
      </c>
      <c r="P9" s="79">
        <f t="shared" si="0"/>
        <v>60</v>
      </c>
      <c r="Q9" s="79">
        <f t="shared" si="0"/>
        <v>60</v>
      </c>
      <c r="R9" s="79">
        <f t="shared" si="0"/>
        <v>60</v>
      </c>
      <c r="S9" s="79">
        <f t="shared" si="0"/>
        <v>60</v>
      </c>
      <c r="T9" s="79">
        <f t="shared" si="0"/>
        <v>60</v>
      </c>
      <c r="U9" s="79">
        <f t="shared" si="0"/>
        <v>60</v>
      </c>
      <c r="V9" s="79">
        <f t="shared" si="0"/>
        <v>60</v>
      </c>
      <c r="W9" s="79">
        <f t="shared" si="0"/>
        <v>60</v>
      </c>
      <c r="X9" s="79">
        <f t="shared" si="0"/>
        <v>60</v>
      </c>
      <c r="Y9" s="79">
        <f t="shared" si="0"/>
        <v>60</v>
      </c>
      <c r="Z9" s="79">
        <f t="shared" si="0"/>
        <v>60</v>
      </c>
      <c r="AA9" s="79">
        <f t="shared" si="0"/>
        <v>60</v>
      </c>
      <c r="AB9" s="79">
        <f t="shared" si="0"/>
        <v>60</v>
      </c>
      <c r="AC9" s="79">
        <f t="shared" si="0"/>
        <v>60</v>
      </c>
      <c r="AD9" s="79">
        <f t="shared" si="0"/>
        <v>60</v>
      </c>
      <c r="AE9" s="79">
        <f t="shared" si="0"/>
        <v>60</v>
      </c>
      <c r="AF9" s="79">
        <f t="shared" si="0"/>
        <v>60</v>
      </c>
      <c r="AG9" s="79">
        <f t="shared" si="0"/>
        <v>60</v>
      </c>
      <c r="AH9" s="79">
        <f t="shared" si="0"/>
        <v>60</v>
      </c>
      <c r="AI9" s="79">
        <f t="shared" si="0"/>
        <v>60</v>
      </c>
      <c r="AJ9" s="79">
        <f t="shared" si="0"/>
        <v>60</v>
      </c>
      <c r="AK9" s="79">
        <f t="shared" si="0"/>
        <v>60</v>
      </c>
      <c r="AL9" s="79">
        <f t="shared" si="0"/>
        <v>60</v>
      </c>
      <c r="AM9" s="79">
        <f t="shared" si="0"/>
        <v>60</v>
      </c>
      <c r="AN9" s="79">
        <f t="shared" si="0"/>
        <v>60</v>
      </c>
      <c r="AO9" s="79">
        <f t="shared" si="0"/>
        <v>60</v>
      </c>
      <c r="AP9" s="79">
        <f t="shared" si="0"/>
        <v>60</v>
      </c>
      <c r="AQ9" s="79">
        <f t="shared" si="0"/>
        <v>60</v>
      </c>
      <c r="AR9" s="79">
        <f t="shared" si="0"/>
        <v>60</v>
      </c>
      <c r="AS9" s="79">
        <f t="shared" si="0"/>
        <v>60</v>
      </c>
      <c r="AT9" s="79">
        <f t="shared" si="0"/>
        <v>60</v>
      </c>
      <c r="AU9" s="79">
        <f t="shared" si="0"/>
        <v>60</v>
      </c>
      <c r="AV9" s="79">
        <f t="shared" si="0"/>
        <v>60</v>
      </c>
      <c r="AW9" s="79">
        <v>60</v>
      </c>
      <c r="AX9" s="79">
        <v>60</v>
      </c>
      <c r="AY9" s="79">
        <v>60</v>
      </c>
      <c r="AZ9" s="79">
        <v>60</v>
      </c>
      <c r="BA9" s="79">
        <v>60</v>
      </c>
    </row>
    <row r="10" spans="1:53" x14ac:dyDescent="0.3">
      <c r="A10" s="77" t="s">
        <v>71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>
        <f>'week 19'!G3</f>
        <v>20</v>
      </c>
      <c r="T10" s="80">
        <f>'week 20'!I3</f>
        <v>25</v>
      </c>
      <c r="U10" s="80">
        <f>'week 21'!I3</f>
        <v>29</v>
      </c>
      <c r="V10" s="80">
        <f>'week 22'!I3</f>
        <v>48</v>
      </c>
      <c r="W10" s="80">
        <f>'week 23'!I3</f>
        <v>42</v>
      </c>
      <c r="X10" s="80">
        <f>'week 24'!I3</f>
        <v>35</v>
      </c>
      <c r="Y10" s="80">
        <f>'week 25'!I3</f>
        <v>40</v>
      </c>
      <c r="Z10" s="80">
        <f>'week 26'!I3</f>
        <v>52</v>
      </c>
      <c r="AA10" s="80">
        <v>46</v>
      </c>
      <c r="AB10" s="80">
        <v>51</v>
      </c>
      <c r="AC10" s="80">
        <v>45</v>
      </c>
      <c r="AD10" s="80">
        <v>54</v>
      </c>
      <c r="AE10" s="80">
        <v>40</v>
      </c>
      <c r="AF10" s="80">
        <v>69</v>
      </c>
      <c r="AG10" s="80">
        <v>54</v>
      </c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1"/>
    </row>
    <row r="11" spans="1:53" ht="39.6" customHeight="1" thickBot="1" x14ac:dyDescent="0.35">
      <c r="A11" s="74" t="s">
        <v>72</v>
      </c>
      <c r="B11" s="75"/>
      <c r="C11" s="75"/>
      <c r="D11" s="75"/>
      <c r="E11" s="75"/>
      <c r="F11" s="82"/>
      <c r="G11" s="75"/>
      <c r="H11" s="75"/>
      <c r="I11" s="75"/>
      <c r="J11" s="75"/>
      <c r="K11" s="75"/>
      <c r="L11" s="82"/>
      <c r="M11" s="75"/>
      <c r="N11" s="75"/>
      <c r="O11" s="82"/>
      <c r="P11" s="75"/>
      <c r="Q11" s="75"/>
      <c r="R11" s="82"/>
      <c r="S11" s="75"/>
      <c r="T11" s="82"/>
      <c r="U11" s="82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82"/>
      <c r="AQ11" s="75"/>
      <c r="AR11" s="75"/>
      <c r="AS11" s="75"/>
      <c r="AT11" s="82"/>
      <c r="AU11" s="82"/>
      <c r="AV11" s="75"/>
      <c r="AW11" s="75"/>
      <c r="AX11" s="75"/>
      <c r="AY11" s="75"/>
      <c r="AZ11" s="82"/>
      <c r="BA11" s="76"/>
    </row>
    <row r="12" spans="1:53" s="58" customFormat="1" x14ac:dyDescent="0.3">
      <c r="A12" s="69" t="s">
        <v>73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>
        <v>9</v>
      </c>
      <c r="T12" s="70">
        <v>9</v>
      </c>
      <c r="U12" s="70">
        <v>9</v>
      </c>
      <c r="V12" s="70">
        <v>9</v>
      </c>
      <c r="W12" s="70">
        <v>9</v>
      </c>
      <c r="X12" s="70">
        <v>9</v>
      </c>
      <c r="Y12" s="70">
        <v>9</v>
      </c>
      <c r="Z12" s="70">
        <v>9</v>
      </c>
      <c r="AA12" s="70">
        <v>9</v>
      </c>
      <c r="AB12" s="70">
        <v>9</v>
      </c>
      <c r="AC12" s="70">
        <v>9</v>
      </c>
      <c r="AD12" s="70">
        <v>9</v>
      </c>
      <c r="AE12" s="70">
        <v>9</v>
      </c>
      <c r="AF12" s="70">
        <v>9</v>
      </c>
      <c r="AG12" s="70">
        <v>9</v>
      </c>
      <c r="AH12" s="70">
        <v>9</v>
      </c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</row>
    <row r="13" spans="1:53" s="58" customFormat="1" x14ac:dyDescent="0.3">
      <c r="A13" s="83" t="s">
        <v>74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>
        <v>9</v>
      </c>
      <c r="T13" s="84">
        <v>9</v>
      </c>
      <c r="U13" s="84">
        <v>9</v>
      </c>
      <c r="V13" s="84">
        <v>9</v>
      </c>
      <c r="W13" s="84">
        <v>9</v>
      </c>
      <c r="X13" s="84">
        <v>9</v>
      </c>
      <c r="Y13" s="84">
        <v>9</v>
      </c>
      <c r="Z13" s="84">
        <v>9</v>
      </c>
      <c r="AA13" s="84">
        <v>9</v>
      </c>
      <c r="AB13" s="84">
        <v>9</v>
      </c>
      <c r="AC13" s="84">
        <v>9</v>
      </c>
      <c r="AD13" s="84">
        <v>9</v>
      </c>
      <c r="AE13" s="84">
        <v>9</v>
      </c>
      <c r="AF13" s="84">
        <v>9</v>
      </c>
      <c r="AG13" s="84">
        <v>9</v>
      </c>
      <c r="AH13" s="84">
        <v>9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</row>
    <row r="14" spans="1:53" s="58" customFormat="1" ht="15" thickBot="1" x14ac:dyDescent="0.35">
      <c r="A14" s="74" t="s">
        <v>75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>
        <v>8</v>
      </c>
      <c r="T14" s="85">
        <v>8</v>
      </c>
      <c r="U14" s="85">
        <v>8</v>
      </c>
      <c r="V14" s="85">
        <v>8</v>
      </c>
      <c r="W14" s="85">
        <v>8</v>
      </c>
      <c r="X14" s="85">
        <v>8</v>
      </c>
      <c r="Y14" s="85">
        <v>8</v>
      </c>
      <c r="Z14" s="85">
        <v>8</v>
      </c>
      <c r="AA14" s="85">
        <v>8</v>
      </c>
      <c r="AB14" s="85">
        <v>8</v>
      </c>
      <c r="AC14" s="85">
        <v>8</v>
      </c>
      <c r="AD14" s="85">
        <v>8</v>
      </c>
      <c r="AE14" s="85">
        <v>8</v>
      </c>
      <c r="AF14" s="85">
        <v>8</v>
      </c>
      <c r="AG14" s="85">
        <v>8</v>
      </c>
      <c r="AH14" s="85">
        <v>8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</row>
    <row r="15" spans="1:53" s="58" customFormat="1" x14ac:dyDescent="0.3">
      <c r="A15" s="57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</row>
    <row r="16" spans="1:53" s="58" customFormat="1" x14ac:dyDescent="0.3">
      <c r="A16" s="57"/>
      <c r="B16" s="59"/>
      <c r="C16" s="59"/>
      <c r="AM16" s="59"/>
      <c r="AN16" s="59"/>
      <c r="AO16" s="59"/>
      <c r="AP16" s="59"/>
      <c r="AQ16" s="59"/>
      <c r="AR16" s="59"/>
      <c r="AS16" s="59"/>
      <c r="AT16" s="59"/>
      <c r="AU16" s="59"/>
      <c r="AW16" s="59"/>
      <c r="AX16" s="59"/>
      <c r="AY16" s="59"/>
      <c r="AZ16" s="59"/>
      <c r="BA16" s="59"/>
    </row>
    <row r="18" spans="1:53" ht="15" thickBot="1" x14ac:dyDescent="0.35"/>
    <row r="19" spans="1:53" ht="18" x14ac:dyDescent="0.35">
      <c r="A19" s="60" t="s">
        <v>1</v>
      </c>
      <c r="B19" s="61" t="s">
        <v>64</v>
      </c>
      <c r="C19" s="62" t="s">
        <v>65</v>
      </c>
      <c r="E19" s="64"/>
    </row>
    <row r="20" spans="1:53" ht="18.600000000000001" thickBot="1" x14ac:dyDescent="0.4">
      <c r="A20" s="66" t="s">
        <v>60</v>
      </c>
      <c r="B20" s="64">
        <v>2</v>
      </c>
      <c r="C20" s="67" t="s">
        <v>66</v>
      </c>
      <c r="D20" s="68"/>
    </row>
    <row r="21" spans="1:53" x14ac:dyDescent="0.3">
      <c r="A21" s="69" t="s">
        <v>67</v>
      </c>
      <c r="B21" s="70">
        <v>1</v>
      </c>
      <c r="C21" s="70">
        <v>2</v>
      </c>
      <c r="D21" s="70">
        <v>3</v>
      </c>
      <c r="E21" s="70">
        <v>4</v>
      </c>
      <c r="F21" s="70">
        <v>5</v>
      </c>
      <c r="G21" s="70">
        <v>6</v>
      </c>
      <c r="H21" s="70">
        <v>7</v>
      </c>
      <c r="I21" s="70">
        <v>8</v>
      </c>
      <c r="J21" s="70">
        <v>9</v>
      </c>
      <c r="K21" s="70">
        <v>10</v>
      </c>
      <c r="L21" s="70">
        <v>11</v>
      </c>
      <c r="M21" s="70">
        <v>12</v>
      </c>
      <c r="N21" s="70">
        <v>13</v>
      </c>
      <c r="O21" s="70">
        <v>14</v>
      </c>
      <c r="P21" s="70">
        <v>15</v>
      </c>
      <c r="Q21" s="70">
        <v>16</v>
      </c>
      <c r="R21" s="70">
        <v>17</v>
      </c>
      <c r="S21" s="70">
        <v>18</v>
      </c>
      <c r="T21" s="70">
        <v>19</v>
      </c>
      <c r="U21" s="70">
        <v>20</v>
      </c>
      <c r="V21" s="70">
        <v>21</v>
      </c>
      <c r="W21" s="70">
        <v>22</v>
      </c>
      <c r="X21" s="70">
        <v>23</v>
      </c>
      <c r="Y21" s="70">
        <v>24</v>
      </c>
      <c r="Z21" s="70">
        <v>25</v>
      </c>
      <c r="AA21" s="70">
        <v>26</v>
      </c>
      <c r="AB21" s="70">
        <v>27</v>
      </c>
      <c r="AC21" s="70">
        <v>28</v>
      </c>
      <c r="AD21" s="70">
        <v>29</v>
      </c>
      <c r="AE21" s="70">
        <v>30</v>
      </c>
      <c r="AF21" s="70">
        <v>31</v>
      </c>
      <c r="AG21" s="70">
        <v>32</v>
      </c>
      <c r="AH21" s="70">
        <v>33</v>
      </c>
      <c r="AI21" s="70">
        <v>34</v>
      </c>
      <c r="AJ21" s="70">
        <v>35</v>
      </c>
      <c r="AK21" s="70">
        <v>36</v>
      </c>
      <c r="AL21" s="70">
        <v>37</v>
      </c>
      <c r="AM21" s="70">
        <v>38</v>
      </c>
      <c r="AN21" s="70">
        <v>39</v>
      </c>
      <c r="AO21" s="70">
        <v>40</v>
      </c>
      <c r="AP21" s="70">
        <v>41</v>
      </c>
      <c r="AQ21" s="70">
        <v>42</v>
      </c>
      <c r="AR21" s="70">
        <v>43</v>
      </c>
      <c r="AS21" s="70">
        <v>44</v>
      </c>
      <c r="AT21" s="70">
        <v>45</v>
      </c>
      <c r="AU21" s="70">
        <v>46</v>
      </c>
      <c r="AV21" s="70">
        <v>47</v>
      </c>
      <c r="AW21" s="70">
        <v>48</v>
      </c>
      <c r="AX21" s="70">
        <v>49</v>
      </c>
      <c r="AY21" s="70">
        <v>50</v>
      </c>
      <c r="AZ21" s="70">
        <v>51</v>
      </c>
      <c r="BA21" s="71">
        <v>52</v>
      </c>
    </row>
    <row r="22" spans="1:53" x14ac:dyDescent="0.3">
      <c r="A22" s="72" t="s">
        <v>68</v>
      </c>
      <c r="B22" s="73">
        <v>85</v>
      </c>
      <c r="C22" s="73">
        <v>85</v>
      </c>
      <c r="D22" s="73">
        <v>85</v>
      </c>
      <c r="E22" s="73">
        <v>85</v>
      </c>
      <c r="F22" s="73">
        <v>85</v>
      </c>
      <c r="G22" s="73">
        <v>85</v>
      </c>
      <c r="H22" s="73">
        <v>85</v>
      </c>
      <c r="I22" s="73">
        <v>85</v>
      </c>
      <c r="J22" s="73">
        <v>85</v>
      </c>
      <c r="K22" s="73">
        <v>85</v>
      </c>
      <c r="L22" s="73">
        <v>85</v>
      </c>
      <c r="M22" s="73">
        <v>85</v>
      </c>
      <c r="N22" s="73">
        <v>85</v>
      </c>
      <c r="O22" s="73">
        <v>85</v>
      </c>
      <c r="P22" s="73">
        <v>85</v>
      </c>
      <c r="Q22" s="73">
        <v>85</v>
      </c>
      <c r="R22" s="73">
        <v>85</v>
      </c>
      <c r="S22" s="73">
        <v>85</v>
      </c>
      <c r="T22" s="73">
        <v>85</v>
      </c>
      <c r="U22" s="73">
        <v>85</v>
      </c>
      <c r="V22" s="73">
        <v>85</v>
      </c>
      <c r="W22" s="73">
        <v>85</v>
      </c>
      <c r="X22" s="73">
        <v>85</v>
      </c>
      <c r="Y22" s="73">
        <v>85</v>
      </c>
      <c r="Z22" s="73">
        <v>85</v>
      </c>
      <c r="AA22" s="73">
        <v>85</v>
      </c>
      <c r="AB22" s="73">
        <v>85</v>
      </c>
      <c r="AC22" s="73">
        <v>85</v>
      </c>
      <c r="AD22" s="73">
        <v>85</v>
      </c>
      <c r="AE22" s="73">
        <v>85</v>
      </c>
      <c r="AF22" s="73">
        <v>85</v>
      </c>
      <c r="AG22" s="73">
        <v>85</v>
      </c>
      <c r="AH22" s="73">
        <v>85</v>
      </c>
      <c r="AI22" s="73">
        <v>85</v>
      </c>
      <c r="AJ22" s="73">
        <v>85</v>
      </c>
      <c r="AK22" s="73">
        <v>85</v>
      </c>
      <c r="AL22" s="73">
        <v>85</v>
      </c>
      <c r="AM22" s="73">
        <v>85</v>
      </c>
      <c r="AN22" s="73">
        <v>85</v>
      </c>
      <c r="AO22" s="73">
        <v>85</v>
      </c>
      <c r="AP22" s="73">
        <v>85</v>
      </c>
      <c r="AQ22" s="73">
        <v>85</v>
      </c>
      <c r="AR22" s="73">
        <v>85</v>
      </c>
      <c r="AS22" s="73">
        <v>85</v>
      </c>
      <c r="AT22" s="73">
        <v>85</v>
      </c>
      <c r="AU22" s="73">
        <v>85</v>
      </c>
      <c r="AV22" s="73">
        <v>85</v>
      </c>
      <c r="AW22" s="73"/>
      <c r="AX22" s="73"/>
      <c r="AY22" s="73"/>
      <c r="AZ22" s="73"/>
      <c r="BA22" s="73"/>
    </row>
    <row r="23" spans="1:53" ht="15" thickBot="1" x14ac:dyDescent="0.35">
      <c r="A23" s="74" t="s">
        <v>69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>
        <f>'week 19'!I4</f>
        <v>88</v>
      </c>
      <c r="T23" s="75">
        <f>'week 20'!K4</f>
        <v>89</v>
      </c>
      <c r="U23" s="75">
        <f>'week 21'!K4</f>
        <v>89</v>
      </c>
      <c r="V23" s="75">
        <f>'week 22'!K4</f>
        <v>88</v>
      </c>
      <c r="W23" s="75">
        <f>'week 23'!K4</f>
        <v>89</v>
      </c>
      <c r="X23" s="75">
        <f>'week 24'!K4</f>
        <v>87</v>
      </c>
      <c r="Y23" s="75">
        <f>'week 25'!K4</f>
        <v>87</v>
      </c>
      <c r="Z23" s="75">
        <f>'week 26'!K4</f>
        <v>88</v>
      </c>
      <c r="AA23" s="75">
        <v>87</v>
      </c>
      <c r="AB23" s="75">
        <v>87</v>
      </c>
      <c r="AC23" s="75">
        <v>86</v>
      </c>
      <c r="AD23" s="75">
        <v>86</v>
      </c>
      <c r="AE23" s="75">
        <v>87</v>
      </c>
      <c r="AF23" s="75">
        <v>87</v>
      </c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6"/>
    </row>
    <row r="24" spans="1:53" x14ac:dyDescent="0.3">
      <c r="A24" s="77" t="s">
        <v>67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59">
        <v>16</v>
      </c>
      <c r="R24" s="59">
        <v>17</v>
      </c>
      <c r="S24" s="59">
        <v>18</v>
      </c>
      <c r="T24" s="59">
        <v>19</v>
      </c>
      <c r="U24" s="59">
        <v>20</v>
      </c>
      <c r="V24" s="59">
        <v>21</v>
      </c>
      <c r="W24" s="59">
        <v>22</v>
      </c>
      <c r="X24" s="59">
        <v>23</v>
      </c>
      <c r="Y24" s="59">
        <v>24</v>
      </c>
      <c r="Z24" s="59">
        <v>25</v>
      </c>
      <c r="AA24" s="59">
        <v>26</v>
      </c>
      <c r="AB24" s="59">
        <v>27</v>
      </c>
      <c r="AC24" s="59">
        <v>28</v>
      </c>
      <c r="AD24" s="59">
        <v>29</v>
      </c>
      <c r="AE24" s="59">
        <v>30</v>
      </c>
      <c r="AF24" s="59">
        <v>31</v>
      </c>
      <c r="AG24" s="59">
        <v>32</v>
      </c>
      <c r="AH24" s="59">
        <v>33</v>
      </c>
      <c r="AI24" s="59">
        <v>34</v>
      </c>
      <c r="AJ24" s="59">
        <v>35</v>
      </c>
      <c r="AK24" s="59">
        <v>36</v>
      </c>
      <c r="AL24" s="59">
        <v>37</v>
      </c>
      <c r="AM24" s="59">
        <v>38</v>
      </c>
      <c r="AN24" s="59">
        <v>39</v>
      </c>
      <c r="AO24" s="59">
        <v>40</v>
      </c>
      <c r="AP24" s="59">
        <v>41</v>
      </c>
      <c r="AQ24" s="59">
        <v>42</v>
      </c>
      <c r="AR24" s="59">
        <v>43</v>
      </c>
      <c r="AS24" s="59">
        <v>44</v>
      </c>
      <c r="AT24" s="59">
        <v>45</v>
      </c>
      <c r="AU24" s="59">
        <v>46</v>
      </c>
      <c r="AV24" s="59">
        <v>47</v>
      </c>
      <c r="AW24" s="70">
        <v>48</v>
      </c>
      <c r="AX24" s="70">
        <v>49</v>
      </c>
      <c r="AY24" s="70">
        <v>50</v>
      </c>
      <c r="AZ24" s="70">
        <v>51</v>
      </c>
      <c r="BA24" s="71">
        <v>52</v>
      </c>
    </row>
    <row r="25" spans="1:53" x14ac:dyDescent="0.3">
      <c r="A25" s="78" t="s">
        <v>70</v>
      </c>
      <c r="B25" s="79">
        <v>60</v>
      </c>
      <c r="C25" s="79">
        <f t="shared" ref="C25:AR25" si="1">B25</f>
        <v>60</v>
      </c>
      <c r="D25" s="79">
        <f t="shared" si="1"/>
        <v>60</v>
      </c>
      <c r="E25" s="79">
        <f t="shared" si="1"/>
        <v>60</v>
      </c>
      <c r="F25" s="79">
        <f t="shared" si="1"/>
        <v>60</v>
      </c>
      <c r="G25" s="79">
        <f t="shared" si="1"/>
        <v>60</v>
      </c>
      <c r="H25" s="79">
        <f t="shared" si="1"/>
        <v>60</v>
      </c>
      <c r="I25" s="79">
        <f t="shared" si="1"/>
        <v>60</v>
      </c>
      <c r="J25" s="79">
        <f t="shared" si="1"/>
        <v>60</v>
      </c>
      <c r="K25" s="79">
        <f t="shared" si="1"/>
        <v>60</v>
      </c>
      <c r="L25" s="79">
        <f t="shared" si="1"/>
        <v>60</v>
      </c>
      <c r="M25" s="79">
        <f t="shared" si="1"/>
        <v>60</v>
      </c>
      <c r="N25" s="79">
        <f t="shared" si="1"/>
        <v>60</v>
      </c>
      <c r="O25" s="79">
        <f t="shared" si="1"/>
        <v>60</v>
      </c>
      <c r="P25" s="79">
        <f t="shared" si="1"/>
        <v>60</v>
      </c>
      <c r="Q25" s="79">
        <f t="shared" si="1"/>
        <v>60</v>
      </c>
      <c r="R25" s="79">
        <f t="shared" si="1"/>
        <v>60</v>
      </c>
      <c r="S25" s="79">
        <f t="shared" si="1"/>
        <v>60</v>
      </c>
      <c r="T25" s="79">
        <f t="shared" si="1"/>
        <v>60</v>
      </c>
      <c r="U25" s="79">
        <f t="shared" si="1"/>
        <v>60</v>
      </c>
      <c r="V25" s="79">
        <f t="shared" si="1"/>
        <v>60</v>
      </c>
      <c r="W25" s="79">
        <f t="shared" si="1"/>
        <v>60</v>
      </c>
      <c r="X25" s="79">
        <f t="shared" si="1"/>
        <v>60</v>
      </c>
      <c r="Y25" s="79">
        <f t="shared" si="1"/>
        <v>60</v>
      </c>
      <c r="Z25" s="79">
        <f t="shared" si="1"/>
        <v>60</v>
      </c>
      <c r="AA25" s="79">
        <f t="shared" si="1"/>
        <v>60</v>
      </c>
      <c r="AB25" s="79">
        <f t="shared" si="1"/>
        <v>60</v>
      </c>
      <c r="AC25" s="79">
        <f t="shared" si="1"/>
        <v>60</v>
      </c>
      <c r="AD25" s="79">
        <f t="shared" si="1"/>
        <v>60</v>
      </c>
      <c r="AE25" s="79">
        <f t="shared" si="1"/>
        <v>60</v>
      </c>
      <c r="AF25" s="79">
        <f t="shared" si="1"/>
        <v>60</v>
      </c>
      <c r="AG25" s="79">
        <f t="shared" si="1"/>
        <v>60</v>
      </c>
      <c r="AH25" s="79">
        <f t="shared" si="1"/>
        <v>60</v>
      </c>
      <c r="AI25" s="79">
        <f t="shared" si="1"/>
        <v>60</v>
      </c>
      <c r="AJ25" s="79">
        <f t="shared" si="1"/>
        <v>60</v>
      </c>
      <c r="AK25" s="79">
        <f t="shared" si="1"/>
        <v>60</v>
      </c>
      <c r="AL25" s="79">
        <f t="shared" si="1"/>
        <v>60</v>
      </c>
      <c r="AM25" s="79">
        <f t="shared" si="1"/>
        <v>60</v>
      </c>
      <c r="AN25" s="79">
        <f t="shared" si="1"/>
        <v>60</v>
      </c>
      <c r="AO25" s="79">
        <f t="shared" si="1"/>
        <v>60</v>
      </c>
      <c r="AP25" s="79">
        <f t="shared" si="1"/>
        <v>60</v>
      </c>
      <c r="AQ25" s="79">
        <f t="shared" si="1"/>
        <v>60</v>
      </c>
      <c r="AR25" s="79">
        <f t="shared" si="1"/>
        <v>60</v>
      </c>
      <c r="AS25" s="79">
        <v>60</v>
      </c>
      <c r="AT25" s="79">
        <f>AS25</f>
        <v>60</v>
      </c>
      <c r="AU25" s="79">
        <f>AT25</f>
        <v>60</v>
      </c>
      <c r="AV25" s="79">
        <f>AU25</f>
        <v>60</v>
      </c>
      <c r="AW25" s="79"/>
      <c r="AX25" s="79"/>
      <c r="AY25" s="79"/>
      <c r="AZ25" s="79"/>
      <c r="BA25" s="79"/>
    </row>
    <row r="26" spans="1:53" x14ac:dyDescent="0.3">
      <c r="A26" s="77" t="s">
        <v>71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>
        <f>'week 19'!G4</f>
        <v>19</v>
      </c>
      <c r="T26" s="80">
        <f>'week 20'!I4</f>
        <v>25</v>
      </c>
      <c r="U26" s="80">
        <f>'week 21'!I4</f>
        <v>25</v>
      </c>
      <c r="V26" s="80">
        <f>'week 22'!I4</f>
        <v>25</v>
      </c>
      <c r="W26" s="80">
        <f>'week 23'!I4</f>
        <v>17</v>
      </c>
      <c r="X26" s="80">
        <f>'week 24'!I4</f>
        <v>17</v>
      </c>
      <c r="Y26" s="80">
        <f>'week 25'!I4</f>
        <v>46</v>
      </c>
      <c r="Z26" s="80">
        <f>'week 26'!I4</f>
        <v>60</v>
      </c>
      <c r="AA26" s="80">
        <v>74</v>
      </c>
      <c r="AB26" s="80">
        <v>15</v>
      </c>
      <c r="AC26" s="80">
        <v>16</v>
      </c>
      <c r="AD26" s="80">
        <v>86</v>
      </c>
      <c r="AE26" s="80">
        <v>41</v>
      </c>
      <c r="AF26" s="80">
        <v>42</v>
      </c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1"/>
    </row>
    <row r="27" spans="1:53" ht="38.4" customHeight="1" thickBot="1" x14ac:dyDescent="0.35">
      <c r="A27" s="74" t="s">
        <v>72</v>
      </c>
      <c r="B27" s="75"/>
      <c r="C27" s="75"/>
      <c r="D27" s="75"/>
      <c r="E27" s="75"/>
      <c r="F27" s="75"/>
      <c r="G27" s="75"/>
      <c r="H27" s="75"/>
      <c r="I27" s="82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82"/>
      <c r="AD27" s="82"/>
      <c r="AE27" s="75"/>
      <c r="AF27" s="75"/>
      <c r="AG27" s="75"/>
      <c r="AH27" s="75"/>
      <c r="AI27" s="82"/>
      <c r="AJ27" s="75"/>
      <c r="AK27" s="75"/>
      <c r="AL27" s="75"/>
      <c r="AM27" s="82"/>
      <c r="AN27" s="75"/>
      <c r="AO27" s="75"/>
      <c r="AP27" s="82"/>
      <c r="AQ27" s="75"/>
      <c r="AR27" s="82"/>
      <c r="AS27" s="75"/>
      <c r="AT27" s="75"/>
      <c r="AU27" s="75"/>
      <c r="AV27" s="75"/>
      <c r="AW27" s="75"/>
      <c r="AX27" s="75"/>
      <c r="AY27" s="75"/>
      <c r="AZ27" s="75"/>
      <c r="BA27" s="76"/>
    </row>
    <row r="28" spans="1:53" s="58" customFormat="1" x14ac:dyDescent="0.3">
      <c r="A28" s="69" t="s">
        <v>73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>
        <v>9</v>
      </c>
      <c r="T28" s="70">
        <v>9</v>
      </c>
      <c r="U28" s="70">
        <v>9</v>
      </c>
      <c r="V28" s="70">
        <v>9</v>
      </c>
      <c r="W28" s="70">
        <v>9</v>
      </c>
      <c r="X28" s="70">
        <v>9</v>
      </c>
      <c r="Y28" s="70">
        <v>9</v>
      </c>
      <c r="Z28" s="70">
        <v>9</v>
      </c>
      <c r="AA28" s="70">
        <v>9</v>
      </c>
      <c r="AB28" s="70">
        <v>9</v>
      </c>
      <c r="AC28" s="70">
        <v>9</v>
      </c>
      <c r="AD28" s="70">
        <v>9</v>
      </c>
      <c r="AE28" s="70">
        <v>9</v>
      </c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</row>
    <row r="29" spans="1:53" s="58" customFormat="1" x14ac:dyDescent="0.3">
      <c r="A29" s="83" t="s">
        <v>74</v>
      </c>
      <c r="B29" s="84"/>
      <c r="C29" s="84"/>
      <c r="D29" s="84"/>
      <c r="E29" s="84"/>
      <c r="F29" s="84"/>
      <c r="G29" s="84"/>
      <c r="H29" s="84"/>
      <c r="I29" s="86"/>
      <c r="J29" s="84"/>
      <c r="K29" s="84"/>
      <c r="L29" s="84"/>
      <c r="M29" s="84"/>
      <c r="N29" s="84"/>
      <c r="O29" s="84"/>
      <c r="P29" s="84"/>
      <c r="Q29" s="84"/>
      <c r="R29" s="84"/>
      <c r="S29" s="84">
        <v>9</v>
      </c>
      <c r="T29" s="84">
        <v>9</v>
      </c>
      <c r="U29" s="84">
        <v>9</v>
      </c>
      <c r="V29" s="84">
        <v>9</v>
      </c>
      <c r="W29" s="84">
        <v>9</v>
      </c>
      <c r="X29" s="84">
        <v>9</v>
      </c>
      <c r="Y29" s="84">
        <v>9</v>
      </c>
      <c r="Z29" s="84">
        <v>9</v>
      </c>
      <c r="AA29" s="84">
        <v>9</v>
      </c>
      <c r="AB29" s="84">
        <v>9</v>
      </c>
      <c r="AC29" s="84">
        <v>9</v>
      </c>
      <c r="AD29" s="84">
        <v>9</v>
      </c>
      <c r="AE29" s="84">
        <v>9</v>
      </c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</row>
    <row r="30" spans="1:53" s="58" customFormat="1" ht="15" thickBot="1" x14ac:dyDescent="0.35">
      <c r="A30" s="74" t="s">
        <v>75</v>
      </c>
      <c r="B30" s="85"/>
      <c r="C30" s="85"/>
      <c r="D30" s="85"/>
      <c r="E30" s="85"/>
      <c r="F30" s="85"/>
      <c r="G30" s="85"/>
      <c r="H30" s="85"/>
      <c r="I30" s="87"/>
      <c r="J30" s="85"/>
      <c r="K30" s="85"/>
      <c r="L30" s="85"/>
      <c r="M30" s="85"/>
      <c r="N30" s="85"/>
      <c r="O30" s="85"/>
      <c r="P30" s="85"/>
      <c r="Q30" s="85"/>
      <c r="R30" s="85"/>
      <c r="S30" s="85">
        <v>8</v>
      </c>
      <c r="T30" s="85">
        <v>8</v>
      </c>
      <c r="U30" s="85">
        <v>8</v>
      </c>
      <c r="V30" s="85">
        <v>8</v>
      </c>
      <c r="W30" s="85">
        <v>8</v>
      </c>
      <c r="X30" s="85">
        <v>8</v>
      </c>
      <c r="Y30" s="85">
        <v>8</v>
      </c>
      <c r="Z30" s="85">
        <v>8</v>
      </c>
      <c r="AA30" s="85">
        <v>8</v>
      </c>
      <c r="AB30" s="85">
        <v>8</v>
      </c>
      <c r="AC30" s="85">
        <v>8</v>
      </c>
      <c r="AD30" s="85">
        <v>8</v>
      </c>
      <c r="AE30" s="85">
        <v>8</v>
      </c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</row>
    <row r="31" spans="1:53" s="58" customFormat="1" x14ac:dyDescent="0.3">
      <c r="A31" s="57"/>
      <c r="B31" s="59"/>
      <c r="C31" s="59"/>
      <c r="D31" s="59"/>
      <c r="E31" s="59"/>
      <c r="F31" s="59"/>
      <c r="G31" s="59"/>
      <c r="H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</row>
    <row r="33" spans="1:53" s="58" customFormat="1" x14ac:dyDescent="0.3">
      <c r="A33" s="57"/>
      <c r="AO33" s="59"/>
    </row>
    <row r="34" spans="1:53" ht="15" thickBot="1" x14ac:dyDescent="0.35"/>
    <row r="35" spans="1:53" ht="18" x14ac:dyDescent="0.35">
      <c r="A35" s="60" t="s">
        <v>1</v>
      </c>
      <c r="B35" s="61" t="s">
        <v>64</v>
      </c>
      <c r="C35" s="62" t="s">
        <v>65</v>
      </c>
      <c r="E35" s="64"/>
    </row>
    <row r="36" spans="1:53" ht="18.600000000000001" thickBot="1" x14ac:dyDescent="0.4">
      <c r="A36" s="66" t="s">
        <v>61</v>
      </c>
      <c r="B36" s="64">
        <v>3</v>
      </c>
      <c r="C36" s="67" t="s">
        <v>66</v>
      </c>
      <c r="D36" s="68"/>
    </row>
    <row r="37" spans="1:53" x14ac:dyDescent="0.3">
      <c r="A37" s="69" t="s">
        <v>67</v>
      </c>
      <c r="B37" s="70">
        <v>1</v>
      </c>
      <c r="C37" s="70">
        <v>2</v>
      </c>
      <c r="D37" s="70">
        <v>3</v>
      </c>
      <c r="E37" s="70">
        <v>4</v>
      </c>
      <c r="F37" s="70">
        <v>5</v>
      </c>
      <c r="G37" s="70">
        <v>6</v>
      </c>
      <c r="H37" s="70">
        <v>7</v>
      </c>
      <c r="I37" s="70">
        <v>8</v>
      </c>
      <c r="J37" s="70">
        <v>9</v>
      </c>
      <c r="K37" s="70">
        <v>10</v>
      </c>
      <c r="L37" s="70">
        <v>11</v>
      </c>
      <c r="M37" s="70">
        <v>12</v>
      </c>
      <c r="N37" s="70">
        <v>13</v>
      </c>
      <c r="O37" s="70">
        <v>14</v>
      </c>
      <c r="P37" s="70">
        <v>15</v>
      </c>
      <c r="Q37" s="70">
        <v>16</v>
      </c>
      <c r="R37" s="70">
        <v>17</v>
      </c>
      <c r="S37" s="70">
        <v>18</v>
      </c>
      <c r="T37" s="70">
        <v>19</v>
      </c>
      <c r="U37" s="70">
        <v>20</v>
      </c>
      <c r="V37" s="70">
        <v>21</v>
      </c>
      <c r="W37" s="70">
        <v>22</v>
      </c>
      <c r="X37" s="70">
        <v>23</v>
      </c>
      <c r="Y37" s="70">
        <v>24</v>
      </c>
      <c r="Z37" s="70">
        <v>25</v>
      </c>
      <c r="AA37" s="70">
        <v>26</v>
      </c>
      <c r="AB37" s="70">
        <v>27</v>
      </c>
      <c r="AC37" s="70">
        <v>28</v>
      </c>
      <c r="AD37" s="70">
        <v>29</v>
      </c>
      <c r="AE37" s="70">
        <v>30</v>
      </c>
      <c r="AF37" s="70">
        <v>31</v>
      </c>
      <c r="AG37" s="70">
        <v>32</v>
      </c>
      <c r="AH37" s="70">
        <v>33</v>
      </c>
      <c r="AI37" s="70">
        <v>34</v>
      </c>
      <c r="AJ37" s="70">
        <v>35</v>
      </c>
      <c r="AK37" s="70">
        <v>36</v>
      </c>
      <c r="AL37" s="70">
        <v>37</v>
      </c>
      <c r="AM37" s="70">
        <v>38</v>
      </c>
      <c r="AN37" s="70">
        <v>39</v>
      </c>
      <c r="AO37" s="70">
        <v>40</v>
      </c>
      <c r="AP37" s="70">
        <v>41</v>
      </c>
      <c r="AQ37" s="70">
        <v>42</v>
      </c>
      <c r="AR37" s="70">
        <v>43</v>
      </c>
      <c r="AS37" s="70">
        <v>44</v>
      </c>
      <c r="AT37" s="70">
        <v>45</v>
      </c>
      <c r="AU37" s="70">
        <v>46</v>
      </c>
      <c r="AV37" s="70">
        <v>47</v>
      </c>
      <c r="AW37" s="70">
        <v>48</v>
      </c>
      <c r="AX37" s="70">
        <v>49</v>
      </c>
      <c r="AY37" s="70">
        <v>50</v>
      </c>
      <c r="AZ37" s="70">
        <v>51</v>
      </c>
      <c r="BA37" s="71">
        <v>52</v>
      </c>
    </row>
    <row r="38" spans="1:53" ht="13.95" customHeight="1" x14ac:dyDescent="0.3">
      <c r="A38" s="72" t="s">
        <v>68</v>
      </c>
      <c r="B38" s="73">
        <v>85</v>
      </c>
      <c r="C38" s="73">
        <v>85</v>
      </c>
      <c r="D38" s="73">
        <v>85</v>
      </c>
      <c r="E38" s="73">
        <v>85</v>
      </c>
      <c r="F38" s="73">
        <v>85</v>
      </c>
      <c r="G38" s="73">
        <v>85</v>
      </c>
      <c r="H38" s="73">
        <v>85</v>
      </c>
      <c r="I38" s="73">
        <v>85</v>
      </c>
      <c r="J38" s="73">
        <v>85</v>
      </c>
      <c r="K38" s="73">
        <v>85</v>
      </c>
      <c r="L38" s="73">
        <v>85</v>
      </c>
      <c r="M38" s="73">
        <v>85</v>
      </c>
      <c r="N38" s="73">
        <v>85</v>
      </c>
      <c r="O38" s="73">
        <v>85</v>
      </c>
      <c r="P38" s="73">
        <v>85</v>
      </c>
      <c r="Q38" s="73">
        <v>85</v>
      </c>
      <c r="R38" s="73">
        <v>85</v>
      </c>
      <c r="S38" s="73">
        <v>85</v>
      </c>
      <c r="T38" s="73">
        <v>85</v>
      </c>
      <c r="U38" s="73">
        <v>85</v>
      </c>
      <c r="V38" s="73">
        <v>85</v>
      </c>
      <c r="W38" s="73">
        <v>85</v>
      </c>
      <c r="X38" s="73">
        <v>85</v>
      </c>
      <c r="Y38" s="73">
        <v>85</v>
      </c>
      <c r="Z38" s="73">
        <v>85</v>
      </c>
      <c r="AA38" s="73">
        <v>85</v>
      </c>
      <c r="AB38" s="73">
        <v>85</v>
      </c>
      <c r="AC38" s="73">
        <v>85</v>
      </c>
      <c r="AD38" s="73">
        <v>85</v>
      </c>
      <c r="AE38" s="73">
        <v>85</v>
      </c>
      <c r="AF38" s="73">
        <v>85</v>
      </c>
      <c r="AG38" s="73">
        <v>85</v>
      </c>
      <c r="AH38" s="73">
        <v>85</v>
      </c>
      <c r="AI38" s="73">
        <v>85</v>
      </c>
      <c r="AJ38" s="73">
        <v>85</v>
      </c>
      <c r="AK38" s="73">
        <v>85</v>
      </c>
      <c r="AL38" s="73">
        <v>85</v>
      </c>
      <c r="AM38" s="73">
        <v>85</v>
      </c>
      <c r="AN38" s="73">
        <v>85</v>
      </c>
      <c r="AO38" s="73">
        <v>85</v>
      </c>
      <c r="AP38" s="73">
        <v>85</v>
      </c>
      <c r="AQ38" s="73">
        <v>85</v>
      </c>
      <c r="AR38" s="73">
        <v>85</v>
      </c>
      <c r="AS38" s="73">
        <v>85</v>
      </c>
      <c r="AT38" s="73">
        <v>85</v>
      </c>
      <c r="AU38" s="73">
        <v>85</v>
      </c>
      <c r="AV38" s="73">
        <v>85</v>
      </c>
      <c r="AW38" s="73"/>
      <c r="AX38" s="73"/>
      <c r="AY38" s="73"/>
      <c r="AZ38" s="73"/>
      <c r="BA38" s="73"/>
    </row>
    <row r="39" spans="1:53" ht="15" thickBot="1" x14ac:dyDescent="0.35">
      <c r="A39" s="74" t="s">
        <v>69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>
        <f>'week 19'!I5</f>
        <v>88</v>
      </c>
      <c r="T39" s="75">
        <f>'week 20'!K5</f>
        <v>88</v>
      </c>
      <c r="U39" s="75">
        <f>'week 21'!K5</f>
        <v>87</v>
      </c>
      <c r="V39" s="75">
        <f>'week 22'!K5</f>
        <v>90</v>
      </c>
      <c r="W39" s="75">
        <f>'week 23'!K5</f>
        <v>88</v>
      </c>
      <c r="X39" s="75">
        <f>'week 24'!K5</f>
        <v>87</v>
      </c>
      <c r="Y39" s="75">
        <f>'week 25'!K5</f>
        <v>88</v>
      </c>
      <c r="Z39" s="75">
        <f>'week 25'!K5</f>
        <v>88</v>
      </c>
      <c r="AA39" s="75">
        <v>87</v>
      </c>
      <c r="AB39" s="75">
        <v>86</v>
      </c>
      <c r="AC39" s="75">
        <v>87</v>
      </c>
      <c r="AD39" s="75">
        <v>88</v>
      </c>
      <c r="AE39" s="75">
        <v>88</v>
      </c>
      <c r="AF39" s="75">
        <v>87</v>
      </c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</row>
    <row r="40" spans="1:53" x14ac:dyDescent="0.3">
      <c r="A40" s="77" t="s">
        <v>67</v>
      </c>
      <c r="B40" s="59">
        <v>1</v>
      </c>
      <c r="C40" s="59">
        <v>2</v>
      </c>
      <c r="D40" s="59">
        <v>3</v>
      </c>
      <c r="E40" s="59">
        <v>4</v>
      </c>
      <c r="F40" s="59">
        <v>5</v>
      </c>
      <c r="G40" s="59">
        <v>6</v>
      </c>
      <c r="H40" s="59">
        <v>7</v>
      </c>
      <c r="I40" s="59">
        <v>8</v>
      </c>
      <c r="J40" s="59">
        <v>9</v>
      </c>
      <c r="K40" s="59">
        <v>10</v>
      </c>
      <c r="L40" s="59">
        <v>11</v>
      </c>
      <c r="M40" s="59">
        <v>12</v>
      </c>
      <c r="N40" s="59">
        <v>13</v>
      </c>
      <c r="O40" s="59">
        <v>14</v>
      </c>
      <c r="P40" s="59">
        <v>15</v>
      </c>
      <c r="Q40" s="59">
        <v>16</v>
      </c>
      <c r="R40" s="59">
        <v>17</v>
      </c>
      <c r="S40" s="59">
        <v>18</v>
      </c>
      <c r="T40" s="59">
        <v>19</v>
      </c>
      <c r="U40" s="59">
        <v>20</v>
      </c>
      <c r="V40" s="59">
        <v>21</v>
      </c>
      <c r="W40" s="59">
        <v>22</v>
      </c>
      <c r="X40" s="59">
        <v>23</v>
      </c>
      <c r="Y40" s="59">
        <v>24</v>
      </c>
      <c r="Z40" s="59">
        <v>25</v>
      </c>
      <c r="AA40" s="59">
        <v>26</v>
      </c>
      <c r="AB40" s="59">
        <v>27</v>
      </c>
      <c r="AC40" s="59">
        <v>28</v>
      </c>
      <c r="AD40" s="59">
        <v>29</v>
      </c>
      <c r="AE40" s="59">
        <v>30</v>
      </c>
      <c r="AF40" s="59">
        <v>31</v>
      </c>
      <c r="AG40" s="59">
        <v>32</v>
      </c>
      <c r="AH40" s="59">
        <v>33</v>
      </c>
      <c r="AI40" s="59">
        <v>34</v>
      </c>
      <c r="AJ40" s="59">
        <v>35</v>
      </c>
      <c r="AK40" s="59">
        <v>36</v>
      </c>
      <c r="AL40" s="59">
        <v>37</v>
      </c>
      <c r="AM40" s="59">
        <v>38</v>
      </c>
      <c r="AN40" s="59">
        <v>39</v>
      </c>
      <c r="AO40" s="59">
        <v>40</v>
      </c>
      <c r="AP40" s="59">
        <v>41</v>
      </c>
      <c r="AQ40" s="59">
        <v>42</v>
      </c>
      <c r="AR40" s="59">
        <v>43</v>
      </c>
      <c r="AS40" s="59">
        <v>44</v>
      </c>
      <c r="AT40" s="59">
        <v>45</v>
      </c>
      <c r="AU40" s="59">
        <v>46</v>
      </c>
      <c r="AV40" s="59">
        <v>47</v>
      </c>
      <c r="AW40" s="70">
        <v>48</v>
      </c>
      <c r="AX40" s="70">
        <v>49</v>
      </c>
      <c r="AY40" s="70">
        <v>50</v>
      </c>
      <c r="AZ40" s="70">
        <v>51</v>
      </c>
      <c r="BA40" s="71">
        <v>52</v>
      </c>
    </row>
    <row r="41" spans="1:53" x14ac:dyDescent="0.3">
      <c r="A41" s="78" t="s">
        <v>70</v>
      </c>
      <c r="B41" s="79">
        <v>60</v>
      </c>
      <c r="C41" s="79">
        <v>60</v>
      </c>
      <c r="D41" s="79">
        <v>60</v>
      </c>
      <c r="E41" s="79">
        <f t="shared" ref="E41:AV41" si="2">D41</f>
        <v>60</v>
      </c>
      <c r="F41" s="79">
        <f t="shared" si="2"/>
        <v>60</v>
      </c>
      <c r="G41" s="79">
        <f t="shared" si="2"/>
        <v>60</v>
      </c>
      <c r="H41" s="79">
        <f t="shared" si="2"/>
        <v>60</v>
      </c>
      <c r="I41" s="79">
        <f t="shared" si="2"/>
        <v>60</v>
      </c>
      <c r="J41" s="79">
        <f t="shared" si="2"/>
        <v>60</v>
      </c>
      <c r="K41" s="79">
        <f t="shared" si="2"/>
        <v>60</v>
      </c>
      <c r="L41" s="79">
        <f t="shared" si="2"/>
        <v>60</v>
      </c>
      <c r="M41" s="79">
        <f t="shared" si="2"/>
        <v>60</v>
      </c>
      <c r="N41" s="79">
        <f t="shared" si="2"/>
        <v>60</v>
      </c>
      <c r="O41" s="79">
        <f t="shared" si="2"/>
        <v>60</v>
      </c>
      <c r="P41" s="79">
        <f t="shared" si="2"/>
        <v>60</v>
      </c>
      <c r="Q41" s="79">
        <f t="shared" si="2"/>
        <v>60</v>
      </c>
      <c r="R41" s="79">
        <f t="shared" si="2"/>
        <v>60</v>
      </c>
      <c r="S41" s="79">
        <f t="shared" si="2"/>
        <v>60</v>
      </c>
      <c r="T41" s="79">
        <f t="shared" si="2"/>
        <v>60</v>
      </c>
      <c r="U41" s="79">
        <f t="shared" si="2"/>
        <v>60</v>
      </c>
      <c r="V41" s="79">
        <f t="shared" si="2"/>
        <v>60</v>
      </c>
      <c r="W41" s="79">
        <f t="shared" si="2"/>
        <v>60</v>
      </c>
      <c r="X41" s="79">
        <f t="shared" si="2"/>
        <v>60</v>
      </c>
      <c r="Y41" s="79">
        <f t="shared" si="2"/>
        <v>60</v>
      </c>
      <c r="Z41" s="79">
        <f t="shared" si="2"/>
        <v>60</v>
      </c>
      <c r="AA41" s="79">
        <f t="shared" si="2"/>
        <v>60</v>
      </c>
      <c r="AB41" s="79">
        <f t="shared" si="2"/>
        <v>60</v>
      </c>
      <c r="AC41" s="79">
        <f t="shared" si="2"/>
        <v>60</v>
      </c>
      <c r="AD41" s="79">
        <f t="shared" si="2"/>
        <v>60</v>
      </c>
      <c r="AE41" s="79">
        <f t="shared" si="2"/>
        <v>60</v>
      </c>
      <c r="AF41" s="79">
        <f t="shared" si="2"/>
        <v>60</v>
      </c>
      <c r="AG41" s="79">
        <f t="shared" si="2"/>
        <v>60</v>
      </c>
      <c r="AH41" s="79">
        <f t="shared" si="2"/>
        <v>60</v>
      </c>
      <c r="AI41" s="79">
        <f t="shared" si="2"/>
        <v>60</v>
      </c>
      <c r="AJ41" s="79">
        <f t="shared" si="2"/>
        <v>60</v>
      </c>
      <c r="AK41" s="79">
        <f t="shared" si="2"/>
        <v>60</v>
      </c>
      <c r="AL41" s="79">
        <f t="shared" si="2"/>
        <v>60</v>
      </c>
      <c r="AM41" s="79">
        <f t="shared" si="2"/>
        <v>60</v>
      </c>
      <c r="AN41" s="79">
        <f t="shared" si="2"/>
        <v>60</v>
      </c>
      <c r="AO41" s="79">
        <f t="shared" si="2"/>
        <v>60</v>
      </c>
      <c r="AP41" s="79">
        <f t="shared" si="2"/>
        <v>60</v>
      </c>
      <c r="AQ41" s="79">
        <f t="shared" si="2"/>
        <v>60</v>
      </c>
      <c r="AR41" s="79">
        <f t="shared" si="2"/>
        <v>60</v>
      </c>
      <c r="AS41" s="79">
        <f t="shared" si="2"/>
        <v>60</v>
      </c>
      <c r="AT41" s="79">
        <f t="shared" si="2"/>
        <v>60</v>
      </c>
      <c r="AU41" s="79">
        <f t="shared" si="2"/>
        <v>60</v>
      </c>
      <c r="AV41" s="79">
        <f t="shared" si="2"/>
        <v>60</v>
      </c>
      <c r="AW41" s="79"/>
      <c r="AX41" s="79"/>
      <c r="AY41" s="79"/>
      <c r="AZ41" s="79"/>
      <c r="BA41" s="79"/>
    </row>
    <row r="42" spans="1:53" x14ac:dyDescent="0.3">
      <c r="A42" s="77" t="s">
        <v>71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>
        <f>'week 19'!G5</f>
        <v>29</v>
      </c>
      <c r="T42" s="80">
        <f>'week 20'!I5</f>
        <v>29</v>
      </c>
      <c r="U42" s="80">
        <f>'week 21'!I5</f>
        <v>63</v>
      </c>
      <c r="V42" s="80">
        <f>'week 22'!I5</f>
        <v>57</v>
      </c>
      <c r="W42" s="80">
        <f>'week 23'!I5</f>
        <v>57</v>
      </c>
      <c r="X42" s="80">
        <f>'week 24'!I5</f>
        <v>57</v>
      </c>
      <c r="Y42" s="80">
        <f>'week 25'!I5</f>
        <v>50</v>
      </c>
      <c r="Z42" s="80">
        <v>47</v>
      </c>
      <c r="AA42" s="80">
        <v>28</v>
      </c>
      <c r="AB42" s="80">
        <v>57</v>
      </c>
      <c r="AC42" s="80">
        <v>59</v>
      </c>
      <c r="AD42" s="80">
        <v>59</v>
      </c>
      <c r="AE42" s="80">
        <v>45</v>
      </c>
      <c r="AF42" s="80">
        <v>41</v>
      </c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1"/>
    </row>
    <row r="43" spans="1:53" ht="15" thickBot="1" x14ac:dyDescent="0.35">
      <c r="A43" s="74" t="s">
        <v>72</v>
      </c>
      <c r="B43" s="75"/>
      <c r="C43" s="82"/>
      <c r="D43" s="75"/>
      <c r="E43" s="82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82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82"/>
      <c r="AU43" s="75"/>
      <c r="AV43" s="75"/>
      <c r="AW43" s="82"/>
      <c r="AX43" s="75"/>
      <c r="AY43" s="75"/>
      <c r="AZ43" s="75"/>
      <c r="BA43" s="76"/>
    </row>
    <row r="44" spans="1:53" s="58" customFormat="1" x14ac:dyDescent="0.3">
      <c r="A44" s="69" t="s">
        <v>73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>
        <v>9</v>
      </c>
      <c r="T44" s="70">
        <v>9</v>
      </c>
      <c r="U44" s="70">
        <v>9</v>
      </c>
      <c r="V44" s="70">
        <v>9</v>
      </c>
      <c r="W44" s="70">
        <v>9</v>
      </c>
      <c r="X44" s="70">
        <v>9</v>
      </c>
      <c r="Y44" s="70">
        <v>9</v>
      </c>
      <c r="Z44" s="70">
        <v>9</v>
      </c>
      <c r="AA44" s="70">
        <v>9</v>
      </c>
      <c r="AB44" s="70">
        <v>9</v>
      </c>
      <c r="AC44" s="70">
        <v>9</v>
      </c>
      <c r="AD44" s="70">
        <v>9</v>
      </c>
      <c r="AE44" s="70">
        <v>9</v>
      </c>
      <c r="AF44" s="70">
        <v>9</v>
      </c>
      <c r="AG44" s="70">
        <v>9</v>
      </c>
      <c r="AH44" s="70">
        <v>9</v>
      </c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</row>
    <row r="45" spans="1:53" s="58" customFormat="1" x14ac:dyDescent="0.3">
      <c r="A45" s="83" t="s">
        <v>74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>
        <v>9</v>
      </c>
      <c r="T45" s="84">
        <v>9</v>
      </c>
      <c r="U45" s="84">
        <v>9</v>
      </c>
      <c r="V45" s="84">
        <v>9</v>
      </c>
      <c r="W45" s="84">
        <v>9</v>
      </c>
      <c r="X45" s="84">
        <v>9</v>
      </c>
      <c r="Y45" s="84">
        <v>9</v>
      </c>
      <c r="Z45" s="84">
        <v>9</v>
      </c>
      <c r="AA45" s="84">
        <v>9</v>
      </c>
      <c r="AB45" s="84">
        <v>9</v>
      </c>
      <c r="AC45" s="84">
        <v>9</v>
      </c>
      <c r="AD45" s="84">
        <v>9</v>
      </c>
      <c r="AE45" s="84">
        <v>9</v>
      </c>
      <c r="AF45" s="84">
        <v>9</v>
      </c>
      <c r="AG45" s="84">
        <v>9</v>
      </c>
      <c r="AH45" s="84">
        <v>9</v>
      </c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</row>
    <row r="46" spans="1:53" s="58" customFormat="1" ht="15" thickBot="1" x14ac:dyDescent="0.35">
      <c r="A46" s="74" t="s">
        <v>75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>
        <v>8</v>
      </c>
      <c r="T46" s="85">
        <v>8</v>
      </c>
      <c r="U46" s="85">
        <v>8</v>
      </c>
      <c r="V46" s="85">
        <v>8</v>
      </c>
      <c r="W46" s="85">
        <v>8</v>
      </c>
      <c r="X46" s="85">
        <v>8</v>
      </c>
      <c r="Y46" s="85">
        <v>8</v>
      </c>
      <c r="Z46" s="85">
        <v>8</v>
      </c>
      <c r="AA46" s="85">
        <v>8</v>
      </c>
      <c r="AB46" s="85">
        <v>8</v>
      </c>
      <c r="AC46" s="85">
        <v>8</v>
      </c>
      <c r="AD46" s="85">
        <v>8</v>
      </c>
      <c r="AE46" s="85">
        <v>8</v>
      </c>
      <c r="AF46" s="85">
        <v>8</v>
      </c>
      <c r="AG46" s="85">
        <v>8</v>
      </c>
      <c r="AH46" s="85">
        <v>8</v>
      </c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</row>
    <row r="47" spans="1:53" s="58" customFormat="1" x14ac:dyDescent="0.3">
      <c r="A47" s="57"/>
      <c r="B47" s="59"/>
      <c r="AO47" s="59"/>
      <c r="AP47" s="59"/>
      <c r="AQ47" s="59"/>
      <c r="AR47" s="59"/>
      <c r="AS47" s="59"/>
      <c r="AU47" s="59"/>
      <c r="AV47" s="59"/>
      <c r="AX47" s="59"/>
      <c r="AY47" s="59"/>
      <c r="AZ47" s="59"/>
      <c r="BA47" s="59"/>
    </row>
    <row r="48" spans="1:53" s="58" customFormat="1" x14ac:dyDescent="0.3">
      <c r="A48" s="57"/>
      <c r="B48" s="59"/>
      <c r="C48" s="59"/>
      <c r="D48" s="59"/>
      <c r="E48" s="59"/>
      <c r="F48" s="59"/>
      <c r="G48" s="59"/>
      <c r="H48" s="59"/>
      <c r="I48" s="59"/>
      <c r="J48" s="59"/>
      <c r="K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1:53" s="58" customFormat="1" x14ac:dyDescent="0.3">
      <c r="A49" s="57"/>
      <c r="B49" s="59"/>
      <c r="C49" s="59"/>
      <c r="AM49" s="59"/>
      <c r="AN49" s="59"/>
      <c r="AO49" s="59"/>
      <c r="AP49" s="59"/>
      <c r="AQ49" s="59"/>
      <c r="AR49" s="59"/>
      <c r="AS49" s="59"/>
      <c r="AT49" s="59"/>
      <c r="AU49" s="59"/>
      <c r="AW49" s="59"/>
      <c r="AX49" s="59"/>
      <c r="AY49" s="59"/>
      <c r="AZ49" s="59"/>
      <c r="BA49" s="59"/>
    </row>
    <row r="50" spans="1:53" ht="15" thickBot="1" x14ac:dyDescent="0.35">
      <c r="A50" s="91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</row>
    <row r="51" spans="1:53" ht="18" x14ac:dyDescent="0.35">
      <c r="A51" s="60" t="s">
        <v>1</v>
      </c>
      <c r="B51" s="61" t="s">
        <v>64</v>
      </c>
      <c r="C51" s="62" t="s">
        <v>65</v>
      </c>
      <c r="E51" s="64"/>
    </row>
    <row r="52" spans="1:53" ht="18.600000000000001" thickBot="1" x14ac:dyDescent="0.4">
      <c r="A52" s="66" t="s">
        <v>230</v>
      </c>
      <c r="B52" s="64">
        <v>4</v>
      </c>
      <c r="C52" s="67" t="s">
        <v>76</v>
      </c>
      <c r="D52" s="91"/>
      <c r="E52" s="93"/>
    </row>
    <row r="53" spans="1:53" x14ac:dyDescent="0.3">
      <c r="A53" s="69" t="s">
        <v>67</v>
      </c>
      <c r="B53" s="70">
        <v>1</v>
      </c>
      <c r="C53" s="70">
        <v>2</v>
      </c>
      <c r="D53" s="70">
        <v>3</v>
      </c>
      <c r="E53" s="70">
        <v>4</v>
      </c>
      <c r="F53" s="70">
        <v>5</v>
      </c>
      <c r="G53" s="70">
        <v>6</v>
      </c>
      <c r="H53" s="70">
        <v>7</v>
      </c>
      <c r="I53" s="70">
        <v>8</v>
      </c>
      <c r="J53" s="70">
        <v>9</v>
      </c>
      <c r="K53" s="70">
        <v>10</v>
      </c>
      <c r="L53" s="70">
        <v>11</v>
      </c>
      <c r="M53" s="70">
        <v>12</v>
      </c>
      <c r="N53" s="70">
        <v>13</v>
      </c>
      <c r="O53" s="70">
        <v>14</v>
      </c>
      <c r="P53" s="70">
        <v>15</v>
      </c>
      <c r="Q53" s="70">
        <v>16</v>
      </c>
      <c r="R53" s="70">
        <v>17</v>
      </c>
      <c r="S53" s="70">
        <v>18</v>
      </c>
      <c r="T53" s="70">
        <v>19</v>
      </c>
      <c r="U53" s="70">
        <v>20</v>
      </c>
      <c r="V53" s="70">
        <v>21</v>
      </c>
      <c r="W53" s="70">
        <v>22</v>
      </c>
      <c r="X53" s="70">
        <v>23</v>
      </c>
      <c r="Y53" s="70">
        <v>24</v>
      </c>
      <c r="Z53" s="70">
        <v>25</v>
      </c>
      <c r="AA53" s="70">
        <v>26</v>
      </c>
      <c r="AB53" s="70">
        <v>27</v>
      </c>
      <c r="AC53" s="70">
        <v>28</v>
      </c>
      <c r="AD53" s="70">
        <v>29</v>
      </c>
      <c r="AE53" s="70">
        <v>30</v>
      </c>
      <c r="AF53" s="70">
        <v>31</v>
      </c>
      <c r="AG53" s="70">
        <v>32</v>
      </c>
      <c r="AH53" s="70">
        <v>33</v>
      </c>
      <c r="AI53" s="70">
        <v>34</v>
      </c>
      <c r="AJ53" s="70">
        <v>35</v>
      </c>
      <c r="AK53" s="70">
        <v>36</v>
      </c>
      <c r="AL53" s="70">
        <v>37</v>
      </c>
      <c r="AM53" s="70">
        <v>38</v>
      </c>
      <c r="AN53" s="70">
        <v>39</v>
      </c>
      <c r="AO53" s="70">
        <v>40</v>
      </c>
      <c r="AP53" s="70">
        <v>41</v>
      </c>
      <c r="AQ53" s="70">
        <v>42</v>
      </c>
      <c r="AR53" s="70">
        <v>43</v>
      </c>
      <c r="AS53" s="70">
        <v>44</v>
      </c>
      <c r="AT53" s="70">
        <v>45</v>
      </c>
      <c r="AU53" s="70">
        <v>46</v>
      </c>
      <c r="AV53" s="70">
        <v>47</v>
      </c>
      <c r="AW53" s="70">
        <v>48</v>
      </c>
      <c r="AX53" s="70">
        <v>49</v>
      </c>
      <c r="AY53" s="70">
        <v>50</v>
      </c>
      <c r="AZ53" s="70">
        <v>51</v>
      </c>
      <c r="BA53" s="71">
        <v>52</v>
      </c>
    </row>
    <row r="54" spans="1:53" x14ac:dyDescent="0.3">
      <c r="A54" s="72" t="s">
        <v>68</v>
      </c>
      <c r="B54" s="73">
        <v>85</v>
      </c>
      <c r="C54" s="73">
        <v>85</v>
      </c>
      <c r="D54" s="73">
        <v>85</v>
      </c>
      <c r="E54" s="73">
        <v>85</v>
      </c>
      <c r="F54" s="73">
        <v>85</v>
      </c>
      <c r="G54" s="73">
        <v>85</v>
      </c>
      <c r="H54" s="73">
        <v>85</v>
      </c>
      <c r="I54" s="73">
        <v>85</v>
      </c>
      <c r="J54" s="73">
        <v>85</v>
      </c>
      <c r="K54" s="73">
        <v>85</v>
      </c>
      <c r="L54" s="73">
        <v>85</v>
      </c>
      <c r="M54" s="73">
        <v>85</v>
      </c>
      <c r="N54" s="73">
        <v>85</v>
      </c>
      <c r="O54" s="73">
        <v>85</v>
      </c>
      <c r="P54" s="73">
        <v>85</v>
      </c>
      <c r="Q54" s="73">
        <v>85</v>
      </c>
      <c r="R54" s="73">
        <v>85</v>
      </c>
      <c r="S54" s="73">
        <v>85</v>
      </c>
      <c r="T54" s="73">
        <v>85</v>
      </c>
      <c r="U54" s="73">
        <v>85</v>
      </c>
      <c r="V54" s="73">
        <v>85</v>
      </c>
      <c r="W54" s="73">
        <v>85</v>
      </c>
      <c r="X54" s="73">
        <v>85</v>
      </c>
      <c r="Y54" s="73">
        <v>85</v>
      </c>
      <c r="Z54" s="73">
        <v>85</v>
      </c>
      <c r="AA54" s="73">
        <v>85</v>
      </c>
      <c r="AB54" s="73">
        <v>85</v>
      </c>
      <c r="AC54" s="73">
        <v>85</v>
      </c>
      <c r="AD54" s="73">
        <v>85</v>
      </c>
      <c r="AE54" s="73">
        <v>85</v>
      </c>
      <c r="AF54" s="73">
        <v>85</v>
      </c>
      <c r="AG54" s="73">
        <v>85</v>
      </c>
      <c r="AH54" s="73">
        <v>85</v>
      </c>
      <c r="AI54" s="73">
        <v>85</v>
      </c>
      <c r="AJ54" s="73">
        <v>85</v>
      </c>
      <c r="AK54" s="73">
        <v>85</v>
      </c>
      <c r="AL54" s="73">
        <v>85</v>
      </c>
      <c r="AM54" s="73">
        <v>85</v>
      </c>
      <c r="AN54" s="73">
        <v>85</v>
      </c>
      <c r="AO54" s="73">
        <v>85</v>
      </c>
      <c r="AP54" s="73">
        <v>85</v>
      </c>
      <c r="AQ54" s="73">
        <v>85</v>
      </c>
      <c r="AR54" s="73">
        <v>85</v>
      </c>
      <c r="AS54" s="73">
        <v>85</v>
      </c>
      <c r="AT54" s="73">
        <v>85</v>
      </c>
      <c r="AU54" s="73">
        <v>85</v>
      </c>
      <c r="AV54" s="73">
        <v>85</v>
      </c>
      <c r="AW54" s="73"/>
      <c r="AX54" s="73"/>
      <c r="AY54" s="73"/>
      <c r="AZ54" s="73"/>
      <c r="BA54" s="73"/>
    </row>
    <row r="55" spans="1:53" ht="15" thickBot="1" x14ac:dyDescent="0.35">
      <c r="A55" s="74" t="s">
        <v>69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6"/>
    </row>
    <row r="56" spans="1:53" x14ac:dyDescent="0.3">
      <c r="A56" s="77" t="s">
        <v>67</v>
      </c>
      <c r="B56" s="59">
        <v>1</v>
      </c>
      <c r="C56" s="59">
        <v>2</v>
      </c>
      <c r="D56" s="59">
        <v>3</v>
      </c>
      <c r="E56" s="59">
        <v>4</v>
      </c>
      <c r="F56" s="59">
        <v>5</v>
      </c>
      <c r="G56" s="59">
        <v>6</v>
      </c>
      <c r="H56" s="59">
        <v>7</v>
      </c>
      <c r="I56" s="59">
        <v>8</v>
      </c>
      <c r="J56" s="59">
        <v>9</v>
      </c>
      <c r="K56" s="59">
        <v>10</v>
      </c>
      <c r="L56" s="59">
        <v>11</v>
      </c>
      <c r="M56" s="59">
        <v>12</v>
      </c>
      <c r="N56" s="59">
        <v>13</v>
      </c>
      <c r="O56" s="59">
        <v>14</v>
      </c>
      <c r="P56" s="59">
        <v>15</v>
      </c>
      <c r="Q56" s="59">
        <v>16</v>
      </c>
      <c r="R56" s="59">
        <v>17</v>
      </c>
      <c r="S56" s="59">
        <v>18</v>
      </c>
      <c r="T56" s="59">
        <v>19</v>
      </c>
      <c r="U56" s="59">
        <v>20</v>
      </c>
      <c r="V56" s="59">
        <v>21</v>
      </c>
      <c r="W56" s="59">
        <v>22</v>
      </c>
      <c r="X56" s="59">
        <v>23</v>
      </c>
      <c r="Y56" s="59">
        <v>24</v>
      </c>
      <c r="Z56" s="59">
        <v>25</v>
      </c>
      <c r="AA56" s="59">
        <v>26</v>
      </c>
      <c r="AB56" s="59">
        <v>27</v>
      </c>
      <c r="AC56" s="59">
        <v>28</v>
      </c>
      <c r="AD56" s="59">
        <v>29</v>
      </c>
      <c r="AE56" s="59">
        <v>30</v>
      </c>
      <c r="AF56" s="59">
        <v>31</v>
      </c>
      <c r="AG56" s="59">
        <v>32</v>
      </c>
      <c r="AH56" s="59">
        <v>33</v>
      </c>
      <c r="AI56" s="59">
        <v>34</v>
      </c>
      <c r="AJ56" s="59">
        <v>35</v>
      </c>
      <c r="AK56" s="59">
        <v>36</v>
      </c>
      <c r="AL56" s="59">
        <v>37</v>
      </c>
      <c r="AM56" s="59">
        <v>38</v>
      </c>
      <c r="AN56" s="59">
        <v>39</v>
      </c>
      <c r="AO56" s="59">
        <v>40</v>
      </c>
      <c r="AP56" s="59">
        <v>41</v>
      </c>
      <c r="AQ56" s="59">
        <v>42</v>
      </c>
      <c r="AR56" s="59">
        <v>43</v>
      </c>
      <c r="AS56" s="59">
        <v>44</v>
      </c>
      <c r="AT56" s="59">
        <v>45</v>
      </c>
      <c r="AU56" s="59">
        <v>46</v>
      </c>
      <c r="AV56" s="59">
        <v>47</v>
      </c>
      <c r="AW56" s="70">
        <v>48</v>
      </c>
      <c r="AX56" s="70">
        <v>49</v>
      </c>
      <c r="AY56" s="70">
        <v>50</v>
      </c>
      <c r="AZ56" s="70">
        <v>51</v>
      </c>
      <c r="BA56" s="71">
        <v>52</v>
      </c>
    </row>
    <row r="57" spans="1:53" x14ac:dyDescent="0.3">
      <c r="A57" s="78" t="s">
        <v>70</v>
      </c>
      <c r="B57" s="79">
        <v>60</v>
      </c>
      <c r="C57" s="79">
        <f t="shared" ref="C57" si="3">B57</f>
        <v>60</v>
      </c>
      <c r="D57" s="79">
        <f t="shared" ref="D57" si="4">C57</f>
        <v>60</v>
      </c>
      <c r="E57" s="79">
        <f t="shared" ref="E57" si="5">D57</f>
        <v>60</v>
      </c>
      <c r="F57" s="79">
        <f t="shared" ref="F57" si="6">E57</f>
        <v>60</v>
      </c>
      <c r="G57" s="79">
        <f t="shared" ref="G57" si="7">F57</f>
        <v>60</v>
      </c>
      <c r="H57" s="79">
        <f t="shared" ref="H57" si="8">G57</f>
        <v>60</v>
      </c>
      <c r="I57" s="79">
        <f t="shared" ref="I57" si="9">H57</f>
        <v>60</v>
      </c>
      <c r="J57" s="79">
        <f t="shared" ref="J57" si="10">I57</f>
        <v>60</v>
      </c>
      <c r="K57" s="79">
        <f t="shared" ref="K57" si="11">J57</f>
        <v>60</v>
      </c>
      <c r="L57" s="79">
        <f t="shared" ref="L57" si="12">K57</f>
        <v>60</v>
      </c>
      <c r="M57" s="79">
        <f t="shared" ref="M57" si="13">L57</f>
        <v>60</v>
      </c>
      <c r="N57" s="79">
        <f t="shared" ref="N57" si="14">M57</f>
        <v>60</v>
      </c>
      <c r="O57" s="79">
        <f t="shared" ref="O57" si="15">N57</f>
        <v>60</v>
      </c>
      <c r="P57" s="79">
        <f t="shared" ref="P57" si="16">O57</f>
        <v>60</v>
      </c>
      <c r="Q57" s="79">
        <f t="shared" ref="Q57" si="17">P57</f>
        <v>60</v>
      </c>
      <c r="R57" s="79">
        <f t="shared" ref="R57" si="18">Q57</f>
        <v>60</v>
      </c>
      <c r="S57" s="79">
        <f t="shared" ref="S57" si="19">R57</f>
        <v>60</v>
      </c>
      <c r="T57" s="79">
        <f t="shared" ref="T57" si="20">S57</f>
        <v>60</v>
      </c>
      <c r="U57" s="79">
        <f t="shared" ref="U57" si="21">T57</f>
        <v>60</v>
      </c>
      <c r="V57" s="79">
        <f t="shared" ref="V57" si="22">U57</f>
        <v>60</v>
      </c>
      <c r="W57" s="79">
        <f t="shared" ref="W57" si="23">V57</f>
        <v>60</v>
      </c>
      <c r="X57" s="79">
        <f t="shared" ref="X57" si="24">W57</f>
        <v>60</v>
      </c>
      <c r="Y57" s="79">
        <f t="shared" ref="Y57" si="25">X57</f>
        <v>60</v>
      </c>
      <c r="Z57" s="79">
        <f t="shared" ref="Z57" si="26">Y57</f>
        <v>60</v>
      </c>
      <c r="AA57" s="79">
        <f t="shared" ref="AA57" si="27">Z57</f>
        <v>60</v>
      </c>
      <c r="AB57" s="79">
        <f t="shared" ref="AB57" si="28">AA57</f>
        <v>60</v>
      </c>
      <c r="AC57" s="79">
        <f t="shared" ref="AC57" si="29">AB57</f>
        <v>60</v>
      </c>
      <c r="AD57" s="79">
        <f t="shared" ref="AD57" si="30">AC57</f>
        <v>60</v>
      </c>
      <c r="AE57" s="79">
        <f t="shared" ref="AE57" si="31">AD57</f>
        <v>60</v>
      </c>
      <c r="AF57" s="79">
        <f t="shared" ref="AF57" si="32">AE57</f>
        <v>60</v>
      </c>
      <c r="AG57" s="79">
        <f t="shared" ref="AG57" si="33">AF57</f>
        <v>60</v>
      </c>
      <c r="AH57" s="79">
        <f t="shared" ref="AH57" si="34">AG57</f>
        <v>60</v>
      </c>
      <c r="AI57" s="79">
        <f t="shared" ref="AI57" si="35">AH57</f>
        <v>60</v>
      </c>
      <c r="AJ57" s="79">
        <f t="shared" ref="AJ57" si="36">AI57</f>
        <v>60</v>
      </c>
      <c r="AK57" s="79">
        <f t="shared" ref="AK57" si="37">AJ57</f>
        <v>60</v>
      </c>
      <c r="AL57" s="79">
        <f t="shared" ref="AL57" si="38">AK57</f>
        <v>60</v>
      </c>
      <c r="AM57" s="79">
        <f t="shared" ref="AM57" si="39">AL57</f>
        <v>60</v>
      </c>
      <c r="AN57" s="79">
        <f t="shared" ref="AN57" si="40">AM57</f>
        <v>60</v>
      </c>
      <c r="AO57" s="79">
        <f t="shared" ref="AO57" si="41">AN57</f>
        <v>60</v>
      </c>
      <c r="AP57" s="79">
        <f t="shared" ref="AP57" si="42">AO57</f>
        <v>60</v>
      </c>
      <c r="AQ57" s="79">
        <f t="shared" ref="AQ57" si="43">AP57</f>
        <v>60</v>
      </c>
      <c r="AR57" s="79">
        <f t="shared" ref="AR57" si="44">AQ57</f>
        <v>60</v>
      </c>
      <c r="AS57" s="79">
        <f t="shared" ref="AS57" si="45">AR57</f>
        <v>60</v>
      </c>
      <c r="AT57" s="79">
        <f t="shared" ref="AT57" si="46">AS57</f>
        <v>60</v>
      </c>
      <c r="AU57" s="79">
        <f t="shared" ref="AU57" si="47">AT57</f>
        <v>60</v>
      </c>
      <c r="AV57" s="79">
        <f t="shared" ref="AV57" si="48">AU57</f>
        <v>60</v>
      </c>
      <c r="AW57" s="79"/>
      <c r="AX57" s="79"/>
      <c r="AY57" s="79"/>
      <c r="AZ57" s="79"/>
      <c r="BA57" s="79"/>
    </row>
    <row r="58" spans="1:53" x14ac:dyDescent="0.3">
      <c r="A58" s="77" t="s">
        <v>71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1"/>
    </row>
    <row r="59" spans="1:53" ht="48" customHeight="1" thickBot="1" x14ac:dyDescent="0.35">
      <c r="A59" s="74" t="s">
        <v>72</v>
      </c>
      <c r="B59" s="82"/>
      <c r="C59" s="7"/>
      <c r="D59" s="82"/>
      <c r="E59" s="75"/>
      <c r="F59" s="82"/>
      <c r="G59" s="82"/>
      <c r="H59" s="75"/>
      <c r="I59" s="75"/>
      <c r="J59" s="75"/>
      <c r="K59" s="75"/>
      <c r="L59" s="75"/>
      <c r="M59" s="75"/>
      <c r="N59" s="75"/>
      <c r="O59" s="82"/>
      <c r="P59" s="75"/>
      <c r="Q59" s="75"/>
      <c r="R59" s="75"/>
      <c r="S59" s="75"/>
      <c r="T59" s="82"/>
      <c r="U59" s="82"/>
      <c r="V59" s="75"/>
      <c r="W59" s="75"/>
      <c r="X59" s="75"/>
      <c r="Y59" s="75"/>
      <c r="Z59" s="75"/>
      <c r="AA59" s="82"/>
      <c r="AB59" s="82"/>
      <c r="AC59" s="82"/>
      <c r="AD59" s="75"/>
      <c r="AE59" s="75"/>
      <c r="AF59" s="75"/>
      <c r="AG59" s="75"/>
      <c r="AH59" s="75"/>
      <c r="AI59" s="82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82"/>
      <c r="BA59" s="76"/>
    </row>
    <row r="60" spans="1:53" s="58" customFormat="1" x14ac:dyDescent="0.3">
      <c r="A60" s="69" t="s">
        <v>73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</row>
    <row r="61" spans="1:53" s="58" customFormat="1" x14ac:dyDescent="0.3">
      <c r="A61" s="83" t="s">
        <v>74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</row>
    <row r="62" spans="1:53" s="58" customFormat="1" ht="15" thickBot="1" x14ac:dyDescent="0.35">
      <c r="A62" s="74" t="s">
        <v>75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</row>
    <row r="63" spans="1:53" s="58" customFormat="1" x14ac:dyDescent="0.3">
      <c r="A63" s="57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BA63" s="59"/>
    </row>
    <row r="64" spans="1:53" s="58" customFormat="1" ht="15" thickBot="1" x14ac:dyDescent="0.35">
      <c r="A64" s="57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BA64" s="59"/>
    </row>
    <row r="65" spans="1:53" ht="18" x14ac:dyDescent="0.35">
      <c r="A65" s="60" t="s">
        <v>1</v>
      </c>
      <c r="B65" s="61" t="s">
        <v>64</v>
      </c>
      <c r="C65" s="62" t="s">
        <v>65</v>
      </c>
      <c r="E65" s="64"/>
    </row>
    <row r="66" spans="1:53" ht="18.600000000000001" thickBot="1" x14ac:dyDescent="0.4">
      <c r="A66" s="66" t="s">
        <v>231</v>
      </c>
      <c r="B66" s="64">
        <v>5</v>
      </c>
      <c r="C66" s="67" t="s">
        <v>235</v>
      </c>
      <c r="D66" s="91"/>
      <c r="E66" s="93"/>
    </row>
    <row r="67" spans="1:53" x14ac:dyDescent="0.3">
      <c r="A67" s="69" t="s">
        <v>67</v>
      </c>
      <c r="B67" s="70">
        <v>1</v>
      </c>
      <c r="C67" s="70">
        <v>2</v>
      </c>
      <c r="D67" s="70">
        <v>3</v>
      </c>
      <c r="E67" s="70">
        <v>4</v>
      </c>
      <c r="F67" s="70">
        <v>5</v>
      </c>
      <c r="G67" s="70">
        <v>6</v>
      </c>
      <c r="H67" s="70">
        <v>7</v>
      </c>
      <c r="I67" s="70">
        <v>8</v>
      </c>
      <c r="J67" s="70">
        <v>9</v>
      </c>
      <c r="K67" s="70">
        <v>10</v>
      </c>
      <c r="L67" s="70">
        <v>11</v>
      </c>
      <c r="M67" s="70">
        <v>12</v>
      </c>
      <c r="N67" s="70">
        <v>13</v>
      </c>
      <c r="O67" s="70">
        <v>14</v>
      </c>
      <c r="P67" s="70">
        <v>15</v>
      </c>
      <c r="Q67" s="70">
        <v>16</v>
      </c>
      <c r="R67" s="70">
        <v>17</v>
      </c>
      <c r="S67" s="70">
        <v>18</v>
      </c>
      <c r="T67" s="70">
        <v>19</v>
      </c>
      <c r="U67" s="70">
        <v>20</v>
      </c>
      <c r="V67" s="70">
        <v>21</v>
      </c>
      <c r="W67" s="70">
        <v>22</v>
      </c>
      <c r="X67" s="70">
        <v>23</v>
      </c>
      <c r="Y67" s="70">
        <v>24</v>
      </c>
      <c r="Z67" s="70">
        <v>25</v>
      </c>
      <c r="AA67" s="70">
        <v>26</v>
      </c>
      <c r="AB67" s="70">
        <v>27</v>
      </c>
      <c r="AC67" s="70">
        <v>28</v>
      </c>
      <c r="AD67" s="70">
        <v>29</v>
      </c>
      <c r="AE67" s="70">
        <v>30</v>
      </c>
      <c r="AF67" s="70">
        <v>31</v>
      </c>
      <c r="AG67" s="70">
        <v>32</v>
      </c>
      <c r="AH67" s="70">
        <v>33</v>
      </c>
      <c r="AI67" s="70">
        <v>34</v>
      </c>
      <c r="AJ67" s="70">
        <v>35</v>
      </c>
      <c r="AK67" s="70">
        <v>36</v>
      </c>
      <c r="AL67" s="70">
        <v>37</v>
      </c>
      <c r="AM67" s="70">
        <v>38</v>
      </c>
      <c r="AN67" s="70">
        <v>39</v>
      </c>
      <c r="AO67" s="70">
        <v>40</v>
      </c>
      <c r="AP67" s="70">
        <v>41</v>
      </c>
      <c r="AQ67" s="70">
        <v>42</v>
      </c>
      <c r="AR67" s="70">
        <v>43</v>
      </c>
      <c r="AS67" s="70">
        <v>44</v>
      </c>
      <c r="AT67" s="70">
        <v>45</v>
      </c>
      <c r="AU67" s="70">
        <v>46</v>
      </c>
      <c r="AV67" s="70">
        <v>47</v>
      </c>
      <c r="AW67" s="70">
        <v>48</v>
      </c>
      <c r="AX67" s="70">
        <v>49</v>
      </c>
      <c r="AY67" s="70">
        <v>50</v>
      </c>
      <c r="AZ67" s="70">
        <v>51</v>
      </c>
      <c r="BA67" s="71">
        <v>52</v>
      </c>
    </row>
    <row r="68" spans="1:53" x14ac:dyDescent="0.3">
      <c r="A68" s="72" t="s">
        <v>68</v>
      </c>
      <c r="B68" s="73">
        <v>85</v>
      </c>
      <c r="C68" s="73">
        <v>85</v>
      </c>
      <c r="D68" s="73">
        <v>85</v>
      </c>
      <c r="E68" s="73">
        <v>85</v>
      </c>
      <c r="F68" s="73">
        <v>85</v>
      </c>
      <c r="G68" s="73">
        <v>85</v>
      </c>
      <c r="H68" s="73">
        <v>85</v>
      </c>
      <c r="I68" s="73">
        <v>85</v>
      </c>
      <c r="J68" s="73">
        <v>85</v>
      </c>
      <c r="K68" s="73">
        <v>85</v>
      </c>
      <c r="L68" s="73">
        <v>85</v>
      </c>
      <c r="M68" s="73">
        <v>85</v>
      </c>
      <c r="N68" s="73">
        <v>85</v>
      </c>
      <c r="O68" s="73">
        <v>85</v>
      </c>
      <c r="P68" s="73">
        <v>85</v>
      </c>
      <c r="Q68" s="73">
        <v>85</v>
      </c>
      <c r="R68" s="73">
        <v>85</v>
      </c>
      <c r="S68" s="73">
        <v>85</v>
      </c>
      <c r="T68" s="73">
        <v>85</v>
      </c>
      <c r="U68" s="73">
        <v>85</v>
      </c>
      <c r="V68" s="73">
        <v>85</v>
      </c>
      <c r="W68" s="73">
        <v>85</v>
      </c>
      <c r="X68" s="73">
        <v>85</v>
      </c>
      <c r="Y68" s="73">
        <v>85</v>
      </c>
      <c r="Z68" s="73">
        <v>85</v>
      </c>
      <c r="AA68" s="73">
        <v>85</v>
      </c>
      <c r="AB68" s="73">
        <v>85</v>
      </c>
      <c r="AC68" s="73">
        <v>85</v>
      </c>
      <c r="AD68" s="73">
        <v>85</v>
      </c>
      <c r="AE68" s="73">
        <v>85</v>
      </c>
      <c r="AF68" s="73">
        <v>85</v>
      </c>
      <c r="AG68" s="73">
        <v>85</v>
      </c>
      <c r="AH68" s="73">
        <v>85</v>
      </c>
      <c r="AI68" s="73">
        <v>85</v>
      </c>
      <c r="AJ68" s="73">
        <v>85</v>
      </c>
      <c r="AK68" s="73">
        <v>85</v>
      </c>
      <c r="AL68" s="73">
        <v>85</v>
      </c>
      <c r="AM68" s="73">
        <v>85</v>
      </c>
      <c r="AN68" s="73">
        <v>85</v>
      </c>
      <c r="AO68" s="73">
        <v>85</v>
      </c>
      <c r="AP68" s="73">
        <v>85</v>
      </c>
      <c r="AQ68" s="73">
        <v>85</v>
      </c>
      <c r="AR68" s="73">
        <v>85</v>
      </c>
      <c r="AS68" s="73">
        <v>85</v>
      </c>
      <c r="AT68" s="73">
        <v>85</v>
      </c>
      <c r="AU68" s="73">
        <v>85</v>
      </c>
      <c r="AV68" s="73">
        <v>85</v>
      </c>
      <c r="AW68" s="73"/>
      <c r="AX68" s="73"/>
      <c r="AY68" s="73"/>
      <c r="AZ68" s="73"/>
      <c r="BA68" s="73"/>
    </row>
    <row r="69" spans="1:53" ht="15" thickBot="1" x14ac:dyDescent="0.35">
      <c r="A69" s="74" t="s">
        <v>69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6"/>
    </row>
    <row r="70" spans="1:53" x14ac:dyDescent="0.3">
      <c r="A70" s="77" t="s">
        <v>67</v>
      </c>
      <c r="B70" s="59">
        <v>1</v>
      </c>
      <c r="C70" s="59">
        <v>2</v>
      </c>
      <c r="D70" s="59">
        <v>3</v>
      </c>
      <c r="E70" s="59">
        <v>4</v>
      </c>
      <c r="F70" s="59">
        <v>5</v>
      </c>
      <c r="G70" s="59">
        <v>6</v>
      </c>
      <c r="H70" s="59">
        <v>7</v>
      </c>
      <c r="I70" s="59">
        <v>8</v>
      </c>
      <c r="J70" s="59">
        <v>9</v>
      </c>
      <c r="K70" s="59">
        <v>10</v>
      </c>
      <c r="L70" s="59">
        <v>11</v>
      </c>
      <c r="M70" s="59">
        <v>12</v>
      </c>
      <c r="N70" s="59">
        <v>13</v>
      </c>
      <c r="O70" s="59">
        <v>14</v>
      </c>
      <c r="P70" s="59">
        <v>15</v>
      </c>
      <c r="Q70" s="59">
        <v>16</v>
      </c>
      <c r="R70" s="59">
        <v>17</v>
      </c>
      <c r="S70" s="59">
        <v>18</v>
      </c>
      <c r="T70" s="59">
        <v>19</v>
      </c>
      <c r="U70" s="59">
        <v>20</v>
      </c>
      <c r="V70" s="59">
        <v>21</v>
      </c>
      <c r="W70" s="59">
        <v>22</v>
      </c>
      <c r="X70" s="59">
        <v>23</v>
      </c>
      <c r="Y70" s="59">
        <v>24</v>
      </c>
      <c r="Z70" s="59">
        <v>25</v>
      </c>
      <c r="AA70" s="59">
        <v>26</v>
      </c>
      <c r="AB70" s="59">
        <v>27</v>
      </c>
      <c r="AC70" s="59">
        <v>28</v>
      </c>
      <c r="AD70" s="59">
        <v>29</v>
      </c>
      <c r="AE70" s="59">
        <v>30</v>
      </c>
      <c r="AF70" s="59">
        <v>31</v>
      </c>
      <c r="AG70" s="59">
        <v>32</v>
      </c>
      <c r="AH70" s="59">
        <v>33</v>
      </c>
      <c r="AI70" s="59">
        <v>34</v>
      </c>
      <c r="AJ70" s="59">
        <v>35</v>
      </c>
      <c r="AK70" s="59">
        <v>36</v>
      </c>
      <c r="AL70" s="59">
        <v>37</v>
      </c>
      <c r="AM70" s="59">
        <v>38</v>
      </c>
      <c r="AN70" s="59">
        <v>39</v>
      </c>
      <c r="AO70" s="59">
        <v>40</v>
      </c>
      <c r="AP70" s="59">
        <v>41</v>
      </c>
      <c r="AQ70" s="59">
        <v>42</v>
      </c>
      <c r="AR70" s="59">
        <v>43</v>
      </c>
      <c r="AS70" s="59">
        <v>44</v>
      </c>
      <c r="AT70" s="59">
        <v>45</v>
      </c>
      <c r="AU70" s="59">
        <v>46</v>
      </c>
      <c r="AV70" s="59">
        <v>47</v>
      </c>
      <c r="AW70" s="70">
        <v>48</v>
      </c>
      <c r="AX70" s="70">
        <v>49</v>
      </c>
      <c r="AY70" s="70">
        <v>50</v>
      </c>
      <c r="AZ70" s="70">
        <v>51</v>
      </c>
      <c r="BA70" s="71">
        <v>52</v>
      </c>
    </row>
    <row r="71" spans="1:53" x14ac:dyDescent="0.3">
      <c r="A71" s="78" t="s">
        <v>70</v>
      </c>
      <c r="B71" s="79">
        <v>60</v>
      </c>
      <c r="C71" s="79">
        <f t="shared" ref="C71" si="49">B71</f>
        <v>60</v>
      </c>
      <c r="D71" s="79">
        <f t="shared" ref="D71" si="50">C71</f>
        <v>60</v>
      </c>
      <c r="E71" s="79">
        <f t="shared" ref="E71" si="51">D71</f>
        <v>60</v>
      </c>
      <c r="F71" s="79">
        <f t="shared" ref="F71" si="52">E71</f>
        <v>60</v>
      </c>
      <c r="G71" s="79">
        <f t="shared" ref="G71" si="53">F71</f>
        <v>60</v>
      </c>
      <c r="H71" s="79">
        <f t="shared" ref="H71" si="54">G71</f>
        <v>60</v>
      </c>
      <c r="I71" s="79">
        <f t="shared" ref="I71" si="55">H71</f>
        <v>60</v>
      </c>
      <c r="J71" s="79">
        <f t="shared" ref="J71" si="56">I71</f>
        <v>60</v>
      </c>
      <c r="K71" s="79">
        <f t="shared" ref="K71" si="57">J71</f>
        <v>60</v>
      </c>
      <c r="L71" s="79">
        <f t="shared" ref="L71" si="58">K71</f>
        <v>60</v>
      </c>
      <c r="M71" s="79">
        <f t="shared" ref="M71" si="59">L71</f>
        <v>60</v>
      </c>
      <c r="N71" s="79">
        <f t="shared" ref="N71" si="60">M71</f>
        <v>60</v>
      </c>
      <c r="O71" s="79">
        <f t="shared" ref="O71" si="61">N71</f>
        <v>60</v>
      </c>
      <c r="P71" s="79">
        <f t="shared" ref="P71" si="62">O71</f>
        <v>60</v>
      </c>
      <c r="Q71" s="79">
        <f t="shared" ref="Q71" si="63">P71</f>
        <v>60</v>
      </c>
      <c r="R71" s="79">
        <f t="shared" ref="R71" si="64">Q71</f>
        <v>60</v>
      </c>
      <c r="S71" s="79">
        <f t="shared" ref="S71" si="65">R71</f>
        <v>60</v>
      </c>
      <c r="T71" s="79">
        <f t="shared" ref="T71" si="66">S71</f>
        <v>60</v>
      </c>
      <c r="U71" s="79">
        <f t="shared" ref="U71" si="67">T71</f>
        <v>60</v>
      </c>
      <c r="V71" s="79">
        <f t="shared" ref="V71" si="68">U71</f>
        <v>60</v>
      </c>
      <c r="W71" s="79">
        <f t="shared" ref="W71" si="69">V71</f>
        <v>60</v>
      </c>
      <c r="X71" s="79">
        <f t="shared" ref="X71" si="70">W71</f>
        <v>60</v>
      </c>
      <c r="Y71" s="79">
        <f t="shared" ref="Y71" si="71">X71</f>
        <v>60</v>
      </c>
      <c r="Z71" s="79">
        <f t="shared" ref="Z71" si="72">Y71</f>
        <v>60</v>
      </c>
      <c r="AA71" s="79">
        <f t="shared" ref="AA71" si="73">Z71</f>
        <v>60</v>
      </c>
      <c r="AB71" s="79">
        <f t="shared" ref="AB71" si="74">AA71</f>
        <v>60</v>
      </c>
      <c r="AC71" s="79">
        <f t="shared" ref="AC71" si="75">AB71</f>
        <v>60</v>
      </c>
      <c r="AD71" s="79">
        <f t="shared" ref="AD71" si="76">AC71</f>
        <v>60</v>
      </c>
      <c r="AE71" s="79">
        <f t="shared" ref="AE71" si="77">AD71</f>
        <v>60</v>
      </c>
      <c r="AF71" s="79">
        <f t="shared" ref="AF71" si="78">AE71</f>
        <v>60</v>
      </c>
      <c r="AG71" s="79">
        <f t="shared" ref="AG71" si="79">AF71</f>
        <v>60</v>
      </c>
      <c r="AH71" s="79">
        <f t="shared" ref="AH71" si="80">AG71</f>
        <v>60</v>
      </c>
      <c r="AI71" s="79">
        <f t="shared" ref="AI71" si="81">AH71</f>
        <v>60</v>
      </c>
      <c r="AJ71" s="79">
        <f t="shared" ref="AJ71" si="82">AI71</f>
        <v>60</v>
      </c>
      <c r="AK71" s="79">
        <f t="shared" ref="AK71" si="83">AJ71</f>
        <v>60</v>
      </c>
      <c r="AL71" s="79">
        <f t="shared" ref="AL71" si="84">AK71</f>
        <v>60</v>
      </c>
      <c r="AM71" s="79">
        <f t="shared" ref="AM71" si="85">AL71</f>
        <v>60</v>
      </c>
      <c r="AN71" s="79">
        <f t="shared" ref="AN71" si="86">AM71</f>
        <v>60</v>
      </c>
      <c r="AO71" s="79">
        <f t="shared" ref="AO71" si="87">AN71</f>
        <v>60</v>
      </c>
      <c r="AP71" s="79">
        <f t="shared" ref="AP71" si="88">AO71</f>
        <v>60</v>
      </c>
      <c r="AQ71" s="79">
        <f t="shared" ref="AQ71" si="89">AP71</f>
        <v>60</v>
      </c>
      <c r="AR71" s="79">
        <f t="shared" ref="AR71" si="90">AQ71</f>
        <v>60</v>
      </c>
      <c r="AS71" s="79">
        <f t="shared" ref="AS71" si="91">AR71</f>
        <v>60</v>
      </c>
      <c r="AT71" s="79">
        <f t="shared" ref="AT71" si="92">AS71</f>
        <v>60</v>
      </c>
      <c r="AU71" s="79">
        <f t="shared" ref="AU71" si="93">AT71</f>
        <v>60</v>
      </c>
      <c r="AV71" s="79">
        <f t="shared" ref="AV71" si="94">AU71</f>
        <v>60</v>
      </c>
      <c r="AW71" s="79"/>
      <c r="AX71" s="79"/>
      <c r="AY71" s="79"/>
      <c r="AZ71" s="79"/>
      <c r="BA71" s="79"/>
    </row>
    <row r="72" spans="1:53" x14ac:dyDescent="0.3">
      <c r="A72" s="77" t="s">
        <v>71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1"/>
    </row>
    <row r="73" spans="1:53" ht="48" customHeight="1" thickBot="1" x14ac:dyDescent="0.35">
      <c r="A73" s="74" t="s">
        <v>72</v>
      </c>
      <c r="B73" s="82"/>
      <c r="C73" s="7"/>
      <c r="D73" s="82"/>
      <c r="E73" s="75"/>
      <c r="F73" s="82"/>
      <c r="G73" s="82"/>
      <c r="H73" s="75"/>
      <c r="I73" s="75"/>
      <c r="J73" s="75"/>
      <c r="K73" s="75"/>
      <c r="L73" s="75"/>
      <c r="M73" s="75"/>
      <c r="N73" s="75"/>
      <c r="O73" s="82"/>
      <c r="P73" s="75"/>
      <c r="Q73" s="75"/>
      <c r="R73" s="75"/>
      <c r="S73" s="75"/>
      <c r="T73" s="82"/>
      <c r="U73" s="82"/>
      <c r="V73" s="75"/>
      <c r="W73" s="75"/>
      <c r="X73" s="75"/>
      <c r="Y73" s="75"/>
      <c r="Z73" s="75"/>
      <c r="AA73" s="82"/>
      <c r="AB73" s="82"/>
      <c r="AC73" s="82"/>
      <c r="AD73" s="75"/>
      <c r="AE73" s="75"/>
      <c r="AF73" s="75"/>
      <c r="AG73" s="75"/>
      <c r="AH73" s="75"/>
      <c r="AI73" s="82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82"/>
      <c r="BA73" s="76"/>
    </row>
    <row r="74" spans="1:53" s="58" customFormat="1" x14ac:dyDescent="0.3">
      <c r="A74" s="69" t="s">
        <v>73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</row>
    <row r="75" spans="1:53" s="58" customFormat="1" x14ac:dyDescent="0.3">
      <c r="A75" s="83" t="s">
        <v>74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</row>
    <row r="76" spans="1:53" s="58" customFormat="1" ht="15" thickBot="1" x14ac:dyDescent="0.35">
      <c r="A76" s="74" t="s">
        <v>75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</row>
    <row r="77" spans="1:53" s="58" customFormat="1" x14ac:dyDescent="0.3">
      <c r="A77" s="261"/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</row>
    <row r="78" spans="1:53" s="58" customFormat="1" x14ac:dyDescent="0.3">
      <c r="A78" s="261"/>
      <c r="B78" s="262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262"/>
      <c r="AU78" s="262"/>
      <c r="AV78" s="262"/>
      <c r="AW78" s="262"/>
      <c r="AX78" s="262"/>
      <c r="AY78" s="262"/>
      <c r="AZ78" s="262"/>
      <c r="BA78" s="262"/>
    </row>
    <row r="79" spans="1:53" s="58" customFormat="1" x14ac:dyDescent="0.3">
      <c r="A79" s="261"/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</row>
    <row r="80" spans="1:53" s="58" customFormat="1" ht="15" thickBot="1" x14ac:dyDescent="0.35">
      <c r="A80" s="57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BA80" s="59"/>
    </row>
    <row r="81" spans="1:53" ht="18" x14ac:dyDescent="0.35">
      <c r="A81" s="60" t="s">
        <v>1</v>
      </c>
      <c r="B81" s="61" t="s">
        <v>64</v>
      </c>
      <c r="C81" s="62" t="s">
        <v>65</v>
      </c>
      <c r="E81" s="64"/>
    </row>
    <row r="82" spans="1:53" ht="18.600000000000001" thickBot="1" x14ac:dyDescent="0.4">
      <c r="A82" s="66" t="s">
        <v>232</v>
      </c>
      <c r="B82" s="64">
        <v>6</v>
      </c>
      <c r="C82" s="67" t="s">
        <v>76</v>
      </c>
      <c r="D82" s="91"/>
      <c r="E82" s="93"/>
    </row>
    <row r="83" spans="1:53" x14ac:dyDescent="0.3">
      <c r="A83" s="69" t="s">
        <v>67</v>
      </c>
      <c r="B83" s="70">
        <v>1</v>
      </c>
      <c r="C83" s="70">
        <v>2</v>
      </c>
      <c r="D83" s="70">
        <v>3</v>
      </c>
      <c r="E83" s="70">
        <v>4</v>
      </c>
      <c r="F83" s="70">
        <v>5</v>
      </c>
      <c r="G83" s="70">
        <v>6</v>
      </c>
      <c r="H83" s="70">
        <v>7</v>
      </c>
      <c r="I83" s="70">
        <v>8</v>
      </c>
      <c r="J83" s="70">
        <v>9</v>
      </c>
      <c r="K83" s="70">
        <v>10</v>
      </c>
      <c r="L83" s="70">
        <v>11</v>
      </c>
      <c r="M83" s="70">
        <v>12</v>
      </c>
      <c r="N83" s="70">
        <v>13</v>
      </c>
      <c r="O83" s="70">
        <v>14</v>
      </c>
      <c r="P83" s="70">
        <v>15</v>
      </c>
      <c r="Q83" s="70">
        <v>16</v>
      </c>
      <c r="R83" s="70">
        <v>17</v>
      </c>
      <c r="S83" s="70">
        <v>18</v>
      </c>
      <c r="T83" s="70">
        <v>19</v>
      </c>
      <c r="U83" s="70">
        <v>20</v>
      </c>
      <c r="V83" s="70">
        <v>21</v>
      </c>
      <c r="W83" s="70">
        <v>22</v>
      </c>
      <c r="X83" s="70">
        <v>23</v>
      </c>
      <c r="Y83" s="70">
        <v>24</v>
      </c>
      <c r="Z83" s="70">
        <v>25</v>
      </c>
      <c r="AA83" s="70">
        <v>26</v>
      </c>
      <c r="AB83" s="70">
        <v>27</v>
      </c>
      <c r="AC83" s="70">
        <v>28</v>
      </c>
      <c r="AD83" s="70">
        <v>29</v>
      </c>
      <c r="AE83" s="70">
        <v>30</v>
      </c>
      <c r="AF83" s="70">
        <v>31</v>
      </c>
      <c r="AG83" s="70">
        <v>32</v>
      </c>
      <c r="AH83" s="70">
        <v>33</v>
      </c>
      <c r="AI83" s="70">
        <v>34</v>
      </c>
      <c r="AJ83" s="70">
        <v>35</v>
      </c>
      <c r="AK83" s="70">
        <v>36</v>
      </c>
      <c r="AL83" s="70">
        <v>37</v>
      </c>
      <c r="AM83" s="70">
        <v>38</v>
      </c>
      <c r="AN83" s="70">
        <v>39</v>
      </c>
      <c r="AO83" s="70">
        <v>40</v>
      </c>
      <c r="AP83" s="70">
        <v>41</v>
      </c>
      <c r="AQ83" s="70">
        <v>42</v>
      </c>
      <c r="AR83" s="70">
        <v>43</v>
      </c>
      <c r="AS83" s="70">
        <v>44</v>
      </c>
      <c r="AT83" s="70">
        <v>45</v>
      </c>
      <c r="AU83" s="70">
        <v>46</v>
      </c>
      <c r="AV83" s="70">
        <v>47</v>
      </c>
      <c r="AW83" s="70">
        <v>48</v>
      </c>
      <c r="AX83" s="70">
        <v>49</v>
      </c>
      <c r="AY83" s="70">
        <v>50</v>
      </c>
      <c r="AZ83" s="70">
        <v>51</v>
      </c>
      <c r="BA83" s="71">
        <v>52</v>
      </c>
    </row>
    <row r="84" spans="1:53" x14ac:dyDescent="0.3">
      <c r="A84" s="72" t="s">
        <v>68</v>
      </c>
      <c r="B84" s="73">
        <v>85</v>
      </c>
      <c r="C84" s="73">
        <v>85</v>
      </c>
      <c r="D84" s="73">
        <v>85</v>
      </c>
      <c r="E84" s="73">
        <v>85</v>
      </c>
      <c r="F84" s="73">
        <v>85</v>
      </c>
      <c r="G84" s="73">
        <v>85</v>
      </c>
      <c r="H84" s="73">
        <v>85</v>
      </c>
      <c r="I84" s="73">
        <v>85</v>
      </c>
      <c r="J84" s="73">
        <v>85</v>
      </c>
      <c r="K84" s="73">
        <v>85</v>
      </c>
      <c r="L84" s="73">
        <v>85</v>
      </c>
      <c r="M84" s="73">
        <v>85</v>
      </c>
      <c r="N84" s="73">
        <v>85</v>
      </c>
      <c r="O84" s="73">
        <v>85</v>
      </c>
      <c r="P84" s="73">
        <v>85</v>
      </c>
      <c r="Q84" s="73">
        <v>85</v>
      </c>
      <c r="R84" s="73">
        <v>85</v>
      </c>
      <c r="S84" s="73">
        <v>85</v>
      </c>
      <c r="T84" s="73">
        <v>85</v>
      </c>
      <c r="U84" s="73">
        <v>85</v>
      </c>
      <c r="V84" s="73">
        <v>85</v>
      </c>
      <c r="W84" s="73">
        <v>85</v>
      </c>
      <c r="X84" s="73">
        <v>85</v>
      </c>
      <c r="Y84" s="73">
        <v>85</v>
      </c>
      <c r="Z84" s="73">
        <v>85</v>
      </c>
      <c r="AA84" s="73">
        <v>85</v>
      </c>
      <c r="AB84" s="73">
        <v>85</v>
      </c>
      <c r="AC84" s="73">
        <v>85</v>
      </c>
      <c r="AD84" s="73">
        <v>85</v>
      </c>
      <c r="AE84" s="73">
        <v>85</v>
      </c>
      <c r="AF84" s="73">
        <v>85</v>
      </c>
      <c r="AG84" s="73">
        <v>85</v>
      </c>
      <c r="AH84" s="73">
        <v>85</v>
      </c>
      <c r="AI84" s="73">
        <v>85</v>
      </c>
      <c r="AJ84" s="73">
        <v>85</v>
      </c>
      <c r="AK84" s="73">
        <v>85</v>
      </c>
      <c r="AL84" s="73">
        <v>85</v>
      </c>
      <c r="AM84" s="73">
        <v>85</v>
      </c>
      <c r="AN84" s="73">
        <v>85</v>
      </c>
      <c r="AO84" s="73">
        <v>85</v>
      </c>
      <c r="AP84" s="73">
        <v>85</v>
      </c>
      <c r="AQ84" s="73">
        <v>85</v>
      </c>
      <c r="AR84" s="73">
        <v>85</v>
      </c>
      <c r="AS84" s="73">
        <v>85</v>
      </c>
      <c r="AT84" s="73">
        <v>85</v>
      </c>
      <c r="AU84" s="73">
        <v>85</v>
      </c>
      <c r="AV84" s="73">
        <v>85</v>
      </c>
      <c r="AW84" s="73"/>
      <c r="AX84" s="73"/>
      <c r="AY84" s="73"/>
      <c r="AZ84" s="73"/>
      <c r="BA84" s="73"/>
    </row>
    <row r="85" spans="1:53" ht="15" thickBot="1" x14ac:dyDescent="0.35">
      <c r="A85" s="74" t="s">
        <v>69</v>
      </c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6"/>
    </row>
    <row r="86" spans="1:53" x14ac:dyDescent="0.3">
      <c r="A86" s="77" t="s">
        <v>67</v>
      </c>
      <c r="B86" s="59">
        <v>1</v>
      </c>
      <c r="C86" s="59">
        <v>2</v>
      </c>
      <c r="D86" s="59">
        <v>3</v>
      </c>
      <c r="E86" s="59">
        <v>4</v>
      </c>
      <c r="F86" s="59">
        <v>5</v>
      </c>
      <c r="G86" s="59">
        <v>6</v>
      </c>
      <c r="H86" s="59">
        <v>7</v>
      </c>
      <c r="I86" s="59">
        <v>8</v>
      </c>
      <c r="J86" s="59">
        <v>9</v>
      </c>
      <c r="K86" s="59">
        <v>10</v>
      </c>
      <c r="L86" s="59">
        <v>11</v>
      </c>
      <c r="M86" s="59">
        <v>12</v>
      </c>
      <c r="N86" s="59">
        <v>13</v>
      </c>
      <c r="O86" s="59">
        <v>14</v>
      </c>
      <c r="P86" s="59">
        <v>15</v>
      </c>
      <c r="Q86" s="59">
        <v>16</v>
      </c>
      <c r="R86" s="59">
        <v>17</v>
      </c>
      <c r="S86" s="59">
        <v>18</v>
      </c>
      <c r="T86" s="59">
        <v>19</v>
      </c>
      <c r="U86" s="59">
        <v>20</v>
      </c>
      <c r="V86" s="59">
        <v>21</v>
      </c>
      <c r="W86" s="59">
        <v>22</v>
      </c>
      <c r="X86" s="59">
        <v>23</v>
      </c>
      <c r="Y86" s="59">
        <v>24</v>
      </c>
      <c r="Z86" s="59">
        <v>25</v>
      </c>
      <c r="AA86" s="59">
        <v>26</v>
      </c>
      <c r="AB86" s="59">
        <v>27</v>
      </c>
      <c r="AC86" s="59">
        <v>28</v>
      </c>
      <c r="AD86" s="59">
        <v>29</v>
      </c>
      <c r="AE86" s="59">
        <v>30</v>
      </c>
      <c r="AF86" s="59">
        <v>31</v>
      </c>
      <c r="AG86" s="59">
        <v>32</v>
      </c>
      <c r="AH86" s="59">
        <v>33</v>
      </c>
      <c r="AI86" s="59">
        <v>34</v>
      </c>
      <c r="AJ86" s="59">
        <v>35</v>
      </c>
      <c r="AK86" s="59">
        <v>36</v>
      </c>
      <c r="AL86" s="59">
        <v>37</v>
      </c>
      <c r="AM86" s="59">
        <v>38</v>
      </c>
      <c r="AN86" s="59">
        <v>39</v>
      </c>
      <c r="AO86" s="59">
        <v>40</v>
      </c>
      <c r="AP86" s="59">
        <v>41</v>
      </c>
      <c r="AQ86" s="59">
        <v>42</v>
      </c>
      <c r="AR86" s="59">
        <v>43</v>
      </c>
      <c r="AS86" s="59">
        <v>44</v>
      </c>
      <c r="AT86" s="59">
        <v>45</v>
      </c>
      <c r="AU86" s="59">
        <v>46</v>
      </c>
      <c r="AV86" s="59">
        <v>47</v>
      </c>
      <c r="AW86" s="70">
        <v>48</v>
      </c>
      <c r="AX86" s="70">
        <v>49</v>
      </c>
      <c r="AY86" s="70">
        <v>50</v>
      </c>
      <c r="AZ86" s="70">
        <v>51</v>
      </c>
      <c r="BA86" s="71">
        <v>52</v>
      </c>
    </row>
    <row r="87" spans="1:53" x14ac:dyDescent="0.3">
      <c r="A87" s="78" t="s">
        <v>70</v>
      </c>
      <c r="B87" s="79">
        <v>60</v>
      </c>
      <c r="C87" s="79">
        <f t="shared" ref="C87" si="95">B87</f>
        <v>60</v>
      </c>
      <c r="D87" s="79">
        <f t="shared" ref="D87" si="96">C87</f>
        <v>60</v>
      </c>
      <c r="E87" s="79">
        <f t="shared" ref="E87" si="97">D87</f>
        <v>60</v>
      </c>
      <c r="F87" s="79">
        <f t="shared" ref="F87" si="98">E87</f>
        <v>60</v>
      </c>
      <c r="G87" s="79">
        <f t="shared" ref="G87" si="99">F87</f>
        <v>60</v>
      </c>
      <c r="H87" s="79">
        <f t="shared" ref="H87" si="100">G87</f>
        <v>60</v>
      </c>
      <c r="I87" s="79">
        <f t="shared" ref="I87" si="101">H87</f>
        <v>60</v>
      </c>
      <c r="J87" s="79">
        <f t="shared" ref="J87" si="102">I87</f>
        <v>60</v>
      </c>
      <c r="K87" s="79">
        <f t="shared" ref="K87" si="103">J87</f>
        <v>60</v>
      </c>
      <c r="L87" s="79">
        <f t="shared" ref="L87" si="104">K87</f>
        <v>60</v>
      </c>
      <c r="M87" s="79">
        <f t="shared" ref="M87" si="105">L87</f>
        <v>60</v>
      </c>
      <c r="N87" s="79">
        <f t="shared" ref="N87" si="106">M87</f>
        <v>60</v>
      </c>
      <c r="O87" s="79">
        <f t="shared" ref="O87" si="107">N87</f>
        <v>60</v>
      </c>
      <c r="P87" s="79">
        <f t="shared" ref="P87" si="108">O87</f>
        <v>60</v>
      </c>
      <c r="Q87" s="79">
        <f t="shared" ref="Q87" si="109">P87</f>
        <v>60</v>
      </c>
      <c r="R87" s="79">
        <f t="shared" ref="R87" si="110">Q87</f>
        <v>60</v>
      </c>
      <c r="S87" s="79">
        <f t="shared" ref="S87" si="111">R87</f>
        <v>60</v>
      </c>
      <c r="T87" s="79">
        <f t="shared" ref="T87" si="112">S87</f>
        <v>60</v>
      </c>
      <c r="U87" s="79">
        <f t="shared" ref="U87" si="113">T87</f>
        <v>60</v>
      </c>
      <c r="V87" s="79">
        <f t="shared" ref="V87" si="114">U87</f>
        <v>60</v>
      </c>
      <c r="W87" s="79">
        <f t="shared" ref="W87" si="115">V87</f>
        <v>60</v>
      </c>
      <c r="X87" s="79">
        <f t="shared" ref="X87" si="116">W87</f>
        <v>60</v>
      </c>
      <c r="Y87" s="79">
        <f t="shared" ref="Y87" si="117">X87</f>
        <v>60</v>
      </c>
      <c r="Z87" s="79">
        <f t="shared" ref="Z87" si="118">Y87</f>
        <v>60</v>
      </c>
      <c r="AA87" s="79">
        <f t="shared" ref="AA87" si="119">Z87</f>
        <v>60</v>
      </c>
      <c r="AB87" s="79">
        <f t="shared" ref="AB87" si="120">AA87</f>
        <v>60</v>
      </c>
      <c r="AC87" s="79">
        <f t="shared" ref="AC87" si="121">AB87</f>
        <v>60</v>
      </c>
      <c r="AD87" s="79">
        <f t="shared" ref="AD87" si="122">AC87</f>
        <v>60</v>
      </c>
      <c r="AE87" s="79">
        <f t="shared" ref="AE87" si="123">AD87</f>
        <v>60</v>
      </c>
      <c r="AF87" s="79">
        <f t="shared" ref="AF87" si="124">AE87</f>
        <v>60</v>
      </c>
      <c r="AG87" s="79">
        <f t="shared" ref="AG87" si="125">AF87</f>
        <v>60</v>
      </c>
      <c r="AH87" s="79">
        <f t="shared" ref="AH87" si="126">AG87</f>
        <v>60</v>
      </c>
      <c r="AI87" s="79">
        <f t="shared" ref="AI87" si="127">AH87</f>
        <v>60</v>
      </c>
      <c r="AJ87" s="79">
        <f t="shared" ref="AJ87" si="128">AI87</f>
        <v>60</v>
      </c>
      <c r="AK87" s="79">
        <f t="shared" ref="AK87" si="129">AJ87</f>
        <v>60</v>
      </c>
      <c r="AL87" s="79">
        <f t="shared" ref="AL87" si="130">AK87</f>
        <v>60</v>
      </c>
      <c r="AM87" s="79">
        <f t="shared" ref="AM87" si="131">AL87</f>
        <v>60</v>
      </c>
      <c r="AN87" s="79">
        <f t="shared" ref="AN87" si="132">AM87</f>
        <v>60</v>
      </c>
      <c r="AO87" s="79">
        <f t="shared" ref="AO87" si="133">AN87</f>
        <v>60</v>
      </c>
      <c r="AP87" s="79">
        <f t="shared" ref="AP87" si="134">AO87</f>
        <v>60</v>
      </c>
      <c r="AQ87" s="79">
        <f t="shared" ref="AQ87" si="135">AP87</f>
        <v>60</v>
      </c>
      <c r="AR87" s="79">
        <f t="shared" ref="AR87" si="136">AQ87</f>
        <v>60</v>
      </c>
      <c r="AS87" s="79">
        <f t="shared" ref="AS87" si="137">AR87</f>
        <v>60</v>
      </c>
      <c r="AT87" s="79">
        <f t="shared" ref="AT87" si="138">AS87</f>
        <v>60</v>
      </c>
      <c r="AU87" s="79">
        <f t="shared" ref="AU87" si="139">AT87</f>
        <v>60</v>
      </c>
      <c r="AV87" s="79">
        <f t="shared" ref="AV87" si="140">AU87</f>
        <v>60</v>
      </c>
      <c r="AW87" s="79"/>
      <c r="AX87" s="79"/>
      <c r="AY87" s="79"/>
      <c r="AZ87" s="79"/>
      <c r="BA87" s="79"/>
    </row>
    <row r="88" spans="1:53" x14ac:dyDescent="0.3">
      <c r="A88" s="77" t="s">
        <v>71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1"/>
    </row>
    <row r="89" spans="1:53" ht="48" customHeight="1" thickBot="1" x14ac:dyDescent="0.35">
      <c r="A89" s="74" t="s">
        <v>72</v>
      </c>
      <c r="B89" s="82"/>
      <c r="C89" s="7"/>
      <c r="D89" s="82"/>
      <c r="E89" s="75"/>
      <c r="F89" s="82"/>
      <c r="G89" s="82"/>
      <c r="H89" s="75"/>
      <c r="I89" s="75"/>
      <c r="J89" s="75"/>
      <c r="K89" s="75"/>
      <c r="L89" s="75"/>
      <c r="M89" s="75"/>
      <c r="N89" s="75"/>
      <c r="O89" s="82"/>
      <c r="P89" s="75"/>
      <c r="Q89" s="75"/>
      <c r="R89" s="75"/>
      <c r="S89" s="75"/>
      <c r="T89" s="82"/>
      <c r="U89" s="82"/>
      <c r="V89" s="75"/>
      <c r="W89" s="75"/>
      <c r="X89" s="75"/>
      <c r="Y89" s="75"/>
      <c r="Z89" s="75"/>
      <c r="AA89" s="82"/>
      <c r="AB89" s="82"/>
      <c r="AC89" s="82"/>
      <c r="AD89" s="75"/>
      <c r="AE89" s="75"/>
      <c r="AF89" s="75"/>
      <c r="AG89" s="75"/>
      <c r="AH89" s="75"/>
      <c r="AI89" s="82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82"/>
      <c r="BA89" s="76"/>
    </row>
    <row r="90" spans="1:53" s="58" customFormat="1" x14ac:dyDescent="0.3">
      <c r="A90" s="69" t="s">
        <v>73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</row>
    <row r="91" spans="1:53" s="58" customFormat="1" x14ac:dyDescent="0.3">
      <c r="A91" s="83" t="s">
        <v>74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</row>
    <row r="92" spans="1:53" s="58" customFormat="1" ht="15" thickBot="1" x14ac:dyDescent="0.35">
      <c r="A92" s="74" t="s">
        <v>75</v>
      </c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</row>
    <row r="93" spans="1:53" s="58" customFormat="1" x14ac:dyDescent="0.3">
      <c r="A93" s="261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</row>
    <row r="94" spans="1:53" s="58" customFormat="1" x14ac:dyDescent="0.3">
      <c r="A94" s="261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</row>
    <row r="95" spans="1:53" s="58" customFormat="1" x14ac:dyDescent="0.3">
      <c r="A95" s="261"/>
      <c r="B95" s="262"/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262"/>
      <c r="AU95" s="262"/>
      <c r="AV95" s="262"/>
      <c r="AW95" s="262"/>
      <c r="AX95" s="262"/>
      <c r="AY95" s="262"/>
      <c r="AZ95" s="262"/>
      <c r="BA95" s="262"/>
    </row>
    <row r="96" spans="1:53" s="58" customFormat="1" ht="15" thickBot="1" x14ac:dyDescent="0.35">
      <c r="A96" s="57"/>
      <c r="B96" s="59"/>
      <c r="AO96" s="59"/>
      <c r="AP96" s="59"/>
      <c r="AQ96" s="59"/>
      <c r="AR96" s="59"/>
      <c r="AS96" s="59"/>
      <c r="AU96" s="59"/>
      <c r="AV96" s="59"/>
      <c r="AX96" s="59"/>
      <c r="AY96" s="59"/>
      <c r="AZ96" s="59"/>
      <c r="BA96" s="59"/>
    </row>
    <row r="97" spans="1:53" ht="18" x14ac:dyDescent="0.35">
      <c r="A97" s="60" t="s">
        <v>1</v>
      </c>
      <c r="B97" s="61" t="s">
        <v>64</v>
      </c>
      <c r="C97" s="62" t="s">
        <v>65</v>
      </c>
      <c r="E97" s="64"/>
    </row>
    <row r="98" spans="1:53" ht="18.600000000000001" thickBot="1" x14ac:dyDescent="0.4">
      <c r="A98" s="66" t="s">
        <v>233</v>
      </c>
      <c r="B98" s="64">
        <v>7</v>
      </c>
      <c r="C98" s="67" t="s">
        <v>76</v>
      </c>
      <c r="D98" s="91"/>
      <c r="E98" s="93"/>
    </row>
    <row r="99" spans="1:53" x14ac:dyDescent="0.3">
      <c r="A99" s="69" t="s">
        <v>67</v>
      </c>
      <c r="B99" s="70">
        <v>1</v>
      </c>
      <c r="C99" s="70">
        <v>2</v>
      </c>
      <c r="D99" s="70">
        <v>3</v>
      </c>
      <c r="E99" s="70">
        <v>4</v>
      </c>
      <c r="F99" s="70">
        <v>5</v>
      </c>
      <c r="G99" s="70">
        <v>6</v>
      </c>
      <c r="H99" s="70">
        <v>7</v>
      </c>
      <c r="I99" s="70">
        <v>8</v>
      </c>
      <c r="J99" s="70">
        <v>9</v>
      </c>
      <c r="K99" s="70">
        <v>10</v>
      </c>
      <c r="L99" s="70">
        <v>11</v>
      </c>
      <c r="M99" s="70">
        <v>12</v>
      </c>
      <c r="N99" s="70">
        <v>13</v>
      </c>
      <c r="O99" s="70">
        <v>14</v>
      </c>
      <c r="P99" s="70">
        <v>15</v>
      </c>
      <c r="Q99" s="70">
        <v>16</v>
      </c>
      <c r="R99" s="70">
        <v>17</v>
      </c>
      <c r="S99" s="70">
        <v>18</v>
      </c>
      <c r="T99" s="70">
        <v>19</v>
      </c>
      <c r="U99" s="70">
        <v>20</v>
      </c>
      <c r="V99" s="70">
        <v>21</v>
      </c>
      <c r="W99" s="70">
        <v>22</v>
      </c>
      <c r="X99" s="70">
        <v>23</v>
      </c>
      <c r="Y99" s="70">
        <v>24</v>
      </c>
      <c r="Z99" s="70">
        <v>25</v>
      </c>
      <c r="AA99" s="70">
        <v>26</v>
      </c>
      <c r="AB99" s="70">
        <v>27</v>
      </c>
      <c r="AC99" s="70">
        <v>28</v>
      </c>
      <c r="AD99" s="70">
        <v>29</v>
      </c>
      <c r="AE99" s="70">
        <v>30</v>
      </c>
      <c r="AF99" s="70">
        <v>31</v>
      </c>
      <c r="AG99" s="70">
        <v>32</v>
      </c>
      <c r="AH99" s="70">
        <v>33</v>
      </c>
      <c r="AI99" s="70">
        <v>34</v>
      </c>
      <c r="AJ99" s="70">
        <v>35</v>
      </c>
      <c r="AK99" s="70">
        <v>36</v>
      </c>
      <c r="AL99" s="70">
        <v>37</v>
      </c>
      <c r="AM99" s="70">
        <v>38</v>
      </c>
      <c r="AN99" s="70">
        <v>39</v>
      </c>
      <c r="AO99" s="70">
        <v>40</v>
      </c>
      <c r="AP99" s="70">
        <v>41</v>
      </c>
      <c r="AQ99" s="70">
        <v>42</v>
      </c>
      <c r="AR99" s="70">
        <v>43</v>
      </c>
      <c r="AS99" s="70">
        <v>44</v>
      </c>
      <c r="AT99" s="70">
        <v>45</v>
      </c>
      <c r="AU99" s="70">
        <v>46</v>
      </c>
      <c r="AV99" s="70">
        <v>47</v>
      </c>
      <c r="AW99" s="70">
        <v>48</v>
      </c>
      <c r="AX99" s="70">
        <v>49</v>
      </c>
      <c r="AY99" s="70">
        <v>50</v>
      </c>
      <c r="AZ99" s="70">
        <v>51</v>
      </c>
      <c r="BA99" s="71">
        <v>52</v>
      </c>
    </row>
    <row r="100" spans="1:53" x14ac:dyDescent="0.3">
      <c r="A100" s="72" t="s">
        <v>68</v>
      </c>
      <c r="B100" s="73">
        <v>85</v>
      </c>
      <c r="C100" s="73">
        <v>85</v>
      </c>
      <c r="D100" s="73">
        <v>85</v>
      </c>
      <c r="E100" s="73">
        <v>85</v>
      </c>
      <c r="F100" s="73">
        <v>85</v>
      </c>
      <c r="G100" s="73">
        <v>85</v>
      </c>
      <c r="H100" s="73">
        <v>85</v>
      </c>
      <c r="I100" s="73">
        <v>85</v>
      </c>
      <c r="J100" s="73">
        <v>85</v>
      </c>
      <c r="K100" s="73">
        <v>85</v>
      </c>
      <c r="L100" s="73">
        <v>85</v>
      </c>
      <c r="M100" s="73">
        <v>85</v>
      </c>
      <c r="N100" s="73">
        <v>85</v>
      </c>
      <c r="O100" s="73">
        <v>85</v>
      </c>
      <c r="P100" s="73">
        <v>85</v>
      </c>
      <c r="Q100" s="73">
        <v>85</v>
      </c>
      <c r="R100" s="73">
        <v>85</v>
      </c>
      <c r="S100" s="73">
        <v>85</v>
      </c>
      <c r="T100" s="73">
        <v>85</v>
      </c>
      <c r="U100" s="73">
        <v>85</v>
      </c>
      <c r="V100" s="73">
        <v>85</v>
      </c>
      <c r="W100" s="73">
        <v>85</v>
      </c>
      <c r="X100" s="73">
        <v>85</v>
      </c>
      <c r="Y100" s="73">
        <v>85</v>
      </c>
      <c r="Z100" s="73">
        <v>85</v>
      </c>
      <c r="AA100" s="73">
        <v>85</v>
      </c>
      <c r="AB100" s="73">
        <v>85</v>
      </c>
      <c r="AC100" s="73">
        <v>85</v>
      </c>
      <c r="AD100" s="73">
        <v>85</v>
      </c>
      <c r="AE100" s="73">
        <v>85</v>
      </c>
      <c r="AF100" s="73">
        <v>85</v>
      </c>
      <c r="AG100" s="73">
        <v>85</v>
      </c>
      <c r="AH100" s="73">
        <v>85</v>
      </c>
      <c r="AI100" s="73">
        <v>85</v>
      </c>
      <c r="AJ100" s="73">
        <v>85</v>
      </c>
      <c r="AK100" s="73">
        <v>85</v>
      </c>
      <c r="AL100" s="73">
        <v>85</v>
      </c>
      <c r="AM100" s="73">
        <v>85</v>
      </c>
      <c r="AN100" s="73">
        <v>85</v>
      </c>
      <c r="AO100" s="73">
        <v>85</v>
      </c>
      <c r="AP100" s="73">
        <v>85</v>
      </c>
      <c r="AQ100" s="73">
        <v>85</v>
      </c>
      <c r="AR100" s="73">
        <v>85</v>
      </c>
      <c r="AS100" s="73">
        <v>85</v>
      </c>
      <c r="AT100" s="73">
        <v>85</v>
      </c>
      <c r="AU100" s="73">
        <v>85</v>
      </c>
      <c r="AV100" s="73">
        <v>85</v>
      </c>
      <c r="AW100" s="73"/>
      <c r="AX100" s="73"/>
      <c r="AY100" s="73"/>
      <c r="AZ100" s="73"/>
      <c r="BA100" s="73"/>
    </row>
    <row r="101" spans="1:53" ht="15" thickBot="1" x14ac:dyDescent="0.35">
      <c r="A101" s="74" t="s">
        <v>69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6"/>
    </row>
    <row r="102" spans="1:53" x14ac:dyDescent="0.3">
      <c r="A102" s="77" t="s">
        <v>67</v>
      </c>
      <c r="B102" s="59">
        <v>1</v>
      </c>
      <c r="C102" s="59">
        <v>2</v>
      </c>
      <c r="D102" s="59">
        <v>3</v>
      </c>
      <c r="E102" s="59">
        <v>4</v>
      </c>
      <c r="F102" s="59">
        <v>5</v>
      </c>
      <c r="G102" s="59">
        <v>6</v>
      </c>
      <c r="H102" s="59">
        <v>7</v>
      </c>
      <c r="I102" s="59">
        <v>8</v>
      </c>
      <c r="J102" s="59">
        <v>9</v>
      </c>
      <c r="K102" s="59">
        <v>10</v>
      </c>
      <c r="L102" s="59">
        <v>11</v>
      </c>
      <c r="M102" s="59">
        <v>12</v>
      </c>
      <c r="N102" s="59">
        <v>13</v>
      </c>
      <c r="O102" s="59">
        <v>14</v>
      </c>
      <c r="P102" s="59">
        <v>15</v>
      </c>
      <c r="Q102" s="59">
        <v>16</v>
      </c>
      <c r="R102" s="59">
        <v>17</v>
      </c>
      <c r="S102" s="59">
        <v>18</v>
      </c>
      <c r="T102" s="59">
        <v>19</v>
      </c>
      <c r="U102" s="59">
        <v>20</v>
      </c>
      <c r="V102" s="59">
        <v>21</v>
      </c>
      <c r="W102" s="59">
        <v>22</v>
      </c>
      <c r="X102" s="59">
        <v>23</v>
      </c>
      <c r="Y102" s="59">
        <v>24</v>
      </c>
      <c r="Z102" s="59">
        <v>25</v>
      </c>
      <c r="AA102" s="59">
        <v>26</v>
      </c>
      <c r="AB102" s="59">
        <v>27</v>
      </c>
      <c r="AC102" s="59">
        <v>28</v>
      </c>
      <c r="AD102" s="59">
        <v>29</v>
      </c>
      <c r="AE102" s="59">
        <v>30</v>
      </c>
      <c r="AF102" s="59">
        <v>31</v>
      </c>
      <c r="AG102" s="59">
        <v>32</v>
      </c>
      <c r="AH102" s="59">
        <v>33</v>
      </c>
      <c r="AI102" s="59">
        <v>34</v>
      </c>
      <c r="AJ102" s="59">
        <v>35</v>
      </c>
      <c r="AK102" s="59">
        <v>36</v>
      </c>
      <c r="AL102" s="59">
        <v>37</v>
      </c>
      <c r="AM102" s="59">
        <v>38</v>
      </c>
      <c r="AN102" s="59">
        <v>39</v>
      </c>
      <c r="AO102" s="59">
        <v>40</v>
      </c>
      <c r="AP102" s="59">
        <v>41</v>
      </c>
      <c r="AQ102" s="59">
        <v>42</v>
      </c>
      <c r="AR102" s="59">
        <v>43</v>
      </c>
      <c r="AS102" s="59">
        <v>44</v>
      </c>
      <c r="AT102" s="59">
        <v>45</v>
      </c>
      <c r="AU102" s="59">
        <v>46</v>
      </c>
      <c r="AV102" s="59">
        <v>47</v>
      </c>
      <c r="AW102" s="70">
        <v>48</v>
      </c>
      <c r="AX102" s="70">
        <v>49</v>
      </c>
      <c r="AY102" s="70">
        <v>50</v>
      </c>
      <c r="AZ102" s="70">
        <v>51</v>
      </c>
      <c r="BA102" s="71">
        <v>52</v>
      </c>
    </row>
    <row r="103" spans="1:53" x14ac:dyDescent="0.3">
      <c r="A103" s="78" t="s">
        <v>70</v>
      </c>
      <c r="B103" s="79">
        <v>60</v>
      </c>
      <c r="C103" s="79">
        <f t="shared" ref="C103" si="141">B103</f>
        <v>60</v>
      </c>
      <c r="D103" s="79">
        <f t="shared" ref="D103" si="142">C103</f>
        <v>60</v>
      </c>
      <c r="E103" s="79">
        <f t="shared" ref="E103" si="143">D103</f>
        <v>60</v>
      </c>
      <c r="F103" s="79">
        <f t="shared" ref="F103" si="144">E103</f>
        <v>60</v>
      </c>
      <c r="G103" s="79">
        <f t="shared" ref="G103" si="145">F103</f>
        <v>60</v>
      </c>
      <c r="H103" s="79">
        <f t="shared" ref="H103" si="146">G103</f>
        <v>60</v>
      </c>
      <c r="I103" s="79">
        <f t="shared" ref="I103" si="147">H103</f>
        <v>60</v>
      </c>
      <c r="J103" s="79">
        <f t="shared" ref="J103" si="148">I103</f>
        <v>60</v>
      </c>
      <c r="K103" s="79">
        <f t="shared" ref="K103" si="149">J103</f>
        <v>60</v>
      </c>
      <c r="L103" s="79">
        <f t="shared" ref="L103" si="150">K103</f>
        <v>60</v>
      </c>
      <c r="M103" s="79">
        <f t="shared" ref="M103" si="151">L103</f>
        <v>60</v>
      </c>
      <c r="N103" s="79">
        <f t="shared" ref="N103" si="152">M103</f>
        <v>60</v>
      </c>
      <c r="O103" s="79">
        <f t="shared" ref="O103" si="153">N103</f>
        <v>60</v>
      </c>
      <c r="P103" s="79">
        <f t="shared" ref="P103" si="154">O103</f>
        <v>60</v>
      </c>
      <c r="Q103" s="79">
        <f t="shared" ref="Q103" si="155">P103</f>
        <v>60</v>
      </c>
      <c r="R103" s="79">
        <f t="shared" ref="R103" si="156">Q103</f>
        <v>60</v>
      </c>
      <c r="S103" s="79">
        <f t="shared" ref="S103" si="157">R103</f>
        <v>60</v>
      </c>
      <c r="T103" s="79">
        <f t="shared" ref="T103" si="158">S103</f>
        <v>60</v>
      </c>
      <c r="U103" s="79">
        <f t="shared" ref="U103" si="159">T103</f>
        <v>60</v>
      </c>
      <c r="V103" s="79">
        <f t="shared" ref="V103" si="160">U103</f>
        <v>60</v>
      </c>
      <c r="W103" s="79">
        <f t="shared" ref="W103" si="161">V103</f>
        <v>60</v>
      </c>
      <c r="X103" s="79">
        <f t="shared" ref="X103" si="162">W103</f>
        <v>60</v>
      </c>
      <c r="Y103" s="79">
        <f t="shared" ref="Y103" si="163">X103</f>
        <v>60</v>
      </c>
      <c r="Z103" s="79">
        <f t="shared" ref="Z103" si="164">Y103</f>
        <v>60</v>
      </c>
      <c r="AA103" s="79">
        <f t="shared" ref="AA103" si="165">Z103</f>
        <v>60</v>
      </c>
      <c r="AB103" s="79">
        <f t="shared" ref="AB103" si="166">AA103</f>
        <v>60</v>
      </c>
      <c r="AC103" s="79">
        <f t="shared" ref="AC103" si="167">AB103</f>
        <v>60</v>
      </c>
      <c r="AD103" s="79">
        <f t="shared" ref="AD103" si="168">AC103</f>
        <v>60</v>
      </c>
      <c r="AE103" s="79">
        <f t="shared" ref="AE103" si="169">AD103</f>
        <v>60</v>
      </c>
      <c r="AF103" s="79">
        <f t="shared" ref="AF103" si="170">AE103</f>
        <v>60</v>
      </c>
      <c r="AG103" s="79">
        <f t="shared" ref="AG103" si="171">AF103</f>
        <v>60</v>
      </c>
      <c r="AH103" s="79">
        <f t="shared" ref="AH103" si="172">AG103</f>
        <v>60</v>
      </c>
      <c r="AI103" s="79">
        <f t="shared" ref="AI103" si="173">AH103</f>
        <v>60</v>
      </c>
      <c r="AJ103" s="79">
        <f t="shared" ref="AJ103" si="174">AI103</f>
        <v>60</v>
      </c>
      <c r="AK103" s="79">
        <f t="shared" ref="AK103" si="175">AJ103</f>
        <v>60</v>
      </c>
      <c r="AL103" s="79">
        <f t="shared" ref="AL103" si="176">AK103</f>
        <v>60</v>
      </c>
      <c r="AM103" s="79">
        <f t="shared" ref="AM103" si="177">AL103</f>
        <v>60</v>
      </c>
      <c r="AN103" s="79">
        <f t="shared" ref="AN103" si="178">AM103</f>
        <v>60</v>
      </c>
      <c r="AO103" s="79">
        <f t="shared" ref="AO103" si="179">AN103</f>
        <v>60</v>
      </c>
      <c r="AP103" s="79">
        <f t="shared" ref="AP103" si="180">AO103</f>
        <v>60</v>
      </c>
      <c r="AQ103" s="79">
        <f t="shared" ref="AQ103" si="181">AP103</f>
        <v>60</v>
      </c>
      <c r="AR103" s="79">
        <f t="shared" ref="AR103" si="182">AQ103</f>
        <v>60</v>
      </c>
      <c r="AS103" s="79">
        <f t="shared" ref="AS103" si="183">AR103</f>
        <v>60</v>
      </c>
      <c r="AT103" s="79">
        <f t="shared" ref="AT103" si="184">AS103</f>
        <v>60</v>
      </c>
      <c r="AU103" s="79">
        <f t="shared" ref="AU103" si="185">AT103</f>
        <v>60</v>
      </c>
      <c r="AV103" s="79">
        <f t="shared" ref="AV103" si="186">AU103</f>
        <v>60</v>
      </c>
      <c r="AW103" s="79"/>
      <c r="AX103" s="79"/>
      <c r="AY103" s="79"/>
      <c r="AZ103" s="79"/>
      <c r="BA103" s="79"/>
    </row>
    <row r="104" spans="1:53" x14ac:dyDescent="0.3">
      <c r="A104" s="77" t="s">
        <v>71</v>
      </c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1"/>
    </row>
    <row r="105" spans="1:53" ht="48" customHeight="1" thickBot="1" x14ac:dyDescent="0.35">
      <c r="A105" s="74" t="s">
        <v>72</v>
      </c>
      <c r="B105" s="82"/>
      <c r="C105" s="7"/>
      <c r="D105" s="82"/>
      <c r="E105" s="75"/>
      <c r="F105" s="82"/>
      <c r="G105" s="82"/>
      <c r="H105" s="75"/>
      <c r="I105" s="75"/>
      <c r="J105" s="75"/>
      <c r="K105" s="75"/>
      <c r="L105" s="75"/>
      <c r="M105" s="75"/>
      <c r="N105" s="75"/>
      <c r="O105" s="82"/>
      <c r="P105" s="75"/>
      <c r="Q105" s="75"/>
      <c r="R105" s="75"/>
      <c r="S105" s="75"/>
      <c r="T105" s="82"/>
      <c r="U105" s="82"/>
      <c r="V105" s="75"/>
      <c r="W105" s="75"/>
      <c r="X105" s="75"/>
      <c r="Y105" s="75"/>
      <c r="Z105" s="75"/>
      <c r="AA105" s="82"/>
      <c r="AB105" s="82"/>
      <c r="AC105" s="82"/>
      <c r="AD105" s="75"/>
      <c r="AE105" s="75"/>
      <c r="AF105" s="75"/>
      <c r="AG105" s="75"/>
      <c r="AH105" s="75"/>
      <c r="AI105" s="82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2"/>
      <c r="BA105" s="76"/>
    </row>
    <row r="106" spans="1:53" s="58" customFormat="1" x14ac:dyDescent="0.3">
      <c r="A106" s="69" t="s">
        <v>73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</row>
    <row r="107" spans="1:53" s="58" customFormat="1" x14ac:dyDescent="0.3">
      <c r="A107" s="83" t="s">
        <v>74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</row>
    <row r="108" spans="1:53" s="58" customFormat="1" ht="15" thickBot="1" x14ac:dyDescent="0.35">
      <c r="A108" s="74" t="s">
        <v>75</v>
      </c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</row>
    <row r="109" spans="1:53" s="58" customFormat="1" x14ac:dyDescent="0.3">
      <c r="A109" s="261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62"/>
      <c r="AY109" s="262"/>
      <c r="AZ109" s="262"/>
      <c r="BA109" s="262"/>
    </row>
    <row r="110" spans="1:53" s="58" customFormat="1" x14ac:dyDescent="0.3">
      <c r="A110" s="261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62"/>
      <c r="AU110" s="262"/>
      <c r="AV110" s="262"/>
      <c r="AW110" s="262"/>
      <c r="AX110" s="262"/>
      <c r="AY110" s="262"/>
      <c r="AZ110" s="262"/>
      <c r="BA110" s="262"/>
    </row>
    <row r="111" spans="1:53" s="58" customFormat="1" x14ac:dyDescent="0.3">
      <c r="A111" s="261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62"/>
      <c r="AY111" s="262"/>
      <c r="AZ111" s="262"/>
      <c r="BA111" s="262"/>
    </row>
    <row r="112" spans="1:53" s="58" customFormat="1" x14ac:dyDescent="0.3">
      <c r="A112" s="261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62"/>
      <c r="AY112" s="262"/>
      <c r="AZ112" s="262"/>
      <c r="BA112" s="262"/>
    </row>
    <row r="113" spans="1:53" s="58" customFormat="1" ht="15" thickBot="1" x14ac:dyDescent="0.35">
      <c r="A113" s="57"/>
      <c r="B113" s="59"/>
      <c r="AO113" s="59"/>
      <c r="AP113" s="59"/>
      <c r="AQ113" s="59"/>
      <c r="AR113" s="59"/>
      <c r="AS113" s="59"/>
      <c r="AU113" s="59"/>
      <c r="AV113" s="59"/>
      <c r="AX113" s="59"/>
      <c r="AY113" s="59"/>
      <c r="AZ113" s="59"/>
      <c r="BA113" s="59"/>
    </row>
    <row r="114" spans="1:53" ht="18" x14ac:dyDescent="0.35">
      <c r="A114" s="60" t="s">
        <v>1</v>
      </c>
      <c r="B114" s="61" t="s">
        <v>64</v>
      </c>
      <c r="C114" s="62" t="s">
        <v>65</v>
      </c>
      <c r="E114" s="64"/>
    </row>
    <row r="115" spans="1:53" ht="18.600000000000001" thickBot="1" x14ac:dyDescent="0.4">
      <c r="A115" s="263" t="s">
        <v>234</v>
      </c>
      <c r="B115" s="64">
        <v>8</v>
      </c>
      <c r="C115" s="67" t="s">
        <v>76</v>
      </c>
      <c r="D115" s="91"/>
      <c r="E115" s="93"/>
    </row>
    <row r="116" spans="1:53" x14ac:dyDescent="0.3">
      <c r="A116" s="69" t="s">
        <v>67</v>
      </c>
      <c r="B116" s="70">
        <v>1</v>
      </c>
      <c r="C116" s="70">
        <v>2</v>
      </c>
      <c r="D116" s="70">
        <v>3</v>
      </c>
      <c r="E116" s="70">
        <v>4</v>
      </c>
      <c r="F116" s="70">
        <v>5</v>
      </c>
      <c r="G116" s="70">
        <v>6</v>
      </c>
      <c r="H116" s="70">
        <v>7</v>
      </c>
      <c r="I116" s="70">
        <v>8</v>
      </c>
      <c r="J116" s="70">
        <v>9</v>
      </c>
      <c r="K116" s="70">
        <v>10</v>
      </c>
      <c r="L116" s="70">
        <v>11</v>
      </c>
      <c r="M116" s="70">
        <v>12</v>
      </c>
      <c r="N116" s="70">
        <v>13</v>
      </c>
      <c r="O116" s="70">
        <v>14</v>
      </c>
      <c r="P116" s="70">
        <v>15</v>
      </c>
      <c r="Q116" s="70">
        <v>16</v>
      </c>
      <c r="R116" s="70">
        <v>17</v>
      </c>
      <c r="S116" s="70">
        <v>18</v>
      </c>
      <c r="T116" s="70">
        <v>19</v>
      </c>
      <c r="U116" s="70">
        <v>20</v>
      </c>
      <c r="V116" s="70">
        <v>21</v>
      </c>
      <c r="W116" s="70">
        <v>22</v>
      </c>
      <c r="X116" s="70">
        <v>23</v>
      </c>
      <c r="Y116" s="70">
        <v>24</v>
      </c>
      <c r="Z116" s="70">
        <v>25</v>
      </c>
      <c r="AA116" s="70">
        <v>26</v>
      </c>
      <c r="AB116" s="70">
        <v>27</v>
      </c>
      <c r="AC116" s="70">
        <v>28</v>
      </c>
      <c r="AD116" s="70">
        <v>29</v>
      </c>
      <c r="AE116" s="70">
        <v>30</v>
      </c>
      <c r="AF116" s="70">
        <v>31</v>
      </c>
      <c r="AG116" s="70">
        <v>32</v>
      </c>
      <c r="AH116" s="70">
        <v>33</v>
      </c>
      <c r="AI116" s="70">
        <v>34</v>
      </c>
      <c r="AJ116" s="70">
        <v>35</v>
      </c>
      <c r="AK116" s="70">
        <v>36</v>
      </c>
      <c r="AL116" s="70">
        <v>37</v>
      </c>
      <c r="AM116" s="70">
        <v>38</v>
      </c>
      <c r="AN116" s="70">
        <v>39</v>
      </c>
      <c r="AO116" s="70">
        <v>40</v>
      </c>
      <c r="AP116" s="70">
        <v>41</v>
      </c>
      <c r="AQ116" s="70">
        <v>42</v>
      </c>
      <c r="AR116" s="70">
        <v>43</v>
      </c>
      <c r="AS116" s="70">
        <v>44</v>
      </c>
      <c r="AT116" s="70">
        <v>45</v>
      </c>
      <c r="AU116" s="70">
        <v>46</v>
      </c>
      <c r="AV116" s="70">
        <v>47</v>
      </c>
      <c r="AW116" s="70">
        <v>48</v>
      </c>
      <c r="AX116" s="70">
        <v>49</v>
      </c>
      <c r="AY116" s="70">
        <v>50</v>
      </c>
      <c r="AZ116" s="70">
        <v>51</v>
      </c>
      <c r="BA116" s="71">
        <v>52</v>
      </c>
    </row>
    <row r="117" spans="1:53" x14ac:dyDescent="0.3">
      <c r="A117" s="72" t="s">
        <v>68</v>
      </c>
      <c r="B117" s="73">
        <v>85</v>
      </c>
      <c r="C117" s="73">
        <v>85</v>
      </c>
      <c r="D117" s="73">
        <v>85</v>
      </c>
      <c r="E117" s="73">
        <v>85</v>
      </c>
      <c r="F117" s="73">
        <v>85</v>
      </c>
      <c r="G117" s="73">
        <v>85</v>
      </c>
      <c r="H117" s="73">
        <v>85</v>
      </c>
      <c r="I117" s="73">
        <v>85</v>
      </c>
      <c r="J117" s="73">
        <v>85</v>
      </c>
      <c r="K117" s="73">
        <v>85</v>
      </c>
      <c r="L117" s="73">
        <v>85</v>
      </c>
      <c r="M117" s="73">
        <v>85</v>
      </c>
      <c r="N117" s="73">
        <v>85</v>
      </c>
      <c r="O117" s="73">
        <v>85</v>
      </c>
      <c r="P117" s="73">
        <v>85</v>
      </c>
      <c r="Q117" s="73">
        <v>85</v>
      </c>
      <c r="R117" s="73">
        <v>85</v>
      </c>
      <c r="S117" s="73">
        <v>85</v>
      </c>
      <c r="T117" s="73">
        <v>85</v>
      </c>
      <c r="U117" s="73">
        <v>85</v>
      </c>
      <c r="V117" s="73">
        <v>85</v>
      </c>
      <c r="W117" s="73">
        <v>85</v>
      </c>
      <c r="X117" s="73">
        <v>85</v>
      </c>
      <c r="Y117" s="73">
        <v>85</v>
      </c>
      <c r="Z117" s="73">
        <v>85</v>
      </c>
      <c r="AA117" s="73">
        <v>85</v>
      </c>
      <c r="AB117" s="73">
        <v>85</v>
      </c>
      <c r="AC117" s="73">
        <v>85</v>
      </c>
      <c r="AD117" s="73">
        <v>85</v>
      </c>
      <c r="AE117" s="73">
        <v>85</v>
      </c>
      <c r="AF117" s="73">
        <v>85</v>
      </c>
      <c r="AG117" s="73">
        <v>85</v>
      </c>
      <c r="AH117" s="73">
        <v>85</v>
      </c>
      <c r="AI117" s="73">
        <v>85</v>
      </c>
      <c r="AJ117" s="73">
        <v>85</v>
      </c>
      <c r="AK117" s="73">
        <v>85</v>
      </c>
      <c r="AL117" s="73">
        <v>85</v>
      </c>
      <c r="AM117" s="73">
        <v>85</v>
      </c>
      <c r="AN117" s="73">
        <v>85</v>
      </c>
      <c r="AO117" s="73">
        <v>85</v>
      </c>
      <c r="AP117" s="73">
        <v>85</v>
      </c>
      <c r="AQ117" s="73">
        <v>85</v>
      </c>
      <c r="AR117" s="73">
        <v>85</v>
      </c>
      <c r="AS117" s="73">
        <v>85</v>
      </c>
      <c r="AT117" s="73">
        <v>85</v>
      </c>
      <c r="AU117" s="73">
        <v>85</v>
      </c>
      <c r="AV117" s="73">
        <v>85</v>
      </c>
      <c r="AW117" s="73"/>
      <c r="AX117" s="73"/>
      <c r="AY117" s="73"/>
      <c r="AZ117" s="73"/>
      <c r="BA117" s="73"/>
    </row>
    <row r="118" spans="1:53" ht="15" thickBot="1" x14ac:dyDescent="0.35">
      <c r="A118" s="74" t="s">
        <v>69</v>
      </c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6"/>
    </row>
    <row r="119" spans="1:53" x14ac:dyDescent="0.3">
      <c r="A119" s="77" t="s">
        <v>67</v>
      </c>
      <c r="B119" s="59">
        <v>1</v>
      </c>
      <c r="C119" s="59">
        <v>2</v>
      </c>
      <c r="D119" s="59">
        <v>3</v>
      </c>
      <c r="E119" s="59">
        <v>4</v>
      </c>
      <c r="F119" s="59">
        <v>5</v>
      </c>
      <c r="G119" s="59">
        <v>6</v>
      </c>
      <c r="H119" s="59">
        <v>7</v>
      </c>
      <c r="I119" s="59">
        <v>8</v>
      </c>
      <c r="J119" s="59">
        <v>9</v>
      </c>
      <c r="K119" s="59">
        <v>10</v>
      </c>
      <c r="L119" s="59">
        <v>11</v>
      </c>
      <c r="M119" s="59">
        <v>12</v>
      </c>
      <c r="N119" s="59">
        <v>13</v>
      </c>
      <c r="O119" s="59">
        <v>14</v>
      </c>
      <c r="P119" s="59">
        <v>15</v>
      </c>
      <c r="Q119" s="59">
        <v>16</v>
      </c>
      <c r="R119" s="59">
        <v>17</v>
      </c>
      <c r="S119" s="59">
        <v>18</v>
      </c>
      <c r="T119" s="59">
        <v>19</v>
      </c>
      <c r="U119" s="59">
        <v>20</v>
      </c>
      <c r="V119" s="59">
        <v>21</v>
      </c>
      <c r="W119" s="59">
        <v>22</v>
      </c>
      <c r="X119" s="59">
        <v>23</v>
      </c>
      <c r="Y119" s="59">
        <v>24</v>
      </c>
      <c r="Z119" s="59">
        <v>25</v>
      </c>
      <c r="AA119" s="59">
        <v>26</v>
      </c>
      <c r="AB119" s="59">
        <v>27</v>
      </c>
      <c r="AC119" s="59">
        <v>28</v>
      </c>
      <c r="AD119" s="59">
        <v>29</v>
      </c>
      <c r="AE119" s="59">
        <v>30</v>
      </c>
      <c r="AF119" s="59">
        <v>31</v>
      </c>
      <c r="AG119" s="59">
        <v>32</v>
      </c>
      <c r="AH119" s="59">
        <v>33</v>
      </c>
      <c r="AI119" s="59">
        <v>34</v>
      </c>
      <c r="AJ119" s="59">
        <v>35</v>
      </c>
      <c r="AK119" s="59">
        <v>36</v>
      </c>
      <c r="AL119" s="59">
        <v>37</v>
      </c>
      <c r="AM119" s="59">
        <v>38</v>
      </c>
      <c r="AN119" s="59">
        <v>39</v>
      </c>
      <c r="AO119" s="59">
        <v>40</v>
      </c>
      <c r="AP119" s="59">
        <v>41</v>
      </c>
      <c r="AQ119" s="59">
        <v>42</v>
      </c>
      <c r="AR119" s="59">
        <v>43</v>
      </c>
      <c r="AS119" s="59">
        <v>44</v>
      </c>
      <c r="AT119" s="59">
        <v>45</v>
      </c>
      <c r="AU119" s="59">
        <v>46</v>
      </c>
      <c r="AV119" s="59">
        <v>47</v>
      </c>
      <c r="AW119" s="70">
        <v>48</v>
      </c>
      <c r="AX119" s="70">
        <v>49</v>
      </c>
      <c r="AY119" s="70">
        <v>50</v>
      </c>
      <c r="AZ119" s="70">
        <v>51</v>
      </c>
      <c r="BA119" s="71">
        <v>52</v>
      </c>
    </row>
    <row r="120" spans="1:53" x14ac:dyDescent="0.3">
      <c r="A120" s="78" t="s">
        <v>70</v>
      </c>
      <c r="B120" s="79">
        <v>60</v>
      </c>
      <c r="C120" s="79">
        <f t="shared" ref="C120" si="187">B120</f>
        <v>60</v>
      </c>
      <c r="D120" s="79">
        <f t="shared" ref="D120" si="188">C120</f>
        <v>60</v>
      </c>
      <c r="E120" s="79">
        <f t="shared" ref="E120" si="189">D120</f>
        <v>60</v>
      </c>
      <c r="F120" s="79">
        <f t="shared" ref="F120" si="190">E120</f>
        <v>60</v>
      </c>
      <c r="G120" s="79">
        <f t="shared" ref="G120" si="191">F120</f>
        <v>60</v>
      </c>
      <c r="H120" s="79">
        <f t="shared" ref="H120" si="192">G120</f>
        <v>60</v>
      </c>
      <c r="I120" s="79">
        <f t="shared" ref="I120" si="193">H120</f>
        <v>60</v>
      </c>
      <c r="J120" s="79">
        <f t="shared" ref="J120" si="194">I120</f>
        <v>60</v>
      </c>
      <c r="K120" s="79">
        <f t="shared" ref="K120" si="195">J120</f>
        <v>60</v>
      </c>
      <c r="L120" s="79">
        <f t="shared" ref="L120" si="196">K120</f>
        <v>60</v>
      </c>
      <c r="M120" s="79">
        <f t="shared" ref="M120" si="197">L120</f>
        <v>60</v>
      </c>
      <c r="N120" s="79">
        <f t="shared" ref="N120" si="198">M120</f>
        <v>60</v>
      </c>
      <c r="O120" s="79">
        <f t="shared" ref="O120" si="199">N120</f>
        <v>60</v>
      </c>
      <c r="P120" s="79">
        <f t="shared" ref="P120" si="200">O120</f>
        <v>60</v>
      </c>
      <c r="Q120" s="79">
        <f t="shared" ref="Q120" si="201">P120</f>
        <v>60</v>
      </c>
      <c r="R120" s="79">
        <f t="shared" ref="R120" si="202">Q120</f>
        <v>60</v>
      </c>
      <c r="S120" s="79">
        <f t="shared" ref="S120" si="203">R120</f>
        <v>60</v>
      </c>
      <c r="T120" s="79">
        <f t="shared" ref="T120" si="204">S120</f>
        <v>60</v>
      </c>
      <c r="U120" s="79">
        <f t="shared" ref="U120" si="205">T120</f>
        <v>60</v>
      </c>
      <c r="V120" s="79">
        <f t="shared" ref="V120" si="206">U120</f>
        <v>60</v>
      </c>
      <c r="W120" s="79">
        <f t="shared" ref="W120" si="207">V120</f>
        <v>60</v>
      </c>
      <c r="X120" s="79">
        <f t="shared" ref="X120" si="208">W120</f>
        <v>60</v>
      </c>
      <c r="Y120" s="79">
        <f t="shared" ref="Y120" si="209">X120</f>
        <v>60</v>
      </c>
      <c r="Z120" s="79">
        <f t="shared" ref="Z120" si="210">Y120</f>
        <v>60</v>
      </c>
      <c r="AA120" s="79">
        <f t="shared" ref="AA120" si="211">Z120</f>
        <v>60</v>
      </c>
      <c r="AB120" s="79">
        <f t="shared" ref="AB120" si="212">AA120</f>
        <v>60</v>
      </c>
      <c r="AC120" s="79">
        <f t="shared" ref="AC120" si="213">AB120</f>
        <v>60</v>
      </c>
      <c r="AD120" s="79">
        <f t="shared" ref="AD120" si="214">AC120</f>
        <v>60</v>
      </c>
      <c r="AE120" s="79">
        <f t="shared" ref="AE120" si="215">AD120</f>
        <v>60</v>
      </c>
      <c r="AF120" s="79">
        <f t="shared" ref="AF120" si="216">AE120</f>
        <v>60</v>
      </c>
      <c r="AG120" s="79">
        <f t="shared" ref="AG120" si="217">AF120</f>
        <v>60</v>
      </c>
      <c r="AH120" s="79">
        <f t="shared" ref="AH120" si="218">AG120</f>
        <v>60</v>
      </c>
      <c r="AI120" s="79">
        <f t="shared" ref="AI120" si="219">AH120</f>
        <v>60</v>
      </c>
      <c r="AJ120" s="79">
        <f t="shared" ref="AJ120" si="220">AI120</f>
        <v>60</v>
      </c>
      <c r="AK120" s="79">
        <f t="shared" ref="AK120" si="221">AJ120</f>
        <v>60</v>
      </c>
      <c r="AL120" s="79">
        <f t="shared" ref="AL120" si="222">AK120</f>
        <v>60</v>
      </c>
      <c r="AM120" s="79">
        <f t="shared" ref="AM120" si="223">AL120</f>
        <v>60</v>
      </c>
      <c r="AN120" s="79">
        <f t="shared" ref="AN120" si="224">AM120</f>
        <v>60</v>
      </c>
      <c r="AO120" s="79">
        <f t="shared" ref="AO120" si="225">AN120</f>
        <v>60</v>
      </c>
      <c r="AP120" s="79">
        <f t="shared" ref="AP120" si="226">AO120</f>
        <v>60</v>
      </c>
      <c r="AQ120" s="79">
        <f t="shared" ref="AQ120" si="227">AP120</f>
        <v>60</v>
      </c>
      <c r="AR120" s="79">
        <f t="shared" ref="AR120" si="228">AQ120</f>
        <v>60</v>
      </c>
      <c r="AS120" s="79">
        <f t="shared" ref="AS120" si="229">AR120</f>
        <v>60</v>
      </c>
      <c r="AT120" s="79">
        <f t="shared" ref="AT120" si="230">AS120</f>
        <v>60</v>
      </c>
      <c r="AU120" s="79">
        <f t="shared" ref="AU120" si="231">AT120</f>
        <v>60</v>
      </c>
      <c r="AV120" s="79">
        <f t="shared" ref="AV120" si="232">AU120</f>
        <v>60</v>
      </c>
      <c r="AW120" s="79"/>
      <c r="AX120" s="79"/>
      <c r="AY120" s="79"/>
      <c r="AZ120" s="79"/>
      <c r="BA120" s="79"/>
    </row>
    <row r="121" spans="1:53" x14ac:dyDescent="0.3">
      <c r="A121" s="77" t="s">
        <v>71</v>
      </c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1"/>
    </row>
    <row r="122" spans="1:53" ht="48" customHeight="1" thickBot="1" x14ac:dyDescent="0.35">
      <c r="A122" s="74" t="s">
        <v>72</v>
      </c>
      <c r="B122" s="82"/>
      <c r="C122" s="7"/>
      <c r="D122" s="82"/>
      <c r="E122" s="75"/>
      <c r="F122" s="82"/>
      <c r="G122" s="82"/>
      <c r="H122" s="75"/>
      <c r="I122" s="75"/>
      <c r="J122" s="75"/>
      <c r="K122" s="75"/>
      <c r="L122" s="75"/>
      <c r="M122" s="75"/>
      <c r="N122" s="75"/>
      <c r="O122" s="82"/>
      <c r="P122" s="75"/>
      <c r="Q122" s="75"/>
      <c r="R122" s="75"/>
      <c r="S122" s="75"/>
      <c r="T122" s="82"/>
      <c r="U122" s="82"/>
      <c r="V122" s="75"/>
      <c r="W122" s="75"/>
      <c r="X122" s="75"/>
      <c r="Y122" s="75"/>
      <c r="Z122" s="75"/>
      <c r="AA122" s="82"/>
      <c r="AB122" s="82"/>
      <c r="AC122" s="82"/>
      <c r="AD122" s="75"/>
      <c r="AE122" s="75"/>
      <c r="AF122" s="75"/>
      <c r="AG122" s="75"/>
      <c r="AH122" s="75"/>
      <c r="AI122" s="82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82"/>
      <c r="BA122" s="76"/>
    </row>
    <row r="123" spans="1:53" s="58" customFormat="1" x14ac:dyDescent="0.3">
      <c r="A123" s="69" t="s">
        <v>73</v>
      </c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</row>
    <row r="124" spans="1:53" s="58" customFormat="1" x14ac:dyDescent="0.3">
      <c r="A124" s="83" t="s">
        <v>74</v>
      </c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</row>
    <row r="125" spans="1:53" s="58" customFormat="1" ht="15" thickBot="1" x14ac:dyDescent="0.35">
      <c r="A125" s="74" t="s">
        <v>75</v>
      </c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</row>
    <row r="126" spans="1:53" s="58" customFormat="1" x14ac:dyDescent="0.3">
      <c r="A126" s="261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  <c r="AV126" s="262"/>
      <c r="AW126" s="262"/>
      <c r="AX126" s="262"/>
      <c r="AY126" s="262"/>
      <c r="AZ126" s="262"/>
      <c r="BA126" s="262"/>
    </row>
    <row r="127" spans="1:53" s="58" customFormat="1" x14ac:dyDescent="0.3">
      <c r="A127" s="261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62"/>
      <c r="AY127" s="262"/>
      <c r="AZ127" s="262"/>
      <c r="BA127" s="262"/>
    </row>
    <row r="128" spans="1:53" s="58" customFormat="1" x14ac:dyDescent="0.3">
      <c r="A128" s="261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</row>
    <row r="129" spans="1:53" ht="15" thickBot="1" x14ac:dyDescent="0.35"/>
    <row r="130" spans="1:53" ht="18" x14ac:dyDescent="0.35">
      <c r="A130" s="60" t="s">
        <v>1</v>
      </c>
      <c r="B130" s="61" t="s">
        <v>64</v>
      </c>
      <c r="C130" s="62" t="s">
        <v>65</v>
      </c>
      <c r="E130" s="64"/>
    </row>
    <row r="131" spans="1:53" ht="18.600000000000001" thickBot="1" x14ac:dyDescent="0.4">
      <c r="A131" s="66" t="s">
        <v>27</v>
      </c>
      <c r="B131" s="88">
        <v>9</v>
      </c>
      <c r="C131" s="67" t="s">
        <v>76</v>
      </c>
      <c r="D131" s="68"/>
    </row>
    <row r="132" spans="1:53" x14ac:dyDescent="0.3">
      <c r="A132" s="69" t="s">
        <v>67</v>
      </c>
      <c r="B132" s="70">
        <v>1</v>
      </c>
      <c r="C132" s="70">
        <v>2</v>
      </c>
      <c r="D132" s="70">
        <v>3</v>
      </c>
      <c r="E132" s="70">
        <v>4</v>
      </c>
      <c r="F132" s="70">
        <v>5</v>
      </c>
      <c r="G132" s="70">
        <v>6</v>
      </c>
      <c r="H132" s="70">
        <v>7</v>
      </c>
      <c r="I132" s="70">
        <v>8</v>
      </c>
      <c r="J132" s="70">
        <v>9</v>
      </c>
      <c r="K132" s="70">
        <v>10</v>
      </c>
      <c r="L132" s="70">
        <v>11</v>
      </c>
      <c r="M132" s="70">
        <v>12</v>
      </c>
      <c r="N132" s="70">
        <v>13</v>
      </c>
      <c r="O132" s="70">
        <v>14</v>
      </c>
      <c r="P132" s="70">
        <v>15</v>
      </c>
      <c r="Q132" s="70">
        <v>16</v>
      </c>
      <c r="R132" s="70">
        <v>17</v>
      </c>
      <c r="S132" s="70">
        <v>18</v>
      </c>
      <c r="T132" s="70">
        <v>19</v>
      </c>
      <c r="U132" s="70">
        <v>20</v>
      </c>
      <c r="V132" s="70">
        <v>21</v>
      </c>
      <c r="W132" s="70">
        <v>22</v>
      </c>
      <c r="X132" s="70">
        <v>23</v>
      </c>
      <c r="Y132" s="70">
        <v>24</v>
      </c>
      <c r="Z132" s="70">
        <v>25</v>
      </c>
      <c r="AA132" s="70">
        <v>26</v>
      </c>
      <c r="AB132" s="70">
        <v>27</v>
      </c>
      <c r="AC132" s="70">
        <v>28</v>
      </c>
      <c r="AD132" s="70">
        <v>29</v>
      </c>
      <c r="AE132" s="70">
        <v>30</v>
      </c>
      <c r="AF132" s="70">
        <v>31</v>
      </c>
      <c r="AG132" s="70">
        <v>32</v>
      </c>
      <c r="AH132" s="70">
        <v>33</v>
      </c>
      <c r="AI132" s="70">
        <v>34</v>
      </c>
      <c r="AJ132" s="70">
        <v>35</v>
      </c>
      <c r="AK132" s="70">
        <v>36</v>
      </c>
      <c r="AL132" s="70">
        <v>37</v>
      </c>
      <c r="AM132" s="70">
        <v>38</v>
      </c>
      <c r="AN132" s="70">
        <v>39</v>
      </c>
      <c r="AO132" s="70">
        <v>40</v>
      </c>
      <c r="AP132" s="70">
        <v>41</v>
      </c>
      <c r="AQ132" s="70">
        <v>42</v>
      </c>
      <c r="AR132" s="70">
        <v>43</v>
      </c>
      <c r="AS132" s="70">
        <v>44</v>
      </c>
      <c r="AT132" s="70">
        <v>45</v>
      </c>
      <c r="AU132" s="70">
        <v>46</v>
      </c>
      <c r="AV132" s="70">
        <v>47</v>
      </c>
      <c r="AW132" s="70">
        <v>48</v>
      </c>
      <c r="AX132" s="70">
        <v>49</v>
      </c>
      <c r="AY132" s="70">
        <v>50</v>
      </c>
      <c r="AZ132" s="70">
        <v>51</v>
      </c>
      <c r="BA132" s="71">
        <v>52</v>
      </c>
    </row>
    <row r="133" spans="1:53" ht="13.95" customHeight="1" x14ac:dyDescent="0.3">
      <c r="A133" s="72" t="s">
        <v>68</v>
      </c>
      <c r="B133" s="73">
        <v>85</v>
      </c>
      <c r="C133" s="73">
        <v>85</v>
      </c>
      <c r="D133" s="73">
        <v>85</v>
      </c>
      <c r="E133" s="73">
        <v>85</v>
      </c>
      <c r="F133" s="73">
        <v>85</v>
      </c>
      <c r="G133" s="73">
        <v>85</v>
      </c>
      <c r="H133" s="73">
        <v>85</v>
      </c>
      <c r="I133" s="73">
        <v>85</v>
      </c>
      <c r="J133" s="73">
        <v>85</v>
      </c>
      <c r="K133" s="73">
        <v>85</v>
      </c>
      <c r="L133" s="73">
        <v>85</v>
      </c>
      <c r="M133" s="73">
        <v>85</v>
      </c>
      <c r="N133" s="73">
        <v>85</v>
      </c>
      <c r="O133" s="73">
        <v>85</v>
      </c>
      <c r="P133" s="73">
        <v>85</v>
      </c>
      <c r="Q133" s="73">
        <v>85</v>
      </c>
      <c r="R133" s="73">
        <v>85</v>
      </c>
      <c r="S133" s="73">
        <v>85</v>
      </c>
      <c r="T133" s="73">
        <v>85</v>
      </c>
      <c r="U133" s="73">
        <v>85</v>
      </c>
      <c r="V133" s="73">
        <v>85</v>
      </c>
      <c r="W133" s="73">
        <v>85</v>
      </c>
      <c r="X133" s="73">
        <v>85</v>
      </c>
      <c r="Y133" s="73">
        <v>85</v>
      </c>
      <c r="Z133" s="73">
        <v>85</v>
      </c>
      <c r="AA133" s="73">
        <v>85</v>
      </c>
      <c r="AB133" s="73">
        <v>85</v>
      </c>
      <c r="AC133" s="73">
        <v>85</v>
      </c>
      <c r="AD133" s="73">
        <v>85</v>
      </c>
      <c r="AE133" s="73">
        <v>85</v>
      </c>
      <c r="AF133" s="73">
        <v>85</v>
      </c>
      <c r="AG133" s="73">
        <v>85</v>
      </c>
      <c r="AH133" s="73">
        <v>85</v>
      </c>
      <c r="AI133" s="73">
        <v>85</v>
      </c>
      <c r="AJ133" s="73">
        <v>85</v>
      </c>
      <c r="AK133" s="73">
        <v>85</v>
      </c>
      <c r="AL133" s="73">
        <v>85</v>
      </c>
      <c r="AM133" s="73">
        <v>85</v>
      </c>
      <c r="AN133" s="73">
        <v>85</v>
      </c>
      <c r="AO133" s="73">
        <v>85</v>
      </c>
      <c r="AP133" s="73">
        <v>85</v>
      </c>
      <c r="AQ133" s="73">
        <v>85</v>
      </c>
      <c r="AR133" s="73">
        <v>85</v>
      </c>
      <c r="AS133" s="73">
        <v>85</v>
      </c>
      <c r="AT133" s="73">
        <v>85</v>
      </c>
      <c r="AU133" s="73">
        <v>85</v>
      </c>
      <c r="AV133" s="73">
        <v>85</v>
      </c>
      <c r="AW133" s="73"/>
      <c r="AX133" s="73"/>
      <c r="AY133" s="73"/>
      <c r="AZ133" s="73"/>
      <c r="BA133" s="73"/>
    </row>
    <row r="134" spans="1:53" ht="15" thickBot="1" x14ac:dyDescent="0.35">
      <c r="A134" s="74" t="s">
        <v>69</v>
      </c>
      <c r="B134" s="75">
        <f>'week 02'!I7</f>
        <v>89</v>
      </c>
      <c r="C134" s="75">
        <f>'week 03'!I7</f>
        <v>88</v>
      </c>
      <c r="D134" s="75">
        <f>'week 04'!I7</f>
        <v>89</v>
      </c>
      <c r="E134" s="75">
        <f>'week 05'!I7</f>
        <v>89</v>
      </c>
      <c r="F134" s="75">
        <f>'week 06'!I7</f>
        <v>88</v>
      </c>
      <c r="G134" s="75">
        <f>'week 07'!I7</f>
        <v>88</v>
      </c>
      <c r="H134" s="75">
        <f>'week 08'!I7</f>
        <v>87</v>
      </c>
      <c r="I134" s="75">
        <f>'week 09'!I7</f>
        <v>88</v>
      </c>
      <c r="J134" s="75">
        <f>'week 10'!I7</f>
        <v>87</v>
      </c>
      <c r="K134" s="75">
        <f>'week 11'!J6</f>
        <v>88</v>
      </c>
      <c r="L134" s="75">
        <f>'week 12'!I6</f>
        <v>87</v>
      </c>
      <c r="M134" s="75">
        <f>'week 13'!I6</f>
        <v>87</v>
      </c>
      <c r="N134" s="75">
        <f>'week 14'!I6</f>
        <v>88</v>
      </c>
      <c r="O134" s="75">
        <f>'week 15'!I6</f>
        <v>88</v>
      </c>
      <c r="P134" s="75">
        <f>'week 16'!I6</f>
        <v>88</v>
      </c>
      <c r="Q134" s="75">
        <f>'week 17'!I6</f>
        <v>89</v>
      </c>
      <c r="R134" s="75">
        <f>'week 18'!I6</f>
        <v>87</v>
      </c>
      <c r="S134" s="75">
        <f>'week 19'!I6</f>
        <v>87</v>
      </c>
      <c r="T134" s="75">
        <f>'week 20'!K6</f>
        <v>88</v>
      </c>
      <c r="U134" s="75">
        <f>'week 21'!K6</f>
        <v>89</v>
      </c>
      <c r="V134" s="75">
        <f>'week 22'!K6</f>
        <v>87</v>
      </c>
      <c r="W134" s="75">
        <f>'week 23'!K6</f>
        <v>88</v>
      </c>
      <c r="X134" s="75">
        <f>'week 24'!K6</f>
        <v>87</v>
      </c>
      <c r="Y134" s="75">
        <f>'week 25'!K6</f>
        <v>87</v>
      </c>
      <c r="Z134" s="75">
        <f>'week 26'!K6</f>
        <v>87</v>
      </c>
      <c r="AA134" s="75">
        <v>88</v>
      </c>
      <c r="AB134" s="75">
        <v>85</v>
      </c>
      <c r="AC134" s="75">
        <v>87</v>
      </c>
      <c r="AD134" s="75">
        <v>87</v>
      </c>
      <c r="AE134" s="75">
        <v>88</v>
      </c>
      <c r="AF134" s="75">
        <v>88</v>
      </c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6"/>
    </row>
    <row r="135" spans="1:53" x14ac:dyDescent="0.3">
      <c r="A135" s="77" t="s">
        <v>67</v>
      </c>
      <c r="B135" s="59">
        <v>1</v>
      </c>
      <c r="C135" s="59">
        <v>2</v>
      </c>
      <c r="D135" s="59">
        <v>3</v>
      </c>
      <c r="E135" s="59">
        <v>4</v>
      </c>
      <c r="F135" s="59">
        <v>5</v>
      </c>
      <c r="G135" s="59">
        <v>6</v>
      </c>
      <c r="H135" s="59">
        <v>7</v>
      </c>
      <c r="I135" s="59">
        <v>8</v>
      </c>
      <c r="J135" s="59">
        <v>9</v>
      </c>
      <c r="K135" s="59">
        <v>10</v>
      </c>
      <c r="L135" s="59">
        <v>11</v>
      </c>
      <c r="M135" s="59">
        <v>12</v>
      </c>
      <c r="N135" s="59">
        <v>13</v>
      </c>
      <c r="O135" s="59">
        <v>14</v>
      </c>
      <c r="P135" s="59">
        <v>15</v>
      </c>
      <c r="Q135" s="59">
        <v>16</v>
      </c>
      <c r="R135" s="59">
        <v>17</v>
      </c>
      <c r="S135" s="59">
        <v>18</v>
      </c>
      <c r="T135" s="59">
        <v>19</v>
      </c>
      <c r="U135" s="59">
        <v>20</v>
      </c>
      <c r="V135" s="59">
        <v>21</v>
      </c>
      <c r="W135" s="59">
        <v>22</v>
      </c>
      <c r="X135" s="59">
        <v>23</v>
      </c>
      <c r="Y135" s="59">
        <v>24</v>
      </c>
      <c r="Z135" s="59">
        <v>25</v>
      </c>
      <c r="AA135" s="59">
        <v>26</v>
      </c>
      <c r="AB135" s="59">
        <v>27</v>
      </c>
      <c r="AC135" s="59">
        <v>28</v>
      </c>
      <c r="AD135" s="59">
        <v>29</v>
      </c>
      <c r="AE135" s="59">
        <v>30</v>
      </c>
      <c r="AF135" s="59">
        <v>31</v>
      </c>
      <c r="AG135" s="59">
        <v>32</v>
      </c>
      <c r="AH135" s="59">
        <v>33</v>
      </c>
      <c r="AI135" s="59">
        <v>34</v>
      </c>
      <c r="AJ135" s="59">
        <v>35</v>
      </c>
      <c r="AK135" s="59">
        <v>36</v>
      </c>
      <c r="AL135" s="59">
        <v>37</v>
      </c>
      <c r="AM135" s="59">
        <v>38</v>
      </c>
      <c r="AN135" s="59">
        <v>39</v>
      </c>
      <c r="AO135" s="59">
        <v>40</v>
      </c>
      <c r="AP135" s="59">
        <v>41</v>
      </c>
      <c r="AQ135" s="59">
        <v>42</v>
      </c>
      <c r="AR135" s="59">
        <v>43</v>
      </c>
      <c r="AS135" s="59">
        <v>44</v>
      </c>
      <c r="AT135" s="59">
        <v>45</v>
      </c>
      <c r="AU135" s="59">
        <v>46</v>
      </c>
      <c r="AV135" s="59">
        <v>47</v>
      </c>
      <c r="AW135" s="70">
        <v>48</v>
      </c>
      <c r="AX135" s="70">
        <v>49</v>
      </c>
      <c r="AY135" s="70">
        <v>50</v>
      </c>
      <c r="AZ135" s="70">
        <v>51</v>
      </c>
      <c r="BA135" s="71">
        <v>52</v>
      </c>
    </row>
    <row r="136" spans="1:53" x14ac:dyDescent="0.3">
      <c r="A136" s="78" t="s">
        <v>70</v>
      </c>
      <c r="B136" s="79">
        <v>60</v>
      </c>
      <c r="C136" s="79">
        <v>60</v>
      </c>
      <c r="D136" s="79">
        <v>60</v>
      </c>
      <c r="E136" s="79">
        <f t="shared" ref="E136:AV136" si="233">D136</f>
        <v>60</v>
      </c>
      <c r="F136" s="79">
        <f t="shared" si="233"/>
        <v>60</v>
      </c>
      <c r="G136" s="79">
        <f t="shared" si="233"/>
        <v>60</v>
      </c>
      <c r="H136" s="79">
        <f t="shared" si="233"/>
        <v>60</v>
      </c>
      <c r="I136" s="79">
        <f t="shared" si="233"/>
        <v>60</v>
      </c>
      <c r="J136" s="79">
        <f t="shared" si="233"/>
        <v>60</v>
      </c>
      <c r="K136" s="79">
        <f t="shared" si="233"/>
        <v>60</v>
      </c>
      <c r="L136" s="79">
        <f t="shared" si="233"/>
        <v>60</v>
      </c>
      <c r="M136" s="79">
        <f t="shared" si="233"/>
        <v>60</v>
      </c>
      <c r="N136" s="79">
        <f t="shared" si="233"/>
        <v>60</v>
      </c>
      <c r="O136" s="79">
        <f t="shared" si="233"/>
        <v>60</v>
      </c>
      <c r="P136" s="79">
        <f t="shared" si="233"/>
        <v>60</v>
      </c>
      <c r="Q136" s="79">
        <f t="shared" si="233"/>
        <v>60</v>
      </c>
      <c r="R136" s="79">
        <f t="shared" si="233"/>
        <v>60</v>
      </c>
      <c r="S136" s="79">
        <f t="shared" si="233"/>
        <v>60</v>
      </c>
      <c r="T136" s="79">
        <f t="shared" si="233"/>
        <v>60</v>
      </c>
      <c r="U136" s="79">
        <f t="shared" si="233"/>
        <v>60</v>
      </c>
      <c r="V136" s="79">
        <f t="shared" si="233"/>
        <v>60</v>
      </c>
      <c r="W136" s="79">
        <f t="shared" si="233"/>
        <v>60</v>
      </c>
      <c r="X136" s="79">
        <f t="shared" si="233"/>
        <v>60</v>
      </c>
      <c r="Y136" s="79">
        <f t="shared" si="233"/>
        <v>60</v>
      </c>
      <c r="Z136" s="79">
        <f t="shared" si="233"/>
        <v>60</v>
      </c>
      <c r="AA136" s="79">
        <f t="shared" si="233"/>
        <v>60</v>
      </c>
      <c r="AB136" s="79">
        <f t="shared" si="233"/>
        <v>60</v>
      </c>
      <c r="AC136" s="79">
        <f t="shared" si="233"/>
        <v>60</v>
      </c>
      <c r="AD136" s="79">
        <f t="shared" si="233"/>
        <v>60</v>
      </c>
      <c r="AE136" s="79">
        <f t="shared" si="233"/>
        <v>60</v>
      </c>
      <c r="AF136" s="79">
        <f t="shared" si="233"/>
        <v>60</v>
      </c>
      <c r="AG136" s="79">
        <f t="shared" si="233"/>
        <v>60</v>
      </c>
      <c r="AH136" s="79">
        <f t="shared" si="233"/>
        <v>60</v>
      </c>
      <c r="AI136" s="79">
        <f t="shared" si="233"/>
        <v>60</v>
      </c>
      <c r="AJ136" s="79">
        <f t="shared" si="233"/>
        <v>60</v>
      </c>
      <c r="AK136" s="79">
        <f t="shared" si="233"/>
        <v>60</v>
      </c>
      <c r="AL136" s="79">
        <f t="shared" si="233"/>
        <v>60</v>
      </c>
      <c r="AM136" s="79">
        <f t="shared" si="233"/>
        <v>60</v>
      </c>
      <c r="AN136" s="79">
        <f t="shared" si="233"/>
        <v>60</v>
      </c>
      <c r="AO136" s="79">
        <f t="shared" si="233"/>
        <v>60</v>
      </c>
      <c r="AP136" s="79">
        <f t="shared" si="233"/>
        <v>60</v>
      </c>
      <c r="AQ136" s="79">
        <f t="shared" si="233"/>
        <v>60</v>
      </c>
      <c r="AR136" s="79">
        <f t="shared" si="233"/>
        <v>60</v>
      </c>
      <c r="AS136" s="79">
        <f t="shared" si="233"/>
        <v>60</v>
      </c>
      <c r="AT136" s="79">
        <f t="shared" si="233"/>
        <v>60</v>
      </c>
      <c r="AU136" s="79">
        <f t="shared" si="233"/>
        <v>60</v>
      </c>
      <c r="AV136" s="79">
        <f t="shared" si="233"/>
        <v>60</v>
      </c>
      <c r="AW136" s="79"/>
      <c r="AX136" s="79"/>
      <c r="AY136" s="79"/>
      <c r="AZ136" s="79"/>
      <c r="BA136" s="79"/>
    </row>
    <row r="137" spans="1:53" x14ac:dyDescent="0.3">
      <c r="A137" s="77" t="s">
        <v>71</v>
      </c>
      <c r="B137" s="80">
        <f>'week 02'!G7</f>
        <v>45</v>
      </c>
      <c r="C137" s="80">
        <f>'week 03'!G7</f>
        <v>37</v>
      </c>
      <c r="D137" s="80">
        <f>'week 04'!G7</f>
        <v>42</v>
      </c>
      <c r="E137" s="80">
        <f>'week 05'!G7</f>
        <v>35</v>
      </c>
      <c r="F137" s="80">
        <f>'week 06'!G7</f>
        <v>40</v>
      </c>
      <c r="G137" s="80">
        <f>'week 07'!G7</f>
        <v>40</v>
      </c>
      <c r="H137" s="80">
        <f>'week 08'!G7</f>
        <v>59</v>
      </c>
      <c r="I137" s="80">
        <f>'week 09'!G7</f>
        <v>36</v>
      </c>
      <c r="J137" s="80">
        <f>'week 10'!G7</f>
        <v>83</v>
      </c>
      <c r="K137" s="80">
        <f>'week 11'!H6</f>
        <v>40</v>
      </c>
      <c r="L137" s="80">
        <f>'week 12'!G6</f>
        <v>93</v>
      </c>
      <c r="M137" s="80">
        <f>'week 13'!G6</f>
        <v>32</v>
      </c>
      <c r="N137" s="80">
        <f>'week 14'!G6</f>
        <v>86</v>
      </c>
      <c r="O137" s="80">
        <f>'week 15'!G6</f>
        <v>38</v>
      </c>
      <c r="P137" s="80">
        <f>'week 16'!G6</f>
        <v>37</v>
      </c>
      <c r="Q137" s="80">
        <f>'week 17'!G6</f>
        <v>37</v>
      </c>
      <c r="R137" s="80">
        <f>'week 18'!G6</f>
        <v>37</v>
      </c>
      <c r="S137" s="80">
        <f>'week 19'!G6</f>
        <v>37</v>
      </c>
      <c r="T137" s="80">
        <f>'week 20'!I6</f>
        <v>67</v>
      </c>
      <c r="U137" s="80">
        <f>'week 21'!I6</f>
        <v>32</v>
      </c>
      <c r="V137" s="80">
        <f>'week 22'!I6</f>
        <v>71</v>
      </c>
      <c r="W137" s="80">
        <f>'week 23'!I6</f>
        <v>40</v>
      </c>
      <c r="X137" s="80">
        <f>'week 24'!I6</f>
        <v>34</v>
      </c>
      <c r="Y137" s="80">
        <f>'week 25'!I6</f>
        <v>34</v>
      </c>
      <c r="Z137" s="80">
        <v>58</v>
      </c>
      <c r="AA137" s="80">
        <v>56</v>
      </c>
      <c r="AB137" s="80">
        <v>44</v>
      </c>
      <c r="AC137" s="80">
        <v>62</v>
      </c>
      <c r="AD137" s="80">
        <v>62</v>
      </c>
      <c r="AE137" s="80">
        <v>62</v>
      </c>
      <c r="AF137" s="80">
        <v>62</v>
      </c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1"/>
    </row>
    <row r="138" spans="1:53" ht="15" thickBot="1" x14ac:dyDescent="0.35">
      <c r="A138" s="74" t="s">
        <v>72</v>
      </c>
      <c r="B138" s="75"/>
      <c r="C138" s="82"/>
      <c r="D138" s="75"/>
      <c r="E138" s="82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82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82"/>
      <c r="AU138" s="75"/>
      <c r="AV138" s="75"/>
      <c r="AW138" s="82"/>
      <c r="AX138" s="75"/>
      <c r="AY138" s="75"/>
      <c r="AZ138" s="75"/>
      <c r="BA138" s="76"/>
    </row>
    <row r="139" spans="1:53" s="58" customFormat="1" x14ac:dyDescent="0.3">
      <c r="A139" s="69" t="s">
        <v>73</v>
      </c>
      <c r="B139" s="70">
        <v>9</v>
      </c>
      <c r="C139" s="70">
        <v>9</v>
      </c>
      <c r="D139" s="70">
        <v>9</v>
      </c>
      <c r="E139" s="70">
        <v>9</v>
      </c>
      <c r="F139" s="70">
        <v>9</v>
      </c>
      <c r="G139" s="70">
        <v>9</v>
      </c>
      <c r="H139" s="70">
        <v>9</v>
      </c>
      <c r="I139" s="70">
        <v>9</v>
      </c>
      <c r="J139" s="70">
        <v>9</v>
      </c>
      <c r="K139" s="70">
        <v>9</v>
      </c>
      <c r="L139" s="70">
        <v>9</v>
      </c>
      <c r="M139" s="70">
        <v>9</v>
      </c>
      <c r="N139" s="70">
        <v>9</v>
      </c>
      <c r="O139" s="70">
        <v>9</v>
      </c>
      <c r="P139" s="70">
        <v>9</v>
      </c>
      <c r="Q139" s="70">
        <v>9</v>
      </c>
      <c r="R139" s="70">
        <v>9</v>
      </c>
      <c r="S139" s="70">
        <v>9</v>
      </c>
      <c r="T139" s="70">
        <v>9</v>
      </c>
      <c r="U139" s="70">
        <v>9</v>
      </c>
      <c r="V139" s="70">
        <v>9</v>
      </c>
      <c r="W139" s="70">
        <v>9</v>
      </c>
      <c r="X139" s="70">
        <v>9</v>
      </c>
      <c r="Y139" s="70">
        <v>9</v>
      </c>
      <c r="Z139" s="70">
        <v>9</v>
      </c>
      <c r="AA139" s="70">
        <v>9</v>
      </c>
      <c r="AB139" s="70">
        <v>9</v>
      </c>
      <c r="AC139" s="70">
        <v>9</v>
      </c>
      <c r="AD139" s="70">
        <v>9</v>
      </c>
      <c r="AE139" s="70">
        <v>9</v>
      </c>
      <c r="AF139" s="70">
        <v>9</v>
      </c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</row>
    <row r="140" spans="1:53" s="58" customFormat="1" x14ac:dyDescent="0.3">
      <c r="A140" s="83" t="s">
        <v>74</v>
      </c>
      <c r="B140" s="84">
        <v>9</v>
      </c>
      <c r="C140" s="84">
        <v>9</v>
      </c>
      <c r="D140" s="84">
        <v>9</v>
      </c>
      <c r="E140" s="84">
        <v>9</v>
      </c>
      <c r="F140" s="84">
        <v>9</v>
      </c>
      <c r="G140" s="84">
        <v>9</v>
      </c>
      <c r="H140" s="84">
        <v>9</v>
      </c>
      <c r="I140" s="84">
        <v>9</v>
      </c>
      <c r="J140" s="84">
        <v>9</v>
      </c>
      <c r="K140" s="84">
        <v>9</v>
      </c>
      <c r="L140" s="84">
        <v>9</v>
      </c>
      <c r="M140" s="84">
        <v>9</v>
      </c>
      <c r="N140" s="84">
        <v>9</v>
      </c>
      <c r="O140" s="84">
        <v>9</v>
      </c>
      <c r="P140" s="84">
        <v>9</v>
      </c>
      <c r="Q140" s="84">
        <v>9</v>
      </c>
      <c r="R140" s="84">
        <v>9</v>
      </c>
      <c r="S140" s="84">
        <v>9</v>
      </c>
      <c r="T140" s="84">
        <v>9</v>
      </c>
      <c r="U140" s="84">
        <v>9</v>
      </c>
      <c r="V140" s="84">
        <v>9</v>
      </c>
      <c r="W140" s="84">
        <v>9</v>
      </c>
      <c r="X140" s="84">
        <v>9</v>
      </c>
      <c r="Y140" s="84">
        <v>9</v>
      </c>
      <c r="Z140" s="84">
        <v>9</v>
      </c>
      <c r="AA140" s="84">
        <v>9</v>
      </c>
      <c r="AB140" s="84">
        <v>9</v>
      </c>
      <c r="AC140" s="84">
        <v>9</v>
      </c>
      <c r="AD140" s="84">
        <v>9</v>
      </c>
      <c r="AE140" s="84">
        <v>9</v>
      </c>
      <c r="AF140" s="84">
        <v>9</v>
      </c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</row>
    <row r="141" spans="1:53" s="58" customFormat="1" ht="15" thickBot="1" x14ac:dyDescent="0.35">
      <c r="A141" s="74" t="s">
        <v>75</v>
      </c>
      <c r="B141" s="85">
        <v>8</v>
      </c>
      <c r="C141" s="85">
        <v>8</v>
      </c>
      <c r="D141" s="85">
        <v>8</v>
      </c>
      <c r="E141" s="85">
        <v>8</v>
      </c>
      <c r="F141" s="85">
        <v>8</v>
      </c>
      <c r="G141" s="85">
        <v>8</v>
      </c>
      <c r="H141" s="85">
        <v>8</v>
      </c>
      <c r="I141" s="85">
        <v>8</v>
      </c>
      <c r="J141" s="85">
        <v>8</v>
      </c>
      <c r="K141" s="85">
        <v>8</v>
      </c>
      <c r="L141" s="85">
        <v>8</v>
      </c>
      <c r="M141" s="85">
        <v>8</v>
      </c>
      <c r="N141" s="85">
        <v>8</v>
      </c>
      <c r="O141" s="85">
        <v>8</v>
      </c>
      <c r="P141" s="85">
        <v>8</v>
      </c>
      <c r="Q141" s="85">
        <v>8</v>
      </c>
      <c r="R141" s="85">
        <v>8</v>
      </c>
      <c r="S141" s="85">
        <v>8</v>
      </c>
      <c r="T141" s="85">
        <v>8</v>
      </c>
      <c r="U141" s="85">
        <v>8</v>
      </c>
      <c r="V141" s="85">
        <v>8</v>
      </c>
      <c r="W141" s="85">
        <v>8</v>
      </c>
      <c r="X141" s="85">
        <v>8</v>
      </c>
      <c r="Y141" s="85">
        <v>8</v>
      </c>
      <c r="Z141" s="85">
        <v>8</v>
      </c>
      <c r="AA141" s="85">
        <v>8</v>
      </c>
      <c r="AB141" s="85">
        <v>8</v>
      </c>
      <c r="AC141" s="85">
        <v>8</v>
      </c>
      <c r="AD141" s="85">
        <v>8</v>
      </c>
      <c r="AE141" s="85">
        <v>8</v>
      </c>
      <c r="AF141" s="85">
        <v>8</v>
      </c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</row>
    <row r="142" spans="1:53" s="58" customFormat="1" x14ac:dyDescent="0.3">
      <c r="A142" s="57"/>
      <c r="B142" s="59"/>
      <c r="AO142" s="59"/>
      <c r="AP142" s="59"/>
      <c r="AQ142" s="59"/>
      <c r="AR142" s="59"/>
      <c r="AS142" s="59"/>
      <c r="AU142" s="59"/>
      <c r="AV142" s="59"/>
      <c r="AX142" s="59"/>
      <c r="AY142" s="59"/>
      <c r="AZ142" s="59"/>
      <c r="BA142" s="59"/>
    </row>
    <row r="146" spans="1:53" ht="18" x14ac:dyDescent="0.35">
      <c r="A146" s="60" t="s">
        <v>1</v>
      </c>
      <c r="B146" s="61" t="s">
        <v>64</v>
      </c>
      <c r="C146" s="62" t="s">
        <v>65</v>
      </c>
      <c r="E146" s="64"/>
    </row>
    <row r="147" spans="1:53" ht="18.600000000000001" thickBot="1" x14ac:dyDescent="0.4">
      <c r="A147" s="66" t="s">
        <v>21</v>
      </c>
      <c r="B147" s="64">
        <v>10</v>
      </c>
      <c r="C147" s="67" t="s">
        <v>76</v>
      </c>
      <c r="D147" s="68"/>
    </row>
    <row r="148" spans="1:53" x14ac:dyDescent="0.3">
      <c r="A148" s="69" t="s">
        <v>67</v>
      </c>
      <c r="B148" s="70">
        <v>1</v>
      </c>
      <c r="C148" s="70">
        <v>2</v>
      </c>
      <c r="D148" s="70">
        <v>3</v>
      </c>
      <c r="E148" s="70">
        <v>4</v>
      </c>
      <c r="F148" s="70">
        <v>5</v>
      </c>
      <c r="G148" s="70">
        <v>6</v>
      </c>
      <c r="H148" s="70">
        <v>7</v>
      </c>
      <c r="I148" s="70">
        <v>8</v>
      </c>
      <c r="J148" s="70">
        <v>9</v>
      </c>
      <c r="K148" s="70">
        <v>10</v>
      </c>
      <c r="L148" s="70">
        <v>11</v>
      </c>
      <c r="M148" s="70">
        <v>12</v>
      </c>
      <c r="N148" s="70">
        <v>13</v>
      </c>
      <c r="O148" s="70">
        <v>14</v>
      </c>
      <c r="P148" s="70">
        <v>15</v>
      </c>
      <c r="Q148" s="70">
        <v>16</v>
      </c>
      <c r="R148" s="70">
        <v>17</v>
      </c>
      <c r="S148" s="70">
        <v>18</v>
      </c>
      <c r="T148" s="70">
        <v>19</v>
      </c>
      <c r="U148" s="70">
        <v>20</v>
      </c>
      <c r="V148" s="70">
        <v>21</v>
      </c>
      <c r="W148" s="70">
        <v>22</v>
      </c>
      <c r="X148" s="70">
        <v>23</v>
      </c>
      <c r="Y148" s="70">
        <v>24</v>
      </c>
      <c r="Z148" s="70">
        <v>25</v>
      </c>
      <c r="AA148" s="70">
        <v>26</v>
      </c>
      <c r="AB148" s="70">
        <v>27</v>
      </c>
      <c r="AC148" s="70">
        <v>28</v>
      </c>
      <c r="AD148" s="70">
        <v>29</v>
      </c>
      <c r="AE148" s="70">
        <v>30</v>
      </c>
      <c r="AF148" s="70">
        <v>31</v>
      </c>
      <c r="AG148" s="70">
        <v>32</v>
      </c>
      <c r="AH148" s="70">
        <v>33</v>
      </c>
      <c r="AI148" s="70">
        <v>34</v>
      </c>
      <c r="AJ148" s="70">
        <v>35</v>
      </c>
      <c r="AK148" s="70">
        <v>36</v>
      </c>
      <c r="AL148" s="70">
        <v>37</v>
      </c>
      <c r="AM148" s="70">
        <v>38</v>
      </c>
      <c r="AN148" s="70">
        <v>39</v>
      </c>
      <c r="AO148" s="70">
        <v>40</v>
      </c>
      <c r="AP148" s="70">
        <v>41</v>
      </c>
      <c r="AQ148" s="70">
        <v>42</v>
      </c>
      <c r="AR148" s="70">
        <v>43</v>
      </c>
      <c r="AS148" s="70">
        <v>44</v>
      </c>
      <c r="AT148" s="70">
        <v>45</v>
      </c>
      <c r="AU148" s="70">
        <v>46</v>
      </c>
      <c r="AV148" s="70">
        <v>47</v>
      </c>
      <c r="AW148" s="70">
        <v>48</v>
      </c>
      <c r="AX148" s="70">
        <v>49</v>
      </c>
      <c r="AY148" s="70">
        <v>50</v>
      </c>
      <c r="AZ148" s="70">
        <v>51</v>
      </c>
      <c r="BA148" s="71">
        <v>52</v>
      </c>
    </row>
    <row r="149" spans="1:53" x14ac:dyDescent="0.3">
      <c r="A149" s="72" t="s">
        <v>68</v>
      </c>
      <c r="B149" s="73">
        <v>85</v>
      </c>
      <c r="C149" s="73">
        <v>85</v>
      </c>
      <c r="D149" s="73">
        <v>85</v>
      </c>
      <c r="E149" s="73">
        <v>85</v>
      </c>
      <c r="F149" s="73">
        <v>85</v>
      </c>
      <c r="G149" s="73">
        <v>85</v>
      </c>
      <c r="H149" s="73">
        <v>85</v>
      </c>
      <c r="I149" s="73">
        <v>85</v>
      </c>
      <c r="J149" s="73">
        <v>85</v>
      </c>
      <c r="K149" s="73">
        <v>85</v>
      </c>
      <c r="L149" s="73">
        <v>85</v>
      </c>
      <c r="M149" s="73">
        <v>85</v>
      </c>
      <c r="N149" s="73">
        <v>85</v>
      </c>
      <c r="O149" s="73">
        <v>85</v>
      </c>
      <c r="P149" s="73">
        <v>85</v>
      </c>
      <c r="Q149" s="73">
        <v>85</v>
      </c>
      <c r="R149" s="73">
        <v>85</v>
      </c>
      <c r="S149" s="73">
        <v>85</v>
      </c>
      <c r="T149" s="73">
        <v>85</v>
      </c>
      <c r="U149" s="73">
        <v>85</v>
      </c>
      <c r="V149" s="73">
        <v>85</v>
      </c>
      <c r="W149" s="73">
        <v>85</v>
      </c>
      <c r="X149" s="73">
        <v>85</v>
      </c>
      <c r="Y149" s="73">
        <v>85</v>
      </c>
      <c r="Z149" s="73">
        <v>85</v>
      </c>
      <c r="AA149" s="73">
        <v>85</v>
      </c>
      <c r="AB149" s="73">
        <v>85</v>
      </c>
      <c r="AC149" s="73">
        <v>85</v>
      </c>
      <c r="AD149" s="73">
        <v>85</v>
      </c>
      <c r="AE149" s="73">
        <v>85</v>
      </c>
      <c r="AF149" s="73">
        <v>85</v>
      </c>
      <c r="AG149" s="73">
        <v>85</v>
      </c>
      <c r="AH149" s="73">
        <v>85</v>
      </c>
      <c r="AI149" s="73">
        <v>85</v>
      </c>
      <c r="AJ149" s="73">
        <v>85</v>
      </c>
      <c r="AK149" s="73">
        <v>85</v>
      </c>
      <c r="AL149" s="73">
        <v>85</v>
      </c>
      <c r="AM149" s="73">
        <v>85</v>
      </c>
      <c r="AN149" s="73">
        <v>85</v>
      </c>
      <c r="AO149" s="73">
        <v>85</v>
      </c>
      <c r="AP149" s="73">
        <v>85</v>
      </c>
      <c r="AQ149" s="73">
        <v>85</v>
      </c>
      <c r="AR149" s="73">
        <v>85</v>
      </c>
      <c r="AS149" s="73">
        <v>85</v>
      </c>
      <c r="AT149" s="73">
        <v>85</v>
      </c>
      <c r="AU149" s="73">
        <v>85</v>
      </c>
      <c r="AV149" s="73">
        <v>85</v>
      </c>
      <c r="AW149" s="73"/>
      <c r="AX149" s="73"/>
      <c r="AY149" s="73"/>
      <c r="AZ149" s="73"/>
      <c r="BA149" s="73"/>
    </row>
    <row r="150" spans="1:53" ht="15" thickBot="1" x14ac:dyDescent="0.35">
      <c r="A150" s="74" t="s">
        <v>69</v>
      </c>
      <c r="B150" s="75">
        <f>'week 02'!I4</f>
        <v>88</v>
      </c>
      <c r="C150" s="75">
        <f>'week 03'!I4</f>
        <v>89</v>
      </c>
      <c r="D150" s="75">
        <f>'week 04'!I4</f>
        <v>87</v>
      </c>
      <c r="E150" s="75">
        <f>'week 05'!I4</f>
        <v>88</v>
      </c>
      <c r="F150" s="75">
        <f>'week 06'!I4</f>
        <v>89</v>
      </c>
      <c r="G150" s="75">
        <f>'week 07'!I4</f>
        <v>87</v>
      </c>
      <c r="H150" s="75">
        <f>'week 08'!I4</f>
        <v>89</v>
      </c>
      <c r="I150" s="75">
        <f>'week 09'!I4</f>
        <v>87</v>
      </c>
      <c r="J150" s="75">
        <f>'week 10'!I4</f>
        <v>88</v>
      </c>
      <c r="K150" s="75">
        <f>'week 11'!J7</f>
        <v>87</v>
      </c>
      <c r="L150" s="75">
        <f>'week 12'!I7</f>
        <v>88</v>
      </c>
      <c r="M150" s="75">
        <f>'week 13'!I7</f>
        <v>87</v>
      </c>
      <c r="N150" s="75">
        <f>'week 14'!I7</f>
        <v>87</v>
      </c>
      <c r="O150" s="75">
        <f>'week 15'!I7</f>
        <v>87</v>
      </c>
      <c r="P150" s="75">
        <f>'week 16'!I7</f>
        <v>87</v>
      </c>
      <c r="Q150" s="75">
        <f>'week 17'!I7</f>
        <v>88</v>
      </c>
      <c r="R150" s="75">
        <f>'week 18'!I7</f>
        <v>88</v>
      </c>
      <c r="S150" s="75">
        <f>'week 19'!I7</f>
        <v>88</v>
      </c>
      <c r="T150" s="75">
        <f>'week 20'!K7</f>
        <v>88</v>
      </c>
      <c r="U150" s="75">
        <f>'week 21'!K7</f>
        <v>89</v>
      </c>
      <c r="V150" s="75">
        <f>'week 22'!K7</f>
        <v>87</v>
      </c>
      <c r="W150" s="75">
        <f>'week 23'!K7</f>
        <v>88</v>
      </c>
      <c r="X150" s="75">
        <f>'week 24'!K7</f>
        <v>87</v>
      </c>
      <c r="Y150" s="75">
        <f>'week 25'!K7</f>
        <v>89</v>
      </c>
      <c r="Z150" s="75">
        <f>'week 26'!K7</f>
        <v>88</v>
      </c>
      <c r="AA150" s="75">
        <v>88</v>
      </c>
      <c r="AB150" s="75">
        <v>88</v>
      </c>
      <c r="AC150" s="75">
        <v>86</v>
      </c>
      <c r="AD150" s="75">
        <v>86</v>
      </c>
      <c r="AE150" s="75">
        <v>87</v>
      </c>
      <c r="AF150" s="75">
        <v>87</v>
      </c>
      <c r="AG150" s="75">
        <v>87</v>
      </c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6"/>
    </row>
    <row r="151" spans="1:53" x14ac:dyDescent="0.3">
      <c r="A151" s="77" t="s">
        <v>67</v>
      </c>
      <c r="B151" s="59">
        <v>1</v>
      </c>
      <c r="C151" s="59">
        <v>2</v>
      </c>
      <c r="D151" s="59">
        <v>3</v>
      </c>
      <c r="E151" s="59">
        <v>4</v>
      </c>
      <c r="F151" s="59">
        <v>5</v>
      </c>
      <c r="G151" s="59">
        <v>6</v>
      </c>
      <c r="H151" s="59">
        <v>7</v>
      </c>
      <c r="I151" s="59">
        <v>8</v>
      </c>
      <c r="J151" s="59">
        <v>9</v>
      </c>
      <c r="K151" s="59">
        <v>10</v>
      </c>
      <c r="L151" s="59">
        <v>11</v>
      </c>
      <c r="M151" s="59">
        <v>12</v>
      </c>
      <c r="N151" s="59">
        <v>13</v>
      </c>
      <c r="O151" s="59">
        <v>14</v>
      </c>
      <c r="P151" s="59">
        <v>15</v>
      </c>
      <c r="Q151" s="59">
        <v>16</v>
      </c>
      <c r="R151" s="59">
        <v>17</v>
      </c>
      <c r="S151" s="59">
        <v>18</v>
      </c>
      <c r="T151" s="59">
        <v>19</v>
      </c>
      <c r="U151" s="59">
        <v>20</v>
      </c>
      <c r="V151" s="59">
        <v>21</v>
      </c>
      <c r="W151" s="59">
        <v>22</v>
      </c>
      <c r="X151" s="59">
        <v>23</v>
      </c>
      <c r="Y151" s="59">
        <v>24</v>
      </c>
      <c r="Z151" s="59">
        <v>25</v>
      </c>
      <c r="AA151" s="59">
        <v>26</v>
      </c>
      <c r="AB151" s="59">
        <v>27</v>
      </c>
      <c r="AC151" s="59">
        <v>28</v>
      </c>
      <c r="AD151" s="59">
        <v>29</v>
      </c>
      <c r="AE151" s="59">
        <v>30</v>
      </c>
      <c r="AF151" s="59">
        <v>31</v>
      </c>
      <c r="AG151" s="59">
        <v>32</v>
      </c>
      <c r="AH151" s="59">
        <v>33</v>
      </c>
      <c r="AI151" s="59">
        <v>34</v>
      </c>
      <c r="AJ151" s="59">
        <v>35</v>
      </c>
      <c r="AK151" s="59">
        <v>36</v>
      </c>
      <c r="AL151" s="59">
        <v>37</v>
      </c>
      <c r="AM151" s="59">
        <v>38</v>
      </c>
      <c r="AN151" s="59">
        <v>39</v>
      </c>
      <c r="AO151" s="59">
        <v>40</v>
      </c>
      <c r="AP151" s="59">
        <v>41</v>
      </c>
      <c r="AQ151" s="59">
        <v>42</v>
      </c>
      <c r="AR151" s="59">
        <v>43</v>
      </c>
      <c r="AS151" s="59">
        <v>44</v>
      </c>
      <c r="AT151" s="59">
        <v>45</v>
      </c>
      <c r="AU151" s="59">
        <v>46</v>
      </c>
      <c r="AV151" s="59">
        <v>47</v>
      </c>
      <c r="AW151" s="70">
        <v>48</v>
      </c>
      <c r="AX151" s="70">
        <v>49</v>
      </c>
      <c r="AY151" s="70">
        <v>50</v>
      </c>
      <c r="AZ151" s="70">
        <v>51</v>
      </c>
      <c r="BA151" s="71">
        <v>52</v>
      </c>
    </row>
    <row r="152" spans="1:53" x14ac:dyDescent="0.3">
      <c r="A152" s="78" t="s">
        <v>70</v>
      </c>
      <c r="B152" s="79">
        <v>60</v>
      </c>
      <c r="C152" s="79">
        <f t="shared" ref="C152:AR152" si="234">B152</f>
        <v>60</v>
      </c>
      <c r="D152" s="79">
        <f t="shared" si="234"/>
        <v>60</v>
      </c>
      <c r="E152" s="79">
        <f t="shared" si="234"/>
        <v>60</v>
      </c>
      <c r="F152" s="79">
        <f t="shared" si="234"/>
        <v>60</v>
      </c>
      <c r="G152" s="79">
        <f t="shared" si="234"/>
        <v>60</v>
      </c>
      <c r="H152" s="79">
        <f t="shared" si="234"/>
        <v>60</v>
      </c>
      <c r="I152" s="79">
        <f t="shared" si="234"/>
        <v>60</v>
      </c>
      <c r="J152" s="79">
        <f t="shared" si="234"/>
        <v>60</v>
      </c>
      <c r="K152" s="79">
        <f t="shared" si="234"/>
        <v>60</v>
      </c>
      <c r="L152" s="79">
        <f t="shared" si="234"/>
        <v>60</v>
      </c>
      <c r="M152" s="79">
        <f t="shared" si="234"/>
        <v>60</v>
      </c>
      <c r="N152" s="79">
        <f t="shared" si="234"/>
        <v>60</v>
      </c>
      <c r="O152" s="79">
        <f t="shared" si="234"/>
        <v>60</v>
      </c>
      <c r="P152" s="79">
        <f t="shared" si="234"/>
        <v>60</v>
      </c>
      <c r="Q152" s="79">
        <f t="shared" si="234"/>
        <v>60</v>
      </c>
      <c r="R152" s="79">
        <f t="shared" si="234"/>
        <v>60</v>
      </c>
      <c r="S152" s="79">
        <f t="shared" si="234"/>
        <v>60</v>
      </c>
      <c r="T152" s="79">
        <f t="shared" si="234"/>
        <v>60</v>
      </c>
      <c r="U152" s="79">
        <f t="shared" si="234"/>
        <v>60</v>
      </c>
      <c r="V152" s="79">
        <f t="shared" si="234"/>
        <v>60</v>
      </c>
      <c r="W152" s="79">
        <f t="shared" si="234"/>
        <v>60</v>
      </c>
      <c r="X152" s="79">
        <f t="shared" si="234"/>
        <v>60</v>
      </c>
      <c r="Y152" s="79">
        <f t="shared" si="234"/>
        <v>60</v>
      </c>
      <c r="Z152" s="79">
        <f t="shared" si="234"/>
        <v>60</v>
      </c>
      <c r="AA152" s="79">
        <f t="shared" si="234"/>
        <v>60</v>
      </c>
      <c r="AB152" s="79">
        <f t="shared" si="234"/>
        <v>60</v>
      </c>
      <c r="AC152" s="79">
        <f t="shared" si="234"/>
        <v>60</v>
      </c>
      <c r="AD152" s="79">
        <f t="shared" si="234"/>
        <v>60</v>
      </c>
      <c r="AE152" s="79">
        <f t="shared" si="234"/>
        <v>60</v>
      </c>
      <c r="AF152" s="79">
        <f t="shared" si="234"/>
        <v>60</v>
      </c>
      <c r="AG152" s="79">
        <f t="shared" si="234"/>
        <v>60</v>
      </c>
      <c r="AH152" s="79">
        <f t="shared" si="234"/>
        <v>60</v>
      </c>
      <c r="AI152" s="79">
        <f t="shared" si="234"/>
        <v>60</v>
      </c>
      <c r="AJ152" s="79">
        <f t="shared" si="234"/>
        <v>60</v>
      </c>
      <c r="AK152" s="79">
        <f t="shared" si="234"/>
        <v>60</v>
      </c>
      <c r="AL152" s="79">
        <f t="shared" si="234"/>
        <v>60</v>
      </c>
      <c r="AM152" s="79">
        <f t="shared" si="234"/>
        <v>60</v>
      </c>
      <c r="AN152" s="79">
        <f t="shared" si="234"/>
        <v>60</v>
      </c>
      <c r="AO152" s="79">
        <f t="shared" si="234"/>
        <v>60</v>
      </c>
      <c r="AP152" s="79">
        <f t="shared" si="234"/>
        <v>60</v>
      </c>
      <c r="AQ152" s="79">
        <f t="shared" si="234"/>
        <v>60</v>
      </c>
      <c r="AR152" s="79">
        <f t="shared" si="234"/>
        <v>60</v>
      </c>
      <c r="AS152" s="79">
        <v>60</v>
      </c>
      <c r="AT152" s="79">
        <f>AS152</f>
        <v>60</v>
      </c>
      <c r="AU152" s="79">
        <f>AT152</f>
        <v>60</v>
      </c>
      <c r="AV152" s="79">
        <f>AU152</f>
        <v>60</v>
      </c>
      <c r="AW152" s="79"/>
      <c r="AX152" s="79"/>
      <c r="AY152" s="79"/>
      <c r="AZ152" s="79"/>
      <c r="BA152" s="79"/>
    </row>
    <row r="153" spans="1:53" x14ac:dyDescent="0.3">
      <c r="A153" s="77" t="s">
        <v>71</v>
      </c>
      <c r="B153" s="80">
        <f>'week 02'!G4</f>
        <v>65</v>
      </c>
      <c r="C153" s="80">
        <f>'week 03'!G4</f>
        <v>45</v>
      </c>
      <c r="D153" s="80">
        <f>'week 04'!G4</f>
        <v>83</v>
      </c>
      <c r="E153" s="80">
        <f>'week 05'!G4</f>
        <v>70</v>
      </c>
      <c r="F153" s="80">
        <f>'week 06'!G4</f>
        <v>45</v>
      </c>
      <c r="G153" s="80">
        <f>'week 07'!G4</f>
        <v>79</v>
      </c>
      <c r="H153" s="80">
        <f>'week 08'!G4</f>
        <v>84</v>
      </c>
      <c r="I153" s="80">
        <f>'week 09'!G4</f>
        <v>55</v>
      </c>
      <c r="J153" s="80">
        <f>'week 10'!G4</f>
        <v>55</v>
      </c>
      <c r="K153" s="80">
        <v>82</v>
      </c>
      <c r="L153" s="80">
        <f>'week 12'!G7</f>
        <v>68</v>
      </c>
      <c r="M153" s="80">
        <f>'week 13'!G7</f>
        <v>40</v>
      </c>
      <c r="N153" s="80">
        <f>'week 14'!G7</f>
        <v>59</v>
      </c>
      <c r="O153" s="80">
        <f>'week 15'!G7</f>
        <v>82</v>
      </c>
      <c r="P153" s="80">
        <f>'week 16'!G7</f>
        <v>33</v>
      </c>
      <c r="Q153" s="80">
        <f>'week 17'!G7</f>
        <v>83</v>
      </c>
      <c r="R153" s="80">
        <f>'week 18'!G7</f>
        <v>79</v>
      </c>
      <c r="S153" s="80">
        <f>'week 19'!G7</f>
        <v>96</v>
      </c>
      <c r="T153" s="80">
        <f>'week 20'!I7</f>
        <v>85</v>
      </c>
      <c r="U153" s="80">
        <f>'week 21'!I7</f>
        <v>54</v>
      </c>
      <c r="V153" s="80">
        <f>'week 22'!I7</f>
        <v>76</v>
      </c>
      <c r="W153" s="80">
        <f>'week 23'!I7</f>
        <v>70</v>
      </c>
      <c r="X153" s="80">
        <f>'week 24'!I7</f>
        <v>75</v>
      </c>
      <c r="Y153" s="80">
        <f>'week 25'!I7</f>
        <v>68</v>
      </c>
      <c r="Z153" s="80">
        <v>52</v>
      </c>
      <c r="AA153" s="80">
        <v>66</v>
      </c>
      <c r="AB153" s="80">
        <v>58</v>
      </c>
      <c r="AC153" s="80">
        <v>81</v>
      </c>
      <c r="AD153" s="80">
        <v>60</v>
      </c>
      <c r="AE153" s="80">
        <v>61</v>
      </c>
      <c r="AF153" s="80">
        <v>69</v>
      </c>
      <c r="AG153" s="80">
        <v>45</v>
      </c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1"/>
    </row>
    <row r="154" spans="1:53" ht="45.6" customHeight="1" thickBot="1" x14ac:dyDescent="0.35">
      <c r="A154" s="74" t="s">
        <v>72</v>
      </c>
      <c r="B154" s="75"/>
      <c r="C154" s="75"/>
      <c r="D154" s="75"/>
      <c r="E154" s="75"/>
      <c r="F154" s="75"/>
      <c r="G154" s="75"/>
      <c r="H154" s="75"/>
      <c r="I154" s="82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82"/>
      <c r="AD154" s="82"/>
      <c r="AE154" s="75"/>
      <c r="AF154" s="75"/>
      <c r="AG154" s="75"/>
      <c r="AH154" s="75"/>
      <c r="AI154" s="82"/>
      <c r="AJ154" s="75"/>
      <c r="AK154" s="75"/>
      <c r="AL154" s="75"/>
      <c r="AM154" s="82"/>
      <c r="AN154" s="75"/>
      <c r="AO154" s="75"/>
      <c r="AP154" s="82"/>
      <c r="AQ154" s="75"/>
      <c r="AR154" s="82"/>
      <c r="AS154" s="75"/>
      <c r="AT154" s="75"/>
      <c r="AU154" s="75"/>
      <c r="AV154" s="75"/>
      <c r="AW154" s="75"/>
      <c r="AX154" s="75"/>
      <c r="AY154" s="75"/>
      <c r="AZ154" s="75"/>
      <c r="BA154" s="76"/>
    </row>
    <row r="155" spans="1:53" s="58" customFormat="1" x14ac:dyDescent="0.3">
      <c r="A155" s="69" t="s">
        <v>73</v>
      </c>
      <c r="B155" s="70">
        <v>9</v>
      </c>
      <c r="C155" s="70">
        <v>9</v>
      </c>
      <c r="D155" s="70">
        <v>9</v>
      </c>
      <c r="E155" s="70">
        <v>9</v>
      </c>
      <c r="F155" s="70">
        <v>9</v>
      </c>
      <c r="G155" s="70">
        <v>9</v>
      </c>
      <c r="H155" s="70">
        <v>9</v>
      </c>
      <c r="I155" s="70">
        <v>9</v>
      </c>
      <c r="J155" s="70">
        <v>9</v>
      </c>
      <c r="K155" s="70">
        <v>9</v>
      </c>
      <c r="L155" s="70">
        <v>9</v>
      </c>
      <c r="M155" s="70">
        <v>9</v>
      </c>
      <c r="N155" s="70">
        <v>9</v>
      </c>
      <c r="O155" s="70">
        <v>9</v>
      </c>
      <c r="P155" s="70">
        <v>9</v>
      </c>
      <c r="Q155" s="70">
        <v>9</v>
      </c>
      <c r="R155" s="70">
        <v>9</v>
      </c>
      <c r="S155" s="70">
        <v>9</v>
      </c>
      <c r="T155" s="70">
        <v>9</v>
      </c>
      <c r="U155" s="70">
        <v>9</v>
      </c>
      <c r="V155" s="70">
        <v>9</v>
      </c>
      <c r="W155" s="70">
        <v>9</v>
      </c>
      <c r="X155" s="70">
        <v>9</v>
      </c>
      <c r="Y155" s="70">
        <v>9</v>
      </c>
      <c r="Z155" s="70">
        <v>9</v>
      </c>
      <c r="AA155" s="70">
        <v>9</v>
      </c>
      <c r="AB155" s="70">
        <v>9</v>
      </c>
      <c r="AC155" s="70">
        <v>9</v>
      </c>
      <c r="AD155" s="70">
        <v>9</v>
      </c>
      <c r="AE155" s="70">
        <v>9</v>
      </c>
      <c r="AF155" s="70">
        <v>9</v>
      </c>
      <c r="AG155" s="70">
        <v>9</v>
      </c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</row>
    <row r="156" spans="1:53" s="58" customFormat="1" x14ac:dyDescent="0.3">
      <c r="A156" s="83" t="s">
        <v>74</v>
      </c>
      <c r="B156" s="84">
        <v>9</v>
      </c>
      <c r="C156" s="84">
        <v>9</v>
      </c>
      <c r="D156" s="84">
        <v>9</v>
      </c>
      <c r="E156" s="84">
        <v>9</v>
      </c>
      <c r="F156" s="84">
        <v>9</v>
      </c>
      <c r="G156" s="84">
        <v>9</v>
      </c>
      <c r="H156" s="84">
        <v>9</v>
      </c>
      <c r="I156" s="86">
        <v>9</v>
      </c>
      <c r="J156" s="84">
        <v>9</v>
      </c>
      <c r="K156" s="84">
        <v>9</v>
      </c>
      <c r="L156" s="84">
        <v>9</v>
      </c>
      <c r="M156" s="84">
        <v>9</v>
      </c>
      <c r="N156" s="84">
        <v>9</v>
      </c>
      <c r="O156" s="84">
        <v>9</v>
      </c>
      <c r="P156" s="84">
        <v>9</v>
      </c>
      <c r="Q156" s="84">
        <v>9</v>
      </c>
      <c r="R156" s="84">
        <v>9</v>
      </c>
      <c r="S156" s="84">
        <v>9</v>
      </c>
      <c r="T156" s="84">
        <v>9</v>
      </c>
      <c r="U156" s="84">
        <v>9</v>
      </c>
      <c r="V156" s="84">
        <v>9</v>
      </c>
      <c r="W156" s="84">
        <v>9</v>
      </c>
      <c r="X156" s="84">
        <v>9</v>
      </c>
      <c r="Y156" s="84">
        <v>9</v>
      </c>
      <c r="Z156" s="84">
        <v>9</v>
      </c>
      <c r="AA156" s="84">
        <v>9</v>
      </c>
      <c r="AB156" s="84">
        <v>9</v>
      </c>
      <c r="AC156" s="84">
        <v>9</v>
      </c>
      <c r="AD156" s="84">
        <v>9</v>
      </c>
      <c r="AE156" s="84">
        <v>9</v>
      </c>
      <c r="AF156" s="84">
        <v>9</v>
      </c>
      <c r="AG156" s="84">
        <v>9</v>
      </c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</row>
    <row r="157" spans="1:53" s="58" customFormat="1" ht="15" thickBot="1" x14ac:dyDescent="0.35">
      <c r="A157" s="74" t="s">
        <v>75</v>
      </c>
      <c r="B157" s="85">
        <v>8</v>
      </c>
      <c r="C157" s="85">
        <v>8</v>
      </c>
      <c r="D157" s="85">
        <v>8</v>
      </c>
      <c r="E157" s="85">
        <v>8</v>
      </c>
      <c r="F157" s="85">
        <v>8</v>
      </c>
      <c r="G157" s="85">
        <v>8</v>
      </c>
      <c r="H157" s="85">
        <v>8</v>
      </c>
      <c r="I157" s="87">
        <v>8</v>
      </c>
      <c r="J157" s="85">
        <v>8</v>
      </c>
      <c r="K157" s="85">
        <v>8</v>
      </c>
      <c r="L157" s="85">
        <v>8</v>
      </c>
      <c r="M157" s="85">
        <v>8</v>
      </c>
      <c r="N157" s="85">
        <v>8</v>
      </c>
      <c r="O157" s="85">
        <v>8</v>
      </c>
      <c r="P157" s="85">
        <v>8</v>
      </c>
      <c r="Q157" s="85">
        <v>8</v>
      </c>
      <c r="R157" s="85">
        <v>8</v>
      </c>
      <c r="S157" s="85">
        <v>8</v>
      </c>
      <c r="T157" s="85">
        <v>8</v>
      </c>
      <c r="U157" s="85">
        <v>8</v>
      </c>
      <c r="V157" s="85">
        <v>8</v>
      </c>
      <c r="W157" s="85">
        <v>8</v>
      </c>
      <c r="X157" s="85">
        <v>8</v>
      </c>
      <c r="Y157" s="85">
        <v>8</v>
      </c>
      <c r="Z157" s="85">
        <v>8</v>
      </c>
      <c r="AA157" s="85">
        <v>8</v>
      </c>
      <c r="AB157" s="85">
        <v>8</v>
      </c>
      <c r="AC157" s="85">
        <v>8</v>
      </c>
      <c r="AD157" s="85">
        <v>8</v>
      </c>
      <c r="AE157" s="85">
        <v>8</v>
      </c>
      <c r="AF157" s="85">
        <v>8</v>
      </c>
      <c r="AG157" s="85">
        <v>8</v>
      </c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</row>
    <row r="158" spans="1:53" s="58" customFormat="1" x14ac:dyDescent="0.3">
      <c r="A158" s="57"/>
      <c r="B158" s="59"/>
      <c r="C158" s="59"/>
      <c r="D158" s="59"/>
      <c r="E158" s="59"/>
      <c r="F158" s="59"/>
      <c r="G158" s="59"/>
      <c r="H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</row>
    <row r="159" spans="1:53" s="58" customFormat="1" x14ac:dyDescent="0.3">
      <c r="A159" s="57"/>
      <c r="B159" s="59"/>
      <c r="C159" s="59"/>
      <c r="D159" s="59"/>
      <c r="E159" s="59"/>
      <c r="F159" s="59"/>
      <c r="G159" s="59"/>
      <c r="H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</row>
    <row r="160" spans="1:53" s="58" customFormat="1" x14ac:dyDescent="0.3">
      <c r="A160" s="57"/>
      <c r="B160" s="59"/>
      <c r="C160" s="59"/>
      <c r="D160" s="59"/>
      <c r="E160" s="59"/>
      <c r="F160" s="59"/>
      <c r="G160" s="59"/>
      <c r="H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</row>
    <row r="161" spans="1:53" s="58" customFormat="1" x14ac:dyDescent="0.3">
      <c r="A161" s="57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</row>
    <row r="162" spans="1:53" s="58" customFormat="1" x14ac:dyDescent="0.3">
      <c r="A162" s="57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</row>
    <row r="163" spans="1:53" s="58" customFormat="1" x14ac:dyDescent="0.3">
      <c r="A163" s="57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</row>
    <row r="165" spans="1:53" ht="18" x14ac:dyDescent="0.35">
      <c r="A165" s="60" t="s">
        <v>1</v>
      </c>
      <c r="B165" s="61" t="s">
        <v>64</v>
      </c>
      <c r="C165" s="62" t="s">
        <v>65</v>
      </c>
      <c r="E165" s="64"/>
    </row>
    <row r="166" spans="1:53" ht="18.600000000000001" thickBot="1" x14ac:dyDescent="0.4">
      <c r="A166" s="66" t="s">
        <v>25</v>
      </c>
      <c r="B166" s="64">
        <v>11</v>
      </c>
      <c r="C166" s="67" t="s">
        <v>77</v>
      </c>
      <c r="D166" s="68"/>
    </row>
    <row r="167" spans="1:53" x14ac:dyDescent="0.3">
      <c r="A167" s="69" t="s">
        <v>67</v>
      </c>
      <c r="B167" s="70">
        <v>1</v>
      </c>
      <c r="C167" s="70">
        <v>2</v>
      </c>
      <c r="D167" s="70">
        <v>3</v>
      </c>
      <c r="E167" s="70">
        <v>4</v>
      </c>
      <c r="F167" s="70">
        <v>5</v>
      </c>
      <c r="G167" s="70">
        <v>6</v>
      </c>
      <c r="H167" s="70">
        <v>7</v>
      </c>
      <c r="I167" s="70">
        <v>8</v>
      </c>
      <c r="J167" s="70">
        <v>9</v>
      </c>
      <c r="K167" s="70">
        <v>10</v>
      </c>
      <c r="L167" s="70">
        <v>11</v>
      </c>
      <c r="M167" s="70">
        <v>12</v>
      </c>
      <c r="N167" s="70">
        <v>13</v>
      </c>
      <c r="O167" s="70">
        <v>14</v>
      </c>
      <c r="P167" s="70">
        <v>15</v>
      </c>
      <c r="Q167" s="70">
        <v>16</v>
      </c>
      <c r="R167" s="70">
        <v>17</v>
      </c>
      <c r="S167" s="70">
        <v>18</v>
      </c>
      <c r="T167" s="70">
        <v>19</v>
      </c>
      <c r="U167" s="70">
        <v>20</v>
      </c>
      <c r="V167" s="70">
        <v>21</v>
      </c>
      <c r="W167" s="70">
        <v>22</v>
      </c>
      <c r="X167" s="70">
        <v>23</v>
      </c>
      <c r="Y167" s="70">
        <v>24</v>
      </c>
      <c r="Z167" s="70">
        <v>25</v>
      </c>
      <c r="AA167" s="70">
        <v>26</v>
      </c>
      <c r="AB167" s="70">
        <v>27</v>
      </c>
      <c r="AC167" s="70">
        <v>28</v>
      </c>
      <c r="AD167" s="70">
        <v>29</v>
      </c>
      <c r="AE167" s="70">
        <v>30</v>
      </c>
      <c r="AF167" s="70">
        <v>31</v>
      </c>
      <c r="AG167" s="70">
        <v>32</v>
      </c>
      <c r="AH167" s="70">
        <v>33</v>
      </c>
      <c r="AI167" s="70">
        <v>34</v>
      </c>
      <c r="AJ167" s="70">
        <v>35</v>
      </c>
      <c r="AK167" s="70">
        <v>36</v>
      </c>
      <c r="AL167" s="70">
        <v>37</v>
      </c>
      <c r="AM167" s="70">
        <v>38</v>
      </c>
      <c r="AN167" s="70">
        <v>39</v>
      </c>
      <c r="AO167" s="70">
        <v>40</v>
      </c>
      <c r="AP167" s="70">
        <v>41</v>
      </c>
      <c r="AQ167" s="70">
        <v>42</v>
      </c>
      <c r="AR167" s="70">
        <v>43</v>
      </c>
      <c r="AS167" s="70">
        <v>44</v>
      </c>
      <c r="AT167" s="70">
        <v>45</v>
      </c>
      <c r="AU167" s="70">
        <v>46</v>
      </c>
      <c r="AV167" s="70">
        <v>47</v>
      </c>
      <c r="AW167" s="70">
        <v>48</v>
      </c>
      <c r="AX167" s="70">
        <v>49</v>
      </c>
      <c r="AY167" s="70">
        <v>50</v>
      </c>
      <c r="AZ167" s="70">
        <v>51</v>
      </c>
      <c r="BA167" s="71">
        <v>52</v>
      </c>
    </row>
    <row r="168" spans="1:53" ht="13.95" customHeight="1" x14ac:dyDescent="0.3">
      <c r="A168" s="72" t="s">
        <v>68</v>
      </c>
      <c r="B168" s="73">
        <v>85</v>
      </c>
      <c r="C168" s="73">
        <v>85</v>
      </c>
      <c r="D168" s="73">
        <v>85</v>
      </c>
      <c r="E168" s="73">
        <v>85</v>
      </c>
      <c r="F168" s="73">
        <v>85</v>
      </c>
      <c r="G168" s="73">
        <v>85</v>
      </c>
      <c r="H168" s="73">
        <v>85</v>
      </c>
      <c r="I168" s="73">
        <v>85</v>
      </c>
      <c r="J168" s="73">
        <v>85</v>
      </c>
      <c r="K168" s="73">
        <v>85</v>
      </c>
      <c r="L168" s="73">
        <v>85</v>
      </c>
      <c r="M168" s="73">
        <v>85</v>
      </c>
      <c r="N168" s="73">
        <v>85</v>
      </c>
      <c r="O168" s="73">
        <v>85</v>
      </c>
      <c r="P168" s="73">
        <v>85</v>
      </c>
      <c r="Q168" s="73">
        <v>85</v>
      </c>
      <c r="R168" s="73">
        <v>85</v>
      </c>
      <c r="S168" s="73">
        <v>85</v>
      </c>
      <c r="T168" s="73">
        <v>85</v>
      </c>
      <c r="U168" s="73">
        <v>85</v>
      </c>
      <c r="V168" s="73">
        <v>85</v>
      </c>
      <c r="W168" s="73">
        <v>85</v>
      </c>
      <c r="X168" s="73">
        <v>85</v>
      </c>
      <c r="Y168" s="73">
        <v>85</v>
      </c>
      <c r="Z168" s="73">
        <v>85</v>
      </c>
      <c r="AA168" s="73">
        <v>85</v>
      </c>
      <c r="AB168" s="73">
        <v>85</v>
      </c>
      <c r="AC168" s="73">
        <v>85</v>
      </c>
      <c r="AD168" s="73">
        <v>85</v>
      </c>
      <c r="AE168" s="73">
        <v>85</v>
      </c>
      <c r="AF168" s="73">
        <v>85</v>
      </c>
      <c r="AG168" s="73">
        <v>85</v>
      </c>
      <c r="AH168" s="73">
        <v>85</v>
      </c>
      <c r="AI168" s="73">
        <v>85</v>
      </c>
      <c r="AJ168" s="73">
        <v>85</v>
      </c>
      <c r="AK168" s="73">
        <v>85</v>
      </c>
      <c r="AL168" s="73">
        <v>85</v>
      </c>
      <c r="AM168" s="73">
        <v>85</v>
      </c>
      <c r="AN168" s="73">
        <v>85</v>
      </c>
      <c r="AO168" s="73">
        <v>85</v>
      </c>
      <c r="AP168" s="73">
        <v>85</v>
      </c>
      <c r="AQ168" s="73">
        <v>85</v>
      </c>
      <c r="AR168" s="73">
        <v>85</v>
      </c>
      <c r="AS168" s="73">
        <v>85</v>
      </c>
      <c r="AT168" s="73">
        <v>85</v>
      </c>
      <c r="AU168" s="73">
        <v>85</v>
      </c>
      <c r="AV168" s="73">
        <v>85</v>
      </c>
      <c r="AW168" s="73"/>
      <c r="AX168" s="73"/>
      <c r="AY168" s="73"/>
      <c r="AZ168" s="73"/>
      <c r="BA168" s="89"/>
    </row>
    <row r="169" spans="1:53" ht="15" thickBot="1" x14ac:dyDescent="0.35">
      <c r="A169" s="74" t="s">
        <v>69</v>
      </c>
      <c r="B169" s="75">
        <f>'week 02'!I6</f>
        <v>87</v>
      </c>
      <c r="C169" s="75">
        <f>'week 03'!I6</f>
        <v>90</v>
      </c>
      <c r="D169" s="75">
        <f>'week 04'!I6</f>
        <v>87</v>
      </c>
      <c r="E169" s="75">
        <f>'week 05'!I6</f>
        <v>87</v>
      </c>
      <c r="F169" s="75">
        <f>'week 06'!I6</f>
        <v>89</v>
      </c>
      <c r="G169" s="75">
        <f>'week 07'!I6</f>
        <v>89</v>
      </c>
      <c r="H169" s="75">
        <f>'week 08'!I6</f>
        <v>88</v>
      </c>
      <c r="I169" s="75">
        <f>'week 09'!I6</f>
        <v>89</v>
      </c>
      <c r="J169" s="75">
        <f>'week 10'!I6</f>
        <v>86</v>
      </c>
      <c r="K169" s="75">
        <f>'week 11'!J10</f>
        <v>88</v>
      </c>
      <c r="L169" s="75">
        <f>'week 12'!I10</f>
        <v>88</v>
      </c>
      <c r="M169" s="75">
        <f>'week 13'!I10</f>
        <v>89</v>
      </c>
      <c r="N169" s="75">
        <f>'week 14'!I10</f>
        <v>88</v>
      </c>
      <c r="O169" s="75">
        <f>'week 15'!I10</f>
        <v>88</v>
      </c>
      <c r="P169" s="75">
        <f>'week 16'!I10</f>
        <v>88</v>
      </c>
      <c r="Q169" s="75">
        <f>'week 17'!I10</f>
        <v>89</v>
      </c>
      <c r="R169" s="75">
        <f>'week 18'!I10</f>
        <v>89</v>
      </c>
      <c r="S169" s="75">
        <f>'week 19'!I10</f>
        <v>89</v>
      </c>
      <c r="T169" s="75">
        <f>'week 20'!K10</f>
        <v>89</v>
      </c>
      <c r="U169" s="75">
        <f>'week 21'!K10</f>
        <v>89</v>
      </c>
      <c r="V169" s="75">
        <f>'week 22'!K10</f>
        <v>89</v>
      </c>
      <c r="W169" s="75">
        <f>'week 23'!K10</f>
        <v>89</v>
      </c>
      <c r="X169" s="75">
        <f>'week 24'!K10</f>
        <v>89</v>
      </c>
      <c r="Y169" s="75">
        <f>'week 25'!K10</f>
        <v>88</v>
      </c>
      <c r="Z169" s="75">
        <f>'week 26'!K10</f>
        <v>89</v>
      </c>
      <c r="AA169" s="75">
        <v>88</v>
      </c>
      <c r="AB169" s="75">
        <v>87</v>
      </c>
      <c r="AC169" s="75">
        <v>87</v>
      </c>
      <c r="AD169" s="75">
        <v>88</v>
      </c>
      <c r="AE169" s="75">
        <v>87</v>
      </c>
      <c r="AF169" s="75">
        <v>87</v>
      </c>
      <c r="AG169" s="75">
        <v>87</v>
      </c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6"/>
    </row>
    <row r="170" spans="1:53" x14ac:dyDescent="0.3">
      <c r="A170" s="77" t="s">
        <v>67</v>
      </c>
      <c r="B170" s="59">
        <v>1</v>
      </c>
      <c r="C170" s="59">
        <v>2</v>
      </c>
      <c r="D170" s="59">
        <v>3</v>
      </c>
      <c r="E170" s="59">
        <v>4</v>
      </c>
      <c r="F170" s="59">
        <v>5</v>
      </c>
      <c r="G170" s="59">
        <v>6</v>
      </c>
      <c r="H170" s="59">
        <v>7</v>
      </c>
      <c r="I170" s="59">
        <v>8</v>
      </c>
      <c r="J170" s="59">
        <v>9</v>
      </c>
      <c r="K170" s="59">
        <v>10</v>
      </c>
      <c r="L170" s="59">
        <v>11</v>
      </c>
      <c r="M170" s="59">
        <v>12</v>
      </c>
      <c r="N170" s="59">
        <v>13</v>
      </c>
      <c r="O170" s="59">
        <v>14</v>
      </c>
      <c r="P170" s="59">
        <v>15</v>
      </c>
      <c r="Q170" s="59">
        <v>16</v>
      </c>
      <c r="R170" s="59">
        <v>17</v>
      </c>
      <c r="S170" s="59">
        <v>18</v>
      </c>
      <c r="T170" s="59">
        <v>19</v>
      </c>
      <c r="U170" s="59">
        <v>20</v>
      </c>
      <c r="V170" s="59">
        <v>21</v>
      </c>
      <c r="W170" s="59">
        <v>22</v>
      </c>
      <c r="X170" s="59">
        <v>23</v>
      </c>
      <c r="Y170" s="59">
        <v>24</v>
      </c>
      <c r="Z170" s="59">
        <v>25</v>
      </c>
      <c r="AA170" s="59">
        <v>26</v>
      </c>
      <c r="AB170" s="59">
        <v>27</v>
      </c>
      <c r="AC170" s="59">
        <v>28</v>
      </c>
      <c r="AD170" s="59">
        <v>29</v>
      </c>
      <c r="AE170" s="59">
        <v>30</v>
      </c>
      <c r="AF170" s="59">
        <v>31</v>
      </c>
      <c r="AG170" s="59">
        <v>32</v>
      </c>
      <c r="AH170" s="59">
        <v>33</v>
      </c>
      <c r="AI170" s="59">
        <v>34</v>
      </c>
      <c r="AJ170" s="59">
        <v>35</v>
      </c>
      <c r="AK170" s="59">
        <v>36</v>
      </c>
      <c r="AL170" s="59">
        <v>37</v>
      </c>
      <c r="AM170" s="59">
        <v>38</v>
      </c>
      <c r="AN170" s="59">
        <v>39</v>
      </c>
      <c r="AO170" s="59">
        <v>40</v>
      </c>
      <c r="AP170" s="59">
        <v>41</v>
      </c>
      <c r="AQ170" s="59">
        <v>42</v>
      </c>
      <c r="AR170" s="59">
        <v>43</v>
      </c>
      <c r="AS170" s="59">
        <v>44</v>
      </c>
      <c r="AT170" s="59">
        <v>45</v>
      </c>
      <c r="AU170" s="59">
        <v>46</v>
      </c>
      <c r="AV170" s="59">
        <v>47</v>
      </c>
      <c r="AW170" s="59"/>
      <c r="AX170" s="59"/>
      <c r="AY170" s="59"/>
      <c r="AZ170" s="59"/>
      <c r="BA170" s="90"/>
    </row>
    <row r="171" spans="1:53" x14ac:dyDescent="0.3">
      <c r="A171" s="78" t="s">
        <v>70</v>
      </c>
      <c r="B171" s="79">
        <v>60</v>
      </c>
      <c r="C171" s="79">
        <v>60</v>
      </c>
      <c r="D171" s="79">
        <v>60</v>
      </c>
      <c r="E171" s="79">
        <f t="shared" ref="E171:AV171" si="235">D171</f>
        <v>60</v>
      </c>
      <c r="F171" s="79">
        <f t="shared" si="235"/>
        <v>60</v>
      </c>
      <c r="G171" s="79">
        <f t="shared" si="235"/>
        <v>60</v>
      </c>
      <c r="H171" s="79">
        <f t="shared" si="235"/>
        <v>60</v>
      </c>
      <c r="I171" s="79">
        <f t="shared" si="235"/>
        <v>60</v>
      </c>
      <c r="J171" s="79">
        <f t="shared" si="235"/>
        <v>60</v>
      </c>
      <c r="K171" s="79">
        <f t="shared" si="235"/>
        <v>60</v>
      </c>
      <c r="L171" s="79">
        <f t="shared" si="235"/>
        <v>60</v>
      </c>
      <c r="M171" s="79">
        <f t="shared" si="235"/>
        <v>60</v>
      </c>
      <c r="N171" s="79">
        <f t="shared" si="235"/>
        <v>60</v>
      </c>
      <c r="O171" s="79">
        <f t="shared" si="235"/>
        <v>60</v>
      </c>
      <c r="P171" s="79">
        <f t="shared" si="235"/>
        <v>60</v>
      </c>
      <c r="Q171" s="79">
        <f t="shared" si="235"/>
        <v>60</v>
      </c>
      <c r="R171" s="79">
        <f t="shared" si="235"/>
        <v>60</v>
      </c>
      <c r="S171" s="79">
        <f t="shared" si="235"/>
        <v>60</v>
      </c>
      <c r="T171" s="79">
        <f t="shared" si="235"/>
        <v>60</v>
      </c>
      <c r="U171" s="79">
        <f t="shared" si="235"/>
        <v>60</v>
      </c>
      <c r="V171" s="79">
        <f t="shared" si="235"/>
        <v>60</v>
      </c>
      <c r="W171" s="79">
        <f t="shared" si="235"/>
        <v>60</v>
      </c>
      <c r="X171" s="79">
        <f t="shared" si="235"/>
        <v>60</v>
      </c>
      <c r="Y171" s="79">
        <f t="shared" si="235"/>
        <v>60</v>
      </c>
      <c r="Z171" s="79">
        <f t="shared" si="235"/>
        <v>60</v>
      </c>
      <c r="AA171" s="79">
        <f t="shared" si="235"/>
        <v>60</v>
      </c>
      <c r="AB171" s="79">
        <f t="shared" si="235"/>
        <v>60</v>
      </c>
      <c r="AC171" s="79">
        <f t="shared" si="235"/>
        <v>60</v>
      </c>
      <c r="AD171" s="79">
        <f t="shared" si="235"/>
        <v>60</v>
      </c>
      <c r="AE171" s="79">
        <f t="shared" si="235"/>
        <v>60</v>
      </c>
      <c r="AF171" s="79">
        <f t="shared" si="235"/>
        <v>60</v>
      </c>
      <c r="AG171" s="79">
        <f t="shared" si="235"/>
        <v>60</v>
      </c>
      <c r="AH171" s="79">
        <f t="shared" si="235"/>
        <v>60</v>
      </c>
      <c r="AI171" s="79">
        <f t="shared" si="235"/>
        <v>60</v>
      </c>
      <c r="AJ171" s="79">
        <f t="shared" si="235"/>
        <v>60</v>
      </c>
      <c r="AK171" s="79">
        <f t="shared" si="235"/>
        <v>60</v>
      </c>
      <c r="AL171" s="79">
        <f t="shared" si="235"/>
        <v>60</v>
      </c>
      <c r="AM171" s="79">
        <f t="shared" si="235"/>
        <v>60</v>
      </c>
      <c r="AN171" s="79">
        <f t="shared" si="235"/>
        <v>60</v>
      </c>
      <c r="AO171" s="79">
        <f t="shared" si="235"/>
        <v>60</v>
      </c>
      <c r="AP171" s="79">
        <f t="shared" si="235"/>
        <v>60</v>
      </c>
      <c r="AQ171" s="79">
        <f t="shared" si="235"/>
        <v>60</v>
      </c>
      <c r="AR171" s="79">
        <f t="shared" si="235"/>
        <v>60</v>
      </c>
      <c r="AS171" s="79">
        <f t="shared" si="235"/>
        <v>60</v>
      </c>
      <c r="AT171" s="79">
        <f t="shared" si="235"/>
        <v>60</v>
      </c>
      <c r="AU171" s="79">
        <f t="shared" si="235"/>
        <v>60</v>
      </c>
      <c r="AV171" s="79">
        <f t="shared" si="235"/>
        <v>60</v>
      </c>
      <c r="AW171" s="79"/>
      <c r="AX171" s="79"/>
      <c r="AY171" s="79"/>
      <c r="AZ171" s="79"/>
      <c r="BA171" s="79"/>
    </row>
    <row r="172" spans="1:53" x14ac:dyDescent="0.3">
      <c r="A172" s="77" t="s">
        <v>71</v>
      </c>
      <c r="B172" s="80">
        <f>'week 02'!G6</f>
        <v>120</v>
      </c>
      <c r="C172" s="80">
        <f>'week 03'!G6</f>
        <v>113</v>
      </c>
      <c r="D172" s="80">
        <f>'week 04'!G6</f>
        <v>95</v>
      </c>
      <c r="E172" s="80">
        <f>'week 05'!G6</f>
        <v>102</v>
      </c>
      <c r="F172" s="80">
        <f>'week 06'!G6</f>
        <v>77</v>
      </c>
      <c r="G172" s="80">
        <f>'week 07'!G6</f>
        <v>92</v>
      </c>
      <c r="H172" s="80">
        <f>'week 08'!G6</f>
        <v>125</v>
      </c>
      <c r="I172" s="80">
        <f>'week 09'!G6</f>
        <v>88</v>
      </c>
      <c r="J172" s="80">
        <f>'week 10'!G6</f>
        <v>67</v>
      </c>
      <c r="K172" s="80">
        <f>'week 11'!H10</f>
        <v>128</v>
      </c>
      <c r="L172" s="80">
        <f>'week 12'!G10</f>
        <v>103</v>
      </c>
      <c r="M172" s="80">
        <f>'week 13'!G10</f>
        <v>68</v>
      </c>
      <c r="N172" s="80">
        <f>'week 14'!G10</f>
        <v>102</v>
      </c>
      <c r="O172" s="80">
        <f>'week 15'!G10</f>
        <v>118</v>
      </c>
      <c r="P172" s="80">
        <f>'week 16'!G10</f>
        <v>76</v>
      </c>
      <c r="Q172" s="80">
        <f>'week 17'!G10</f>
        <v>114</v>
      </c>
      <c r="R172" s="80">
        <f>'week 18'!G10</f>
        <v>102</v>
      </c>
      <c r="S172" s="80">
        <f>'week 19'!G10</f>
        <v>102</v>
      </c>
      <c r="T172" s="80">
        <f>'week 20'!I10</f>
        <v>126</v>
      </c>
      <c r="U172" s="80">
        <f>'week 21'!I10</f>
        <v>86</v>
      </c>
      <c r="V172" s="80">
        <f>'week 22'!I10</f>
        <v>116</v>
      </c>
      <c r="W172" s="80">
        <f>'week 23'!I10</f>
        <v>97</v>
      </c>
      <c r="X172" s="80">
        <f>'week 24'!I10</f>
        <v>107</v>
      </c>
      <c r="Y172" s="80">
        <f>'week 25'!I10</f>
        <v>52</v>
      </c>
      <c r="Z172" s="80">
        <v>100</v>
      </c>
      <c r="AA172" s="80">
        <v>81</v>
      </c>
      <c r="AB172" s="80">
        <v>106</v>
      </c>
      <c r="AC172" s="80">
        <v>104</v>
      </c>
      <c r="AD172" s="80">
        <v>92</v>
      </c>
      <c r="AE172" s="80">
        <v>73</v>
      </c>
      <c r="AF172" s="80">
        <v>101</v>
      </c>
      <c r="AG172" s="80">
        <v>117</v>
      </c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1"/>
    </row>
    <row r="173" spans="1:53" ht="15" thickBot="1" x14ac:dyDescent="0.35">
      <c r="A173" s="74" t="s">
        <v>72</v>
      </c>
      <c r="B173" s="75"/>
      <c r="C173" s="82"/>
      <c r="D173" s="75"/>
      <c r="E173" s="82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82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82"/>
      <c r="AU173" s="75"/>
      <c r="AV173" s="75"/>
      <c r="AW173" s="82"/>
      <c r="AX173" s="75"/>
      <c r="AY173" s="75"/>
      <c r="AZ173" s="75"/>
      <c r="BA173" s="76"/>
    </row>
    <row r="174" spans="1:53" s="58" customFormat="1" x14ac:dyDescent="0.3">
      <c r="A174" s="69" t="s">
        <v>73</v>
      </c>
      <c r="B174" s="70">
        <v>9</v>
      </c>
      <c r="C174" s="70">
        <v>9</v>
      </c>
      <c r="D174" s="70">
        <v>9</v>
      </c>
      <c r="E174" s="70">
        <v>9</v>
      </c>
      <c r="F174" s="70">
        <v>9</v>
      </c>
      <c r="G174" s="70">
        <v>9</v>
      </c>
      <c r="H174" s="70">
        <v>9</v>
      </c>
      <c r="I174" s="70">
        <v>9</v>
      </c>
      <c r="J174" s="70">
        <v>9</v>
      </c>
      <c r="K174" s="70">
        <v>9</v>
      </c>
      <c r="L174" s="70">
        <v>9</v>
      </c>
      <c r="M174" s="70">
        <v>9</v>
      </c>
      <c r="N174" s="70">
        <v>9</v>
      </c>
      <c r="O174" s="70">
        <v>9</v>
      </c>
      <c r="P174" s="70">
        <v>9</v>
      </c>
      <c r="Q174" s="70">
        <v>9</v>
      </c>
      <c r="R174" s="70">
        <v>9</v>
      </c>
      <c r="S174" s="70">
        <v>9</v>
      </c>
      <c r="T174" s="70">
        <v>9</v>
      </c>
      <c r="U174" s="70">
        <v>9</v>
      </c>
      <c r="V174" s="70">
        <v>9</v>
      </c>
      <c r="W174" s="70">
        <v>9</v>
      </c>
      <c r="X174" s="70">
        <v>9</v>
      </c>
      <c r="Y174" s="70">
        <v>9</v>
      </c>
      <c r="Z174" s="70">
        <v>9</v>
      </c>
      <c r="AA174" s="70">
        <v>9</v>
      </c>
      <c r="AB174" s="70">
        <v>9</v>
      </c>
      <c r="AC174" s="70">
        <v>9</v>
      </c>
      <c r="AD174" s="70">
        <v>9</v>
      </c>
      <c r="AE174" s="70">
        <v>9</v>
      </c>
      <c r="AF174" s="70">
        <v>9</v>
      </c>
      <c r="AG174" s="70">
        <v>9</v>
      </c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</row>
    <row r="175" spans="1:53" s="58" customFormat="1" x14ac:dyDescent="0.3">
      <c r="A175" s="83" t="s">
        <v>74</v>
      </c>
      <c r="B175" s="84">
        <v>9</v>
      </c>
      <c r="C175" s="84">
        <v>9</v>
      </c>
      <c r="D175" s="84">
        <v>9</v>
      </c>
      <c r="E175" s="84">
        <v>9</v>
      </c>
      <c r="F175" s="84">
        <v>9</v>
      </c>
      <c r="G175" s="84">
        <v>9</v>
      </c>
      <c r="H175" s="84">
        <v>9</v>
      </c>
      <c r="I175" s="84">
        <v>9</v>
      </c>
      <c r="J175" s="84">
        <v>9</v>
      </c>
      <c r="K175" s="84">
        <v>9</v>
      </c>
      <c r="L175" s="84">
        <v>9</v>
      </c>
      <c r="M175" s="84">
        <v>9</v>
      </c>
      <c r="N175" s="84">
        <v>9</v>
      </c>
      <c r="O175" s="84">
        <v>9</v>
      </c>
      <c r="P175" s="84">
        <v>9</v>
      </c>
      <c r="Q175" s="84">
        <v>9</v>
      </c>
      <c r="R175" s="84">
        <v>9</v>
      </c>
      <c r="S175" s="84">
        <v>9</v>
      </c>
      <c r="T175" s="84">
        <v>9</v>
      </c>
      <c r="U175" s="84">
        <v>9</v>
      </c>
      <c r="V175" s="84">
        <v>9</v>
      </c>
      <c r="W175" s="84">
        <v>9</v>
      </c>
      <c r="X175" s="84">
        <v>9</v>
      </c>
      <c r="Y175" s="84">
        <v>9</v>
      </c>
      <c r="Z175" s="84">
        <v>9</v>
      </c>
      <c r="AA175" s="84">
        <v>9</v>
      </c>
      <c r="AB175" s="84">
        <v>9</v>
      </c>
      <c r="AC175" s="84">
        <v>9</v>
      </c>
      <c r="AD175" s="84">
        <v>9</v>
      </c>
      <c r="AE175" s="84">
        <v>9</v>
      </c>
      <c r="AF175" s="84">
        <v>9</v>
      </c>
      <c r="AG175" s="84">
        <v>9</v>
      </c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</row>
    <row r="176" spans="1:53" s="58" customFormat="1" ht="15" thickBot="1" x14ac:dyDescent="0.35">
      <c r="A176" s="74" t="s">
        <v>75</v>
      </c>
      <c r="B176" s="85">
        <v>8</v>
      </c>
      <c r="C176" s="85">
        <v>8</v>
      </c>
      <c r="D176" s="85">
        <v>8</v>
      </c>
      <c r="E176" s="85">
        <v>8</v>
      </c>
      <c r="F176" s="85">
        <v>8</v>
      </c>
      <c r="G176" s="85">
        <v>8</v>
      </c>
      <c r="H176" s="85">
        <v>8</v>
      </c>
      <c r="I176" s="85">
        <v>8</v>
      </c>
      <c r="J176" s="85">
        <v>8</v>
      </c>
      <c r="K176" s="85">
        <v>8</v>
      </c>
      <c r="L176" s="85">
        <v>8</v>
      </c>
      <c r="M176" s="85">
        <v>8</v>
      </c>
      <c r="N176" s="85">
        <v>8</v>
      </c>
      <c r="O176" s="85">
        <v>8</v>
      </c>
      <c r="P176" s="85">
        <v>8</v>
      </c>
      <c r="Q176" s="85">
        <v>8</v>
      </c>
      <c r="R176" s="85">
        <v>8</v>
      </c>
      <c r="S176" s="85">
        <v>8</v>
      </c>
      <c r="T176" s="85">
        <v>8</v>
      </c>
      <c r="U176" s="85">
        <v>8</v>
      </c>
      <c r="V176" s="85">
        <v>8</v>
      </c>
      <c r="W176" s="85">
        <v>8</v>
      </c>
      <c r="X176" s="85">
        <v>8</v>
      </c>
      <c r="Y176" s="85">
        <v>8</v>
      </c>
      <c r="Z176" s="85">
        <v>8</v>
      </c>
      <c r="AA176" s="85">
        <v>8</v>
      </c>
      <c r="AB176" s="85">
        <v>8</v>
      </c>
      <c r="AC176" s="85">
        <v>8</v>
      </c>
      <c r="AD176" s="85">
        <v>8</v>
      </c>
      <c r="AE176" s="85">
        <v>8</v>
      </c>
      <c r="AF176" s="85">
        <v>8</v>
      </c>
      <c r="AG176" s="85">
        <v>8</v>
      </c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</row>
    <row r="179" spans="1:53" s="58" customFormat="1" x14ac:dyDescent="0.3">
      <c r="A179" s="57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</row>
    <row r="180" spans="1:53" s="58" customFormat="1" x14ac:dyDescent="0.3">
      <c r="A180" s="57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</row>
    <row r="182" spans="1:53" ht="18" x14ac:dyDescent="0.35">
      <c r="A182" s="60" t="s">
        <v>1</v>
      </c>
      <c r="B182" s="61" t="s">
        <v>64</v>
      </c>
      <c r="C182" s="62" t="s">
        <v>65</v>
      </c>
      <c r="E182" s="64"/>
    </row>
    <row r="183" spans="1:53" ht="18.600000000000001" thickBot="1" x14ac:dyDescent="0.4">
      <c r="A183" s="66" t="s">
        <v>36</v>
      </c>
      <c r="B183" s="64">
        <v>12</v>
      </c>
      <c r="C183" s="67" t="s">
        <v>77</v>
      </c>
    </row>
    <row r="184" spans="1:53" x14ac:dyDescent="0.3">
      <c r="A184" s="69" t="s">
        <v>67</v>
      </c>
      <c r="B184" s="70">
        <v>1</v>
      </c>
      <c r="C184" s="70">
        <v>2</v>
      </c>
      <c r="D184" s="70">
        <v>3</v>
      </c>
      <c r="E184" s="70">
        <v>4</v>
      </c>
      <c r="F184" s="70">
        <v>5</v>
      </c>
      <c r="G184" s="70">
        <v>6</v>
      </c>
      <c r="H184" s="70">
        <v>7</v>
      </c>
      <c r="I184" s="70">
        <v>8</v>
      </c>
      <c r="J184" s="70">
        <v>9</v>
      </c>
      <c r="K184" s="70">
        <v>10</v>
      </c>
      <c r="L184" s="70">
        <v>11</v>
      </c>
      <c r="M184" s="70">
        <v>12</v>
      </c>
      <c r="N184" s="70">
        <v>13</v>
      </c>
      <c r="O184" s="70">
        <v>14</v>
      </c>
      <c r="P184" s="70">
        <v>15</v>
      </c>
      <c r="Q184" s="70">
        <v>16</v>
      </c>
      <c r="R184" s="70">
        <v>17</v>
      </c>
      <c r="S184" s="70">
        <v>18</v>
      </c>
      <c r="T184" s="70">
        <v>19</v>
      </c>
      <c r="U184" s="70">
        <v>20</v>
      </c>
      <c r="V184" s="70">
        <v>21</v>
      </c>
      <c r="W184" s="70">
        <v>22</v>
      </c>
      <c r="X184" s="70">
        <v>23</v>
      </c>
      <c r="Y184" s="70">
        <v>24</v>
      </c>
      <c r="Z184" s="70">
        <v>25</v>
      </c>
      <c r="AA184" s="70">
        <v>26</v>
      </c>
      <c r="AB184" s="70">
        <v>27</v>
      </c>
      <c r="AC184" s="70">
        <v>28</v>
      </c>
      <c r="AD184" s="70">
        <v>29</v>
      </c>
      <c r="AE184" s="70">
        <v>30</v>
      </c>
      <c r="AF184" s="70">
        <v>31</v>
      </c>
      <c r="AG184" s="70">
        <v>32</v>
      </c>
      <c r="AH184" s="70">
        <v>33</v>
      </c>
      <c r="AI184" s="70">
        <v>34</v>
      </c>
      <c r="AJ184" s="70">
        <v>35</v>
      </c>
      <c r="AK184" s="70">
        <v>36</v>
      </c>
      <c r="AL184" s="70">
        <v>37</v>
      </c>
      <c r="AM184" s="70">
        <v>38</v>
      </c>
      <c r="AN184" s="70">
        <v>39</v>
      </c>
      <c r="AO184" s="70">
        <v>40</v>
      </c>
      <c r="AP184" s="70">
        <v>41</v>
      </c>
      <c r="AQ184" s="70">
        <v>42</v>
      </c>
      <c r="AR184" s="70">
        <v>43</v>
      </c>
      <c r="AS184" s="70">
        <v>44</v>
      </c>
      <c r="AT184" s="70">
        <v>45</v>
      </c>
      <c r="AU184" s="70">
        <v>46</v>
      </c>
      <c r="AV184" s="70">
        <v>47</v>
      </c>
      <c r="AW184" s="70">
        <v>48</v>
      </c>
      <c r="AX184" s="70">
        <v>49</v>
      </c>
      <c r="AY184" s="70">
        <v>50</v>
      </c>
      <c r="AZ184" s="70">
        <v>51</v>
      </c>
      <c r="BA184" s="71">
        <v>52</v>
      </c>
    </row>
    <row r="185" spans="1:53" x14ac:dyDescent="0.3">
      <c r="A185" s="72" t="s">
        <v>68</v>
      </c>
      <c r="B185" s="73">
        <v>85</v>
      </c>
      <c r="C185" s="73">
        <v>85</v>
      </c>
      <c r="D185" s="73">
        <v>85</v>
      </c>
      <c r="E185" s="73">
        <v>85</v>
      </c>
      <c r="F185" s="73">
        <v>85</v>
      </c>
      <c r="G185" s="73">
        <v>85</v>
      </c>
      <c r="H185" s="73">
        <v>85</v>
      </c>
      <c r="I185" s="73">
        <v>85</v>
      </c>
      <c r="J185" s="73">
        <v>85</v>
      </c>
      <c r="K185" s="73">
        <v>85</v>
      </c>
      <c r="L185" s="73">
        <v>85</v>
      </c>
      <c r="M185" s="73">
        <v>85</v>
      </c>
      <c r="N185" s="73">
        <v>85</v>
      </c>
      <c r="O185" s="73">
        <v>85</v>
      </c>
      <c r="P185" s="73">
        <v>85</v>
      </c>
      <c r="Q185" s="73">
        <v>85</v>
      </c>
      <c r="R185" s="73">
        <v>85</v>
      </c>
      <c r="S185" s="73">
        <v>85</v>
      </c>
      <c r="T185" s="73">
        <v>85</v>
      </c>
      <c r="U185" s="73">
        <v>85</v>
      </c>
      <c r="V185" s="73">
        <v>85</v>
      </c>
      <c r="W185" s="73">
        <v>85</v>
      </c>
      <c r="X185" s="73">
        <v>85</v>
      </c>
      <c r="Y185" s="73">
        <v>85</v>
      </c>
      <c r="Z185" s="73">
        <v>85</v>
      </c>
      <c r="AA185" s="73">
        <v>85</v>
      </c>
      <c r="AB185" s="73">
        <v>85</v>
      </c>
      <c r="AC185" s="73">
        <v>85</v>
      </c>
      <c r="AD185" s="73">
        <v>85</v>
      </c>
      <c r="AE185" s="73">
        <v>85</v>
      </c>
      <c r="AF185" s="73">
        <v>85</v>
      </c>
      <c r="AG185" s="73">
        <v>85</v>
      </c>
      <c r="AH185" s="73">
        <v>85</v>
      </c>
      <c r="AI185" s="73">
        <v>85</v>
      </c>
      <c r="AJ185" s="73">
        <v>85</v>
      </c>
      <c r="AK185" s="73">
        <v>85</v>
      </c>
      <c r="AL185" s="73">
        <v>85</v>
      </c>
      <c r="AM185" s="73">
        <v>85</v>
      </c>
      <c r="AN185" s="73">
        <v>85</v>
      </c>
      <c r="AO185" s="73">
        <v>85</v>
      </c>
      <c r="AP185" s="73">
        <v>85</v>
      </c>
      <c r="AQ185" s="73">
        <v>85</v>
      </c>
      <c r="AR185" s="73">
        <v>85</v>
      </c>
      <c r="AS185" s="73">
        <v>85</v>
      </c>
      <c r="AT185" s="73">
        <v>85</v>
      </c>
      <c r="AU185" s="73">
        <v>85</v>
      </c>
      <c r="AV185" s="73">
        <v>85</v>
      </c>
      <c r="AW185" s="73"/>
      <c r="AX185" s="73"/>
      <c r="AY185" s="73"/>
      <c r="AZ185" s="73"/>
      <c r="BA185" s="73"/>
    </row>
    <row r="186" spans="1:53" ht="15" thickBot="1" x14ac:dyDescent="0.35">
      <c r="A186" s="74" t="s">
        <v>69</v>
      </c>
      <c r="B186" s="75">
        <f>'week 02'!I10</f>
        <v>88</v>
      </c>
      <c r="C186" s="75">
        <f>'week 03'!I10</f>
        <v>86</v>
      </c>
      <c r="D186" s="75">
        <f>'week 04'!I10</f>
        <v>87</v>
      </c>
      <c r="E186" s="75">
        <f>'week 05'!I10</f>
        <v>89</v>
      </c>
      <c r="F186" s="75">
        <f>'week 06'!I10</f>
        <v>87</v>
      </c>
      <c r="G186" s="75">
        <f>'week 07'!I10</f>
        <v>87</v>
      </c>
      <c r="H186" s="75">
        <f>'week 08'!I10</f>
        <v>86</v>
      </c>
      <c r="I186" s="75">
        <f>'week 09'!I10</f>
        <v>86</v>
      </c>
      <c r="J186" s="75">
        <f>'week 10'!I10</f>
        <v>87</v>
      </c>
      <c r="K186" s="75">
        <f>'week 11'!J10</f>
        <v>88</v>
      </c>
      <c r="L186" s="75">
        <f>'week 12'!I12</f>
        <v>86</v>
      </c>
      <c r="M186" s="75">
        <f>'week 13'!I12</f>
        <v>85</v>
      </c>
      <c r="N186" s="75">
        <f>'week 14'!I12</f>
        <v>88</v>
      </c>
      <c r="O186" s="75">
        <f>'week 15'!I12</f>
        <v>88</v>
      </c>
      <c r="P186" s="75">
        <f>'week 16'!I12</f>
        <v>88</v>
      </c>
      <c r="Q186" s="75">
        <f>'week 17'!I12</f>
        <v>89</v>
      </c>
      <c r="R186" s="75">
        <f>'week 18'!I12</f>
        <v>87</v>
      </c>
      <c r="S186" s="75">
        <f>'week 19'!I12</f>
        <v>87</v>
      </c>
      <c r="T186" s="75">
        <f>'week 20'!K12</f>
        <v>87</v>
      </c>
      <c r="U186" s="75">
        <f>'week 21'!K12</f>
        <v>87</v>
      </c>
      <c r="V186" s="75">
        <f>'week 22'!K12</f>
        <v>87</v>
      </c>
      <c r="W186" s="75">
        <f>'week 23'!K12</f>
        <v>88</v>
      </c>
      <c r="X186" s="75">
        <f>'week 24'!K12</f>
        <v>88</v>
      </c>
      <c r="Y186" s="75">
        <f>'week 25'!K12</f>
        <v>88</v>
      </c>
      <c r="Z186" s="75">
        <f>'week 26'!K12</f>
        <v>87</v>
      </c>
      <c r="AA186" s="75">
        <v>87</v>
      </c>
      <c r="AB186" s="75">
        <v>85</v>
      </c>
      <c r="AC186" s="75">
        <v>88</v>
      </c>
      <c r="AD186" s="75">
        <v>88</v>
      </c>
      <c r="AE186" s="75">
        <v>89</v>
      </c>
      <c r="AF186" s="75">
        <v>85</v>
      </c>
      <c r="AG186" s="75">
        <v>85</v>
      </c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6"/>
    </row>
    <row r="187" spans="1:53" x14ac:dyDescent="0.3">
      <c r="A187" s="77" t="s">
        <v>67</v>
      </c>
      <c r="B187" s="59">
        <v>1</v>
      </c>
      <c r="C187" s="59">
        <v>2</v>
      </c>
      <c r="D187" s="59">
        <v>3</v>
      </c>
      <c r="E187" s="59">
        <v>4</v>
      </c>
      <c r="F187" s="59">
        <v>5</v>
      </c>
      <c r="G187" s="59">
        <v>6</v>
      </c>
      <c r="H187" s="59">
        <v>7</v>
      </c>
      <c r="I187" s="59">
        <v>8</v>
      </c>
      <c r="J187" s="59">
        <v>9</v>
      </c>
      <c r="K187" s="59">
        <v>10</v>
      </c>
      <c r="L187" s="59">
        <v>11</v>
      </c>
      <c r="M187" s="59">
        <v>12</v>
      </c>
      <c r="N187" s="59">
        <v>13</v>
      </c>
      <c r="O187" s="59">
        <v>14</v>
      </c>
      <c r="P187" s="59">
        <v>15</v>
      </c>
      <c r="Q187" s="59">
        <v>16</v>
      </c>
      <c r="R187" s="59">
        <v>17</v>
      </c>
      <c r="S187" s="59">
        <v>18</v>
      </c>
      <c r="T187" s="59">
        <v>19</v>
      </c>
      <c r="U187" s="59">
        <v>20</v>
      </c>
      <c r="V187" s="59">
        <v>21</v>
      </c>
      <c r="W187" s="59">
        <v>22</v>
      </c>
      <c r="X187" s="59">
        <v>23</v>
      </c>
      <c r="Y187" s="59">
        <v>24</v>
      </c>
      <c r="Z187" s="59">
        <v>25</v>
      </c>
      <c r="AA187" s="59">
        <v>26</v>
      </c>
      <c r="AB187" s="59">
        <v>27</v>
      </c>
      <c r="AC187" s="59">
        <v>28</v>
      </c>
      <c r="AD187" s="59">
        <v>29</v>
      </c>
      <c r="AE187" s="59">
        <v>30</v>
      </c>
      <c r="AF187" s="59">
        <v>31</v>
      </c>
      <c r="AG187" s="59">
        <v>32</v>
      </c>
      <c r="AH187" s="59">
        <v>33</v>
      </c>
      <c r="AI187" s="59">
        <v>34</v>
      </c>
      <c r="AJ187" s="59">
        <v>35</v>
      </c>
      <c r="AK187" s="59">
        <v>36</v>
      </c>
      <c r="AL187" s="59">
        <v>37</v>
      </c>
      <c r="AM187" s="59">
        <v>38</v>
      </c>
      <c r="AN187" s="59">
        <v>39</v>
      </c>
      <c r="AO187" s="59">
        <v>40</v>
      </c>
      <c r="AP187" s="59">
        <v>41</v>
      </c>
      <c r="AQ187" s="59">
        <v>42</v>
      </c>
      <c r="AR187" s="59">
        <v>43</v>
      </c>
      <c r="AS187" s="59">
        <v>44</v>
      </c>
      <c r="AT187" s="59">
        <v>45</v>
      </c>
      <c r="AU187" s="59">
        <v>46</v>
      </c>
      <c r="AV187" s="59">
        <v>47</v>
      </c>
      <c r="AW187" s="59">
        <v>48</v>
      </c>
      <c r="AX187" s="59">
        <v>49</v>
      </c>
      <c r="AY187" s="59">
        <v>50</v>
      </c>
      <c r="AZ187" s="59">
        <v>51</v>
      </c>
      <c r="BA187" s="59">
        <v>52</v>
      </c>
    </row>
    <row r="188" spans="1:53" x14ac:dyDescent="0.3">
      <c r="A188" s="78" t="s">
        <v>70</v>
      </c>
      <c r="B188" s="79">
        <v>60</v>
      </c>
      <c r="C188" s="79">
        <v>60</v>
      </c>
      <c r="D188" s="79">
        <v>60</v>
      </c>
      <c r="E188" s="79">
        <v>60</v>
      </c>
      <c r="F188" s="79">
        <v>60</v>
      </c>
      <c r="G188" s="79">
        <v>60</v>
      </c>
      <c r="H188" s="79">
        <v>60</v>
      </c>
      <c r="I188" s="79">
        <v>60</v>
      </c>
      <c r="J188" s="79">
        <v>60</v>
      </c>
      <c r="K188" s="79">
        <v>60</v>
      </c>
      <c r="L188" s="79">
        <v>60</v>
      </c>
      <c r="M188" s="79">
        <v>60</v>
      </c>
      <c r="N188" s="79">
        <v>60</v>
      </c>
      <c r="O188" s="79">
        <v>60</v>
      </c>
      <c r="P188" s="79">
        <v>60</v>
      </c>
      <c r="Q188" s="79">
        <v>60</v>
      </c>
      <c r="R188" s="79">
        <v>60</v>
      </c>
      <c r="S188" s="79">
        <v>60</v>
      </c>
      <c r="T188" s="79">
        <v>60</v>
      </c>
      <c r="U188" s="79">
        <v>60</v>
      </c>
      <c r="V188" s="79">
        <v>60</v>
      </c>
      <c r="W188" s="79">
        <v>60</v>
      </c>
      <c r="X188" s="79">
        <v>60</v>
      </c>
      <c r="Y188" s="79">
        <v>60</v>
      </c>
      <c r="Z188" s="79">
        <v>60</v>
      </c>
      <c r="AA188" s="79">
        <v>60</v>
      </c>
      <c r="AB188" s="79">
        <v>60</v>
      </c>
      <c r="AC188" s="79">
        <v>60</v>
      </c>
      <c r="AD188" s="79">
        <v>60</v>
      </c>
      <c r="AE188" s="79">
        <v>60</v>
      </c>
      <c r="AF188" s="79">
        <v>60</v>
      </c>
      <c r="AG188" s="79">
        <v>60</v>
      </c>
      <c r="AH188" s="79">
        <v>60</v>
      </c>
      <c r="AI188" s="79">
        <v>60</v>
      </c>
      <c r="AJ188" s="79">
        <v>60</v>
      </c>
      <c r="AK188" s="79">
        <v>60</v>
      </c>
      <c r="AL188" s="79">
        <v>60</v>
      </c>
      <c r="AM188" s="79">
        <v>60</v>
      </c>
      <c r="AN188" s="79">
        <v>60</v>
      </c>
      <c r="AO188" s="79">
        <v>60</v>
      </c>
      <c r="AP188" s="79">
        <f t="shared" ref="AP188:AV188" si="236">AO188</f>
        <v>60</v>
      </c>
      <c r="AQ188" s="79">
        <f t="shared" si="236"/>
        <v>60</v>
      </c>
      <c r="AR188" s="79">
        <f t="shared" si="236"/>
        <v>60</v>
      </c>
      <c r="AS188" s="79">
        <f t="shared" si="236"/>
        <v>60</v>
      </c>
      <c r="AT188" s="79">
        <f t="shared" si="236"/>
        <v>60</v>
      </c>
      <c r="AU188" s="79">
        <f t="shared" si="236"/>
        <v>60</v>
      </c>
      <c r="AV188" s="79">
        <f t="shared" si="236"/>
        <v>60</v>
      </c>
      <c r="AW188" s="79"/>
      <c r="AX188" s="79"/>
      <c r="AY188" s="79"/>
      <c r="AZ188" s="79"/>
      <c r="BA188" s="79"/>
    </row>
    <row r="189" spans="1:53" ht="12" customHeight="1" x14ac:dyDescent="0.3">
      <c r="A189" s="77" t="s">
        <v>71</v>
      </c>
      <c r="B189" s="80">
        <f>'week 02'!G10</f>
        <v>44</v>
      </c>
      <c r="C189" s="80">
        <f>'week 03'!G10</f>
        <v>43</v>
      </c>
      <c r="D189" s="80">
        <f>'week 04'!G10</f>
        <v>34</v>
      </c>
      <c r="E189" s="80">
        <f>'week 05'!G10</f>
        <v>38</v>
      </c>
      <c r="F189" s="80">
        <f>'week 06'!G10</f>
        <v>52</v>
      </c>
      <c r="G189" s="80">
        <f>'week 07'!G10</f>
        <v>79</v>
      </c>
      <c r="H189" s="80">
        <f>'week 08'!G10</f>
        <v>44</v>
      </c>
      <c r="I189" s="80">
        <f>'week 09'!G10</f>
        <v>34</v>
      </c>
      <c r="J189" s="80">
        <f>'week 10'!G10</f>
        <v>64</v>
      </c>
      <c r="K189" s="80">
        <f>'week 11'!H10</f>
        <v>128</v>
      </c>
      <c r="L189" s="80">
        <f>'week 12'!G12</f>
        <v>73</v>
      </c>
      <c r="M189" s="80">
        <f>'week 13'!G12</f>
        <v>47</v>
      </c>
      <c r="N189" s="80">
        <f>'week 14'!G12</f>
        <v>77</v>
      </c>
      <c r="O189" s="80">
        <f>'week 15'!G12</f>
        <v>66</v>
      </c>
      <c r="P189" s="80">
        <f>'week 16'!G12</f>
        <v>75</v>
      </c>
      <c r="Q189" s="80">
        <f>'week 17'!G12</f>
        <v>66</v>
      </c>
      <c r="R189" s="80">
        <f>'week 18'!G12</f>
        <v>72</v>
      </c>
      <c r="S189" s="80">
        <f>'week 19'!G12</f>
        <v>72</v>
      </c>
      <c r="T189" s="80">
        <f>'week 20'!I12</f>
        <v>71</v>
      </c>
      <c r="U189" s="80">
        <f>'week 21'!I12</f>
        <v>56</v>
      </c>
      <c r="V189" s="80">
        <f>'week 22'!I12</f>
        <v>41</v>
      </c>
      <c r="W189" s="80">
        <f>'week 23'!I12</f>
        <v>74</v>
      </c>
      <c r="X189" s="80">
        <f>'week 24'!I12</f>
        <v>77</v>
      </c>
      <c r="Y189" s="80">
        <f>'week 25'!I12</f>
        <v>64</v>
      </c>
      <c r="Z189" s="80">
        <v>73</v>
      </c>
      <c r="AA189" s="80">
        <v>75</v>
      </c>
      <c r="AB189" s="80">
        <v>48</v>
      </c>
      <c r="AC189" s="80">
        <v>78</v>
      </c>
      <c r="AD189" s="80">
        <v>65</v>
      </c>
      <c r="AE189" s="80">
        <v>76</v>
      </c>
      <c r="AF189" s="80">
        <v>80</v>
      </c>
      <c r="AG189" s="80">
        <v>75</v>
      </c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1"/>
    </row>
    <row r="190" spans="1:53" ht="57" customHeight="1" thickBot="1" x14ac:dyDescent="0.35">
      <c r="A190" s="74" t="s">
        <v>72</v>
      </c>
      <c r="B190" s="7"/>
      <c r="C190" s="75" t="s">
        <v>78</v>
      </c>
      <c r="D190" s="75"/>
      <c r="E190" s="75"/>
      <c r="F190" s="82"/>
      <c r="G190" s="75"/>
      <c r="H190" s="75"/>
      <c r="I190" s="75"/>
      <c r="J190" s="75"/>
      <c r="K190" s="75"/>
      <c r="L190" s="75"/>
      <c r="M190" s="75"/>
      <c r="N190" s="75"/>
      <c r="O190" s="75"/>
      <c r="P190" s="82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82"/>
      <c r="AB190" s="82"/>
      <c r="AC190" s="82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82"/>
      <c r="AQ190" s="75"/>
      <c r="AR190" s="75"/>
      <c r="AS190" s="75"/>
      <c r="AT190" s="75"/>
      <c r="AU190" s="82"/>
      <c r="AV190" s="82"/>
      <c r="AW190" s="75"/>
      <c r="AX190" s="75"/>
      <c r="AY190" s="75"/>
      <c r="AZ190" s="75"/>
      <c r="BA190" s="82"/>
    </row>
    <row r="191" spans="1:53" s="58" customFormat="1" x14ac:dyDescent="0.3">
      <c r="A191" s="69" t="s">
        <v>73</v>
      </c>
      <c r="B191" s="70">
        <v>9</v>
      </c>
      <c r="C191" s="70">
        <v>9</v>
      </c>
      <c r="D191" s="70">
        <v>9</v>
      </c>
      <c r="E191" s="70">
        <v>9</v>
      </c>
      <c r="F191" s="70">
        <v>9</v>
      </c>
      <c r="G191" s="70">
        <v>9</v>
      </c>
      <c r="H191" s="70">
        <v>9</v>
      </c>
      <c r="I191" s="70">
        <v>9</v>
      </c>
      <c r="J191" s="70">
        <v>9</v>
      </c>
      <c r="K191" s="70">
        <v>9</v>
      </c>
      <c r="L191" s="70">
        <v>9</v>
      </c>
      <c r="M191" s="70">
        <v>9</v>
      </c>
      <c r="N191" s="70">
        <v>9</v>
      </c>
      <c r="O191" s="70">
        <v>9</v>
      </c>
      <c r="P191" s="70">
        <v>9</v>
      </c>
      <c r="Q191" s="70">
        <v>9</v>
      </c>
      <c r="R191" s="70">
        <v>9</v>
      </c>
      <c r="S191" s="70">
        <v>9</v>
      </c>
      <c r="T191" s="70">
        <v>9</v>
      </c>
      <c r="U191" s="70">
        <v>9</v>
      </c>
      <c r="V191" s="70">
        <v>9</v>
      </c>
      <c r="W191" s="70">
        <v>9</v>
      </c>
      <c r="X191" s="70">
        <v>9</v>
      </c>
      <c r="Y191" s="70">
        <v>9</v>
      </c>
      <c r="Z191" s="70">
        <v>9</v>
      </c>
      <c r="AA191" s="70">
        <v>9</v>
      </c>
      <c r="AB191" s="70">
        <v>9</v>
      </c>
      <c r="AC191" s="70">
        <v>9</v>
      </c>
      <c r="AD191" s="70">
        <v>9</v>
      </c>
      <c r="AE191" s="70">
        <v>9</v>
      </c>
      <c r="AF191" s="70">
        <v>9</v>
      </c>
      <c r="AG191" s="70">
        <v>9</v>
      </c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</row>
    <row r="192" spans="1:53" s="58" customFormat="1" x14ac:dyDescent="0.3">
      <c r="A192" s="83" t="s">
        <v>74</v>
      </c>
      <c r="B192" s="84">
        <v>9</v>
      </c>
      <c r="C192" s="84">
        <v>9</v>
      </c>
      <c r="D192" s="84">
        <v>9</v>
      </c>
      <c r="E192" s="84">
        <v>9</v>
      </c>
      <c r="F192" s="84">
        <v>9</v>
      </c>
      <c r="G192" s="84">
        <v>9</v>
      </c>
      <c r="H192" s="84">
        <v>9</v>
      </c>
      <c r="I192" s="84">
        <v>9</v>
      </c>
      <c r="J192" s="84">
        <v>9</v>
      </c>
      <c r="K192" s="84">
        <v>9</v>
      </c>
      <c r="L192" s="84">
        <v>9</v>
      </c>
      <c r="M192" s="84">
        <v>9</v>
      </c>
      <c r="N192" s="84">
        <v>9</v>
      </c>
      <c r="O192" s="84">
        <v>9</v>
      </c>
      <c r="P192" s="84">
        <v>9</v>
      </c>
      <c r="Q192" s="84">
        <v>9</v>
      </c>
      <c r="R192" s="84">
        <v>9</v>
      </c>
      <c r="S192" s="84">
        <v>9</v>
      </c>
      <c r="T192" s="84">
        <v>9</v>
      </c>
      <c r="U192" s="84">
        <v>9</v>
      </c>
      <c r="V192" s="84">
        <v>9</v>
      </c>
      <c r="W192" s="84">
        <v>9</v>
      </c>
      <c r="X192" s="84">
        <v>9</v>
      </c>
      <c r="Y192" s="84">
        <v>9</v>
      </c>
      <c r="Z192" s="84">
        <v>9</v>
      </c>
      <c r="AA192" s="84">
        <v>9</v>
      </c>
      <c r="AB192" s="84">
        <v>9</v>
      </c>
      <c r="AC192" s="84">
        <v>9</v>
      </c>
      <c r="AD192" s="84">
        <v>9</v>
      </c>
      <c r="AE192" s="84">
        <v>9</v>
      </c>
      <c r="AF192" s="84">
        <v>9</v>
      </c>
      <c r="AG192" s="84">
        <v>9</v>
      </c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</row>
    <row r="193" spans="1:53" s="58" customFormat="1" ht="15" thickBot="1" x14ac:dyDescent="0.35">
      <c r="A193" s="74" t="s">
        <v>75</v>
      </c>
      <c r="B193" s="85">
        <v>8</v>
      </c>
      <c r="C193" s="85">
        <v>8</v>
      </c>
      <c r="D193" s="85">
        <v>8</v>
      </c>
      <c r="E193" s="85">
        <v>8</v>
      </c>
      <c r="F193" s="85">
        <v>8</v>
      </c>
      <c r="G193" s="85">
        <v>8</v>
      </c>
      <c r="H193" s="85">
        <v>8</v>
      </c>
      <c r="I193" s="85">
        <v>8</v>
      </c>
      <c r="J193" s="85">
        <v>8</v>
      </c>
      <c r="K193" s="85">
        <v>8</v>
      </c>
      <c r="L193" s="85">
        <v>8</v>
      </c>
      <c r="M193" s="85">
        <v>8</v>
      </c>
      <c r="N193" s="85">
        <v>8</v>
      </c>
      <c r="O193" s="85">
        <v>8</v>
      </c>
      <c r="P193" s="85">
        <v>8</v>
      </c>
      <c r="Q193" s="85">
        <v>8</v>
      </c>
      <c r="R193" s="85">
        <v>8</v>
      </c>
      <c r="S193" s="85">
        <v>8</v>
      </c>
      <c r="T193" s="85">
        <v>8</v>
      </c>
      <c r="U193" s="85">
        <v>8</v>
      </c>
      <c r="V193" s="85">
        <v>8</v>
      </c>
      <c r="W193" s="85">
        <v>8</v>
      </c>
      <c r="X193" s="85">
        <v>8</v>
      </c>
      <c r="Y193" s="85">
        <v>8</v>
      </c>
      <c r="Z193" s="85">
        <v>8</v>
      </c>
      <c r="AA193" s="85">
        <v>8</v>
      </c>
      <c r="AB193" s="85">
        <v>8</v>
      </c>
      <c r="AC193" s="85">
        <v>8</v>
      </c>
      <c r="AD193" s="85">
        <v>8</v>
      </c>
      <c r="AE193" s="85">
        <v>8</v>
      </c>
      <c r="AF193" s="85">
        <v>8</v>
      </c>
      <c r="AG193" s="85">
        <v>8</v>
      </c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</row>
    <row r="194" spans="1:53" s="58" customFormat="1" x14ac:dyDescent="0.3">
      <c r="A194" s="57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</row>
    <row r="195" spans="1:53" s="58" customFormat="1" x14ac:dyDescent="0.3">
      <c r="A195" s="57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</row>
    <row r="196" spans="1:53" s="58" customFormat="1" x14ac:dyDescent="0.3">
      <c r="A196" s="57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</row>
    <row r="197" spans="1:53" s="58" customFormat="1" ht="15" thickBot="1" x14ac:dyDescent="0.35">
      <c r="A197" s="57"/>
      <c r="B197" s="59"/>
      <c r="C197" s="59"/>
      <c r="D197" s="59"/>
      <c r="AO197" s="59"/>
      <c r="AP197" s="59"/>
      <c r="AQ197" s="59"/>
      <c r="AR197" s="59"/>
      <c r="AS197" s="59"/>
      <c r="AV197" s="59"/>
      <c r="AW197" s="59"/>
      <c r="AX197" s="59"/>
      <c r="AY197" s="59"/>
      <c r="AZ197" s="59"/>
      <c r="BA197" s="59"/>
    </row>
    <row r="198" spans="1:53" ht="18" x14ac:dyDescent="0.35">
      <c r="A198" s="60" t="s">
        <v>1</v>
      </c>
      <c r="B198" s="61" t="s">
        <v>64</v>
      </c>
      <c r="C198" s="62" t="s">
        <v>65</v>
      </c>
      <c r="E198" s="64"/>
      <c r="F198" s="65"/>
      <c r="G198" s="63">
        <v>60</v>
      </c>
    </row>
    <row r="199" spans="1:53" ht="18.600000000000001" thickBot="1" x14ac:dyDescent="0.4">
      <c r="A199" s="66" t="s">
        <v>42</v>
      </c>
      <c r="B199" s="64">
        <v>13</v>
      </c>
      <c r="C199" s="67" t="s">
        <v>77</v>
      </c>
      <c r="D199" s="68"/>
    </row>
    <row r="200" spans="1:53" x14ac:dyDescent="0.3">
      <c r="A200" s="69" t="s">
        <v>67</v>
      </c>
      <c r="B200" s="70">
        <v>1</v>
      </c>
      <c r="C200" s="70">
        <v>2</v>
      </c>
      <c r="D200" s="70">
        <v>3</v>
      </c>
      <c r="E200" s="70">
        <v>4</v>
      </c>
      <c r="F200" s="70">
        <v>5</v>
      </c>
      <c r="G200" s="70">
        <v>6</v>
      </c>
      <c r="H200" s="70">
        <v>7</v>
      </c>
      <c r="I200" s="70">
        <v>8</v>
      </c>
      <c r="J200" s="70">
        <v>9</v>
      </c>
      <c r="K200" s="70">
        <v>10</v>
      </c>
      <c r="L200" s="70">
        <v>11</v>
      </c>
      <c r="M200" s="70">
        <v>12</v>
      </c>
      <c r="N200" s="70">
        <v>13</v>
      </c>
      <c r="O200" s="70">
        <v>14</v>
      </c>
      <c r="P200" s="70">
        <v>15</v>
      </c>
      <c r="Q200" s="70">
        <v>16</v>
      </c>
      <c r="R200" s="70">
        <v>17</v>
      </c>
      <c r="S200" s="70">
        <v>18</v>
      </c>
      <c r="T200" s="70">
        <v>19</v>
      </c>
      <c r="U200" s="70">
        <v>20</v>
      </c>
      <c r="V200" s="70">
        <v>21</v>
      </c>
      <c r="W200" s="70">
        <v>22</v>
      </c>
      <c r="X200" s="70">
        <v>23</v>
      </c>
      <c r="Y200" s="70">
        <v>24</v>
      </c>
      <c r="Z200" s="70">
        <v>25</v>
      </c>
      <c r="AA200" s="70">
        <v>26</v>
      </c>
      <c r="AB200" s="70">
        <v>27</v>
      </c>
      <c r="AC200" s="70">
        <v>28</v>
      </c>
      <c r="AD200" s="70">
        <v>29</v>
      </c>
      <c r="AE200" s="70">
        <v>30</v>
      </c>
      <c r="AF200" s="70">
        <v>31</v>
      </c>
      <c r="AG200" s="70">
        <v>32</v>
      </c>
      <c r="AH200" s="70">
        <v>33</v>
      </c>
      <c r="AI200" s="70">
        <v>34</v>
      </c>
      <c r="AJ200" s="70">
        <v>35</v>
      </c>
      <c r="AK200" s="70">
        <v>36</v>
      </c>
      <c r="AL200" s="70">
        <v>37</v>
      </c>
      <c r="AM200" s="70">
        <v>38</v>
      </c>
      <c r="AN200" s="70">
        <v>39</v>
      </c>
      <c r="AO200" s="70">
        <v>40</v>
      </c>
      <c r="AP200" s="70">
        <v>41</v>
      </c>
      <c r="AQ200" s="70">
        <v>42</v>
      </c>
      <c r="AR200" s="70">
        <v>43</v>
      </c>
      <c r="AS200" s="70">
        <v>44</v>
      </c>
      <c r="AT200" s="70">
        <v>45</v>
      </c>
      <c r="AU200" s="70">
        <v>46</v>
      </c>
      <c r="AV200" s="70">
        <v>47</v>
      </c>
      <c r="AW200" s="70">
        <v>48</v>
      </c>
      <c r="AX200" s="70">
        <v>49</v>
      </c>
      <c r="AY200" s="70">
        <v>50</v>
      </c>
      <c r="AZ200" s="70">
        <v>51</v>
      </c>
      <c r="BA200" s="71">
        <v>52</v>
      </c>
    </row>
    <row r="201" spans="1:53" x14ac:dyDescent="0.3">
      <c r="A201" s="72" t="s">
        <v>68</v>
      </c>
      <c r="B201" s="73">
        <v>85</v>
      </c>
      <c r="C201" s="73">
        <v>85</v>
      </c>
      <c r="D201" s="73">
        <v>85</v>
      </c>
      <c r="E201" s="73">
        <v>85</v>
      </c>
      <c r="F201" s="73">
        <v>85</v>
      </c>
      <c r="G201" s="73">
        <v>85</v>
      </c>
      <c r="H201" s="73">
        <v>85</v>
      </c>
      <c r="I201" s="73">
        <v>85</v>
      </c>
      <c r="J201" s="73">
        <v>85</v>
      </c>
      <c r="K201" s="73">
        <v>85</v>
      </c>
      <c r="L201" s="73">
        <v>85</v>
      </c>
      <c r="M201" s="73">
        <v>85</v>
      </c>
      <c r="N201" s="73">
        <v>85</v>
      </c>
      <c r="O201" s="73">
        <v>85</v>
      </c>
      <c r="P201" s="73">
        <v>85</v>
      </c>
      <c r="Q201" s="73">
        <v>85</v>
      </c>
      <c r="R201" s="73">
        <v>85</v>
      </c>
      <c r="S201" s="73">
        <v>85</v>
      </c>
      <c r="T201" s="73">
        <v>85</v>
      </c>
      <c r="U201" s="73">
        <v>85</v>
      </c>
      <c r="V201" s="73">
        <v>85</v>
      </c>
      <c r="W201" s="73">
        <v>85</v>
      </c>
      <c r="X201" s="73">
        <v>85</v>
      </c>
      <c r="Y201" s="73">
        <v>85</v>
      </c>
      <c r="Z201" s="73">
        <v>85</v>
      </c>
      <c r="AA201" s="73">
        <v>85</v>
      </c>
      <c r="AB201" s="73">
        <v>85</v>
      </c>
      <c r="AC201" s="73">
        <v>85</v>
      </c>
      <c r="AD201" s="73">
        <v>85</v>
      </c>
      <c r="AE201" s="73">
        <v>85</v>
      </c>
      <c r="AF201" s="73">
        <v>85</v>
      </c>
      <c r="AG201" s="73">
        <v>85</v>
      </c>
      <c r="AH201" s="73">
        <v>85</v>
      </c>
      <c r="AI201" s="73">
        <v>85</v>
      </c>
      <c r="AJ201" s="73">
        <v>85</v>
      </c>
      <c r="AK201" s="73">
        <v>85</v>
      </c>
      <c r="AL201" s="73">
        <v>85</v>
      </c>
      <c r="AM201" s="73">
        <v>85</v>
      </c>
      <c r="AN201" s="73">
        <v>85</v>
      </c>
      <c r="AO201" s="73">
        <v>85</v>
      </c>
      <c r="AP201" s="73">
        <v>85</v>
      </c>
      <c r="AQ201" s="73">
        <v>85</v>
      </c>
      <c r="AR201" s="73">
        <v>85</v>
      </c>
      <c r="AS201" s="73">
        <v>85</v>
      </c>
      <c r="AT201" s="73">
        <v>85</v>
      </c>
      <c r="AU201" s="73">
        <v>85</v>
      </c>
      <c r="AV201" s="73">
        <v>85</v>
      </c>
      <c r="AW201" s="73"/>
      <c r="AX201" s="73"/>
      <c r="AY201" s="73"/>
      <c r="AZ201" s="73"/>
      <c r="BA201" s="73"/>
    </row>
    <row r="202" spans="1:53" ht="15" thickBot="1" x14ac:dyDescent="0.35">
      <c r="A202" s="74" t="s">
        <v>69</v>
      </c>
      <c r="B202" s="75">
        <f>'week 02'!I14</f>
        <v>87</v>
      </c>
      <c r="C202" s="75">
        <f>'week 03'!I14</f>
        <v>88</v>
      </c>
      <c r="D202" s="75">
        <f>'week 04'!I14</f>
        <v>88</v>
      </c>
      <c r="E202" s="75">
        <f>'week 05'!I14</f>
        <v>88</v>
      </c>
      <c r="F202" s="75">
        <f>'week 06'!I14</f>
        <v>86</v>
      </c>
      <c r="G202" s="75">
        <f>'week 07'!I14</f>
        <v>87</v>
      </c>
      <c r="H202" s="75">
        <f>'week 08'!I14</f>
        <v>88</v>
      </c>
      <c r="I202" s="75">
        <f>'week 09'!I14</f>
        <v>88</v>
      </c>
      <c r="J202" s="75">
        <f>'week 10'!I14</f>
        <v>89</v>
      </c>
      <c r="K202" s="75">
        <f>'week 11'!J13</f>
        <v>86</v>
      </c>
      <c r="L202" s="75">
        <f>'week 12'!I13</f>
        <v>88</v>
      </c>
      <c r="M202" s="75">
        <f>'week 13'!I13</f>
        <v>86</v>
      </c>
      <c r="N202" s="75">
        <f>'week 14'!I13</f>
        <v>86</v>
      </c>
      <c r="O202" s="75">
        <f>'week 15'!I13</f>
        <v>86</v>
      </c>
      <c r="P202" s="75">
        <f>'week 16'!I13</f>
        <v>86</v>
      </c>
      <c r="Q202" s="75">
        <f>'week 17'!I13</f>
        <v>87</v>
      </c>
      <c r="R202" s="75">
        <f>'week 18'!I13</f>
        <v>86</v>
      </c>
      <c r="S202" s="75">
        <f>'week 19'!I13</f>
        <v>86</v>
      </c>
      <c r="T202" s="75">
        <f>'week 20'!K13</f>
        <v>90</v>
      </c>
      <c r="U202" s="75">
        <f>'week 21'!K13</f>
        <v>87</v>
      </c>
      <c r="V202" s="75">
        <f>'week 22'!K13</f>
        <v>87</v>
      </c>
      <c r="W202" s="75">
        <f>'week 23'!K13</f>
        <v>86</v>
      </c>
      <c r="X202" s="75">
        <f>'week 24'!K13</f>
        <v>86</v>
      </c>
      <c r="Y202" s="75">
        <f>'week 25'!K13</f>
        <v>89</v>
      </c>
      <c r="Z202" s="75">
        <f>'week 26'!K13</f>
        <v>86</v>
      </c>
      <c r="AA202" s="75">
        <v>87</v>
      </c>
      <c r="AB202" s="75">
        <v>86</v>
      </c>
      <c r="AC202" s="75">
        <v>87</v>
      </c>
      <c r="AD202" s="75">
        <v>86</v>
      </c>
      <c r="AE202" s="75">
        <v>86</v>
      </c>
      <c r="AF202" s="75">
        <v>87</v>
      </c>
      <c r="AG202" s="75">
        <v>86</v>
      </c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</row>
    <row r="203" spans="1:53" x14ac:dyDescent="0.3">
      <c r="A203" s="77" t="s">
        <v>67</v>
      </c>
      <c r="B203" s="59">
        <v>1</v>
      </c>
      <c r="C203" s="59">
        <v>2</v>
      </c>
      <c r="D203" s="59">
        <v>3</v>
      </c>
      <c r="E203" s="59">
        <v>4</v>
      </c>
      <c r="F203" s="59">
        <v>5</v>
      </c>
      <c r="G203" s="59">
        <v>6</v>
      </c>
      <c r="H203" s="59">
        <v>7</v>
      </c>
      <c r="I203" s="59">
        <v>8</v>
      </c>
      <c r="J203" s="59">
        <v>9</v>
      </c>
      <c r="K203" s="59">
        <v>10</v>
      </c>
      <c r="L203" s="59">
        <v>11</v>
      </c>
      <c r="M203" s="59">
        <v>12</v>
      </c>
      <c r="N203" s="59">
        <v>13</v>
      </c>
      <c r="O203" s="59">
        <v>14</v>
      </c>
      <c r="P203" s="59">
        <v>15</v>
      </c>
      <c r="Q203" s="59">
        <v>16</v>
      </c>
      <c r="R203" s="59">
        <v>17</v>
      </c>
      <c r="S203" s="59">
        <v>18</v>
      </c>
      <c r="T203" s="59">
        <v>19</v>
      </c>
      <c r="U203" s="59">
        <v>20</v>
      </c>
      <c r="V203" s="59">
        <v>21</v>
      </c>
      <c r="W203" s="59">
        <v>22</v>
      </c>
      <c r="X203" s="59">
        <v>23</v>
      </c>
      <c r="Y203" s="59">
        <v>24</v>
      </c>
      <c r="Z203" s="59">
        <v>25</v>
      </c>
      <c r="AA203" s="59">
        <v>26</v>
      </c>
      <c r="AB203" s="59">
        <v>27</v>
      </c>
      <c r="AC203" s="59">
        <v>28</v>
      </c>
      <c r="AD203" s="59">
        <v>29</v>
      </c>
      <c r="AE203" s="59">
        <v>30</v>
      </c>
      <c r="AF203" s="59">
        <v>31</v>
      </c>
      <c r="AG203" s="59">
        <v>32</v>
      </c>
      <c r="AH203" s="59">
        <v>33</v>
      </c>
      <c r="AI203" s="59">
        <v>34</v>
      </c>
      <c r="AJ203" s="59">
        <v>35</v>
      </c>
      <c r="AK203" s="59">
        <v>36</v>
      </c>
      <c r="AL203" s="59">
        <v>37</v>
      </c>
      <c r="AM203" s="59">
        <v>38</v>
      </c>
      <c r="AN203" s="59">
        <v>39</v>
      </c>
      <c r="AO203" s="59">
        <v>40</v>
      </c>
      <c r="AP203" s="59">
        <v>41</v>
      </c>
      <c r="AQ203" s="59">
        <v>42</v>
      </c>
      <c r="AR203" s="59">
        <v>43</v>
      </c>
      <c r="AS203" s="59">
        <v>44</v>
      </c>
      <c r="AT203" s="59">
        <v>45</v>
      </c>
      <c r="AU203" s="59">
        <v>46</v>
      </c>
      <c r="AV203" s="59">
        <v>47</v>
      </c>
      <c r="AW203" s="70">
        <v>48</v>
      </c>
      <c r="AX203" s="70">
        <v>49</v>
      </c>
      <c r="AY203" s="70">
        <v>50</v>
      </c>
      <c r="AZ203" s="70">
        <v>51</v>
      </c>
      <c r="BA203" s="71">
        <v>52</v>
      </c>
    </row>
    <row r="204" spans="1:53" x14ac:dyDescent="0.3">
      <c r="A204" s="78" t="s">
        <v>70</v>
      </c>
      <c r="B204" s="79">
        <f>G198</f>
        <v>60</v>
      </c>
      <c r="C204" s="79">
        <f t="shared" ref="C204:M204" si="237">B204</f>
        <v>60</v>
      </c>
      <c r="D204" s="79">
        <f t="shared" si="237"/>
        <v>60</v>
      </c>
      <c r="E204" s="79">
        <f t="shared" si="237"/>
        <v>60</v>
      </c>
      <c r="F204" s="79">
        <f t="shared" si="237"/>
        <v>60</v>
      </c>
      <c r="G204" s="79">
        <f t="shared" si="237"/>
        <v>60</v>
      </c>
      <c r="H204" s="79">
        <f t="shared" si="237"/>
        <v>60</v>
      </c>
      <c r="I204" s="79">
        <f t="shared" si="237"/>
        <v>60</v>
      </c>
      <c r="J204" s="79">
        <f t="shared" si="237"/>
        <v>60</v>
      </c>
      <c r="K204" s="79">
        <f t="shared" si="237"/>
        <v>60</v>
      </c>
      <c r="L204" s="79">
        <f t="shared" si="237"/>
        <v>60</v>
      </c>
      <c r="M204" s="79">
        <f t="shared" si="237"/>
        <v>60</v>
      </c>
      <c r="N204" s="79">
        <v>60</v>
      </c>
      <c r="O204" s="79">
        <v>60</v>
      </c>
      <c r="P204" s="79">
        <v>60</v>
      </c>
      <c r="Q204" s="79">
        <v>60</v>
      </c>
      <c r="R204" s="79">
        <v>60</v>
      </c>
      <c r="S204" s="79">
        <v>60</v>
      </c>
      <c r="T204" s="79">
        <v>60</v>
      </c>
      <c r="U204" s="79">
        <v>60</v>
      </c>
      <c r="V204" s="79">
        <v>60</v>
      </c>
      <c r="W204" s="79">
        <v>60</v>
      </c>
      <c r="X204" s="79">
        <v>60</v>
      </c>
      <c r="Y204" s="79">
        <v>60</v>
      </c>
      <c r="Z204" s="79">
        <v>60</v>
      </c>
      <c r="AA204" s="79">
        <v>60</v>
      </c>
      <c r="AB204" s="79">
        <v>60</v>
      </c>
      <c r="AC204" s="79">
        <v>60</v>
      </c>
      <c r="AD204" s="79">
        <v>60</v>
      </c>
      <c r="AE204" s="79">
        <v>60</v>
      </c>
      <c r="AF204" s="79">
        <v>60</v>
      </c>
      <c r="AG204" s="79">
        <v>60</v>
      </c>
      <c r="AH204" s="79">
        <v>60</v>
      </c>
      <c r="AI204" s="79">
        <v>60</v>
      </c>
      <c r="AJ204" s="79">
        <v>60</v>
      </c>
      <c r="AK204" s="79">
        <v>60</v>
      </c>
      <c r="AL204" s="79">
        <v>60</v>
      </c>
      <c r="AM204" s="79">
        <v>60</v>
      </c>
      <c r="AN204" s="79">
        <v>60</v>
      </c>
      <c r="AO204" s="79">
        <v>60</v>
      </c>
      <c r="AP204" s="79">
        <v>60</v>
      </c>
      <c r="AQ204" s="79">
        <v>60</v>
      </c>
      <c r="AR204" s="79">
        <v>60</v>
      </c>
      <c r="AS204" s="79">
        <v>60</v>
      </c>
      <c r="AT204" s="79">
        <v>60</v>
      </c>
      <c r="AU204" s="79">
        <v>60</v>
      </c>
      <c r="AV204" s="79">
        <v>60</v>
      </c>
      <c r="AW204" s="79">
        <v>60</v>
      </c>
      <c r="AX204" s="79">
        <v>60</v>
      </c>
      <c r="AY204" s="79">
        <v>60</v>
      </c>
      <c r="AZ204" s="79">
        <v>60</v>
      </c>
      <c r="BA204" s="79">
        <v>60</v>
      </c>
    </row>
    <row r="205" spans="1:53" x14ac:dyDescent="0.3">
      <c r="A205" s="77" t="s">
        <v>71</v>
      </c>
      <c r="B205" s="80">
        <f>'week 01'!G14</f>
        <v>85</v>
      </c>
      <c r="C205" s="80">
        <f>'week 02'!G14</f>
        <v>90</v>
      </c>
      <c r="D205" s="80">
        <f>'week 03'!G14</f>
        <v>92</v>
      </c>
      <c r="E205" s="80">
        <f>'week 04'!G14</f>
        <v>93</v>
      </c>
      <c r="F205" s="80">
        <f>'week 05'!G14</f>
        <v>65</v>
      </c>
      <c r="G205" s="80">
        <f>'week 06'!G14</f>
        <v>84</v>
      </c>
      <c r="H205" s="80">
        <f>'week 07'!G14</f>
        <v>87</v>
      </c>
      <c r="I205" s="80">
        <f>'week 08'!G14</f>
        <v>102</v>
      </c>
      <c r="J205" s="80">
        <f>'week 09'!G14</f>
        <v>101</v>
      </c>
      <c r="K205" s="80">
        <f>'week 10'!G13</f>
        <v>56</v>
      </c>
      <c r="L205" s="80">
        <f>'week 12'!G13</f>
        <v>86</v>
      </c>
      <c r="M205" s="80">
        <f>'week 13'!G13</f>
        <v>103</v>
      </c>
      <c r="N205" s="80">
        <f>'week 14'!G13</f>
        <v>82</v>
      </c>
      <c r="O205" s="80">
        <f>'week 15'!G13</f>
        <v>108</v>
      </c>
      <c r="P205" s="80">
        <f>'week 16'!G13</f>
        <v>86</v>
      </c>
      <c r="Q205" s="80">
        <f>'week 17'!G13</f>
        <v>104</v>
      </c>
      <c r="R205" s="80">
        <f>'week 18'!G13</f>
        <v>84</v>
      </c>
      <c r="S205" s="80">
        <f>'week 19'!G13</f>
        <v>67</v>
      </c>
      <c r="T205" s="80">
        <f>'week 20'!I13</f>
        <v>87</v>
      </c>
      <c r="U205" s="80">
        <f>'week 20'!I13</f>
        <v>87</v>
      </c>
      <c r="V205" s="80">
        <f>'week 21'!I13</f>
        <v>103</v>
      </c>
      <c r="W205" s="80">
        <f>'week 23'!I13</f>
        <v>90</v>
      </c>
      <c r="X205" s="80">
        <f>'week 24'!I13</f>
        <v>71</v>
      </c>
      <c r="Y205" s="80">
        <f>'week 25'!I13</f>
        <v>107</v>
      </c>
      <c r="Z205" s="80">
        <v>82</v>
      </c>
      <c r="AA205" s="80">
        <v>84</v>
      </c>
      <c r="AB205" s="80">
        <v>113</v>
      </c>
      <c r="AC205" s="80">
        <v>112</v>
      </c>
      <c r="AD205" s="80">
        <v>105</v>
      </c>
      <c r="AE205" s="80">
        <v>88</v>
      </c>
      <c r="AF205" s="80">
        <v>91</v>
      </c>
      <c r="AG205" s="80">
        <v>80</v>
      </c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1"/>
    </row>
    <row r="206" spans="1:53" ht="47.4" customHeight="1" thickBot="1" x14ac:dyDescent="0.35">
      <c r="A206" s="74" t="s">
        <v>72</v>
      </c>
      <c r="B206" s="7"/>
      <c r="C206" s="75"/>
      <c r="D206" s="7"/>
      <c r="E206" s="82"/>
      <c r="F206" s="82"/>
      <c r="G206" s="75"/>
      <c r="H206" s="75"/>
      <c r="I206" s="75"/>
      <c r="J206" s="75"/>
      <c r="K206" s="75"/>
      <c r="L206" s="82"/>
      <c r="M206" s="75"/>
      <c r="N206" s="75"/>
      <c r="O206" s="82"/>
      <c r="P206" s="75"/>
      <c r="Q206" s="75"/>
      <c r="R206" s="82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82"/>
      <c r="AU206" s="82"/>
      <c r="AV206" s="75"/>
      <c r="AW206" s="75"/>
      <c r="AX206" s="75"/>
      <c r="AY206" s="75"/>
      <c r="AZ206" s="82"/>
      <c r="BA206" s="76"/>
    </row>
    <row r="207" spans="1:53" s="58" customFormat="1" x14ac:dyDescent="0.3">
      <c r="A207" s="69" t="s">
        <v>73</v>
      </c>
      <c r="B207" s="70">
        <v>9</v>
      </c>
      <c r="C207" s="70">
        <v>9</v>
      </c>
      <c r="D207" s="70">
        <v>9</v>
      </c>
      <c r="E207" s="70">
        <v>9</v>
      </c>
      <c r="F207" s="70">
        <v>9</v>
      </c>
      <c r="G207" s="70">
        <v>9</v>
      </c>
      <c r="H207" s="70">
        <v>9</v>
      </c>
      <c r="I207" s="70">
        <v>9</v>
      </c>
      <c r="J207" s="70">
        <v>9</v>
      </c>
      <c r="K207" s="70">
        <v>9</v>
      </c>
      <c r="L207" s="70">
        <v>9</v>
      </c>
      <c r="M207" s="70">
        <v>9</v>
      </c>
      <c r="N207" s="70">
        <v>9</v>
      </c>
      <c r="O207" s="70">
        <v>9</v>
      </c>
      <c r="P207" s="70">
        <v>9</v>
      </c>
      <c r="Q207" s="70">
        <v>9</v>
      </c>
      <c r="R207" s="70">
        <v>9</v>
      </c>
      <c r="S207" s="70">
        <v>9</v>
      </c>
      <c r="T207" s="70">
        <v>9</v>
      </c>
      <c r="U207" s="70">
        <v>9</v>
      </c>
      <c r="V207" s="70">
        <v>9</v>
      </c>
      <c r="W207" s="70">
        <v>9</v>
      </c>
      <c r="X207" s="70">
        <v>9</v>
      </c>
      <c r="Y207" s="70">
        <v>9</v>
      </c>
      <c r="Z207" s="70">
        <v>9</v>
      </c>
      <c r="AA207" s="70">
        <v>9</v>
      </c>
      <c r="AB207" s="70">
        <v>9</v>
      </c>
      <c r="AC207" s="70">
        <v>9</v>
      </c>
      <c r="AD207" s="70">
        <v>9</v>
      </c>
      <c r="AE207" s="70">
        <v>9</v>
      </c>
      <c r="AF207" s="70">
        <v>9</v>
      </c>
      <c r="AG207" s="70">
        <v>9</v>
      </c>
      <c r="AH207" s="70">
        <v>9</v>
      </c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</row>
    <row r="208" spans="1:53" s="58" customFormat="1" x14ac:dyDescent="0.3">
      <c r="A208" s="83" t="s">
        <v>74</v>
      </c>
      <c r="B208" s="84">
        <v>9</v>
      </c>
      <c r="C208" s="84">
        <v>9</v>
      </c>
      <c r="D208" s="84">
        <v>9</v>
      </c>
      <c r="E208" s="84">
        <v>9</v>
      </c>
      <c r="F208" s="84">
        <v>9</v>
      </c>
      <c r="G208" s="84">
        <v>9</v>
      </c>
      <c r="H208" s="84">
        <v>9</v>
      </c>
      <c r="I208" s="84">
        <v>9</v>
      </c>
      <c r="J208" s="84">
        <v>9</v>
      </c>
      <c r="K208" s="84">
        <v>9</v>
      </c>
      <c r="L208" s="84">
        <v>9</v>
      </c>
      <c r="M208" s="84">
        <v>9</v>
      </c>
      <c r="N208" s="84">
        <v>9</v>
      </c>
      <c r="O208" s="84">
        <v>9</v>
      </c>
      <c r="P208" s="84">
        <v>9</v>
      </c>
      <c r="Q208" s="84">
        <v>9</v>
      </c>
      <c r="R208" s="84">
        <v>9</v>
      </c>
      <c r="S208" s="84">
        <v>9</v>
      </c>
      <c r="T208" s="84">
        <v>9</v>
      </c>
      <c r="U208" s="84">
        <v>9</v>
      </c>
      <c r="V208" s="84">
        <v>9</v>
      </c>
      <c r="W208" s="84">
        <v>9</v>
      </c>
      <c r="X208" s="84">
        <v>9</v>
      </c>
      <c r="Y208" s="84">
        <v>9</v>
      </c>
      <c r="Z208" s="84">
        <v>9</v>
      </c>
      <c r="AA208" s="84">
        <v>9</v>
      </c>
      <c r="AB208" s="84">
        <v>9</v>
      </c>
      <c r="AC208" s="84">
        <v>9</v>
      </c>
      <c r="AD208" s="84">
        <v>9</v>
      </c>
      <c r="AE208" s="84">
        <v>9</v>
      </c>
      <c r="AF208" s="84">
        <v>9</v>
      </c>
      <c r="AG208" s="84">
        <v>9</v>
      </c>
      <c r="AH208" s="84">
        <v>9</v>
      </c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</row>
    <row r="209" spans="1:53" s="58" customFormat="1" ht="15" thickBot="1" x14ac:dyDescent="0.35">
      <c r="A209" s="74" t="s">
        <v>75</v>
      </c>
      <c r="B209" s="85">
        <v>8</v>
      </c>
      <c r="C209" s="85">
        <v>8</v>
      </c>
      <c r="D209" s="85">
        <v>8</v>
      </c>
      <c r="E209" s="85">
        <v>8</v>
      </c>
      <c r="F209" s="85">
        <v>8</v>
      </c>
      <c r="G209" s="85">
        <v>8</v>
      </c>
      <c r="H209" s="85">
        <v>8</v>
      </c>
      <c r="I209" s="85">
        <v>8</v>
      </c>
      <c r="J209" s="85">
        <v>8</v>
      </c>
      <c r="K209" s="85">
        <v>8</v>
      </c>
      <c r="L209" s="85">
        <v>8</v>
      </c>
      <c r="M209" s="85">
        <v>8</v>
      </c>
      <c r="N209" s="85">
        <v>8</v>
      </c>
      <c r="O209" s="85">
        <v>8</v>
      </c>
      <c r="P209" s="85">
        <v>8</v>
      </c>
      <c r="Q209" s="85">
        <v>8</v>
      </c>
      <c r="R209" s="85">
        <v>8</v>
      </c>
      <c r="S209" s="85">
        <v>8</v>
      </c>
      <c r="T209" s="85">
        <v>8</v>
      </c>
      <c r="U209" s="85">
        <v>8</v>
      </c>
      <c r="V209" s="85">
        <v>8</v>
      </c>
      <c r="W209" s="85">
        <v>8</v>
      </c>
      <c r="X209" s="85">
        <v>8</v>
      </c>
      <c r="Y209" s="85">
        <v>8</v>
      </c>
      <c r="Z209" s="85">
        <v>8</v>
      </c>
      <c r="AA209" s="85">
        <v>8</v>
      </c>
      <c r="AB209" s="85">
        <v>8</v>
      </c>
      <c r="AC209" s="85">
        <v>8</v>
      </c>
      <c r="AD209" s="85">
        <v>8</v>
      </c>
      <c r="AE209" s="85">
        <v>8</v>
      </c>
      <c r="AF209" s="85">
        <v>8</v>
      </c>
      <c r="AG209" s="85">
        <v>8</v>
      </c>
      <c r="AH209" s="85">
        <v>8</v>
      </c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</row>
    <row r="210" spans="1:53" s="58" customFormat="1" x14ac:dyDescent="0.3">
      <c r="A210" s="57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</row>
    <row r="211" spans="1:53" s="58" customFormat="1" x14ac:dyDescent="0.3">
      <c r="A211" s="57"/>
      <c r="B211" s="59"/>
      <c r="C211" s="59"/>
      <c r="D211" s="59"/>
      <c r="E211" s="59"/>
      <c r="F211" s="59"/>
      <c r="G211" s="59"/>
      <c r="H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</row>
    <row r="212" spans="1:53" s="58" customFormat="1" x14ac:dyDescent="0.3">
      <c r="A212" s="57"/>
      <c r="B212" s="59"/>
      <c r="C212" s="59"/>
      <c r="D212" s="59"/>
      <c r="E212" s="59"/>
      <c r="F212" s="59"/>
      <c r="G212" s="59"/>
      <c r="H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</row>
    <row r="213" spans="1:53" s="58" customFormat="1" ht="15" thickBot="1" x14ac:dyDescent="0.35">
      <c r="A213" s="57"/>
      <c r="AO213" s="59"/>
    </row>
    <row r="214" spans="1:53" ht="18" x14ac:dyDescent="0.35">
      <c r="A214" s="60" t="s">
        <v>1</v>
      </c>
      <c r="B214" s="61" t="s">
        <v>64</v>
      </c>
      <c r="C214" s="62" t="s">
        <v>65</v>
      </c>
      <c r="E214" s="64"/>
      <c r="F214" s="65"/>
      <c r="G214" s="63">
        <v>60</v>
      </c>
    </row>
    <row r="215" spans="1:53" ht="18.600000000000001" thickBot="1" x14ac:dyDescent="0.4">
      <c r="A215" s="66" t="s">
        <v>39</v>
      </c>
      <c r="B215" s="64">
        <v>14</v>
      </c>
      <c r="C215" s="67" t="s">
        <v>77</v>
      </c>
      <c r="D215" s="68"/>
    </row>
    <row r="216" spans="1:53" x14ac:dyDescent="0.3">
      <c r="A216" s="69" t="s">
        <v>67</v>
      </c>
      <c r="B216" s="70">
        <v>1</v>
      </c>
      <c r="C216" s="70">
        <v>2</v>
      </c>
      <c r="D216" s="70">
        <v>3</v>
      </c>
      <c r="E216" s="70">
        <v>4</v>
      </c>
      <c r="F216" s="70">
        <v>5</v>
      </c>
      <c r="G216" s="70">
        <v>6</v>
      </c>
      <c r="H216" s="70">
        <v>7</v>
      </c>
      <c r="I216" s="70">
        <v>8</v>
      </c>
      <c r="J216" s="70">
        <v>9</v>
      </c>
      <c r="K216" s="70">
        <v>10</v>
      </c>
      <c r="L216" s="70">
        <v>11</v>
      </c>
      <c r="M216" s="70">
        <v>12</v>
      </c>
      <c r="N216" s="70">
        <v>13</v>
      </c>
      <c r="O216" s="70">
        <v>14</v>
      </c>
      <c r="P216" s="70">
        <v>15</v>
      </c>
      <c r="Q216" s="70">
        <v>16</v>
      </c>
      <c r="R216" s="70">
        <v>17</v>
      </c>
      <c r="S216" s="70">
        <v>18</v>
      </c>
      <c r="T216" s="70">
        <v>19</v>
      </c>
      <c r="U216" s="70">
        <v>20</v>
      </c>
      <c r="V216" s="70">
        <v>21</v>
      </c>
      <c r="W216" s="70">
        <v>22</v>
      </c>
      <c r="X216" s="70">
        <v>23</v>
      </c>
      <c r="Y216" s="70">
        <v>24</v>
      </c>
      <c r="Z216" s="70">
        <v>25</v>
      </c>
      <c r="AA216" s="70">
        <v>26</v>
      </c>
      <c r="AB216" s="70">
        <v>27</v>
      </c>
      <c r="AC216" s="70">
        <v>28</v>
      </c>
      <c r="AD216" s="70">
        <v>29</v>
      </c>
      <c r="AE216" s="70">
        <v>30</v>
      </c>
      <c r="AF216" s="70">
        <v>31</v>
      </c>
      <c r="AG216" s="70">
        <v>32</v>
      </c>
      <c r="AH216" s="70">
        <v>33</v>
      </c>
      <c r="AI216" s="70">
        <v>34</v>
      </c>
      <c r="AJ216" s="70">
        <v>35</v>
      </c>
      <c r="AK216" s="70">
        <v>36</v>
      </c>
      <c r="AL216" s="70">
        <v>37</v>
      </c>
      <c r="AM216" s="70">
        <v>38</v>
      </c>
      <c r="AN216" s="70">
        <v>39</v>
      </c>
      <c r="AO216" s="70">
        <v>40</v>
      </c>
      <c r="AP216" s="70">
        <v>41</v>
      </c>
      <c r="AQ216" s="70">
        <v>42</v>
      </c>
      <c r="AR216" s="70">
        <v>43</v>
      </c>
      <c r="AS216" s="70">
        <v>44</v>
      </c>
      <c r="AT216" s="70">
        <v>45</v>
      </c>
      <c r="AU216" s="70">
        <v>46</v>
      </c>
      <c r="AV216" s="70">
        <v>47</v>
      </c>
      <c r="AW216" s="70">
        <v>48</v>
      </c>
      <c r="AX216" s="70">
        <v>49</v>
      </c>
      <c r="AY216" s="70">
        <v>50</v>
      </c>
      <c r="AZ216" s="70">
        <v>51</v>
      </c>
      <c r="BA216" s="71">
        <v>52</v>
      </c>
    </row>
    <row r="217" spans="1:53" x14ac:dyDescent="0.3">
      <c r="A217" s="72" t="s">
        <v>68</v>
      </c>
      <c r="B217" s="73">
        <v>85</v>
      </c>
      <c r="C217" s="73">
        <v>85</v>
      </c>
      <c r="D217" s="73">
        <v>85</v>
      </c>
      <c r="E217" s="73">
        <v>85</v>
      </c>
      <c r="F217" s="73">
        <v>85</v>
      </c>
      <c r="G217" s="73">
        <v>85</v>
      </c>
      <c r="H217" s="73">
        <v>85</v>
      </c>
      <c r="I217" s="73">
        <v>85</v>
      </c>
      <c r="J217" s="73">
        <v>85</v>
      </c>
      <c r="K217" s="73">
        <v>85</v>
      </c>
      <c r="L217" s="73">
        <v>85</v>
      </c>
      <c r="M217" s="73">
        <v>85</v>
      </c>
      <c r="N217" s="73">
        <v>85</v>
      </c>
      <c r="O217" s="73">
        <v>85</v>
      </c>
      <c r="P217" s="73">
        <v>85</v>
      </c>
      <c r="Q217" s="73">
        <v>85</v>
      </c>
      <c r="R217" s="73">
        <v>85</v>
      </c>
      <c r="S217" s="73">
        <v>85</v>
      </c>
      <c r="T217" s="73">
        <v>85</v>
      </c>
      <c r="U217" s="73">
        <v>85</v>
      </c>
      <c r="V217" s="73">
        <v>85</v>
      </c>
      <c r="W217" s="73">
        <v>85</v>
      </c>
      <c r="X217" s="73">
        <v>85</v>
      </c>
      <c r="Y217" s="73">
        <v>85</v>
      </c>
      <c r="Z217" s="73">
        <v>85</v>
      </c>
      <c r="AA217" s="73">
        <v>85</v>
      </c>
      <c r="AB217" s="73">
        <v>85</v>
      </c>
      <c r="AC217" s="73">
        <v>85</v>
      </c>
      <c r="AD217" s="73">
        <v>85</v>
      </c>
      <c r="AE217" s="73">
        <v>85</v>
      </c>
      <c r="AF217" s="73">
        <v>85</v>
      </c>
      <c r="AG217" s="73">
        <v>85</v>
      </c>
      <c r="AH217" s="73">
        <v>85</v>
      </c>
      <c r="AI217" s="73">
        <v>85</v>
      </c>
      <c r="AJ217" s="73">
        <v>85</v>
      </c>
      <c r="AK217" s="73">
        <v>85</v>
      </c>
      <c r="AL217" s="73">
        <v>85</v>
      </c>
      <c r="AM217" s="73">
        <v>85</v>
      </c>
      <c r="AN217" s="73">
        <v>85</v>
      </c>
      <c r="AO217" s="73">
        <v>85</v>
      </c>
      <c r="AP217" s="73">
        <v>85</v>
      </c>
      <c r="AQ217" s="73">
        <v>85</v>
      </c>
      <c r="AR217" s="73">
        <v>85</v>
      </c>
      <c r="AS217" s="73">
        <v>85</v>
      </c>
      <c r="AT217" s="73">
        <v>85</v>
      </c>
      <c r="AU217" s="73">
        <v>85</v>
      </c>
      <c r="AV217" s="73">
        <v>85</v>
      </c>
      <c r="AW217" s="73"/>
      <c r="AX217" s="73"/>
      <c r="AY217" s="73"/>
      <c r="AZ217" s="73"/>
      <c r="BA217" s="73"/>
    </row>
    <row r="218" spans="1:53" ht="15" thickBot="1" x14ac:dyDescent="0.35">
      <c r="A218" s="74" t="s">
        <v>69</v>
      </c>
      <c r="B218" s="75">
        <f>'week 02'!I12</f>
        <v>88</v>
      </c>
      <c r="C218" s="75">
        <f>'week 03'!I12</f>
        <v>88</v>
      </c>
      <c r="D218" s="75">
        <f>'week 04'!I12</f>
        <v>87</v>
      </c>
      <c r="E218" s="75">
        <f>'week 05'!I12</f>
        <v>88</v>
      </c>
      <c r="F218" s="75">
        <f>'week 06'!I12</f>
        <v>87</v>
      </c>
      <c r="G218" s="75">
        <f>'week 07'!I12</f>
        <v>88</v>
      </c>
      <c r="H218" s="75">
        <f>'week 08'!I12</f>
        <v>87</v>
      </c>
      <c r="I218" s="75">
        <f>'week 09'!I12</f>
        <v>88</v>
      </c>
      <c r="J218" s="75">
        <f>'week 10'!I12</f>
        <v>87</v>
      </c>
      <c r="K218" s="75">
        <f>'week 11'!J14</f>
        <v>88</v>
      </c>
      <c r="L218" s="75">
        <f>'week 12'!I14</f>
        <v>87</v>
      </c>
      <c r="M218" s="75">
        <f>'week 13'!I14</f>
        <v>87</v>
      </c>
      <c r="N218" s="75">
        <f>'week 14'!I14</f>
        <v>88</v>
      </c>
      <c r="O218" s="75">
        <f>'week 15'!I14</f>
        <v>88</v>
      </c>
      <c r="P218" s="75">
        <f>'week 16'!I14</f>
        <v>88</v>
      </c>
      <c r="Q218" s="75">
        <f>'week 17'!I14</f>
        <v>88</v>
      </c>
      <c r="R218" s="75">
        <f>'week 18'!I14</f>
        <v>88</v>
      </c>
      <c r="S218" s="75">
        <f>'week 19'!I14</f>
        <v>88</v>
      </c>
      <c r="T218" s="75">
        <f>'week 20'!K14</f>
        <v>87</v>
      </c>
      <c r="U218" s="75">
        <f>'week 21'!K14</f>
        <v>88</v>
      </c>
      <c r="V218" s="75">
        <f>'week 22'!K14</f>
        <v>89</v>
      </c>
      <c r="W218" s="75">
        <f>'week 23'!K14</f>
        <v>88</v>
      </c>
      <c r="X218" s="75">
        <f>'week 24'!K14</f>
        <v>89</v>
      </c>
      <c r="Y218" s="75">
        <f>'week 24'!K14</f>
        <v>89</v>
      </c>
      <c r="Z218" s="75">
        <f>'week 26'!K14</f>
        <v>88</v>
      </c>
      <c r="AA218" s="75">
        <v>88</v>
      </c>
      <c r="AB218" s="75">
        <v>88</v>
      </c>
      <c r="AC218" s="75">
        <v>86</v>
      </c>
      <c r="AD218" s="75">
        <v>87</v>
      </c>
      <c r="AE218" s="75">
        <v>88</v>
      </c>
      <c r="AF218" s="75">
        <v>87</v>
      </c>
      <c r="AG218" s="75">
        <v>87</v>
      </c>
      <c r="AH218" s="75">
        <v>86</v>
      </c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6"/>
    </row>
    <row r="219" spans="1:53" x14ac:dyDescent="0.3">
      <c r="A219" s="77" t="s">
        <v>67</v>
      </c>
      <c r="B219" s="59">
        <v>1</v>
      </c>
      <c r="C219" s="59">
        <v>2</v>
      </c>
      <c r="D219" s="59">
        <v>3</v>
      </c>
      <c r="E219" s="59">
        <v>4</v>
      </c>
      <c r="F219" s="59">
        <v>5</v>
      </c>
      <c r="G219" s="59">
        <v>6</v>
      </c>
      <c r="H219" s="59">
        <v>7</v>
      </c>
      <c r="I219" s="59">
        <v>8</v>
      </c>
      <c r="J219" s="59">
        <v>9</v>
      </c>
      <c r="K219" s="59">
        <v>10</v>
      </c>
      <c r="L219" s="59">
        <v>11</v>
      </c>
      <c r="M219" s="59">
        <v>12</v>
      </c>
      <c r="N219" s="59">
        <v>13</v>
      </c>
      <c r="O219" s="59">
        <v>14</v>
      </c>
      <c r="P219" s="59">
        <v>15</v>
      </c>
      <c r="Q219" s="59">
        <v>16</v>
      </c>
      <c r="R219" s="59">
        <v>17</v>
      </c>
      <c r="S219" s="59">
        <v>18</v>
      </c>
      <c r="T219" s="59">
        <v>19</v>
      </c>
      <c r="U219" s="59">
        <v>20</v>
      </c>
      <c r="V219" s="59">
        <v>21</v>
      </c>
      <c r="W219" s="59">
        <v>22</v>
      </c>
      <c r="X219" s="59">
        <v>23</v>
      </c>
      <c r="Y219" s="59">
        <v>24</v>
      </c>
      <c r="Z219" s="59">
        <v>25</v>
      </c>
      <c r="AA219" s="59">
        <v>26</v>
      </c>
      <c r="AB219" s="59">
        <v>27</v>
      </c>
      <c r="AC219" s="59">
        <v>28</v>
      </c>
      <c r="AD219" s="59">
        <v>29</v>
      </c>
      <c r="AE219" s="59">
        <v>30</v>
      </c>
      <c r="AF219" s="59">
        <v>31</v>
      </c>
      <c r="AG219" s="59">
        <v>32</v>
      </c>
      <c r="AH219" s="59">
        <v>33</v>
      </c>
      <c r="AI219" s="59">
        <v>34</v>
      </c>
      <c r="AJ219" s="59">
        <v>35</v>
      </c>
      <c r="AK219" s="59">
        <v>36</v>
      </c>
      <c r="AL219" s="59">
        <v>37</v>
      </c>
      <c r="AM219" s="59">
        <v>38</v>
      </c>
      <c r="AN219" s="59">
        <v>39</v>
      </c>
      <c r="AO219" s="59">
        <v>40</v>
      </c>
      <c r="AP219" s="59">
        <v>41</v>
      </c>
      <c r="AQ219" s="59">
        <v>42</v>
      </c>
      <c r="AR219" s="59">
        <v>43</v>
      </c>
      <c r="AS219" s="59">
        <v>44</v>
      </c>
      <c r="AT219" s="59">
        <v>45</v>
      </c>
      <c r="AU219" s="59">
        <v>46</v>
      </c>
      <c r="AV219" s="59">
        <v>47</v>
      </c>
      <c r="AW219" s="70">
        <v>48</v>
      </c>
      <c r="AX219" s="70">
        <v>49</v>
      </c>
      <c r="AY219" s="70">
        <v>50</v>
      </c>
      <c r="AZ219" s="70">
        <v>51</v>
      </c>
      <c r="BA219" s="71">
        <v>52</v>
      </c>
    </row>
    <row r="220" spans="1:53" x14ac:dyDescent="0.3">
      <c r="A220" s="78" t="s">
        <v>70</v>
      </c>
      <c r="B220" s="79">
        <f>G214</f>
        <v>60</v>
      </c>
      <c r="C220" s="79">
        <f t="shared" ref="C220:AV220" si="238">B220</f>
        <v>60</v>
      </c>
      <c r="D220" s="79">
        <f t="shared" si="238"/>
        <v>60</v>
      </c>
      <c r="E220" s="79">
        <f t="shared" si="238"/>
        <v>60</v>
      </c>
      <c r="F220" s="79">
        <f t="shared" si="238"/>
        <v>60</v>
      </c>
      <c r="G220" s="79">
        <f t="shared" si="238"/>
        <v>60</v>
      </c>
      <c r="H220" s="79">
        <f t="shared" si="238"/>
        <v>60</v>
      </c>
      <c r="I220" s="79">
        <f t="shared" si="238"/>
        <v>60</v>
      </c>
      <c r="J220" s="79">
        <f t="shared" si="238"/>
        <v>60</v>
      </c>
      <c r="K220" s="79">
        <f t="shared" si="238"/>
        <v>60</v>
      </c>
      <c r="L220" s="79">
        <f t="shared" si="238"/>
        <v>60</v>
      </c>
      <c r="M220" s="79">
        <f t="shared" si="238"/>
        <v>60</v>
      </c>
      <c r="N220" s="79">
        <f t="shared" si="238"/>
        <v>60</v>
      </c>
      <c r="O220" s="79">
        <f t="shared" si="238"/>
        <v>60</v>
      </c>
      <c r="P220" s="79">
        <f t="shared" si="238"/>
        <v>60</v>
      </c>
      <c r="Q220" s="79">
        <f t="shared" si="238"/>
        <v>60</v>
      </c>
      <c r="R220" s="79">
        <f t="shared" si="238"/>
        <v>60</v>
      </c>
      <c r="S220" s="79">
        <f t="shared" si="238"/>
        <v>60</v>
      </c>
      <c r="T220" s="79">
        <f t="shared" si="238"/>
        <v>60</v>
      </c>
      <c r="U220" s="79">
        <f t="shared" si="238"/>
        <v>60</v>
      </c>
      <c r="V220" s="79">
        <f t="shared" si="238"/>
        <v>60</v>
      </c>
      <c r="W220" s="79">
        <f t="shared" si="238"/>
        <v>60</v>
      </c>
      <c r="X220" s="79">
        <f t="shared" si="238"/>
        <v>60</v>
      </c>
      <c r="Y220" s="79">
        <f t="shared" si="238"/>
        <v>60</v>
      </c>
      <c r="Z220" s="79">
        <f t="shared" si="238"/>
        <v>60</v>
      </c>
      <c r="AA220" s="79">
        <f t="shared" si="238"/>
        <v>60</v>
      </c>
      <c r="AB220" s="79">
        <f t="shared" si="238"/>
        <v>60</v>
      </c>
      <c r="AC220" s="79">
        <f t="shared" si="238"/>
        <v>60</v>
      </c>
      <c r="AD220" s="79">
        <f t="shared" si="238"/>
        <v>60</v>
      </c>
      <c r="AE220" s="79">
        <f t="shared" si="238"/>
        <v>60</v>
      </c>
      <c r="AF220" s="79">
        <f t="shared" si="238"/>
        <v>60</v>
      </c>
      <c r="AG220" s="79">
        <f t="shared" si="238"/>
        <v>60</v>
      </c>
      <c r="AH220" s="79">
        <f t="shared" si="238"/>
        <v>60</v>
      </c>
      <c r="AI220" s="79">
        <f t="shared" si="238"/>
        <v>60</v>
      </c>
      <c r="AJ220" s="79">
        <f t="shared" si="238"/>
        <v>60</v>
      </c>
      <c r="AK220" s="79">
        <f t="shared" si="238"/>
        <v>60</v>
      </c>
      <c r="AL220" s="79">
        <f t="shared" si="238"/>
        <v>60</v>
      </c>
      <c r="AM220" s="79">
        <f t="shared" si="238"/>
        <v>60</v>
      </c>
      <c r="AN220" s="79">
        <f t="shared" si="238"/>
        <v>60</v>
      </c>
      <c r="AO220" s="79">
        <f t="shared" si="238"/>
        <v>60</v>
      </c>
      <c r="AP220" s="79">
        <f t="shared" si="238"/>
        <v>60</v>
      </c>
      <c r="AQ220" s="79">
        <f t="shared" si="238"/>
        <v>60</v>
      </c>
      <c r="AR220" s="79">
        <f t="shared" si="238"/>
        <v>60</v>
      </c>
      <c r="AS220" s="79">
        <f t="shared" si="238"/>
        <v>60</v>
      </c>
      <c r="AT220" s="79">
        <f t="shared" si="238"/>
        <v>60</v>
      </c>
      <c r="AU220" s="79">
        <f t="shared" si="238"/>
        <v>60</v>
      </c>
      <c r="AV220" s="79">
        <f t="shared" si="238"/>
        <v>60</v>
      </c>
      <c r="AW220" s="79"/>
      <c r="AX220" s="79"/>
      <c r="AY220" s="79"/>
      <c r="AZ220" s="79"/>
      <c r="BA220" s="79"/>
    </row>
    <row r="221" spans="1:53" x14ac:dyDescent="0.3">
      <c r="A221" s="77" t="s">
        <v>71</v>
      </c>
      <c r="B221" s="80">
        <f>'week 02'!G12</f>
        <v>94</v>
      </c>
      <c r="C221" s="80">
        <f>'week 03'!G12</f>
        <v>82</v>
      </c>
      <c r="D221" s="80">
        <f>'week 04'!G12</f>
        <v>87</v>
      </c>
      <c r="E221" s="80">
        <f>'week 05'!G12</f>
        <v>93</v>
      </c>
      <c r="F221" s="80">
        <f>'week 06'!G12</f>
        <v>69</v>
      </c>
      <c r="G221" s="80">
        <f>'week 07'!G12</f>
        <v>89</v>
      </c>
      <c r="H221" s="80">
        <f>'week 08'!G12</f>
        <v>95</v>
      </c>
      <c r="I221" s="80">
        <f>'week 09'!G12</f>
        <v>100</v>
      </c>
      <c r="J221" s="80">
        <f>'week 10'!G12</f>
        <v>79</v>
      </c>
      <c r="K221" s="80">
        <f>'week 11'!H14</f>
        <v>66</v>
      </c>
      <c r="L221" s="80">
        <f>'week 12'!G14</f>
        <v>92</v>
      </c>
      <c r="M221" s="80">
        <f>'week 13'!G14</f>
        <v>109</v>
      </c>
      <c r="N221" s="80">
        <f>'week 14'!G14</f>
        <v>86</v>
      </c>
      <c r="O221" s="80">
        <f>'week 14'!G14</f>
        <v>86</v>
      </c>
      <c r="P221" s="80">
        <f>'week 16'!G14</f>
        <v>95</v>
      </c>
      <c r="Q221" s="80">
        <f>'week 17'!G14</f>
        <v>70</v>
      </c>
      <c r="R221" s="80">
        <f>'week 18'!G14</f>
        <v>54</v>
      </c>
      <c r="S221" s="80">
        <f>'week 19'!G14</f>
        <v>76</v>
      </c>
      <c r="T221" s="80">
        <f>'week 21'!I14</f>
        <v>82</v>
      </c>
      <c r="U221" s="80">
        <f>'week 21'!I14</f>
        <v>82</v>
      </c>
      <c r="V221" s="80">
        <f>'week 22'!I14</f>
        <v>87</v>
      </c>
      <c r="W221" s="80">
        <f>'week 23'!I14</f>
        <v>80</v>
      </c>
      <c r="X221" s="80">
        <f>'week 24'!I14</f>
        <v>85</v>
      </c>
      <c r="Y221" s="80">
        <f>'week 25'!I14</f>
        <v>88</v>
      </c>
      <c r="Z221" s="80">
        <v>85</v>
      </c>
      <c r="AA221" s="80">
        <v>85</v>
      </c>
      <c r="AB221" s="80">
        <v>112</v>
      </c>
      <c r="AC221" s="80">
        <v>65</v>
      </c>
      <c r="AD221" s="80">
        <v>65</v>
      </c>
      <c r="AE221" s="80">
        <v>127</v>
      </c>
      <c r="AF221" s="80">
        <v>90</v>
      </c>
      <c r="AG221" s="80">
        <v>90</v>
      </c>
      <c r="AH221" s="80">
        <v>97</v>
      </c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1"/>
    </row>
    <row r="222" spans="1:53" ht="54" customHeight="1" thickBot="1" x14ac:dyDescent="0.35">
      <c r="A222" s="74" t="s">
        <v>72</v>
      </c>
      <c r="B222" s="82"/>
      <c r="C222" s="75"/>
      <c r="D222" s="75"/>
      <c r="E222" s="75"/>
      <c r="F222" s="82"/>
      <c r="G222" s="75"/>
      <c r="H222" s="75"/>
      <c r="I222" s="75"/>
      <c r="J222" s="75"/>
      <c r="K222" s="82"/>
      <c r="L222" s="82"/>
      <c r="M222" s="75"/>
      <c r="N222" s="75"/>
      <c r="O222" s="82"/>
      <c r="P222" s="75"/>
      <c r="Q222" s="75"/>
      <c r="R222" s="82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82"/>
      <c r="AU222" s="82"/>
      <c r="AV222" s="75"/>
      <c r="AW222" s="75"/>
      <c r="AX222" s="75"/>
      <c r="AY222" s="75"/>
      <c r="AZ222" s="82"/>
      <c r="BA222" s="76"/>
    </row>
    <row r="223" spans="1:53" s="58" customFormat="1" x14ac:dyDescent="0.3">
      <c r="A223" s="69" t="s">
        <v>73</v>
      </c>
      <c r="B223" s="70">
        <v>9</v>
      </c>
      <c r="C223" s="70">
        <v>9</v>
      </c>
      <c r="D223" s="70">
        <v>9</v>
      </c>
      <c r="E223" s="70">
        <v>9</v>
      </c>
      <c r="F223" s="70">
        <v>9</v>
      </c>
      <c r="G223" s="70">
        <v>9</v>
      </c>
      <c r="H223" s="70">
        <v>9</v>
      </c>
      <c r="I223" s="70">
        <v>9</v>
      </c>
      <c r="J223" s="70">
        <v>9</v>
      </c>
      <c r="K223" s="70">
        <v>9</v>
      </c>
      <c r="L223" s="70">
        <v>9</v>
      </c>
      <c r="M223" s="70">
        <v>9</v>
      </c>
      <c r="N223" s="70">
        <v>9</v>
      </c>
      <c r="O223" s="70">
        <v>9</v>
      </c>
      <c r="P223" s="70">
        <v>9</v>
      </c>
      <c r="Q223" s="70">
        <v>9</v>
      </c>
      <c r="R223" s="70">
        <v>9</v>
      </c>
      <c r="S223" s="70">
        <v>9</v>
      </c>
      <c r="T223" s="70">
        <v>9</v>
      </c>
      <c r="U223" s="70">
        <v>9</v>
      </c>
      <c r="V223" s="70">
        <v>9</v>
      </c>
      <c r="W223" s="70">
        <v>9</v>
      </c>
      <c r="X223" s="70">
        <v>9</v>
      </c>
      <c r="Y223" s="70">
        <v>9</v>
      </c>
      <c r="Z223" s="70">
        <v>9</v>
      </c>
      <c r="AA223" s="70">
        <v>9</v>
      </c>
      <c r="AB223" s="70">
        <v>9</v>
      </c>
      <c r="AC223" s="70">
        <v>9</v>
      </c>
      <c r="AD223" s="70">
        <v>9</v>
      </c>
      <c r="AE223" s="70">
        <v>9</v>
      </c>
      <c r="AF223" s="70">
        <v>9</v>
      </c>
      <c r="AG223" s="70">
        <v>9</v>
      </c>
      <c r="AH223" s="70">
        <v>9</v>
      </c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</row>
    <row r="224" spans="1:53" s="58" customFormat="1" x14ac:dyDescent="0.3">
      <c r="A224" s="83" t="s">
        <v>74</v>
      </c>
      <c r="B224" s="84">
        <v>9</v>
      </c>
      <c r="C224" s="84">
        <v>9</v>
      </c>
      <c r="D224" s="84">
        <v>9</v>
      </c>
      <c r="E224" s="84">
        <v>9</v>
      </c>
      <c r="F224" s="84">
        <v>9</v>
      </c>
      <c r="G224" s="84">
        <v>9</v>
      </c>
      <c r="H224" s="84">
        <v>9</v>
      </c>
      <c r="I224" s="84">
        <v>9</v>
      </c>
      <c r="J224" s="84">
        <v>9</v>
      </c>
      <c r="K224" s="84">
        <v>9</v>
      </c>
      <c r="L224" s="84">
        <v>9</v>
      </c>
      <c r="M224" s="84">
        <v>9</v>
      </c>
      <c r="N224" s="84">
        <v>9</v>
      </c>
      <c r="O224" s="84">
        <v>9</v>
      </c>
      <c r="P224" s="84">
        <v>9</v>
      </c>
      <c r="Q224" s="84">
        <v>9</v>
      </c>
      <c r="R224" s="84">
        <v>9</v>
      </c>
      <c r="S224" s="84">
        <v>9</v>
      </c>
      <c r="T224" s="84">
        <v>9</v>
      </c>
      <c r="U224" s="84">
        <v>9</v>
      </c>
      <c r="V224" s="84">
        <v>9</v>
      </c>
      <c r="W224" s="84">
        <v>9</v>
      </c>
      <c r="X224" s="84">
        <v>9</v>
      </c>
      <c r="Y224" s="84">
        <v>9</v>
      </c>
      <c r="Z224" s="84">
        <v>9</v>
      </c>
      <c r="AA224" s="84">
        <v>9</v>
      </c>
      <c r="AB224" s="84">
        <v>9</v>
      </c>
      <c r="AC224" s="84">
        <v>9</v>
      </c>
      <c r="AD224" s="84">
        <v>9</v>
      </c>
      <c r="AE224" s="84">
        <v>9</v>
      </c>
      <c r="AF224" s="84">
        <v>9</v>
      </c>
      <c r="AG224" s="84">
        <v>9</v>
      </c>
      <c r="AH224" s="84">
        <v>9</v>
      </c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</row>
    <row r="225" spans="1:53" s="58" customFormat="1" ht="15" thickBot="1" x14ac:dyDescent="0.35">
      <c r="A225" s="74" t="s">
        <v>75</v>
      </c>
      <c r="B225" s="85">
        <v>8</v>
      </c>
      <c r="C225" s="85">
        <v>8</v>
      </c>
      <c r="D225" s="85">
        <v>8</v>
      </c>
      <c r="E225" s="85">
        <v>8</v>
      </c>
      <c r="F225" s="85">
        <v>8</v>
      </c>
      <c r="G225" s="85">
        <v>8</v>
      </c>
      <c r="H225" s="85">
        <v>8</v>
      </c>
      <c r="I225" s="85">
        <v>8</v>
      </c>
      <c r="J225" s="85">
        <v>8</v>
      </c>
      <c r="K225" s="85">
        <v>8</v>
      </c>
      <c r="L225" s="85">
        <v>8</v>
      </c>
      <c r="M225" s="85">
        <v>8</v>
      </c>
      <c r="N225" s="85">
        <v>8</v>
      </c>
      <c r="O225" s="85">
        <v>8</v>
      </c>
      <c r="P225" s="85">
        <v>8</v>
      </c>
      <c r="Q225" s="85">
        <v>8</v>
      </c>
      <c r="R225" s="85">
        <v>8</v>
      </c>
      <c r="S225" s="85">
        <v>8</v>
      </c>
      <c r="T225" s="85">
        <v>8</v>
      </c>
      <c r="U225" s="85">
        <v>8</v>
      </c>
      <c r="V225" s="85">
        <v>8</v>
      </c>
      <c r="W225" s="85">
        <v>8</v>
      </c>
      <c r="X225" s="85">
        <v>8</v>
      </c>
      <c r="Y225" s="85">
        <v>8</v>
      </c>
      <c r="Z225" s="85">
        <v>8</v>
      </c>
      <c r="AA225" s="85">
        <v>8</v>
      </c>
      <c r="AB225" s="85">
        <v>8</v>
      </c>
      <c r="AC225" s="85">
        <v>8</v>
      </c>
      <c r="AD225" s="85">
        <v>8</v>
      </c>
      <c r="AE225" s="85">
        <v>8</v>
      </c>
      <c r="AF225" s="85">
        <v>8</v>
      </c>
      <c r="AG225" s="85">
        <v>8</v>
      </c>
      <c r="AH225" s="85">
        <v>8</v>
      </c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</row>
    <row r="226" spans="1:53" s="58" customFormat="1" x14ac:dyDescent="0.3">
      <c r="A226" s="57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</row>
    <row r="227" spans="1:53" s="58" customFormat="1" x14ac:dyDescent="0.3">
      <c r="A227" s="57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</row>
    <row r="228" spans="1:53" s="58" customFormat="1" x14ac:dyDescent="0.3">
      <c r="A228" s="57"/>
      <c r="B228" s="59"/>
      <c r="C228" s="59"/>
      <c r="D228" s="59"/>
      <c r="AO228" s="59"/>
      <c r="AP228" s="59"/>
      <c r="AQ228" s="59"/>
      <c r="AR228" s="59"/>
      <c r="AS228" s="59"/>
      <c r="AV228" s="59"/>
      <c r="AW228" s="59"/>
      <c r="AX228" s="59"/>
      <c r="AY228" s="59"/>
      <c r="AZ228" s="59"/>
      <c r="BA228" s="59"/>
    </row>
    <row r="229" spans="1:53" s="58" customFormat="1" x14ac:dyDescent="0.3">
      <c r="A229" s="57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</row>
    <row r="230" spans="1:53" s="58" customFormat="1" x14ac:dyDescent="0.3">
      <c r="A230" s="57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</row>
    <row r="231" spans="1:53" s="58" customFormat="1" x14ac:dyDescent="0.3">
      <c r="A231" s="57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</row>
    <row r="232" spans="1:53" s="58" customFormat="1" x14ac:dyDescent="0.3">
      <c r="A232" s="57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</row>
    <row r="233" spans="1:53" s="58" customFormat="1" x14ac:dyDescent="0.3">
      <c r="A233" s="57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</row>
    <row r="234" spans="1:53" s="58" customFormat="1" x14ac:dyDescent="0.3">
      <c r="A234" s="57"/>
      <c r="B234" s="59"/>
      <c r="C234" s="59"/>
      <c r="AM234" s="59"/>
      <c r="AN234" s="59"/>
      <c r="AO234" s="59"/>
      <c r="AP234" s="59"/>
      <c r="AQ234" s="59"/>
      <c r="AR234" s="59"/>
      <c r="AS234" s="59"/>
      <c r="AT234" s="59"/>
      <c r="AU234" s="59"/>
      <c r="AW234" s="59"/>
      <c r="AX234" s="59"/>
      <c r="AY234" s="59"/>
      <c r="AZ234" s="59"/>
      <c r="BA234" s="59"/>
    </row>
    <row r="235" spans="1:53" ht="15" thickBot="1" x14ac:dyDescent="0.35">
      <c r="A235" s="91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  <c r="BA235" s="92"/>
    </row>
    <row r="236" spans="1:53" ht="18" x14ac:dyDescent="0.35">
      <c r="A236" s="60" t="s">
        <v>1</v>
      </c>
      <c r="B236" s="61" t="s">
        <v>64</v>
      </c>
      <c r="C236" s="62" t="s">
        <v>65</v>
      </c>
      <c r="E236" s="64"/>
    </row>
    <row r="237" spans="1:53" ht="18.600000000000001" thickBot="1" x14ac:dyDescent="0.4">
      <c r="A237" s="66"/>
      <c r="B237" s="64"/>
      <c r="C237" s="67"/>
      <c r="D237" s="91"/>
      <c r="E237" s="93"/>
    </row>
    <row r="238" spans="1:53" x14ac:dyDescent="0.3">
      <c r="A238" s="69" t="s">
        <v>67</v>
      </c>
      <c r="B238" s="70">
        <v>1</v>
      </c>
      <c r="C238" s="70">
        <v>2</v>
      </c>
      <c r="D238" s="70">
        <v>3</v>
      </c>
      <c r="E238" s="70">
        <v>4</v>
      </c>
      <c r="F238" s="70">
        <v>5</v>
      </c>
      <c r="G238" s="70">
        <v>6</v>
      </c>
      <c r="H238" s="70">
        <v>7</v>
      </c>
      <c r="I238" s="70">
        <v>8</v>
      </c>
      <c r="J238" s="70">
        <v>9</v>
      </c>
      <c r="K238" s="70">
        <v>10</v>
      </c>
      <c r="L238" s="70">
        <v>11</v>
      </c>
      <c r="M238" s="70">
        <v>12</v>
      </c>
      <c r="N238" s="70">
        <v>13</v>
      </c>
      <c r="O238" s="70">
        <v>14</v>
      </c>
      <c r="P238" s="70">
        <v>15</v>
      </c>
      <c r="Q238" s="70">
        <v>16</v>
      </c>
      <c r="R238" s="70">
        <v>17</v>
      </c>
      <c r="S238" s="70">
        <v>18</v>
      </c>
      <c r="T238" s="70">
        <v>19</v>
      </c>
      <c r="U238" s="70">
        <v>20</v>
      </c>
      <c r="V238" s="70">
        <v>21</v>
      </c>
      <c r="W238" s="70">
        <v>22</v>
      </c>
      <c r="X238" s="70">
        <v>23</v>
      </c>
      <c r="Y238" s="70">
        <v>24</v>
      </c>
      <c r="Z238" s="70">
        <v>25</v>
      </c>
      <c r="AA238" s="70">
        <v>26</v>
      </c>
      <c r="AB238" s="70">
        <v>27</v>
      </c>
      <c r="AC238" s="70">
        <v>28</v>
      </c>
      <c r="AD238" s="70">
        <v>29</v>
      </c>
      <c r="AE238" s="70">
        <v>30</v>
      </c>
      <c r="AF238" s="70">
        <v>31</v>
      </c>
      <c r="AG238" s="70">
        <v>32</v>
      </c>
      <c r="AH238" s="70">
        <v>33</v>
      </c>
      <c r="AI238" s="70">
        <v>34</v>
      </c>
      <c r="AJ238" s="70">
        <v>35</v>
      </c>
      <c r="AK238" s="70">
        <v>36</v>
      </c>
      <c r="AL238" s="70">
        <v>37</v>
      </c>
      <c r="AM238" s="70">
        <v>38</v>
      </c>
      <c r="AN238" s="70">
        <v>39</v>
      </c>
      <c r="AO238" s="70">
        <v>40</v>
      </c>
      <c r="AP238" s="70">
        <v>41</v>
      </c>
      <c r="AQ238" s="70">
        <v>42</v>
      </c>
      <c r="AR238" s="70">
        <v>43</v>
      </c>
      <c r="AS238" s="70">
        <v>44</v>
      </c>
      <c r="AT238" s="70">
        <v>45</v>
      </c>
      <c r="AU238" s="70">
        <v>46</v>
      </c>
      <c r="AV238" s="70">
        <v>47</v>
      </c>
      <c r="AW238" s="70">
        <v>48</v>
      </c>
      <c r="AX238" s="70">
        <v>49</v>
      </c>
      <c r="AY238" s="70">
        <v>50</v>
      </c>
      <c r="AZ238" s="70">
        <v>51</v>
      </c>
      <c r="BA238" s="71">
        <v>52</v>
      </c>
    </row>
    <row r="239" spans="1:53" x14ac:dyDescent="0.3">
      <c r="A239" s="72" t="s">
        <v>68</v>
      </c>
      <c r="B239" s="73">
        <v>85</v>
      </c>
      <c r="C239" s="73">
        <v>85</v>
      </c>
      <c r="D239" s="73">
        <v>85</v>
      </c>
      <c r="E239" s="73">
        <v>85</v>
      </c>
      <c r="F239" s="73">
        <v>85</v>
      </c>
      <c r="G239" s="73">
        <v>85</v>
      </c>
      <c r="H239" s="73">
        <v>85</v>
      </c>
      <c r="I239" s="73">
        <v>85</v>
      </c>
      <c r="J239" s="73">
        <v>85</v>
      </c>
      <c r="K239" s="73">
        <v>85</v>
      </c>
      <c r="L239" s="73">
        <v>85</v>
      </c>
      <c r="M239" s="73">
        <v>85</v>
      </c>
      <c r="N239" s="73">
        <v>85</v>
      </c>
      <c r="O239" s="73">
        <v>85</v>
      </c>
      <c r="P239" s="73">
        <v>85</v>
      </c>
      <c r="Q239" s="73">
        <v>85</v>
      </c>
      <c r="R239" s="73">
        <v>85</v>
      </c>
      <c r="S239" s="73">
        <v>85</v>
      </c>
      <c r="T239" s="73">
        <v>85</v>
      </c>
      <c r="U239" s="73">
        <v>85</v>
      </c>
      <c r="V239" s="73">
        <v>85</v>
      </c>
      <c r="W239" s="73">
        <v>85</v>
      </c>
      <c r="X239" s="73">
        <v>85</v>
      </c>
      <c r="Y239" s="73">
        <v>85</v>
      </c>
      <c r="Z239" s="73">
        <v>85</v>
      </c>
      <c r="AA239" s="73">
        <v>85</v>
      </c>
      <c r="AB239" s="73">
        <v>85</v>
      </c>
      <c r="AC239" s="73">
        <v>85</v>
      </c>
      <c r="AD239" s="73">
        <v>85</v>
      </c>
      <c r="AE239" s="73">
        <v>85</v>
      </c>
      <c r="AF239" s="73">
        <v>85</v>
      </c>
      <c r="AG239" s="73">
        <v>85</v>
      </c>
      <c r="AH239" s="73">
        <v>85</v>
      </c>
      <c r="AI239" s="73">
        <v>85</v>
      </c>
      <c r="AJ239" s="73">
        <v>85</v>
      </c>
      <c r="AK239" s="73">
        <v>85</v>
      </c>
      <c r="AL239" s="73">
        <v>85</v>
      </c>
      <c r="AM239" s="73">
        <v>85</v>
      </c>
      <c r="AN239" s="73">
        <v>85</v>
      </c>
      <c r="AO239" s="73">
        <v>85</v>
      </c>
      <c r="AP239" s="73">
        <v>85</v>
      </c>
      <c r="AQ239" s="73">
        <v>85</v>
      </c>
      <c r="AR239" s="73">
        <v>85</v>
      </c>
      <c r="AS239" s="73">
        <v>85</v>
      </c>
      <c r="AT239" s="73">
        <v>85</v>
      </c>
      <c r="AU239" s="73">
        <v>85</v>
      </c>
      <c r="AV239" s="73">
        <v>85</v>
      </c>
      <c r="AW239" s="73"/>
      <c r="AX239" s="73"/>
      <c r="AY239" s="73"/>
      <c r="AZ239" s="73"/>
      <c r="BA239" s="73"/>
    </row>
    <row r="240" spans="1:53" ht="15" thickBot="1" x14ac:dyDescent="0.35">
      <c r="A240" s="74" t="s">
        <v>69</v>
      </c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6"/>
    </row>
    <row r="241" spans="1:53" x14ac:dyDescent="0.3">
      <c r="A241" s="77" t="s">
        <v>67</v>
      </c>
      <c r="B241" s="59">
        <v>1</v>
      </c>
      <c r="C241" s="59">
        <v>2</v>
      </c>
      <c r="D241" s="59">
        <v>3</v>
      </c>
      <c r="E241" s="59">
        <v>4</v>
      </c>
      <c r="F241" s="59">
        <v>5</v>
      </c>
      <c r="G241" s="59">
        <v>6</v>
      </c>
      <c r="H241" s="59">
        <v>7</v>
      </c>
      <c r="I241" s="59">
        <v>8</v>
      </c>
      <c r="J241" s="59">
        <v>9</v>
      </c>
      <c r="K241" s="59">
        <v>10</v>
      </c>
      <c r="L241" s="59">
        <v>11</v>
      </c>
      <c r="M241" s="59">
        <v>12</v>
      </c>
      <c r="N241" s="59">
        <v>13</v>
      </c>
      <c r="O241" s="59">
        <v>14</v>
      </c>
      <c r="P241" s="59">
        <v>15</v>
      </c>
      <c r="Q241" s="59">
        <v>16</v>
      </c>
      <c r="R241" s="59">
        <v>17</v>
      </c>
      <c r="S241" s="59">
        <v>18</v>
      </c>
      <c r="T241" s="59">
        <v>19</v>
      </c>
      <c r="U241" s="59">
        <v>20</v>
      </c>
      <c r="V241" s="59">
        <v>21</v>
      </c>
      <c r="W241" s="59">
        <v>22</v>
      </c>
      <c r="X241" s="59">
        <v>23</v>
      </c>
      <c r="Y241" s="59">
        <v>24</v>
      </c>
      <c r="Z241" s="59">
        <v>25</v>
      </c>
      <c r="AA241" s="59">
        <v>26</v>
      </c>
      <c r="AB241" s="59">
        <v>27</v>
      </c>
      <c r="AC241" s="59">
        <v>28</v>
      </c>
      <c r="AD241" s="59">
        <v>29</v>
      </c>
      <c r="AE241" s="59">
        <v>30</v>
      </c>
      <c r="AF241" s="59">
        <v>31</v>
      </c>
      <c r="AG241" s="59">
        <v>32</v>
      </c>
      <c r="AH241" s="59">
        <v>33</v>
      </c>
      <c r="AI241" s="59">
        <v>34</v>
      </c>
      <c r="AJ241" s="59">
        <v>35</v>
      </c>
      <c r="AK241" s="59">
        <v>36</v>
      </c>
      <c r="AL241" s="59">
        <v>37</v>
      </c>
      <c r="AM241" s="59">
        <v>38</v>
      </c>
      <c r="AN241" s="59">
        <v>39</v>
      </c>
      <c r="AO241" s="59">
        <v>40</v>
      </c>
      <c r="AP241" s="59">
        <v>41</v>
      </c>
      <c r="AQ241" s="59">
        <v>42</v>
      </c>
      <c r="AR241" s="59">
        <v>43</v>
      </c>
      <c r="AS241" s="59">
        <v>44</v>
      </c>
      <c r="AT241" s="59">
        <v>45</v>
      </c>
      <c r="AU241" s="59">
        <v>46</v>
      </c>
      <c r="AV241" s="59">
        <v>47</v>
      </c>
      <c r="AW241" s="70">
        <v>48</v>
      </c>
      <c r="AX241" s="70">
        <v>49</v>
      </c>
      <c r="AY241" s="70">
        <v>50</v>
      </c>
      <c r="AZ241" s="70">
        <v>51</v>
      </c>
      <c r="BA241" s="71">
        <v>52</v>
      </c>
    </row>
    <row r="242" spans="1:53" x14ac:dyDescent="0.3">
      <c r="A242" s="78" t="s">
        <v>70</v>
      </c>
      <c r="B242" s="79">
        <v>60</v>
      </c>
      <c r="C242" s="79">
        <f t="shared" ref="C242:AV242" si="239">B242</f>
        <v>60</v>
      </c>
      <c r="D242" s="79">
        <f t="shared" si="239"/>
        <v>60</v>
      </c>
      <c r="E242" s="79">
        <f t="shared" si="239"/>
        <v>60</v>
      </c>
      <c r="F242" s="79">
        <f t="shared" si="239"/>
        <v>60</v>
      </c>
      <c r="G242" s="79">
        <f t="shared" si="239"/>
        <v>60</v>
      </c>
      <c r="H242" s="79">
        <f t="shared" si="239"/>
        <v>60</v>
      </c>
      <c r="I242" s="79">
        <f t="shared" si="239"/>
        <v>60</v>
      </c>
      <c r="J242" s="79">
        <f t="shared" si="239"/>
        <v>60</v>
      </c>
      <c r="K242" s="79">
        <f t="shared" si="239"/>
        <v>60</v>
      </c>
      <c r="L242" s="79">
        <f t="shared" si="239"/>
        <v>60</v>
      </c>
      <c r="M242" s="79">
        <f t="shared" si="239"/>
        <v>60</v>
      </c>
      <c r="N242" s="79">
        <f t="shared" si="239"/>
        <v>60</v>
      </c>
      <c r="O242" s="79">
        <f t="shared" si="239"/>
        <v>60</v>
      </c>
      <c r="P242" s="79">
        <f t="shared" si="239"/>
        <v>60</v>
      </c>
      <c r="Q242" s="79">
        <f t="shared" si="239"/>
        <v>60</v>
      </c>
      <c r="R242" s="79">
        <f t="shared" si="239"/>
        <v>60</v>
      </c>
      <c r="S242" s="79">
        <f t="shared" si="239"/>
        <v>60</v>
      </c>
      <c r="T242" s="79">
        <f t="shared" si="239"/>
        <v>60</v>
      </c>
      <c r="U242" s="79">
        <f t="shared" si="239"/>
        <v>60</v>
      </c>
      <c r="V242" s="79">
        <f t="shared" si="239"/>
        <v>60</v>
      </c>
      <c r="W242" s="79">
        <f t="shared" si="239"/>
        <v>60</v>
      </c>
      <c r="X242" s="79">
        <f t="shared" si="239"/>
        <v>60</v>
      </c>
      <c r="Y242" s="79">
        <f t="shared" si="239"/>
        <v>60</v>
      </c>
      <c r="Z242" s="79">
        <f t="shared" si="239"/>
        <v>60</v>
      </c>
      <c r="AA242" s="79">
        <f t="shared" si="239"/>
        <v>60</v>
      </c>
      <c r="AB242" s="79">
        <f t="shared" si="239"/>
        <v>60</v>
      </c>
      <c r="AC242" s="79">
        <f t="shared" si="239"/>
        <v>60</v>
      </c>
      <c r="AD242" s="79">
        <f t="shared" si="239"/>
        <v>60</v>
      </c>
      <c r="AE242" s="79">
        <f t="shared" si="239"/>
        <v>60</v>
      </c>
      <c r="AF242" s="79">
        <f t="shared" si="239"/>
        <v>60</v>
      </c>
      <c r="AG242" s="79">
        <f t="shared" si="239"/>
        <v>60</v>
      </c>
      <c r="AH242" s="79">
        <f t="shared" si="239"/>
        <v>60</v>
      </c>
      <c r="AI242" s="79">
        <f t="shared" si="239"/>
        <v>60</v>
      </c>
      <c r="AJ242" s="79">
        <f t="shared" si="239"/>
        <v>60</v>
      </c>
      <c r="AK242" s="79">
        <f t="shared" si="239"/>
        <v>60</v>
      </c>
      <c r="AL242" s="79">
        <f t="shared" si="239"/>
        <v>60</v>
      </c>
      <c r="AM242" s="79">
        <f t="shared" si="239"/>
        <v>60</v>
      </c>
      <c r="AN242" s="79">
        <f t="shared" si="239"/>
        <v>60</v>
      </c>
      <c r="AO242" s="79">
        <f t="shared" si="239"/>
        <v>60</v>
      </c>
      <c r="AP242" s="79">
        <f t="shared" si="239"/>
        <v>60</v>
      </c>
      <c r="AQ242" s="79">
        <f t="shared" si="239"/>
        <v>60</v>
      </c>
      <c r="AR242" s="79">
        <f t="shared" si="239"/>
        <v>60</v>
      </c>
      <c r="AS242" s="79">
        <f t="shared" si="239"/>
        <v>60</v>
      </c>
      <c r="AT242" s="79">
        <f t="shared" si="239"/>
        <v>60</v>
      </c>
      <c r="AU242" s="79">
        <f t="shared" si="239"/>
        <v>60</v>
      </c>
      <c r="AV242" s="79">
        <f t="shared" si="239"/>
        <v>60</v>
      </c>
      <c r="AW242" s="79"/>
      <c r="AX242" s="79"/>
      <c r="AY242" s="79"/>
      <c r="AZ242" s="79"/>
      <c r="BA242" s="79"/>
    </row>
    <row r="243" spans="1:53" x14ac:dyDescent="0.3">
      <c r="A243" s="77" t="s">
        <v>71</v>
      </c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1"/>
    </row>
    <row r="244" spans="1:53" ht="48" customHeight="1" thickBot="1" x14ac:dyDescent="0.35">
      <c r="A244" s="74" t="s">
        <v>72</v>
      </c>
      <c r="B244" s="82"/>
      <c r="C244" s="7"/>
      <c r="D244" s="82"/>
      <c r="E244" s="75"/>
      <c r="F244" s="82"/>
      <c r="G244" s="82"/>
      <c r="H244" s="75"/>
      <c r="I244" s="75"/>
      <c r="J244" s="75"/>
      <c r="K244" s="75"/>
      <c r="L244" s="75"/>
      <c r="M244" s="75"/>
      <c r="N244" s="75"/>
      <c r="O244" s="82"/>
      <c r="P244" s="75"/>
      <c r="Q244" s="75"/>
      <c r="R244" s="75"/>
      <c r="S244" s="75"/>
      <c r="T244" s="82"/>
      <c r="U244" s="82"/>
      <c r="V244" s="75"/>
      <c r="W244" s="75"/>
      <c r="X244" s="75"/>
      <c r="Y244" s="75"/>
      <c r="Z244" s="75"/>
      <c r="AA244" s="82"/>
      <c r="AB244" s="82"/>
      <c r="AC244" s="82"/>
      <c r="AD244" s="75"/>
      <c r="AE244" s="75"/>
      <c r="AF244" s="75"/>
      <c r="AG244" s="75"/>
      <c r="AH244" s="75"/>
      <c r="AI244" s="82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82"/>
      <c r="BA244" s="76"/>
    </row>
    <row r="245" spans="1:53" s="58" customFormat="1" x14ac:dyDescent="0.3">
      <c r="A245" s="69" t="s">
        <v>73</v>
      </c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</row>
    <row r="246" spans="1:53" s="58" customFormat="1" x14ac:dyDescent="0.3">
      <c r="A246" s="83" t="s">
        <v>74</v>
      </c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</row>
    <row r="247" spans="1:53" s="58" customFormat="1" ht="15" thickBot="1" x14ac:dyDescent="0.35">
      <c r="A247" s="74" t="s">
        <v>75</v>
      </c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</row>
    <row r="248" spans="1:53" s="58" customFormat="1" x14ac:dyDescent="0.3">
      <c r="A248" s="57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BA248" s="59"/>
    </row>
    <row r="249" spans="1:53" s="58" customFormat="1" x14ac:dyDescent="0.3">
      <c r="A249" s="57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BA249" s="59"/>
    </row>
    <row r="250" spans="1:53" s="58" customFormat="1" x14ac:dyDescent="0.3">
      <c r="A250" s="57"/>
      <c r="B250" s="59"/>
      <c r="C250" s="59"/>
      <c r="AM250" s="59"/>
      <c r="AN250" s="59"/>
      <c r="AO250" s="59"/>
      <c r="AP250" s="59"/>
      <c r="AQ250" s="59"/>
      <c r="AR250" s="59"/>
      <c r="AS250" s="59"/>
      <c r="AT250" s="59"/>
      <c r="AU250" s="59"/>
      <c r="AW250" s="59"/>
      <c r="AX250" s="59"/>
      <c r="AY250" s="59"/>
      <c r="AZ250" s="59"/>
      <c r="BA250" s="59"/>
    </row>
    <row r="252" spans="1:53" ht="18" x14ac:dyDescent="0.35">
      <c r="A252" s="60" t="s">
        <v>1</v>
      </c>
      <c r="B252" s="61" t="s">
        <v>64</v>
      </c>
      <c r="C252" s="62" t="s">
        <v>65</v>
      </c>
      <c r="E252" s="64"/>
    </row>
    <row r="253" spans="1:53" ht="18.600000000000001" thickBot="1" x14ac:dyDescent="0.4">
      <c r="A253" s="66"/>
      <c r="B253" s="64"/>
      <c r="C253" s="67"/>
      <c r="D253" s="91"/>
      <c r="E253" s="93"/>
    </row>
    <row r="254" spans="1:53" x14ac:dyDescent="0.3">
      <c r="A254" s="69" t="s">
        <v>67</v>
      </c>
      <c r="B254" s="70">
        <v>1</v>
      </c>
      <c r="C254" s="70">
        <v>2</v>
      </c>
      <c r="D254" s="70">
        <v>3</v>
      </c>
      <c r="E254" s="70">
        <v>4</v>
      </c>
      <c r="F254" s="70">
        <v>5</v>
      </c>
      <c r="G254" s="70">
        <v>6</v>
      </c>
      <c r="H254" s="70">
        <v>7</v>
      </c>
      <c r="I254" s="70">
        <v>8</v>
      </c>
      <c r="J254" s="70">
        <v>9</v>
      </c>
      <c r="K254" s="70">
        <v>10</v>
      </c>
      <c r="L254" s="70">
        <v>11</v>
      </c>
      <c r="M254" s="70">
        <v>12</v>
      </c>
      <c r="N254" s="70">
        <v>13</v>
      </c>
      <c r="O254" s="70">
        <v>14</v>
      </c>
      <c r="P254" s="70">
        <v>15</v>
      </c>
      <c r="Q254" s="70">
        <v>16</v>
      </c>
      <c r="R254" s="70">
        <v>17</v>
      </c>
      <c r="S254" s="70">
        <v>18</v>
      </c>
      <c r="T254" s="70">
        <v>19</v>
      </c>
      <c r="U254" s="70">
        <v>20</v>
      </c>
      <c r="V254" s="70">
        <v>21</v>
      </c>
      <c r="W254" s="70">
        <v>22</v>
      </c>
      <c r="X254" s="70">
        <v>23</v>
      </c>
      <c r="Y254" s="70">
        <v>24</v>
      </c>
      <c r="Z254" s="70">
        <v>25</v>
      </c>
      <c r="AA254" s="70">
        <v>26</v>
      </c>
      <c r="AB254" s="70">
        <v>27</v>
      </c>
      <c r="AC254" s="70">
        <v>28</v>
      </c>
      <c r="AD254" s="70">
        <v>29</v>
      </c>
      <c r="AE254" s="70">
        <v>30</v>
      </c>
      <c r="AF254" s="70">
        <v>31</v>
      </c>
      <c r="AG254" s="70">
        <v>32</v>
      </c>
      <c r="AH254" s="70">
        <v>33</v>
      </c>
      <c r="AI254" s="70">
        <v>34</v>
      </c>
      <c r="AJ254" s="70">
        <v>35</v>
      </c>
      <c r="AK254" s="70">
        <v>36</v>
      </c>
      <c r="AL254" s="70">
        <v>37</v>
      </c>
      <c r="AM254" s="70">
        <v>38</v>
      </c>
      <c r="AN254" s="70">
        <v>39</v>
      </c>
      <c r="AO254" s="70">
        <v>40</v>
      </c>
      <c r="AP254" s="70">
        <v>41</v>
      </c>
      <c r="AQ254" s="70">
        <v>42</v>
      </c>
      <c r="AR254" s="70">
        <v>43</v>
      </c>
      <c r="AS254" s="70">
        <v>44</v>
      </c>
      <c r="AT254" s="70">
        <v>45</v>
      </c>
      <c r="AU254" s="70">
        <v>46</v>
      </c>
      <c r="AV254" s="70">
        <v>47</v>
      </c>
      <c r="AW254" s="70">
        <v>48</v>
      </c>
      <c r="AX254" s="70">
        <v>49</v>
      </c>
      <c r="AY254" s="70">
        <v>50</v>
      </c>
      <c r="AZ254" s="70">
        <v>51</v>
      </c>
      <c r="BA254" s="71">
        <v>52</v>
      </c>
    </row>
    <row r="255" spans="1:53" x14ac:dyDescent="0.3">
      <c r="A255" s="72" t="s">
        <v>68</v>
      </c>
      <c r="B255" s="73">
        <v>85</v>
      </c>
      <c r="C255" s="73">
        <v>85</v>
      </c>
      <c r="D255" s="73">
        <v>85</v>
      </c>
      <c r="E255" s="73">
        <v>85</v>
      </c>
      <c r="F255" s="73">
        <v>85</v>
      </c>
      <c r="G255" s="73">
        <v>85</v>
      </c>
      <c r="H255" s="73">
        <v>85</v>
      </c>
      <c r="I255" s="73">
        <v>85</v>
      </c>
      <c r="J255" s="73">
        <v>85</v>
      </c>
      <c r="K255" s="73">
        <v>85</v>
      </c>
      <c r="L255" s="73">
        <v>85</v>
      </c>
      <c r="M255" s="73">
        <v>85</v>
      </c>
      <c r="N255" s="73">
        <v>85</v>
      </c>
      <c r="O255" s="73">
        <v>85</v>
      </c>
      <c r="P255" s="73">
        <v>85</v>
      </c>
      <c r="Q255" s="73">
        <v>85</v>
      </c>
      <c r="R255" s="73">
        <v>85</v>
      </c>
      <c r="S255" s="73">
        <v>85</v>
      </c>
      <c r="T255" s="73">
        <v>85</v>
      </c>
      <c r="U255" s="73">
        <v>85</v>
      </c>
      <c r="V255" s="73">
        <v>85</v>
      </c>
      <c r="W255" s="73">
        <v>85</v>
      </c>
      <c r="X255" s="73">
        <v>85</v>
      </c>
      <c r="Y255" s="73">
        <v>85</v>
      </c>
      <c r="Z255" s="73">
        <v>85</v>
      </c>
      <c r="AA255" s="73">
        <v>85</v>
      </c>
      <c r="AB255" s="73">
        <v>85</v>
      </c>
      <c r="AC255" s="73">
        <v>85</v>
      </c>
      <c r="AD255" s="73">
        <v>85</v>
      </c>
      <c r="AE255" s="73">
        <v>85</v>
      </c>
      <c r="AF255" s="73">
        <v>85</v>
      </c>
      <c r="AG255" s="73">
        <v>85</v>
      </c>
      <c r="AH255" s="73">
        <v>85</v>
      </c>
      <c r="AI255" s="73">
        <v>85</v>
      </c>
      <c r="AJ255" s="73">
        <v>85</v>
      </c>
      <c r="AK255" s="73">
        <v>85</v>
      </c>
      <c r="AL255" s="73">
        <v>85</v>
      </c>
      <c r="AM255" s="73">
        <v>85</v>
      </c>
      <c r="AN255" s="73">
        <v>85</v>
      </c>
      <c r="AO255" s="73">
        <v>85</v>
      </c>
      <c r="AP255" s="73">
        <v>85</v>
      </c>
      <c r="AQ255" s="73">
        <v>85</v>
      </c>
      <c r="AR255" s="73">
        <v>85</v>
      </c>
      <c r="AS255" s="73">
        <v>85</v>
      </c>
      <c r="AT255" s="73">
        <v>85</v>
      </c>
      <c r="AU255" s="73">
        <v>85</v>
      </c>
      <c r="AV255" s="73">
        <v>85</v>
      </c>
      <c r="AW255" s="73"/>
      <c r="AX255" s="73"/>
      <c r="AY255" s="73"/>
      <c r="AZ255" s="73"/>
      <c r="BA255" s="73"/>
    </row>
    <row r="256" spans="1:53" ht="15" thickBot="1" x14ac:dyDescent="0.35">
      <c r="A256" s="74" t="s">
        <v>69</v>
      </c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6"/>
    </row>
    <row r="257" spans="1:53" x14ac:dyDescent="0.3">
      <c r="A257" s="77" t="s">
        <v>67</v>
      </c>
      <c r="B257" s="59">
        <v>1</v>
      </c>
      <c r="C257" s="59">
        <v>2</v>
      </c>
      <c r="D257" s="59">
        <v>3</v>
      </c>
      <c r="E257" s="59">
        <v>4</v>
      </c>
      <c r="F257" s="59">
        <v>5</v>
      </c>
      <c r="G257" s="59">
        <v>6</v>
      </c>
      <c r="H257" s="59">
        <v>7</v>
      </c>
      <c r="I257" s="59">
        <v>8</v>
      </c>
      <c r="J257" s="59">
        <v>9</v>
      </c>
      <c r="K257" s="59">
        <v>10</v>
      </c>
      <c r="L257" s="59">
        <v>11</v>
      </c>
      <c r="M257" s="59">
        <v>12</v>
      </c>
      <c r="N257" s="59">
        <v>13</v>
      </c>
      <c r="O257" s="59">
        <v>14</v>
      </c>
      <c r="P257" s="59">
        <v>15</v>
      </c>
      <c r="Q257" s="59">
        <v>16</v>
      </c>
      <c r="R257" s="59">
        <v>17</v>
      </c>
      <c r="S257" s="59">
        <v>18</v>
      </c>
      <c r="T257" s="59">
        <v>19</v>
      </c>
      <c r="U257" s="59">
        <v>20</v>
      </c>
      <c r="V257" s="59">
        <v>21</v>
      </c>
      <c r="W257" s="59">
        <v>22</v>
      </c>
      <c r="X257" s="59">
        <v>23</v>
      </c>
      <c r="Y257" s="59">
        <v>24</v>
      </c>
      <c r="Z257" s="59">
        <v>25</v>
      </c>
      <c r="AA257" s="59">
        <v>26</v>
      </c>
      <c r="AB257" s="59">
        <v>27</v>
      </c>
      <c r="AC257" s="59">
        <v>28</v>
      </c>
      <c r="AD257" s="59">
        <v>29</v>
      </c>
      <c r="AE257" s="59">
        <v>30</v>
      </c>
      <c r="AF257" s="59">
        <v>31</v>
      </c>
      <c r="AG257" s="59">
        <v>32</v>
      </c>
      <c r="AH257" s="59">
        <v>33</v>
      </c>
      <c r="AI257" s="59">
        <v>34</v>
      </c>
      <c r="AJ257" s="59">
        <v>35</v>
      </c>
      <c r="AK257" s="59">
        <v>36</v>
      </c>
      <c r="AL257" s="59">
        <v>37</v>
      </c>
      <c r="AM257" s="59">
        <v>38</v>
      </c>
      <c r="AN257" s="59">
        <v>39</v>
      </c>
      <c r="AO257" s="59">
        <v>40</v>
      </c>
      <c r="AP257" s="59">
        <v>41</v>
      </c>
      <c r="AQ257" s="59">
        <v>42</v>
      </c>
      <c r="AR257" s="59">
        <v>43</v>
      </c>
      <c r="AS257" s="59">
        <v>44</v>
      </c>
      <c r="AT257" s="59">
        <v>45</v>
      </c>
      <c r="AU257" s="59">
        <v>46</v>
      </c>
      <c r="AV257" s="59">
        <v>47</v>
      </c>
      <c r="AW257" s="70">
        <v>48</v>
      </c>
      <c r="AX257" s="70">
        <v>49</v>
      </c>
      <c r="AY257" s="70">
        <v>50</v>
      </c>
      <c r="AZ257" s="70">
        <v>51</v>
      </c>
      <c r="BA257" s="71">
        <v>52</v>
      </c>
    </row>
    <row r="258" spans="1:53" x14ac:dyDescent="0.3">
      <c r="A258" s="78" t="s">
        <v>70</v>
      </c>
      <c r="B258" s="79">
        <v>60</v>
      </c>
      <c r="C258" s="79">
        <f t="shared" ref="C258:AV258" si="240">B258</f>
        <v>60</v>
      </c>
      <c r="D258" s="79">
        <f t="shared" si="240"/>
        <v>60</v>
      </c>
      <c r="E258" s="79">
        <f t="shared" si="240"/>
        <v>60</v>
      </c>
      <c r="F258" s="79">
        <f t="shared" si="240"/>
        <v>60</v>
      </c>
      <c r="G258" s="79">
        <f t="shared" si="240"/>
        <v>60</v>
      </c>
      <c r="H258" s="79">
        <f t="shared" si="240"/>
        <v>60</v>
      </c>
      <c r="I258" s="79">
        <f t="shared" si="240"/>
        <v>60</v>
      </c>
      <c r="J258" s="79">
        <f t="shared" si="240"/>
        <v>60</v>
      </c>
      <c r="K258" s="79">
        <f t="shared" si="240"/>
        <v>60</v>
      </c>
      <c r="L258" s="79">
        <f t="shared" si="240"/>
        <v>60</v>
      </c>
      <c r="M258" s="79">
        <f t="shared" si="240"/>
        <v>60</v>
      </c>
      <c r="N258" s="79">
        <f t="shared" si="240"/>
        <v>60</v>
      </c>
      <c r="O258" s="79">
        <f t="shared" si="240"/>
        <v>60</v>
      </c>
      <c r="P258" s="79">
        <f t="shared" si="240"/>
        <v>60</v>
      </c>
      <c r="Q258" s="79">
        <f t="shared" si="240"/>
        <v>60</v>
      </c>
      <c r="R258" s="79">
        <f t="shared" si="240"/>
        <v>60</v>
      </c>
      <c r="S258" s="79">
        <f t="shared" si="240"/>
        <v>60</v>
      </c>
      <c r="T258" s="79">
        <f t="shared" si="240"/>
        <v>60</v>
      </c>
      <c r="U258" s="79">
        <f t="shared" si="240"/>
        <v>60</v>
      </c>
      <c r="V258" s="79">
        <f t="shared" si="240"/>
        <v>60</v>
      </c>
      <c r="W258" s="79">
        <f t="shared" si="240"/>
        <v>60</v>
      </c>
      <c r="X258" s="79">
        <f t="shared" si="240"/>
        <v>60</v>
      </c>
      <c r="Y258" s="79">
        <f t="shared" si="240"/>
        <v>60</v>
      </c>
      <c r="Z258" s="79">
        <f t="shared" si="240"/>
        <v>60</v>
      </c>
      <c r="AA258" s="79">
        <f t="shared" si="240"/>
        <v>60</v>
      </c>
      <c r="AB258" s="79">
        <f t="shared" si="240"/>
        <v>60</v>
      </c>
      <c r="AC258" s="79">
        <f t="shared" si="240"/>
        <v>60</v>
      </c>
      <c r="AD258" s="79">
        <f t="shared" si="240"/>
        <v>60</v>
      </c>
      <c r="AE258" s="79">
        <f t="shared" si="240"/>
        <v>60</v>
      </c>
      <c r="AF258" s="79">
        <f t="shared" si="240"/>
        <v>60</v>
      </c>
      <c r="AG258" s="79">
        <f t="shared" si="240"/>
        <v>60</v>
      </c>
      <c r="AH258" s="79">
        <f t="shared" si="240"/>
        <v>60</v>
      </c>
      <c r="AI258" s="79">
        <f t="shared" si="240"/>
        <v>60</v>
      </c>
      <c r="AJ258" s="79">
        <f t="shared" si="240"/>
        <v>60</v>
      </c>
      <c r="AK258" s="79">
        <f t="shared" si="240"/>
        <v>60</v>
      </c>
      <c r="AL258" s="79">
        <f t="shared" si="240"/>
        <v>60</v>
      </c>
      <c r="AM258" s="79">
        <f t="shared" si="240"/>
        <v>60</v>
      </c>
      <c r="AN258" s="79">
        <f t="shared" si="240"/>
        <v>60</v>
      </c>
      <c r="AO258" s="79">
        <f t="shared" si="240"/>
        <v>60</v>
      </c>
      <c r="AP258" s="79">
        <f t="shared" si="240"/>
        <v>60</v>
      </c>
      <c r="AQ258" s="79">
        <f t="shared" si="240"/>
        <v>60</v>
      </c>
      <c r="AR258" s="79">
        <f t="shared" si="240"/>
        <v>60</v>
      </c>
      <c r="AS258" s="79">
        <f t="shared" si="240"/>
        <v>60</v>
      </c>
      <c r="AT258" s="79">
        <f t="shared" si="240"/>
        <v>60</v>
      </c>
      <c r="AU258" s="79">
        <f t="shared" si="240"/>
        <v>60</v>
      </c>
      <c r="AV258" s="79">
        <f t="shared" si="240"/>
        <v>60</v>
      </c>
      <c r="AW258" s="79"/>
      <c r="AX258" s="79"/>
      <c r="AY258" s="79"/>
      <c r="AZ258" s="79"/>
      <c r="BA258" s="79"/>
    </row>
    <row r="259" spans="1:53" x14ac:dyDescent="0.3">
      <c r="A259" s="77" t="s">
        <v>71</v>
      </c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1"/>
    </row>
    <row r="260" spans="1:53" ht="45" customHeight="1" thickBot="1" x14ac:dyDescent="0.35">
      <c r="A260" s="74" t="s">
        <v>72</v>
      </c>
      <c r="B260" s="7"/>
      <c r="C260" s="75"/>
      <c r="D260" s="7"/>
      <c r="E260" s="75"/>
      <c r="F260" s="82"/>
      <c r="G260" s="82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82"/>
      <c r="BA260" s="76"/>
    </row>
    <row r="261" spans="1:53" s="58" customFormat="1" x14ac:dyDescent="0.3">
      <c r="A261" s="69" t="s">
        <v>73</v>
      </c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</row>
    <row r="262" spans="1:53" s="58" customFormat="1" x14ac:dyDescent="0.3">
      <c r="A262" s="83" t="s">
        <v>74</v>
      </c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</row>
    <row r="263" spans="1:53" s="58" customFormat="1" ht="15" thickBot="1" x14ac:dyDescent="0.35">
      <c r="A263" s="74" t="s">
        <v>75</v>
      </c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</row>
    <row r="267" spans="1:53" s="58" customFormat="1" ht="15" thickBot="1" x14ac:dyDescent="0.35">
      <c r="A267" s="57"/>
      <c r="AO267" s="59"/>
    </row>
    <row r="268" spans="1:53" ht="18" x14ac:dyDescent="0.35">
      <c r="A268" s="60" t="s">
        <v>1</v>
      </c>
      <c r="B268" s="61" t="s">
        <v>64</v>
      </c>
      <c r="C268" s="62" t="s">
        <v>65</v>
      </c>
      <c r="E268" s="64"/>
      <c r="F268" s="65"/>
      <c r="G268" s="63">
        <v>60</v>
      </c>
    </row>
    <row r="269" spans="1:53" ht="18.600000000000001" thickBot="1" x14ac:dyDescent="0.4">
      <c r="A269" s="66"/>
      <c r="B269" s="64"/>
      <c r="C269" s="67"/>
      <c r="D269" s="68"/>
    </row>
    <row r="270" spans="1:53" x14ac:dyDescent="0.3">
      <c r="A270" s="69" t="s">
        <v>67</v>
      </c>
      <c r="B270" s="70">
        <v>1</v>
      </c>
      <c r="C270" s="70">
        <v>2</v>
      </c>
      <c r="D270" s="70">
        <v>3</v>
      </c>
      <c r="E270" s="70">
        <v>4</v>
      </c>
      <c r="F270" s="70">
        <v>5</v>
      </c>
      <c r="G270" s="70">
        <v>6</v>
      </c>
      <c r="H270" s="70">
        <v>7</v>
      </c>
      <c r="I270" s="70">
        <v>8</v>
      </c>
      <c r="J270" s="70">
        <v>9</v>
      </c>
      <c r="K270" s="70">
        <v>10</v>
      </c>
      <c r="L270" s="70">
        <v>11</v>
      </c>
      <c r="M270" s="70">
        <v>12</v>
      </c>
      <c r="N270" s="70">
        <v>13</v>
      </c>
      <c r="O270" s="70">
        <v>14</v>
      </c>
      <c r="P270" s="70">
        <v>15</v>
      </c>
      <c r="Q270" s="70">
        <v>16</v>
      </c>
      <c r="R270" s="70">
        <v>17</v>
      </c>
      <c r="S270" s="70">
        <v>18</v>
      </c>
      <c r="T270" s="70">
        <v>19</v>
      </c>
      <c r="U270" s="70">
        <v>20</v>
      </c>
      <c r="V270" s="70">
        <v>21</v>
      </c>
      <c r="W270" s="70">
        <v>22</v>
      </c>
      <c r="X270" s="70">
        <v>23</v>
      </c>
      <c r="Y270" s="70">
        <v>24</v>
      </c>
      <c r="Z270" s="70">
        <v>25</v>
      </c>
      <c r="AA270" s="70">
        <v>26</v>
      </c>
      <c r="AB270" s="70">
        <v>27</v>
      </c>
      <c r="AC270" s="70">
        <v>28</v>
      </c>
      <c r="AD270" s="70">
        <v>29</v>
      </c>
      <c r="AE270" s="70">
        <v>30</v>
      </c>
      <c r="AF270" s="70">
        <v>31</v>
      </c>
      <c r="AG270" s="70">
        <v>32</v>
      </c>
      <c r="AH270" s="70">
        <v>33</v>
      </c>
      <c r="AI270" s="70">
        <v>34</v>
      </c>
      <c r="AJ270" s="70">
        <v>35</v>
      </c>
      <c r="AK270" s="70">
        <v>36</v>
      </c>
      <c r="AL270" s="70">
        <v>37</v>
      </c>
      <c r="AM270" s="70">
        <v>38</v>
      </c>
      <c r="AN270" s="70">
        <v>39</v>
      </c>
      <c r="AO270" s="70">
        <v>40</v>
      </c>
      <c r="AP270" s="70">
        <v>41</v>
      </c>
      <c r="AQ270" s="70">
        <v>42</v>
      </c>
      <c r="AR270" s="70">
        <v>43</v>
      </c>
      <c r="AS270" s="70">
        <v>44</v>
      </c>
      <c r="AT270" s="70">
        <v>45</v>
      </c>
      <c r="AU270" s="70">
        <v>46</v>
      </c>
      <c r="AV270" s="70">
        <v>47</v>
      </c>
      <c r="AW270" s="70">
        <v>48</v>
      </c>
      <c r="AX270" s="70">
        <v>49</v>
      </c>
      <c r="AY270" s="70">
        <v>50</v>
      </c>
      <c r="AZ270" s="70">
        <v>51</v>
      </c>
      <c r="BA270" s="71">
        <v>52</v>
      </c>
    </row>
    <row r="271" spans="1:53" x14ac:dyDescent="0.3">
      <c r="A271" s="72" t="s">
        <v>68</v>
      </c>
      <c r="B271" s="73">
        <v>85</v>
      </c>
      <c r="C271" s="73">
        <v>85</v>
      </c>
      <c r="D271" s="73">
        <v>85</v>
      </c>
      <c r="E271" s="73">
        <v>85</v>
      </c>
      <c r="F271" s="73">
        <v>85</v>
      </c>
      <c r="G271" s="73">
        <v>85</v>
      </c>
      <c r="H271" s="73">
        <v>85</v>
      </c>
      <c r="I271" s="73">
        <v>85</v>
      </c>
      <c r="J271" s="73">
        <v>85</v>
      </c>
      <c r="K271" s="73">
        <v>85</v>
      </c>
      <c r="L271" s="73">
        <v>85</v>
      </c>
      <c r="M271" s="73">
        <v>85</v>
      </c>
      <c r="N271" s="73">
        <v>85</v>
      </c>
      <c r="O271" s="73">
        <v>85</v>
      </c>
      <c r="P271" s="73">
        <v>85</v>
      </c>
      <c r="Q271" s="73">
        <v>85</v>
      </c>
      <c r="R271" s="73">
        <v>85</v>
      </c>
      <c r="S271" s="73">
        <v>85</v>
      </c>
      <c r="T271" s="73">
        <v>85</v>
      </c>
      <c r="U271" s="73">
        <v>85</v>
      </c>
      <c r="V271" s="73">
        <v>85</v>
      </c>
      <c r="W271" s="73">
        <v>85</v>
      </c>
      <c r="X271" s="73">
        <v>85</v>
      </c>
      <c r="Y271" s="73">
        <v>85</v>
      </c>
      <c r="Z271" s="73">
        <v>85</v>
      </c>
      <c r="AA271" s="73">
        <v>85</v>
      </c>
      <c r="AB271" s="73">
        <v>85</v>
      </c>
      <c r="AC271" s="73">
        <v>85</v>
      </c>
      <c r="AD271" s="73">
        <v>85</v>
      </c>
      <c r="AE271" s="73">
        <v>85</v>
      </c>
      <c r="AF271" s="73">
        <v>85</v>
      </c>
      <c r="AG271" s="73">
        <v>85</v>
      </c>
      <c r="AH271" s="73">
        <v>85</v>
      </c>
      <c r="AI271" s="73">
        <v>85</v>
      </c>
      <c r="AJ271" s="73">
        <v>85</v>
      </c>
      <c r="AK271" s="73">
        <v>85</v>
      </c>
      <c r="AL271" s="73">
        <v>85</v>
      </c>
      <c r="AM271" s="73">
        <v>85</v>
      </c>
      <c r="AN271" s="73">
        <v>85</v>
      </c>
      <c r="AO271" s="73">
        <v>85</v>
      </c>
      <c r="AP271" s="73">
        <v>85</v>
      </c>
      <c r="AQ271" s="73">
        <v>85</v>
      </c>
      <c r="AR271" s="73">
        <v>85</v>
      </c>
      <c r="AS271" s="73">
        <v>85</v>
      </c>
      <c r="AT271" s="73">
        <v>85</v>
      </c>
      <c r="AU271" s="73">
        <v>85</v>
      </c>
      <c r="AV271" s="73">
        <v>85</v>
      </c>
      <c r="AW271" s="73"/>
      <c r="AX271" s="73"/>
      <c r="AY271" s="73"/>
      <c r="AZ271" s="73"/>
      <c r="BA271" s="73"/>
    </row>
    <row r="272" spans="1:53" ht="15" thickBot="1" x14ac:dyDescent="0.35">
      <c r="A272" s="74" t="s">
        <v>69</v>
      </c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6"/>
    </row>
    <row r="273" spans="1:53" x14ac:dyDescent="0.3">
      <c r="A273" s="77" t="s">
        <v>67</v>
      </c>
      <c r="B273" s="59">
        <v>1</v>
      </c>
      <c r="C273" s="59">
        <v>2</v>
      </c>
      <c r="D273" s="59">
        <v>3</v>
      </c>
      <c r="E273" s="59">
        <v>4</v>
      </c>
      <c r="F273" s="59">
        <v>5</v>
      </c>
      <c r="G273" s="59">
        <v>6</v>
      </c>
      <c r="H273" s="59">
        <v>7</v>
      </c>
      <c r="I273" s="59">
        <v>8</v>
      </c>
      <c r="J273" s="59">
        <v>9</v>
      </c>
      <c r="K273" s="59">
        <v>10</v>
      </c>
      <c r="L273" s="59">
        <v>11</v>
      </c>
      <c r="M273" s="59">
        <v>12</v>
      </c>
      <c r="N273" s="59">
        <v>13</v>
      </c>
      <c r="O273" s="59">
        <v>14</v>
      </c>
      <c r="P273" s="59">
        <v>15</v>
      </c>
      <c r="Q273" s="59">
        <v>16</v>
      </c>
      <c r="R273" s="59">
        <v>17</v>
      </c>
      <c r="S273" s="59">
        <v>18</v>
      </c>
      <c r="T273" s="59">
        <v>19</v>
      </c>
      <c r="U273" s="59">
        <v>20</v>
      </c>
      <c r="V273" s="59">
        <v>21</v>
      </c>
      <c r="W273" s="59">
        <v>22</v>
      </c>
      <c r="X273" s="59">
        <v>23</v>
      </c>
      <c r="Y273" s="59">
        <v>24</v>
      </c>
      <c r="Z273" s="59">
        <v>25</v>
      </c>
      <c r="AA273" s="59">
        <v>26</v>
      </c>
      <c r="AB273" s="59">
        <v>27</v>
      </c>
      <c r="AC273" s="59">
        <v>28</v>
      </c>
      <c r="AD273" s="59">
        <v>29</v>
      </c>
      <c r="AE273" s="59">
        <v>30</v>
      </c>
      <c r="AF273" s="59">
        <v>31</v>
      </c>
      <c r="AG273" s="59">
        <v>32</v>
      </c>
      <c r="AH273" s="59">
        <v>33</v>
      </c>
      <c r="AI273" s="59">
        <v>34</v>
      </c>
      <c r="AJ273" s="59">
        <v>35</v>
      </c>
      <c r="AK273" s="59">
        <v>36</v>
      </c>
      <c r="AL273" s="59">
        <v>37</v>
      </c>
      <c r="AM273" s="59">
        <v>38</v>
      </c>
      <c r="AN273" s="59">
        <v>39</v>
      </c>
      <c r="AO273" s="59">
        <v>40</v>
      </c>
      <c r="AP273" s="59">
        <v>41</v>
      </c>
      <c r="AQ273" s="59">
        <v>42</v>
      </c>
      <c r="AR273" s="59">
        <v>43</v>
      </c>
      <c r="AS273" s="59">
        <v>44</v>
      </c>
      <c r="AT273" s="59">
        <v>45</v>
      </c>
      <c r="AU273" s="59">
        <v>46</v>
      </c>
      <c r="AV273" s="59">
        <v>47</v>
      </c>
      <c r="AW273" s="70">
        <v>48</v>
      </c>
      <c r="AX273" s="70">
        <v>49</v>
      </c>
      <c r="AY273" s="70">
        <v>50</v>
      </c>
      <c r="AZ273" s="70">
        <v>51</v>
      </c>
      <c r="BA273" s="71">
        <v>52</v>
      </c>
    </row>
    <row r="274" spans="1:53" x14ac:dyDescent="0.3">
      <c r="A274" s="78" t="s">
        <v>70</v>
      </c>
      <c r="B274" s="79">
        <f>G268</f>
        <v>60</v>
      </c>
      <c r="C274" s="79">
        <f t="shared" ref="C274:AV274" si="241">B274</f>
        <v>60</v>
      </c>
      <c r="D274" s="79">
        <f t="shared" si="241"/>
        <v>60</v>
      </c>
      <c r="E274" s="79">
        <f t="shared" si="241"/>
        <v>60</v>
      </c>
      <c r="F274" s="79">
        <f t="shared" si="241"/>
        <v>60</v>
      </c>
      <c r="G274" s="79">
        <f t="shared" si="241"/>
        <v>60</v>
      </c>
      <c r="H274" s="79">
        <f t="shared" si="241"/>
        <v>60</v>
      </c>
      <c r="I274" s="79">
        <f t="shared" si="241"/>
        <v>60</v>
      </c>
      <c r="J274" s="79">
        <f t="shared" si="241"/>
        <v>60</v>
      </c>
      <c r="K274" s="79">
        <f t="shared" si="241"/>
        <v>60</v>
      </c>
      <c r="L274" s="79">
        <f t="shared" si="241"/>
        <v>60</v>
      </c>
      <c r="M274" s="79">
        <f t="shared" si="241"/>
        <v>60</v>
      </c>
      <c r="N274" s="79">
        <f t="shared" si="241"/>
        <v>60</v>
      </c>
      <c r="O274" s="79">
        <f t="shared" si="241"/>
        <v>60</v>
      </c>
      <c r="P274" s="79">
        <f t="shared" si="241"/>
        <v>60</v>
      </c>
      <c r="Q274" s="79">
        <f t="shared" si="241"/>
        <v>60</v>
      </c>
      <c r="R274" s="79">
        <f t="shared" si="241"/>
        <v>60</v>
      </c>
      <c r="S274" s="79">
        <f t="shared" si="241"/>
        <v>60</v>
      </c>
      <c r="T274" s="79">
        <f t="shared" si="241"/>
        <v>60</v>
      </c>
      <c r="U274" s="79">
        <f t="shared" si="241"/>
        <v>60</v>
      </c>
      <c r="V274" s="79">
        <f t="shared" si="241"/>
        <v>60</v>
      </c>
      <c r="W274" s="79">
        <f t="shared" si="241"/>
        <v>60</v>
      </c>
      <c r="X274" s="79">
        <f t="shared" si="241"/>
        <v>60</v>
      </c>
      <c r="Y274" s="79">
        <f t="shared" si="241"/>
        <v>60</v>
      </c>
      <c r="Z274" s="79">
        <f t="shared" si="241"/>
        <v>60</v>
      </c>
      <c r="AA274" s="79">
        <f t="shared" si="241"/>
        <v>60</v>
      </c>
      <c r="AB274" s="79">
        <f t="shared" si="241"/>
        <v>60</v>
      </c>
      <c r="AC274" s="79">
        <f t="shared" si="241"/>
        <v>60</v>
      </c>
      <c r="AD274" s="79">
        <f t="shared" si="241"/>
        <v>60</v>
      </c>
      <c r="AE274" s="79">
        <f t="shared" si="241"/>
        <v>60</v>
      </c>
      <c r="AF274" s="79">
        <f t="shared" si="241"/>
        <v>60</v>
      </c>
      <c r="AG274" s="79">
        <f t="shared" si="241"/>
        <v>60</v>
      </c>
      <c r="AH274" s="79">
        <f t="shared" si="241"/>
        <v>60</v>
      </c>
      <c r="AI274" s="79">
        <f t="shared" si="241"/>
        <v>60</v>
      </c>
      <c r="AJ274" s="79">
        <f t="shared" si="241"/>
        <v>60</v>
      </c>
      <c r="AK274" s="79">
        <f t="shared" si="241"/>
        <v>60</v>
      </c>
      <c r="AL274" s="79">
        <f t="shared" si="241"/>
        <v>60</v>
      </c>
      <c r="AM274" s="79">
        <f t="shared" si="241"/>
        <v>60</v>
      </c>
      <c r="AN274" s="79">
        <f t="shared" si="241"/>
        <v>60</v>
      </c>
      <c r="AO274" s="79">
        <f t="shared" si="241"/>
        <v>60</v>
      </c>
      <c r="AP274" s="79">
        <f t="shared" si="241"/>
        <v>60</v>
      </c>
      <c r="AQ274" s="79">
        <f t="shared" si="241"/>
        <v>60</v>
      </c>
      <c r="AR274" s="79">
        <f t="shared" si="241"/>
        <v>60</v>
      </c>
      <c r="AS274" s="79">
        <f t="shared" si="241"/>
        <v>60</v>
      </c>
      <c r="AT274" s="79">
        <f t="shared" si="241"/>
        <v>60</v>
      </c>
      <c r="AU274" s="79">
        <f t="shared" si="241"/>
        <v>60</v>
      </c>
      <c r="AV274" s="79">
        <f t="shared" si="241"/>
        <v>60</v>
      </c>
      <c r="AW274" s="79"/>
      <c r="AX274" s="79"/>
      <c r="AY274" s="79"/>
      <c r="AZ274" s="79"/>
      <c r="BA274" s="79"/>
    </row>
    <row r="275" spans="1:53" x14ac:dyDescent="0.3">
      <c r="A275" s="77" t="s">
        <v>71</v>
      </c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1"/>
    </row>
    <row r="276" spans="1:53" ht="84.75" customHeight="1" thickBot="1" x14ac:dyDescent="0.35">
      <c r="A276" s="74" t="s">
        <v>72</v>
      </c>
      <c r="B276" s="75"/>
      <c r="C276" s="75"/>
      <c r="D276" s="75"/>
      <c r="E276" s="75"/>
      <c r="F276" s="82"/>
      <c r="G276" s="75"/>
      <c r="H276" s="75"/>
      <c r="I276" s="75"/>
      <c r="J276" s="75"/>
      <c r="K276" s="75"/>
      <c r="L276" s="82"/>
      <c r="M276" s="75"/>
      <c r="N276" s="75"/>
      <c r="O276" s="82"/>
      <c r="P276" s="75"/>
      <c r="Q276" s="75"/>
      <c r="R276" s="82"/>
      <c r="S276" s="75"/>
      <c r="T276" s="82"/>
      <c r="U276" s="82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82"/>
      <c r="AQ276" s="75"/>
      <c r="AR276" s="75"/>
      <c r="AS276" s="75"/>
      <c r="AT276" s="82"/>
      <c r="AU276" s="82"/>
      <c r="AV276" s="75"/>
      <c r="AW276" s="75"/>
      <c r="AX276" s="75"/>
      <c r="AY276" s="75"/>
      <c r="AZ276" s="82"/>
      <c r="BA276" s="76"/>
    </row>
    <row r="277" spans="1:53" s="58" customFormat="1" x14ac:dyDescent="0.3">
      <c r="A277" s="69" t="s">
        <v>73</v>
      </c>
      <c r="B277" s="70">
        <v>9</v>
      </c>
      <c r="C277" s="70">
        <v>9</v>
      </c>
      <c r="D277" s="70">
        <v>9</v>
      </c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</row>
    <row r="278" spans="1:53" s="58" customFormat="1" x14ac:dyDescent="0.3">
      <c r="A278" s="83" t="s">
        <v>74</v>
      </c>
      <c r="B278" s="84">
        <v>9</v>
      </c>
      <c r="C278" s="84">
        <v>9</v>
      </c>
      <c r="D278" s="84">
        <v>9</v>
      </c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</row>
    <row r="279" spans="1:53" s="58" customFormat="1" ht="15" thickBot="1" x14ac:dyDescent="0.35">
      <c r="A279" s="74" t="s">
        <v>75</v>
      </c>
      <c r="B279" s="85">
        <v>8</v>
      </c>
      <c r="C279" s="85">
        <v>8</v>
      </c>
      <c r="D279" s="85">
        <v>8</v>
      </c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</row>
    <row r="280" spans="1:53" s="58" customFormat="1" x14ac:dyDescent="0.3">
      <c r="A280" s="57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</row>
    <row r="281" spans="1:53" s="58" customFormat="1" x14ac:dyDescent="0.3">
      <c r="A281" s="57"/>
      <c r="B281" s="59"/>
      <c r="C281" s="59"/>
      <c r="AM281" s="59"/>
      <c r="AN281" s="59"/>
      <c r="AO281" s="59"/>
      <c r="AP281" s="59"/>
      <c r="AQ281" s="59"/>
      <c r="AR281" s="59"/>
      <c r="AS281" s="59"/>
      <c r="AT281" s="59"/>
      <c r="AU281" s="59"/>
      <c r="AW281" s="59"/>
      <c r="AX281" s="59"/>
      <c r="AY281" s="59"/>
      <c r="AZ281" s="59"/>
      <c r="BA281" s="59"/>
    </row>
    <row r="284" spans="1:53" ht="18" x14ac:dyDescent="0.35">
      <c r="A284" s="60" t="s">
        <v>1</v>
      </c>
      <c r="B284" s="61" t="s">
        <v>64</v>
      </c>
      <c r="C284" s="62" t="s">
        <v>65</v>
      </c>
      <c r="E284" s="64"/>
    </row>
    <row r="285" spans="1:53" ht="18.600000000000001" thickBot="1" x14ac:dyDescent="0.4">
      <c r="A285" s="66"/>
      <c r="B285" s="64"/>
      <c r="C285" s="67"/>
      <c r="D285" s="68"/>
    </row>
    <row r="286" spans="1:53" x14ac:dyDescent="0.3">
      <c r="A286" s="69" t="s">
        <v>67</v>
      </c>
      <c r="B286" s="70">
        <v>1</v>
      </c>
      <c r="C286" s="70">
        <v>2</v>
      </c>
      <c r="D286" s="70">
        <v>3</v>
      </c>
      <c r="E286" s="70">
        <v>4</v>
      </c>
      <c r="F286" s="70">
        <v>5</v>
      </c>
      <c r="G286" s="70">
        <v>6</v>
      </c>
      <c r="H286" s="70">
        <v>7</v>
      </c>
      <c r="I286" s="70">
        <v>8</v>
      </c>
      <c r="J286" s="70">
        <v>9</v>
      </c>
      <c r="K286" s="70">
        <v>10</v>
      </c>
      <c r="L286" s="70">
        <v>11</v>
      </c>
      <c r="M286" s="70">
        <v>12</v>
      </c>
      <c r="N286" s="70">
        <v>13</v>
      </c>
      <c r="O286" s="70">
        <v>14</v>
      </c>
      <c r="P286" s="70">
        <v>15</v>
      </c>
      <c r="Q286" s="70">
        <v>16</v>
      </c>
      <c r="R286" s="70">
        <v>17</v>
      </c>
      <c r="S286" s="70">
        <v>18</v>
      </c>
      <c r="T286" s="70">
        <v>19</v>
      </c>
      <c r="U286" s="70">
        <v>20</v>
      </c>
      <c r="V286" s="70">
        <v>21</v>
      </c>
      <c r="W286" s="70">
        <v>22</v>
      </c>
      <c r="X286" s="70">
        <v>23</v>
      </c>
      <c r="Y286" s="70">
        <v>24</v>
      </c>
      <c r="Z286" s="70">
        <v>25</v>
      </c>
      <c r="AA286" s="70">
        <v>26</v>
      </c>
      <c r="AB286" s="70">
        <v>27</v>
      </c>
      <c r="AC286" s="70">
        <v>28</v>
      </c>
      <c r="AD286" s="70">
        <v>29</v>
      </c>
      <c r="AE286" s="70">
        <v>30</v>
      </c>
      <c r="AF286" s="70">
        <v>31</v>
      </c>
      <c r="AG286" s="70">
        <v>32</v>
      </c>
      <c r="AH286" s="70">
        <v>33</v>
      </c>
      <c r="AI286" s="70">
        <v>34</v>
      </c>
      <c r="AJ286" s="70">
        <v>35</v>
      </c>
      <c r="AK286" s="70">
        <v>36</v>
      </c>
      <c r="AL286" s="70">
        <v>37</v>
      </c>
      <c r="AM286" s="70">
        <v>38</v>
      </c>
      <c r="AN286" s="70">
        <v>39</v>
      </c>
      <c r="AO286" s="70">
        <v>40</v>
      </c>
      <c r="AP286" s="70">
        <v>41</v>
      </c>
      <c r="AQ286" s="70">
        <v>42</v>
      </c>
      <c r="AR286" s="70">
        <v>43</v>
      </c>
      <c r="AS286" s="70">
        <v>44</v>
      </c>
      <c r="AT286" s="70">
        <v>45</v>
      </c>
      <c r="AU286" s="70">
        <v>46</v>
      </c>
      <c r="AV286" s="70">
        <v>47</v>
      </c>
      <c r="AW286" s="70">
        <v>48</v>
      </c>
      <c r="AX286" s="70">
        <v>49</v>
      </c>
      <c r="AY286" s="70">
        <v>50</v>
      </c>
      <c r="AZ286" s="70">
        <v>51</v>
      </c>
      <c r="BA286" s="71">
        <v>52</v>
      </c>
    </row>
    <row r="287" spans="1:53" x14ac:dyDescent="0.3">
      <c r="A287" s="72" t="s">
        <v>68</v>
      </c>
      <c r="B287" s="73">
        <v>85</v>
      </c>
      <c r="C287" s="73">
        <v>85</v>
      </c>
      <c r="D287" s="73">
        <v>85</v>
      </c>
      <c r="E287" s="73">
        <v>85</v>
      </c>
      <c r="F287" s="73">
        <v>85</v>
      </c>
      <c r="G287" s="73">
        <v>85</v>
      </c>
      <c r="H287" s="73">
        <v>85</v>
      </c>
      <c r="I287" s="73">
        <v>85</v>
      </c>
      <c r="J287" s="73">
        <v>85</v>
      </c>
      <c r="K287" s="73">
        <v>85</v>
      </c>
      <c r="L287" s="73">
        <v>85</v>
      </c>
      <c r="M287" s="73">
        <v>85</v>
      </c>
      <c r="N287" s="73">
        <v>85</v>
      </c>
      <c r="O287" s="73">
        <v>85</v>
      </c>
      <c r="P287" s="73">
        <v>85</v>
      </c>
      <c r="Q287" s="73">
        <v>85</v>
      </c>
      <c r="R287" s="73">
        <v>85</v>
      </c>
      <c r="S287" s="73">
        <v>85</v>
      </c>
      <c r="T287" s="73">
        <v>85</v>
      </c>
      <c r="U287" s="73">
        <v>85</v>
      </c>
      <c r="V287" s="73">
        <v>85</v>
      </c>
      <c r="W287" s="73">
        <v>85</v>
      </c>
      <c r="X287" s="73">
        <v>85</v>
      </c>
      <c r="Y287" s="73">
        <v>85</v>
      </c>
      <c r="Z287" s="73">
        <v>85</v>
      </c>
      <c r="AA287" s="73">
        <v>85</v>
      </c>
      <c r="AB287" s="73">
        <v>85</v>
      </c>
      <c r="AC287" s="73">
        <v>85</v>
      </c>
      <c r="AD287" s="73">
        <v>85</v>
      </c>
      <c r="AE287" s="73">
        <v>85</v>
      </c>
      <c r="AF287" s="73">
        <v>85</v>
      </c>
      <c r="AG287" s="73">
        <v>85</v>
      </c>
      <c r="AH287" s="73">
        <v>85</v>
      </c>
      <c r="AI287" s="73">
        <v>85</v>
      </c>
      <c r="AJ287" s="73">
        <v>85</v>
      </c>
      <c r="AK287" s="73">
        <v>85</v>
      </c>
      <c r="AL287" s="73">
        <v>85</v>
      </c>
      <c r="AM287" s="73">
        <v>85</v>
      </c>
      <c r="AN287" s="73">
        <v>85</v>
      </c>
      <c r="AO287" s="73">
        <v>85</v>
      </c>
      <c r="AP287" s="73">
        <v>85</v>
      </c>
      <c r="AQ287" s="73">
        <v>85</v>
      </c>
      <c r="AR287" s="73">
        <v>85</v>
      </c>
      <c r="AS287" s="73">
        <v>85</v>
      </c>
      <c r="AT287" s="73">
        <v>85</v>
      </c>
      <c r="AU287" s="73">
        <v>85</v>
      </c>
      <c r="AV287" s="73">
        <v>85</v>
      </c>
      <c r="AW287" s="73"/>
      <c r="AX287" s="73"/>
      <c r="AY287" s="73"/>
      <c r="AZ287" s="73"/>
      <c r="BA287" s="73"/>
    </row>
    <row r="288" spans="1:53" ht="15" thickBot="1" x14ac:dyDescent="0.35">
      <c r="A288" s="74" t="s">
        <v>69</v>
      </c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6"/>
    </row>
    <row r="289" spans="1:53" x14ac:dyDescent="0.3">
      <c r="A289" s="77" t="s">
        <v>67</v>
      </c>
      <c r="B289" s="59">
        <v>1</v>
      </c>
      <c r="C289" s="59">
        <v>2</v>
      </c>
      <c r="D289" s="59">
        <v>3</v>
      </c>
      <c r="E289" s="59">
        <v>4</v>
      </c>
      <c r="F289" s="59">
        <v>5</v>
      </c>
      <c r="G289" s="59">
        <v>6</v>
      </c>
      <c r="H289" s="59">
        <v>7</v>
      </c>
      <c r="I289" s="59">
        <v>8</v>
      </c>
      <c r="J289" s="59">
        <v>9</v>
      </c>
      <c r="K289" s="59">
        <v>10</v>
      </c>
      <c r="L289" s="59">
        <v>11</v>
      </c>
      <c r="M289" s="59">
        <v>12</v>
      </c>
      <c r="N289" s="59">
        <v>13</v>
      </c>
      <c r="O289" s="59">
        <v>14</v>
      </c>
      <c r="P289" s="59">
        <v>15</v>
      </c>
      <c r="Q289" s="59">
        <v>16</v>
      </c>
      <c r="R289" s="59">
        <v>17</v>
      </c>
      <c r="S289" s="59">
        <v>18</v>
      </c>
      <c r="T289" s="59">
        <v>19</v>
      </c>
      <c r="U289" s="59">
        <v>20</v>
      </c>
      <c r="V289" s="59">
        <v>21</v>
      </c>
      <c r="W289" s="59">
        <v>22</v>
      </c>
      <c r="X289" s="59">
        <v>23</v>
      </c>
      <c r="Y289" s="59">
        <v>24</v>
      </c>
      <c r="Z289" s="59">
        <v>25</v>
      </c>
      <c r="AA289" s="59">
        <v>26</v>
      </c>
      <c r="AB289" s="59">
        <v>27</v>
      </c>
      <c r="AC289" s="59">
        <v>28</v>
      </c>
      <c r="AD289" s="59">
        <v>29</v>
      </c>
      <c r="AE289" s="59">
        <v>30</v>
      </c>
      <c r="AF289" s="59">
        <v>31</v>
      </c>
      <c r="AG289" s="59">
        <v>32</v>
      </c>
      <c r="AH289" s="59">
        <v>33</v>
      </c>
      <c r="AI289" s="59">
        <v>34</v>
      </c>
      <c r="AJ289" s="59">
        <v>35</v>
      </c>
      <c r="AK289" s="59">
        <v>36</v>
      </c>
      <c r="AL289" s="59">
        <v>37</v>
      </c>
      <c r="AM289" s="59">
        <v>38</v>
      </c>
      <c r="AN289" s="59">
        <v>39</v>
      </c>
      <c r="AO289" s="59">
        <v>40</v>
      </c>
      <c r="AP289" s="59">
        <v>41</v>
      </c>
      <c r="AQ289" s="59">
        <v>42</v>
      </c>
      <c r="AR289" s="59">
        <v>43</v>
      </c>
      <c r="AS289" s="59">
        <v>44</v>
      </c>
      <c r="AT289" s="59">
        <v>45</v>
      </c>
      <c r="AU289" s="59">
        <v>46</v>
      </c>
      <c r="AV289" s="59">
        <v>47</v>
      </c>
      <c r="AW289" s="70">
        <v>48</v>
      </c>
      <c r="AX289" s="70">
        <v>49</v>
      </c>
      <c r="AY289" s="70">
        <v>50</v>
      </c>
      <c r="AZ289" s="70">
        <v>51</v>
      </c>
      <c r="BA289" s="71">
        <v>52</v>
      </c>
    </row>
    <row r="290" spans="1:53" x14ac:dyDescent="0.3">
      <c r="A290" s="78" t="s">
        <v>70</v>
      </c>
      <c r="B290" s="79">
        <v>60</v>
      </c>
      <c r="C290" s="79">
        <f t="shared" ref="C290:AR290" si="242">B290</f>
        <v>60</v>
      </c>
      <c r="D290" s="79">
        <f t="shared" si="242"/>
        <v>60</v>
      </c>
      <c r="E290" s="79">
        <f t="shared" si="242"/>
        <v>60</v>
      </c>
      <c r="F290" s="79">
        <f t="shared" si="242"/>
        <v>60</v>
      </c>
      <c r="G290" s="79">
        <f t="shared" si="242"/>
        <v>60</v>
      </c>
      <c r="H290" s="79">
        <f t="shared" si="242"/>
        <v>60</v>
      </c>
      <c r="I290" s="79">
        <f t="shared" si="242"/>
        <v>60</v>
      </c>
      <c r="J290" s="79">
        <f t="shared" si="242"/>
        <v>60</v>
      </c>
      <c r="K290" s="79">
        <f t="shared" si="242"/>
        <v>60</v>
      </c>
      <c r="L290" s="79">
        <f t="shared" si="242"/>
        <v>60</v>
      </c>
      <c r="M290" s="79">
        <f t="shared" si="242"/>
        <v>60</v>
      </c>
      <c r="N290" s="79">
        <f t="shared" si="242"/>
        <v>60</v>
      </c>
      <c r="O290" s="79">
        <f t="shared" si="242"/>
        <v>60</v>
      </c>
      <c r="P290" s="79">
        <f t="shared" si="242"/>
        <v>60</v>
      </c>
      <c r="Q290" s="79">
        <f t="shared" si="242"/>
        <v>60</v>
      </c>
      <c r="R290" s="79">
        <f t="shared" si="242"/>
        <v>60</v>
      </c>
      <c r="S290" s="79">
        <f t="shared" si="242"/>
        <v>60</v>
      </c>
      <c r="T290" s="79">
        <f t="shared" si="242"/>
        <v>60</v>
      </c>
      <c r="U290" s="79">
        <f t="shared" si="242"/>
        <v>60</v>
      </c>
      <c r="V290" s="79">
        <f t="shared" si="242"/>
        <v>60</v>
      </c>
      <c r="W290" s="79">
        <f t="shared" si="242"/>
        <v>60</v>
      </c>
      <c r="X290" s="79">
        <f t="shared" si="242"/>
        <v>60</v>
      </c>
      <c r="Y290" s="79">
        <f t="shared" si="242"/>
        <v>60</v>
      </c>
      <c r="Z290" s="79">
        <f t="shared" si="242"/>
        <v>60</v>
      </c>
      <c r="AA290" s="79">
        <f t="shared" si="242"/>
        <v>60</v>
      </c>
      <c r="AB290" s="79">
        <f t="shared" si="242"/>
        <v>60</v>
      </c>
      <c r="AC290" s="79">
        <f t="shared" si="242"/>
        <v>60</v>
      </c>
      <c r="AD290" s="79">
        <f t="shared" si="242"/>
        <v>60</v>
      </c>
      <c r="AE290" s="79">
        <f t="shared" si="242"/>
        <v>60</v>
      </c>
      <c r="AF290" s="79">
        <f t="shared" si="242"/>
        <v>60</v>
      </c>
      <c r="AG290" s="79">
        <f t="shared" si="242"/>
        <v>60</v>
      </c>
      <c r="AH290" s="79">
        <f t="shared" si="242"/>
        <v>60</v>
      </c>
      <c r="AI290" s="79">
        <f t="shared" si="242"/>
        <v>60</v>
      </c>
      <c r="AJ290" s="79">
        <f t="shared" si="242"/>
        <v>60</v>
      </c>
      <c r="AK290" s="79">
        <f t="shared" si="242"/>
        <v>60</v>
      </c>
      <c r="AL290" s="79">
        <f t="shared" si="242"/>
        <v>60</v>
      </c>
      <c r="AM290" s="79">
        <f t="shared" si="242"/>
        <v>60</v>
      </c>
      <c r="AN290" s="79">
        <f t="shared" si="242"/>
        <v>60</v>
      </c>
      <c r="AO290" s="79">
        <f t="shared" si="242"/>
        <v>60</v>
      </c>
      <c r="AP290" s="79">
        <f t="shared" si="242"/>
        <v>60</v>
      </c>
      <c r="AQ290" s="79">
        <f t="shared" si="242"/>
        <v>60</v>
      </c>
      <c r="AR290" s="79">
        <f t="shared" si="242"/>
        <v>60</v>
      </c>
      <c r="AS290" s="79">
        <v>60</v>
      </c>
      <c r="AT290" s="79">
        <f>AS290</f>
        <v>60</v>
      </c>
      <c r="AU290" s="79">
        <f>AT290</f>
        <v>60</v>
      </c>
      <c r="AV290" s="79">
        <f>AU290</f>
        <v>60</v>
      </c>
      <c r="AW290" s="79"/>
      <c r="AX290" s="79"/>
      <c r="AY290" s="79"/>
      <c r="AZ290" s="79"/>
      <c r="BA290" s="79"/>
    </row>
    <row r="291" spans="1:53" x14ac:dyDescent="0.3">
      <c r="A291" s="77" t="s">
        <v>71</v>
      </c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1"/>
    </row>
    <row r="292" spans="1:53" ht="59.4" customHeight="1" thickBot="1" x14ac:dyDescent="0.35">
      <c r="A292" s="74" t="s">
        <v>72</v>
      </c>
      <c r="B292" s="75"/>
      <c r="C292" s="75"/>
      <c r="D292" s="75"/>
      <c r="E292" s="75"/>
      <c r="F292" s="75"/>
      <c r="G292" s="75"/>
      <c r="H292" s="75"/>
      <c r="I292" s="82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82"/>
      <c r="AD292" s="82"/>
      <c r="AE292" s="75"/>
      <c r="AF292" s="75"/>
      <c r="AG292" s="75"/>
      <c r="AH292" s="75"/>
      <c r="AI292" s="82"/>
      <c r="AJ292" s="75"/>
      <c r="AK292" s="75"/>
      <c r="AL292" s="75"/>
      <c r="AM292" s="82"/>
      <c r="AN292" s="75"/>
      <c r="AO292" s="75"/>
      <c r="AP292" s="82"/>
      <c r="AQ292" s="75"/>
      <c r="AR292" s="82"/>
      <c r="AS292" s="75"/>
      <c r="AT292" s="75"/>
      <c r="AU292" s="75"/>
      <c r="AV292" s="75"/>
      <c r="AW292" s="75"/>
      <c r="AX292" s="75"/>
      <c r="AY292" s="75"/>
      <c r="AZ292" s="75"/>
      <c r="BA292" s="76"/>
    </row>
    <row r="293" spans="1:53" s="58" customFormat="1" x14ac:dyDescent="0.3">
      <c r="A293" s="69" t="s">
        <v>73</v>
      </c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</row>
    <row r="294" spans="1:53" s="58" customFormat="1" x14ac:dyDescent="0.3">
      <c r="A294" s="83" t="s">
        <v>74</v>
      </c>
      <c r="B294" s="84"/>
      <c r="C294" s="84"/>
      <c r="D294" s="84"/>
      <c r="E294" s="84"/>
      <c r="F294" s="84"/>
      <c r="G294" s="84"/>
      <c r="H294" s="84"/>
      <c r="I294" s="86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</row>
    <row r="295" spans="1:53" s="58" customFormat="1" ht="15" thickBot="1" x14ac:dyDescent="0.35">
      <c r="A295" s="74" t="s">
        <v>75</v>
      </c>
      <c r="B295" s="85"/>
      <c r="C295" s="85"/>
      <c r="D295" s="85"/>
      <c r="E295" s="85"/>
      <c r="F295" s="85"/>
      <c r="G295" s="85"/>
      <c r="H295" s="85"/>
      <c r="I295" s="87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</row>
    <row r="296" spans="1:53" s="58" customFormat="1" x14ac:dyDescent="0.3">
      <c r="A296" s="57"/>
      <c r="B296" s="59"/>
      <c r="C296" s="59"/>
      <c r="D296" s="59"/>
      <c r="E296" s="59"/>
      <c r="F296" s="59"/>
      <c r="G296" s="59"/>
      <c r="H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</row>
    <row r="298" spans="1:53" s="58" customFormat="1" x14ac:dyDescent="0.3">
      <c r="A298" s="57"/>
      <c r="AO298" s="59"/>
    </row>
    <row r="300" spans="1:53" ht="18" x14ac:dyDescent="0.35">
      <c r="A300" s="60" t="s">
        <v>1</v>
      </c>
      <c r="B300" s="61" t="s">
        <v>64</v>
      </c>
      <c r="C300" s="62" t="s">
        <v>65</v>
      </c>
      <c r="E300" s="64"/>
    </row>
    <row r="301" spans="1:53" ht="18.600000000000001" thickBot="1" x14ac:dyDescent="0.4">
      <c r="A301" s="66"/>
      <c r="B301" s="64"/>
      <c r="C301" s="67"/>
      <c r="D301" s="68"/>
    </row>
    <row r="302" spans="1:53" x14ac:dyDescent="0.3">
      <c r="A302" s="69" t="s">
        <v>67</v>
      </c>
      <c r="B302" s="70">
        <v>1</v>
      </c>
      <c r="C302" s="70">
        <v>2</v>
      </c>
      <c r="D302" s="70">
        <v>3</v>
      </c>
      <c r="E302" s="70">
        <v>4</v>
      </c>
      <c r="F302" s="70">
        <v>5</v>
      </c>
      <c r="G302" s="70">
        <v>6</v>
      </c>
      <c r="H302" s="70">
        <v>7</v>
      </c>
      <c r="I302" s="70">
        <v>8</v>
      </c>
      <c r="J302" s="70">
        <v>9</v>
      </c>
      <c r="K302" s="70">
        <v>10</v>
      </c>
      <c r="L302" s="70">
        <v>11</v>
      </c>
      <c r="M302" s="70">
        <v>12</v>
      </c>
      <c r="N302" s="70">
        <v>13</v>
      </c>
      <c r="O302" s="70">
        <v>14</v>
      </c>
      <c r="P302" s="70">
        <v>15</v>
      </c>
      <c r="Q302" s="70">
        <v>16</v>
      </c>
      <c r="R302" s="70">
        <v>17</v>
      </c>
      <c r="S302" s="70">
        <v>18</v>
      </c>
      <c r="T302" s="70">
        <v>19</v>
      </c>
      <c r="U302" s="70">
        <v>20</v>
      </c>
      <c r="V302" s="70">
        <v>21</v>
      </c>
      <c r="W302" s="70">
        <v>22</v>
      </c>
      <c r="X302" s="70">
        <v>23</v>
      </c>
      <c r="Y302" s="70">
        <v>24</v>
      </c>
      <c r="Z302" s="70">
        <v>25</v>
      </c>
      <c r="AA302" s="70">
        <v>26</v>
      </c>
      <c r="AB302" s="70">
        <v>27</v>
      </c>
      <c r="AC302" s="70">
        <v>28</v>
      </c>
      <c r="AD302" s="70">
        <v>29</v>
      </c>
      <c r="AE302" s="70">
        <v>30</v>
      </c>
      <c r="AF302" s="70">
        <v>31</v>
      </c>
      <c r="AG302" s="70">
        <v>32</v>
      </c>
      <c r="AH302" s="70">
        <v>33</v>
      </c>
      <c r="AI302" s="70">
        <v>34</v>
      </c>
      <c r="AJ302" s="70">
        <v>35</v>
      </c>
      <c r="AK302" s="70">
        <v>36</v>
      </c>
      <c r="AL302" s="70">
        <v>37</v>
      </c>
      <c r="AM302" s="70">
        <v>38</v>
      </c>
      <c r="AN302" s="70">
        <v>39</v>
      </c>
      <c r="AO302" s="70">
        <v>40</v>
      </c>
      <c r="AP302" s="70">
        <v>41</v>
      </c>
      <c r="AQ302" s="70">
        <v>42</v>
      </c>
      <c r="AR302" s="70">
        <v>43</v>
      </c>
      <c r="AS302" s="70">
        <v>44</v>
      </c>
      <c r="AT302" s="70">
        <v>45</v>
      </c>
      <c r="AU302" s="70">
        <v>46</v>
      </c>
      <c r="AV302" s="70">
        <v>47</v>
      </c>
      <c r="AW302" s="70">
        <v>48</v>
      </c>
      <c r="AX302" s="70">
        <v>49</v>
      </c>
      <c r="AY302" s="70">
        <v>50</v>
      </c>
      <c r="AZ302" s="70">
        <v>51</v>
      </c>
      <c r="BA302" s="71">
        <v>52</v>
      </c>
    </row>
    <row r="303" spans="1:53" ht="13.95" customHeight="1" x14ac:dyDescent="0.3">
      <c r="A303" s="72" t="s">
        <v>68</v>
      </c>
      <c r="B303" s="73">
        <v>85</v>
      </c>
      <c r="C303" s="73">
        <v>85</v>
      </c>
      <c r="D303" s="73">
        <v>85</v>
      </c>
      <c r="E303" s="73">
        <v>85</v>
      </c>
      <c r="F303" s="73">
        <v>85</v>
      </c>
      <c r="G303" s="73">
        <v>85</v>
      </c>
      <c r="H303" s="73">
        <v>85</v>
      </c>
      <c r="I303" s="73">
        <v>85</v>
      </c>
      <c r="J303" s="73">
        <v>85</v>
      </c>
      <c r="K303" s="73">
        <v>85</v>
      </c>
      <c r="L303" s="73">
        <v>85</v>
      </c>
      <c r="M303" s="73">
        <v>85</v>
      </c>
      <c r="N303" s="73">
        <v>85</v>
      </c>
      <c r="O303" s="73">
        <v>85</v>
      </c>
      <c r="P303" s="73">
        <v>85</v>
      </c>
      <c r="Q303" s="73">
        <v>85</v>
      </c>
      <c r="R303" s="73">
        <v>85</v>
      </c>
      <c r="S303" s="73">
        <v>85</v>
      </c>
      <c r="T303" s="73">
        <v>85</v>
      </c>
      <c r="U303" s="73">
        <v>85</v>
      </c>
      <c r="V303" s="73">
        <v>85</v>
      </c>
      <c r="W303" s="73">
        <v>85</v>
      </c>
      <c r="X303" s="73">
        <v>85</v>
      </c>
      <c r="Y303" s="73">
        <v>85</v>
      </c>
      <c r="Z303" s="73">
        <v>85</v>
      </c>
      <c r="AA303" s="73">
        <v>85</v>
      </c>
      <c r="AB303" s="73">
        <v>85</v>
      </c>
      <c r="AC303" s="73">
        <v>85</v>
      </c>
      <c r="AD303" s="73">
        <v>85</v>
      </c>
      <c r="AE303" s="73">
        <v>85</v>
      </c>
      <c r="AF303" s="73">
        <v>85</v>
      </c>
      <c r="AG303" s="73">
        <v>85</v>
      </c>
      <c r="AH303" s="73">
        <v>85</v>
      </c>
      <c r="AI303" s="73">
        <v>85</v>
      </c>
      <c r="AJ303" s="73">
        <v>85</v>
      </c>
      <c r="AK303" s="73">
        <v>85</v>
      </c>
      <c r="AL303" s="73">
        <v>85</v>
      </c>
      <c r="AM303" s="73">
        <v>85</v>
      </c>
      <c r="AN303" s="73">
        <v>85</v>
      </c>
      <c r="AO303" s="73">
        <v>85</v>
      </c>
      <c r="AP303" s="73">
        <v>85</v>
      </c>
      <c r="AQ303" s="73">
        <v>85</v>
      </c>
      <c r="AR303" s="73">
        <v>85</v>
      </c>
      <c r="AS303" s="73">
        <v>85</v>
      </c>
      <c r="AT303" s="73">
        <v>85</v>
      </c>
      <c r="AU303" s="73">
        <v>85</v>
      </c>
      <c r="AV303" s="73">
        <v>85</v>
      </c>
      <c r="AW303" s="73"/>
      <c r="AX303" s="73"/>
      <c r="AY303" s="73"/>
      <c r="AZ303" s="73"/>
      <c r="BA303" s="73"/>
    </row>
    <row r="304" spans="1:53" ht="15" thickBot="1" x14ac:dyDescent="0.35">
      <c r="A304" s="74" t="s">
        <v>69</v>
      </c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6"/>
    </row>
    <row r="305" spans="1:53" x14ac:dyDescent="0.3">
      <c r="A305" s="77" t="s">
        <v>67</v>
      </c>
      <c r="B305" s="59">
        <v>1</v>
      </c>
      <c r="C305" s="59">
        <v>2</v>
      </c>
      <c r="D305" s="59">
        <v>3</v>
      </c>
      <c r="E305" s="59">
        <v>4</v>
      </c>
      <c r="F305" s="59">
        <v>5</v>
      </c>
      <c r="G305" s="59">
        <v>6</v>
      </c>
      <c r="H305" s="59">
        <v>7</v>
      </c>
      <c r="I305" s="59">
        <v>8</v>
      </c>
      <c r="J305" s="59">
        <v>9</v>
      </c>
      <c r="K305" s="59">
        <v>10</v>
      </c>
      <c r="L305" s="59">
        <v>11</v>
      </c>
      <c r="M305" s="59">
        <v>12</v>
      </c>
      <c r="N305" s="59">
        <v>13</v>
      </c>
      <c r="O305" s="59">
        <v>14</v>
      </c>
      <c r="P305" s="59">
        <v>15</v>
      </c>
      <c r="Q305" s="59">
        <v>16</v>
      </c>
      <c r="R305" s="59">
        <v>17</v>
      </c>
      <c r="S305" s="59">
        <v>18</v>
      </c>
      <c r="T305" s="59">
        <v>19</v>
      </c>
      <c r="U305" s="59">
        <v>20</v>
      </c>
      <c r="V305" s="59">
        <v>21</v>
      </c>
      <c r="W305" s="59">
        <v>22</v>
      </c>
      <c r="X305" s="59">
        <v>23</v>
      </c>
      <c r="Y305" s="59">
        <v>24</v>
      </c>
      <c r="Z305" s="59">
        <v>25</v>
      </c>
      <c r="AA305" s="59">
        <v>26</v>
      </c>
      <c r="AB305" s="59">
        <v>27</v>
      </c>
      <c r="AC305" s="59">
        <v>28</v>
      </c>
      <c r="AD305" s="59">
        <v>29</v>
      </c>
      <c r="AE305" s="59">
        <v>30</v>
      </c>
      <c r="AF305" s="59">
        <v>31</v>
      </c>
      <c r="AG305" s="59">
        <v>32</v>
      </c>
      <c r="AH305" s="59">
        <v>33</v>
      </c>
      <c r="AI305" s="59">
        <v>34</v>
      </c>
      <c r="AJ305" s="59">
        <v>35</v>
      </c>
      <c r="AK305" s="59">
        <v>36</v>
      </c>
      <c r="AL305" s="59">
        <v>37</v>
      </c>
      <c r="AM305" s="59">
        <v>38</v>
      </c>
      <c r="AN305" s="59">
        <v>39</v>
      </c>
      <c r="AO305" s="59">
        <v>40</v>
      </c>
      <c r="AP305" s="59">
        <v>41</v>
      </c>
      <c r="AQ305" s="59">
        <v>42</v>
      </c>
      <c r="AR305" s="59">
        <v>43</v>
      </c>
      <c r="AS305" s="59">
        <v>44</v>
      </c>
      <c r="AT305" s="59">
        <v>45</v>
      </c>
      <c r="AU305" s="59">
        <v>46</v>
      </c>
      <c r="AV305" s="59">
        <v>47</v>
      </c>
      <c r="AW305" s="70">
        <v>48</v>
      </c>
      <c r="AX305" s="70">
        <v>49</v>
      </c>
      <c r="AY305" s="70">
        <v>50</v>
      </c>
      <c r="AZ305" s="70">
        <v>51</v>
      </c>
      <c r="BA305" s="71">
        <v>52</v>
      </c>
    </row>
    <row r="306" spans="1:53" x14ac:dyDescent="0.3">
      <c r="A306" s="78" t="s">
        <v>70</v>
      </c>
      <c r="B306" s="79">
        <v>60</v>
      </c>
      <c r="C306" s="79">
        <v>60</v>
      </c>
      <c r="D306" s="79">
        <v>60</v>
      </c>
      <c r="E306" s="79">
        <f t="shared" ref="E306:AV306" si="243">D306</f>
        <v>60</v>
      </c>
      <c r="F306" s="79">
        <f t="shared" si="243"/>
        <v>60</v>
      </c>
      <c r="G306" s="79">
        <f t="shared" si="243"/>
        <v>60</v>
      </c>
      <c r="H306" s="79">
        <f t="shared" si="243"/>
        <v>60</v>
      </c>
      <c r="I306" s="79">
        <f t="shared" si="243"/>
        <v>60</v>
      </c>
      <c r="J306" s="79">
        <f t="shared" si="243"/>
        <v>60</v>
      </c>
      <c r="K306" s="79">
        <f t="shared" si="243"/>
        <v>60</v>
      </c>
      <c r="L306" s="79">
        <f t="shared" si="243"/>
        <v>60</v>
      </c>
      <c r="M306" s="79">
        <f t="shared" si="243"/>
        <v>60</v>
      </c>
      <c r="N306" s="79">
        <f t="shared" si="243"/>
        <v>60</v>
      </c>
      <c r="O306" s="79">
        <f t="shared" si="243"/>
        <v>60</v>
      </c>
      <c r="P306" s="79">
        <f t="shared" si="243"/>
        <v>60</v>
      </c>
      <c r="Q306" s="79">
        <f t="shared" si="243"/>
        <v>60</v>
      </c>
      <c r="R306" s="79">
        <f t="shared" si="243"/>
        <v>60</v>
      </c>
      <c r="S306" s="79">
        <f t="shared" si="243"/>
        <v>60</v>
      </c>
      <c r="T306" s="79">
        <f t="shared" si="243"/>
        <v>60</v>
      </c>
      <c r="U306" s="79">
        <f t="shared" si="243"/>
        <v>60</v>
      </c>
      <c r="V306" s="79">
        <f t="shared" si="243"/>
        <v>60</v>
      </c>
      <c r="W306" s="79">
        <f t="shared" si="243"/>
        <v>60</v>
      </c>
      <c r="X306" s="79">
        <f t="shared" si="243"/>
        <v>60</v>
      </c>
      <c r="Y306" s="79">
        <f t="shared" si="243"/>
        <v>60</v>
      </c>
      <c r="Z306" s="79">
        <f t="shared" si="243"/>
        <v>60</v>
      </c>
      <c r="AA306" s="79">
        <f t="shared" si="243"/>
        <v>60</v>
      </c>
      <c r="AB306" s="79">
        <f t="shared" si="243"/>
        <v>60</v>
      </c>
      <c r="AC306" s="79">
        <f t="shared" si="243"/>
        <v>60</v>
      </c>
      <c r="AD306" s="79">
        <f t="shared" si="243"/>
        <v>60</v>
      </c>
      <c r="AE306" s="79">
        <f t="shared" si="243"/>
        <v>60</v>
      </c>
      <c r="AF306" s="79">
        <f t="shared" si="243"/>
        <v>60</v>
      </c>
      <c r="AG306" s="79">
        <f t="shared" si="243"/>
        <v>60</v>
      </c>
      <c r="AH306" s="79">
        <f t="shared" si="243"/>
        <v>60</v>
      </c>
      <c r="AI306" s="79">
        <f t="shared" si="243"/>
        <v>60</v>
      </c>
      <c r="AJ306" s="79">
        <f t="shared" si="243"/>
        <v>60</v>
      </c>
      <c r="AK306" s="79">
        <f t="shared" si="243"/>
        <v>60</v>
      </c>
      <c r="AL306" s="79">
        <f t="shared" si="243"/>
        <v>60</v>
      </c>
      <c r="AM306" s="79">
        <f t="shared" si="243"/>
        <v>60</v>
      </c>
      <c r="AN306" s="79">
        <f t="shared" si="243"/>
        <v>60</v>
      </c>
      <c r="AO306" s="79">
        <f t="shared" si="243"/>
        <v>60</v>
      </c>
      <c r="AP306" s="79">
        <f t="shared" si="243"/>
        <v>60</v>
      </c>
      <c r="AQ306" s="79">
        <f t="shared" si="243"/>
        <v>60</v>
      </c>
      <c r="AR306" s="79">
        <f t="shared" si="243"/>
        <v>60</v>
      </c>
      <c r="AS306" s="79">
        <f t="shared" si="243"/>
        <v>60</v>
      </c>
      <c r="AT306" s="79">
        <f t="shared" si="243"/>
        <v>60</v>
      </c>
      <c r="AU306" s="79">
        <f t="shared" si="243"/>
        <v>60</v>
      </c>
      <c r="AV306" s="79">
        <f t="shared" si="243"/>
        <v>60</v>
      </c>
      <c r="AW306" s="79"/>
      <c r="AX306" s="79"/>
      <c r="AY306" s="79"/>
      <c r="AZ306" s="79"/>
      <c r="BA306" s="79"/>
    </row>
    <row r="307" spans="1:53" x14ac:dyDescent="0.3">
      <c r="A307" s="77" t="s">
        <v>71</v>
      </c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1"/>
    </row>
    <row r="308" spans="1:53" ht="15" thickBot="1" x14ac:dyDescent="0.35">
      <c r="A308" s="74" t="s">
        <v>72</v>
      </c>
      <c r="B308" s="75"/>
      <c r="C308" s="82"/>
      <c r="D308" s="75"/>
      <c r="E308" s="82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82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82"/>
      <c r="AU308" s="75"/>
      <c r="AV308" s="75"/>
      <c r="AW308" s="82"/>
      <c r="AX308" s="75"/>
      <c r="AY308" s="75"/>
      <c r="AZ308" s="75"/>
      <c r="BA308" s="76"/>
    </row>
    <row r="309" spans="1:53" s="58" customFormat="1" x14ac:dyDescent="0.3">
      <c r="A309" s="69" t="s">
        <v>73</v>
      </c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</row>
    <row r="310" spans="1:53" s="58" customFormat="1" x14ac:dyDescent="0.3">
      <c r="A310" s="83" t="s">
        <v>74</v>
      </c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</row>
    <row r="311" spans="1:53" s="58" customFormat="1" ht="15" thickBot="1" x14ac:dyDescent="0.35">
      <c r="A311" s="74" t="s">
        <v>75</v>
      </c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</row>
    <row r="312" spans="1:53" s="58" customFormat="1" x14ac:dyDescent="0.3">
      <c r="A312" s="57"/>
      <c r="B312" s="59"/>
      <c r="AO312" s="59"/>
      <c r="AP312" s="59"/>
      <c r="AQ312" s="59"/>
      <c r="AR312" s="59"/>
      <c r="AS312" s="59"/>
      <c r="AU312" s="59"/>
      <c r="AV312" s="59"/>
      <c r="AX312" s="59"/>
      <c r="AY312" s="59"/>
      <c r="AZ312" s="59"/>
      <c r="BA312" s="59"/>
    </row>
    <row r="314" spans="1:53" s="58" customFormat="1" ht="15" thickBot="1" x14ac:dyDescent="0.35">
      <c r="A314" s="57"/>
      <c r="B314" s="59"/>
      <c r="C314" s="59"/>
      <c r="AO314" s="59"/>
      <c r="AQ314" s="59"/>
      <c r="AR314" s="85"/>
      <c r="AT314" s="59"/>
      <c r="AX314" s="59"/>
      <c r="AZ314" s="59"/>
      <c r="BA314" s="59"/>
    </row>
    <row r="316" spans="1:53" ht="18" x14ac:dyDescent="0.35">
      <c r="A316" s="60" t="s">
        <v>1</v>
      </c>
      <c r="B316" s="61" t="s">
        <v>64</v>
      </c>
      <c r="C316" s="62" t="s">
        <v>65</v>
      </c>
      <c r="E316" s="64"/>
    </row>
    <row r="317" spans="1:53" ht="18.600000000000001" thickBot="1" x14ac:dyDescent="0.4">
      <c r="A317" s="66"/>
      <c r="B317" s="64"/>
      <c r="C317" s="67"/>
      <c r="D317" s="68"/>
    </row>
    <row r="318" spans="1:53" x14ac:dyDescent="0.3">
      <c r="A318" s="69" t="s">
        <v>67</v>
      </c>
      <c r="B318" s="70">
        <v>1</v>
      </c>
      <c r="C318" s="70">
        <v>2</v>
      </c>
      <c r="D318" s="70">
        <v>3</v>
      </c>
      <c r="E318" s="70">
        <v>4</v>
      </c>
      <c r="F318" s="70">
        <v>5</v>
      </c>
      <c r="G318" s="70">
        <v>6</v>
      </c>
      <c r="H318" s="70">
        <v>7</v>
      </c>
      <c r="I318" s="70">
        <v>8</v>
      </c>
      <c r="J318" s="70">
        <v>9</v>
      </c>
      <c r="K318" s="70">
        <v>10</v>
      </c>
      <c r="L318" s="70">
        <v>11</v>
      </c>
      <c r="M318" s="70">
        <v>12</v>
      </c>
      <c r="N318" s="70">
        <v>13</v>
      </c>
      <c r="O318" s="70">
        <v>14</v>
      </c>
      <c r="P318" s="70">
        <v>15</v>
      </c>
      <c r="Q318" s="70">
        <v>16</v>
      </c>
      <c r="R318" s="70">
        <v>17</v>
      </c>
      <c r="S318" s="70">
        <v>18</v>
      </c>
      <c r="T318" s="70">
        <v>19</v>
      </c>
      <c r="U318" s="70">
        <v>20</v>
      </c>
      <c r="V318" s="70">
        <v>21</v>
      </c>
      <c r="W318" s="70">
        <v>22</v>
      </c>
      <c r="X318" s="70">
        <v>23</v>
      </c>
      <c r="Y318" s="70">
        <v>24</v>
      </c>
      <c r="Z318" s="70">
        <v>25</v>
      </c>
      <c r="AA318" s="70">
        <v>26</v>
      </c>
      <c r="AB318" s="70">
        <v>27</v>
      </c>
      <c r="AC318" s="70">
        <v>28</v>
      </c>
      <c r="AD318" s="70">
        <v>29</v>
      </c>
      <c r="AE318" s="70">
        <v>30</v>
      </c>
      <c r="AF318" s="70">
        <v>31</v>
      </c>
      <c r="AG318" s="70">
        <v>32</v>
      </c>
      <c r="AH318" s="70">
        <v>33</v>
      </c>
      <c r="AI318" s="70">
        <v>34</v>
      </c>
      <c r="AJ318" s="70">
        <v>35</v>
      </c>
      <c r="AK318" s="70">
        <v>36</v>
      </c>
      <c r="AL318" s="70">
        <v>37</v>
      </c>
      <c r="AM318" s="70">
        <v>38</v>
      </c>
      <c r="AN318" s="70">
        <v>39</v>
      </c>
      <c r="AO318" s="70">
        <v>40</v>
      </c>
      <c r="AP318" s="70">
        <v>41</v>
      </c>
      <c r="AQ318" s="70">
        <v>42</v>
      </c>
      <c r="AR318" s="70">
        <v>43</v>
      </c>
      <c r="AS318" s="70">
        <v>44</v>
      </c>
      <c r="AT318" s="70">
        <v>45</v>
      </c>
      <c r="AU318" s="70">
        <v>46</v>
      </c>
      <c r="AV318" s="70">
        <v>47</v>
      </c>
      <c r="AW318" s="70">
        <v>48</v>
      </c>
      <c r="AX318" s="70">
        <v>49</v>
      </c>
      <c r="AY318" s="70">
        <v>50</v>
      </c>
      <c r="AZ318" s="70">
        <v>51</v>
      </c>
      <c r="BA318" s="71">
        <v>52</v>
      </c>
    </row>
    <row r="319" spans="1:53" ht="13.95" customHeight="1" x14ac:dyDescent="0.3">
      <c r="A319" s="72" t="s">
        <v>68</v>
      </c>
      <c r="B319" s="73">
        <v>85</v>
      </c>
      <c r="C319" s="73">
        <v>85</v>
      </c>
      <c r="D319" s="73">
        <v>85</v>
      </c>
      <c r="E319" s="73">
        <v>85</v>
      </c>
      <c r="F319" s="73">
        <v>85</v>
      </c>
      <c r="G319" s="73">
        <v>85</v>
      </c>
      <c r="H319" s="73">
        <v>85</v>
      </c>
      <c r="I319" s="73">
        <v>85</v>
      </c>
      <c r="J319" s="73">
        <v>85</v>
      </c>
      <c r="K319" s="73">
        <v>85</v>
      </c>
      <c r="L319" s="73">
        <v>85</v>
      </c>
      <c r="M319" s="73">
        <v>85</v>
      </c>
      <c r="N319" s="73">
        <v>85</v>
      </c>
      <c r="O319" s="73">
        <v>85</v>
      </c>
      <c r="P319" s="73">
        <v>85</v>
      </c>
      <c r="Q319" s="73">
        <v>85</v>
      </c>
      <c r="R319" s="73">
        <v>85</v>
      </c>
      <c r="S319" s="73">
        <v>85</v>
      </c>
      <c r="T319" s="73">
        <v>85</v>
      </c>
      <c r="U319" s="73">
        <v>85</v>
      </c>
      <c r="V319" s="73">
        <v>85</v>
      </c>
      <c r="W319" s="73">
        <v>85</v>
      </c>
      <c r="X319" s="73">
        <v>85</v>
      </c>
      <c r="Y319" s="73">
        <v>85</v>
      </c>
      <c r="Z319" s="73">
        <v>85</v>
      </c>
      <c r="AA319" s="73">
        <v>85</v>
      </c>
      <c r="AB319" s="73">
        <v>85</v>
      </c>
      <c r="AC319" s="73">
        <v>85</v>
      </c>
      <c r="AD319" s="73">
        <v>85</v>
      </c>
      <c r="AE319" s="73">
        <v>85</v>
      </c>
      <c r="AF319" s="73">
        <v>85</v>
      </c>
      <c r="AG319" s="73">
        <v>85</v>
      </c>
      <c r="AH319" s="73">
        <v>85</v>
      </c>
      <c r="AI319" s="73">
        <v>85</v>
      </c>
      <c r="AJ319" s="73">
        <v>85</v>
      </c>
      <c r="AK319" s="73">
        <v>85</v>
      </c>
      <c r="AL319" s="73">
        <v>85</v>
      </c>
      <c r="AM319" s="73">
        <v>85</v>
      </c>
      <c r="AN319" s="73">
        <v>85</v>
      </c>
      <c r="AO319" s="73">
        <v>85</v>
      </c>
      <c r="AP319" s="73">
        <v>85</v>
      </c>
      <c r="AQ319" s="73">
        <v>85</v>
      </c>
      <c r="AR319" s="73">
        <v>85</v>
      </c>
      <c r="AS319" s="73">
        <v>85</v>
      </c>
      <c r="AT319" s="73">
        <v>85</v>
      </c>
      <c r="AU319" s="73">
        <v>85</v>
      </c>
      <c r="AV319" s="73">
        <v>85</v>
      </c>
      <c r="AW319" s="73"/>
      <c r="AX319" s="73"/>
      <c r="AY319" s="73"/>
      <c r="AZ319" s="73"/>
      <c r="BA319" s="73"/>
    </row>
    <row r="320" spans="1:53" ht="15" thickBot="1" x14ac:dyDescent="0.35">
      <c r="A320" s="74" t="s">
        <v>69</v>
      </c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6"/>
    </row>
    <row r="321" spans="1:53" x14ac:dyDescent="0.3">
      <c r="A321" s="77" t="s">
        <v>67</v>
      </c>
      <c r="B321" s="59">
        <v>1</v>
      </c>
      <c r="C321" s="59">
        <v>2</v>
      </c>
      <c r="D321" s="59">
        <v>3</v>
      </c>
      <c r="E321" s="59">
        <v>4</v>
      </c>
      <c r="F321" s="59">
        <v>5</v>
      </c>
      <c r="G321" s="59">
        <v>6</v>
      </c>
      <c r="H321" s="59">
        <v>7</v>
      </c>
      <c r="I321" s="59">
        <v>8</v>
      </c>
      <c r="J321" s="59">
        <v>9</v>
      </c>
      <c r="K321" s="59">
        <v>10</v>
      </c>
      <c r="L321" s="59">
        <v>11</v>
      </c>
      <c r="M321" s="59">
        <v>12</v>
      </c>
      <c r="N321" s="59">
        <v>13</v>
      </c>
      <c r="O321" s="59">
        <v>14</v>
      </c>
      <c r="P321" s="59">
        <v>15</v>
      </c>
      <c r="Q321" s="59">
        <v>16</v>
      </c>
      <c r="R321" s="59">
        <v>17</v>
      </c>
      <c r="S321" s="59">
        <v>18</v>
      </c>
      <c r="T321" s="59">
        <v>19</v>
      </c>
      <c r="U321" s="59">
        <v>20</v>
      </c>
      <c r="V321" s="59">
        <v>21</v>
      </c>
      <c r="W321" s="59">
        <v>22</v>
      </c>
      <c r="X321" s="59">
        <v>23</v>
      </c>
      <c r="Y321" s="59">
        <v>24</v>
      </c>
      <c r="Z321" s="59">
        <v>25</v>
      </c>
      <c r="AA321" s="59">
        <v>26</v>
      </c>
      <c r="AB321" s="59">
        <v>27</v>
      </c>
      <c r="AC321" s="59">
        <v>28</v>
      </c>
      <c r="AD321" s="59">
        <v>29</v>
      </c>
      <c r="AE321" s="59">
        <v>30</v>
      </c>
      <c r="AF321" s="59">
        <v>31</v>
      </c>
      <c r="AG321" s="59">
        <v>32</v>
      </c>
      <c r="AH321" s="59">
        <v>33</v>
      </c>
      <c r="AI321" s="59">
        <v>34</v>
      </c>
      <c r="AJ321" s="59">
        <v>35</v>
      </c>
      <c r="AK321" s="59">
        <v>36</v>
      </c>
      <c r="AL321" s="59">
        <v>37</v>
      </c>
      <c r="AM321" s="59">
        <v>38</v>
      </c>
      <c r="AN321" s="59">
        <v>39</v>
      </c>
      <c r="AO321" s="59">
        <v>40</v>
      </c>
      <c r="AP321" s="59">
        <v>41</v>
      </c>
      <c r="AQ321" s="59">
        <v>42</v>
      </c>
      <c r="AR321" s="59">
        <v>43</v>
      </c>
      <c r="AS321" s="59">
        <v>44</v>
      </c>
      <c r="AT321" s="59">
        <v>45</v>
      </c>
      <c r="AU321" s="59">
        <v>46</v>
      </c>
      <c r="AV321" s="59">
        <v>47</v>
      </c>
      <c r="AW321" s="59"/>
      <c r="AX321" s="59"/>
      <c r="AY321" s="59"/>
      <c r="AZ321" s="59"/>
      <c r="BA321" s="90"/>
    </row>
    <row r="322" spans="1:53" x14ac:dyDescent="0.3">
      <c r="A322" s="78" t="s">
        <v>70</v>
      </c>
      <c r="B322" s="79">
        <v>60</v>
      </c>
      <c r="C322" s="79">
        <v>60</v>
      </c>
      <c r="D322" s="79">
        <v>60</v>
      </c>
      <c r="E322" s="79">
        <f t="shared" ref="E322:AV322" si="244">D322</f>
        <v>60</v>
      </c>
      <c r="F322" s="79">
        <f t="shared" si="244"/>
        <v>60</v>
      </c>
      <c r="G322" s="79">
        <f t="shared" si="244"/>
        <v>60</v>
      </c>
      <c r="H322" s="79">
        <f t="shared" si="244"/>
        <v>60</v>
      </c>
      <c r="I322" s="79">
        <f t="shared" si="244"/>
        <v>60</v>
      </c>
      <c r="J322" s="79">
        <f t="shared" si="244"/>
        <v>60</v>
      </c>
      <c r="K322" s="79">
        <f t="shared" si="244"/>
        <v>60</v>
      </c>
      <c r="L322" s="79">
        <f t="shared" si="244"/>
        <v>60</v>
      </c>
      <c r="M322" s="79">
        <f t="shared" si="244"/>
        <v>60</v>
      </c>
      <c r="N322" s="79">
        <f t="shared" si="244"/>
        <v>60</v>
      </c>
      <c r="O322" s="79">
        <f t="shared" si="244"/>
        <v>60</v>
      </c>
      <c r="P322" s="79">
        <f t="shared" si="244"/>
        <v>60</v>
      </c>
      <c r="Q322" s="79">
        <f t="shared" si="244"/>
        <v>60</v>
      </c>
      <c r="R322" s="79">
        <f t="shared" si="244"/>
        <v>60</v>
      </c>
      <c r="S322" s="79">
        <f t="shared" si="244"/>
        <v>60</v>
      </c>
      <c r="T322" s="79">
        <f t="shared" si="244"/>
        <v>60</v>
      </c>
      <c r="U322" s="79">
        <f t="shared" si="244"/>
        <v>60</v>
      </c>
      <c r="V322" s="79">
        <f t="shared" si="244"/>
        <v>60</v>
      </c>
      <c r="W322" s="79">
        <f t="shared" si="244"/>
        <v>60</v>
      </c>
      <c r="X322" s="79">
        <f t="shared" si="244"/>
        <v>60</v>
      </c>
      <c r="Y322" s="79">
        <f t="shared" si="244"/>
        <v>60</v>
      </c>
      <c r="Z322" s="79">
        <f t="shared" si="244"/>
        <v>60</v>
      </c>
      <c r="AA322" s="79">
        <f t="shared" si="244"/>
        <v>60</v>
      </c>
      <c r="AB322" s="79">
        <f t="shared" si="244"/>
        <v>60</v>
      </c>
      <c r="AC322" s="79">
        <f t="shared" si="244"/>
        <v>60</v>
      </c>
      <c r="AD322" s="79">
        <f t="shared" si="244"/>
        <v>60</v>
      </c>
      <c r="AE322" s="79">
        <f t="shared" si="244"/>
        <v>60</v>
      </c>
      <c r="AF322" s="79">
        <f t="shared" si="244"/>
        <v>60</v>
      </c>
      <c r="AG322" s="79">
        <f t="shared" si="244"/>
        <v>60</v>
      </c>
      <c r="AH322" s="79">
        <f t="shared" si="244"/>
        <v>60</v>
      </c>
      <c r="AI322" s="79">
        <f t="shared" si="244"/>
        <v>60</v>
      </c>
      <c r="AJ322" s="79">
        <f t="shared" si="244"/>
        <v>60</v>
      </c>
      <c r="AK322" s="79">
        <f t="shared" si="244"/>
        <v>60</v>
      </c>
      <c r="AL322" s="79">
        <f t="shared" si="244"/>
        <v>60</v>
      </c>
      <c r="AM322" s="79">
        <f t="shared" si="244"/>
        <v>60</v>
      </c>
      <c r="AN322" s="79">
        <f t="shared" si="244"/>
        <v>60</v>
      </c>
      <c r="AO322" s="79">
        <f t="shared" si="244"/>
        <v>60</v>
      </c>
      <c r="AP322" s="79">
        <f t="shared" si="244"/>
        <v>60</v>
      </c>
      <c r="AQ322" s="79">
        <f t="shared" si="244"/>
        <v>60</v>
      </c>
      <c r="AR322" s="79">
        <f t="shared" si="244"/>
        <v>60</v>
      </c>
      <c r="AS322" s="79">
        <f t="shared" si="244"/>
        <v>60</v>
      </c>
      <c r="AT322" s="79">
        <f t="shared" si="244"/>
        <v>60</v>
      </c>
      <c r="AU322" s="79">
        <f t="shared" si="244"/>
        <v>60</v>
      </c>
      <c r="AV322" s="79">
        <f t="shared" si="244"/>
        <v>60</v>
      </c>
      <c r="AW322" s="79"/>
      <c r="AX322" s="79"/>
      <c r="AY322" s="79"/>
      <c r="AZ322" s="79"/>
      <c r="BA322" s="79"/>
    </row>
    <row r="323" spans="1:53" x14ac:dyDescent="0.3">
      <c r="A323" s="77" t="s">
        <v>71</v>
      </c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1"/>
    </row>
    <row r="324" spans="1:53" ht="15" thickBot="1" x14ac:dyDescent="0.35">
      <c r="A324" s="74" t="s">
        <v>72</v>
      </c>
      <c r="B324" s="75"/>
      <c r="C324" s="82"/>
      <c r="D324" s="75"/>
      <c r="E324" s="82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82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82"/>
      <c r="AU324" s="75"/>
      <c r="AV324" s="75"/>
      <c r="AW324" s="82"/>
      <c r="AX324" s="75"/>
      <c r="AY324" s="75"/>
      <c r="AZ324" s="75"/>
      <c r="BA324" s="76"/>
    </row>
    <row r="325" spans="1:53" s="58" customFormat="1" x14ac:dyDescent="0.3">
      <c r="A325" s="69" t="s">
        <v>73</v>
      </c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</row>
    <row r="326" spans="1:53" s="58" customFormat="1" x14ac:dyDescent="0.3">
      <c r="A326" s="83" t="s">
        <v>74</v>
      </c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</row>
    <row r="327" spans="1:53" s="58" customFormat="1" ht="15" thickBot="1" x14ac:dyDescent="0.35">
      <c r="A327" s="74" t="s">
        <v>75</v>
      </c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</row>
    <row r="331" spans="1:53" ht="15" thickBot="1" x14ac:dyDescent="0.35">
      <c r="AM331" s="63" t="s">
        <v>79</v>
      </c>
    </row>
    <row r="332" spans="1:53" ht="18" x14ac:dyDescent="0.35">
      <c r="A332" s="60" t="s">
        <v>1</v>
      </c>
      <c r="B332" s="61" t="s">
        <v>64</v>
      </c>
      <c r="C332" s="62" t="s">
        <v>65</v>
      </c>
      <c r="E332" s="64"/>
    </row>
    <row r="333" spans="1:53" ht="18.600000000000001" thickBot="1" x14ac:dyDescent="0.4">
      <c r="A333" s="66"/>
      <c r="B333" s="64"/>
      <c r="C333" s="67"/>
      <c r="D333" s="68"/>
    </row>
    <row r="334" spans="1:53" x14ac:dyDescent="0.3">
      <c r="A334" s="69" t="s">
        <v>67</v>
      </c>
      <c r="B334" s="70">
        <v>1</v>
      </c>
      <c r="C334" s="70">
        <v>2</v>
      </c>
      <c r="D334" s="70">
        <v>3</v>
      </c>
      <c r="E334" s="70">
        <v>4</v>
      </c>
      <c r="F334" s="70">
        <v>5</v>
      </c>
      <c r="G334" s="70">
        <v>6</v>
      </c>
      <c r="H334" s="70">
        <v>7</v>
      </c>
      <c r="I334" s="70">
        <v>8</v>
      </c>
      <c r="J334" s="70">
        <v>9</v>
      </c>
      <c r="K334" s="70">
        <v>10</v>
      </c>
      <c r="L334" s="70">
        <v>11</v>
      </c>
      <c r="M334" s="70">
        <v>12</v>
      </c>
      <c r="N334" s="70">
        <v>13</v>
      </c>
      <c r="O334" s="70">
        <v>14</v>
      </c>
      <c r="P334" s="70">
        <v>15</v>
      </c>
      <c r="Q334" s="70">
        <v>16</v>
      </c>
      <c r="R334" s="70">
        <v>17</v>
      </c>
      <c r="S334" s="70">
        <v>18</v>
      </c>
      <c r="T334" s="70">
        <v>19</v>
      </c>
      <c r="U334" s="70">
        <v>20</v>
      </c>
      <c r="V334" s="70">
        <v>21</v>
      </c>
      <c r="W334" s="70">
        <v>22</v>
      </c>
      <c r="X334" s="70">
        <v>23</v>
      </c>
      <c r="Y334" s="70">
        <v>24</v>
      </c>
      <c r="Z334" s="70">
        <v>25</v>
      </c>
      <c r="AA334" s="70">
        <v>26</v>
      </c>
      <c r="AB334" s="70">
        <v>27</v>
      </c>
      <c r="AC334" s="70">
        <v>28</v>
      </c>
      <c r="AD334" s="70">
        <v>29</v>
      </c>
      <c r="AE334" s="70">
        <v>30</v>
      </c>
      <c r="AF334" s="70">
        <v>31</v>
      </c>
      <c r="AG334" s="70">
        <v>32</v>
      </c>
      <c r="AH334" s="70">
        <v>33</v>
      </c>
      <c r="AI334" s="70">
        <v>34</v>
      </c>
      <c r="AJ334" s="70">
        <v>35</v>
      </c>
      <c r="AK334" s="70">
        <v>36</v>
      </c>
      <c r="AL334" s="70">
        <v>37</v>
      </c>
      <c r="AM334" s="70">
        <v>38</v>
      </c>
      <c r="AN334" s="70">
        <v>39</v>
      </c>
      <c r="AO334" s="70">
        <v>40</v>
      </c>
      <c r="AP334" s="70">
        <v>41</v>
      </c>
      <c r="AQ334" s="70">
        <v>42</v>
      </c>
      <c r="AR334" s="70">
        <v>43</v>
      </c>
      <c r="AS334" s="70">
        <v>44</v>
      </c>
      <c r="AT334" s="70">
        <v>45</v>
      </c>
      <c r="AU334" s="70">
        <v>46</v>
      </c>
      <c r="AV334" s="70">
        <v>47</v>
      </c>
      <c r="AW334" s="70">
        <v>48</v>
      </c>
      <c r="AX334" s="70">
        <v>49</v>
      </c>
      <c r="AY334" s="70">
        <v>50</v>
      </c>
      <c r="AZ334" s="70">
        <v>51</v>
      </c>
      <c r="BA334" s="71">
        <v>52</v>
      </c>
    </row>
    <row r="335" spans="1:53" ht="13.95" customHeight="1" x14ac:dyDescent="0.3">
      <c r="A335" s="72" t="s">
        <v>68</v>
      </c>
      <c r="B335" s="73">
        <v>85</v>
      </c>
      <c r="C335" s="73">
        <v>85</v>
      </c>
      <c r="D335" s="73">
        <v>85</v>
      </c>
      <c r="E335" s="73">
        <v>85</v>
      </c>
      <c r="F335" s="73">
        <v>85</v>
      </c>
      <c r="G335" s="73">
        <v>85</v>
      </c>
      <c r="H335" s="73">
        <v>85</v>
      </c>
      <c r="I335" s="73">
        <v>85</v>
      </c>
      <c r="J335" s="73">
        <v>85</v>
      </c>
      <c r="K335" s="73">
        <v>85</v>
      </c>
      <c r="L335" s="73">
        <v>85</v>
      </c>
      <c r="M335" s="73">
        <v>85</v>
      </c>
      <c r="N335" s="73">
        <v>85</v>
      </c>
      <c r="O335" s="73">
        <v>85</v>
      </c>
      <c r="P335" s="73">
        <v>85</v>
      </c>
      <c r="Q335" s="73">
        <v>85</v>
      </c>
      <c r="R335" s="73">
        <v>85</v>
      </c>
      <c r="S335" s="73">
        <v>85</v>
      </c>
      <c r="T335" s="73">
        <v>85</v>
      </c>
      <c r="U335" s="73">
        <v>85</v>
      </c>
      <c r="V335" s="73">
        <v>85</v>
      </c>
      <c r="W335" s="73">
        <v>85</v>
      </c>
      <c r="X335" s="73">
        <v>85</v>
      </c>
      <c r="Y335" s="73">
        <v>85</v>
      </c>
      <c r="Z335" s="73">
        <v>85</v>
      </c>
      <c r="AA335" s="73">
        <v>85</v>
      </c>
      <c r="AB335" s="73">
        <v>85</v>
      </c>
      <c r="AC335" s="73">
        <v>85</v>
      </c>
      <c r="AD335" s="73">
        <v>85</v>
      </c>
      <c r="AE335" s="73">
        <v>85</v>
      </c>
      <c r="AF335" s="73">
        <v>85</v>
      </c>
      <c r="AG335" s="73">
        <v>85</v>
      </c>
      <c r="AH335" s="73">
        <v>85</v>
      </c>
      <c r="AI335" s="73">
        <v>85</v>
      </c>
      <c r="AJ335" s="73">
        <v>85</v>
      </c>
      <c r="AK335" s="73">
        <v>85</v>
      </c>
      <c r="AL335" s="73">
        <v>85</v>
      </c>
      <c r="AM335" s="73">
        <v>85</v>
      </c>
      <c r="AN335" s="73">
        <v>85</v>
      </c>
      <c r="AO335" s="73">
        <v>85</v>
      </c>
      <c r="AP335" s="73">
        <v>85</v>
      </c>
      <c r="AQ335" s="73">
        <v>85</v>
      </c>
      <c r="AR335" s="73">
        <v>85</v>
      </c>
      <c r="AS335" s="73">
        <v>85</v>
      </c>
      <c r="AT335" s="73">
        <v>85</v>
      </c>
      <c r="AU335" s="73">
        <v>85</v>
      </c>
      <c r="AV335" s="73">
        <v>85</v>
      </c>
      <c r="AW335" s="73"/>
      <c r="AX335" s="73"/>
      <c r="AY335" s="73"/>
      <c r="AZ335" s="73"/>
      <c r="BA335" s="73"/>
    </row>
    <row r="336" spans="1:53" ht="15" thickBot="1" x14ac:dyDescent="0.35">
      <c r="A336" s="74" t="s">
        <v>69</v>
      </c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6"/>
    </row>
    <row r="337" spans="1:53" x14ac:dyDescent="0.3">
      <c r="A337" s="77" t="s">
        <v>67</v>
      </c>
      <c r="B337" s="59">
        <v>1</v>
      </c>
      <c r="C337" s="59">
        <v>2</v>
      </c>
      <c r="D337" s="59">
        <v>3</v>
      </c>
      <c r="E337" s="59">
        <v>4</v>
      </c>
      <c r="F337" s="59">
        <v>5</v>
      </c>
      <c r="G337" s="59">
        <v>6</v>
      </c>
      <c r="H337" s="59">
        <v>7</v>
      </c>
      <c r="I337" s="59">
        <v>8</v>
      </c>
      <c r="J337" s="59">
        <v>9</v>
      </c>
      <c r="K337" s="59">
        <v>10</v>
      </c>
      <c r="L337" s="59">
        <v>11</v>
      </c>
      <c r="M337" s="59">
        <v>12</v>
      </c>
      <c r="N337" s="59">
        <v>13</v>
      </c>
      <c r="O337" s="59">
        <v>14</v>
      </c>
      <c r="P337" s="59">
        <v>15</v>
      </c>
      <c r="Q337" s="59">
        <v>16</v>
      </c>
      <c r="R337" s="59">
        <v>17</v>
      </c>
      <c r="S337" s="59">
        <v>18</v>
      </c>
      <c r="T337" s="59">
        <v>19</v>
      </c>
      <c r="U337" s="59">
        <v>20</v>
      </c>
      <c r="V337" s="59">
        <v>21</v>
      </c>
      <c r="W337" s="59">
        <v>22</v>
      </c>
      <c r="X337" s="59">
        <v>23</v>
      </c>
      <c r="Y337" s="59">
        <v>24</v>
      </c>
      <c r="Z337" s="59">
        <v>25</v>
      </c>
      <c r="AA337" s="59">
        <v>26</v>
      </c>
      <c r="AB337" s="59">
        <v>27</v>
      </c>
      <c r="AC337" s="59">
        <v>28</v>
      </c>
      <c r="AD337" s="59">
        <v>29</v>
      </c>
      <c r="AE337" s="59">
        <v>30</v>
      </c>
      <c r="AF337" s="59">
        <v>31</v>
      </c>
      <c r="AG337" s="59">
        <v>32</v>
      </c>
      <c r="AH337" s="59">
        <v>33</v>
      </c>
      <c r="AI337" s="59">
        <v>34</v>
      </c>
      <c r="AJ337" s="59">
        <v>35</v>
      </c>
      <c r="AK337" s="59">
        <v>36</v>
      </c>
      <c r="AL337" s="59">
        <v>37</v>
      </c>
      <c r="AM337" s="59">
        <v>38</v>
      </c>
      <c r="AN337" s="59">
        <v>39</v>
      </c>
      <c r="AO337" s="59">
        <v>40</v>
      </c>
      <c r="AP337" s="59">
        <v>41</v>
      </c>
      <c r="AQ337" s="59">
        <v>42</v>
      </c>
      <c r="AR337" s="59">
        <v>43</v>
      </c>
      <c r="AS337" s="59">
        <v>44</v>
      </c>
      <c r="AT337" s="59">
        <v>45</v>
      </c>
      <c r="AU337" s="59">
        <v>46</v>
      </c>
      <c r="AV337" s="59">
        <v>47</v>
      </c>
      <c r="AW337" s="59"/>
      <c r="AX337" s="59"/>
      <c r="AY337" s="59"/>
      <c r="AZ337" s="59"/>
      <c r="BA337" s="90"/>
    </row>
    <row r="338" spans="1:53" x14ac:dyDescent="0.3">
      <c r="A338" s="78" t="s">
        <v>70</v>
      </c>
      <c r="B338" s="79">
        <v>60</v>
      </c>
      <c r="C338" s="79">
        <v>60</v>
      </c>
      <c r="D338" s="79">
        <v>60</v>
      </c>
      <c r="E338" s="79">
        <f t="shared" ref="E338:AV338" si="245">D338</f>
        <v>60</v>
      </c>
      <c r="F338" s="79">
        <f t="shared" si="245"/>
        <v>60</v>
      </c>
      <c r="G338" s="79">
        <f t="shared" si="245"/>
        <v>60</v>
      </c>
      <c r="H338" s="79">
        <f t="shared" si="245"/>
        <v>60</v>
      </c>
      <c r="I338" s="79">
        <f t="shared" si="245"/>
        <v>60</v>
      </c>
      <c r="J338" s="79">
        <f t="shared" si="245"/>
        <v>60</v>
      </c>
      <c r="K338" s="79">
        <f t="shared" si="245"/>
        <v>60</v>
      </c>
      <c r="L338" s="79">
        <f t="shared" si="245"/>
        <v>60</v>
      </c>
      <c r="M338" s="79">
        <f t="shared" si="245"/>
        <v>60</v>
      </c>
      <c r="N338" s="79">
        <f t="shared" si="245"/>
        <v>60</v>
      </c>
      <c r="O338" s="79">
        <f t="shared" si="245"/>
        <v>60</v>
      </c>
      <c r="P338" s="79">
        <f t="shared" si="245"/>
        <v>60</v>
      </c>
      <c r="Q338" s="79">
        <f t="shared" si="245"/>
        <v>60</v>
      </c>
      <c r="R338" s="79">
        <f t="shared" si="245"/>
        <v>60</v>
      </c>
      <c r="S338" s="79">
        <f t="shared" si="245"/>
        <v>60</v>
      </c>
      <c r="T338" s="79">
        <f t="shared" si="245"/>
        <v>60</v>
      </c>
      <c r="U338" s="79">
        <f t="shared" si="245"/>
        <v>60</v>
      </c>
      <c r="V338" s="79">
        <f t="shared" si="245"/>
        <v>60</v>
      </c>
      <c r="W338" s="79">
        <f t="shared" si="245"/>
        <v>60</v>
      </c>
      <c r="X338" s="79">
        <f t="shared" si="245"/>
        <v>60</v>
      </c>
      <c r="Y338" s="79">
        <f t="shared" si="245"/>
        <v>60</v>
      </c>
      <c r="Z338" s="79">
        <f t="shared" si="245"/>
        <v>60</v>
      </c>
      <c r="AA338" s="79">
        <f t="shared" si="245"/>
        <v>60</v>
      </c>
      <c r="AB338" s="79">
        <f t="shared" si="245"/>
        <v>60</v>
      </c>
      <c r="AC338" s="79">
        <f t="shared" si="245"/>
        <v>60</v>
      </c>
      <c r="AD338" s="79">
        <f t="shared" si="245"/>
        <v>60</v>
      </c>
      <c r="AE338" s="79">
        <f t="shared" si="245"/>
        <v>60</v>
      </c>
      <c r="AF338" s="79">
        <f t="shared" si="245"/>
        <v>60</v>
      </c>
      <c r="AG338" s="79">
        <f t="shared" si="245"/>
        <v>60</v>
      </c>
      <c r="AH338" s="79">
        <f t="shared" si="245"/>
        <v>60</v>
      </c>
      <c r="AI338" s="79">
        <f t="shared" si="245"/>
        <v>60</v>
      </c>
      <c r="AJ338" s="79">
        <f t="shared" si="245"/>
        <v>60</v>
      </c>
      <c r="AK338" s="79">
        <f t="shared" si="245"/>
        <v>60</v>
      </c>
      <c r="AL338" s="79">
        <f t="shared" si="245"/>
        <v>60</v>
      </c>
      <c r="AM338" s="79">
        <f t="shared" si="245"/>
        <v>60</v>
      </c>
      <c r="AN338" s="79">
        <f t="shared" si="245"/>
        <v>60</v>
      </c>
      <c r="AO338" s="79">
        <f t="shared" si="245"/>
        <v>60</v>
      </c>
      <c r="AP338" s="79">
        <f t="shared" si="245"/>
        <v>60</v>
      </c>
      <c r="AQ338" s="79">
        <f t="shared" si="245"/>
        <v>60</v>
      </c>
      <c r="AR338" s="79">
        <f t="shared" si="245"/>
        <v>60</v>
      </c>
      <c r="AS338" s="79">
        <f t="shared" si="245"/>
        <v>60</v>
      </c>
      <c r="AT338" s="79">
        <f t="shared" si="245"/>
        <v>60</v>
      </c>
      <c r="AU338" s="79">
        <f t="shared" si="245"/>
        <v>60</v>
      </c>
      <c r="AV338" s="79">
        <f t="shared" si="245"/>
        <v>60</v>
      </c>
      <c r="AW338" s="79"/>
      <c r="AX338" s="79"/>
      <c r="AY338" s="79"/>
      <c r="AZ338" s="79"/>
      <c r="BA338" s="79"/>
    </row>
    <row r="339" spans="1:53" x14ac:dyDescent="0.3">
      <c r="A339" s="77" t="s">
        <v>71</v>
      </c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1"/>
    </row>
    <row r="340" spans="1:53" ht="15" thickBot="1" x14ac:dyDescent="0.35">
      <c r="A340" s="74" t="s">
        <v>72</v>
      </c>
      <c r="B340" s="75"/>
      <c r="C340" s="82"/>
      <c r="D340" s="75"/>
      <c r="E340" s="82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82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82"/>
      <c r="AU340" s="75"/>
      <c r="AV340" s="75"/>
      <c r="AW340" s="82"/>
      <c r="AX340" s="75"/>
      <c r="AY340" s="75"/>
      <c r="AZ340" s="75"/>
      <c r="BA340" s="76"/>
    </row>
    <row r="341" spans="1:53" s="58" customFormat="1" x14ac:dyDescent="0.3">
      <c r="A341" s="69" t="s">
        <v>73</v>
      </c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</row>
    <row r="342" spans="1:53" s="58" customFormat="1" x14ac:dyDescent="0.3">
      <c r="A342" s="83" t="s">
        <v>74</v>
      </c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</row>
    <row r="343" spans="1:53" s="58" customFormat="1" ht="15" thickBot="1" x14ac:dyDescent="0.35">
      <c r="A343" s="74" t="s">
        <v>75</v>
      </c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</row>
    <row r="348" spans="1:53" ht="18" x14ac:dyDescent="0.35">
      <c r="A348" s="60" t="s">
        <v>1</v>
      </c>
      <c r="B348" s="61" t="s">
        <v>64</v>
      </c>
      <c r="C348" s="62" t="s">
        <v>65</v>
      </c>
      <c r="E348" s="64"/>
    </row>
    <row r="349" spans="1:53" ht="18.600000000000001" thickBot="1" x14ac:dyDescent="0.4">
      <c r="A349" s="66"/>
      <c r="B349" s="64"/>
      <c r="C349" s="67"/>
      <c r="D349" s="68"/>
    </row>
    <row r="350" spans="1:53" x14ac:dyDescent="0.3">
      <c r="A350" s="69" t="s">
        <v>67</v>
      </c>
      <c r="B350" s="70">
        <v>1</v>
      </c>
      <c r="C350" s="70">
        <v>2</v>
      </c>
      <c r="D350" s="70">
        <v>3</v>
      </c>
      <c r="E350" s="70">
        <v>4</v>
      </c>
      <c r="F350" s="70">
        <v>5</v>
      </c>
      <c r="G350" s="70">
        <v>6</v>
      </c>
      <c r="H350" s="70">
        <v>7</v>
      </c>
      <c r="I350" s="70">
        <v>8</v>
      </c>
      <c r="J350" s="70">
        <v>9</v>
      </c>
      <c r="K350" s="70">
        <v>10</v>
      </c>
      <c r="L350" s="70">
        <v>11</v>
      </c>
      <c r="M350" s="70">
        <v>12</v>
      </c>
      <c r="N350" s="70">
        <v>13</v>
      </c>
      <c r="O350" s="70">
        <v>14</v>
      </c>
      <c r="P350" s="70">
        <v>15</v>
      </c>
      <c r="Q350" s="70">
        <v>16</v>
      </c>
      <c r="R350" s="70">
        <v>17</v>
      </c>
      <c r="S350" s="70">
        <v>18</v>
      </c>
      <c r="T350" s="70">
        <v>19</v>
      </c>
      <c r="U350" s="70">
        <v>20</v>
      </c>
      <c r="V350" s="70">
        <v>21</v>
      </c>
      <c r="W350" s="70">
        <v>22</v>
      </c>
      <c r="X350" s="70">
        <v>23</v>
      </c>
      <c r="Y350" s="70">
        <v>24</v>
      </c>
      <c r="Z350" s="70">
        <v>25</v>
      </c>
      <c r="AA350" s="70">
        <v>26</v>
      </c>
      <c r="AB350" s="70">
        <v>27</v>
      </c>
      <c r="AC350" s="70">
        <v>28</v>
      </c>
      <c r="AD350" s="70">
        <v>29</v>
      </c>
      <c r="AE350" s="70">
        <v>30</v>
      </c>
      <c r="AF350" s="70">
        <v>31</v>
      </c>
      <c r="AG350" s="70">
        <v>32</v>
      </c>
      <c r="AH350" s="70">
        <v>33</v>
      </c>
      <c r="AI350" s="70">
        <v>34</v>
      </c>
      <c r="AJ350" s="70">
        <v>35</v>
      </c>
      <c r="AK350" s="70">
        <v>36</v>
      </c>
      <c r="AL350" s="70">
        <v>37</v>
      </c>
      <c r="AM350" s="70">
        <v>38</v>
      </c>
      <c r="AN350" s="70">
        <v>39</v>
      </c>
      <c r="AO350" s="70">
        <v>40</v>
      </c>
      <c r="AP350" s="70">
        <v>41</v>
      </c>
      <c r="AQ350" s="70">
        <v>42</v>
      </c>
      <c r="AR350" s="70">
        <v>43</v>
      </c>
      <c r="AS350" s="70">
        <v>44</v>
      </c>
      <c r="AT350" s="70">
        <v>45</v>
      </c>
      <c r="AU350" s="70">
        <v>46</v>
      </c>
      <c r="AV350" s="70">
        <v>47</v>
      </c>
      <c r="AW350" s="70">
        <v>48</v>
      </c>
      <c r="AX350" s="70">
        <v>49</v>
      </c>
      <c r="AY350" s="70">
        <v>50</v>
      </c>
      <c r="AZ350" s="70">
        <v>51</v>
      </c>
      <c r="BA350" s="71">
        <v>52</v>
      </c>
    </row>
    <row r="351" spans="1:53" ht="13.95" customHeight="1" x14ac:dyDescent="0.3">
      <c r="A351" s="72" t="s">
        <v>68</v>
      </c>
      <c r="B351" s="73">
        <v>85</v>
      </c>
      <c r="C351" s="73">
        <v>85</v>
      </c>
      <c r="D351" s="73">
        <v>85</v>
      </c>
      <c r="E351" s="73">
        <v>85</v>
      </c>
      <c r="F351" s="73">
        <v>85</v>
      </c>
      <c r="G351" s="73">
        <v>85</v>
      </c>
      <c r="H351" s="73">
        <v>85</v>
      </c>
      <c r="I351" s="73">
        <v>85</v>
      </c>
      <c r="J351" s="73">
        <v>85</v>
      </c>
      <c r="K351" s="73">
        <v>85</v>
      </c>
      <c r="L351" s="73">
        <v>85</v>
      </c>
      <c r="M351" s="73">
        <v>85</v>
      </c>
      <c r="N351" s="73">
        <v>85</v>
      </c>
      <c r="O351" s="73">
        <v>85</v>
      </c>
      <c r="P351" s="73">
        <v>85</v>
      </c>
      <c r="Q351" s="73">
        <v>85</v>
      </c>
      <c r="R351" s="73">
        <v>85</v>
      </c>
      <c r="S351" s="73">
        <v>85</v>
      </c>
      <c r="T351" s="73">
        <v>85</v>
      </c>
      <c r="U351" s="73">
        <v>85</v>
      </c>
      <c r="V351" s="73">
        <v>85</v>
      </c>
      <c r="W351" s="73">
        <v>85</v>
      </c>
      <c r="X351" s="73">
        <v>85</v>
      </c>
      <c r="Y351" s="73">
        <v>85</v>
      </c>
      <c r="Z351" s="73">
        <v>85</v>
      </c>
      <c r="AA351" s="73">
        <v>85</v>
      </c>
      <c r="AB351" s="73">
        <v>85</v>
      </c>
      <c r="AC351" s="73">
        <v>85</v>
      </c>
      <c r="AD351" s="73">
        <v>85</v>
      </c>
      <c r="AE351" s="73">
        <v>85</v>
      </c>
      <c r="AF351" s="73">
        <v>85</v>
      </c>
      <c r="AG351" s="73">
        <v>85</v>
      </c>
      <c r="AH351" s="73">
        <v>85</v>
      </c>
      <c r="AI351" s="73">
        <v>85</v>
      </c>
      <c r="AJ351" s="73">
        <v>85</v>
      </c>
      <c r="AK351" s="73">
        <v>85</v>
      </c>
      <c r="AL351" s="73">
        <v>85</v>
      </c>
      <c r="AM351" s="73">
        <v>85</v>
      </c>
      <c r="AN351" s="73">
        <v>85</v>
      </c>
      <c r="AO351" s="73">
        <v>85</v>
      </c>
      <c r="AP351" s="73">
        <v>85</v>
      </c>
      <c r="AQ351" s="73">
        <v>85</v>
      </c>
      <c r="AR351" s="73">
        <v>85</v>
      </c>
      <c r="AS351" s="73">
        <v>85</v>
      </c>
      <c r="AT351" s="73">
        <v>85</v>
      </c>
      <c r="AU351" s="73">
        <v>85</v>
      </c>
      <c r="AV351" s="73">
        <v>85</v>
      </c>
      <c r="AW351" s="73"/>
      <c r="AX351" s="73"/>
      <c r="AY351" s="73"/>
      <c r="AZ351" s="73"/>
      <c r="BA351" s="89"/>
    </row>
    <row r="352" spans="1:53" ht="15" thickBot="1" x14ac:dyDescent="0.35">
      <c r="A352" s="74" t="s">
        <v>69</v>
      </c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6"/>
    </row>
    <row r="353" spans="1:53" x14ac:dyDescent="0.3">
      <c r="A353" s="77" t="s">
        <v>67</v>
      </c>
      <c r="B353" s="59">
        <v>1</v>
      </c>
      <c r="C353" s="59">
        <v>2</v>
      </c>
      <c r="D353" s="59">
        <v>3</v>
      </c>
      <c r="E353" s="59">
        <v>4</v>
      </c>
      <c r="F353" s="59">
        <v>5</v>
      </c>
      <c r="G353" s="59">
        <v>6</v>
      </c>
      <c r="H353" s="59">
        <v>7</v>
      </c>
      <c r="I353" s="59">
        <v>8</v>
      </c>
      <c r="J353" s="59">
        <v>9</v>
      </c>
      <c r="K353" s="59">
        <v>10</v>
      </c>
      <c r="L353" s="59">
        <v>11</v>
      </c>
      <c r="M353" s="59">
        <v>12</v>
      </c>
      <c r="N353" s="59">
        <v>13</v>
      </c>
      <c r="O353" s="59">
        <v>14</v>
      </c>
      <c r="P353" s="59">
        <v>15</v>
      </c>
      <c r="Q353" s="59">
        <v>16</v>
      </c>
      <c r="R353" s="59">
        <v>17</v>
      </c>
      <c r="S353" s="59">
        <v>18</v>
      </c>
      <c r="T353" s="59">
        <v>19</v>
      </c>
      <c r="U353" s="59">
        <v>20</v>
      </c>
      <c r="V353" s="59">
        <v>21</v>
      </c>
      <c r="W353" s="59">
        <v>22</v>
      </c>
      <c r="X353" s="59">
        <v>23</v>
      </c>
      <c r="Y353" s="59">
        <v>24</v>
      </c>
      <c r="Z353" s="59">
        <v>25</v>
      </c>
      <c r="AA353" s="59">
        <v>26</v>
      </c>
      <c r="AB353" s="59">
        <v>27</v>
      </c>
      <c r="AC353" s="59">
        <v>28</v>
      </c>
      <c r="AD353" s="59">
        <v>29</v>
      </c>
      <c r="AE353" s="59">
        <v>30</v>
      </c>
      <c r="AF353" s="59">
        <v>31</v>
      </c>
      <c r="AG353" s="59">
        <v>32</v>
      </c>
      <c r="AH353" s="59">
        <v>33</v>
      </c>
      <c r="AI353" s="59">
        <v>34</v>
      </c>
      <c r="AJ353" s="59">
        <v>35</v>
      </c>
      <c r="AK353" s="59">
        <v>36</v>
      </c>
      <c r="AL353" s="59">
        <v>37</v>
      </c>
      <c r="AM353" s="59">
        <v>38</v>
      </c>
      <c r="AN353" s="59">
        <v>39</v>
      </c>
      <c r="AO353" s="59">
        <v>40</v>
      </c>
      <c r="AP353" s="59">
        <v>41</v>
      </c>
      <c r="AQ353" s="59">
        <v>42</v>
      </c>
      <c r="AR353" s="59">
        <v>43</v>
      </c>
      <c r="AS353" s="59">
        <v>44</v>
      </c>
      <c r="AT353" s="59">
        <v>45</v>
      </c>
      <c r="AU353" s="59">
        <v>46</v>
      </c>
      <c r="AV353" s="59">
        <v>47</v>
      </c>
      <c r="AW353" s="59"/>
      <c r="AX353" s="59"/>
      <c r="AY353" s="59"/>
      <c r="AZ353" s="59"/>
      <c r="BA353" s="90"/>
    </row>
    <row r="354" spans="1:53" x14ac:dyDescent="0.3">
      <c r="A354" s="78" t="s">
        <v>70</v>
      </c>
      <c r="B354" s="79">
        <v>60</v>
      </c>
      <c r="C354" s="79">
        <v>60</v>
      </c>
      <c r="D354" s="79">
        <v>60</v>
      </c>
      <c r="E354" s="79">
        <f t="shared" ref="E354:AV354" si="246">D354</f>
        <v>60</v>
      </c>
      <c r="F354" s="79">
        <f t="shared" si="246"/>
        <v>60</v>
      </c>
      <c r="G354" s="79">
        <f t="shared" si="246"/>
        <v>60</v>
      </c>
      <c r="H354" s="79">
        <f t="shared" si="246"/>
        <v>60</v>
      </c>
      <c r="I354" s="79">
        <f t="shared" si="246"/>
        <v>60</v>
      </c>
      <c r="J354" s="79">
        <f t="shared" si="246"/>
        <v>60</v>
      </c>
      <c r="K354" s="79">
        <f t="shared" si="246"/>
        <v>60</v>
      </c>
      <c r="L354" s="79">
        <f t="shared" si="246"/>
        <v>60</v>
      </c>
      <c r="M354" s="79">
        <f t="shared" si="246"/>
        <v>60</v>
      </c>
      <c r="N354" s="79">
        <f t="shared" si="246"/>
        <v>60</v>
      </c>
      <c r="O354" s="79">
        <f t="shared" si="246"/>
        <v>60</v>
      </c>
      <c r="P354" s="79">
        <f t="shared" si="246"/>
        <v>60</v>
      </c>
      <c r="Q354" s="79">
        <f t="shared" si="246"/>
        <v>60</v>
      </c>
      <c r="R354" s="79">
        <f t="shared" si="246"/>
        <v>60</v>
      </c>
      <c r="S354" s="79">
        <f t="shared" si="246"/>
        <v>60</v>
      </c>
      <c r="T354" s="79">
        <f t="shared" si="246"/>
        <v>60</v>
      </c>
      <c r="U354" s="79">
        <f t="shared" si="246"/>
        <v>60</v>
      </c>
      <c r="V354" s="79">
        <f t="shared" si="246"/>
        <v>60</v>
      </c>
      <c r="W354" s="79">
        <f t="shared" si="246"/>
        <v>60</v>
      </c>
      <c r="X354" s="79">
        <f t="shared" si="246"/>
        <v>60</v>
      </c>
      <c r="Y354" s="79">
        <f t="shared" si="246"/>
        <v>60</v>
      </c>
      <c r="Z354" s="79">
        <f t="shared" si="246"/>
        <v>60</v>
      </c>
      <c r="AA354" s="79">
        <f t="shared" si="246"/>
        <v>60</v>
      </c>
      <c r="AB354" s="79">
        <f t="shared" si="246"/>
        <v>60</v>
      </c>
      <c r="AC354" s="79">
        <f t="shared" si="246"/>
        <v>60</v>
      </c>
      <c r="AD354" s="79">
        <f t="shared" si="246"/>
        <v>60</v>
      </c>
      <c r="AE354" s="79">
        <f t="shared" si="246"/>
        <v>60</v>
      </c>
      <c r="AF354" s="79">
        <f t="shared" si="246"/>
        <v>60</v>
      </c>
      <c r="AG354" s="79">
        <f t="shared" si="246"/>
        <v>60</v>
      </c>
      <c r="AH354" s="79">
        <f t="shared" si="246"/>
        <v>60</v>
      </c>
      <c r="AI354" s="79">
        <f t="shared" si="246"/>
        <v>60</v>
      </c>
      <c r="AJ354" s="79">
        <f t="shared" si="246"/>
        <v>60</v>
      </c>
      <c r="AK354" s="79">
        <f t="shared" si="246"/>
        <v>60</v>
      </c>
      <c r="AL354" s="79">
        <f t="shared" si="246"/>
        <v>60</v>
      </c>
      <c r="AM354" s="79">
        <f t="shared" si="246"/>
        <v>60</v>
      </c>
      <c r="AN354" s="79">
        <f t="shared" si="246"/>
        <v>60</v>
      </c>
      <c r="AO354" s="79">
        <f t="shared" si="246"/>
        <v>60</v>
      </c>
      <c r="AP354" s="79">
        <f t="shared" si="246"/>
        <v>60</v>
      </c>
      <c r="AQ354" s="79">
        <f t="shared" si="246"/>
        <v>60</v>
      </c>
      <c r="AR354" s="79">
        <f t="shared" si="246"/>
        <v>60</v>
      </c>
      <c r="AS354" s="79">
        <f t="shared" si="246"/>
        <v>60</v>
      </c>
      <c r="AT354" s="79">
        <f t="shared" si="246"/>
        <v>60</v>
      </c>
      <c r="AU354" s="79">
        <f t="shared" si="246"/>
        <v>60</v>
      </c>
      <c r="AV354" s="79">
        <f t="shared" si="246"/>
        <v>60</v>
      </c>
      <c r="AW354" s="79"/>
      <c r="AX354" s="79"/>
      <c r="AY354" s="79"/>
      <c r="AZ354" s="79"/>
      <c r="BA354" s="79"/>
    </row>
    <row r="355" spans="1:53" x14ac:dyDescent="0.3">
      <c r="A355" s="77" t="s">
        <v>71</v>
      </c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1"/>
    </row>
    <row r="356" spans="1:53" ht="15" thickBot="1" x14ac:dyDescent="0.35">
      <c r="A356" s="74" t="s">
        <v>72</v>
      </c>
      <c r="B356" s="75"/>
      <c r="C356" s="82"/>
      <c r="D356" s="75"/>
      <c r="E356" s="82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82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82"/>
      <c r="AU356" s="75"/>
      <c r="AV356" s="75"/>
      <c r="AW356" s="82"/>
      <c r="AX356" s="75"/>
      <c r="AY356" s="75"/>
      <c r="AZ356" s="75"/>
      <c r="BA356" s="76"/>
    </row>
    <row r="357" spans="1:53" s="58" customFormat="1" x14ac:dyDescent="0.3">
      <c r="A357" s="69" t="s">
        <v>73</v>
      </c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</row>
    <row r="358" spans="1:53" s="58" customFormat="1" x14ac:dyDescent="0.3">
      <c r="A358" s="83" t="s">
        <v>74</v>
      </c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</row>
    <row r="359" spans="1:53" s="58" customFormat="1" ht="15" thickBot="1" x14ac:dyDescent="0.35">
      <c r="A359" s="74" t="s">
        <v>75</v>
      </c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</row>
    <row r="364" spans="1:53" ht="18" x14ac:dyDescent="0.35">
      <c r="A364" s="60" t="s">
        <v>1</v>
      </c>
      <c r="B364" s="61" t="s">
        <v>64</v>
      </c>
      <c r="C364" s="62" t="s">
        <v>65</v>
      </c>
      <c r="E364" s="64"/>
    </row>
    <row r="365" spans="1:53" ht="18.600000000000001" thickBot="1" x14ac:dyDescent="0.4">
      <c r="A365" s="66"/>
      <c r="B365" s="64"/>
      <c r="C365" s="67"/>
      <c r="D365" s="68"/>
    </row>
    <row r="366" spans="1:53" x14ac:dyDescent="0.3">
      <c r="A366" s="69" t="s">
        <v>67</v>
      </c>
      <c r="B366" s="70">
        <v>1</v>
      </c>
      <c r="C366" s="70">
        <v>2</v>
      </c>
      <c r="D366" s="70">
        <v>3</v>
      </c>
      <c r="E366" s="70">
        <v>4</v>
      </c>
      <c r="F366" s="70">
        <v>5</v>
      </c>
      <c r="G366" s="70">
        <v>6</v>
      </c>
      <c r="H366" s="70">
        <v>7</v>
      </c>
      <c r="I366" s="70">
        <v>8</v>
      </c>
      <c r="J366" s="70">
        <v>9</v>
      </c>
      <c r="K366" s="70">
        <v>10</v>
      </c>
      <c r="L366" s="70">
        <v>11</v>
      </c>
      <c r="M366" s="70">
        <v>12</v>
      </c>
      <c r="N366" s="70">
        <v>13</v>
      </c>
      <c r="O366" s="70">
        <v>14</v>
      </c>
      <c r="P366" s="70">
        <v>15</v>
      </c>
      <c r="Q366" s="70">
        <v>16</v>
      </c>
      <c r="R366" s="70">
        <v>17</v>
      </c>
      <c r="S366" s="70">
        <v>18</v>
      </c>
      <c r="T366" s="70">
        <v>19</v>
      </c>
      <c r="U366" s="70">
        <v>20</v>
      </c>
      <c r="V366" s="70">
        <v>21</v>
      </c>
      <c r="W366" s="70">
        <v>22</v>
      </c>
      <c r="X366" s="70">
        <v>23</v>
      </c>
      <c r="Y366" s="70">
        <v>24</v>
      </c>
      <c r="Z366" s="70">
        <v>25</v>
      </c>
      <c r="AA366" s="70">
        <v>26</v>
      </c>
      <c r="AB366" s="70">
        <v>27</v>
      </c>
      <c r="AC366" s="70">
        <v>28</v>
      </c>
      <c r="AD366" s="70">
        <v>29</v>
      </c>
      <c r="AE366" s="70">
        <v>30</v>
      </c>
      <c r="AF366" s="70">
        <v>31</v>
      </c>
      <c r="AG366" s="70">
        <v>32</v>
      </c>
      <c r="AH366" s="70">
        <v>33</v>
      </c>
      <c r="AI366" s="70">
        <v>34</v>
      </c>
      <c r="AJ366" s="70">
        <v>35</v>
      </c>
      <c r="AK366" s="70">
        <v>36</v>
      </c>
      <c r="AL366" s="70">
        <v>37</v>
      </c>
      <c r="AM366" s="70">
        <v>38</v>
      </c>
      <c r="AN366" s="70">
        <v>39</v>
      </c>
      <c r="AO366" s="70">
        <v>40</v>
      </c>
      <c r="AP366" s="70">
        <v>41</v>
      </c>
      <c r="AQ366" s="70">
        <v>42</v>
      </c>
      <c r="AR366" s="70">
        <v>43</v>
      </c>
      <c r="AS366" s="70">
        <v>44</v>
      </c>
      <c r="AT366" s="70">
        <v>45</v>
      </c>
      <c r="AU366" s="70">
        <v>46</v>
      </c>
      <c r="AV366" s="70">
        <v>47</v>
      </c>
      <c r="AW366" s="70">
        <v>48</v>
      </c>
      <c r="AX366" s="70">
        <v>49</v>
      </c>
      <c r="AY366" s="70">
        <v>50</v>
      </c>
      <c r="AZ366" s="70">
        <v>51</v>
      </c>
      <c r="BA366" s="71">
        <v>52</v>
      </c>
    </row>
    <row r="367" spans="1:53" ht="13.95" customHeight="1" x14ac:dyDescent="0.3">
      <c r="A367" s="72" t="s">
        <v>68</v>
      </c>
      <c r="B367" s="73">
        <v>85</v>
      </c>
      <c r="C367" s="73">
        <v>85</v>
      </c>
      <c r="D367" s="73">
        <v>85</v>
      </c>
      <c r="E367" s="73">
        <v>85</v>
      </c>
      <c r="F367" s="73">
        <v>85</v>
      </c>
      <c r="G367" s="73">
        <v>85</v>
      </c>
      <c r="H367" s="73">
        <v>85</v>
      </c>
      <c r="I367" s="73">
        <v>85</v>
      </c>
      <c r="J367" s="73">
        <v>85</v>
      </c>
      <c r="K367" s="73">
        <v>85</v>
      </c>
      <c r="L367" s="73">
        <v>85</v>
      </c>
      <c r="M367" s="73">
        <v>85</v>
      </c>
      <c r="N367" s="73">
        <v>85</v>
      </c>
      <c r="O367" s="73">
        <v>85</v>
      </c>
      <c r="P367" s="73">
        <v>85</v>
      </c>
      <c r="Q367" s="73">
        <v>85</v>
      </c>
      <c r="R367" s="73">
        <v>85</v>
      </c>
      <c r="S367" s="73">
        <v>85</v>
      </c>
      <c r="T367" s="73">
        <v>85</v>
      </c>
      <c r="U367" s="73">
        <v>85</v>
      </c>
      <c r="V367" s="73">
        <v>85</v>
      </c>
      <c r="W367" s="73">
        <v>85</v>
      </c>
      <c r="X367" s="73">
        <v>85</v>
      </c>
      <c r="Y367" s="73">
        <v>85</v>
      </c>
      <c r="Z367" s="73">
        <v>85</v>
      </c>
      <c r="AA367" s="73">
        <v>85</v>
      </c>
      <c r="AB367" s="73">
        <v>85</v>
      </c>
      <c r="AC367" s="73">
        <v>85</v>
      </c>
      <c r="AD367" s="73">
        <v>85</v>
      </c>
      <c r="AE367" s="73">
        <v>85</v>
      </c>
      <c r="AF367" s="73">
        <v>85</v>
      </c>
      <c r="AG367" s="73">
        <v>85</v>
      </c>
      <c r="AH367" s="73">
        <v>85</v>
      </c>
      <c r="AI367" s="73">
        <v>85</v>
      </c>
      <c r="AJ367" s="73">
        <v>85</v>
      </c>
      <c r="AK367" s="73">
        <v>85</v>
      </c>
      <c r="AL367" s="73">
        <v>85</v>
      </c>
      <c r="AM367" s="73">
        <v>85</v>
      </c>
      <c r="AN367" s="73">
        <v>85</v>
      </c>
      <c r="AO367" s="73">
        <v>85</v>
      </c>
      <c r="AP367" s="73">
        <v>85</v>
      </c>
      <c r="AQ367" s="73">
        <v>85</v>
      </c>
      <c r="AR367" s="73">
        <v>85</v>
      </c>
      <c r="AS367" s="73">
        <v>85</v>
      </c>
      <c r="AT367" s="73">
        <v>85</v>
      </c>
      <c r="AU367" s="73">
        <v>85</v>
      </c>
      <c r="AV367" s="73">
        <v>85</v>
      </c>
      <c r="AW367" s="73"/>
      <c r="AX367" s="73"/>
      <c r="AY367" s="73"/>
      <c r="AZ367" s="73"/>
      <c r="BA367" s="73"/>
    </row>
    <row r="368" spans="1:53" ht="15" thickBot="1" x14ac:dyDescent="0.35">
      <c r="A368" s="74" t="s">
        <v>69</v>
      </c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6"/>
    </row>
    <row r="369" spans="1:53" x14ac:dyDescent="0.3">
      <c r="A369" s="77" t="s">
        <v>67</v>
      </c>
      <c r="B369" s="59">
        <v>1</v>
      </c>
      <c r="C369" s="59">
        <v>2</v>
      </c>
      <c r="D369" s="59">
        <v>3</v>
      </c>
      <c r="E369" s="59">
        <v>4</v>
      </c>
      <c r="F369" s="59">
        <v>5</v>
      </c>
      <c r="G369" s="59">
        <v>6</v>
      </c>
      <c r="H369" s="59">
        <v>7</v>
      </c>
      <c r="I369" s="59">
        <v>8</v>
      </c>
      <c r="J369" s="59">
        <v>9</v>
      </c>
      <c r="K369" s="59">
        <v>10</v>
      </c>
      <c r="L369" s="59">
        <v>11</v>
      </c>
      <c r="M369" s="59">
        <v>12</v>
      </c>
      <c r="N369" s="59">
        <v>13</v>
      </c>
      <c r="O369" s="59">
        <v>14</v>
      </c>
      <c r="P369" s="59">
        <v>15</v>
      </c>
      <c r="Q369" s="59">
        <v>16</v>
      </c>
      <c r="R369" s="59">
        <v>17</v>
      </c>
      <c r="S369" s="59">
        <v>18</v>
      </c>
      <c r="T369" s="59">
        <v>19</v>
      </c>
      <c r="U369" s="59">
        <v>20</v>
      </c>
      <c r="V369" s="59">
        <v>21</v>
      </c>
      <c r="W369" s="59">
        <v>22</v>
      </c>
      <c r="X369" s="59">
        <v>23</v>
      </c>
      <c r="Y369" s="59">
        <v>24</v>
      </c>
      <c r="Z369" s="59">
        <v>25</v>
      </c>
      <c r="AA369" s="59">
        <v>26</v>
      </c>
      <c r="AB369" s="59">
        <v>27</v>
      </c>
      <c r="AC369" s="59">
        <v>28</v>
      </c>
      <c r="AD369" s="59">
        <v>29</v>
      </c>
      <c r="AE369" s="59">
        <v>30</v>
      </c>
      <c r="AF369" s="59">
        <v>31</v>
      </c>
      <c r="AG369" s="59">
        <v>32</v>
      </c>
      <c r="AH369" s="59">
        <v>33</v>
      </c>
      <c r="AI369" s="59">
        <v>34</v>
      </c>
      <c r="AJ369" s="59">
        <v>35</v>
      </c>
      <c r="AK369" s="59">
        <v>36</v>
      </c>
      <c r="AL369" s="59">
        <v>37</v>
      </c>
      <c r="AM369" s="59">
        <v>38</v>
      </c>
      <c r="AN369" s="59">
        <v>39</v>
      </c>
      <c r="AO369" s="59">
        <v>40</v>
      </c>
      <c r="AP369" s="59">
        <v>41</v>
      </c>
      <c r="AQ369" s="59">
        <v>42</v>
      </c>
      <c r="AR369" s="59">
        <v>43</v>
      </c>
      <c r="AS369" s="59">
        <v>44</v>
      </c>
      <c r="AT369" s="59">
        <v>45</v>
      </c>
      <c r="AU369" s="59">
        <v>46</v>
      </c>
      <c r="AV369" s="59">
        <v>47</v>
      </c>
      <c r="AW369" s="59"/>
      <c r="AX369" s="59"/>
      <c r="AY369" s="59"/>
      <c r="AZ369" s="59"/>
      <c r="BA369" s="90"/>
    </row>
    <row r="370" spans="1:53" x14ac:dyDescent="0.3">
      <c r="A370" s="78" t="s">
        <v>70</v>
      </c>
      <c r="B370" s="79">
        <v>60</v>
      </c>
      <c r="C370" s="79">
        <v>60</v>
      </c>
      <c r="D370" s="79">
        <v>60</v>
      </c>
      <c r="E370" s="79">
        <f t="shared" ref="E370:AV370" si="247">D370</f>
        <v>60</v>
      </c>
      <c r="F370" s="79">
        <f t="shared" si="247"/>
        <v>60</v>
      </c>
      <c r="G370" s="79">
        <f t="shared" si="247"/>
        <v>60</v>
      </c>
      <c r="H370" s="79">
        <f t="shared" si="247"/>
        <v>60</v>
      </c>
      <c r="I370" s="79">
        <f t="shared" si="247"/>
        <v>60</v>
      </c>
      <c r="J370" s="79">
        <f t="shared" si="247"/>
        <v>60</v>
      </c>
      <c r="K370" s="79">
        <f t="shared" si="247"/>
        <v>60</v>
      </c>
      <c r="L370" s="79">
        <f t="shared" si="247"/>
        <v>60</v>
      </c>
      <c r="M370" s="79">
        <f t="shared" si="247"/>
        <v>60</v>
      </c>
      <c r="N370" s="79">
        <f t="shared" si="247"/>
        <v>60</v>
      </c>
      <c r="O370" s="79">
        <f t="shared" si="247"/>
        <v>60</v>
      </c>
      <c r="P370" s="79">
        <f t="shared" si="247"/>
        <v>60</v>
      </c>
      <c r="Q370" s="79">
        <f t="shared" si="247"/>
        <v>60</v>
      </c>
      <c r="R370" s="79">
        <f t="shared" si="247"/>
        <v>60</v>
      </c>
      <c r="S370" s="79">
        <f t="shared" si="247"/>
        <v>60</v>
      </c>
      <c r="T370" s="79">
        <f t="shared" si="247"/>
        <v>60</v>
      </c>
      <c r="U370" s="79">
        <f t="shared" si="247"/>
        <v>60</v>
      </c>
      <c r="V370" s="79">
        <f t="shared" si="247"/>
        <v>60</v>
      </c>
      <c r="W370" s="79">
        <f t="shared" si="247"/>
        <v>60</v>
      </c>
      <c r="X370" s="79">
        <f t="shared" si="247"/>
        <v>60</v>
      </c>
      <c r="Y370" s="79">
        <f t="shared" si="247"/>
        <v>60</v>
      </c>
      <c r="Z370" s="79">
        <f t="shared" si="247"/>
        <v>60</v>
      </c>
      <c r="AA370" s="79">
        <f t="shared" si="247"/>
        <v>60</v>
      </c>
      <c r="AB370" s="79">
        <f t="shared" si="247"/>
        <v>60</v>
      </c>
      <c r="AC370" s="79">
        <f t="shared" si="247"/>
        <v>60</v>
      </c>
      <c r="AD370" s="79">
        <f t="shared" si="247"/>
        <v>60</v>
      </c>
      <c r="AE370" s="79">
        <f t="shared" si="247"/>
        <v>60</v>
      </c>
      <c r="AF370" s="79">
        <f t="shared" si="247"/>
        <v>60</v>
      </c>
      <c r="AG370" s="79">
        <f t="shared" si="247"/>
        <v>60</v>
      </c>
      <c r="AH370" s="79">
        <f t="shared" si="247"/>
        <v>60</v>
      </c>
      <c r="AI370" s="79">
        <f t="shared" si="247"/>
        <v>60</v>
      </c>
      <c r="AJ370" s="79">
        <f t="shared" si="247"/>
        <v>60</v>
      </c>
      <c r="AK370" s="79">
        <f t="shared" si="247"/>
        <v>60</v>
      </c>
      <c r="AL370" s="79">
        <f t="shared" si="247"/>
        <v>60</v>
      </c>
      <c r="AM370" s="79">
        <f t="shared" si="247"/>
        <v>60</v>
      </c>
      <c r="AN370" s="79">
        <f t="shared" si="247"/>
        <v>60</v>
      </c>
      <c r="AO370" s="79">
        <f t="shared" si="247"/>
        <v>60</v>
      </c>
      <c r="AP370" s="79">
        <f t="shared" si="247"/>
        <v>60</v>
      </c>
      <c r="AQ370" s="79">
        <f t="shared" si="247"/>
        <v>60</v>
      </c>
      <c r="AR370" s="79">
        <f t="shared" si="247"/>
        <v>60</v>
      </c>
      <c r="AS370" s="79">
        <f t="shared" si="247"/>
        <v>60</v>
      </c>
      <c r="AT370" s="79">
        <f t="shared" si="247"/>
        <v>60</v>
      </c>
      <c r="AU370" s="79">
        <f t="shared" si="247"/>
        <v>60</v>
      </c>
      <c r="AV370" s="79">
        <f t="shared" si="247"/>
        <v>60</v>
      </c>
      <c r="AW370" s="79"/>
      <c r="AX370" s="79"/>
      <c r="AY370" s="79"/>
      <c r="AZ370" s="79"/>
      <c r="BA370" s="79"/>
    </row>
    <row r="371" spans="1:53" x14ac:dyDescent="0.3">
      <c r="A371" s="77" t="s">
        <v>71</v>
      </c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1"/>
    </row>
    <row r="372" spans="1:53" ht="15" thickBot="1" x14ac:dyDescent="0.35">
      <c r="A372" s="74" t="s">
        <v>72</v>
      </c>
      <c r="B372" s="75"/>
      <c r="C372" s="82"/>
      <c r="D372" s="75"/>
      <c r="E372" s="82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82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82"/>
      <c r="AU372" s="75"/>
      <c r="AV372" s="75"/>
      <c r="AW372" s="82"/>
      <c r="AX372" s="75"/>
      <c r="AY372" s="75"/>
      <c r="AZ372" s="75"/>
      <c r="BA372" s="76"/>
    </row>
    <row r="373" spans="1:53" s="58" customFormat="1" x14ac:dyDescent="0.3">
      <c r="A373" s="69" t="s">
        <v>73</v>
      </c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</row>
    <row r="374" spans="1:53" s="58" customFormat="1" x14ac:dyDescent="0.3">
      <c r="A374" s="83" t="s">
        <v>74</v>
      </c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6"/>
      <c r="AX374" s="84"/>
      <c r="AY374" s="84"/>
      <c r="AZ374" s="84"/>
      <c r="BA374" s="84"/>
    </row>
    <row r="375" spans="1:53" s="58" customFormat="1" ht="15" thickBot="1" x14ac:dyDescent="0.35">
      <c r="A375" s="74" t="s">
        <v>75</v>
      </c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7"/>
      <c r="AX375" s="85"/>
      <c r="AY375" s="85"/>
      <c r="AZ375" s="85"/>
      <c r="BA375" s="85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0"/>
  <sheetViews>
    <sheetView workbookViewId="0">
      <selection activeCell="D16" sqref="D16"/>
    </sheetView>
  </sheetViews>
  <sheetFormatPr defaultColWidth="9" defaultRowHeight="14.4" x14ac:dyDescent="0.3"/>
  <cols>
    <col min="1" max="1" width="16.6640625" style="1" customWidth="1"/>
    <col min="2" max="2" width="16.5546875" style="1" customWidth="1"/>
    <col min="3" max="3" width="26.88671875" style="1" customWidth="1"/>
    <col min="4" max="4" width="16.109375" style="1" customWidth="1"/>
    <col min="5" max="5" width="15.6640625" style="1" customWidth="1"/>
    <col min="6" max="6" width="20.33203125" style="1" customWidth="1"/>
    <col min="7" max="12" width="9" style="1"/>
    <col min="13" max="13" width="16.109375" style="1" customWidth="1"/>
    <col min="14" max="14" width="13.6640625" style="1" customWidth="1"/>
    <col min="15" max="16384" width="9" style="1"/>
  </cols>
  <sheetData>
    <row r="1" spans="1:14" ht="49.2" customHeight="1" x14ac:dyDescent="0.4">
      <c r="A1" s="246" t="s">
        <v>80</v>
      </c>
      <c r="B1" s="172" t="s">
        <v>1</v>
      </c>
      <c r="C1" s="240" t="s">
        <v>3</v>
      </c>
      <c r="D1" s="240" t="s">
        <v>4</v>
      </c>
      <c r="E1" s="242" t="s">
        <v>81</v>
      </c>
      <c r="F1" s="244" t="s">
        <v>2</v>
      </c>
      <c r="N1" s="13">
        <v>46034</v>
      </c>
    </row>
    <row r="2" spans="1:14" ht="12" customHeight="1" thickBot="1" x14ac:dyDescent="0.45">
      <c r="A2" s="246"/>
      <c r="B2" s="173"/>
      <c r="C2" s="241"/>
      <c r="D2" s="241"/>
      <c r="E2" s="243"/>
      <c r="F2" s="245"/>
    </row>
    <row r="3" spans="1:14" ht="21" x14ac:dyDescent="0.4">
      <c r="A3" s="12"/>
      <c r="B3" s="53" t="s">
        <v>58</v>
      </c>
      <c r="C3" s="51" t="s">
        <v>59</v>
      </c>
      <c r="D3" s="51">
        <v>1</v>
      </c>
      <c r="E3" s="174"/>
      <c r="F3" s="175">
        <v>119</v>
      </c>
    </row>
    <row r="4" spans="1:14" ht="21" x14ac:dyDescent="0.4">
      <c r="A4" s="12"/>
      <c r="B4" s="54" t="s">
        <v>60</v>
      </c>
      <c r="C4" s="52" t="s">
        <v>59</v>
      </c>
      <c r="D4" s="52">
        <v>2</v>
      </c>
      <c r="E4" s="176"/>
      <c r="F4" s="45">
        <v>118</v>
      </c>
    </row>
    <row r="5" spans="1:14" ht="21" x14ac:dyDescent="0.4">
      <c r="B5" s="54" t="s">
        <v>61</v>
      </c>
      <c r="C5" s="52" t="s">
        <v>59</v>
      </c>
      <c r="D5" s="52">
        <v>3</v>
      </c>
      <c r="E5" s="176"/>
      <c r="F5" s="45">
        <v>117</v>
      </c>
    </row>
    <row r="6" spans="1:14" ht="21" x14ac:dyDescent="0.4">
      <c r="A6" s="177"/>
      <c r="B6" s="54" t="s">
        <v>27</v>
      </c>
      <c r="C6" s="52" t="s">
        <v>16</v>
      </c>
      <c r="D6" s="52">
        <v>4</v>
      </c>
      <c r="E6" s="176"/>
      <c r="F6" s="45">
        <v>108</v>
      </c>
    </row>
    <row r="7" spans="1:14" ht="21" x14ac:dyDescent="0.4">
      <c r="A7" s="177"/>
      <c r="B7" s="54" t="s">
        <v>21</v>
      </c>
      <c r="C7" s="52" t="s">
        <v>16</v>
      </c>
      <c r="D7" s="52">
        <v>5</v>
      </c>
      <c r="E7" s="176"/>
      <c r="F7" s="178">
        <v>107</v>
      </c>
    </row>
    <row r="8" spans="1:14" ht="21" x14ac:dyDescent="0.4">
      <c r="A8" s="177"/>
      <c r="B8" s="54" t="s">
        <v>23</v>
      </c>
      <c r="C8" s="52" t="s">
        <v>16</v>
      </c>
      <c r="D8" s="52">
        <v>6</v>
      </c>
      <c r="E8" s="176"/>
      <c r="F8" s="178">
        <v>106</v>
      </c>
    </row>
    <row r="9" spans="1:14" ht="21" x14ac:dyDescent="0.4">
      <c r="B9" s="54" t="s">
        <v>31</v>
      </c>
      <c r="C9" s="52" t="s">
        <v>38</v>
      </c>
      <c r="D9" s="52">
        <v>7</v>
      </c>
      <c r="E9" s="176"/>
      <c r="F9" s="178">
        <v>102</v>
      </c>
    </row>
    <row r="10" spans="1:14" ht="21" x14ac:dyDescent="0.4">
      <c r="B10" s="54" t="s">
        <v>25</v>
      </c>
      <c r="C10" s="52" t="s">
        <v>41</v>
      </c>
      <c r="D10" s="52">
        <v>8</v>
      </c>
      <c r="E10" s="176"/>
      <c r="F10" s="178">
        <v>100</v>
      </c>
    </row>
    <row r="11" spans="1:14" ht="21" x14ac:dyDescent="0.4">
      <c r="A11" s="179"/>
      <c r="B11" s="47" t="s">
        <v>37</v>
      </c>
      <c r="C11" s="52" t="s">
        <v>41</v>
      </c>
      <c r="D11" s="52">
        <v>9</v>
      </c>
      <c r="E11" s="176"/>
      <c r="F11" s="178">
        <v>99</v>
      </c>
      <c r="H11" s="1" t="s">
        <v>82</v>
      </c>
    </row>
    <row r="12" spans="1:14" ht="21" x14ac:dyDescent="0.4">
      <c r="A12" s="179"/>
      <c r="B12" s="47" t="s">
        <v>33</v>
      </c>
      <c r="C12" s="52" t="s">
        <v>41</v>
      </c>
      <c r="D12" s="52">
        <v>10</v>
      </c>
      <c r="E12" s="176"/>
      <c r="F12" s="178">
        <v>99</v>
      </c>
    </row>
    <row r="13" spans="1:14" ht="21" x14ac:dyDescent="0.4">
      <c r="A13" s="179"/>
      <c r="B13" s="47" t="s">
        <v>36</v>
      </c>
      <c r="C13" s="52" t="s">
        <v>41</v>
      </c>
      <c r="D13" s="52">
        <v>11</v>
      </c>
      <c r="E13" s="176"/>
      <c r="F13" s="178">
        <v>99</v>
      </c>
    </row>
    <row r="14" spans="1:14" ht="21" x14ac:dyDescent="0.4">
      <c r="A14" s="179"/>
      <c r="B14" s="47" t="s">
        <v>42</v>
      </c>
      <c r="C14" s="52" t="s">
        <v>41</v>
      </c>
      <c r="D14" s="52">
        <v>12</v>
      </c>
      <c r="E14" s="176"/>
      <c r="F14" s="178">
        <v>98</v>
      </c>
    </row>
    <row r="15" spans="1:14" ht="21" x14ac:dyDescent="0.4">
      <c r="A15" s="180"/>
      <c r="B15" s="48" t="s">
        <v>39</v>
      </c>
      <c r="C15" s="52" t="s">
        <v>41</v>
      </c>
      <c r="D15" s="52">
        <v>13</v>
      </c>
      <c r="E15" s="176"/>
      <c r="F15" s="178">
        <v>98</v>
      </c>
    </row>
    <row r="16" spans="1:14" ht="21" x14ac:dyDescent="0.4">
      <c r="A16" s="179"/>
      <c r="B16" s="48" t="s">
        <v>44</v>
      </c>
      <c r="C16" s="52" t="s">
        <v>41</v>
      </c>
      <c r="D16" s="52">
        <v>14</v>
      </c>
      <c r="E16" s="176"/>
      <c r="F16" s="178">
        <v>97</v>
      </c>
    </row>
    <row r="17" spans="1:6" ht="21" x14ac:dyDescent="0.4">
      <c r="A17" s="179"/>
      <c r="B17" s="181" t="s">
        <v>40</v>
      </c>
      <c r="C17" s="52" t="s">
        <v>41</v>
      </c>
      <c r="D17" s="182">
        <v>15</v>
      </c>
      <c r="E17" s="183"/>
      <c r="F17" s="178">
        <v>96</v>
      </c>
    </row>
    <row r="18" spans="1:6" ht="21" x14ac:dyDescent="0.3">
      <c r="B18" s="55" t="s">
        <v>45</v>
      </c>
      <c r="C18" s="49" t="s">
        <v>62</v>
      </c>
      <c r="D18" s="49">
        <v>16</v>
      </c>
      <c r="E18" s="49"/>
      <c r="F18" s="45">
        <v>90</v>
      </c>
    </row>
    <row r="19" spans="1:6" ht="21.6" thickBot="1" x14ac:dyDescent="0.35">
      <c r="B19" s="56" t="s">
        <v>46</v>
      </c>
      <c r="C19" s="50" t="s">
        <v>62</v>
      </c>
      <c r="D19" s="50">
        <v>17</v>
      </c>
      <c r="E19" s="50"/>
      <c r="F19" s="46">
        <v>88</v>
      </c>
    </row>
    <row r="20" spans="1:6" ht="21" x14ac:dyDescent="0.3">
      <c r="B20" s="44"/>
      <c r="C20" s="44"/>
      <c r="D20" s="44"/>
      <c r="E20" s="44"/>
      <c r="F20" s="44"/>
    </row>
  </sheetData>
  <mergeCells count="5">
    <mergeCell ref="C1:C2"/>
    <mergeCell ref="D1:D2"/>
    <mergeCell ref="E1:E2"/>
    <mergeCell ref="F1:F2"/>
    <mergeCell ref="A1:A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E27A-57FE-4686-B76B-0C8DA647E77B}">
  <dimension ref="A1:V99"/>
  <sheetViews>
    <sheetView topLeftCell="A27" workbookViewId="0">
      <selection activeCell="J51" sqref="J51"/>
    </sheetView>
  </sheetViews>
  <sheetFormatPr defaultRowHeight="14.4" x14ac:dyDescent="0.3"/>
  <cols>
    <col min="7" max="7" width="21.6640625" bestFit="1" customWidth="1"/>
    <col min="8" max="8" width="12.77734375" bestFit="1" customWidth="1"/>
    <col min="9" max="14" width="5" bestFit="1" customWidth="1"/>
    <col min="15" max="15" width="10.5546875" bestFit="1" customWidth="1"/>
    <col min="16" max="21" width="7.33203125" bestFit="1" customWidth="1"/>
    <col min="22" max="22" width="10.5546875" bestFit="1" customWidth="1"/>
  </cols>
  <sheetData>
    <row r="1" spans="1:22" x14ac:dyDescent="0.3">
      <c r="A1" s="16" t="s">
        <v>83</v>
      </c>
    </row>
    <row r="2" spans="1:22" x14ac:dyDescent="0.3">
      <c r="A2" s="15" t="s">
        <v>84</v>
      </c>
    </row>
    <row r="4" spans="1:22" x14ac:dyDescent="0.3">
      <c r="A4" s="16" t="s">
        <v>85</v>
      </c>
    </row>
    <row r="5" spans="1:22" ht="18" x14ac:dyDescent="0.35">
      <c r="A5" s="14" t="s">
        <v>86</v>
      </c>
      <c r="B5" s="14" t="s">
        <v>87</v>
      </c>
      <c r="C5" s="14" t="s">
        <v>1</v>
      </c>
      <c r="D5" s="14" t="s">
        <v>88</v>
      </c>
      <c r="G5" s="25" t="s">
        <v>87</v>
      </c>
      <c r="H5" t="s">
        <v>89</v>
      </c>
    </row>
    <row r="6" spans="1:22" x14ac:dyDescent="0.3">
      <c r="A6" t="s">
        <v>14</v>
      </c>
      <c r="B6">
        <v>1</v>
      </c>
      <c r="C6" t="s">
        <v>15</v>
      </c>
      <c r="D6">
        <v>134</v>
      </c>
    </row>
    <row r="7" spans="1:22" x14ac:dyDescent="0.3">
      <c r="A7" t="s">
        <v>20</v>
      </c>
      <c r="B7">
        <v>1</v>
      </c>
      <c r="C7" t="s">
        <v>21</v>
      </c>
      <c r="D7">
        <v>360</v>
      </c>
      <c r="G7" s="24" t="s">
        <v>90</v>
      </c>
      <c r="H7" s="24" t="s">
        <v>1</v>
      </c>
    </row>
    <row r="8" spans="1:22" x14ac:dyDescent="0.3">
      <c r="A8" t="s">
        <v>20</v>
      </c>
      <c r="B8">
        <v>1</v>
      </c>
      <c r="C8" t="s">
        <v>25</v>
      </c>
      <c r="D8">
        <v>358</v>
      </c>
      <c r="G8" s="24" t="s">
        <v>86</v>
      </c>
      <c r="H8" t="s">
        <v>46</v>
      </c>
      <c r="I8" t="s">
        <v>39</v>
      </c>
      <c r="J8" t="s">
        <v>45</v>
      </c>
      <c r="K8" t="s">
        <v>42</v>
      </c>
      <c r="L8" t="s">
        <v>40</v>
      </c>
      <c r="M8" t="s">
        <v>37</v>
      </c>
      <c r="N8" t="s">
        <v>44</v>
      </c>
      <c r="O8" t="s">
        <v>25</v>
      </c>
      <c r="P8" t="s">
        <v>31</v>
      </c>
      <c r="Q8" t="s">
        <v>21</v>
      </c>
      <c r="R8" t="s">
        <v>27</v>
      </c>
      <c r="S8" t="s">
        <v>15</v>
      </c>
      <c r="T8" t="s">
        <v>23</v>
      </c>
      <c r="U8" t="s">
        <v>36</v>
      </c>
      <c r="V8" t="s">
        <v>91</v>
      </c>
    </row>
    <row r="9" spans="1:22" x14ac:dyDescent="0.3">
      <c r="A9" t="s">
        <v>14</v>
      </c>
      <c r="B9">
        <v>1</v>
      </c>
      <c r="C9" t="s">
        <v>27</v>
      </c>
      <c r="D9">
        <v>145</v>
      </c>
      <c r="G9" s="95" t="s">
        <v>20</v>
      </c>
      <c r="H9">
        <v>460</v>
      </c>
      <c r="I9">
        <v>2162</v>
      </c>
      <c r="J9">
        <v>214</v>
      </c>
      <c r="K9">
        <v>744</v>
      </c>
      <c r="L9">
        <v>978</v>
      </c>
      <c r="N9">
        <v>268</v>
      </c>
      <c r="O9">
        <v>1466</v>
      </c>
      <c r="P9">
        <v>926</v>
      </c>
      <c r="Q9">
        <v>1342</v>
      </c>
      <c r="R9">
        <v>280</v>
      </c>
      <c r="S9">
        <v>412</v>
      </c>
      <c r="T9">
        <v>156</v>
      </c>
      <c r="U9">
        <v>238</v>
      </c>
      <c r="V9">
        <v>9646</v>
      </c>
    </row>
    <row r="10" spans="1:22" x14ac:dyDescent="0.3">
      <c r="A10" t="s">
        <v>14</v>
      </c>
      <c r="B10">
        <v>1</v>
      </c>
      <c r="C10" t="s">
        <v>31</v>
      </c>
      <c r="D10">
        <v>338</v>
      </c>
      <c r="G10" s="95" t="s">
        <v>43</v>
      </c>
      <c r="H10">
        <v>446</v>
      </c>
      <c r="I10">
        <v>1080</v>
      </c>
      <c r="J10">
        <v>278</v>
      </c>
      <c r="K10">
        <v>1350</v>
      </c>
      <c r="L10">
        <v>1234</v>
      </c>
      <c r="M10">
        <v>935</v>
      </c>
      <c r="N10">
        <v>804</v>
      </c>
      <c r="O10">
        <v>1534</v>
      </c>
      <c r="P10">
        <v>346</v>
      </c>
      <c r="Q10">
        <v>842</v>
      </c>
      <c r="R10">
        <v>825</v>
      </c>
      <c r="S10">
        <v>320</v>
      </c>
      <c r="U10">
        <v>710</v>
      </c>
      <c r="V10">
        <v>10704</v>
      </c>
    </row>
    <row r="11" spans="1:22" x14ac:dyDescent="0.3">
      <c r="A11" t="s">
        <v>14</v>
      </c>
      <c r="B11">
        <v>1</v>
      </c>
      <c r="C11" t="s">
        <v>36</v>
      </c>
      <c r="D11">
        <v>170</v>
      </c>
      <c r="G11" s="95" t="s">
        <v>14</v>
      </c>
      <c r="I11">
        <v>458</v>
      </c>
      <c r="K11">
        <v>268</v>
      </c>
      <c r="M11">
        <v>278</v>
      </c>
      <c r="N11">
        <v>818</v>
      </c>
      <c r="O11">
        <v>466</v>
      </c>
      <c r="P11">
        <v>934</v>
      </c>
      <c r="R11">
        <v>145</v>
      </c>
      <c r="S11">
        <v>344</v>
      </c>
      <c r="U11">
        <v>634</v>
      </c>
      <c r="V11">
        <v>4345</v>
      </c>
    </row>
    <row r="12" spans="1:22" x14ac:dyDescent="0.3">
      <c r="A12" t="s">
        <v>14</v>
      </c>
      <c r="B12">
        <v>1</v>
      </c>
      <c r="C12" t="s">
        <v>37</v>
      </c>
      <c r="D12">
        <v>278</v>
      </c>
      <c r="G12" s="95" t="s">
        <v>91</v>
      </c>
      <c r="H12">
        <v>906</v>
      </c>
      <c r="I12">
        <v>3700</v>
      </c>
      <c r="J12">
        <v>492</v>
      </c>
      <c r="K12">
        <v>2362</v>
      </c>
      <c r="L12">
        <v>2212</v>
      </c>
      <c r="M12">
        <v>1213</v>
      </c>
      <c r="N12">
        <v>1890</v>
      </c>
      <c r="O12">
        <v>3466</v>
      </c>
      <c r="P12">
        <v>2206</v>
      </c>
      <c r="Q12">
        <v>2184</v>
      </c>
      <c r="R12">
        <v>1250</v>
      </c>
      <c r="S12">
        <v>1076</v>
      </c>
      <c r="T12">
        <v>156</v>
      </c>
      <c r="U12">
        <v>1582</v>
      </c>
      <c r="V12">
        <v>24695</v>
      </c>
    </row>
    <row r="13" spans="1:22" x14ac:dyDescent="0.3">
      <c r="A13" t="s">
        <v>20</v>
      </c>
      <c r="B13">
        <v>1</v>
      </c>
      <c r="C13" t="s">
        <v>39</v>
      </c>
      <c r="D13">
        <v>638</v>
      </c>
    </row>
    <row r="14" spans="1:22" ht="18" x14ac:dyDescent="0.35">
      <c r="A14" t="s">
        <v>20</v>
      </c>
      <c r="B14">
        <v>1</v>
      </c>
      <c r="C14" t="s">
        <v>40</v>
      </c>
      <c r="D14">
        <v>278</v>
      </c>
      <c r="G14" s="25" t="s">
        <v>1</v>
      </c>
      <c r="H14" t="s">
        <v>89</v>
      </c>
    </row>
    <row r="15" spans="1:22" x14ac:dyDescent="0.3">
      <c r="A15" t="s">
        <v>20</v>
      </c>
      <c r="B15">
        <v>1</v>
      </c>
      <c r="C15" t="s">
        <v>42</v>
      </c>
      <c r="D15">
        <v>372</v>
      </c>
    </row>
    <row r="16" spans="1:22" x14ac:dyDescent="0.3">
      <c r="A16" t="s">
        <v>43</v>
      </c>
      <c r="B16">
        <v>1</v>
      </c>
      <c r="C16" t="s">
        <v>44</v>
      </c>
      <c r="D16">
        <v>318</v>
      </c>
      <c r="G16" s="24" t="s">
        <v>90</v>
      </c>
      <c r="H16" s="24" t="s">
        <v>92</v>
      </c>
    </row>
    <row r="17" spans="1:15" x14ac:dyDescent="0.3">
      <c r="A17" t="s">
        <v>20</v>
      </c>
      <c r="B17">
        <v>1</v>
      </c>
      <c r="C17" t="s">
        <v>46</v>
      </c>
      <c r="D17">
        <v>214</v>
      </c>
      <c r="G17" s="24" t="s">
        <v>86</v>
      </c>
      <c r="H17">
        <v>1</v>
      </c>
      <c r="I17">
        <v>2</v>
      </c>
      <c r="J17">
        <v>3</v>
      </c>
      <c r="K17">
        <v>4</v>
      </c>
      <c r="L17">
        <v>5</v>
      </c>
      <c r="M17">
        <v>6</v>
      </c>
      <c r="N17">
        <v>7</v>
      </c>
      <c r="O17" t="s">
        <v>91</v>
      </c>
    </row>
    <row r="18" spans="1:15" x14ac:dyDescent="0.3">
      <c r="A18" t="s">
        <v>43</v>
      </c>
      <c r="B18">
        <v>2</v>
      </c>
      <c r="C18" t="s">
        <v>15</v>
      </c>
      <c r="D18">
        <v>112</v>
      </c>
      <c r="G18" s="95" t="s">
        <v>20</v>
      </c>
      <c r="H18">
        <v>2220</v>
      </c>
      <c r="I18">
        <v>1596</v>
      </c>
      <c r="J18">
        <v>1290</v>
      </c>
      <c r="K18">
        <v>328</v>
      </c>
      <c r="L18">
        <v>1746</v>
      </c>
      <c r="M18">
        <v>1706</v>
      </c>
      <c r="N18">
        <v>760</v>
      </c>
      <c r="O18">
        <v>9646</v>
      </c>
    </row>
    <row r="19" spans="1:15" x14ac:dyDescent="0.3">
      <c r="A19" t="s">
        <v>43</v>
      </c>
      <c r="B19">
        <v>2</v>
      </c>
      <c r="C19" t="s">
        <v>21</v>
      </c>
      <c r="D19">
        <v>250</v>
      </c>
      <c r="G19" s="95" t="s">
        <v>43</v>
      </c>
      <c r="H19">
        <v>318</v>
      </c>
      <c r="I19">
        <v>1953</v>
      </c>
      <c r="J19">
        <v>1788</v>
      </c>
      <c r="K19">
        <v>2058</v>
      </c>
      <c r="L19">
        <v>1136</v>
      </c>
      <c r="M19">
        <v>1803</v>
      </c>
      <c r="N19">
        <v>1648</v>
      </c>
      <c r="O19">
        <v>10704</v>
      </c>
    </row>
    <row r="20" spans="1:15" x14ac:dyDescent="0.3">
      <c r="A20" t="s">
        <v>20</v>
      </c>
      <c r="B20">
        <v>2</v>
      </c>
      <c r="C20" t="s">
        <v>25</v>
      </c>
      <c r="D20">
        <v>550</v>
      </c>
      <c r="G20" s="95" t="s">
        <v>14</v>
      </c>
      <c r="H20">
        <v>1065</v>
      </c>
      <c r="J20">
        <v>446</v>
      </c>
      <c r="K20">
        <v>1042</v>
      </c>
      <c r="L20">
        <v>278</v>
      </c>
      <c r="M20">
        <v>288</v>
      </c>
      <c r="N20">
        <v>1226</v>
      </c>
      <c r="O20">
        <v>4345</v>
      </c>
    </row>
    <row r="21" spans="1:15" x14ac:dyDescent="0.3">
      <c r="A21" t="s">
        <v>43</v>
      </c>
      <c r="B21">
        <v>2</v>
      </c>
      <c r="C21" t="s">
        <v>27</v>
      </c>
      <c r="D21">
        <v>215</v>
      </c>
      <c r="G21" s="95" t="s">
        <v>91</v>
      </c>
      <c r="H21">
        <v>3603</v>
      </c>
      <c r="I21">
        <v>3549</v>
      </c>
      <c r="J21">
        <v>3524</v>
      </c>
      <c r="K21">
        <v>3428</v>
      </c>
      <c r="L21">
        <v>3160</v>
      </c>
      <c r="M21">
        <v>3797</v>
      </c>
      <c r="N21">
        <v>3634</v>
      </c>
      <c r="O21">
        <v>24695</v>
      </c>
    </row>
    <row r="22" spans="1:15" x14ac:dyDescent="0.3">
      <c r="A22" t="s">
        <v>20</v>
      </c>
      <c r="B22">
        <v>2</v>
      </c>
      <c r="C22" t="s">
        <v>31</v>
      </c>
      <c r="D22">
        <v>328</v>
      </c>
    </row>
    <row r="23" spans="1:15" x14ac:dyDescent="0.3">
      <c r="A23" t="s">
        <v>43</v>
      </c>
      <c r="B23">
        <v>2</v>
      </c>
      <c r="C23" t="s">
        <v>36</v>
      </c>
      <c r="D23">
        <v>252</v>
      </c>
    </row>
    <row r="24" spans="1:15" ht="18" x14ac:dyDescent="0.35">
      <c r="A24" t="s">
        <v>43</v>
      </c>
      <c r="B24">
        <v>2</v>
      </c>
      <c r="C24" t="s">
        <v>37</v>
      </c>
      <c r="D24">
        <v>172</v>
      </c>
      <c r="G24" s="25" t="s">
        <v>86</v>
      </c>
      <c r="H24" t="s">
        <v>89</v>
      </c>
    </row>
    <row r="25" spans="1:15" x14ac:dyDescent="0.3">
      <c r="A25" t="s">
        <v>43</v>
      </c>
      <c r="B25">
        <v>2</v>
      </c>
      <c r="C25" t="s">
        <v>39</v>
      </c>
      <c r="D25">
        <v>514</v>
      </c>
    </row>
    <row r="26" spans="1:15" x14ac:dyDescent="0.3">
      <c r="A26" t="s">
        <v>20</v>
      </c>
      <c r="B26">
        <v>2</v>
      </c>
      <c r="C26" t="s">
        <v>40</v>
      </c>
      <c r="D26">
        <v>346</v>
      </c>
      <c r="G26" s="24" t="s">
        <v>90</v>
      </c>
      <c r="H26" s="24" t="s">
        <v>93</v>
      </c>
    </row>
    <row r="27" spans="1:15" x14ac:dyDescent="0.3">
      <c r="A27" t="s">
        <v>20</v>
      </c>
      <c r="B27">
        <v>2</v>
      </c>
      <c r="C27" t="s">
        <v>42</v>
      </c>
      <c r="D27">
        <v>372</v>
      </c>
      <c r="G27" s="24" t="s">
        <v>1</v>
      </c>
      <c r="H27">
        <v>1</v>
      </c>
      <c r="I27">
        <v>2</v>
      </c>
      <c r="J27">
        <v>3</v>
      </c>
      <c r="K27">
        <v>4</v>
      </c>
      <c r="L27">
        <v>5</v>
      </c>
      <c r="M27">
        <v>6</v>
      </c>
      <c r="N27">
        <v>7</v>
      </c>
      <c r="O27" t="s">
        <v>91</v>
      </c>
    </row>
    <row r="28" spans="1:15" x14ac:dyDescent="0.3">
      <c r="A28" t="s">
        <v>43</v>
      </c>
      <c r="B28">
        <v>2</v>
      </c>
      <c r="C28" t="s">
        <v>44</v>
      </c>
      <c r="D28">
        <v>212</v>
      </c>
      <c r="G28" s="95" t="s">
        <v>46</v>
      </c>
      <c r="H28">
        <v>214</v>
      </c>
      <c r="I28">
        <v>226</v>
      </c>
      <c r="J28">
        <v>246</v>
      </c>
      <c r="K28">
        <v>220</v>
      </c>
      <c r="O28">
        <v>906</v>
      </c>
    </row>
    <row r="29" spans="1:15" x14ac:dyDescent="0.3">
      <c r="A29" t="s">
        <v>43</v>
      </c>
      <c r="B29">
        <v>2</v>
      </c>
      <c r="C29" t="s">
        <v>46</v>
      </c>
      <c r="D29">
        <v>226</v>
      </c>
      <c r="G29" s="95" t="s">
        <v>39</v>
      </c>
      <c r="H29">
        <v>638</v>
      </c>
      <c r="I29">
        <v>514</v>
      </c>
      <c r="J29">
        <v>406</v>
      </c>
      <c r="K29">
        <v>566</v>
      </c>
      <c r="L29">
        <v>524</v>
      </c>
      <c r="M29">
        <v>594</v>
      </c>
      <c r="N29">
        <v>458</v>
      </c>
      <c r="O29">
        <v>3700</v>
      </c>
    </row>
    <row r="30" spans="1:15" x14ac:dyDescent="0.3">
      <c r="A30" t="s">
        <v>20</v>
      </c>
      <c r="B30">
        <v>3</v>
      </c>
      <c r="C30" t="s">
        <v>15</v>
      </c>
      <c r="D30">
        <v>186</v>
      </c>
      <c r="G30" s="95" t="s">
        <v>45</v>
      </c>
      <c r="L30">
        <v>214</v>
      </c>
      <c r="M30">
        <v>278</v>
      </c>
      <c r="O30">
        <v>492</v>
      </c>
    </row>
    <row r="31" spans="1:15" x14ac:dyDescent="0.3">
      <c r="A31" t="s">
        <v>20</v>
      </c>
      <c r="B31">
        <v>3</v>
      </c>
      <c r="C31" t="s">
        <v>21</v>
      </c>
      <c r="D31">
        <v>318</v>
      </c>
      <c r="G31" s="95" t="s">
        <v>42</v>
      </c>
      <c r="H31">
        <v>372</v>
      </c>
      <c r="I31">
        <v>372</v>
      </c>
      <c r="J31">
        <v>328</v>
      </c>
      <c r="K31">
        <v>268</v>
      </c>
      <c r="L31">
        <v>246</v>
      </c>
      <c r="M31">
        <v>360</v>
      </c>
      <c r="N31">
        <v>416</v>
      </c>
      <c r="O31">
        <v>2362</v>
      </c>
    </row>
    <row r="32" spans="1:15" x14ac:dyDescent="0.3">
      <c r="A32" t="s">
        <v>43</v>
      </c>
      <c r="B32">
        <v>3</v>
      </c>
      <c r="C32" t="s">
        <v>25</v>
      </c>
      <c r="D32">
        <v>566</v>
      </c>
      <c r="G32" s="95" t="s">
        <v>40</v>
      </c>
      <c r="H32">
        <v>278</v>
      </c>
      <c r="I32">
        <v>346</v>
      </c>
      <c r="J32">
        <v>282</v>
      </c>
      <c r="K32">
        <v>300</v>
      </c>
      <c r="L32">
        <v>322</v>
      </c>
      <c r="M32">
        <v>354</v>
      </c>
      <c r="N32">
        <v>330</v>
      </c>
      <c r="O32">
        <v>2212</v>
      </c>
    </row>
    <row r="33" spans="1:15" x14ac:dyDescent="0.3">
      <c r="A33" t="s">
        <v>20</v>
      </c>
      <c r="B33">
        <v>3</v>
      </c>
      <c r="C33" t="s">
        <v>27</v>
      </c>
      <c r="D33">
        <v>134</v>
      </c>
      <c r="G33" s="95" t="s">
        <v>37</v>
      </c>
      <c r="H33">
        <v>278</v>
      </c>
      <c r="I33">
        <v>172</v>
      </c>
      <c r="J33">
        <v>266</v>
      </c>
      <c r="M33">
        <v>201</v>
      </c>
      <c r="N33">
        <v>296</v>
      </c>
      <c r="O33">
        <v>1213</v>
      </c>
    </row>
    <row r="34" spans="1:15" x14ac:dyDescent="0.3">
      <c r="A34" t="s">
        <v>43</v>
      </c>
      <c r="B34">
        <v>3</v>
      </c>
      <c r="C34" t="s">
        <v>31</v>
      </c>
      <c r="D34">
        <v>346</v>
      </c>
      <c r="G34" s="95" t="s">
        <v>44</v>
      </c>
      <c r="H34">
        <v>318</v>
      </c>
      <c r="I34">
        <v>212</v>
      </c>
      <c r="J34">
        <v>252</v>
      </c>
      <c r="K34">
        <v>274</v>
      </c>
      <c r="L34">
        <v>278</v>
      </c>
      <c r="M34">
        <v>288</v>
      </c>
      <c r="N34">
        <v>268</v>
      </c>
      <c r="O34">
        <v>1890</v>
      </c>
    </row>
    <row r="35" spans="1:15" x14ac:dyDescent="0.3">
      <c r="A35" t="s">
        <v>14</v>
      </c>
      <c r="B35">
        <v>3</v>
      </c>
      <c r="C35" t="s">
        <v>36</v>
      </c>
      <c r="D35">
        <v>194</v>
      </c>
      <c r="G35" s="95" t="s">
        <v>25</v>
      </c>
      <c r="H35">
        <v>358</v>
      </c>
      <c r="I35">
        <v>550</v>
      </c>
      <c r="J35">
        <v>566</v>
      </c>
      <c r="K35">
        <v>466</v>
      </c>
      <c r="L35">
        <v>558</v>
      </c>
      <c r="M35">
        <v>548</v>
      </c>
      <c r="N35">
        <v>420</v>
      </c>
      <c r="O35">
        <v>3466</v>
      </c>
    </row>
    <row r="36" spans="1:15" x14ac:dyDescent="0.3">
      <c r="A36" t="s">
        <v>43</v>
      </c>
      <c r="B36">
        <v>3</v>
      </c>
      <c r="C36" t="s">
        <v>37</v>
      </c>
      <c r="D36">
        <v>266</v>
      </c>
      <c r="G36" s="95" t="s">
        <v>31</v>
      </c>
      <c r="H36">
        <v>338</v>
      </c>
      <c r="I36">
        <v>328</v>
      </c>
      <c r="J36">
        <v>346</v>
      </c>
      <c r="K36">
        <v>308</v>
      </c>
      <c r="L36">
        <v>304</v>
      </c>
      <c r="M36">
        <v>294</v>
      </c>
      <c r="N36">
        <v>288</v>
      </c>
      <c r="O36">
        <v>2206</v>
      </c>
    </row>
    <row r="37" spans="1:15" x14ac:dyDescent="0.3">
      <c r="A37" t="s">
        <v>20</v>
      </c>
      <c r="B37">
        <v>3</v>
      </c>
      <c r="C37" t="s">
        <v>39</v>
      </c>
      <c r="D37">
        <v>406</v>
      </c>
      <c r="G37" s="95" t="s">
        <v>21</v>
      </c>
      <c r="H37">
        <v>360</v>
      </c>
      <c r="I37">
        <v>250</v>
      </c>
      <c r="J37">
        <v>318</v>
      </c>
      <c r="K37">
        <v>328</v>
      </c>
      <c r="L37">
        <v>362</v>
      </c>
      <c r="M37">
        <v>230</v>
      </c>
      <c r="N37">
        <v>336</v>
      </c>
      <c r="O37">
        <v>2184</v>
      </c>
    </row>
    <row r="38" spans="1:15" x14ac:dyDescent="0.3">
      <c r="A38" t="s">
        <v>43</v>
      </c>
      <c r="B38">
        <v>3</v>
      </c>
      <c r="C38" t="s">
        <v>40</v>
      </c>
      <c r="D38">
        <v>282</v>
      </c>
      <c r="G38" s="95" t="s">
        <v>27</v>
      </c>
      <c r="H38">
        <v>145</v>
      </c>
      <c r="I38">
        <v>215</v>
      </c>
      <c r="J38">
        <v>134</v>
      </c>
      <c r="K38">
        <v>238</v>
      </c>
      <c r="L38">
        <v>146</v>
      </c>
      <c r="M38">
        <v>186</v>
      </c>
      <c r="N38">
        <v>186</v>
      </c>
      <c r="O38">
        <v>1250</v>
      </c>
    </row>
    <row r="39" spans="1:15" x14ac:dyDescent="0.3">
      <c r="A39" t="s">
        <v>43</v>
      </c>
      <c r="B39">
        <v>3</v>
      </c>
      <c r="C39" t="s">
        <v>42</v>
      </c>
      <c r="D39">
        <v>328</v>
      </c>
      <c r="G39" s="95" t="s">
        <v>15</v>
      </c>
      <c r="H39">
        <v>134</v>
      </c>
      <c r="I39">
        <v>112</v>
      </c>
      <c r="J39">
        <v>186</v>
      </c>
      <c r="K39">
        <v>208</v>
      </c>
      <c r="M39">
        <v>226</v>
      </c>
      <c r="N39">
        <v>210</v>
      </c>
      <c r="O39">
        <v>1076</v>
      </c>
    </row>
    <row r="40" spans="1:15" x14ac:dyDescent="0.3">
      <c r="A40" t="s">
        <v>14</v>
      </c>
      <c r="B40">
        <v>3</v>
      </c>
      <c r="C40" t="s">
        <v>44</v>
      </c>
      <c r="D40">
        <v>252</v>
      </c>
      <c r="G40" s="95" t="s">
        <v>23</v>
      </c>
      <c r="N40">
        <v>156</v>
      </c>
      <c r="O40">
        <v>156</v>
      </c>
    </row>
    <row r="41" spans="1:15" x14ac:dyDescent="0.3">
      <c r="A41" t="s">
        <v>20</v>
      </c>
      <c r="B41">
        <v>3</v>
      </c>
      <c r="C41" t="s">
        <v>46</v>
      </c>
      <c r="D41">
        <v>246</v>
      </c>
      <c r="G41" s="95" t="s">
        <v>36</v>
      </c>
      <c r="H41">
        <v>170</v>
      </c>
      <c r="I41">
        <v>252</v>
      </c>
      <c r="J41">
        <v>194</v>
      </c>
      <c r="K41">
        <v>252</v>
      </c>
      <c r="L41">
        <v>206</v>
      </c>
      <c r="M41">
        <v>238</v>
      </c>
      <c r="N41">
        <v>270</v>
      </c>
      <c r="O41">
        <v>1582</v>
      </c>
    </row>
    <row r="42" spans="1:15" x14ac:dyDescent="0.3">
      <c r="A42" t="s">
        <v>43</v>
      </c>
      <c r="B42">
        <v>4</v>
      </c>
      <c r="C42" t="s">
        <v>15</v>
      </c>
      <c r="D42">
        <v>208</v>
      </c>
      <c r="G42" s="95" t="s">
        <v>91</v>
      </c>
      <c r="H42">
        <v>3603</v>
      </c>
      <c r="I42">
        <v>3549</v>
      </c>
      <c r="J42">
        <v>3524</v>
      </c>
      <c r="K42">
        <v>3428</v>
      </c>
      <c r="L42">
        <v>3160</v>
      </c>
      <c r="M42">
        <v>3797</v>
      </c>
      <c r="N42">
        <v>3634</v>
      </c>
      <c r="O42">
        <v>24695</v>
      </c>
    </row>
    <row r="43" spans="1:15" x14ac:dyDescent="0.3">
      <c r="A43" t="s">
        <v>20</v>
      </c>
      <c r="B43">
        <v>4</v>
      </c>
      <c r="C43" t="s">
        <v>21</v>
      </c>
      <c r="D43">
        <v>328</v>
      </c>
    </row>
    <row r="44" spans="1:15" x14ac:dyDescent="0.3">
      <c r="A44" t="s">
        <v>14</v>
      </c>
      <c r="B44">
        <v>4</v>
      </c>
      <c r="C44" t="s">
        <v>25</v>
      </c>
      <c r="D44">
        <v>466</v>
      </c>
    </row>
    <row r="45" spans="1:15" x14ac:dyDescent="0.3">
      <c r="A45" t="s">
        <v>43</v>
      </c>
      <c r="B45">
        <v>4</v>
      </c>
      <c r="C45" t="s">
        <v>27</v>
      </c>
      <c r="D45">
        <v>238</v>
      </c>
    </row>
    <row r="46" spans="1:15" x14ac:dyDescent="0.3">
      <c r="A46" t="s">
        <v>14</v>
      </c>
      <c r="B46">
        <v>4</v>
      </c>
      <c r="C46" t="s">
        <v>31</v>
      </c>
      <c r="D46">
        <v>308</v>
      </c>
    </row>
    <row r="47" spans="1:15" x14ac:dyDescent="0.3">
      <c r="A47" t="s">
        <v>43</v>
      </c>
      <c r="B47">
        <v>4</v>
      </c>
      <c r="C47" t="s">
        <v>36</v>
      </c>
      <c r="D47">
        <v>252</v>
      </c>
    </row>
    <row r="48" spans="1:15" x14ac:dyDescent="0.3">
      <c r="A48" t="s">
        <v>43</v>
      </c>
      <c r="B48">
        <v>4</v>
      </c>
      <c r="C48" t="s">
        <v>39</v>
      </c>
      <c r="D48">
        <v>566</v>
      </c>
    </row>
    <row r="49" spans="1:4" x14ac:dyDescent="0.3">
      <c r="A49" t="s">
        <v>43</v>
      </c>
      <c r="B49">
        <v>4</v>
      </c>
      <c r="C49" t="s">
        <v>40</v>
      </c>
      <c r="D49">
        <v>300</v>
      </c>
    </row>
    <row r="50" spans="1:4" x14ac:dyDescent="0.3">
      <c r="A50" t="s">
        <v>14</v>
      </c>
      <c r="B50">
        <v>4</v>
      </c>
      <c r="C50" t="s">
        <v>42</v>
      </c>
      <c r="D50">
        <v>268</v>
      </c>
    </row>
    <row r="51" spans="1:4" x14ac:dyDescent="0.3">
      <c r="A51" t="s">
        <v>43</v>
      </c>
      <c r="B51">
        <v>4</v>
      </c>
      <c r="C51" t="s">
        <v>44</v>
      </c>
      <c r="D51">
        <v>274</v>
      </c>
    </row>
    <row r="52" spans="1:4" x14ac:dyDescent="0.3">
      <c r="A52" t="s">
        <v>43</v>
      </c>
      <c r="B52">
        <v>4</v>
      </c>
      <c r="C52" t="s">
        <v>46</v>
      </c>
      <c r="D52">
        <v>220</v>
      </c>
    </row>
    <row r="53" spans="1:4" x14ac:dyDescent="0.3">
      <c r="A53" t="s">
        <v>43</v>
      </c>
      <c r="B53">
        <v>5</v>
      </c>
      <c r="C53" t="s">
        <v>21</v>
      </c>
      <c r="D53">
        <v>362</v>
      </c>
    </row>
    <row r="54" spans="1:4" x14ac:dyDescent="0.3">
      <c r="A54" t="s">
        <v>20</v>
      </c>
      <c r="B54">
        <v>5</v>
      </c>
      <c r="C54" t="s">
        <v>25</v>
      </c>
      <c r="D54">
        <v>558</v>
      </c>
    </row>
    <row r="55" spans="1:4" x14ac:dyDescent="0.3">
      <c r="A55" t="s">
        <v>20</v>
      </c>
      <c r="B55">
        <v>5</v>
      </c>
      <c r="C55" t="s">
        <v>27</v>
      </c>
      <c r="D55">
        <v>146</v>
      </c>
    </row>
    <row r="56" spans="1:4" x14ac:dyDescent="0.3">
      <c r="A56" t="s">
        <v>20</v>
      </c>
      <c r="B56">
        <v>5</v>
      </c>
      <c r="C56" t="s">
        <v>31</v>
      </c>
      <c r="D56">
        <v>304</v>
      </c>
    </row>
    <row r="57" spans="1:4" x14ac:dyDescent="0.3">
      <c r="A57" t="s">
        <v>43</v>
      </c>
      <c r="B57">
        <v>5</v>
      </c>
      <c r="C57" t="s">
        <v>36</v>
      </c>
      <c r="D57">
        <v>206</v>
      </c>
    </row>
    <row r="58" spans="1:4" x14ac:dyDescent="0.3">
      <c r="A58" t="s">
        <v>20</v>
      </c>
      <c r="B58">
        <v>5</v>
      </c>
      <c r="C58" t="s">
        <v>39</v>
      </c>
      <c r="D58">
        <v>524</v>
      </c>
    </row>
    <row r="59" spans="1:4" x14ac:dyDescent="0.3">
      <c r="A59" t="s">
        <v>43</v>
      </c>
      <c r="B59">
        <v>5</v>
      </c>
      <c r="C59" t="s">
        <v>40</v>
      </c>
      <c r="D59">
        <v>322</v>
      </c>
    </row>
    <row r="60" spans="1:4" x14ac:dyDescent="0.3">
      <c r="A60" t="s">
        <v>43</v>
      </c>
      <c r="B60">
        <v>5</v>
      </c>
      <c r="C60" t="s">
        <v>42</v>
      </c>
      <c r="D60">
        <v>246</v>
      </c>
    </row>
    <row r="61" spans="1:4" x14ac:dyDescent="0.3">
      <c r="A61" t="s">
        <v>14</v>
      </c>
      <c r="B61">
        <v>5</v>
      </c>
      <c r="C61" t="s">
        <v>44</v>
      </c>
      <c r="D61">
        <v>278</v>
      </c>
    </row>
    <row r="62" spans="1:4" x14ac:dyDescent="0.3">
      <c r="A62" t="s">
        <v>20</v>
      </c>
      <c r="B62">
        <v>5</v>
      </c>
      <c r="C62" t="s">
        <v>45</v>
      </c>
      <c r="D62">
        <v>214</v>
      </c>
    </row>
    <row r="63" spans="1:4" x14ac:dyDescent="0.3">
      <c r="A63" t="s">
        <v>20</v>
      </c>
      <c r="B63">
        <v>6</v>
      </c>
      <c r="C63" t="s">
        <v>15</v>
      </c>
      <c r="D63">
        <v>226</v>
      </c>
    </row>
    <row r="64" spans="1:4" x14ac:dyDescent="0.3">
      <c r="A64" t="s">
        <v>43</v>
      </c>
      <c r="B64">
        <v>6</v>
      </c>
      <c r="C64" t="s">
        <v>21</v>
      </c>
      <c r="D64">
        <v>230</v>
      </c>
    </row>
    <row r="65" spans="1:4" x14ac:dyDescent="0.3">
      <c r="A65" t="s">
        <v>43</v>
      </c>
      <c r="B65">
        <v>6</v>
      </c>
      <c r="C65" t="s">
        <v>25</v>
      </c>
      <c r="D65">
        <v>548</v>
      </c>
    </row>
    <row r="66" spans="1:4" x14ac:dyDescent="0.3">
      <c r="A66" t="s">
        <v>43</v>
      </c>
      <c r="B66">
        <v>6</v>
      </c>
      <c r="C66" t="s">
        <v>27</v>
      </c>
      <c r="D66">
        <v>186</v>
      </c>
    </row>
    <row r="67" spans="1:4" x14ac:dyDescent="0.3">
      <c r="A67" t="s">
        <v>20</v>
      </c>
      <c r="B67">
        <v>6</v>
      </c>
      <c r="C67" t="s">
        <v>31</v>
      </c>
      <c r="D67">
        <v>294</v>
      </c>
    </row>
    <row r="68" spans="1:4" x14ac:dyDescent="0.3">
      <c r="A68" t="s">
        <v>20</v>
      </c>
      <c r="B68">
        <v>6</v>
      </c>
      <c r="C68" t="s">
        <v>36</v>
      </c>
      <c r="D68">
        <v>238</v>
      </c>
    </row>
    <row r="69" spans="1:4" x14ac:dyDescent="0.3">
      <c r="A69" t="s">
        <v>43</v>
      </c>
      <c r="B69">
        <v>6</v>
      </c>
      <c r="C69" t="s">
        <v>37</v>
      </c>
      <c r="D69">
        <v>201</v>
      </c>
    </row>
    <row r="70" spans="1:4" x14ac:dyDescent="0.3">
      <c r="A70" t="s">
        <v>20</v>
      </c>
      <c r="B70">
        <v>6</v>
      </c>
      <c r="C70" t="s">
        <v>39</v>
      </c>
      <c r="D70">
        <v>594</v>
      </c>
    </row>
    <row r="71" spans="1:4" x14ac:dyDescent="0.3">
      <c r="A71" t="s">
        <v>20</v>
      </c>
      <c r="B71">
        <v>6</v>
      </c>
      <c r="C71" t="s">
        <v>40</v>
      </c>
      <c r="D71">
        <v>354</v>
      </c>
    </row>
    <row r="72" spans="1:4" x14ac:dyDescent="0.3">
      <c r="A72" t="s">
        <v>43</v>
      </c>
      <c r="B72">
        <v>6</v>
      </c>
      <c r="C72" t="s">
        <v>42</v>
      </c>
      <c r="D72">
        <v>360</v>
      </c>
    </row>
    <row r="73" spans="1:4" x14ac:dyDescent="0.3">
      <c r="A73" t="s">
        <v>14</v>
      </c>
      <c r="B73">
        <v>6</v>
      </c>
      <c r="C73" t="s">
        <v>44</v>
      </c>
      <c r="D73">
        <v>288</v>
      </c>
    </row>
    <row r="74" spans="1:4" x14ac:dyDescent="0.3">
      <c r="A74" t="s">
        <v>43</v>
      </c>
      <c r="B74">
        <v>6</v>
      </c>
      <c r="C74" t="s">
        <v>45</v>
      </c>
      <c r="D74">
        <v>278</v>
      </c>
    </row>
    <row r="75" spans="1:4" x14ac:dyDescent="0.3">
      <c r="A75" t="s">
        <v>14</v>
      </c>
      <c r="B75">
        <v>7</v>
      </c>
      <c r="C75" t="s">
        <v>15</v>
      </c>
      <c r="D75">
        <v>210</v>
      </c>
    </row>
    <row r="76" spans="1:4" x14ac:dyDescent="0.3">
      <c r="A76" t="s">
        <v>20</v>
      </c>
      <c r="B76">
        <v>7</v>
      </c>
      <c r="C76" t="s">
        <v>21</v>
      </c>
      <c r="D76">
        <v>336</v>
      </c>
    </row>
    <row r="77" spans="1:4" x14ac:dyDescent="0.3">
      <c r="A77" t="s">
        <v>20</v>
      </c>
      <c r="B77">
        <v>7</v>
      </c>
      <c r="C77" t="s">
        <v>23</v>
      </c>
      <c r="D77">
        <v>156</v>
      </c>
    </row>
    <row r="78" spans="1:4" x14ac:dyDescent="0.3">
      <c r="A78" t="s">
        <v>43</v>
      </c>
      <c r="B78">
        <v>7</v>
      </c>
      <c r="C78" t="s">
        <v>25</v>
      </c>
      <c r="D78">
        <v>420</v>
      </c>
    </row>
    <row r="79" spans="1:4" x14ac:dyDescent="0.3">
      <c r="A79" t="s">
        <v>43</v>
      </c>
      <c r="B79">
        <v>7</v>
      </c>
      <c r="C79" t="s">
        <v>27</v>
      </c>
      <c r="D79">
        <v>186</v>
      </c>
    </row>
    <row r="80" spans="1:4" x14ac:dyDescent="0.3">
      <c r="A80" t="s">
        <v>14</v>
      </c>
      <c r="B80">
        <v>7</v>
      </c>
      <c r="C80" t="s">
        <v>31</v>
      </c>
      <c r="D80">
        <v>288</v>
      </c>
    </row>
    <row r="81" spans="1:4" x14ac:dyDescent="0.3">
      <c r="A81" t="s">
        <v>14</v>
      </c>
      <c r="B81">
        <v>7</v>
      </c>
      <c r="C81" t="s">
        <v>36</v>
      </c>
      <c r="D81">
        <v>270</v>
      </c>
    </row>
    <row r="82" spans="1:4" x14ac:dyDescent="0.3">
      <c r="A82" t="s">
        <v>43</v>
      </c>
      <c r="B82">
        <v>7</v>
      </c>
      <c r="C82" t="s">
        <v>37</v>
      </c>
      <c r="D82">
        <v>296</v>
      </c>
    </row>
    <row r="83" spans="1:4" x14ac:dyDescent="0.3">
      <c r="A83" t="s">
        <v>14</v>
      </c>
      <c r="B83">
        <v>7</v>
      </c>
      <c r="C83" t="s">
        <v>39</v>
      </c>
      <c r="D83">
        <v>458</v>
      </c>
    </row>
    <row r="84" spans="1:4" x14ac:dyDescent="0.3">
      <c r="A84" t="s">
        <v>43</v>
      </c>
      <c r="B84">
        <v>7</v>
      </c>
      <c r="C84" t="s">
        <v>40</v>
      </c>
      <c r="D84">
        <v>330</v>
      </c>
    </row>
    <row r="85" spans="1:4" x14ac:dyDescent="0.3">
      <c r="A85" t="s">
        <v>43</v>
      </c>
      <c r="B85">
        <v>7</v>
      </c>
      <c r="C85" t="s">
        <v>42</v>
      </c>
      <c r="D85">
        <v>416</v>
      </c>
    </row>
    <row r="86" spans="1:4" x14ac:dyDescent="0.3">
      <c r="A86" t="s">
        <v>20</v>
      </c>
      <c r="B86">
        <v>7</v>
      </c>
      <c r="C86" t="s">
        <v>44</v>
      </c>
      <c r="D86">
        <v>268</v>
      </c>
    </row>
    <row r="87" spans="1:4" x14ac:dyDescent="0.3">
      <c r="B87">
        <v>8</v>
      </c>
      <c r="C87" t="s">
        <v>15</v>
      </c>
    </row>
    <row r="88" spans="1:4" x14ac:dyDescent="0.3">
      <c r="A88" t="s">
        <v>14</v>
      </c>
      <c r="B88">
        <v>8</v>
      </c>
      <c r="C88" t="s">
        <v>21</v>
      </c>
      <c r="D88">
        <v>352</v>
      </c>
    </row>
    <row r="89" spans="1:4" x14ac:dyDescent="0.3">
      <c r="A89" t="s">
        <v>14</v>
      </c>
      <c r="B89">
        <v>8</v>
      </c>
      <c r="C89" t="s">
        <v>23</v>
      </c>
      <c r="D89">
        <v>106</v>
      </c>
    </row>
    <row r="90" spans="1:4" x14ac:dyDescent="0.3">
      <c r="A90" t="s">
        <v>20</v>
      </c>
      <c r="B90">
        <v>8</v>
      </c>
      <c r="C90" t="s">
        <v>25</v>
      </c>
      <c r="D90">
        <v>626</v>
      </c>
    </row>
    <row r="91" spans="1:4" x14ac:dyDescent="0.3">
      <c r="A91" t="s">
        <v>14</v>
      </c>
      <c r="B91">
        <v>8</v>
      </c>
      <c r="C91" t="s">
        <v>27</v>
      </c>
      <c r="D91">
        <v>362</v>
      </c>
    </row>
    <row r="92" spans="1:4" x14ac:dyDescent="0.3">
      <c r="A92" t="s">
        <v>14</v>
      </c>
      <c r="B92">
        <v>8</v>
      </c>
      <c r="C92" t="s">
        <v>31</v>
      </c>
      <c r="D92">
        <v>280</v>
      </c>
    </row>
    <row r="93" spans="1:4" x14ac:dyDescent="0.3">
      <c r="B93">
        <v>8</v>
      </c>
      <c r="C93" t="s">
        <v>33</v>
      </c>
      <c r="D93">
        <v>0</v>
      </c>
    </row>
    <row r="94" spans="1:4" x14ac:dyDescent="0.3">
      <c r="A94" t="s">
        <v>14</v>
      </c>
      <c r="B94">
        <v>8</v>
      </c>
      <c r="C94" t="s">
        <v>36</v>
      </c>
      <c r="D94">
        <v>238</v>
      </c>
    </row>
    <row r="95" spans="1:4" x14ac:dyDescent="0.3">
      <c r="A95" t="s">
        <v>43</v>
      </c>
      <c r="B95">
        <v>8</v>
      </c>
      <c r="C95" t="s">
        <v>37</v>
      </c>
      <c r="D95">
        <v>346</v>
      </c>
    </row>
    <row r="96" spans="1:4" x14ac:dyDescent="0.3">
      <c r="A96" t="s">
        <v>20</v>
      </c>
      <c r="B96">
        <v>8</v>
      </c>
      <c r="C96" t="s">
        <v>39</v>
      </c>
      <c r="D96">
        <v>572</v>
      </c>
    </row>
    <row r="97" spans="1:4" x14ac:dyDescent="0.3">
      <c r="A97" t="s">
        <v>43</v>
      </c>
      <c r="B97">
        <v>8</v>
      </c>
      <c r="C97" t="s">
        <v>40</v>
      </c>
      <c r="D97">
        <v>180</v>
      </c>
    </row>
    <row r="98" spans="1:4" x14ac:dyDescent="0.3">
      <c r="A98" t="s">
        <v>20</v>
      </c>
      <c r="B98">
        <v>8</v>
      </c>
      <c r="C98" t="s">
        <v>42</v>
      </c>
      <c r="D98">
        <v>442</v>
      </c>
    </row>
    <row r="99" spans="1:4" x14ac:dyDescent="0.3">
      <c r="A99" t="s">
        <v>14</v>
      </c>
      <c r="B99">
        <v>8</v>
      </c>
      <c r="C99" t="s">
        <v>44</v>
      </c>
      <c r="D99">
        <v>336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175"/>
  <sheetViews>
    <sheetView workbookViewId="0">
      <pane ySplit="1" topLeftCell="A74" activePane="bottomLeft" state="frozen"/>
      <selection activeCell="G5" sqref="G5"/>
      <selection pane="bottomLeft" activeCell="F22" sqref="F22"/>
    </sheetView>
  </sheetViews>
  <sheetFormatPr defaultRowHeight="14.4" x14ac:dyDescent="0.3"/>
  <cols>
    <col min="1" max="1" width="19.6640625" style="17" customWidth="1"/>
    <col min="2" max="2" width="15.109375" style="17" customWidth="1"/>
    <col min="3" max="3" width="18.88671875" style="17" customWidth="1"/>
    <col min="4" max="4" width="21.109375" style="17" customWidth="1"/>
    <col min="5" max="5" width="11.5546875" style="17" bestFit="1" customWidth="1"/>
    <col min="6" max="6" width="19.5546875" style="17" customWidth="1"/>
    <col min="7" max="7" width="12.5546875" style="17" bestFit="1" customWidth="1"/>
    <col min="8" max="8" width="11.5546875" style="17" bestFit="1" customWidth="1"/>
    <col min="9" max="9" width="14.109375" customWidth="1"/>
  </cols>
  <sheetData>
    <row r="1" spans="1:21" ht="23.4" x14ac:dyDescent="0.45">
      <c r="A1" s="248" t="s">
        <v>94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</row>
    <row r="3" spans="1:21" x14ac:dyDescent="0.3">
      <c r="A3" s="249" t="s">
        <v>95</v>
      </c>
      <c r="B3" s="249"/>
      <c r="C3" s="249"/>
      <c r="D3" s="249"/>
    </row>
    <row r="5" spans="1:21" x14ac:dyDescent="0.3">
      <c r="A5" s="18" t="s">
        <v>86</v>
      </c>
      <c r="B5" s="18" t="s">
        <v>96</v>
      </c>
      <c r="C5" s="18" t="s">
        <v>97</v>
      </c>
      <c r="D5" s="18" t="s">
        <v>98</v>
      </c>
      <c r="E5" s="18" t="s">
        <v>99</v>
      </c>
      <c r="F5" s="18" t="s">
        <v>100</v>
      </c>
      <c r="G5" s="18" t="s">
        <v>101</v>
      </c>
      <c r="H5" s="18" t="s">
        <v>102</v>
      </c>
    </row>
    <row r="6" spans="1:21" x14ac:dyDescent="0.3">
      <c r="A6" s="17" t="s">
        <v>43</v>
      </c>
      <c r="B6" s="19">
        <f>COUNTIF('Raw Data and Pivot tables '!$A$6:$A$86,A6)</f>
        <v>36</v>
      </c>
      <c r="C6" s="19">
        <f>SUMIF('Raw Data and Pivot tables '!$A$6:$A$86,A6,'Raw Data and Pivot tables '!$D$6:$D$86)</f>
        <v>10704</v>
      </c>
      <c r="D6" s="19">
        <f>AVERAGEIF('Raw Data and Pivot tables '!$A$6:$A$86,A6,'Raw Data and Pivot tables '!$D$6:$D$86)</f>
        <v>297.33333333333331</v>
      </c>
      <c r="E6" s="19">
        <v>112.8</v>
      </c>
      <c r="F6" s="19">
        <f>_xlfn.MINIFS('Raw Data and Pivot tables '!$D$6:$D$86,'Raw Data and Pivot tables '!$A$6:$A$86,A6)</f>
        <v>112</v>
      </c>
      <c r="G6" s="19">
        <f>_xlfn.MAXIFS('Raw Data and Pivot tables '!$D$6:$D$86,'Raw Data and Pivot tables '!$A$6:$A$86,A6)</f>
        <v>566</v>
      </c>
      <c r="H6" s="19">
        <f>ROUND(E6/D6*100,1)</f>
        <v>37.9</v>
      </c>
    </row>
    <row r="7" spans="1:21" x14ac:dyDescent="0.3">
      <c r="A7" s="17" t="s">
        <v>14</v>
      </c>
      <c r="B7" s="19">
        <f>COUNTIF('Raw Data and Pivot tables '!$A$6:$A$86,A7)</f>
        <v>16</v>
      </c>
      <c r="C7" s="19">
        <f>SUMIF('Raw Data and Pivot tables '!$A$6:$A$86,A7,'Raw Data and Pivot tables '!$D$6:$D$86)</f>
        <v>4345</v>
      </c>
      <c r="D7" s="19">
        <f>AVERAGEIF('Raw Data and Pivot tables '!$A$6:$A$86,A7,'Raw Data and Pivot tables '!$D$6:$D$86)</f>
        <v>271.5625</v>
      </c>
      <c r="E7" s="19">
        <v>91.4</v>
      </c>
      <c r="F7" s="19">
        <f>_xlfn.MINIFS('Raw Data and Pivot tables '!$D$6:$D$86,'Raw Data and Pivot tables '!$A$6:$A$86,A7)</f>
        <v>134</v>
      </c>
      <c r="G7" s="19">
        <f>_xlfn.MAXIFS('Raw Data and Pivot tables '!$D$6:$D$86,'Raw Data and Pivot tables '!$A$6:$A$86,A7)</f>
        <v>466</v>
      </c>
      <c r="H7" s="19">
        <f>ROUND(E7/D7*100,1)</f>
        <v>33.700000000000003</v>
      </c>
    </row>
    <row r="8" spans="1:21" x14ac:dyDescent="0.3">
      <c r="A8" s="17" t="s">
        <v>20</v>
      </c>
      <c r="B8" s="19">
        <f>COUNTIF('Raw Data and Pivot tables '!$A$6:$A$86,A8)</f>
        <v>29</v>
      </c>
      <c r="C8" s="19">
        <f>SUMIF('Raw Data and Pivot tables '!$A$6:$A$86,A8,'Raw Data and Pivot tables '!$D$6:$D$86)</f>
        <v>9646</v>
      </c>
      <c r="D8" s="19">
        <f>AVERAGEIF('Raw Data and Pivot tables '!$A$6:$A$86,A8,'Raw Data and Pivot tables '!$D$6:$D$86)</f>
        <v>332.62068965517244</v>
      </c>
      <c r="E8" s="19">
        <v>128.5</v>
      </c>
      <c r="F8" s="19">
        <f>_xlfn.MINIFS('Raw Data and Pivot tables '!$D$6:$D$86,'Raw Data and Pivot tables '!$A$6:$A$86,A8)</f>
        <v>134</v>
      </c>
      <c r="G8" s="19">
        <f>_xlfn.MAXIFS('Raw Data and Pivot tables '!$D$6:$D$86,'Raw Data and Pivot tables '!$A$6:$A$86,A8)</f>
        <v>638</v>
      </c>
      <c r="H8" s="19">
        <f>ROUND(E8/D8*100,1)</f>
        <v>38.6</v>
      </c>
    </row>
    <row r="9" spans="1:21" x14ac:dyDescent="0.3">
      <c r="B9" s="19"/>
      <c r="C9" s="19"/>
      <c r="D9" s="19"/>
      <c r="E9" s="19"/>
      <c r="F9" s="19"/>
      <c r="G9" s="19"/>
      <c r="H9" s="19"/>
    </row>
    <row r="10" spans="1:21" x14ac:dyDescent="0.3">
      <c r="B10" s="19"/>
      <c r="C10" s="19"/>
      <c r="D10" s="19"/>
      <c r="E10" s="19"/>
      <c r="F10" s="19"/>
      <c r="G10" s="19"/>
      <c r="H10" s="19"/>
    </row>
    <row r="12" spans="1:21" x14ac:dyDescent="0.3">
      <c r="A12" s="249" t="s">
        <v>103</v>
      </c>
      <c r="B12" s="249"/>
      <c r="C12" s="249"/>
      <c r="D12" s="249"/>
      <c r="E12" s="249"/>
    </row>
    <row r="14" spans="1:21" x14ac:dyDescent="0.3">
      <c r="A14" s="18" t="s">
        <v>87</v>
      </c>
      <c r="B14" s="18" t="s">
        <v>43</v>
      </c>
      <c r="C14" s="18" t="s">
        <v>14</v>
      </c>
      <c r="D14" s="18" t="s">
        <v>20</v>
      </c>
      <c r="E14" s="18" t="s">
        <v>104</v>
      </c>
    </row>
    <row r="15" spans="1:21" x14ac:dyDescent="0.3">
      <c r="A15" s="17">
        <v>1</v>
      </c>
      <c r="B15" s="17">
        <f>SUMIFS('Raw Data and Pivot tables '!$D$6:$D$86,'Raw Data and Pivot tables '!$A$6:$A$86,"CM",'Raw Data and Pivot tables '!$B$6:$B$86,A15)</f>
        <v>318</v>
      </c>
      <c r="C15" s="17">
        <f>SUMIFS('Raw Data and Pivot tables '!$D$6:$D$86,'Raw Data and Pivot tables '!$A$6:$A$86,"TA",'Raw Data and Pivot tables '!$B$6:$B$86,A15)</f>
        <v>1065</v>
      </c>
      <c r="D15" s="17">
        <f>SUMIFS('Raw Data and Pivot tables '!$D$6:$D$86,'Raw Data and Pivot tables '!$A$6:$A$86,"AW",'Raw Data and Pivot tables '!$B$6:$B$86,A15)</f>
        <v>2220</v>
      </c>
      <c r="E15" s="17">
        <f t="shared" ref="E15:E21" si="0">SUM(B15:D15)</f>
        <v>3603</v>
      </c>
    </row>
    <row r="16" spans="1:21" x14ac:dyDescent="0.3">
      <c r="A16" s="17">
        <v>2</v>
      </c>
      <c r="B16" s="17">
        <f>SUMIFS('Raw Data and Pivot tables '!$D$6:$D$86,'Raw Data and Pivot tables '!$A$6:$A$86,"CM",'Raw Data and Pivot tables '!$B$6:$B$86,A16)</f>
        <v>1953</v>
      </c>
      <c r="C16" s="17">
        <v>201</v>
      </c>
      <c r="D16" s="17">
        <f>SUMIFS('Raw Data and Pivot tables '!$D$6:$D$86,'Raw Data and Pivot tables '!$A$6:$A$86,"AW",'Raw Data and Pivot tables '!$B$6:$B$86,A16)</f>
        <v>1596</v>
      </c>
      <c r="E16" s="17">
        <f t="shared" si="0"/>
        <v>3750</v>
      </c>
    </row>
    <row r="17" spans="1:5" x14ac:dyDescent="0.3">
      <c r="A17" s="17">
        <v>3</v>
      </c>
      <c r="B17" s="17">
        <f>SUMIFS('Raw Data and Pivot tables '!$D$6:$D$86,'Raw Data and Pivot tables '!$A$6:$A$86,"CM",'Raw Data and Pivot tables '!$B$6:$B$86,A17)</f>
        <v>1788</v>
      </c>
      <c r="C17" s="17">
        <f>SUMIFS('Raw Data and Pivot tables '!$D$6:$D$86,'Raw Data and Pivot tables '!$A$6:$A$86,"TA",'Raw Data and Pivot tables '!$B$6:$B$86,A17)</f>
        <v>446</v>
      </c>
      <c r="D17" s="17">
        <f>SUMIFS('Raw Data and Pivot tables '!$D$6:$D$86,'Raw Data and Pivot tables '!$A$6:$A$86,"AW",'Raw Data and Pivot tables '!$B$6:$B$86,A17)</f>
        <v>1290</v>
      </c>
      <c r="E17" s="17">
        <f t="shared" si="0"/>
        <v>3524</v>
      </c>
    </row>
    <row r="18" spans="1:5" x14ac:dyDescent="0.3">
      <c r="A18" s="17">
        <v>4</v>
      </c>
      <c r="B18" s="17">
        <f>SUMIFS('Raw Data and Pivot tables '!$D$6:$D$86,'Raw Data and Pivot tables '!$A$6:$A$86,"CM",'Raw Data and Pivot tables '!$B$6:$B$86,A18)</f>
        <v>2058</v>
      </c>
      <c r="C18" s="17">
        <f>SUMIFS('Raw Data and Pivot tables '!$D$6:$D$86,'Raw Data and Pivot tables '!$A$6:$A$86,"TA",'Raw Data and Pivot tables '!$B$6:$B$86,A18)</f>
        <v>1042</v>
      </c>
      <c r="D18" s="17">
        <f>SUMIFS('Raw Data and Pivot tables '!$D$6:$D$86,'Raw Data and Pivot tables '!$A$6:$A$86,"AW",'Raw Data and Pivot tables '!$B$6:$B$86,A18)</f>
        <v>328</v>
      </c>
      <c r="E18" s="17">
        <f t="shared" si="0"/>
        <v>3428</v>
      </c>
    </row>
    <row r="19" spans="1:5" x14ac:dyDescent="0.3">
      <c r="A19" s="17">
        <v>5</v>
      </c>
      <c r="B19" s="17">
        <f>SUMIFS('Raw Data and Pivot tables '!$D$6:$D$86,'Raw Data and Pivot tables '!$A$6:$A$86,"CM",'Raw Data and Pivot tables '!$B$6:$B$86,A19)</f>
        <v>1136</v>
      </c>
      <c r="C19" s="17">
        <f>SUMIFS('Raw Data and Pivot tables '!$D$6:$D$86,'Raw Data and Pivot tables '!$A$6:$A$86,"TA",'Raw Data and Pivot tables '!$B$6:$B$86,A19)</f>
        <v>278</v>
      </c>
      <c r="D19" s="17">
        <f>SUMIFS('Raw Data and Pivot tables '!$D$6:$D$86,'Raw Data and Pivot tables '!$A$6:$A$86,"AW",'Raw Data and Pivot tables '!$B$6:$B$86,A19)</f>
        <v>1746</v>
      </c>
      <c r="E19" s="17">
        <f t="shared" si="0"/>
        <v>3160</v>
      </c>
    </row>
    <row r="20" spans="1:5" x14ac:dyDescent="0.3">
      <c r="A20" s="17">
        <v>6</v>
      </c>
      <c r="B20" s="17">
        <f>SUMIFS('Raw Data and Pivot tables '!$D$6:$D$86,'Raw Data and Pivot tables '!$A$6:$A$86,"CM",'Raw Data and Pivot tables '!$B$6:$B$86,A20)</f>
        <v>1803</v>
      </c>
      <c r="C20" s="17">
        <f>SUMIFS('Raw Data and Pivot tables '!$D$6:$D$86,'Raw Data and Pivot tables '!$A$6:$A$86,"TA",'Raw Data and Pivot tables '!$B$6:$B$86,A20)</f>
        <v>288</v>
      </c>
      <c r="D20" s="17">
        <f>SUMIFS('Raw Data and Pivot tables '!$D$6:$D$86,'Raw Data and Pivot tables '!$A$6:$A$86,"AW",'Raw Data and Pivot tables '!$B$6:$B$86,A20)</f>
        <v>1706</v>
      </c>
      <c r="E20" s="17">
        <f t="shared" si="0"/>
        <v>3797</v>
      </c>
    </row>
    <row r="21" spans="1:5" x14ac:dyDescent="0.3">
      <c r="A21" s="17">
        <v>7</v>
      </c>
      <c r="B21" s="17">
        <f>SUMIFS('Raw Data and Pivot tables '!$D$6:$D$86,'Raw Data and Pivot tables '!$A$6:$A$86,"CM",'Raw Data and Pivot tables '!$B$6:$B$86,A21)</f>
        <v>1648</v>
      </c>
      <c r="C21" s="17">
        <f>SUMIFS('Raw Data and Pivot tables '!$D$6:$D$86,'Raw Data and Pivot tables '!$A$6:$A$86,"TA",'Raw Data and Pivot tables '!$B$6:$B$86,A21)</f>
        <v>1226</v>
      </c>
      <c r="D21" s="17">
        <f>SUMIFS('Raw Data and Pivot tables '!$D$6:$D$86,'Raw Data and Pivot tables '!$A$6:$A$86,"AW",'Raw Data and Pivot tables '!$B$6:$B$86,A21)</f>
        <v>760</v>
      </c>
      <c r="E21" s="17">
        <f t="shared" si="0"/>
        <v>3634</v>
      </c>
    </row>
    <row r="22" spans="1:5" x14ac:dyDescent="0.3">
      <c r="A22" s="20" t="s">
        <v>105</v>
      </c>
      <c r="B22" s="20">
        <f>SUM(B15:B21)</f>
        <v>10704</v>
      </c>
      <c r="C22" s="20">
        <f>SUM(C15:C21)</f>
        <v>4546</v>
      </c>
      <c r="D22" s="20">
        <f>SUM(D15:D21)</f>
        <v>9646</v>
      </c>
      <c r="E22" s="20">
        <f>SUM(E15:E21)</f>
        <v>24896</v>
      </c>
    </row>
    <row r="24" spans="1:5" x14ac:dyDescent="0.3">
      <c r="A24" s="249" t="s">
        <v>106</v>
      </c>
      <c r="B24" s="249"/>
      <c r="C24" s="249"/>
      <c r="D24" s="249"/>
      <c r="E24" s="249"/>
    </row>
    <row r="25" spans="1:5" x14ac:dyDescent="0.3">
      <c r="A25" s="18" t="s">
        <v>87</v>
      </c>
      <c r="B25" s="18" t="s">
        <v>43</v>
      </c>
      <c r="C25" s="18" t="s">
        <v>14</v>
      </c>
      <c r="D25" s="18" t="s">
        <v>20</v>
      </c>
    </row>
    <row r="26" spans="1:5" x14ac:dyDescent="0.3">
      <c r="A26" s="17">
        <v>1</v>
      </c>
      <c r="B26" s="17">
        <f>IFERROR(AVERAGEIFS('Raw Data and Pivot tables '!$D$6:$D$86,'Raw Data and Pivot tables '!$A$6:$A$86,"CM",'Raw Data and Pivot tables '!$B$6:$B$86,A26),0)</f>
        <v>318</v>
      </c>
      <c r="C26" s="17">
        <f>IFERROR(AVERAGEIFS('Raw Data and Pivot tables '!$D$6:$D$86,'Raw Data and Pivot tables '!$A$6:$A$86,"TA",'Raw Data and Pivot tables '!$B$6:$B$86,A26),0)</f>
        <v>213</v>
      </c>
      <c r="D26" s="17">
        <f>IFERROR(AVERAGEIFS('Raw Data and Pivot tables '!$D$6:$D$86,'Raw Data and Pivot tables '!$A$6:$A$86,"AW",'Raw Data and Pivot tables '!$B$6:$B$86,A26),0)</f>
        <v>370</v>
      </c>
    </row>
    <row r="27" spans="1:5" x14ac:dyDescent="0.3">
      <c r="A27" s="17">
        <v>2</v>
      </c>
      <c r="B27" s="19">
        <f>IFERROR(AVERAGEIFS('Raw Data and Pivot tables '!$D$6:$D$86,'Raw Data and Pivot tables '!$A$6:$A$86,"CM",'Raw Data and Pivot tables '!$B$6:$B$86,A27),0)</f>
        <v>244.125</v>
      </c>
      <c r="C27" s="17">
        <v>201</v>
      </c>
      <c r="D27" s="17">
        <f>IFERROR(AVERAGEIFS('Raw Data and Pivot tables '!$D$6:$D$86,'Raw Data and Pivot tables '!$A$6:$A$86,"AW",'Raw Data and Pivot tables '!$B$6:$B$86,A27),0)</f>
        <v>399</v>
      </c>
    </row>
    <row r="28" spans="1:5" x14ac:dyDescent="0.3">
      <c r="A28" s="17">
        <v>3</v>
      </c>
      <c r="B28" s="19">
        <f>IFERROR(AVERAGEIFS('Raw Data and Pivot tables '!$D$6:$D$86,'Raw Data and Pivot tables '!$A$6:$A$86,"CM",'Raw Data and Pivot tables '!$B$6:$B$86,A28),0)</f>
        <v>357.6</v>
      </c>
      <c r="C28" s="19">
        <f>IFERROR(AVERAGEIFS('Raw Data and Pivot tables '!$D$6:$D$86,'Raw Data and Pivot tables '!$A$6:$A$86,"TA",'Raw Data and Pivot tables '!$B$6:$B$86,A28),0)</f>
        <v>223</v>
      </c>
      <c r="D28" s="17">
        <f>IFERROR(AVERAGEIFS('Raw Data and Pivot tables '!$D$6:$D$86,'Raw Data and Pivot tables '!$A$6:$A$86,"AW",'Raw Data and Pivot tables '!$B$6:$B$86,A28),0)</f>
        <v>258</v>
      </c>
    </row>
    <row r="29" spans="1:5" x14ac:dyDescent="0.3">
      <c r="A29" s="17">
        <v>4</v>
      </c>
      <c r="B29" s="19">
        <f>IFERROR(AVERAGEIFS('Raw Data and Pivot tables '!$D$6:$D$86,'Raw Data and Pivot tables '!$A$6:$A$86,"CM",'Raw Data and Pivot tables '!$B$6:$B$86,A29),0)</f>
        <v>294</v>
      </c>
      <c r="C29" s="19">
        <f>IFERROR(AVERAGEIFS('Raw Data and Pivot tables '!$D$6:$D$86,'Raw Data and Pivot tables '!$A$6:$A$86,"TA",'Raw Data and Pivot tables '!$B$6:$B$86,A29),0)</f>
        <v>347.33333333333331</v>
      </c>
      <c r="D29" s="17">
        <f>IFERROR(AVERAGEIFS('Raw Data and Pivot tables '!$D$6:$D$86,'Raw Data and Pivot tables '!$A$6:$A$86,"AW",'Raw Data and Pivot tables '!$B$6:$B$86,A29),0)</f>
        <v>328</v>
      </c>
    </row>
    <row r="30" spans="1:5" x14ac:dyDescent="0.3">
      <c r="A30" s="17">
        <v>5</v>
      </c>
      <c r="B30" s="17">
        <f>IFERROR(AVERAGEIFS('Raw Data and Pivot tables '!$D$6:$D$86,'Raw Data and Pivot tables '!$A$6:$A$86,"CM",'Raw Data and Pivot tables '!$B$6:$B$86,A30),0)</f>
        <v>284</v>
      </c>
      <c r="C30" s="17">
        <f>IFERROR(AVERAGEIFS('Raw Data and Pivot tables '!$D$6:$D$86,'Raw Data and Pivot tables '!$A$6:$A$86,"TA",'Raw Data and Pivot tables '!$B$6:$B$86,A30),0)</f>
        <v>278</v>
      </c>
      <c r="D30" s="19">
        <f>IFERROR(AVERAGEIFS('Raw Data and Pivot tables '!$D$6:$D$86,'Raw Data and Pivot tables '!$A$6:$A$86,"AW",'Raw Data and Pivot tables '!$B$6:$B$86,A30),0)</f>
        <v>349.2</v>
      </c>
    </row>
    <row r="31" spans="1:5" x14ac:dyDescent="0.3">
      <c r="A31" s="17">
        <v>6</v>
      </c>
      <c r="B31" s="19">
        <f>IFERROR(AVERAGEIFS('Raw Data and Pivot tables '!$D$6:$D$86,'Raw Data and Pivot tables '!$A$6:$A$86,"CM",'Raw Data and Pivot tables '!$B$6:$B$86,A31),0)</f>
        <v>300.5</v>
      </c>
      <c r="C31" s="19">
        <f>IFERROR(AVERAGEIFS('Raw Data and Pivot tables '!$D$6:$D$86,'Raw Data and Pivot tables '!$A$6:$A$86,"TA",'Raw Data and Pivot tables '!$B$6:$B$86,A31),0)</f>
        <v>288</v>
      </c>
      <c r="D31" s="19">
        <f>IFERROR(AVERAGEIFS('Raw Data and Pivot tables '!$D$6:$D$86,'Raw Data and Pivot tables '!$A$6:$A$86,"AW",'Raw Data and Pivot tables '!$B$6:$B$86,A31),0)</f>
        <v>341.2</v>
      </c>
    </row>
    <row r="32" spans="1:5" x14ac:dyDescent="0.3">
      <c r="A32" s="17">
        <v>7</v>
      </c>
      <c r="B32" s="19">
        <f>IFERROR(AVERAGEIFS('Raw Data and Pivot tables '!$D$6:$D$86,'Raw Data and Pivot tables '!$A$6:$A$86,"CM",'Raw Data and Pivot tables '!$B$6:$B$86,A32),0)</f>
        <v>329.6</v>
      </c>
      <c r="C32" s="19">
        <f>IFERROR(AVERAGEIFS('Raw Data and Pivot tables '!$D$6:$D$86,'Raw Data and Pivot tables '!$A$6:$A$86,"TA",'Raw Data and Pivot tables '!$B$6:$B$86,A32),0)</f>
        <v>306.5</v>
      </c>
      <c r="D32" s="19">
        <f>IFERROR(AVERAGEIFS('Raw Data and Pivot tables '!$D$6:$D$86,'Raw Data and Pivot tables '!$A$6:$A$86,"AW",'Raw Data and Pivot tables '!$B$6:$B$86,A32),0)</f>
        <v>253.33333333333334</v>
      </c>
    </row>
    <row r="34" spans="1:5" x14ac:dyDescent="0.3">
      <c r="A34" s="249" t="s">
        <v>107</v>
      </c>
      <c r="B34" s="249"/>
      <c r="C34" s="249"/>
      <c r="D34" s="249"/>
      <c r="E34" s="249"/>
    </row>
    <row r="35" spans="1:5" x14ac:dyDescent="0.3">
      <c r="A35" s="18" t="s">
        <v>86</v>
      </c>
      <c r="B35" s="18" t="s">
        <v>108</v>
      </c>
      <c r="C35" s="18" t="s">
        <v>109</v>
      </c>
      <c r="D35" s="18" t="s">
        <v>110</v>
      </c>
    </row>
    <row r="36" spans="1:5" x14ac:dyDescent="0.3">
      <c r="A36" s="17" t="s">
        <v>43</v>
      </c>
      <c r="B36" s="17">
        <f>H6</f>
        <v>37.9</v>
      </c>
      <c r="C36" s="17">
        <v>2</v>
      </c>
      <c r="D36" s="17" t="s">
        <v>111</v>
      </c>
    </row>
    <row r="37" spans="1:5" x14ac:dyDescent="0.3">
      <c r="A37" s="17" t="s">
        <v>14</v>
      </c>
      <c r="B37" s="21">
        <f>H7</f>
        <v>33.700000000000003</v>
      </c>
      <c r="C37" s="17">
        <v>1</v>
      </c>
      <c r="D37" s="21" t="s">
        <v>112</v>
      </c>
    </row>
    <row r="38" spans="1:5" x14ac:dyDescent="0.3">
      <c r="A38" s="17" t="s">
        <v>20</v>
      </c>
      <c r="B38" s="17">
        <f>H8</f>
        <v>38.6</v>
      </c>
      <c r="C38" s="17">
        <v>3</v>
      </c>
      <c r="D38" s="17" t="s">
        <v>113</v>
      </c>
    </row>
    <row r="40" spans="1:5" x14ac:dyDescent="0.3">
      <c r="A40" s="249" t="s">
        <v>114</v>
      </c>
      <c r="B40" s="249"/>
      <c r="C40" s="249"/>
      <c r="D40" s="249"/>
    </row>
    <row r="41" spans="1:5" x14ac:dyDescent="0.3">
      <c r="A41" s="18" t="s">
        <v>115</v>
      </c>
      <c r="B41" s="18" t="s">
        <v>116</v>
      </c>
      <c r="C41" s="18" t="s">
        <v>117</v>
      </c>
      <c r="D41" s="18" t="s">
        <v>118</v>
      </c>
    </row>
    <row r="42" spans="1:5" x14ac:dyDescent="0.3">
      <c r="A42" s="17" t="s">
        <v>119</v>
      </c>
      <c r="B42" s="17" t="s">
        <v>120</v>
      </c>
      <c r="C42" s="17" t="s">
        <v>121</v>
      </c>
      <c r="D42" s="17" t="s">
        <v>122</v>
      </c>
    </row>
    <row r="43" spans="1:5" x14ac:dyDescent="0.3">
      <c r="A43" s="17" t="s">
        <v>123</v>
      </c>
      <c r="B43" s="17" t="s">
        <v>124</v>
      </c>
      <c r="C43" s="17" t="s">
        <v>125</v>
      </c>
      <c r="D43" s="17" t="s">
        <v>126</v>
      </c>
    </row>
    <row r="44" spans="1:5" x14ac:dyDescent="0.3">
      <c r="A44" s="17" t="s">
        <v>127</v>
      </c>
      <c r="B44" s="17" t="s">
        <v>128</v>
      </c>
      <c r="C44" s="17" t="s">
        <v>129</v>
      </c>
      <c r="D44" s="17" t="s">
        <v>130</v>
      </c>
    </row>
    <row r="45" spans="1:5" x14ac:dyDescent="0.3">
      <c r="A45" s="17" t="s">
        <v>96</v>
      </c>
      <c r="B45" s="17" t="s">
        <v>131</v>
      </c>
      <c r="C45" s="17" t="s">
        <v>132</v>
      </c>
      <c r="D45" s="17" t="s">
        <v>133</v>
      </c>
    </row>
    <row r="47" spans="1:5" x14ac:dyDescent="0.3">
      <c r="A47" s="94" t="s">
        <v>134</v>
      </c>
    </row>
    <row r="48" spans="1:5" x14ac:dyDescent="0.3">
      <c r="A48" s="250" t="s">
        <v>135</v>
      </c>
      <c r="B48" s="250"/>
      <c r="C48" s="250"/>
      <c r="D48" s="250"/>
      <c r="E48" s="250"/>
    </row>
    <row r="49" spans="1:9" x14ac:dyDescent="0.3">
      <c r="A49" s="250" t="s">
        <v>136</v>
      </c>
      <c r="B49" s="250"/>
      <c r="C49" s="250"/>
      <c r="D49" s="250"/>
      <c r="E49" s="250"/>
    </row>
    <row r="50" spans="1:9" x14ac:dyDescent="0.3">
      <c r="A50" s="250" t="s">
        <v>137</v>
      </c>
      <c r="B50" s="250"/>
      <c r="C50" s="250"/>
      <c r="D50" s="250"/>
    </row>
    <row r="51" spans="1:9" x14ac:dyDescent="0.3">
      <c r="A51" s="250" t="s">
        <v>138</v>
      </c>
      <c r="B51" s="250"/>
      <c r="C51" s="250"/>
      <c r="D51" s="250"/>
      <c r="E51" s="250"/>
    </row>
    <row r="54" spans="1:9" x14ac:dyDescent="0.3">
      <c r="A54" s="249" t="s">
        <v>139</v>
      </c>
      <c r="B54" s="249"/>
      <c r="C54" s="249"/>
    </row>
    <row r="56" spans="1:9" x14ac:dyDescent="0.3">
      <c r="A56" s="18" t="s">
        <v>1</v>
      </c>
      <c r="B56" s="18" t="s">
        <v>140</v>
      </c>
      <c r="C56" s="18" t="s">
        <v>141</v>
      </c>
      <c r="D56" s="18" t="s">
        <v>142</v>
      </c>
      <c r="E56" s="18" t="s">
        <v>99</v>
      </c>
      <c r="F56" s="18" t="s">
        <v>100</v>
      </c>
      <c r="G56" s="18" t="s">
        <v>101</v>
      </c>
      <c r="H56" s="18" t="s">
        <v>102</v>
      </c>
      <c r="I56" s="14" t="s">
        <v>143</v>
      </c>
    </row>
    <row r="57" spans="1:9" x14ac:dyDescent="0.3">
      <c r="A57" s="17" t="s">
        <v>15</v>
      </c>
      <c r="B57" s="17">
        <f>COUNTIF('Raw Data and Pivot tables '!$C$6:$C$86,A57)</f>
        <v>6</v>
      </c>
      <c r="C57" s="17">
        <f>SUMIF('Raw Data and Pivot tables '!$C$6:$C$86,A57,'Raw Data and Pivot tables '!$D$6:$D$86)</f>
        <v>1076</v>
      </c>
      <c r="D57" s="19">
        <f>AVERAGEIF('Raw Data and Pivot tables '!$C$6:$C$86,A57,'Raw Data and Pivot tables '!$D$6:$D$86)</f>
        <v>179.33333333333334</v>
      </c>
      <c r="E57" s="19">
        <v>39.4</v>
      </c>
      <c r="F57" s="19">
        <f>_xlfn.MINIFS('Raw Data and Pivot tables '!$D$6:$D$86,'Raw Data and Pivot tables '!$C$6:$C$86,A57)</f>
        <v>112</v>
      </c>
      <c r="G57" s="19">
        <f>_xlfn.MAXIFS('Raw Data and Pivot tables '!$D$6:$D$86,'Raw Data and Pivot tables '!$C$6:$C$86,A57)</f>
        <v>226</v>
      </c>
      <c r="H57" s="19">
        <f t="shared" ref="H57:H69" si="1">ROUND(E57/D57*100,1)</f>
        <v>22</v>
      </c>
      <c r="I57" t="s">
        <v>144</v>
      </c>
    </row>
    <row r="58" spans="1:9" x14ac:dyDescent="0.3">
      <c r="A58" s="17" t="s">
        <v>21</v>
      </c>
      <c r="B58" s="17">
        <f>COUNTIF('Raw Data and Pivot tables '!$C$6:$C$86,A58)</f>
        <v>7</v>
      </c>
      <c r="C58" s="17">
        <f>SUMIF('Raw Data and Pivot tables '!$C$6:$C$86,A58,'Raw Data and Pivot tables '!$D$6:$D$86)</f>
        <v>2184</v>
      </c>
      <c r="D58" s="19">
        <f>AVERAGEIF('Raw Data and Pivot tables '!$C$6:$C$86,A58,'Raw Data and Pivot tables '!$D$6:$D$86)</f>
        <v>312</v>
      </c>
      <c r="E58" s="19">
        <v>46.3</v>
      </c>
      <c r="F58" s="19">
        <f>_xlfn.MINIFS('Raw Data and Pivot tables '!$D$6:$D$86,'Raw Data and Pivot tables '!$C$6:$C$86,A58)</f>
        <v>230</v>
      </c>
      <c r="G58" s="19">
        <f>_xlfn.MAXIFS('Raw Data and Pivot tables '!$D$6:$D$86,'Raw Data and Pivot tables '!$C$6:$C$86,A58)</f>
        <v>362</v>
      </c>
      <c r="H58" s="19">
        <f t="shared" si="1"/>
        <v>14.8</v>
      </c>
      <c r="I58" t="s">
        <v>145</v>
      </c>
    </row>
    <row r="59" spans="1:9" x14ac:dyDescent="0.3">
      <c r="A59" s="17" t="s">
        <v>25</v>
      </c>
      <c r="B59" s="17">
        <f>COUNTIF('Raw Data and Pivot tables '!$C$6:$C$86,A59)</f>
        <v>7</v>
      </c>
      <c r="C59" s="17">
        <f>SUMIF('Raw Data and Pivot tables '!$C$6:$C$86,A59,'Raw Data and Pivot tables '!$D$6:$D$86)</f>
        <v>3466</v>
      </c>
      <c r="D59" s="19">
        <f>AVERAGEIF('Raw Data and Pivot tables '!$C$6:$C$86,A59,'Raw Data and Pivot tables '!$D$6:$D$86)</f>
        <v>495.14285714285717</v>
      </c>
      <c r="E59" s="19">
        <v>82.7</v>
      </c>
      <c r="F59" s="19">
        <f>_xlfn.MINIFS('Raw Data and Pivot tables '!$D$6:$D$86,'Raw Data and Pivot tables '!$C$6:$C$86,A59)</f>
        <v>358</v>
      </c>
      <c r="G59" s="19">
        <f>_xlfn.MAXIFS('Raw Data and Pivot tables '!$D$6:$D$86,'Raw Data and Pivot tables '!$C$6:$C$86,A59)</f>
        <v>566</v>
      </c>
      <c r="H59" s="19">
        <f t="shared" si="1"/>
        <v>16.7</v>
      </c>
      <c r="I59" t="s">
        <v>146</v>
      </c>
    </row>
    <row r="60" spans="1:9" x14ac:dyDescent="0.3">
      <c r="A60" s="17" t="s">
        <v>27</v>
      </c>
      <c r="B60" s="17">
        <f>COUNTIF('Raw Data and Pivot tables '!$C$6:$C$86,A60)</f>
        <v>7</v>
      </c>
      <c r="C60" s="17">
        <f>SUMIF('Raw Data and Pivot tables '!$C$6:$C$86,A60,'Raw Data and Pivot tables '!$D$6:$D$86)</f>
        <v>1250</v>
      </c>
      <c r="D60" s="19">
        <f>AVERAGEIF('Raw Data and Pivot tables '!$C$6:$C$86,A60,'Raw Data and Pivot tables '!$D$6:$D$86)</f>
        <v>178.57142857142858</v>
      </c>
      <c r="E60" s="19">
        <v>38.799999999999997</v>
      </c>
      <c r="F60" s="19">
        <f>_xlfn.MINIFS('Raw Data and Pivot tables '!$D$6:$D$86,'Raw Data and Pivot tables '!$C$6:$C$86,A60)</f>
        <v>134</v>
      </c>
      <c r="G60" s="19">
        <f>_xlfn.MAXIFS('Raw Data and Pivot tables '!$D$6:$D$86,'Raw Data and Pivot tables '!$C$6:$C$86,A60)</f>
        <v>238</v>
      </c>
      <c r="H60" s="19">
        <f t="shared" si="1"/>
        <v>21.7</v>
      </c>
      <c r="I60" t="s">
        <v>147</v>
      </c>
    </row>
    <row r="61" spans="1:9" x14ac:dyDescent="0.3">
      <c r="A61" s="17" t="s">
        <v>31</v>
      </c>
      <c r="B61" s="17">
        <f>COUNTIF('Raw Data and Pivot tables '!$C$6:$C$86,A61)</f>
        <v>7</v>
      </c>
      <c r="C61" s="17">
        <f>SUMIF('Raw Data and Pivot tables '!$C$6:$C$86,A61,'Raw Data and Pivot tables '!$D$6:$D$86)</f>
        <v>2206</v>
      </c>
      <c r="D61" s="19">
        <f>AVERAGEIF('Raw Data and Pivot tables '!$C$6:$C$86,A61,'Raw Data and Pivot tables '!$D$6:$D$86)</f>
        <v>315.14285714285717</v>
      </c>
      <c r="E61" s="19">
        <v>23.2</v>
      </c>
      <c r="F61" s="19">
        <f>_xlfn.MINIFS('Raw Data and Pivot tables '!$D$6:$D$86,'Raw Data and Pivot tables '!$C$6:$C$86,A61)</f>
        <v>288</v>
      </c>
      <c r="G61" s="19">
        <f>_xlfn.MAXIFS('Raw Data and Pivot tables '!$D$6:$D$86,'Raw Data and Pivot tables '!$C$6:$C$86,A61)</f>
        <v>346</v>
      </c>
      <c r="H61" s="19">
        <f t="shared" si="1"/>
        <v>7.4</v>
      </c>
      <c r="I61" t="s">
        <v>144</v>
      </c>
    </row>
    <row r="62" spans="1:9" x14ac:dyDescent="0.3">
      <c r="A62" s="17" t="s">
        <v>36</v>
      </c>
      <c r="B62" s="17">
        <f>COUNTIF('Raw Data and Pivot tables '!$C$6:$C$86,A62)</f>
        <v>7</v>
      </c>
      <c r="C62" s="17">
        <f>SUMIF('Raw Data and Pivot tables '!$C$6:$C$86,A62,'Raw Data and Pivot tables '!$D$6:$D$86)</f>
        <v>1582</v>
      </c>
      <c r="D62" s="19">
        <f>AVERAGEIF('Raw Data and Pivot tables '!$C$6:$C$86,A62,'Raw Data and Pivot tables '!$D$6:$D$86)</f>
        <v>226</v>
      </c>
      <c r="E62" s="19">
        <v>35.799999999999997</v>
      </c>
      <c r="F62" s="19">
        <f>_xlfn.MINIFS('Raw Data and Pivot tables '!$D$6:$D$86,'Raw Data and Pivot tables '!$C$6:$C$86,A62)</f>
        <v>170</v>
      </c>
      <c r="G62" s="19">
        <f>_xlfn.MAXIFS('Raw Data and Pivot tables '!$D$6:$D$86,'Raw Data and Pivot tables '!$C$6:$C$86,A62)</f>
        <v>270</v>
      </c>
      <c r="H62" s="19">
        <f t="shared" si="1"/>
        <v>15.8</v>
      </c>
      <c r="I62" t="s">
        <v>147</v>
      </c>
    </row>
    <row r="63" spans="1:9" x14ac:dyDescent="0.3">
      <c r="A63" s="17" t="s">
        <v>37</v>
      </c>
      <c r="B63" s="17">
        <f>COUNTIF('Raw Data and Pivot tables '!$C$6:$C$86,A63)</f>
        <v>5</v>
      </c>
      <c r="C63" s="17">
        <f>SUMIF('Raw Data and Pivot tables '!$C$6:$C$86,A63,'Raw Data and Pivot tables '!$D$6:$D$86)</f>
        <v>1213</v>
      </c>
      <c r="D63" s="19">
        <f>AVERAGEIF('Raw Data and Pivot tables '!$C$6:$C$86,A63,'Raw Data and Pivot tables '!$D$6:$D$86)</f>
        <v>242.6</v>
      </c>
      <c r="E63" s="19">
        <v>48.9</v>
      </c>
      <c r="F63" s="19">
        <f>_xlfn.MINIFS('Raw Data and Pivot tables '!$D$6:$D$86,'Raw Data and Pivot tables '!$C$6:$C$86,A63)</f>
        <v>172</v>
      </c>
      <c r="G63" s="19">
        <f>_xlfn.MAXIFS('Raw Data and Pivot tables '!$D$6:$D$86,'Raw Data and Pivot tables '!$C$6:$C$86,A63)</f>
        <v>296</v>
      </c>
      <c r="H63" s="19">
        <f t="shared" si="1"/>
        <v>20.2</v>
      </c>
      <c r="I63" t="s">
        <v>148</v>
      </c>
    </row>
    <row r="64" spans="1:9" x14ac:dyDescent="0.3">
      <c r="A64" s="17" t="s">
        <v>39</v>
      </c>
      <c r="B64" s="17">
        <f>COUNTIF('Raw Data and Pivot tables '!$C$6:$C$86,A64)</f>
        <v>7</v>
      </c>
      <c r="C64" s="17">
        <f>SUMIF('Raw Data and Pivot tables '!$C$6:$C$86,A64,'Raw Data and Pivot tables '!$D$6:$D$86)</f>
        <v>3700</v>
      </c>
      <c r="D64" s="19">
        <f>AVERAGEIF('Raw Data and Pivot tables '!$C$6:$C$86,A64,'Raw Data and Pivot tables '!$D$6:$D$86)</f>
        <v>528.57142857142856</v>
      </c>
      <c r="E64" s="19">
        <v>78.599999999999994</v>
      </c>
      <c r="F64" s="19">
        <f>_xlfn.MINIFS('Raw Data and Pivot tables '!$D$6:$D$86,'Raw Data and Pivot tables '!$C$6:$C$86,A64)</f>
        <v>406</v>
      </c>
      <c r="G64" s="19">
        <f>_xlfn.MAXIFS('Raw Data and Pivot tables '!$D$6:$D$86,'Raw Data and Pivot tables '!$C$6:$C$86,A64)</f>
        <v>638</v>
      </c>
      <c r="H64" s="19">
        <f t="shared" si="1"/>
        <v>14.9</v>
      </c>
      <c r="I64" t="s">
        <v>146</v>
      </c>
    </row>
    <row r="65" spans="1:9" x14ac:dyDescent="0.3">
      <c r="A65" s="17" t="s">
        <v>40</v>
      </c>
      <c r="B65" s="17">
        <f>COUNTIF('Raw Data and Pivot tables '!$C$6:$C$86,A65)</f>
        <v>7</v>
      </c>
      <c r="C65" s="17">
        <f>SUMIF('Raw Data and Pivot tables '!$C$6:$C$86,A65,'Raw Data and Pivot tables '!$D$6:$D$86)</f>
        <v>2212</v>
      </c>
      <c r="D65" s="19">
        <f>AVERAGEIF('Raw Data and Pivot tables '!$C$6:$C$86,A65,'Raw Data and Pivot tables '!$D$6:$D$86)</f>
        <v>316</v>
      </c>
      <c r="E65" s="19">
        <v>32.6</v>
      </c>
      <c r="F65" s="19">
        <f>_xlfn.MINIFS('Raw Data and Pivot tables '!$D$6:$D$86,'Raw Data and Pivot tables '!$C$6:$C$86,A65)</f>
        <v>278</v>
      </c>
      <c r="G65" s="19">
        <f>_xlfn.MAXIFS('Raw Data and Pivot tables '!$D$6:$D$86,'Raw Data and Pivot tables '!$C$6:$C$86,A65)</f>
        <v>354</v>
      </c>
      <c r="H65" s="19">
        <f t="shared" si="1"/>
        <v>10.3</v>
      </c>
      <c r="I65" t="s">
        <v>145</v>
      </c>
    </row>
    <row r="66" spans="1:9" x14ac:dyDescent="0.3">
      <c r="A66" s="17" t="s">
        <v>42</v>
      </c>
      <c r="B66" s="17">
        <f>COUNTIF('Raw Data and Pivot tables '!$C$6:$C$86,A66)</f>
        <v>7</v>
      </c>
      <c r="C66" s="17">
        <f>SUMIF('Raw Data and Pivot tables '!$C$6:$C$86,A66,'Raw Data and Pivot tables '!$D$6:$D$86)</f>
        <v>2362</v>
      </c>
      <c r="D66" s="19">
        <f>AVERAGEIF('Raw Data and Pivot tables '!$C$6:$C$86,A66,'Raw Data and Pivot tables '!$D$6:$D$86)</f>
        <v>337.42857142857144</v>
      </c>
      <c r="E66" s="19">
        <v>55.1</v>
      </c>
      <c r="F66" s="19">
        <f>_xlfn.MINIFS('Raw Data and Pivot tables '!$D$6:$D$86,'Raw Data and Pivot tables '!$C$6:$C$86,A66)</f>
        <v>246</v>
      </c>
      <c r="G66" s="19">
        <f>_xlfn.MAXIFS('Raw Data and Pivot tables '!$D$6:$D$86,'Raw Data and Pivot tables '!$C$6:$C$86,A66)</f>
        <v>416</v>
      </c>
      <c r="H66" s="19">
        <f t="shared" si="1"/>
        <v>16.3</v>
      </c>
      <c r="I66" t="s">
        <v>146</v>
      </c>
    </row>
    <row r="67" spans="1:9" x14ac:dyDescent="0.3">
      <c r="A67" s="17" t="s">
        <v>44</v>
      </c>
      <c r="B67" s="17">
        <f>COUNTIF('Raw Data and Pivot tables '!$C$6:$C$86,A67)</f>
        <v>7</v>
      </c>
      <c r="C67" s="17">
        <f>SUMIF('Raw Data and Pivot tables '!$C$6:$C$86,A67,'Raw Data and Pivot tables '!$D$6:$D$86)</f>
        <v>1890</v>
      </c>
      <c r="D67" s="19">
        <f>AVERAGEIF('Raw Data and Pivot tables '!$C$6:$C$86,A67,'Raw Data and Pivot tables '!$D$6:$D$86)</f>
        <v>270</v>
      </c>
      <c r="E67" s="19">
        <v>28</v>
      </c>
      <c r="F67" s="19">
        <f>_xlfn.MINIFS('Raw Data and Pivot tables '!$D$6:$D$86,'Raw Data and Pivot tables '!$C$6:$C$86,A67)</f>
        <v>212</v>
      </c>
      <c r="G67" s="19">
        <f>_xlfn.MAXIFS('Raw Data and Pivot tables '!$D$6:$D$86,'Raw Data and Pivot tables '!$C$6:$C$86,A67)</f>
        <v>318</v>
      </c>
      <c r="H67" s="19">
        <f t="shared" si="1"/>
        <v>10.4</v>
      </c>
      <c r="I67" t="s">
        <v>149</v>
      </c>
    </row>
    <row r="68" spans="1:9" x14ac:dyDescent="0.3">
      <c r="A68" s="17" t="s">
        <v>46</v>
      </c>
      <c r="B68" s="17">
        <f>COUNTIF('Raw Data and Pivot tables '!$C$6:$C$86,A68)</f>
        <v>4</v>
      </c>
      <c r="C68" s="17">
        <f>SUMIF('Raw Data and Pivot tables '!$C$6:$C$86,A68,'Raw Data and Pivot tables '!$D$6:$D$86)</f>
        <v>906</v>
      </c>
      <c r="D68" s="19">
        <f>AVERAGEIF('Raw Data and Pivot tables '!$C$6:$C$86,A68,'Raw Data and Pivot tables '!$D$6:$D$86)</f>
        <v>226.5</v>
      </c>
      <c r="E68" s="19">
        <v>12.7</v>
      </c>
      <c r="F68" s="19">
        <f>_xlfn.MINIFS('Raw Data and Pivot tables '!$D$6:$D$86,'Raw Data and Pivot tables '!$C$6:$C$86,A68)</f>
        <v>214</v>
      </c>
      <c r="G68" s="19">
        <f>_xlfn.MAXIFS('Raw Data and Pivot tables '!$D$6:$D$86,'Raw Data and Pivot tables '!$C$6:$C$86,A68)</f>
        <v>246</v>
      </c>
      <c r="H68" s="19">
        <f t="shared" si="1"/>
        <v>5.6</v>
      </c>
      <c r="I68" t="s">
        <v>145</v>
      </c>
    </row>
    <row r="69" spans="1:9" x14ac:dyDescent="0.3">
      <c r="A69" s="17" t="s">
        <v>45</v>
      </c>
      <c r="B69" s="17">
        <f>COUNTIF('Raw Data and Pivot tables '!$C$6:$C$86,A69)</f>
        <v>2</v>
      </c>
      <c r="C69" s="17">
        <f>SUMIF('Raw Data and Pivot tables '!$C$6:$C$86,A69,'Raw Data and Pivot tables '!$D$6:$D$86)</f>
        <v>492</v>
      </c>
      <c r="D69" s="19">
        <f>AVERAGEIF('Raw Data and Pivot tables '!$C$6:$C$86,A69,'Raw Data and Pivot tables '!$D$6:$D$86)</f>
        <v>246</v>
      </c>
      <c r="E69" s="19">
        <v>37.200000000000003</v>
      </c>
      <c r="F69" s="19">
        <f>_xlfn.MINIFS('Raw Data and Pivot tables '!$D$6:$D$86,'Raw Data and Pivot tables '!$C$6:$C$86,A69)</f>
        <v>214</v>
      </c>
      <c r="G69" s="19">
        <f>_xlfn.MAXIFS('Raw Data and Pivot tables '!$D$6:$D$86,'Raw Data and Pivot tables '!$C$6:$C$86,A69)</f>
        <v>278</v>
      </c>
      <c r="H69" s="19">
        <f t="shared" si="1"/>
        <v>15.1</v>
      </c>
      <c r="I69" t="s">
        <v>145</v>
      </c>
    </row>
    <row r="70" spans="1:9" x14ac:dyDescent="0.3">
      <c r="A70" s="17" t="s">
        <v>23</v>
      </c>
      <c r="B70" s="17">
        <f>COUNTIF('Raw Data and Pivot tables '!$C$6:$C$86,A70)</f>
        <v>1</v>
      </c>
      <c r="C70" s="17">
        <f>SUMIF('Raw Data and Pivot tables '!$C$6:$C$86,A70,'Raw Data and Pivot tables '!$D$6:$D$86)</f>
        <v>156</v>
      </c>
      <c r="D70" s="19">
        <f>AVERAGEIF('Raw Data and Pivot tables '!$C$6:$C$86,A70,'Raw Data and Pivot tables '!$D$6:$D$86)</f>
        <v>156</v>
      </c>
      <c r="E70" s="19">
        <v>0</v>
      </c>
      <c r="F70" s="19">
        <f>_xlfn.MINIFS('Raw Data and Pivot tables '!$D$6:$D$86,'Raw Data and Pivot tables '!$C$6:$C$86,A70)</f>
        <v>156</v>
      </c>
      <c r="G70" s="19">
        <f>_xlfn.MAXIFS('Raw Data and Pivot tables '!$D$6:$D$86,'Raw Data and Pivot tables '!$C$6:$C$86,A70)</f>
        <v>156</v>
      </c>
      <c r="H70" s="19">
        <f>IFERROR(ROUND(E70/D70*100,1),0)</f>
        <v>0</v>
      </c>
      <c r="I70" t="s">
        <v>20</v>
      </c>
    </row>
    <row r="72" spans="1:9" x14ac:dyDescent="0.3">
      <c r="A72" s="247" t="s">
        <v>150</v>
      </c>
      <c r="B72" s="247"/>
      <c r="C72" s="247"/>
    </row>
    <row r="73" spans="1:9" x14ac:dyDescent="0.3">
      <c r="A73" s="26" t="s">
        <v>86</v>
      </c>
      <c r="B73" s="26" t="s">
        <v>1</v>
      </c>
      <c r="C73" s="26" t="s">
        <v>140</v>
      </c>
      <c r="D73" s="26" t="s">
        <v>142</v>
      </c>
      <c r="E73" s="26" t="s">
        <v>99</v>
      </c>
      <c r="F73" s="26" t="s">
        <v>151</v>
      </c>
      <c r="G73" s="26" t="s">
        <v>152</v>
      </c>
    </row>
    <row r="74" spans="1:9" x14ac:dyDescent="0.3">
      <c r="A74" s="27" t="s">
        <v>20</v>
      </c>
      <c r="B74" s="27" t="s">
        <v>39</v>
      </c>
      <c r="C74" s="27">
        <v>4</v>
      </c>
      <c r="D74" s="28">
        <v>540.5</v>
      </c>
      <c r="E74" s="28">
        <v>101.2110007196188</v>
      </c>
      <c r="F74" s="27">
        <v>406</v>
      </c>
      <c r="G74" s="27">
        <v>638</v>
      </c>
    </row>
    <row r="75" spans="1:9" x14ac:dyDescent="0.3">
      <c r="A75" s="27" t="s">
        <v>20</v>
      </c>
      <c r="B75" s="27" t="s">
        <v>25</v>
      </c>
      <c r="C75" s="27">
        <v>3</v>
      </c>
      <c r="D75" s="28">
        <v>488.66666666666669</v>
      </c>
      <c r="E75" s="28">
        <v>113.2313266429981</v>
      </c>
      <c r="F75" s="27">
        <v>358</v>
      </c>
      <c r="G75" s="27">
        <v>558</v>
      </c>
    </row>
    <row r="76" spans="1:9" x14ac:dyDescent="0.3">
      <c r="A76" s="27" t="s">
        <v>20</v>
      </c>
      <c r="B76" s="27" t="s">
        <v>42</v>
      </c>
      <c r="C76" s="27">
        <v>2</v>
      </c>
      <c r="D76" s="28">
        <v>372</v>
      </c>
      <c r="E76" s="29">
        <v>0</v>
      </c>
      <c r="F76" s="27">
        <v>372</v>
      </c>
      <c r="G76" s="27">
        <v>372</v>
      </c>
    </row>
    <row r="77" spans="1:9" x14ac:dyDescent="0.3">
      <c r="A77" s="27" t="s">
        <v>20</v>
      </c>
      <c r="B77" s="27" t="s">
        <v>21</v>
      </c>
      <c r="C77" s="27">
        <v>4</v>
      </c>
      <c r="D77" s="28">
        <v>335.5</v>
      </c>
      <c r="E77" s="28">
        <v>17.91647286716892</v>
      </c>
      <c r="F77" s="27">
        <v>318</v>
      </c>
      <c r="G77" s="27">
        <v>360</v>
      </c>
    </row>
    <row r="78" spans="1:9" x14ac:dyDescent="0.3">
      <c r="A78" s="27" t="s">
        <v>20</v>
      </c>
      <c r="B78" s="27" t="s">
        <v>40</v>
      </c>
      <c r="C78" s="27">
        <v>3</v>
      </c>
      <c r="D78" s="28">
        <v>326</v>
      </c>
      <c r="E78" s="28">
        <v>41.761226035642203</v>
      </c>
      <c r="F78" s="27">
        <v>278</v>
      </c>
      <c r="G78" s="27">
        <v>354</v>
      </c>
    </row>
    <row r="79" spans="1:9" x14ac:dyDescent="0.3">
      <c r="A79" s="27" t="s">
        <v>20</v>
      </c>
      <c r="B79" s="27" t="s">
        <v>31</v>
      </c>
      <c r="C79" s="27">
        <v>3</v>
      </c>
      <c r="D79" s="28">
        <v>308.66666666666669</v>
      </c>
      <c r="E79" s="28">
        <v>17.473789896108219</v>
      </c>
      <c r="F79" s="27">
        <v>294</v>
      </c>
      <c r="G79" s="27">
        <v>328</v>
      </c>
    </row>
    <row r="80" spans="1:9" x14ac:dyDescent="0.3">
      <c r="A80" s="27" t="s">
        <v>20</v>
      </c>
      <c r="B80" s="27" t="s">
        <v>44</v>
      </c>
      <c r="C80" s="27">
        <v>1</v>
      </c>
      <c r="D80" s="28">
        <v>268</v>
      </c>
      <c r="E80" s="29"/>
      <c r="F80" s="27">
        <v>268</v>
      </c>
      <c r="G80" s="27">
        <v>268</v>
      </c>
    </row>
    <row r="81" spans="1:7" x14ac:dyDescent="0.3">
      <c r="A81" s="27" t="s">
        <v>20</v>
      </c>
      <c r="B81" s="27" t="s">
        <v>36</v>
      </c>
      <c r="C81" s="27">
        <v>1</v>
      </c>
      <c r="D81" s="28">
        <v>238</v>
      </c>
      <c r="E81" s="29"/>
      <c r="F81" s="27">
        <v>238</v>
      </c>
      <c r="G81" s="27">
        <v>238</v>
      </c>
    </row>
    <row r="82" spans="1:7" x14ac:dyDescent="0.3">
      <c r="A82" s="27" t="s">
        <v>20</v>
      </c>
      <c r="B82" s="27" t="s">
        <v>46</v>
      </c>
      <c r="C82" s="27">
        <v>2</v>
      </c>
      <c r="D82" s="28">
        <v>230</v>
      </c>
      <c r="E82" s="28">
        <v>22.627416997969519</v>
      </c>
      <c r="F82" s="27">
        <v>214</v>
      </c>
      <c r="G82" s="27">
        <v>246</v>
      </c>
    </row>
    <row r="83" spans="1:7" x14ac:dyDescent="0.3">
      <c r="A83" s="27" t="s">
        <v>20</v>
      </c>
      <c r="B83" s="27" t="s">
        <v>45</v>
      </c>
      <c r="C83" s="27">
        <v>1</v>
      </c>
      <c r="D83" s="28">
        <v>214</v>
      </c>
      <c r="E83" s="29"/>
      <c r="F83" s="27">
        <v>214</v>
      </c>
      <c r="G83" s="27">
        <v>214</v>
      </c>
    </row>
    <row r="84" spans="1:7" x14ac:dyDescent="0.3">
      <c r="A84" s="27" t="s">
        <v>20</v>
      </c>
      <c r="B84" s="27" t="s">
        <v>15</v>
      </c>
      <c r="C84" s="27">
        <v>2</v>
      </c>
      <c r="D84" s="28">
        <v>206</v>
      </c>
      <c r="E84" s="28">
        <v>28.284271247461898</v>
      </c>
      <c r="F84" s="27">
        <v>186</v>
      </c>
      <c r="G84" s="27">
        <v>226</v>
      </c>
    </row>
    <row r="85" spans="1:7" x14ac:dyDescent="0.3">
      <c r="A85" s="27" t="s">
        <v>20</v>
      </c>
      <c r="B85" s="27" t="s">
        <v>23</v>
      </c>
      <c r="C85" s="27">
        <v>1</v>
      </c>
      <c r="D85" s="28">
        <v>156</v>
      </c>
      <c r="E85" s="29"/>
      <c r="F85" s="27">
        <v>156</v>
      </c>
      <c r="G85" s="27">
        <v>156</v>
      </c>
    </row>
    <row r="86" spans="1:7" x14ac:dyDescent="0.3">
      <c r="A86" s="27" t="s">
        <v>20</v>
      </c>
      <c r="B86" s="27" t="s">
        <v>27</v>
      </c>
      <c r="C86" s="27">
        <v>2</v>
      </c>
      <c r="D86" s="28">
        <v>140</v>
      </c>
      <c r="E86" s="28">
        <v>8.4852813742385695</v>
      </c>
      <c r="F86" s="27">
        <v>134</v>
      </c>
      <c r="G86" s="27">
        <v>146</v>
      </c>
    </row>
    <row r="87" spans="1:7" x14ac:dyDescent="0.3">
      <c r="A87" s="27" t="s">
        <v>43</v>
      </c>
      <c r="B87" s="27" t="s">
        <v>39</v>
      </c>
      <c r="C87" s="27">
        <v>2</v>
      </c>
      <c r="D87" s="28">
        <v>540</v>
      </c>
      <c r="E87" s="28">
        <v>36.76955262170047</v>
      </c>
      <c r="F87" s="27">
        <v>514</v>
      </c>
      <c r="G87" s="27">
        <v>566</v>
      </c>
    </row>
    <row r="88" spans="1:7" x14ac:dyDescent="0.3">
      <c r="A88" s="27" t="s">
        <v>43</v>
      </c>
      <c r="B88" s="27" t="s">
        <v>25</v>
      </c>
      <c r="C88" s="27">
        <v>3</v>
      </c>
      <c r="D88" s="28">
        <v>511.33333333333331</v>
      </c>
      <c r="E88" s="28">
        <v>79.607369843082566</v>
      </c>
      <c r="F88" s="27">
        <v>420</v>
      </c>
      <c r="G88" s="27">
        <v>566</v>
      </c>
    </row>
    <row r="89" spans="1:7" x14ac:dyDescent="0.3">
      <c r="A89" s="27" t="s">
        <v>43</v>
      </c>
      <c r="B89" s="27" t="s">
        <v>31</v>
      </c>
      <c r="C89" s="27">
        <v>1</v>
      </c>
      <c r="D89" s="28">
        <v>346</v>
      </c>
      <c r="E89" s="29"/>
      <c r="F89" s="27">
        <v>346</v>
      </c>
      <c r="G89" s="27">
        <v>346</v>
      </c>
    </row>
    <row r="90" spans="1:7" x14ac:dyDescent="0.3">
      <c r="A90" s="27" t="s">
        <v>43</v>
      </c>
      <c r="B90" s="27" t="s">
        <v>42</v>
      </c>
      <c r="C90" s="27">
        <v>4</v>
      </c>
      <c r="D90" s="28">
        <v>337.5</v>
      </c>
      <c r="E90" s="28">
        <v>71.018776859832414</v>
      </c>
      <c r="F90" s="27">
        <v>246</v>
      </c>
      <c r="G90" s="27">
        <v>416</v>
      </c>
    </row>
    <row r="91" spans="1:7" x14ac:dyDescent="0.3">
      <c r="A91" s="27" t="s">
        <v>43</v>
      </c>
      <c r="B91" s="27" t="s">
        <v>40</v>
      </c>
      <c r="C91" s="27">
        <v>4</v>
      </c>
      <c r="D91" s="28">
        <v>308.5</v>
      </c>
      <c r="E91" s="28">
        <v>21.748563170931551</v>
      </c>
      <c r="F91" s="27">
        <v>282</v>
      </c>
      <c r="G91" s="27">
        <v>330</v>
      </c>
    </row>
    <row r="92" spans="1:7" x14ac:dyDescent="0.3">
      <c r="A92" s="27" t="s">
        <v>43</v>
      </c>
      <c r="B92" s="27" t="s">
        <v>44</v>
      </c>
      <c r="C92" s="27">
        <v>2</v>
      </c>
      <c r="D92" s="28">
        <v>296</v>
      </c>
      <c r="E92" s="28">
        <v>31.11269837220809</v>
      </c>
      <c r="F92" s="27">
        <v>274</v>
      </c>
      <c r="G92" s="27">
        <v>318</v>
      </c>
    </row>
    <row r="93" spans="1:7" x14ac:dyDescent="0.3">
      <c r="A93" s="27" t="s">
        <v>43</v>
      </c>
      <c r="B93" s="27" t="s">
        <v>21</v>
      </c>
      <c r="C93" s="27">
        <v>3</v>
      </c>
      <c r="D93" s="28">
        <v>280.66666666666669</v>
      </c>
      <c r="E93" s="28">
        <v>71.1430483837552</v>
      </c>
      <c r="F93" s="27">
        <v>230</v>
      </c>
      <c r="G93" s="27">
        <v>362</v>
      </c>
    </row>
    <row r="94" spans="1:7" x14ac:dyDescent="0.3">
      <c r="A94" s="27" t="s">
        <v>43</v>
      </c>
      <c r="B94" s="27" t="s">
        <v>45</v>
      </c>
      <c r="C94" s="27">
        <v>1</v>
      </c>
      <c r="D94" s="28">
        <v>278</v>
      </c>
      <c r="E94" s="29"/>
      <c r="F94" s="27">
        <v>278</v>
      </c>
      <c r="G94" s="27">
        <v>278</v>
      </c>
    </row>
    <row r="95" spans="1:7" x14ac:dyDescent="0.3">
      <c r="A95" s="27" t="s">
        <v>43</v>
      </c>
      <c r="B95" s="27" t="s">
        <v>36</v>
      </c>
      <c r="C95" s="27">
        <v>3</v>
      </c>
      <c r="D95" s="28">
        <v>236.66666666666671</v>
      </c>
      <c r="E95" s="28">
        <v>26.558112382722779</v>
      </c>
      <c r="F95" s="27">
        <v>206</v>
      </c>
      <c r="G95" s="27">
        <v>252</v>
      </c>
    </row>
    <row r="96" spans="1:7" x14ac:dyDescent="0.3">
      <c r="A96" s="27" t="s">
        <v>43</v>
      </c>
      <c r="B96" s="27" t="s">
        <v>37</v>
      </c>
      <c r="C96" s="27">
        <v>4</v>
      </c>
      <c r="D96" s="28">
        <v>233.75</v>
      </c>
      <c r="E96" s="28">
        <v>57.156947667511659</v>
      </c>
      <c r="F96" s="27">
        <v>172</v>
      </c>
      <c r="G96" s="27">
        <v>296</v>
      </c>
    </row>
    <row r="97" spans="1:7" x14ac:dyDescent="0.3">
      <c r="A97" s="27" t="s">
        <v>43</v>
      </c>
      <c r="B97" s="27" t="s">
        <v>46</v>
      </c>
      <c r="C97" s="27">
        <v>2</v>
      </c>
      <c r="D97" s="28">
        <v>223</v>
      </c>
      <c r="E97" s="28">
        <v>4.2426406871192848</v>
      </c>
      <c r="F97" s="27">
        <v>220</v>
      </c>
      <c r="G97" s="27">
        <v>226</v>
      </c>
    </row>
    <row r="98" spans="1:7" x14ac:dyDescent="0.3">
      <c r="A98" s="27" t="s">
        <v>43</v>
      </c>
      <c r="B98" s="27" t="s">
        <v>27</v>
      </c>
      <c r="C98" s="27">
        <v>4</v>
      </c>
      <c r="D98" s="28">
        <v>206.25</v>
      </c>
      <c r="E98" s="28">
        <v>25.197552791226901</v>
      </c>
      <c r="F98" s="27">
        <v>186</v>
      </c>
      <c r="G98" s="27">
        <v>238</v>
      </c>
    </row>
    <row r="99" spans="1:7" x14ac:dyDescent="0.3">
      <c r="A99" s="27" t="s">
        <v>43</v>
      </c>
      <c r="B99" s="27" t="s">
        <v>15</v>
      </c>
      <c r="C99" s="27">
        <v>2</v>
      </c>
      <c r="D99" s="28">
        <v>160</v>
      </c>
      <c r="E99" s="28">
        <v>67.882250993908556</v>
      </c>
      <c r="F99" s="27">
        <v>112</v>
      </c>
      <c r="G99" s="27">
        <v>208</v>
      </c>
    </row>
    <row r="100" spans="1:7" x14ac:dyDescent="0.3">
      <c r="A100" s="27" t="s">
        <v>14</v>
      </c>
      <c r="B100" s="27" t="s">
        <v>25</v>
      </c>
      <c r="C100" s="27">
        <v>1</v>
      </c>
      <c r="D100" s="28">
        <v>466</v>
      </c>
      <c r="E100" s="29"/>
      <c r="F100" s="27">
        <v>466</v>
      </c>
      <c r="G100" s="27">
        <v>466</v>
      </c>
    </row>
    <row r="101" spans="1:7" x14ac:dyDescent="0.3">
      <c r="A101" s="27" t="s">
        <v>14</v>
      </c>
      <c r="B101" s="27" t="s">
        <v>39</v>
      </c>
      <c r="C101" s="27">
        <v>1</v>
      </c>
      <c r="D101" s="28">
        <v>458</v>
      </c>
      <c r="E101" s="29"/>
      <c r="F101" s="27">
        <v>458</v>
      </c>
      <c r="G101" s="27">
        <v>458</v>
      </c>
    </row>
    <row r="102" spans="1:7" x14ac:dyDescent="0.3">
      <c r="A102" s="27" t="s">
        <v>14</v>
      </c>
      <c r="B102" s="27" t="s">
        <v>31</v>
      </c>
      <c r="C102" s="27">
        <v>3</v>
      </c>
      <c r="D102" s="28">
        <v>311.33333333333331</v>
      </c>
      <c r="E102" s="28">
        <v>25.16611478423583</v>
      </c>
      <c r="F102" s="27">
        <v>288</v>
      </c>
      <c r="G102" s="27">
        <v>338</v>
      </c>
    </row>
    <row r="103" spans="1:7" x14ac:dyDescent="0.3">
      <c r="A103" s="27" t="s">
        <v>14</v>
      </c>
      <c r="B103" s="27" t="s">
        <v>37</v>
      </c>
      <c r="C103" s="27">
        <v>1</v>
      </c>
      <c r="D103" s="28">
        <v>278</v>
      </c>
      <c r="E103" s="29"/>
      <c r="F103" s="27">
        <v>278</v>
      </c>
      <c r="G103" s="27">
        <v>278</v>
      </c>
    </row>
    <row r="104" spans="1:7" x14ac:dyDescent="0.3">
      <c r="A104" s="27" t="s">
        <v>14</v>
      </c>
      <c r="B104" s="27" t="s">
        <v>44</v>
      </c>
      <c r="C104" s="27">
        <v>3</v>
      </c>
      <c r="D104" s="28">
        <v>272.66666666666669</v>
      </c>
      <c r="E104" s="28">
        <v>18.58314648635513</v>
      </c>
      <c r="F104" s="27">
        <v>252</v>
      </c>
      <c r="G104" s="27">
        <v>288</v>
      </c>
    </row>
    <row r="105" spans="1:7" x14ac:dyDescent="0.3">
      <c r="A105" s="27" t="s">
        <v>14</v>
      </c>
      <c r="B105" s="27" t="s">
        <v>42</v>
      </c>
      <c r="C105" s="27">
        <v>1</v>
      </c>
      <c r="D105" s="28">
        <v>268</v>
      </c>
      <c r="E105" s="29"/>
      <c r="F105" s="27">
        <v>268</v>
      </c>
      <c r="G105" s="27">
        <v>268</v>
      </c>
    </row>
    <row r="106" spans="1:7" x14ac:dyDescent="0.3">
      <c r="A106" s="27" t="s">
        <v>14</v>
      </c>
      <c r="B106" s="27" t="s">
        <v>36</v>
      </c>
      <c r="C106" s="27">
        <v>3</v>
      </c>
      <c r="D106" s="28">
        <v>211.33333333333329</v>
      </c>
      <c r="E106" s="28">
        <v>52.204725201205036</v>
      </c>
      <c r="F106" s="27">
        <v>170</v>
      </c>
      <c r="G106" s="27">
        <v>270</v>
      </c>
    </row>
    <row r="107" spans="1:7" x14ac:dyDescent="0.3">
      <c r="A107" s="27" t="s">
        <v>14</v>
      </c>
      <c r="B107" s="27" t="s">
        <v>15</v>
      </c>
      <c r="C107" s="27">
        <v>2</v>
      </c>
      <c r="D107" s="28">
        <v>172</v>
      </c>
      <c r="E107" s="28">
        <v>53.740115370177612</v>
      </c>
      <c r="F107" s="27">
        <v>134</v>
      </c>
      <c r="G107" s="27">
        <v>210</v>
      </c>
    </row>
    <row r="108" spans="1:7" x14ac:dyDescent="0.3">
      <c r="A108" s="27" t="s">
        <v>14</v>
      </c>
      <c r="B108" s="27" t="s">
        <v>27</v>
      </c>
      <c r="C108" s="27">
        <v>1</v>
      </c>
      <c r="D108" s="28">
        <v>145</v>
      </c>
      <c r="E108" s="29"/>
      <c r="F108" s="27">
        <v>145</v>
      </c>
      <c r="G108" s="27">
        <v>145</v>
      </c>
    </row>
    <row r="112" spans="1:7" x14ac:dyDescent="0.3">
      <c r="A112" s="249" t="s">
        <v>153</v>
      </c>
      <c r="B112" s="249"/>
      <c r="C112" s="249"/>
      <c r="D112" s="249"/>
      <c r="E112" s="249"/>
    </row>
    <row r="113" spans="1:6" x14ac:dyDescent="0.3">
      <c r="A113" s="18" t="s">
        <v>64</v>
      </c>
      <c r="B113" s="18" t="s">
        <v>1</v>
      </c>
      <c r="C113" s="18" t="s">
        <v>102</v>
      </c>
      <c r="D113" s="18" t="s">
        <v>142</v>
      </c>
      <c r="E113" s="18" t="s">
        <v>140</v>
      </c>
      <c r="F113" s="18" t="s">
        <v>110</v>
      </c>
    </row>
    <row r="114" spans="1:6" x14ac:dyDescent="0.3">
      <c r="A114" s="17">
        <v>1</v>
      </c>
      <c r="B114" s="17" t="s">
        <v>23</v>
      </c>
      <c r="C114" s="22">
        <v>0</v>
      </c>
      <c r="D114" s="17">
        <v>156</v>
      </c>
      <c r="E114" s="17">
        <v>1</v>
      </c>
      <c r="F114" s="17" t="s">
        <v>154</v>
      </c>
    </row>
    <row r="115" spans="1:6" x14ac:dyDescent="0.3">
      <c r="A115" s="17">
        <v>2</v>
      </c>
      <c r="B115" s="17" t="s">
        <v>46</v>
      </c>
      <c r="C115" s="17">
        <v>5.6</v>
      </c>
      <c r="D115" s="17">
        <v>226.5</v>
      </c>
      <c r="E115" s="17">
        <v>4</v>
      </c>
      <c r="F115" s="21" t="s">
        <v>155</v>
      </c>
    </row>
    <row r="116" spans="1:6" x14ac:dyDescent="0.3">
      <c r="A116" s="17">
        <v>3</v>
      </c>
      <c r="B116" s="17" t="s">
        <v>31</v>
      </c>
      <c r="C116" s="17">
        <v>7.4</v>
      </c>
      <c r="D116" s="17">
        <v>315</v>
      </c>
      <c r="E116" s="17">
        <v>7</v>
      </c>
      <c r="F116" s="17" t="s">
        <v>156</v>
      </c>
    </row>
    <row r="117" spans="1:6" x14ac:dyDescent="0.3">
      <c r="A117" s="17">
        <v>4</v>
      </c>
      <c r="B117" s="17" t="s">
        <v>40</v>
      </c>
      <c r="C117" s="17">
        <v>10.3</v>
      </c>
      <c r="D117" s="17">
        <v>316</v>
      </c>
      <c r="E117" s="17">
        <v>7</v>
      </c>
      <c r="F117" s="17" t="s">
        <v>111</v>
      </c>
    </row>
    <row r="118" spans="1:6" x14ac:dyDescent="0.3">
      <c r="A118" s="17">
        <v>5</v>
      </c>
      <c r="B118" s="17" t="s">
        <v>44</v>
      </c>
      <c r="C118" s="17">
        <v>10.4</v>
      </c>
      <c r="D118" s="17">
        <v>270</v>
      </c>
      <c r="E118" s="17">
        <v>7</v>
      </c>
      <c r="F118" s="17" t="s">
        <v>111</v>
      </c>
    </row>
    <row r="119" spans="1:6" x14ac:dyDescent="0.3">
      <c r="A119" s="17" t="s">
        <v>157</v>
      </c>
    </row>
    <row r="120" spans="1:6" x14ac:dyDescent="0.3">
      <c r="A120" s="17">
        <v>12</v>
      </c>
      <c r="B120" s="17" t="s">
        <v>27</v>
      </c>
      <c r="C120" s="17">
        <v>21.7</v>
      </c>
      <c r="D120" s="17">
        <v>179</v>
      </c>
      <c r="E120" s="17">
        <v>7</v>
      </c>
      <c r="F120" s="17" t="s">
        <v>158</v>
      </c>
    </row>
    <row r="121" spans="1:6" x14ac:dyDescent="0.3">
      <c r="A121" s="17">
        <v>13</v>
      </c>
      <c r="B121" s="17" t="s">
        <v>15</v>
      </c>
      <c r="C121" s="17">
        <v>22</v>
      </c>
      <c r="D121" s="17">
        <v>179</v>
      </c>
      <c r="E121" s="17">
        <v>6</v>
      </c>
      <c r="F121" s="23" t="s">
        <v>159</v>
      </c>
    </row>
    <row r="123" spans="1:6" x14ac:dyDescent="0.3">
      <c r="A123" s="247" t="s">
        <v>160</v>
      </c>
      <c r="B123" s="247"/>
      <c r="C123" s="38"/>
    </row>
    <row r="124" spans="1:6" ht="15.6" x14ac:dyDescent="0.3">
      <c r="A124" s="35" t="s">
        <v>1</v>
      </c>
      <c r="B124" s="35" t="s">
        <v>161</v>
      </c>
      <c r="C124" s="35" t="s">
        <v>162</v>
      </c>
      <c r="D124" s="35" t="s">
        <v>163</v>
      </c>
    </row>
    <row r="125" spans="1:6" x14ac:dyDescent="0.3">
      <c r="A125" s="36" t="s">
        <v>39</v>
      </c>
      <c r="B125" s="36" t="s">
        <v>20</v>
      </c>
      <c r="C125" s="36">
        <v>540.5</v>
      </c>
      <c r="D125" s="36">
        <v>4</v>
      </c>
    </row>
    <row r="126" spans="1:6" x14ac:dyDescent="0.3">
      <c r="A126" s="36" t="s">
        <v>25</v>
      </c>
      <c r="B126" s="36" t="s">
        <v>43</v>
      </c>
      <c r="C126" s="36">
        <v>511.33</v>
      </c>
      <c r="D126" s="36">
        <v>3</v>
      </c>
    </row>
    <row r="127" spans="1:6" x14ac:dyDescent="0.3">
      <c r="A127" s="36" t="s">
        <v>42</v>
      </c>
      <c r="B127" s="36" t="s">
        <v>20</v>
      </c>
      <c r="C127" s="36">
        <v>372</v>
      </c>
      <c r="D127" s="36">
        <v>2</v>
      </c>
    </row>
    <row r="128" spans="1:6" x14ac:dyDescent="0.3">
      <c r="A128" s="36" t="s">
        <v>31</v>
      </c>
      <c r="B128" s="36" t="s">
        <v>43</v>
      </c>
      <c r="C128" s="36">
        <v>346</v>
      </c>
      <c r="D128" s="36">
        <v>1</v>
      </c>
    </row>
    <row r="129" spans="1:5" x14ac:dyDescent="0.3">
      <c r="A129" s="36" t="s">
        <v>21</v>
      </c>
      <c r="B129" s="36" t="s">
        <v>20</v>
      </c>
      <c r="C129" s="36">
        <v>335.5</v>
      </c>
      <c r="D129" s="36">
        <v>4</v>
      </c>
    </row>
    <row r="130" spans="1:5" x14ac:dyDescent="0.3">
      <c r="A130" s="36" t="s">
        <v>40</v>
      </c>
      <c r="B130" s="36" t="s">
        <v>20</v>
      </c>
      <c r="C130" s="36">
        <v>326</v>
      </c>
      <c r="D130" s="36">
        <v>3</v>
      </c>
    </row>
    <row r="131" spans="1:5" x14ac:dyDescent="0.3">
      <c r="A131" s="36" t="s">
        <v>44</v>
      </c>
      <c r="B131" s="36" t="s">
        <v>43</v>
      </c>
      <c r="C131" s="36">
        <v>296</v>
      </c>
      <c r="D131" s="36">
        <v>2</v>
      </c>
    </row>
    <row r="132" spans="1:5" x14ac:dyDescent="0.3">
      <c r="A132" s="36" t="s">
        <v>37</v>
      </c>
      <c r="B132" s="36" t="s">
        <v>14</v>
      </c>
      <c r="C132" s="36">
        <v>278</v>
      </c>
      <c r="D132" s="36">
        <v>1</v>
      </c>
    </row>
    <row r="133" spans="1:5" x14ac:dyDescent="0.3">
      <c r="A133" s="36" t="s">
        <v>45</v>
      </c>
      <c r="B133" s="36" t="s">
        <v>43</v>
      </c>
      <c r="C133" s="36">
        <v>278</v>
      </c>
      <c r="D133" s="36">
        <v>1</v>
      </c>
    </row>
    <row r="134" spans="1:5" x14ac:dyDescent="0.3">
      <c r="A134" s="36" t="s">
        <v>36</v>
      </c>
      <c r="B134" s="36" t="s">
        <v>20</v>
      </c>
      <c r="C134" s="36">
        <v>238</v>
      </c>
      <c r="D134" s="36">
        <v>1</v>
      </c>
    </row>
    <row r="135" spans="1:5" x14ac:dyDescent="0.3">
      <c r="A135" s="36" t="s">
        <v>46</v>
      </c>
      <c r="B135" s="36" t="s">
        <v>20</v>
      </c>
      <c r="C135" s="36">
        <v>230</v>
      </c>
      <c r="D135" s="36">
        <v>2</v>
      </c>
    </row>
    <row r="136" spans="1:5" x14ac:dyDescent="0.3">
      <c r="A136" s="36" t="s">
        <v>27</v>
      </c>
      <c r="B136" s="36" t="s">
        <v>43</v>
      </c>
      <c r="C136" s="36">
        <v>206.25</v>
      </c>
      <c r="D136" s="36">
        <v>4</v>
      </c>
    </row>
    <row r="137" spans="1:5" x14ac:dyDescent="0.3">
      <c r="A137" s="36" t="s">
        <v>15</v>
      </c>
      <c r="B137" s="36" t="s">
        <v>20</v>
      </c>
      <c r="C137" s="36">
        <v>206</v>
      </c>
      <c r="D137" s="36">
        <v>2</v>
      </c>
    </row>
    <row r="139" spans="1:5" x14ac:dyDescent="0.3">
      <c r="A139" s="247" t="s">
        <v>164</v>
      </c>
      <c r="B139" s="247"/>
      <c r="C139" s="247"/>
      <c r="D139" s="247"/>
    </row>
    <row r="140" spans="1:5" ht="15.6" x14ac:dyDescent="0.3">
      <c r="A140" s="35" t="s">
        <v>86</v>
      </c>
      <c r="B140" s="35" t="s">
        <v>1</v>
      </c>
      <c r="C140" s="35" t="s">
        <v>162</v>
      </c>
      <c r="D140" s="35" t="s">
        <v>140</v>
      </c>
      <c r="E140" s="35" t="s">
        <v>64</v>
      </c>
    </row>
    <row r="141" spans="1:5" x14ac:dyDescent="0.3">
      <c r="A141" s="36" t="s">
        <v>43</v>
      </c>
      <c r="B141" s="36" t="s">
        <v>39</v>
      </c>
      <c r="C141" s="37">
        <v>540</v>
      </c>
      <c r="D141" s="36">
        <v>2</v>
      </c>
      <c r="E141" s="36">
        <v>1</v>
      </c>
    </row>
    <row r="142" spans="1:5" x14ac:dyDescent="0.3">
      <c r="A142" s="36" t="s">
        <v>43</v>
      </c>
      <c r="B142" s="36" t="s">
        <v>25</v>
      </c>
      <c r="C142" s="37">
        <v>511.33</v>
      </c>
      <c r="D142" s="36">
        <v>3</v>
      </c>
      <c r="E142" s="36">
        <v>2</v>
      </c>
    </row>
    <row r="143" spans="1:5" x14ac:dyDescent="0.3">
      <c r="A143" s="36" t="s">
        <v>43</v>
      </c>
      <c r="B143" s="36" t="s">
        <v>31</v>
      </c>
      <c r="C143" s="37">
        <v>346</v>
      </c>
      <c r="D143" s="36">
        <v>1</v>
      </c>
      <c r="E143" s="36">
        <v>3</v>
      </c>
    </row>
    <row r="144" spans="1:5" x14ac:dyDescent="0.3">
      <c r="A144" s="36" t="s">
        <v>43</v>
      </c>
      <c r="B144" s="36" t="s">
        <v>42</v>
      </c>
      <c r="C144" s="37">
        <v>337.5</v>
      </c>
      <c r="D144" s="36">
        <v>4</v>
      </c>
      <c r="E144" s="36">
        <v>4</v>
      </c>
    </row>
    <row r="145" spans="1:5" x14ac:dyDescent="0.3">
      <c r="A145" s="36" t="s">
        <v>43</v>
      </c>
      <c r="B145" s="36" t="s">
        <v>40</v>
      </c>
      <c r="C145" s="37">
        <v>308.5</v>
      </c>
      <c r="D145" s="36">
        <v>4</v>
      </c>
      <c r="E145" s="36">
        <v>5</v>
      </c>
    </row>
    <row r="146" spans="1:5" x14ac:dyDescent="0.3">
      <c r="A146" s="36" t="s">
        <v>43</v>
      </c>
      <c r="B146" s="36" t="s">
        <v>44</v>
      </c>
      <c r="C146" s="37">
        <v>296</v>
      </c>
      <c r="D146" s="36">
        <v>2</v>
      </c>
      <c r="E146" s="36">
        <v>6</v>
      </c>
    </row>
    <row r="147" spans="1:5" x14ac:dyDescent="0.3">
      <c r="A147" s="36" t="s">
        <v>43</v>
      </c>
      <c r="B147" s="36" t="s">
        <v>21</v>
      </c>
      <c r="C147" s="37">
        <v>280.67</v>
      </c>
      <c r="D147" s="36">
        <v>3</v>
      </c>
      <c r="E147" s="36">
        <v>7</v>
      </c>
    </row>
    <row r="148" spans="1:5" x14ac:dyDescent="0.3">
      <c r="A148" s="36" t="s">
        <v>43</v>
      </c>
      <c r="B148" s="36" t="s">
        <v>45</v>
      </c>
      <c r="C148" s="37">
        <v>278</v>
      </c>
      <c r="D148" s="36">
        <v>1</v>
      </c>
      <c r="E148" s="36">
        <v>8</v>
      </c>
    </row>
    <row r="149" spans="1:5" x14ac:dyDescent="0.3">
      <c r="A149" s="36" t="s">
        <v>43</v>
      </c>
      <c r="B149" s="36" t="s">
        <v>36</v>
      </c>
      <c r="C149" s="37">
        <v>236.67</v>
      </c>
      <c r="D149" s="36">
        <v>3</v>
      </c>
      <c r="E149" s="36">
        <v>9</v>
      </c>
    </row>
    <row r="150" spans="1:5" x14ac:dyDescent="0.3">
      <c r="A150" s="36" t="s">
        <v>43</v>
      </c>
      <c r="B150" s="36" t="s">
        <v>37</v>
      </c>
      <c r="C150" s="37">
        <v>233.75</v>
      </c>
      <c r="D150" s="36">
        <v>4</v>
      </c>
      <c r="E150" s="36">
        <v>10</v>
      </c>
    </row>
    <row r="151" spans="1:5" x14ac:dyDescent="0.3">
      <c r="A151" s="36" t="s">
        <v>43</v>
      </c>
      <c r="B151" s="36" t="s">
        <v>46</v>
      </c>
      <c r="C151" s="37">
        <v>223</v>
      </c>
      <c r="D151" s="36">
        <v>2</v>
      </c>
      <c r="E151" s="36">
        <v>11</v>
      </c>
    </row>
    <row r="152" spans="1:5" x14ac:dyDescent="0.3">
      <c r="A152" s="36" t="s">
        <v>43</v>
      </c>
      <c r="B152" s="36" t="s">
        <v>27</v>
      </c>
      <c r="C152" s="37">
        <v>206.25</v>
      </c>
      <c r="D152" s="36">
        <v>4</v>
      </c>
      <c r="E152" s="36">
        <v>12</v>
      </c>
    </row>
    <row r="153" spans="1:5" x14ac:dyDescent="0.3">
      <c r="A153" s="36" t="s">
        <v>43</v>
      </c>
      <c r="B153" s="36" t="s">
        <v>15</v>
      </c>
      <c r="C153" s="37">
        <v>160</v>
      </c>
      <c r="D153" s="36">
        <v>2</v>
      </c>
      <c r="E153" s="36">
        <v>13</v>
      </c>
    </row>
    <row r="154" spans="1:5" x14ac:dyDescent="0.3">
      <c r="A154" s="36" t="s">
        <v>14</v>
      </c>
      <c r="B154" s="36" t="s">
        <v>25</v>
      </c>
      <c r="C154" s="37">
        <v>466</v>
      </c>
      <c r="D154" s="36">
        <v>1</v>
      </c>
      <c r="E154" s="36">
        <v>1</v>
      </c>
    </row>
    <row r="155" spans="1:5" x14ac:dyDescent="0.3">
      <c r="A155" s="36" t="s">
        <v>14</v>
      </c>
      <c r="B155" s="36" t="s">
        <v>39</v>
      </c>
      <c r="C155" s="37">
        <v>458</v>
      </c>
      <c r="D155" s="36">
        <v>1</v>
      </c>
      <c r="E155" s="36">
        <v>2</v>
      </c>
    </row>
    <row r="156" spans="1:5" x14ac:dyDescent="0.3">
      <c r="A156" s="36" t="s">
        <v>14</v>
      </c>
      <c r="B156" s="36" t="s">
        <v>31</v>
      </c>
      <c r="C156" s="37">
        <v>311.33</v>
      </c>
      <c r="D156" s="36">
        <v>3</v>
      </c>
      <c r="E156" s="36">
        <v>3</v>
      </c>
    </row>
    <row r="157" spans="1:5" x14ac:dyDescent="0.3">
      <c r="A157" s="36" t="s">
        <v>14</v>
      </c>
      <c r="B157" s="36" t="s">
        <v>37</v>
      </c>
      <c r="C157" s="37">
        <v>278</v>
      </c>
      <c r="D157" s="36">
        <v>1</v>
      </c>
      <c r="E157" s="36">
        <v>4</v>
      </c>
    </row>
    <row r="158" spans="1:5" x14ac:dyDescent="0.3">
      <c r="A158" s="36" t="s">
        <v>14</v>
      </c>
      <c r="B158" s="36" t="s">
        <v>44</v>
      </c>
      <c r="C158" s="37">
        <v>272.67</v>
      </c>
      <c r="D158" s="36">
        <v>3</v>
      </c>
      <c r="E158" s="36">
        <v>5</v>
      </c>
    </row>
    <row r="159" spans="1:5" x14ac:dyDescent="0.3">
      <c r="A159" s="36" t="s">
        <v>14</v>
      </c>
      <c r="B159" s="36" t="s">
        <v>42</v>
      </c>
      <c r="C159" s="37">
        <v>268</v>
      </c>
      <c r="D159" s="36">
        <v>1</v>
      </c>
      <c r="E159" s="36">
        <v>6</v>
      </c>
    </row>
    <row r="160" spans="1:5" x14ac:dyDescent="0.3">
      <c r="A160" s="36" t="s">
        <v>14</v>
      </c>
      <c r="B160" s="36" t="s">
        <v>36</v>
      </c>
      <c r="C160" s="37">
        <v>211.33</v>
      </c>
      <c r="D160" s="36">
        <v>3</v>
      </c>
      <c r="E160" s="36">
        <v>7</v>
      </c>
    </row>
    <row r="161" spans="1:5" x14ac:dyDescent="0.3">
      <c r="A161" s="36" t="s">
        <v>14</v>
      </c>
      <c r="B161" s="36" t="s">
        <v>15</v>
      </c>
      <c r="C161" s="37">
        <v>172</v>
      </c>
      <c r="D161" s="36">
        <v>2</v>
      </c>
      <c r="E161" s="36">
        <v>8</v>
      </c>
    </row>
    <row r="162" spans="1:5" x14ac:dyDescent="0.3">
      <c r="A162" s="36" t="s">
        <v>14</v>
      </c>
      <c r="B162" s="36" t="s">
        <v>27</v>
      </c>
      <c r="C162" s="37">
        <v>145</v>
      </c>
      <c r="D162" s="36">
        <v>1</v>
      </c>
      <c r="E162" s="36">
        <v>9</v>
      </c>
    </row>
    <row r="163" spans="1:5" x14ac:dyDescent="0.3">
      <c r="A163" s="36" t="s">
        <v>20</v>
      </c>
      <c r="B163" s="36" t="s">
        <v>39</v>
      </c>
      <c r="C163" s="37">
        <v>540.5</v>
      </c>
      <c r="D163" s="36">
        <v>4</v>
      </c>
      <c r="E163" s="36">
        <v>1</v>
      </c>
    </row>
    <row r="164" spans="1:5" x14ac:dyDescent="0.3">
      <c r="A164" s="36" t="s">
        <v>20</v>
      </c>
      <c r="B164" s="36" t="s">
        <v>25</v>
      </c>
      <c r="C164" s="37">
        <v>488.67</v>
      </c>
      <c r="D164" s="36">
        <v>3</v>
      </c>
      <c r="E164" s="36">
        <v>2</v>
      </c>
    </row>
    <row r="165" spans="1:5" x14ac:dyDescent="0.3">
      <c r="A165" s="36" t="s">
        <v>20</v>
      </c>
      <c r="B165" s="36" t="s">
        <v>42</v>
      </c>
      <c r="C165" s="37">
        <v>372</v>
      </c>
      <c r="D165" s="36">
        <v>2</v>
      </c>
      <c r="E165" s="36">
        <v>3</v>
      </c>
    </row>
    <row r="166" spans="1:5" x14ac:dyDescent="0.3">
      <c r="A166" s="36" t="s">
        <v>20</v>
      </c>
      <c r="B166" s="36" t="s">
        <v>21</v>
      </c>
      <c r="C166" s="37">
        <v>335.5</v>
      </c>
      <c r="D166" s="36">
        <v>4</v>
      </c>
      <c r="E166" s="36">
        <v>4</v>
      </c>
    </row>
    <row r="167" spans="1:5" x14ac:dyDescent="0.3">
      <c r="A167" s="36" t="s">
        <v>20</v>
      </c>
      <c r="B167" s="36" t="s">
        <v>40</v>
      </c>
      <c r="C167" s="37">
        <v>326</v>
      </c>
      <c r="D167" s="36">
        <v>3</v>
      </c>
      <c r="E167" s="36">
        <v>5</v>
      </c>
    </row>
    <row r="168" spans="1:5" x14ac:dyDescent="0.3">
      <c r="A168" s="36" t="s">
        <v>20</v>
      </c>
      <c r="B168" s="36" t="s">
        <v>31</v>
      </c>
      <c r="C168" s="37">
        <v>308.67</v>
      </c>
      <c r="D168" s="36">
        <v>3</v>
      </c>
      <c r="E168" s="36">
        <v>6</v>
      </c>
    </row>
    <row r="169" spans="1:5" x14ac:dyDescent="0.3">
      <c r="A169" s="36" t="s">
        <v>20</v>
      </c>
      <c r="B169" s="36" t="s">
        <v>44</v>
      </c>
      <c r="C169" s="37">
        <v>268</v>
      </c>
      <c r="D169" s="36">
        <v>1</v>
      </c>
      <c r="E169" s="36">
        <v>7</v>
      </c>
    </row>
    <row r="170" spans="1:5" x14ac:dyDescent="0.3">
      <c r="A170" s="36" t="s">
        <v>20</v>
      </c>
      <c r="B170" s="36" t="s">
        <v>36</v>
      </c>
      <c r="C170" s="37">
        <v>238</v>
      </c>
      <c r="D170" s="36">
        <v>1</v>
      </c>
      <c r="E170" s="36">
        <v>8</v>
      </c>
    </row>
    <row r="171" spans="1:5" x14ac:dyDescent="0.3">
      <c r="A171" s="36" t="s">
        <v>20</v>
      </c>
      <c r="B171" s="36" t="s">
        <v>46</v>
      </c>
      <c r="C171" s="37">
        <v>230</v>
      </c>
      <c r="D171" s="36">
        <v>2</v>
      </c>
      <c r="E171" s="36">
        <v>9</v>
      </c>
    </row>
    <row r="172" spans="1:5" x14ac:dyDescent="0.3">
      <c r="A172" s="36" t="s">
        <v>20</v>
      </c>
      <c r="B172" s="36" t="s">
        <v>45</v>
      </c>
      <c r="C172" s="37">
        <v>214</v>
      </c>
      <c r="D172" s="36">
        <v>1</v>
      </c>
      <c r="E172" s="36">
        <v>10</v>
      </c>
    </row>
    <row r="173" spans="1:5" x14ac:dyDescent="0.3">
      <c r="A173" s="36" t="s">
        <v>20</v>
      </c>
      <c r="B173" s="36" t="s">
        <v>15</v>
      </c>
      <c r="C173" s="37">
        <v>206</v>
      </c>
      <c r="D173" s="36">
        <v>2</v>
      </c>
      <c r="E173" s="36">
        <v>11</v>
      </c>
    </row>
    <row r="174" spans="1:5" x14ac:dyDescent="0.3">
      <c r="A174" s="36" t="s">
        <v>20</v>
      </c>
      <c r="B174" s="36" t="s">
        <v>23</v>
      </c>
      <c r="C174" s="37">
        <v>156</v>
      </c>
      <c r="D174" s="36">
        <v>1</v>
      </c>
      <c r="E174" s="36">
        <v>12</v>
      </c>
    </row>
    <row r="175" spans="1:5" x14ac:dyDescent="0.3">
      <c r="A175" s="36" t="s">
        <v>20</v>
      </c>
      <c r="B175" s="36" t="s">
        <v>27</v>
      </c>
      <c r="C175" s="37">
        <v>140</v>
      </c>
      <c r="D175" s="36">
        <v>2</v>
      </c>
      <c r="E175" s="36">
        <v>13</v>
      </c>
    </row>
  </sheetData>
  <mergeCells count="15">
    <mergeCell ref="A139:D139"/>
    <mergeCell ref="A123:B123"/>
    <mergeCell ref="A1:U1"/>
    <mergeCell ref="A12:E12"/>
    <mergeCell ref="A24:E24"/>
    <mergeCell ref="A34:E34"/>
    <mergeCell ref="A48:E48"/>
    <mergeCell ref="A40:D40"/>
    <mergeCell ref="A54:C54"/>
    <mergeCell ref="A112:E112"/>
    <mergeCell ref="A72:C72"/>
    <mergeCell ref="A3:D3"/>
    <mergeCell ref="A49:E49"/>
    <mergeCell ref="A50:D50"/>
    <mergeCell ref="A51:E51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5891-0621-439F-88FB-6239A1799748}">
  <dimension ref="A1:I38"/>
  <sheetViews>
    <sheetView topLeftCell="A18" workbookViewId="0">
      <selection activeCell="G5" sqref="G5"/>
    </sheetView>
  </sheetViews>
  <sheetFormatPr defaultColWidth="8.88671875" defaultRowHeight="14.4" x14ac:dyDescent="0.3"/>
  <cols>
    <col min="1" max="1" width="50" style="30" customWidth="1"/>
    <col min="2" max="2" width="28" style="30" customWidth="1"/>
    <col min="3" max="3" width="25" style="30" customWidth="1"/>
    <col min="4" max="7" width="19" style="30" customWidth="1"/>
    <col min="8" max="8" width="15" style="30" customWidth="1"/>
    <col min="9" max="9" width="13" style="30" customWidth="1"/>
    <col min="10" max="16384" width="8.88671875" style="30"/>
  </cols>
  <sheetData>
    <row r="1" spans="1:9" ht="18" x14ac:dyDescent="0.3">
      <c r="A1" s="251" t="s">
        <v>165</v>
      </c>
      <c r="B1" s="252"/>
      <c r="C1" s="252"/>
      <c r="D1" s="252"/>
      <c r="E1" s="252"/>
      <c r="F1" s="252"/>
      <c r="G1" s="252"/>
      <c r="H1" s="252"/>
      <c r="I1" s="252"/>
    </row>
    <row r="3" spans="1:9" x14ac:dyDescent="0.3">
      <c r="A3" s="32" t="s">
        <v>166</v>
      </c>
      <c r="B3" s="32" t="s">
        <v>167</v>
      </c>
    </row>
    <row r="4" spans="1:9" x14ac:dyDescent="0.3">
      <c r="A4" s="32" t="s">
        <v>168</v>
      </c>
      <c r="B4" s="32">
        <v>80</v>
      </c>
    </row>
    <row r="6" spans="1:9" x14ac:dyDescent="0.3">
      <c r="A6" s="34" t="s">
        <v>169</v>
      </c>
    </row>
    <row r="7" spans="1:9" ht="15.6" x14ac:dyDescent="0.3">
      <c r="A7" s="31" t="s">
        <v>115</v>
      </c>
      <c r="B7" s="31" t="s">
        <v>170</v>
      </c>
      <c r="C7" s="31" t="s">
        <v>171</v>
      </c>
      <c r="D7" s="31" t="s">
        <v>172</v>
      </c>
      <c r="E7" s="31" t="s">
        <v>173</v>
      </c>
    </row>
    <row r="8" spans="1:9" x14ac:dyDescent="0.3">
      <c r="A8" s="32" t="s">
        <v>97</v>
      </c>
      <c r="B8" s="32">
        <v>24483</v>
      </c>
      <c r="C8" s="32">
        <v>26163.08</v>
      </c>
      <c r="D8" s="32">
        <v>1680.08</v>
      </c>
      <c r="E8" s="32">
        <v>6.86</v>
      </c>
    </row>
    <row r="9" spans="1:9" x14ac:dyDescent="0.3">
      <c r="A9" s="32" t="s">
        <v>174</v>
      </c>
      <c r="B9" s="32">
        <v>3497.57</v>
      </c>
      <c r="C9" s="32">
        <v>3737.58</v>
      </c>
      <c r="D9" s="32">
        <v>240.01</v>
      </c>
      <c r="E9" s="32">
        <v>6.86</v>
      </c>
    </row>
    <row r="10" spans="1:9" x14ac:dyDescent="0.3">
      <c r="A10" s="32" t="s">
        <v>175</v>
      </c>
      <c r="B10" s="32">
        <v>306.04000000000002</v>
      </c>
      <c r="C10" s="32">
        <v>327.04000000000002</v>
      </c>
      <c r="D10" s="32">
        <v>21</v>
      </c>
      <c r="E10" s="32">
        <v>6.86</v>
      </c>
    </row>
    <row r="12" spans="1:9" x14ac:dyDescent="0.3">
      <c r="A12" s="32" t="s">
        <v>176</v>
      </c>
    </row>
    <row r="13" spans="1:9" x14ac:dyDescent="0.3">
      <c r="A13" s="34" t="s">
        <v>115</v>
      </c>
      <c r="B13" s="34" t="s">
        <v>177</v>
      </c>
      <c r="C13" s="34" t="s">
        <v>178</v>
      </c>
      <c r="D13" s="34" t="s">
        <v>179</v>
      </c>
    </row>
    <row r="14" spans="1:9" ht="15.6" x14ac:dyDescent="0.3">
      <c r="A14" s="31" t="s">
        <v>180</v>
      </c>
      <c r="B14" s="31">
        <v>181874</v>
      </c>
      <c r="C14" s="31">
        <v>194354</v>
      </c>
      <c r="D14" s="31">
        <v>12481</v>
      </c>
    </row>
    <row r="16" spans="1:9" x14ac:dyDescent="0.3">
      <c r="A16" s="34" t="s">
        <v>181</v>
      </c>
    </row>
    <row r="17" spans="1:9" ht="15.6" x14ac:dyDescent="0.3">
      <c r="A17" s="31" t="s">
        <v>182</v>
      </c>
      <c r="B17" s="31" t="s">
        <v>183</v>
      </c>
      <c r="C17" s="31" t="s">
        <v>184</v>
      </c>
      <c r="D17" s="31" t="s">
        <v>185</v>
      </c>
      <c r="E17" s="31" t="s">
        <v>186</v>
      </c>
    </row>
    <row r="18" spans="1:9" x14ac:dyDescent="0.3">
      <c r="A18" s="32" t="s">
        <v>187</v>
      </c>
      <c r="B18" s="32">
        <v>5</v>
      </c>
      <c r="C18" s="32">
        <v>908.33</v>
      </c>
      <c r="D18" s="32">
        <v>3.71</v>
      </c>
      <c r="E18" s="32">
        <v>129.76</v>
      </c>
    </row>
    <row r="19" spans="1:9" x14ac:dyDescent="0.3">
      <c r="A19" s="32" t="s">
        <v>188</v>
      </c>
      <c r="B19" s="32">
        <v>9</v>
      </c>
      <c r="C19" s="32">
        <v>1224.33</v>
      </c>
      <c r="D19" s="32">
        <v>5</v>
      </c>
      <c r="E19" s="32">
        <v>174.9</v>
      </c>
    </row>
    <row r="20" spans="1:9" x14ac:dyDescent="0.3">
      <c r="A20" s="32" t="s">
        <v>189</v>
      </c>
      <c r="B20" s="32">
        <v>9</v>
      </c>
      <c r="C20" s="32">
        <v>1224.33</v>
      </c>
      <c r="D20" s="32">
        <v>5</v>
      </c>
      <c r="E20" s="32">
        <v>174.9</v>
      </c>
    </row>
    <row r="22" spans="1:9" x14ac:dyDescent="0.3">
      <c r="A22" s="34" t="s">
        <v>190</v>
      </c>
    </row>
    <row r="23" spans="1:9" ht="15.6" x14ac:dyDescent="0.3">
      <c r="A23" s="31" t="s">
        <v>182</v>
      </c>
      <c r="B23" s="31" t="s">
        <v>191</v>
      </c>
      <c r="C23" s="31" t="s">
        <v>192</v>
      </c>
    </row>
    <row r="24" spans="1:9" x14ac:dyDescent="0.3">
      <c r="A24" s="32" t="s">
        <v>193</v>
      </c>
      <c r="B24" s="32">
        <v>1344.07</v>
      </c>
      <c r="C24" s="32">
        <v>192.01</v>
      </c>
    </row>
    <row r="25" spans="1:9" x14ac:dyDescent="0.3">
      <c r="A25" s="34" t="s">
        <v>194</v>
      </c>
      <c r="B25" s="34">
        <v>1680.08</v>
      </c>
      <c r="C25" s="34">
        <v>240.01</v>
      </c>
    </row>
    <row r="26" spans="1:9" ht="15.6" x14ac:dyDescent="0.3">
      <c r="A26" s="31" t="s">
        <v>195</v>
      </c>
      <c r="B26" s="31">
        <v>1848.09</v>
      </c>
      <c r="C26" s="31">
        <v>264.01</v>
      </c>
    </row>
    <row r="28" spans="1:9" x14ac:dyDescent="0.3">
      <c r="A28" s="33" t="s">
        <v>196</v>
      </c>
    </row>
    <row r="29" spans="1:9" x14ac:dyDescent="0.3">
      <c r="A29" s="33" t="s">
        <v>197</v>
      </c>
      <c r="B29" s="33" t="s">
        <v>1</v>
      </c>
      <c r="C29" s="33" t="s">
        <v>198</v>
      </c>
      <c r="D29" s="33" t="s">
        <v>199</v>
      </c>
      <c r="E29" s="33" t="s">
        <v>200</v>
      </c>
      <c r="F29" s="33" t="s">
        <v>201</v>
      </c>
      <c r="G29" s="33" t="s">
        <v>202</v>
      </c>
      <c r="H29" s="33" t="s">
        <v>173</v>
      </c>
      <c r="I29" s="33" t="s">
        <v>140</v>
      </c>
    </row>
    <row r="30" spans="1:9" x14ac:dyDescent="0.3">
      <c r="A30" s="33">
        <v>1</v>
      </c>
      <c r="B30" s="33" t="s">
        <v>42</v>
      </c>
      <c r="C30" s="33" t="s">
        <v>43</v>
      </c>
      <c r="D30" s="33" t="s">
        <v>20</v>
      </c>
      <c r="E30" s="33">
        <v>337.43</v>
      </c>
      <c r="F30" s="33">
        <v>372</v>
      </c>
      <c r="G30" s="33">
        <v>242</v>
      </c>
      <c r="H30" s="33">
        <v>10.25</v>
      </c>
      <c r="I30" s="33">
        <v>7</v>
      </c>
    </row>
    <row r="31" spans="1:9" x14ac:dyDescent="0.3">
      <c r="A31" s="33">
        <v>2</v>
      </c>
      <c r="B31" s="33" t="s">
        <v>31</v>
      </c>
      <c r="C31" s="33" t="s">
        <v>14</v>
      </c>
      <c r="D31" s="33" t="s">
        <v>43</v>
      </c>
      <c r="E31" s="33">
        <v>315.14</v>
      </c>
      <c r="F31" s="33">
        <v>346</v>
      </c>
      <c r="G31" s="33">
        <v>216</v>
      </c>
      <c r="H31" s="33">
        <v>9.7899999999999991</v>
      </c>
      <c r="I31" s="33">
        <v>7</v>
      </c>
    </row>
    <row r="32" spans="1:9" x14ac:dyDescent="0.3">
      <c r="A32" s="32">
        <v>3</v>
      </c>
      <c r="B32" s="32" t="s">
        <v>37</v>
      </c>
      <c r="C32" s="32" t="s">
        <v>43</v>
      </c>
      <c r="D32" s="32" t="s">
        <v>14</v>
      </c>
      <c r="E32" s="32">
        <v>242.6</v>
      </c>
      <c r="F32" s="32">
        <v>278</v>
      </c>
      <c r="G32" s="32">
        <v>177</v>
      </c>
      <c r="H32" s="32">
        <v>14.59</v>
      </c>
      <c r="I32" s="32">
        <v>5</v>
      </c>
    </row>
    <row r="33" spans="1:9" x14ac:dyDescent="0.3">
      <c r="A33" s="32">
        <v>4</v>
      </c>
      <c r="B33" s="32" t="s">
        <v>15</v>
      </c>
      <c r="C33" s="32" t="s">
        <v>14</v>
      </c>
      <c r="D33" s="32" t="s">
        <v>20</v>
      </c>
      <c r="E33" s="32">
        <v>179.33</v>
      </c>
      <c r="F33" s="32">
        <v>206</v>
      </c>
      <c r="G33" s="32">
        <v>160</v>
      </c>
      <c r="H33" s="32">
        <v>14.87</v>
      </c>
      <c r="I33" s="32">
        <v>6</v>
      </c>
    </row>
    <row r="34" spans="1:9" x14ac:dyDescent="0.3">
      <c r="A34" s="32">
        <v>5</v>
      </c>
      <c r="B34" s="32" t="s">
        <v>25</v>
      </c>
      <c r="C34" s="32" t="s">
        <v>20</v>
      </c>
      <c r="D34" s="32" t="s">
        <v>43</v>
      </c>
      <c r="E34" s="32">
        <v>495.14</v>
      </c>
      <c r="F34" s="32">
        <v>511.33</v>
      </c>
      <c r="G34" s="32">
        <v>113.33</v>
      </c>
      <c r="H34" s="32">
        <v>3.27</v>
      </c>
      <c r="I34" s="32">
        <v>7</v>
      </c>
    </row>
    <row r="35" spans="1:9" x14ac:dyDescent="0.3">
      <c r="A35" s="32">
        <v>6</v>
      </c>
      <c r="B35" s="32" t="s">
        <v>44</v>
      </c>
      <c r="C35" s="32" t="s">
        <v>14</v>
      </c>
      <c r="D35" s="32" t="s">
        <v>43</v>
      </c>
      <c r="E35" s="32">
        <v>279.67</v>
      </c>
      <c r="F35" s="32">
        <v>296</v>
      </c>
      <c r="G35" s="32">
        <v>98</v>
      </c>
      <c r="H35" s="32">
        <v>5.84</v>
      </c>
      <c r="I35" s="32">
        <v>6</v>
      </c>
    </row>
    <row r="36" spans="1:9" x14ac:dyDescent="0.3">
      <c r="A36" s="32">
        <v>7</v>
      </c>
      <c r="B36" s="32" t="s">
        <v>36</v>
      </c>
      <c r="C36" s="32" t="s">
        <v>14</v>
      </c>
      <c r="D36" s="32" t="s">
        <v>20</v>
      </c>
      <c r="E36" s="32">
        <v>226</v>
      </c>
      <c r="F36" s="32">
        <v>238</v>
      </c>
      <c r="G36" s="32">
        <v>84</v>
      </c>
      <c r="H36" s="32">
        <v>5.31</v>
      </c>
      <c r="I36" s="32">
        <v>7</v>
      </c>
    </row>
    <row r="37" spans="1:9" x14ac:dyDescent="0.3">
      <c r="A37" s="32">
        <v>8</v>
      </c>
      <c r="B37" s="32" t="s">
        <v>40</v>
      </c>
      <c r="C37" s="32" t="s">
        <v>43</v>
      </c>
      <c r="D37" s="32" t="s">
        <v>20</v>
      </c>
      <c r="E37" s="32">
        <v>316</v>
      </c>
      <c r="F37" s="32">
        <v>326</v>
      </c>
      <c r="G37" s="32">
        <v>70</v>
      </c>
      <c r="H37" s="32">
        <v>3.16</v>
      </c>
      <c r="I37" s="32">
        <v>7</v>
      </c>
    </row>
    <row r="38" spans="1:9" x14ac:dyDescent="0.3">
      <c r="A38" s="32">
        <v>9</v>
      </c>
      <c r="B38" s="32" t="s">
        <v>45</v>
      </c>
      <c r="C38" s="32" t="s">
        <v>20</v>
      </c>
      <c r="D38" s="32" t="s">
        <v>43</v>
      </c>
      <c r="E38" s="32">
        <v>246</v>
      </c>
      <c r="F38" s="32">
        <v>278</v>
      </c>
      <c r="G38" s="32">
        <v>64</v>
      </c>
      <c r="H38" s="32">
        <v>13.01</v>
      </c>
      <c r="I38" s="32">
        <v>2</v>
      </c>
    </row>
  </sheetData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E061-321C-4098-9619-1DF25764FDBE}">
  <dimension ref="A2:H21"/>
  <sheetViews>
    <sheetView workbookViewId="0">
      <selection activeCell="G12" sqref="G12"/>
    </sheetView>
  </sheetViews>
  <sheetFormatPr defaultRowHeight="14.4" x14ac:dyDescent="0.3"/>
  <sheetData>
    <row r="2" spans="1:8" x14ac:dyDescent="0.3">
      <c r="A2" s="249" t="s">
        <v>203</v>
      </c>
      <c r="B2" s="249"/>
      <c r="C2" s="249"/>
      <c r="D2" s="249"/>
      <c r="E2" s="17"/>
      <c r="F2" s="17"/>
      <c r="G2" s="17"/>
      <c r="H2" s="17"/>
    </row>
    <row r="3" spans="1:8" x14ac:dyDescent="0.3">
      <c r="A3" s="257" t="s">
        <v>204</v>
      </c>
      <c r="B3" s="257"/>
      <c r="C3" s="257"/>
      <c r="D3" s="257"/>
      <c r="E3" s="17"/>
      <c r="F3" s="17"/>
      <c r="G3" s="17"/>
      <c r="H3" s="17"/>
    </row>
    <row r="4" spans="1:8" x14ac:dyDescent="0.3">
      <c r="A4" s="250" t="s">
        <v>205</v>
      </c>
      <c r="B4" s="250"/>
      <c r="C4" s="250"/>
      <c r="D4" s="250"/>
      <c r="E4" s="17"/>
      <c r="F4" s="17"/>
      <c r="G4" s="17"/>
      <c r="H4" s="17"/>
    </row>
    <row r="5" spans="1:8" x14ac:dyDescent="0.3">
      <c r="A5" s="250" t="s">
        <v>206</v>
      </c>
      <c r="B5" s="250"/>
      <c r="C5" s="250"/>
      <c r="D5" s="250"/>
      <c r="E5" s="17"/>
      <c r="F5" s="17"/>
      <c r="G5" s="17"/>
      <c r="H5" s="17"/>
    </row>
    <row r="6" spans="1:8" x14ac:dyDescent="0.3">
      <c r="A6" s="17"/>
      <c r="B6" s="17"/>
      <c r="C6" s="17"/>
      <c r="D6" s="17"/>
      <c r="E6" s="17"/>
      <c r="F6" s="17"/>
      <c r="G6" s="17"/>
      <c r="H6" s="17"/>
    </row>
    <row r="7" spans="1:8" x14ac:dyDescent="0.3">
      <c r="A7" s="253" t="s">
        <v>207</v>
      </c>
      <c r="B7" s="253"/>
      <c r="C7" s="253"/>
      <c r="D7" s="253"/>
      <c r="E7" s="17"/>
      <c r="F7" s="17"/>
      <c r="G7" s="17"/>
      <c r="H7" s="17"/>
    </row>
    <row r="8" spans="1:8" x14ac:dyDescent="0.3">
      <c r="A8" s="256" t="s">
        <v>208</v>
      </c>
      <c r="B8" s="256"/>
      <c r="C8" s="256"/>
      <c r="D8" s="256"/>
      <c r="E8" s="17"/>
      <c r="F8" s="17"/>
      <c r="G8" s="17"/>
      <c r="H8" s="17"/>
    </row>
    <row r="9" spans="1:8" x14ac:dyDescent="0.3">
      <c r="A9" s="256" t="s">
        <v>209</v>
      </c>
      <c r="B9" s="256"/>
      <c r="C9" s="256"/>
      <c r="D9" s="256"/>
      <c r="E9" s="17"/>
      <c r="F9" s="17"/>
      <c r="G9" s="17"/>
      <c r="H9" s="17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255" t="s">
        <v>210</v>
      </c>
      <c r="B11" s="255"/>
      <c r="C11" s="255"/>
      <c r="D11" s="17"/>
      <c r="E11" s="17"/>
      <c r="F11" s="17"/>
      <c r="G11" s="17"/>
      <c r="H11" s="17"/>
    </row>
    <row r="12" spans="1:8" x14ac:dyDescent="0.3">
      <c r="A12" t="s">
        <v>211</v>
      </c>
      <c r="E12" s="17"/>
      <c r="F12" s="17"/>
      <c r="G12" s="17"/>
      <c r="H12" s="17"/>
    </row>
    <row r="13" spans="1:8" x14ac:dyDescent="0.3">
      <c r="A13" s="250" t="s">
        <v>212</v>
      </c>
      <c r="B13" s="250"/>
      <c r="C13" s="250"/>
      <c r="D13" s="250"/>
      <c r="E13" s="250"/>
      <c r="F13" s="17"/>
      <c r="G13" s="17"/>
      <c r="H13" s="17"/>
    </row>
    <row r="14" spans="1:8" x14ac:dyDescent="0.3">
      <c r="A14" s="250" t="s">
        <v>213</v>
      </c>
      <c r="B14" s="250"/>
      <c r="C14" s="250"/>
      <c r="D14" s="250"/>
      <c r="E14" s="250"/>
      <c r="F14" s="17"/>
      <c r="G14" s="17"/>
      <c r="H14" s="17"/>
    </row>
    <row r="15" spans="1:8" x14ac:dyDescent="0.3">
      <c r="A15" s="254" t="s">
        <v>214</v>
      </c>
      <c r="B15" s="254"/>
      <c r="C15" s="254"/>
      <c r="D15" s="254"/>
      <c r="E15" s="254"/>
      <c r="F15" s="17"/>
      <c r="G15" s="17"/>
      <c r="H15" s="17"/>
    </row>
    <row r="16" spans="1:8" x14ac:dyDescent="0.3">
      <c r="A16" s="250" t="s">
        <v>215</v>
      </c>
      <c r="B16" s="250"/>
      <c r="C16" s="250"/>
      <c r="D16" s="250"/>
      <c r="E16" s="17"/>
      <c r="F16" s="17"/>
      <c r="G16" s="17"/>
      <c r="H16" s="17"/>
    </row>
    <row r="17" spans="1:8" x14ac:dyDescent="0.3">
      <c r="A17" s="250" t="s">
        <v>216</v>
      </c>
      <c r="B17" s="250"/>
      <c r="C17" s="250"/>
      <c r="D17" s="250"/>
      <c r="E17" s="17"/>
      <c r="F17" s="17"/>
      <c r="G17" s="17"/>
      <c r="H17" s="17"/>
    </row>
    <row r="18" spans="1:8" x14ac:dyDescent="0.3">
      <c r="A18" s="250" t="s">
        <v>217</v>
      </c>
      <c r="B18" s="250"/>
      <c r="C18" s="250"/>
      <c r="D18" s="250"/>
      <c r="E18" s="17"/>
      <c r="F18" s="17"/>
      <c r="G18" s="17"/>
      <c r="H18" s="17"/>
    </row>
    <row r="19" spans="1:8" x14ac:dyDescent="0.3">
      <c r="A19" s="254" t="s">
        <v>218</v>
      </c>
      <c r="B19" s="254"/>
      <c r="C19" s="254"/>
      <c r="D19" s="254"/>
      <c r="E19" s="17"/>
      <c r="F19" s="17"/>
      <c r="G19" s="17"/>
      <c r="H19" s="17"/>
    </row>
    <row r="20" spans="1:8" x14ac:dyDescent="0.3">
      <c r="A20" s="250" t="s">
        <v>219</v>
      </c>
      <c r="B20" s="250"/>
      <c r="C20" s="250"/>
      <c r="D20" s="250"/>
      <c r="E20" s="17"/>
      <c r="F20" s="17"/>
      <c r="G20" s="17"/>
      <c r="H20" s="17"/>
    </row>
    <row r="21" spans="1:8" x14ac:dyDescent="0.3">
      <c r="A21" s="250" t="s">
        <v>220</v>
      </c>
      <c r="B21" s="250"/>
      <c r="C21" s="250"/>
      <c r="D21" s="17"/>
      <c r="E21" s="17"/>
      <c r="F21" s="17"/>
      <c r="G21" s="17"/>
      <c r="H21" s="17"/>
    </row>
  </sheetData>
  <mergeCells count="17">
    <mergeCell ref="A2:D2"/>
    <mergeCell ref="A3:D3"/>
    <mergeCell ref="A4:D4"/>
    <mergeCell ref="A5:D5"/>
    <mergeCell ref="A8:D8"/>
    <mergeCell ref="A20:D20"/>
    <mergeCell ref="A21:C21"/>
    <mergeCell ref="A7:D7"/>
    <mergeCell ref="A14:E14"/>
    <mergeCell ref="A15:E15"/>
    <mergeCell ref="A16:D16"/>
    <mergeCell ref="A17:D17"/>
    <mergeCell ref="A18:D18"/>
    <mergeCell ref="A19:D19"/>
    <mergeCell ref="A11:C11"/>
    <mergeCell ref="A13:E13"/>
    <mergeCell ref="A9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1356902A-BBC0-4387-92CD-D0001DD1DFE6}"/>
</file>

<file path=customXml/itemProps2.xml><?xml version="1.0" encoding="utf-8"?>
<ds:datastoreItem xmlns:ds="http://schemas.openxmlformats.org/officeDocument/2006/customXml" ds:itemID="{6018366E-4F95-4889-99CA-4C09945F79B2}"/>
</file>

<file path=customXml/itemProps3.xml><?xml version="1.0" encoding="utf-8"?>
<ds:datastoreItem xmlns:ds="http://schemas.openxmlformats.org/officeDocument/2006/customXml" ds:itemID="{5DF5AE23-A522-4B89-8DD8-0E2C921EB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week 01</vt:lpstr>
      <vt:lpstr>week 02</vt:lpstr>
      <vt:lpstr>week 03</vt:lpstr>
      <vt:lpstr>week 04</vt:lpstr>
      <vt:lpstr>week 05</vt:lpstr>
      <vt:lpstr>week 06</vt:lpstr>
      <vt:lpstr>week 07</vt:lpstr>
      <vt:lpstr>week 08</vt:lpstr>
      <vt:lpstr>week 09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  <vt:lpstr>week 23</vt:lpstr>
      <vt:lpstr>week 24</vt:lpstr>
      <vt:lpstr>week 25</vt:lpstr>
      <vt:lpstr>week 26</vt:lpstr>
      <vt:lpstr>week 27</vt:lpstr>
      <vt:lpstr>week 28</vt:lpstr>
      <vt:lpstr>week 29</vt:lpstr>
      <vt:lpstr>week 30</vt:lpstr>
      <vt:lpstr>week 31</vt:lpstr>
      <vt:lpstr>week 32</vt:lpstr>
      <vt:lpstr>week 33</vt:lpstr>
      <vt:lpstr>week 34</vt:lpstr>
      <vt:lpstr>week 35</vt:lpstr>
      <vt:lpstr>week 36</vt:lpstr>
      <vt:lpstr>Tempo boars manual </vt:lpstr>
      <vt:lpstr>TSI ranks</vt:lpstr>
      <vt:lpstr>Raw Data and Pivot tables </vt:lpstr>
      <vt:lpstr>Collector Analysis Report Dashb</vt:lpstr>
      <vt:lpstr>Predictive Model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Terrence Burekeni</dc:creator>
  <cp:keywords/>
  <dc:description/>
  <cp:lastModifiedBy>Terrence Burekeni</cp:lastModifiedBy>
  <cp:revision/>
  <dcterms:created xsi:type="dcterms:W3CDTF">2025-01-08T12:33:25Z</dcterms:created>
  <dcterms:modified xsi:type="dcterms:W3CDTF">2026-08-17T08:09:37Z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