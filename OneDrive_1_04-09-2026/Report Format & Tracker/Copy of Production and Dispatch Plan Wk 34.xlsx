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6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7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8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4.xml" ContentType="application/vnd.openxmlformats-officedocument.spreadsheetml.comments+xml"/>
  <Override PartName="/xl/comments7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neDrive\OneDrive - Colcom Foods\Documents\IT Folder Colcom\Projects\TRIPLE-C\NAVFARM\Documents\"/>
    </mc:Choice>
  </mc:AlternateContent>
  <xr:revisionPtr revIDLastSave="0" documentId="8_{0358D322-999B-42FC-8E9C-8D75CEEADE47}" xr6:coauthVersionLast="47" xr6:coauthVersionMax="47" xr10:uidLastSave="{00000000-0000-0000-0000-000000000000}"/>
  <bookViews>
    <workbookView xWindow="-108" yWindow="-108" windowWidth="23256" windowHeight="12456" firstSheet="2" activeTab="2" xr2:uid="{9B1FA2F3-495B-427E-BDB2-9EE119377B72}"/>
  </bookViews>
  <sheets>
    <sheet name="Template Loading Instruction" sheetId="3" state="hidden" r:id="rId1"/>
    <sheet name="Template Feed Order" sheetId="2" state="hidden" r:id="rId2"/>
    <sheet name="Daily Dispatch Tracking" sheetId="18" r:id="rId3"/>
    <sheet name="Logistics Plan" sheetId="19" r:id="rId4"/>
    <sheet name="Daily Production Plan" sheetId="17" r:id="rId5"/>
    <sheet name="Feed Order Summary " sheetId="10" r:id="rId6"/>
    <sheet name="Porta Wk 34 " sheetId="5" r:id="rId7"/>
    <sheet name="Porta L. Instruction" sheetId="16" r:id="rId8"/>
    <sheet name="Lionshead Wk 34" sheetId="8" r:id="rId9"/>
    <sheet name="Lionshead L.instruction" sheetId="15" r:id="rId10"/>
    <sheet name="Grasmere Wk 34" sheetId="9" r:id="rId11"/>
    <sheet name="Grasmere L. instruction" sheetId="11" r:id="rId12"/>
    <sheet name="Multiplier Wk 34" sheetId="4" r:id="rId13"/>
    <sheet name="Multiplier L. Instruction" sheetId="14" r:id="rId14"/>
    <sheet name="Learig Wk 34" sheetId="7" r:id="rId15"/>
    <sheet name="Learig L. Instruction" sheetId="13" r:id="rId16"/>
    <sheet name="Richlands Wk 34" sheetId="6" r:id="rId17"/>
    <sheet name="Richlands L. instruction" sheetId="12" r:id="rId18"/>
  </sheets>
  <externalReferences>
    <externalReference r:id="rId19"/>
    <externalReference r:id="rId20"/>
    <externalReference r:id="rId21"/>
  </externalReferences>
  <definedNames>
    <definedName name="_xlnm.Print_Area" localSheetId="11">'Grasmere L. instruction'!$A$2:$T$43</definedName>
    <definedName name="_xlnm.Print_Area" localSheetId="15">'Learig L. Instruction'!$A$2:$T$41</definedName>
    <definedName name="_xlnm.Print_Area" localSheetId="9">'Lionshead L.instruction'!$A$2:$T$41</definedName>
    <definedName name="_xlnm.Print_Area" localSheetId="13">'Multiplier L. Instruction'!$A$2:$T$41</definedName>
    <definedName name="_xlnm.Print_Area" localSheetId="7">'Porta L. Instruction'!$A$2:$T$41</definedName>
    <definedName name="_xlnm.Print_Area" localSheetId="17">'Richlands L. instruction'!$A$2:$T$41</definedName>
    <definedName name="_xlnm.Print_Area" localSheetId="0">'Template Loading Instruction'!$A$2:$T$41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5" l="1"/>
  <c r="K6" i="17"/>
  <c r="F39" i="19"/>
  <c r="E39" i="19"/>
  <c r="D39" i="19"/>
  <c r="C39" i="19"/>
  <c r="R18" i="19"/>
  <c r="Q18" i="19"/>
  <c r="P18" i="19"/>
  <c r="O18" i="19"/>
  <c r="N18" i="19"/>
  <c r="M18" i="19"/>
  <c r="I18" i="19"/>
  <c r="G18" i="19"/>
  <c r="E18" i="19"/>
  <c r="J17" i="19"/>
  <c r="H17" i="19"/>
  <c r="D17" i="19"/>
  <c r="C17" i="19"/>
  <c r="L16" i="19"/>
  <c r="F16" i="19"/>
  <c r="F18" i="19" s="1"/>
  <c r="S15" i="19"/>
  <c r="J14" i="19"/>
  <c r="H14" i="19"/>
  <c r="D14" i="19"/>
  <c r="H13" i="19"/>
  <c r="D13" i="19"/>
  <c r="C13" i="19"/>
  <c r="L13" i="19" s="1"/>
  <c r="S12" i="19"/>
  <c r="D12" i="19"/>
  <c r="C12" i="19"/>
  <c r="S11" i="19"/>
  <c r="J10" i="19"/>
  <c r="J18" i="19" s="1"/>
  <c r="S9" i="19"/>
  <c r="C9" i="19"/>
  <c r="C18" i="19" s="1"/>
  <c r="S8" i="19"/>
  <c r="S7" i="19"/>
  <c r="K6" i="19"/>
  <c r="K18" i="19" s="1"/>
  <c r="S5" i="19"/>
  <c r="D5" i="19"/>
  <c r="D18" i="19" s="1"/>
  <c r="J56" i="18"/>
  <c r="I56" i="18"/>
  <c r="H56" i="18"/>
  <c r="H59" i="18" s="1"/>
  <c r="G56" i="18"/>
  <c r="G59" i="18" s="1"/>
  <c r="F56" i="18"/>
  <c r="F59" i="18" s="1"/>
  <c r="E56" i="18"/>
  <c r="E59" i="18" s="1"/>
  <c r="D56" i="18"/>
  <c r="C56" i="18"/>
  <c r="I41" i="18"/>
  <c r="H41" i="18"/>
  <c r="G41" i="18"/>
  <c r="F41" i="18"/>
  <c r="E41" i="18"/>
  <c r="J41" i="18" s="1"/>
  <c r="D41" i="18"/>
  <c r="C41" i="18"/>
  <c r="J40" i="18"/>
  <c r="J39" i="18"/>
  <c r="J38" i="18"/>
  <c r="J37" i="18"/>
  <c r="J36" i="18"/>
  <c r="J35" i="18"/>
  <c r="J34" i="18"/>
  <c r="J33" i="18"/>
  <c r="J32" i="18"/>
  <c r="I25" i="18"/>
  <c r="H25" i="18"/>
  <c r="G25" i="18"/>
  <c r="F25" i="18"/>
  <c r="E25" i="18"/>
  <c r="D25" i="18"/>
  <c r="C25" i="18"/>
  <c r="J24" i="18"/>
  <c r="J23" i="18"/>
  <c r="J22" i="18"/>
  <c r="J21" i="18"/>
  <c r="J20" i="18"/>
  <c r="J19" i="18"/>
  <c r="I13" i="18"/>
  <c r="H13" i="18"/>
  <c r="G13" i="18"/>
  <c r="F13" i="18"/>
  <c r="E13" i="18"/>
  <c r="D13" i="18"/>
  <c r="D58" i="18" s="1"/>
  <c r="C13" i="18"/>
  <c r="J12" i="18"/>
  <c r="J11" i="18"/>
  <c r="J10" i="18"/>
  <c r="J9" i="18"/>
  <c r="J8" i="18"/>
  <c r="J7" i="18"/>
  <c r="J25" i="18" l="1"/>
  <c r="I59" i="18"/>
  <c r="D59" i="18"/>
  <c r="D60" i="18" s="1"/>
  <c r="C59" i="18"/>
  <c r="J59" i="18" s="1"/>
  <c r="H58" i="18"/>
  <c r="H60" i="18" s="1"/>
  <c r="G58" i="18"/>
  <c r="G60" i="18" s="1"/>
  <c r="I58" i="18"/>
  <c r="F58" i="18"/>
  <c r="F60" i="18" s="1"/>
  <c r="F17" i="19"/>
  <c r="L17" i="19"/>
  <c r="S17" i="19" s="1"/>
  <c r="J13" i="18"/>
  <c r="C58" i="18"/>
  <c r="S13" i="19"/>
  <c r="D21" i="19"/>
  <c r="L14" i="19"/>
  <c r="S14" i="19" s="1"/>
  <c r="S6" i="19"/>
  <c r="S16" i="19"/>
  <c r="S10" i="19"/>
  <c r="H18" i="19"/>
  <c r="I60" i="18"/>
  <c r="E58" i="18"/>
  <c r="C60" i="18"/>
  <c r="E60" i="18" l="1"/>
  <c r="J58" i="18"/>
  <c r="L18" i="19"/>
  <c r="J60" i="18"/>
  <c r="K100" i="17" l="1"/>
  <c r="H101" i="17"/>
  <c r="G101" i="17"/>
  <c r="F101" i="17"/>
  <c r="E101" i="17"/>
  <c r="D101" i="17"/>
  <c r="C101" i="17"/>
  <c r="I100" i="17"/>
  <c r="O100" i="17" s="1"/>
  <c r="M99" i="17"/>
  <c r="K99" i="17"/>
  <c r="I99" i="17"/>
  <c r="O99" i="17" s="1"/>
  <c r="M98" i="17"/>
  <c r="K98" i="17"/>
  <c r="I98" i="17"/>
  <c r="O98" i="17" s="1"/>
  <c r="M97" i="17"/>
  <c r="K97" i="17"/>
  <c r="I97" i="17"/>
  <c r="O97" i="17" s="1"/>
  <c r="M96" i="17"/>
  <c r="K96" i="17"/>
  <c r="I96" i="17"/>
  <c r="O96" i="17" s="1"/>
  <c r="M95" i="17"/>
  <c r="K95" i="17"/>
  <c r="I95" i="17"/>
  <c r="O95" i="17" s="1"/>
  <c r="M94" i="17"/>
  <c r="K94" i="17"/>
  <c r="I94" i="17"/>
  <c r="O94" i="17" s="1"/>
  <c r="M93" i="17"/>
  <c r="K93" i="17"/>
  <c r="I93" i="17"/>
  <c r="O93" i="17" s="1"/>
  <c r="M92" i="17"/>
  <c r="K92" i="17"/>
  <c r="I92" i="17"/>
  <c r="O92" i="17" s="1"/>
  <c r="M91" i="17"/>
  <c r="K91" i="17"/>
  <c r="I91" i="17"/>
  <c r="O91" i="17" s="1"/>
  <c r="M90" i="17"/>
  <c r="K90" i="17"/>
  <c r="I90" i="17"/>
  <c r="O90" i="17" s="1"/>
  <c r="M89" i="17"/>
  <c r="K89" i="17"/>
  <c r="I89" i="17"/>
  <c r="O89" i="17" s="1"/>
  <c r="M88" i="17"/>
  <c r="K88" i="17"/>
  <c r="I88" i="17"/>
  <c r="O88" i="17" s="1"/>
  <c r="M87" i="17"/>
  <c r="K87" i="17"/>
  <c r="I87" i="17"/>
  <c r="O87" i="17" s="1"/>
  <c r="M86" i="17"/>
  <c r="K86" i="17"/>
  <c r="I86" i="17"/>
  <c r="O86" i="17" s="1"/>
  <c r="M85" i="17"/>
  <c r="K85" i="17"/>
  <c r="I85" i="17"/>
  <c r="O85" i="17" s="1"/>
  <c r="M84" i="17"/>
  <c r="K84" i="17"/>
  <c r="I84" i="17"/>
  <c r="O84" i="17" s="1"/>
  <c r="M80" i="17"/>
  <c r="K80" i="17"/>
  <c r="I80" i="17"/>
  <c r="O80" i="17" s="1"/>
  <c r="M81" i="17"/>
  <c r="K81" i="17"/>
  <c r="I81" i="17"/>
  <c r="O81" i="17" s="1"/>
  <c r="M82" i="17"/>
  <c r="K82" i="17"/>
  <c r="I82" i="17"/>
  <c r="O82" i="17" s="1"/>
  <c r="M79" i="17"/>
  <c r="K79" i="17"/>
  <c r="I79" i="17"/>
  <c r="O79" i="17" s="1"/>
  <c r="M83" i="17"/>
  <c r="K83" i="17"/>
  <c r="I83" i="17"/>
  <c r="O83" i="17" s="1"/>
  <c r="M78" i="17"/>
  <c r="K78" i="17"/>
  <c r="I78" i="17"/>
  <c r="O78" i="17" s="1"/>
  <c r="M77" i="17"/>
  <c r="K77" i="17"/>
  <c r="I77" i="17"/>
  <c r="O77" i="17" s="1"/>
  <c r="M76" i="17"/>
  <c r="K76" i="17"/>
  <c r="I76" i="17"/>
  <c r="O76" i="17" s="1"/>
  <c r="M75" i="17"/>
  <c r="K75" i="17"/>
  <c r="I75" i="17"/>
  <c r="O75" i="17" s="1"/>
  <c r="M72" i="17"/>
  <c r="K72" i="17"/>
  <c r="I72" i="17"/>
  <c r="O72" i="17" s="1"/>
  <c r="M74" i="17"/>
  <c r="K74" i="17"/>
  <c r="I74" i="17"/>
  <c r="O74" i="17" s="1"/>
  <c r="M71" i="17"/>
  <c r="K71" i="17"/>
  <c r="I71" i="17"/>
  <c r="O71" i="17" s="1"/>
  <c r="M73" i="17"/>
  <c r="K73" i="17"/>
  <c r="I73" i="17"/>
  <c r="H67" i="17"/>
  <c r="G67" i="17"/>
  <c r="F67" i="17"/>
  <c r="E67" i="17"/>
  <c r="D67" i="17"/>
  <c r="C67" i="17"/>
  <c r="M66" i="17"/>
  <c r="K66" i="17"/>
  <c r="I66" i="17"/>
  <c r="O66" i="17" s="1"/>
  <c r="M65" i="17"/>
  <c r="K65" i="17"/>
  <c r="I65" i="17"/>
  <c r="O65" i="17" s="1"/>
  <c r="M64" i="17"/>
  <c r="K64" i="17"/>
  <c r="I64" i="17"/>
  <c r="O64" i="17" s="1"/>
  <c r="M63" i="17"/>
  <c r="K63" i="17"/>
  <c r="I63" i="17"/>
  <c r="O63" i="17" s="1"/>
  <c r="M62" i="17"/>
  <c r="K62" i="17"/>
  <c r="I62" i="17"/>
  <c r="O62" i="17" s="1"/>
  <c r="M61" i="17"/>
  <c r="K61" i="17"/>
  <c r="I61" i="17"/>
  <c r="O61" i="17" s="1"/>
  <c r="M60" i="17"/>
  <c r="K60" i="17"/>
  <c r="I60" i="17"/>
  <c r="O60" i="17" s="1"/>
  <c r="M59" i="17"/>
  <c r="K59" i="17"/>
  <c r="I59" i="17"/>
  <c r="O59" i="17" s="1"/>
  <c r="M58" i="17"/>
  <c r="K58" i="17"/>
  <c r="I58" i="17"/>
  <c r="O58" i="17" s="1"/>
  <c r="M57" i="17"/>
  <c r="K57" i="17"/>
  <c r="I57" i="17"/>
  <c r="O57" i="17" s="1"/>
  <c r="M56" i="17"/>
  <c r="K56" i="17"/>
  <c r="I56" i="17"/>
  <c r="O56" i="17" s="1"/>
  <c r="M55" i="17"/>
  <c r="K55" i="17"/>
  <c r="I55" i="17"/>
  <c r="O55" i="17" s="1"/>
  <c r="M54" i="17"/>
  <c r="K54" i="17"/>
  <c r="I54" i="17"/>
  <c r="O54" i="17" s="1"/>
  <c r="M53" i="17"/>
  <c r="K53" i="17"/>
  <c r="I53" i="17"/>
  <c r="O53" i="17" s="1"/>
  <c r="M52" i="17"/>
  <c r="K52" i="17"/>
  <c r="I52" i="17"/>
  <c r="O52" i="17" s="1"/>
  <c r="M51" i="17"/>
  <c r="K51" i="17"/>
  <c r="I51" i="17"/>
  <c r="O51" i="17" s="1"/>
  <c r="M50" i="17"/>
  <c r="K50" i="17"/>
  <c r="I50" i="17"/>
  <c r="O50" i="17" s="1"/>
  <c r="M48" i="17"/>
  <c r="K48" i="17"/>
  <c r="I48" i="17"/>
  <c r="O48" i="17" s="1"/>
  <c r="M49" i="17"/>
  <c r="K49" i="17"/>
  <c r="I49" i="17"/>
  <c r="O49" i="17" s="1"/>
  <c r="M44" i="17"/>
  <c r="K44" i="17"/>
  <c r="I44" i="17"/>
  <c r="O44" i="17" s="1"/>
  <c r="M47" i="17"/>
  <c r="K47" i="17"/>
  <c r="I47" i="17"/>
  <c r="O47" i="17" s="1"/>
  <c r="M43" i="17"/>
  <c r="K43" i="17"/>
  <c r="I43" i="17"/>
  <c r="O43" i="17" s="1"/>
  <c r="M46" i="17"/>
  <c r="K46" i="17"/>
  <c r="I46" i="17"/>
  <c r="O46" i="17" s="1"/>
  <c r="M45" i="17"/>
  <c r="K45" i="17"/>
  <c r="I45" i="17"/>
  <c r="O45" i="17" s="1"/>
  <c r="M40" i="17"/>
  <c r="K40" i="17"/>
  <c r="I40" i="17"/>
  <c r="O40" i="17" s="1"/>
  <c r="M41" i="17"/>
  <c r="K41" i="17"/>
  <c r="I41" i="17"/>
  <c r="O41" i="17" s="1"/>
  <c r="M39" i="17"/>
  <c r="K39" i="17"/>
  <c r="I39" i="17"/>
  <c r="O39" i="17" s="1"/>
  <c r="M42" i="17"/>
  <c r="K42" i="17"/>
  <c r="I42" i="17"/>
  <c r="O42" i="17" s="1"/>
  <c r="M38" i="17"/>
  <c r="K38" i="17"/>
  <c r="I38" i="17"/>
  <c r="L37" i="17"/>
  <c r="K37" i="17"/>
  <c r="J37" i="17"/>
  <c r="H34" i="17"/>
  <c r="G34" i="17"/>
  <c r="F34" i="17"/>
  <c r="E34" i="17"/>
  <c r="D34" i="17"/>
  <c r="M33" i="17"/>
  <c r="I33" i="17"/>
  <c r="O33" i="17" s="1"/>
  <c r="M32" i="17"/>
  <c r="K32" i="17"/>
  <c r="I32" i="17"/>
  <c r="O32" i="17" s="1"/>
  <c r="M31" i="17"/>
  <c r="K31" i="17"/>
  <c r="I31" i="17"/>
  <c r="O31" i="17" s="1"/>
  <c r="M30" i="17"/>
  <c r="K30" i="17"/>
  <c r="I30" i="17"/>
  <c r="O30" i="17" s="1"/>
  <c r="M29" i="17"/>
  <c r="K29" i="17"/>
  <c r="I29" i="17"/>
  <c r="O29" i="17" s="1"/>
  <c r="M28" i="17"/>
  <c r="K28" i="17"/>
  <c r="I28" i="17"/>
  <c r="O28" i="17" s="1"/>
  <c r="M27" i="17"/>
  <c r="K27" i="17"/>
  <c r="I27" i="17"/>
  <c r="O27" i="17" s="1"/>
  <c r="M26" i="17"/>
  <c r="K26" i="17"/>
  <c r="I26" i="17"/>
  <c r="O26" i="17" s="1"/>
  <c r="M25" i="17"/>
  <c r="K25" i="17"/>
  <c r="I25" i="17"/>
  <c r="O25" i="17" s="1"/>
  <c r="M24" i="17"/>
  <c r="K24" i="17"/>
  <c r="I24" i="17"/>
  <c r="O24" i="17" s="1"/>
  <c r="M23" i="17"/>
  <c r="K23" i="17"/>
  <c r="I23" i="17"/>
  <c r="O23" i="17" s="1"/>
  <c r="M22" i="17"/>
  <c r="K22" i="17"/>
  <c r="I22" i="17"/>
  <c r="O22" i="17" s="1"/>
  <c r="M21" i="17"/>
  <c r="K21" i="17"/>
  <c r="I21" i="17"/>
  <c r="O21" i="17" s="1"/>
  <c r="M20" i="17"/>
  <c r="K20" i="17"/>
  <c r="I20" i="17"/>
  <c r="O20" i="17" s="1"/>
  <c r="M19" i="17"/>
  <c r="K19" i="17"/>
  <c r="I19" i="17"/>
  <c r="O19" i="17" s="1"/>
  <c r="M18" i="17"/>
  <c r="K18" i="17"/>
  <c r="I18" i="17"/>
  <c r="O18" i="17" s="1"/>
  <c r="M17" i="17"/>
  <c r="K17" i="17"/>
  <c r="I17" i="17"/>
  <c r="O17" i="17" s="1"/>
  <c r="M16" i="17"/>
  <c r="K16" i="17"/>
  <c r="I16" i="17"/>
  <c r="O16" i="17" s="1"/>
  <c r="M15" i="17"/>
  <c r="K15" i="17"/>
  <c r="I15" i="17"/>
  <c r="O15" i="17" s="1"/>
  <c r="O14" i="17"/>
  <c r="M14" i="17"/>
  <c r="K14" i="17"/>
  <c r="I14" i="17"/>
  <c r="M13" i="17"/>
  <c r="K13" i="17"/>
  <c r="I13" i="17"/>
  <c r="O13" i="17" s="1"/>
  <c r="M12" i="17"/>
  <c r="C12" i="17"/>
  <c r="M11" i="17"/>
  <c r="K11" i="17"/>
  <c r="I11" i="17"/>
  <c r="O11" i="17" s="1"/>
  <c r="M10" i="17"/>
  <c r="K10" i="17"/>
  <c r="I10" i="17"/>
  <c r="O10" i="17" s="1"/>
  <c r="M9" i="17"/>
  <c r="K9" i="17"/>
  <c r="I9" i="17"/>
  <c r="O9" i="17" s="1"/>
  <c r="M8" i="17"/>
  <c r="K8" i="17"/>
  <c r="I8" i="17"/>
  <c r="O8" i="17" s="1"/>
  <c r="M7" i="17"/>
  <c r="K7" i="17"/>
  <c r="I7" i="17"/>
  <c r="O7" i="17" s="1"/>
  <c r="M6" i="17"/>
  <c r="I6" i="17"/>
  <c r="O6" i="17" s="1"/>
  <c r="M5" i="17"/>
  <c r="K5" i="17"/>
  <c r="I5" i="17"/>
  <c r="O5" i="17" s="1"/>
  <c r="M4" i="17"/>
  <c r="C4" i="17"/>
  <c r="I4" i="17" s="1"/>
  <c r="K12" i="17" l="1"/>
  <c r="I12" i="17"/>
  <c r="O12" i="17" s="1"/>
  <c r="I101" i="17"/>
  <c r="I67" i="17"/>
  <c r="I34" i="17"/>
  <c r="O4" i="17"/>
  <c r="O34" i="17" s="1"/>
  <c r="C34" i="17"/>
  <c r="K4" i="17"/>
  <c r="O38" i="17"/>
  <c r="O67" i="17" s="1"/>
  <c r="O73" i="17"/>
  <c r="O101" i="17" s="1"/>
  <c r="BT136" i="7"/>
  <c r="BR136" i="7"/>
  <c r="BT135" i="7"/>
  <c r="BR135" i="7"/>
  <c r="E135" i="7"/>
  <c r="E136" i="7" s="1"/>
  <c r="H136" i="7" s="1"/>
  <c r="K136" i="7" s="1"/>
  <c r="L136" i="7" s="1"/>
  <c r="M136" i="7" s="1"/>
  <c r="N136" i="7" s="1"/>
  <c r="O136" i="7" s="1"/>
  <c r="P136" i="7" s="1"/>
  <c r="Q136" i="7" s="1"/>
  <c r="R136" i="7" s="1"/>
  <c r="S136" i="7" s="1"/>
  <c r="BT134" i="7"/>
  <c r="BR134" i="7"/>
  <c r="F134" i="7" s="1"/>
  <c r="H134" i="7"/>
  <c r="K134" i="7" s="1"/>
  <c r="L134" i="7" s="1"/>
  <c r="M134" i="7" s="1"/>
  <c r="N134" i="7" s="1"/>
  <c r="O134" i="7" s="1"/>
  <c r="P134" i="7" s="1"/>
  <c r="Q134" i="7" s="1"/>
  <c r="R134" i="7" s="1"/>
  <c r="S134" i="7" s="1"/>
  <c r="BT133" i="7"/>
  <c r="BR133" i="7"/>
  <c r="BT132" i="7"/>
  <c r="BR132" i="7"/>
  <c r="E132" i="7"/>
  <c r="BT131" i="7"/>
  <c r="BR131" i="7"/>
  <c r="F131" i="7" s="1"/>
  <c r="H131" i="7"/>
  <c r="L131" i="7" s="1"/>
  <c r="M131" i="7" s="1"/>
  <c r="N131" i="7" s="1"/>
  <c r="O131" i="7" s="1"/>
  <c r="P131" i="7" s="1"/>
  <c r="Q131" i="7" s="1"/>
  <c r="R131" i="7" s="1"/>
  <c r="S131" i="7" s="1"/>
  <c r="BT130" i="7"/>
  <c r="BR130" i="7"/>
  <c r="BT129" i="7"/>
  <c r="BR129" i="7"/>
  <c r="E129" i="7"/>
  <c r="E130" i="7" s="1"/>
  <c r="H130" i="7" s="1"/>
  <c r="K130" i="7" s="1"/>
  <c r="L130" i="7" s="1"/>
  <c r="M130" i="7" s="1"/>
  <c r="N130" i="7" s="1"/>
  <c r="O130" i="7" s="1"/>
  <c r="P130" i="7" s="1"/>
  <c r="Q130" i="7" s="1"/>
  <c r="R130" i="7" s="1"/>
  <c r="S130" i="7" s="1"/>
  <c r="BT128" i="7"/>
  <c r="BR128" i="7"/>
  <c r="H128" i="7"/>
  <c r="M128" i="7" s="1"/>
  <c r="N128" i="7" s="1"/>
  <c r="O128" i="7" s="1"/>
  <c r="P128" i="7" s="1"/>
  <c r="Q128" i="7" s="1"/>
  <c r="R128" i="7" s="1"/>
  <c r="S128" i="7" s="1"/>
  <c r="F128" i="7"/>
  <c r="BT127" i="7"/>
  <c r="BR127" i="7"/>
  <c r="BT126" i="7"/>
  <c r="BR126" i="7"/>
  <c r="E126" i="7"/>
  <c r="BT125" i="7"/>
  <c r="BR125" i="7"/>
  <c r="H125" i="7"/>
  <c r="M125" i="7" s="1"/>
  <c r="N125" i="7" s="1"/>
  <c r="O125" i="7" s="1"/>
  <c r="P125" i="7" s="1"/>
  <c r="Q125" i="7" s="1"/>
  <c r="R125" i="7" s="1"/>
  <c r="S125" i="7" s="1"/>
  <c r="F125" i="7"/>
  <c r="BT124" i="7"/>
  <c r="BR124" i="7"/>
  <c r="BT123" i="7"/>
  <c r="BR123" i="7"/>
  <c r="E123" i="7"/>
  <c r="E124" i="7" s="1"/>
  <c r="H124" i="7" s="1"/>
  <c r="K124" i="7" s="1"/>
  <c r="L124" i="7" s="1"/>
  <c r="M124" i="7" s="1"/>
  <c r="N124" i="7" s="1"/>
  <c r="O124" i="7" s="1"/>
  <c r="P124" i="7" s="1"/>
  <c r="Q124" i="7" s="1"/>
  <c r="R124" i="7" s="1"/>
  <c r="S124" i="7" s="1"/>
  <c r="BT122" i="7"/>
  <c r="BR122" i="7"/>
  <c r="F122" i="7" s="1"/>
  <c r="H122" i="7"/>
  <c r="M122" i="7" s="1"/>
  <c r="N122" i="7" s="1"/>
  <c r="O122" i="7" s="1"/>
  <c r="P122" i="7" s="1"/>
  <c r="Q122" i="7" s="1"/>
  <c r="R122" i="7" s="1"/>
  <c r="S122" i="7" s="1"/>
  <c r="BT121" i="7"/>
  <c r="BR121" i="7"/>
  <c r="BT120" i="7"/>
  <c r="BR120" i="7"/>
  <c r="BT119" i="7"/>
  <c r="BR119" i="7"/>
  <c r="E119" i="7"/>
  <c r="BT118" i="7"/>
  <c r="BR118" i="7"/>
  <c r="F118" i="7" s="1"/>
  <c r="H118" i="7"/>
  <c r="BT117" i="7"/>
  <c r="BR117" i="7"/>
  <c r="E117" i="7"/>
  <c r="H117" i="7" s="1"/>
  <c r="K117" i="7" s="1"/>
  <c r="L117" i="7" s="1"/>
  <c r="M117" i="7" s="1"/>
  <c r="N117" i="7" s="1"/>
  <c r="O117" i="7" s="1"/>
  <c r="P117" i="7" s="1"/>
  <c r="Q117" i="7" s="1"/>
  <c r="R117" i="7" s="1"/>
  <c r="S117" i="7" s="1"/>
  <c r="BT116" i="7"/>
  <c r="BR116" i="7"/>
  <c r="E116" i="7"/>
  <c r="H116" i="7" s="1"/>
  <c r="K116" i="7" s="1"/>
  <c r="L116" i="7" s="1"/>
  <c r="M116" i="7" s="1"/>
  <c r="N116" i="7" s="1"/>
  <c r="O116" i="7" s="1"/>
  <c r="P116" i="7" s="1"/>
  <c r="Q116" i="7" s="1"/>
  <c r="R116" i="7" s="1"/>
  <c r="S116" i="7" s="1"/>
  <c r="BT115" i="7"/>
  <c r="BR115" i="7"/>
  <c r="H115" i="7"/>
  <c r="N115" i="7" s="1"/>
  <c r="O115" i="7" s="1"/>
  <c r="P115" i="7" s="1"/>
  <c r="Q115" i="7" s="1"/>
  <c r="R115" i="7" s="1"/>
  <c r="S115" i="7" s="1"/>
  <c r="F115" i="7"/>
  <c r="BT114" i="7"/>
  <c r="BR114" i="7"/>
  <c r="BT113" i="7"/>
  <c r="BR113" i="7"/>
  <c r="E113" i="7"/>
  <c r="BT112" i="7"/>
  <c r="BR112" i="7"/>
  <c r="H112" i="7"/>
  <c r="N112" i="7" s="1"/>
  <c r="O112" i="7" s="1"/>
  <c r="P112" i="7" s="1"/>
  <c r="Q112" i="7" s="1"/>
  <c r="R112" i="7" s="1"/>
  <c r="S112" i="7" s="1"/>
  <c r="F112" i="7"/>
  <c r="BT111" i="7"/>
  <c r="BR111" i="7"/>
  <c r="BT110" i="7"/>
  <c r="BR110" i="7"/>
  <c r="E110" i="7"/>
  <c r="H110" i="7" s="1"/>
  <c r="K110" i="7" s="1"/>
  <c r="L110" i="7" s="1"/>
  <c r="M110" i="7" s="1"/>
  <c r="N110" i="7" s="1"/>
  <c r="O110" i="7" s="1"/>
  <c r="P110" i="7" s="1"/>
  <c r="Q110" i="7" s="1"/>
  <c r="R110" i="7" s="1"/>
  <c r="S110" i="7" s="1"/>
  <c r="BT109" i="7"/>
  <c r="BR109" i="7"/>
  <c r="H109" i="7"/>
  <c r="N109" i="7" s="1"/>
  <c r="O109" i="7" s="1"/>
  <c r="P109" i="7" s="1"/>
  <c r="Q109" i="7" s="1"/>
  <c r="R109" i="7" s="1"/>
  <c r="S109" i="7" s="1"/>
  <c r="F109" i="7"/>
  <c r="BT108" i="7"/>
  <c r="BR108" i="7"/>
  <c r="H108" i="7"/>
  <c r="K108" i="7" s="1"/>
  <c r="L108" i="7" s="1"/>
  <c r="M108" i="7" s="1"/>
  <c r="N108" i="7" s="1"/>
  <c r="O108" i="7" s="1"/>
  <c r="P108" i="7" s="1"/>
  <c r="Q108" i="7" s="1"/>
  <c r="R108" i="7" s="1"/>
  <c r="S108" i="7" s="1"/>
  <c r="BT107" i="7"/>
  <c r="BR107" i="7"/>
  <c r="H107" i="7"/>
  <c r="K107" i="7" s="1"/>
  <c r="L107" i="7" s="1"/>
  <c r="M107" i="7" s="1"/>
  <c r="N107" i="7" s="1"/>
  <c r="O107" i="7" s="1"/>
  <c r="P107" i="7" s="1"/>
  <c r="Q107" i="7" s="1"/>
  <c r="R107" i="7" s="1"/>
  <c r="S107" i="7" s="1"/>
  <c r="BT106" i="7"/>
  <c r="BR106" i="7"/>
  <c r="H106" i="7"/>
  <c r="N106" i="7" s="1"/>
  <c r="O106" i="7" s="1"/>
  <c r="P106" i="7" s="1"/>
  <c r="Q106" i="7" s="1"/>
  <c r="R106" i="7" s="1"/>
  <c r="S106" i="7" s="1"/>
  <c r="F106" i="7"/>
  <c r="BT105" i="7"/>
  <c r="BR105" i="7"/>
  <c r="H105" i="7"/>
  <c r="K105" i="7" s="1"/>
  <c r="L105" i="7" s="1"/>
  <c r="M105" i="7" s="1"/>
  <c r="N105" i="7" s="1"/>
  <c r="O105" i="7" s="1"/>
  <c r="P105" i="7" s="1"/>
  <c r="Q105" i="7" s="1"/>
  <c r="R105" i="7" s="1"/>
  <c r="S105" i="7" s="1"/>
  <c r="BT104" i="7"/>
  <c r="BR104" i="7"/>
  <c r="H104" i="7"/>
  <c r="K104" i="7" s="1"/>
  <c r="L104" i="7" s="1"/>
  <c r="M104" i="7" s="1"/>
  <c r="N104" i="7" s="1"/>
  <c r="O104" i="7" s="1"/>
  <c r="P104" i="7" s="1"/>
  <c r="Q104" i="7" s="1"/>
  <c r="R104" i="7" s="1"/>
  <c r="S104" i="7" s="1"/>
  <c r="BT103" i="7"/>
  <c r="BR103" i="7"/>
  <c r="H103" i="7"/>
  <c r="N103" i="7" s="1"/>
  <c r="O103" i="7" s="1"/>
  <c r="P103" i="7" s="1"/>
  <c r="Q103" i="7" s="1"/>
  <c r="R103" i="7" s="1"/>
  <c r="S103" i="7" s="1"/>
  <c r="F103" i="7"/>
  <c r="BT102" i="7"/>
  <c r="BR102" i="7"/>
  <c r="H102" i="7"/>
  <c r="K102" i="7" s="1"/>
  <c r="L102" i="7" s="1"/>
  <c r="M102" i="7" s="1"/>
  <c r="N102" i="7" s="1"/>
  <c r="O102" i="7" s="1"/>
  <c r="P102" i="7" s="1"/>
  <c r="Q102" i="7" s="1"/>
  <c r="R102" i="7" s="1"/>
  <c r="S102" i="7" s="1"/>
  <c r="BT101" i="7"/>
  <c r="BR101" i="7"/>
  <c r="H101" i="7"/>
  <c r="K101" i="7" s="1"/>
  <c r="L101" i="7" s="1"/>
  <c r="M101" i="7" s="1"/>
  <c r="N101" i="7" s="1"/>
  <c r="O101" i="7" s="1"/>
  <c r="P101" i="7" s="1"/>
  <c r="Q101" i="7" s="1"/>
  <c r="R101" i="7" s="1"/>
  <c r="S101" i="7" s="1"/>
  <c r="BT100" i="7"/>
  <c r="BR100" i="7"/>
  <c r="H100" i="7"/>
  <c r="F100" i="7"/>
  <c r="BT99" i="7"/>
  <c r="BR99" i="7"/>
  <c r="H99" i="7"/>
  <c r="K99" i="7" s="1"/>
  <c r="L99" i="7" s="1"/>
  <c r="M99" i="7" s="1"/>
  <c r="N99" i="7" s="1"/>
  <c r="O99" i="7" s="1"/>
  <c r="P99" i="7" s="1"/>
  <c r="Q99" i="7" s="1"/>
  <c r="R99" i="7" s="1"/>
  <c r="S99" i="7" s="1"/>
  <c r="BT98" i="7"/>
  <c r="BR98" i="7"/>
  <c r="K98" i="7"/>
  <c r="L98" i="7" s="1"/>
  <c r="M98" i="7" s="1"/>
  <c r="N98" i="7" s="1"/>
  <c r="O98" i="7" s="1"/>
  <c r="P98" i="7" s="1"/>
  <c r="Q98" i="7" s="1"/>
  <c r="R98" i="7" s="1"/>
  <c r="S98" i="7" s="1"/>
  <c r="H98" i="7"/>
  <c r="BT97" i="7"/>
  <c r="BR97" i="7"/>
  <c r="H97" i="7"/>
  <c r="K97" i="7" s="1"/>
  <c r="L97" i="7" s="1"/>
  <c r="F97" i="7"/>
  <c r="BT96" i="7"/>
  <c r="BR96" i="7"/>
  <c r="H96" i="7"/>
  <c r="K96" i="7" s="1"/>
  <c r="L96" i="7" s="1"/>
  <c r="M96" i="7" s="1"/>
  <c r="N96" i="7" s="1"/>
  <c r="O96" i="7" s="1"/>
  <c r="P96" i="7" s="1"/>
  <c r="Q96" i="7" s="1"/>
  <c r="R96" i="7" s="1"/>
  <c r="S96" i="7" s="1"/>
  <c r="BT95" i="7"/>
  <c r="BR95" i="7"/>
  <c r="H95" i="7"/>
  <c r="K95" i="7" s="1"/>
  <c r="L95" i="7" s="1"/>
  <c r="M95" i="7" s="1"/>
  <c r="N95" i="7" s="1"/>
  <c r="O95" i="7" s="1"/>
  <c r="P95" i="7" s="1"/>
  <c r="Q95" i="7" s="1"/>
  <c r="R95" i="7" s="1"/>
  <c r="S95" i="7" s="1"/>
  <c r="BT94" i="7"/>
  <c r="BR94" i="7"/>
  <c r="F94" i="7" s="1"/>
  <c r="H94" i="7"/>
  <c r="BP91" i="7"/>
  <c r="BO91" i="7"/>
  <c r="BN91" i="7"/>
  <c r="BM91" i="7"/>
  <c r="BL91" i="7"/>
  <c r="BK91" i="7"/>
  <c r="BJ91" i="7"/>
  <c r="BI91" i="7"/>
  <c r="BH91" i="7"/>
  <c r="BG91" i="7"/>
  <c r="BF91" i="7"/>
  <c r="BE91" i="7"/>
  <c r="BD91" i="7"/>
  <c r="BC91" i="7"/>
  <c r="BB91" i="7"/>
  <c r="BA91" i="7"/>
  <c r="AZ91" i="7"/>
  <c r="AY91" i="7"/>
  <c r="AX91" i="7"/>
  <c r="AW91" i="7"/>
  <c r="AV91" i="7"/>
  <c r="AU91" i="7"/>
  <c r="AT91" i="7"/>
  <c r="AS91" i="7"/>
  <c r="AR91" i="7"/>
  <c r="AQ91" i="7"/>
  <c r="AP91" i="7"/>
  <c r="AO91" i="7"/>
  <c r="AN91" i="7"/>
  <c r="AM91" i="7"/>
  <c r="AL91" i="7"/>
  <c r="AK91" i="7"/>
  <c r="AJ91" i="7"/>
  <c r="AI91" i="7"/>
  <c r="AH91" i="7"/>
  <c r="AG91" i="7"/>
  <c r="AF91" i="7"/>
  <c r="AE91" i="7"/>
  <c r="AD91" i="7"/>
  <c r="AC91" i="7"/>
  <c r="AB91" i="7"/>
  <c r="AA91" i="7"/>
  <c r="Z91" i="7"/>
  <c r="BT90" i="7"/>
  <c r="BR90" i="7"/>
  <c r="H90" i="7"/>
  <c r="L90" i="7" s="1"/>
  <c r="M90" i="7" s="1"/>
  <c r="N90" i="7" s="1"/>
  <c r="O90" i="7" s="1"/>
  <c r="P90" i="7" s="1"/>
  <c r="Q90" i="7" s="1"/>
  <c r="R90" i="7" s="1"/>
  <c r="S90" i="7" s="1"/>
  <c r="F90" i="7"/>
  <c r="BT89" i="7"/>
  <c r="BR89" i="7"/>
  <c r="F89" i="7" s="1"/>
  <c r="H89" i="7"/>
  <c r="M89" i="7" s="1"/>
  <c r="N89" i="7" s="1"/>
  <c r="O89" i="7" s="1"/>
  <c r="P89" i="7" s="1"/>
  <c r="Q89" i="7" s="1"/>
  <c r="R89" i="7" s="1"/>
  <c r="S89" i="7" s="1"/>
  <c r="BT88" i="7"/>
  <c r="BR88" i="7"/>
  <c r="F88" i="7" s="1"/>
  <c r="H88" i="7"/>
  <c r="K88" i="7" s="1"/>
  <c r="L88" i="7" s="1"/>
  <c r="M88" i="7" s="1"/>
  <c r="N88" i="7" s="1"/>
  <c r="O88" i="7" s="1"/>
  <c r="P88" i="7" s="1"/>
  <c r="Q88" i="7" s="1"/>
  <c r="R88" i="7" s="1"/>
  <c r="S88" i="7" s="1"/>
  <c r="BT87" i="7"/>
  <c r="BR87" i="7"/>
  <c r="F87" i="7" s="1"/>
  <c r="H87" i="7"/>
  <c r="BT86" i="7"/>
  <c r="BR86" i="7"/>
  <c r="H86" i="7"/>
  <c r="N86" i="7" s="1"/>
  <c r="O86" i="7" s="1"/>
  <c r="P86" i="7" s="1"/>
  <c r="Q86" i="7" s="1"/>
  <c r="R86" i="7" s="1"/>
  <c r="S86" i="7" s="1"/>
  <c r="F86" i="7"/>
  <c r="BT85" i="7"/>
  <c r="BQ85" i="7"/>
  <c r="H85" i="7"/>
  <c r="L85" i="7" s="1"/>
  <c r="M85" i="7" s="1"/>
  <c r="N85" i="7" s="1"/>
  <c r="O85" i="7" s="1"/>
  <c r="P85" i="7" s="1"/>
  <c r="Q85" i="7" s="1"/>
  <c r="R85" i="7" s="1"/>
  <c r="S85" i="7" s="1"/>
  <c r="F85" i="7"/>
  <c r="BP77" i="7"/>
  <c r="H77" i="7"/>
  <c r="K77" i="7" s="1"/>
  <c r="L77" i="7" s="1"/>
  <c r="M77" i="7" s="1"/>
  <c r="N77" i="7" s="1"/>
  <c r="O77" i="7" s="1"/>
  <c r="P77" i="7" s="1"/>
  <c r="Q77" i="7" s="1"/>
  <c r="R77" i="7" s="1"/>
  <c r="S77" i="7" s="1"/>
  <c r="F77" i="7"/>
  <c r="BP76" i="7"/>
  <c r="H76" i="7"/>
  <c r="K76" i="7" s="1"/>
  <c r="L76" i="7" s="1"/>
  <c r="M76" i="7" s="1"/>
  <c r="N76" i="7" s="1"/>
  <c r="O76" i="7" s="1"/>
  <c r="P76" i="7" s="1"/>
  <c r="Q76" i="7" s="1"/>
  <c r="R76" i="7" s="1"/>
  <c r="S76" i="7" s="1"/>
  <c r="F76" i="7"/>
  <c r="BP75" i="7"/>
  <c r="H75" i="7"/>
  <c r="K75" i="7" s="1"/>
  <c r="L75" i="7" s="1"/>
  <c r="M75" i="7" s="1"/>
  <c r="N75" i="7" s="1"/>
  <c r="O75" i="7" s="1"/>
  <c r="P75" i="7" s="1"/>
  <c r="Q75" i="7" s="1"/>
  <c r="R75" i="7" s="1"/>
  <c r="S75" i="7" s="1"/>
  <c r="F75" i="7"/>
  <c r="BP74" i="7"/>
  <c r="H74" i="7"/>
  <c r="K74" i="7" s="1"/>
  <c r="L74" i="7" s="1"/>
  <c r="M74" i="7" s="1"/>
  <c r="N74" i="7" s="1"/>
  <c r="O74" i="7" s="1"/>
  <c r="P74" i="7" s="1"/>
  <c r="Q74" i="7" s="1"/>
  <c r="R74" i="7" s="1"/>
  <c r="S74" i="7" s="1"/>
  <c r="F74" i="7"/>
  <c r="BP73" i="7"/>
  <c r="H73" i="7"/>
  <c r="K73" i="7" s="1"/>
  <c r="L73" i="7" s="1"/>
  <c r="M73" i="7" s="1"/>
  <c r="N73" i="7" s="1"/>
  <c r="O73" i="7" s="1"/>
  <c r="P73" i="7" s="1"/>
  <c r="Q73" i="7" s="1"/>
  <c r="R73" i="7" s="1"/>
  <c r="S73" i="7" s="1"/>
  <c r="F73" i="7"/>
  <c r="BP72" i="7"/>
  <c r="H72" i="7"/>
  <c r="K72" i="7" s="1"/>
  <c r="L72" i="7" s="1"/>
  <c r="M72" i="7" s="1"/>
  <c r="N72" i="7" s="1"/>
  <c r="O72" i="7" s="1"/>
  <c r="P72" i="7" s="1"/>
  <c r="Q72" i="7" s="1"/>
  <c r="R72" i="7" s="1"/>
  <c r="S72" i="7" s="1"/>
  <c r="F72" i="7"/>
  <c r="BP71" i="7"/>
  <c r="H71" i="7"/>
  <c r="K71" i="7" s="1"/>
  <c r="L71" i="7" s="1"/>
  <c r="M71" i="7" s="1"/>
  <c r="N71" i="7" s="1"/>
  <c r="O71" i="7" s="1"/>
  <c r="P71" i="7" s="1"/>
  <c r="Q71" i="7" s="1"/>
  <c r="R71" i="7" s="1"/>
  <c r="S71" i="7" s="1"/>
  <c r="F71" i="7"/>
  <c r="BP70" i="7"/>
  <c r="H70" i="7"/>
  <c r="K70" i="7" s="1"/>
  <c r="L70" i="7" s="1"/>
  <c r="M70" i="7" s="1"/>
  <c r="N70" i="7" s="1"/>
  <c r="O70" i="7" s="1"/>
  <c r="P70" i="7" s="1"/>
  <c r="Q70" i="7" s="1"/>
  <c r="R70" i="7" s="1"/>
  <c r="S70" i="7" s="1"/>
  <c r="F70" i="7"/>
  <c r="BP69" i="7"/>
  <c r="H69" i="7"/>
  <c r="K69" i="7" s="1"/>
  <c r="L69" i="7" s="1"/>
  <c r="M69" i="7" s="1"/>
  <c r="N69" i="7" s="1"/>
  <c r="O69" i="7" s="1"/>
  <c r="P69" i="7" s="1"/>
  <c r="Q69" i="7" s="1"/>
  <c r="R69" i="7" s="1"/>
  <c r="S69" i="7" s="1"/>
  <c r="F69" i="7"/>
  <c r="BP68" i="7"/>
  <c r="H68" i="7"/>
  <c r="K68" i="7" s="1"/>
  <c r="L68" i="7" s="1"/>
  <c r="M68" i="7" s="1"/>
  <c r="N68" i="7" s="1"/>
  <c r="O68" i="7" s="1"/>
  <c r="P68" i="7" s="1"/>
  <c r="Q68" i="7" s="1"/>
  <c r="R68" i="7" s="1"/>
  <c r="S68" i="7" s="1"/>
  <c r="F68" i="7"/>
  <c r="BP67" i="7"/>
  <c r="H67" i="7"/>
  <c r="K67" i="7" s="1"/>
  <c r="L67" i="7" s="1"/>
  <c r="M67" i="7" s="1"/>
  <c r="N67" i="7" s="1"/>
  <c r="O67" i="7" s="1"/>
  <c r="P67" i="7" s="1"/>
  <c r="Q67" i="7" s="1"/>
  <c r="R67" i="7" s="1"/>
  <c r="S67" i="7" s="1"/>
  <c r="F67" i="7"/>
  <c r="BP66" i="7"/>
  <c r="H66" i="7"/>
  <c r="K66" i="7" s="1"/>
  <c r="L66" i="7" s="1"/>
  <c r="M66" i="7" s="1"/>
  <c r="N66" i="7" s="1"/>
  <c r="O66" i="7" s="1"/>
  <c r="P66" i="7" s="1"/>
  <c r="Q66" i="7" s="1"/>
  <c r="R66" i="7" s="1"/>
  <c r="S66" i="7" s="1"/>
  <c r="F66" i="7"/>
  <c r="BO63" i="7"/>
  <c r="BN63" i="7"/>
  <c r="BM63" i="7"/>
  <c r="BL63" i="7"/>
  <c r="BK63" i="7"/>
  <c r="BJ63" i="7"/>
  <c r="BI63" i="7"/>
  <c r="BH63" i="7"/>
  <c r="BG63" i="7"/>
  <c r="BF63" i="7"/>
  <c r="BE63" i="7"/>
  <c r="BD63" i="7"/>
  <c r="BC63" i="7"/>
  <c r="BB63" i="7"/>
  <c r="BA63" i="7"/>
  <c r="AZ63" i="7"/>
  <c r="AY63" i="7"/>
  <c r="AX63" i="7"/>
  <c r="AW63" i="7"/>
  <c r="AV63" i="7"/>
  <c r="AU63" i="7"/>
  <c r="AT63" i="7"/>
  <c r="AS63" i="7"/>
  <c r="AR63" i="7"/>
  <c r="AQ63" i="7"/>
  <c r="AP63" i="7"/>
  <c r="AO63" i="7"/>
  <c r="AN63" i="7"/>
  <c r="AM63" i="7"/>
  <c r="AL63" i="7"/>
  <c r="AK63" i="7"/>
  <c r="AJ63" i="7"/>
  <c r="AI63" i="7"/>
  <c r="AH63" i="7"/>
  <c r="AG63" i="7"/>
  <c r="AF63" i="7"/>
  <c r="AE63" i="7"/>
  <c r="AD63" i="7"/>
  <c r="AC63" i="7"/>
  <c r="AB63" i="7"/>
  <c r="AA63" i="7"/>
  <c r="Z63" i="7"/>
  <c r="H62" i="7"/>
  <c r="K62" i="7" s="1"/>
  <c r="L62" i="7" s="1"/>
  <c r="M62" i="7" s="1"/>
  <c r="N62" i="7" s="1"/>
  <c r="O62" i="7" s="1"/>
  <c r="P62" i="7" s="1"/>
  <c r="Q62" i="7" s="1"/>
  <c r="R62" i="7" s="1"/>
  <c r="S62" i="7" s="1"/>
  <c r="F62" i="7"/>
  <c r="H61" i="7"/>
  <c r="K61" i="7" s="1"/>
  <c r="L61" i="7" s="1"/>
  <c r="M61" i="7" s="1"/>
  <c r="N61" i="7" s="1"/>
  <c r="O61" i="7" s="1"/>
  <c r="P61" i="7" s="1"/>
  <c r="Q61" i="7" s="1"/>
  <c r="R61" i="7" s="1"/>
  <c r="S61" i="7" s="1"/>
  <c r="F61" i="7"/>
  <c r="H60" i="7"/>
  <c r="K60" i="7" s="1"/>
  <c r="L60" i="7" s="1"/>
  <c r="M60" i="7" s="1"/>
  <c r="N60" i="7" s="1"/>
  <c r="O60" i="7" s="1"/>
  <c r="P60" i="7" s="1"/>
  <c r="Q60" i="7" s="1"/>
  <c r="R60" i="7" s="1"/>
  <c r="S60" i="7" s="1"/>
  <c r="F60" i="7"/>
  <c r="H59" i="7"/>
  <c r="K59" i="7" s="1"/>
  <c r="L59" i="7" s="1"/>
  <c r="M59" i="7" s="1"/>
  <c r="N59" i="7" s="1"/>
  <c r="O59" i="7" s="1"/>
  <c r="P59" i="7" s="1"/>
  <c r="Q59" i="7" s="1"/>
  <c r="R59" i="7" s="1"/>
  <c r="S59" i="7" s="1"/>
  <c r="F59" i="7"/>
  <c r="H58" i="7"/>
  <c r="K58" i="7" s="1"/>
  <c r="L58" i="7" s="1"/>
  <c r="M58" i="7" s="1"/>
  <c r="N58" i="7" s="1"/>
  <c r="O58" i="7" s="1"/>
  <c r="P58" i="7" s="1"/>
  <c r="Q58" i="7" s="1"/>
  <c r="R58" i="7" s="1"/>
  <c r="S58" i="7" s="1"/>
  <c r="F58" i="7"/>
  <c r="H57" i="7"/>
  <c r="K57" i="7" s="1"/>
  <c r="L57" i="7" s="1"/>
  <c r="M57" i="7" s="1"/>
  <c r="N57" i="7" s="1"/>
  <c r="O57" i="7" s="1"/>
  <c r="P57" i="7" s="1"/>
  <c r="Q57" i="7" s="1"/>
  <c r="R57" i="7" s="1"/>
  <c r="S57" i="7" s="1"/>
  <c r="F57" i="7"/>
  <c r="BT56" i="7"/>
  <c r="H56" i="7"/>
  <c r="K56" i="7" s="1"/>
  <c r="L56" i="7" s="1"/>
  <c r="M56" i="7" s="1"/>
  <c r="N56" i="7" s="1"/>
  <c r="O56" i="7" s="1"/>
  <c r="P56" i="7" s="1"/>
  <c r="Q56" i="7" s="1"/>
  <c r="R56" i="7" s="1"/>
  <c r="S56" i="7" s="1"/>
  <c r="F56" i="7"/>
  <c r="BT55" i="7"/>
  <c r="BR55" i="7"/>
  <c r="H55" i="7"/>
  <c r="K55" i="7" s="1"/>
  <c r="L55" i="7" s="1"/>
  <c r="M55" i="7" s="1"/>
  <c r="N55" i="7" s="1"/>
  <c r="O55" i="7" s="1"/>
  <c r="P55" i="7" s="1"/>
  <c r="Q55" i="7" s="1"/>
  <c r="R55" i="7" s="1"/>
  <c r="S55" i="7" s="1"/>
  <c r="F55" i="7"/>
  <c r="BT54" i="7"/>
  <c r="BR54" i="7"/>
  <c r="H54" i="7"/>
  <c r="K54" i="7" s="1"/>
  <c r="L54" i="7" s="1"/>
  <c r="M54" i="7" s="1"/>
  <c r="N54" i="7" s="1"/>
  <c r="O54" i="7" s="1"/>
  <c r="P54" i="7" s="1"/>
  <c r="Q54" i="7" s="1"/>
  <c r="R54" i="7" s="1"/>
  <c r="S54" i="7" s="1"/>
  <c r="F54" i="7"/>
  <c r="BT53" i="7"/>
  <c r="BR53" i="7"/>
  <c r="H53" i="7"/>
  <c r="K53" i="7" s="1"/>
  <c r="L53" i="7" s="1"/>
  <c r="M53" i="7" s="1"/>
  <c r="N53" i="7" s="1"/>
  <c r="O53" i="7" s="1"/>
  <c r="P53" i="7" s="1"/>
  <c r="Q53" i="7" s="1"/>
  <c r="R53" i="7" s="1"/>
  <c r="S53" i="7" s="1"/>
  <c r="F53" i="7"/>
  <c r="BT52" i="7"/>
  <c r="BR52" i="7"/>
  <c r="F52" i="7" s="1"/>
  <c r="H52" i="7"/>
  <c r="K52" i="7" s="1"/>
  <c r="L52" i="7" s="1"/>
  <c r="M52" i="7" s="1"/>
  <c r="N52" i="7" s="1"/>
  <c r="O52" i="7" s="1"/>
  <c r="P52" i="7" s="1"/>
  <c r="Q52" i="7" s="1"/>
  <c r="R52" i="7" s="1"/>
  <c r="S52" i="7" s="1"/>
  <c r="BT51" i="7"/>
  <c r="BR51" i="7"/>
  <c r="H51" i="7"/>
  <c r="K51" i="7" s="1"/>
  <c r="L51" i="7" s="1"/>
  <c r="M51" i="7" s="1"/>
  <c r="N51" i="7" s="1"/>
  <c r="O51" i="7" s="1"/>
  <c r="P51" i="7" s="1"/>
  <c r="Q51" i="7" s="1"/>
  <c r="R51" i="7" s="1"/>
  <c r="S51" i="7" s="1"/>
  <c r="F51" i="7"/>
  <c r="BT50" i="7"/>
  <c r="BR50" i="7"/>
  <c r="H50" i="7"/>
  <c r="K50" i="7" s="1"/>
  <c r="L50" i="7" s="1"/>
  <c r="M50" i="7" s="1"/>
  <c r="N50" i="7" s="1"/>
  <c r="O50" i="7" s="1"/>
  <c r="P50" i="7" s="1"/>
  <c r="Q50" i="7" s="1"/>
  <c r="R50" i="7" s="1"/>
  <c r="S50" i="7" s="1"/>
  <c r="F50" i="7"/>
  <c r="BT49" i="7"/>
  <c r="BR49" i="7"/>
  <c r="F49" i="7" s="1"/>
  <c r="H49" i="7"/>
  <c r="K49" i="7" s="1"/>
  <c r="L49" i="7" s="1"/>
  <c r="M49" i="7" s="1"/>
  <c r="N49" i="7" s="1"/>
  <c r="O49" i="7" s="1"/>
  <c r="P49" i="7" s="1"/>
  <c r="Q49" i="7" s="1"/>
  <c r="R49" i="7" s="1"/>
  <c r="S49" i="7" s="1"/>
  <c r="BT48" i="7"/>
  <c r="BR48" i="7"/>
  <c r="H48" i="7"/>
  <c r="K48" i="7" s="1"/>
  <c r="L48" i="7" s="1"/>
  <c r="M48" i="7" s="1"/>
  <c r="F48" i="7"/>
  <c r="BT47" i="7"/>
  <c r="H47" i="7"/>
  <c r="K47" i="7" s="1"/>
  <c r="L47" i="7" s="1"/>
  <c r="M47" i="7" s="1"/>
  <c r="N47" i="7" s="1"/>
  <c r="O47" i="7" s="1"/>
  <c r="P47" i="7" s="1"/>
  <c r="Q47" i="7" s="1"/>
  <c r="R47" i="7" s="1"/>
  <c r="S47" i="7" s="1"/>
  <c r="F47" i="7"/>
  <c r="L45" i="7"/>
  <c r="BO42" i="7"/>
  <c r="BN42" i="7"/>
  <c r="BM42" i="7"/>
  <c r="BL42" i="7"/>
  <c r="BK42" i="7"/>
  <c r="BJ42" i="7"/>
  <c r="BI42" i="7"/>
  <c r="BH42" i="7"/>
  <c r="BG42" i="7"/>
  <c r="BF42" i="7"/>
  <c r="BE42" i="7"/>
  <c r="BD42" i="7"/>
  <c r="BC42" i="7"/>
  <c r="BB42" i="7"/>
  <c r="BA42" i="7"/>
  <c r="AZ42" i="7"/>
  <c r="AY42" i="7"/>
  <c r="AX42" i="7"/>
  <c r="AW42" i="7"/>
  <c r="AV42" i="7"/>
  <c r="AU42" i="7"/>
  <c r="AT42" i="7"/>
  <c r="AS42" i="7"/>
  <c r="AR42" i="7"/>
  <c r="AQ42" i="7"/>
  <c r="AP42" i="7"/>
  <c r="AO42" i="7"/>
  <c r="AN42" i="7"/>
  <c r="AM42" i="7"/>
  <c r="AL42" i="7"/>
  <c r="AK42" i="7"/>
  <c r="AJ42" i="7"/>
  <c r="AI42" i="7"/>
  <c r="AH42" i="7"/>
  <c r="AG42" i="7"/>
  <c r="AF42" i="7"/>
  <c r="AE42" i="7"/>
  <c r="AD42" i="7"/>
  <c r="AC42" i="7"/>
  <c r="AB42" i="7"/>
  <c r="AA42" i="7"/>
  <c r="Z42" i="7"/>
  <c r="BT41" i="7"/>
  <c r="H41" i="7"/>
  <c r="K41" i="7" s="1"/>
  <c r="L41" i="7" s="1"/>
  <c r="M41" i="7" s="1"/>
  <c r="N41" i="7" s="1"/>
  <c r="O41" i="7" s="1"/>
  <c r="P41" i="7" s="1"/>
  <c r="Q41" i="7" s="1"/>
  <c r="R41" i="7" s="1"/>
  <c r="S41" i="7" s="1"/>
  <c r="F41" i="7"/>
  <c r="BT40" i="7"/>
  <c r="H40" i="7"/>
  <c r="K40" i="7" s="1"/>
  <c r="L40" i="7" s="1"/>
  <c r="M40" i="7" s="1"/>
  <c r="N40" i="7" s="1"/>
  <c r="O40" i="7" s="1"/>
  <c r="P40" i="7" s="1"/>
  <c r="Q40" i="7" s="1"/>
  <c r="R40" i="7" s="1"/>
  <c r="S40" i="7" s="1"/>
  <c r="F40" i="7"/>
  <c r="BT39" i="7"/>
  <c r="H39" i="7"/>
  <c r="K39" i="7" s="1"/>
  <c r="L39" i="7" s="1"/>
  <c r="M39" i="7" s="1"/>
  <c r="N39" i="7" s="1"/>
  <c r="O39" i="7" s="1"/>
  <c r="P39" i="7" s="1"/>
  <c r="Q39" i="7" s="1"/>
  <c r="R39" i="7" s="1"/>
  <c r="S39" i="7" s="1"/>
  <c r="F39" i="7"/>
  <c r="BT38" i="7"/>
  <c r="H38" i="7"/>
  <c r="K38" i="7" s="1"/>
  <c r="L38" i="7" s="1"/>
  <c r="M38" i="7" s="1"/>
  <c r="N38" i="7" s="1"/>
  <c r="O38" i="7" s="1"/>
  <c r="P38" i="7" s="1"/>
  <c r="Q38" i="7" s="1"/>
  <c r="R38" i="7" s="1"/>
  <c r="S38" i="7" s="1"/>
  <c r="F38" i="7"/>
  <c r="BT37" i="7"/>
  <c r="H37" i="7"/>
  <c r="K37" i="7" s="1"/>
  <c r="L37" i="7" s="1"/>
  <c r="M37" i="7" s="1"/>
  <c r="N37" i="7" s="1"/>
  <c r="O37" i="7" s="1"/>
  <c r="P37" i="7" s="1"/>
  <c r="Q37" i="7" s="1"/>
  <c r="R37" i="7" s="1"/>
  <c r="S37" i="7" s="1"/>
  <c r="F37" i="7"/>
  <c r="BT36" i="7"/>
  <c r="BR36" i="7"/>
  <c r="H36" i="7"/>
  <c r="K36" i="7" s="1"/>
  <c r="L36" i="7" s="1"/>
  <c r="M36" i="7" s="1"/>
  <c r="N36" i="7" s="1"/>
  <c r="O36" i="7" s="1"/>
  <c r="P36" i="7" s="1"/>
  <c r="Q36" i="7" s="1"/>
  <c r="R36" i="7" s="1"/>
  <c r="S36" i="7" s="1"/>
  <c r="F36" i="7"/>
  <c r="BT35" i="7"/>
  <c r="H35" i="7"/>
  <c r="K35" i="7" s="1"/>
  <c r="L35" i="7" s="1"/>
  <c r="M35" i="7" s="1"/>
  <c r="N35" i="7" s="1"/>
  <c r="O35" i="7" s="1"/>
  <c r="P35" i="7" s="1"/>
  <c r="Q35" i="7" s="1"/>
  <c r="R35" i="7" s="1"/>
  <c r="S35" i="7" s="1"/>
  <c r="F35" i="7"/>
  <c r="BT34" i="7"/>
  <c r="BR34" i="7"/>
  <c r="F34" i="7" s="1"/>
  <c r="H34" i="7"/>
  <c r="K34" i="7" s="1"/>
  <c r="L34" i="7" s="1"/>
  <c r="M34" i="7" s="1"/>
  <c r="N34" i="7" s="1"/>
  <c r="O34" i="7" s="1"/>
  <c r="P34" i="7" s="1"/>
  <c r="Q34" i="7" s="1"/>
  <c r="R34" i="7" s="1"/>
  <c r="S34" i="7" s="1"/>
  <c r="BT33" i="7"/>
  <c r="H33" i="7"/>
  <c r="K33" i="7" s="1"/>
  <c r="L33" i="7" s="1"/>
  <c r="M33" i="7" s="1"/>
  <c r="N33" i="7" s="1"/>
  <c r="O33" i="7" s="1"/>
  <c r="P33" i="7" s="1"/>
  <c r="Q33" i="7" s="1"/>
  <c r="R33" i="7" s="1"/>
  <c r="S33" i="7" s="1"/>
  <c r="F33" i="7"/>
  <c r="BT32" i="7"/>
  <c r="H32" i="7"/>
  <c r="K32" i="7" s="1"/>
  <c r="L32" i="7" s="1"/>
  <c r="M32" i="7" s="1"/>
  <c r="N32" i="7" s="1"/>
  <c r="O32" i="7" s="1"/>
  <c r="P32" i="7" s="1"/>
  <c r="Q32" i="7" s="1"/>
  <c r="R32" i="7" s="1"/>
  <c r="S32" i="7" s="1"/>
  <c r="F32" i="7"/>
  <c r="BT31" i="7"/>
  <c r="H31" i="7"/>
  <c r="K31" i="7" s="1"/>
  <c r="L31" i="7" s="1"/>
  <c r="M31" i="7" s="1"/>
  <c r="N31" i="7" s="1"/>
  <c r="O31" i="7" s="1"/>
  <c r="P31" i="7" s="1"/>
  <c r="Q31" i="7" s="1"/>
  <c r="R31" i="7" s="1"/>
  <c r="S31" i="7" s="1"/>
  <c r="F31" i="7"/>
  <c r="BT30" i="7"/>
  <c r="BR30" i="7"/>
  <c r="F30" i="7" s="1"/>
  <c r="H30" i="7"/>
  <c r="K30" i="7" s="1"/>
  <c r="L30" i="7" s="1"/>
  <c r="M30" i="7" s="1"/>
  <c r="N30" i="7" s="1"/>
  <c r="O30" i="7" s="1"/>
  <c r="P30" i="7" s="1"/>
  <c r="Q30" i="7" s="1"/>
  <c r="R30" i="7" s="1"/>
  <c r="S30" i="7" s="1"/>
  <c r="BT29" i="7"/>
  <c r="BR29" i="7"/>
  <c r="H29" i="7"/>
  <c r="K29" i="7" s="1"/>
  <c r="L29" i="7" s="1"/>
  <c r="M29" i="7" s="1"/>
  <c r="N29" i="7" s="1"/>
  <c r="O29" i="7" s="1"/>
  <c r="P29" i="7" s="1"/>
  <c r="Q29" i="7" s="1"/>
  <c r="R29" i="7" s="1"/>
  <c r="S29" i="7" s="1"/>
  <c r="F29" i="7"/>
  <c r="BT28" i="7"/>
  <c r="BR28" i="7"/>
  <c r="F28" i="7" s="1"/>
  <c r="H28" i="7"/>
  <c r="K28" i="7" s="1"/>
  <c r="L28" i="7" s="1"/>
  <c r="M28" i="7" s="1"/>
  <c r="N28" i="7" s="1"/>
  <c r="O28" i="7" s="1"/>
  <c r="P28" i="7" s="1"/>
  <c r="Q28" i="7" s="1"/>
  <c r="R28" i="7" s="1"/>
  <c r="S28" i="7" s="1"/>
  <c r="S21" i="7"/>
  <c r="R21" i="7"/>
  <c r="Q21" i="7"/>
  <c r="P21" i="7"/>
  <c r="O21" i="7"/>
  <c r="N21" i="7"/>
  <c r="M21" i="7"/>
  <c r="L21" i="7"/>
  <c r="S20" i="7"/>
  <c r="R20" i="7"/>
  <c r="Q20" i="7"/>
  <c r="P20" i="7"/>
  <c r="O20" i="7"/>
  <c r="N20" i="7"/>
  <c r="M20" i="7"/>
  <c r="L20" i="7"/>
  <c r="S19" i="7"/>
  <c r="R19" i="7"/>
  <c r="Q19" i="7"/>
  <c r="P19" i="7"/>
  <c r="O19" i="7"/>
  <c r="N19" i="7"/>
  <c r="M19" i="7"/>
  <c r="L19" i="7"/>
  <c r="J19" i="7"/>
  <c r="S18" i="7"/>
  <c r="R18" i="7"/>
  <c r="Q18" i="7"/>
  <c r="P18" i="7"/>
  <c r="O18" i="7"/>
  <c r="N18" i="7"/>
  <c r="M18" i="7"/>
  <c r="L18" i="7"/>
  <c r="S17" i="7"/>
  <c r="R17" i="7"/>
  <c r="Q17" i="7"/>
  <c r="P17" i="7"/>
  <c r="O17" i="7"/>
  <c r="N17" i="7"/>
  <c r="M17" i="7"/>
  <c r="L17" i="7"/>
  <c r="S16" i="7"/>
  <c r="R16" i="7"/>
  <c r="R25" i="7" s="1"/>
  <c r="Q16" i="7"/>
  <c r="P16" i="7"/>
  <c r="O16" i="7"/>
  <c r="N16" i="7"/>
  <c r="M16" i="7"/>
  <c r="L16" i="7"/>
  <c r="I15" i="7"/>
  <c r="H15" i="7"/>
  <c r="G15" i="7"/>
  <c r="F15" i="7"/>
  <c r="E15" i="7"/>
  <c r="D15" i="7"/>
  <c r="D16" i="7" s="1"/>
  <c r="C15" i="7"/>
  <c r="C16" i="7" s="1"/>
  <c r="B15" i="7"/>
  <c r="B16" i="7" s="1"/>
  <c r="I14" i="7"/>
  <c r="I16" i="7" s="1"/>
  <c r="H14" i="7"/>
  <c r="H16" i="7" s="1"/>
  <c r="G14" i="7"/>
  <c r="F14" i="7"/>
  <c r="D14" i="7"/>
  <c r="C14" i="7"/>
  <c r="B14" i="7"/>
  <c r="I13" i="7"/>
  <c r="H13" i="7"/>
  <c r="G13" i="7"/>
  <c r="F13" i="7"/>
  <c r="E13" i="7"/>
  <c r="D13" i="7"/>
  <c r="C13" i="7"/>
  <c r="B13" i="7"/>
  <c r="I12" i="7"/>
  <c r="H12" i="7"/>
  <c r="G12" i="7"/>
  <c r="F12" i="7"/>
  <c r="E12" i="7"/>
  <c r="D12" i="7"/>
  <c r="C12" i="7"/>
  <c r="B12" i="7"/>
  <c r="I11" i="7"/>
  <c r="H11" i="7"/>
  <c r="G11" i="7"/>
  <c r="F11" i="7"/>
  <c r="E11" i="7"/>
  <c r="D11" i="7"/>
  <c r="C11" i="7"/>
  <c r="B11" i="7"/>
  <c r="S9" i="7"/>
  <c r="R9" i="7"/>
  <c r="Q9" i="7"/>
  <c r="P9" i="7"/>
  <c r="N9" i="7"/>
  <c r="M9" i="7"/>
  <c r="L9" i="7"/>
  <c r="S8" i="7"/>
  <c r="R8" i="7"/>
  <c r="Q8" i="7"/>
  <c r="P8" i="7"/>
  <c r="O8" i="7"/>
  <c r="N8" i="7"/>
  <c r="M8" i="7"/>
  <c r="L8" i="7"/>
  <c r="S7" i="7"/>
  <c r="R7" i="7"/>
  <c r="Q7" i="7"/>
  <c r="P7" i="7"/>
  <c r="O7" i="7"/>
  <c r="N7" i="7"/>
  <c r="M7" i="7"/>
  <c r="L7" i="7"/>
  <c r="S6" i="7"/>
  <c r="R6" i="7"/>
  <c r="Q6" i="7"/>
  <c r="P6" i="7"/>
  <c r="O6" i="7"/>
  <c r="N6" i="7"/>
  <c r="M6" i="7"/>
  <c r="L6" i="7"/>
  <c r="I6" i="7"/>
  <c r="H6" i="7"/>
  <c r="G6" i="7"/>
  <c r="F6" i="7"/>
  <c r="E6" i="7"/>
  <c r="D6" i="7"/>
  <c r="C6" i="7"/>
  <c r="B6" i="7"/>
  <c r="S5" i="7"/>
  <c r="R5" i="7"/>
  <c r="Q5" i="7"/>
  <c r="P5" i="7"/>
  <c r="O5" i="7"/>
  <c r="N5" i="7"/>
  <c r="M5" i="7"/>
  <c r="L5" i="7"/>
  <c r="I5" i="7"/>
  <c r="H5" i="7"/>
  <c r="G5" i="7"/>
  <c r="F5" i="7"/>
  <c r="E5" i="7"/>
  <c r="D5" i="7"/>
  <c r="C5" i="7"/>
  <c r="B5" i="7"/>
  <c r="S4" i="7"/>
  <c r="R4" i="7"/>
  <c r="Q4" i="7"/>
  <c r="P4" i="7"/>
  <c r="O4" i="7"/>
  <c r="N4" i="7"/>
  <c r="M4" i="7"/>
  <c r="L4" i="7"/>
  <c r="I4" i="7"/>
  <c r="G4" i="7"/>
  <c r="F4" i="7"/>
  <c r="E4" i="7"/>
  <c r="D4" i="7"/>
  <c r="C4" i="7"/>
  <c r="B4" i="7"/>
  <c r="S3" i="7"/>
  <c r="S12" i="7" s="1"/>
  <c r="R3" i="7"/>
  <c r="Q3" i="7"/>
  <c r="P3" i="7"/>
  <c r="P12" i="7" s="1"/>
  <c r="O3" i="7"/>
  <c r="O12" i="7" s="1"/>
  <c r="N3" i="7"/>
  <c r="M3" i="7"/>
  <c r="L3" i="7"/>
  <c r="H3" i="7"/>
  <c r="G3" i="7"/>
  <c r="F3" i="7"/>
  <c r="E3" i="7"/>
  <c r="E7" i="7" s="1"/>
  <c r="D3" i="7"/>
  <c r="C3" i="7"/>
  <c r="C7" i="7" s="1"/>
  <c r="B3" i="7"/>
  <c r="B7" i="7" s="1"/>
  <c r="AB41" i="13"/>
  <c r="X41" i="13"/>
  <c r="T41" i="13"/>
  <c r="P41" i="13"/>
  <c r="L41" i="13"/>
  <c r="H41" i="13"/>
  <c r="D41" i="13"/>
  <c r="AF40" i="13"/>
  <c r="AE40" i="13"/>
  <c r="AF39" i="13"/>
  <c r="AE39" i="13"/>
  <c r="AF38" i="13"/>
  <c r="AE38" i="13"/>
  <c r="AF37" i="13"/>
  <c r="AE37" i="13"/>
  <c r="AF36" i="13"/>
  <c r="AE36" i="13"/>
  <c r="AF35" i="13"/>
  <c r="AE35" i="13"/>
  <c r="AF34" i="13"/>
  <c r="AE34" i="13"/>
  <c r="AF33" i="13"/>
  <c r="AE33" i="13"/>
  <c r="AF32" i="13"/>
  <c r="AE32" i="13"/>
  <c r="AF31" i="13"/>
  <c r="AE31" i="13"/>
  <c r="AF30" i="13"/>
  <c r="AE30" i="13"/>
  <c r="AF29" i="13"/>
  <c r="AE29" i="13"/>
  <c r="AF28" i="13"/>
  <c r="AE28" i="13"/>
  <c r="AF27" i="13"/>
  <c r="AE27" i="13"/>
  <c r="AF26" i="13"/>
  <c r="AE26" i="13"/>
  <c r="AF25" i="13"/>
  <c r="AE25" i="13"/>
  <c r="AF24" i="13"/>
  <c r="AE24" i="13"/>
  <c r="AF23" i="13"/>
  <c r="AE23" i="13"/>
  <c r="AF22" i="13"/>
  <c r="AE22" i="13"/>
  <c r="AF21" i="13"/>
  <c r="AE21" i="13"/>
  <c r="AF20" i="13"/>
  <c r="AE20" i="13"/>
  <c r="AF19" i="13"/>
  <c r="AE19" i="13"/>
  <c r="AF18" i="13"/>
  <c r="AE18" i="13"/>
  <c r="AF17" i="13"/>
  <c r="AE17" i="13"/>
  <c r="AF16" i="13"/>
  <c r="AE16" i="13"/>
  <c r="AF15" i="13"/>
  <c r="AE15" i="13"/>
  <c r="AF14" i="13"/>
  <c r="AE14" i="13"/>
  <c r="AF13" i="13"/>
  <c r="AE13" i="13"/>
  <c r="AF12" i="13"/>
  <c r="AE12" i="13"/>
  <c r="AF11" i="13"/>
  <c r="AE11" i="13"/>
  <c r="BS63" i="7" l="1"/>
  <c r="BS42" i="7"/>
  <c r="BT42" i="7"/>
  <c r="L12" i="7"/>
  <c r="AF41" i="13"/>
  <c r="BT63" i="7"/>
  <c r="S25" i="7"/>
  <c r="Q25" i="7"/>
  <c r="N25" i="7"/>
  <c r="M25" i="7"/>
  <c r="L25" i="7"/>
  <c r="M12" i="7"/>
  <c r="H7" i="7"/>
  <c r="N12" i="7"/>
  <c r="H132" i="7"/>
  <c r="L132" i="7" s="1"/>
  <c r="M132" i="7" s="1"/>
  <c r="N132" i="7" s="1"/>
  <c r="O132" i="7" s="1"/>
  <c r="P132" i="7" s="1"/>
  <c r="Q132" i="7" s="1"/>
  <c r="R132" i="7" s="1"/>
  <c r="S132" i="7" s="1"/>
  <c r="E133" i="7"/>
  <c r="H133" i="7" s="1"/>
  <c r="K133" i="7" s="1"/>
  <c r="L133" i="7" s="1"/>
  <c r="M133" i="7" s="1"/>
  <c r="N133" i="7" s="1"/>
  <c r="O133" i="7" s="1"/>
  <c r="P133" i="7" s="1"/>
  <c r="Q133" i="7" s="1"/>
  <c r="R133" i="7" s="1"/>
  <c r="S133" i="7" s="1"/>
  <c r="H126" i="7"/>
  <c r="K126" i="7" s="1"/>
  <c r="L126" i="7" s="1"/>
  <c r="M126" i="7" s="1"/>
  <c r="N126" i="7" s="1"/>
  <c r="O126" i="7" s="1"/>
  <c r="P126" i="7" s="1"/>
  <c r="Q126" i="7" s="1"/>
  <c r="R126" i="7" s="1"/>
  <c r="S126" i="7" s="1"/>
  <c r="E127" i="7"/>
  <c r="H127" i="7" s="1"/>
  <c r="K127" i="7" s="1"/>
  <c r="L127" i="7" s="1"/>
  <c r="M127" i="7" s="1"/>
  <c r="N127" i="7" s="1"/>
  <c r="O127" i="7" s="1"/>
  <c r="P127" i="7" s="1"/>
  <c r="Q127" i="7" s="1"/>
  <c r="R127" i="7" s="1"/>
  <c r="S127" i="7" s="1"/>
  <c r="H119" i="7"/>
  <c r="E120" i="7"/>
  <c r="E121" i="7" s="1"/>
  <c r="H121" i="7" s="1"/>
  <c r="K121" i="7" s="1"/>
  <c r="L121" i="7" s="1"/>
  <c r="M121" i="7" s="1"/>
  <c r="N121" i="7" s="1"/>
  <c r="O121" i="7" s="1"/>
  <c r="P121" i="7" s="1"/>
  <c r="Q121" i="7" s="1"/>
  <c r="R121" i="7" s="1"/>
  <c r="S121" i="7" s="1"/>
  <c r="E114" i="7"/>
  <c r="H114" i="7" s="1"/>
  <c r="K114" i="7" s="1"/>
  <c r="L114" i="7" s="1"/>
  <c r="M114" i="7" s="1"/>
  <c r="N114" i="7" s="1"/>
  <c r="O114" i="7" s="1"/>
  <c r="P114" i="7" s="1"/>
  <c r="Q114" i="7" s="1"/>
  <c r="R114" i="7" s="1"/>
  <c r="S114" i="7" s="1"/>
  <c r="H113" i="7"/>
  <c r="K113" i="7" s="1"/>
  <c r="L113" i="7" s="1"/>
  <c r="M113" i="7" s="1"/>
  <c r="N113" i="7" s="1"/>
  <c r="O113" i="7" s="1"/>
  <c r="P113" i="7" s="1"/>
  <c r="Q113" i="7" s="1"/>
  <c r="R113" i="7" s="1"/>
  <c r="S113" i="7" s="1"/>
  <c r="N100" i="7"/>
  <c r="O100" i="7" s="1"/>
  <c r="P100" i="7" s="1"/>
  <c r="Q100" i="7" s="1"/>
  <c r="R100" i="7" s="1"/>
  <c r="S100" i="7" s="1"/>
  <c r="K100" i="7"/>
  <c r="K94" i="7"/>
  <c r="M94" i="7"/>
  <c r="N94" i="7" s="1"/>
  <c r="O94" i="7" s="1"/>
  <c r="P94" i="7" s="1"/>
  <c r="Q94" i="7" s="1"/>
  <c r="R94" i="7" s="1"/>
  <c r="S94" i="7" s="1"/>
  <c r="K87" i="7"/>
  <c r="M87" i="7"/>
  <c r="N87" i="7" s="1"/>
  <c r="O87" i="7" s="1"/>
  <c r="P87" i="7" s="1"/>
  <c r="Q87" i="7" s="1"/>
  <c r="R87" i="7" s="1"/>
  <c r="S87" i="7" s="1"/>
  <c r="BR85" i="7"/>
  <c r="BQ91" i="7"/>
  <c r="BS91" i="7" s="1"/>
  <c r="D7" i="7"/>
  <c r="AE41" i="13"/>
  <c r="D18" i="7"/>
  <c r="N48" i="7"/>
  <c r="O48" i="7" s="1"/>
  <c r="P48" i="7" s="1"/>
  <c r="Q48" i="7" s="1"/>
  <c r="R48" i="7" s="1"/>
  <c r="S48" i="7" s="1"/>
  <c r="M45" i="7"/>
  <c r="N118" i="7"/>
  <c r="O118" i="7" s="1"/>
  <c r="P118" i="7" s="1"/>
  <c r="Q118" i="7" s="1"/>
  <c r="R118" i="7" s="1"/>
  <c r="S118" i="7" s="1"/>
  <c r="K118" i="7"/>
  <c r="L118" i="7" s="1"/>
  <c r="N97" i="7"/>
  <c r="O97" i="7" s="1"/>
  <c r="P97" i="7" s="1"/>
  <c r="Q97" i="7" s="1"/>
  <c r="R97" i="7" s="1"/>
  <c r="S97" i="7" s="1"/>
  <c r="C18" i="7"/>
  <c r="K115" i="7"/>
  <c r="H120" i="7"/>
  <c r="K120" i="7" s="1"/>
  <c r="L120" i="7" s="1"/>
  <c r="M120" i="7" s="1"/>
  <c r="N120" i="7" s="1"/>
  <c r="O120" i="7" s="1"/>
  <c r="P120" i="7" s="1"/>
  <c r="Q120" i="7" s="1"/>
  <c r="R120" i="7" s="1"/>
  <c r="S120" i="7" s="1"/>
  <c r="H123" i="7"/>
  <c r="K123" i="7" s="1"/>
  <c r="L123" i="7" s="1"/>
  <c r="M123" i="7" s="1"/>
  <c r="N123" i="7" s="1"/>
  <c r="O123" i="7" s="1"/>
  <c r="P123" i="7" s="1"/>
  <c r="Q123" i="7" s="1"/>
  <c r="R123" i="7" s="1"/>
  <c r="S123" i="7" s="1"/>
  <c r="B18" i="7"/>
  <c r="F7" i="7"/>
  <c r="G7" i="7"/>
  <c r="K109" i="7"/>
  <c r="N119" i="7"/>
  <c r="O119" i="7" s="1"/>
  <c r="P119" i="7" s="1"/>
  <c r="Q119" i="7" s="1"/>
  <c r="R119" i="7" s="1"/>
  <c r="S119" i="7" s="1"/>
  <c r="K119" i="7"/>
  <c r="L119" i="7" s="1"/>
  <c r="F16" i="7"/>
  <c r="G16" i="7"/>
  <c r="O25" i="7"/>
  <c r="BT91" i="7"/>
  <c r="H129" i="7"/>
  <c r="K129" i="7" s="1"/>
  <c r="L129" i="7" s="1"/>
  <c r="M129" i="7" s="1"/>
  <c r="N129" i="7" s="1"/>
  <c r="O129" i="7" s="1"/>
  <c r="P129" i="7" s="1"/>
  <c r="Q129" i="7" s="1"/>
  <c r="R129" i="7" s="1"/>
  <c r="S129" i="7" s="1"/>
  <c r="P25" i="7"/>
  <c r="K103" i="7"/>
  <c r="I7" i="7"/>
  <c r="I18" i="7" s="1"/>
  <c r="E16" i="7"/>
  <c r="E18" i="7" s="1"/>
  <c r="K86" i="7"/>
  <c r="L86" i="7" s="1"/>
  <c r="K89" i="7"/>
  <c r="Q12" i="7"/>
  <c r="R12" i="7"/>
  <c r="K106" i="7"/>
  <c r="E111" i="7"/>
  <c r="H111" i="7" s="1"/>
  <c r="K111" i="7" s="1"/>
  <c r="L111" i="7" s="1"/>
  <c r="M111" i="7" s="1"/>
  <c r="N111" i="7" s="1"/>
  <c r="O111" i="7" s="1"/>
  <c r="P111" i="7" s="1"/>
  <c r="Q111" i="7" s="1"/>
  <c r="R111" i="7" s="1"/>
  <c r="S111" i="7" s="1"/>
  <c r="H135" i="7"/>
  <c r="K135" i="7" s="1"/>
  <c r="L135" i="7" s="1"/>
  <c r="M135" i="7" s="1"/>
  <c r="N135" i="7" s="1"/>
  <c r="O135" i="7" s="1"/>
  <c r="P135" i="7" s="1"/>
  <c r="Q135" i="7" s="1"/>
  <c r="R135" i="7" s="1"/>
  <c r="S135" i="7" s="1"/>
  <c r="H18" i="7" l="1"/>
  <c r="G18" i="7"/>
  <c r="F18" i="7"/>
  <c r="J18" i="7" s="1"/>
  <c r="J20" i="7" s="1"/>
  <c r="J19" i="6" l="1"/>
  <c r="BT136" i="6"/>
  <c r="BR136" i="6"/>
  <c r="BT135" i="6"/>
  <c r="BR135" i="6"/>
  <c r="E135" i="6"/>
  <c r="E136" i="6" s="1"/>
  <c r="H136" i="6" s="1"/>
  <c r="K136" i="6" s="1"/>
  <c r="L136" i="6" s="1"/>
  <c r="M136" i="6" s="1"/>
  <c r="N136" i="6" s="1"/>
  <c r="O136" i="6" s="1"/>
  <c r="P136" i="6" s="1"/>
  <c r="Q136" i="6" s="1"/>
  <c r="R136" i="6" s="1"/>
  <c r="S136" i="6" s="1"/>
  <c r="BT134" i="6"/>
  <c r="BR134" i="6"/>
  <c r="F134" i="6" s="1"/>
  <c r="H134" i="6"/>
  <c r="K134" i="6" s="1"/>
  <c r="L134" i="6" s="1"/>
  <c r="M134" i="6" s="1"/>
  <c r="N134" i="6" s="1"/>
  <c r="O134" i="6" s="1"/>
  <c r="P134" i="6" s="1"/>
  <c r="Q134" i="6" s="1"/>
  <c r="R134" i="6" s="1"/>
  <c r="S134" i="6" s="1"/>
  <c r="BT133" i="6"/>
  <c r="BR133" i="6"/>
  <c r="BT132" i="6"/>
  <c r="BR132" i="6"/>
  <c r="E132" i="6"/>
  <c r="BT131" i="6"/>
  <c r="BR131" i="6"/>
  <c r="H131" i="6"/>
  <c r="L131" i="6" s="1"/>
  <c r="M131" i="6" s="1"/>
  <c r="N131" i="6" s="1"/>
  <c r="O131" i="6" s="1"/>
  <c r="P131" i="6" s="1"/>
  <c r="Q131" i="6" s="1"/>
  <c r="R131" i="6" s="1"/>
  <c r="S131" i="6" s="1"/>
  <c r="F131" i="6"/>
  <c r="BT130" i="6"/>
  <c r="BR130" i="6"/>
  <c r="BT129" i="6"/>
  <c r="BR129" i="6"/>
  <c r="E129" i="6"/>
  <c r="BT128" i="6"/>
  <c r="BR128" i="6"/>
  <c r="F128" i="6" s="1"/>
  <c r="H128" i="6"/>
  <c r="O128" i="6" s="1"/>
  <c r="P128" i="6" s="1"/>
  <c r="Q128" i="6" s="1"/>
  <c r="R128" i="6" s="1"/>
  <c r="S128" i="6" s="1"/>
  <c r="BT127" i="6"/>
  <c r="BR127" i="6"/>
  <c r="BT126" i="6"/>
  <c r="BR126" i="6"/>
  <c r="E126" i="6"/>
  <c r="BT125" i="6"/>
  <c r="BR125" i="6"/>
  <c r="F125" i="6" s="1"/>
  <c r="H125" i="6"/>
  <c r="O125" i="6" s="1"/>
  <c r="P125" i="6" s="1"/>
  <c r="Q125" i="6" s="1"/>
  <c r="R125" i="6" s="1"/>
  <c r="S125" i="6" s="1"/>
  <c r="BT124" i="6"/>
  <c r="BR124" i="6"/>
  <c r="BT123" i="6"/>
  <c r="BR123" i="6"/>
  <c r="E123" i="6"/>
  <c r="E124" i="6" s="1"/>
  <c r="H124" i="6" s="1"/>
  <c r="K124" i="6" s="1"/>
  <c r="L124" i="6" s="1"/>
  <c r="M124" i="6" s="1"/>
  <c r="N124" i="6" s="1"/>
  <c r="O124" i="6" s="1"/>
  <c r="P124" i="6" s="1"/>
  <c r="Q124" i="6" s="1"/>
  <c r="R124" i="6" s="1"/>
  <c r="S124" i="6" s="1"/>
  <c r="BT122" i="6"/>
  <c r="BR122" i="6"/>
  <c r="F122" i="6" s="1"/>
  <c r="H122" i="6"/>
  <c r="O122" i="6" s="1"/>
  <c r="P122" i="6" s="1"/>
  <c r="Q122" i="6" s="1"/>
  <c r="R122" i="6" s="1"/>
  <c r="S122" i="6" s="1"/>
  <c r="BT121" i="6"/>
  <c r="BR121" i="6"/>
  <c r="BT120" i="6"/>
  <c r="BR120" i="6"/>
  <c r="BT119" i="6"/>
  <c r="BR119" i="6"/>
  <c r="BT118" i="6"/>
  <c r="BR118" i="6"/>
  <c r="F118" i="6" s="1"/>
  <c r="BT117" i="6"/>
  <c r="BR117" i="6"/>
  <c r="BT116" i="6"/>
  <c r="BR116" i="6"/>
  <c r="E116" i="6"/>
  <c r="BT115" i="6"/>
  <c r="BR115" i="6"/>
  <c r="F115" i="6" s="1"/>
  <c r="H115" i="6"/>
  <c r="N115" i="6" s="1"/>
  <c r="O115" i="6" s="1"/>
  <c r="P115" i="6" s="1"/>
  <c r="Q115" i="6" s="1"/>
  <c r="R115" i="6" s="1"/>
  <c r="S115" i="6" s="1"/>
  <c r="BT114" i="6"/>
  <c r="BR114" i="6"/>
  <c r="BT113" i="6"/>
  <c r="BR113" i="6"/>
  <c r="E113" i="6"/>
  <c r="BT112" i="6"/>
  <c r="BR112" i="6"/>
  <c r="H112" i="6"/>
  <c r="N112" i="6" s="1"/>
  <c r="O112" i="6" s="1"/>
  <c r="P112" i="6" s="1"/>
  <c r="Q112" i="6" s="1"/>
  <c r="R112" i="6" s="1"/>
  <c r="S112" i="6" s="1"/>
  <c r="F112" i="6"/>
  <c r="BT111" i="6"/>
  <c r="BR111" i="6"/>
  <c r="BT110" i="6"/>
  <c r="BR110" i="6"/>
  <c r="E110" i="6"/>
  <c r="BT109" i="6"/>
  <c r="BR109" i="6"/>
  <c r="H109" i="6"/>
  <c r="F109" i="6"/>
  <c r="BT108" i="6"/>
  <c r="BR108" i="6"/>
  <c r="H108" i="6"/>
  <c r="K108" i="6" s="1"/>
  <c r="L108" i="6" s="1"/>
  <c r="M108" i="6" s="1"/>
  <c r="N108" i="6" s="1"/>
  <c r="O108" i="6" s="1"/>
  <c r="P108" i="6" s="1"/>
  <c r="Q108" i="6" s="1"/>
  <c r="R108" i="6" s="1"/>
  <c r="S108" i="6" s="1"/>
  <c r="BT107" i="6"/>
  <c r="BR107" i="6"/>
  <c r="H107" i="6"/>
  <c r="K107" i="6" s="1"/>
  <c r="L107" i="6" s="1"/>
  <c r="M107" i="6" s="1"/>
  <c r="N107" i="6" s="1"/>
  <c r="O107" i="6" s="1"/>
  <c r="P107" i="6" s="1"/>
  <c r="Q107" i="6" s="1"/>
  <c r="R107" i="6" s="1"/>
  <c r="S107" i="6" s="1"/>
  <c r="BT106" i="6"/>
  <c r="BR106" i="6"/>
  <c r="F106" i="6" s="1"/>
  <c r="H106" i="6"/>
  <c r="BT105" i="6"/>
  <c r="BR105" i="6"/>
  <c r="H105" i="6"/>
  <c r="K105" i="6" s="1"/>
  <c r="L105" i="6" s="1"/>
  <c r="M105" i="6" s="1"/>
  <c r="N105" i="6" s="1"/>
  <c r="O105" i="6" s="1"/>
  <c r="P105" i="6" s="1"/>
  <c r="Q105" i="6" s="1"/>
  <c r="R105" i="6" s="1"/>
  <c r="S105" i="6" s="1"/>
  <c r="BT104" i="6"/>
  <c r="BR104" i="6"/>
  <c r="H104" i="6"/>
  <c r="K104" i="6" s="1"/>
  <c r="L104" i="6" s="1"/>
  <c r="M104" i="6" s="1"/>
  <c r="N104" i="6" s="1"/>
  <c r="O104" i="6" s="1"/>
  <c r="P104" i="6" s="1"/>
  <c r="Q104" i="6" s="1"/>
  <c r="R104" i="6" s="1"/>
  <c r="S104" i="6" s="1"/>
  <c r="BT103" i="6"/>
  <c r="BR103" i="6"/>
  <c r="H103" i="6"/>
  <c r="K103" i="6" s="1"/>
  <c r="L103" i="6" s="1"/>
  <c r="M103" i="6" s="1"/>
  <c r="N103" i="6" s="1"/>
  <c r="O103" i="6" s="1"/>
  <c r="P103" i="6" s="1"/>
  <c r="Q103" i="6" s="1"/>
  <c r="R103" i="6" s="1"/>
  <c r="S103" i="6" s="1"/>
  <c r="F103" i="6"/>
  <c r="BT102" i="6"/>
  <c r="BR102" i="6"/>
  <c r="H102" i="6"/>
  <c r="K102" i="6" s="1"/>
  <c r="L102" i="6" s="1"/>
  <c r="M102" i="6" s="1"/>
  <c r="N102" i="6" s="1"/>
  <c r="O102" i="6" s="1"/>
  <c r="P102" i="6" s="1"/>
  <c r="Q102" i="6" s="1"/>
  <c r="R102" i="6" s="1"/>
  <c r="S102" i="6" s="1"/>
  <c r="BT101" i="6"/>
  <c r="BR101" i="6"/>
  <c r="H101" i="6"/>
  <c r="K101" i="6" s="1"/>
  <c r="L101" i="6" s="1"/>
  <c r="M101" i="6" s="1"/>
  <c r="N101" i="6" s="1"/>
  <c r="O101" i="6" s="1"/>
  <c r="P101" i="6" s="1"/>
  <c r="Q101" i="6" s="1"/>
  <c r="R101" i="6" s="1"/>
  <c r="S101" i="6" s="1"/>
  <c r="BT100" i="6"/>
  <c r="BR100" i="6"/>
  <c r="H100" i="6"/>
  <c r="K100" i="6" s="1"/>
  <c r="L100" i="6" s="1"/>
  <c r="M100" i="6" s="1"/>
  <c r="N100" i="6" s="1"/>
  <c r="O100" i="6" s="1"/>
  <c r="P100" i="6" s="1"/>
  <c r="Q100" i="6" s="1"/>
  <c r="R100" i="6" s="1"/>
  <c r="S100" i="6" s="1"/>
  <c r="F100" i="6"/>
  <c r="BT99" i="6"/>
  <c r="BR99" i="6"/>
  <c r="H99" i="6"/>
  <c r="K99" i="6" s="1"/>
  <c r="L99" i="6" s="1"/>
  <c r="M99" i="6" s="1"/>
  <c r="N99" i="6" s="1"/>
  <c r="O99" i="6" s="1"/>
  <c r="P99" i="6" s="1"/>
  <c r="Q99" i="6" s="1"/>
  <c r="R99" i="6" s="1"/>
  <c r="S99" i="6" s="1"/>
  <c r="BT98" i="6"/>
  <c r="BR98" i="6"/>
  <c r="H98" i="6"/>
  <c r="K98" i="6" s="1"/>
  <c r="L98" i="6" s="1"/>
  <c r="M98" i="6" s="1"/>
  <c r="N98" i="6" s="1"/>
  <c r="O98" i="6" s="1"/>
  <c r="P98" i="6" s="1"/>
  <c r="Q98" i="6" s="1"/>
  <c r="R98" i="6" s="1"/>
  <c r="S98" i="6" s="1"/>
  <c r="BT97" i="6"/>
  <c r="BR97" i="6"/>
  <c r="F97" i="6" s="1"/>
  <c r="H97" i="6"/>
  <c r="N97" i="6" s="1"/>
  <c r="O97" i="6" s="1"/>
  <c r="P97" i="6" s="1"/>
  <c r="Q97" i="6" s="1"/>
  <c r="R97" i="6" s="1"/>
  <c r="S97" i="6" s="1"/>
  <c r="BT96" i="6"/>
  <c r="BR96" i="6"/>
  <c r="H96" i="6"/>
  <c r="K96" i="6" s="1"/>
  <c r="L96" i="6" s="1"/>
  <c r="M96" i="6" s="1"/>
  <c r="N96" i="6" s="1"/>
  <c r="O96" i="6" s="1"/>
  <c r="P96" i="6" s="1"/>
  <c r="Q96" i="6" s="1"/>
  <c r="R96" i="6" s="1"/>
  <c r="S96" i="6" s="1"/>
  <c r="BT95" i="6"/>
  <c r="BR95" i="6"/>
  <c r="H95" i="6"/>
  <c r="K95" i="6" s="1"/>
  <c r="L95" i="6" s="1"/>
  <c r="M95" i="6" s="1"/>
  <c r="N95" i="6" s="1"/>
  <c r="O95" i="6" s="1"/>
  <c r="P95" i="6" s="1"/>
  <c r="Q95" i="6" s="1"/>
  <c r="R95" i="6" s="1"/>
  <c r="S95" i="6" s="1"/>
  <c r="BT94" i="6"/>
  <c r="BR94" i="6"/>
  <c r="F94" i="6" s="1"/>
  <c r="H94" i="6"/>
  <c r="BP91" i="6"/>
  <c r="BO91" i="6"/>
  <c r="BN91" i="6"/>
  <c r="BM91" i="6"/>
  <c r="BL91" i="6"/>
  <c r="BK91" i="6"/>
  <c r="BJ91" i="6"/>
  <c r="BI91" i="6"/>
  <c r="BH91" i="6"/>
  <c r="BG91" i="6"/>
  <c r="BF91" i="6"/>
  <c r="BE91" i="6"/>
  <c r="BD91" i="6"/>
  <c r="BC91" i="6"/>
  <c r="BB91" i="6"/>
  <c r="BA91" i="6"/>
  <c r="AZ91" i="6"/>
  <c r="AY91" i="6"/>
  <c r="AX91" i="6"/>
  <c r="AW91" i="6"/>
  <c r="AV91" i="6"/>
  <c r="AU91" i="6"/>
  <c r="AT91" i="6"/>
  <c r="AS91" i="6"/>
  <c r="AR91" i="6"/>
  <c r="AQ91" i="6"/>
  <c r="AP91" i="6"/>
  <c r="AO91" i="6"/>
  <c r="AN91" i="6"/>
  <c r="AM91" i="6"/>
  <c r="AL91" i="6"/>
  <c r="AK91" i="6"/>
  <c r="AJ91" i="6"/>
  <c r="AI91" i="6"/>
  <c r="AH91" i="6"/>
  <c r="AG91" i="6"/>
  <c r="AF91" i="6"/>
  <c r="AE91" i="6"/>
  <c r="AD91" i="6"/>
  <c r="AC91" i="6"/>
  <c r="AB91" i="6"/>
  <c r="AA91" i="6"/>
  <c r="Z91" i="6"/>
  <c r="K91" i="6"/>
  <c r="BT90" i="6"/>
  <c r="BR90" i="6"/>
  <c r="F90" i="6" s="1"/>
  <c r="H90" i="6"/>
  <c r="BT89" i="6"/>
  <c r="BR89" i="6"/>
  <c r="H89" i="6"/>
  <c r="N89" i="6" s="1"/>
  <c r="O89" i="6" s="1"/>
  <c r="P89" i="6" s="1"/>
  <c r="Q89" i="6" s="1"/>
  <c r="R89" i="6" s="1"/>
  <c r="S89" i="6" s="1"/>
  <c r="F89" i="6"/>
  <c r="BT88" i="6"/>
  <c r="BR88" i="6"/>
  <c r="H88" i="6"/>
  <c r="F88" i="6"/>
  <c r="BT87" i="6"/>
  <c r="BR87" i="6"/>
  <c r="F87" i="6" s="1"/>
  <c r="H87" i="6"/>
  <c r="BT86" i="6"/>
  <c r="BR86" i="6"/>
  <c r="H86" i="6"/>
  <c r="O86" i="6" s="1"/>
  <c r="P86" i="6" s="1"/>
  <c r="Q86" i="6" s="1"/>
  <c r="R86" i="6" s="1"/>
  <c r="S86" i="6" s="1"/>
  <c r="F86" i="6"/>
  <c r="BT85" i="6"/>
  <c r="BQ85" i="6"/>
  <c r="H85" i="6"/>
  <c r="L85" i="6" s="1"/>
  <c r="M85" i="6" s="1"/>
  <c r="N85" i="6" s="1"/>
  <c r="O85" i="6" s="1"/>
  <c r="P85" i="6" s="1"/>
  <c r="Q85" i="6" s="1"/>
  <c r="R85" i="6" s="1"/>
  <c r="S85" i="6" s="1"/>
  <c r="BP77" i="6"/>
  <c r="H77" i="6"/>
  <c r="K77" i="6" s="1"/>
  <c r="L77" i="6" s="1"/>
  <c r="M77" i="6" s="1"/>
  <c r="N77" i="6" s="1"/>
  <c r="O77" i="6" s="1"/>
  <c r="P77" i="6" s="1"/>
  <c r="Q77" i="6" s="1"/>
  <c r="R77" i="6" s="1"/>
  <c r="S77" i="6" s="1"/>
  <c r="F77" i="6"/>
  <c r="BP76" i="6"/>
  <c r="H76" i="6"/>
  <c r="K76" i="6" s="1"/>
  <c r="L76" i="6" s="1"/>
  <c r="M76" i="6" s="1"/>
  <c r="N76" i="6" s="1"/>
  <c r="O76" i="6" s="1"/>
  <c r="P76" i="6" s="1"/>
  <c r="Q76" i="6" s="1"/>
  <c r="R76" i="6" s="1"/>
  <c r="S76" i="6" s="1"/>
  <c r="F76" i="6"/>
  <c r="BP75" i="6"/>
  <c r="H75" i="6"/>
  <c r="K75" i="6" s="1"/>
  <c r="L75" i="6" s="1"/>
  <c r="M75" i="6" s="1"/>
  <c r="N75" i="6" s="1"/>
  <c r="O75" i="6" s="1"/>
  <c r="P75" i="6" s="1"/>
  <c r="Q75" i="6" s="1"/>
  <c r="R75" i="6" s="1"/>
  <c r="S75" i="6" s="1"/>
  <c r="F75" i="6"/>
  <c r="BP74" i="6"/>
  <c r="H74" i="6"/>
  <c r="K74" i="6" s="1"/>
  <c r="L74" i="6" s="1"/>
  <c r="M74" i="6" s="1"/>
  <c r="N74" i="6" s="1"/>
  <c r="O74" i="6" s="1"/>
  <c r="P74" i="6" s="1"/>
  <c r="Q74" i="6" s="1"/>
  <c r="R74" i="6" s="1"/>
  <c r="S74" i="6" s="1"/>
  <c r="F74" i="6"/>
  <c r="BP73" i="6"/>
  <c r="H73" i="6"/>
  <c r="K73" i="6" s="1"/>
  <c r="L73" i="6" s="1"/>
  <c r="M73" i="6" s="1"/>
  <c r="N73" i="6" s="1"/>
  <c r="O73" i="6" s="1"/>
  <c r="P73" i="6" s="1"/>
  <c r="Q73" i="6" s="1"/>
  <c r="R73" i="6" s="1"/>
  <c r="S73" i="6" s="1"/>
  <c r="F73" i="6"/>
  <c r="BP72" i="6"/>
  <c r="H72" i="6"/>
  <c r="K72" i="6" s="1"/>
  <c r="L72" i="6" s="1"/>
  <c r="M72" i="6" s="1"/>
  <c r="N72" i="6" s="1"/>
  <c r="O72" i="6" s="1"/>
  <c r="P72" i="6" s="1"/>
  <c r="Q72" i="6" s="1"/>
  <c r="R72" i="6" s="1"/>
  <c r="S72" i="6" s="1"/>
  <c r="F72" i="6"/>
  <c r="BP71" i="6"/>
  <c r="H71" i="6"/>
  <c r="K71" i="6" s="1"/>
  <c r="L71" i="6" s="1"/>
  <c r="M71" i="6" s="1"/>
  <c r="N71" i="6" s="1"/>
  <c r="O71" i="6" s="1"/>
  <c r="P71" i="6" s="1"/>
  <c r="Q71" i="6" s="1"/>
  <c r="R71" i="6" s="1"/>
  <c r="S71" i="6" s="1"/>
  <c r="F71" i="6"/>
  <c r="BP70" i="6"/>
  <c r="H70" i="6"/>
  <c r="K70" i="6" s="1"/>
  <c r="L70" i="6" s="1"/>
  <c r="M70" i="6" s="1"/>
  <c r="N70" i="6" s="1"/>
  <c r="O70" i="6" s="1"/>
  <c r="P70" i="6" s="1"/>
  <c r="Q70" i="6" s="1"/>
  <c r="R70" i="6" s="1"/>
  <c r="S70" i="6" s="1"/>
  <c r="F70" i="6"/>
  <c r="BP69" i="6"/>
  <c r="H69" i="6"/>
  <c r="K69" i="6" s="1"/>
  <c r="L69" i="6" s="1"/>
  <c r="M69" i="6" s="1"/>
  <c r="N69" i="6" s="1"/>
  <c r="O69" i="6" s="1"/>
  <c r="P69" i="6" s="1"/>
  <c r="Q69" i="6" s="1"/>
  <c r="R69" i="6" s="1"/>
  <c r="S69" i="6" s="1"/>
  <c r="F69" i="6"/>
  <c r="BP68" i="6"/>
  <c r="H68" i="6"/>
  <c r="K68" i="6" s="1"/>
  <c r="L68" i="6" s="1"/>
  <c r="M68" i="6" s="1"/>
  <c r="N68" i="6" s="1"/>
  <c r="O68" i="6" s="1"/>
  <c r="P68" i="6" s="1"/>
  <c r="Q68" i="6" s="1"/>
  <c r="R68" i="6" s="1"/>
  <c r="S68" i="6" s="1"/>
  <c r="F68" i="6"/>
  <c r="BP67" i="6"/>
  <c r="H67" i="6"/>
  <c r="K67" i="6" s="1"/>
  <c r="L67" i="6" s="1"/>
  <c r="M67" i="6" s="1"/>
  <c r="N67" i="6" s="1"/>
  <c r="O67" i="6" s="1"/>
  <c r="P67" i="6" s="1"/>
  <c r="Q67" i="6" s="1"/>
  <c r="R67" i="6" s="1"/>
  <c r="S67" i="6" s="1"/>
  <c r="F67" i="6"/>
  <c r="BP66" i="6"/>
  <c r="H66" i="6"/>
  <c r="K66" i="6" s="1"/>
  <c r="L66" i="6" s="1"/>
  <c r="M66" i="6" s="1"/>
  <c r="N66" i="6" s="1"/>
  <c r="O66" i="6" s="1"/>
  <c r="P66" i="6" s="1"/>
  <c r="Q66" i="6" s="1"/>
  <c r="R66" i="6" s="1"/>
  <c r="S66" i="6" s="1"/>
  <c r="F66" i="6"/>
  <c r="BO63" i="6"/>
  <c r="BN63" i="6"/>
  <c r="BM63" i="6"/>
  <c r="BL63" i="6"/>
  <c r="BK63" i="6"/>
  <c r="BJ63" i="6"/>
  <c r="BI63" i="6"/>
  <c r="BH63" i="6"/>
  <c r="BG63" i="6"/>
  <c r="BF63" i="6"/>
  <c r="BE63" i="6"/>
  <c r="BD63" i="6"/>
  <c r="BC63" i="6"/>
  <c r="BB63" i="6"/>
  <c r="BA63" i="6"/>
  <c r="AZ63" i="6"/>
  <c r="AY63" i="6"/>
  <c r="AX63" i="6"/>
  <c r="AW63" i="6"/>
  <c r="AV63" i="6"/>
  <c r="AU63" i="6"/>
  <c r="AT63" i="6"/>
  <c r="AS63" i="6"/>
  <c r="AR63" i="6"/>
  <c r="AQ63" i="6"/>
  <c r="AP63" i="6"/>
  <c r="AO63" i="6"/>
  <c r="AN63" i="6"/>
  <c r="AM63" i="6"/>
  <c r="AL63" i="6"/>
  <c r="AK63" i="6"/>
  <c r="AJ63" i="6"/>
  <c r="AI63" i="6"/>
  <c r="AH63" i="6"/>
  <c r="AG63" i="6"/>
  <c r="AF63" i="6"/>
  <c r="AE63" i="6"/>
  <c r="AD63" i="6"/>
  <c r="AC63" i="6"/>
  <c r="AB63" i="6"/>
  <c r="AA63" i="6"/>
  <c r="Z63" i="6"/>
  <c r="H62" i="6"/>
  <c r="K62" i="6" s="1"/>
  <c r="L62" i="6" s="1"/>
  <c r="M62" i="6" s="1"/>
  <c r="N62" i="6" s="1"/>
  <c r="O62" i="6" s="1"/>
  <c r="P62" i="6" s="1"/>
  <c r="Q62" i="6" s="1"/>
  <c r="R62" i="6" s="1"/>
  <c r="S62" i="6" s="1"/>
  <c r="F62" i="6"/>
  <c r="H61" i="6"/>
  <c r="O61" i="6" s="1"/>
  <c r="P61" i="6" s="1"/>
  <c r="Q61" i="6" s="1"/>
  <c r="R61" i="6" s="1"/>
  <c r="S61" i="6" s="1"/>
  <c r="F61" i="6"/>
  <c r="H60" i="6"/>
  <c r="K60" i="6" s="1"/>
  <c r="L60" i="6" s="1"/>
  <c r="M60" i="6" s="1"/>
  <c r="N60" i="6" s="1"/>
  <c r="O60" i="6" s="1"/>
  <c r="P60" i="6" s="1"/>
  <c r="Q60" i="6" s="1"/>
  <c r="R60" i="6" s="1"/>
  <c r="S60" i="6" s="1"/>
  <c r="F60" i="6"/>
  <c r="H59" i="6"/>
  <c r="K59" i="6" s="1"/>
  <c r="L59" i="6" s="1"/>
  <c r="M59" i="6" s="1"/>
  <c r="N59" i="6" s="1"/>
  <c r="O59" i="6" s="1"/>
  <c r="P59" i="6" s="1"/>
  <c r="Q59" i="6" s="1"/>
  <c r="R59" i="6" s="1"/>
  <c r="S59" i="6" s="1"/>
  <c r="F59" i="6"/>
  <c r="H58" i="6"/>
  <c r="O58" i="6" s="1"/>
  <c r="P58" i="6" s="1"/>
  <c r="Q58" i="6" s="1"/>
  <c r="R58" i="6" s="1"/>
  <c r="S58" i="6" s="1"/>
  <c r="F58" i="6"/>
  <c r="H57" i="6"/>
  <c r="K57" i="6" s="1"/>
  <c r="L57" i="6" s="1"/>
  <c r="M57" i="6" s="1"/>
  <c r="N57" i="6" s="1"/>
  <c r="O57" i="6" s="1"/>
  <c r="P57" i="6" s="1"/>
  <c r="Q57" i="6" s="1"/>
  <c r="R57" i="6" s="1"/>
  <c r="S57" i="6" s="1"/>
  <c r="F57" i="6"/>
  <c r="BT56" i="6"/>
  <c r="H56" i="6"/>
  <c r="K56" i="6" s="1"/>
  <c r="L56" i="6" s="1"/>
  <c r="M56" i="6" s="1"/>
  <c r="N56" i="6" s="1"/>
  <c r="O56" i="6" s="1"/>
  <c r="P56" i="6" s="1"/>
  <c r="Q56" i="6" s="1"/>
  <c r="R56" i="6" s="1"/>
  <c r="S56" i="6" s="1"/>
  <c r="F56" i="6"/>
  <c r="BT55" i="6"/>
  <c r="BR55" i="6"/>
  <c r="F55" i="6" s="1"/>
  <c r="H55" i="6"/>
  <c r="K55" i="6" s="1"/>
  <c r="L55" i="6" s="1"/>
  <c r="BT54" i="6"/>
  <c r="BR54" i="6"/>
  <c r="F54" i="6" s="1"/>
  <c r="H54" i="6"/>
  <c r="K54" i="6" s="1"/>
  <c r="L54" i="6" s="1"/>
  <c r="M54" i="6" s="1"/>
  <c r="N54" i="6" s="1"/>
  <c r="O54" i="6" s="1"/>
  <c r="P54" i="6" s="1"/>
  <c r="Q54" i="6" s="1"/>
  <c r="R54" i="6" s="1"/>
  <c r="S54" i="6" s="1"/>
  <c r="BT53" i="6"/>
  <c r="BR53" i="6"/>
  <c r="F53" i="6" s="1"/>
  <c r="H53" i="6"/>
  <c r="K53" i="6" s="1"/>
  <c r="L53" i="6" s="1"/>
  <c r="M53" i="6" s="1"/>
  <c r="N53" i="6" s="1"/>
  <c r="O53" i="6" s="1"/>
  <c r="P53" i="6" s="1"/>
  <c r="Q53" i="6" s="1"/>
  <c r="R53" i="6" s="1"/>
  <c r="S53" i="6" s="1"/>
  <c r="BT52" i="6"/>
  <c r="BR52" i="6"/>
  <c r="F52" i="6" s="1"/>
  <c r="H52" i="6"/>
  <c r="K52" i="6" s="1"/>
  <c r="L52" i="6" s="1"/>
  <c r="M52" i="6" s="1"/>
  <c r="N52" i="6" s="1"/>
  <c r="O52" i="6" s="1"/>
  <c r="P52" i="6" s="1"/>
  <c r="Q52" i="6" s="1"/>
  <c r="R52" i="6" s="1"/>
  <c r="S52" i="6" s="1"/>
  <c r="BT51" i="6"/>
  <c r="BR51" i="6"/>
  <c r="H51" i="6"/>
  <c r="O51" i="6" s="1"/>
  <c r="P51" i="6" s="1"/>
  <c r="Q51" i="6" s="1"/>
  <c r="R51" i="6" s="1"/>
  <c r="S51" i="6" s="1"/>
  <c r="F51" i="6"/>
  <c r="BT50" i="6"/>
  <c r="BR50" i="6"/>
  <c r="F50" i="6" s="1"/>
  <c r="H50" i="6"/>
  <c r="K50" i="6" s="1"/>
  <c r="L50" i="6" s="1"/>
  <c r="M50" i="6" s="1"/>
  <c r="N50" i="6" s="1"/>
  <c r="O50" i="6" s="1"/>
  <c r="P50" i="6" s="1"/>
  <c r="Q50" i="6" s="1"/>
  <c r="R50" i="6" s="1"/>
  <c r="S50" i="6" s="1"/>
  <c r="BT49" i="6"/>
  <c r="BR49" i="6"/>
  <c r="F49" i="6" s="1"/>
  <c r="H49" i="6"/>
  <c r="K49" i="6" s="1"/>
  <c r="L49" i="6" s="1"/>
  <c r="M49" i="6" s="1"/>
  <c r="N49" i="6" s="1"/>
  <c r="O49" i="6" s="1"/>
  <c r="P49" i="6" s="1"/>
  <c r="Q49" i="6" s="1"/>
  <c r="R49" i="6" s="1"/>
  <c r="S49" i="6" s="1"/>
  <c r="BT48" i="6"/>
  <c r="BR48" i="6"/>
  <c r="F48" i="6" s="1"/>
  <c r="H48" i="6"/>
  <c r="BT47" i="6"/>
  <c r="H47" i="6"/>
  <c r="K47" i="6" s="1"/>
  <c r="L47" i="6" s="1"/>
  <c r="M47" i="6" s="1"/>
  <c r="N47" i="6" s="1"/>
  <c r="O47" i="6" s="1"/>
  <c r="P47" i="6" s="1"/>
  <c r="Q47" i="6" s="1"/>
  <c r="R47" i="6" s="1"/>
  <c r="S47" i="6" s="1"/>
  <c r="F47" i="6"/>
  <c r="BO42" i="6"/>
  <c r="BN42" i="6"/>
  <c r="BM42" i="6"/>
  <c r="BL42" i="6"/>
  <c r="BK42" i="6"/>
  <c r="BJ42" i="6"/>
  <c r="BI42" i="6"/>
  <c r="BH42" i="6"/>
  <c r="BG42" i="6"/>
  <c r="BF42" i="6"/>
  <c r="BE42" i="6"/>
  <c r="BD42" i="6"/>
  <c r="BC42" i="6"/>
  <c r="BB42" i="6"/>
  <c r="BA42" i="6"/>
  <c r="AZ42" i="6"/>
  <c r="AY42" i="6"/>
  <c r="AX42" i="6"/>
  <c r="AW42" i="6"/>
  <c r="AV42" i="6"/>
  <c r="AU42" i="6"/>
  <c r="AT42" i="6"/>
  <c r="AS42" i="6"/>
  <c r="AR42" i="6"/>
  <c r="AQ42" i="6"/>
  <c r="AP42" i="6"/>
  <c r="AO42" i="6"/>
  <c r="AN42" i="6"/>
  <c r="AM42" i="6"/>
  <c r="AL42" i="6"/>
  <c r="AK42" i="6"/>
  <c r="AJ42" i="6"/>
  <c r="AI42" i="6"/>
  <c r="AH42" i="6"/>
  <c r="AG42" i="6"/>
  <c r="AF42" i="6"/>
  <c r="AE42" i="6"/>
  <c r="AD42" i="6"/>
  <c r="AC42" i="6"/>
  <c r="AB42" i="6"/>
  <c r="AA42" i="6"/>
  <c r="Z42" i="6"/>
  <c r="BT41" i="6"/>
  <c r="H41" i="6"/>
  <c r="K41" i="6" s="1"/>
  <c r="L41" i="6" s="1"/>
  <c r="M41" i="6" s="1"/>
  <c r="N41" i="6" s="1"/>
  <c r="O41" i="6" s="1"/>
  <c r="P41" i="6" s="1"/>
  <c r="Q41" i="6" s="1"/>
  <c r="R41" i="6" s="1"/>
  <c r="S41" i="6" s="1"/>
  <c r="F41" i="6"/>
  <c r="BT40" i="6"/>
  <c r="H40" i="6"/>
  <c r="K40" i="6" s="1"/>
  <c r="L40" i="6" s="1"/>
  <c r="M40" i="6" s="1"/>
  <c r="N40" i="6" s="1"/>
  <c r="O40" i="6" s="1"/>
  <c r="P40" i="6" s="1"/>
  <c r="Q40" i="6" s="1"/>
  <c r="R40" i="6" s="1"/>
  <c r="S40" i="6" s="1"/>
  <c r="F40" i="6"/>
  <c r="BT39" i="6"/>
  <c r="H39" i="6"/>
  <c r="K39" i="6" s="1"/>
  <c r="L39" i="6" s="1"/>
  <c r="M39" i="6" s="1"/>
  <c r="N39" i="6" s="1"/>
  <c r="O39" i="6" s="1"/>
  <c r="P39" i="6" s="1"/>
  <c r="Q39" i="6" s="1"/>
  <c r="R39" i="6" s="1"/>
  <c r="S39" i="6" s="1"/>
  <c r="F39" i="6"/>
  <c r="BT38" i="6"/>
  <c r="H38" i="6"/>
  <c r="K38" i="6" s="1"/>
  <c r="L38" i="6" s="1"/>
  <c r="M38" i="6" s="1"/>
  <c r="N38" i="6" s="1"/>
  <c r="O38" i="6" s="1"/>
  <c r="P38" i="6" s="1"/>
  <c r="Q38" i="6" s="1"/>
  <c r="R38" i="6" s="1"/>
  <c r="S38" i="6" s="1"/>
  <c r="F38" i="6"/>
  <c r="BT37" i="6"/>
  <c r="H37" i="6"/>
  <c r="K37" i="6" s="1"/>
  <c r="L37" i="6" s="1"/>
  <c r="M37" i="6" s="1"/>
  <c r="N37" i="6" s="1"/>
  <c r="O37" i="6" s="1"/>
  <c r="P37" i="6" s="1"/>
  <c r="Q37" i="6" s="1"/>
  <c r="R37" i="6" s="1"/>
  <c r="S37" i="6" s="1"/>
  <c r="F37" i="6"/>
  <c r="BT36" i="6"/>
  <c r="BR36" i="6"/>
  <c r="F36" i="6" s="1"/>
  <c r="H36" i="6"/>
  <c r="K36" i="6" s="1"/>
  <c r="L36" i="6" s="1"/>
  <c r="M36" i="6" s="1"/>
  <c r="N36" i="6" s="1"/>
  <c r="O36" i="6" s="1"/>
  <c r="P36" i="6" s="1"/>
  <c r="Q36" i="6" s="1"/>
  <c r="R36" i="6" s="1"/>
  <c r="S36" i="6" s="1"/>
  <c r="BT35" i="6"/>
  <c r="H35" i="6"/>
  <c r="K35" i="6" s="1"/>
  <c r="L35" i="6" s="1"/>
  <c r="M35" i="6" s="1"/>
  <c r="N35" i="6" s="1"/>
  <c r="O35" i="6" s="1"/>
  <c r="P35" i="6" s="1"/>
  <c r="Q35" i="6" s="1"/>
  <c r="R35" i="6" s="1"/>
  <c r="S35" i="6" s="1"/>
  <c r="F35" i="6"/>
  <c r="BT34" i="6"/>
  <c r="BR34" i="6"/>
  <c r="H34" i="6"/>
  <c r="K34" i="6" s="1"/>
  <c r="L34" i="6" s="1"/>
  <c r="M34" i="6" s="1"/>
  <c r="N34" i="6" s="1"/>
  <c r="O34" i="6" s="1"/>
  <c r="P34" i="6" s="1"/>
  <c r="Q34" i="6" s="1"/>
  <c r="R34" i="6" s="1"/>
  <c r="S34" i="6" s="1"/>
  <c r="F34" i="6"/>
  <c r="BT33" i="6"/>
  <c r="H33" i="6"/>
  <c r="K33" i="6" s="1"/>
  <c r="L33" i="6" s="1"/>
  <c r="M33" i="6" s="1"/>
  <c r="N33" i="6" s="1"/>
  <c r="O33" i="6" s="1"/>
  <c r="P33" i="6" s="1"/>
  <c r="Q33" i="6" s="1"/>
  <c r="R33" i="6" s="1"/>
  <c r="S33" i="6" s="1"/>
  <c r="F33" i="6"/>
  <c r="BT32" i="6"/>
  <c r="H32" i="6"/>
  <c r="K32" i="6" s="1"/>
  <c r="L32" i="6" s="1"/>
  <c r="M32" i="6" s="1"/>
  <c r="N32" i="6" s="1"/>
  <c r="O32" i="6" s="1"/>
  <c r="P32" i="6" s="1"/>
  <c r="Q32" i="6" s="1"/>
  <c r="R32" i="6" s="1"/>
  <c r="S32" i="6" s="1"/>
  <c r="F32" i="6"/>
  <c r="BT31" i="6"/>
  <c r="H31" i="6"/>
  <c r="K31" i="6" s="1"/>
  <c r="L31" i="6" s="1"/>
  <c r="M31" i="6" s="1"/>
  <c r="N31" i="6" s="1"/>
  <c r="O31" i="6" s="1"/>
  <c r="P31" i="6" s="1"/>
  <c r="Q31" i="6" s="1"/>
  <c r="R31" i="6" s="1"/>
  <c r="S31" i="6" s="1"/>
  <c r="F31" i="6"/>
  <c r="BT30" i="6"/>
  <c r="BR30" i="6"/>
  <c r="F30" i="6" s="1"/>
  <c r="O30" i="6"/>
  <c r="P30" i="6" s="1"/>
  <c r="Q30" i="6" s="1"/>
  <c r="R30" i="6" s="1"/>
  <c r="S30" i="6" s="1"/>
  <c r="L30" i="6"/>
  <c r="H30" i="6"/>
  <c r="K30" i="6" s="1"/>
  <c r="BT29" i="6"/>
  <c r="BR29" i="6"/>
  <c r="F29" i="6" s="1"/>
  <c r="H29" i="6"/>
  <c r="O29" i="6" s="1"/>
  <c r="P29" i="6" s="1"/>
  <c r="Q29" i="6" s="1"/>
  <c r="R29" i="6" s="1"/>
  <c r="S29" i="6" s="1"/>
  <c r="BT28" i="6"/>
  <c r="BR28" i="6"/>
  <c r="H28" i="6"/>
  <c r="O28" i="6" s="1"/>
  <c r="P28" i="6" s="1"/>
  <c r="Q28" i="6" s="1"/>
  <c r="R28" i="6" s="1"/>
  <c r="S28" i="6" s="1"/>
  <c r="F28" i="6"/>
  <c r="S21" i="6"/>
  <c r="R21" i="6"/>
  <c r="Q21" i="6"/>
  <c r="P21" i="6"/>
  <c r="O21" i="6"/>
  <c r="N21" i="6"/>
  <c r="M21" i="6"/>
  <c r="L21" i="6"/>
  <c r="S20" i="6"/>
  <c r="R20" i="6"/>
  <c r="Q20" i="6"/>
  <c r="P20" i="6"/>
  <c r="O20" i="6"/>
  <c r="N20" i="6"/>
  <c r="M20" i="6"/>
  <c r="L20" i="6"/>
  <c r="S19" i="6"/>
  <c r="R19" i="6"/>
  <c r="Q19" i="6"/>
  <c r="P19" i="6"/>
  <c r="O19" i="6"/>
  <c r="N19" i="6"/>
  <c r="M19" i="6"/>
  <c r="L19" i="6"/>
  <c r="S18" i="6"/>
  <c r="R18" i="6"/>
  <c r="Q18" i="6"/>
  <c r="P18" i="6"/>
  <c r="O18" i="6"/>
  <c r="N18" i="6"/>
  <c r="M18" i="6"/>
  <c r="L18" i="6"/>
  <c r="S17" i="6"/>
  <c r="R17" i="6"/>
  <c r="Q17" i="6"/>
  <c r="P17" i="6"/>
  <c r="O17" i="6"/>
  <c r="N17" i="6"/>
  <c r="M17" i="6"/>
  <c r="L17" i="6"/>
  <c r="S16" i="6"/>
  <c r="S25" i="6" s="1"/>
  <c r="R16" i="6"/>
  <c r="R25" i="6" s="1"/>
  <c r="Q16" i="6"/>
  <c r="Q25" i="6" s="1"/>
  <c r="P16" i="6"/>
  <c r="P25" i="6" s="1"/>
  <c r="O16" i="6"/>
  <c r="O25" i="6" s="1"/>
  <c r="N16" i="6"/>
  <c r="M16" i="6"/>
  <c r="L16" i="6"/>
  <c r="I15" i="6"/>
  <c r="H15" i="6"/>
  <c r="G15" i="6"/>
  <c r="F15" i="6"/>
  <c r="E15" i="6"/>
  <c r="D15" i="6"/>
  <c r="C15" i="6"/>
  <c r="B15" i="6"/>
  <c r="I14" i="6"/>
  <c r="H14" i="6"/>
  <c r="G14" i="6"/>
  <c r="F14" i="6"/>
  <c r="E14" i="6"/>
  <c r="D14" i="6"/>
  <c r="C14" i="6"/>
  <c r="B14" i="6"/>
  <c r="I13" i="6"/>
  <c r="H13" i="6"/>
  <c r="G13" i="6"/>
  <c r="F13" i="6"/>
  <c r="E13" i="6"/>
  <c r="D13" i="6"/>
  <c r="C13" i="6"/>
  <c r="B13" i="6"/>
  <c r="I12" i="6"/>
  <c r="H12" i="6"/>
  <c r="G12" i="6"/>
  <c r="F12" i="6"/>
  <c r="E12" i="6"/>
  <c r="D12" i="6"/>
  <c r="C12" i="6"/>
  <c r="B12" i="6"/>
  <c r="I11" i="6"/>
  <c r="H11" i="6"/>
  <c r="G11" i="6"/>
  <c r="F11" i="6"/>
  <c r="E11" i="6"/>
  <c r="D11" i="6"/>
  <c r="C11" i="6"/>
  <c r="B11" i="6"/>
  <c r="S9" i="6"/>
  <c r="R9" i="6"/>
  <c r="Q9" i="6"/>
  <c r="P9" i="6"/>
  <c r="N9" i="6"/>
  <c r="M9" i="6"/>
  <c r="L9" i="6"/>
  <c r="S8" i="6"/>
  <c r="R8" i="6"/>
  <c r="Q8" i="6"/>
  <c r="P8" i="6"/>
  <c r="O8" i="6"/>
  <c r="N8" i="6"/>
  <c r="M8" i="6"/>
  <c r="L8" i="6"/>
  <c r="S7" i="6"/>
  <c r="R7" i="6"/>
  <c r="Q7" i="6"/>
  <c r="P7" i="6"/>
  <c r="O7" i="6"/>
  <c r="N7" i="6"/>
  <c r="M7" i="6"/>
  <c r="L7" i="6"/>
  <c r="S6" i="6"/>
  <c r="R6" i="6"/>
  <c r="Q6" i="6"/>
  <c r="P6" i="6"/>
  <c r="O6" i="6"/>
  <c r="N6" i="6"/>
  <c r="M6" i="6"/>
  <c r="L6" i="6"/>
  <c r="I6" i="6"/>
  <c r="H6" i="6"/>
  <c r="G6" i="6"/>
  <c r="F6" i="6"/>
  <c r="E6" i="6"/>
  <c r="D6" i="6"/>
  <c r="C6" i="6"/>
  <c r="B6" i="6"/>
  <c r="S5" i="6"/>
  <c r="R5" i="6"/>
  <c r="Q5" i="6"/>
  <c r="P5" i="6"/>
  <c r="O5" i="6"/>
  <c r="N5" i="6"/>
  <c r="M5" i="6"/>
  <c r="L5" i="6"/>
  <c r="I5" i="6"/>
  <c r="H5" i="6"/>
  <c r="G5" i="6"/>
  <c r="F5" i="6"/>
  <c r="E5" i="6"/>
  <c r="D5" i="6"/>
  <c r="C5" i="6"/>
  <c r="B5" i="6"/>
  <c r="S4" i="6"/>
  <c r="R4" i="6"/>
  <c r="Q4" i="6"/>
  <c r="P4" i="6"/>
  <c r="O4" i="6"/>
  <c r="N4" i="6"/>
  <c r="M4" i="6"/>
  <c r="L4" i="6"/>
  <c r="I4" i="6"/>
  <c r="I7" i="6" s="1"/>
  <c r="G4" i="6"/>
  <c r="F4" i="6"/>
  <c r="E4" i="6"/>
  <c r="D4" i="6"/>
  <c r="C4" i="6"/>
  <c r="B4" i="6"/>
  <c r="S3" i="6"/>
  <c r="S12" i="6" s="1"/>
  <c r="R3" i="6"/>
  <c r="R12" i="6" s="1"/>
  <c r="Q3" i="6"/>
  <c r="P3" i="6"/>
  <c r="P12" i="6" s="1"/>
  <c r="O3" i="6"/>
  <c r="N3" i="6"/>
  <c r="M3" i="6"/>
  <c r="L3" i="6"/>
  <c r="L12" i="6" s="1"/>
  <c r="H3" i="6"/>
  <c r="H7" i="6" s="1"/>
  <c r="G3" i="6"/>
  <c r="F3" i="6"/>
  <c r="E3" i="6"/>
  <c r="D3" i="6"/>
  <c r="C3" i="6"/>
  <c r="B3" i="6"/>
  <c r="B7" i="6" s="1"/>
  <c r="AF40" i="12"/>
  <c r="AE40" i="12"/>
  <c r="AF39" i="12"/>
  <c r="AE39" i="12"/>
  <c r="AF38" i="12"/>
  <c r="AE38" i="12"/>
  <c r="AF37" i="12"/>
  <c r="AE37" i="12"/>
  <c r="AF36" i="12"/>
  <c r="AE36" i="12"/>
  <c r="AF35" i="12"/>
  <c r="AE35" i="12"/>
  <c r="AF34" i="12"/>
  <c r="AE34" i="12"/>
  <c r="AF33" i="12"/>
  <c r="AE33" i="12"/>
  <c r="AF32" i="12"/>
  <c r="AE32" i="12"/>
  <c r="AF31" i="12"/>
  <c r="AE31" i="12"/>
  <c r="AF30" i="12"/>
  <c r="AE30" i="12"/>
  <c r="AF29" i="12"/>
  <c r="AE29" i="12"/>
  <c r="AF28" i="12"/>
  <c r="AE28" i="12"/>
  <c r="AF27" i="12"/>
  <c r="AE27" i="12"/>
  <c r="AF26" i="12"/>
  <c r="AE26" i="12"/>
  <c r="AF25" i="12"/>
  <c r="AE25" i="12"/>
  <c r="AF24" i="12"/>
  <c r="AE24" i="12"/>
  <c r="AF23" i="12"/>
  <c r="AE23" i="12"/>
  <c r="AF22" i="12"/>
  <c r="AE22" i="12"/>
  <c r="AF21" i="12"/>
  <c r="AE21" i="12"/>
  <c r="AF20" i="12"/>
  <c r="AE20" i="12"/>
  <c r="AF19" i="12"/>
  <c r="AE19" i="12"/>
  <c r="AF18" i="12"/>
  <c r="AE18" i="12"/>
  <c r="AF17" i="12"/>
  <c r="AE17" i="12"/>
  <c r="AF16" i="12"/>
  <c r="AE16" i="12"/>
  <c r="AF15" i="12"/>
  <c r="AE15" i="12"/>
  <c r="AF14" i="12"/>
  <c r="AE14" i="12"/>
  <c r="AF13" i="12"/>
  <c r="AE13" i="12"/>
  <c r="AF12" i="12"/>
  <c r="AE12" i="12"/>
  <c r="AF11" i="12"/>
  <c r="AF43" i="12" s="1"/>
  <c r="AE11" i="12"/>
  <c r="AE43" i="12" s="1"/>
  <c r="M25" i="6" l="1"/>
  <c r="G16" i="6"/>
  <c r="E16" i="6"/>
  <c r="D16" i="6"/>
  <c r="Q12" i="6"/>
  <c r="F7" i="6"/>
  <c r="BT42" i="6"/>
  <c r="L25" i="6"/>
  <c r="F16" i="6"/>
  <c r="B16" i="6"/>
  <c r="B18" i="6" s="1"/>
  <c r="G7" i="6"/>
  <c r="G18" i="6" s="1"/>
  <c r="H132" i="6"/>
  <c r="K132" i="6" s="1"/>
  <c r="L132" i="6" s="1"/>
  <c r="M132" i="6" s="1"/>
  <c r="N132" i="6" s="1"/>
  <c r="O132" i="6" s="1"/>
  <c r="P132" i="6" s="1"/>
  <c r="Q132" i="6" s="1"/>
  <c r="R132" i="6" s="1"/>
  <c r="S132" i="6" s="1"/>
  <c r="E133" i="6"/>
  <c r="H133" i="6" s="1"/>
  <c r="K133" i="6" s="1"/>
  <c r="L133" i="6" s="1"/>
  <c r="M133" i="6" s="1"/>
  <c r="N133" i="6" s="1"/>
  <c r="O133" i="6" s="1"/>
  <c r="P133" i="6" s="1"/>
  <c r="Q133" i="6" s="1"/>
  <c r="R133" i="6" s="1"/>
  <c r="S133" i="6" s="1"/>
  <c r="E130" i="6"/>
  <c r="H130" i="6" s="1"/>
  <c r="K130" i="6" s="1"/>
  <c r="L130" i="6" s="1"/>
  <c r="M130" i="6" s="1"/>
  <c r="N130" i="6" s="1"/>
  <c r="O130" i="6" s="1"/>
  <c r="P130" i="6" s="1"/>
  <c r="Q130" i="6" s="1"/>
  <c r="R130" i="6" s="1"/>
  <c r="S130" i="6" s="1"/>
  <c r="H129" i="6"/>
  <c r="K129" i="6" s="1"/>
  <c r="L129" i="6" s="1"/>
  <c r="M129" i="6" s="1"/>
  <c r="N129" i="6" s="1"/>
  <c r="O129" i="6" s="1"/>
  <c r="P129" i="6" s="1"/>
  <c r="Q129" i="6" s="1"/>
  <c r="R129" i="6" s="1"/>
  <c r="S129" i="6" s="1"/>
  <c r="H126" i="6"/>
  <c r="K126" i="6" s="1"/>
  <c r="L126" i="6" s="1"/>
  <c r="M126" i="6" s="1"/>
  <c r="N126" i="6" s="1"/>
  <c r="O126" i="6" s="1"/>
  <c r="P126" i="6" s="1"/>
  <c r="Q126" i="6" s="1"/>
  <c r="R126" i="6" s="1"/>
  <c r="S126" i="6" s="1"/>
  <c r="E127" i="6"/>
  <c r="H127" i="6" s="1"/>
  <c r="K127" i="6" s="1"/>
  <c r="L127" i="6" s="1"/>
  <c r="M127" i="6" s="1"/>
  <c r="N127" i="6" s="1"/>
  <c r="O127" i="6" s="1"/>
  <c r="P127" i="6" s="1"/>
  <c r="Q127" i="6" s="1"/>
  <c r="R127" i="6" s="1"/>
  <c r="S127" i="6" s="1"/>
  <c r="E117" i="6"/>
  <c r="H116" i="6"/>
  <c r="K116" i="6" s="1"/>
  <c r="L116" i="6" s="1"/>
  <c r="M116" i="6" s="1"/>
  <c r="N116" i="6" s="1"/>
  <c r="O116" i="6" s="1"/>
  <c r="P116" i="6" s="1"/>
  <c r="Q116" i="6" s="1"/>
  <c r="R116" i="6" s="1"/>
  <c r="S116" i="6" s="1"/>
  <c r="H110" i="6"/>
  <c r="K110" i="6" s="1"/>
  <c r="L110" i="6" s="1"/>
  <c r="M110" i="6" s="1"/>
  <c r="N110" i="6" s="1"/>
  <c r="O110" i="6" s="1"/>
  <c r="P110" i="6" s="1"/>
  <c r="Q110" i="6" s="1"/>
  <c r="R110" i="6" s="1"/>
  <c r="S110" i="6" s="1"/>
  <c r="E111" i="6"/>
  <c r="H111" i="6" s="1"/>
  <c r="K111" i="6" s="1"/>
  <c r="L111" i="6" s="1"/>
  <c r="M111" i="6" s="1"/>
  <c r="N111" i="6" s="1"/>
  <c r="O111" i="6" s="1"/>
  <c r="P111" i="6" s="1"/>
  <c r="Q111" i="6" s="1"/>
  <c r="R111" i="6" s="1"/>
  <c r="S111" i="6" s="1"/>
  <c r="K106" i="6"/>
  <c r="L106" i="6" s="1"/>
  <c r="O106" i="6"/>
  <c r="P106" i="6" s="1"/>
  <c r="Q106" i="6" s="1"/>
  <c r="R106" i="6" s="1"/>
  <c r="S106" i="6" s="1"/>
  <c r="O90" i="6"/>
  <c r="P90" i="6" s="1"/>
  <c r="Q90" i="6" s="1"/>
  <c r="R90" i="6" s="1"/>
  <c r="S90" i="6" s="1"/>
  <c r="K90" i="6"/>
  <c r="O87" i="6"/>
  <c r="P87" i="6" s="1"/>
  <c r="Q87" i="6" s="1"/>
  <c r="R87" i="6" s="1"/>
  <c r="S87" i="6" s="1"/>
  <c r="L87" i="6"/>
  <c r="BR85" i="6"/>
  <c r="F85" i="6" s="1"/>
  <c r="BQ91" i="6"/>
  <c r="K48" i="6"/>
  <c r="L45" i="6" s="1"/>
  <c r="M48" i="6"/>
  <c r="M12" i="6"/>
  <c r="I16" i="6"/>
  <c r="N12" i="6"/>
  <c r="I18" i="6"/>
  <c r="BT91" i="6"/>
  <c r="BS91" i="6"/>
  <c r="C7" i="6"/>
  <c r="C18" i="6" s="1"/>
  <c r="O12" i="6"/>
  <c r="K94" i="6"/>
  <c r="L94" i="6" s="1"/>
  <c r="O94" i="6"/>
  <c r="P94" i="6" s="1"/>
  <c r="Q94" i="6" s="1"/>
  <c r="R94" i="6" s="1"/>
  <c r="S94" i="6" s="1"/>
  <c r="D7" i="6"/>
  <c r="K29" i="6"/>
  <c r="L29" i="6" s="1"/>
  <c r="K51" i="6"/>
  <c r="L51" i="6" s="1"/>
  <c r="H113" i="6"/>
  <c r="K113" i="6" s="1"/>
  <c r="L113" i="6" s="1"/>
  <c r="M113" i="6" s="1"/>
  <c r="N113" i="6" s="1"/>
  <c r="O113" i="6" s="1"/>
  <c r="P113" i="6" s="1"/>
  <c r="Q113" i="6" s="1"/>
  <c r="R113" i="6" s="1"/>
  <c r="S113" i="6" s="1"/>
  <c r="E114" i="6"/>
  <c r="H114" i="6" s="1"/>
  <c r="K114" i="6" s="1"/>
  <c r="L114" i="6" s="1"/>
  <c r="M114" i="6" s="1"/>
  <c r="N114" i="6" s="1"/>
  <c r="O114" i="6" s="1"/>
  <c r="P114" i="6" s="1"/>
  <c r="Q114" i="6" s="1"/>
  <c r="R114" i="6" s="1"/>
  <c r="S114" i="6" s="1"/>
  <c r="H16" i="6"/>
  <c r="H18" i="6" s="1"/>
  <c r="BS63" i="6"/>
  <c r="H123" i="6"/>
  <c r="K123" i="6" s="1"/>
  <c r="L123" i="6" s="1"/>
  <c r="M123" i="6" s="1"/>
  <c r="N123" i="6" s="1"/>
  <c r="O123" i="6" s="1"/>
  <c r="P123" i="6" s="1"/>
  <c r="Q123" i="6" s="1"/>
  <c r="R123" i="6" s="1"/>
  <c r="S123" i="6" s="1"/>
  <c r="O109" i="6"/>
  <c r="P109" i="6" s="1"/>
  <c r="Q109" i="6" s="1"/>
  <c r="R109" i="6" s="1"/>
  <c r="S109" i="6" s="1"/>
  <c r="K109" i="6"/>
  <c r="E7" i="6"/>
  <c r="E18" i="6" s="1"/>
  <c r="K28" i="6"/>
  <c r="L28" i="6" s="1"/>
  <c r="BS42" i="6"/>
  <c r="BT63" i="6"/>
  <c r="L86" i="6"/>
  <c r="H117" i="6"/>
  <c r="K117" i="6" s="1"/>
  <c r="L117" i="6" s="1"/>
  <c r="M117" i="6" s="1"/>
  <c r="N117" i="6" s="1"/>
  <c r="O117" i="6" s="1"/>
  <c r="P117" i="6" s="1"/>
  <c r="Q117" i="6" s="1"/>
  <c r="R117" i="6" s="1"/>
  <c r="S117" i="6" s="1"/>
  <c r="E118" i="6"/>
  <c r="C16" i="6"/>
  <c r="N25" i="6"/>
  <c r="O88" i="6"/>
  <c r="P88" i="6" s="1"/>
  <c r="Q88" i="6" s="1"/>
  <c r="R88" i="6" s="1"/>
  <c r="S88" i="6" s="1"/>
  <c r="L88" i="6"/>
  <c r="K58" i="6"/>
  <c r="L58" i="6" s="1"/>
  <c r="M58" i="6" s="1"/>
  <c r="K61" i="6"/>
  <c r="L61" i="6" s="1"/>
  <c r="K97" i="6"/>
  <c r="L97" i="6" s="1"/>
  <c r="O55" i="6"/>
  <c r="P55" i="6" s="1"/>
  <c r="Q55" i="6" s="1"/>
  <c r="R55" i="6" s="1"/>
  <c r="S55" i="6" s="1"/>
  <c r="H135" i="6"/>
  <c r="K135" i="6" s="1"/>
  <c r="L135" i="6" s="1"/>
  <c r="M135" i="6" s="1"/>
  <c r="N135" i="6" s="1"/>
  <c r="O135" i="6" s="1"/>
  <c r="P135" i="6" s="1"/>
  <c r="Q135" i="6" s="1"/>
  <c r="R135" i="6" s="1"/>
  <c r="S135" i="6" s="1"/>
  <c r="N48" i="6" l="1"/>
  <c r="O48" i="6" s="1"/>
  <c r="P48" i="6" s="1"/>
  <c r="Q48" i="6" s="1"/>
  <c r="R48" i="6" s="1"/>
  <c r="S48" i="6" s="1"/>
  <c r="M45" i="6"/>
  <c r="F18" i="6"/>
  <c r="H118" i="6"/>
  <c r="N118" i="6" s="1"/>
  <c r="O118" i="6" s="1"/>
  <c r="P118" i="6" s="1"/>
  <c r="Q118" i="6" s="1"/>
  <c r="R118" i="6" s="1"/>
  <c r="S118" i="6" s="1"/>
  <c r="E119" i="6"/>
  <c r="D18" i="6"/>
  <c r="J18" i="6" s="1"/>
  <c r="J20" i="6" s="1"/>
  <c r="H119" i="6" l="1"/>
  <c r="K119" i="6" s="1"/>
  <c r="L119" i="6" s="1"/>
  <c r="M119" i="6" s="1"/>
  <c r="N119" i="6" s="1"/>
  <c r="O119" i="6" s="1"/>
  <c r="P119" i="6" s="1"/>
  <c r="Q119" i="6" s="1"/>
  <c r="R119" i="6" s="1"/>
  <c r="S119" i="6" s="1"/>
  <c r="E120" i="6"/>
  <c r="H120" i="6" l="1"/>
  <c r="K120" i="6" s="1"/>
  <c r="L120" i="6" s="1"/>
  <c r="M120" i="6" s="1"/>
  <c r="N120" i="6" s="1"/>
  <c r="O120" i="6" s="1"/>
  <c r="P120" i="6" s="1"/>
  <c r="Q120" i="6" s="1"/>
  <c r="R120" i="6" s="1"/>
  <c r="S120" i="6" s="1"/>
  <c r="E121" i="6"/>
  <c r="H121" i="6" s="1"/>
  <c r="K121" i="6" s="1"/>
  <c r="L121" i="6" s="1"/>
  <c r="M121" i="6" s="1"/>
  <c r="N121" i="6" s="1"/>
  <c r="O121" i="6" s="1"/>
  <c r="P121" i="6" s="1"/>
  <c r="Q121" i="6" s="1"/>
  <c r="R121" i="6" s="1"/>
  <c r="S121" i="6" s="1"/>
  <c r="AG40" i="16" l="1"/>
  <c r="AF40" i="16"/>
  <c r="AG39" i="16"/>
  <c r="AF39" i="16"/>
  <c r="AG38" i="16"/>
  <c r="AC38" i="16"/>
  <c r="Y38" i="16"/>
  <c r="U38" i="16"/>
  <c r="Q38" i="16"/>
  <c r="M38" i="16"/>
  <c r="I38" i="16"/>
  <c r="E38" i="16"/>
  <c r="AF38" i="16" s="1"/>
  <c r="AG37" i="16"/>
  <c r="AC37" i="16"/>
  <c r="Y37" i="16"/>
  <c r="U37" i="16"/>
  <c r="Q37" i="16"/>
  <c r="M37" i="16"/>
  <c r="I37" i="16"/>
  <c r="E37" i="16"/>
  <c r="AF37" i="16" s="1"/>
  <c r="AG36" i="16"/>
  <c r="AC36" i="16"/>
  <c r="Y36" i="16"/>
  <c r="U36" i="16"/>
  <c r="Q36" i="16"/>
  <c r="M36" i="16"/>
  <c r="I36" i="16"/>
  <c r="E36" i="16"/>
  <c r="AG35" i="16"/>
  <c r="AC35" i="16"/>
  <c r="Y35" i="16"/>
  <c r="U35" i="16"/>
  <c r="Q35" i="16"/>
  <c r="M35" i="16"/>
  <c r="I35" i="16"/>
  <c r="AF35" i="16" s="1"/>
  <c r="E35" i="16"/>
  <c r="AG34" i="16"/>
  <c r="AC34" i="16"/>
  <c r="Y34" i="16"/>
  <c r="U34" i="16"/>
  <c r="Q34" i="16"/>
  <c r="M34" i="16"/>
  <c r="I34" i="16"/>
  <c r="E34" i="16"/>
  <c r="AF34" i="16" s="1"/>
  <c r="AG33" i="16"/>
  <c r="AC33" i="16"/>
  <c r="Y33" i="16"/>
  <c r="U33" i="16"/>
  <c r="Q33" i="16"/>
  <c r="M33" i="16"/>
  <c r="I33" i="16"/>
  <c r="E33" i="16"/>
  <c r="AG32" i="16"/>
  <c r="AC32" i="16"/>
  <c r="Y32" i="16"/>
  <c r="U32" i="16"/>
  <c r="Q32" i="16"/>
  <c r="M32" i="16"/>
  <c r="I32" i="16"/>
  <c r="E32" i="16"/>
  <c r="AG31" i="16"/>
  <c r="AC31" i="16"/>
  <c r="Y31" i="16"/>
  <c r="U31" i="16"/>
  <c r="Q31" i="16"/>
  <c r="M31" i="16"/>
  <c r="I31" i="16"/>
  <c r="AF31" i="16" s="1"/>
  <c r="E31" i="16"/>
  <c r="AG30" i="16"/>
  <c r="AC30" i="16"/>
  <c r="Y30" i="16"/>
  <c r="U30" i="16"/>
  <c r="Q30" i="16"/>
  <c r="M30" i="16"/>
  <c r="I30" i="16"/>
  <c r="E30" i="16"/>
  <c r="AF30" i="16" s="1"/>
  <c r="AG29" i="16"/>
  <c r="AC29" i="16"/>
  <c r="Y29" i="16"/>
  <c r="U29" i="16"/>
  <c r="Q29" i="16"/>
  <c r="M29" i="16"/>
  <c r="I29" i="16"/>
  <c r="E29" i="16"/>
  <c r="AF29" i="16" s="1"/>
  <c r="AG28" i="16"/>
  <c r="AC28" i="16"/>
  <c r="Y28" i="16"/>
  <c r="U28" i="16"/>
  <c r="Q28" i="16"/>
  <c r="M28" i="16"/>
  <c r="I28" i="16"/>
  <c r="E28" i="16"/>
  <c r="AG27" i="16"/>
  <c r="AC27" i="16"/>
  <c r="Y27" i="16"/>
  <c r="U27" i="16"/>
  <c r="Q27" i="16"/>
  <c r="M27" i="16"/>
  <c r="I27" i="16"/>
  <c r="E27" i="16"/>
  <c r="AG26" i="16"/>
  <c r="AC26" i="16"/>
  <c r="Y26" i="16"/>
  <c r="U26" i="16"/>
  <c r="Q26" i="16"/>
  <c r="M26" i="16"/>
  <c r="I26" i="16"/>
  <c r="E26" i="16"/>
  <c r="AF26" i="16" s="1"/>
  <c r="AG25" i="16"/>
  <c r="Y25" i="16"/>
  <c r="U25" i="16"/>
  <c r="Q25" i="16"/>
  <c r="M25" i="16"/>
  <c r="I25" i="16"/>
  <c r="E25" i="16"/>
  <c r="AF25" i="16" s="1"/>
  <c r="AG24" i="16"/>
  <c r="AC24" i="16"/>
  <c r="Y24" i="16"/>
  <c r="U24" i="16"/>
  <c r="Q24" i="16"/>
  <c r="M24" i="16"/>
  <c r="I24" i="16"/>
  <c r="E24" i="16"/>
  <c r="AG23" i="16"/>
  <c r="AC23" i="16"/>
  <c r="Y23" i="16"/>
  <c r="U23" i="16"/>
  <c r="Q23" i="16"/>
  <c r="M23" i="16"/>
  <c r="I23" i="16"/>
  <c r="E23" i="16"/>
  <c r="AF23" i="16" s="1"/>
  <c r="AG22" i="16"/>
  <c r="AC22" i="16"/>
  <c r="Y22" i="16"/>
  <c r="U22" i="16"/>
  <c r="Q22" i="16"/>
  <c r="M22" i="16"/>
  <c r="I22" i="16"/>
  <c r="E22" i="16"/>
  <c r="AF22" i="16" s="1"/>
  <c r="AG21" i="16"/>
  <c r="AC21" i="16"/>
  <c r="Y21" i="16"/>
  <c r="U21" i="16"/>
  <c r="Q21" i="16"/>
  <c r="M21" i="16"/>
  <c r="I21" i="16"/>
  <c r="E21" i="16"/>
  <c r="AG20" i="16"/>
  <c r="AC20" i="16"/>
  <c r="Y20" i="16"/>
  <c r="U20" i="16"/>
  <c r="Q20" i="16"/>
  <c r="M20" i="16"/>
  <c r="I20" i="16"/>
  <c r="E20" i="16"/>
  <c r="AG19" i="16"/>
  <c r="AC19" i="16"/>
  <c r="Y19" i="16"/>
  <c r="U19" i="16"/>
  <c r="Q19" i="16"/>
  <c r="M19" i="16"/>
  <c r="I19" i="16"/>
  <c r="AF19" i="16" s="1"/>
  <c r="AG18" i="16"/>
  <c r="AF18" i="16"/>
  <c r="AG17" i="16"/>
  <c r="I17" i="16"/>
  <c r="AF17" i="16" s="1"/>
  <c r="AG16" i="16"/>
  <c r="AF16" i="16"/>
  <c r="AG15" i="16"/>
  <c r="E15" i="16"/>
  <c r="AF15" i="16" s="1"/>
  <c r="AG14" i="16"/>
  <c r="I14" i="16"/>
  <c r="I41" i="16" s="1"/>
  <c r="E14" i="16"/>
  <c r="AG13" i="16"/>
  <c r="E13" i="16"/>
  <c r="AF13" i="16" s="1"/>
  <c r="AG12" i="16"/>
  <c r="I12" i="16"/>
  <c r="E12" i="16"/>
  <c r="AF12" i="16" s="1"/>
  <c r="AG11" i="16"/>
  <c r="E11" i="16"/>
  <c r="AF11" i="16" s="1"/>
  <c r="BL136" i="5"/>
  <c r="H136" i="5"/>
  <c r="K136" i="5" s="1"/>
  <c r="L136" i="5" s="1"/>
  <c r="M136" i="5" s="1"/>
  <c r="N136" i="5" s="1"/>
  <c r="O136" i="5" s="1"/>
  <c r="P136" i="5" s="1"/>
  <c r="Q136" i="5" s="1"/>
  <c r="R136" i="5" s="1"/>
  <c r="S136" i="5" s="1"/>
  <c r="BL135" i="5"/>
  <c r="H135" i="5"/>
  <c r="K135" i="5" s="1"/>
  <c r="L135" i="5" s="1"/>
  <c r="M135" i="5" s="1"/>
  <c r="N135" i="5" s="1"/>
  <c r="O135" i="5" s="1"/>
  <c r="P135" i="5" s="1"/>
  <c r="Q135" i="5" s="1"/>
  <c r="R135" i="5" s="1"/>
  <c r="S135" i="5" s="1"/>
  <c r="BL134" i="5"/>
  <c r="H134" i="5"/>
  <c r="K134" i="5" s="1"/>
  <c r="L134" i="5" s="1"/>
  <c r="M134" i="5" s="1"/>
  <c r="N134" i="5" s="1"/>
  <c r="O134" i="5" s="1"/>
  <c r="P134" i="5" s="1"/>
  <c r="Q134" i="5" s="1"/>
  <c r="R134" i="5" s="1"/>
  <c r="S134" i="5" s="1"/>
  <c r="BL133" i="5"/>
  <c r="H133" i="5"/>
  <c r="K133" i="5" s="1"/>
  <c r="L133" i="5" s="1"/>
  <c r="M133" i="5" s="1"/>
  <c r="N133" i="5" s="1"/>
  <c r="O133" i="5" s="1"/>
  <c r="P133" i="5" s="1"/>
  <c r="Q133" i="5" s="1"/>
  <c r="R133" i="5" s="1"/>
  <c r="S133" i="5" s="1"/>
  <c r="BL132" i="5"/>
  <c r="H132" i="5"/>
  <c r="K132" i="5" s="1"/>
  <c r="L132" i="5" s="1"/>
  <c r="M132" i="5" s="1"/>
  <c r="N132" i="5" s="1"/>
  <c r="O132" i="5" s="1"/>
  <c r="P132" i="5" s="1"/>
  <c r="Q132" i="5" s="1"/>
  <c r="R132" i="5" s="1"/>
  <c r="S132" i="5" s="1"/>
  <c r="BL131" i="5"/>
  <c r="H131" i="5"/>
  <c r="K131" i="5" s="1"/>
  <c r="L131" i="5" s="1"/>
  <c r="M131" i="5" s="1"/>
  <c r="N131" i="5" s="1"/>
  <c r="O131" i="5" s="1"/>
  <c r="P131" i="5" s="1"/>
  <c r="Q131" i="5" s="1"/>
  <c r="R131" i="5" s="1"/>
  <c r="S131" i="5" s="1"/>
  <c r="F131" i="5"/>
  <c r="BL130" i="5"/>
  <c r="H130" i="5"/>
  <c r="K130" i="5" s="1"/>
  <c r="L130" i="5" s="1"/>
  <c r="M130" i="5" s="1"/>
  <c r="N130" i="5" s="1"/>
  <c r="O130" i="5" s="1"/>
  <c r="P130" i="5" s="1"/>
  <c r="Q130" i="5" s="1"/>
  <c r="R130" i="5" s="1"/>
  <c r="S130" i="5" s="1"/>
  <c r="BL129" i="5"/>
  <c r="H129" i="5"/>
  <c r="K129" i="5" s="1"/>
  <c r="L129" i="5" s="1"/>
  <c r="M129" i="5" s="1"/>
  <c r="N129" i="5" s="1"/>
  <c r="O129" i="5" s="1"/>
  <c r="P129" i="5" s="1"/>
  <c r="Q129" i="5" s="1"/>
  <c r="R129" i="5" s="1"/>
  <c r="S129" i="5" s="1"/>
  <c r="BL128" i="5"/>
  <c r="H128" i="5"/>
  <c r="F128" i="5"/>
  <c r="BL127" i="5"/>
  <c r="H127" i="5"/>
  <c r="K127" i="5" s="1"/>
  <c r="L127" i="5" s="1"/>
  <c r="M127" i="5" s="1"/>
  <c r="N127" i="5" s="1"/>
  <c r="O127" i="5" s="1"/>
  <c r="P127" i="5" s="1"/>
  <c r="Q127" i="5" s="1"/>
  <c r="R127" i="5" s="1"/>
  <c r="S127" i="5" s="1"/>
  <c r="BL126" i="5"/>
  <c r="H126" i="5"/>
  <c r="K126" i="5" s="1"/>
  <c r="L126" i="5" s="1"/>
  <c r="M126" i="5" s="1"/>
  <c r="N126" i="5" s="1"/>
  <c r="O126" i="5" s="1"/>
  <c r="P126" i="5" s="1"/>
  <c r="Q126" i="5" s="1"/>
  <c r="R126" i="5" s="1"/>
  <c r="S126" i="5" s="1"/>
  <c r="BL125" i="5"/>
  <c r="F125" i="5" s="1"/>
  <c r="H125" i="5"/>
  <c r="BL124" i="5"/>
  <c r="H124" i="5"/>
  <c r="K124" i="5" s="1"/>
  <c r="L124" i="5" s="1"/>
  <c r="M124" i="5" s="1"/>
  <c r="N124" i="5" s="1"/>
  <c r="O124" i="5" s="1"/>
  <c r="P124" i="5" s="1"/>
  <c r="Q124" i="5" s="1"/>
  <c r="R124" i="5" s="1"/>
  <c r="S124" i="5" s="1"/>
  <c r="BL123" i="5"/>
  <c r="H123" i="5"/>
  <c r="K123" i="5" s="1"/>
  <c r="L123" i="5" s="1"/>
  <c r="M123" i="5" s="1"/>
  <c r="N123" i="5" s="1"/>
  <c r="O123" i="5" s="1"/>
  <c r="P123" i="5" s="1"/>
  <c r="Q123" i="5" s="1"/>
  <c r="R123" i="5" s="1"/>
  <c r="S123" i="5" s="1"/>
  <c r="BL122" i="5"/>
  <c r="H122" i="5"/>
  <c r="F122" i="5"/>
  <c r="BL121" i="5"/>
  <c r="H121" i="5"/>
  <c r="K121" i="5" s="1"/>
  <c r="L121" i="5" s="1"/>
  <c r="M121" i="5" s="1"/>
  <c r="N121" i="5" s="1"/>
  <c r="O121" i="5" s="1"/>
  <c r="P121" i="5" s="1"/>
  <c r="Q121" i="5" s="1"/>
  <c r="R121" i="5" s="1"/>
  <c r="S121" i="5" s="1"/>
  <c r="BL120" i="5"/>
  <c r="H120" i="5"/>
  <c r="K120" i="5" s="1"/>
  <c r="L120" i="5" s="1"/>
  <c r="M120" i="5" s="1"/>
  <c r="N120" i="5" s="1"/>
  <c r="O120" i="5" s="1"/>
  <c r="P120" i="5" s="1"/>
  <c r="Q120" i="5" s="1"/>
  <c r="R120" i="5" s="1"/>
  <c r="S120" i="5" s="1"/>
  <c r="BL119" i="5"/>
  <c r="H119" i="5"/>
  <c r="K119" i="5" s="1"/>
  <c r="L119" i="5" s="1"/>
  <c r="M119" i="5" s="1"/>
  <c r="N119" i="5" s="1"/>
  <c r="O119" i="5" s="1"/>
  <c r="P119" i="5" s="1"/>
  <c r="Q119" i="5" s="1"/>
  <c r="R119" i="5" s="1"/>
  <c r="S119" i="5" s="1"/>
  <c r="BL118" i="5"/>
  <c r="F118" i="5" s="1"/>
  <c r="H118" i="5"/>
  <c r="BL117" i="5"/>
  <c r="H117" i="5"/>
  <c r="K117" i="5" s="1"/>
  <c r="L117" i="5" s="1"/>
  <c r="M117" i="5" s="1"/>
  <c r="N117" i="5" s="1"/>
  <c r="O117" i="5" s="1"/>
  <c r="P117" i="5" s="1"/>
  <c r="Q117" i="5" s="1"/>
  <c r="R117" i="5" s="1"/>
  <c r="S117" i="5" s="1"/>
  <c r="BL116" i="5"/>
  <c r="H116" i="5"/>
  <c r="K116" i="5" s="1"/>
  <c r="L116" i="5" s="1"/>
  <c r="M116" i="5" s="1"/>
  <c r="N116" i="5" s="1"/>
  <c r="O116" i="5" s="1"/>
  <c r="P116" i="5" s="1"/>
  <c r="Q116" i="5" s="1"/>
  <c r="R116" i="5" s="1"/>
  <c r="S116" i="5" s="1"/>
  <c r="BL115" i="5"/>
  <c r="H115" i="5"/>
  <c r="F115" i="5"/>
  <c r="BL114" i="5"/>
  <c r="H114" i="5"/>
  <c r="K114" i="5" s="1"/>
  <c r="L114" i="5" s="1"/>
  <c r="M114" i="5" s="1"/>
  <c r="N114" i="5" s="1"/>
  <c r="O114" i="5" s="1"/>
  <c r="P114" i="5" s="1"/>
  <c r="Q114" i="5" s="1"/>
  <c r="R114" i="5" s="1"/>
  <c r="S114" i="5" s="1"/>
  <c r="BL113" i="5"/>
  <c r="H113" i="5"/>
  <c r="K113" i="5" s="1"/>
  <c r="L113" i="5" s="1"/>
  <c r="M113" i="5" s="1"/>
  <c r="N113" i="5" s="1"/>
  <c r="O113" i="5" s="1"/>
  <c r="P113" i="5" s="1"/>
  <c r="Q113" i="5" s="1"/>
  <c r="R113" i="5" s="1"/>
  <c r="S113" i="5" s="1"/>
  <c r="BL112" i="5"/>
  <c r="F112" i="5" s="1"/>
  <c r="H112" i="5"/>
  <c r="BL111" i="5"/>
  <c r="H111" i="5"/>
  <c r="K111" i="5" s="1"/>
  <c r="L111" i="5" s="1"/>
  <c r="M111" i="5" s="1"/>
  <c r="N111" i="5" s="1"/>
  <c r="O111" i="5" s="1"/>
  <c r="P111" i="5" s="1"/>
  <c r="Q111" i="5" s="1"/>
  <c r="R111" i="5" s="1"/>
  <c r="S111" i="5" s="1"/>
  <c r="BL110" i="5"/>
  <c r="H110" i="5"/>
  <c r="K110" i="5" s="1"/>
  <c r="L110" i="5" s="1"/>
  <c r="M110" i="5" s="1"/>
  <c r="N110" i="5" s="1"/>
  <c r="O110" i="5" s="1"/>
  <c r="P110" i="5" s="1"/>
  <c r="Q110" i="5" s="1"/>
  <c r="R110" i="5" s="1"/>
  <c r="S110" i="5" s="1"/>
  <c r="BL109" i="5"/>
  <c r="H109" i="5"/>
  <c r="F109" i="5"/>
  <c r="BL108" i="5"/>
  <c r="H108" i="5"/>
  <c r="K108" i="5" s="1"/>
  <c r="L108" i="5" s="1"/>
  <c r="M108" i="5" s="1"/>
  <c r="N108" i="5" s="1"/>
  <c r="O108" i="5" s="1"/>
  <c r="P108" i="5" s="1"/>
  <c r="Q108" i="5" s="1"/>
  <c r="R108" i="5" s="1"/>
  <c r="S108" i="5" s="1"/>
  <c r="BL107" i="5"/>
  <c r="H107" i="5"/>
  <c r="K107" i="5" s="1"/>
  <c r="L107" i="5" s="1"/>
  <c r="M107" i="5" s="1"/>
  <c r="N107" i="5" s="1"/>
  <c r="O107" i="5" s="1"/>
  <c r="P107" i="5" s="1"/>
  <c r="Q107" i="5" s="1"/>
  <c r="R107" i="5" s="1"/>
  <c r="S107" i="5" s="1"/>
  <c r="BL106" i="5"/>
  <c r="F106" i="5" s="1"/>
  <c r="H106" i="5"/>
  <c r="BL105" i="5"/>
  <c r="H105" i="5"/>
  <c r="K105" i="5" s="1"/>
  <c r="L105" i="5" s="1"/>
  <c r="M105" i="5" s="1"/>
  <c r="N105" i="5" s="1"/>
  <c r="O105" i="5" s="1"/>
  <c r="P105" i="5" s="1"/>
  <c r="Q105" i="5" s="1"/>
  <c r="R105" i="5" s="1"/>
  <c r="S105" i="5" s="1"/>
  <c r="BL104" i="5"/>
  <c r="H104" i="5"/>
  <c r="K104" i="5" s="1"/>
  <c r="L104" i="5" s="1"/>
  <c r="M104" i="5" s="1"/>
  <c r="N104" i="5" s="1"/>
  <c r="O104" i="5" s="1"/>
  <c r="P104" i="5" s="1"/>
  <c r="Q104" i="5" s="1"/>
  <c r="R104" i="5" s="1"/>
  <c r="S104" i="5" s="1"/>
  <c r="BL103" i="5"/>
  <c r="H103" i="5"/>
  <c r="F103" i="5"/>
  <c r="BL102" i="5"/>
  <c r="H102" i="5"/>
  <c r="K102" i="5" s="1"/>
  <c r="L102" i="5" s="1"/>
  <c r="M102" i="5" s="1"/>
  <c r="N102" i="5" s="1"/>
  <c r="O102" i="5" s="1"/>
  <c r="P102" i="5" s="1"/>
  <c r="Q102" i="5" s="1"/>
  <c r="R102" i="5" s="1"/>
  <c r="S102" i="5" s="1"/>
  <c r="BL101" i="5"/>
  <c r="K101" i="5"/>
  <c r="L101" i="5" s="1"/>
  <c r="M101" i="5" s="1"/>
  <c r="N101" i="5" s="1"/>
  <c r="O101" i="5" s="1"/>
  <c r="P101" i="5" s="1"/>
  <c r="Q101" i="5" s="1"/>
  <c r="R101" i="5" s="1"/>
  <c r="S101" i="5" s="1"/>
  <c r="H101" i="5"/>
  <c r="BL100" i="5"/>
  <c r="F100" i="5" s="1"/>
  <c r="H100" i="5"/>
  <c r="BL99" i="5"/>
  <c r="H99" i="5"/>
  <c r="K99" i="5" s="1"/>
  <c r="L99" i="5" s="1"/>
  <c r="M99" i="5" s="1"/>
  <c r="N99" i="5" s="1"/>
  <c r="O99" i="5" s="1"/>
  <c r="P99" i="5" s="1"/>
  <c r="Q99" i="5" s="1"/>
  <c r="R99" i="5" s="1"/>
  <c r="S99" i="5" s="1"/>
  <c r="BL98" i="5"/>
  <c r="H98" i="5"/>
  <c r="K98" i="5" s="1"/>
  <c r="L98" i="5" s="1"/>
  <c r="M98" i="5" s="1"/>
  <c r="N98" i="5" s="1"/>
  <c r="O98" i="5" s="1"/>
  <c r="P98" i="5" s="1"/>
  <c r="Q98" i="5" s="1"/>
  <c r="R98" i="5" s="1"/>
  <c r="S98" i="5" s="1"/>
  <c r="BL97" i="5"/>
  <c r="H97" i="5"/>
  <c r="F97" i="5"/>
  <c r="BL96" i="5"/>
  <c r="H96" i="5"/>
  <c r="K96" i="5" s="1"/>
  <c r="L96" i="5" s="1"/>
  <c r="M96" i="5" s="1"/>
  <c r="N96" i="5" s="1"/>
  <c r="O96" i="5" s="1"/>
  <c r="P96" i="5" s="1"/>
  <c r="Q96" i="5" s="1"/>
  <c r="R96" i="5" s="1"/>
  <c r="S96" i="5" s="1"/>
  <c r="BL95" i="5"/>
  <c r="H95" i="5"/>
  <c r="K95" i="5" s="1"/>
  <c r="L95" i="5" s="1"/>
  <c r="M95" i="5" s="1"/>
  <c r="N95" i="5" s="1"/>
  <c r="O95" i="5" s="1"/>
  <c r="P95" i="5" s="1"/>
  <c r="Q95" i="5" s="1"/>
  <c r="R95" i="5" s="1"/>
  <c r="S95" i="5" s="1"/>
  <c r="BL94" i="5"/>
  <c r="F94" i="5" s="1"/>
  <c r="H94" i="5"/>
  <c r="BL90" i="5"/>
  <c r="F90" i="5" s="1"/>
  <c r="H90" i="5"/>
  <c r="K90" i="5" s="1"/>
  <c r="L90" i="5" s="1"/>
  <c r="M90" i="5" s="1"/>
  <c r="N90" i="5" s="1"/>
  <c r="O90" i="5" s="1"/>
  <c r="P90" i="5" s="1"/>
  <c r="Q90" i="5" s="1"/>
  <c r="R90" i="5" s="1"/>
  <c r="S90" i="5" s="1"/>
  <c r="BL89" i="5"/>
  <c r="F89" i="5" s="1"/>
  <c r="H89" i="5"/>
  <c r="BL88" i="5"/>
  <c r="H88" i="5"/>
  <c r="F88" i="5"/>
  <c r="BL87" i="5"/>
  <c r="H87" i="5"/>
  <c r="F87" i="5"/>
  <c r="BL86" i="5"/>
  <c r="H86" i="5"/>
  <c r="P86" i="5" s="1"/>
  <c r="Q86" i="5" s="1"/>
  <c r="R86" i="5" s="1"/>
  <c r="S86" i="5" s="1"/>
  <c r="F86" i="5"/>
  <c r="BL85" i="5"/>
  <c r="H85" i="5"/>
  <c r="F85" i="5"/>
  <c r="P81" i="5"/>
  <c r="J80" i="5"/>
  <c r="J79" i="5"/>
  <c r="H79" i="5"/>
  <c r="H77" i="5"/>
  <c r="K77" i="5" s="1"/>
  <c r="L77" i="5" s="1"/>
  <c r="M77" i="5" s="1"/>
  <c r="N77" i="5" s="1"/>
  <c r="O77" i="5" s="1"/>
  <c r="P77" i="5" s="1"/>
  <c r="Q77" i="5" s="1"/>
  <c r="R77" i="5" s="1"/>
  <c r="S77" i="5" s="1"/>
  <c r="F77" i="5"/>
  <c r="H76" i="5"/>
  <c r="K76" i="5" s="1"/>
  <c r="L76" i="5" s="1"/>
  <c r="M76" i="5" s="1"/>
  <c r="N76" i="5" s="1"/>
  <c r="O76" i="5" s="1"/>
  <c r="P76" i="5" s="1"/>
  <c r="Q76" i="5" s="1"/>
  <c r="R76" i="5" s="1"/>
  <c r="S76" i="5" s="1"/>
  <c r="F76" i="5"/>
  <c r="H75" i="5"/>
  <c r="K75" i="5" s="1"/>
  <c r="L75" i="5" s="1"/>
  <c r="M75" i="5" s="1"/>
  <c r="N75" i="5" s="1"/>
  <c r="O75" i="5" s="1"/>
  <c r="P75" i="5" s="1"/>
  <c r="Q75" i="5" s="1"/>
  <c r="R75" i="5" s="1"/>
  <c r="S75" i="5" s="1"/>
  <c r="F75" i="5"/>
  <c r="H74" i="5"/>
  <c r="K74" i="5" s="1"/>
  <c r="L74" i="5" s="1"/>
  <c r="M74" i="5" s="1"/>
  <c r="N74" i="5" s="1"/>
  <c r="O74" i="5" s="1"/>
  <c r="P74" i="5" s="1"/>
  <c r="Q74" i="5" s="1"/>
  <c r="R74" i="5" s="1"/>
  <c r="S74" i="5" s="1"/>
  <c r="F74" i="5"/>
  <c r="H73" i="5"/>
  <c r="K73" i="5" s="1"/>
  <c r="L73" i="5" s="1"/>
  <c r="M73" i="5" s="1"/>
  <c r="N73" i="5" s="1"/>
  <c r="O73" i="5" s="1"/>
  <c r="P73" i="5" s="1"/>
  <c r="Q73" i="5" s="1"/>
  <c r="R73" i="5" s="1"/>
  <c r="S73" i="5" s="1"/>
  <c r="F73" i="5"/>
  <c r="H72" i="5"/>
  <c r="K72" i="5" s="1"/>
  <c r="L72" i="5" s="1"/>
  <c r="M72" i="5" s="1"/>
  <c r="N72" i="5" s="1"/>
  <c r="O72" i="5" s="1"/>
  <c r="P72" i="5" s="1"/>
  <c r="Q72" i="5" s="1"/>
  <c r="R72" i="5" s="1"/>
  <c r="S72" i="5" s="1"/>
  <c r="F72" i="5"/>
  <c r="H71" i="5"/>
  <c r="K71" i="5" s="1"/>
  <c r="L71" i="5" s="1"/>
  <c r="M71" i="5" s="1"/>
  <c r="N71" i="5" s="1"/>
  <c r="O71" i="5" s="1"/>
  <c r="P71" i="5" s="1"/>
  <c r="Q71" i="5" s="1"/>
  <c r="R71" i="5" s="1"/>
  <c r="S71" i="5" s="1"/>
  <c r="F71" i="5"/>
  <c r="H70" i="5"/>
  <c r="K70" i="5" s="1"/>
  <c r="L70" i="5" s="1"/>
  <c r="M70" i="5" s="1"/>
  <c r="N70" i="5" s="1"/>
  <c r="O70" i="5" s="1"/>
  <c r="P70" i="5" s="1"/>
  <c r="Q70" i="5" s="1"/>
  <c r="R70" i="5" s="1"/>
  <c r="S70" i="5" s="1"/>
  <c r="F70" i="5"/>
  <c r="H69" i="5"/>
  <c r="K69" i="5" s="1"/>
  <c r="L69" i="5" s="1"/>
  <c r="M69" i="5" s="1"/>
  <c r="N69" i="5" s="1"/>
  <c r="O69" i="5" s="1"/>
  <c r="P69" i="5" s="1"/>
  <c r="Q69" i="5" s="1"/>
  <c r="R69" i="5" s="1"/>
  <c r="S69" i="5" s="1"/>
  <c r="F69" i="5"/>
  <c r="H68" i="5"/>
  <c r="K68" i="5" s="1"/>
  <c r="L68" i="5" s="1"/>
  <c r="M68" i="5" s="1"/>
  <c r="N68" i="5" s="1"/>
  <c r="O68" i="5" s="1"/>
  <c r="P68" i="5" s="1"/>
  <c r="Q68" i="5" s="1"/>
  <c r="R68" i="5" s="1"/>
  <c r="S68" i="5" s="1"/>
  <c r="F68" i="5"/>
  <c r="H67" i="5"/>
  <c r="K67" i="5" s="1"/>
  <c r="L67" i="5" s="1"/>
  <c r="M67" i="5" s="1"/>
  <c r="N67" i="5" s="1"/>
  <c r="O67" i="5" s="1"/>
  <c r="P67" i="5" s="1"/>
  <c r="Q67" i="5" s="1"/>
  <c r="R67" i="5" s="1"/>
  <c r="S67" i="5" s="1"/>
  <c r="F67" i="5"/>
  <c r="H66" i="5"/>
  <c r="K66" i="5" s="1"/>
  <c r="L66" i="5" s="1"/>
  <c r="M66" i="5" s="1"/>
  <c r="N66" i="5" s="1"/>
  <c r="O66" i="5" s="1"/>
  <c r="P66" i="5" s="1"/>
  <c r="Q66" i="5" s="1"/>
  <c r="R66" i="5" s="1"/>
  <c r="S66" i="5" s="1"/>
  <c r="F66" i="5"/>
  <c r="H62" i="5"/>
  <c r="K62" i="5" s="1"/>
  <c r="L62" i="5" s="1"/>
  <c r="M62" i="5" s="1"/>
  <c r="N62" i="5" s="1"/>
  <c r="O62" i="5" s="1"/>
  <c r="P62" i="5" s="1"/>
  <c r="Q62" i="5" s="1"/>
  <c r="R62" i="5" s="1"/>
  <c r="S62" i="5" s="1"/>
  <c r="F62" i="5"/>
  <c r="H61" i="5"/>
  <c r="K61" i="5" s="1"/>
  <c r="L61" i="5" s="1"/>
  <c r="M61" i="5" s="1"/>
  <c r="N61" i="5" s="1"/>
  <c r="O61" i="5" s="1"/>
  <c r="P61" i="5" s="1"/>
  <c r="Q61" i="5" s="1"/>
  <c r="R61" i="5" s="1"/>
  <c r="S61" i="5" s="1"/>
  <c r="F61" i="5"/>
  <c r="H60" i="5"/>
  <c r="K60" i="5" s="1"/>
  <c r="L60" i="5" s="1"/>
  <c r="M60" i="5" s="1"/>
  <c r="N60" i="5" s="1"/>
  <c r="O60" i="5" s="1"/>
  <c r="P60" i="5" s="1"/>
  <c r="Q60" i="5" s="1"/>
  <c r="R60" i="5" s="1"/>
  <c r="S60" i="5" s="1"/>
  <c r="F60" i="5"/>
  <c r="H59" i="5"/>
  <c r="K59" i="5" s="1"/>
  <c r="L59" i="5" s="1"/>
  <c r="M59" i="5" s="1"/>
  <c r="N59" i="5" s="1"/>
  <c r="O59" i="5" s="1"/>
  <c r="P59" i="5" s="1"/>
  <c r="Q59" i="5" s="1"/>
  <c r="R59" i="5" s="1"/>
  <c r="S59" i="5" s="1"/>
  <c r="F59" i="5"/>
  <c r="H58" i="5"/>
  <c r="K58" i="5" s="1"/>
  <c r="L58" i="5" s="1"/>
  <c r="M58" i="5" s="1"/>
  <c r="N58" i="5" s="1"/>
  <c r="O58" i="5" s="1"/>
  <c r="P58" i="5" s="1"/>
  <c r="Q58" i="5" s="1"/>
  <c r="R58" i="5" s="1"/>
  <c r="S58" i="5" s="1"/>
  <c r="F58" i="5"/>
  <c r="H57" i="5"/>
  <c r="K57" i="5" s="1"/>
  <c r="L57" i="5" s="1"/>
  <c r="M57" i="5" s="1"/>
  <c r="N57" i="5" s="1"/>
  <c r="O57" i="5" s="1"/>
  <c r="P57" i="5" s="1"/>
  <c r="Q57" i="5" s="1"/>
  <c r="R57" i="5" s="1"/>
  <c r="S57" i="5" s="1"/>
  <c r="F57" i="5"/>
  <c r="H56" i="5"/>
  <c r="K56" i="5" s="1"/>
  <c r="L56" i="5" s="1"/>
  <c r="M56" i="5" s="1"/>
  <c r="N56" i="5" s="1"/>
  <c r="O56" i="5" s="1"/>
  <c r="P56" i="5" s="1"/>
  <c r="Q56" i="5" s="1"/>
  <c r="R56" i="5" s="1"/>
  <c r="S56" i="5" s="1"/>
  <c r="F56" i="5"/>
  <c r="H55" i="5"/>
  <c r="K55" i="5" s="1"/>
  <c r="L55" i="5" s="1"/>
  <c r="M55" i="5" s="1"/>
  <c r="N55" i="5" s="1"/>
  <c r="O55" i="5" s="1"/>
  <c r="P55" i="5" s="1"/>
  <c r="Q55" i="5" s="1"/>
  <c r="R55" i="5" s="1"/>
  <c r="S55" i="5" s="1"/>
  <c r="F55" i="5"/>
  <c r="H54" i="5"/>
  <c r="K54" i="5" s="1"/>
  <c r="L54" i="5" s="1"/>
  <c r="M54" i="5" s="1"/>
  <c r="N54" i="5" s="1"/>
  <c r="O54" i="5" s="1"/>
  <c r="P54" i="5" s="1"/>
  <c r="Q54" i="5" s="1"/>
  <c r="R54" i="5" s="1"/>
  <c r="S54" i="5" s="1"/>
  <c r="F54" i="5"/>
  <c r="H53" i="5"/>
  <c r="K53" i="5" s="1"/>
  <c r="L53" i="5" s="1"/>
  <c r="M53" i="5" s="1"/>
  <c r="N53" i="5" s="1"/>
  <c r="O53" i="5" s="1"/>
  <c r="P53" i="5" s="1"/>
  <c r="Q53" i="5" s="1"/>
  <c r="R53" i="5" s="1"/>
  <c r="S53" i="5" s="1"/>
  <c r="F53" i="5"/>
  <c r="H52" i="5"/>
  <c r="K52" i="5" s="1"/>
  <c r="L52" i="5" s="1"/>
  <c r="M52" i="5" s="1"/>
  <c r="N52" i="5" s="1"/>
  <c r="O52" i="5" s="1"/>
  <c r="P52" i="5" s="1"/>
  <c r="Q52" i="5" s="1"/>
  <c r="R52" i="5" s="1"/>
  <c r="S52" i="5" s="1"/>
  <c r="F52" i="5"/>
  <c r="H51" i="5"/>
  <c r="R51" i="5" s="1"/>
  <c r="S51" i="5" s="1"/>
  <c r="F51" i="5"/>
  <c r="H50" i="5"/>
  <c r="K50" i="5" s="1"/>
  <c r="L50" i="5" s="1"/>
  <c r="M50" i="5" s="1"/>
  <c r="N50" i="5" s="1"/>
  <c r="O50" i="5" s="1"/>
  <c r="P50" i="5" s="1"/>
  <c r="Q50" i="5" s="1"/>
  <c r="R50" i="5" s="1"/>
  <c r="S50" i="5" s="1"/>
  <c r="F50" i="5"/>
  <c r="H49" i="5"/>
  <c r="L49" i="5" s="1"/>
  <c r="M49" i="5" s="1"/>
  <c r="N49" i="5" s="1"/>
  <c r="O49" i="5" s="1"/>
  <c r="P49" i="5" s="1"/>
  <c r="Q49" i="5" s="1"/>
  <c r="R49" i="5" s="1"/>
  <c r="S49" i="5" s="1"/>
  <c r="F49" i="5"/>
  <c r="H48" i="5"/>
  <c r="P48" i="5" s="1"/>
  <c r="Q48" i="5" s="1"/>
  <c r="R48" i="5" s="1"/>
  <c r="S48" i="5" s="1"/>
  <c r="F48" i="5"/>
  <c r="H47" i="5"/>
  <c r="K47" i="5" s="1"/>
  <c r="L47" i="5" s="1"/>
  <c r="M47" i="5" s="1"/>
  <c r="N47" i="5" s="1"/>
  <c r="O47" i="5" s="1"/>
  <c r="P47" i="5" s="1"/>
  <c r="Q47" i="5" s="1"/>
  <c r="R47" i="5" s="1"/>
  <c r="S47" i="5" s="1"/>
  <c r="F47" i="5"/>
  <c r="H41" i="5"/>
  <c r="K41" i="5" s="1"/>
  <c r="L41" i="5" s="1"/>
  <c r="M41" i="5" s="1"/>
  <c r="N41" i="5" s="1"/>
  <c r="O41" i="5" s="1"/>
  <c r="P41" i="5" s="1"/>
  <c r="Q41" i="5" s="1"/>
  <c r="R41" i="5" s="1"/>
  <c r="S41" i="5" s="1"/>
  <c r="F41" i="5"/>
  <c r="H40" i="5"/>
  <c r="K40" i="5" s="1"/>
  <c r="L40" i="5" s="1"/>
  <c r="M40" i="5" s="1"/>
  <c r="N40" i="5" s="1"/>
  <c r="O40" i="5" s="1"/>
  <c r="P40" i="5" s="1"/>
  <c r="Q40" i="5" s="1"/>
  <c r="R40" i="5" s="1"/>
  <c r="S40" i="5" s="1"/>
  <c r="F40" i="5"/>
  <c r="H39" i="5"/>
  <c r="K39" i="5" s="1"/>
  <c r="L39" i="5" s="1"/>
  <c r="M39" i="5" s="1"/>
  <c r="N39" i="5" s="1"/>
  <c r="O39" i="5" s="1"/>
  <c r="P39" i="5" s="1"/>
  <c r="Q39" i="5" s="1"/>
  <c r="R39" i="5" s="1"/>
  <c r="S39" i="5" s="1"/>
  <c r="F39" i="5"/>
  <c r="H38" i="5"/>
  <c r="K38" i="5" s="1"/>
  <c r="L38" i="5" s="1"/>
  <c r="M38" i="5" s="1"/>
  <c r="N38" i="5" s="1"/>
  <c r="O38" i="5" s="1"/>
  <c r="P38" i="5" s="1"/>
  <c r="Q38" i="5" s="1"/>
  <c r="R38" i="5" s="1"/>
  <c r="S38" i="5" s="1"/>
  <c r="F38" i="5"/>
  <c r="H37" i="5"/>
  <c r="K37" i="5" s="1"/>
  <c r="L37" i="5" s="1"/>
  <c r="M37" i="5" s="1"/>
  <c r="N37" i="5" s="1"/>
  <c r="O37" i="5" s="1"/>
  <c r="P37" i="5" s="1"/>
  <c r="Q37" i="5" s="1"/>
  <c r="R37" i="5" s="1"/>
  <c r="S37" i="5" s="1"/>
  <c r="F37" i="5"/>
  <c r="H36" i="5"/>
  <c r="Q36" i="5" s="1"/>
  <c r="R36" i="5" s="1"/>
  <c r="S36" i="5" s="1"/>
  <c r="F36" i="5"/>
  <c r="H35" i="5"/>
  <c r="K35" i="5" s="1"/>
  <c r="L35" i="5" s="1"/>
  <c r="M35" i="5" s="1"/>
  <c r="N35" i="5" s="1"/>
  <c r="O35" i="5" s="1"/>
  <c r="P35" i="5" s="1"/>
  <c r="Q35" i="5" s="1"/>
  <c r="R35" i="5" s="1"/>
  <c r="S35" i="5" s="1"/>
  <c r="F35" i="5"/>
  <c r="H34" i="5"/>
  <c r="R34" i="5" s="1"/>
  <c r="S34" i="5" s="1"/>
  <c r="F34" i="5"/>
  <c r="H33" i="5"/>
  <c r="K33" i="5" s="1"/>
  <c r="L33" i="5" s="1"/>
  <c r="M33" i="5" s="1"/>
  <c r="N33" i="5" s="1"/>
  <c r="O33" i="5" s="1"/>
  <c r="P33" i="5" s="1"/>
  <c r="Q33" i="5" s="1"/>
  <c r="R33" i="5" s="1"/>
  <c r="S33" i="5" s="1"/>
  <c r="F33" i="5"/>
  <c r="H32" i="5"/>
  <c r="K32" i="5" s="1"/>
  <c r="L32" i="5" s="1"/>
  <c r="M32" i="5" s="1"/>
  <c r="N32" i="5" s="1"/>
  <c r="O32" i="5" s="1"/>
  <c r="P32" i="5" s="1"/>
  <c r="Q32" i="5" s="1"/>
  <c r="R32" i="5" s="1"/>
  <c r="S32" i="5" s="1"/>
  <c r="F32" i="5"/>
  <c r="H31" i="5"/>
  <c r="K31" i="5" s="1"/>
  <c r="L31" i="5" s="1"/>
  <c r="M31" i="5" s="1"/>
  <c r="N31" i="5" s="1"/>
  <c r="O31" i="5" s="1"/>
  <c r="P31" i="5" s="1"/>
  <c r="Q31" i="5" s="1"/>
  <c r="R31" i="5" s="1"/>
  <c r="S31" i="5" s="1"/>
  <c r="F31" i="5"/>
  <c r="H30" i="5"/>
  <c r="F30" i="5"/>
  <c r="H29" i="5"/>
  <c r="P29" i="5" s="1"/>
  <c r="Q29" i="5" s="1"/>
  <c r="R29" i="5" s="1"/>
  <c r="S29" i="5" s="1"/>
  <c r="F29" i="5"/>
  <c r="H28" i="5"/>
  <c r="F28" i="5"/>
  <c r="R21" i="5"/>
  <c r="Q21" i="5"/>
  <c r="P21" i="5"/>
  <c r="O21" i="5"/>
  <c r="N21" i="5"/>
  <c r="M21" i="5"/>
  <c r="L21" i="5"/>
  <c r="R20" i="5"/>
  <c r="Q20" i="5"/>
  <c r="P20" i="5"/>
  <c r="O20" i="5"/>
  <c r="N20" i="5"/>
  <c r="M20" i="5"/>
  <c r="L20" i="5"/>
  <c r="R19" i="5"/>
  <c r="Q19" i="5"/>
  <c r="P19" i="5"/>
  <c r="O19" i="5"/>
  <c r="N19" i="5"/>
  <c r="M19" i="5"/>
  <c r="L19" i="5"/>
  <c r="I19" i="5"/>
  <c r="R18" i="5"/>
  <c r="Q18" i="5"/>
  <c r="P18" i="5"/>
  <c r="O18" i="5"/>
  <c r="N18" i="5"/>
  <c r="M18" i="5"/>
  <c r="L18" i="5"/>
  <c r="R17" i="5"/>
  <c r="Q17" i="5"/>
  <c r="P17" i="5"/>
  <c r="O17" i="5"/>
  <c r="N17" i="5"/>
  <c r="M17" i="5"/>
  <c r="L17" i="5"/>
  <c r="R16" i="5"/>
  <c r="Q16" i="5"/>
  <c r="P16" i="5"/>
  <c r="O16" i="5"/>
  <c r="N16" i="5"/>
  <c r="M16" i="5"/>
  <c r="L16" i="5"/>
  <c r="H15" i="5"/>
  <c r="G15" i="5"/>
  <c r="F15" i="5"/>
  <c r="E15" i="5"/>
  <c r="D15" i="5"/>
  <c r="C15" i="5"/>
  <c r="B15" i="5"/>
  <c r="H14" i="5"/>
  <c r="G14" i="5"/>
  <c r="F14" i="5"/>
  <c r="E14" i="5"/>
  <c r="D14" i="5"/>
  <c r="C14" i="5"/>
  <c r="B14" i="5"/>
  <c r="H13" i="5"/>
  <c r="G13" i="5"/>
  <c r="F13" i="5"/>
  <c r="E13" i="5"/>
  <c r="D13" i="5"/>
  <c r="C13" i="5"/>
  <c r="B13" i="5"/>
  <c r="H12" i="5"/>
  <c r="G12" i="5"/>
  <c r="F12" i="5"/>
  <c r="E12" i="5"/>
  <c r="D12" i="5"/>
  <c r="C12" i="5"/>
  <c r="B12" i="5"/>
  <c r="H11" i="5"/>
  <c r="G11" i="5"/>
  <c r="F11" i="5"/>
  <c r="E11" i="5"/>
  <c r="E16" i="5" s="1"/>
  <c r="D11" i="5"/>
  <c r="C11" i="5"/>
  <c r="C16" i="5" s="1"/>
  <c r="B11" i="5"/>
  <c r="B16" i="5" s="1"/>
  <c r="R9" i="5"/>
  <c r="Q9" i="5"/>
  <c r="P9" i="5"/>
  <c r="O9" i="5"/>
  <c r="M9" i="5"/>
  <c r="L9" i="5"/>
  <c r="R8" i="5"/>
  <c r="Q8" i="5"/>
  <c r="P8" i="5"/>
  <c r="O8" i="5"/>
  <c r="N8" i="5"/>
  <c r="M8" i="5"/>
  <c r="L8" i="5"/>
  <c r="R7" i="5"/>
  <c r="Q7" i="5"/>
  <c r="P7" i="5"/>
  <c r="O7" i="5"/>
  <c r="N7" i="5"/>
  <c r="M7" i="5"/>
  <c r="L7" i="5"/>
  <c r="R6" i="5"/>
  <c r="Q6" i="5"/>
  <c r="P6" i="5"/>
  <c r="O6" i="5"/>
  <c r="N6" i="5"/>
  <c r="M6" i="5"/>
  <c r="L6" i="5"/>
  <c r="H6" i="5"/>
  <c r="G6" i="5"/>
  <c r="F6" i="5"/>
  <c r="F7" i="5" s="1"/>
  <c r="E6" i="5"/>
  <c r="E7" i="5" s="1"/>
  <c r="D6" i="5"/>
  <c r="D7" i="5" s="1"/>
  <c r="C6" i="5"/>
  <c r="C7" i="5" s="1"/>
  <c r="B6" i="5"/>
  <c r="B7" i="5" s="1"/>
  <c r="R5" i="5"/>
  <c r="Q5" i="5"/>
  <c r="P5" i="5"/>
  <c r="O5" i="5"/>
  <c r="N5" i="5"/>
  <c r="M5" i="5"/>
  <c r="L5" i="5"/>
  <c r="H5" i="5"/>
  <c r="G5" i="5"/>
  <c r="F5" i="5"/>
  <c r="E5" i="5"/>
  <c r="D5" i="5"/>
  <c r="C5" i="5"/>
  <c r="B5" i="5"/>
  <c r="R4" i="5"/>
  <c r="Q4" i="5"/>
  <c r="P4" i="5"/>
  <c r="O4" i="5"/>
  <c r="N4" i="5"/>
  <c r="M4" i="5"/>
  <c r="L4" i="5"/>
  <c r="H4" i="5"/>
  <c r="F4" i="5"/>
  <c r="E4" i="5"/>
  <c r="D4" i="5"/>
  <c r="C4" i="5"/>
  <c r="B4" i="5"/>
  <c r="R3" i="5"/>
  <c r="Q3" i="5"/>
  <c r="P3" i="5"/>
  <c r="O3" i="5"/>
  <c r="N3" i="5"/>
  <c r="M3" i="5"/>
  <c r="L3" i="5"/>
  <c r="G3" i="5"/>
  <c r="F3" i="5"/>
  <c r="E3" i="5"/>
  <c r="D3" i="5"/>
  <c r="C3" i="5"/>
  <c r="B3" i="5"/>
  <c r="AF36" i="16" l="1"/>
  <c r="AF33" i="16"/>
  <c r="AF28" i="16"/>
  <c r="AF27" i="16"/>
  <c r="AF24" i="16"/>
  <c r="AF21" i="16"/>
  <c r="AF20" i="16"/>
  <c r="AC41" i="16"/>
  <c r="Y41" i="16"/>
  <c r="U41" i="16"/>
  <c r="Q41" i="16"/>
  <c r="M41" i="16"/>
  <c r="AG41" i="16"/>
  <c r="R25" i="5"/>
  <c r="H16" i="5"/>
  <c r="G16" i="5"/>
  <c r="F16" i="5"/>
  <c r="P12" i="5"/>
  <c r="O12" i="5"/>
  <c r="N12" i="5"/>
  <c r="AF32" i="16"/>
  <c r="L128" i="5"/>
  <c r="R128" i="5"/>
  <c r="S128" i="5" s="1"/>
  <c r="P128" i="5"/>
  <c r="R125" i="5"/>
  <c r="S125" i="5" s="1"/>
  <c r="P125" i="5"/>
  <c r="Q122" i="5"/>
  <c r="R122" i="5" s="1"/>
  <c r="S122" i="5" s="1"/>
  <c r="O122" i="5"/>
  <c r="Q118" i="5"/>
  <c r="R118" i="5" s="1"/>
  <c r="S118" i="5" s="1"/>
  <c r="O118" i="5"/>
  <c r="O115" i="5"/>
  <c r="L115" i="5"/>
  <c r="Q115" i="5"/>
  <c r="R115" i="5" s="1"/>
  <c r="S115" i="5" s="1"/>
  <c r="Q112" i="5"/>
  <c r="R112" i="5" s="1"/>
  <c r="S112" i="5" s="1"/>
  <c r="O112" i="5"/>
  <c r="K112" i="5"/>
  <c r="L112" i="5" s="1"/>
  <c r="P109" i="5"/>
  <c r="K109" i="5"/>
  <c r="R109" i="5"/>
  <c r="S109" i="5" s="1"/>
  <c r="N109" i="5"/>
  <c r="R106" i="5"/>
  <c r="S106" i="5" s="1"/>
  <c r="P106" i="5"/>
  <c r="R103" i="5"/>
  <c r="S103" i="5" s="1"/>
  <c r="P103" i="5"/>
  <c r="O100" i="5"/>
  <c r="M100" i="5"/>
  <c r="Q100" i="5"/>
  <c r="R100" i="5" s="1"/>
  <c r="S100" i="5" s="1"/>
  <c r="Q94" i="5"/>
  <c r="R94" i="5" s="1"/>
  <c r="S94" i="5" s="1"/>
  <c r="L94" i="5"/>
  <c r="N94" i="5"/>
  <c r="O94" i="5" s="1"/>
  <c r="N89" i="5"/>
  <c r="O89" i="5" s="1"/>
  <c r="K89" i="5"/>
  <c r="L89" i="5" s="1"/>
  <c r="Q89" i="5"/>
  <c r="R89" i="5" s="1"/>
  <c r="S89" i="5" s="1"/>
  <c r="K88" i="5"/>
  <c r="L88" i="5" s="1"/>
  <c r="M88" i="5" s="1"/>
  <c r="N88" i="5" s="1"/>
  <c r="O88" i="5" s="1"/>
  <c r="P88" i="5" s="1"/>
  <c r="R88" i="5"/>
  <c r="S88" i="5" s="1"/>
  <c r="Q87" i="5"/>
  <c r="R87" i="5" s="1"/>
  <c r="S87" i="5" s="1"/>
  <c r="K87" i="5"/>
  <c r="L87" i="5" s="1"/>
  <c r="M87" i="5" s="1"/>
  <c r="N87" i="5" s="1"/>
  <c r="O87" i="5" s="1"/>
  <c r="N85" i="5"/>
  <c r="O85" i="5" s="1"/>
  <c r="P85" i="5" s="1"/>
  <c r="Q85" i="5" s="1"/>
  <c r="R85" i="5" s="1"/>
  <c r="S85" i="5" s="1"/>
  <c r="K85" i="5"/>
  <c r="L85" i="5" s="1"/>
  <c r="O30" i="5"/>
  <c r="P30" i="5" s="1"/>
  <c r="Q30" i="5" s="1"/>
  <c r="R30" i="5" s="1"/>
  <c r="S30" i="5" s="1"/>
  <c r="K30" i="5"/>
  <c r="L30" i="5" s="1"/>
  <c r="M30" i="5" s="1"/>
  <c r="P28" i="5"/>
  <c r="Q28" i="5" s="1"/>
  <c r="R28" i="5" s="1"/>
  <c r="S28" i="5" s="1"/>
  <c r="L28" i="5"/>
  <c r="M28" i="5" s="1"/>
  <c r="N28" i="5" s="1"/>
  <c r="AF14" i="16"/>
  <c r="AF41" i="16" s="1"/>
  <c r="E41" i="16"/>
  <c r="K29" i="5"/>
  <c r="L29" i="5" s="1"/>
  <c r="M29" i="5" s="1"/>
  <c r="N29" i="5" s="1"/>
  <c r="K48" i="5"/>
  <c r="L48" i="5" s="1"/>
  <c r="M48" i="5" s="1"/>
  <c r="N48" i="5" s="1"/>
  <c r="L12" i="5"/>
  <c r="H7" i="5"/>
  <c r="D5" i="10"/>
  <c r="P25" i="5"/>
  <c r="M12" i="5"/>
  <c r="G7" i="5"/>
  <c r="C18" i="5"/>
  <c r="E5" i="10" s="1"/>
  <c r="Q25" i="5"/>
  <c r="Q12" i="5"/>
  <c r="P97" i="5"/>
  <c r="R97" i="5"/>
  <c r="S97" i="5" s="1"/>
  <c r="R12" i="5"/>
  <c r="K97" i="5"/>
  <c r="K51" i="5"/>
  <c r="L51" i="5" s="1"/>
  <c r="M51" i="5" s="1"/>
  <c r="L25" i="5"/>
  <c r="K36" i="5"/>
  <c r="K86" i="5"/>
  <c r="M97" i="5"/>
  <c r="N97" i="5" s="1"/>
  <c r="M25" i="5"/>
  <c r="M34" i="5"/>
  <c r="N34" i="5" s="1"/>
  <c r="O34" i="5" s="1"/>
  <c r="P34" i="5" s="1"/>
  <c r="K34" i="5"/>
  <c r="M36" i="5"/>
  <c r="N36" i="5" s="1"/>
  <c r="O36" i="5" s="1"/>
  <c r="M86" i="5"/>
  <c r="N86" i="5" s="1"/>
  <c r="M103" i="5"/>
  <c r="L122" i="5"/>
  <c r="N25" i="5"/>
  <c r="O51" i="5"/>
  <c r="P51" i="5" s="1"/>
  <c r="D16" i="5"/>
  <c r="D18" i="5" s="1"/>
  <c r="F5" i="10" s="1"/>
  <c r="O25" i="5"/>
  <c r="K125" i="5"/>
  <c r="M106" i="5"/>
  <c r="L118" i="5"/>
  <c r="N125" i="5"/>
  <c r="H18" i="5" l="1"/>
  <c r="J5" i="10" s="1"/>
  <c r="G18" i="5"/>
  <c r="I5" i="10" s="1"/>
  <c r="E18" i="5"/>
  <c r="F18" i="5"/>
  <c r="H5" i="10" s="1"/>
  <c r="G5" i="10" l="1"/>
  <c r="I18" i="5"/>
  <c r="I20" i="5" s="1"/>
  <c r="BT136" i="4"/>
  <c r="BR136" i="4"/>
  <c r="BT135" i="4"/>
  <c r="BR135" i="4"/>
  <c r="E135" i="4"/>
  <c r="E136" i="4" s="1"/>
  <c r="H136" i="4" s="1"/>
  <c r="K136" i="4" s="1"/>
  <c r="L136" i="4" s="1"/>
  <c r="M136" i="4" s="1"/>
  <c r="N136" i="4" s="1"/>
  <c r="O136" i="4" s="1"/>
  <c r="P136" i="4" s="1"/>
  <c r="Q136" i="4" s="1"/>
  <c r="R136" i="4" s="1"/>
  <c r="S136" i="4" s="1"/>
  <c r="BT134" i="4"/>
  <c r="BR134" i="4"/>
  <c r="H134" i="4"/>
  <c r="K134" i="4" s="1"/>
  <c r="L134" i="4" s="1"/>
  <c r="M134" i="4" s="1"/>
  <c r="N134" i="4" s="1"/>
  <c r="O134" i="4" s="1"/>
  <c r="P134" i="4" s="1"/>
  <c r="Q134" i="4" s="1"/>
  <c r="R134" i="4" s="1"/>
  <c r="S134" i="4" s="1"/>
  <c r="F134" i="4"/>
  <c r="BT133" i="4"/>
  <c r="BR133" i="4"/>
  <c r="BT132" i="4"/>
  <c r="BR132" i="4"/>
  <c r="E132" i="4"/>
  <c r="E133" i="4" s="1"/>
  <c r="H133" i="4" s="1"/>
  <c r="K133" i="4" s="1"/>
  <c r="L133" i="4" s="1"/>
  <c r="M133" i="4" s="1"/>
  <c r="N133" i="4" s="1"/>
  <c r="O133" i="4" s="1"/>
  <c r="P133" i="4" s="1"/>
  <c r="Q133" i="4" s="1"/>
  <c r="R133" i="4" s="1"/>
  <c r="S133" i="4" s="1"/>
  <c r="BT131" i="4"/>
  <c r="BR131" i="4"/>
  <c r="F131" i="4" s="1"/>
  <c r="H131" i="4"/>
  <c r="BT130" i="4"/>
  <c r="BR130" i="4"/>
  <c r="BT129" i="4"/>
  <c r="BR129" i="4"/>
  <c r="E129" i="4"/>
  <c r="E130" i="4" s="1"/>
  <c r="H130" i="4" s="1"/>
  <c r="K130" i="4" s="1"/>
  <c r="L130" i="4" s="1"/>
  <c r="M130" i="4" s="1"/>
  <c r="N130" i="4" s="1"/>
  <c r="O130" i="4" s="1"/>
  <c r="P130" i="4" s="1"/>
  <c r="Q130" i="4" s="1"/>
  <c r="R130" i="4" s="1"/>
  <c r="S130" i="4" s="1"/>
  <c r="BT128" i="4"/>
  <c r="BR128" i="4"/>
  <c r="F128" i="4" s="1"/>
  <c r="H128" i="4"/>
  <c r="BT127" i="4"/>
  <c r="BR127" i="4"/>
  <c r="BT126" i="4"/>
  <c r="BR126" i="4"/>
  <c r="E126" i="4"/>
  <c r="BT125" i="4"/>
  <c r="BR125" i="4"/>
  <c r="H125" i="4"/>
  <c r="F125" i="4"/>
  <c r="BT124" i="4"/>
  <c r="BR124" i="4"/>
  <c r="BT123" i="4"/>
  <c r="BR123" i="4"/>
  <c r="E123" i="4"/>
  <c r="E124" i="4" s="1"/>
  <c r="H124" i="4" s="1"/>
  <c r="K124" i="4" s="1"/>
  <c r="L124" i="4" s="1"/>
  <c r="M124" i="4" s="1"/>
  <c r="N124" i="4" s="1"/>
  <c r="O124" i="4" s="1"/>
  <c r="P124" i="4" s="1"/>
  <c r="Q124" i="4" s="1"/>
  <c r="R124" i="4" s="1"/>
  <c r="S124" i="4" s="1"/>
  <c r="BT122" i="4"/>
  <c r="BR122" i="4"/>
  <c r="H122" i="4"/>
  <c r="F122" i="4"/>
  <c r="BT121" i="4"/>
  <c r="BR121" i="4"/>
  <c r="BT120" i="4"/>
  <c r="BR120" i="4"/>
  <c r="BT119" i="4"/>
  <c r="BR119" i="4"/>
  <c r="BT118" i="4"/>
  <c r="BR118" i="4"/>
  <c r="F118" i="4" s="1"/>
  <c r="BT117" i="4"/>
  <c r="BR117" i="4"/>
  <c r="BT116" i="4"/>
  <c r="BR116" i="4"/>
  <c r="E116" i="4"/>
  <c r="BT115" i="4"/>
  <c r="BR115" i="4"/>
  <c r="H115" i="4"/>
  <c r="F115" i="4"/>
  <c r="BT114" i="4"/>
  <c r="BR114" i="4"/>
  <c r="BT113" i="4"/>
  <c r="BR113" i="4"/>
  <c r="E113" i="4"/>
  <c r="BT112" i="4"/>
  <c r="BR112" i="4"/>
  <c r="F112" i="4" s="1"/>
  <c r="H112" i="4"/>
  <c r="L112" i="4" s="1"/>
  <c r="M112" i="4" s="1"/>
  <c r="N112" i="4" s="1"/>
  <c r="BT111" i="4"/>
  <c r="BR111" i="4"/>
  <c r="BT110" i="4"/>
  <c r="BR110" i="4"/>
  <c r="E110" i="4"/>
  <c r="BT109" i="4"/>
  <c r="BR109" i="4"/>
  <c r="F109" i="4" s="1"/>
  <c r="H109" i="4"/>
  <c r="BT108" i="4"/>
  <c r="BR108" i="4"/>
  <c r="H108" i="4"/>
  <c r="K108" i="4" s="1"/>
  <c r="L108" i="4" s="1"/>
  <c r="M108" i="4" s="1"/>
  <c r="N108" i="4" s="1"/>
  <c r="O108" i="4" s="1"/>
  <c r="P108" i="4" s="1"/>
  <c r="Q108" i="4" s="1"/>
  <c r="R108" i="4" s="1"/>
  <c r="S108" i="4" s="1"/>
  <c r="BT107" i="4"/>
  <c r="BR107" i="4"/>
  <c r="H107" i="4"/>
  <c r="K107" i="4" s="1"/>
  <c r="L107" i="4" s="1"/>
  <c r="M107" i="4" s="1"/>
  <c r="N107" i="4" s="1"/>
  <c r="O107" i="4" s="1"/>
  <c r="P107" i="4" s="1"/>
  <c r="Q107" i="4" s="1"/>
  <c r="R107" i="4" s="1"/>
  <c r="S107" i="4" s="1"/>
  <c r="BT106" i="4"/>
  <c r="BR106" i="4"/>
  <c r="H106" i="4"/>
  <c r="F106" i="4"/>
  <c r="BT105" i="4"/>
  <c r="BR105" i="4"/>
  <c r="H105" i="4"/>
  <c r="K105" i="4" s="1"/>
  <c r="L105" i="4" s="1"/>
  <c r="M105" i="4" s="1"/>
  <c r="N105" i="4" s="1"/>
  <c r="O105" i="4" s="1"/>
  <c r="P105" i="4" s="1"/>
  <c r="Q105" i="4" s="1"/>
  <c r="R105" i="4" s="1"/>
  <c r="S105" i="4" s="1"/>
  <c r="BT104" i="4"/>
  <c r="BR104" i="4"/>
  <c r="H104" i="4"/>
  <c r="K104" i="4" s="1"/>
  <c r="L104" i="4" s="1"/>
  <c r="M104" i="4" s="1"/>
  <c r="N104" i="4" s="1"/>
  <c r="O104" i="4" s="1"/>
  <c r="P104" i="4" s="1"/>
  <c r="Q104" i="4" s="1"/>
  <c r="R104" i="4" s="1"/>
  <c r="S104" i="4" s="1"/>
  <c r="BT103" i="4"/>
  <c r="BR103" i="4"/>
  <c r="F103" i="4" s="1"/>
  <c r="H103" i="4"/>
  <c r="BT102" i="4"/>
  <c r="BR102" i="4"/>
  <c r="H102" i="4"/>
  <c r="K102" i="4" s="1"/>
  <c r="L102" i="4" s="1"/>
  <c r="M102" i="4" s="1"/>
  <c r="N102" i="4" s="1"/>
  <c r="O102" i="4" s="1"/>
  <c r="P102" i="4" s="1"/>
  <c r="Q102" i="4" s="1"/>
  <c r="R102" i="4" s="1"/>
  <c r="S102" i="4" s="1"/>
  <c r="BT101" i="4"/>
  <c r="BR101" i="4"/>
  <c r="H101" i="4"/>
  <c r="K101" i="4" s="1"/>
  <c r="L101" i="4" s="1"/>
  <c r="M101" i="4" s="1"/>
  <c r="N101" i="4" s="1"/>
  <c r="O101" i="4" s="1"/>
  <c r="P101" i="4" s="1"/>
  <c r="Q101" i="4" s="1"/>
  <c r="R101" i="4" s="1"/>
  <c r="S101" i="4" s="1"/>
  <c r="BT100" i="4"/>
  <c r="BR100" i="4"/>
  <c r="H100" i="4"/>
  <c r="K100" i="4" s="1"/>
  <c r="L100" i="4" s="1"/>
  <c r="M100" i="4" s="1"/>
  <c r="N100" i="4" s="1"/>
  <c r="O100" i="4" s="1"/>
  <c r="P100" i="4" s="1"/>
  <c r="Q100" i="4" s="1"/>
  <c r="R100" i="4" s="1"/>
  <c r="S100" i="4" s="1"/>
  <c r="F100" i="4"/>
  <c r="BT99" i="4"/>
  <c r="BR99" i="4"/>
  <c r="H99" i="4"/>
  <c r="BT98" i="4"/>
  <c r="BR98" i="4"/>
  <c r="H98" i="4"/>
  <c r="K98" i="4" s="1"/>
  <c r="L98" i="4" s="1"/>
  <c r="M98" i="4" s="1"/>
  <c r="N98" i="4" s="1"/>
  <c r="O98" i="4" s="1"/>
  <c r="P98" i="4" s="1"/>
  <c r="Q98" i="4" s="1"/>
  <c r="R98" i="4" s="1"/>
  <c r="S98" i="4" s="1"/>
  <c r="BT97" i="4"/>
  <c r="BR97" i="4"/>
  <c r="H97" i="4"/>
  <c r="K97" i="4" s="1"/>
  <c r="L97" i="4" s="1"/>
  <c r="M97" i="4" s="1"/>
  <c r="N97" i="4" s="1"/>
  <c r="O97" i="4" s="1"/>
  <c r="P97" i="4" s="1"/>
  <c r="Q97" i="4" s="1"/>
  <c r="R97" i="4" s="1"/>
  <c r="S97" i="4" s="1"/>
  <c r="F97" i="4"/>
  <c r="BT96" i="4"/>
  <c r="BR96" i="4"/>
  <c r="H96" i="4"/>
  <c r="K96" i="4" s="1"/>
  <c r="L96" i="4" s="1"/>
  <c r="M96" i="4" s="1"/>
  <c r="N96" i="4" s="1"/>
  <c r="O96" i="4" s="1"/>
  <c r="P96" i="4" s="1"/>
  <c r="Q96" i="4" s="1"/>
  <c r="R96" i="4" s="1"/>
  <c r="S96" i="4" s="1"/>
  <c r="BT95" i="4"/>
  <c r="BR95" i="4"/>
  <c r="H95" i="4"/>
  <c r="K95" i="4" s="1"/>
  <c r="L95" i="4" s="1"/>
  <c r="M95" i="4" s="1"/>
  <c r="N95" i="4" s="1"/>
  <c r="O95" i="4" s="1"/>
  <c r="P95" i="4" s="1"/>
  <c r="Q95" i="4" s="1"/>
  <c r="R95" i="4" s="1"/>
  <c r="S95" i="4" s="1"/>
  <c r="BT94" i="4"/>
  <c r="BR94" i="4"/>
  <c r="F94" i="4" s="1"/>
  <c r="H94" i="4"/>
  <c r="R94" i="4" s="1"/>
  <c r="S94" i="4" s="1"/>
  <c r="BP91" i="4"/>
  <c r="BO91" i="4"/>
  <c r="BN91" i="4"/>
  <c r="BM91" i="4"/>
  <c r="BL91" i="4"/>
  <c r="BK91" i="4"/>
  <c r="BJ91" i="4"/>
  <c r="BI91" i="4"/>
  <c r="BH91" i="4"/>
  <c r="BG91" i="4"/>
  <c r="BF91" i="4"/>
  <c r="BE91" i="4"/>
  <c r="BD91" i="4"/>
  <c r="BC91" i="4"/>
  <c r="BB91" i="4"/>
  <c r="BA91" i="4"/>
  <c r="AZ91" i="4"/>
  <c r="AY91" i="4"/>
  <c r="AX91" i="4"/>
  <c r="AW91" i="4"/>
  <c r="AV91" i="4"/>
  <c r="AU91" i="4"/>
  <c r="AT91" i="4"/>
  <c r="AS91" i="4"/>
  <c r="AR91" i="4"/>
  <c r="AQ91" i="4"/>
  <c r="AP91" i="4"/>
  <c r="AO91" i="4"/>
  <c r="AN91" i="4"/>
  <c r="AM91" i="4"/>
  <c r="AL91" i="4"/>
  <c r="AK91" i="4"/>
  <c r="AJ91" i="4"/>
  <c r="AI91" i="4"/>
  <c r="AH91" i="4"/>
  <c r="AG91" i="4"/>
  <c r="AF91" i="4"/>
  <c r="AE91" i="4"/>
  <c r="AD91" i="4"/>
  <c r="AC91" i="4"/>
  <c r="AB91" i="4"/>
  <c r="AA91" i="4"/>
  <c r="Z91" i="4"/>
  <c r="BT90" i="4"/>
  <c r="BR90" i="4"/>
  <c r="F90" i="4" s="1"/>
  <c r="H90" i="4"/>
  <c r="BT89" i="4"/>
  <c r="BR89" i="4"/>
  <c r="F89" i="4" s="1"/>
  <c r="H89" i="4"/>
  <c r="BT88" i="4"/>
  <c r="BR88" i="4"/>
  <c r="H88" i="4"/>
  <c r="F88" i="4"/>
  <c r="BT87" i="4"/>
  <c r="BR87" i="4"/>
  <c r="H87" i="4"/>
  <c r="L87" i="4" s="1"/>
  <c r="M87" i="4" s="1"/>
  <c r="N87" i="4" s="1"/>
  <c r="O87" i="4" s="1"/>
  <c r="P87" i="4" s="1"/>
  <c r="Q87" i="4" s="1"/>
  <c r="R87" i="4" s="1"/>
  <c r="S87" i="4" s="1"/>
  <c r="F87" i="4"/>
  <c r="BT86" i="4"/>
  <c r="BR86" i="4"/>
  <c r="H86" i="4"/>
  <c r="L86" i="4" s="1"/>
  <c r="M86" i="4" s="1"/>
  <c r="N86" i="4" s="1"/>
  <c r="O86" i="4" s="1"/>
  <c r="P86" i="4" s="1"/>
  <c r="Q86" i="4" s="1"/>
  <c r="R86" i="4" s="1"/>
  <c r="S86" i="4" s="1"/>
  <c r="F86" i="4"/>
  <c r="BT85" i="4"/>
  <c r="BQ85" i="4"/>
  <c r="H85" i="4"/>
  <c r="BP77" i="4"/>
  <c r="H77" i="4"/>
  <c r="K77" i="4" s="1"/>
  <c r="L77" i="4" s="1"/>
  <c r="M77" i="4" s="1"/>
  <c r="N77" i="4" s="1"/>
  <c r="O77" i="4" s="1"/>
  <c r="P77" i="4" s="1"/>
  <c r="Q77" i="4" s="1"/>
  <c r="R77" i="4" s="1"/>
  <c r="S77" i="4" s="1"/>
  <c r="F77" i="4"/>
  <c r="BP76" i="4"/>
  <c r="H76" i="4"/>
  <c r="K76" i="4" s="1"/>
  <c r="L76" i="4" s="1"/>
  <c r="M76" i="4" s="1"/>
  <c r="N76" i="4" s="1"/>
  <c r="O76" i="4" s="1"/>
  <c r="P76" i="4" s="1"/>
  <c r="Q76" i="4" s="1"/>
  <c r="R76" i="4" s="1"/>
  <c r="S76" i="4" s="1"/>
  <c r="F76" i="4"/>
  <c r="BP75" i="4"/>
  <c r="H75" i="4"/>
  <c r="K75" i="4" s="1"/>
  <c r="L75" i="4" s="1"/>
  <c r="M75" i="4" s="1"/>
  <c r="N75" i="4" s="1"/>
  <c r="O75" i="4" s="1"/>
  <c r="P75" i="4" s="1"/>
  <c r="Q75" i="4" s="1"/>
  <c r="R75" i="4" s="1"/>
  <c r="S75" i="4" s="1"/>
  <c r="F75" i="4"/>
  <c r="BP74" i="4"/>
  <c r="H74" i="4"/>
  <c r="K74" i="4" s="1"/>
  <c r="L74" i="4" s="1"/>
  <c r="M74" i="4" s="1"/>
  <c r="N74" i="4" s="1"/>
  <c r="O74" i="4" s="1"/>
  <c r="P74" i="4" s="1"/>
  <c r="Q74" i="4" s="1"/>
  <c r="R74" i="4" s="1"/>
  <c r="S74" i="4" s="1"/>
  <c r="F74" i="4"/>
  <c r="BP73" i="4"/>
  <c r="H73" i="4"/>
  <c r="K73" i="4" s="1"/>
  <c r="L73" i="4" s="1"/>
  <c r="M73" i="4" s="1"/>
  <c r="N73" i="4" s="1"/>
  <c r="O73" i="4" s="1"/>
  <c r="P73" i="4" s="1"/>
  <c r="Q73" i="4" s="1"/>
  <c r="R73" i="4" s="1"/>
  <c r="S73" i="4" s="1"/>
  <c r="F73" i="4"/>
  <c r="BP72" i="4"/>
  <c r="H72" i="4"/>
  <c r="K72" i="4" s="1"/>
  <c r="L72" i="4" s="1"/>
  <c r="M72" i="4" s="1"/>
  <c r="N72" i="4" s="1"/>
  <c r="O72" i="4" s="1"/>
  <c r="P72" i="4" s="1"/>
  <c r="Q72" i="4" s="1"/>
  <c r="R72" i="4" s="1"/>
  <c r="S72" i="4" s="1"/>
  <c r="F72" i="4"/>
  <c r="BP71" i="4"/>
  <c r="H71" i="4"/>
  <c r="K71" i="4" s="1"/>
  <c r="L71" i="4" s="1"/>
  <c r="M71" i="4" s="1"/>
  <c r="N71" i="4" s="1"/>
  <c r="O71" i="4" s="1"/>
  <c r="P71" i="4" s="1"/>
  <c r="Q71" i="4" s="1"/>
  <c r="R71" i="4" s="1"/>
  <c r="S71" i="4" s="1"/>
  <c r="F71" i="4"/>
  <c r="BP70" i="4"/>
  <c r="H70" i="4"/>
  <c r="K70" i="4" s="1"/>
  <c r="L70" i="4" s="1"/>
  <c r="M70" i="4" s="1"/>
  <c r="N70" i="4" s="1"/>
  <c r="O70" i="4" s="1"/>
  <c r="P70" i="4" s="1"/>
  <c r="Q70" i="4" s="1"/>
  <c r="R70" i="4" s="1"/>
  <c r="S70" i="4" s="1"/>
  <c r="F70" i="4"/>
  <c r="BP69" i="4"/>
  <c r="H69" i="4"/>
  <c r="K69" i="4" s="1"/>
  <c r="L69" i="4" s="1"/>
  <c r="M69" i="4" s="1"/>
  <c r="N69" i="4" s="1"/>
  <c r="O69" i="4" s="1"/>
  <c r="P69" i="4" s="1"/>
  <c r="Q69" i="4" s="1"/>
  <c r="R69" i="4" s="1"/>
  <c r="S69" i="4" s="1"/>
  <c r="F69" i="4"/>
  <c r="BP68" i="4"/>
  <c r="H68" i="4"/>
  <c r="K68" i="4" s="1"/>
  <c r="L68" i="4" s="1"/>
  <c r="M68" i="4" s="1"/>
  <c r="N68" i="4" s="1"/>
  <c r="O68" i="4" s="1"/>
  <c r="P68" i="4" s="1"/>
  <c r="Q68" i="4" s="1"/>
  <c r="R68" i="4" s="1"/>
  <c r="S68" i="4" s="1"/>
  <c r="F68" i="4"/>
  <c r="BP67" i="4"/>
  <c r="H67" i="4"/>
  <c r="K67" i="4" s="1"/>
  <c r="L67" i="4" s="1"/>
  <c r="M67" i="4" s="1"/>
  <c r="N67" i="4" s="1"/>
  <c r="O67" i="4" s="1"/>
  <c r="P67" i="4" s="1"/>
  <c r="Q67" i="4" s="1"/>
  <c r="R67" i="4" s="1"/>
  <c r="S67" i="4" s="1"/>
  <c r="F67" i="4"/>
  <c r="BP66" i="4"/>
  <c r="H66" i="4"/>
  <c r="K66" i="4" s="1"/>
  <c r="L66" i="4" s="1"/>
  <c r="M66" i="4" s="1"/>
  <c r="N66" i="4" s="1"/>
  <c r="O66" i="4" s="1"/>
  <c r="P66" i="4" s="1"/>
  <c r="Q66" i="4" s="1"/>
  <c r="R66" i="4" s="1"/>
  <c r="S66" i="4" s="1"/>
  <c r="F66" i="4"/>
  <c r="BO63" i="4"/>
  <c r="BN63" i="4"/>
  <c r="BM63" i="4"/>
  <c r="BL63" i="4"/>
  <c r="BK63" i="4"/>
  <c r="BJ63" i="4"/>
  <c r="BI63" i="4"/>
  <c r="BH63" i="4"/>
  <c r="BG63" i="4"/>
  <c r="BF63" i="4"/>
  <c r="BE63" i="4"/>
  <c r="BD63" i="4"/>
  <c r="BC63" i="4"/>
  <c r="BB63" i="4"/>
  <c r="BA63" i="4"/>
  <c r="AZ63" i="4"/>
  <c r="AY63" i="4"/>
  <c r="AX63" i="4"/>
  <c r="AW63" i="4"/>
  <c r="AV63" i="4"/>
  <c r="AU63" i="4"/>
  <c r="AT63" i="4"/>
  <c r="AS63" i="4"/>
  <c r="AR63" i="4"/>
  <c r="AQ63" i="4"/>
  <c r="AP63" i="4"/>
  <c r="AO63" i="4"/>
  <c r="AN63" i="4"/>
  <c r="AM63" i="4"/>
  <c r="AL63" i="4"/>
  <c r="AK63" i="4"/>
  <c r="AJ63" i="4"/>
  <c r="AI63" i="4"/>
  <c r="AH63" i="4"/>
  <c r="AG63" i="4"/>
  <c r="AF63" i="4"/>
  <c r="AE63" i="4"/>
  <c r="AD63" i="4"/>
  <c r="AC63" i="4"/>
  <c r="AB63" i="4"/>
  <c r="AA63" i="4"/>
  <c r="Z63" i="4"/>
  <c r="BS63" i="4" s="1"/>
  <c r="H62" i="4"/>
  <c r="K62" i="4" s="1"/>
  <c r="L62" i="4" s="1"/>
  <c r="M62" i="4" s="1"/>
  <c r="N62" i="4" s="1"/>
  <c r="O62" i="4" s="1"/>
  <c r="P62" i="4" s="1"/>
  <c r="Q62" i="4" s="1"/>
  <c r="R62" i="4" s="1"/>
  <c r="S62" i="4" s="1"/>
  <c r="F62" i="4"/>
  <c r="H61" i="4"/>
  <c r="K61" i="4" s="1"/>
  <c r="L61" i="4" s="1"/>
  <c r="M61" i="4" s="1"/>
  <c r="N61" i="4" s="1"/>
  <c r="O61" i="4" s="1"/>
  <c r="P61" i="4" s="1"/>
  <c r="Q61" i="4" s="1"/>
  <c r="R61" i="4" s="1"/>
  <c r="S61" i="4" s="1"/>
  <c r="F61" i="4"/>
  <c r="H60" i="4"/>
  <c r="K60" i="4" s="1"/>
  <c r="L60" i="4" s="1"/>
  <c r="M60" i="4" s="1"/>
  <c r="N60" i="4" s="1"/>
  <c r="O60" i="4" s="1"/>
  <c r="P60" i="4" s="1"/>
  <c r="Q60" i="4" s="1"/>
  <c r="R60" i="4" s="1"/>
  <c r="S60" i="4" s="1"/>
  <c r="F60" i="4"/>
  <c r="H59" i="4"/>
  <c r="K59" i="4" s="1"/>
  <c r="L59" i="4" s="1"/>
  <c r="M59" i="4" s="1"/>
  <c r="N59" i="4" s="1"/>
  <c r="O59" i="4" s="1"/>
  <c r="P59" i="4" s="1"/>
  <c r="Q59" i="4" s="1"/>
  <c r="R59" i="4" s="1"/>
  <c r="S59" i="4" s="1"/>
  <c r="F59" i="4"/>
  <c r="H58" i="4"/>
  <c r="K58" i="4" s="1"/>
  <c r="L58" i="4" s="1"/>
  <c r="M58" i="4" s="1"/>
  <c r="N58" i="4" s="1"/>
  <c r="O58" i="4" s="1"/>
  <c r="P58" i="4" s="1"/>
  <c r="Q58" i="4" s="1"/>
  <c r="R58" i="4" s="1"/>
  <c r="S58" i="4" s="1"/>
  <c r="F58" i="4"/>
  <c r="H57" i="4"/>
  <c r="K57" i="4" s="1"/>
  <c r="L57" i="4" s="1"/>
  <c r="M57" i="4" s="1"/>
  <c r="N57" i="4" s="1"/>
  <c r="O57" i="4" s="1"/>
  <c r="P57" i="4" s="1"/>
  <c r="Q57" i="4" s="1"/>
  <c r="R57" i="4" s="1"/>
  <c r="S57" i="4" s="1"/>
  <c r="F57" i="4"/>
  <c r="BT56" i="4"/>
  <c r="H56" i="4"/>
  <c r="K56" i="4" s="1"/>
  <c r="L56" i="4" s="1"/>
  <c r="M56" i="4" s="1"/>
  <c r="N56" i="4" s="1"/>
  <c r="O56" i="4" s="1"/>
  <c r="P56" i="4" s="1"/>
  <c r="Q56" i="4" s="1"/>
  <c r="R56" i="4" s="1"/>
  <c r="S56" i="4" s="1"/>
  <c r="F56" i="4"/>
  <c r="BT55" i="4"/>
  <c r="BR55" i="4"/>
  <c r="F55" i="4" s="1"/>
  <c r="H55" i="4"/>
  <c r="K55" i="4" s="1"/>
  <c r="L55" i="4" s="1"/>
  <c r="M55" i="4" s="1"/>
  <c r="N55" i="4" s="1"/>
  <c r="O55" i="4" s="1"/>
  <c r="P55" i="4" s="1"/>
  <c r="Q55" i="4" s="1"/>
  <c r="R55" i="4" s="1"/>
  <c r="S55" i="4" s="1"/>
  <c r="BT54" i="4"/>
  <c r="BR54" i="4"/>
  <c r="H54" i="4"/>
  <c r="K54" i="4" s="1"/>
  <c r="L54" i="4" s="1"/>
  <c r="M54" i="4" s="1"/>
  <c r="N54" i="4" s="1"/>
  <c r="O54" i="4" s="1"/>
  <c r="P54" i="4" s="1"/>
  <c r="Q54" i="4" s="1"/>
  <c r="R54" i="4" s="1"/>
  <c r="S54" i="4" s="1"/>
  <c r="F54" i="4"/>
  <c r="BT53" i="4"/>
  <c r="BR53" i="4"/>
  <c r="H53" i="4"/>
  <c r="K53" i="4" s="1"/>
  <c r="L53" i="4" s="1"/>
  <c r="M53" i="4" s="1"/>
  <c r="N53" i="4" s="1"/>
  <c r="O53" i="4" s="1"/>
  <c r="P53" i="4" s="1"/>
  <c r="Q53" i="4" s="1"/>
  <c r="R53" i="4" s="1"/>
  <c r="S53" i="4" s="1"/>
  <c r="F53" i="4"/>
  <c r="BT52" i="4"/>
  <c r="BR52" i="4"/>
  <c r="F52" i="4" s="1"/>
  <c r="H52" i="4"/>
  <c r="K52" i="4" s="1"/>
  <c r="L52" i="4" s="1"/>
  <c r="M52" i="4" s="1"/>
  <c r="N52" i="4" s="1"/>
  <c r="O52" i="4" s="1"/>
  <c r="P52" i="4" s="1"/>
  <c r="Q52" i="4" s="1"/>
  <c r="R52" i="4" s="1"/>
  <c r="S52" i="4" s="1"/>
  <c r="BT51" i="4"/>
  <c r="BR51" i="4"/>
  <c r="H51" i="4"/>
  <c r="K51" i="4" s="1"/>
  <c r="L51" i="4" s="1"/>
  <c r="M51" i="4" s="1"/>
  <c r="N51" i="4" s="1"/>
  <c r="O51" i="4" s="1"/>
  <c r="P51" i="4" s="1"/>
  <c r="Q51" i="4" s="1"/>
  <c r="R51" i="4" s="1"/>
  <c r="S51" i="4" s="1"/>
  <c r="F51" i="4"/>
  <c r="BT50" i="4"/>
  <c r="BR50" i="4"/>
  <c r="H50" i="4"/>
  <c r="K50" i="4" s="1"/>
  <c r="L50" i="4" s="1"/>
  <c r="M50" i="4" s="1"/>
  <c r="N50" i="4" s="1"/>
  <c r="O50" i="4" s="1"/>
  <c r="P50" i="4" s="1"/>
  <c r="Q50" i="4" s="1"/>
  <c r="R50" i="4" s="1"/>
  <c r="S50" i="4" s="1"/>
  <c r="F50" i="4"/>
  <c r="BT49" i="4"/>
  <c r="BR49" i="4"/>
  <c r="F49" i="4" s="1"/>
  <c r="H49" i="4"/>
  <c r="K49" i="4" s="1"/>
  <c r="L49" i="4" s="1"/>
  <c r="M49" i="4" s="1"/>
  <c r="N49" i="4" s="1"/>
  <c r="O49" i="4" s="1"/>
  <c r="P49" i="4" s="1"/>
  <c r="Q49" i="4" s="1"/>
  <c r="R49" i="4" s="1"/>
  <c r="S49" i="4" s="1"/>
  <c r="BT48" i="4"/>
  <c r="BR48" i="4"/>
  <c r="H48" i="4"/>
  <c r="K48" i="4" s="1"/>
  <c r="L48" i="4" s="1"/>
  <c r="F48" i="4"/>
  <c r="BT47" i="4"/>
  <c r="H47" i="4"/>
  <c r="K47" i="4" s="1"/>
  <c r="L47" i="4" s="1"/>
  <c r="M47" i="4" s="1"/>
  <c r="N47" i="4" s="1"/>
  <c r="O47" i="4" s="1"/>
  <c r="P47" i="4" s="1"/>
  <c r="Q47" i="4" s="1"/>
  <c r="R47" i="4" s="1"/>
  <c r="S47" i="4" s="1"/>
  <c r="F47" i="4"/>
  <c r="BO42" i="4"/>
  <c r="BN42" i="4"/>
  <c r="BM42" i="4"/>
  <c r="BL42" i="4"/>
  <c r="BK42" i="4"/>
  <c r="BJ42" i="4"/>
  <c r="BI42" i="4"/>
  <c r="BH42" i="4"/>
  <c r="BG42" i="4"/>
  <c r="BF42" i="4"/>
  <c r="BE42" i="4"/>
  <c r="BD42" i="4"/>
  <c r="BC42" i="4"/>
  <c r="BB42" i="4"/>
  <c r="BA42" i="4"/>
  <c r="AZ42" i="4"/>
  <c r="AY42" i="4"/>
  <c r="AX42" i="4"/>
  <c r="AW42" i="4"/>
  <c r="AV42" i="4"/>
  <c r="AU42" i="4"/>
  <c r="AT42" i="4"/>
  <c r="AS42" i="4"/>
  <c r="AR42" i="4"/>
  <c r="AQ42" i="4"/>
  <c r="AP42" i="4"/>
  <c r="AO42" i="4"/>
  <c r="AN42" i="4"/>
  <c r="AM42" i="4"/>
  <c r="AL42" i="4"/>
  <c r="AK42" i="4"/>
  <c r="AJ42" i="4"/>
  <c r="AI42" i="4"/>
  <c r="AH42" i="4"/>
  <c r="AG42" i="4"/>
  <c r="AF42" i="4"/>
  <c r="AE42" i="4"/>
  <c r="AD42" i="4"/>
  <c r="AC42" i="4"/>
  <c r="AB42" i="4"/>
  <c r="AA42" i="4"/>
  <c r="Z42" i="4"/>
  <c r="BT41" i="4"/>
  <c r="H41" i="4"/>
  <c r="K41" i="4" s="1"/>
  <c r="L41" i="4" s="1"/>
  <c r="M41" i="4" s="1"/>
  <c r="N41" i="4" s="1"/>
  <c r="O41" i="4" s="1"/>
  <c r="P41" i="4" s="1"/>
  <c r="Q41" i="4" s="1"/>
  <c r="R41" i="4" s="1"/>
  <c r="S41" i="4" s="1"/>
  <c r="F41" i="4"/>
  <c r="BT40" i="4"/>
  <c r="H40" i="4"/>
  <c r="K40" i="4" s="1"/>
  <c r="L40" i="4" s="1"/>
  <c r="M40" i="4" s="1"/>
  <c r="N40" i="4" s="1"/>
  <c r="O40" i="4" s="1"/>
  <c r="P40" i="4" s="1"/>
  <c r="Q40" i="4" s="1"/>
  <c r="R40" i="4" s="1"/>
  <c r="S40" i="4" s="1"/>
  <c r="F40" i="4"/>
  <c r="BT39" i="4"/>
  <c r="H39" i="4"/>
  <c r="K39" i="4" s="1"/>
  <c r="L39" i="4" s="1"/>
  <c r="M39" i="4" s="1"/>
  <c r="N39" i="4" s="1"/>
  <c r="O39" i="4" s="1"/>
  <c r="P39" i="4" s="1"/>
  <c r="Q39" i="4" s="1"/>
  <c r="R39" i="4" s="1"/>
  <c r="S39" i="4" s="1"/>
  <c r="F39" i="4"/>
  <c r="BT38" i="4"/>
  <c r="L38" i="4"/>
  <c r="M38" i="4" s="1"/>
  <c r="N38" i="4" s="1"/>
  <c r="O38" i="4" s="1"/>
  <c r="P38" i="4" s="1"/>
  <c r="Q38" i="4" s="1"/>
  <c r="R38" i="4" s="1"/>
  <c r="S38" i="4" s="1"/>
  <c r="H38" i="4"/>
  <c r="F38" i="4"/>
  <c r="BT37" i="4"/>
  <c r="H37" i="4"/>
  <c r="M37" i="4" s="1"/>
  <c r="N37" i="4" s="1"/>
  <c r="O37" i="4" s="1"/>
  <c r="P37" i="4" s="1"/>
  <c r="Q37" i="4" s="1"/>
  <c r="R37" i="4" s="1"/>
  <c r="S37" i="4" s="1"/>
  <c r="F37" i="4"/>
  <c r="BT36" i="4"/>
  <c r="BR36" i="4"/>
  <c r="F36" i="4" s="1"/>
  <c r="H36" i="4"/>
  <c r="BT35" i="4"/>
  <c r="H35" i="4"/>
  <c r="F35" i="4"/>
  <c r="BT34" i="4"/>
  <c r="BR34" i="4"/>
  <c r="F34" i="4" s="1"/>
  <c r="H34" i="4"/>
  <c r="K34" i="4" s="1"/>
  <c r="L34" i="4" s="1"/>
  <c r="M34" i="4" s="1"/>
  <c r="N34" i="4" s="1"/>
  <c r="O34" i="4" s="1"/>
  <c r="P34" i="4" s="1"/>
  <c r="Q34" i="4" s="1"/>
  <c r="R34" i="4" s="1"/>
  <c r="S34" i="4" s="1"/>
  <c r="BT33" i="4"/>
  <c r="H33" i="4"/>
  <c r="K33" i="4" s="1"/>
  <c r="L33" i="4" s="1"/>
  <c r="M33" i="4" s="1"/>
  <c r="N33" i="4" s="1"/>
  <c r="O33" i="4" s="1"/>
  <c r="P33" i="4" s="1"/>
  <c r="Q33" i="4" s="1"/>
  <c r="R33" i="4" s="1"/>
  <c r="S33" i="4" s="1"/>
  <c r="F33" i="4"/>
  <c r="BT32" i="4"/>
  <c r="H32" i="4"/>
  <c r="K32" i="4" s="1"/>
  <c r="L32" i="4" s="1"/>
  <c r="M32" i="4" s="1"/>
  <c r="N32" i="4" s="1"/>
  <c r="O32" i="4" s="1"/>
  <c r="P32" i="4" s="1"/>
  <c r="Q32" i="4" s="1"/>
  <c r="R32" i="4" s="1"/>
  <c r="S32" i="4" s="1"/>
  <c r="F32" i="4"/>
  <c r="BT31" i="4"/>
  <c r="H31" i="4"/>
  <c r="K31" i="4" s="1"/>
  <c r="L31" i="4" s="1"/>
  <c r="M31" i="4" s="1"/>
  <c r="N31" i="4" s="1"/>
  <c r="O31" i="4" s="1"/>
  <c r="P31" i="4" s="1"/>
  <c r="Q31" i="4" s="1"/>
  <c r="R31" i="4" s="1"/>
  <c r="S31" i="4" s="1"/>
  <c r="F31" i="4"/>
  <c r="BT30" i="4"/>
  <c r="BR30" i="4"/>
  <c r="H30" i="4"/>
  <c r="K30" i="4" s="1"/>
  <c r="L30" i="4" s="1"/>
  <c r="M30" i="4" s="1"/>
  <c r="N30" i="4" s="1"/>
  <c r="O30" i="4" s="1"/>
  <c r="P30" i="4" s="1"/>
  <c r="Q30" i="4" s="1"/>
  <c r="R30" i="4" s="1"/>
  <c r="S30" i="4" s="1"/>
  <c r="F30" i="4"/>
  <c r="BT29" i="4"/>
  <c r="BR29" i="4"/>
  <c r="H29" i="4"/>
  <c r="K29" i="4" s="1"/>
  <c r="L29" i="4" s="1"/>
  <c r="M29" i="4" s="1"/>
  <c r="N29" i="4" s="1"/>
  <c r="O29" i="4" s="1"/>
  <c r="P29" i="4" s="1"/>
  <c r="Q29" i="4" s="1"/>
  <c r="R29" i="4" s="1"/>
  <c r="S29" i="4" s="1"/>
  <c r="F29" i="4"/>
  <c r="BT28" i="4"/>
  <c r="BR28" i="4"/>
  <c r="F28" i="4" s="1"/>
  <c r="H28" i="4"/>
  <c r="K28" i="4" s="1"/>
  <c r="L28" i="4" s="1"/>
  <c r="M28" i="4" s="1"/>
  <c r="N28" i="4" s="1"/>
  <c r="O28" i="4" s="1"/>
  <c r="P28" i="4" s="1"/>
  <c r="Q28" i="4" s="1"/>
  <c r="R28" i="4" s="1"/>
  <c r="S28" i="4" s="1"/>
  <c r="S21" i="4"/>
  <c r="R21" i="4"/>
  <c r="Q21" i="4"/>
  <c r="P21" i="4"/>
  <c r="O21" i="4"/>
  <c r="N21" i="4"/>
  <c r="M21" i="4"/>
  <c r="L21" i="4"/>
  <c r="S20" i="4"/>
  <c r="R20" i="4"/>
  <c r="Q20" i="4"/>
  <c r="P20" i="4"/>
  <c r="O20" i="4"/>
  <c r="N20" i="4"/>
  <c r="M20" i="4"/>
  <c r="L20" i="4"/>
  <c r="S19" i="4"/>
  <c r="R19" i="4"/>
  <c r="Q19" i="4"/>
  <c r="P19" i="4"/>
  <c r="O19" i="4"/>
  <c r="N19" i="4"/>
  <c r="M19" i="4"/>
  <c r="L19" i="4"/>
  <c r="J19" i="4"/>
  <c r="J20" i="4" s="1"/>
  <c r="S18" i="4"/>
  <c r="R18" i="4"/>
  <c r="Q18" i="4"/>
  <c r="P18" i="4"/>
  <c r="O18" i="4"/>
  <c r="N18" i="4"/>
  <c r="M18" i="4"/>
  <c r="L18" i="4"/>
  <c r="S17" i="4"/>
  <c r="R17" i="4"/>
  <c r="Q17" i="4"/>
  <c r="P17" i="4"/>
  <c r="O17" i="4"/>
  <c r="N17" i="4"/>
  <c r="M17" i="4"/>
  <c r="L17" i="4"/>
  <c r="S16" i="4"/>
  <c r="R16" i="4"/>
  <c r="Q16" i="4"/>
  <c r="Q25" i="4" s="1"/>
  <c r="P16" i="4"/>
  <c r="O16" i="4"/>
  <c r="N16" i="4"/>
  <c r="M16" i="4"/>
  <c r="L16" i="4"/>
  <c r="L25" i="4" s="1"/>
  <c r="I15" i="4"/>
  <c r="H15" i="4"/>
  <c r="G15" i="4"/>
  <c r="F15" i="4"/>
  <c r="E15" i="4"/>
  <c r="D15" i="4"/>
  <c r="C15" i="4"/>
  <c r="B15" i="4"/>
  <c r="I14" i="4"/>
  <c r="I16" i="4" s="1"/>
  <c r="H14" i="4"/>
  <c r="H16" i="4" s="1"/>
  <c r="G14" i="4"/>
  <c r="F14" i="4"/>
  <c r="E14" i="4"/>
  <c r="E16" i="4" s="1"/>
  <c r="D14" i="4"/>
  <c r="C14" i="4"/>
  <c r="B14" i="4"/>
  <c r="I13" i="4"/>
  <c r="H13" i="4"/>
  <c r="G13" i="4"/>
  <c r="F13" i="4"/>
  <c r="E13" i="4"/>
  <c r="D13" i="4"/>
  <c r="C13" i="4"/>
  <c r="B13" i="4"/>
  <c r="I12" i="4"/>
  <c r="H12" i="4"/>
  <c r="G12" i="4"/>
  <c r="F12" i="4"/>
  <c r="E12" i="4"/>
  <c r="D12" i="4"/>
  <c r="C12" i="4"/>
  <c r="B12" i="4"/>
  <c r="I11" i="4"/>
  <c r="H11" i="4"/>
  <c r="G11" i="4"/>
  <c r="F11" i="4"/>
  <c r="E11" i="4"/>
  <c r="D11" i="4"/>
  <c r="C11" i="4"/>
  <c r="B11" i="4"/>
  <c r="S9" i="4"/>
  <c r="R9" i="4"/>
  <c r="Q9" i="4"/>
  <c r="P9" i="4"/>
  <c r="N9" i="4"/>
  <c r="M9" i="4"/>
  <c r="L9" i="4"/>
  <c r="S8" i="4"/>
  <c r="R8" i="4"/>
  <c r="Q8" i="4"/>
  <c r="P8" i="4"/>
  <c r="O8" i="4"/>
  <c r="N8" i="4"/>
  <c r="M8" i="4"/>
  <c r="L8" i="4"/>
  <c r="S7" i="4"/>
  <c r="R7" i="4"/>
  <c r="Q7" i="4"/>
  <c r="P7" i="4"/>
  <c r="O7" i="4"/>
  <c r="N7" i="4"/>
  <c r="M7" i="4"/>
  <c r="L7" i="4"/>
  <c r="S6" i="4"/>
  <c r="R6" i="4"/>
  <c r="Q6" i="4"/>
  <c r="P6" i="4"/>
  <c r="O6" i="4"/>
  <c r="N6" i="4"/>
  <c r="M6" i="4"/>
  <c r="L6" i="4"/>
  <c r="I6" i="4"/>
  <c r="H6" i="4"/>
  <c r="G6" i="4"/>
  <c r="F6" i="4"/>
  <c r="E6" i="4"/>
  <c r="D6" i="4"/>
  <c r="C6" i="4"/>
  <c r="B6" i="4"/>
  <c r="S5" i="4"/>
  <c r="R5" i="4"/>
  <c r="Q5" i="4"/>
  <c r="P5" i="4"/>
  <c r="O5" i="4"/>
  <c r="N5" i="4"/>
  <c r="M5" i="4"/>
  <c r="L5" i="4"/>
  <c r="I5" i="4"/>
  <c r="H5" i="4"/>
  <c r="G5" i="4"/>
  <c r="F5" i="4"/>
  <c r="E5" i="4"/>
  <c r="D5" i="4"/>
  <c r="C5" i="4"/>
  <c r="B5" i="4"/>
  <c r="S4" i="4"/>
  <c r="R4" i="4"/>
  <c r="Q4" i="4"/>
  <c r="P4" i="4"/>
  <c r="N4" i="4"/>
  <c r="N12" i="4" s="1"/>
  <c r="M4" i="4"/>
  <c r="L4" i="4"/>
  <c r="I4" i="4"/>
  <c r="I7" i="4" s="1"/>
  <c r="G4" i="4"/>
  <c r="F4" i="4"/>
  <c r="E4" i="4"/>
  <c r="D4" i="4"/>
  <c r="C4" i="4"/>
  <c r="B4" i="4"/>
  <c r="S3" i="4"/>
  <c r="R3" i="4"/>
  <c r="Q3" i="4"/>
  <c r="P3" i="4"/>
  <c r="O3" i="4"/>
  <c r="N3" i="4"/>
  <c r="M3" i="4"/>
  <c r="L3" i="4"/>
  <c r="H3" i="4"/>
  <c r="G3" i="4"/>
  <c r="F3" i="4"/>
  <c r="E3" i="4"/>
  <c r="D3" i="4"/>
  <c r="C3" i="4"/>
  <c r="B3" i="4"/>
  <c r="AB41" i="14"/>
  <c r="X41" i="14"/>
  <c r="T41" i="14"/>
  <c r="P41" i="14"/>
  <c r="L41" i="14"/>
  <c r="H41" i="14"/>
  <c r="D41" i="14"/>
  <c r="AF40" i="14"/>
  <c r="AE40" i="14"/>
  <c r="AF39" i="14"/>
  <c r="AE39" i="14"/>
  <c r="AF38" i="14"/>
  <c r="AE38" i="14"/>
  <c r="AF37" i="14"/>
  <c r="AE37" i="14"/>
  <c r="AF36" i="14"/>
  <c r="AE36" i="14"/>
  <c r="AF35" i="14"/>
  <c r="AE35" i="14"/>
  <c r="AF34" i="14"/>
  <c r="AE34" i="14"/>
  <c r="AF33" i="14"/>
  <c r="AE33" i="14"/>
  <c r="AF32" i="14"/>
  <c r="AE32" i="14"/>
  <c r="AF31" i="14"/>
  <c r="AE31" i="14"/>
  <c r="AF30" i="14"/>
  <c r="AE30" i="14"/>
  <c r="AF29" i="14"/>
  <c r="AE29" i="14"/>
  <c r="AF28" i="14"/>
  <c r="AE28" i="14"/>
  <c r="AF27" i="14"/>
  <c r="AE27" i="14"/>
  <c r="AF26" i="14"/>
  <c r="AE26" i="14"/>
  <c r="AF25" i="14"/>
  <c r="AE25" i="14"/>
  <c r="AF24" i="14"/>
  <c r="AE24" i="14"/>
  <c r="AF23" i="14"/>
  <c r="AE23" i="14"/>
  <c r="AF22" i="14"/>
  <c r="AE22" i="14"/>
  <c r="AF21" i="14"/>
  <c r="AE21" i="14"/>
  <c r="AF20" i="14"/>
  <c r="AE20" i="14"/>
  <c r="AF19" i="14"/>
  <c r="AE19" i="14"/>
  <c r="AF18" i="14"/>
  <c r="AE18" i="14"/>
  <c r="AF17" i="14"/>
  <c r="AE17" i="14"/>
  <c r="AF16" i="14"/>
  <c r="AE16" i="14"/>
  <c r="AF15" i="14"/>
  <c r="AE15" i="14"/>
  <c r="AF14" i="14"/>
  <c r="AE14" i="14"/>
  <c r="AF13" i="14"/>
  <c r="AE13" i="14"/>
  <c r="AF12" i="14"/>
  <c r="AE12" i="14"/>
  <c r="AF11" i="14"/>
  <c r="AF41" i="14" s="1"/>
  <c r="AE11" i="14"/>
  <c r="N25" i="4" l="1"/>
  <c r="P25" i="4"/>
  <c r="S25" i="4"/>
  <c r="O25" i="4"/>
  <c r="AE41" i="14"/>
  <c r="D16" i="4"/>
  <c r="C16" i="4"/>
  <c r="C7" i="4"/>
  <c r="P12" i="4"/>
  <c r="M12" i="4"/>
  <c r="L12" i="4"/>
  <c r="B7" i="4"/>
  <c r="H126" i="4"/>
  <c r="K126" i="4" s="1"/>
  <c r="L126" i="4" s="1"/>
  <c r="M126" i="4" s="1"/>
  <c r="N126" i="4" s="1"/>
  <c r="O126" i="4" s="1"/>
  <c r="P126" i="4" s="1"/>
  <c r="Q126" i="4" s="1"/>
  <c r="R126" i="4" s="1"/>
  <c r="S126" i="4" s="1"/>
  <c r="E127" i="4"/>
  <c r="H127" i="4" s="1"/>
  <c r="K127" i="4" s="1"/>
  <c r="L127" i="4" s="1"/>
  <c r="M127" i="4" s="1"/>
  <c r="N127" i="4" s="1"/>
  <c r="O127" i="4" s="1"/>
  <c r="P127" i="4" s="1"/>
  <c r="Q127" i="4" s="1"/>
  <c r="R127" i="4" s="1"/>
  <c r="S127" i="4" s="1"/>
  <c r="P125" i="4"/>
  <c r="Q125" i="4" s="1"/>
  <c r="R125" i="4" s="1"/>
  <c r="S125" i="4" s="1"/>
  <c r="L125" i="4"/>
  <c r="M125" i="4" s="1"/>
  <c r="N125" i="4" s="1"/>
  <c r="E117" i="4"/>
  <c r="H116" i="4"/>
  <c r="K116" i="4" s="1"/>
  <c r="L116" i="4" s="1"/>
  <c r="M116" i="4" s="1"/>
  <c r="N116" i="4" s="1"/>
  <c r="O116" i="4" s="1"/>
  <c r="P116" i="4" s="1"/>
  <c r="Q116" i="4" s="1"/>
  <c r="R116" i="4" s="1"/>
  <c r="S116" i="4" s="1"/>
  <c r="R115" i="4"/>
  <c r="S115" i="4" s="1"/>
  <c r="M115" i="4"/>
  <c r="N115" i="4" s="1"/>
  <c r="O115" i="4" s="1"/>
  <c r="P115" i="4" s="1"/>
  <c r="K115" i="4"/>
  <c r="E114" i="4"/>
  <c r="H114" i="4" s="1"/>
  <c r="K114" i="4" s="1"/>
  <c r="L114" i="4" s="1"/>
  <c r="M114" i="4" s="1"/>
  <c r="N114" i="4" s="1"/>
  <c r="O114" i="4" s="1"/>
  <c r="P114" i="4" s="1"/>
  <c r="Q114" i="4" s="1"/>
  <c r="R114" i="4" s="1"/>
  <c r="S114" i="4" s="1"/>
  <c r="H113" i="4"/>
  <c r="K113" i="4" s="1"/>
  <c r="L113" i="4" s="1"/>
  <c r="M113" i="4" s="1"/>
  <c r="N113" i="4" s="1"/>
  <c r="O113" i="4" s="1"/>
  <c r="P113" i="4" s="1"/>
  <c r="Q113" i="4" s="1"/>
  <c r="R113" i="4" s="1"/>
  <c r="S113" i="4" s="1"/>
  <c r="E111" i="4"/>
  <c r="H111" i="4" s="1"/>
  <c r="K111" i="4" s="1"/>
  <c r="L111" i="4" s="1"/>
  <c r="M111" i="4" s="1"/>
  <c r="N111" i="4" s="1"/>
  <c r="O111" i="4" s="1"/>
  <c r="P111" i="4" s="1"/>
  <c r="Q111" i="4" s="1"/>
  <c r="R111" i="4" s="1"/>
  <c r="S111" i="4" s="1"/>
  <c r="H110" i="4"/>
  <c r="K110" i="4" s="1"/>
  <c r="L110" i="4" s="1"/>
  <c r="M110" i="4" s="1"/>
  <c r="N110" i="4" s="1"/>
  <c r="O110" i="4" s="1"/>
  <c r="P110" i="4" s="1"/>
  <c r="Q110" i="4" s="1"/>
  <c r="R110" i="4" s="1"/>
  <c r="S110" i="4" s="1"/>
  <c r="O109" i="4"/>
  <c r="P109" i="4" s="1"/>
  <c r="Q109" i="4" s="1"/>
  <c r="R109" i="4" s="1"/>
  <c r="S109" i="4" s="1"/>
  <c r="L109" i="4"/>
  <c r="M109" i="4" s="1"/>
  <c r="K99" i="4"/>
  <c r="L99" i="4" s="1"/>
  <c r="N99" i="4"/>
  <c r="O99" i="4" s="1"/>
  <c r="P99" i="4" s="1"/>
  <c r="Q99" i="4" s="1"/>
  <c r="R99" i="4" s="1"/>
  <c r="S99" i="4" s="1"/>
  <c r="M90" i="4"/>
  <c r="N90" i="4" s="1"/>
  <c r="O90" i="4" s="1"/>
  <c r="P90" i="4" s="1"/>
  <c r="Q90" i="4" s="1"/>
  <c r="R90" i="4" s="1"/>
  <c r="S90" i="4" s="1"/>
  <c r="K90" i="4"/>
  <c r="M89" i="4"/>
  <c r="N89" i="4" s="1"/>
  <c r="O89" i="4" s="1"/>
  <c r="P89" i="4" s="1"/>
  <c r="Q89" i="4" s="1"/>
  <c r="R89" i="4" s="1"/>
  <c r="S89" i="4" s="1"/>
  <c r="K89" i="4"/>
  <c r="O88" i="4"/>
  <c r="P88" i="4" s="1"/>
  <c r="Q88" i="4" s="1"/>
  <c r="R88" i="4" s="1"/>
  <c r="S88" i="4" s="1"/>
  <c r="K88" i="4"/>
  <c r="L88" i="4" s="1"/>
  <c r="M88" i="4" s="1"/>
  <c r="BQ91" i="4"/>
  <c r="BS91" i="4" s="1"/>
  <c r="BR85" i="4"/>
  <c r="F85" i="4" s="1"/>
  <c r="N85" i="4"/>
  <c r="O85" i="4" s="1"/>
  <c r="P85" i="4" s="1"/>
  <c r="Q85" i="4" s="1"/>
  <c r="R85" i="4" s="1"/>
  <c r="S85" i="4" s="1"/>
  <c r="L85" i="4"/>
  <c r="N35" i="4"/>
  <c r="O35" i="4" s="1"/>
  <c r="P35" i="4" s="1"/>
  <c r="Q35" i="4" s="1"/>
  <c r="R35" i="4" s="1"/>
  <c r="S35" i="4" s="1"/>
  <c r="K35" i="4"/>
  <c r="L35" i="4" s="1"/>
  <c r="O12" i="4"/>
  <c r="BT42" i="4"/>
  <c r="B16" i="4"/>
  <c r="S12" i="4"/>
  <c r="I18" i="4" s="1"/>
  <c r="BT63" i="4"/>
  <c r="K37" i="4"/>
  <c r="P122" i="4"/>
  <c r="Q122" i="4" s="1"/>
  <c r="R122" i="4" s="1"/>
  <c r="S122" i="4" s="1"/>
  <c r="L122" i="4"/>
  <c r="M122" i="4" s="1"/>
  <c r="N122" i="4" s="1"/>
  <c r="M36" i="4"/>
  <c r="N36" i="4" s="1"/>
  <c r="O36" i="4" s="1"/>
  <c r="P36" i="4" s="1"/>
  <c r="Q36" i="4" s="1"/>
  <c r="R36" i="4" s="1"/>
  <c r="S36" i="4" s="1"/>
  <c r="K36" i="4"/>
  <c r="Q12" i="4"/>
  <c r="D7" i="4"/>
  <c r="D18" i="4" s="1"/>
  <c r="E7" i="4"/>
  <c r="R12" i="4"/>
  <c r="F7" i="4"/>
  <c r="G7" i="4"/>
  <c r="F16" i="4"/>
  <c r="BS42" i="4"/>
  <c r="C18" i="4"/>
  <c r="H7" i="4"/>
  <c r="BT91" i="4"/>
  <c r="M48" i="4"/>
  <c r="L45" i="4"/>
  <c r="K103" i="4"/>
  <c r="L103" i="4" s="1"/>
  <c r="N103" i="4"/>
  <c r="O103" i="4" s="1"/>
  <c r="P103" i="4" s="1"/>
  <c r="Q103" i="4" s="1"/>
  <c r="R103" i="4" s="1"/>
  <c r="S103" i="4" s="1"/>
  <c r="K94" i="4"/>
  <c r="L94" i="4" s="1"/>
  <c r="M94" i="4" s="1"/>
  <c r="N94" i="4" s="1"/>
  <c r="O94" i="4" s="1"/>
  <c r="P94" i="4" s="1"/>
  <c r="R25" i="4"/>
  <c r="P112" i="4"/>
  <c r="Q112" i="4" s="1"/>
  <c r="R112" i="4" s="1"/>
  <c r="S112" i="4" s="1"/>
  <c r="B18" i="4"/>
  <c r="G16" i="4"/>
  <c r="M25" i="4"/>
  <c r="R106" i="4"/>
  <c r="S106" i="4" s="1"/>
  <c r="K106" i="4"/>
  <c r="L106" i="4" s="1"/>
  <c r="H123" i="4"/>
  <c r="K123" i="4" s="1"/>
  <c r="L123" i="4" s="1"/>
  <c r="M123" i="4" s="1"/>
  <c r="N123" i="4" s="1"/>
  <c r="O123" i="4" s="1"/>
  <c r="P123" i="4" s="1"/>
  <c r="Q123" i="4" s="1"/>
  <c r="R123" i="4" s="1"/>
  <c r="S123" i="4" s="1"/>
  <c r="N106" i="4"/>
  <c r="O106" i="4" s="1"/>
  <c r="P106" i="4" s="1"/>
  <c r="M131" i="4"/>
  <c r="K131" i="4"/>
  <c r="O131" i="4"/>
  <c r="P131" i="4" s="1"/>
  <c r="Q131" i="4" s="1"/>
  <c r="R131" i="4" s="1"/>
  <c r="S131" i="4" s="1"/>
  <c r="H129" i="4"/>
  <c r="K129" i="4" s="1"/>
  <c r="L129" i="4" s="1"/>
  <c r="M129" i="4" s="1"/>
  <c r="N129" i="4" s="1"/>
  <c r="O129" i="4" s="1"/>
  <c r="P129" i="4" s="1"/>
  <c r="Q129" i="4" s="1"/>
  <c r="R129" i="4" s="1"/>
  <c r="S129" i="4" s="1"/>
  <c r="O128" i="4"/>
  <c r="P128" i="4" s="1"/>
  <c r="Q128" i="4" s="1"/>
  <c r="R128" i="4" s="1"/>
  <c r="S128" i="4" s="1"/>
  <c r="M128" i="4"/>
  <c r="H132" i="4"/>
  <c r="K132" i="4" s="1"/>
  <c r="L132" i="4" s="1"/>
  <c r="M132" i="4" s="1"/>
  <c r="N132" i="4" s="1"/>
  <c r="O132" i="4" s="1"/>
  <c r="P132" i="4" s="1"/>
  <c r="Q132" i="4" s="1"/>
  <c r="R132" i="4" s="1"/>
  <c r="S132" i="4" s="1"/>
  <c r="H135" i="4"/>
  <c r="K135" i="4" s="1"/>
  <c r="L135" i="4" s="1"/>
  <c r="M135" i="4" s="1"/>
  <c r="N135" i="4" s="1"/>
  <c r="O135" i="4" s="1"/>
  <c r="P135" i="4" s="1"/>
  <c r="Q135" i="4" s="1"/>
  <c r="R135" i="4" s="1"/>
  <c r="S135" i="4" s="1"/>
  <c r="F18" i="4" l="1"/>
  <c r="H18" i="4"/>
  <c r="E118" i="4"/>
  <c r="H117" i="4"/>
  <c r="K117" i="4" s="1"/>
  <c r="L117" i="4" s="1"/>
  <c r="M117" i="4" s="1"/>
  <c r="N117" i="4" s="1"/>
  <c r="O117" i="4" s="1"/>
  <c r="P117" i="4" s="1"/>
  <c r="Q117" i="4" s="1"/>
  <c r="R117" i="4" s="1"/>
  <c r="S117" i="4" s="1"/>
  <c r="G18" i="4"/>
  <c r="E119" i="4"/>
  <c r="H118" i="4"/>
  <c r="M45" i="4"/>
  <c r="N48" i="4"/>
  <c r="O48" i="4" s="1"/>
  <c r="P48" i="4" s="1"/>
  <c r="Q48" i="4" s="1"/>
  <c r="R48" i="4" s="1"/>
  <c r="S48" i="4" s="1"/>
  <c r="E18" i="4"/>
  <c r="R118" i="4" l="1"/>
  <c r="S118" i="4" s="1"/>
  <c r="K118" i="4"/>
  <c r="M118" i="4"/>
  <c r="N118" i="4" s="1"/>
  <c r="O118" i="4" s="1"/>
  <c r="P118" i="4" s="1"/>
  <c r="E120" i="4"/>
  <c r="H119" i="4"/>
  <c r="K119" i="4" s="1"/>
  <c r="L119" i="4" s="1"/>
  <c r="M119" i="4" s="1"/>
  <c r="N119" i="4" s="1"/>
  <c r="O119" i="4" s="1"/>
  <c r="P119" i="4" s="1"/>
  <c r="Q119" i="4" s="1"/>
  <c r="R119" i="4" s="1"/>
  <c r="S119" i="4" s="1"/>
  <c r="H120" i="4" l="1"/>
  <c r="K120" i="4" s="1"/>
  <c r="L120" i="4" s="1"/>
  <c r="M120" i="4" s="1"/>
  <c r="N120" i="4" s="1"/>
  <c r="O120" i="4" s="1"/>
  <c r="P120" i="4" s="1"/>
  <c r="Q120" i="4" s="1"/>
  <c r="R120" i="4" s="1"/>
  <c r="S120" i="4" s="1"/>
  <c r="E121" i="4"/>
  <c r="H121" i="4" s="1"/>
  <c r="K121" i="4" s="1"/>
  <c r="L121" i="4" s="1"/>
  <c r="M121" i="4" s="1"/>
  <c r="N121" i="4" s="1"/>
  <c r="O121" i="4" s="1"/>
  <c r="P121" i="4" s="1"/>
  <c r="Q121" i="4" s="1"/>
  <c r="R121" i="4" s="1"/>
  <c r="S121" i="4" s="1"/>
  <c r="AB42" i="15" l="1"/>
  <c r="X42" i="15"/>
  <c r="T42" i="15"/>
  <c r="P42" i="15"/>
  <c r="L42" i="15"/>
  <c r="H42" i="15"/>
  <c r="D42" i="15"/>
  <c r="AF40" i="15"/>
  <c r="AE40" i="15"/>
  <c r="AF39" i="15"/>
  <c r="AE39" i="15"/>
  <c r="AF38" i="15"/>
  <c r="AE38" i="15"/>
  <c r="AF37" i="15"/>
  <c r="AE37" i="15"/>
  <c r="AF36" i="15"/>
  <c r="AE36" i="15"/>
  <c r="AF35" i="15"/>
  <c r="AE35" i="15"/>
  <c r="AF34" i="15"/>
  <c r="AE34" i="15"/>
  <c r="AF33" i="15"/>
  <c r="AE33" i="15"/>
  <c r="AF32" i="15"/>
  <c r="AE32" i="15"/>
  <c r="AF31" i="15"/>
  <c r="AE31" i="15"/>
  <c r="AF30" i="15"/>
  <c r="AE30" i="15"/>
  <c r="AF29" i="15"/>
  <c r="AE29" i="15"/>
  <c r="AF28" i="15"/>
  <c r="AE28" i="15"/>
  <c r="AF27" i="15"/>
  <c r="AE27" i="15"/>
  <c r="AF26" i="15"/>
  <c r="AE26" i="15"/>
  <c r="AF25" i="15"/>
  <c r="AE25" i="15"/>
  <c r="AF24" i="15"/>
  <c r="AE24" i="15"/>
  <c r="AF23" i="15"/>
  <c r="AE23" i="15"/>
  <c r="AF22" i="15"/>
  <c r="AE22" i="15"/>
  <c r="AF21" i="15"/>
  <c r="AE21" i="15"/>
  <c r="AF20" i="15"/>
  <c r="AE20" i="15"/>
  <c r="AF19" i="15"/>
  <c r="AE19" i="15"/>
  <c r="AF18" i="15"/>
  <c r="AE18" i="15"/>
  <c r="AF17" i="15"/>
  <c r="AE17" i="15"/>
  <c r="AF16" i="15"/>
  <c r="AE16" i="15"/>
  <c r="AF15" i="15"/>
  <c r="AE15" i="15"/>
  <c r="AF14" i="15"/>
  <c r="AE14" i="15"/>
  <c r="AF13" i="15"/>
  <c r="AE13" i="15"/>
  <c r="AF12" i="15"/>
  <c r="AE12" i="15"/>
  <c r="AF11" i="15"/>
  <c r="AF42" i="15" s="1"/>
  <c r="AE11" i="15"/>
  <c r="AE42" i="15" s="1"/>
  <c r="BT136" i="8"/>
  <c r="BR136" i="8"/>
  <c r="BT135" i="8"/>
  <c r="BR135" i="8"/>
  <c r="E135" i="8"/>
  <c r="BT134" i="8"/>
  <c r="BR134" i="8"/>
  <c r="H134" i="8"/>
  <c r="K134" i="8" s="1"/>
  <c r="L134" i="8" s="1"/>
  <c r="M134" i="8" s="1"/>
  <c r="N134" i="8" s="1"/>
  <c r="O134" i="8" s="1"/>
  <c r="P134" i="8" s="1"/>
  <c r="Q134" i="8" s="1"/>
  <c r="R134" i="8" s="1"/>
  <c r="S134" i="8" s="1"/>
  <c r="F134" i="8"/>
  <c r="BT133" i="8"/>
  <c r="BR133" i="8"/>
  <c r="K133" i="8"/>
  <c r="L133" i="8" s="1"/>
  <c r="M133" i="8" s="1"/>
  <c r="N133" i="8" s="1"/>
  <c r="O133" i="8" s="1"/>
  <c r="P133" i="8" s="1"/>
  <c r="Q133" i="8" s="1"/>
  <c r="R133" i="8" s="1"/>
  <c r="S133" i="8" s="1"/>
  <c r="BT132" i="8"/>
  <c r="BQ132" i="8"/>
  <c r="BR132" i="8" s="1"/>
  <c r="E132" i="8"/>
  <c r="E133" i="8" s="1"/>
  <c r="H133" i="8" s="1"/>
  <c r="BT131" i="8"/>
  <c r="BQ131" i="8"/>
  <c r="BR131" i="8" s="1"/>
  <c r="H131" i="8"/>
  <c r="K131" i="8" s="1"/>
  <c r="L131" i="8" s="1"/>
  <c r="M131" i="8" s="1"/>
  <c r="N131" i="8" s="1"/>
  <c r="O131" i="8" s="1"/>
  <c r="P131" i="8" s="1"/>
  <c r="Q131" i="8" s="1"/>
  <c r="R131" i="8" s="1"/>
  <c r="S131" i="8" s="1"/>
  <c r="BT130" i="8"/>
  <c r="BR130" i="8"/>
  <c r="BT129" i="8"/>
  <c r="BQ129" i="8"/>
  <c r="BR129" i="8" s="1"/>
  <c r="E129" i="8"/>
  <c r="BT128" i="8"/>
  <c r="BQ128" i="8"/>
  <c r="BR128" i="8" s="1"/>
  <c r="H128" i="8"/>
  <c r="O128" i="8" s="1"/>
  <c r="P128" i="8" s="1"/>
  <c r="Q128" i="8" s="1"/>
  <c r="R128" i="8" s="1"/>
  <c r="S128" i="8" s="1"/>
  <c r="BT127" i="8"/>
  <c r="BR127" i="8"/>
  <c r="BT126" i="8"/>
  <c r="BQ126" i="8"/>
  <c r="BR126" i="8" s="1"/>
  <c r="E126" i="8"/>
  <c r="H126" i="8" s="1"/>
  <c r="K126" i="8" s="1"/>
  <c r="L126" i="8" s="1"/>
  <c r="M126" i="8" s="1"/>
  <c r="N126" i="8" s="1"/>
  <c r="O126" i="8" s="1"/>
  <c r="P126" i="8" s="1"/>
  <c r="Q126" i="8" s="1"/>
  <c r="R126" i="8" s="1"/>
  <c r="S126" i="8" s="1"/>
  <c r="BT125" i="8"/>
  <c r="BQ125" i="8"/>
  <c r="BR125" i="8" s="1"/>
  <c r="F125" i="8" s="1"/>
  <c r="H125" i="8"/>
  <c r="BT124" i="8"/>
  <c r="BR124" i="8"/>
  <c r="BT123" i="8"/>
  <c r="BQ123" i="8"/>
  <c r="BR123" i="8" s="1"/>
  <c r="E123" i="8"/>
  <c r="BT122" i="8"/>
  <c r="BQ122" i="8"/>
  <c r="BR122" i="8" s="1"/>
  <c r="F122" i="8" s="1"/>
  <c r="H122" i="8"/>
  <c r="K122" i="8" s="1"/>
  <c r="BT121" i="8"/>
  <c r="BR121" i="8"/>
  <c r="BT120" i="8"/>
  <c r="BR120" i="8"/>
  <c r="E120" i="8"/>
  <c r="E121" i="8" s="1"/>
  <c r="H121" i="8" s="1"/>
  <c r="K121" i="8" s="1"/>
  <c r="L121" i="8" s="1"/>
  <c r="M121" i="8" s="1"/>
  <c r="N121" i="8" s="1"/>
  <c r="O121" i="8" s="1"/>
  <c r="P121" i="8" s="1"/>
  <c r="Q121" i="8" s="1"/>
  <c r="R121" i="8" s="1"/>
  <c r="S121" i="8" s="1"/>
  <c r="BT119" i="8"/>
  <c r="BQ119" i="8"/>
  <c r="BR119" i="8" s="1"/>
  <c r="H119" i="8"/>
  <c r="K119" i="8" s="1"/>
  <c r="L119" i="8" s="1"/>
  <c r="M119" i="8" s="1"/>
  <c r="N119" i="8" s="1"/>
  <c r="O119" i="8" s="1"/>
  <c r="P119" i="8" s="1"/>
  <c r="Q119" i="8" s="1"/>
  <c r="R119" i="8" s="1"/>
  <c r="S119" i="8" s="1"/>
  <c r="BT118" i="8"/>
  <c r="BQ118" i="8"/>
  <c r="BR118" i="8" s="1"/>
  <c r="H118" i="8"/>
  <c r="BT117" i="8"/>
  <c r="BR117" i="8"/>
  <c r="BT116" i="8"/>
  <c r="BR116" i="8"/>
  <c r="E116" i="8"/>
  <c r="H116" i="8" s="1"/>
  <c r="K116" i="8" s="1"/>
  <c r="L116" i="8" s="1"/>
  <c r="M116" i="8" s="1"/>
  <c r="N116" i="8" s="1"/>
  <c r="O116" i="8" s="1"/>
  <c r="P116" i="8" s="1"/>
  <c r="Q116" i="8" s="1"/>
  <c r="R116" i="8" s="1"/>
  <c r="S116" i="8" s="1"/>
  <c r="BT115" i="8"/>
  <c r="BQ115" i="8"/>
  <c r="BR115" i="8" s="1"/>
  <c r="H115" i="8"/>
  <c r="K115" i="8" s="1"/>
  <c r="L115" i="8" s="1"/>
  <c r="M115" i="8" s="1"/>
  <c r="N115" i="8" s="1"/>
  <c r="O115" i="8" s="1"/>
  <c r="P115" i="8" s="1"/>
  <c r="Q115" i="8" s="1"/>
  <c r="R115" i="8" s="1"/>
  <c r="S115" i="8" s="1"/>
  <c r="F115" i="8"/>
  <c r="BT114" i="8"/>
  <c r="BR114" i="8"/>
  <c r="BT113" i="8"/>
  <c r="BR113" i="8"/>
  <c r="E113" i="8"/>
  <c r="BT112" i="8"/>
  <c r="BQ112" i="8"/>
  <c r="BR112" i="8" s="1"/>
  <c r="F112" i="8" s="1"/>
  <c r="H112" i="8"/>
  <c r="BT111" i="8"/>
  <c r="BR111" i="8"/>
  <c r="BT110" i="8"/>
  <c r="BR110" i="8"/>
  <c r="E110" i="8"/>
  <c r="H110" i="8" s="1"/>
  <c r="BT109" i="8"/>
  <c r="BQ109" i="8"/>
  <c r="BR109" i="8" s="1"/>
  <c r="F109" i="8" s="1"/>
  <c r="H109" i="8"/>
  <c r="BT108" i="8"/>
  <c r="BR108" i="8"/>
  <c r="H108" i="8"/>
  <c r="N108" i="8" s="1"/>
  <c r="O108" i="8" s="1"/>
  <c r="BT107" i="8"/>
  <c r="BR107" i="8"/>
  <c r="H107" i="8"/>
  <c r="BT106" i="8"/>
  <c r="BQ106" i="8"/>
  <c r="BR106" i="8" s="1"/>
  <c r="F106" i="8" s="1"/>
  <c r="H106" i="8"/>
  <c r="BT105" i="8"/>
  <c r="BR105" i="8"/>
  <c r="H105" i="8"/>
  <c r="BT104" i="8"/>
  <c r="BR104" i="8"/>
  <c r="H104" i="8"/>
  <c r="BT103" i="8"/>
  <c r="BR103" i="8"/>
  <c r="F103" i="8" s="1"/>
  <c r="H103" i="8"/>
  <c r="BT102" i="8"/>
  <c r="BR102" i="8"/>
  <c r="H102" i="8"/>
  <c r="BT101" i="8"/>
  <c r="BQ101" i="8"/>
  <c r="BR101" i="8" s="1"/>
  <c r="H101" i="8"/>
  <c r="BT100" i="8"/>
  <c r="BQ100" i="8"/>
  <c r="BR100" i="8" s="1"/>
  <c r="F100" i="8" s="1"/>
  <c r="H100" i="8"/>
  <c r="O100" i="8" s="1"/>
  <c r="P100" i="8" s="1"/>
  <c r="Q100" i="8" s="1"/>
  <c r="R100" i="8" s="1"/>
  <c r="S100" i="8" s="1"/>
  <c r="BT99" i="8"/>
  <c r="BR99" i="8"/>
  <c r="H99" i="8"/>
  <c r="BT98" i="8"/>
  <c r="BQ98" i="8"/>
  <c r="BR98" i="8" s="1"/>
  <c r="H98" i="8"/>
  <c r="BT97" i="8"/>
  <c r="BQ97" i="8"/>
  <c r="BR97" i="8" s="1"/>
  <c r="F97" i="8" s="1"/>
  <c r="H97" i="8"/>
  <c r="BT96" i="8"/>
  <c r="BR96" i="8"/>
  <c r="H96" i="8"/>
  <c r="K96" i="8" s="1"/>
  <c r="L96" i="8" s="1"/>
  <c r="M96" i="8" s="1"/>
  <c r="N96" i="8" s="1"/>
  <c r="O96" i="8" s="1"/>
  <c r="P96" i="8" s="1"/>
  <c r="Q96" i="8" s="1"/>
  <c r="R96" i="8" s="1"/>
  <c r="S96" i="8" s="1"/>
  <c r="BT95" i="8"/>
  <c r="BR95" i="8"/>
  <c r="H95" i="8"/>
  <c r="BT94" i="8"/>
  <c r="BR94" i="8"/>
  <c r="H94" i="8"/>
  <c r="F94" i="8"/>
  <c r="BP91" i="8"/>
  <c r="BO91" i="8"/>
  <c r="BN91" i="8"/>
  <c r="BM91" i="8"/>
  <c r="BL91" i="8"/>
  <c r="BK91" i="8"/>
  <c r="BJ91" i="8"/>
  <c r="BI91" i="8"/>
  <c r="BH91" i="8"/>
  <c r="BG91" i="8"/>
  <c r="BF91" i="8"/>
  <c r="BE91" i="8"/>
  <c r="BD91" i="8"/>
  <c r="BC91" i="8"/>
  <c r="BB91" i="8"/>
  <c r="BA91" i="8"/>
  <c r="AZ91" i="8"/>
  <c r="AY91" i="8"/>
  <c r="AX91" i="8"/>
  <c r="AW91" i="8"/>
  <c r="AV91" i="8"/>
  <c r="AU91" i="8"/>
  <c r="AT91" i="8"/>
  <c r="AS91" i="8"/>
  <c r="AR91" i="8"/>
  <c r="AQ91" i="8"/>
  <c r="AP91" i="8"/>
  <c r="AO91" i="8"/>
  <c r="AN91" i="8"/>
  <c r="AM91" i="8"/>
  <c r="AL91" i="8"/>
  <c r="AK91" i="8"/>
  <c r="AJ91" i="8"/>
  <c r="AI91" i="8"/>
  <c r="AH91" i="8"/>
  <c r="AG91" i="8"/>
  <c r="AF91" i="8"/>
  <c r="AE91" i="8"/>
  <c r="AD91" i="8"/>
  <c r="AC91" i="8"/>
  <c r="AB91" i="8"/>
  <c r="AA91" i="8"/>
  <c r="Z91" i="8"/>
  <c r="BT90" i="8"/>
  <c r="BR90" i="8"/>
  <c r="F90" i="8" s="1"/>
  <c r="H90" i="8"/>
  <c r="BT89" i="8"/>
  <c r="BR89" i="8"/>
  <c r="H89" i="8"/>
  <c r="F89" i="8"/>
  <c r="BT88" i="8"/>
  <c r="BR88" i="8"/>
  <c r="H88" i="8"/>
  <c r="O88" i="8" s="1"/>
  <c r="P88" i="8" s="1"/>
  <c r="Q88" i="8" s="1"/>
  <c r="R88" i="8" s="1"/>
  <c r="S88" i="8" s="1"/>
  <c r="F88" i="8"/>
  <c r="BT87" i="8"/>
  <c r="BR87" i="8"/>
  <c r="F87" i="8" s="1"/>
  <c r="H87" i="8"/>
  <c r="BT86" i="8"/>
  <c r="BR86" i="8"/>
  <c r="H86" i="8"/>
  <c r="L86" i="8" s="1"/>
  <c r="M86" i="8" s="1"/>
  <c r="N86" i="8" s="1"/>
  <c r="O86" i="8" s="1"/>
  <c r="P86" i="8" s="1"/>
  <c r="Q86" i="8" s="1"/>
  <c r="R86" i="8" s="1"/>
  <c r="S86" i="8" s="1"/>
  <c r="F86" i="8"/>
  <c r="BT85" i="8"/>
  <c r="BQ85" i="8"/>
  <c r="H85" i="8"/>
  <c r="L85" i="8" s="1"/>
  <c r="M85" i="8" s="1"/>
  <c r="N85" i="8" s="1"/>
  <c r="O85" i="8" s="1"/>
  <c r="P85" i="8" s="1"/>
  <c r="Q85" i="8" s="1"/>
  <c r="R85" i="8" s="1"/>
  <c r="S85" i="8" s="1"/>
  <c r="BP77" i="8"/>
  <c r="H77" i="8"/>
  <c r="K77" i="8" s="1"/>
  <c r="L77" i="8" s="1"/>
  <c r="M77" i="8" s="1"/>
  <c r="N77" i="8" s="1"/>
  <c r="O77" i="8" s="1"/>
  <c r="P77" i="8" s="1"/>
  <c r="Q77" i="8" s="1"/>
  <c r="R77" i="8" s="1"/>
  <c r="S77" i="8" s="1"/>
  <c r="F77" i="8"/>
  <c r="BP76" i="8"/>
  <c r="H76" i="8"/>
  <c r="K76" i="8" s="1"/>
  <c r="L76" i="8" s="1"/>
  <c r="M76" i="8" s="1"/>
  <c r="N76" i="8" s="1"/>
  <c r="O76" i="8" s="1"/>
  <c r="P76" i="8" s="1"/>
  <c r="Q76" i="8" s="1"/>
  <c r="R76" i="8" s="1"/>
  <c r="S76" i="8" s="1"/>
  <c r="F76" i="8"/>
  <c r="BP75" i="8"/>
  <c r="H75" i="8"/>
  <c r="K75" i="8" s="1"/>
  <c r="L75" i="8" s="1"/>
  <c r="M75" i="8" s="1"/>
  <c r="N75" i="8" s="1"/>
  <c r="O75" i="8" s="1"/>
  <c r="P75" i="8" s="1"/>
  <c r="Q75" i="8" s="1"/>
  <c r="R75" i="8" s="1"/>
  <c r="S75" i="8" s="1"/>
  <c r="F75" i="8"/>
  <c r="BP74" i="8"/>
  <c r="H74" i="8"/>
  <c r="K74" i="8" s="1"/>
  <c r="L74" i="8" s="1"/>
  <c r="M74" i="8" s="1"/>
  <c r="N74" i="8" s="1"/>
  <c r="O74" i="8" s="1"/>
  <c r="P74" i="8" s="1"/>
  <c r="Q74" i="8" s="1"/>
  <c r="R74" i="8" s="1"/>
  <c r="S74" i="8" s="1"/>
  <c r="F74" i="8"/>
  <c r="BP73" i="8"/>
  <c r="H73" i="8"/>
  <c r="K73" i="8" s="1"/>
  <c r="L73" i="8" s="1"/>
  <c r="M73" i="8" s="1"/>
  <c r="N73" i="8" s="1"/>
  <c r="O73" i="8" s="1"/>
  <c r="P73" i="8" s="1"/>
  <c r="Q73" i="8" s="1"/>
  <c r="R73" i="8" s="1"/>
  <c r="S73" i="8" s="1"/>
  <c r="F73" i="8"/>
  <c r="BP72" i="8"/>
  <c r="H72" i="8"/>
  <c r="K72" i="8" s="1"/>
  <c r="L72" i="8" s="1"/>
  <c r="M72" i="8" s="1"/>
  <c r="N72" i="8" s="1"/>
  <c r="O72" i="8" s="1"/>
  <c r="P72" i="8" s="1"/>
  <c r="Q72" i="8" s="1"/>
  <c r="R72" i="8" s="1"/>
  <c r="S72" i="8" s="1"/>
  <c r="F72" i="8"/>
  <c r="BP71" i="8"/>
  <c r="H71" i="8"/>
  <c r="K71" i="8" s="1"/>
  <c r="L71" i="8" s="1"/>
  <c r="M71" i="8" s="1"/>
  <c r="N71" i="8" s="1"/>
  <c r="O71" i="8" s="1"/>
  <c r="P71" i="8" s="1"/>
  <c r="Q71" i="8" s="1"/>
  <c r="R71" i="8" s="1"/>
  <c r="S71" i="8" s="1"/>
  <c r="F71" i="8"/>
  <c r="BP70" i="8"/>
  <c r="H70" i="8"/>
  <c r="K70" i="8" s="1"/>
  <c r="L70" i="8" s="1"/>
  <c r="M70" i="8" s="1"/>
  <c r="N70" i="8" s="1"/>
  <c r="O70" i="8" s="1"/>
  <c r="P70" i="8" s="1"/>
  <c r="Q70" i="8" s="1"/>
  <c r="R70" i="8" s="1"/>
  <c r="S70" i="8" s="1"/>
  <c r="F70" i="8"/>
  <c r="BP69" i="8"/>
  <c r="H69" i="8"/>
  <c r="K69" i="8" s="1"/>
  <c r="L69" i="8" s="1"/>
  <c r="M69" i="8" s="1"/>
  <c r="N69" i="8" s="1"/>
  <c r="O69" i="8" s="1"/>
  <c r="P69" i="8" s="1"/>
  <c r="Q69" i="8" s="1"/>
  <c r="R69" i="8" s="1"/>
  <c r="S69" i="8" s="1"/>
  <c r="F69" i="8"/>
  <c r="BP68" i="8"/>
  <c r="H68" i="8"/>
  <c r="K68" i="8" s="1"/>
  <c r="L68" i="8" s="1"/>
  <c r="M68" i="8" s="1"/>
  <c r="N68" i="8" s="1"/>
  <c r="O68" i="8" s="1"/>
  <c r="P68" i="8" s="1"/>
  <c r="Q68" i="8" s="1"/>
  <c r="R68" i="8" s="1"/>
  <c r="S68" i="8" s="1"/>
  <c r="F68" i="8"/>
  <c r="BP67" i="8"/>
  <c r="H67" i="8"/>
  <c r="K67" i="8" s="1"/>
  <c r="L67" i="8" s="1"/>
  <c r="M67" i="8" s="1"/>
  <c r="N67" i="8" s="1"/>
  <c r="O67" i="8" s="1"/>
  <c r="P67" i="8" s="1"/>
  <c r="Q67" i="8" s="1"/>
  <c r="R67" i="8" s="1"/>
  <c r="S67" i="8" s="1"/>
  <c r="F67" i="8"/>
  <c r="BP66" i="8"/>
  <c r="H66" i="8"/>
  <c r="K66" i="8" s="1"/>
  <c r="L66" i="8" s="1"/>
  <c r="M66" i="8" s="1"/>
  <c r="N66" i="8" s="1"/>
  <c r="O66" i="8" s="1"/>
  <c r="P66" i="8" s="1"/>
  <c r="Q66" i="8" s="1"/>
  <c r="R66" i="8" s="1"/>
  <c r="S66" i="8" s="1"/>
  <c r="F66" i="8"/>
  <c r="BO63" i="8"/>
  <c r="BN63" i="8"/>
  <c r="BM63" i="8"/>
  <c r="BL63" i="8"/>
  <c r="BK63" i="8"/>
  <c r="BJ63" i="8"/>
  <c r="BI63" i="8"/>
  <c r="BH63" i="8"/>
  <c r="BG63" i="8"/>
  <c r="BF63" i="8"/>
  <c r="BE63" i="8"/>
  <c r="BD63" i="8"/>
  <c r="BC63" i="8"/>
  <c r="BB63" i="8"/>
  <c r="BA63" i="8"/>
  <c r="AZ63" i="8"/>
  <c r="AY63" i="8"/>
  <c r="AX63" i="8"/>
  <c r="AW63" i="8"/>
  <c r="AV63" i="8"/>
  <c r="AU63" i="8"/>
  <c r="AT63" i="8"/>
  <c r="AS63" i="8"/>
  <c r="AR63" i="8"/>
  <c r="AQ63" i="8"/>
  <c r="AP63" i="8"/>
  <c r="AO63" i="8"/>
  <c r="AN63" i="8"/>
  <c r="AM63" i="8"/>
  <c r="AL63" i="8"/>
  <c r="AK63" i="8"/>
  <c r="AJ63" i="8"/>
  <c r="AI63" i="8"/>
  <c r="AH63" i="8"/>
  <c r="AG63" i="8"/>
  <c r="AF63" i="8"/>
  <c r="AE63" i="8"/>
  <c r="AD63" i="8"/>
  <c r="AC63" i="8"/>
  <c r="AB63" i="8"/>
  <c r="AA63" i="8"/>
  <c r="Z63" i="8"/>
  <c r="H62" i="8"/>
  <c r="K62" i="8" s="1"/>
  <c r="L62" i="8" s="1"/>
  <c r="M62" i="8" s="1"/>
  <c r="N62" i="8" s="1"/>
  <c r="O62" i="8" s="1"/>
  <c r="P62" i="8" s="1"/>
  <c r="Q62" i="8" s="1"/>
  <c r="R62" i="8" s="1"/>
  <c r="S62" i="8" s="1"/>
  <c r="F62" i="8"/>
  <c r="H61" i="8"/>
  <c r="K61" i="8" s="1"/>
  <c r="L61" i="8" s="1"/>
  <c r="M61" i="8" s="1"/>
  <c r="N61" i="8" s="1"/>
  <c r="O61" i="8" s="1"/>
  <c r="P61" i="8" s="1"/>
  <c r="Q61" i="8" s="1"/>
  <c r="R61" i="8" s="1"/>
  <c r="S61" i="8" s="1"/>
  <c r="F61" i="8"/>
  <c r="K60" i="8"/>
  <c r="L60" i="8" s="1"/>
  <c r="M60" i="8" s="1"/>
  <c r="N60" i="8" s="1"/>
  <c r="O60" i="8" s="1"/>
  <c r="P60" i="8" s="1"/>
  <c r="Q60" i="8" s="1"/>
  <c r="R60" i="8" s="1"/>
  <c r="S60" i="8" s="1"/>
  <c r="H60" i="8"/>
  <c r="F60" i="8"/>
  <c r="H59" i="8"/>
  <c r="K59" i="8" s="1"/>
  <c r="L59" i="8" s="1"/>
  <c r="M59" i="8" s="1"/>
  <c r="N59" i="8" s="1"/>
  <c r="O59" i="8" s="1"/>
  <c r="P59" i="8" s="1"/>
  <c r="Q59" i="8" s="1"/>
  <c r="R59" i="8" s="1"/>
  <c r="S59" i="8" s="1"/>
  <c r="F59" i="8"/>
  <c r="H58" i="8"/>
  <c r="K58" i="8" s="1"/>
  <c r="L58" i="8" s="1"/>
  <c r="M58" i="8" s="1"/>
  <c r="N58" i="8" s="1"/>
  <c r="O58" i="8" s="1"/>
  <c r="P58" i="8" s="1"/>
  <c r="Q58" i="8" s="1"/>
  <c r="R58" i="8" s="1"/>
  <c r="S58" i="8" s="1"/>
  <c r="F58" i="8"/>
  <c r="H57" i="8"/>
  <c r="K57" i="8" s="1"/>
  <c r="L57" i="8" s="1"/>
  <c r="M57" i="8" s="1"/>
  <c r="N57" i="8" s="1"/>
  <c r="O57" i="8" s="1"/>
  <c r="P57" i="8" s="1"/>
  <c r="Q57" i="8" s="1"/>
  <c r="R57" i="8" s="1"/>
  <c r="S57" i="8" s="1"/>
  <c r="F57" i="8"/>
  <c r="BT56" i="8"/>
  <c r="H56" i="8"/>
  <c r="K56" i="8" s="1"/>
  <c r="L56" i="8" s="1"/>
  <c r="M56" i="8" s="1"/>
  <c r="N56" i="8" s="1"/>
  <c r="O56" i="8" s="1"/>
  <c r="P56" i="8" s="1"/>
  <c r="Q56" i="8" s="1"/>
  <c r="R56" i="8" s="1"/>
  <c r="S56" i="8" s="1"/>
  <c r="F56" i="8"/>
  <c r="BT55" i="8"/>
  <c r="BR55" i="8"/>
  <c r="H55" i="8"/>
  <c r="K55" i="8" s="1"/>
  <c r="L55" i="8" s="1"/>
  <c r="M55" i="8" s="1"/>
  <c r="N55" i="8" s="1"/>
  <c r="O55" i="8" s="1"/>
  <c r="P55" i="8" s="1"/>
  <c r="Q55" i="8" s="1"/>
  <c r="R55" i="8" s="1"/>
  <c r="S55" i="8" s="1"/>
  <c r="F55" i="8"/>
  <c r="BT54" i="8"/>
  <c r="BR54" i="8"/>
  <c r="H54" i="8"/>
  <c r="K54" i="8" s="1"/>
  <c r="L54" i="8" s="1"/>
  <c r="M54" i="8" s="1"/>
  <c r="N54" i="8" s="1"/>
  <c r="O54" i="8" s="1"/>
  <c r="P54" i="8" s="1"/>
  <c r="Q54" i="8" s="1"/>
  <c r="R54" i="8" s="1"/>
  <c r="S54" i="8" s="1"/>
  <c r="F54" i="8"/>
  <c r="BT53" i="8"/>
  <c r="BR53" i="8"/>
  <c r="H53" i="8"/>
  <c r="K53" i="8" s="1"/>
  <c r="L53" i="8" s="1"/>
  <c r="M53" i="8" s="1"/>
  <c r="N53" i="8" s="1"/>
  <c r="O53" i="8" s="1"/>
  <c r="P53" i="8" s="1"/>
  <c r="Q53" i="8" s="1"/>
  <c r="R53" i="8" s="1"/>
  <c r="S53" i="8" s="1"/>
  <c r="F53" i="8"/>
  <c r="BT52" i="8"/>
  <c r="BR52" i="8"/>
  <c r="F52" i="8" s="1"/>
  <c r="H52" i="8"/>
  <c r="K52" i="8" s="1"/>
  <c r="L52" i="8" s="1"/>
  <c r="M52" i="8" s="1"/>
  <c r="N52" i="8" s="1"/>
  <c r="O52" i="8" s="1"/>
  <c r="P52" i="8" s="1"/>
  <c r="Q52" i="8" s="1"/>
  <c r="R52" i="8" s="1"/>
  <c r="S52" i="8" s="1"/>
  <c r="BT51" i="8"/>
  <c r="BR51" i="8"/>
  <c r="F51" i="8" s="1"/>
  <c r="H51" i="8"/>
  <c r="K51" i="8" s="1"/>
  <c r="L51" i="8" s="1"/>
  <c r="M51" i="8" s="1"/>
  <c r="N51" i="8" s="1"/>
  <c r="O51" i="8" s="1"/>
  <c r="P51" i="8" s="1"/>
  <c r="Q51" i="8" s="1"/>
  <c r="R51" i="8" s="1"/>
  <c r="S51" i="8" s="1"/>
  <c r="BT50" i="8"/>
  <c r="BR50" i="8"/>
  <c r="F50" i="8" s="1"/>
  <c r="H50" i="8"/>
  <c r="K50" i="8" s="1"/>
  <c r="L50" i="8" s="1"/>
  <c r="M50" i="8" s="1"/>
  <c r="N50" i="8" s="1"/>
  <c r="O50" i="8" s="1"/>
  <c r="P50" i="8" s="1"/>
  <c r="Q50" i="8" s="1"/>
  <c r="R50" i="8" s="1"/>
  <c r="S50" i="8" s="1"/>
  <c r="BT49" i="8"/>
  <c r="BR49" i="8"/>
  <c r="H49" i="8"/>
  <c r="K49" i="8" s="1"/>
  <c r="L49" i="8" s="1"/>
  <c r="M49" i="8" s="1"/>
  <c r="N49" i="8" s="1"/>
  <c r="O49" i="8" s="1"/>
  <c r="P49" i="8" s="1"/>
  <c r="Q49" i="8" s="1"/>
  <c r="R49" i="8" s="1"/>
  <c r="S49" i="8" s="1"/>
  <c r="F49" i="8"/>
  <c r="BT48" i="8"/>
  <c r="BR48" i="8"/>
  <c r="H48" i="8"/>
  <c r="K48" i="8" s="1"/>
  <c r="L48" i="8" s="1"/>
  <c r="F48" i="8"/>
  <c r="BT47" i="8"/>
  <c r="H47" i="8"/>
  <c r="K47" i="8" s="1"/>
  <c r="L47" i="8" s="1"/>
  <c r="M47" i="8" s="1"/>
  <c r="N47" i="8" s="1"/>
  <c r="O47" i="8" s="1"/>
  <c r="P47" i="8" s="1"/>
  <c r="Q47" i="8" s="1"/>
  <c r="R47" i="8" s="1"/>
  <c r="S47" i="8" s="1"/>
  <c r="F47" i="8"/>
  <c r="BO42" i="8"/>
  <c r="BN42" i="8"/>
  <c r="BM42" i="8"/>
  <c r="BL42" i="8"/>
  <c r="BK42" i="8"/>
  <c r="BJ42" i="8"/>
  <c r="BI42" i="8"/>
  <c r="BH42" i="8"/>
  <c r="BG42" i="8"/>
  <c r="BF42" i="8"/>
  <c r="BE42" i="8"/>
  <c r="BD42" i="8"/>
  <c r="BC42" i="8"/>
  <c r="BB42" i="8"/>
  <c r="BA42" i="8"/>
  <c r="AZ42" i="8"/>
  <c r="AY42" i="8"/>
  <c r="AX42" i="8"/>
  <c r="AW42" i="8"/>
  <c r="AV42" i="8"/>
  <c r="AU42" i="8"/>
  <c r="AT42" i="8"/>
  <c r="AS42" i="8"/>
  <c r="AR42" i="8"/>
  <c r="AQ42" i="8"/>
  <c r="AP42" i="8"/>
  <c r="AO42" i="8"/>
  <c r="AN42" i="8"/>
  <c r="AM42" i="8"/>
  <c r="AL42" i="8"/>
  <c r="AK42" i="8"/>
  <c r="AJ42" i="8"/>
  <c r="AI42" i="8"/>
  <c r="AH42" i="8"/>
  <c r="AG42" i="8"/>
  <c r="AF42" i="8"/>
  <c r="AE42" i="8"/>
  <c r="AD42" i="8"/>
  <c r="AC42" i="8"/>
  <c r="AB42" i="8"/>
  <c r="AA42" i="8"/>
  <c r="Z42" i="8"/>
  <c r="BT41" i="8"/>
  <c r="H41" i="8"/>
  <c r="K41" i="8" s="1"/>
  <c r="L41" i="8" s="1"/>
  <c r="M41" i="8" s="1"/>
  <c r="N41" i="8" s="1"/>
  <c r="O41" i="8" s="1"/>
  <c r="P41" i="8" s="1"/>
  <c r="Q41" i="8" s="1"/>
  <c r="R41" i="8" s="1"/>
  <c r="S41" i="8" s="1"/>
  <c r="F41" i="8"/>
  <c r="BT40" i="8"/>
  <c r="H40" i="8"/>
  <c r="K40" i="8" s="1"/>
  <c r="L40" i="8" s="1"/>
  <c r="M40" i="8" s="1"/>
  <c r="N40" i="8" s="1"/>
  <c r="O40" i="8" s="1"/>
  <c r="P40" i="8" s="1"/>
  <c r="Q40" i="8" s="1"/>
  <c r="R40" i="8" s="1"/>
  <c r="S40" i="8" s="1"/>
  <c r="F40" i="8"/>
  <c r="BT39" i="8"/>
  <c r="H39" i="8"/>
  <c r="K39" i="8" s="1"/>
  <c r="L39" i="8" s="1"/>
  <c r="M39" i="8" s="1"/>
  <c r="N39" i="8" s="1"/>
  <c r="O39" i="8" s="1"/>
  <c r="P39" i="8" s="1"/>
  <c r="Q39" i="8" s="1"/>
  <c r="R39" i="8" s="1"/>
  <c r="S39" i="8" s="1"/>
  <c r="F39" i="8"/>
  <c r="BT38" i="8"/>
  <c r="H38" i="8"/>
  <c r="K38" i="8" s="1"/>
  <c r="L38" i="8" s="1"/>
  <c r="M38" i="8" s="1"/>
  <c r="N38" i="8" s="1"/>
  <c r="O38" i="8" s="1"/>
  <c r="P38" i="8" s="1"/>
  <c r="Q38" i="8" s="1"/>
  <c r="R38" i="8" s="1"/>
  <c r="S38" i="8" s="1"/>
  <c r="F38" i="8"/>
  <c r="BT37" i="8"/>
  <c r="H37" i="8"/>
  <c r="K37" i="8" s="1"/>
  <c r="L37" i="8" s="1"/>
  <c r="M37" i="8" s="1"/>
  <c r="N37" i="8" s="1"/>
  <c r="O37" i="8" s="1"/>
  <c r="P37" i="8" s="1"/>
  <c r="Q37" i="8" s="1"/>
  <c r="R37" i="8" s="1"/>
  <c r="S37" i="8" s="1"/>
  <c r="F37" i="8"/>
  <c r="BT36" i="8"/>
  <c r="BR36" i="8"/>
  <c r="F36" i="8" s="1"/>
  <c r="H36" i="8"/>
  <c r="K36" i="8" s="1"/>
  <c r="L36" i="8" s="1"/>
  <c r="M36" i="8" s="1"/>
  <c r="N36" i="8" s="1"/>
  <c r="O36" i="8" s="1"/>
  <c r="P36" i="8" s="1"/>
  <c r="Q36" i="8" s="1"/>
  <c r="R36" i="8" s="1"/>
  <c r="S36" i="8" s="1"/>
  <c r="BT35" i="8"/>
  <c r="H35" i="8"/>
  <c r="K35" i="8" s="1"/>
  <c r="L35" i="8" s="1"/>
  <c r="M35" i="8" s="1"/>
  <c r="N35" i="8" s="1"/>
  <c r="O35" i="8" s="1"/>
  <c r="P35" i="8" s="1"/>
  <c r="Q35" i="8" s="1"/>
  <c r="R35" i="8" s="1"/>
  <c r="S35" i="8" s="1"/>
  <c r="F35" i="8"/>
  <c r="BT34" i="8"/>
  <c r="BR34" i="8"/>
  <c r="F34" i="8" s="1"/>
  <c r="H34" i="8"/>
  <c r="K34" i="8" s="1"/>
  <c r="L34" i="8" s="1"/>
  <c r="M34" i="8" s="1"/>
  <c r="N34" i="8" s="1"/>
  <c r="O34" i="8" s="1"/>
  <c r="P34" i="8" s="1"/>
  <c r="Q34" i="8" s="1"/>
  <c r="R34" i="8" s="1"/>
  <c r="S34" i="8" s="1"/>
  <c r="BT33" i="8"/>
  <c r="H33" i="8"/>
  <c r="K33" i="8" s="1"/>
  <c r="L33" i="8" s="1"/>
  <c r="M33" i="8" s="1"/>
  <c r="N33" i="8" s="1"/>
  <c r="O33" i="8" s="1"/>
  <c r="P33" i="8" s="1"/>
  <c r="Q33" i="8" s="1"/>
  <c r="R33" i="8" s="1"/>
  <c r="S33" i="8" s="1"/>
  <c r="F33" i="8"/>
  <c r="BT32" i="8"/>
  <c r="H32" i="8"/>
  <c r="K32" i="8" s="1"/>
  <c r="L32" i="8" s="1"/>
  <c r="M32" i="8" s="1"/>
  <c r="N32" i="8" s="1"/>
  <c r="O32" i="8" s="1"/>
  <c r="P32" i="8" s="1"/>
  <c r="Q32" i="8" s="1"/>
  <c r="R32" i="8" s="1"/>
  <c r="S32" i="8" s="1"/>
  <c r="F32" i="8"/>
  <c r="BT31" i="8"/>
  <c r="H31" i="8"/>
  <c r="K31" i="8" s="1"/>
  <c r="L31" i="8" s="1"/>
  <c r="M31" i="8" s="1"/>
  <c r="N31" i="8" s="1"/>
  <c r="O31" i="8" s="1"/>
  <c r="P31" i="8" s="1"/>
  <c r="Q31" i="8" s="1"/>
  <c r="R31" i="8" s="1"/>
  <c r="S31" i="8" s="1"/>
  <c r="F31" i="8"/>
  <c r="BT30" i="8"/>
  <c r="BQ30" i="8"/>
  <c r="BR30" i="8" s="1"/>
  <c r="F30" i="8" s="1"/>
  <c r="H30" i="8"/>
  <c r="K30" i="8" s="1"/>
  <c r="L30" i="8" s="1"/>
  <c r="M30" i="8" s="1"/>
  <c r="N30" i="8" s="1"/>
  <c r="O30" i="8" s="1"/>
  <c r="P30" i="8" s="1"/>
  <c r="Q30" i="8" s="1"/>
  <c r="R30" i="8" s="1"/>
  <c r="S30" i="8" s="1"/>
  <c r="BT29" i="8"/>
  <c r="BQ29" i="8"/>
  <c r="BR29" i="8" s="1"/>
  <c r="F29" i="8" s="1"/>
  <c r="H29" i="8"/>
  <c r="BT28" i="8"/>
  <c r="BR28" i="8"/>
  <c r="F28" i="8" s="1"/>
  <c r="H28" i="8"/>
  <c r="K28" i="8" s="1"/>
  <c r="L28" i="8" s="1"/>
  <c r="M28" i="8" s="1"/>
  <c r="N28" i="8" s="1"/>
  <c r="O28" i="8" s="1"/>
  <c r="P28" i="8" s="1"/>
  <c r="Q28" i="8" s="1"/>
  <c r="R28" i="8" s="1"/>
  <c r="S28" i="8" s="1"/>
  <c r="S21" i="8"/>
  <c r="S25" i="8" s="1"/>
  <c r="R21" i="8"/>
  <c r="Q21" i="8"/>
  <c r="P21" i="8"/>
  <c r="O21" i="8"/>
  <c r="N21" i="8"/>
  <c r="M21" i="8"/>
  <c r="L21" i="8"/>
  <c r="S20" i="8"/>
  <c r="R20" i="8"/>
  <c r="Q20" i="8"/>
  <c r="P20" i="8"/>
  <c r="O20" i="8"/>
  <c r="N20" i="8"/>
  <c r="M20" i="8"/>
  <c r="L20" i="8"/>
  <c r="S19" i="8"/>
  <c r="R19" i="8"/>
  <c r="Q19" i="8"/>
  <c r="P19" i="8"/>
  <c r="O19" i="8"/>
  <c r="N19" i="8"/>
  <c r="M19" i="8"/>
  <c r="L19" i="8"/>
  <c r="J19" i="8"/>
  <c r="S18" i="8"/>
  <c r="R18" i="8"/>
  <c r="Q18" i="8"/>
  <c r="P18" i="8"/>
  <c r="O18" i="8"/>
  <c r="N18" i="8"/>
  <c r="M18" i="8"/>
  <c r="L18" i="8"/>
  <c r="S17" i="8"/>
  <c r="R17" i="8"/>
  <c r="Q17" i="8"/>
  <c r="P17" i="8"/>
  <c r="O17" i="8"/>
  <c r="N17" i="8"/>
  <c r="M17" i="8"/>
  <c r="L17" i="8"/>
  <c r="S16" i="8"/>
  <c r="R16" i="8"/>
  <c r="Q16" i="8"/>
  <c r="P16" i="8"/>
  <c r="O16" i="8"/>
  <c r="N16" i="8"/>
  <c r="M16" i="8"/>
  <c r="L16" i="8"/>
  <c r="L25" i="8" s="1"/>
  <c r="I15" i="8"/>
  <c r="H15" i="8"/>
  <c r="G15" i="8"/>
  <c r="F15" i="8"/>
  <c r="E15" i="8"/>
  <c r="D15" i="8"/>
  <c r="C15" i="8"/>
  <c r="B15" i="8"/>
  <c r="I14" i="8"/>
  <c r="H14" i="8"/>
  <c r="G14" i="8"/>
  <c r="F14" i="8"/>
  <c r="E14" i="8"/>
  <c r="D14" i="8"/>
  <c r="C14" i="8"/>
  <c r="B14" i="8"/>
  <c r="I13" i="8"/>
  <c r="H13" i="8"/>
  <c r="G13" i="8"/>
  <c r="F13" i="8"/>
  <c r="E13" i="8"/>
  <c r="D13" i="8"/>
  <c r="C13" i="8"/>
  <c r="B13" i="8"/>
  <c r="N12" i="8"/>
  <c r="L12" i="8"/>
  <c r="I12" i="8"/>
  <c r="H12" i="8"/>
  <c r="G12" i="8"/>
  <c r="F12" i="8"/>
  <c r="E12" i="8"/>
  <c r="D12" i="8"/>
  <c r="C12" i="8"/>
  <c r="B12" i="8"/>
  <c r="I11" i="8"/>
  <c r="H11" i="8"/>
  <c r="G11" i="8"/>
  <c r="F11" i="8"/>
  <c r="F16" i="8" s="1"/>
  <c r="E11" i="8"/>
  <c r="D11" i="8"/>
  <c r="D16" i="8" s="1"/>
  <c r="C11" i="8"/>
  <c r="B11" i="8"/>
  <c r="S9" i="8"/>
  <c r="R9" i="8"/>
  <c r="Q9" i="8"/>
  <c r="P9" i="8"/>
  <c r="N9" i="8"/>
  <c r="M9" i="8"/>
  <c r="L9" i="8"/>
  <c r="S8" i="8"/>
  <c r="R8" i="8"/>
  <c r="Q8" i="8"/>
  <c r="P8" i="8"/>
  <c r="O8" i="8"/>
  <c r="N8" i="8"/>
  <c r="M8" i="8"/>
  <c r="L8" i="8"/>
  <c r="S7" i="8"/>
  <c r="R7" i="8"/>
  <c r="Q7" i="8"/>
  <c r="P7" i="8"/>
  <c r="O7" i="8"/>
  <c r="N7" i="8"/>
  <c r="M7" i="8"/>
  <c r="L7" i="8"/>
  <c r="S6" i="8"/>
  <c r="R6" i="8"/>
  <c r="Q6" i="8"/>
  <c r="P6" i="8"/>
  <c r="O6" i="8"/>
  <c r="N6" i="8"/>
  <c r="M6" i="8"/>
  <c r="L6" i="8"/>
  <c r="I6" i="8"/>
  <c r="H6" i="8"/>
  <c r="G6" i="8"/>
  <c r="F6" i="8"/>
  <c r="E6" i="8"/>
  <c r="D6" i="8"/>
  <c r="C6" i="8"/>
  <c r="B6" i="8"/>
  <c r="S5" i="8"/>
  <c r="R5" i="8"/>
  <c r="Q5" i="8"/>
  <c r="P5" i="8"/>
  <c r="O5" i="8"/>
  <c r="N5" i="8"/>
  <c r="M5" i="8"/>
  <c r="L5" i="8"/>
  <c r="I5" i="8"/>
  <c r="H5" i="8"/>
  <c r="G5" i="8"/>
  <c r="F5" i="8"/>
  <c r="E5" i="8"/>
  <c r="D5" i="8"/>
  <c r="C5" i="8"/>
  <c r="B5" i="8"/>
  <c r="S4" i="8"/>
  <c r="R4" i="8"/>
  <c r="Q4" i="8"/>
  <c r="P4" i="8"/>
  <c r="O4" i="8"/>
  <c r="N4" i="8"/>
  <c r="M4" i="8"/>
  <c r="L4" i="8"/>
  <c r="I4" i="8"/>
  <c r="G4" i="8"/>
  <c r="F4" i="8"/>
  <c r="E4" i="8"/>
  <c r="D4" i="8"/>
  <c r="C4" i="8"/>
  <c r="B4" i="8"/>
  <c r="S3" i="8"/>
  <c r="R3" i="8"/>
  <c r="Q3" i="8"/>
  <c r="P3" i="8"/>
  <c r="O3" i="8"/>
  <c r="N3" i="8"/>
  <c r="M3" i="8"/>
  <c r="L3" i="8"/>
  <c r="H3" i="8"/>
  <c r="G3" i="8"/>
  <c r="F3" i="8"/>
  <c r="F7" i="8" s="1"/>
  <c r="E3" i="8"/>
  <c r="E7" i="8" s="1"/>
  <c r="D3" i="8"/>
  <c r="D7" i="8" s="1"/>
  <c r="D18" i="8" s="1"/>
  <c r="D6" i="10" s="1"/>
  <c r="C3" i="8"/>
  <c r="C7" i="8" s="1"/>
  <c r="B3" i="8"/>
  <c r="BT63" i="8" l="1"/>
  <c r="O25" i="8"/>
  <c r="P25" i="8"/>
  <c r="N25" i="8"/>
  <c r="M25" i="8"/>
  <c r="P12" i="8"/>
  <c r="F18" i="8" s="1"/>
  <c r="F6" i="10" s="1"/>
  <c r="M12" i="8"/>
  <c r="Q12" i="8"/>
  <c r="B7" i="8"/>
  <c r="R12" i="8"/>
  <c r="E124" i="8"/>
  <c r="H124" i="8" s="1"/>
  <c r="K124" i="8" s="1"/>
  <c r="L124" i="8" s="1"/>
  <c r="M124" i="8" s="1"/>
  <c r="N124" i="8" s="1"/>
  <c r="O124" i="8" s="1"/>
  <c r="P124" i="8" s="1"/>
  <c r="Q124" i="8" s="1"/>
  <c r="R124" i="8" s="1"/>
  <c r="S124" i="8" s="1"/>
  <c r="H123" i="8"/>
  <c r="K123" i="8" s="1"/>
  <c r="L123" i="8" s="1"/>
  <c r="M123" i="8" s="1"/>
  <c r="N123" i="8" s="1"/>
  <c r="O123" i="8" s="1"/>
  <c r="P123" i="8" s="1"/>
  <c r="Q123" i="8" s="1"/>
  <c r="R123" i="8" s="1"/>
  <c r="S123" i="8" s="1"/>
  <c r="K118" i="8"/>
  <c r="O118" i="8"/>
  <c r="P118" i="8" s="1"/>
  <c r="Q118" i="8" s="1"/>
  <c r="R118" i="8" s="1"/>
  <c r="S118" i="8" s="1"/>
  <c r="M118" i="8"/>
  <c r="E114" i="8"/>
  <c r="H114" i="8" s="1"/>
  <c r="K114" i="8" s="1"/>
  <c r="L114" i="8" s="1"/>
  <c r="M114" i="8" s="1"/>
  <c r="N114" i="8" s="1"/>
  <c r="O114" i="8" s="1"/>
  <c r="P114" i="8" s="1"/>
  <c r="Q114" i="8" s="1"/>
  <c r="R114" i="8" s="1"/>
  <c r="S114" i="8" s="1"/>
  <c r="H113" i="8"/>
  <c r="K110" i="8"/>
  <c r="M110" i="8"/>
  <c r="N110" i="8" s="1"/>
  <c r="O110" i="8" s="1"/>
  <c r="P110" i="8" s="1"/>
  <c r="Q110" i="8" s="1"/>
  <c r="R110" i="8" s="1"/>
  <c r="S110" i="8" s="1"/>
  <c r="O109" i="8"/>
  <c r="P109" i="8" s="1"/>
  <c r="Q109" i="8" s="1"/>
  <c r="R109" i="8" s="1"/>
  <c r="S109" i="8" s="1"/>
  <c r="M109" i="8"/>
  <c r="K109" i="8"/>
  <c r="K107" i="8"/>
  <c r="M107" i="8"/>
  <c r="N107" i="8" s="1"/>
  <c r="O107" i="8" s="1"/>
  <c r="P107" i="8" s="1"/>
  <c r="Q107" i="8" s="1"/>
  <c r="R107" i="8" s="1"/>
  <c r="S107" i="8" s="1"/>
  <c r="K106" i="8"/>
  <c r="M106" i="8"/>
  <c r="O106" i="8"/>
  <c r="P106" i="8" s="1"/>
  <c r="Q106" i="8" s="1"/>
  <c r="R106" i="8" s="1"/>
  <c r="S106" i="8" s="1"/>
  <c r="K104" i="8"/>
  <c r="M104" i="8"/>
  <c r="N104" i="8" s="1"/>
  <c r="O104" i="8" s="1"/>
  <c r="P104" i="8" s="1"/>
  <c r="Q104" i="8" s="1"/>
  <c r="R104" i="8" s="1"/>
  <c r="S104" i="8" s="1"/>
  <c r="M103" i="8"/>
  <c r="K103" i="8"/>
  <c r="O103" i="8"/>
  <c r="P103" i="8" s="1"/>
  <c r="Q103" i="8" s="1"/>
  <c r="R103" i="8" s="1"/>
  <c r="S103" i="8" s="1"/>
  <c r="K102" i="8"/>
  <c r="L102" i="8" s="1"/>
  <c r="N102" i="8"/>
  <c r="O102" i="8" s="1"/>
  <c r="K99" i="8"/>
  <c r="L99" i="8" s="1"/>
  <c r="N99" i="8"/>
  <c r="K98" i="8"/>
  <c r="L98" i="8" s="1"/>
  <c r="M98" i="8" s="1"/>
  <c r="O98" i="8"/>
  <c r="P98" i="8" s="1"/>
  <c r="Q98" i="8" s="1"/>
  <c r="R98" i="8" s="1"/>
  <c r="S98" i="8" s="1"/>
  <c r="K97" i="8"/>
  <c r="M97" i="8"/>
  <c r="O97" i="8"/>
  <c r="P97" i="8" s="1"/>
  <c r="Q97" i="8" s="1"/>
  <c r="R97" i="8" s="1"/>
  <c r="S97" i="8" s="1"/>
  <c r="M95" i="8"/>
  <c r="K95" i="8"/>
  <c r="O95" i="8"/>
  <c r="P95" i="8" s="1"/>
  <c r="Q95" i="8" s="1"/>
  <c r="R95" i="8" s="1"/>
  <c r="S95" i="8" s="1"/>
  <c r="K94" i="8"/>
  <c r="M94" i="8"/>
  <c r="O94" i="8"/>
  <c r="P94" i="8" s="1"/>
  <c r="Q94" i="8" s="1"/>
  <c r="R94" i="8" s="1"/>
  <c r="S94" i="8" s="1"/>
  <c r="M90" i="8"/>
  <c r="O90" i="8"/>
  <c r="P90" i="8" s="1"/>
  <c r="Q90" i="8" s="1"/>
  <c r="R90" i="8" s="1"/>
  <c r="S90" i="8" s="1"/>
  <c r="K90" i="8"/>
  <c r="O87" i="8"/>
  <c r="P87" i="8" s="1"/>
  <c r="Q87" i="8" s="1"/>
  <c r="R87" i="8" s="1"/>
  <c r="S87" i="8" s="1"/>
  <c r="K87" i="8"/>
  <c r="L87" i="8" s="1"/>
  <c r="M87" i="8" s="1"/>
  <c r="BQ91" i="8"/>
  <c r="BR85" i="8"/>
  <c r="F85" i="8" s="1"/>
  <c r="K29" i="8"/>
  <c r="L29" i="8" s="1"/>
  <c r="M29" i="8" s="1"/>
  <c r="O29" i="8"/>
  <c r="P29" i="8" s="1"/>
  <c r="Q29" i="8" s="1"/>
  <c r="R29" i="8" s="1"/>
  <c r="S29" i="8" s="1"/>
  <c r="G7" i="8"/>
  <c r="O112" i="8"/>
  <c r="P112" i="8" s="1"/>
  <c r="Q112" i="8" s="1"/>
  <c r="R112" i="8" s="1"/>
  <c r="S112" i="8" s="1"/>
  <c r="M112" i="8"/>
  <c r="K112" i="8"/>
  <c r="E130" i="8"/>
  <c r="H130" i="8" s="1"/>
  <c r="K130" i="8" s="1"/>
  <c r="L130" i="8" s="1"/>
  <c r="M130" i="8" s="1"/>
  <c r="N130" i="8" s="1"/>
  <c r="O130" i="8" s="1"/>
  <c r="P130" i="8" s="1"/>
  <c r="Q130" i="8" s="1"/>
  <c r="R130" i="8" s="1"/>
  <c r="S130" i="8" s="1"/>
  <c r="H129" i="8"/>
  <c r="K129" i="8" s="1"/>
  <c r="L129" i="8" s="1"/>
  <c r="M129" i="8" s="1"/>
  <c r="N129" i="8" s="1"/>
  <c r="O129" i="8" s="1"/>
  <c r="P129" i="8" s="1"/>
  <c r="Q129" i="8" s="1"/>
  <c r="R129" i="8" s="1"/>
  <c r="S129" i="8" s="1"/>
  <c r="H16" i="8"/>
  <c r="I16" i="8"/>
  <c r="O89" i="8"/>
  <c r="P89" i="8" s="1"/>
  <c r="Q89" i="8" s="1"/>
  <c r="R89" i="8" s="1"/>
  <c r="S89" i="8" s="1"/>
  <c r="M89" i="8"/>
  <c r="K89" i="8"/>
  <c r="BT42" i="8"/>
  <c r="O125" i="8"/>
  <c r="P125" i="8" s="1"/>
  <c r="Q125" i="8" s="1"/>
  <c r="R125" i="8" s="1"/>
  <c r="S125" i="8" s="1"/>
  <c r="M125" i="8"/>
  <c r="K125" i="8"/>
  <c r="G16" i="8"/>
  <c r="O12" i="8"/>
  <c r="M48" i="8"/>
  <c r="L45" i="8"/>
  <c r="M101" i="8"/>
  <c r="N101" i="8" s="1"/>
  <c r="O101" i="8" s="1"/>
  <c r="P101" i="8" s="1"/>
  <c r="Q101" i="8" s="1"/>
  <c r="R101" i="8" s="1"/>
  <c r="S101" i="8" s="1"/>
  <c r="K101" i="8"/>
  <c r="S12" i="8"/>
  <c r="R25" i="8"/>
  <c r="K88" i="8"/>
  <c r="L88" i="8" s="1"/>
  <c r="M88" i="8" s="1"/>
  <c r="H7" i="8"/>
  <c r="BS63" i="8"/>
  <c r="K100" i="8"/>
  <c r="K108" i="8"/>
  <c r="L108" i="8" s="1"/>
  <c r="E117" i="8"/>
  <c r="H117" i="8" s="1"/>
  <c r="K117" i="8" s="1"/>
  <c r="L117" i="8" s="1"/>
  <c r="M117" i="8" s="1"/>
  <c r="N117" i="8" s="1"/>
  <c r="O117" i="8" s="1"/>
  <c r="P117" i="8" s="1"/>
  <c r="Q117" i="8" s="1"/>
  <c r="R117" i="8" s="1"/>
  <c r="S117" i="8" s="1"/>
  <c r="M122" i="8"/>
  <c r="K128" i="8"/>
  <c r="E136" i="8"/>
  <c r="H136" i="8" s="1"/>
  <c r="K136" i="8" s="1"/>
  <c r="L136" i="8" s="1"/>
  <c r="M136" i="8" s="1"/>
  <c r="N136" i="8" s="1"/>
  <c r="O136" i="8" s="1"/>
  <c r="P136" i="8" s="1"/>
  <c r="Q136" i="8" s="1"/>
  <c r="R136" i="8" s="1"/>
  <c r="S136" i="8" s="1"/>
  <c r="H135" i="8"/>
  <c r="K135" i="8" s="1"/>
  <c r="L135" i="8" s="1"/>
  <c r="M135" i="8" s="1"/>
  <c r="N135" i="8" s="1"/>
  <c r="O135" i="8" s="1"/>
  <c r="P135" i="8" s="1"/>
  <c r="Q135" i="8" s="1"/>
  <c r="R135" i="8" s="1"/>
  <c r="S135" i="8" s="1"/>
  <c r="Q25" i="8"/>
  <c r="B16" i="8"/>
  <c r="B18" i="8" s="1"/>
  <c r="M100" i="8"/>
  <c r="O122" i="8"/>
  <c r="P122" i="8" s="1"/>
  <c r="Q122" i="8" s="1"/>
  <c r="R122" i="8" s="1"/>
  <c r="S122" i="8" s="1"/>
  <c r="M128" i="8"/>
  <c r="C16" i="8"/>
  <c r="C18" i="8" s="1"/>
  <c r="E127" i="8"/>
  <c r="H127" i="8" s="1"/>
  <c r="K127" i="8" s="1"/>
  <c r="L127" i="8" s="1"/>
  <c r="M127" i="8" s="1"/>
  <c r="N127" i="8" s="1"/>
  <c r="O127" i="8" s="1"/>
  <c r="P127" i="8" s="1"/>
  <c r="Q127" i="8" s="1"/>
  <c r="R127" i="8" s="1"/>
  <c r="S127" i="8" s="1"/>
  <c r="BT91" i="8"/>
  <c r="BS91" i="8"/>
  <c r="N105" i="8"/>
  <c r="O105" i="8" s="1"/>
  <c r="K105" i="8"/>
  <c r="L105" i="8" s="1"/>
  <c r="I7" i="8"/>
  <c r="E16" i="8"/>
  <c r="E18" i="8" s="1"/>
  <c r="E6" i="10" s="1"/>
  <c r="BS42" i="8"/>
  <c r="M113" i="8"/>
  <c r="E111" i="8"/>
  <c r="H111" i="8" s="1"/>
  <c r="H132" i="8"/>
  <c r="K132" i="8" s="1"/>
  <c r="L132" i="8" s="1"/>
  <c r="M132" i="8" s="1"/>
  <c r="N132" i="8" s="1"/>
  <c r="O132" i="8" s="1"/>
  <c r="P132" i="8" s="1"/>
  <c r="Q132" i="8" s="1"/>
  <c r="R132" i="8" s="1"/>
  <c r="S132" i="8" s="1"/>
  <c r="H120" i="8"/>
  <c r="K120" i="8" s="1"/>
  <c r="L120" i="8" s="1"/>
  <c r="M120" i="8" s="1"/>
  <c r="N120" i="8" s="1"/>
  <c r="O120" i="8" s="1"/>
  <c r="P120" i="8" s="1"/>
  <c r="Q120" i="8" s="1"/>
  <c r="R120" i="8" s="1"/>
  <c r="S120" i="8" s="1"/>
  <c r="K113" i="8" l="1"/>
  <c r="O113" i="8"/>
  <c r="P113" i="8" s="1"/>
  <c r="Q113" i="8" s="1"/>
  <c r="R113" i="8" s="1"/>
  <c r="S113" i="8" s="1"/>
  <c r="N48" i="8"/>
  <c r="O48" i="8" s="1"/>
  <c r="P48" i="8" s="1"/>
  <c r="Q48" i="8" s="1"/>
  <c r="R48" i="8" s="1"/>
  <c r="S48" i="8" s="1"/>
  <c r="M45" i="8"/>
  <c r="H18" i="8"/>
  <c r="H6" i="10" s="1"/>
  <c r="N111" i="8"/>
  <c r="O111" i="8" s="1"/>
  <c r="K111" i="8"/>
  <c r="L111" i="8" s="1"/>
  <c r="G18" i="8"/>
  <c r="G6" i="10" s="1"/>
  <c r="I18" i="8"/>
  <c r="J18" i="8" l="1"/>
  <c r="J20" i="8" s="1"/>
  <c r="AF24" i="11"/>
  <c r="AE24" i="11"/>
  <c r="AF23" i="11"/>
  <c r="AE23" i="11"/>
  <c r="AF22" i="11"/>
  <c r="AE22" i="11"/>
  <c r="AF21" i="11"/>
  <c r="AE21" i="11"/>
  <c r="AF20" i="11"/>
  <c r="AE20" i="11"/>
  <c r="AF19" i="11"/>
  <c r="AE19" i="11"/>
  <c r="AF18" i="11"/>
  <c r="AE18" i="11"/>
  <c r="AF17" i="11"/>
  <c r="AE17" i="11"/>
  <c r="AF16" i="11"/>
  <c r="AE16" i="11"/>
  <c r="AF15" i="11"/>
  <c r="AE15" i="11"/>
  <c r="AF14" i="11"/>
  <c r="AE14" i="11"/>
  <c r="AF13" i="11"/>
  <c r="AE13" i="11"/>
  <c r="AF12" i="11"/>
  <c r="AE12" i="11"/>
  <c r="AF11" i="11"/>
  <c r="AE11" i="11"/>
  <c r="P4" i="9" l="1"/>
  <c r="K23" i="10" l="1"/>
  <c r="D21" i="10"/>
  <c r="E21" i="10"/>
  <c r="F21" i="10"/>
  <c r="G21" i="10"/>
  <c r="H21" i="10"/>
  <c r="I21" i="10"/>
  <c r="J21" i="10"/>
  <c r="D20" i="10"/>
  <c r="E20" i="10"/>
  <c r="F20" i="10"/>
  <c r="G20" i="10"/>
  <c r="H20" i="10"/>
  <c r="I20" i="10"/>
  <c r="J20" i="10"/>
  <c r="D19" i="10"/>
  <c r="E19" i="10"/>
  <c r="F19" i="10"/>
  <c r="G19" i="10"/>
  <c r="H19" i="10"/>
  <c r="I19" i="10"/>
  <c r="J19" i="10"/>
  <c r="D18" i="10"/>
  <c r="E18" i="10"/>
  <c r="F18" i="10"/>
  <c r="G18" i="10"/>
  <c r="H18" i="10"/>
  <c r="I18" i="10"/>
  <c r="J18" i="10"/>
  <c r="D17" i="10"/>
  <c r="E17" i="10"/>
  <c r="F17" i="10"/>
  <c r="G17" i="10"/>
  <c r="H17" i="10"/>
  <c r="I17" i="10"/>
  <c r="J17" i="10"/>
  <c r="D16" i="10"/>
  <c r="E16" i="10"/>
  <c r="F16" i="10"/>
  <c r="G16" i="10"/>
  <c r="H16" i="10"/>
  <c r="I16" i="10"/>
  <c r="J16" i="10"/>
  <c r="C21" i="10"/>
  <c r="K21" i="10" s="1"/>
  <c r="C20" i="10"/>
  <c r="K20" i="10" s="1"/>
  <c r="C19" i="10"/>
  <c r="C18" i="10"/>
  <c r="K18" i="10" s="1"/>
  <c r="C17" i="10"/>
  <c r="K17" i="10" s="1"/>
  <c r="C16" i="10"/>
  <c r="K12" i="10"/>
  <c r="K6" i="10"/>
  <c r="D10" i="10"/>
  <c r="E10" i="10"/>
  <c r="F10" i="10"/>
  <c r="G10" i="10"/>
  <c r="H10" i="10"/>
  <c r="I10" i="10"/>
  <c r="J10" i="10"/>
  <c r="D9" i="10"/>
  <c r="E9" i="10"/>
  <c r="F9" i="10"/>
  <c r="G9" i="10"/>
  <c r="H9" i="10"/>
  <c r="I9" i="10"/>
  <c r="J9" i="10"/>
  <c r="C10" i="10"/>
  <c r="K10" i="10" s="1"/>
  <c r="C9" i="10"/>
  <c r="K9" i="10" s="1"/>
  <c r="K5" i="10"/>
  <c r="BT136" i="9"/>
  <c r="BR136" i="9"/>
  <c r="BT135" i="9"/>
  <c r="BR135" i="9"/>
  <c r="E135" i="9"/>
  <c r="BT134" i="9"/>
  <c r="BR134" i="9"/>
  <c r="F134" i="9" s="1"/>
  <c r="H134" i="9"/>
  <c r="K134" i="9" s="1"/>
  <c r="L134" i="9" s="1"/>
  <c r="M134" i="9" s="1"/>
  <c r="N134" i="9" s="1"/>
  <c r="O134" i="9" s="1"/>
  <c r="P134" i="9" s="1"/>
  <c r="Q134" i="9" s="1"/>
  <c r="R134" i="9" s="1"/>
  <c r="S134" i="9" s="1"/>
  <c r="BT133" i="9"/>
  <c r="BR133" i="9"/>
  <c r="BT132" i="9"/>
  <c r="BR132" i="9"/>
  <c r="E132" i="9"/>
  <c r="BT131" i="9"/>
  <c r="BR131" i="9"/>
  <c r="H131" i="9"/>
  <c r="K131" i="9" s="1"/>
  <c r="L131" i="9" s="1"/>
  <c r="M131" i="9" s="1"/>
  <c r="N131" i="9" s="1"/>
  <c r="O131" i="9" s="1"/>
  <c r="P131" i="9" s="1"/>
  <c r="Q131" i="9" s="1"/>
  <c r="R131" i="9" s="1"/>
  <c r="S131" i="9" s="1"/>
  <c r="F131" i="9"/>
  <c r="BT130" i="9"/>
  <c r="BR130" i="9"/>
  <c r="BT129" i="9"/>
  <c r="BR129" i="9"/>
  <c r="E129" i="9"/>
  <c r="BT128" i="9"/>
  <c r="BR128" i="9"/>
  <c r="H128" i="9"/>
  <c r="K128" i="9" s="1"/>
  <c r="L128" i="9" s="1"/>
  <c r="M128" i="9" s="1"/>
  <c r="N128" i="9" s="1"/>
  <c r="O128" i="9" s="1"/>
  <c r="P128" i="9" s="1"/>
  <c r="Q128" i="9" s="1"/>
  <c r="R128" i="9" s="1"/>
  <c r="S128" i="9" s="1"/>
  <c r="F128" i="9"/>
  <c r="BT127" i="9"/>
  <c r="BR127" i="9"/>
  <c r="BT126" i="9"/>
  <c r="BR126" i="9"/>
  <c r="E126" i="9"/>
  <c r="BT125" i="9"/>
  <c r="BR125" i="9"/>
  <c r="H125" i="9"/>
  <c r="K125" i="9" s="1"/>
  <c r="L125" i="9" s="1"/>
  <c r="M125" i="9" s="1"/>
  <c r="N125" i="9" s="1"/>
  <c r="O125" i="9" s="1"/>
  <c r="P125" i="9" s="1"/>
  <c r="Q125" i="9" s="1"/>
  <c r="R125" i="9" s="1"/>
  <c r="S125" i="9" s="1"/>
  <c r="F125" i="9"/>
  <c r="BT124" i="9"/>
  <c r="BR124" i="9"/>
  <c r="BT123" i="9"/>
  <c r="BR123" i="9"/>
  <c r="E123" i="9"/>
  <c r="BT122" i="9"/>
  <c r="BR122" i="9"/>
  <c r="H122" i="9"/>
  <c r="K122" i="9" s="1"/>
  <c r="L122" i="9" s="1"/>
  <c r="M122" i="9" s="1"/>
  <c r="N122" i="9" s="1"/>
  <c r="O122" i="9" s="1"/>
  <c r="P122" i="9" s="1"/>
  <c r="Q122" i="9" s="1"/>
  <c r="R122" i="9" s="1"/>
  <c r="S122" i="9" s="1"/>
  <c r="F122" i="9"/>
  <c r="BT121" i="9"/>
  <c r="BR121" i="9"/>
  <c r="BT120" i="9"/>
  <c r="BR120" i="9"/>
  <c r="BT119" i="9"/>
  <c r="BR119" i="9"/>
  <c r="BT118" i="9"/>
  <c r="BR118" i="9"/>
  <c r="F118" i="9"/>
  <c r="BT117" i="9"/>
  <c r="BR117" i="9"/>
  <c r="BT116" i="9"/>
  <c r="BR116" i="9"/>
  <c r="E116" i="9"/>
  <c r="BT115" i="9"/>
  <c r="BR115" i="9"/>
  <c r="F115" i="9" s="1"/>
  <c r="H115" i="9"/>
  <c r="K115" i="9" s="1"/>
  <c r="L115" i="9" s="1"/>
  <c r="M115" i="9" s="1"/>
  <c r="N115" i="9" s="1"/>
  <c r="O115" i="9" s="1"/>
  <c r="P115" i="9" s="1"/>
  <c r="Q115" i="9" s="1"/>
  <c r="R115" i="9" s="1"/>
  <c r="S115" i="9" s="1"/>
  <c r="BT114" i="9"/>
  <c r="BR114" i="9"/>
  <c r="BT113" i="9"/>
  <c r="BR113" i="9"/>
  <c r="E113" i="9"/>
  <c r="BT112" i="9"/>
  <c r="BR112" i="9"/>
  <c r="H112" i="9"/>
  <c r="K112" i="9" s="1"/>
  <c r="L112" i="9" s="1"/>
  <c r="M112" i="9" s="1"/>
  <c r="N112" i="9" s="1"/>
  <c r="O112" i="9" s="1"/>
  <c r="P112" i="9" s="1"/>
  <c r="Q112" i="9" s="1"/>
  <c r="R112" i="9" s="1"/>
  <c r="S112" i="9" s="1"/>
  <c r="F112" i="9"/>
  <c r="BT111" i="9"/>
  <c r="BR111" i="9"/>
  <c r="BT110" i="9"/>
  <c r="BR110" i="9"/>
  <c r="E110" i="9"/>
  <c r="BT109" i="9"/>
  <c r="BR109" i="9"/>
  <c r="H109" i="9"/>
  <c r="K109" i="9" s="1"/>
  <c r="L109" i="9" s="1"/>
  <c r="M109" i="9" s="1"/>
  <c r="N109" i="9" s="1"/>
  <c r="O109" i="9" s="1"/>
  <c r="P109" i="9" s="1"/>
  <c r="Q109" i="9" s="1"/>
  <c r="R109" i="9" s="1"/>
  <c r="S109" i="9" s="1"/>
  <c r="F109" i="9"/>
  <c r="BT108" i="9"/>
  <c r="BR108" i="9"/>
  <c r="H108" i="9"/>
  <c r="K108" i="9" s="1"/>
  <c r="L108" i="9" s="1"/>
  <c r="M108" i="9" s="1"/>
  <c r="N108" i="9" s="1"/>
  <c r="O108" i="9" s="1"/>
  <c r="P108" i="9" s="1"/>
  <c r="Q108" i="9" s="1"/>
  <c r="R108" i="9" s="1"/>
  <c r="S108" i="9" s="1"/>
  <c r="BT107" i="9"/>
  <c r="BR107" i="9"/>
  <c r="H107" i="9"/>
  <c r="K107" i="9" s="1"/>
  <c r="L107" i="9" s="1"/>
  <c r="M107" i="9" s="1"/>
  <c r="N107" i="9" s="1"/>
  <c r="O107" i="9" s="1"/>
  <c r="P107" i="9" s="1"/>
  <c r="Q107" i="9" s="1"/>
  <c r="R107" i="9" s="1"/>
  <c r="S107" i="9" s="1"/>
  <c r="BT106" i="9"/>
  <c r="BR106" i="9"/>
  <c r="H106" i="9"/>
  <c r="K106" i="9" s="1"/>
  <c r="L106" i="9" s="1"/>
  <c r="M106" i="9" s="1"/>
  <c r="N106" i="9" s="1"/>
  <c r="O106" i="9" s="1"/>
  <c r="P106" i="9" s="1"/>
  <c r="Q106" i="9" s="1"/>
  <c r="R106" i="9" s="1"/>
  <c r="S106" i="9" s="1"/>
  <c r="F106" i="9"/>
  <c r="BT105" i="9"/>
  <c r="BR105" i="9"/>
  <c r="H105" i="9"/>
  <c r="K105" i="9" s="1"/>
  <c r="L105" i="9" s="1"/>
  <c r="M105" i="9" s="1"/>
  <c r="N105" i="9" s="1"/>
  <c r="O105" i="9" s="1"/>
  <c r="P105" i="9" s="1"/>
  <c r="Q105" i="9" s="1"/>
  <c r="R105" i="9" s="1"/>
  <c r="S105" i="9" s="1"/>
  <c r="BT104" i="9"/>
  <c r="BR104" i="9"/>
  <c r="H104" i="9"/>
  <c r="K104" i="9" s="1"/>
  <c r="L104" i="9" s="1"/>
  <c r="M104" i="9" s="1"/>
  <c r="N104" i="9" s="1"/>
  <c r="O104" i="9" s="1"/>
  <c r="P104" i="9" s="1"/>
  <c r="Q104" i="9" s="1"/>
  <c r="R104" i="9" s="1"/>
  <c r="S104" i="9" s="1"/>
  <c r="BT103" i="9"/>
  <c r="BR103" i="9"/>
  <c r="H103" i="9"/>
  <c r="K103" i="9" s="1"/>
  <c r="L103" i="9" s="1"/>
  <c r="M103" i="9" s="1"/>
  <c r="N103" i="9" s="1"/>
  <c r="O103" i="9" s="1"/>
  <c r="P103" i="9" s="1"/>
  <c r="Q103" i="9" s="1"/>
  <c r="R103" i="9" s="1"/>
  <c r="S103" i="9" s="1"/>
  <c r="F103" i="9"/>
  <c r="BT102" i="9"/>
  <c r="BR102" i="9"/>
  <c r="H102" i="9"/>
  <c r="K102" i="9" s="1"/>
  <c r="L102" i="9" s="1"/>
  <c r="M102" i="9" s="1"/>
  <c r="N102" i="9" s="1"/>
  <c r="O102" i="9" s="1"/>
  <c r="P102" i="9" s="1"/>
  <c r="Q102" i="9" s="1"/>
  <c r="R102" i="9" s="1"/>
  <c r="S102" i="9" s="1"/>
  <c r="BT101" i="9"/>
  <c r="BR101" i="9"/>
  <c r="H101" i="9"/>
  <c r="K101" i="9" s="1"/>
  <c r="L101" i="9" s="1"/>
  <c r="M101" i="9" s="1"/>
  <c r="N101" i="9" s="1"/>
  <c r="O101" i="9" s="1"/>
  <c r="P101" i="9" s="1"/>
  <c r="Q101" i="9" s="1"/>
  <c r="R101" i="9" s="1"/>
  <c r="S101" i="9" s="1"/>
  <c r="BT100" i="9"/>
  <c r="BR100" i="9"/>
  <c r="H100" i="9"/>
  <c r="K100" i="9" s="1"/>
  <c r="L100" i="9" s="1"/>
  <c r="M100" i="9" s="1"/>
  <c r="N100" i="9" s="1"/>
  <c r="O100" i="9" s="1"/>
  <c r="P100" i="9" s="1"/>
  <c r="Q100" i="9" s="1"/>
  <c r="R100" i="9" s="1"/>
  <c r="S100" i="9" s="1"/>
  <c r="F100" i="9"/>
  <c r="BT99" i="9"/>
  <c r="BR99" i="9"/>
  <c r="H99" i="9"/>
  <c r="K99" i="9" s="1"/>
  <c r="L99" i="9" s="1"/>
  <c r="M99" i="9" s="1"/>
  <c r="N99" i="9" s="1"/>
  <c r="O99" i="9" s="1"/>
  <c r="P99" i="9" s="1"/>
  <c r="Q99" i="9" s="1"/>
  <c r="R99" i="9" s="1"/>
  <c r="S99" i="9" s="1"/>
  <c r="BT98" i="9"/>
  <c r="BR98" i="9"/>
  <c r="H98" i="9"/>
  <c r="K98" i="9" s="1"/>
  <c r="L98" i="9" s="1"/>
  <c r="M98" i="9" s="1"/>
  <c r="N98" i="9" s="1"/>
  <c r="O98" i="9" s="1"/>
  <c r="P98" i="9" s="1"/>
  <c r="Q98" i="9" s="1"/>
  <c r="R98" i="9" s="1"/>
  <c r="S98" i="9" s="1"/>
  <c r="BT97" i="9"/>
  <c r="BR97" i="9"/>
  <c r="F97" i="9" s="1"/>
  <c r="H97" i="9"/>
  <c r="K97" i="9" s="1"/>
  <c r="L97" i="9" s="1"/>
  <c r="M97" i="9" s="1"/>
  <c r="N97" i="9" s="1"/>
  <c r="O97" i="9" s="1"/>
  <c r="P97" i="9" s="1"/>
  <c r="Q97" i="9" s="1"/>
  <c r="R97" i="9" s="1"/>
  <c r="S97" i="9" s="1"/>
  <c r="BT96" i="9"/>
  <c r="BR96" i="9"/>
  <c r="H96" i="9"/>
  <c r="K96" i="9" s="1"/>
  <c r="L96" i="9" s="1"/>
  <c r="M96" i="9" s="1"/>
  <c r="N96" i="9" s="1"/>
  <c r="O96" i="9" s="1"/>
  <c r="P96" i="9" s="1"/>
  <c r="Q96" i="9" s="1"/>
  <c r="R96" i="9" s="1"/>
  <c r="S96" i="9" s="1"/>
  <c r="BT95" i="9"/>
  <c r="BR95" i="9"/>
  <c r="H95" i="9"/>
  <c r="K95" i="9" s="1"/>
  <c r="L95" i="9" s="1"/>
  <c r="M95" i="9" s="1"/>
  <c r="N95" i="9" s="1"/>
  <c r="O95" i="9" s="1"/>
  <c r="P95" i="9" s="1"/>
  <c r="Q95" i="9" s="1"/>
  <c r="R95" i="9" s="1"/>
  <c r="S95" i="9" s="1"/>
  <c r="BT94" i="9"/>
  <c r="BR94" i="9"/>
  <c r="H94" i="9"/>
  <c r="K94" i="9" s="1"/>
  <c r="L94" i="9" s="1"/>
  <c r="M94" i="9" s="1"/>
  <c r="N94" i="9" s="1"/>
  <c r="O94" i="9" s="1"/>
  <c r="P94" i="9" s="1"/>
  <c r="Q94" i="9" s="1"/>
  <c r="R94" i="9" s="1"/>
  <c r="S94" i="9" s="1"/>
  <c r="F94" i="9"/>
  <c r="BP91" i="9"/>
  <c r="BO91" i="9"/>
  <c r="BN91" i="9"/>
  <c r="BM91" i="9"/>
  <c r="BL91" i="9"/>
  <c r="BK91" i="9"/>
  <c r="BJ91" i="9"/>
  <c r="BI91" i="9"/>
  <c r="BH91" i="9"/>
  <c r="BG91" i="9"/>
  <c r="BF91" i="9"/>
  <c r="BE91" i="9"/>
  <c r="BD91" i="9"/>
  <c r="BC91" i="9"/>
  <c r="BB91" i="9"/>
  <c r="BA91" i="9"/>
  <c r="AZ91" i="9"/>
  <c r="AY91" i="9"/>
  <c r="AX91" i="9"/>
  <c r="AW91" i="9"/>
  <c r="AV91" i="9"/>
  <c r="AU91" i="9"/>
  <c r="AT91" i="9"/>
  <c r="AS91" i="9"/>
  <c r="AR91" i="9"/>
  <c r="AQ91" i="9"/>
  <c r="AP91" i="9"/>
  <c r="AO91" i="9"/>
  <c r="AN91" i="9"/>
  <c r="AM91" i="9"/>
  <c r="AL91" i="9"/>
  <c r="AK91" i="9"/>
  <c r="AJ91" i="9"/>
  <c r="AI91" i="9"/>
  <c r="AH91" i="9"/>
  <c r="AG91" i="9"/>
  <c r="AF91" i="9"/>
  <c r="AE91" i="9"/>
  <c r="AD91" i="9"/>
  <c r="AC91" i="9"/>
  <c r="AB91" i="9"/>
  <c r="AA91" i="9"/>
  <c r="Z91" i="9"/>
  <c r="BT90" i="9"/>
  <c r="BR90" i="9"/>
  <c r="F90" i="9" s="1"/>
  <c r="H90" i="9"/>
  <c r="K90" i="9" s="1"/>
  <c r="M90" i="9" s="1"/>
  <c r="N90" i="9" s="1"/>
  <c r="O90" i="9" s="1"/>
  <c r="P90" i="9" s="1"/>
  <c r="Q90" i="9" s="1"/>
  <c r="R90" i="9" s="1"/>
  <c r="S90" i="9" s="1"/>
  <c r="BT89" i="9"/>
  <c r="BR89" i="9"/>
  <c r="H89" i="9"/>
  <c r="K89" i="9" s="1"/>
  <c r="M89" i="9" s="1"/>
  <c r="N89" i="9" s="1"/>
  <c r="O89" i="9" s="1"/>
  <c r="P89" i="9" s="1"/>
  <c r="Q89" i="9" s="1"/>
  <c r="R89" i="9" s="1"/>
  <c r="S89" i="9" s="1"/>
  <c r="F89" i="9"/>
  <c r="BT88" i="9"/>
  <c r="BR88" i="9"/>
  <c r="H88" i="9"/>
  <c r="K88" i="9" s="1"/>
  <c r="M88" i="9" s="1"/>
  <c r="N88" i="9" s="1"/>
  <c r="O88" i="9" s="1"/>
  <c r="P88" i="9" s="1"/>
  <c r="Q88" i="9" s="1"/>
  <c r="R88" i="9" s="1"/>
  <c r="S88" i="9" s="1"/>
  <c r="F88" i="9"/>
  <c r="BT87" i="9"/>
  <c r="BR87" i="9"/>
  <c r="F87" i="9" s="1"/>
  <c r="H87" i="9"/>
  <c r="K87" i="9" s="1"/>
  <c r="M87" i="9" s="1"/>
  <c r="N87" i="9" s="1"/>
  <c r="O87" i="9" s="1"/>
  <c r="P87" i="9" s="1"/>
  <c r="Q87" i="9" s="1"/>
  <c r="R87" i="9" s="1"/>
  <c r="S87" i="9" s="1"/>
  <c r="BT86" i="9"/>
  <c r="BR86" i="9"/>
  <c r="H86" i="9"/>
  <c r="K86" i="9" s="1"/>
  <c r="M86" i="9" s="1"/>
  <c r="N86" i="9" s="1"/>
  <c r="O86" i="9" s="1"/>
  <c r="P86" i="9" s="1"/>
  <c r="Q86" i="9" s="1"/>
  <c r="R86" i="9" s="1"/>
  <c r="S86" i="9" s="1"/>
  <c r="F86" i="9"/>
  <c r="BT85" i="9"/>
  <c r="BQ85" i="9"/>
  <c r="BQ91" i="9" s="1"/>
  <c r="H85" i="9"/>
  <c r="M85" i="9" s="1"/>
  <c r="N85" i="9" s="1"/>
  <c r="O85" i="9" s="1"/>
  <c r="P85" i="9" s="1"/>
  <c r="Q85" i="9" s="1"/>
  <c r="R85" i="9" s="1"/>
  <c r="S85" i="9" s="1"/>
  <c r="BP77" i="9"/>
  <c r="H77" i="9"/>
  <c r="K77" i="9" s="1"/>
  <c r="L77" i="9" s="1"/>
  <c r="M77" i="9" s="1"/>
  <c r="N77" i="9" s="1"/>
  <c r="O77" i="9" s="1"/>
  <c r="P77" i="9" s="1"/>
  <c r="Q77" i="9" s="1"/>
  <c r="R77" i="9" s="1"/>
  <c r="S77" i="9" s="1"/>
  <c r="F77" i="9"/>
  <c r="BP76" i="9"/>
  <c r="H76" i="9"/>
  <c r="K76" i="9" s="1"/>
  <c r="L76" i="9" s="1"/>
  <c r="M76" i="9" s="1"/>
  <c r="N76" i="9" s="1"/>
  <c r="O76" i="9" s="1"/>
  <c r="P76" i="9" s="1"/>
  <c r="Q76" i="9" s="1"/>
  <c r="R76" i="9" s="1"/>
  <c r="S76" i="9" s="1"/>
  <c r="F76" i="9"/>
  <c r="BP75" i="9"/>
  <c r="H75" i="9"/>
  <c r="K75" i="9" s="1"/>
  <c r="L75" i="9" s="1"/>
  <c r="M75" i="9" s="1"/>
  <c r="N75" i="9" s="1"/>
  <c r="O75" i="9" s="1"/>
  <c r="P75" i="9" s="1"/>
  <c r="Q75" i="9" s="1"/>
  <c r="R75" i="9" s="1"/>
  <c r="S75" i="9" s="1"/>
  <c r="F75" i="9"/>
  <c r="BP74" i="9"/>
  <c r="H74" i="9"/>
  <c r="K74" i="9" s="1"/>
  <c r="L74" i="9" s="1"/>
  <c r="M74" i="9" s="1"/>
  <c r="N74" i="9" s="1"/>
  <c r="O74" i="9" s="1"/>
  <c r="P74" i="9" s="1"/>
  <c r="Q74" i="9" s="1"/>
  <c r="R74" i="9" s="1"/>
  <c r="S74" i="9" s="1"/>
  <c r="F74" i="9"/>
  <c r="BP73" i="9"/>
  <c r="H73" i="9"/>
  <c r="K73" i="9" s="1"/>
  <c r="L73" i="9" s="1"/>
  <c r="M73" i="9" s="1"/>
  <c r="N73" i="9" s="1"/>
  <c r="O73" i="9" s="1"/>
  <c r="P73" i="9" s="1"/>
  <c r="Q73" i="9" s="1"/>
  <c r="R73" i="9" s="1"/>
  <c r="S73" i="9" s="1"/>
  <c r="F73" i="9"/>
  <c r="BP72" i="9"/>
  <c r="H72" i="9"/>
  <c r="K72" i="9" s="1"/>
  <c r="L72" i="9" s="1"/>
  <c r="M72" i="9" s="1"/>
  <c r="N72" i="9" s="1"/>
  <c r="O72" i="9" s="1"/>
  <c r="P72" i="9" s="1"/>
  <c r="Q72" i="9" s="1"/>
  <c r="R72" i="9" s="1"/>
  <c r="S72" i="9" s="1"/>
  <c r="F72" i="9"/>
  <c r="BP71" i="9"/>
  <c r="H71" i="9"/>
  <c r="K71" i="9" s="1"/>
  <c r="L71" i="9" s="1"/>
  <c r="M71" i="9" s="1"/>
  <c r="N71" i="9" s="1"/>
  <c r="O71" i="9" s="1"/>
  <c r="P71" i="9" s="1"/>
  <c r="Q71" i="9" s="1"/>
  <c r="R71" i="9" s="1"/>
  <c r="S71" i="9" s="1"/>
  <c r="F71" i="9"/>
  <c r="BP70" i="9"/>
  <c r="H70" i="9"/>
  <c r="K70" i="9" s="1"/>
  <c r="L70" i="9" s="1"/>
  <c r="M70" i="9" s="1"/>
  <c r="N70" i="9" s="1"/>
  <c r="O70" i="9" s="1"/>
  <c r="P70" i="9" s="1"/>
  <c r="Q70" i="9" s="1"/>
  <c r="R70" i="9" s="1"/>
  <c r="S70" i="9" s="1"/>
  <c r="F70" i="9"/>
  <c r="BP69" i="9"/>
  <c r="H69" i="9"/>
  <c r="K69" i="9" s="1"/>
  <c r="L69" i="9" s="1"/>
  <c r="M69" i="9" s="1"/>
  <c r="N69" i="9" s="1"/>
  <c r="O69" i="9" s="1"/>
  <c r="P69" i="9" s="1"/>
  <c r="Q69" i="9" s="1"/>
  <c r="R69" i="9" s="1"/>
  <c r="S69" i="9" s="1"/>
  <c r="F69" i="9"/>
  <c r="BP68" i="9"/>
  <c r="H68" i="9"/>
  <c r="K68" i="9" s="1"/>
  <c r="L68" i="9" s="1"/>
  <c r="M68" i="9" s="1"/>
  <c r="N68" i="9" s="1"/>
  <c r="O68" i="9" s="1"/>
  <c r="P68" i="9" s="1"/>
  <c r="Q68" i="9" s="1"/>
  <c r="R68" i="9" s="1"/>
  <c r="S68" i="9" s="1"/>
  <c r="F68" i="9"/>
  <c r="BP67" i="9"/>
  <c r="H67" i="9"/>
  <c r="K67" i="9" s="1"/>
  <c r="L67" i="9" s="1"/>
  <c r="M67" i="9" s="1"/>
  <c r="N67" i="9" s="1"/>
  <c r="O67" i="9" s="1"/>
  <c r="P67" i="9" s="1"/>
  <c r="Q67" i="9" s="1"/>
  <c r="R67" i="9" s="1"/>
  <c r="S67" i="9" s="1"/>
  <c r="F67" i="9"/>
  <c r="BP66" i="9"/>
  <c r="H66" i="9"/>
  <c r="K66" i="9" s="1"/>
  <c r="M66" i="9" s="1"/>
  <c r="N66" i="9" s="1"/>
  <c r="O66" i="9" s="1"/>
  <c r="P66" i="9" s="1"/>
  <c r="Q66" i="9" s="1"/>
  <c r="R66" i="9" s="1"/>
  <c r="S66" i="9" s="1"/>
  <c r="F66" i="9"/>
  <c r="BO63" i="9"/>
  <c r="BN63" i="9"/>
  <c r="BM63" i="9"/>
  <c r="BL63" i="9"/>
  <c r="BK63" i="9"/>
  <c r="BJ63" i="9"/>
  <c r="BI63" i="9"/>
  <c r="BH63" i="9"/>
  <c r="BG63" i="9"/>
  <c r="BF63" i="9"/>
  <c r="BE63" i="9"/>
  <c r="BD63" i="9"/>
  <c r="BC63" i="9"/>
  <c r="BB63" i="9"/>
  <c r="BA63" i="9"/>
  <c r="AZ63" i="9"/>
  <c r="AY63" i="9"/>
  <c r="AX63" i="9"/>
  <c r="AW63" i="9"/>
  <c r="AV63" i="9"/>
  <c r="AU63" i="9"/>
  <c r="AT63" i="9"/>
  <c r="AS63" i="9"/>
  <c r="AR63" i="9"/>
  <c r="AQ63" i="9"/>
  <c r="AP63" i="9"/>
  <c r="AO63" i="9"/>
  <c r="AN63" i="9"/>
  <c r="AM63" i="9"/>
  <c r="AL63" i="9"/>
  <c r="AK63" i="9"/>
  <c r="AJ63" i="9"/>
  <c r="AI63" i="9"/>
  <c r="AH63" i="9"/>
  <c r="AG63" i="9"/>
  <c r="AF63" i="9"/>
  <c r="AE63" i="9"/>
  <c r="AD63" i="9"/>
  <c r="AC63" i="9"/>
  <c r="AB63" i="9"/>
  <c r="AA63" i="9"/>
  <c r="Z63" i="9"/>
  <c r="BS63" i="9" s="1"/>
  <c r="H62" i="9"/>
  <c r="K62" i="9" s="1"/>
  <c r="L62" i="9" s="1"/>
  <c r="M62" i="9" s="1"/>
  <c r="N62" i="9" s="1"/>
  <c r="O62" i="9" s="1"/>
  <c r="P62" i="9" s="1"/>
  <c r="Q62" i="9" s="1"/>
  <c r="R62" i="9" s="1"/>
  <c r="S62" i="9" s="1"/>
  <c r="F62" i="9"/>
  <c r="H61" i="9"/>
  <c r="K61" i="9" s="1"/>
  <c r="L61" i="9" s="1"/>
  <c r="N61" i="9" s="1"/>
  <c r="O61" i="9" s="1"/>
  <c r="P61" i="9" s="1"/>
  <c r="Q61" i="9" s="1"/>
  <c r="R61" i="9" s="1"/>
  <c r="S61" i="9" s="1"/>
  <c r="F61" i="9"/>
  <c r="H60" i="9"/>
  <c r="K60" i="9" s="1"/>
  <c r="L60" i="9" s="1"/>
  <c r="N60" i="9" s="1"/>
  <c r="O60" i="9" s="1"/>
  <c r="P60" i="9" s="1"/>
  <c r="Q60" i="9" s="1"/>
  <c r="R60" i="9" s="1"/>
  <c r="S60" i="9" s="1"/>
  <c r="F60" i="9"/>
  <c r="H59" i="9"/>
  <c r="K59" i="9" s="1"/>
  <c r="L59" i="9" s="1"/>
  <c r="M59" i="9" s="1"/>
  <c r="N59" i="9" s="1"/>
  <c r="O59" i="9" s="1"/>
  <c r="P59" i="9" s="1"/>
  <c r="Q59" i="9" s="1"/>
  <c r="R59" i="9" s="1"/>
  <c r="S59" i="9" s="1"/>
  <c r="F59" i="9"/>
  <c r="H58" i="9"/>
  <c r="K58" i="9" s="1"/>
  <c r="M58" i="9" s="1"/>
  <c r="N58" i="9" s="1"/>
  <c r="O58" i="9" s="1"/>
  <c r="P58" i="9" s="1"/>
  <c r="Q58" i="9" s="1"/>
  <c r="R58" i="9" s="1"/>
  <c r="S58" i="9" s="1"/>
  <c r="F58" i="9"/>
  <c r="H57" i="9"/>
  <c r="K57" i="9" s="1"/>
  <c r="M57" i="9" s="1"/>
  <c r="N57" i="9" s="1"/>
  <c r="O57" i="9" s="1"/>
  <c r="P57" i="9" s="1"/>
  <c r="Q57" i="9" s="1"/>
  <c r="R57" i="9" s="1"/>
  <c r="S57" i="9" s="1"/>
  <c r="F57" i="9"/>
  <c r="BT56" i="9"/>
  <c r="H56" i="9"/>
  <c r="K56" i="9" s="1"/>
  <c r="L56" i="9" s="1"/>
  <c r="M56" i="9" s="1"/>
  <c r="N56" i="9" s="1"/>
  <c r="O56" i="9" s="1"/>
  <c r="P56" i="9" s="1"/>
  <c r="Q56" i="9" s="1"/>
  <c r="R56" i="9" s="1"/>
  <c r="S56" i="9" s="1"/>
  <c r="F56" i="9"/>
  <c r="BT55" i="9"/>
  <c r="BR55" i="9"/>
  <c r="H55" i="9"/>
  <c r="L55" i="9" s="1"/>
  <c r="M55" i="9" s="1"/>
  <c r="N55" i="9" s="1"/>
  <c r="O55" i="9" s="1"/>
  <c r="P55" i="9" s="1"/>
  <c r="Q55" i="9" s="1"/>
  <c r="R55" i="9" s="1"/>
  <c r="S55" i="9" s="1"/>
  <c r="F55" i="9"/>
  <c r="BT54" i="9"/>
  <c r="BR54" i="9"/>
  <c r="H54" i="9"/>
  <c r="K54" i="9" s="1"/>
  <c r="M54" i="9" s="1"/>
  <c r="N54" i="9" s="1"/>
  <c r="O54" i="9" s="1"/>
  <c r="P54" i="9" s="1"/>
  <c r="Q54" i="9" s="1"/>
  <c r="R54" i="9" s="1"/>
  <c r="S54" i="9" s="1"/>
  <c r="F54" i="9"/>
  <c r="BT53" i="9"/>
  <c r="BR53" i="9"/>
  <c r="H53" i="9"/>
  <c r="K53" i="9" s="1"/>
  <c r="L53" i="9" s="1"/>
  <c r="M53" i="9" s="1"/>
  <c r="N53" i="9" s="1"/>
  <c r="P53" i="9" s="1"/>
  <c r="Q53" i="9" s="1"/>
  <c r="R53" i="9" s="1"/>
  <c r="S53" i="9" s="1"/>
  <c r="F53" i="9"/>
  <c r="BT52" i="9"/>
  <c r="BR52" i="9"/>
  <c r="F52" i="9" s="1"/>
  <c r="H52" i="9"/>
  <c r="K52" i="9" s="1"/>
  <c r="L52" i="9" s="1"/>
  <c r="M52" i="9" s="1"/>
  <c r="N52" i="9" s="1"/>
  <c r="O52" i="9" s="1"/>
  <c r="P52" i="9" s="1"/>
  <c r="Q52" i="9" s="1"/>
  <c r="R52" i="9" s="1"/>
  <c r="S52" i="9" s="1"/>
  <c r="BT51" i="9"/>
  <c r="BR51" i="9"/>
  <c r="F51" i="9" s="1"/>
  <c r="H51" i="9"/>
  <c r="K51" i="9" s="1"/>
  <c r="L51" i="9" s="1"/>
  <c r="M51" i="9" s="1"/>
  <c r="N51" i="9" s="1"/>
  <c r="O51" i="9" s="1"/>
  <c r="P51" i="9" s="1"/>
  <c r="Q51" i="9" s="1"/>
  <c r="R51" i="9" s="1"/>
  <c r="S51" i="9" s="1"/>
  <c r="BT50" i="9"/>
  <c r="BR50" i="9"/>
  <c r="H50" i="9"/>
  <c r="K50" i="9" s="1"/>
  <c r="L50" i="9" s="1"/>
  <c r="M50" i="9" s="1"/>
  <c r="N50" i="9" s="1"/>
  <c r="O50" i="9" s="1"/>
  <c r="P50" i="9" s="1"/>
  <c r="Q50" i="9" s="1"/>
  <c r="R50" i="9" s="1"/>
  <c r="S50" i="9" s="1"/>
  <c r="F50" i="9"/>
  <c r="BT49" i="9"/>
  <c r="BR49" i="9"/>
  <c r="H49" i="9"/>
  <c r="K49" i="9" s="1"/>
  <c r="L49" i="9" s="1"/>
  <c r="M49" i="9" s="1"/>
  <c r="N49" i="9" s="1"/>
  <c r="O49" i="9" s="1"/>
  <c r="P49" i="9" s="1"/>
  <c r="Q49" i="9" s="1"/>
  <c r="R49" i="9" s="1"/>
  <c r="S49" i="9" s="1"/>
  <c r="F49" i="9"/>
  <c r="BT48" i="9"/>
  <c r="BR48" i="9"/>
  <c r="H48" i="9"/>
  <c r="K48" i="9" s="1"/>
  <c r="L48" i="9" s="1"/>
  <c r="F48" i="9"/>
  <c r="BT47" i="9"/>
  <c r="H47" i="9"/>
  <c r="K47" i="9" s="1"/>
  <c r="L47" i="9" s="1"/>
  <c r="M47" i="9" s="1"/>
  <c r="N47" i="9" s="1"/>
  <c r="O47" i="9" s="1"/>
  <c r="P47" i="9" s="1"/>
  <c r="Q47" i="9" s="1"/>
  <c r="R47" i="9" s="1"/>
  <c r="S47" i="9" s="1"/>
  <c r="F47" i="9"/>
  <c r="BO42" i="9"/>
  <c r="BN42" i="9"/>
  <c r="BM42" i="9"/>
  <c r="BL42" i="9"/>
  <c r="BK42" i="9"/>
  <c r="BJ42" i="9"/>
  <c r="BI42" i="9"/>
  <c r="BH42" i="9"/>
  <c r="BG42" i="9"/>
  <c r="BF42" i="9"/>
  <c r="BE42" i="9"/>
  <c r="BD42" i="9"/>
  <c r="BC42" i="9"/>
  <c r="BB42" i="9"/>
  <c r="BA42" i="9"/>
  <c r="AZ42" i="9"/>
  <c r="AY42" i="9"/>
  <c r="AX42" i="9"/>
  <c r="AW42" i="9"/>
  <c r="AV42" i="9"/>
  <c r="AU42" i="9"/>
  <c r="AT42" i="9"/>
  <c r="AS42" i="9"/>
  <c r="AR42" i="9"/>
  <c r="AQ42" i="9"/>
  <c r="AP42" i="9"/>
  <c r="AO42" i="9"/>
  <c r="AN42" i="9"/>
  <c r="AM42" i="9"/>
  <c r="AL42" i="9"/>
  <c r="AK42" i="9"/>
  <c r="AJ42" i="9"/>
  <c r="AI42" i="9"/>
  <c r="AH42" i="9"/>
  <c r="AG42" i="9"/>
  <c r="AF42" i="9"/>
  <c r="AE42" i="9"/>
  <c r="AD42" i="9"/>
  <c r="AC42" i="9"/>
  <c r="AB42" i="9"/>
  <c r="AA42" i="9"/>
  <c r="Z42" i="9"/>
  <c r="BT41" i="9"/>
  <c r="H41" i="9"/>
  <c r="K41" i="9" s="1"/>
  <c r="L41" i="9" s="1"/>
  <c r="M41" i="9" s="1"/>
  <c r="N41" i="9" s="1"/>
  <c r="O41" i="9" s="1"/>
  <c r="P41" i="9" s="1"/>
  <c r="Q41" i="9" s="1"/>
  <c r="R41" i="9" s="1"/>
  <c r="S41" i="9" s="1"/>
  <c r="F41" i="9"/>
  <c r="BT40" i="9"/>
  <c r="H40" i="9"/>
  <c r="K40" i="9" s="1"/>
  <c r="L40" i="9" s="1"/>
  <c r="M40" i="9" s="1"/>
  <c r="N40" i="9" s="1"/>
  <c r="O40" i="9" s="1"/>
  <c r="P40" i="9" s="1"/>
  <c r="Q40" i="9" s="1"/>
  <c r="R40" i="9" s="1"/>
  <c r="S40" i="9" s="1"/>
  <c r="F40" i="9"/>
  <c r="BT39" i="9"/>
  <c r="H39" i="9"/>
  <c r="K39" i="9" s="1"/>
  <c r="L39" i="9" s="1"/>
  <c r="M39" i="9" s="1"/>
  <c r="N39" i="9" s="1"/>
  <c r="O39" i="9" s="1"/>
  <c r="P39" i="9" s="1"/>
  <c r="Q39" i="9" s="1"/>
  <c r="R39" i="9" s="1"/>
  <c r="S39" i="9" s="1"/>
  <c r="F39" i="9"/>
  <c r="BT38" i="9"/>
  <c r="H38" i="9"/>
  <c r="K38" i="9" s="1"/>
  <c r="L38" i="9" s="1"/>
  <c r="M38" i="9" s="1"/>
  <c r="N38" i="9" s="1"/>
  <c r="O38" i="9" s="1"/>
  <c r="P38" i="9" s="1"/>
  <c r="Q38" i="9" s="1"/>
  <c r="R38" i="9" s="1"/>
  <c r="S38" i="9" s="1"/>
  <c r="F38" i="9"/>
  <c r="BT37" i="9"/>
  <c r="H37" i="9"/>
  <c r="K37" i="9" s="1"/>
  <c r="L37" i="9" s="1"/>
  <c r="M37" i="9" s="1"/>
  <c r="N37" i="9" s="1"/>
  <c r="O37" i="9" s="1"/>
  <c r="P37" i="9" s="1"/>
  <c r="Q37" i="9" s="1"/>
  <c r="R37" i="9" s="1"/>
  <c r="S37" i="9" s="1"/>
  <c r="F37" i="9"/>
  <c r="BT36" i="9"/>
  <c r="BR36" i="9"/>
  <c r="H36" i="9"/>
  <c r="L36" i="9" s="1"/>
  <c r="M36" i="9" s="1"/>
  <c r="N36" i="9" s="1"/>
  <c r="O36" i="9" s="1"/>
  <c r="P36" i="9" s="1"/>
  <c r="Q36" i="9" s="1"/>
  <c r="R36" i="9" s="1"/>
  <c r="S36" i="9" s="1"/>
  <c r="F36" i="9"/>
  <c r="BT35" i="9"/>
  <c r="H35" i="9"/>
  <c r="K35" i="9" s="1"/>
  <c r="L35" i="9" s="1"/>
  <c r="M35" i="9" s="1"/>
  <c r="O35" i="9" s="1"/>
  <c r="P35" i="9" s="1"/>
  <c r="Q35" i="9" s="1"/>
  <c r="R35" i="9" s="1"/>
  <c r="S35" i="9" s="1"/>
  <c r="F35" i="9"/>
  <c r="BT34" i="9"/>
  <c r="BR34" i="9"/>
  <c r="F34" i="9" s="1"/>
  <c r="H34" i="9"/>
  <c r="L34" i="9" s="1"/>
  <c r="M34" i="9" s="1"/>
  <c r="N34" i="9" s="1"/>
  <c r="O34" i="9" s="1"/>
  <c r="P34" i="9" s="1"/>
  <c r="Q34" i="9" s="1"/>
  <c r="R34" i="9" s="1"/>
  <c r="S34" i="9" s="1"/>
  <c r="BT33" i="9"/>
  <c r="H33" i="9"/>
  <c r="K33" i="9" s="1"/>
  <c r="L33" i="9" s="1"/>
  <c r="M33" i="9" s="1"/>
  <c r="N33" i="9" s="1"/>
  <c r="O33" i="9" s="1"/>
  <c r="P33" i="9" s="1"/>
  <c r="Q33" i="9" s="1"/>
  <c r="R33" i="9" s="1"/>
  <c r="S33" i="9" s="1"/>
  <c r="F33" i="9"/>
  <c r="BT32" i="9"/>
  <c r="H32" i="9"/>
  <c r="K32" i="9" s="1"/>
  <c r="L32" i="9" s="1"/>
  <c r="M32" i="9" s="1"/>
  <c r="N32" i="9" s="1"/>
  <c r="O32" i="9" s="1"/>
  <c r="P32" i="9" s="1"/>
  <c r="Q32" i="9" s="1"/>
  <c r="R32" i="9" s="1"/>
  <c r="S32" i="9" s="1"/>
  <c r="F32" i="9"/>
  <c r="BT31" i="9"/>
  <c r="H31" i="9"/>
  <c r="K31" i="9" s="1"/>
  <c r="L31" i="9" s="1"/>
  <c r="M31" i="9" s="1"/>
  <c r="O31" i="9" s="1"/>
  <c r="P31" i="9" s="1"/>
  <c r="Q31" i="9" s="1"/>
  <c r="R31" i="9" s="1"/>
  <c r="S31" i="9" s="1"/>
  <c r="F31" i="9"/>
  <c r="BT30" i="9"/>
  <c r="BR30" i="9"/>
  <c r="H30" i="9"/>
  <c r="L30" i="9" s="1"/>
  <c r="M30" i="9" s="1"/>
  <c r="N30" i="9" s="1"/>
  <c r="O30" i="9" s="1"/>
  <c r="P30" i="9" s="1"/>
  <c r="Q30" i="9" s="1"/>
  <c r="R30" i="9" s="1"/>
  <c r="S30" i="9" s="1"/>
  <c r="F30" i="9"/>
  <c r="BT29" i="9"/>
  <c r="BR29" i="9"/>
  <c r="H29" i="9"/>
  <c r="L29" i="9" s="1"/>
  <c r="M29" i="9" s="1"/>
  <c r="N29" i="9" s="1"/>
  <c r="O29" i="9" s="1"/>
  <c r="P29" i="9" s="1"/>
  <c r="Q29" i="9" s="1"/>
  <c r="R29" i="9" s="1"/>
  <c r="S29" i="9" s="1"/>
  <c r="F29" i="9"/>
  <c r="BT28" i="9"/>
  <c r="BR28" i="9"/>
  <c r="H28" i="9"/>
  <c r="L28" i="9" s="1"/>
  <c r="M28" i="9" s="1"/>
  <c r="N28" i="9" s="1"/>
  <c r="O28" i="9" s="1"/>
  <c r="P28" i="9" s="1"/>
  <c r="Q28" i="9" s="1"/>
  <c r="R28" i="9" s="1"/>
  <c r="S28" i="9" s="1"/>
  <c r="F28" i="9"/>
  <c r="S21" i="9"/>
  <c r="R21" i="9"/>
  <c r="Q21" i="9"/>
  <c r="P21" i="9"/>
  <c r="O21" i="9"/>
  <c r="N21" i="9"/>
  <c r="M21" i="9"/>
  <c r="L21" i="9"/>
  <c r="S20" i="9"/>
  <c r="R20" i="9"/>
  <c r="Q20" i="9"/>
  <c r="P20" i="9"/>
  <c r="O20" i="9"/>
  <c r="N20" i="9"/>
  <c r="M20" i="9"/>
  <c r="L20" i="9"/>
  <c r="S19" i="9"/>
  <c r="R19" i="9"/>
  <c r="Q19" i="9"/>
  <c r="P19" i="9"/>
  <c r="O19" i="9"/>
  <c r="N19" i="9"/>
  <c r="M19" i="9"/>
  <c r="L19" i="9"/>
  <c r="J19" i="9"/>
  <c r="S18" i="9"/>
  <c r="R18" i="9"/>
  <c r="Q18" i="9"/>
  <c r="P18" i="9"/>
  <c r="O18" i="9"/>
  <c r="N18" i="9"/>
  <c r="M18" i="9"/>
  <c r="L18" i="9"/>
  <c r="S17" i="9"/>
  <c r="R17" i="9"/>
  <c r="Q17" i="9"/>
  <c r="P17" i="9"/>
  <c r="O17" i="9"/>
  <c r="N17" i="9"/>
  <c r="M17" i="9"/>
  <c r="L17" i="9"/>
  <c r="S16" i="9"/>
  <c r="S25" i="9" s="1"/>
  <c r="R16" i="9"/>
  <c r="R25" i="9" s="1"/>
  <c r="Q16" i="9"/>
  <c r="Q25" i="9" s="1"/>
  <c r="P16" i="9"/>
  <c r="P25" i="9" s="1"/>
  <c r="O16" i="9"/>
  <c r="O25" i="9" s="1"/>
  <c r="N16" i="9"/>
  <c r="N25" i="9" s="1"/>
  <c r="M16" i="9"/>
  <c r="M25" i="9" s="1"/>
  <c r="L16" i="9"/>
  <c r="L25" i="9" s="1"/>
  <c r="I15" i="9"/>
  <c r="H15" i="9"/>
  <c r="G15" i="9"/>
  <c r="F15" i="9"/>
  <c r="E15" i="9"/>
  <c r="D15" i="9"/>
  <c r="C15" i="9"/>
  <c r="B15" i="9"/>
  <c r="I14" i="9"/>
  <c r="H14" i="9"/>
  <c r="G14" i="9"/>
  <c r="F14" i="9"/>
  <c r="E14" i="9"/>
  <c r="D14" i="9"/>
  <c r="C14" i="9"/>
  <c r="B14" i="9"/>
  <c r="I13" i="9"/>
  <c r="H13" i="9"/>
  <c r="G13" i="9"/>
  <c r="F13" i="9"/>
  <c r="E13" i="9"/>
  <c r="D13" i="9"/>
  <c r="C13" i="9"/>
  <c r="B13" i="9"/>
  <c r="I12" i="9"/>
  <c r="H12" i="9"/>
  <c r="G12" i="9"/>
  <c r="F12" i="9"/>
  <c r="E12" i="9"/>
  <c r="D12" i="9"/>
  <c r="C12" i="9"/>
  <c r="B12" i="9"/>
  <c r="I11" i="9"/>
  <c r="I16" i="9" s="1"/>
  <c r="H11" i="9"/>
  <c r="H16" i="9" s="1"/>
  <c r="G11" i="9"/>
  <c r="F11" i="9"/>
  <c r="E11" i="9"/>
  <c r="D11" i="9"/>
  <c r="D16" i="9" s="1"/>
  <c r="C11" i="9"/>
  <c r="C16" i="9" s="1"/>
  <c r="B11" i="9"/>
  <c r="B16" i="9" s="1"/>
  <c r="S9" i="9"/>
  <c r="R9" i="9"/>
  <c r="Q9" i="9"/>
  <c r="P9" i="9"/>
  <c r="N9" i="9"/>
  <c r="M9" i="9"/>
  <c r="L9" i="9"/>
  <c r="S8" i="9"/>
  <c r="R8" i="9"/>
  <c r="Q8" i="9"/>
  <c r="P8" i="9"/>
  <c r="O8" i="9"/>
  <c r="N8" i="9"/>
  <c r="M8" i="9"/>
  <c r="L8" i="9"/>
  <c r="S7" i="9"/>
  <c r="R7" i="9"/>
  <c r="Q7" i="9"/>
  <c r="P7" i="9"/>
  <c r="O7" i="9"/>
  <c r="N7" i="9"/>
  <c r="M7" i="9"/>
  <c r="L7" i="9"/>
  <c r="S6" i="9"/>
  <c r="R6" i="9"/>
  <c r="Q6" i="9"/>
  <c r="P6" i="9"/>
  <c r="O6" i="9"/>
  <c r="N6" i="9"/>
  <c r="M6" i="9"/>
  <c r="L6" i="9"/>
  <c r="I6" i="9"/>
  <c r="H6" i="9"/>
  <c r="G6" i="9"/>
  <c r="F6" i="9"/>
  <c r="E6" i="9"/>
  <c r="D6" i="9"/>
  <c r="C6" i="9"/>
  <c r="B6" i="9"/>
  <c r="S5" i="9"/>
  <c r="R5" i="9"/>
  <c r="Q5" i="9"/>
  <c r="P5" i="9"/>
  <c r="O5" i="9"/>
  <c r="N5" i="9"/>
  <c r="M5" i="9"/>
  <c r="L5" i="9"/>
  <c r="I5" i="9"/>
  <c r="H5" i="9"/>
  <c r="G5" i="9"/>
  <c r="F5" i="9"/>
  <c r="E5" i="9"/>
  <c r="D5" i="9"/>
  <c r="C5" i="9"/>
  <c r="B5" i="9"/>
  <c r="S4" i="9"/>
  <c r="R4" i="9"/>
  <c r="Q4" i="9"/>
  <c r="O4" i="9"/>
  <c r="N4" i="9"/>
  <c r="M4" i="9"/>
  <c r="L4" i="9"/>
  <c r="I4" i="9"/>
  <c r="I7" i="9" s="1"/>
  <c r="G4" i="9"/>
  <c r="F4" i="9"/>
  <c r="E4" i="9"/>
  <c r="D4" i="9"/>
  <c r="C4" i="9"/>
  <c r="B4" i="9"/>
  <c r="S3" i="9"/>
  <c r="R3" i="9"/>
  <c r="Q3" i="9"/>
  <c r="P3" i="9"/>
  <c r="O3" i="9"/>
  <c r="N3" i="9"/>
  <c r="M3" i="9"/>
  <c r="L3" i="9"/>
  <c r="H3" i="9"/>
  <c r="H7" i="9" s="1"/>
  <c r="G3" i="9"/>
  <c r="G7" i="9" s="1"/>
  <c r="F3" i="9"/>
  <c r="F7" i="9" s="1"/>
  <c r="E3" i="9"/>
  <c r="E7" i="9" s="1"/>
  <c r="D3" i="9"/>
  <c r="C3" i="9"/>
  <c r="C7" i="9" s="1"/>
  <c r="B3" i="9"/>
  <c r="B7" i="9" s="1"/>
  <c r="S12" i="9" l="1"/>
  <c r="I18" i="9" s="1"/>
  <c r="J7" i="10" s="1"/>
  <c r="R12" i="9"/>
  <c r="H18" i="9" s="1"/>
  <c r="I7" i="10" s="1"/>
  <c r="P12" i="9"/>
  <c r="N12" i="9"/>
  <c r="K19" i="10"/>
  <c r="E16" i="9"/>
  <c r="F16" i="9"/>
  <c r="F18" i="9" s="1"/>
  <c r="G7" i="10" s="1"/>
  <c r="G16" i="9"/>
  <c r="BT42" i="9"/>
  <c r="BS42" i="9"/>
  <c r="L12" i="9"/>
  <c r="B18" i="9" s="1"/>
  <c r="O12" i="9"/>
  <c r="E18" i="9" s="1"/>
  <c r="F7" i="10" s="1"/>
  <c r="Q12" i="9"/>
  <c r="G18" i="9" s="1"/>
  <c r="H7" i="10" s="1"/>
  <c r="BT63" i="9"/>
  <c r="M12" i="9"/>
  <c r="D7" i="9"/>
  <c r="D18" i="9" s="1"/>
  <c r="E7" i="10" s="1"/>
  <c r="BR85" i="9"/>
  <c r="F85" i="9" s="1"/>
  <c r="F8" i="10"/>
  <c r="C8" i="10"/>
  <c r="H8" i="10"/>
  <c r="E8" i="10"/>
  <c r="J8" i="10"/>
  <c r="J11" i="10" s="1"/>
  <c r="K16" i="10"/>
  <c r="C22" i="10"/>
  <c r="E136" i="9"/>
  <c r="H136" i="9" s="1"/>
  <c r="K136" i="9" s="1"/>
  <c r="L136" i="9" s="1"/>
  <c r="M136" i="9" s="1"/>
  <c r="N136" i="9" s="1"/>
  <c r="O136" i="9" s="1"/>
  <c r="P136" i="9" s="1"/>
  <c r="Q136" i="9" s="1"/>
  <c r="R136" i="9" s="1"/>
  <c r="S136" i="9" s="1"/>
  <c r="H135" i="9"/>
  <c r="K135" i="9" s="1"/>
  <c r="L135" i="9" s="1"/>
  <c r="M135" i="9" s="1"/>
  <c r="N135" i="9" s="1"/>
  <c r="O135" i="9" s="1"/>
  <c r="P135" i="9" s="1"/>
  <c r="Q135" i="9" s="1"/>
  <c r="R135" i="9" s="1"/>
  <c r="S135" i="9" s="1"/>
  <c r="E133" i="9"/>
  <c r="H133" i="9" s="1"/>
  <c r="K133" i="9" s="1"/>
  <c r="L133" i="9" s="1"/>
  <c r="M133" i="9" s="1"/>
  <c r="N133" i="9" s="1"/>
  <c r="O133" i="9" s="1"/>
  <c r="P133" i="9" s="1"/>
  <c r="Q133" i="9" s="1"/>
  <c r="R133" i="9" s="1"/>
  <c r="S133" i="9" s="1"/>
  <c r="H132" i="9"/>
  <c r="K132" i="9" s="1"/>
  <c r="L132" i="9" s="1"/>
  <c r="M132" i="9" s="1"/>
  <c r="N132" i="9" s="1"/>
  <c r="O132" i="9" s="1"/>
  <c r="P132" i="9" s="1"/>
  <c r="Q132" i="9" s="1"/>
  <c r="R132" i="9" s="1"/>
  <c r="S132" i="9" s="1"/>
  <c r="E130" i="9"/>
  <c r="H130" i="9" s="1"/>
  <c r="K130" i="9" s="1"/>
  <c r="L130" i="9" s="1"/>
  <c r="M130" i="9" s="1"/>
  <c r="N130" i="9" s="1"/>
  <c r="O130" i="9" s="1"/>
  <c r="P130" i="9" s="1"/>
  <c r="Q130" i="9" s="1"/>
  <c r="R130" i="9" s="1"/>
  <c r="S130" i="9" s="1"/>
  <c r="H129" i="9"/>
  <c r="K129" i="9" s="1"/>
  <c r="L129" i="9" s="1"/>
  <c r="M129" i="9" s="1"/>
  <c r="N129" i="9" s="1"/>
  <c r="O129" i="9" s="1"/>
  <c r="P129" i="9" s="1"/>
  <c r="Q129" i="9" s="1"/>
  <c r="R129" i="9" s="1"/>
  <c r="S129" i="9" s="1"/>
  <c r="E127" i="9"/>
  <c r="H127" i="9" s="1"/>
  <c r="K127" i="9" s="1"/>
  <c r="L127" i="9" s="1"/>
  <c r="M127" i="9" s="1"/>
  <c r="N127" i="9" s="1"/>
  <c r="O127" i="9" s="1"/>
  <c r="P127" i="9" s="1"/>
  <c r="Q127" i="9" s="1"/>
  <c r="R127" i="9" s="1"/>
  <c r="S127" i="9" s="1"/>
  <c r="H126" i="9"/>
  <c r="K126" i="9" s="1"/>
  <c r="L126" i="9" s="1"/>
  <c r="M126" i="9" s="1"/>
  <c r="N126" i="9" s="1"/>
  <c r="O126" i="9" s="1"/>
  <c r="P126" i="9" s="1"/>
  <c r="Q126" i="9" s="1"/>
  <c r="R126" i="9" s="1"/>
  <c r="S126" i="9" s="1"/>
  <c r="E124" i="9"/>
  <c r="H124" i="9" s="1"/>
  <c r="K124" i="9" s="1"/>
  <c r="L124" i="9" s="1"/>
  <c r="M124" i="9" s="1"/>
  <c r="N124" i="9" s="1"/>
  <c r="O124" i="9" s="1"/>
  <c r="P124" i="9" s="1"/>
  <c r="Q124" i="9" s="1"/>
  <c r="R124" i="9" s="1"/>
  <c r="S124" i="9" s="1"/>
  <c r="H123" i="9"/>
  <c r="K123" i="9" s="1"/>
  <c r="L123" i="9" s="1"/>
  <c r="M123" i="9" s="1"/>
  <c r="N123" i="9" s="1"/>
  <c r="O123" i="9" s="1"/>
  <c r="P123" i="9" s="1"/>
  <c r="Q123" i="9" s="1"/>
  <c r="R123" i="9" s="1"/>
  <c r="S123" i="9" s="1"/>
  <c r="E117" i="9"/>
  <c r="H116" i="9"/>
  <c r="K116" i="9" s="1"/>
  <c r="L116" i="9" s="1"/>
  <c r="M116" i="9" s="1"/>
  <c r="N116" i="9" s="1"/>
  <c r="O116" i="9" s="1"/>
  <c r="P116" i="9" s="1"/>
  <c r="Q116" i="9" s="1"/>
  <c r="R116" i="9" s="1"/>
  <c r="S116" i="9" s="1"/>
  <c r="E114" i="9"/>
  <c r="H114" i="9" s="1"/>
  <c r="K114" i="9" s="1"/>
  <c r="L114" i="9" s="1"/>
  <c r="M114" i="9" s="1"/>
  <c r="N114" i="9" s="1"/>
  <c r="O114" i="9" s="1"/>
  <c r="P114" i="9" s="1"/>
  <c r="Q114" i="9" s="1"/>
  <c r="R114" i="9" s="1"/>
  <c r="S114" i="9" s="1"/>
  <c r="H113" i="9"/>
  <c r="K113" i="9" s="1"/>
  <c r="L113" i="9" s="1"/>
  <c r="M113" i="9" s="1"/>
  <c r="N113" i="9" s="1"/>
  <c r="O113" i="9" s="1"/>
  <c r="P113" i="9" s="1"/>
  <c r="Q113" i="9" s="1"/>
  <c r="R113" i="9" s="1"/>
  <c r="S113" i="9" s="1"/>
  <c r="E111" i="9"/>
  <c r="H111" i="9" s="1"/>
  <c r="K111" i="9" s="1"/>
  <c r="L111" i="9" s="1"/>
  <c r="M111" i="9" s="1"/>
  <c r="N111" i="9" s="1"/>
  <c r="O111" i="9" s="1"/>
  <c r="P111" i="9" s="1"/>
  <c r="Q111" i="9" s="1"/>
  <c r="R111" i="9" s="1"/>
  <c r="S111" i="9" s="1"/>
  <c r="H110" i="9"/>
  <c r="K110" i="9" s="1"/>
  <c r="L110" i="9" s="1"/>
  <c r="M110" i="9" s="1"/>
  <c r="N110" i="9" s="1"/>
  <c r="O110" i="9" s="1"/>
  <c r="P110" i="9" s="1"/>
  <c r="Q110" i="9" s="1"/>
  <c r="R110" i="9" s="1"/>
  <c r="S110" i="9" s="1"/>
  <c r="BS91" i="9"/>
  <c r="BT91" i="9"/>
  <c r="M48" i="9"/>
  <c r="L45" i="9"/>
  <c r="C18" i="9" l="1"/>
  <c r="D7" i="10" s="1"/>
  <c r="K7" i="10" s="1"/>
  <c r="C7" i="10"/>
  <c r="J18" i="9"/>
  <c r="F11" i="10"/>
  <c r="H11" i="10"/>
  <c r="C11" i="10"/>
  <c r="E11" i="10"/>
  <c r="J20" i="9"/>
  <c r="D8" i="10"/>
  <c r="G8" i="10"/>
  <c r="G11" i="10" s="1"/>
  <c r="I8" i="10"/>
  <c r="I11" i="10" s="1"/>
  <c r="K8" i="10"/>
  <c r="H117" i="9"/>
  <c r="K117" i="9" s="1"/>
  <c r="L117" i="9" s="1"/>
  <c r="M117" i="9" s="1"/>
  <c r="N117" i="9" s="1"/>
  <c r="O117" i="9" s="1"/>
  <c r="P117" i="9" s="1"/>
  <c r="Q117" i="9" s="1"/>
  <c r="R117" i="9" s="1"/>
  <c r="S117" i="9" s="1"/>
  <c r="E118" i="9"/>
  <c r="N48" i="9"/>
  <c r="O48" i="9" s="1"/>
  <c r="P48" i="9" s="1"/>
  <c r="Q48" i="9" s="1"/>
  <c r="R48" i="9" s="1"/>
  <c r="S48" i="9" s="1"/>
  <c r="M45" i="9"/>
  <c r="D11" i="10" l="1"/>
  <c r="K11" i="10" s="1"/>
  <c r="H118" i="9"/>
  <c r="K118" i="9" s="1"/>
  <c r="L118" i="9" s="1"/>
  <c r="M118" i="9" s="1"/>
  <c r="N118" i="9" s="1"/>
  <c r="O118" i="9" s="1"/>
  <c r="P118" i="9" s="1"/>
  <c r="Q118" i="9" s="1"/>
  <c r="R118" i="9" s="1"/>
  <c r="S118" i="9" s="1"/>
  <c r="E119" i="9"/>
  <c r="H119" i="9" l="1"/>
  <c r="K119" i="9" s="1"/>
  <c r="L119" i="9" s="1"/>
  <c r="M119" i="9" s="1"/>
  <c r="N119" i="9" s="1"/>
  <c r="O119" i="9" s="1"/>
  <c r="P119" i="9" s="1"/>
  <c r="Q119" i="9" s="1"/>
  <c r="R119" i="9" s="1"/>
  <c r="S119" i="9" s="1"/>
  <c r="E120" i="9"/>
  <c r="H120" i="9" l="1"/>
  <c r="K120" i="9" s="1"/>
  <c r="L120" i="9" s="1"/>
  <c r="M120" i="9" s="1"/>
  <c r="N120" i="9" s="1"/>
  <c r="O120" i="9" s="1"/>
  <c r="P120" i="9" s="1"/>
  <c r="Q120" i="9" s="1"/>
  <c r="R120" i="9" s="1"/>
  <c r="S120" i="9" s="1"/>
  <c r="E121" i="9"/>
  <c r="H121" i="9" s="1"/>
  <c r="K121" i="9" s="1"/>
  <c r="L121" i="9" s="1"/>
  <c r="M121" i="9" s="1"/>
  <c r="N121" i="9" s="1"/>
  <c r="O121" i="9" s="1"/>
  <c r="P121" i="9" s="1"/>
  <c r="Q121" i="9" s="1"/>
  <c r="R121" i="9" s="1"/>
  <c r="S121" i="9" s="1"/>
  <c r="AB53" i="11" l="1"/>
  <c r="X53" i="11"/>
  <c r="T53" i="11"/>
  <c r="P53" i="11"/>
  <c r="L53" i="11"/>
  <c r="H53" i="11"/>
  <c r="D53" i="11"/>
  <c r="AF52" i="11"/>
  <c r="AE52" i="11"/>
  <c r="AF47" i="11"/>
  <c r="AE47" i="11"/>
  <c r="AF40" i="11"/>
  <c r="AE40" i="11"/>
  <c r="AF39" i="11"/>
  <c r="AE39" i="11"/>
  <c r="AF37" i="11"/>
  <c r="AE37" i="11"/>
  <c r="AF35" i="11"/>
  <c r="AE35" i="11"/>
  <c r="AF34" i="11"/>
  <c r="AE34" i="11"/>
  <c r="AF33" i="11"/>
  <c r="AE33" i="11"/>
  <c r="AF32" i="11"/>
  <c r="AE32" i="11"/>
  <c r="AF25" i="11"/>
  <c r="AE25" i="11"/>
  <c r="AE53" i="11"/>
  <c r="J22" i="10" l="1"/>
  <c r="G22" i="10"/>
  <c r="AF53" i="11"/>
  <c r="D22" i="10"/>
  <c r="F22" i="10"/>
  <c r="I22" i="10"/>
  <c r="E22" i="10"/>
  <c r="K22" i="10" l="1"/>
  <c r="H66" i="2"/>
  <c r="J66" i="2"/>
  <c r="J67" i="2"/>
  <c r="C11" i="3"/>
  <c r="BE107" i="2"/>
  <c r="H107" i="2"/>
  <c r="K107" i="2" s="1"/>
  <c r="L107" i="2" s="1"/>
  <c r="M107" i="2" s="1"/>
  <c r="N107" i="2" s="1"/>
  <c r="O107" i="2" s="1"/>
  <c r="P107" i="2" s="1"/>
  <c r="Q107" i="2" s="1"/>
  <c r="R107" i="2" s="1"/>
  <c r="S107" i="2" s="1"/>
  <c r="H38" i="2"/>
  <c r="H39" i="2"/>
  <c r="AF12" i="3" l="1"/>
  <c r="AF13" i="3"/>
  <c r="AF14" i="3"/>
  <c r="AF15" i="3"/>
  <c r="AF16" i="3"/>
  <c r="AF17" i="3"/>
  <c r="AF18" i="3"/>
  <c r="AF19" i="3"/>
  <c r="AF20" i="3"/>
  <c r="AF21" i="3"/>
  <c r="AF22" i="3"/>
  <c r="AF23" i="3"/>
  <c r="AF24" i="3"/>
  <c r="AF25" i="3"/>
  <c r="AF26" i="3"/>
  <c r="AF27" i="3"/>
  <c r="AF28" i="3"/>
  <c r="AF29" i="3"/>
  <c r="AF30" i="3"/>
  <c r="AF31" i="3"/>
  <c r="AF32" i="3"/>
  <c r="AF33" i="3"/>
  <c r="AF34" i="3"/>
  <c r="AF35" i="3"/>
  <c r="AF36" i="3"/>
  <c r="AF37" i="3"/>
  <c r="AF38" i="3"/>
  <c r="AF39" i="3"/>
  <c r="AF40" i="3"/>
  <c r="AE12" i="3"/>
  <c r="AE13" i="3"/>
  <c r="AE14" i="3"/>
  <c r="AE15" i="3"/>
  <c r="AE16" i="3"/>
  <c r="AE17" i="3"/>
  <c r="AE18" i="3"/>
  <c r="AE19" i="3"/>
  <c r="AE20" i="3"/>
  <c r="AE21" i="3"/>
  <c r="AE22" i="3"/>
  <c r="AE23" i="3"/>
  <c r="AE24" i="3"/>
  <c r="AE25" i="3"/>
  <c r="AE26" i="3"/>
  <c r="AE27" i="3"/>
  <c r="AE28" i="3"/>
  <c r="AE29" i="3"/>
  <c r="AE30" i="3"/>
  <c r="AE31" i="3"/>
  <c r="AE32" i="3"/>
  <c r="AE33" i="3"/>
  <c r="AE34" i="3"/>
  <c r="AE35" i="3"/>
  <c r="AE36" i="3"/>
  <c r="AE37" i="3"/>
  <c r="AE38" i="3"/>
  <c r="AE39" i="3"/>
  <c r="AE40" i="3"/>
  <c r="AF11" i="3"/>
  <c r="AE11" i="3"/>
  <c r="AF41" i="3" l="1"/>
  <c r="AE41" i="3"/>
  <c r="D41" i="3"/>
  <c r="H41" i="3"/>
  <c r="AB41" i="3"/>
  <c r="X41" i="3"/>
  <c r="T41" i="3"/>
  <c r="P41" i="3"/>
  <c r="L41" i="3"/>
  <c r="G15" i="2" l="1"/>
  <c r="P68" i="2" l="1"/>
  <c r="BE123" i="2"/>
  <c r="H123" i="2"/>
  <c r="K123" i="2" s="1"/>
  <c r="L123" i="2" s="1"/>
  <c r="M123" i="2" s="1"/>
  <c r="N123" i="2" s="1"/>
  <c r="O123" i="2" s="1"/>
  <c r="P123" i="2" s="1"/>
  <c r="Q123" i="2" s="1"/>
  <c r="R123" i="2" s="1"/>
  <c r="S123" i="2" s="1"/>
  <c r="BE122" i="2"/>
  <c r="H122" i="2"/>
  <c r="K122" i="2" s="1"/>
  <c r="L122" i="2" s="1"/>
  <c r="M122" i="2" s="1"/>
  <c r="N122" i="2" s="1"/>
  <c r="O122" i="2" s="1"/>
  <c r="P122" i="2" s="1"/>
  <c r="Q122" i="2" s="1"/>
  <c r="R122" i="2" s="1"/>
  <c r="S122" i="2" s="1"/>
  <c r="BE121" i="2"/>
  <c r="F121" i="2" s="1"/>
  <c r="H121" i="2"/>
  <c r="BE120" i="2"/>
  <c r="H120" i="2"/>
  <c r="K120" i="2" s="1"/>
  <c r="L120" i="2" s="1"/>
  <c r="M120" i="2" s="1"/>
  <c r="N120" i="2" s="1"/>
  <c r="O120" i="2" s="1"/>
  <c r="P120" i="2" s="1"/>
  <c r="Q120" i="2" s="1"/>
  <c r="R120" i="2" s="1"/>
  <c r="S120" i="2" s="1"/>
  <c r="BE119" i="2"/>
  <c r="H119" i="2"/>
  <c r="K119" i="2" s="1"/>
  <c r="L119" i="2" s="1"/>
  <c r="M119" i="2" s="1"/>
  <c r="N119" i="2" s="1"/>
  <c r="O119" i="2" s="1"/>
  <c r="P119" i="2" s="1"/>
  <c r="Q119" i="2" s="1"/>
  <c r="R119" i="2" s="1"/>
  <c r="S119" i="2" s="1"/>
  <c r="BE118" i="2"/>
  <c r="F118" i="2" s="1"/>
  <c r="H118" i="2"/>
  <c r="BE117" i="2"/>
  <c r="H117" i="2"/>
  <c r="K117" i="2" s="1"/>
  <c r="L117" i="2" s="1"/>
  <c r="M117" i="2" s="1"/>
  <c r="N117" i="2" s="1"/>
  <c r="O117" i="2" s="1"/>
  <c r="P117" i="2" s="1"/>
  <c r="Q117" i="2" s="1"/>
  <c r="R117" i="2" s="1"/>
  <c r="S117" i="2" s="1"/>
  <c r="BE116" i="2"/>
  <c r="H116" i="2"/>
  <c r="K116" i="2" s="1"/>
  <c r="L116" i="2" s="1"/>
  <c r="M116" i="2" s="1"/>
  <c r="N116" i="2" s="1"/>
  <c r="O116" i="2" s="1"/>
  <c r="P116" i="2" s="1"/>
  <c r="Q116" i="2" s="1"/>
  <c r="R116" i="2" s="1"/>
  <c r="S116" i="2" s="1"/>
  <c r="BE115" i="2"/>
  <c r="F115" i="2" s="1"/>
  <c r="H115" i="2"/>
  <c r="BE114" i="2"/>
  <c r="H114" i="2"/>
  <c r="K114" i="2" s="1"/>
  <c r="L114" i="2" s="1"/>
  <c r="M114" i="2" s="1"/>
  <c r="N114" i="2" s="1"/>
  <c r="O114" i="2" s="1"/>
  <c r="P114" i="2" s="1"/>
  <c r="Q114" i="2" s="1"/>
  <c r="R114" i="2" s="1"/>
  <c r="S114" i="2" s="1"/>
  <c r="BE113" i="2"/>
  <c r="H113" i="2"/>
  <c r="K113" i="2" s="1"/>
  <c r="L113" i="2" s="1"/>
  <c r="M113" i="2" s="1"/>
  <c r="N113" i="2" s="1"/>
  <c r="O113" i="2" s="1"/>
  <c r="P113" i="2" s="1"/>
  <c r="Q113" i="2" s="1"/>
  <c r="R113" i="2" s="1"/>
  <c r="S113" i="2" s="1"/>
  <c r="BE112" i="2"/>
  <c r="F112" i="2" s="1"/>
  <c r="H112" i="2"/>
  <c r="K112" i="2" s="1"/>
  <c r="L112" i="2" s="1"/>
  <c r="BE111" i="2"/>
  <c r="H111" i="2"/>
  <c r="K111" i="2" s="1"/>
  <c r="L111" i="2" s="1"/>
  <c r="M111" i="2" s="1"/>
  <c r="N111" i="2" s="1"/>
  <c r="O111" i="2" s="1"/>
  <c r="P111" i="2" s="1"/>
  <c r="Q111" i="2" s="1"/>
  <c r="R111" i="2" s="1"/>
  <c r="S111" i="2" s="1"/>
  <c r="BE110" i="2"/>
  <c r="H110" i="2"/>
  <c r="K110" i="2" s="1"/>
  <c r="L110" i="2" s="1"/>
  <c r="M110" i="2" s="1"/>
  <c r="N110" i="2" s="1"/>
  <c r="O110" i="2" s="1"/>
  <c r="P110" i="2" s="1"/>
  <c r="Q110" i="2" s="1"/>
  <c r="R110" i="2" s="1"/>
  <c r="S110" i="2" s="1"/>
  <c r="BE109" i="2"/>
  <c r="F109" i="2" s="1"/>
  <c r="H109" i="2"/>
  <c r="K109" i="2" s="1"/>
  <c r="L109" i="2" s="1"/>
  <c r="M109" i="2" s="1"/>
  <c r="BE108" i="2"/>
  <c r="H108" i="2"/>
  <c r="K108" i="2" s="1"/>
  <c r="L108" i="2" s="1"/>
  <c r="M108" i="2" s="1"/>
  <c r="N108" i="2" s="1"/>
  <c r="O108" i="2" s="1"/>
  <c r="P108" i="2" s="1"/>
  <c r="Q108" i="2" s="1"/>
  <c r="R108" i="2" s="1"/>
  <c r="S108" i="2" s="1"/>
  <c r="BE106" i="2"/>
  <c r="H106" i="2"/>
  <c r="K106" i="2" s="1"/>
  <c r="L106" i="2" s="1"/>
  <c r="M106" i="2" s="1"/>
  <c r="N106" i="2" s="1"/>
  <c r="O106" i="2" s="1"/>
  <c r="P106" i="2" s="1"/>
  <c r="Q106" i="2" s="1"/>
  <c r="R106" i="2" s="1"/>
  <c r="S106" i="2" s="1"/>
  <c r="BE105" i="2"/>
  <c r="F105" i="2" s="1"/>
  <c r="H105" i="2"/>
  <c r="K105" i="2" s="1"/>
  <c r="BE104" i="2"/>
  <c r="H104" i="2"/>
  <c r="K104" i="2" s="1"/>
  <c r="L104" i="2" s="1"/>
  <c r="M104" i="2" s="1"/>
  <c r="N104" i="2" s="1"/>
  <c r="O104" i="2" s="1"/>
  <c r="P104" i="2" s="1"/>
  <c r="Q104" i="2" s="1"/>
  <c r="R104" i="2" s="1"/>
  <c r="S104" i="2" s="1"/>
  <c r="BE103" i="2"/>
  <c r="H103" i="2"/>
  <c r="BE102" i="2"/>
  <c r="F102" i="2" s="1"/>
  <c r="H102" i="2"/>
  <c r="BE101" i="2"/>
  <c r="H101" i="2"/>
  <c r="K101" i="2" s="1"/>
  <c r="L101" i="2" s="1"/>
  <c r="M101" i="2" s="1"/>
  <c r="N101" i="2" s="1"/>
  <c r="O101" i="2" s="1"/>
  <c r="P101" i="2" s="1"/>
  <c r="Q101" i="2" s="1"/>
  <c r="R101" i="2" s="1"/>
  <c r="S101" i="2" s="1"/>
  <c r="BE100" i="2"/>
  <c r="H100" i="2"/>
  <c r="K100" i="2" s="1"/>
  <c r="L100" i="2" s="1"/>
  <c r="M100" i="2" s="1"/>
  <c r="N100" i="2" s="1"/>
  <c r="O100" i="2" s="1"/>
  <c r="P100" i="2" s="1"/>
  <c r="Q100" i="2" s="1"/>
  <c r="R100" i="2" s="1"/>
  <c r="S100" i="2" s="1"/>
  <c r="BE99" i="2"/>
  <c r="F99" i="2" s="1"/>
  <c r="H99" i="2"/>
  <c r="BE98" i="2"/>
  <c r="H98" i="2"/>
  <c r="K98" i="2" s="1"/>
  <c r="L98" i="2" s="1"/>
  <c r="M98" i="2" s="1"/>
  <c r="N98" i="2" s="1"/>
  <c r="O98" i="2" s="1"/>
  <c r="P98" i="2" s="1"/>
  <c r="Q98" i="2" s="1"/>
  <c r="R98" i="2" s="1"/>
  <c r="S98" i="2" s="1"/>
  <c r="BE97" i="2"/>
  <c r="H97" i="2"/>
  <c r="K97" i="2" s="1"/>
  <c r="L97" i="2" s="1"/>
  <c r="M97" i="2" s="1"/>
  <c r="N97" i="2" s="1"/>
  <c r="O97" i="2" s="1"/>
  <c r="P97" i="2" s="1"/>
  <c r="Q97" i="2" s="1"/>
  <c r="R97" i="2" s="1"/>
  <c r="S97" i="2" s="1"/>
  <c r="BE96" i="2"/>
  <c r="H96" i="2"/>
  <c r="F96" i="2"/>
  <c r="BE95" i="2"/>
  <c r="H95" i="2"/>
  <c r="K95" i="2" s="1"/>
  <c r="L95" i="2" s="1"/>
  <c r="M95" i="2" s="1"/>
  <c r="N95" i="2" s="1"/>
  <c r="O95" i="2" s="1"/>
  <c r="P95" i="2" s="1"/>
  <c r="Q95" i="2" s="1"/>
  <c r="R95" i="2" s="1"/>
  <c r="S95" i="2" s="1"/>
  <c r="BE94" i="2"/>
  <c r="H94" i="2"/>
  <c r="K94" i="2" s="1"/>
  <c r="L94" i="2" s="1"/>
  <c r="M94" i="2" s="1"/>
  <c r="N94" i="2" s="1"/>
  <c r="O94" i="2" s="1"/>
  <c r="P94" i="2" s="1"/>
  <c r="Q94" i="2" s="1"/>
  <c r="R94" i="2" s="1"/>
  <c r="S94" i="2" s="1"/>
  <c r="BE93" i="2"/>
  <c r="F93" i="2" s="1"/>
  <c r="H93" i="2"/>
  <c r="K93" i="2" s="1"/>
  <c r="BE92" i="2"/>
  <c r="H92" i="2"/>
  <c r="K92" i="2" s="1"/>
  <c r="L92" i="2" s="1"/>
  <c r="M92" i="2" s="1"/>
  <c r="N92" i="2" s="1"/>
  <c r="O92" i="2" s="1"/>
  <c r="P92" i="2" s="1"/>
  <c r="Q92" i="2" s="1"/>
  <c r="R92" i="2" s="1"/>
  <c r="S92" i="2" s="1"/>
  <c r="BE91" i="2"/>
  <c r="H91" i="2"/>
  <c r="BE90" i="2"/>
  <c r="F90" i="2" s="1"/>
  <c r="H90" i="2"/>
  <c r="BE89" i="2"/>
  <c r="H89" i="2"/>
  <c r="K89" i="2" s="1"/>
  <c r="L89" i="2" s="1"/>
  <c r="M89" i="2" s="1"/>
  <c r="N89" i="2" s="1"/>
  <c r="O89" i="2" s="1"/>
  <c r="P89" i="2" s="1"/>
  <c r="Q89" i="2" s="1"/>
  <c r="R89" i="2" s="1"/>
  <c r="S89" i="2" s="1"/>
  <c r="BE88" i="2"/>
  <c r="H88" i="2"/>
  <c r="K88" i="2" s="1"/>
  <c r="L88" i="2" s="1"/>
  <c r="M88" i="2" s="1"/>
  <c r="N88" i="2" s="1"/>
  <c r="O88" i="2" s="1"/>
  <c r="P88" i="2" s="1"/>
  <c r="Q88" i="2" s="1"/>
  <c r="R88" i="2" s="1"/>
  <c r="S88" i="2" s="1"/>
  <c r="BE87" i="2"/>
  <c r="F87" i="2" s="1"/>
  <c r="H87" i="2"/>
  <c r="K87" i="2" s="1"/>
  <c r="BE86" i="2"/>
  <c r="H86" i="2"/>
  <c r="K86" i="2" s="1"/>
  <c r="L86" i="2" s="1"/>
  <c r="M86" i="2" s="1"/>
  <c r="N86" i="2" s="1"/>
  <c r="O86" i="2" s="1"/>
  <c r="P86" i="2" s="1"/>
  <c r="Q86" i="2" s="1"/>
  <c r="R86" i="2" s="1"/>
  <c r="S86" i="2" s="1"/>
  <c r="BE85" i="2"/>
  <c r="H85" i="2"/>
  <c r="K85" i="2" s="1"/>
  <c r="L85" i="2" s="1"/>
  <c r="M85" i="2" s="1"/>
  <c r="N85" i="2" s="1"/>
  <c r="O85" i="2" s="1"/>
  <c r="P85" i="2" s="1"/>
  <c r="Q85" i="2" s="1"/>
  <c r="R85" i="2" s="1"/>
  <c r="S85" i="2" s="1"/>
  <c r="BE84" i="2"/>
  <c r="F84" i="2" s="1"/>
  <c r="H84" i="2"/>
  <c r="K84" i="2" s="1"/>
  <c r="L84" i="2" s="1"/>
  <c r="M84" i="2" s="1"/>
  <c r="N84" i="2" s="1"/>
  <c r="BE83" i="2"/>
  <c r="H83" i="2"/>
  <c r="BE82" i="2"/>
  <c r="H82" i="2"/>
  <c r="BE81" i="2"/>
  <c r="F81" i="2" s="1"/>
  <c r="H81" i="2"/>
  <c r="K81" i="2" s="1"/>
  <c r="BE77" i="2"/>
  <c r="F77" i="2" s="1"/>
  <c r="H77" i="2"/>
  <c r="K77" i="2" s="1"/>
  <c r="BE76" i="2"/>
  <c r="F76" i="2" s="1"/>
  <c r="H76" i="2"/>
  <c r="K76" i="2" s="1"/>
  <c r="BE75" i="2"/>
  <c r="F75" i="2" s="1"/>
  <c r="H75" i="2"/>
  <c r="BE74" i="2"/>
  <c r="F74" i="2" s="1"/>
  <c r="H74" i="2"/>
  <c r="BE73" i="2"/>
  <c r="F73" i="2" s="1"/>
  <c r="H73" i="2"/>
  <c r="BE72" i="2"/>
  <c r="F72" i="2" s="1"/>
  <c r="H72" i="2"/>
  <c r="H63" i="2"/>
  <c r="K63" i="2" s="1"/>
  <c r="L63" i="2" s="1"/>
  <c r="M63" i="2" s="1"/>
  <c r="N63" i="2" s="1"/>
  <c r="O63" i="2" s="1"/>
  <c r="P63" i="2" s="1"/>
  <c r="Q63" i="2" s="1"/>
  <c r="R63" i="2" s="1"/>
  <c r="S63" i="2" s="1"/>
  <c r="F63" i="2"/>
  <c r="H62" i="2"/>
  <c r="F62" i="2"/>
  <c r="H61" i="2"/>
  <c r="K61" i="2" s="1"/>
  <c r="L61" i="2" s="1"/>
  <c r="M61" i="2" s="1"/>
  <c r="N61" i="2" s="1"/>
  <c r="O61" i="2" s="1"/>
  <c r="P61" i="2" s="1"/>
  <c r="Q61" i="2" s="1"/>
  <c r="R61" i="2" s="1"/>
  <c r="S61" i="2" s="1"/>
  <c r="F61" i="2"/>
  <c r="H60" i="2"/>
  <c r="K60" i="2" s="1"/>
  <c r="L60" i="2" s="1"/>
  <c r="M60" i="2" s="1"/>
  <c r="N60" i="2" s="1"/>
  <c r="O60" i="2" s="1"/>
  <c r="P60" i="2" s="1"/>
  <c r="Q60" i="2" s="1"/>
  <c r="R60" i="2" s="1"/>
  <c r="S60" i="2" s="1"/>
  <c r="F60" i="2"/>
  <c r="H59" i="2"/>
  <c r="K59" i="2" s="1"/>
  <c r="L59" i="2" s="1"/>
  <c r="M59" i="2" s="1"/>
  <c r="N59" i="2" s="1"/>
  <c r="O59" i="2" s="1"/>
  <c r="P59" i="2" s="1"/>
  <c r="Q59" i="2" s="1"/>
  <c r="R59" i="2" s="1"/>
  <c r="S59" i="2" s="1"/>
  <c r="F59" i="2"/>
  <c r="H58" i="2"/>
  <c r="K58" i="2" s="1"/>
  <c r="L58" i="2" s="1"/>
  <c r="M58" i="2" s="1"/>
  <c r="N58" i="2" s="1"/>
  <c r="O58" i="2" s="1"/>
  <c r="P58" i="2" s="1"/>
  <c r="Q58" i="2" s="1"/>
  <c r="R58" i="2" s="1"/>
  <c r="S58" i="2" s="1"/>
  <c r="F58" i="2"/>
  <c r="H57" i="2"/>
  <c r="K57" i="2" s="1"/>
  <c r="L57" i="2" s="1"/>
  <c r="M57" i="2" s="1"/>
  <c r="N57" i="2" s="1"/>
  <c r="O57" i="2" s="1"/>
  <c r="P57" i="2" s="1"/>
  <c r="Q57" i="2" s="1"/>
  <c r="R57" i="2" s="1"/>
  <c r="S57" i="2" s="1"/>
  <c r="F57" i="2"/>
  <c r="H56" i="2"/>
  <c r="F56" i="2"/>
  <c r="H55" i="2"/>
  <c r="K55" i="2" s="1"/>
  <c r="L55" i="2" s="1"/>
  <c r="M55" i="2" s="1"/>
  <c r="N55" i="2" s="1"/>
  <c r="O55" i="2" s="1"/>
  <c r="P55" i="2" s="1"/>
  <c r="Q55" i="2" s="1"/>
  <c r="R55" i="2" s="1"/>
  <c r="S55" i="2" s="1"/>
  <c r="F55" i="2"/>
  <c r="H54" i="2"/>
  <c r="K54" i="2" s="1"/>
  <c r="L54" i="2" s="1"/>
  <c r="M54" i="2" s="1"/>
  <c r="N54" i="2" s="1"/>
  <c r="O54" i="2" s="1"/>
  <c r="P54" i="2" s="1"/>
  <c r="Q54" i="2" s="1"/>
  <c r="R54" i="2" s="1"/>
  <c r="S54" i="2" s="1"/>
  <c r="F54" i="2"/>
  <c r="F53" i="2"/>
  <c r="H53" i="2"/>
  <c r="H52" i="2"/>
  <c r="K52" i="2" s="1"/>
  <c r="L52" i="2" s="1"/>
  <c r="M52" i="2" s="1"/>
  <c r="N52" i="2" s="1"/>
  <c r="O52" i="2" s="1"/>
  <c r="P52" i="2" s="1"/>
  <c r="Q52" i="2" s="1"/>
  <c r="R52" i="2" s="1"/>
  <c r="S52" i="2" s="1"/>
  <c r="F52" i="2"/>
  <c r="H51" i="2"/>
  <c r="K51" i="2" s="1"/>
  <c r="L51" i="2" s="1"/>
  <c r="M51" i="2" s="1"/>
  <c r="N51" i="2" s="1"/>
  <c r="O51" i="2" s="1"/>
  <c r="P51" i="2" s="1"/>
  <c r="Q51" i="2" s="1"/>
  <c r="R51" i="2" s="1"/>
  <c r="S51" i="2" s="1"/>
  <c r="F51" i="2"/>
  <c r="H50" i="2"/>
  <c r="K50" i="2" s="1"/>
  <c r="F50" i="2"/>
  <c r="F49" i="2"/>
  <c r="H49" i="2"/>
  <c r="K49" i="2" s="1"/>
  <c r="L49" i="2" s="1"/>
  <c r="M49" i="2" s="1"/>
  <c r="N49" i="2" s="1"/>
  <c r="O49" i="2" s="1"/>
  <c r="P49" i="2" s="1"/>
  <c r="Q49" i="2" s="1"/>
  <c r="R49" i="2" s="1"/>
  <c r="S49" i="2" s="1"/>
  <c r="F40" i="2"/>
  <c r="H40" i="2"/>
  <c r="K40" i="2" s="1"/>
  <c r="L40" i="2" s="1"/>
  <c r="M40" i="2" s="1"/>
  <c r="N40" i="2" s="1"/>
  <c r="O40" i="2" s="1"/>
  <c r="P40" i="2" s="1"/>
  <c r="Q40" i="2" s="1"/>
  <c r="R40" i="2" s="1"/>
  <c r="S40" i="2" s="1"/>
  <c r="K39" i="2"/>
  <c r="L39" i="2" s="1"/>
  <c r="M39" i="2" s="1"/>
  <c r="N39" i="2" s="1"/>
  <c r="O39" i="2" s="1"/>
  <c r="P39" i="2" s="1"/>
  <c r="Q39" i="2" s="1"/>
  <c r="R39" i="2" s="1"/>
  <c r="S39" i="2" s="1"/>
  <c r="F39" i="2"/>
  <c r="K38" i="2"/>
  <c r="L38" i="2" s="1"/>
  <c r="M38" i="2" s="1"/>
  <c r="N38" i="2" s="1"/>
  <c r="O38" i="2" s="1"/>
  <c r="P38" i="2" s="1"/>
  <c r="Q38" i="2" s="1"/>
  <c r="R38" i="2" s="1"/>
  <c r="S38" i="2" s="1"/>
  <c r="F38" i="2"/>
  <c r="H37" i="2"/>
  <c r="K37" i="2" s="1"/>
  <c r="L37" i="2" s="1"/>
  <c r="M37" i="2" s="1"/>
  <c r="N37" i="2" s="1"/>
  <c r="O37" i="2" s="1"/>
  <c r="P37" i="2" s="1"/>
  <c r="Q37" i="2" s="1"/>
  <c r="R37" i="2" s="1"/>
  <c r="S37" i="2" s="1"/>
  <c r="F37" i="2"/>
  <c r="H36" i="2"/>
  <c r="K36" i="2" s="1"/>
  <c r="L36" i="2" s="1"/>
  <c r="M36" i="2" s="1"/>
  <c r="N36" i="2" s="1"/>
  <c r="O36" i="2" s="1"/>
  <c r="P36" i="2" s="1"/>
  <c r="Q36" i="2" s="1"/>
  <c r="R36" i="2" s="1"/>
  <c r="S36" i="2" s="1"/>
  <c r="F36" i="2"/>
  <c r="H35" i="2"/>
  <c r="K35" i="2" s="1"/>
  <c r="F35" i="2"/>
  <c r="F34" i="2"/>
  <c r="H34" i="2"/>
  <c r="K34" i="2" s="1"/>
  <c r="L34" i="2" s="1"/>
  <c r="H33" i="2"/>
  <c r="K33" i="2" s="1"/>
  <c r="L33" i="2" s="1"/>
  <c r="M33" i="2" s="1"/>
  <c r="N33" i="2" s="1"/>
  <c r="O33" i="2" s="1"/>
  <c r="P33" i="2" s="1"/>
  <c r="Q33" i="2" s="1"/>
  <c r="R33" i="2" s="1"/>
  <c r="S33" i="2" s="1"/>
  <c r="F33" i="2"/>
  <c r="F32" i="2"/>
  <c r="H32" i="2"/>
  <c r="K32" i="2" s="1"/>
  <c r="L32" i="2" s="1"/>
  <c r="M32" i="2" s="1"/>
  <c r="N32" i="2" s="1"/>
  <c r="O32" i="2" s="1"/>
  <c r="P32" i="2" s="1"/>
  <c r="Q32" i="2" s="1"/>
  <c r="R32" i="2" s="1"/>
  <c r="S32" i="2" s="1"/>
  <c r="H31" i="2"/>
  <c r="K31" i="2" s="1"/>
  <c r="L31" i="2" s="1"/>
  <c r="M31" i="2" s="1"/>
  <c r="N31" i="2" s="1"/>
  <c r="O31" i="2" s="1"/>
  <c r="P31" i="2" s="1"/>
  <c r="Q31" i="2" s="1"/>
  <c r="R31" i="2" s="1"/>
  <c r="S31" i="2" s="1"/>
  <c r="F31" i="2"/>
  <c r="F30" i="2"/>
  <c r="H30" i="2"/>
  <c r="K30" i="2" s="1"/>
  <c r="H29" i="2"/>
  <c r="F29" i="2"/>
  <c r="H28" i="2"/>
  <c r="F28" i="2"/>
  <c r="H18" i="2"/>
  <c r="G18" i="2"/>
  <c r="F18" i="2"/>
  <c r="E18" i="2"/>
  <c r="D18" i="2"/>
  <c r="C18" i="2"/>
  <c r="B18" i="2"/>
  <c r="H17" i="2"/>
  <c r="G17" i="2"/>
  <c r="F17" i="2"/>
  <c r="E17" i="2"/>
  <c r="D17" i="2"/>
  <c r="C17" i="2"/>
  <c r="B17" i="2"/>
  <c r="H16" i="2"/>
  <c r="G16" i="2"/>
  <c r="F16" i="2"/>
  <c r="E16" i="2"/>
  <c r="D16" i="2"/>
  <c r="C16" i="2"/>
  <c r="B16" i="2"/>
  <c r="H15" i="2"/>
  <c r="F15" i="2"/>
  <c r="E15" i="2"/>
  <c r="D15" i="2"/>
  <c r="C15" i="2"/>
  <c r="B15" i="2"/>
  <c r="H14" i="2"/>
  <c r="G14" i="2"/>
  <c r="F14" i="2"/>
  <c r="E14" i="2"/>
  <c r="D14" i="2"/>
  <c r="C14" i="2"/>
  <c r="B14" i="2"/>
  <c r="R11" i="2"/>
  <c r="Q11" i="2"/>
  <c r="P11" i="2"/>
  <c r="O11" i="2"/>
  <c r="N11" i="2"/>
  <c r="M11" i="2"/>
  <c r="L11" i="2"/>
  <c r="R10" i="2"/>
  <c r="Q10" i="2"/>
  <c r="P10" i="2"/>
  <c r="O10" i="2"/>
  <c r="N10" i="2"/>
  <c r="M10" i="2"/>
  <c r="L10" i="2"/>
  <c r="R9" i="2"/>
  <c r="Q9" i="2"/>
  <c r="P9" i="2"/>
  <c r="O9" i="2"/>
  <c r="N9" i="2"/>
  <c r="M9" i="2"/>
  <c r="L9" i="2"/>
  <c r="H9" i="2"/>
  <c r="G9" i="2"/>
  <c r="F9" i="2"/>
  <c r="E9" i="2"/>
  <c r="D9" i="2"/>
  <c r="C9" i="2"/>
  <c r="B9" i="2"/>
  <c r="R8" i="2"/>
  <c r="Q8" i="2"/>
  <c r="P8" i="2"/>
  <c r="O8" i="2"/>
  <c r="N8" i="2"/>
  <c r="M8" i="2"/>
  <c r="L8" i="2"/>
  <c r="H8" i="2"/>
  <c r="G8" i="2"/>
  <c r="F8" i="2"/>
  <c r="E8" i="2"/>
  <c r="D8" i="2"/>
  <c r="C8" i="2"/>
  <c r="B8" i="2"/>
  <c r="R7" i="2"/>
  <c r="Q7" i="2"/>
  <c r="P7" i="2"/>
  <c r="O7" i="2"/>
  <c r="N7" i="2"/>
  <c r="M7" i="2"/>
  <c r="L7" i="2"/>
  <c r="H7" i="2"/>
  <c r="F7" i="2"/>
  <c r="E7" i="2"/>
  <c r="D7" i="2"/>
  <c r="C7" i="2"/>
  <c r="B7" i="2"/>
  <c r="R6" i="2"/>
  <c r="Q6" i="2"/>
  <c r="P6" i="2"/>
  <c r="O6" i="2"/>
  <c r="N6" i="2"/>
  <c r="M6" i="2"/>
  <c r="L6" i="2"/>
  <c r="G6" i="2"/>
  <c r="F6" i="2"/>
  <c r="E6" i="2"/>
  <c r="D6" i="2"/>
  <c r="C6" i="2"/>
  <c r="B6" i="2"/>
  <c r="K121" i="2" l="1"/>
  <c r="L121" i="2" s="1"/>
  <c r="M121" i="2" s="1"/>
  <c r="L93" i="2"/>
  <c r="M93" i="2" s="1"/>
  <c r="N93" i="2" s="1"/>
  <c r="O93" i="2" s="1"/>
  <c r="P93" i="2" s="1"/>
  <c r="Q93" i="2" s="1"/>
  <c r="R93" i="2" s="1"/>
  <c r="S93" i="2" s="1"/>
  <c r="L77" i="2"/>
  <c r="M77" i="2" s="1"/>
  <c r="N77" i="2" s="1"/>
  <c r="O77" i="2" s="1"/>
  <c r="P77" i="2" s="1"/>
  <c r="Q77" i="2" s="1"/>
  <c r="R77" i="2" s="1"/>
  <c r="S77" i="2" s="1"/>
  <c r="L87" i="2"/>
  <c r="M87" i="2" s="1"/>
  <c r="N87" i="2" s="1"/>
  <c r="L105" i="2"/>
  <c r="M105" i="2" s="1"/>
  <c r="N105" i="2" s="1"/>
  <c r="O105" i="2" s="1"/>
  <c r="L81" i="2"/>
  <c r="M81" i="2" s="1"/>
  <c r="N81" i="2" s="1"/>
  <c r="N109" i="2"/>
  <c r="O109" i="2" s="1"/>
  <c r="P109" i="2" s="1"/>
  <c r="Q109" i="2" s="1"/>
  <c r="R109" i="2" s="1"/>
  <c r="S109" i="2" s="1"/>
  <c r="L72" i="2"/>
  <c r="M72" i="2" s="1"/>
  <c r="N72" i="2" s="1"/>
  <c r="O72" i="2" s="1"/>
  <c r="P72" i="2" s="1"/>
  <c r="Q72" i="2" s="1"/>
  <c r="R72" i="2" s="1"/>
  <c r="S72" i="2" s="1"/>
  <c r="K82" i="2"/>
  <c r="L82" i="2" s="1"/>
  <c r="M82" i="2" s="1"/>
  <c r="N82" i="2" s="1"/>
  <c r="O82" i="2" s="1"/>
  <c r="P82" i="2" s="1"/>
  <c r="Q82" i="2" s="1"/>
  <c r="R82" i="2" s="1"/>
  <c r="S82" i="2" s="1"/>
  <c r="K118" i="2"/>
  <c r="L118" i="2" s="1"/>
  <c r="M118" i="2" s="1"/>
  <c r="N118" i="2" s="1"/>
  <c r="O118" i="2" s="1"/>
  <c r="P118" i="2" s="1"/>
  <c r="R118" i="2" s="1"/>
  <c r="S118" i="2" s="1"/>
  <c r="K56" i="2"/>
  <c r="L56" i="2" s="1"/>
  <c r="M56" i="2" s="1"/>
  <c r="N56" i="2" s="1"/>
  <c r="O56" i="2" s="1"/>
  <c r="P56" i="2" s="1"/>
  <c r="Q56" i="2" s="1"/>
  <c r="R56" i="2" s="1"/>
  <c r="S56" i="2" s="1"/>
  <c r="K83" i="2"/>
  <c r="L83" i="2" s="1"/>
  <c r="M83" i="2" s="1"/>
  <c r="N83" i="2" s="1"/>
  <c r="O83" i="2" s="1"/>
  <c r="P83" i="2" s="1"/>
  <c r="Q83" i="2" s="1"/>
  <c r="R83" i="2" s="1"/>
  <c r="S83" i="2" s="1"/>
  <c r="K53" i="2"/>
  <c r="L53" i="2" s="1"/>
  <c r="M53" i="2" s="1"/>
  <c r="N53" i="2" s="1"/>
  <c r="O53" i="2" s="1"/>
  <c r="P53" i="2" s="1"/>
  <c r="Q53" i="2" s="1"/>
  <c r="R53" i="2" s="1"/>
  <c r="S53" i="2" s="1"/>
  <c r="O84" i="2"/>
  <c r="P84" i="2" s="1"/>
  <c r="M112" i="2"/>
  <c r="N112" i="2" s="1"/>
  <c r="O112" i="2" s="1"/>
  <c r="K28" i="2"/>
  <c r="L28" i="2" s="1"/>
  <c r="M28" i="2" s="1"/>
  <c r="N28" i="2" s="1"/>
  <c r="O28" i="2" s="1"/>
  <c r="P28" i="2" s="1"/>
  <c r="Q28" i="2" s="1"/>
  <c r="R28" i="2" s="1"/>
  <c r="S28" i="2" s="1"/>
  <c r="K99" i="2"/>
  <c r="L99" i="2" s="1"/>
  <c r="M99" i="2" s="1"/>
  <c r="Q15" i="2"/>
  <c r="R15" i="2"/>
  <c r="G10" i="2"/>
  <c r="Q62" i="2"/>
  <c r="R62" i="2" s="1"/>
  <c r="S62" i="2" s="1"/>
  <c r="E19" i="2"/>
  <c r="H19" i="2"/>
  <c r="L50" i="2"/>
  <c r="M50" i="2" s="1"/>
  <c r="N50" i="2" s="1"/>
  <c r="O50" i="2" s="1"/>
  <c r="P50" i="2" s="1"/>
  <c r="Q50" i="2" s="1"/>
  <c r="R50" i="2" s="1"/>
  <c r="S50" i="2" s="1"/>
  <c r="B19" i="2"/>
  <c r="C19" i="2"/>
  <c r="D19" i="2"/>
  <c r="F19" i="2"/>
  <c r="K29" i="2"/>
  <c r="P15" i="2"/>
  <c r="M15" i="2"/>
  <c r="O15" i="2"/>
  <c r="N15" i="2"/>
  <c r="L15" i="2"/>
  <c r="M34" i="2"/>
  <c r="N34" i="2" s="1"/>
  <c r="O34" i="2" s="1"/>
  <c r="P34" i="2" s="1"/>
  <c r="Q34" i="2" s="1"/>
  <c r="R34" i="2" s="1"/>
  <c r="S34" i="2" s="1"/>
  <c r="F10" i="2"/>
  <c r="E10" i="2"/>
  <c r="C10" i="2"/>
  <c r="D10" i="2"/>
  <c r="H10" i="2"/>
  <c r="B10" i="2"/>
  <c r="K62" i="2"/>
  <c r="L62" i="2" s="1"/>
  <c r="M62" i="2" s="1"/>
  <c r="N62" i="2" s="1"/>
  <c r="O62" i="2" s="1"/>
  <c r="P62" i="2" s="1"/>
  <c r="K75" i="2"/>
  <c r="L75" i="2" s="1"/>
  <c r="M75" i="2" s="1"/>
  <c r="N75" i="2" s="1"/>
  <c r="K73" i="2"/>
  <c r="L73" i="2" s="1"/>
  <c r="M73" i="2" s="1"/>
  <c r="N73" i="2" s="1"/>
  <c r="L35" i="2"/>
  <c r="M35" i="2" s="1"/>
  <c r="N35" i="2" s="1"/>
  <c r="O35" i="2" s="1"/>
  <c r="P35" i="2" s="1"/>
  <c r="Q35" i="2" s="1"/>
  <c r="R35" i="2" s="1"/>
  <c r="S35" i="2" s="1"/>
  <c r="K91" i="2"/>
  <c r="L91" i="2" s="1"/>
  <c r="M91" i="2" s="1"/>
  <c r="N91" i="2" s="1"/>
  <c r="O91" i="2" s="1"/>
  <c r="P91" i="2" s="1"/>
  <c r="Q91" i="2" s="1"/>
  <c r="R91" i="2" s="1"/>
  <c r="S91" i="2" s="1"/>
  <c r="K102" i="2"/>
  <c r="K90" i="2"/>
  <c r="L90" i="2" s="1"/>
  <c r="M90" i="2" s="1"/>
  <c r="N90" i="2" s="1"/>
  <c r="O90" i="2" s="1"/>
  <c r="P90" i="2" s="1"/>
  <c r="L30" i="2"/>
  <c r="M30" i="2" s="1"/>
  <c r="N30" i="2" s="1"/>
  <c r="O30" i="2" s="1"/>
  <c r="P30" i="2" s="1"/>
  <c r="Q30" i="2" s="1"/>
  <c r="R30" i="2" s="1"/>
  <c r="S30" i="2" s="1"/>
  <c r="L76" i="2"/>
  <c r="M76" i="2" s="1"/>
  <c r="N76" i="2" s="1"/>
  <c r="K96" i="2"/>
  <c r="L96" i="2" s="1"/>
  <c r="M96" i="2" s="1"/>
  <c r="G19" i="2"/>
  <c r="K74" i="2"/>
  <c r="L74" i="2" s="1"/>
  <c r="M74" i="2" s="1"/>
  <c r="N74" i="2" s="1"/>
  <c r="K115" i="2"/>
  <c r="L115" i="2" s="1"/>
  <c r="K103" i="2"/>
  <c r="L103" i="2" s="1"/>
  <c r="M103" i="2" s="1"/>
  <c r="N103" i="2" s="1"/>
  <c r="O103" i="2" s="1"/>
  <c r="P103" i="2" s="1"/>
  <c r="Q103" i="2" s="1"/>
  <c r="R103" i="2" s="1"/>
  <c r="S103" i="2" s="1"/>
  <c r="H21" i="2" l="1"/>
  <c r="O81" i="2"/>
  <c r="P81" i="2" s="1"/>
  <c r="Q81" i="2" s="1"/>
  <c r="R81" i="2" s="1"/>
  <c r="S81" i="2" s="1"/>
  <c r="O87" i="2"/>
  <c r="P87" i="2" s="1"/>
  <c r="Q87" i="2" s="1"/>
  <c r="R87" i="2" s="1"/>
  <c r="S87" i="2" s="1"/>
  <c r="P105" i="2"/>
  <c r="Q105" i="2" s="1"/>
  <c r="R105" i="2" s="1"/>
  <c r="S105" i="2" s="1"/>
  <c r="P112" i="2"/>
  <c r="Q112" i="2" s="1"/>
  <c r="R112" i="2" s="1"/>
  <c r="S112" i="2" s="1"/>
  <c r="N121" i="2"/>
  <c r="O121" i="2" s="1"/>
  <c r="P121" i="2" s="1"/>
  <c r="Q121" i="2" s="1"/>
  <c r="R121" i="2" s="1"/>
  <c r="S121" i="2" s="1"/>
  <c r="M115" i="2"/>
  <c r="N115" i="2" s="1"/>
  <c r="O115" i="2" s="1"/>
  <c r="P115" i="2" s="1"/>
  <c r="Q115" i="2" s="1"/>
  <c r="R115" i="2" s="1"/>
  <c r="S115" i="2" s="1"/>
  <c r="Q84" i="2"/>
  <c r="R84" i="2" s="1"/>
  <c r="S84" i="2" s="1"/>
  <c r="L102" i="2"/>
  <c r="M102" i="2" s="1"/>
  <c r="N102" i="2" s="1"/>
  <c r="O102" i="2" s="1"/>
  <c r="P102" i="2" s="1"/>
  <c r="Q102" i="2" s="1"/>
  <c r="R102" i="2" s="1"/>
  <c r="S102" i="2" s="1"/>
  <c r="O73" i="2"/>
  <c r="P73" i="2" s="1"/>
  <c r="Q73" i="2" s="1"/>
  <c r="R73" i="2" s="1"/>
  <c r="S73" i="2" s="1"/>
  <c r="L29" i="2"/>
  <c r="M29" i="2" s="1"/>
  <c r="N29" i="2" s="1"/>
  <c r="O29" i="2" s="1"/>
  <c r="P29" i="2" s="1"/>
  <c r="Q29" i="2" s="1"/>
  <c r="R29" i="2" s="1"/>
  <c r="S29" i="2" s="1"/>
  <c r="O76" i="2"/>
  <c r="P76" i="2" s="1"/>
  <c r="Q76" i="2" s="1"/>
  <c r="R76" i="2" s="1"/>
  <c r="S76" i="2" s="1"/>
  <c r="Q90" i="2"/>
  <c r="R90" i="2" s="1"/>
  <c r="S90" i="2" s="1"/>
  <c r="N99" i="2"/>
  <c r="O99" i="2" s="1"/>
  <c r="P99" i="2" s="1"/>
  <c r="Q99" i="2" s="1"/>
  <c r="R99" i="2" s="1"/>
  <c r="S99" i="2" s="1"/>
  <c r="E21" i="2"/>
  <c r="O74" i="2"/>
  <c r="P74" i="2" s="1"/>
  <c r="Q74" i="2" s="1"/>
  <c r="R74" i="2" s="1"/>
  <c r="S74" i="2" s="1"/>
  <c r="N96" i="2"/>
  <c r="O96" i="2" s="1"/>
  <c r="O75" i="2"/>
  <c r="P75" i="2" s="1"/>
  <c r="Q75" i="2" s="1"/>
  <c r="R75" i="2" s="1"/>
  <c r="S75" i="2" s="1"/>
  <c r="F21" i="2"/>
  <c r="G21" i="2"/>
  <c r="D21" i="2"/>
  <c r="C21" i="2"/>
  <c r="B21" i="2"/>
  <c r="P96" i="2" l="1"/>
  <c r="Q96" i="2" s="1"/>
  <c r="R96" i="2" s="1"/>
  <c r="S96" i="2" s="1"/>
  <c r="I21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Y81" authorId="0" shapeId="0" xr:uid="{D4C980B3-FF31-4671-A165-DB6991733818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Medicate OTC</t>
        </r>
      </text>
    </comment>
    <comment ref="AN81" authorId="0" shapeId="0" xr:uid="{B1C6B619-4437-4A77-96BF-688B950218E9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Medicate OTC</t>
        </r>
      </text>
    </comment>
    <comment ref="AN84" authorId="0" shapeId="0" xr:uid="{EEDCB245-05C0-496D-8D73-37B6205B64E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Medicate OTC</t>
        </r>
      </text>
    </comment>
    <comment ref="AX90" authorId="0" shapeId="0" xr:uid="{B7A6DFB3-F169-401E-9F62-35B6C908741C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Medicate OTC</t>
        </r>
      </text>
    </comment>
    <comment ref="AA93" authorId="0" shapeId="0" xr:uid="{C60CB5DF-B775-43F0-8216-76D0AC55359B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Medicate OTC</t>
        </r>
      </text>
    </comment>
    <comment ref="AK93" authorId="0" shapeId="0" xr:uid="{2BC48AD8-8DEB-4BCA-87B3-60D65F609738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Medicate OTC</t>
        </r>
      </text>
    </comment>
    <comment ref="AU93" authorId="0" shapeId="0" xr:uid="{C1EC6861-A722-4A26-83E2-FCF33545FF1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Medicate OTC</t>
        </r>
      </text>
    </comment>
    <comment ref="AZ93" authorId="0" shapeId="0" xr:uid="{7C7511DB-00E8-484B-B9DA-0530C9C7751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Medicate OTC</t>
        </r>
      </text>
    </comment>
    <comment ref="P96" authorId="0" shapeId="0" xr:uid="{C3EBF734-532A-4708-83AA-9BFF57C0AE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use GR3 bags</t>
        </r>
      </text>
    </comment>
    <comment ref="AK96" authorId="0" shapeId="0" xr:uid="{C3D145F1-3196-4D39-9ABB-3B3B6E2059FE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Medicate OTC</t>
        </r>
      </text>
    </comment>
    <comment ref="P105" authorId="0" shapeId="0" xr:uid="{C5469B68-C418-487F-893E-4666D822F9F9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Use bagged feed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Z94" authorId="0" shapeId="0" xr:uid="{4BA9B2F2-2F1B-4173-9760-851CEC6EF24C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Medicate OTC</t>
        </r>
      </text>
    </comment>
    <comment ref="AR94" authorId="0" shapeId="0" xr:uid="{1F151FC7-F08B-4208-9BD2-43E32D366D93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Medicate OTC</t>
        </r>
      </text>
    </comment>
    <comment ref="AR97" authorId="0" shapeId="0" xr:uid="{63D4A938-3254-4358-A4BE-A8D2704AD0A5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Medicate OTC</t>
        </r>
      </text>
    </comment>
    <comment ref="BD103" authorId="0" shapeId="0" xr:uid="{20A5EA17-CA30-4FB9-8FB7-8E2F435118D8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Medicate OTC</t>
        </r>
      </text>
    </comment>
    <comment ref="AB106" authorId="0" shapeId="0" xr:uid="{2E856992-ED62-484C-9739-DC6C13C6C792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Medicate OTC</t>
        </r>
      </text>
    </comment>
    <comment ref="AN106" authorId="0" shapeId="0" xr:uid="{D37CC3E6-78A6-46B9-A0FF-1312E76D47FE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Medicate OTC</t>
        </r>
      </text>
    </comment>
    <comment ref="AZ106" authorId="0" shapeId="0" xr:uid="{76F94B61-C766-42A7-83C9-6AB425191135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Medicate OTC</t>
        </r>
      </text>
    </comment>
    <comment ref="BF106" authorId="0" shapeId="0" xr:uid="{BE49DFAB-ECC7-4D47-9393-27EC59735BFA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Medicate OTC</t>
        </r>
      </text>
    </comment>
    <comment ref="AN109" authorId="0" shapeId="0" xr:uid="{6E23BD41-8074-4AEA-AA98-29E1EB5A0A5C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Medicate OTC</t>
        </r>
      </text>
    </comment>
    <comment ref="P118" authorId="0" shapeId="0" xr:uid="{84B14FC9-3A36-4912-A887-FEB7DB92213A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Use bagged feed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AF94" authorId="0" shapeId="0" xr:uid="{DA5F1486-DBB3-43AF-9BBC-F659FD95C02A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Medicate OTC</t>
        </r>
      </text>
    </comment>
    <comment ref="AX94" authorId="0" shapeId="0" xr:uid="{DC2E9672-23BD-423E-BEB8-8B8E48362085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Medicate OTC</t>
        </r>
      </text>
    </comment>
    <comment ref="AX97" authorId="0" shapeId="0" xr:uid="{C83AF63E-292D-46AF-AAF0-996D1448F83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Medicate OTC</t>
        </r>
      </text>
    </comment>
    <comment ref="BJ103" authorId="0" shapeId="0" xr:uid="{9A862CB3-BA2B-4B3B-A4C9-126E5B00A6B1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Medicate OTC</t>
        </r>
      </text>
    </comment>
    <comment ref="AH106" authorId="0" shapeId="0" xr:uid="{335D1616-2963-4BC7-9F52-D15B6EED7487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Medicate OTC</t>
        </r>
      </text>
    </comment>
    <comment ref="AT106" authorId="0" shapeId="0" xr:uid="{B82AFB62-BD1A-4C62-B634-F8991BB89424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Medicate OTC</t>
        </r>
      </text>
    </comment>
    <comment ref="BF106" authorId="0" shapeId="0" xr:uid="{0E404BDE-CC67-483B-8CA5-46086EB1EAA8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Medicate OTC</t>
        </r>
      </text>
    </comment>
    <comment ref="BL106" authorId="0" shapeId="0" xr:uid="{DCA53123-CCDD-491F-B39B-40AAF6AA282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Medicate OTC</t>
        </r>
      </text>
    </comment>
    <comment ref="AT109" authorId="0" shapeId="0" xr:uid="{655AA7FA-7908-46FF-81EB-19DBE411725E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Medicate OTC</t>
        </r>
      </text>
    </comment>
    <comment ref="P118" authorId="0" shapeId="0" xr:uid="{183EDA19-0353-448F-8477-40860FAEA61E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Use bagged feed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P14" authorId="0" shapeId="0" xr:uid="{4BA509B2-8721-4F8B-A2D7-92FF2B4FCE0C}">
      <text>
        <r>
          <rPr>
            <b/>
            <sz val="9"/>
            <color indexed="81"/>
            <rFont val="Tahoma"/>
            <charset val="1"/>
          </rPr>
          <t>hp:</t>
        </r>
        <r>
          <rPr>
            <sz val="9"/>
            <color indexed="81"/>
            <rFont val="Tahoma"/>
            <charset val="1"/>
          </rPr>
          <t xml:space="preserve">
3tn to be loaded into the last truck
</t>
        </r>
      </text>
    </comment>
    <comment ref="P25" authorId="0" shapeId="0" xr:uid="{973131EF-8344-4822-8590-AEDB770B3FE1}">
      <text>
        <r>
          <rPr>
            <b/>
            <sz val="9"/>
            <color indexed="81"/>
            <rFont val="Tahoma"/>
            <charset val="1"/>
          </rPr>
          <t>hp:</t>
        </r>
        <r>
          <rPr>
            <sz val="9"/>
            <color indexed="81"/>
            <rFont val="Tahoma"/>
            <charset val="1"/>
          </rPr>
          <t xml:space="preserve">
3 tn to be loaded into the last truck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  <author>user</author>
  </authors>
  <commentList>
    <comment ref="AF94" authorId="0" shapeId="0" xr:uid="{69819B5A-3014-4BF5-87FC-2CD99BB9D5D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Medicate OTC</t>
        </r>
      </text>
    </comment>
    <comment ref="AX94" authorId="0" shapeId="0" xr:uid="{3BE46347-AE8E-409C-81D6-7A158C422F66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Medicate OTC</t>
        </r>
      </text>
    </comment>
    <comment ref="M97" authorId="1" shapeId="0" xr:uid="{6C18F535-4930-4EE7-95E2-77636C8AAF7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Will use 3 tons of bagged W1 OTC</t>
        </r>
      </text>
    </comment>
    <comment ref="AX97" authorId="0" shapeId="0" xr:uid="{04A7EF94-3319-4265-B07F-E63C90E9BE03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Medicate OTC</t>
        </r>
      </text>
    </comment>
    <comment ref="BJ103" authorId="0" shapeId="0" xr:uid="{CED8AB44-C7D6-431F-8EF9-B42234CAAE22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Medicate OTC</t>
        </r>
      </text>
    </comment>
    <comment ref="AH106" authorId="0" shapeId="0" xr:uid="{8A4BE60C-A8E0-41F1-9E8F-7088C2ED2BEE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Medicate OTC</t>
        </r>
      </text>
    </comment>
    <comment ref="AT106" authorId="0" shapeId="0" xr:uid="{C94989C4-A044-4877-B409-FFEC13DAEFFE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Medicate OTC</t>
        </r>
      </text>
    </comment>
    <comment ref="BF106" authorId="0" shapeId="0" xr:uid="{6C26A987-F55F-4063-91B8-1ACD62FD2BF7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Medicate OTC</t>
        </r>
      </text>
    </comment>
    <comment ref="BL106" authorId="0" shapeId="0" xr:uid="{496CBFF0-A592-471D-8853-F4383695BB5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Medicate OTC</t>
        </r>
      </text>
    </comment>
    <comment ref="AT109" authorId="0" shapeId="0" xr:uid="{FF4F7072-06D0-4C71-A208-FAFEDB7E3D39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Medicate OTC</t>
        </r>
      </text>
    </comment>
    <comment ref="P118" authorId="0" shapeId="0" xr:uid="{EA0001B2-68EE-4132-B060-91FE5D09FBF2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Use bagged feed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  <author>user</author>
  </authors>
  <commentList>
    <comment ref="AF94" authorId="0" shapeId="0" xr:uid="{AD3BC7F9-86ED-49B1-9CFF-5809D4044C9A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Medicate OTC</t>
        </r>
      </text>
    </comment>
    <comment ref="AX94" authorId="0" shapeId="0" xr:uid="{1AA065E0-425E-4816-9C85-93966DFCF732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Medicate OTC</t>
        </r>
      </text>
    </comment>
    <comment ref="M97" authorId="1" shapeId="0" xr:uid="{3F9C938F-E12A-4753-82B4-B126E9F70E4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Will use 3 tons of bagged W1 OTC</t>
        </r>
      </text>
    </comment>
    <comment ref="AX97" authorId="0" shapeId="0" xr:uid="{1031C4C1-7307-43FE-9094-61DFF7189CA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Medicate OTC</t>
        </r>
      </text>
    </comment>
    <comment ref="BJ103" authorId="0" shapeId="0" xr:uid="{A49C5750-3D9B-42F8-8DCE-4CEDC27EEAF7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Medicate OTC</t>
        </r>
      </text>
    </comment>
    <comment ref="AH106" authorId="0" shapeId="0" xr:uid="{36030B41-5EB8-4A02-B460-DDEB1F1CDB34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Medicate OTC</t>
        </r>
      </text>
    </comment>
    <comment ref="AT106" authorId="0" shapeId="0" xr:uid="{F2EA06C8-BCF2-48C9-9643-DD15D264CD4C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Medicate OTC</t>
        </r>
      </text>
    </comment>
    <comment ref="BF106" authorId="0" shapeId="0" xr:uid="{111C7894-8D25-4624-88EB-CE4BE7DDFAFA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Medicate OTC</t>
        </r>
      </text>
    </comment>
    <comment ref="BL106" authorId="0" shapeId="0" xr:uid="{7AC08FA2-7045-477F-9690-D56D2D951273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Medicate OTC</t>
        </r>
      </text>
    </comment>
    <comment ref="AT109" authorId="0" shapeId="0" xr:uid="{2C61F41E-5AF2-4897-984B-BC94C4C656E8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Medicate OTC</t>
        </r>
      </text>
    </comment>
    <comment ref="P118" authorId="0" shapeId="0" xr:uid="{B1AAC321-B79B-47E8-98FF-4CDE1DF11417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Use bagged feed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  <author>user</author>
  </authors>
  <commentList>
    <comment ref="AF94" authorId="0" shapeId="0" xr:uid="{E04DFC9A-BCE7-4A9D-9F16-5351AA7A63A8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Medicate OTC</t>
        </r>
      </text>
    </comment>
    <comment ref="AX94" authorId="0" shapeId="0" xr:uid="{802614F8-6EC2-470D-9114-6AD6A8FC7C09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Medicate OTC</t>
        </r>
      </text>
    </comment>
    <comment ref="M97" authorId="1" shapeId="0" xr:uid="{A0F95C7E-29C9-4E65-8CED-A759BE866DE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Will use 3 tons of bagged W1 OTC</t>
        </r>
      </text>
    </comment>
    <comment ref="AX97" authorId="0" shapeId="0" xr:uid="{ACB27902-368E-4900-AE5A-7A6E67DEA657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Medicate OTC</t>
        </r>
      </text>
    </comment>
    <comment ref="BJ103" authorId="0" shapeId="0" xr:uid="{B4A6A83B-A943-4E58-B4EA-E7EC3032B65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Medicate OTC</t>
        </r>
      </text>
    </comment>
    <comment ref="AH106" authorId="0" shapeId="0" xr:uid="{E1A258EC-559E-462E-B529-0ED0E30C668B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Medicate OTC</t>
        </r>
      </text>
    </comment>
    <comment ref="AT106" authorId="0" shapeId="0" xr:uid="{85986359-6997-4E67-9EC4-15FC14C234E2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Medicate OTC</t>
        </r>
      </text>
    </comment>
    <comment ref="BF106" authorId="0" shapeId="0" xr:uid="{85D96740-6D75-41B8-95E2-86F2E774BFF9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Medicate OTC</t>
        </r>
      </text>
    </comment>
    <comment ref="BL106" authorId="0" shapeId="0" xr:uid="{F87F84AC-0230-46FD-A530-20EA481DAE1E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Medicate OTC</t>
        </r>
      </text>
    </comment>
    <comment ref="AT109" authorId="0" shapeId="0" xr:uid="{91F73266-8584-409B-A17A-2815FFFEEDD1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Medicate OTC</t>
        </r>
      </text>
    </comment>
    <comment ref="P118" authorId="0" shapeId="0" xr:uid="{D7055A33-93F9-496A-B953-21F9D4998914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Use bagged feed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M88" authorId="0" shapeId="0" xr:uid="{4E56BF72-1636-4194-9341-E0C3DE861811}">
      <text>
        <r>
          <rPr>
            <b/>
            <sz val="9"/>
            <color indexed="81"/>
            <rFont val="Tahoma"/>
            <charset val="1"/>
          </rPr>
          <t>HP:</t>
        </r>
        <r>
          <rPr>
            <sz val="9"/>
            <color indexed="81"/>
            <rFont val="Tahoma"/>
            <charset val="1"/>
          </rPr>
          <t xml:space="preserve">
W1 caramel 1t</t>
        </r>
      </text>
    </comment>
    <comment ref="N88" authorId="0" shapeId="0" xr:uid="{B1A67BC9-DBA1-4D3E-927E-4C37A9A5E385}">
      <text>
        <r>
          <rPr>
            <b/>
            <sz val="9"/>
            <color indexed="81"/>
            <rFont val="Tahoma"/>
            <charset val="1"/>
          </rPr>
          <t>HP:</t>
        </r>
        <r>
          <rPr>
            <sz val="9"/>
            <color indexed="81"/>
            <rFont val="Tahoma"/>
            <charset val="1"/>
          </rPr>
          <t xml:space="preserve">
W1 caramel 1t</t>
        </r>
      </text>
    </comment>
    <comment ref="AX94" authorId="0" shapeId="0" xr:uid="{1CD67648-F3D1-4023-BBC4-3DCD57D05D1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Medicate OTC</t>
        </r>
      </text>
    </comment>
    <comment ref="AX97" authorId="0" shapeId="0" xr:uid="{285DF4A3-4492-4BEB-BA36-AFDA16ADDEDB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Medicate OTC</t>
        </r>
      </text>
    </comment>
    <comment ref="BJ103" authorId="0" shapeId="0" xr:uid="{31EB51CE-22CB-4B11-B866-2477532F18D9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Medicate OTC</t>
        </r>
      </text>
    </comment>
    <comment ref="AH106" authorId="0" shapeId="0" xr:uid="{6D24992D-6871-441D-B1A1-3D7BDB98EC62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Medicate OTC</t>
        </r>
      </text>
    </comment>
    <comment ref="AT106" authorId="0" shapeId="0" xr:uid="{02FDED47-6AFC-4D3D-BE79-1F632C8316FC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Medicate OTC</t>
        </r>
      </text>
    </comment>
    <comment ref="BF106" authorId="0" shapeId="0" xr:uid="{B61AFAE7-917A-4451-BDF2-4AF06527A236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Medicate OTC</t>
        </r>
      </text>
    </comment>
    <comment ref="BL106" authorId="0" shapeId="0" xr:uid="{7E767752-DFFA-4C23-89F6-6306B60E0D63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Medicate OTC</t>
        </r>
      </text>
    </comment>
    <comment ref="AT109" authorId="0" shapeId="0" xr:uid="{AD05AAAA-590C-48E7-AEC6-47CF35D68B6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Medicate OTC</t>
        </r>
      </text>
    </comment>
    <comment ref="K118" authorId="0" shapeId="0" xr:uid="{DB1A2C3E-F8D9-44CF-B5B7-5818A208F671}">
      <text>
        <r>
          <rPr>
            <b/>
            <sz val="9"/>
            <color indexed="81"/>
            <rFont val="Tahoma"/>
            <charset val="1"/>
          </rPr>
          <t>HP:</t>
        </r>
        <r>
          <rPr>
            <sz val="9"/>
            <color indexed="81"/>
            <rFont val="Tahoma"/>
            <charset val="1"/>
          </rPr>
          <t xml:space="preserve">
Finisher - 3t</t>
        </r>
      </text>
    </comment>
    <comment ref="P118" authorId="0" shapeId="0" xr:uid="{6603A128-E406-4297-A5A1-5FA6D0ED54E1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Use bagged feed</t>
        </r>
      </text>
    </comment>
  </commentList>
</comments>
</file>

<file path=xl/sharedStrings.xml><?xml version="1.0" encoding="utf-8"?>
<sst xmlns="http://schemas.openxmlformats.org/spreadsheetml/2006/main" count="6152" uniqueCount="685">
  <si>
    <t xml:space="preserve">WEANER BULK FEED ORDER REQUIRED </t>
  </si>
  <si>
    <t xml:space="preserve">MAINSITE BULK FEED ORDER REQUIRED </t>
  </si>
  <si>
    <t>DIET</t>
  </si>
  <si>
    <t>Mon</t>
  </si>
  <si>
    <t>Tue</t>
  </si>
  <si>
    <t>Wed</t>
  </si>
  <si>
    <t>Thu</t>
  </si>
  <si>
    <t>Fri</t>
  </si>
  <si>
    <t>Sat</t>
  </si>
  <si>
    <t>Sun</t>
  </si>
  <si>
    <t>Creep 1</t>
  </si>
  <si>
    <t>Dry Sow</t>
  </si>
  <si>
    <t>Creep 2</t>
  </si>
  <si>
    <t>Supa flush</t>
  </si>
  <si>
    <t>CREEP 3</t>
  </si>
  <si>
    <t>Dry gilt</t>
  </si>
  <si>
    <t>WEAN 1</t>
  </si>
  <si>
    <t>Lact Sow</t>
  </si>
  <si>
    <t>TOTAL</t>
  </si>
  <si>
    <t>Transition</t>
  </si>
  <si>
    <t>Lact gilt</t>
  </si>
  <si>
    <t xml:space="preserve">GROWER BULK FEED ORDER REQUIRED </t>
  </si>
  <si>
    <t>W1</t>
  </si>
  <si>
    <t>GR 1</t>
  </si>
  <si>
    <t>GR 2</t>
  </si>
  <si>
    <t>GR 3</t>
  </si>
  <si>
    <t>Comb total</t>
  </si>
  <si>
    <t>Fin</t>
  </si>
  <si>
    <t>MAINSITE BULK FEED ORDER</t>
  </si>
  <si>
    <t>Batch #</t>
  </si>
  <si>
    <t>House #</t>
  </si>
  <si>
    <t>AGE</t>
  </si>
  <si>
    <t>INTAKE</t>
  </si>
  <si>
    <t>Actual intake</t>
  </si>
  <si>
    <t>NOP</t>
  </si>
  <si>
    <t>Batch intake</t>
  </si>
  <si>
    <t>BFT max</t>
  </si>
  <si>
    <t>BFT level</t>
  </si>
  <si>
    <t>Monday</t>
  </si>
  <si>
    <t xml:space="preserve">Tuesday </t>
  </si>
  <si>
    <t>Wednesday</t>
  </si>
  <si>
    <t>Thursday</t>
  </si>
  <si>
    <t>Friday</t>
  </si>
  <si>
    <t>Saturday</t>
  </si>
  <si>
    <t>Sunday</t>
  </si>
  <si>
    <t>Tuesday</t>
  </si>
  <si>
    <t>Mon-Dry Sow</t>
  </si>
  <si>
    <t>Mon-Dry Gilt</t>
  </si>
  <si>
    <t>Mon-Supaflash</t>
  </si>
  <si>
    <t>Tues-Dry Sow</t>
  </si>
  <si>
    <t>Tues-Dry Gilt</t>
  </si>
  <si>
    <t>Tues</t>
  </si>
  <si>
    <t>Wed-Dry Sow</t>
  </si>
  <si>
    <t>Wed-Dry Gilt</t>
  </si>
  <si>
    <t>Wed-Supaflash</t>
  </si>
  <si>
    <t xml:space="preserve">Wed </t>
  </si>
  <si>
    <t>Thur-Dry Sow</t>
  </si>
  <si>
    <t>Thur-Dry Gilt</t>
  </si>
  <si>
    <t>Thur-Supaflash</t>
  </si>
  <si>
    <t>Thur</t>
  </si>
  <si>
    <t>Fri-Dry Sow</t>
  </si>
  <si>
    <t>Fri-Dry Gilt</t>
  </si>
  <si>
    <t>Fri-Supaflash</t>
  </si>
  <si>
    <t xml:space="preserve">Fri </t>
  </si>
  <si>
    <t>Sat-Dry Sow</t>
  </si>
  <si>
    <t>Sat-Dry Gilt</t>
  </si>
  <si>
    <t>Sat-Supaflash</t>
  </si>
  <si>
    <t>Sun-Dry Sow</t>
  </si>
  <si>
    <t>Sun-Dry Gilt</t>
  </si>
  <si>
    <t>Sun-Supaflash</t>
  </si>
  <si>
    <t>total delivered</t>
  </si>
  <si>
    <t>bft closing</t>
  </si>
  <si>
    <t>actual consumed</t>
  </si>
  <si>
    <t>DS1</t>
  </si>
  <si>
    <t>DS2</t>
  </si>
  <si>
    <t xml:space="preserve"> </t>
  </si>
  <si>
    <t>DS4</t>
  </si>
  <si>
    <t>SL</t>
  </si>
  <si>
    <t>Supa Flush</t>
  </si>
  <si>
    <t>DS3</t>
  </si>
  <si>
    <t>Dry Gilt</t>
  </si>
  <si>
    <t>Mon-L Sow</t>
  </si>
  <si>
    <t>Mon- L Gilt</t>
  </si>
  <si>
    <t>Mon-Trans</t>
  </si>
  <si>
    <t>Tue-L Sow</t>
  </si>
  <si>
    <t>Tue- L Gilt</t>
  </si>
  <si>
    <t>Tue-Trans</t>
  </si>
  <si>
    <t>Wed-L Sow</t>
  </si>
  <si>
    <t>Wed- L Gilt</t>
  </si>
  <si>
    <t>Wed-Trans</t>
  </si>
  <si>
    <t>Thur-L Sow</t>
  </si>
  <si>
    <t>Thur- L Gilt</t>
  </si>
  <si>
    <t>Thur-Trans</t>
  </si>
  <si>
    <t>Fri-L Sow</t>
  </si>
  <si>
    <t>Fri- L Gilt</t>
  </si>
  <si>
    <t>Fri-Trans</t>
  </si>
  <si>
    <t>Sat-L Sow</t>
  </si>
  <si>
    <t>Sat- L Gilt</t>
  </si>
  <si>
    <t>Sat-Trans</t>
  </si>
  <si>
    <t>Sun-L Sow</t>
  </si>
  <si>
    <t>Sun- L Gilt</t>
  </si>
  <si>
    <t>Sun-Trans</t>
  </si>
  <si>
    <t>LACTATE SOW</t>
  </si>
  <si>
    <t>LACTATE GILT</t>
  </si>
  <si>
    <t>TRANSITION</t>
  </si>
  <si>
    <t>FH4</t>
  </si>
  <si>
    <t>FH5</t>
  </si>
  <si>
    <t>WEANER FEED ORDER</t>
  </si>
  <si>
    <t xml:space="preserve">Weaners AGE </t>
  </si>
  <si>
    <t>Mon - Crp 1</t>
  </si>
  <si>
    <t>Mon - Crp 2</t>
  </si>
  <si>
    <t>Mon - Crp 3</t>
  </si>
  <si>
    <t>Mon - W1</t>
  </si>
  <si>
    <t>Tues-Crp 1</t>
  </si>
  <si>
    <t>Tues-Crp 2</t>
  </si>
  <si>
    <t>Tues-Crp 3</t>
  </si>
  <si>
    <t>Tues-W1</t>
  </si>
  <si>
    <t>Wed - Crp 1</t>
  </si>
  <si>
    <t>Wed - Crp 2</t>
  </si>
  <si>
    <t>Wed - Crp 3</t>
  </si>
  <si>
    <t>Wed - W1</t>
  </si>
  <si>
    <t>Thur-Crp 1</t>
  </si>
  <si>
    <t>Thur-Crp 2</t>
  </si>
  <si>
    <t>Thur-Crp 3</t>
  </si>
  <si>
    <t>Thur-W1</t>
  </si>
  <si>
    <t>Fri - Crp 1</t>
  </si>
  <si>
    <t>Fri - Crp 2</t>
  </si>
  <si>
    <t>Fri - Crp 3</t>
  </si>
  <si>
    <t>Fri - W1</t>
  </si>
  <si>
    <t>Sat-Crp1</t>
  </si>
  <si>
    <t>Sat-Crp2</t>
  </si>
  <si>
    <t>Sat-Crp3</t>
  </si>
  <si>
    <t>Sat-W1</t>
  </si>
  <si>
    <t>Sun-Crp1</t>
  </si>
  <si>
    <t>Sun-Crp2</t>
  </si>
  <si>
    <t>Sun-Cr3</t>
  </si>
  <si>
    <t>Sun-W1</t>
  </si>
  <si>
    <t>W6</t>
  </si>
  <si>
    <t>W5</t>
  </si>
  <si>
    <t>Creep 3</t>
  </si>
  <si>
    <t>W4</t>
  </si>
  <si>
    <t>W3</t>
  </si>
  <si>
    <t>W2</t>
  </si>
  <si>
    <t>GROWER FEED ORDER</t>
  </si>
  <si>
    <t>Growers Age</t>
  </si>
  <si>
    <t>Mon-W1</t>
  </si>
  <si>
    <t>Mon - GR1</t>
  </si>
  <si>
    <t>Mon - GR2</t>
  </si>
  <si>
    <t>Mon - GR3</t>
  </si>
  <si>
    <t>Mon - fin</t>
  </si>
  <si>
    <t>Tue - W1</t>
  </si>
  <si>
    <t>Tue - GR1</t>
  </si>
  <si>
    <t>Tue - GR2</t>
  </si>
  <si>
    <t>Tue - GR3</t>
  </si>
  <si>
    <t>Tue - fin</t>
  </si>
  <si>
    <t>Wed-W1</t>
  </si>
  <si>
    <t>Wed-GR1</t>
  </si>
  <si>
    <t>Wed-GR2</t>
  </si>
  <si>
    <t>Wed-GR3</t>
  </si>
  <si>
    <t>Wed-Fin</t>
  </si>
  <si>
    <t>Thur - GR1</t>
  </si>
  <si>
    <t>Thur- GR2</t>
  </si>
  <si>
    <t>Thur- GR3</t>
  </si>
  <si>
    <t>Thur - fin</t>
  </si>
  <si>
    <t>Fri- W1</t>
  </si>
  <si>
    <t>Fri- GR1</t>
  </si>
  <si>
    <t>Fri- GR2</t>
  </si>
  <si>
    <t>Fri- GR3</t>
  </si>
  <si>
    <t>Fri - Fin</t>
  </si>
  <si>
    <t>Sat-GR1</t>
  </si>
  <si>
    <t>Sat-GR2</t>
  </si>
  <si>
    <t>Sat-GR3</t>
  </si>
  <si>
    <t>Sat-Fin</t>
  </si>
  <si>
    <t>Sun-GR1</t>
  </si>
  <si>
    <t>Sun-GR2</t>
  </si>
  <si>
    <t>Sun-GR3</t>
  </si>
  <si>
    <t>Sun-Fin</t>
  </si>
  <si>
    <t>10 OG</t>
  </si>
  <si>
    <t>10 NG</t>
  </si>
  <si>
    <t>10 EXT</t>
  </si>
  <si>
    <t>11 OG</t>
  </si>
  <si>
    <t>11 NG</t>
  </si>
  <si>
    <t>11 EXT</t>
  </si>
  <si>
    <t>DST1</t>
  </si>
  <si>
    <t>12 OG</t>
  </si>
  <si>
    <t>G1</t>
  </si>
  <si>
    <t>12 NG</t>
  </si>
  <si>
    <t>12 EXT</t>
  </si>
  <si>
    <t>13 OG</t>
  </si>
  <si>
    <t>13 NG</t>
  </si>
  <si>
    <t>13 EXT</t>
  </si>
  <si>
    <t>G3</t>
  </si>
  <si>
    <t>14 OG</t>
  </si>
  <si>
    <t>G2</t>
  </si>
  <si>
    <t>14 NG</t>
  </si>
  <si>
    <t>14 EXT</t>
  </si>
  <si>
    <t>15 OG</t>
  </si>
  <si>
    <t>15 NG</t>
  </si>
  <si>
    <t>15 EXT</t>
  </si>
  <si>
    <t>16 OG</t>
  </si>
  <si>
    <t>16 NG</t>
  </si>
  <si>
    <t>16 EXT</t>
  </si>
  <si>
    <t xml:space="preserve">17 OG </t>
  </si>
  <si>
    <t>17 NG</t>
  </si>
  <si>
    <t>17 EXT</t>
  </si>
  <si>
    <t>18 OG</t>
  </si>
  <si>
    <t>18 NG</t>
  </si>
  <si>
    <t>18 EXT</t>
  </si>
  <si>
    <t>19 OG</t>
  </si>
  <si>
    <t>FINISHER</t>
  </si>
  <si>
    <t>19 NG</t>
  </si>
  <si>
    <t>19 EXT</t>
  </si>
  <si>
    <t>20 OG</t>
  </si>
  <si>
    <t>20 NG</t>
  </si>
  <si>
    <t>20 EXT</t>
  </si>
  <si>
    <t>21 OG</t>
  </si>
  <si>
    <t>21 NG</t>
  </si>
  <si>
    <t>21 EXT</t>
  </si>
  <si>
    <t>22 OG</t>
  </si>
  <si>
    <t>22 NG</t>
  </si>
  <si>
    <t>22 EXT</t>
  </si>
  <si>
    <t>23 OG</t>
  </si>
  <si>
    <t>23 NG</t>
  </si>
  <si>
    <t>23 EXT</t>
  </si>
  <si>
    <t>Diet</t>
  </si>
  <si>
    <t>5wks, 10wks, 9wks, 8wks</t>
  </si>
  <si>
    <t>1wk, 2wk, 3wk, 14wk</t>
  </si>
  <si>
    <t>11wk, 12wk, 13wks, 6wks</t>
  </si>
  <si>
    <t>all preg gilts</t>
  </si>
  <si>
    <t>post active and 2 weeks</t>
  </si>
  <si>
    <t>FH 1 and FH2</t>
  </si>
  <si>
    <t>active and 4 weeks</t>
  </si>
  <si>
    <t>Fh3 and Fh4</t>
  </si>
  <si>
    <t>FH 1 and 2 lact</t>
  </si>
  <si>
    <t>FH 1 and 2 Trans</t>
  </si>
  <si>
    <t>FH 3 and 4 lact</t>
  </si>
  <si>
    <t>FH 3 and 4 trans</t>
  </si>
  <si>
    <t>FH 5 lact</t>
  </si>
  <si>
    <t>FH 5 trans</t>
  </si>
  <si>
    <t>3 weeks</t>
  </si>
  <si>
    <t>FH 5</t>
  </si>
  <si>
    <t>DST4</t>
  </si>
  <si>
    <t>DST 3</t>
  </si>
  <si>
    <t>DST 2</t>
  </si>
  <si>
    <t>GR4</t>
  </si>
  <si>
    <t>GR3</t>
  </si>
  <si>
    <t>GR2</t>
  </si>
  <si>
    <t>Gr1</t>
  </si>
  <si>
    <t>GR10</t>
  </si>
  <si>
    <t>Gr9</t>
  </si>
  <si>
    <t>Gr8</t>
  </si>
  <si>
    <t>Gr7</t>
  </si>
  <si>
    <t>Gr6</t>
  </si>
  <si>
    <t>Gr5</t>
  </si>
  <si>
    <t>FH 1 &amp; 2 lact</t>
  </si>
  <si>
    <t>FH 1 &amp; 2 Trans</t>
  </si>
  <si>
    <t>FH 3 &amp; 4 lact</t>
  </si>
  <si>
    <t>FH 3 &amp; 4 trans</t>
  </si>
  <si>
    <t>Total</t>
  </si>
  <si>
    <t>kgs Loaded</t>
  </si>
  <si>
    <t>Compartment No.</t>
  </si>
  <si>
    <t>Totals</t>
  </si>
  <si>
    <t>Kg delivered</t>
  </si>
  <si>
    <t xml:space="preserve">Farm/Site Name: </t>
  </si>
  <si>
    <t>Kgs Ordered</t>
  </si>
  <si>
    <t>Loaded by</t>
  </si>
  <si>
    <t>Received by</t>
  </si>
  <si>
    <t>Authorized by</t>
  </si>
  <si>
    <t>Checked by</t>
  </si>
  <si>
    <t>Date:</t>
  </si>
  <si>
    <t>Driver name:</t>
  </si>
  <si>
    <t>Truck reg:</t>
  </si>
  <si>
    <t>Trailer reg:</t>
  </si>
  <si>
    <t>Load end time:</t>
  </si>
  <si>
    <t>Load start time:</t>
  </si>
  <si>
    <t>Weighbridge Ticket No:</t>
  </si>
  <si>
    <t>Week No:</t>
  </si>
  <si>
    <t>CCC PIGS BULK FEED LOADING AND RECEIVING FORM</t>
  </si>
  <si>
    <t>System Shipment No:</t>
  </si>
  <si>
    <t>Offload start time:</t>
  </si>
  <si>
    <t>Offload end time:</t>
  </si>
  <si>
    <t>TOTAL BULK ORDER</t>
  </si>
  <si>
    <t>Tues-Supaflsh</t>
  </si>
  <si>
    <t>Farm</t>
  </si>
  <si>
    <t>Porta</t>
  </si>
  <si>
    <t>Lionshead</t>
  </si>
  <si>
    <t>Grasmere</t>
  </si>
  <si>
    <t>Multiplier</t>
  </si>
  <si>
    <t>Learig</t>
  </si>
  <si>
    <t>Richlands</t>
  </si>
  <si>
    <t>Daily Limit</t>
  </si>
  <si>
    <t>Grower</t>
  </si>
  <si>
    <t>GILT RATIONS</t>
  </si>
  <si>
    <t>Gilt 1</t>
  </si>
  <si>
    <t>Gilt 2</t>
  </si>
  <si>
    <t>Gilt 3</t>
  </si>
  <si>
    <t>Gilt 4</t>
  </si>
  <si>
    <t>Gilt 5</t>
  </si>
  <si>
    <t>Gilt 4.1</t>
  </si>
  <si>
    <t>Max allowable</t>
  </si>
  <si>
    <t>GILT BULK FEED ORDER</t>
  </si>
  <si>
    <t>Mon-Gilt 1</t>
  </si>
  <si>
    <t>Mon-Gilt 2</t>
  </si>
  <si>
    <t>Mon-Gilt 3</t>
  </si>
  <si>
    <t>Mon-Gilt 4</t>
  </si>
  <si>
    <t>Mon-Gilt 5</t>
  </si>
  <si>
    <t>Mon-Gilt 4.1</t>
  </si>
  <si>
    <t xml:space="preserve">Mon </t>
  </si>
  <si>
    <t>Mon-90 Plus</t>
  </si>
  <si>
    <t>90 plus</t>
  </si>
  <si>
    <t>Tue-Gilt 1</t>
  </si>
  <si>
    <t>Tue-Gilt 2</t>
  </si>
  <si>
    <t>Tue-Gilt 3</t>
  </si>
  <si>
    <t>Tue-Gilt 4</t>
  </si>
  <si>
    <t>Tue-Gilt 4.1</t>
  </si>
  <si>
    <t>Tue-Gilt 5</t>
  </si>
  <si>
    <t xml:space="preserve">Tue </t>
  </si>
  <si>
    <t>Wed-Gilt 1</t>
  </si>
  <si>
    <t>Wed-Gilt 2</t>
  </si>
  <si>
    <t>Wed-Gilt 3</t>
  </si>
  <si>
    <t>Wed-Gilt 4</t>
  </si>
  <si>
    <t>Wed-Gilt 4.1</t>
  </si>
  <si>
    <t>Wed-Gilt 5</t>
  </si>
  <si>
    <t>Thur- Fin</t>
  </si>
  <si>
    <t>Thu-Gilt 1</t>
  </si>
  <si>
    <t>Thur-Gilt 2</t>
  </si>
  <si>
    <t>Thur-Gilt 3</t>
  </si>
  <si>
    <t>Thur-Gilt 4</t>
  </si>
  <si>
    <t>Thur-Gilt 4.1</t>
  </si>
  <si>
    <t>Thur-Gilt 5</t>
  </si>
  <si>
    <t>Fri- Fin</t>
  </si>
  <si>
    <t>Fri-Gilt 1</t>
  </si>
  <si>
    <t>Fri-Gilt 2</t>
  </si>
  <si>
    <t>Fri-Gilt 3</t>
  </si>
  <si>
    <t>Fri-Gilt 4</t>
  </si>
  <si>
    <t>Fri-Gilt 4.1</t>
  </si>
  <si>
    <t>Fri-Gilt 5</t>
  </si>
  <si>
    <t>Sat-Gilt 1</t>
  </si>
  <si>
    <t>Sat-Gilt 2</t>
  </si>
  <si>
    <t>Sat-Gilt 3</t>
  </si>
  <si>
    <t>Sat-Gilt 4</t>
  </si>
  <si>
    <t>Sat-Gilt 4.1</t>
  </si>
  <si>
    <t>Sat-Gilt 5</t>
  </si>
  <si>
    <t>Sun-Gilt 1</t>
  </si>
  <si>
    <t>Sun- Gilt 2</t>
  </si>
  <si>
    <t>Sun-Gilt 3</t>
  </si>
  <si>
    <t>Sun- Gilt 4</t>
  </si>
  <si>
    <t>Sun - Gilt 4.1</t>
  </si>
  <si>
    <t>Sun- Gilt 5</t>
  </si>
  <si>
    <t>Tues-90 plus</t>
  </si>
  <si>
    <t>Wed- 90 Plus</t>
  </si>
  <si>
    <t>Thur- 90 plus</t>
  </si>
  <si>
    <t>Fri - 90 plus</t>
  </si>
  <si>
    <t>Sat- 90 plus</t>
  </si>
  <si>
    <t>Sun- 90 plus</t>
  </si>
  <si>
    <t>Difference</t>
  </si>
  <si>
    <t>Overal order</t>
  </si>
  <si>
    <t>Farm Daily Limit Guide</t>
  </si>
  <si>
    <t>DG3</t>
  </si>
  <si>
    <t>FH1 and 2</t>
  </si>
  <si>
    <t xml:space="preserve">FH3 and 4 </t>
  </si>
  <si>
    <t>DST2</t>
  </si>
  <si>
    <t>G4</t>
  </si>
  <si>
    <t>G5</t>
  </si>
  <si>
    <t>G6</t>
  </si>
  <si>
    <t>G7</t>
  </si>
  <si>
    <t>G8</t>
  </si>
  <si>
    <t>G9</t>
  </si>
  <si>
    <t>G10</t>
  </si>
  <si>
    <t>OG 1</t>
  </si>
  <si>
    <t>OG 2</t>
  </si>
  <si>
    <t>OG 3</t>
  </si>
  <si>
    <t>OG 4</t>
  </si>
  <si>
    <t>OG 5</t>
  </si>
  <si>
    <t>GR1</t>
  </si>
  <si>
    <t>OG 6</t>
  </si>
  <si>
    <t>NG 1</t>
  </si>
  <si>
    <t>NG 2</t>
  </si>
  <si>
    <t>NG 3</t>
  </si>
  <si>
    <t>NG 4</t>
  </si>
  <si>
    <t>DS 3</t>
  </si>
  <si>
    <t>DS 4</t>
  </si>
  <si>
    <t>FH 1</t>
  </si>
  <si>
    <t>FH 2</t>
  </si>
  <si>
    <t>FH 3</t>
  </si>
  <si>
    <t>FH1</t>
  </si>
  <si>
    <t>FH2</t>
  </si>
  <si>
    <t>FH3</t>
  </si>
  <si>
    <t>DS1 SL TANK 1</t>
  </si>
  <si>
    <t>DS1 SL TANK 2</t>
  </si>
  <si>
    <t>DS5</t>
  </si>
  <si>
    <t>F1GROWER</t>
  </si>
  <si>
    <t>F1WEANER</t>
  </si>
  <si>
    <t>FH 1 to 3 Big tank</t>
  </si>
  <si>
    <t>FH 4 and 5 small tank</t>
  </si>
  <si>
    <t>FH 4 and 5 big tank</t>
  </si>
  <si>
    <t>Service line</t>
  </si>
  <si>
    <t xml:space="preserve">DS1 big tank </t>
  </si>
  <si>
    <t>DS2 big tank</t>
  </si>
  <si>
    <t>DS1 small tank</t>
  </si>
  <si>
    <t>DS2 small tank</t>
  </si>
  <si>
    <t>WH 6</t>
  </si>
  <si>
    <t>WH 5</t>
  </si>
  <si>
    <t>WH 3</t>
  </si>
  <si>
    <t>WH 2</t>
  </si>
  <si>
    <t>DST3</t>
  </si>
  <si>
    <t>GH1</t>
  </si>
  <si>
    <t>GH2</t>
  </si>
  <si>
    <t>GH3</t>
  </si>
  <si>
    <t>GH4</t>
  </si>
  <si>
    <t>GH5</t>
  </si>
  <si>
    <t>GH7</t>
  </si>
  <si>
    <t>Gh8</t>
  </si>
  <si>
    <t>GH9</t>
  </si>
  <si>
    <t>GH10</t>
  </si>
  <si>
    <t>W1A</t>
  </si>
  <si>
    <t>W1B</t>
  </si>
  <si>
    <t>W1C</t>
  </si>
  <si>
    <t>W2A</t>
  </si>
  <si>
    <t>W2B</t>
  </si>
  <si>
    <t>W2C</t>
  </si>
  <si>
    <t>GR2A</t>
  </si>
  <si>
    <t>GR2B</t>
  </si>
  <si>
    <t>GR5A</t>
  </si>
  <si>
    <t>GR5B</t>
  </si>
  <si>
    <t>GR6</t>
  </si>
  <si>
    <t>GR7</t>
  </si>
  <si>
    <t>GR8</t>
  </si>
  <si>
    <t>GR9</t>
  </si>
  <si>
    <t>GR11</t>
  </si>
  <si>
    <t>GR12</t>
  </si>
  <si>
    <t>GR13</t>
  </si>
  <si>
    <t>W3B</t>
  </si>
  <si>
    <t>W3A</t>
  </si>
  <si>
    <t>Gr4</t>
  </si>
  <si>
    <t>Gr3</t>
  </si>
  <si>
    <t>Gr2</t>
  </si>
  <si>
    <t>Gr10B</t>
  </si>
  <si>
    <t>Gr10A</t>
  </si>
  <si>
    <t>SHC 1</t>
  </si>
  <si>
    <t xml:space="preserve">FH1 </t>
  </si>
  <si>
    <t>15wks, 14wks, 13wks, 10wks</t>
  </si>
  <si>
    <t xml:space="preserve">12wk,11wk,9wk 8wk, 7wk, 6wk, </t>
  </si>
  <si>
    <t>5wk,4wk,3wks,2wks,1wks,0wks</t>
  </si>
  <si>
    <t>3 and 4 weeks</t>
  </si>
  <si>
    <t xml:space="preserve">active </t>
  </si>
  <si>
    <t>GROWER 1</t>
  </si>
  <si>
    <t>WH 4</t>
  </si>
  <si>
    <t>WH 1</t>
  </si>
  <si>
    <t>GH6</t>
  </si>
  <si>
    <t>LEARIG</t>
  </si>
  <si>
    <t>FH 1 lact</t>
  </si>
  <si>
    <t>FH 3 lact</t>
  </si>
  <si>
    <t>FH 2 Lact</t>
  </si>
  <si>
    <t>FH 4 lact</t>
  </si>
  <si>
    <t>LIONHEAD</t>
  </si>
  <si>
    <t>Sun-90 Plus</t>
  </si>
  <si>
    <t>SUn-Gilt 1</t>
  </si>
  <si>
    <t>Sun-Gilt 2</t>
  </si>
  <si>
    <t>Sun-Gilt 4</t>
  </si>
  <si>
    <t>Sun-Gilt 4.1</t>
  </si>
  <si>
    <t>Sun-Gilt 5</t>
  </si>
  <si>
    <t>Sun - Crp 1</t>
  </si>
  <si>
    <t>Sun- Crp 2</t>
  </si>
  <si>
    <t>Sun - Crp 3</t>
  </si>
  <si>
    <t>Sun - W1</t>
  </si>
  <si>
    <t>Sun - GR1</t>
  </si>
  <si>
    <t>Sun - GR2</t>
  </si>
  <si>
    <t>Sun - GR3</t>
  </si>
  <si>
    <t>Sun - fin</t>
  </si>
  <si>
    <t>CREEP 2</t>
  </si>
  <si>
    <t>WEANER CARAMEL</t>
  </si>
  <si>
    <t>fh1</t>
  </si>
  <si>
    <t>fh2</t>
  </si>
  <si>
    <t>fh3</t>
  </si>
  <si>
    <t>sow lactate</t>
  </si>
  <si>
    <t>gilt lactate</t>
  </si>
  <si>
    <t>fh4</t>
  </si>
  <si>
    <t>transition</t>
  </si>
  <si>
    <t>ds5</t>
  </si>
  <si>
    <t>90plus</t>
  </si>
  <si>
    <t>drysow</t>
  </si>
  <si>
    <t>supa flush</t>
  </si>
  <si>
    <t>super flush</t>
  </si>
  <si>
    <t>gilt 5</t>
  </si>
  <si>
    <t>gilt 1</t>
  </si>
  <si>
    <t>weaner otc</t>
  </si>
  <si>
    <t>gilt 2</t>
  </si>
  <si>
    <t>gilt 3</t>
  </si>
  <si>
    <t>gilt 4</t>
  </si>
  <si>
    <t>W1 OTC</t>
  </si>
  <si>
    <t>GR2 OTC</t>
  </si>
  <si>
    <t>FIN/PROMOTE</t>
  </si>
  <si>
    <t>3 week</t>
  </si>
  <si>
    <t>3 &amp; active</t>
  </si>
  <si>
    <t>4 weeks</t>
  </si>
  <si>
    <t>2B</t>
  </si>
  <si>
    <t>2A</t>
  </si>
  <si>
    <t>1B</t>
  </si>
  <si>
    <t>1A</t>
  </si>
  <si>
    <t>3B</t>
  </si>
  <si>
    <t>3A</t>
  </si>
  <si>
    <t>OG2</t>
  </si>
  <si>
    <t>NG2</t>
  </si>
  <si>
    <t xml:space="preserve">OG 6 </t>
  </si>
  <si>
    <t>NG3</t>
  </si>
  <si>
    <t>EXT 5&amp;9</t>
  </si>
  <si>
    <t>EXT 6</t>
  </si>
  <si>
    <t>EXT 7</t>
  </si>
  <si>
    <t>EXT 8</t>
  </si>
  <si>
    <t>WEAN 1 OTC</t>
  </si>
  <si>
    <t>GROWER 2</t>
  </si>
  <si>
    <t>GROWER 3</t>
  </si>
  <si>
    <t>DRYSOW</t>
  </si>
  <si>
    <t>WEAN 1 CARAMEL</t>
  </si>
  <si>
    <t>FH 4 and 5</t>
  </si>
  <si>
    <t>dry gilt</t>
  </si>
  <si>
    <t>creep 2</t>
  </si>
  <si>
    <t>creep 3</t>
  </si>
  <si>
    <t>weaner 1 caramel</t>
  </si>
  <si>
    <t>weaner caramel</t>
  </si>
  <si>
    <t>wean O.T.C</t>
  </si>
  <si>
    <t>grower 2</t>
  </si>
  <si>
    <t>grower 1</t>
  </si>
  <si>
    <t>finisher promote</t>
  </si>
  <si>
    <t>grower 3</t>
  </si>
  <si>
    <t>DS1S</t>
  </si>
  <si>
    <t>DS2S</t>
  </si>
  <si>
    <t>DS1G</t>
  </si>
  <si>
    <t>12wk, 11wk, 9wk, 8wk,7wk,6wk,</t>
  </si>
  <si>
    <t>5wk, 4wk, 3wks, 2wks,1wk,0wk</t>
  </si>
  <si>
    <t>2 weeks and 3 weeks</t>
  </si>
  <si>
    <t>active  and post</t>
  </si>
  <si>
    <t xml:space="preserve">weaning </t>
  </si>
  <si>
    <t>DRY SOW</t>
  </si>
  <si>
    <t>D/S</t>
  </si>
  <si>
    <t>S/L</t>
  </si>
  <si>
    <t>SUPER FLUSH</t>
  </si>
  <si>
    <t>LG</t>
  </si>
  <si>
    <t>DRY GILT</t>
  </si>
  <si>
    <t>4 Weeks</t>
  </si>
  <si>
    <t>5 Weeks</t>
  </si>
  <si>
    <t>6 Weeks</t>
  </si>
  <si>
    <t>7 Weeks</t>
  </si>
  <si>
    <t>WEAN 1 CARA</t>
  </si>
  <si>
    <t>8 Weeks</t>
  </si>
  <si>
    <t>9 Weeks</t>
  </si>
  <si>
    <t>10 Weeks</t>
  </si>
  <si>
    <t>11 Weeks</t>
  </si>
  <si>
    <t>Wean 1 OTC</t>
  </si>
  <si>
    <t>12 Weeks</t>
  </si>
  <si>
    <t>13 Weeks</t>
  </si>
  <si>
    <t>DST4/G8</t>
  </si>
  <si>
    <t>14 Weeks</t>
  </si>
  <si>
    <t>Grower 1</t>
  </si>
  <si>
    <t>15 Weeks</t>
  </si>
  <si>
    <t>16 Weeks</t>
  </si>
  <si>
    <t>17 Weeks</t>
  </si>
  <si>
    <t>18 Weeks</t>
  </si>
  <si>
    <t>FINISHER PROMOTE</t>
  </si>
  <si>
    <t>19 Weeks</t>
  </si>
  <si>
    <t>20 Weeks</t>
  </si>
  <si>
    <t>21 Weeks</t>
  </si>
  <si>
    <t>22 Weeks</t>
  </si>
  <si>
    <t>23 Weeks</t>
  </si>
  <si>
    <t>17/08/2026</t>
  </si>
  <si>
    <t>18/08/2026</t>
  </si>
  <si>
    <t>19/08/2026</t>
  </si>
  <si>
    <t>20/08/2026</t>
  </si>
  <si>
    <t>WEAN 1 O.T.C</t>
  </si>
  <si>
    <t>SHC1</t>
  </si>
  <si>
    <t>FH1 lact</t>
  </si>
  <si>
    <t>FH2 lact</t>
  </si>
  <si>
    <t>FH3 lact</t>
  </si>
  <si>
    <t>10B</t>
  </si>
  <si>
    <t>10A</t>
  </si>
  <si>
    <t>GROWR 3</t>
  </si>
  <si>
    <t>G12</t>
  </si>
  <si>
    <t>G11</t>
  </si>
  <si>
    <t>G13</t>
  </si>
  <si>
    <t>G5A</t>
  </si>
  <si>
    <t>G5B</t>
  </si>
  <si>
    <t>G2A</t>
  </si>
  <si>
    <t>G2B</t>
  </si>
  <si>
    <t xml:space="preserve">DATE: </t>
  </si>
  <si>
    <t>DAILY PRODUCTION PLAN WEEK NO: 34</t>
  </si>
  <si>
    <t>DAY: SUNDAY and MONDAY</t>
  </si>
  <si>
    <t xml:space="preserve">PRIORITY LISTING </t>
  </si>
  <si>
    <t>GRASMERE</t>
  </si>
  <si>
    <t>RICHLANDS</t>
  </si>
  <si>
    <t>PORTA</t>
  </si>
  <si>
    <t>MULTIPLER</t>
  </si>
  <si>
    <t>TOTAL TONNES</t>
  </si>
  <si>
    <t>Total ton prio</t>
  </si>
  <si>
    <t>TOTAL FREQ</t>
  </si>
  <si>
    <t>Total truck prio</t>
  </si>
  <si>
    <t>Final priority</t>
  </si>
  <si>
    <t>ACTUAL PROD</t>
  </si>
  <si>
    <t>BALANCE</t>
  </si>
  <si>
    <t>Prod Order #</t>
  </si>
  <si>
    <t>BIN NUMBER 1ST</t>
  </si>
  <si>
    <t>BIN NUMBER 2ND</t>
  </si>
  <si>
    <t xml:space="preserve">GROWER 3 </t>
  </si>
  <si>
    <t xml:space="preserve">GROWER 2 -OTC </t>
  </si>
  <si>
    <t>WEANER - CARA</t>
  </si>
  <si>
    <t>FINISHER - Promote</t>
  </si>
  <si>
    <t>WEANER- OTC grower</t>
  </si>
  <si>
    <t xml:space="preserve">LACTATING GILT </t>
  </si>
  <si>
    <t>90 PLUS</t>
  </si>
  <si>
    <t xml:space="preserve">TRANSITION </t>
  </si>
  <si>
    <t>GILT 4.1</t>
  </si>
  <si>
    <t>LACTATE SOW Z LINE</t>
  </si>
  <si>
    <t>GILT 1-NO OTC</t>
  </si>
  <si>
    <t>LACTATION TRIAL</t>
  </si>
  <si>
    <t>CREEP 2 -(ZnO)</t>
  </si>
  <si>
    <t xml:space="preserve">GROWER 2 -CTC </t>
  </si>
  <si>
    <t>WEANER- CTC grower</t>
  </si>
  <si>
    <t>CREEP 3 BACTOFOS</t>
  </si>
  <si>
    <t xml:space="preserve">GILT 2 </t>
  </si>
  <si>
    <t>GILT 3</t>
  </si>
  <si>
    <t>GILT 5</t>
  </si>
  <si>
    <t>CREEP 1</t>
  </si>
  <si>
    <t>WEANER - CARA CTC</t>
  </si>
  <si>
    <t>TUE AND WED</t>
  </si>
  <si>
    <t>GILT 1-OTC</t>
  </si>
  <si>
    <t>GILT 4</t>
  </si>
  <si>
    <t>FRIDAY AND SATURDAY</t>
  </si>
  <si>
    <t>GILT 1- NO OTC</t>
  </si>
  <si>
    <t>Monday 07:00</t>
  </si>
  <si>
    <t>Bulk</t>
  </si>
  <si>
    <t>Week 34</t>
  </si>
  <si>
    <t xml:space="preserve">Friday </t>
  </si>
  <si>
    <t xml:space="preserve">Saturday </t>
  </si>
  <si>
    <t>Balance to Dispatch</t>
  </si>
  <si>
    <t>Bags</t>
  </si>
  <si>
    <t>.</t>
  </si>
  <si>
    <t>lionhead Ext</t>
  </si>
  <si>
    <t>villa</t>
  </si>
  <si>
    <t>Selous</t>
  </si>
  <si>
    <t xml:space="preserve">                                  </t>
  </si>
  <si>
    <t>PLAN</t>
  </si>
  <si>
    <t>ACTUAL</t>
  </si>
  <si>
    <t>DIFFERENCE</t>
  </si>
  <si>
    <t>DISPATCH WEEK 34</t>
  </si>
  <si>
    <t>SITE</t>
  </si>
  <si>
    <t>Ordered Bags</t>
  </si>
  <si>
    <t>Ordered Bulk</t>
  </si>
  <si>
    <t>Monday Plan</t>
  </si>
  <si>
    <t>Tuesday Plan</t>
  </si>
  <si>
    <t>Wednesday Plan</t>
  </si>
  <si>
    <t>Thursday Plan</t>
  </si>
  <si>
    <t>Friday Plan</t>
  </si>
  <si>
    <t>Saturday Plan</t>
  </si>
  <si>
    <t>Sunday Plan</t>
  </si>
  <si>
    <t>Villa Franca</t>
  </si>
  <si>
    <t>Lionhead</t>
  </si>
  <si>
    <t>Lionhead Extension</t>
  </si>
  <si>
    <t>Grasmere Mainsite</t>
  </si>
  <si>
    <t>Grasmere Grower</t>
  </si>
  <si>
    <t>Grasmere Weaner</t>
  </si>
  <si>
    <t>Grasmere AI</t>
  </si>
  <si>
    <t>Quarantine</t>
  </si>
  <si>
    <t>Total order</t>
  </si>
  <si>
    <t xml:space="preserve">    </t>
  </si>
  <si>
    <t>Trucks Distribution</t>
  </si>
  <si>
    <t>Priority list</t>
  </si>
  <si>
    <t>Sites</t>
  </si>
  <si>
    <t>bulk tankers</t>
  </si>
  <si>
    <t>bags trucks</t>
  </si>
  <si>
    <t>wagons</t>
  </si>
  <si>
    <t>Trailers</t>
  </si>
  <si>
    <t xml:space="preserve">Bulk </t>
  </si>
  <si>
    <t xml:space="preserve">Monday </t>
  </si>
  <si>
    <t xml:space="preserve">Wednesday </t>
  </si>
  <si>
    <t xml:space="preserve">Thursday </t>
  </si>
  <si>
    <t xml:space="preserve">Sunday </t>
  </si>
  <si>
    <t xml:space="preserve">Grower  </t>
  </si>
  <si>
    <t xml:space="preserve">Lionshead </t>
  </si>
  <si>
    <t xml:space="preserve">Richlands </t>
  </si>
  <si>
    <t xml:space="preserve">Weaner </t>
  </si>
  <si>
    <t xml:space="preserve">Learig </t>
  </si>
  <si>
    <t>Mainsite</t>
  </si>
  <si>
    <t xml:space="preserve">Bags </t>
  </si>
  <si>
    <t>Villa</t>
  </si>
  <si>
    <t>Lionhead 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</si>
</sst>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  <numFmt numFmtId="166" formatCode="0.0"/>
    <numFmt numFmtId="167" formatCode="#,##0.0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sz val="12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Segoe UI"/>
      <family val="2"/>
    </font>
    <font>
      <b/>
      <sz val="11"/>
      <color rgb="FF000000"/>
      <name val="Segoe UI"/>
      <family val="2"/>
    </font>
    <font>
      <b/>
      <sz val="11"/>
      <color rgb="FFFF0000"/>
      <name val="Segoe UI"/>
      <family val="2"/>
    </font>
    <font>
      <b/>
      <sz val="11"/>
      <color rgb="FFFF0000"/>
      <name val="Calibri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9.9978637043366805E-2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499984740745262"/>
        <bgColor rgb="FF000000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000"/>
        <bgColor indexed="64"/>
      </patternFill>
    </fill>
  </fills>
  <borders count="49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theme="0" tint="-0.14999847407452621"/>
      </right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theme="0" tint="-0.14999847407452621"/>
      </right>
      <top style="medium">
        <color indexed="64"/>
      </top>
      <bottom style="medium">
        <color indexed="64"/>
      </bottom>
      <diagonal/>
    </border>
    <border>
      <left style="thin">
        <color theme="0" tint="-0.14999847407452621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theme="0" tint="-0.14999847407452621"/>
      </right>
      <top/>
      <bottom style="medium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rgb="FFFF0000"/>
      </bottom>
      <diagonal/>
    </border>
    <border>
      <left/>
      <right style="medium">
        <color indexed="64"/>
      </right>
      <top style="thin">
        <color indexed="64"/>
      </top>
      <bottom style="medium">
        <color rgb="FFFF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rgb="FFFF0000"/>
      </bottom>
      <diagonal/>
    </border>
    <border>
      <left style="medium">
        <color indexed="64"/>
      </left>
      <right style="medium">
        <color indexed="64"/>
      </right>
      <top/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/>
      <right style="thin">
        <color indexed="64"/>
      </right>
      <top style="thin">
        <color indexed="64"/>
      </top>
      <bottom style="medium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FF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rgb="FFFF0000"/>
      </bottom>
      <diagonal/>
    </border>
    <border>
      <left/>
      <right/>
      <top style="thin">
        <color indexed="64"/>
      </top>
      <bottom style="medium">
        <color rgb="FFFF0000"/>
      </bottom>
      <diagonal/>
    </border>
    <border>
      <left style="medium">
        <color rgb="FFFF0000"/>
      </left>
      <right style="medium">
        <color indexed="64"/>
      </right>
      <top style="medium">
        <color rgb="FFFF0000"/>
      </top>
      <bottom style="medium">
        <color rgb="FFFF0000"/>
      </bottom>
      <diagonal/>
    </border>
    <border>
      <left style="medium">
        <color indexed="64"/>
      </left>
      <right style="medium">
        <color indexed="64"/>
      </right>
      <top style="medium">
        <color rgb="FFFF0000"/>
      </top>
      <bottom style="medium">
        <color rgb="FFFF0000"/>
      </bottom>
      <diagonal/>
    </border>
    <border>
      <left/>
      <right style="medium">
        <color indexed="64"/>
      </right>
      <top style="medium">
        <color rgb="FFFF0000"/>
      </top>
      <bottom style="medium">
        <color rgb="FFFF0000"/>
      </bottom>
      <diagonal/>
    </border>
    <border>
      <left/>
      <right style="thin">
        <color indexed="64"/>
      </right>
      <top style="medium">
        <color rgb="FFFF0000"/>
      </top>
      <bottom style="medium">
        <color rgb="FFFF0000"/>
      </bottom>
      <diagonal/>
    </border>
    <border>
      <left style="thin">
        <color indexed="64"/>
      </left>
      <right style="medium">
        <color indexed="64"/>
      </right>
      <top style="medium">
        <color rgb="FFFF0000"/>
      </top>
      <bottom style="medium">
        <color rgb="FFFF0000"/>
      </bottom>
      <diagonal/>
    </border>
    <border>
      <left style="thin">
        <color indexed="64"/>
      </left>
      <right style="thin">
        <color indexed="64"/>
      </right>
      <top style="medium">
        <color rgb="FFFF0000"/>
      </top>
      <bottom style="medium">
        <color rgb="FFFF0000"/>
      </bottom>
      <diagonal/>
    </border>
    <border>
      <left/>
      <right/>
      <top style="medium">
        <color rgb="FFFF0000"/>
      </top>
      <bottom style="medium">
        <color rgb="FFFF0000"/>
      </bottom>
      <diagonal/>
    </border>
    <border>
      <left style="medium">
        <color indexed="64"/>
      </left>
      <right/>
      <top style="medium">
        <color rgb="FFFF0000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rgb="FFFF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rgb="FFFF0000"/>
      </left>
      <right style="medium">
        <color indexed="64"/>
      </right>
      <top style="medium">
        <color rgb="FFFF0000"/>
      </top>
      <bottom/>
      <diagonal/>
    </border>
    <border>
      <left style="medium">
        <color indexed="64"/>
      </left>
      <right style="medium">
        <color indexed="64"/>
      </right>
      <top style="medium">
        <color rgb="FFFF0000"/>
      </top>
      <bottom/>
      <diagonal/>
    </border>
    <border>
      <left/>
      <right style="medium">
        <color indexed="64"/>
      </right>
      <top style="medium">
        <color rgb="FFFF0000"/>
      </top>
      <bottom style="thin">
        <color indexed="64"/>
      </bottom>
      <diagonal/>
    </border>
    <border>
      <left/>
      <right/>
      <top style="medium">
        <color rgb="FFFF0000"/>
      </top>
      <bottom style="thin">
        <color indexed="64"/>
      </bottom>
      <diagonal/>
    </border>
    <border>
      <left/>
      <right style="thin">
        <color indexed="64"/>
      </right>
      <top style="medium">
        <color rgb="FFFF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FF0000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rgb="FFFF0000"/>
      </top>
      <bottom style="thin">
        <color indexed="64"/>
      </bottom>
      <diagonal/>
    </border>
    <border>
      <left style="thin">
        <color indexed="64"/>
      </left>
      <right/>
      <top style="medium">
        <color rgb="FFFF0000"/>
      </top>
      <bottom style="thin">
        <color indexed="64"/>
      </bottom>
      <diagonal/>
    </border>
    <border>
      <left/>
      <right style="medium">
        <color indexed="64"/>
      </right>
      <top style="medium">
        <color rgb="FFFF0000"/>
      </top>
      <bottom/>
      <diagonal/>
    </border>
    <border>
      <left style="medium">
        <color indexed="64"/>
      </left>
      <right/>
      <top style="medium">
        <color rgb="FFFF0000"/>
      </top>
      <bottom/>
      <diagonal/>
    </border>
    <border>
      <left style="medium">
        <color rgb="FFFF0000"/>
      </left>
      <right style="medium">
        <color indexed="64"/>
      </right>
      <top/>
      <bottom/>
      <diagonal/>
    </border>
    <border>
      <left style="medium">
        <color rgb="FFFF0000"/>
      </left>
      <right style="medium">
        <color indexed="64"/>
      </right>
      <top/>
      <bottom style="medium">
        <color rgb="FFFF0000"/>
      </bottom>
      <diagonal/>
    </border>
    <border>
      <left/>
      <right style="medium">
        <color indexed="64"/>
      </right>
      <top/>
      <bottom style="medium">
        <color rgb="FFFF0000"/>
      </bottom>
      <diagonal/>
    </border>
    <border>
      <left/>
      <right style="thin">
        <color indexed="64"/>
      </right>
      <top/>
      <bottom style="medium">
        <color rgb="FFFF0000"/>
      </bottom>
      <diagonal/>
    </border>
    <border>
      <left style="thin">
        <color indexed="64"/>
      </left>
      <right style="thin">
        <color indexed="64"/>
      </right>
      <top/>
      <bottom style="medium">
        <color rgb="FFFF0000"/>
      </bottom>
      <diagonal/>
    </border>
    <border>
      <left style="thin">
        <color indexed="64"/>
      </left>
      <right style="medium">
        <color indexed="64"/>
      </right>
      <top/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 style="medium">
        <color indexed="64"/>
      </left>
      <right/>
      <top style="thin">
        <color indexed="64"/>
      </top>
      <bottom style="medium">
        <color rgb="FFFF0000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/>
      <right style="thin">
        <color theme="0" tint="-0.14999847407452621"/>
      </right>
      <top style="thin">
        <color theme="0" tint="-0.14999847407452621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theme="0" tint="-0.14999847407452621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theme="0" tint="-0.14999847407452621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theme="0" tint="-0.14999847407452621"/>
      </bottom>
      <diagonal/>
    </border>
    <border>
      <left style="thin">
        <color indexed="64"/>
      </left>
      <right style="thin">
        <color indexed="64"/>
      </right>
      <top style="thin">
        <color theme="0" tint="-0.14999847407452621"/>
      </top>
      <bottom style="thin">
        <color theme="0" tint="-0.14999847407452621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medium">
        <color rgb="FFFF0000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/>
      <bottom/>
      <diagonal/>
    </border>
    <border>
      <left/>
      <right style="thick">
        <color indexed="64"/>
      </right>
      <top style="medium">
        <color rgb="FFFF0000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rgb="FFFF0000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medium">
        <color rgb="FFFF0000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medium">
        <color rgb="FFFF0000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medium">
        <color rgb="FFFF0000"/>
      </top>
      <bottom style="thin">
        <color theme="0" tint="-0.14999847407452621"/>
      </bottom>
      <diagonal/>
    </border>
    <border>
      <left style="thin">
        <color indexed="64"/>
      </left>
      <right style="thin">
        <color indexed="64"/>
      </right>
      <top style="medium">
        <color rgb="FFFF0000"/>
      </top>
      <bottom style="thin">
        <color theme="0" tint="-0.14999847407452621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/>
      <bottom style="medium">
        <color rgb="FFFF0000"/>
      </bottom>
      <diagonal/>
    </border>
    <border>
      <left/>
      <right style="thick">
        <color indexed="64"/>
      </right>
      <top style="thin">
        <color indexed="64"/>
      </top>
      <bottom style="medium">
        <color rgb="FFFF0000"/>
      </bottom>
      <diagonal/>
    </border>
    <border>
      <left style="thick">
        <color indexed="64"/>
      </left>
      <right style="thick">
        <color indexed="64"/>
      </right>
      <top/>
      <bottom style="medium">
        <color rgb="FFFF0000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medium">
        <color rgb="FFFF0000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medium">
        <color rgb="FFFF0000"/>
      </bottom>
      <diagonal/>
    </border>
    <border>
      <left style="thin">
        <color indexed="64"/>
      </left>
      <right/>
      <top style="thin">
        <color indexed="64"/>
      </top>
      <bottom style="medium">
        <color rgb="FFFF0000"/>
      </bottom>
      <diagonal/>
    </border>
    <border>
      <left style="thick">
        <color indexed="64"/>
      </left>
      <right style="thin">
        <color indexed="64"/>
      </right>
      <top/>
      <bottom style="medium">
        <color rgb="FFFF0000"/>
      </bottom>
      <diagonal/>
    </border>
    <border>
      <left style="medium">
        <color rgb="FFFF0000"/>
      </left>
      <right style="thin">
        <color indexed="64"/>
      </right>
      <top/>
      <bottom style="thin">
        <color indexed="64"/>
      </bottom>
      <diagonal/>
    </border>
    <border>
      <left style="medium">
        <color rgb="FFFF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FF0000"/>
      </left>
      <right style="thin">
        <color indexed="64"/>
      </right>
      <top style="thin">
        <color indexed="64"/>
      </top>
      <bottom style="medium">
        <color rgb="FFFF0000"/>
      </bottom>
      <diagonal/>
    </border>
    <border>
      <left style="thin">
        <color indexed="64"/>
      </left>
      <right style="thick">
        <color indexed="64"/>
      </right>
      <top/>
      <bottom style="medium">
        <color rgb="FFFF0000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ck">
        <color theme="4" tint="-0.249977111117893"/>
      </left>
      <right style="thin">
        <color indexed="64"/>
      </right>
      <top/>
      <bottom style="thin">
        <color indexed="64"/>
      </bottom>
      <diagonal/>
    </border>
    <border>
      <left style="thick">
        <color theme="4" tint="-0.24997711111789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theme="0" tint="-0.14999847407452621"/>
      </top>
      <bottom style="thin">
        <color theme="0" tint="-0.14999847407452621"/>
      </bottom>
      <diagonal/>
    </border>
    <border>
      <left style="thick">
        <color theme="4" tint="-0.249977111117893"/>
      </left>
      <right style="thin">
        <color indexed="64"/>
      </right>
      <top style="thin">
        <color indexed="64"/>
      </top>
      <bottom style="medium">
        <color rgb="FFFF0000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rgb="FFFF0000"/>
      </top>
      <bottom/>
      <diagonal/>
    </border>
    <border>
      <left style="thick">
        <color theme="4" tint="-0.249977111117893"/>
      </left>
      <right style="thin">
        <color indexed="64"/>
      </right>
      <top style="thin">
        <color indexed="64"/>
      </top>
      <bottom/>
      <diagonal/>
    </border>
    <border>
      <left style="medium">
        <color rgb="FFFF0000"/>
      </left>
      <right style="thin">
        <color indexed="64"/>
      </right>
      <top style="medium">
        <color rgb="FFFF0000"/>
      </top>
      <bottom style="thin">
        <color indexed="64"/>
      </bottom>
      <diagonal/>
    </border>
    <border>
      <left style="medium">
        <color rgb="FFFF0000"/>
      </left>
      <right style="thin">
        <color indexed="64"/>
      </right>
      <top style="thin">
        <color indexed="64"/>
      </top>
      <bottom/>
      <diagonal/>
    </border>
    <border>
      <left style="thick">
        <color theme="4" tint="-0.249977111117893"/>
      </left>
      <right/>
      <top/>
      <bottom/>
      <diagonal/>
    </border>
    <border>
      <left style="thin">
        <color theme="1"/>
      </left>
      <right style="thick">
        <color indexed="64"/>
      </right>
      <top/>
      <bottom style="thin">
        <color theme="1"/>
      </bottom>
      <diagonal/>
    </border>
    <border>
      <left style="thick">
        <color theme="4" tint="-0.249977111117893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ck">
        <color indexed="64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9847407452621"/>
      </bottom>
      <diagonal/>
    </border>
    <border>
      <left style="thick">
        <color theme="4" tint="-0.249977111117893"/>
      </left>
      <right/>
      <top style="thin">
        <color indexed="64"/>
      </top>
      <bottom style="thick">
        <color indexed="64"/>
      </bottom>
      <diagonal/>
    </border>
    <border>
      <left style="thin">
        <color theme="1"/>
      </left>
      <right style="thick">
        <color indexed="64"/>
      </right>
      <top style="thin">
        <color theme="1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/>
      <right/>
      <top/>
      <bottom style="thin">
        <color theme="0" tint="-0.14999847407452621"/>
      </bottom>
      <diagonal/>
    </border>
    <border>
      <left/>
      <right/>
      <top style="thick">
        <color indexed="64"/>
      </top>
      <bottom style="thin">
        <color theme="0" tint="-0.14999847407452621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ck">
        <color indexed="64"/>
      </top>
      <bottom style="thin">
        <color theme="2" tint="-9.9978637043366805E-2"/>
      </bottom>
      <diagonal/>
    </border>
    <border>
      <left style="thick">
        <color theme="4" tint="-0.249977111117893"/>
      </left>
      <right style="thin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rgb="FFFF0000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/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medium">
        <color rgb="FFFF0000"/>
      </top>
      <bottom style="medium">
        <color rgb="FFFF0000"/>
      </bottom>
      <diagonal/>
    </border>
    <border>
      <left/>
      <right style="thick">
        <color indexed="64"/>
      </right>
      <top style="medium">
        <color rgb="FFFF0000"/>
      </top>
      <bottom style="medium">
        <color rgb="FFFF0000"/>
      </bottom>
      <diagonal/>
    </border>
    <border>
      <left style="thick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/>
      <diagonal/>
    </border>
    <border>
      <left style="medium">
        <color indexed="64"/>
      </left>
      <right style="thick">
        <color indexed="64"/>
      </right>
      <top style="medium">
        <color rgb="FFFF0000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/>
      <bottom style="medium">
        <color rgb="FFFF0000"/>
      </bottom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medium">
        <color rgb="FFFF0000"/>
      </bottom>
      <diagonal/>
    </border>
    <border>
      <left style="thick">
        <color indexed="64"/>
      </left>
      <right/>
      <top style="thin">
        <color indexed="64"/>
      </top>
      <bottom style="medium">
        <color rgb="FFFF0000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/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theme="0" tint="-0.14999847407452621"/>
      </right>
      <top/>
      <bottom style="medium">
        <color indexed="64"/>
      </bottom>
      <diagonal/>
    </border>
    <border>
      <left style="medium">
        <color indexed="64"/>
      </left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/>
      <bottom style="medium">
        <color rgb="FFFF0000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thin">
        <color auto="1"/>
      </top>
      <bottom/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thin">
        <color indexed="64"/>
      </left>
      <right style="thick">
        <color indexed="64"/>
      </right>
      <top style="medium">
        <color rgb="FFFF0000"/>
      </top>
      <bottom style="medium">
        <color rgb="FFFF0000"/>
      </bottom>
      <diagonal/>
    </border>
    <border>
      <left style="medium">
        <color indexed="64"/>
      </left>
      <right style="thick">
        <color indexed="64"/>
      </right>
      <top style="medium">
        <color rgb="FFFF0000"/>
      </top>
      <bottom/>
      <diagonal/>
    </border>
    <border>
      <left/>
      <right style="thick">
        <color indexed="64"/>
      </right>
      <top style="thin">
        <color theme="0" tint="-0.14999847407452621"/>
      </top>
      <bottom/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indexed="64"/>
      </left>
      <right style="medium">
        <color indexed="64"/>
      </right>
      <top style="medium">
        <color rgb="FFFF0000"/>
      </top>
      <bottom style="medium">
        <color rgb="FFFF0000"/>
      </bottom>
      <diagonal/>
    </border>
    <border>
      <left style="medium">
        <color indexed="64"/>
      </left>
      <right style="thick">
        <color indexed="64"/>
      </right>
      <top style="medium">
        <color rgb="FFFF0000"/>
      </top>
      <bottom style="medium">
        <color rgb="FFFF0000"/>
      </bottom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 style="medium">
        <color rgb="FFFF0000"/>
      </top>
      <bottom/>
      <diagonal/>
    </border>
    <border>
      <left style="thick">
        <color indexed="64"/>
      </left>
      <right style="medium">
        <color indexed="64"/>
      </right>
      <top/>
      <bottom style="medium">
        <color rgb="FFFF0000"/>
      </bottom>
      <diagonal/>
    </border>
    <border>
      <left style="thick">
        <color indexed="64"/>
      </left>
      <right style="medium">
        <color indexed="64"/>
      </right>
      <top style="medium">
        <color rgb="FFFF0000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medium">
        <color rgb="FFFF0000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n">
        <color indexed="64"/>
      </left>
      <right style="thick">
        <color indexed="64"/>
      </right>
      <top/>
      <bottom style="thin">
        <color theme="0" tint="-0.14999847407452621"/>
      </bottom>
      <diagonal/>
    </border>
    <border>
      <left style="thin">
        <color indexed="64"/>
      </left>
      <right style="thick">
        <color indexed="64"/>
      </right>
      <top style="medium">
        <color rgb="FFFF0000"/>
      </top>
      <bottom/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medium">
        <color rgb="FFFF0000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 style="thick">
        <color indexed="64"/>
      </right>
      <top style="medium">
        <color rgb="FFFF0000"/>
      </top>
      <bottom style="medium">
        <color rgb="FFFF0000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theme="0" tint="-0.14999847407452621"/>
      </right>
      <top/>
      <bottom/>
      <diagonal/>
    </border>
    <border>
      <left/>
      <right/>
      <top style="thin">
        <color theme="0" tint="-0.14999847407452621"/>
      </top>
      <bottom/>
      <diagonal/>
    </border>
    <border>
      <left style="medium">
        <color theme="1"/>
      </left>
      <right style="medium">
        <color indexed="64"/>
      </right>
      <top style="medium">
        <color theme="1"/>
      </top>
      <bottom style="medium">
        <color theme="1"/>
      </bottom>
      <diagonal/>
    </border>
    <border>
      <left/>
      <right style="medium">
        <color indexed="64"/>
      </right>
      <top style="medium">
        <color theme="1"/>
      </top>
      <bottom style="medium">
        <color theme="1"/>
      </bottom>
      <diagonal/>
    </border>
    <border>
      <left style="thin">
        <color indexed="64"/>
      </left>
      <right/>
      <top style="medium">
        <color theme="1"/>
      </top>
      <bottom style="medium">
        <color theme="1"/>
      </bottom>
      <diagonal/>
    </border>
    <border>
      <left style="medium">
        <color indexed="64"/>
      </left>
      <right style="medium">
        <color indexed="64"/>
      </right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 style="medium">
        <color indexed="64"/>
      </left>
      <right/>
      <top style="medium">
        <color theme="1"/>
      </top>
      <bottom style="medium">
        <color theme="1"/>
      </bottom>
      <diagonal/>
    </border>
    <border>
      <left style="thick">
        <color indexed="64"/>
      </left>
      <right style="thick">
        <color indexed="64"/>
      </right>
      <top style="medium">
        <color theme="1"/>
      </top>
      <bottom style="medium">
        <color theme="1"/>
      </bottom>
      <diagonal/>
    </border>
    <border>
      <left style="thick">
        <color indexed="64"/>
      </left>
      <right style="thin">
        <color indexed="64"/>
      </right>
      <top style="medium">
        <color theme="1"/>
      </top>
      <bottom style="medium">
        <color theme="1"/>
      </bottom>
      <diagonal/>
    </border>
    <border>
      <left/>
      <right style="thin">
        <color indexed="64"/>
      </right>
      <top style="medium">
        <color theme="1"/>
      </top>
      <bottom style="medium">
        <color theme="1"/>
      </bottom>
      <diagonal/>
    </border>
    <border>
      <left style="thin">
        <color indexed="64"/>
      </left>
      <right style="medium">
        <color indexed="64"/>
      </right>
      <top style="medium">
        <color theme="1"/>
      </top>
      <bottom style="medium">
        <color theme="1"/>
      </bottom>
      <diagonal/>
    </border>
    <border>
      <left style="medium">
        <color indexed="64"/>
      </left>
      <right style="thick">
        <color indexed="64"/>
      </right>
      <top style="medium">
        <color theme="1"/>
      </top>
      <bottom style="medium">
        <color theme="1"/>
      </bottom>
      <diagonal/>
    </border>
    <border>
      <left style="thick">
        <color indexed="64"/>
      </left>
      <right style="medium">
        <color indexed="64"/>
      </right>
      <top style="medium">
        <color theme="1"/>
      </top>
      <bottom style="medium">
        <color theme="1"/>
      </bottom>
      <diagonal/>
    </border>
    <border>
      <left style="medium">
        <color indexed="64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indexed="64"/>
      </left>
      <right style="thick">
        <color indexed="64"/>
      </right>
      <top style="medium">
        <color theme="1"/>
      </top>
      <bottom style="thin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medium">
        <color theme="1"/>
      </bottom>
      <diagonal/>
    </border>
    <border>
      <left style="medium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theme="1"/>
      </right>
      <top/>
      <bottom style="thin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medium">
        <color theme="1"/>
      </top>
      <bottom style="medium">
        <color theme="1"/>
      </bottom>
      <diagonal/>
    </border>
    <border>
      <left style="thin">
        <color indexed="64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/>
      <top/>
      <bottom style="thin">
        <color indexed="64"/>
      </bottom>
      <diagonal/>
    </border>
    <border>
      <left style="medium">
        <color theme="1"/>
      </left>
      <right/>
      <top style="thin">
        <color indexed="64"/>
      </top>
      <bottom style="thin">
        <color indexed="64"/>
      </bottom>
      <diagonal/>
    </border>
    <border>
      <left style="medium">
        <color theme="1"/>
      </left>
      <right/>
      <top style="thin">
        <color indexed="64"/>
      </top>
      <bottom/>
      <diagonal/>
    </border>
    <border>
      <left style="medium">
        <color theme="1"/>
      </left>
      <right/>
      <top style="medium">
        <color indexed="64"/>
      </top>
      <bottom style="medium">
        <color indexed="64"/>
      </bottom>
      <diagonal/>
    </border>
    <border>
      <left style="medium">
        <color theme="1"/>
      </left>
      <right/>
      <top style="medium">
        <color indexed="64"/>
      </top>
      <bottom style="medium">
        <color theme="1"/>
      </bottom>
      <diagonal/>
    </border>
    <border>
      <left style="medium">
        <color indexed="64"/>
      </left>
      <right style="medium">
        <color rgb="FFFF0000"/>
      </right>
      <top/>
      <bottom style="medium">
        <color rgb="FFFF0000"/>
      </bottom>
      <diagonal/>
    </border>
    <border>
      <left style="medium">
        <color rgb="FFFF0000"/>
      </left>
      <right style="medium">
        <color indexed="64"/>
      </right>
      <top style="medium">
        <color rgb="FFFF0000"/>
      </top>
      <bottom style="thin">
        <color indexed="64"/>
      </bottom>
      <diagonal/>
    </border>
    <border>
      <left style="medium">
        <color indexed="64"/>
      </left>
      <right style="medium">
        <color rgb="FFFF0000"/>
      </right>
      <top style="medium">
        <color rgb="FFFF0000"/>
      </top>
      <bottom style="thin">
        <color indexed="64"/>
      </bottom>
      <diagonal/>
    </border>
    <border>
      <left style="medium">
        <color indexed="64"/>
      </left>
      <right style="medium">
        <color rgb="FFFF0000"/>
      </right>
      <top style="thin">
        <color indexed="64"/>
      </top>
      <bottom style="medium">
        <color rgb="FFFF0000"/>
      </bottom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rgb="FFFF0000"/>
      </bottom>
      <diagonal/>
    </border>
    <border>
      <left style="medium">
        <color indexed="64"/>
      </left>
      <right style="thick">
        <color indexed="64"/>
      </right>
      <top style="thin">
        <color theme="1"/>
      </top>
      <bottom style="medium">
        <color rgb="FFFF0000"/>
      </bottom>
      <diagonal/>
    </border>
    <border>
      <left style="thick">
        <color indexed="64"/>
      </left>
      <right style="thick">
        <color indexed="64"/>
      </right>
      <top style="thin">
        <color theme="1"/>
      </top>
      <bottom style="medium">
        <color rgb="FFFF0000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theme="1"/>
      </bottom>
      <diagonal/>
    </border>
    <border>
      <left/>
      <right/>
      <top style="thin">
        <color indexed="64"/>
      </top>
      <bottom style="thin">
        <color theme="1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1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thin">
        <color theme="1"/>
      </bottom>
      <diagonal/>
    </border>
    <border>
      <left/>
      <right style="medium">
        <color indexed="64"/>
      </right>
      <top style="thin">
        <color indexed="64"/>
      </top>
      <bottom style="thin">
        <color theme="1"/>
      </bottom>
      <diagonal/>
    </border>
    <border>
      <left style="thick">
        <color indexed="64"/>
      </left>
      <right style="medium">
        <color indexed="64"/>
      </right>
      <top/>
      <bottom style="thin">
        <color theme="1"/>
      </bottom>
      <diagonal/>
    </border>
    <border>
      <left style="medium">
        <color indexed="64"/>
      </left>
      <right style="medium">
        <color indexed="64"/>
      </right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theme="1"/>
      </bottom>
      <diagonal/>
    </border>
    <border>
      <left style="thin">
        <color indexed="64"/>
      </left>
      <right style="medium">
        <color indexed="64"/>
      </right>
      <top/>
      <bottom style="thin">
        <color theme="1"/>
      </bottom>
      <diagonal/>
    </border>
    <border>
      <left style="medium">
        <color indexed="64"/>
      </left>
      <right style="thick">
        <color indexed="64"/>
      </right>
      <top/>
      <bottom style="thin">
        <color theme="1"/>
      </bottom>
      <diagonal/>
    </border>
    <border>
      <left/>
      <right style="medium">
        <color indexed="64"/>
      </right>
      <top/>
      <bottom style="thin">
        <color theme="1"/>
      </bottom>
      <diagonal/>
    </border>
    <border>
      <left style="medium">
        <color indexed="64"/>
      </left>
      <right style="medium">
        <color rgb="FFFF0000"/>
      </right>
      <top style="medium">
        <color rgb="FFFF0000"/>
      </top>
      <bottom/>
      <diagonal/>
    </border>
    <border>
      <left/>
      <right/>
      <top style="medium">
        <color rgb="FFFF0000"/>
      </top>
      <bottom/>
      <diagonal/>
    </border>
    <border>
      <left/>
      <right style="thick">
        <color indexed="64"/>
      </right>
      <top style="medium">
        <color rgb="FFFF0000"/>
      </top>
      <bottom/>
      <diagonal/>
    </border>
    <border>
      <left style="thick">
        <color indexed="64"/>
      </left>
      <right style="thick">
        <color indexed="64"/>
      </right>
      <top style="medium">
        <color rgb="FFFF0000"/>
      </top>
      <bottom/>
      <diagonal/>
    </border>
    <border>
      <left style="medium">
        <color rgb="FFFF0000"/>
      </left>
      <right style="medium">
        <color indexed="64"/>
      </right>
      <top style="thin">
        <color indexed="64"/>
      </top>
      <bottom style="medium">
        <color rgb="FFFF0000"/>
      </bottom>
      <diagonal/>
    </border>
    <border>
      <left style="medium">
        <color theme="1"/>
      </left>
      <right style="medium">
        <color indexed="64"/>
      </right>
      <top style="medium">
        <color theme="1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theme="1"/>
      </top>
      <bottom style="medium">
        <color theme="1"/>
      </bottom>
      <diagonal/>
    </border>
    <border>
      <left/>
      <right style="thick">
        <color indexed="64"/>
      </right>
      <top/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thick">
        <color indexed="64"/>
      </left>
      <right/>
      <top/>
      <bottom style="thin">
        <color theme="1"/>
      </bottom>
      <diagonal/>
    </border>
    <border>
      <left/>
      <right style="thick">
        <color indexed="64"/>
      </right>
      <top style="medium">
        <color theme="1"/>
      </top>
      <bottom style="medium">
        <color theme="1"/>
      </bottom>
      <diagonal/>
    </border>
    <border>
      <left/>
      <right style="thick">
        <color indexed="64"/>
      </right>
      <top style="thin">
        <color indexed="64"/>
      </top>
      <bottom style="thin">
        <color theme="1"/>
      </bottom>
      <diagonal/>
    </border>
    <border>
      <left/>
      <right style="thin">
        <color indexed="64"/>
      </right>
      <top/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/>
      <right/>
      <top style="medium">
        <color indexed="64"/>
      </top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 style="medium">
        <color indexed="64"/>
      </left>
      <right/>
      <top style="thin">
        <color indexed="64"/>
      </top>
      <bottom style="thin">
        <color theme="1"/>
      </bottom>
      <diagonal/>
    </border>
    <border>
      <left style="medium">
        <color indexed="64"/>
      </left>
      <right/>
      <top/>
      <bottom style="thin">
        <color theme="1"/>
      </bottom>
      <diagonal/>
    </border>
    <border>
      <left/>
      <right/>
      <top style="medium">
        <color theme="1"/>
      </top>
      <bottom/>
      <diagonal/>
    </border>
    <border>
      <left style="medium">
        <color indexed="64"/>
      </left>
      <right/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rgb="FFFF0000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/>
      <diagonal/>
    </border>
    <border>
      <left style="medium">
        <color indexed="64"/>
      </left>
      <right style="thin">
        <color theme="1"/>
      </right>
      <top style="thin">
        <color indexed="64"/>
      </top>
      <bottom style="medium">
        <color rgb="FFFF0000"/>
      </bottom>
      <diagonal/>
    </border>
    <border>
      <left style="medium">
        <color indexed="64"/>
      </left>
      <right style="thin">
        <color theme="1"/>
      </right>
      <top style="medium">
        <color rgb="FFFF0000"/>
      </top>
      <bottom/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/>
      <bottom style="medium">
        <color rgb="FFFF0000"/>
      </bottom>
      <diagonal/>
    </border>
    <border>
      <left/>
      <right style="thin">
        <color theme="1"/>
      </right>
      <top/>
      <bottom style="thin">
        <color indexed="64"/>
      </bottom>
      <diagonal/>
    </border>
    <border>
      <left/>
      <right style="thin">
        <color theme="1"/>
      </right>
      <top style="thin">
        <color indexed="64"/>
      </top>
      <bottom style="thin">
        <color indexed="64"/>
      </bottom>
      <diagonal/>
    </border>
    <border>
      <left/>
      <right style="thin">
        <color theme="1"/>
      </right>
      <top/>
      <bottom/>
      <diagonal/>
    </border>
    <border>
      <left/>
      <right style="thin">
        <color theme="1"/>
      </right>
      <top style="medium">
        <color rgb="FFFF0000"/>
      </top>
      <bottom style="thin">
        <color indexed="64"/>
      </bottom>
      <diagonal/>
    </border>
    <border>
      <left/>
      <right style="thin">
        <color theme="1"/>
      </right>
      <top style="thin">
        <color indexed="64"/>
      </top>
      <bottom style="thin">
        <color theme="1"/>
      </bottom>
      <diagonal/>
    </border>
    <border>
      <left/>
      <right style="thin">
        <color theme="1"/>
      </right>
      <top/>
      <bottom style="medium">
        <color rgb="FFFF0000"/>
      </bottom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medium">
        <color rgb="FFFF0000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medium">
        <color rgb="FFFF0000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indexed="64"/>
      </top>
      <bottom style="medium">
        <color rgb="FFFF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 style="thick">
        <color theme="1"/>
      </left>
      <right style="thick">
        <color theme="1"/>
      </right>
      <top style="thick">
        <color theme="1"/>
      </top>
      <bottom style="thick">
        <color theme="1"/>
      </bottom>
      <diagonal/>
    </border>
    <border>
      <left/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theme="2" tint="-9.9978637043366805E-2"/>
      </left>
      <right style="thin">
        <color theme="2" tint="-9.9978637043366805E-2"/>
      </right>
      <top/>
      <bottom style="thin">
        <color theme="2" tint="-9.9978637043366805E-2"/>
      </bottom>
      <diagonal/>
    </border>
    <border>
      <left/>
      <right style="thin">
        <color indexed="64"/>
      </right>
      <top style="thick">
        <color theme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theme="1"/>
      </top>
      <bottom style="medium">
        <color indexed="64"/>
      </bottom>
      <diagonal/>
    </border>
    <border>
      <left style="thin">
        <color indexed="64"/>
      </left>
      <right style="thick">
        <color theme="1"/>
      </right>
      <top style="thick">
        <color theme="1"/>
      </top>
      <bottom style="medium">
        <color indexed="64"/>
      </bottom>
      <diagonal/>
    </border>
    <border>
      <left style="thick">
        <color theme="1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theme="1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theme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theme="1"/>
      </right>
      <top/>
      <bottom style="thin">
        <color indexed="64"/>
      </bottom>
      <diagonal/>
    </border>
    <border>
      <left style="thin">
        <color indexed="64"/>
      </left>
      <right style="thick">
        <color theme="1"/>
      </right>
      <top style="thin">
        <color indexed="64"/>
      </top>
      <bottom/>
      <diagonal/>
    </border>
    <border>
      <left/>
      <right style="thick">
        <color theme="1"/>
      </right>
      <top style="medium">
        <color rgb="FFFF0000"/>
      </top>
      <bottom style="thin">
        <color indexed="64"/>
      </bottom>
      <diagonal/>
    </border>
    <border>
      <left/>
      <right style="thick">
        <color theme="1"/>
      </right>
      <top/>
      <bottom style="medium">
        <color rgb="FFFF0000"/>
      </bottom>
      <diagonal/>
    </border>
    <border>
      <left style="thin">
        <color indexed="64"/>
      </left>
      <right style="thick">
        <color theme="1"/>
      </right>
      <top/>
      <bottom style="medium">
        <color indexed="64"/>
      </bottom>
      <diagonal/>
    </border>
    <border>
      <left/>
      <right style="thick">
        <color theme="1"/>
      </right>
      <top/>
      <bottom/>
      <diagonal/>
    </border>
    <border>
      <left/>
      <right style="thick">
        <color theme="1"/>
      </right>
      <top style="medium">
        <color theme="1"/>
      </top>
      <bottom style="medium">
        <color theme="1"/>
      </bottom>
      <diagonal/>
    </border>
    <border>
      <left/>
      <right style="thick">
        <color theme="1"/>
      </right>
      <top/>
      <bottom style="thin">
        <color indexed="64"/>
      </bottom>
      <diagonal/>
    </border>
    <border>
      <left/>
      <right style="thick">
        <color theme="1"/>
      </right>
      <top style="thin">
        <color indexed="64"/>
      </top>
      <bottom/>
      <diagonal/>
    </border>
    <border>
      <left/>
      <right style="thick">
        <color theme="1"/>
      </right>
      <top style="thin">
        <color indexed="64"/>
      </top>
      <bottom style="thin">
        <color indexed="64"/>
      </bottom>
      <diagonal/>
    </border>
    <border>
      <left/>
      <right style="thick">
        <color theme="1"/>
      </right>
      <top style="thin">
        <color indexed="64"/>
      </top>
      <bottom style="thin">
        <color theme="1"/>
      </bottom>
      <diagonal/>
    </border>
    <border>
      <left/>
      <right style="thick">
        <color theme="1"/>
      </right>
      <top style="thin">
        <color indexed="64"/>
      </top>
      <bottom style="medium">
        <color rgb="FFFF0000"/>
      </bottom>
      <diagonal/>
    </border>
    <border>
      <left style="medium">
        <color indexed="64"/>
      </left>
      <right style="thick">
        <color theme="1"/>
      </right>
      <top style="medium">
        <color indexed="64"/>
      </top>
      <bottom style="medium">
        <color theme="1"/>
      </bottom>
      <diagonal/>
    </border>
    <border>
      <left style="medium">
        <color indexed="64"/>
      </left>
      <right style="thick">
        <color theme="1"/>
      </right>
      <top/>
      <bottom style="thin">
        <color indexed="64"/>
      </bottom>
      <diagonal/>
    </border>
    <border>
      <left style="medium">
        <color indexed="64"/>
      </left>
      <right style="thick">
        <color theme="1"/>
      </right>
      <top style="thin">
        <color indexed="64"/>
      </top>
      <bottom/>
      <diagonal/>
    </border>
    <border>
      <left style="medium">
        <color indexed="64"/>
      </left>
      <right style="thick">
        <color theme="1"/>
      </right>
      <top style="medium">
        <color rgb="FFFF0000"/>
      </top>
      <bottom style="thin">
        <color indexed="64"/>
      </bottom>
      <diagonal/>
    </border>
    <border>
      <left style="medium">
        <color indexed="64"/>
      </left>
      <right style="thick">
        <color theme="1"/>
      </right>
      <top style="thin">
        <color indexed="64"/>
      </top>
      <bottom style="medium">
        <color rgb="FFFF0000"/>
      </bottom>
      <diagonal/>
    </border>
    <border>
      <left style="medium">
        <color indexed="64"/>
      </left>
      <right style="thick">
        <color theme="1"/>
      </right>
      <top/>
      <bottom style="thin">
        <color theme="1"/>
      </bottom>
      <diagonal/>
    </border>
    <border>
      <left style="medium">
        <color indexed="64"/>
      </left>
      <right style="thick">
        <color theme="1"/>
      </right>
      <top/>
      <bottom/>
      <diagonal/>
    </border>
    <border>
      <left style="medium">
        <color indexed="64"/>
      </left>
      <right style="thick">
        <color theme="1"/>
      </right>
      <top/>
      <bottom style="medium">
        <color rgb="FFFF0000"/>
      </bottom>
      <diagonal/>
    </border>
    <border>
      <left style="medium">
        <color indexed="64"/>
      </left>
      <right style="thick">
        <color theme="1"/>
      </right>
      <top/>
      <bottom style="medium">
        <color indexed="64"/>
      </bottom>
      <diagonal/>
    </border>
    <border>
      <left/>
      <right style="thick">
        <color theme="1"/>
      </right>
      <top/>
      <bottom style="medium">
        <color indexed="64"/>
      </bottom>
      <diagonal/>
    </border>
    <border>
      <left style="thin">
        <color indexed="64"/>
      </left>
      <right style="thick">
        <color theme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theme="1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theme="1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theme="1"/>
      </right>
      <top/>
      <bottom/>
      <diagonal/>
    </border>
    <border>
      <left style="thin">
        <color indexed="64"/>
      </left>
      <right style="thick">
        <color theme="1"/>
      </right>
      <top style="medium">
        <color rgb="FFFF0000"/>
      </top>
      <bottom style="thin">
        <color indexed="64"/>
      </bottom>
      <diagonal/>
    </border>
    <border>
      <left style="thin">
        <color indexed="64"/>
      </left>
      <right style="thick">
        <color theme="1"/>
      </right>
      <top style="thin">
        <color indexed="64"/>
      </top>
      <bottom style="medium">
        <color rgb="FFFF0000"/>
      </bottom>
      <diagonal/>
    </border>
    <border>
      <left style="thin">
        <color indexed="64"/>
      </left>
      <right style="thick">
        <color theme="1"/>
      </right>
      <top/>
      <bottom style="medium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theme="1"/>
      </bottom>
      <diagonal/>
    </border>
    <border>
      <left style="thin">
        <color indexed="64"/>
      </left>
      <right/>
      <top style="thin">
        <color indexed="64"/>
      </top>
      <bottom style="thick">
        <color theme="1"/>
      </bottom>
      <diagonal/>
    </border>
    <border>
      <left style="thin">
        <color indexed="64"/>
      </left>
      <right style="thick">
        <color theme="1"/>
      </right>
      <top style="thin">
        <color indexed="64"/>
      </top>
      <bottom style="thick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/>
      <diagonal/>
    </border>
    <border>
      <left style="medium">
        <color theme="1"/>
      </left>
      <right style="thin">
        <color indexed="64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theme="1"/>
      </right>
      <top/>
      <bottom style="thin">
        <color indexed="64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theme="1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/>
      <diagonal/>
    </border>
    <border>
      <left style="medium">
        <color theme="1"/>
      </left>
      <right style="medium">
        <color theme="1"/>
      </right>
      <top/>
      <bottom style="thin">
        <color indexed="64"/>
      </bottom>
      <diagonal/>
    </border>
    <border>
      <left style="medium">
        <color theme="1"/>
      </left>
      <right style="medium">
        <color theme="1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/>
      <top style="medium">
        <color indexed="64"/>
      </top>
      <bottom/>
      <diagonal/>
    </border>
    <border>
      <left style="medium">
        <color theme="1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theme="1"/>
      </right>
      <top style="medium">
        <color indexed="64"/>
      </top>
      <bottom/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 style="medium">
        <color indexed="64"/>
      </left>
      <right style="medium">
        <color indexed="64"/>
      </right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 style="thin">
        <color indexed="64"/>
      </right>
      <top style="medium">
        <color theme="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theme="1"/>
      </bottom>
      <diagonal/>
    </border>
    <border>
      <left style="thick">
        <color indexed="64"/>
      </left>
      <right/>
      <top style="medium">
        <color rgb="FFFF0000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/>
      <diagonal/>
    </border>
    <border>
      <left style="medium">
        <color theme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indexed="64"/>
      </bottom>
      <diagonal/>
    </border>
    <border>
      <left/>
      <right style="medium">
        <color theme="1"/>
      </right>
      <top style="medium">
        <color indexed="64"/>
      </top>
      <bottom style="medium">
        <color indexed="64"/>
      </bottom>
      <diagonal/>
    </border>
    <border>
      <left style="thick">
        <color theme="1"/>
      </left>
      <right style="thin">
        <color indexed="64"/>
      </right>
      <top style="thick">
        <color theme="1"/>
      </top>
      <bottom style="medium">
        <color indexed="64"/>
      </bottom>
      <diagonal/>
    </border>
    <border>
      <left style="thick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theme="1"/>
      </left>
      <right style="thin">
        <color indexed="64"/>
      </right>
      <top/>
      <bottom style="thin">
        <color indexed="64"/>
      </bottom>
      <diagonal/>
    </border>
    <border>
      <left style="thick">
        <color theme="1"/>
      </left>
      <right style="thin">
        <color indexed="64"/>
      </right>
      <top style="thin">
        <color indexed="64"/>
      </top>
      <bottom/>
      <diagonal/>
    </border>
    <border>
      <left style="thick">
        <color theme="1"/>
      </left>
      <right style="thin">
        <color indexed="64"/>
      </right>
      <top style="medium">
        <color rgb="FFFF0000"/>
      </top>
      <bottom style="thin">
        <color indexed="64"/>
      </bottom>
      <diagonal/>
    </border>
    <border>
      <left style="thick">
        <color theme="1"/>
      </left>
      <right style="thin">
        <color indexed="64"/>
      </right>
      <top/>
      <bottom style="medium">
        <color rgb="FFFF0000"/>
      </bottom>
      <diagonal/>
    </border>
    <border>
      <left style="thick">
        <color theme="1"/>
      </left>
      <right style="thin">
        <color indexed="64"/>
      </right>
      <top/>
      <bottom style="medium">
        <color indexed="64"/>
      </bottom>
      <diagonal/>
    </border>
    <border>
      <left style="thick">
        <color theme="1"/>
      </left>
      <right/>
      <top/>
      <bottom/>
      <diagonal/>
    </border>
    <border>
      <left style="thick">
        <color theme="1"/>
      </left>
      <right style="thin">
        <color indexed="64"/>
      </right>
      <top style="medium">
        <color theme="1"/>
      </top>
      <bottom style="medium">
        <color theme="1"/>
      </bottom>
      <diagonal/>
    </border>
    <border>
      <left style="thick">
        <color theme="1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ck">
        <color theme="1"/>
      </left>
      <right style="thin">
        <color indexed="64"/>
      </right>
      <top/>
      <bottom/>
      <diagonal/>
    </border>
    <border>
      <left style="thick">
        <color theme="1"/>
      </left>
      <right style="thin">
        <color indexed="64"/>
      </right>
      <top style="thin">
        <color indexed="64"/>
      </top>
      <bottom style="medium">
        <color rgb="FFFF0000"/>
      </bottom>
      <diagonal/>
    </border>
    <border>
      <left style="thick">
        <color theme="1"/>
      </left>
      <right/>
      <top style="thin">
        <color indexed="64"/>
      </top>
      <bottom style="medium">
        <color rgb="FFFF0000"/>
      </bottom>
      <diagonal/>
    </border>
    <border>
      <left style="thick">
        <color theme="1"/>
      </left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thick">
        <color theme="1"/>
      </left>
      <right style="medium">
        <color indexed="64"/>
      </right>
      <top/>
      <bottom/>
      <diagonal/>
    </border>
    <border>
      <left style="thick">
        <color theme="1"/>
      </left>
      <right style="medium">
        <color indexed="64"/>
      </right>
      <top style="thin">
        <color indexed="64"/>
      </top>
      <bottom style="medium">
        <color rgb="FFFF0000"/>
      </bottom>
      <diagonal/>
    </border>
    <border>
      <left style="thick">
        <color theme="1"/>
      </left>
      <right style="medium">
        <color indexed="64"/>
      </right>
      <top style="medium">
        <color rgb="FFFF0000"/>
      </top>
      <bottom style="thin">
        <color indexed="64"/>
      </bottom>
      <diagonal/>
    </border>
    <border>
      <left style="thick">
        <color theme="1"/>
      </left>
      <right style="medium">
        <color indexed="64"/>
      </right>
      <top/>
      <bottom style="medium">
        <color rgb="FFFF0000"/>
      </bottom>
      <diagonal/>
    </border>
    <border>
      <left style="thick">
        <color theme="1"/>
      </left>
      <right style="medium">
        <color indexed="64"/>
      </right>
      <top/>
      <bottom style="thin">
        <color indexed="64"/>
      </bottom>
      <diagonal/>
    </border>
    <border>
      <left style="thick">
        <color theme="1"/>
      </left>
      <right style="medium">
        <color indexed="64"/>
      </right>
      <top/>
      <bottom style="medium">
        <color indexed="64"/>
      </bottom>
      <diagonal/>
    </border>
    <border>
      <left style="thick">
        <color theme="1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n">
        <color theme="1"/>
      </top>
      <bottom style="thin">
        <color indexed="64"/>
      </bottom>
      <diagonal/>
    </border>
    <border>
      <left style="thick">
        <color theme="1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ck">
        <color theme="1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ck">
        <color theme="1"/>
      </left>
      <right style="thin">
        <color indexed="64"/>
      </right>
      <top style="thin">
        <color indexed="64"/>
      </top>
      <bottom style="thick">
        <color theme="1"/>
      </bottom>
      <diagonal/>
    </border>
    <border>
      <left style="thick">
        <color rgb="FFFF0000"/>
      </left>
      <right/>
      <top style="thick">
        <color rgb="FFFF0000"/>
      </top>
      <bottom style="thick">
        <color rgb="FFFF0000"/>
      </bottom>
      <diagonal/>
    </border>
    <border>
      <left/>
      <right/>
      <top style="thick">
        <color rgb="FFFF0000"/>
      </top>
      <bottom style="thick">
        <color rgb="FFFF0000"/>
      </bottom>
      <diagonal/>
    </border>
    <border>
      <left/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 style="thick">
        <color rgb="FFFF0000"/>
      </left>
      <right/>
      <top/>
      <bottom style="medium">
        <color rgb="FFFF0000"/>
      </bottom>
      <diagonal/>
    </border>
    <border>
      <left style="medium">
        <color rgb="FFFF0000"/>
      </left>
      <right style="medium">
        <color rgb="FFFF0000"/>
      </right>
      <top/>
      <bottom style="medium">
        <color rgb="FFFF0000"/>
      </bottom>
      <diagonal/>
    </border>
    <border>
      <left/>
      <right style="thick">
        <color rgb="FFFF0000"/>
      </right>
      <top/>
      <bottom style="medium">
        <color rgb="FFFF0000"/>
      </bottom>
      <diagonal/>
    </border>
    <border>
      <left style="thick">
        <color rgb="FFFF0000"/>
      </left>
      <right style="thick">
        <color rgb="FFFF0000"/>
      </right>
      <top/>
      <bottom/>
      <diagonal/>
    </border>
    <border>
      <left style="medium">
        <color rgb="FFFF0000"/>
      </left>
      <right/>
      <top style="medium">
        <color rgb="FFFF0000"/>
      </top>
      <bottom style="medium">
        <color rgb="FFFF0000"/>
      </bottom>
      <diagonal/>
    </border>
    <border>
      <left style="thick">
        <color rgb="FFFF0000"/>
      </left>
      <right style="thick">
        <color rgb="FFFF0000"/>
      </right>
      <top style="medium">
        <color rgb="FFFF0000"/>
      </top>
      <bottom style="medium">
        <color rgb="FFFF0000"/>
      </bottom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/>
      <right/>
      <top/>
      <bottom style="thick">
        <color rgb="FFFF0000"/>
      </bottom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theme="1"/>
      </left>
      <right style="medium">
        <color theme="1"/>
      </right>
      <top/>
      <bottom/>
      <diagonal/>
    </border>
    <border>
      <left/>
      <right style="medium">
        <color theme="1"/>
      </right>
      <top/>
      <bottom style="medium">
        <color theme="1"/>
      </bottom>
      <diagonal/>
    </border>
    <border>
      <left/>
      <right/>
      <top/>
      <bottom style="double">
        <color indexed="64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thin">
        <color indexed="64"/>
      </right>
      <top/>
      <bottom/>
      <diagonal/>
    </border>
    <border>
      <left style="medium">
        <color theme="1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2" fillId="0" borderId="0"/>
  </cellStyleXfs>
  <cellXfs count="2766">
    <xf numFmtId="0" fontId="0" fillId="0" borderId="0" xfId="0"/>
    <xf numFmtId="0" fontId="0" fillId="2" borderId="0" xfId="0" applyFill="1"/>
    <xf numFmtId="0" fontId="3" fillId="0" borderId="1" xfId="0" applyFont="1" applyBorder="1"/>
    <xf numFmtId="0" fontId="4" fillId="0" borderId="2" xfId="0" applyFont="1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4" fillId="0" borderId="3" xfId="0" applyFont="1" applyBorder="1" applyAlignment="1">
      <alignment horizontal="center"/>
    </xf>
    <xf numFmtId="0" fontId="0" fillId="3" borderId="0" xfId="0" applyFill="1"/>
    <xf numFmtId="0" fontId="2" fillId="4" borderId="5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0" fontId="2" fillId="4" borderId="7" xfId="0" applyFont="1" applyFill="1" applyBorder="1" applyAlignment="1">
      <alignment horizontal="center"/>
    </xf>
    <xf numFmtId="0" fontId="2" fillId="4" borderId="8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4" borderId="9" xfId="0" applyFont="1" applyFill="1" applyBorder="1" applyAlignment="1">
      <alignment horizontal="center"/>
    </xf>
    <xf numFmtId="0" fontId="2" fillId="4" borderId="10" xfId="0" applyFont="1" applyFill="1" applyBorder="1" applyAlignment="1">
      <alignment horizontal="center"/>
    </xf>
    <xf numFmtId="0" fontId="0" fillId="5" borderId="11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5" borderId="15" xfId="0" applyFill="1" applyBorder="1" applyAlignment="1">
      <alignment horizontal="center"/>
    </xf>
    <xf numFmtId="0" fontId="0" fillId="3" borderId="16" xfId="0" applyFill="1" applyBorder="1" applyAlignment="1">
      <alignment horizontal="center"/>
    </xf>
    <xf numFmtId="0" fontId="0" fillId="3" borderId="17" xfId="0" applyFill="1" applyBorder="1" applyAlignment="1">
      <alignment horizontal="center"/>
    </xf>
    <xf numFmtId="0" fontId="0" fillId="3" borderId="18" xfId="0" applyFill="1" applyBorder="1" applyAlignment="1">
      <alignment horizontal="center"/>
    </xf>
    <xf numFmtId="0" fontId="0" fillId="3" borderId="19" xfId="0" applyFill="1" applyBorder="1" applyAlignment="1">
      <alignment horizontal="center"/>
    </xf>
    <xf numFmtId="0" fontId="5" fillId="5" borderId="20" xfId="0" applyFont="1" applyFill="1" applyBorder="1" applyAlignment="1">
      <alignment horizontal="center"/>
    </xf>
    <xf numFmtId="0" fontId="5" fillId="3" borderId="17" xfId="0" applyFont="1" applyFill="1" applyBorder="1" applyAlignment="1">
      <alignment horizontal="center"/>
    </xf>
    <xf numFmtId="0" fontId="5" fillId="3" borderId="19" xfId="0" applyFont="1" applyFill="1" applyBorder="1" applyAlignment="1">
      <alignment horizontal="center"/>
    </xf>
    <xf numFmtId="0" fontId="5" fillId="3" borderId="21" xfId="0" applyFont="1" applyFill="1" applyBorder="1" applyAlignment="1">
      <alignment horizontal="center"/>
    </xf>
    <xf numFmtId="0" fontId="5" fillId="5" borderId="21" xfId="0" applyFont="1" applyFill="1" applyBorder="1" applyAlignment="1">
      <alignment horizontal="center"/>
    </xf>
    <xf numFmtId="1" fontId="0" fillId="3" borderId="22" xfId="0" applyNumberFormat="1" applyFill="1" applyBorder="1" applyAlignment="1">
      <alignment horizontal="center"/>
    </xf>
    <xf numFmtId="0" fontId="5" fillId="3" borderId="23" xfId="0" applyFont="1" applyFill="1" applyBorder="1" applyAlignment="1">
      <alignment horizontal="center"/>
    </xf>
    <xf numFmtId="0" fontId="0" fillId="3" borderId="23" xfId="0" applyFill="1" applyBorder="1" applyAlignment="1">
      <alignment horizontal="center"/>
    </xf>
    <xf numFmtId="0" fontId="5" fillId="3" borderId="24" xfId="0" applyFont="1" applyFill="1" applyBorder="1" applyAlignment="1">
      <alignment horizontal="center"/>
    </xf>
    <xf numFmtId="0" fontId="5" fillId="3" borderId="25" xfId="0" applyFont="1" applyFill="1" applyBorder="1" applyAlignment="1">
      <alignment horizontal="center"/>
    </xf>
    <xf numFmtId="0" fontId="5" fillId="5" borderId="26" xfId="0" applyFont="1" applyFill="1" applyBorder="1" applyAlignment="1">
      <alignment horizontal="center"/>
    </xf>
    <xf numFmtId="0" fontId="0" fillId="5" borderId="27" xfId="0" applyFill="1" applyBorder="1" applyAlignment="1">
      <alignment horizontal="center"/>
    </xf>
    <xf numFmtId="1" fontId="0" fillId="3" borderId="28" xfId="0" applyNumberFormat="1" applyFill="1" applyBorder="1" applyAlignment="1">
      <alignment horizontal="center"/>
    </xf>
    <xf numFmtId="1" fontId="0" fillId="3" borderId="29" xfId="0" applyNumberFormat="1" applyFill="1" applyBorder="1" applyAlignment="1">
      <alignment horizontal="center"/>
    </xf>
    <xf numFmtId="1" fontId="0" fillId="3" borderId="30" xfId="0" applyNumberFormat="1" applyFill="1" applyBorder="1" applyAlignment="1">
      <alignment horizontal="center"/>
    </xf>
    <xf numFmtId="0" fontId="5" fillId="3" borderId="15" xfId="0" applyFont="1" applyFill="1" applyBorder="1" applyAlignment="1">
      <alignment horizontal="center"/>
    </xf>
    <xf numFmtId="0" fontId="0" fillId="3" borderId="22" xfId="0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5" borderId="21" xfId="0" applyFill="1" applyBorder="1" applyAlignment="1">
      <alignment horizontal="center"/>
    </xf>
    <xf numFmtId="1" fontId="0" fillId="3" borderId="23" xfId="0" applyNumberForma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2" borderId="31" xfId="0" applyFill="1" applyBorder="1" applyAlignment="1">
      <alignment horizontal="center"/>
    </xf>
    <xf numFmtId="0" fontId="0" fillId="2" borderId="32" xfId="0" applyFill="1" applyBorder="1" applyAlignment="1">
      <alignment horizontal="center"/>
    </xf>
    <xf numFmtId="0" fontId="0" fillId="2" borderId="32" xfId="0" applyFill="1" applyBorder="1"/>
    <xf numFmtId="1" fontId="0" fillId="0" borderId="22" xfId="0" applyNumberFormat="1" applyBorder="1" applyAlignment="1">
      <alignment horizontal="center"/>
    </xf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2" fillId="4" borderId="33" xfId="0" applyFont="1" applyFill="1" applyBorder="1" applyAlignment="1">
      <alignment horizontal="center"/>
    </xf>
    <xf numFmtId="0" fontId="2" fillId="4" borderId="34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4" borderId="35" xfId="0" applyFont="1" applyFill="1" applyBorder="1" applyAlignment="1">
      <alignment horizontal="center"/>
    </xf>
    <xf numFmtId="0" fontId="5" fillId="8" borderId="14" xfId="0" applyFont="1" applyFill="1" applyBorder="1" applyAlignment="1">
      <alignment horizontal="center"/>
    </xf>
    <xf numFmtId="1" fontId="0" fillId="3" borderId="34" xfId="0" applyNumberFormat="1" applyFill="1" applyBorder="1" applyAlignment="1">
      <alignment horizontal="center"/>
    </xf>
    <xf numFmtId="0" fontId="5" fillId="3" borderId="36" xfId="0" applyFont="1" applyFill="1" applyBorder="1" applyAlignment="1">
      <alignment horizontal="center"/>
    </xf>
    <xf numFmtId="0" fontId="5" fillId="3" borderId="14" xfId="0" applyFont="1" applyFill="1" applyBorder="1" applyAlignment="1">
      <alignment horizontal="center"/>
    </xf>
    <xf numFmtId="0" fontId="5" fillId="5" borderId="37" xfId="0" applyFont="1" applyFill="1" applyBorder="1" applyAlignment="1">
      <alignment horizontal="center"/>
    </xf>
    <xf numFmtId="0" fontId="0" fillId="0" borderId="38" xfId="0" applyBorder="1"/>
    <xf numFmtId="0" fontId="0" fillId="0" borderId="30" xfId="0" applyBorder="1"/>
    <xf numFmtId="0" fontId="5" fillId="8" borderId="21" xfId="0" applyFont="1" applyFill="1" applyBorder="1" applyAlignment="1">
      <alignment horizontal="center"/>
    </xf>
    <xf numFmtId="1" fontId="0" fillId="3" borderId="39" xfId="0" applyNumberFormat="1" applyFill="1" applyBorder="1" applyAlignment="1">
      <alignment horizontal="center"/>
    </xf>
    <xf numFmtId="0" fontId="5" fillId="3" borderId="39" xfId="0" applyFont="1" applyFill="1" applyBorder="1" applyAlignment="1">
      <alignment horizontal="center"/>
    </xf>
    <xf numFmtId="0" fontId="5" fillId="3" borderId="40" xfId="0" applyFont="1" applyFill="1" applyBorder="1" applyAlignment="1">
      <alignment horizontal="center"/>
    </xf>
    <xf numFmtId="0" fontId="2" fillId="6" borderId="41" xfId="0" applyFont="1" applyFill="1" applyBorder="1" applyAlignment="1">
      <alignment horizontal="center"/>
    </xf>
    <xf numFmtId="0" fontId="5" fillId="8" borderId="42" xfId="0" applyFont="1" applyFill="1" applyBorder="1" applyAlignment="1">
      <alignment horizontal="center"/>
    </xf>
    <xf numFmtId="0" fontId="0" fillId="3" borderId="43" xfId="0" applyFill="1" applyBorder="1" applyAlignment="1">
      <alignment horizontal="center"/>
    </xf>
    <xf numFmtId="0" fontId="5" fillId="3" borderId="43" xfId="0" applyFont="1" applyFill="1" applyBorder="1" applyAlignment="1">
      <alignment horizontal="center"/>
    </xf>
    <xf numFmtId="0" fontId="0" fillId="2" borderId="44" xfId="0" applyFill="1" applyBorder="1"/>
    <xf numFmtId="1" fontId="0" fillId="7" borderId="1" xfId="0" applyNumberFormat="1" applyFill="1" applyBorder="1" applyAlignment="1">
      <alignment horizontal="center"/>
    </xf>
    <xf numFmtId="0" fontId="0" fillId="8" borderId="37" xfId="0" applyFill="1" applyBorder="1" applyAlignment="1">
      <alignment horizontal="center"/>
    </xf>
    <xf numFmtId="1" fontId="0" fillId="3" borderId="45" xfId="0" applyNumberFormat="1" applyFill="1" applyBorder="1" applyAlignment="1">
      <alignment horizontal="center"/>
    </xf>
    <xf numFmtId="0" fontId="5" fillId="3" borderId="45" xfId="0" applyFont="1" applyFill="1" applyBorder="1" applyAlignment="1">
      <alignment horizontal="center"/>
    </xf>
    <xf numFmtId="1" fontId="0" fillId="7" borderId="41" xfId="0" applyNumberFormat="1" applyFill="1" applyBorder="1" applyAlignment="1">
      <alignment horizontal="center"/>
    </xf>
    <xf numFmtId="0" fontId="0" fillId="7" borderId="46" xfId="0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2" fillId="2" borderId="47" xfId="0" applyFont="1" applyFill="1" applyBorder="1" applyAlignment="1">
      <alignment horizontal="center"/>
    </xf>
    <xf numFmtId="0" fontId="0" fillId="2" borderId="47" xfId="0" applyFill="1" applyBorder="1" applyAlignment="1">
      <alignment horizontal="center"/>
    </xf>
    <xf numFmtId="0" fontId="0" fillId="2" borderId="48" xfId="0" applyFill="1" applyBorder="1" applyAlignment="1">
      <alignment horizontal="center"/>
    </xf>
    <xf numFmtId="0" fontId="3" fillId="9" borderId="2" xfId="0" applyFont="1" applyFill="1" applyBorder="1" applyAlignment="1">
      <alignment horizontal="center"/>
    </xf>
    <xf numFmtId="165" fontId="3" fillId="9" borderId="3" xfId="1" applyNumberFormat="1" applyFont="1" applyFill="1" applyBorder="1" applyAlignment="1">
      <alignment horizontal="center"/>
    </xf>
    <xf numFmtId="165" fontId="3" fillId="9" borderId="4" xfId="1" applyNumberFormat="1" applyFont="1" applyFill="1" applyBorder="1" applyAlignment="1">
      <alignment horizontal="center"/>
    </xf>
    <xf numFmtId="165" fontId="0" fillId="2" borderId="0" xfId="0" applyNumberFormat="1" applyFill="1"/>
    <xf numFmtId="43" fontId="0" fillId="2" borderId="0" xfId="0" applyNumberFormat="1" applyFill="1"/>
    <xf numFmtId="0" fontId="6" fillId="2" borderId="0" xfId="0" applyFont="1" applyFill="1"/>
    <xf numFmtId="0" fontId="3" fillId="0" borderId="2" xfId="0" applyFont="1" applyBorder="1"/>
    <xf numFmtId="0" fontId="0" fillId="2" borderId="49" xfId="0" applyFill="1" applyBorder="1"/>
    <xf numFmtId="0" fontId="0" fillId="2" borderId="50" xfId="0" applyFill="1" applyBorder="1"/>
    <xf numFmtId="0" fontId="2" fillId="10" borderId="51" xfId="0" applyFont="1" applyFill="1" applyBorder="1"/>
    <xf numFmtId="0" fontId="2" fillId="10" borderId="41" xfId="0" applyFont="1" applyFill="1" applyBorder="1" applyAlignment="1">
      <alignment horizontal="center"/>
    </xf>
    <xf numFmtId="0" fontId="2" fillId="10" borderId="41" xfId="0" applyFont="1" applyFill="1" applyBorder="1"/>
    <xf numFmtId="0" fontId="3" fillId="10" borderId="33" xfId="0" applyFont="1" applyFill="1" applyBorder="1" applyAlignment="1">
      <alignment horizontal="center"/>
    </xf>
    <xf numFmtId="0" fontId="3" fillId="10" borderId="34" xfId="0" applyFont="1" applyFill="1" applyBorder="1" applyAlignment="1">
      <alignment horizontal="center"/>
    </xf>
    <xf numFmtId="0" fontId="3" fillId="10" borderId="4" xfId="0" applyFont="1" applyFill="1" applyBorder="1" applyAlignment="1">
      <alignment horizontal="center"/>
    </xf>
    <xf numFmtId="0" fontId="3" fillId="10" borderId="1" xfId="0" applyFont="1" applyFill="1" applyBorder="1" applyAlignment="1">
      <alignment horizontal="center"/>
    </xf>
    <xf numFmtId="0" fontId="3" fillId="10" borderId="52" xfId="0" applyFont="1" applyFill="1" applyBorder="1" applyAlignment="1">
      <alignment horizontal="center"/>
    </xf>
    <xf numFmtId="0" fontId="3" fillId="11" borderId="53" xfId="0" applyFont="1" applyFill="1" applyBorder="1" applyAlignment="1">
      <alignment horizontal="center"/>
    </xf>
    <xf numFmtId="0" fontId="3" fillId="11" borderId="9" xfId="0" applyFont="1" applyFill="1" applyBorder="1" applyAlignment="1">
      <alignment horizontal="center"/>
    </xf>
    <xf numFmtId="0" fontId="3" fillId="11" borderId="7" xfId="0" applyFont="1" applyFill="1" applyBorder="1" applyAlignment="1">
      <alignment horizontal="center"/>
    </xf>
    <xf numFmtId="0" fontId="3" fillId="11" borderId="1" xfId="0" applyFont="1" applyFill="1" applyBorder="1" applyAlignment="1">
      <alignment horizontal="center"/>
    </xf>
    <xf numFmtId="0" fontId="3" fillId="11" borderId="3" xfId="0" applyFont="1" applyFill="1" applyBorder="1" applyAlignment="1">
      <alignment horizontal="center"/>
    </xf>
    <xf numFmtId="0" fontId="0" fillId="3" borderId="11" xfId="0" applyFill="1" applyBorder="1"/>
    <xf numFmtId="0" fontId="7" fillId="12" borderId="14" xfId="0" applyFont="1" applyFill="1" applyBorder="1" applyAlignment="1">
      <alignment horizontal="center"/>
    </xf>
    <xf numFmtId="0" fontId="2" fillId="3" borderId="36" xfId="0" applyFont="1" applyFill="1" applyBorder="1" applyAlignment="1">
      <alignment horizontal="center"/>
    </xf>
    <xf numFmtId="0" fontId="8" fillId="3" borderId="14" xfId="0" applyFont="1" applyFill="1" applyBorder="1" applyAlignment="1">
      <alignment horizontal="center"/>
    </xf>
    <xf numFmtId="2" fontId="0" fillId="3" borderId="36" xfId="0" applyNumberFormat="1" applyFill="1" applyBorder="1" applyAlignment="1">
      <alignment horizontal="center"/>
    </xf>
    <xf numFmtId="0" fontId="0" fillId="3" borderId="54" xfId="0" applyFill="1" applyBorder="1" applyAlignment="1">
      <alignment horizontal="center"/>
    </xf>
    <xf numFmtId="0" fontId="0" fillId="3" borderId="55" xfId="0" applyFill="1" applyBorder="1" applyAlignment="1">
      <alignment horizontal="center"/>
    </xf>
    <xf numFmtId="0" fontId="0" fillId="11" borderId="12" xfId="0" applyFill="1" applyBorder="1" applyAlignment="1">
      <alignment horizontal="center"/>
    </xf>
    <xf numFmtId="0" fontId="0" fillId="3" borderId="16" xfId="0" applyFill="1" applyBorder="1"/>
    <xf numFmtId="0" fontId="0" fillId="3" borderId="17" xfId="0" applyFill="1" applyBorder="1"/>
    <xf numFmtId="0" fontId="0" fillId="3" borderId="13" xfId="0" applyFill="1" applyBorder="1"/>
    <xf numFmtId="0" fontId="0" fillId="11" borderId="16" xfId="0" applyFill="1" applyBorder="1"/>
    <xf numFmtId="0" fontId="0" fillId="11" borderId="56" xfId="0" applyFill="1" applyBorder="1"/>
    <xf numFmtId="0" fontId="0" fillId="11" borderId="56" xfId="0" applyFill="1" applyBorder="1" applyAlignment="1">
      <alignment horizontal="center"/>
    </xf>
    <xf numFmtId="0" fontId="0" fillId="3" borderId="56" xfId="0" applyFill="1" applyBorder="1"/>
    <xf numFmtId="0" fontId="0" fillId="11" borderId="40" xfId="0" applyFill="1" applyBorder="1"/>
    <xf numFmtId="0" fontId="0" fillId="11" borderId="16" xfId="0" applyFill="1" applyBorder="1" applyAlignment="1">
      <alignment horizontal="center"/>
    </xf>
    <xf numFmtId="0" fontId="0" fillId="3" borderId="20" xfId="0" applyFill="1" applyBorder="1"/>
    <xf numFmtId="0" fontId="0" fillId="3" borderId="19" xfId="0" applyFill="1" applyBorder="1"/>
    <xf numFmtId="0" fontId="0" fillId="3" borderId="57" xfId="0" applyFill="1" applyBorder="1"/>
    <xf numFmtId="0" fontId="0" fillId="3" borderId="21" xfId="0" applyFill="1" applyBorder="1"/>
    <xf numFmtId="0" fontId="7" fillId="12" borderId="15" xfId="0" applyFont="1" applyFill="1" applyBorder="1" applyAlignment="1">
      <alignment horizontal="center"/>
    </xf>
    <xf numFmtId="0" fontId="2" fillId="3" borderId="21" xfId="0" applyFont="1" applyFill="1" applyBorder="1" applyAlignment="1">
      <alignment horizontal="center"/>
    </xf>
    <xf numFmtId="0" fontId="8" fillId="3" borderId="21" xfId="0" applyFont="1" applyFill="1" applyBorder="1" applyAlignment="1">
      <alignment horizontal="center"/>
    </xf>
    <xf numFmtId="2" fontId="0" fillId="3" borderId="39" xfId="0" applyNumberFormat="1" applyFill="1" applyBorder="1" applyAlignment="1">
      <alignment horizontal="center"/>
    </xf>
    <xf numFmtId="0" fontId="0" fillId="3" borderId="21" xfId="0" applyFill="1" applyBorder="1" applyAlignment="1">
      <alignment horizontal="center"/>
    </xf>
    <xf numFmtId="0" fontId="8" fillId="3" borderId="39" xfId="0" applyFont="1" applyFill="1" applyBorder="1" applyAlignment="1">
      <alignment horizontal="center"/>
    </xf>
    <xf numFmtId="0" fontId="0" fillId="3" borderId="58" xfId="0" applyFill="1" applyBorder="1" applyAlignment="1">
      <alignment horizontal="center"/>
    </xf>
    <xf numFmtId="0" fontId="0" fillId="11" borderId="23" xfId="0" applyFill="1" applyBorder="1" applyAlignment="1">
      <alignment horizontal="center"/>
    </xf>
    <xf numFmtId="0" fontId="0" fillId="3" borderId="22" xfId="0" applyFill="1" applyBorder="1"/>
    <xf numFmtId="0" fontId="0" fillId="3" borderId="23" xfId="0" applyFill="1" applyBorder="1"/>
    <xf numFmtId="0" fontId="0" fillId="3" borderId="25" xfId="0" applyFill="1" applyBorder="1"/>
    <xf numFmtId="0" fontId="0" fillId="11" borderId="22" xfId="0" applyFill="1" applyBorder="1"/>
    <xf numFmtId="0" fontId="0" fillId="11" borderId="39" xfId="0" applyFill="1" applyBorder="1"/>
    <xf numFmtId="0" fontId="0" fillId="3" borderId="25" xfId="0" applyFill="1" applyBorder="1" applyAlignment="1">
      <alignment horizontal="center"/>
    </xf>
    <xf numFmtId="0" fontId="0" fillId="11" borderId="58" xfId="0" applyFill="1" applyBorder="1" applyAlignment="1">
      <alignment horizontal="center"/>
    </xf>
    <xf numFmtId="0" fontId="0" fillId="3" borderId="58" xfId="0" applyFill="1" applyBorder="1"/>
    <xf numFmtId="0" fontId="0" fillId="11" borderId="22" xfId="0" applyFill="1" applyBorder="1" applyAlignment="1">
      <alignment horizontal="center"/>
    </xf>
    <xf numFmtId="0" fontId="0" fillId="3" borderId="26" xfId="0" applyFill="1" applyBorder="1"/>
    <xf numFmtId="0" fontId="0" fillId="11" borderId="58" xfId="0" applyFill="1" applyBorder="1"/>
    <xf numFmtId="0" fontId="0" fillId="11" borderId="23" xfId="0" applyFill="1" applyBorder="1"/>
    <xf numFmtId="0" fontId="7" fillId="12" borderId="21" xfId="0" applyFont="1" applyFill="1" applyBorder="1" applyAlignment="1">
      <alignment horizontal="center"/>
    </xf>
    <xf numFmtId="0" fontId="0" fillId="11" borderId="24" xfId="0" applyFill="1" applyBorder="1"/>
    <xf numFmtId="166" fontId="0" fillId="3" borderId="40" xfId="0" applyNumberFormat="1" applyFill="1" applyBorder="1" applyAlignment="1">
      <alignment horizontal="center"/>
    </xf>
    <xf numFmtId="0" fontId="0" fillId="3" borderId="15" xfId="0" applyFill="1" applyBorder="1" applyAlignment="1">
      <alignment horizontal="center"/>
    </xf>
    <xf numFmtId="0" fontId="0" fillId="3" borderId="56" xfId="0" applyFill="1" applyBorder="1" applyAlignment="1">
      <alignment horizontal="center"/>
    </xf>
    <xf numFmtId="1" fontId="0" fillId="3" borderId="24" xfId="0" applyNumberFormat="1" applyFill="1" applyBorder="1" applyAlignment="1">
      <alignment horizontal="center"/>
    </xf>
    <xf numFmtId="0" fontId="0" fillId="3" borderId="20" xfId="0" applyFill="1" applyBorder="1" applyAlignment="1">
      <alignment horizontal="center"/>
    </xf>
    <xf numFmtId="0" fontId="0" fillId="11" borderId="17" xfId="0" applyFill="1" applyBorder="1" applyAlignment="1">
      <alignment horizontal="center"/>
    </xf>
    <xf numFmtId="0" fontId="2" fillId="3" borderId="59" xfId="0" applyFont="1" applyFill="1" applyBorder="1" applyAlignment="1">
      <alignment horizontal="center"/>
    </xf>
    <xf numFmtId="0" fontId="0" fillId="3" borderId="61" xfId="0" applyFill="1" applyBorder="1" applyAlignment="1">
      <alignment horizontal="center"/>
    </xf>
    <xf numFmtId="0" fontId="0" fillId="3" borderId="62" xfId="0" applyFill="1" applyBorder="1" applyAlignment="1">
      <alignment horizontal="center"/>
    </xf>
    <xf numFmtId="0" fontId="0" fillId="11" borderId="62" xfId="0" applyFill="1" applyBorder="1" applyAlignment="1">
      <alignment horizontal="center"/>
    </xf>
    <xf numFmtId="0" fontId="0" fillId="3" borderId="15" xfId="0" applyFill="1" applyBorder="1"/>
    <xf numFmtId="0" fontId="0" fillId="3" borderId="68" xfId="0" applyFill="1" applyBorder="1" applyAlignment="1">
      <alignment horizontal="center"/>
    </xf>
    <xf numFmtId="0" fontId="0" fillId="3" borderId="69" xfId="0" applyFill="1" applyBorder="1" applyAlignment="1">
      <alignment horizontal="center"/>
    </xf>
    <xf numFmtId="0" fontId="0" fillId="3" borderId="69" xfId="0" applyFill="1" applyBorder="1"/>
    <xf numFmtId="0" fontId="0" fillId="3" borderId="65" xfId="0" applyFill="1" applyBorder="1"/>
    <xf numFmtId="0" fontId="0" fillId="3" borderId="72" xfId="0" applyFill="1" applyBorder="1"/>
    <xf numFmtId="0" fontId="6" fillId="3" borderId="73" xfId="0" applyFont="1" applyFill="1" applyBorder="1"/>
    <xf numFmtId="0" fontId="8" fillId="3" borderId="73" xfId="0" applyFont="1" applyFill="1" applyBorder="1" applyAlignment="1">
      <alignment horizontal="center"/>
    </xf>
    <xf numFmtId="2" fontId="0" fillId="3" borderId="74" xfId="0" applyNumberFormat="1" applyFill="1" applyBorder="1" applyAlignment="1">
      <alignment horizontal="center"/>
    </xf>
    <xf numFmtId="0" fontId="0" fillId="3" borderId="73" xfId="0" applyFill="1" applyBorder="1" applyAlignment="1">
      <alignment horizontal="center"/>
    </xf>
    <xf numFmtId="0" fontId="0" fillId="3" borderId="75" xfId="0" applyFill="1" applyBorder="1"/>
    <xf numFmtId="0" fontId="0" fillId="11" borderId="75" xfId="0" applyFill="1" applyBorder="1"/>
    <xf numFmtId="0" fontId="0" fillId="3" borderId="76" xfId="0" applyFill="1" applyBorder="1"/>
    <xf numFmtId="0" fontId="0" fillId="3" borderId="74" xfId="0" applyFill="1" applyBorder="1"/>
    <xf numFmtId="0" fontId="0" fillId="3" borderId="77" xfId="0" applyFill="1" applyBorder="1"/>
    <xf numFmtId="0" fontId="0" fillId="3" borderId="73" xfId="0" applyFill="1" applyBorder="1"/>
    <xf numFmtId="0" fontId="6" fillId="3" borderId="15" xfId="0" applyFont="1" applyFill="1" applyBorder="1"/>
    <xf numFmtId="0" fontId="8" fillId="3" borderId="15" xfId="0" applyFont="1" applyFill="1" applyBorder="1" applyAlignment="1">
      <alignment horizontal="center"/>
    </xf>
    <xf numFmtId="2" fontId="0" fillId="3" borderId="40" xfId="0" applyNumberFormat="1" applyFill="1" applyBorder="1" applyAlignment="1">
      <alignment horizontal="center"/>
    </xf>
    <xf numFmtId="2" fontId="0" fillId="3" borderId="56" xfId="0" applyNumberFormat="1" applyFill="1" applyBorder="1" applyAlignment="1">
      <alignment horizontal="center"/>
    </xf>
    <xf numFmtId="0" fontId="0" fillId="0" borderId="16" xfId="0" applyBorder="1"/>
    <xf numFmtId="0" fontId="0" fillId="0" borderId="19" xfId="0" applyBorder="1"/>
    <xf numFmtId="0" fontId="0" fillId="0" borderId="40" xfId="0" applyBorder="1"/>
    <xf numFmtId="0" fontId="0" fillId="0" borderId="15" xfId="0" applyBorder="1"/>
    <xf numFmtId="0" fontId="6" fillId="3" borderId="19" xfId="0" applyFont="1" applyFill="1" applyBorder="1"/>
    <xf numFmtId="0" fontId="6" fillId="3" borderId="21" xfId="0" applyFont="1" applyFill="1" applyBorder="1"/>
    <xf numFmtId="0" fontId="0" fillId="3" borderId="81" xfId="0" applyFill="1" applyBorder="1" applyAlignment="1">
      <alignment horizontal="center"/>
    </xf>
    <xf numFmtId="0" fontId="0" fillId="3" borderId="42" xfId="0" applyFill="1" applyBorder="1" applyAlignment="1">
      <alignment horizontal="center"/>
    </xf>
    <xf numFmtId="0" fontId="0" fillId="3" borderId="82" xfId="0" applyFill="1" applyBorder="1" applyAlignment="1">
      <alignment horizontal="center"/>
    </xf>
    <xf numFmtId="0" fontId="0" fillId="0" borderId="22" xfId="0" applyBorder="1"/>
    <xf numFmtId="0" fontId="0" fillId="0" borderId="39" xfId="0" applyBorder="1"/>
    <xf numFmtId="0" fontId="0" fillId="0" borderId="21" xfId="0" applyBorder="1"/>
    <xf numFmtId="0" fontId="6" fillId="3" borderId="25" xfId="0" applyFont="1" applyFill="1" applyBorder="1"/>
    <xf numFmtId="0" fontId="0" fillId="0" borderId="58" xfId="0" applyBorder="1"/>
    <xf numFmtId="0" fontId="0" fillId="3" borderId="57" xfId="0" applyFill="1" applyBorder="1" applyAlignment="1">
      <alignment horizontal="center"/>
    </xf>
    <xf numFmtId="0" fontId="0" fillId="3" borderId="30" xfId="0" applyFill="1" applyBorder="1"/>
    <xf numFmtId="0" fontId="7" fillId="12" borderId="37" xfId="0" applyFont="1" applyFill="1" applyBorder="1" applyAlignment="1">
      <alignment horizontal="center"/>
    </xf>
    <xf numFmtId="0" fontId="0" fillId="3" borderId="37" xfId="0" applyFill="1" applyBorder="1"/>
    <xf numFmtId="0" fontId="8" fillId="3" borderId="37" xfId="0" applyFont="1" applyFill="1" applyBorder="1" applyAlignment="1">
      <alignment horizontal="center"/>
    </xf>
    <xf numFmtId="2" fontId="0" fillId="3" borderId="45" xfId="0" applyNumberFormat="1" applyFill="1" applyBorder="1" applyAlignment="1">
      <alignment horizontal="center"/>
    </xf>
    <xf numFmtId="2" fontId="0" fillId="3" borderId="31" xfId="0" applyNumberFormat="1" applyFill="1" applyBorder="1" applyAlignment="1">
      <alignment horizontal="center"/>
    </xf>
    <xf numFmtId="0" fontId="0" fillId="3" borderId="41" xfId="0" applyFill="1" applyBorder="1" applyAlignment="1">
      <alignment horizontal="center"/>
    </xf>
    <xf numFmtId="0" fontId="0" fillId="3" borderId="6" xfId="0" applyFill="1" applyBorder="1"/>
    <xf numFmtId="0" fontId="0" fillId="3" borderId="46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37" xfId="0" applyFill="1" applyBorder="1" applyAlignment="1">
      <alignment horizontal="center"/>
    </xf>
    <xf numFmtId="0" fontId="0" fillId="3" borderId="84" xfId="0" applyFill="1" applyBorder="1" applyAlignment="1">
      <alignment horizontal="center"/>
    </xf>
    <xf numFmtId="0" fontId="0" fillId="0" borderId="46" xfId="0" applyBorder="1"/>
    <xf numFmtId="0" fontId="0" fillId="11" borderId="32" xfId="0" applyFill="1" applyBorder="1"/>
    <xf numFmtId="0" fontId="0" fillId="0" borderId="32" xfId="0" applyBorder="1"/>
    <xf numFmtId="0" fontId="0" fillId="0" borderId="85" xfId="0" applyBorder="1"/>
    <xf numFmtId="0" fontId="0" fillId="11" borderId="46" xfId="0" applyFill="1" applyBorder="1"/>
    <xf numFmtId="0" fontId="0" fillId="0" borderId="83" xfId="0" applyBorder="1"/>
    <xf numFmtId="0" fontId="0" fillId="3" borderId="46" xfId="0" applyFill="1" applyBorder="1"/>
    <xf numFmtId="0" fontId="0" fillId="3" borderId="85" xfId="0" applyFill="1" applyBorder="1"/>
    <xf numFmtId="0" fontId="0" fillId="0" borderId="41" xfId="0" applyBorder="1"/>
    <xf numFmtId="0" fontId="0" fillId="3" borderId="41" xfId="0" applyFill="1" applyBorder="1"/>
    <xf numFmtId="0" fontId="2" fillId="10" borderId="35" xfId="0" applyFont="1" applyFill="1" applyBorder="1"/>
    <xf numFmtId="0" fontId="3" fillId="3" borderId="52" xfId="0" applyFont="1" applyFill="1" applyBorder="1" applyAlignment="1">
      <alignment horizontal="center"/>
    </xf>
    <xf numFmtId="0" fontId="2" fillId="3" borderId="39" xfId="0" applyFont="1" applyFill="1" applyBorder="1" applyAlignment="1">
      <alignment horizontal="center"/>
    </xf>
    <xf numFmtId="0" fontId="8" fillId="0" borderId="58" xfId="0" applyFont="1" applyBorder="1" applyAlignment="1">
      <alignment horizontal="center"/>
    </xf>
    <xf numFmtId="166" fontId="0" fillId="3" borderId="21" xfId="0" applyNumberFormat="1" applyFill="1" applyBorder="1" applyAlignment="1">
      <alignment horizontal="center"/>
    </xf>
    <xf numFmtId="0" fontId="0" fillId="3" borderId="39" xfId="0" applyFill="1" applyBorder="1" applyAlignment="1">
      <alignment horizontal="center"/>
    </xf>
    <xf numFmtId="0" fontId="0" fillId="11" borderId="15" xfId="0" applyFill="1" applyBorder="1"/>
    <xf numFmtId="0" fontId="0" fillId="3" borderId="18" xfId="0" applyFill="1" applyBorder="1"/>
    <xf numFmtId="0" fontId="0" fillId="11" borderId="21" xfId="0" applyFill="1" applyBorder="1"/>
    <xf numFmtId="0" fontId="0" fillId="3" borderId="24" xfId="0" applyFill="1" applyBorder="1"/>
    <xf numFmtId="0" fontId="0" fillId="3" borderId="24" xfId="0" applyFill="1" applyBorder="1" applyAlignment="1">
      <alignment horizontal="center"/>
    </xf>
    <xf numFmtId="0" fontId="2" fillId="3" borderId="43" xfId="0" applyFont="1" applyFill="1" applyBorder="1" applyAlignment="1">
      <alignment horizontal="center"/>
    </xf>
    <xf numFmtId="0" fontId="8" fillId="3" borderId="82" xfId="0" applyFont="1" applyFill="1" applyBorder="1" applyAlignment="1">
      <alignment horizontal="center"/>
    </xf>
    <xf numFmtId="166" fontId="0" fillId="3" borderId="42" xfId="0" applyNumberFormat="1" applyFill="1" applyBorder="1" applyAlignment="1">
      <alignment horizontal="center"/>
    </xf>
    <xf numFmtId="0" fontId="0" fillId="3" borderId="92" xfId="0" applyFill="1" applyBorder="1" applyAlignment="1">
      <alignment horizontal="center"/>
    </xf>
    <xf numFmtId="0" fontId="8" fillId="3" borderId="42" xfId="0" applyFont="1" applyFill="1" applyBorder="1" applyAlignment="1">
      <alignment horizontal="center"/>
    </xf>
    <xf numFmtId="0" fontId="0" fillId="3" borderId="89" xfId="0" applyFill="1" applyBorder="1" applyAlignment="1">
      <alignment horizontal="center"/>
    </xf>
    <xf numFmtId="0" fontId="0" fillId="11" borderId="92" xfId="0" applyFill="1" applyBorder="1" applyAlignment="1">
      <alignment horizontal="center"/>
    </xf>
    <xf numFmtId="0" fontId="0" fillId="3" borderId="93" xfId="0" applyFill="1" applyBorder="1"/>
    <xf numFmtId="0" fontId="0" fillId="3" borderId="81" xfId="0" applyFill="1" applyBorder="1"/>
    <xf numFmtId="0" fontId="0" fillId="3" borderId="91" xfId="0" applyFill="1" applyBorder="1"/>
    <xf numFmtId="0" fontId="0" fillId="11" borderId="57" xfId="0" applyFill="1" applyBorder="1"/>
    <xf numFmtId="0" fontId="0" fillId="3" borderId="93" xfId="0" applyFill="1" applyBorder="1" applyAlignment="1">
      <alignment horizontal="center"/>
    </xf>
    <xf numFmtId="0" fontId="0" fillId="3" borderId="91" xfId="0" applyFill="1" applyBorder="1" applyAlignment="1">
      <alignment horizontal="center"/>
    </xf>
    <xf numFmtId="0" fontId="0" fillId="3" borderId="94" xfId="0" applyFill="1" applyBorder="1"/>
    <xf numFmtId="0" fontId="0" fillId="3" borderId="94" xfId="0" applyFill="1" applyBorder="1" applyAlignment="1">
      <alignment horizontal="center"/>
    </xf>
    <xf numFmtId="0" fontId="0" fillId="11" borderId="35" xfId="0" applyFill="1" applyBorder="1"/>
    <xf numFmtId="0" fontId="0" fillId="3" borderId="89" xfId="0" applyFill="1" applyBorder="1"/>
    <xf numFmtId="0" fontId="2" fillId="3" borderId="97" xfId="0" applyFont="1" applyFill="1" applyBorder="1" applyAlignment="1">
      <alignment horizontal="center"/>
    </xf>
    <xf numFmtId="0" fontId="8" fillId="3" borderId="98" xfId="0" applyFont="1" applyFill="1" applyBorder="1" applyAlignment="1">
      <alignment horizontal="center"/>
    </xf>
    <xf numFmtId="166" fontId="0" fillId="3" borderId="80" xfId="0" applyNumberFormat="1" applyFill="1" applyBorder="1" applyAlignment="1">
      <alignment horizontal="center"/>
    </xf>
    <xf numFmtId="0" fontId="0" fillId="3" borderId="98" xfId="0" applyFill="1" applyBorder="1" applyAlignment="1">
      <alignment horizontal="center"/>
    </xf>
    <xf numFmtId="0" fontId="0" fillId="3" borderId="80" xfId="0" applyFill="1" applyBorder="1" applyAlignment="1">
      <alignment horizontal="center"/>
    </xf>
    <xf numFmtId="0" fontId="0" fillId="3" borderId="97" xfId="0" applyFill="1" applyBorder="1" applyAlignment="1">
      <alignment horizontal="center"/>
    </xf>
    <xf numFmtId="0" fontId="0" fillId="3" borderId="99" xfId="0" applyFill="1" applyBorder="1" applyAlignment="1">
      <alignment horizontal="center"/>
    </xf>
    <xf numFmtId="0" fontId="0" fillId="3" borderId="100" xfId="0" applyFill="1" applyBorder="1" applyAlignment="1">
      <alignment horizontal="center"/>
    </xf>
    <xf numFmtId="0" fontId="0" fillId="3" borderId="101" xfId="0" applyFill="1" applyBorder="1" applyAlignment="1">
      <alignment horizontal="center"/>
    </xf>
    <xf numFmtId="0" fontId="0" fillId="11" borderId="98" xfId="0" applyFill="1" applyBorder="1" applyAlignment="1">
      <alignment horizontal="center"/>
    </xf>
    <xf numFmtId="0" fontId="0" fillId="3" borderId="100" xfId="0" applyFill="1" applyBorder="1"/>
    <xf numFmtId="0" fontId="0" fillId="3" borderId="101" xfId="0" applyFill="1" applyBorder="1"/>
    <xf numFmtId="0" fontId="0" fillId="11" borderId="98" xfId="0" applyFill="1" applyBorder="1"/>
    <xf numFmtId="0" fontId="0" fillId="11" borderId="80" xfId="0" applyFill="1" applyBorder="1"/>
    <xf numFmtId="0" fontId="0" fillId="3" borderId="102" xfId="0" applyFill="1" applyBorder="1"/>
    <xf numFmtId="0" fontId="0" fillId="3" borderId="102" xfId="0" applyFill="1" applyBorder="1" applyAlignment="1">
      <alignment horizontal="center"/>
    </xf>
    <xf numFmtId="0" fontId="0" fillId="11" borderId="97" xfId="0" applyFill="1" applyBorder="1"/>
    <xf numFmtId="0" fontId="0" fillId="11" borderId="103" xfId="0" applyFill="1" applyBorder="1"/>
    <xf numFmtId="0" fontId="0" fillId="3" borderId="104" xfId="0" applyFill="1" applyBorder="1"/>
    <xf numFmtId="0" fontId="8" fillId="3" borderId="58" xfId="0" applyFont="1" applyFill="1" applyBorder="1" applyAlignment="1">
      <alignment horizontal="center"/>
    </xf>
    <xf numFmtId="0" fontId="2" fillId="3" borderId="64" xfId="0" applyFont="1" applyFill="1" applyBorder="1" applyAlignment="1">
      <alignment horizontal="center"/>
    </xf>
    <xf numFmtId="0" fontId="8" fillId="3" borderId="71" xfId="0" applyFont="1" applyFill="1" applyBorder="1" applyAlignment="1">
      <alignment horizontal="center"/>
    </xf>
    <xf numFmtId="166" fontId="0" fillId="3" borderId="63" xfId="0" applyNumberFormat="1" applyFill="1" applyBorder="1" applyAlignment="1">
      <alignment horizontal="center"/>
    </xf>
    <xf numFmtId="0" fontId="0" fillId="3" borderId="71" xfId="0" applyFill="1" applyBorder="1" applyAlignment="1">
      <alignment horizontal="center"/>
    </xf>
    <xf numFmtId="0" fontId="0" fillId="3" borderId="66" xfId="0" applyFill="1" applyBorder="1" applyAlignment="1">
      <alignment horizontal="center"/>
    </xf>
    <xf numFmtId="0" fontId="0" fillId="3" borderId="67" xfId="0" applyFill="1" applyBorder="1" applyAlignment="1">
      <alignment horizontal="center"/>
    </xf>
    <xf numFmtId="0" fontId="0" fillId="3" borderId="107" xfId="0" applyFill="1" applyBorder="1" applyAlignment="1">
      <alignment horizontal="center"/>
    </xf>
    <xf numFmtId="0" fontId="0" fillId="3" borderId="108" xfId="0" applyFill="1" applyBorder="1" applyAlignment="1">
      <alignment horizontal="center"/>
    </xf>
    <xf numFmtId="0" fontId="0" fillId="3" borderId="109" xfId="0" applyFill="1" applyBorder="1" applyAlignment="1">
      <alignment horizontal="center"/>
    </xf>
    <xf numFmtId="0" fontId="0" fillId="3" borderId="110" xfId="0" applyFill="1" applyBorder="1" applyAlignment="1">
      <alignment horizontal="center"/>
    </xf>
    <xf numFmtId="0" fontId="0" fillId="11" borderId="67" xfId="0" applyFill="1" applyBorder="1" applyAlignment="1">
      <alignment horizontal="center"/>
    </xf>
    <xf numFmtId="0" fontId="0" fillId="3" borderId="109" xfId="0" applyFill="1" applyBorder="1"/>
    <xf numFmtId="0" fontId="0" fillId="3" borderId="110" xfId="0" applyFill="1" applyBorder="1"/>
    <xf numFmtId="0" fontId="0" fillId="11" borderId="67" xfId="0" applyFill="1" applyBorder="1"/>
    <xf numFmtId="0" fontId="0" fillId="11" borderId="66" xfId="0" applyFill="1" applyBorder="1"/>
    <xf numFmtId="0" fontId="0" fillId="3" borderId="111" xfId="0" applyFill="1" applyBorder="1"/>
    <xf numFmtId="0" fontId="0" fillId="3" borderId="111" xfId="0" applyFill="1" applyBorder="1" applyAlignment="1">
      <alignment horizontal="center"/>
    </xf>
    <xf numFmtId="0" fontId="0" fillId="11" borderId="107" xfId="0" applyFill="1" applyBorder="1"/>
    <xf numFmtId="0" fontId="0" fillId="3" borderId="67" xfId="0" applyFill="1" applyBorder="1"/>
    <xf numFmtId="0" fontId="6" fillId="0" borderId="40" xfId="0" applyFont="1" applyBorder="1"/>
    <xf numFmtId="0" fontId="8" fillId="0" borderId="56" xfId="0" applyFont="1" applyBorder="1" applyAlignment="1">
      <alignment horizontal="center"/>
    </xf>
    <xf numFmtId="166" fontId="0" fillId="3" borderId="15" xfId="0" applyNumberFormat="1" applyFill="1" applyBorder="1" applyAlignment="1">
      <alignment horizontal="center"/>
    </xf>
    <xf numFmtId="0" fontId="0" fillId="0" borderId="81" xfId="0" applyBorder="1"/>
    <xf numFmtId="0" fontId="0" fillId="0" borderId="91" xfId="0" applyBorder="1"/>
    <xf numFmtId="0" fontId="0" fillId="0" borderId="94" xfId="0" applyBorder="1"/>
    <xf numFmtId="0" fontId="0" fillId="0" borderId="57" xfId="0" applyBorder="1"/>
    <xf numFmtId="0" fontId="6" fillId="0" borderId="43" xfId="0" applyFont="1" applyBorder="1"/>
    <xf numFmtId="0" fontId="0" fillId="3" borderId="42" xfId="0" applyFill="1" applyBorder="1"/>
    <xf numFmtId="0" fontId="0" fillId="0" borderId="59" xfId="0" applyBorder="1"/>
    <xf numFmtId="0" fontId="8" fillId="3" borderId="56" xfId="0" applyFont="1" applyFill="1" applyBorder="1" applyAlignment="1">
      <alignment horizontal="center"/>
    </xf>
    <xf numFmtId="0" fontId="8" fillId="3" borderId="92" xfId="0" applyFont="1" applyFill="1" applyBorder="1" applyAlignment="1">
      <alignment horizontal="center"/>
    </xf>
    <xf numFmtId="0" fontId="0" fillId="0" borderId="62" xfId="0" applyBorder="1"/>
    <xf numFmtId="0" fontId="0" fillId="0" borderId="89" xfId="0" applyBorder="1"/>
    <xf numFmtId="0" fontId="0" fillId="11" borderId="43" xfId="0" applyFill="1" applyBorder="1"/>
    <xf numFmtId="0" fontId="0" fillId="3" borderId="61" xfId="0" applyFill="1" applyBorder="1"/>
    <xf numFmtId="0" fontId="0" fillId="3" borderId="62" xfId="0" applyFill="1" applyBorder="1"/>
    <xf numFmtId="0" fontId="0" fillId="3" borderId="114" xfId="0" applyFill="1" applyBorder="1"/>
    <xf numFmtId="0" fontId="0" fillId="3" borderId="28" xfId="0" applyFill="1" applyBorder="1"/>
    <xf numFmtId="0" fontId="0" fillId="13" borderId="0" xfId="0" applyFill="1"/>
    <xf numFmtId="0" fontId="8" fillId="13" borderId="0" xfId="0" applyFont="1" applyFill="1" applyAlignment="1">
      <alignment horizontal="center"/>
    </xf>
    <xf numFmtId="166" fontId="0" fillId="1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0" fillId="13" borderId="52" xfId="0" applyFill="1" applyBorder="1"/>
    <xf numFmtId="166" fontId="0" fillId="2" borderId="90" xfId="0" applyNumberFormat="1" applyFill="1" applyBorder="1"/>
    <xf numFmtId="0" fontId="0" fillId="2" borderId="52" xfId="0" applyFill="1" applyBorder="1"/>
    <xf numFmtId="0" fontId="0" fillId="2" borderId="34" xfId="0" applyFill="1" applyBorder="1"/>
    <xf numFmtId="0" fontId="0" fillId="15" borderId="0" xfId="0" applyFill="1"/>
    <xf numFmtId="166" fontId="0" fillId="2" borderId="51" xfId="0" applyNumberFormat="1" applyFill="1" applyBorder="1"/>
    <xf numFmtId="0" fontId="0" fillId="2" borderId="35" xfId="0" applyFill="1" applyBorder="1"/>
    <xf numFmtId="0" fontId="0" fillId="2" borderId="51" xfId="0" applyFill="1" applyBorder="1"/>
    <xf numFmtId="0" fontId="0" fillId="2" borderId="90" xfId="0" applyFill="1" applyBorder="1"/>
    <xf numFmtId="0" fontId="0" fillId="2" borderId="0" xfId="0" applyFill="1" applyAlignment="1">
      <alignment horizontal="right"/>
    </xf>
    <xf numFmtId="166" fontId="0" fillId="2" borderId="31" xfId="0" applyNumberFormat="1" applyFill="1" applyBorder="1"/>
    <xf numFmtId="0" fontId="2" fillId="10" borderId="116" xfId="0" applyFont="1" applyFill="1" applyBorder="1" applyAlignment="1">
      <alignment horizontal="center"/>
    </xf>
    <xf numFmtId="0" fontId="3" fillId="10" borderId="117" xfId="0" applyFont="1" applyFill="1" applyBorder="1" applyAlignment="1">
      <alignment horizontal="center"/>
    </xf>
    <xf numFmtId="0" fontId="0" fillId="3" borderId="118" xfId="0" applyFill="1" applyBorder="1" applyAlignment="1">
      <alignment horizontal="center"/>
    </xf>
    <xf numFmtId="0" fontId="2" fillId="3" borderId="119" xfId="0" applyFont="1" applyFill="1" applyBorder="1" applyAlignment="1">
      <alignment horizontal="center"/>
    </xf>
    <xf numFmtId="0" fontId="0" fillId="3" borderId="121" xfId="0" applyFill="1" applyBorder="1" applyAlignment="1">
      <alignment horizontal="center"/>
    </xf>
    <xf numFmtId="0" fontId="0" fillId="3" borderId="55" xfId="0" applyFill="1" applyBorder="1"/>
    <xf numFmtId="0" fontId="2" fillId="3" borderId="40" xfId="0" applyFont="1" applyFill="1" applyBorder="1" applyAlignment="1">
      <alignment horizontal="center"/>
    </xf>
    <xf numFmtId="0" fontId="0" fillId="3" borderId="59" xfId="0" applyFill="1" applyBorder="1" applyAlignment="1">
      <alignment horizontal="center"/>
    </xf>
    <xf numFmtId="166" fontId="0" fillId="3" borderId="39" xfId="0" applyNumberFormat="1" applyFill="1" applyBorder="1" applyAlignment="1">
      <alignment horizontal="center"/>
    </xf>
    <xf numFmtId="0" fontId="2" fillId="3" borderId="122" xfId="0" applyFont="1" applyFill="1" applyBorder="1" applyAlignment="1">
      <alignment horizontal="center"/>
    </xf>
    <xf numFmtId="0" fontId="0" fillId="3" borderId="115" xfId="0" applyFill="1" applyBorder="1" applyAlignment="1">
      <alignment horizontal="center"/>
    </xf>
    <xf numFmtId="0" fontId="0" fillId="3" borderId="28" xfId="0" applyFill="1" applyBorder="1" applyAlignment="1">
      <alignment horizontal="center"/>
    </xf>
    <xf numFmtId="0" fontId="0" fillId="3" borderId="115" xfId="0" applyFill="1" applyBorder="1"/>
    <xf numFmtId="0" fontId="0" fillId="3" borderId="29" xfId="0" applyFill="1" applyBorder="1" applyAlignment="1">
      <alignment horizontal="center"/>
    </xf>
    <xf numFmtId="0" fontId="2" fillId="13" borderId="0" xfId="0" applyFont="1" applyFill="1" applyAlignment="1">
      <alignment horizontal="center"/>
    </xf>
    <xf numFmtId="0" fontId="0" fillId="13" borderId="0" xfId="0" applyFill="1" applyAlignment="1">
      <alignment horizontal="center"/>
    </xf>
    <xf numFmtId="2" fontId="0" fillId="13" borderId="0" xfId="0" applyNumberFormat="1" applyFill="1" applyAlignment="1">
      <alignment horizontal="center"/>
    </xf>
    <xf numFmtId="0" fontId="3" fillId="3" borderId="86" xfId="0" applyFont="1" applyFill="1" applyBorder="1"/>
    <xf numFmtId="0" fontId="3" fillId="0" borderId="87" xfId="0" applyFont="1" applyBorder="1"/>
    <xf numFmtId="0" fontId="3" fillId="0" borderId="88" xfId="0" applyFont="1" applyBorder="1"/>
    <xf numFmtId="0" fontId="9" fillId="13" borderId="81" xfId="0" applyFont="1" applyFill="1" applyBorder="1" applyAlignment="1">
      <alignment horizontal="center"/>
    </xf>
    <xf numFmtId="0" fontId="0" fillId="13" borderId="123" xfId="0" applyFill="1" applyBorder="1"/>
    <xf numFmtId="0" fontId="0" fillId="13" borderId="124" xfId="0" applyFill="1" applyBorder="1"/>
    <xf numFmtId="0" fontId="0" fillId="13" borderId="125" xfId="0" applyFill="1" applyBorder="1"/>
    <xf numFmtId="0" fontId="2" fillId="10" borderId="126" xfId="0" applyFont="1" applyFill="1" applyBorder="1"/>
    <xf numFmtId="0" fontId="2" fillId="10" borderId="127" xfId="0" applyFont="1" applyFill="1" applyBorder="1"/>
    <xf numFmtId="0" fontId="3" fillId="10" borderId="128" xfId="0" applyFont="1" applyFill="1" applyBorder="1" applyAlignment="1">
      <alignment horizontal="center"/>
    </xf>
    <xf numFmtId="0" fontId="3" fillId="10" borderId="88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11" borderId="129" xfId="0" applyFont="1" applyFill="1" applyBorder="1" applyAlignment="1">
      <alignment horizontal="center"/>
    </xf>
    <xf numFmtId="0" fontId="3" fillId="11" borderId="130" xfId="0" applyFont="1" applyFill="1" applyBorder="1" applyAlignment="1">
      <alignment horizontal="center"/>
    </xf>
    <xf numFmtId="0" fontId="3" fillId="11" borderId="127" xfId="0" applyFont="1" applyFill="1" applyBorder="1" applyAlignment="1">
      <alignment horizontal="center"/>
    </xf>
    <xf numFmtId="0" fontId="3" fillId="11" borderId="126" xfId="0" applyFont="1" applyFill="1" applyBorder="1" applyAlignment="1">
      <alignment horizontal="center"/>
    </xf>
    <xf numFmtId="0" fontId="3" fillId="11" borderId="87" xfId="0" applyFont="1" applyFill="1" applyBorder="1" applyAlignment="1">
      <alignment horizontal="center"/>
    </xf>
    <xf numFmtId="0" fontId="3" fillId="11" borderId="131" xfId="0" applyFont="1" applyFill="1" applyBorder="1" applyAlignment="1">
      <alignment horizontal="center"/>
    </xf>
    <xf numFmtId="0" fontId="3" fillId="11" borderId="88" xfId="0" applyFont="1" applyFill="1" applyBorder="1" applyAlignment="1">
      <alignment horizontal="center"/>
    </xf>
    <xf numFmtId="0" fontId="0" fillId="3" borderId="132" xfId="0" applyFill="1" applyBorder="1" applyAlignment="1">
      <alignment horizontal="center"/>
    </xf>
    <xf numFmtId="0" fontId="2" fillId="3" borderId="133" xfId="0" applyFont="1" applyFill="1" applyBorder="1" applyAlignment="1">
      <alignment horizontal="center"/>
    </xf>
    <xf numFmtId="0" fontId="0" fillId="3" borderId="133" xfId="0" applyFill="1" applyBorder="1" applyAlignment="1">
      <alignment horizontal="center"/>
    </xf>
    <xf numFmtId="166" fontId="0" fillId="3" borderId="134" xfId="0" applyNumberFormat="1" applyFill="1" applyBorder="1" applyAlignment="1">
      <alignment horizontal="center"/>
    </xf>
    <xf numFmtId="166" fontId="9" fillId="3" borderId="134" xfId="0" applyNumberFormat="1" applyFont="1" applyFill="1" applyBorder="1" applyAlignment="1">
      <alignment horizontal="center"/>
    </xf>
    <xf numFmtId="1" fontId="0" fillId="3" borderId="14" xfId="0" applyNumberFormat="1" applyFill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32" xfId="0" applyBorder="1" applyAlignment="1">
      <alignment horizontal="center"/>
    </xf>
    <xf numFmtId="0" fontId="0" fillId="0" borderId="136" xfId="0" applyBorder="1" applyAlignment="1">
      <alignment horizontal="center"/>
    </xf>
    <xf numFmtId="0" fontId="0" fillId="0" borderId="137" xfId="0" applyBorder="1" applyAlignment="1">
      <alignment horizontal="center"/>
    </xf>
    <xf numFmtId="0" fontId="0" fillId="0" borderId="134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38" xfId="0" applyBorder="1"/>
    <xf numFmtId="0" fontId="0" fillId="0" borderId="139" xfId="0" applyBorder="1"/>
    <xf numFmtId="0" fontId="0" fillId="3" borderId="140" xfId="0" applyFill="1" applyBorder="1" applyAlignment="1">
      <alignment horizontal="center"/>
    </xf>
    <xf numFmtId="0" fontId="0" fillId="3" borderId="136" xfId="0" applyFill="1" applyBorder="1" applyAlignment="1">
      <alignment horizontal="center"/>
    </xf>
    <xf numFmtId="0" fontId="0" fillId="3" borderId="134" xfId="0" applyFill="1" applyBorder="1" applyAlignment="1">
      <alignment horizontal="center"/>
    </xf>
    <xf numFmtId="0" fontId="0" fillId="3" borderId="141" xfId="0" applyFill="1" applyBorder="1"/>
    <xf numFmtId="0" fontId="0" fillId="3" borderId="142" xfId="0" applyFill="1" applyBorder="1"/>
    <xf numFmtId="0" fontId="0" fillId="3" borderId="143" xfId="0" applyFill="1" applyBorder="1"/>
    <xf numFmtId="0" fontId="0" fillId="3" borderId="144" xfId="0" applyFill="1" applyBorder="1" applyAlignment="1">
      <alignment horizontal="center"/>
    </xf>
    <xf numFmtId="0" fontId="2" fillId="3" borderId="145" xfId="0" applyFont="1" applyFill="1" applyBorder="1" applyAlignment="1">
      <alignment horizontal="center"/>
    </xf>
    <xf numFmtId="166" fontId="0" fillId="3" borderId="116" xfId="0" applyNumberFormat="1" applyFill="1" applyBorder="1" applyAlignment="1">
      <alignment horizontal="center"/>
    </xf>
    <xf numFmtId="166" fontId="9" fillId="3" borderId="146" xfId="0" applyNumberFormat="1" applyFont="1" applyFill="1" applyBorder="1" applyAlignment="1">
      <alignment horizontal="center"/>
    </xf>
    <xf numFmtId="0" fontId="0" fillId="3" borderId="145" xfId="0" applyFill="1" applyBorder="1" applyAlignment="1">
      <alignment horizontal="center"/>
    </xf>
    <xf numFmtId="0" fontId="0" fillId="3" borderId="147" xfId="0" applyFill="1" applyBorder="1" applyAlignment="1">
      <alignment horizontal="center"/>
    </xf>
    <xf numFmtId="0" fontId="0" fillId="3" borderId="148" xfId="0" applyFill="1" applyBorder="1" applyAlignment="1">
      <alignment horizontal="center"/>
    </xf>
    <xf numFmtId="0" fontId="0" fillId="3" borderId="116" xfId="0" applyFill="1" applyBorder="1" applyAlignment="1">
      <alignment horizontal="center"/>
    </xf>
    <xf numFmtId="0" fontId="0" fillId="3" borderId="148" xfId="0" applyFill="1" applyBorder="1"/>
    <xf numFmtId="0" fontId="0" fillId="3" borderId="149" xfId="0" applyFill="1" applyBorder="1" applyAlignment="1">
      <alignment horizontal="center"/>
    </xf>
    <xf numFmtId="0" fontId="2" fillId="3" borderId="150" xfId="0" applyFont="1" applyFill="1" applyBorder="1" applyAlignment="1">
      <alignment horizontal="center"/>
    </xf>
    <xf numFmtId="0" fontId="0" fillId="3" borderId="150" xfId="0" applyFill="1" applyBorder="1" applyAlignment="1">
      <alignment horizontal="center"/>
    </xf>
    <xf numFmtId="166" fontId="0" fillId="3" borderId="149" xfId="0" applyNumberFormat="1" applyFill="1" applyBorder="1" applyAlignment="1">
      <alignment horizontal="center"/>
    </xf>
    <xf numFmtId="0" fontId="0" fillId="3" borderId="151" xfId="0" applyFill="1" applyBorder="1" applyAlignment="1">
      <alignment horizontal="center"/>
    </xf>
    <xf numFmtId="0" fontId="0" fillId="3" borderId="152" xfId="0" applyFill="1" applyBorder="1" applyAlignment="1">
      <alignment horizontal="center"/>
    </xf>
    <xf numFmtId="0" fontId="0" fillId="3" borderId="153" xfId="0" applyFill="1" applyBorder="1"/>
    <xf numFmtId="0" fontId="0" fillId="3" borderId="154" xfId="0" applyFill="1" applyBorder="1"/>
    <xf numFmtId="0" fontId="2" fillId="3" borderId="140" xfId="0" applyFont="1" applyFill="1" applyBorder="1" applyAlignment="1">
      <alignment horizontal="center"/>
    </xf>
    <xf numFmtId="166" fontId="0" fillId="3" borderId="155" xfId="0" applyNumberFormat="1" applyFill="1" applyBorder="1" applyAlignment="1">
      <alignment horizontal="center"/>
    </xf>
    <xf numFmtId="166" fontId="9" fillId="3" borderId="155" xfId="0" applyNumberFormat="1" applyFont="1" applyFill="1" applyBorder="1" applyAlignment="1">
      <alignment horizontal="center"/>
    </xf>
    <xf numFmtId="0" fontId="0" fillId="3" borderId="156" xfId="0" applyFill="1" applyBorder="1" applyAlignment="1">
      <alignment horizontal="center"/>
    </xf>
    <xf numFmtId="0" fontId="0" fillId="3" borderId="157" xfId="0" applyFill="1" applyBorder="1" applyAlignment="1">
      <alignment horizontal="center"/>
    </xf>
    <xf numFmtId="0" fontId="0" fillId="3" borderId="155" xfId="0" applyFill="1" applyBorder="1" applyAlignment="1">
      <alignment horizontal="center"/>
    </xf>
    <xf numFmtId="0" fontId="0" fillId="3" borderId="158" xfId="0" applyFill="1" applyBorder="1" applyAlignment="1">
      <alignment horizontal="center"/>
    </xf>
    <xf numFmtId="0" fontId="2" fillId="3" borderId="146" xfId="0" applyFont="1" applyFill="1" applyBorder="1" applyAlignment="1">
      <alignment horizontal="center"/>
    </xf>
    <xf numFmtId="0" fontId="0" fillId="3" borderId="146" xfId="0" applyFill="1" applyBorder="1" applyAlignment="1">
      <alignment horizontal="center"/>
    </xf>
    <xf numFmtId="166" fontId="0" fillId="3" borderId="159" xfId="0" applyNumberFormat="1" applyFill="1" applyBorder="1" applyAlignment="1">
      <alignment horizontal="center"/>
    </xf>
    <xf numFmtId="166" fontId="9" fillId="3" borderId="159" xfId="0" applyNumberFormat="1" applyFont="1" applyFill="1" applyBorder="1" applyAlignment="1">
      <alignment horizontal="center"/>
    </xf>
    <xf numFmtId="0" fontId="0" fillId="3" borderId="160" xfId="0" applyFill="1" applyBorder="1" applyAlignment="1">
      <alignment horizontal="center"/>
    </xf>
    <xf numFmtId="1" fontId="0" fillId="3" borderId="57" xfId="0" applyNumberFormat="1" applyFill="1" applyBorder="1" applyAlignment="1">
      <alignment horizontal="center"/>
    </xf>
    <xf numFmtId="0" fontId="0" fillId="3" borderId="161" xfId="0" applyFill="1" applyBorder="1" applyAlignment="1">
      <alignment horizontal="center"/>
    </xf>
    <xf numFmtId="0" fontId="0" fillId="3" borderId="162" xfId="0" applyFill="1" applyBorder="1" applyAlignment="1">
      <alignment horizontal="center"/>
    </xf>
    <xf numFmtId="0" fontId="0" fillId="3" borderId="159" xfId="0" applyFill="1" applyBorder="1" applyAlignment="1">
      <alignment horizontal="center"/>
    </xf>
    <xf numFmtId="0" fontId="0" fillId="3" borderId="163" xfId="0" applyFill="1" applyBorder="1" applyAlignment="1">
      <alignment horizontal="center"/>
    </xf>
    <xf numFmtId="0" fontId="0" fillId="3" borderId="164" xfId="0" applyFill="1" applyBorder="1"/>
    <xf numFmtId="0" fontId="0" fillId="3" borderId="165" xfId="0" applyFill="1" applyBorder="1" applyAlignment="1">
      <alignment horizontal="center"/>
    </xf>
    <xf numFmtId="1" fontId="0" fillId="3" borderId="80" xfId="0" applyNumberFormat="1" applyFill="1" applyBorder="1" applyAlignment="1">
      <alignment horizontal="center"/>
    </xf>
    <xf numFmtId="0" fontId="0" fillId="3" borderId="166" xfId="0" applyFill="1" applyBorder="1"/>
    <xf numFmtId="1" fontId="0" fillId="3" borderId="21" xfId="0" applyNumberFormat="1" applyFill="1" applyBorder="1" applyAlignment="1">
      <alignment horizontal="center"/>
    </xf>
    <xf numFmtId="0" fontId="0" fillId="3" borderId="167" xfId="0" applyFill="1" applyBorder="1"/>
    <xf numFmtId="0" fontId="0" fillId="3" borderId="168" xfId="0" applyFill="1" applyBorder="1" applyAlignment="1">
      <alignment horizontal="center"/>
    </xf>
    <xf numFmtId="1" fontId="0" fillId="3" borderId="96" xfId="0" applyNumberFormat="1" applyFill="1" applyBorder="1" applyAlignment="1">
      <alignment horizontal="center"/>
    </xf>
    <xf numFmtId="1" fontId="0" fillId="3" borderId="58" xfId="0" applyNumberFormat="1" applyFill="1" applyBorder="1" applyAlignment="1">
      <alignment horizontal="center"/>
    </xf>
    <xf numFmtId="166" fontId="9" fillId="3" borderId="169" xfId="0" applyNumberFormat="1" applyFont="1" applyFill="1" applyBorder="1" applyAlignment="1">
      <alignment horizontal="center"/>
    </xf>
    <xf numFmtId="0" fontId="0" fillId="3" borderId="170" xfId="0" applyFill="1" applyBorder="1" applyAlignment="1">
      <alignment horizontal="center"/>
    </xf>
    <xf numFmtId="0" fontId="0" fillId="0" borderId="153" xfId="0" applyBorder="1"/>
    <xf numFmtId="0" fontId="0" fillId="0" borderId="154" xfId="0" applyBorder="1"/>
    <xf numFmtId="0" fontId="0" fillId="3" borderId="171" xfId="0" applyFill="1" applyBorder="1"/>
    <xf numFmtId="0" fontId="0" fillId="3" borderId="172" xfId="0" applyFill="1" applyBorder="1"/>
    <xf numFmtId="0" fontId="0" fillId="3" borderId="173" xfId="0" applyFill="1" applyBorder="1"/>
    <xf numFmtId="0" fontId="0" fillId="3" borderId="174" xfId="0" applyFill="1" applyBorder="1" applyAlignment="1">
      <alignment horizontal="center"/>
    </xf>
    <xf numFmtId="0" fontId="2" fillId="3" borderId="147" xfId="0" applyFont="1" applyFill="1" applyBorder="1" applyAlignment="1">
      <alignment horizontal="center"/>
    </xf>
    <xf numFmtId="166" fontId="0" fillId="3" borderId="175" xfId="0" applyNumberFormat="1" applyFill="1" applyBorder="1" applyAlignment="1">
      <alignment horizontal="center"/>
    </xf>
    <xf numFmtId="0" fontId="0" fillId="3" borderId="176" xfId="0" applyFill="1" applyBorder="1" applyAlignment="1">
      <alignment horizontal="center"/>
    </xf>
    <xf numFmtId="0" fontId="0" fillId="3" borderId="175" xfId="0" applyFill="1" applyBorder="1" applyAlignment="1">
      <alignment horizontal="center"/>
    </xf>
    <xf numFmtId="0" fontId="0" fillId="3" borderId="38" xfId="0" applyFill="1" applyBorder="1" applyAlignment="1">
      <alignment horizontal="center"/>
    </xf>
    <xf numFmtId="0" fontId="0" fillId="0" borderId="99" xfId="0" applyBorder="1" applyAlignment="1">
      <alignment horizontal="center"/>
    </xf>
    <xf numFmtId="0" fontId="0" fillId="0" borderId="100" xfId="0" applyBorder="1" applyAlignment="1">
      <alignment horizontal="center"/>
    </xf>
    <xf numFmtId="0" fontId="0" fillId="0" borderId="151" xfId="0" applyBorder="1" applyAlignment="1">
      <alignment horizontal="center"/>
    </xf>
    <xf numFmtId="0" fontId="0" fillId="0" borderId="152" xfId="0" applyBorder="1" applyAlignment="1">
      <alignment horizontal="center"/>
    </xf>
    <xf numFmtId="0" fontId="0" fillId="0" borderId="149" xfId="0" applyBorder="1" applyAlignment="1">
      <alignment horizontal="center"/>
    </xf>
    <xf numFmtId="0" fontId="0" fillId="0" borderId="102" xfId="0" applyBorder="1" applyAlignment="1">
      <alignment horizontal="center"/>
    </xf>
    <xf numFmtId="0" fontId="0" fillId="0" borderId="177" xfId="0" applyBorder="1"/>
    <xf numFmtId="0" fontId="0" fillId="3" borderId="178" xfId="0" applyFill="1" applyBorder="1"/>
    <xf numFmtId="0" fontId="0" fillId="3" borderId="179" xfId="0" applyFill="1" applyBorder="1" applyAlignment="1">
      <alignment horizontal="center"/>
    </xf>
    <xf numFmtId="166" fontId="0" fillId="3" borderId="150" xfId="0" applyNumberFormat="1" applyFill="1" applyBorder="1" applyAlignment="1">
      <alignment horizontal="center"/>
    </xf>
    <xf numFmtId="0" fontId="0" fillId="3" borderId="180" xfId="0" applyFill="1" applyBorder="1"/>
    <xf numFmtId="166" fontId="0" fillId="3" borderId="133" xfId="0" applyNumberFormat="1" applyFill="1" applyBorder="1" applyAlignment="1">
      <alignment horizontal="center"/>
    </xf>
    <xf numFmtId="166" fontId="9" fillId="3" borderId="175" xfId="0" applyNumberFormat="1" applyFont="1" applyFill="1" applyBorder="1" applyAlignment="1">
      <alignment horizontal="center"/>
    </xf>
    <xf numFmtId="1" fontId="0" fillId="0" borderId="15" xfId="0" applyNumberFormat="1" applyBorder="1" applyAlignment="1">
      <alignment horizontal="center"/>
    </xf>
    <xf numFmtId="1" fontId="0" fillId="0" borderId="56" xfId="0" applyNumberFormat="1" applyBorder="1" applyAlignment="1">
      <alignment horizontal="center"/>
    </xf>
    <xf numFmtId="166" fontId="0" fillId="3" borderId="146" xfId="0" applyNumberFormat="1" applyFill="1" applyBorder="1" applyAlignment="1">
      <alignment horizontal="center"/>
    </xf>
    <xf numFmtId="1" fontId="0" fillId="0" borderId="57" xfId="0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71" xfId="0" applyNumberFormat="1" applyBorder="1" applyAlignment="1">
      <alignment horizontal="center"/>
    </xf>
    <xf numFmtId="1" fontId="0" fillId="0" borderId="63" xfId="0" applyNumberFormat="1" applyBorder="1" applyAlignment="1">
      <alignment horizontal="center"/>
    </xf>
    <xf numFmtId="0" fontId="0" fillId="3" borderId="185" xfId="0" applyFill="1" applyBorder="1"/>
    <xf numFmtId="0" fontId="0" fillId="3" borderId="188" xfId="0" applyFill="1" applyBorder="1" applyAlignment="1">
      <alignment horizontal="center"/>
    </xf>
    <xf numFmtId="0" fontId="0" fillId="3" borderId="189" xfId="0" applyFill="1" applyBorder="1" applyAlignment="1">
      <alignment horizontal="center"/>
    </xf>
    <xf numFmtId="0" fontId="0" fillId="3" borderId="193" xfId="0" applyFill="1" applyBorder="1"/>
    <xf numFmtId="0" fontId="0" fillId="3" borderId="193" xfId="0" applyFill="1" applyBorder="1" applyAlignment="1">
      <alignment horizontal="center"/>
    </xf>
    <xf numFmtId="0" fontId="0" fillId="3" borderId="194" xfId="0" applyFill="1" applyBorder="1" applyAlignment="1">
      <alignment horizontal="center"/>
    </xf>
    <xf numFmtId="0" fontId="0" fillId="3" borderId="192" xfId="0" applyFill="1" applyBorder="1" applyAlignment="1">
      <alignment horizontal="center"/>
    </xf>
    <xf numFmtId="0" fontId="0" fillId="3" borderId="195" xfId="0" applyFill="1" applyBorder="1" applyAlignment="1">
      <alignment horizontal="center"/>
    </xf>
    <xf numFmtId="0" fontId="0" fillId="3" borderId="190" xfId="0" applyFill="1" applyBorder="1" applyAlignment="1">
      <alignment horizontal="center"/>
    </xf>
    <xf numFmtId="0" fontId="0" fillId="3" borderId="196" xfId="0" applyFill="1" applyBorder="1" applyAlignment="1">
      <alignment horizontal="center"/>
    </xf>
    <xf numFmtId="0" fontId="0" fillId="3" borderId="197" xfId="0" applyFill="1" applyBorder="1"/>
    <xf numFmtId="0" fontId="0" fillId="3" borderId="198" xfId="0" applyFill="1" applyBorder="1"/>
    <xf numFmtId="0" fontId="0" fillId="2" borderId="199" xfId="0" applyFill="1" applyBorder="1"/>
    <xf numFmtId="0" fontId="0" fillId="2" borderId="200" xfId="0" applyFill="1" applyBorder="1"/>
    <xf numFmtId="0" fontId="0" fillId="2" borderId="201" xfId="0" applyFill="1" applyBorder="1"/>
    <xf numFmtId="1" fontId="0" fillId="0" borderId="14" xfId="0" applyNumberFormat="1" applyBorder="1" applyAlignment="1">
      <alignment horizontal="center"/>
    </xf>
    <xf numFmtId="1" fontId="0" fillId="0" borderId="80" xfId="0" applyNumberFormat="1" applyBorder="1" applyAlignment="1">
      <alignment horizontal="center"/>
    </xf>
    <xf numFmtId="1" fontId="0" fillId="0" borderId="21" xfId="0" applyNumberFormat="1" applyBorder="1" applyAlignment="1">
      <alignment horizontal="center"/>
    </xf>
    <xf numFmtId="1" fontId="0" fillId="0" borderId="67" xfId="0" applyNumberFormat="1" applyBorder="1" applyAlignment="1">
      <alignment horizontal="center"/>
    </xf>
    <xf numFmtId="1" fontId="0" fillId="0" borderId="66" xfId="0" applyNumberFormat="1" applyBorder="1" applyAlignment="1">
      <alignment horizontal="center"/>
    </xf>
    <xf numFmtId="1" fontId="0" fillId="0" borderId="96" xfId="0" applyNumberFormat="1" applyBorder="1" applyAlignment="1">
      <alignment horizontal="center"/>
    </xf>
    <xf numFmtId="1" fontId="0" fillId="0" borderId="58" xfId="0" applyNumberForma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58" xfId="0" applyBorder="1" applyAlignment="1">
      <alignment horizontal="center"/>
    </xf>
    <xf numFmtId="1" fontId="0" fillId="0" borderId="191" xfId="0" applyNumberFormat="1" applyBorder="1" applyAlignment="1">
      <alignment horizontal="center"/>
    </xf>
    <xf numFmtId="1" fontId="0" fillId="0" borderId="41" xfId="0" applyNumberFormat="1" applyBorder="1" applyAlignment="1">
      <alignment horizontal="center"/>
    </xf>
    <xf numFmtId="1" fontId="0" fillId="0" borderId="123" xfId="0" applyNumberFormat="1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191" xfId="0" applyBorder="1" applyAlignment="1">
      <alignment horizontal="center"/>
    </xf>
    <xf numFmtId="0" fontId="8" fillId="0" borderId="92" xfId="0" applyFont="1" applyBorder="1" applyAlignment="1">
      <alignment horizontal="center"/>
    </xf>
    <xf numFmtId="0" fontId="0" fillId="16" borderId="15" xfId="0" applyFill="1" applyBorder="1"/>
    <xf numFmtId="0" fontId="0" fillId="16" borderId="15" xfId="0" applyFill="1" applyBorder="1" applyAlignment="1">
      <alignment horizontal="center"/>
    </xf>
    <xf numFmtId="0" fontId="0" fillId="16" borderId="40" xfId="0" applyFill="1" applyBorder="1" applyAlignment="1">
      <alignment horizontal="center"/>
    </xf>
    <xf numFmtId="0" fontId="0" fillId="16" borderId="80" xfId="0" applyFill="1" applyBorder="1"/>
    <xf numFmtId="0" fontId="6" fillId="16" borderId="43" xfId="0" applyFont="1" applyFill="1" applyBorder="1"/>
    <xf numFmtId="0" fontId="8" fillId="16" borderId="92" xfId="0" applyFont="1" applyFill="1" applyBorder="1" applyAlignment="1">
      <alignment horizontal="center"/>
    </xf>
    <xf numFmtId="166" fontId="0" fillId="16" borderId="42" xfId="0" applyNumberFormat="1" applyFill="1" applyBorder="1" applyAlignment="1">
      <alignment horizontal="center"/>
    </xf>
    <xf numFmtId="0" fontId="0" fillId="16" borderId="92" xfId="0" applyFill="1" applyBorder="1" applyAlignment="1">
      <alignment horizontal="center"/>
    </xf>
    <xf numFmtId="0" fontId="0" fillId="16" borderId="42" xfId="0" applyFill="1" applyBorder="1"/>
    <xf numFmtId="0" fontId="0" fillId="16" borderId="42" xfId="0" applyFill="1" applyBorder="1" applyAlignment="1">
      <alignment horizontal="center"/>
    </xf>
    <xf numFmtId="0" fontId="0" fillId="16" borderId="62" xfId="0" applyFill="1" applyBorder="1"/>
    <xf numFmtId="0" fontId="0" fillId="16" borderId="89" xfId="0" applyFill="1" applyBorder="1"/>
    <xf numFmtId="0" fontId="0" fillId="16" borderId="92" xfId="0" applyFill="1" applyBorder="1"/>
    <xf numFmtId="0" fontId="0" fillId="16" borderId="23" xfId="0" applyFill="1" applyBorder="1"/>
    <xf numFmtId="0" fontId="0" fillId="16" borderId="25" xfId="0" applyFill="1" applyBorder="1"/>
    <xf numFmtId="0" fontId="0" fillId="16" borderId="21" xfId="0" applyFill="1" applyBorder="1"/>
    <xf numFmtId="0" fontId="0" fillId="16" borderId="38" xfId="0" applyFill="1" applyBorder="1"/>
    <xf numFmtId="0" fontId="0" fillId="16" borderId="43" xfId="0" applyFill="1" applyBorder="1"/>
    <xf numFmtId="0" fontId="0" fillId="16" borderId="51" xfId="0" applyFill="1" applyBorder="1"/>
    <xf numFmtId="0" fontId="6" fillId="16" borderId="63" xfId="0" applyFont="1" applyFill="1" applyBorder="1"/>
    <xf numFmtId="0" fontId="8" fillId="16" borderId="64" xfId="0" applyFont="1" applyFill="1" applyBorder="1" applyAlignment="1">
      <alignment horizontal="center"/>
    </xf>
    <xf numFmtId="166" fontId="0" fillId="16" borderId="63" xfId="0" applyNumberFormat="1" applyFill="1" applyBorder="1" applyAlignment="1">
      <alignment horizontal="center"/>
    </xf>
    <xf numFmtId="0" fontId="0" fillId="16" borderId="71" xfId="0" applyFill="1" applyBorder="1" applyAlignment="1">
      <alignment horizontal="center"/>
    </xf>
    <xf numFmtId="0" fontId="8" fillId="16" borderId="63" xfId="0" applyFont="1" applyFill="1" applyBorder="1" applyAlignment="1">
      <alignment horizontal="center"/>
    </xf>
    <xf numFmtId="0" fontId="0" fillId="16" borderId="63" xfId="0" applyFill="1" applyBorder="1"/>
    <xf numFmtId="0" fontId="0" fillId="16" borderId="69" xfId="0" applyFill="1" applyBorder="1"/>
    <xf numFmtId="0" fontId="0" fillId="16" borderId="70" xfId="0" applyFill="1" applyBorder="1"/>
    <xf numFmtId="0" fontId="0" fillId="16" borderId="71" xfId="0" applyFill="1" applyBorder="1"/>
    <xf numFmtId="0" fontId="0" fillId="16" borderId="109" xfId="0" applyFill="1" applyBorder="1"/>
    <xf numFmtId="0" fontId="0" fillId="16" borderId="110" xfId="0" applyFill="1" applyBorder="1"/>
    <xf numFmtId="0" fontId="0" fillId="16" borderId="67" xfId="0" applyFill="1" applyBorder="1"/>
    <xf numFmtId="0" fontId="0" fillId="16" borderId="66" xfId="0" applyFill="1" applyBorder="1"/>
    <xf numFmtId="0" fontId="0" fillId="16" borderId="64" xfId="0" applyFill="1" applyBorder="1"/>
    <xf numFmtId="0" fontId="8" fillId="16" borderId="58" xfId="0" applyFont="1" applyFill="1" applyBorder="1" applyAlignment="1">
      <alignment horizontal="center"/>
    </xf>
    <xf numFmtId="166" fontId="0" fillId="16" borderId="21" xfId="0" applyNumberFormat="1" applyFill="1" applyBorder="1" applyAlignment="1">
      <alignment horizontal="center"/>
    </xf>
    <xf numFmtId="0" fontId="0" fillId="16" borderId="58" xfId="0" applyFill="1" applyBorder="1" applyAlignment="1">
      <alignment horizontal="center"/>
    </xf>
    <xf numFmtId="0" fontId="0" fillId="16" borderId="58" xfId="0" applyFill="1" applyBorder="1"/>
    <xf numFmtId="0" fontId="0" fillId="16" borderId="39" xfId="0" applyFill="1" applyBorder="1"/>
    <xf numFmtId="0" fontId="0" fillId="16" borderId="24" xfId="0" applyFill="1" applyBorder="1"/>
    <xf numFmtId="1" fontId="0" fillId="18" borderId="80" xfId="0" applyNumberFormat="1" applyFill="1" applyBorder="1" applyAlignment="1">
      <alignment horizontal="center"/>
    </xf>
    <xf numFmtId="1" fontId="0" fillId="18" borderId="15" xfId="0" applyNumberFormat="1" applyFill="1" applyBorder="1" applyAlignment="1">
      <alignment horizontal="center"/>
    </xf>
    <xf numFmtId="1" fontId="0" fillId="15" borderId="80" xfId="0" applyNumberFormat="1" applyFill="1" applyBorder="1" applyAlignment="1">
      <alignment horizontal="center"/>
    </xf>
    <xf numFmtId="0" fontId="0" fillId="15" borderId="181" xfId="0" applyFill="1" applyBorder="1"/>
    <xf numFmtId="0" fontId="0" fillId="15" borderId="182" xfId="0" applyFill="1" applyBorder="1" applyAlignment="1">
      <alignment horizontal="center"/>
    </xf>
    <xf numFmtId="0" fontId="2" fillId="15" borderId="145" xfId="0" applyFont="1" applyFill="1" applyBorder="1" applyAlignment="1">
      <alignment horizontal="center"/>
    </xf>
    <xf numFmtId="0" fontId="0" fillId="15" borderId="145" xfId="0" applyFill="1" applyBorder="1" applyAlignment="1">
      <alignment horizontal="center"/>
    </xf>
    <xf numFmtId="0" fontId="0" fillId="15" borderId="133" xfId="0" applyFill="1" applyBorder="1" applyAlignment="1">
      <alignment horizontal="center"/>
    </xf>
    <xf numFmtId="0" fontId="9" fillId="15" borderId="116" xfId="0" applyFont="1" applyFill="1" applyBorder="1" applyAlignment="1">
      <alignment horizontal="center"/>
    </xf>
    <xf numFmtId="0" fontId="0" fillId="15" borderId="183" xfId="0" applyFill="1" applyBorder="1"/>
    <xf numFmtId="0" fontId="0" fillId="15" borderId="184" xfId="0" applyFill="1" applyBorder="1" applyAlignment="1">
      <alignment horizontal="center"/>
    </xf>
    <xf numFmtId="0" fontId="2" fillId="15" borderId="140" xfId="0" applyFont="1" applyFill="1" applyBorder="1" applyAlignment="1">
      <alignment horizontal="center"/>
    </xf>
    <xf numFmtId="0" fontId="0" fillId="15" borderId="140" xfId="0" applyFill="1" applyBorder="1" applyAlignment="1">
      <alignment horizontal="center"/>
    </xf>
    <xf numFmtId="0" fontId="9" fillId="15" borderId="155" xfId="0" applyFont="1" applyFill="1" applyBorder="1" applyAlignment="1">
      <alignment horizontal="center"/>
    </xf>
    <xf numFmtId="0" fontId="0" fillId="15" borderId="186" xfId="0" applyFill="1" applyBorder="1"/>
    <xf numFmtId="0" fontId="0" fillId="15" borderId="187" xfId="0" applyFill="1" applyBorder="1" applyAlignment="1">
      <alignment horizontal="center"/>
    </xf>
    <xf numFmtId="0" fontId="2" fillId="15" borderId="188" xfId="0" applyFont="1" applyFill="1" applyBorder="1" applyAlignment="1">
      <alignment horizontal="center"/>
    </xf>
    <xf numFmtId="0" fontId="0" fillId="15" borderId="188" xfId="0" applyFill="1" applyBorder="1" applyAlignment="1">
      <alignment horizontal="center"/>
    </xf>
    <xf numFmtId="0" fontId="0" fillId="15" borderId="189" xfId="0" applyFill="1" applyBorder="1" applyAlignment="1">
      <alignment horizontal="center"/>
    </xf>
    <xf numFmtId="0" fontId="9" fillId="15" borderId="190" xfId="0" applyFont="1" applyFill="1" applyBorder="1" applyAlignment="1">
      <alignment horizontal="center"/>
    </xf>
    <xf numFmtId="1" fontId="0" fillId="2" borderId="0" xfId="0" applyNumberFormat="1" applyFill="1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0" fillId="0" borderId="20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0" fontId="0" fillId="0" borderId="23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2" fillId="0" borderId="85" xfId="0" applyFont="1" applyBorder="1" applyAlignment="1">
      <alignment horizontal="center" vertical="center"/>
    </xf>
    <xf numFmtId="0" fontId="2" fillId="0" borderId="53" xfId="0" applyFont="1" applyBorder="1" applyAlignment="1">
      <alignment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9" xfId="0" applyFont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0" fontId="2" fillId="0" borderId="51" xfId="0" applyFont="1" applyBorder="1" applyAlignment="1">
      <alignment vertical="center"/>
    </xf>
    <xf numFmtId="0" fontId="2" fillId="0" borderId="35" xfId="0" applyFont="1" applyBorder="1" applyAlignment="1">
      <alignment vertical="center"/>
    </xf>
    <xf numFmtId="0" fontId="0" fillId="0" borderId="51" xfId="0" applyBorder="1" applyAlignment="1">
      <alignment vertical="center"/>
    </xf>
    <xf numFmtId="0" fontId="0" fillId="0" borderId="31" xfId="0" applyBorder="1" applyAlignment="1">
      <alignment vertical="center"/>
    </xf>
    <xf numFmtId="0" fontId="0" fillId="0" borderId="32" xfId="0" applyBorder="1" applyAlignment="1">
      <alignment vertical="center"/>
    </xf>
    <xf numFmtId="0" fontId="0" fillId="0" borderId="83" xfId="0" applyBorder="1" applyAlignment="1">
      <alignment vertical="center"/>
    </xf>
    <xf numFmtId="0" fontId="2" fillId="0" borderId="16" xfId="0" applyFont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2" fillId="0" borderId="32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83" xfId="0" applyFont="1" applyBorder="1" applyAlignment="1">
      <alignment vertical="center"/>
    </xf>
    <xf numFmtId="0" fontId="2" fillId="0" borderId="52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/>
    </xf>
    <xf numFmtId="2" fontId="12" fillId="3" borderId="21" xfId="0" applyNumberFormat="1" applyFont="1" applyFill="1" applyBorder="1" applyAlignment="1">
      <alignment horizontal="center"/>
    </xf>
    <xf numFmtId="2" fontId="12" fillId="3" borderId="42" xfId="0" applyNumberFormat="1" applyFont="1" applyFill="1" applyBorder="1" applyAlignment="1">
      <alignment horizontal="center"/>
    </xf>
    <xf numFmtId="2" fontId="12" fillId="3" borderId="80" xfId="0" applyNumberFormat="1" applyFont="1" applyFill="1" applyBorder="1" applyAlignment="1">
      <alignment horizontal="center"/>
    </xf>
    <xf numFmtId="2" fontId="12" fillId="3" borderId="63" xfId="0" applyNumberFormat="1" applyFont="1" applyFill="1" applyBorder="1" applyAlignment="1">
      <alignment horizontal="center"/>
    </xf>
    <xf numFmtId="0" fontId="13" fillId="3" borderId="15" xfId="0" applyFont="1" applyFill="1" applyBorder="1" applyAlignment="1">
      <alignment horizontal="center"/>
    </xf>
    <xf numFmtId="0" fontId="12" fillId="16" borderId="21" xfId="0" applyFont="1" applyFill="1" applyBorder="1" applyAlignment="1">
      <alignment horizontal="center"/>
    </xf>
    <xf numFmtId="0" fontId="12" fillId="3" borderId="42" xfId="0" applyFont="1" applyFill="1" applyBorder="1" applyAlignment="1">
      <alignment horizontal="center"/>
    </xf>
    <xf numFmtId="0" fontId="12" fillId="16" borderId="42" xfId="0" applyFont="1" applyFill="1" applyBorder="1" applyAlignment="1">
      <alignment horizontal="center"/>
    </xf>
    <xf numFmtId="0" fontId="12" fillId="16" borderId="63" xfId="0" applyFont="1" applyFill="1" applyBorder="1" applyAlignment="1">
      <alignment horizontal="center"/>
    </xf>
    <xf numFmtId="0" fontId="5" fillId="0" borderId="132" xfId="0" applyFont="1" applyBorder="1" applyAlignment="1">
      <alignment horizontal="center"/>
    </xf>
    <xf numFmtId="0" fontId="6" fillId="0" borderId="42" xfId="0" applyFont="1" applyBorder="1"/>
    <xf numFmtId="0" fontId="0" fillId="11" borderId="0" xfId="0" applyFill="1"/>
    <xf numFmtId="0" fontId="0" fillId="0" borderId="82" xfId="0" applyBorder="1"/>
    <xf numFmtId="0" fontId="6" fillId="16" borderId="97" xfId="0" applyFont="1" applyFill="1" applyBorder="1"/>
    <xf numFmtId="0" fontId="8" fillId="16" borderId="98" xfId="0" applyFont="1" applyFill="1" applyBorder="1" applyAlignment="1">
      <alignment horizontal="center"/>
    </xf>
    <xf numFmtId="0" fontId="12" fillId="16" borderId="80" xfId="0" applyFont="1" applyFill="1" applyBorder="1" applyAlignment="1">
      <alignment horizontal="center"/>
    </xf>
    <xf numFmtId="166" fontId="0" fillId="16" borderId="80" xfId="0" applyNumberFormat="1" applyFill="1" applyBorder="1" applyAlignment="1">
      <alignment horizontal="center"/>
    </xf>
    <xf numFmtId="0" fontId="0" fillId="16" borderId="98" xfId="0" applyFill="1" applyBorder="1" applyAlignment="1">
      <alignment horizontal="center"/>
    </xf>
    <xf numFmtId="0" fontId="0" fillId="16" borderId="80" xfId="0" applyFill="1" applyBorder="1" applyAlignment="1">
      <alignment horizontal="center"/>
    </xf>
    <xf numFmtId="0" fontId="0" fillId="16" borderId="97" xfId="0" applyFill="1" applyBorder="1" applyAlignment="1">
      <alignment horizontal="center"/>
    </xf>
    <xf numFmtId="0" fontId="0" fillId="16" borderId="100" xfId="0" applyFill="1" applyBorder="1"/>
    <xf numFmtId="0" fontId="0" fillId="16" borderId="101" xfId="0" applyFill="1" applyBorder="1"/>
    <xf numFmtId="0" fontId="0" fillId="16" borderId="98" xfId="0" applyFill="1" applyBorder="1"/>
    <xf numFmtId="0" fontId="0" fillId="16" borderId="99" xfId="0" applyFill="1" applyBorder="1" applyAlignment="1">
      <alignment horizontal="center"/>
    </xf>
    <xf numFmtId="0" fontId="0" fillId="16" borderId="102" xfId="0" applyFill="1" applyBorder="1"/>
    <xf numFmtId="0" fontId="0" fillId="16" borderId="97" xfId="0" applyFill="1" applyBorder="1"/>
    <xf numFmtId="0" fontId="0" fillId="16" borderId="103" xfId="0" applyFill="1" applyBorder="1"/>
    <xf numFmtId="0" fontId="0" fillId="16" borderId="79" xfId="0" applyFill="1" applyBorder="1"/>
    <xf numFmtId="0" fontId="0" fillId="16" borderId="63" xfId="0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0" fontId="7" fillId="14" borderId="0" xfId="0" applyFont="1" applyFill="1" applyAlignment="1">
      <alignment horizontal="center" vertical="center"/>
    </xf>
    <xf numFmtId="0" fontId="0" fillId="16" borderId="100" xfId="0" applyFill="1" applyBorder="1" applyAlignment="1">
      <alignment horizontal="center"/>
    </xf>
    <xf numFmtId="0" fontId="0" fillId="16" borderId="96" xfId="0" applyFill="1" applyBorder="1"/>
    <xf numFmtId="0" fontId="12" fillId="16" borderId="71" xfId="0" applyFont="1" applyFill="1" applyBorder="1" applyAlignment="1">
      <alignment horizontal="center"/>
    </xf>
    <xf numFmtId="0" fontId="0" fillId="16" borderId="112" xfId="0" applyFill="1" applyBorder="1" applyAlignment="1">
      <alignment horizontal="center"/>
    </xf>
    <xf numFmtId="0" fontId="0" fillId="16" borderId="107" xfId="0" applyFill="1" applyBorder="1"/>
    <xf numFmtId="0" fontId="2" fillId="3" borderId="42" xfId="0" applyFont="1" applyFill="1" applyBorder="1" applyAlignment="1">
      <alignment horizontal="center"/>
    </xf>
    <xf numFmtId="2" fontId="0" fillId="3" borderId="43" xfId="0" applyNumberFormat="1" applyFill="1" applyBorder="1" applyAlignment="1">
      <alignment horizontal="center"/>
    </xf>
    <xf numFmtId="0" fontId="0" fillId="3" borderId="143" xfId="0" applyFill="1" applyBorder="1" applyAlignment="1">
      <alignment horizontal="center"/>
    </xf>
    <xf numFmtId="1" fontId="0" fillId="3" borderId="143" xfId="0" applyNumberFormat="1" applyFill="1" applyBorder="1" applyAlignment="1">
      <alignment horizontal="center"/>
    </xf>
    <xf numFmtId="1" fontId="0" fillId="3" borderId="0" xfId="0" applyNumberFormat="1" applyFill="1" applyAlignment="1">
      <alignment horizontal="center"/>
    </xf>
    <xf numFmtId="0" fontId="0" fillId="11" borderId="61" xfId="0" applyFill="1" applyBorder="1"/>
    <xf numFmtId="0" fontId="0" fillId="11" borderId="61" xfId="0" applyFill="1" applyBorder="1" applyAlignment="1">
      <alignment horizontal="center"/>
    </xf>
    <xf numFmtId="0" fontId="0" fillId="3" borderId="60" xfId="0" applyFill="1" applyBorder="1"/>
    <xf numFmtId="0" fontId="0" fillId="3" borderId="43" xfId="0" applyFill="1" applyBorder="1"/>
    <xf numFmtId="0" fontId="0" fillId="3" borderId="113" xfId="0" applyFill="1" applyBorder="1"/>
    <xf numFmtId="0" fontId="0" fillId="3" borderId="75" xfId="0" applyFill="1" applyBorder="1" applyAlignment="1">
      <alignment horizontal="center"/>
    </xf>
    <xf numFmtId="0" fontId="2" fillId="3" borderId="155" xfId="0" applyFont="1" applyFill="1" applyBorder="1" applyAlignment="1">
      <alignment horizontal="center"/>
    </xf>
    <xf numFmtId="0" fontId="0" fillId="3" borderId="202" xfId="0" applyFill="1" applyBorder="1"/>
    <xf numFmtId="0" fontId="2" fillId="3" borderId="160" xfId="0" applyFont="1" applyFill="1" applyBorder="1" applyAlignment="1">
      <alignment horizontal="center"/>
    </xf>
    <xf numFmtId="166" fontId="0" fillId="3" borderId="158" xfId="0" applyNumberFormat="1" applyFill="1" applyBorder="1" applyAlignment="1">
      <alignment horizontal="center"/>
    </xf>
    <xf numFmtId="166" fontId="9" fillId="3" borderId="204" xfId="0" applyNumberFormat="1" applyFont="1" applyFill="1" applyBorder="1" applyAlignment="1">
      <alignment horizontal="center"/>
    </xf>
    <xf numFmtId="166" fontId="9" fillId="3" borderId="140" xfId="0" applyNumberFormat="1" applyFont="1" applyFill="1" applyBorder="1" applyAlignment="1">
      <alignment horizontal="center"/>
    </xf>
    <xf numFmtId="1" fontId="0" fillId="0" borderId="24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0" fontId="0" fillId="3" borderId="164" xfId="0" applyFill="1" applyBorder="1" applyAlignment="1">
      <alignment horizontal="center"/>
    </xf>
    <xf numFmtId="0" fontId="0" fillId="3" borderId="136" xfId="0" applyFill="1" applyBorder="1"/>
    <xf numFmtId="0" fontId="0" fillId="3" borderId="52" xfId="0" applyFill="1" applyBorder="1" applyAlignment="1">
      <alignment horizontal="center"/>
    </xf>
    <xf numFmtId="0" fontId="0" fillId="3" borderId="78" xfId="0" applyFill="1" applyBorder="1" applyAlignment="1">
      <alignment horizontal="center"/>
    </xf>
    <xf numFmtId="0" fontId="0" fillId="3" borderId="51" xfId="0" applyFill="1" applyBorder="1" applyAlignment="1">
      <alignment horizontal="center"/>
    </xf>
    <xf numFmtId="0" fontId="0" fillId="16" borderId="82" xfId="0" applyFill="1" applyBorder="1" applyAlignment="1">
      <alignment horizontal="center"/>
    </xf>
    <xf numFmtId="0" fontId="0" fillId="16" borderId="102" xfId="0" applyFill="1" applyBorder="1" applyAlignment="1">
      <alignment horizontal="center"/>
    </xf>
    <xf numFmtId="0" fontId="0" fillId="16" borderId="113" xfId="0" applyFill="1" applyBorder="1" applyAlignment="1">
      <alignment horizontal="center"/>
    </xf>
    <xf numFmtId="1" fontId="0" fillId="0" borderId="120" xfId="0" applyNumberFormat="1" applyBorder="1" applyAlignment="1">
      <alignment horizontal="center"/>
    </xf>
    <xf numFmtId="1" fontId="0" fillId="0" borderId="113" xfId="0" applyNumberFormat="1" applyBorder="1" applyAlignment="1">
      <alignment horizontal="center"/>
    </xf>
    <xf numFmtId="1" fontId="0" fillId="0" borderId="112" xfId="0" applyNumberFormat="1" applyBorder="1" applyAlignment="1">
      <alignment horizontal="center"/>
    </xf>
    <xf numFmtId="1" fontId="0" fillId="0" borderId="79" xfId="0" applyNumberFormat="1" applyBorder="1" applyAlignment="1">
      <alignment horizontal="center"/>
    </xf>
    <xf numFmtId="1" fontId="0" fillId="0" borderId="104" xfId="0" applyNumberFormat="1" applyBorder="1" applyAlignment="1">
      <alignment horizontal="center"/>
    </xf>
    <xf numFmtId="1" fontId="0" fillId="0" borderId="59" xfId="0" applyNumberFormat="1" applyBorder="1" applyAlignment="1">
      <alignment horizontal="center"/>
    </xf>
    <xf numFmtId="1" fontId="0" fillId="0" borderId="51" xfId="0" applyNumberFormat="1" applyBorder="1" applyAlignment="1">
      <alignment horizontal="center"/>
    </xf>
    <xf numFmtId="1" fontId="0" fillId="0" borderId="206" xfId="0" applyNumberFormat="1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59" xfId="0" applyBorder="1" applyAlignment="1">
      <alignment horizontal="center"/>
    </xf>
    <xf numFmtId="0" fontId="0" fillId="0" borderId="84" xfId="0" applyBorder="1" applyAlignment="1">
      <alignment horizontal="center"/>
    </xf>
    <xf numFmtId="0" fontId="3" fillId="11" borderId="207" xfId="0" applyFont="1" applyFill="1" applyBorder="1" applyAlignment="1">
      <alignment horizontal="center"/>
    </xf>
    <xf numFmtId="0" fontId="3" fillId="11" borderId="208" xfId="0" applyFont="1" applyFill="1" applyBorder="1" applyAlignment="1">
      <alignment horizontal="center"/>
    </xf>
    <xf numFmtId="0" fontId="3" fillId="11" borderId="209" xfId="0" applyFont="1" applyFill="1" applyBorder="1" applyAlignment="1">
      <alignment horizontal="center"/>
    </xf>
    <xf numFmtId="0" fontId="3" fillId="11" borderId="210" xfId="0" applyFont="1" applyFill="1" applyBorder="1" applyAlignment="1">
      <alignment horizontal="center"/>
    </xf>
    <xf numFmtId="0" fontId="0" fillId="3" borderId="211" xfId="0" applyFill="1" applyBorder="1" applyAlignment="1">
      <alignment horizontal="center"/>
    </xf>
    <xf numFmtId="0" fontId="0" fillId="11" borderId="212" xfId="0" applyFill="1" applyBorder="1" applyAlignment="1">
      <alignment horizontal="center"/>
    </xf>
    <xf numFmtId="1" fontId="0" fillId="3" borderId="157" xfId="0" applyNumberFormat="1" applyFill="1" applyBorder="1" applyAlignment="1">
      <alignment horizontal="center"/>
    </xf>
    <xf numFmtId="0" fontId="0" fillId="11" borderId="156" xfId="0" applyFill="1" applyBorder="1" applyAlignment="1">
      <alignment horizontal="center"/>
    </xf>
    <xf numFmtId="0" fontId="0" fillId="11" borderId="132" xfId="0" applyFill="1" applyBorder="1" applyAlignment="1">
      <alignment horizontal="center"/>
    </xf>
    <xf numFmtId="0" fontId="0" fillId="11" borderId="174" xfId="0" applyFill="1" applyBorder="1" applyAlignment="1">
      <alignment horizontal="center"/>
    </xf>
    <xf numFmtId="0" fontId="0" fillId="3" borderId="213" xfId="0" applyFill="1" applyBorder="1"/>
    <xf numFmtId="0" fontId="0" fillId="11" borderId="214" xfId="0" applyFill="1" applyBorder="1"/>
    <xf numFmtId="0" fontId="0" fillId="0" borderId="136" xfId="0" applyBorder="1"/>
    <xf numFmtId="0" fontId="0" fillId="11" borderId="132" xfId="0" applyFill="1" applyBorder="1"/>
    <xf numFmtId="0" fontId="0" fillId="0" borderId="157" xfId="0" applyBorder="1"/>
    <xf numFmtId="0" fontId="0" fillId="11" borderId="156" xfId="0" applyFill="1" applyBorder="1"/>
    <xf numFmtId="0" fontId="0" fillId="0" borderId="215" xfId="0" applyBorder="1"/>
    <xf numFmtId="0" fontId="0" fillId="11" borderId="216" xfId="0" applyFill="1" applyBorder="1"/>
    <xf numFmtId="0" fontId="0" fillId="2" borderId="217" xfId="0" applyFill="1" applyBorder="1"/>
    <xf numFmtId="0" fontId="0" fillId="2" borderId="116" xfId="0" applyFill="1" applyBorder="1"/>
    <xf numFmtId="0" fontId="0" fillId="2" borderId="218" xfId="0" applyFill="1" applyBorder="1"/>
    <xf numFmtId="0" fontId="3" fillId="11" borderId="219" xfId="0" applyFont="1" applyFill="1" applyBorder="1" applyAlignment="1">
      <alignment horizontal="center"/>
    </xf>
    <xf numFmtId="0" fontId="3" fillId="11" borderId="220" xfId="0" applyFont="1" applyFill="1" applyBorder="1" applyAlignment="1">
      <alignment horizontal="center"/>
    </xf>
    <xf numFmtId="0" fontId="0" fillId="0" borderId="217" xfId="0" applyBorder="1"/>
    <xf numFmtId="0" fontId="0" fillId="11" borderId="221" xfId="0" applyFill="1" applyBorder="1" applyAlignment="1">
      <alignment horizontal="center"/>
    </xf>
    <xf numFmtId="0" fontId="0" fillId="11" borderId="222" xfId="0" applyFill="1" applyBorder="1" applyAlignment="1">
      <alignment horizontal="center"/>
    </xf>
    <xf numFmtId="0" fontId="0" fillId="11" borderId="223" xfId="0" applyFill="1" applyBorder="1" applyAlignment="1">
      <alignment horizontal="center"/>
    </xf>
    <xf numFmtId="0" fontId="0" fillId="11" borderId="224" xfId="0" applyFill="1" applyBorder="1" applyAlignment="1">
      <alignment horizontal="center"/>
    </xf>
    <xf numFmtId="0" fontId="0" fillId="0" borderId="148" xfId="0" applyBorder="1"/>
    <xf numFmtId="0" fontId="0" fillId="11" borderId="225" xfId="0" applyFill="1" applyBorder="1"/>
    <xf numFmtId="0" fontId="0" fillId="11" borderId="223" xfId="0" applyFill="1" applyBorder="1"/>
    <xf numFmtId="0" fontId="0" fillId="16" borderId="152" xfId="0" applyFill="1" applyBorder="1"/>
    <xf numFmtId="0" fontId="0" fillId="16" borderId="222" xfId="0" applyFill="1" applyBorder="1"/>
    <xf numFmtId="0" fontId="0" fillId="16" borderId="176" xfId="0" applyFill="1" applyBorder="1"/>
    <xf numFmtId="0" fontId="0" fillId="16" borderId="221" xfId="0" applyFill="1" applyBorder="1"/>
    <xf numFmtId="0" fontId="0" fillId="16" borderId="162" xfId="0" applyFill="1" applyBorder="1"/>
    <xf numFmtId="0" fontId="0" fillId="16" borderId="226" xfId="0" applyFill="1" applyBorder="1"/>
    <xf numFmtId="0" fontId="0" fillId="16" borderId="157" xfId="0" applyFill="1" applyBorder="1"/>
    <xf numFmtId="0" fontId="0" fillId="16" borderId="227" xfId="0" applyFill="1" applyBorder="1"/>
    <xf numFmtId="0" fontId="0" fillId="13" borderId="217" xfId="0" applyFill="1" applyBorder="1"/>
    <xf numFmtId="0" fontId="0" fillId="13" borderId="116" xfId="0" applyFill="1" applyBorder="1"/>
    <xf numFmtId="0" fontId="3" fillId="11" borderId="228" xfId="0" applyFont="1" applyFill="1" applyBorder="1" applyAlignment="1">
      <alignment horizontal="center"/>
    </xf>
    <xf numFmtId="0" fontId="0" fillId="3" borderId="229" xfId="0" applyFill="1" applyBorder="1" applyAlignment="1">
      <alignment horizontal="center"/>
    </xf>
    <xf numFmtId="0" fontId="0" fillId="11" borderId="230" xfId="0" applyFill="1" applyBorder="1" applyAlignment="1">
      <alignment horizontal="center"/>
    </xf>
    <xf numFmtId="0" fontId="0" fillId="13" borderId="217" xfId="0" applyFill="1" applyBorder="1" applyAlignment="1">
      <alignment horizontal="center"/>
    </xf>
    <xf numFmtId="0" fontId="0" fillId="13" borderId="116" xfId="0" applyFill="1" applyBorder="1" applyAlignment="1">
      <alignment horizontal="center"/>
    </xf>
    <xf numFmtId="1" fontId="0" fillId="3" borderId="136" xfId="0" applyNumberFormat="1" applyFill="1" applyBorder="1" applyAlignment="1">
      <alignment horizontal="center"/>
    </xf>
    <xf numFmtId="1" fontId="0" fillId="3" borderId="148" xfId="0" applyNumberFormat="1" applyFill="1" applyBorder="1" applyAlignment="1">
      <alignment horizontal="center"/>
    </xf>
    <xf numFmtId="0" fontId="0" fillId="3" borderId="157" xfId="0" applyFill="1" applyBorder="1"/>
    <xf numFmtId="0" fontId="0" fillId="3" borderId="162" xfId="0" applyFill="1" applyBorder="1"/>
    <xf numFmtId="0" fontId="0" fillId="3" borderId="176" xfId="0" applyFill="1" applyBorder="1"/>
    <xf numFmtId="0" fontId="0" fillId="3" borderId="152" xfId="0" applyFill="1" applyBorder="1"/>
    <xf numFmtId="0" fontId="0" fillId="3" borderId="195" xfId="0" applyFill="1" applyBorder="1"/>
    <xf numFmtId="0" fontId="0" fillId="2" borderId="231" xfId="0" applyFill="1" applyBorder="1"/>
    <xf numFmtId="0" fontId="3" fillId="11" borderId="232" xfId="0" applyFont="1" applyFill="1" applyBorder="1" applyAlignment="1">
      <alignment horizontal="center"/>
    </xf>
    <xf numFmtId="0" fontId="3" fillId="11" borderId="233" xfId="0" applyFont="1" applyFill="1" applyBorder="1" applyAlignment="1">
      <alignment horizontal="center"/>
    </xf>
    <xf numFmtId="0" fontId="0" fillId="11" borderId="134" xfId="0" applyFill="1" applyBorder="1"/>
    <xf numFmtId="0" fontId="0" fillId="11" borderId="155" xfId="0" applyFill="1" applyBorder="1"/>
    <xf numFmtId="0" fontId="0" fillId="11" borderId="175" xfId="0" applyFill="1" applyBorder="1"/>
    <xf numFmtId="0" fontId="0" fillId="11" borderId="218" xfId="0" applyFill="1" applyBorder="1"/>
    <xf numFmtId="0" fontId="0" fillId="2" borderId="234" xfId="0" applyFill="1" applyBorder="1"/>
    <xf numFmtId="0" fontId="0" fillId="11" borderId="235" xfId="0" applyFill="1" applyBorder="1"/>
    <xf numFmtId="0" fontId="0" fillId="11" borderId="222" xfId="0" applyFill="1" applyBorder="1"/>
    <xf numFmtId="0" fontId="0" fillId="11" borderId="224" xfId="0" applyFill="1" applyBorder="1"/>
    <xf numFmtId="0" fontId="0" fillId="16" borderId="223" xfId="0" applyFill="1" applyBorder="1"/>
    <xf numFmtId="0" fontId="0" fillId="16" borderId="164" xfId="0" applyFill="1" applyBorder="1"/>
    <xf numFmtId="0" fontId="0" fillId="16" borderId="224" xfId="0" applyFill="1" applyBorder="1"/>
    <xf numFmtId="0" fontId="0" fillId="16" borderId="175" xfId="0" applyFill="1" applyBorder="1"/>
    <xf numFmtId="0" fontId="0" fillId="16" borderId="159" xfId="0" applyFill="1" applyBorder="1"/>
    <xf numFmtId="0" fontId="3" fillId="11" borderId="236" xfId="0" applyFont="1" applyFill="1" applyBorder="1" applyAlignment="1">
      <alignment horizontal="center"/>
    </xf>
    <xf numFmtId="0" fontId="0" fillId="3" borderId="229" xfId="0" applyFill="1" applyBorder="1"/>
    <xf numFmtId="0" fontId="0" fillId="11" borderId="237" xfId="0" applyFill="1" applyBorder="1"/>
    <xf numFmtId="0" fontId="3" fillId="11" borderId="238" xfId="0" applyFont="1" applyFill="1" applyBorder="1" applyAlignment="1">
      <alignment horizontal="center"/>
    </xf>
    <xf numFmtId="0" fontId="3" fillId="11" borderId="239" xfId="0" applyFont="1" applyFill="1" applyBorder="1" applyAlignment="1">
      <alignment horizontal="center"/>
    </xf>
    <xf numFmtId="0" fontId="3" fillId="11" borderId="240" xfId="0" applyFont="1" applyFill="1" applyBorder="1" applyAlignment="1">
      <alignment horizontal="center"/>
    </xf>
    <xf numFmtId="0" fontId="0" fillId="11" borderId="174" xfId="0" applyFill="1" applyBorder="1"/>
    <xf numFmtId="0" fontId="0" fillId="11" borderId="0" xfId="0" applyFill="1" applyAlignment="1">
      <alignment horizontal="center"/>
    </xf>
    <xf numFmtId="0" fontId="0" fillId="16" borderId="241" xfId="0" applyFill="1" applyBorder="1"/>
    <xf numFmtId="0" fontId="0" fillId="11" borderId="230" xfId="0" applyFill="1" applyBorder="1"/>
    <xf numFmtId="0" fontId="3" fillId="11" borderId="242" xfId="0" applyFont="1" applyFill="1" applyBorder="1" applyAlignment="1">
      <alignment horizontal="center"/>
    </xf>
    <xf numFmtId="0" fontId="0" fillId="3" borderId="135" xfId="0" applyFill="1" applyBorder="1"/>
    <xf numFmtId="0" fontId="0" fillId="3" borderId="205" xfId="0" applyFill="1" applyBorder="1"/>
    <xf numFmtId="0" fontId="0" fillId="3" borderId="243" xfId="0" applyFill="1" applyBorder="1"/>
    <xf numFmtId="0" fontId="0" fillId="16" borderId="205" xfId="0" applyFill="1" applyBorder="1"/>
    <xf numFmtId="0" fontId="3" fillId="11" borderId="244" xfId="0" applyFont="1" applyFill="1" applyBorder="1" applyAlignment="1">
      <alignment horizontal="center"/>
    </xf>
    <xf numFmtId="0" fontId="0" fillId="3" borderId="245" xfId="0" applyFill="1" applyBorder="1"/>
    <xf numFmtId="0" fontId="0" fillId="3" borderId="215" xfId="0" applyFill="1" applyBorder="1"/>
    <xf numFmtId="0" fontId="0" fillId="11" borderId="116" xfId="0" applyFill="1" applyBorder="1"/>
    <xf numFmtId="0" fontId="0" fillId="16" borderId="149" xfId="0" applyFill="1" applyBorder="1"/>
    <xf numFmtId="0" fontId="0" fillId="11" borderId="221" xfId="0" applyFill="1" applyBorder="1"/>
    <xf numFmtId="0" fontId="3" fillId="11" borderId="216" xfId="0" applyFont="1" applyFill="1" applyBorder="1" applyAlignment="1">
      <alignment horizontal="center"/>
    </xf>
    <xf numFmtId="0" fontId="0" fillId="13" borderId="246" xfId="0" applyFill="1" applyBorder="1"/>
    <xf numFmtId="0" fontId="0" fillId="11" borderId="247" xfId="0" applyFill="1" applyBorder="1"/>
    <xf numFmtId="0" fontId="0" fillId="11" borderId="248" xfId="0" applyFill="1" applyBorder="1"/>
    <xf numFmtId="0" fontId="0" fillId="16" borderId="116" xfId="0" applyFill="1" applyBorder="1"/>
    <xf numFmtId="0" fontId="0" fillId="16" borderId="134" xfId="0" applyFill="1" applyBorder="1"/>
    <xf numFmtId="0" fontId="0" fillId="13" borderId="249" xfId="0" applyFill="1" applyBorder="1"/>
    <xf numFmtId="0" fontId="3" fillId="11" borderId="250" xfId="0" applyFont="1" applyFill="1" applyBorder="1" applyAlignment="1">
      <alignment horizontal="center"/>
    </xf>
    <xf numFmtId="0" fontId="0" fillId="3" borderId="251" xfId="0" applyFill="1" applyBorder="1"/>
    <xf numFmtId="0" fontId="0" fillId="3" borderId="252" xfId="0" applyFill="1" applyBorder="1"/>
    <xf numFmtId="0" fontId="0" fillId="3" borderId="225" xfId="0" applyFill="1" applyBorder="1"/>
    <xf numFmtId="0" fontId="0" fillId="3" borderId="253" xfId="0" applyFill="1" applyBorder="1"/>
    <xf numFmtId="0" fontId="0" fillId="3" borderId="235" xfId="0" applyFill="1" applyBorder="1"/>
    <xf numFmtId="0" fontId="0" fillId="3" borderId="254" xfId="0" applyFill="1" applyBorder="1"/>
    <xf numFmtId="0" fontId="0" fillId="3" borderId="221" xfId="0" applyFill="1" applyBorder="1"/>
    <xf numFmtId="0" fontId="0" fillId="3" borderId="255" xfId="0" applyFill="1" applyBorder="1"/>
    <xf numFmtId="0" fontId="0" fillId="3" borderId="256" xfId="0" applyFill="1" applyBorder="1"/>
    <xf numFmtId="0" fontId="0" fillId="0" borderId="253" xfId="0" applyBorder="1"/>
    <xf numFmtId="0" fontId="0" fillId="0" borderId="203" xfId="0" applyBorder="1"/>
    <xf numFmtId="0" fontId="0" fillId="3" borderId="223" xfId="0" applyFill="1" applyBorder="1"/>
    <xf numFmtId="0" fontId="0" fillId="0" borderId="257" xfId="0" applyBorder="1"/>
    <xf numFmtId="0" fontId="0" fillId="3" borderId="258" xfId="0" applyFill="1" applyBorder="1"/>
    <xf numFmtId="0" fontId="3" fillId="11" borderId="259" xfId="0" applyFont="1" applyFill="1" applyBorder="1" applyAlignment="1">
      <alignment horizontal="center"/>
    </xf>
    <xf numFmtId="0" fontId="0" fillId="3" borderId="260" xfId="0" applyFill="1" applyBorder="1"/>
    <xf numFmtId="0" fontId="0" fillId="3" borderId="203" xfId="0" applyFill="1" applyBorder="1"/>
    <xf numFmtId="0" fontId="0" fillId="3" borderId="261" xfId="0" applyFill="1" applyBorder="1"/>
    <xf numFmtId="0" fontId="0" fillId="3" borderId="248" xfId="0" applyFill="1" applyBorder="1"/>
    <xf numFmtId="0" fontId="0" fillId="3" borderId="262" xfId="0" applyFill="1" applyBorder="1"/>
    <xf numFmtId="0" fontId="0" fillId="3" borderId="224" xfId="0" applyFill="1" applyBorder="1"/>
    <xf numFmtId="0" fontId="0" fillId="0" borderId="251" xfId="0" applyBorder="1"/>
    <xf numFmtId="0" fontId="0" fillId="0" borderId="254" xfId="0" applyBorder="1"/>
    <xf numFmtId="0" fontId="0" fillId="16" borderId="263" xfId="0" applyFill="1" applyBorder="1"/>
    <xf numFmtId="0" fontId="0" fillId="16" borderId="251" xfId="0" applyFill="1" applyBorder="1"/>
    <xf numFmtId="0" fontId="0" fillId="16" borderId="264" xfId="0" applyFill="1" applyBorder="1"/>
    <xf numFmtId="0" fontId="0" fillId="16" borderId="253" xfId="0" applyFill="1" applyBorder="1"/>
    <xf numFmtId="0" fontId="0" fillId="16" borderId="262" xfId="0" applyFill="1" applyBorder="1"/>
    <xf numFmtId="0" fontId="0" fillId="3" borderId="116" xfId="0" applyFill="1" applyBorder="1"/>
    <xf numFmtId="0" fontId="0" fillId="3" borderId="257" xfId="0" applyFill="1" applyBorder="1"/>
    <xf numFmtId="0" fontId="0" fillId="0" borderId="265" xfId="0" applyBorder="1"/>
    <xf numFmtId="0" fontId="0" fillId="3" borderId="144" xfId="0" applyFill="1" applyBorder="1"/>
    <xf numFmtId="0" fontId="0" fillId="3" borderId="266" xfId="0" applyFill="1" applyBorder="1"/>
    <xf numFmtId="0" fontId="0" fillId="3" borderId="267" xfId="0" applyFill="1" applyBorder="1"/>
    <xf numFmtId="0" fontId="0" fillId="0" borderId="267" xfId="0" applyBorder="1"/>
    <xf numFmtId="0" fontId="0" fillId="3" borderId="168" xfId="0" applyFill="1" applyBorder="1"/>
    <xf numFmtId="0" fontId="0" fillId="3" borderId="132" xfId="0" applyFill="1" applyBorder="1"/>
    <xf numFmtId="0" fontId="0" fillId="3" borderId="268" xfId="0" applyFill="1" applyBorder="1"/>
    <xf numFmtId="0" fontId="14" fillId="19" borderId="1" xfId="0" applyFont="1" applyFill="1" applyBorder="1"/>
    <xf numFmtId="0" fontId="3" fillId="10" borderId="86" xfId="0" applyFont="1" applyFill="1" applyBorder="1" applyAlignment="1">
      <alignment horizontal="center"/>
    </xf>
    <xf numFmtId="0" fontId="0" fillId="3" borderId="35" xfId="0" applyFill="1" applyBorder="1" applyAlignment="1">
      <alignment horizontal="center"/>
    </xf>
    <xf numFmtId="0" fontId="0" fillId="16" borderId="43" xfId="0" applyFill="1" applyBorder="1" applyAlignment="1">
      <alignment horizontal="center"/>
    </xf>
    <xf numFmtId="0" fontId="0" fillId="16" borderId="64" xfId="0" applyFill="1" applyBorder="1" applyAlignment="1">
      <alignment horizontal="center"/>
    </xf>
    <xf numFmtId="1" fontId="0" fillId="3" borderId="36" xfId="0" applyNumberFormat="1" applyFill="1" applyBorder="1" applyAlignment="1">
      <alignment horizontal="center"/>
    </xf>
    <xf numFmtId="1" fontId="0" fillId="3" borderId="40" xfId="0" applyNumberFormat="1" applyFill="1" applyBorder="1" applyAlignment="1">
      <alignment horizontal="center"/>
    </xf>
    <xf numFmtId="1" fontId="0" fillId="3" borderId="64" xfId="0" applyNumberFormat="1" applyFill="1" applyBorder="1" applyAlignment="1">
      <alignment horizontal="center"/>
    </xf>
    <xf numFmtId="1" fontId="0" fillId="3" borderId="35" xfId="0" applyNumberFormat="1" applyFill="1" applyBorder="1" applyAlignment="1">
      <alignment horizontal="center"/>
    </xf>
    <xf numFmtId="1" fontId="0" fillId="3" borderId="97" xfId="0" applyNumberFormat="1" applyFill="1" applyBorder="1" applyAlignment="1">
      <alignment horizontal="center"/>
    </xf>
    <xf numFmtId="1" fontId="0" fillId="3" borderId="103" xfId="0" applyNumberFormat="1" applyFill="1" applyBorder="1" applyAlignment="1">
      <alignment horizontal="center"/>
    </xf>
    <xf numFmtId="1" fontId="0" fillId="3" borderId="107" xfId="0" applyNumberFormat="1" applyFill="1" applyBorder="1" applyAlignment="1">
      <alignment horizontal="center"/>
    </xf>
    <xf numFmtId="1" fontId="0" fillId="18" borderId="40" xfId="0" applyNumberFormat="1" applyFill="1" applyBorder="1" applyAlignment="1">
      <alignment horizontal="center"/>
    </xf>
    <xf numFmtId="1" fontId="0" fillId="18" borderId="97" xfId="0" applyNumberFormat="1" applyFill="1" applyBorder="1" applyAlignment="1">
      <alignment horizontal="center"/>
    </xf>
    <xf numFmtId="1" fontId="0" fillId="0" borderId="40" xfId="0" applyNumberFormat="1" applyBorder="1" applyAlignment="1">
      <alignment horizontal="center"/>
    </xf>
    <xf numFmtId="1" fontId="0" fillId="0" borderId="35" xfId="0" applyNumberFormat="1" applyBorder="1" applyAlignment="1">
      <alignment horizontal="center"/>
    </xf>
    <xf numFmtId="0" fontId="3" fillId="10" borderId="271" xfId="0" applyFont="1" applyFill="1" applyBorder="1" applyAlignment="1">
      <alignment horizontal="center"/>
    </xf>
    <xf numFmtId="0" fontId="0" fillId="3" borderId="272" xfId="0" applyFill="1" applyBorder="1" applyAlignment="1">
      <alignment horizontal="center"/>
    </xf>
    <xf numFmtId="0" fontId="0" fillId="3" borderId="273" xfId="0" applyFill="1" applyBorder="1" applyAlignment="1">
      <alignment horizontal="center"/>
    </xf>
    <xf numFmtId="0" fontId="0" fillId="3" borderId="204" xfId="0" applyFill="1" applyBorder="1"/>
    <xf numFmtId="0" fontId="0" fillId="2" borderId="145" xfId="0" applyFill="1" applyBorder="1"/>
    <xf numFmtId="0" fontId="0" fillId="16" borderId="150" xfId="0" applyFill="1" applyBorder="1" applyAlignment="1">
      <alignment horizontal="center"/>
    </xf>
    <xf numFmtId="0" fontId="0" fillId="16" borderId="140" xfId="0" applyFill="1" applyBorder="1" applyAlignment="1">
      <alignment horizontal="center"/>
    </xf>
    <xf numFmtId="0" fontId="0" fillId="16" borderId="146" xfId="0" applyFill="1" applyBorder="1" applyAlignment="1">
      <alignment horizontal="center"/>
    </xf>
    <xf numFmtId="0" fontId="0" fillId="16" borderId="146" xfId="0" applyFill="1" applyBorder="1"/>
    <xf numFmtId="0" fontId="0" fillId="13" borderId="145" xfId="0" applyFill="1" applyBorder="1"/>
    <xf numFmtId="166" fontId="0" fillId="2" borderId="272" xfId="0" applyNumberFormat="1" applyFill="1" applyBorder="1"/>
    <xf numFmtId="166" fontId="0" fillId="2" borderId="145" xfId="0" applyNumberFormat="1" applyFill="1" applyBorder="1"/>
    <xf numFmtId="0" fontId="0" fillId="2" borderId="204" xfId="0" applyFill="1" applyBorder="1"/>
    <xf numFmtId="0" fontId="3" fillId="10" borderId="272" xfId="0" applyFont="1" applyFill="1" applyBorder="1" applyAlignment="1">
      <alignment horizontal="center"/>
    </xf>
    <xf numFmtId="0" fontId="0" fillId="13" borderId="145" xfId="0" applyFill="1" applyBorder="1" applyAlignment="1">
      <alignment horizontal="center"/>
    </xf>
    <xf numFmtId="0" fontId="0" fillId="0" borderId="133" xfId="0" applyBorder="1" applyAlignment="1">
      <alignment horizontal="center"/>
    </xf>
    <xf numFmtId="0" fontId="3" fillId="10" borderId="3" xfId="0" applyFont="1" applyFill="1" applyBorder="1" applyAlignment="1">
      <alignment horizontal="center"/>
    </xf>
    <xf numFmtId="0" fontId="8" fillId="3" borderId="52" xfId="0" applyFont="1" applyFill="1" applyBorder="1" applyAlignment="1">
      <alignment horizontal="center"/>
    </xf>
    <xf numFmtId="0" fontId="8" fillId="3" borderId="78" xfId="0" applyFont="1" applyFill="1" applyBorder="1" applyAlignment="1">
      <alignment horizontal="center"/>
    </xf>
    <xf numFmtId="0" fontId="8" fillId="3" borderId="32" xfId="0" applyFont="1" applyFill="1" applyBorder="1" applyAlignment="1">
      <alignment horizontal="center"/>
    </xf>
    <xf numFmtId="0" fontId="8" fillId="3" borderId="59" xfId="0" applyFont="1" applyFill="1" applyBorder="1" applyAlignment="1">
      <alignment horizontal="center"/>
    </xf>
    <xf numFmtId="0" fontId="8" fillId="3" borderId="79" xfId="0" applyFont="1" applyFill="1" applyBorder="1" applyAlignment="1">
      <alignment horizontal="center"/>
    </xf>
    <xf numFmtId="0" fontId="8" fillId="3" borderId="206" xfId="0" applyFont="1" applyFill="1" applyBorder="1" applyAlignment="1">
      <alignment horizontal="center"/>
    </xf>
    <xf numFmtId="0" fontId="8" fillId="3" borderId="113" xfId="0" applyFont="1" applyFill="1" applyBorder="1" applyAlignment="1">
      <alignment horizontal="center"/>
    </xf>
    <xf numFmtId="0" fontId="8" fillId="16" borderId="79" xfId="0" applyFont="1" applyFill="1" applyBorder="1" applyAlignment="1">
      <alignment horizontal="center"/>
    </xf>
    <xf numFmtId="0" fontId="8" fillId="16" borderId="82" xfId="0" applyFont="1" applyFill="1" applyBorder="1" applyAlignment="1">
      <alignment horizontal="center"/>
    </xf>
    <xf numFmtId="0" fontId="8" fillId="16" borderId="112" xfId="0" applyFont="1" applyFill="1" applyBorder="1" applyAlignment="1">
      <alignment horizontal="center"/>
    </xf>
    <xf numFmtId="0" fontId="8" fillId="16" borderId="59" xfId="0" applyFont="1" applyFill="1" applyBorder="1" applyAlignment="1">
      <alignment horizontal="center"/>
    </xf>
    <xf numFmtId="0" fontId="0" fillId="3" borderId="114" xfId="0" applyFill="1" applyBorder="1" applyAlignment="1">
      <alignment horizontal="center"/>
    </xf>
    <xf numFmtId="1" fontId="0" fillId="3" borderId="135" xfId="0" applyNumberFormat="1" applyFill="1" applyBorder="1" applyAlignment="1">
      <alignment horizontal="center"/>
    </xf>
    <xf numFmtId="1" fontId="0" fillId="3" borderId="269" xfId="0" applyNumberFormat="1" applyFill="1" applyBorder="1" applyAlignment="1">
      <alignment horizontal="center"/>
    </xf>
    <xf numFmtId="1" fontId="0" fillId="3" borderId="205" xfId="0" applyNumberFormat="1" applyFill="1" applyBorder="1" applyAlignment="1">
      <alignment horizontal="center"/>
    </xf>
    <xf numFmtId="1" fontId="0" fillId="3" borderId="227" xfId="0" applyNumberFormat="1" applyFill="1" applyBorder="1" applyAlignment="1">
      <alignment horizontal="center"/>
    </xf>
    <xf numFmtId="1" fontId="0" fillId="3" borderId="243" xfId="0" applyNumberFormat="1" applyFill="1" applyBorder="1" applyAlignment="1">
      <alignment horizontal="center"/>
    </xf>
    <xf numFmtId="1" fontId="0" fillId="3" borderId="241" xfId="0" applyNumberFormat="1" applyFill="1" applyBorder="1" applyAlignment="1">
      <alignment horizontal="center"/>
    </xf>
    <xf numFmtId="1" fontId="0" fillId="3" borderId="217" xfId="0" applyNumberFormat="1" applyFill="1" applyBorder="1" applyAlignment="1">
      <alignment horizontal="center"/>
    </xf>
    <xf numFmtId="1" fontId="0" fillId="3" borderId="270" xfId="0" applyNumberFormat="1" applyFill="1" applyBorder="1" applyAlignment="1">
      <alignment horizontal="center"/>
    </xf>
    <xf numFmtId="0" fontId="0" fillId="3" borderId="274" xfId="0" applyFill="1" applyBorder="1" applyAlignment="1">
      <alignment horizontal="center"/>
    </xf>
    <xf numFmtId="0" fontId="0" fillId="3" borderId="140" xfId="0" applyFill="1" applyBorder="1"/>
    <xf numFmtId="0" fontId="0" fillId="3" borderId="133" xfId="0" applyFill="1" applyBorder="1"/>
    <xf numFmtId="0" fontId="0" fillId="3" borderId="147" xfId="0" applyFill="1" applyBorder="1"/>
    <xf numFmtId="0" fontId="0" fillId="16" borderId="150" xfId="0" applyFill="1" applyBorder="1"/>
    <xf numFmtId="0" fontId="0" fillId="16" borderId="147" xfId="0" applyFill="1" applyBorder="1"/>
    <xf numFmtId="0" fontId="0" fillId="16" borderId="140" xfId="0" applyFill="1" applyBorder="1"/>
    <xf numFmtId="0" fontId="0" fillId="2" borderId="272" xfId="0" applyFill="1" applyBorder="1"/>
    <xf numFmtId="0" fontId="0" fillId="3" borderId="169" xfId="0" applyFill="1" applyBorder="1" applyAlignment="1">
      <alignment horizontal="center"/>
    </xf>
    <xf numFmtId="0" fontId="0" fillId="2" borderId="275" xfId="0" applyFill="1" applyBorder="1"/>
    <xf numFmtId="43" fontId="0" fillId="0" borderId="17" xfId="1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7" fillId="12" borderId="42" xfId="0" applyFont="1" applyFill="1" applyBorder="1" applyAlignment="1">
      <alignment horizontal="center" vertical="center"/>
    </xf>
    <xf numFmtId="0" fontId="7" fillId="12" borderId="21" xfId="0" applyFont="1" applyFill="1" applyBorder="1" applyAlignment="1">
      <alignment horizontal="center" vertical="center"/>
    </xf>
    <xf numFmtId="0" fontId="6" fillId="3" borderId="73" xfId="0" applyFont="1" applyFill="1" applyBorder="1" applyAlignment="1">
      <alignment horizontal="center"/>
    </xf>
    <xf numFmtId="0" fontId="6" fillId="3" borderId="15" xfId="0" applyFont="1" applyFill="1" applyBorder="1" applyAlignment="1">
      <alignment horizontal="center"/>
    </xf>
    <xf numFmtId="0" fontId="6" fillId="0" borderId="40" xfId="0" applyFont="1" applyBorder="1" applyAlignment="1">
      <alignment horizontal="center"/>
    </xf>
    <xf numFmtId="0" fontId="6" fillId="0" borderId="43" xfId="0" applyFont="1" applyBorder="1" applyAlignment="1">
      <alignment horizontal="center"/>
    </xf>
    <xf numFmtId="0" fontId="6" fillId="0" borderId="42" xfId="0" applyFont="1" applyBorder="1" applyAlignment="1">
      <alignment horizontal="center"/>
    </xf>
    <xf numFmtId="0" fontId="6" fillId="0" borderId="97" xfId="0" applyFont="1" applyBorder="1" applyAlignment="1">
      <alignment horizontal="center"/>
    </xf>
    <xf numFmtId="0" fontId="6" fillId="0" borderId="63" xfId="0" applyFont="1" applyBorder="1" applyAlignment="1">
      <alignment horizontal="center"/>
    </xf>
    <xf numFmtId="0" fontId="0" fillId="11" borderId="18" xfId="0" applyFill="1" applyBorder="1"/>
    <xf numFmtId="43" fontId="2" fillId="0" borderId="7" xfId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0" fontId="3" fillId="0" borderId="276" xfId="0" applyFont="1" applyBorder="1"/>
    <xf numFmtId="0" fontId="0" fillId="0" borderId="275" xfId="0" applyBorder="1"/>
    <xf numFmtId="0" fontId="0" fillId="0" borderId="277" xfId="0" applyBorder="1"/>
    <xf numFmtId="0" fontId="0" fillId="2" borderId="278" xfId="0" applyFill="1" applyBorder="1"/>
    <xf numFmtId="0" fontId="0" fillId="2" borderId="279" xfId="0" applyFill="1" applyBorder="1"/>
    <xf numFmtId="2" fontId="0" fillId="3" borderId="15" xfId="0" applyNumberFormat="1" applyFill="1" applyBorder="1" applyAlignment="1">
      <alignment horizontal="center"/>
    </xf>
    <xf numFmtId="0" fontId="0" fillId="3" borderId="40" xfId="0" applyFill="1" applyBorder="1" applyAlignment="1">
      <alignment horizontal="center"/>
    </xf>
    <xf numFmtId="0" fontId="0" fillId="11" borderId="235" xfId="0" applyFill="1" applyBorder="1" applyAlignment="1">
      <alignment horizontal="center"/>
    </xf>
    <xf numFmtId="0" fontId="0" fillId="3" borderId="51" xfId="0" applyFill="1" applyBorder="1"/>
    <xf numFmtId="0" fontId="2" fillId="10" borderId="280" xfId="0" applyFont="1" applyFill="1" applyBorder="1"/>
    <xf numFmtId="0" fontId="2" fillId="10" borderId="281" xfId="0" applyFont="1" applyFill="1" applyBorder="1" applyAlignment="1">
      <alignment horizontal="center"/>
    </xf>
    <xf numFmtId="0" fontId="2" fillId="10" borderId="281" xfId="0" applyFont="1" applyFill="1" applyBorder="1"/>
    <xf numFmtId="0" fontId="3" fillId="3" borderId="282" xfId="0" applyFont="1" applyFill="1" applyBorder="1" applyAlignment="1">
      <alignment horizontal="center"/>
    </xf>
    <xf numFmtId="0" fontId="3" fillId="3" borderId="283" xfId="0" applyFont="1" applyFill="1" applyBorder="1" applyAlignment="1">
      <alignment horizontal="center"/>
    </xf>
    <xf numFmtId="0" fontId="3" fillId="3" borderId="284" xfId="0" applyFont="1" applyFill="1" applyBorder="1" applyAlignment="1">
      <alignment horizontal="center"/>
    </xf>
    <xf numFmtId="0" fontId="3" fillId="3" borderId="285" xfId="0" applyFont="1" applyFill="1" applyBorder="1" applyAlignment="1">
      <alignment horizontal="center"/>
    </xf>
    <xf numFmtId="0" fontId="3" fillId="3" borderId="286" xfId="0" applyFont="1" applyFill="1" applyBorder="1" applyAlignment="1">
      <alignment horizontal="center"/>
    </xf>
    <xf numFmtId="0" fontId="3" fillId="3" borderId="281" xfId="0" applyFont="1" applyFill="1" applyBorder="1" applyAlignment="1">
      <alignment horizontal="center"/>
    </xf>
    <xf numFmtId="0" fontId="3" fillId="11" borderId="287" xfId="0" applyFont="1" applyFill="1" applyBorder="1" applyAlignment="1">
      <alignment horizontal="center"/>
    </xf>
    <xf numFmtId="0" fontId="3" fillId="11" borderId="288" xfId="0" applyFont="1" applyFill="1" applyBorder="1" applyAlignment="1">
      <alignment horizontal="center"/>
    </xf>
    <xf numFmtId="0" fontId="3" fillId="11" borderId="289" xfId="0" applyFont="1" applyFill="1" applyBorder="1" applyAlignment="1">
      <alignment horizontal="center"/>
    </xf>
    <xf numFmtId="0" fontId="3" fillId="11" borderId="284" xfId="0" applyFont="1" applyFill="1" applyBorder="1" applyAlignment="1">
      <alignment horizontal="center"/>
    </xf>
    <xf numFmtId="0" fontId="3" fillId="11" borderId="290" xfId="0" applyFont="1" applyFill="1" applyBorder="1" applyAlignment="1">
      <alignment horizontal="center"/>
    </xf>
    <xf numFmtId="0" fontId="3" fillId="11" borderId="282" xfId="0" applyFont="1" applyFill="1" applyBorder="1" applyAlignment="1">
      <alignment horizontal="center"/>
    </xf>
    <xf numFmtId="0" fontId="3" fillId="11" borderId="283" xfId="0" applyFont="1" applyFill="1" applyBorder="1" applyAlignment="1">
      <alignment horizontal="center"/>
    </xf>
    <xf numFmtId="0" fontId="3" fillId="11" borderId="281" xfId="0" applyFont="1" applyFill="1" applyBorder="1" applyAlignment="1">
      <alignment horizontal="center"/>
    </xf>
    <xf numFmtId="0" fontId="3" fillId="11" borderId="291" xfId="0" applyFont="1" applyFill="1" applyBorder="1" applyAlignment="1">
      <alignment horizontal="center"/>
    </xf>
    <xf numFmtId="0" fontId="3" fillId="11" borderId="292" xfId="0" applyFont="1" applyFill="1" applyBorder="1" applyAlignment="1">
      <alignment horizontal="center"/>
    </xf>
    <xf numFmtId="0" fontId="0" fillId="3" borderId="293" xfId="0" applyFill="1" applyBorder="1"/>
    <xf numFmtId="0" fontId="0" fillId="3" borderId="294" xfId="0" applyFill="1" applyBorder="1" applyAlignment="1">
      <alignment horizontal="center"/>
    </xf>
    <xf numFmtId="0" fontId="0" fillId="3" borderId="205" xfId="0" applyFill="1" applyBorder="1" applyAlignment="1">
      <alignment horizontal="center"/>
    </xf>
    <xf numFmtId="0" fontId="0" fillId="3" borderId="295" xfId="0" applyFill="1" applyBorder="1" applyAlignment="1">
      <alignment horizontal="center"/>
    </xf>
    <xf numFmtId="1" fontId="0" fillId="3" borderId="296" xfId="0" applyNumberFormat="1" applyFill="1" applyBorder="1" applyAlignment="1">
      <alignment horizontal="center"/>
    </xf>
    <xf numFmtId="0" fontId="3" fillId="10" borderId="294" xfId="0" applyFont="1" applyFill="1" applyBorder="1" applyAlignment="1">
      <alignment horizontal="center"/>
    </xf>
    <xf numFmtId="1" fontId="0" fillId="3" borderId="297" xfId="0" applyNumberFormat="1" applyFill="1" applyBorder="1" applyAlignment="1">
      <alignment horizontal="center"/>
    </xf>
    <xf numFmtId="1" fontId="0" fillId="3" borderId="298" xfId="0" applyNumberFormat="1" applyFill="1" applyBorder="1" applyAlignment="1">
      <alignment horizontal="center"/>
    </xf>
    <xf numFmtId="1" fontId="0" fillId="3" borderId="299" xfId="0" applyNumberFormat="1" applyFill="1" applyBorder="1" applyAlignment="1">
      <alignment horizontal="center"/>
    </xf>
    <xf numFmtId="1" fontId="0" fillId="3" borderId="300" xfId="0" applyNumberFormat="1" applyFill="1" applyBorder="1" applyAlignment="1">
      <alignment horizontal="center"/>
    </xf>
    <xf numFmtId="1" fontId="0" fillId="3" borderId="301" xfId="0" applyNumberFormat="1" applyFill="1" applyBorder="1" applyAlignment="1">
      <alignment horizontal="center"/>
    </xf>
    <xf numFmtId="1" fontId="0" fillId="3" borderId="302" xfId="0" applyNumberFormat="1" applyFill="1" applyBorder="1" applyAlignment="1">
      <alignment horizontal="center"/>
    </xf>
    <xf numFmtId="1" fontId="0" fillId="3" borderId="303" xfId="0" applyNumberFormat="1" applyFill="1" applyBorder="1" applyAlignment="1">
      <alignment horizontal="center"/>
    </xf>
    <xf numFmtId="0" fontId="0" fillId="3" borderId="303" xfId="0" applyFill="1" applyBorder="1" applyAlignment="1">
      <alignment horizontal="center"/>
    </xf>
    <xf numFmtId="0" fontId="0" fillId="3" borderId="304" xfId="0" applyFill="1" applyBorder="1" applyAlignment="1">
      <alignment horizontal="center"/>
    </xf>
    <xf numFmtId="0" fontId="3" fillId="3" borderId="280" xfId="0" applyFont="1" applyFill="1" applyBorder="1" applyAlignment="1">
      <alignment horizontal="center"/>
    </xf>
    <xf numFmtId="0" fontId="3" fillId="3" borderId="305" xfId="0" applyFont="1" applyFill="1" applyBorder="1" applyAlignment="1">
      <alignment horizontal="center"/>
    </xf>
    <xf numFmtId="0" fontId="0" fillId="20" borderId="0" xfId="0" applyFill="1" applyAlignment="1">
      <alignment horizontal="center"/>
    </xf>
    <xf numFmtId="0" fontId="6" fillId="3" borderId="66" xfId="0" applyFont="1" applyFill="1" applyBorder="1"/>
    <xf numFmtId="0" fontId="0" fillId="3" borderId="106" xfId="0" applyFill="1" applyBorder="1"/>
    <xf numFmtId="0" fontId="0" fillId="3" borderId="315" xfId="0" applyFill="1" applyBorder="1"/>
    <xf numFmtId="0" fontId="6" fillId="3" borderId="96" xfId="0" applyFont="1" applyFill="1" applyBorder="1" applyAlignment="1">
      <alignment horizontal="center"/>
    </xf>
    <xf numFmtId="0" fontId="6" fillId="3" borderId="63" xfId="0" applyFont="1" applyFill="1" applyBorder="1" applyAlignment="1">
      <alignment horizontal="center"/>
    </xf>
    <xf numFmtId="0" fontId="6" fillId="3" borderId="80" xfId="0" applyFont="1" applyFill="1" applyBorder="1"/>
    <xf numFmtId="0" fontId="8" fillId="3" borderId="63" xfId="0" applyFont="1" applyFill="1" applyBorder="1" applyAlignment="1">
      <alignment horizontal="center"/>
    </xf>
    <xf numFmtId="2" fontId="0" fillId="3" borderId="80" xfId="0" applyNumberFormat="1" applyFill="1" applyBorder="1" applyAlignment="1">
      <alignment horizontal="center"/>
    </xf>
    <xf numFmtId="2" fontId="0" fillId="3" borderId="63" xfId="0" applyNumberForma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43" fontId="0" fillId="2" borderId="0" xfId="1" applyFont="1" applyFill="1" applyBorder="1"/>
    <xf numFmtId="165" fontId="3" fillId="2" borderId="0" xfId="1" applyNumberFormat="1" applyFont="1" applyFill="1" applyBorder="1" applyAlignment="1">
      <alignment horizontal="center"/>
    </xf>
    <xf numFmtId="0" fontId="8" fillId="3" borderId="80" xfId="0" applyFont="1" applyFill="1" applyBorder="1" applyAlignment="1">
      <alignment horizontal="center"/>
    </xf>
    <xf numFmtId="0" fontId="8" fillId="3" borderId="51" xfId="0" applyFont="1" applyFill="1" applyBorder="1" applyAlignment="1">
      <alignment horizontal="center"/>
    </xf>
    <xf numFmtId="0" fontId="8" fillId="3" borderId="318" xfId="0" applyFont="1" applyFill="1" applyBorder="1" applyAlignment="1">
      <alignment horizontal="center"/>
    </xf>
    <xf numFmtId="0" fontId="8" fillId="3" borderId="319" xfId="0" applyFont="1" applyFill="1" applyBorder="1" applyAlignment="1">
      <alignment horizontal="center"/>
    </xf>
    <xf numFmtId="0" fontId="0" fillId="3" borderId="320" xfId="0" applyFill="1" applyBorder="1" applyAlignment="1">
      <alignment horizontal="center"/>
    </xf>
    <xf numFmtId="0" fontId="7" fillId="21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/>
    </xf>
    <xf numFmtId="0" fontId="12" fillId="2" borderId="0" xfId="0" applyFont="1" applyFill="1" applyAlignment="1">
      <alignment horizontal="center"/>
    </xf>
    <xf numFmtId="166" fontId="0" fillId="2" borderId="0" xfId="0" applyNumberFormat="1" applyFill="1" applyAlignment="1">
      <alignment horizontal="center"/>
    </xf>
    <xf numFmtId="0" fontId="2" fillId="0" borderId="40" xfId="0" applyFon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166" fontId="0" fillId="0" borderId="15" xfId="0" applyNumberFormat="1" applyBorder="1" applyAlignment="1">
      <alignment horizontal="center"/>
    </xf>
    <xf numFmtId="0" fontId="8" fillId="0" borderId="113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2" fontId="12" fillId="0" borderId="21" xfId="0" applyNumberFormat="1" applyFont="1" applyBorder="1" applyAlignment="1">
      <alignment horizontal="center"/>
    </xf>
    <xf numFmtId="166" fontId="0" fillId="0" borderId="21" xfId="0" applyNumberFormat="1" applyBorder="1" applyAlignment="1">
      <alignment horizontal="center"/>
    </xf>
    <xf numFmtId="0" fontId="8" fillId="0" borderId="59" xfId="0" applyFont="1" applyBorder="1" applyAlignment="1">
      <alignment horizontal="center"/>
    </xf>
    <xf numFmtId="0" fontId="0" fillId="0" borderId="140" xfId="0" applyBorder="1" applyAlignment="1">
      <alignment horizontal="center"/>
    </xf>
    <xf numFmtId="0" fontId="0" fillId="0" borderId="95" xfId="0" applyBorder="1"/>
    <xf numFmtId="0" fontId="2" fillId="0" borderId="97" xfId="0" applyFont="1" applyBorder="1" applyAlignment="1">
      <alignment horizontal="center"/>
    </xf>
    <xf numFmtId="0" fontId="8" fillId="0" borderId="98" xfId="0" applyFont="1" applyBorder="1" applyAlignment="1">
      <alignment horizontal="center"/>
    </xf>
    <xf numFmtId="2" fontId="12" fillId="0" borderId="80" xfId="0" applyNumberFormat="1" applyFont="1" applyBorder="1" applyAlignment="1">
      <alignment horizontal="center"/>
    </xf>
    <xf numFmtId="166" fontId="0" fillId="0" borderId="80" xfId="0" applyNumberFormat="1" applyBorder="1" applyAlignment="1">
      <alignment horizontal="center"/>
    </xf>
    <xf numFmtId="0" fontId="0" fillId="0" borderId="98" xfId="0" applyBorder="1" applyAlignment="1">
      <alignment horizontal="center"/>
    </xf>
    <xf numFmtId="0" fontId="8" fillId="0" borderId="79" xfId="0" applyFont="1" applyBorder="1" applyAlignment="1">
      <alignment horizontal="center"/>
    </xf>
    <xf numFmtId="0" fontId="0" fillId="0" borderId="150" xfId="0" applyBorder="1" applyAlignment="1">
      <alignment horizontal="center"/>
    </xf>
    <xf numFmtId="0" fontId="0" fillId="0" borderId="80" xfId="0" applyBorder="1" applyAlignment="1">
      <alignment horizontal="center"/>
    </xf>
    <xf numFmtId="0" fontId="6" fillId="0" borderId="64" xfId="0" applyFont="1" applyBorder="1" applyAlignment="1">
      <alignment horizontal="center"/>
    </xf>
    <xf numFmtId="0" fontId="2" fillId="0" borderId="64" xfId="0" applyFont="1" applyBorder="1" applyAlignment="1">
      <alignment horizontal="center"/>
    </xf>
    <xf numFmtId="0" fontId="8" fillId="0" borderId="71" xfId="0" applyFont="1" applyBorder="1" applyAlignment="1">
      <alignment horizontal="center"/>
    </xf>
    <xf numFmtId="2" fontId="12" fillId="0" borderId="63" xfId="0" applyNumberFormat="1" applyFont="1" applyBorder="1" applyAlignment="1">
      <alignment horizontal="center"/>
    </xf>
    <xf numFmtId="166" fontId="0" fillId="0" borderId="63" xfId="0" applyNumberFormat="1" applyBorder="1" applyAlignment="1">
      <alignment horizontal="center"/>
    </xf>
    <xf numFmtId="0" fontId="0" fillId="0" borderId="71" xfId="0" applyBorder="1" applyAlignment="1">
      <alignment horizontal="center"/>
    </xf>
    <xf numFmtId="0" fontId="8" fillId="0" borderId="112" xfId="0" applyFont="1" applyBorder="1" applyAlignment="1">
      <alignment horizontal="center"/>
    </xf>
    <xf numFmtId="0" fontId="0" fillId="0" borderId="146" xfId="0" applyBorder="1" applyAlignment="1">
      <alignment horizontal="center"/>
    </xf>
    <xf numFmtId="0" fontId="0" fillId="0" borderId="105" xfId="0" applyBorder="1"/>
    <xf numFmtId="0" fontId="6" fillId="0" borderId="96" xfId="0" applyFont="1" applyBorder="1" applyAlignment="1">
      <alignment horizontal="center"/>
    </xf>
    <xf numFmtId="0" fontId="2" fillId="0" borderId="35" xfId="0" applyFont="1" applyBorder="1" applyAlignment="1">
      <alignment horizontal="center"/>
    </xf>
    <xf numFmtId="2" fontId="12" fillId="0" borderId="57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8" fillId="0" borderId="51" xfId="0" applyFont="1" applyBorder="1" applyAlignment="1">
      <alignment horizontal="center"/>
    </xf>
    <xf numFmtId="0" fontId="0" fillId="0" borderId="145" xfId="0" applyBorder="1" applyAlignment="1">
      <alignment horizontal="center"/>
    </xf>
    <xf numFmtId="0" fontId="8" fillId="0" borderId="0" xfId="0" applyFont="1" applyAlignment="1">
      <alignment horizontal="center"/>
    </xf>
    <xf numFmtId="166" fontId="0" fillId="0" borderId="57" xfId="0" applyNumberFormat="1" applyBorder="1" applyAlignment="1">
      <alignment horizontal="center"/>
    </xf>
    <xf numFmtId="0" fontId="0" fillId="0" borderId="145" xfId="0" applyBorder="1"/>
    <xf numFmtId="0" fontId="6" fillId="0" borderId="103" xfId="0" applyFont="1" applyBorder="1" applyAlignment="1">
      <alignment horizontal="center"/>
    </xf>
    <xf numFmtId="0" fontId="6" fillId="0" borderId="103" xfId="0" applyFont="1" applyBorder="1"/>
    <xf numFmtId="0" fontId="12" fillId="0" borderId="96" xfId="0" applyFont="1" applyBorder="1" applyAlignment="1">
      <alignment horizontal="center"/>
    </xf>
    <xf numFmtId="166" fontId="0" fillId="0" borderId="96" xfId="0" applyNumberFormat="1" applyBorder="1" applyAlignment="1">
      <alignment horizontal="center"/>
    </xf>
    <xf numFmtId="0" fontId="0" fillId="0" borderId="338" xfId="0" applyBorder="1" applyAlignment="1">
      <alignment horizontal="center"/>
    </xf>
    <xf numFmtId="0" fontId="8" fillId="0" borderId="104" xfId="0" applyFont="1" applyBorder="1" applyAlignment="1">
      <alignment horizontal="center"/>
    </xf>
    <xf numFmtId="0" fontId="0" fillId="0" borderId="340" xfId="0" applyBorder="1"/>
    <xf numFmtId="0" fontId="6" fillId="0" borderId="106" xfId="0" applyFont="1" applyBorder="1"/>
    <xf numFmtId="0" fontId="6" fillId="0" borderId="63" xfId="0" applyFont="1" applyBorder="1"/>
    <xf numFmtId="0" fontId="8" fillId="0" borderId="67" xfId="0" applyFont="1" applyBorder="1" applyAlignment="1">
      <alignment horizontal="center"/>
    </xf>
    <xf numFmtId="0" fontId="12" fillId="0" borderId="63" xfId="0" applyFont="1" applyBorder="1" applyAlignment="1">
      <alignment horizontal="center"/>
    </xf>
    <xf numFmtId="0" fontId="0" fillId="0" borderId="146" xfId="0" applyBorder="1"/>
    <xf numFmtId="0" fontId="0" fillId="0" borderId="66" xfId="0" applyBorder="1" applyAlignment="1">
      <alignment horizontal="center"/>
    </xf>
    <xf numFmtId="0" fontId="0" fillId="0" borderId="66" xfId="0" applyBorder="1"/>
    <xf numFmtId="0" fontId="6" fillId="0" borderId="97" xfId="0" applyFont="1" applyBorder="1"/>
    <xf numFmtId="0" fontId="12" fillId="0" borderId="80" xfId="0" applyFont="1" applyBorder="1" applyAlignment="1">
      <alignment horizontal="center"/>
    </xf>
    <xf numFmtId="0" fontId="0" fillId="0" borderId="150" xfId="0" applyBorder="1"/>
    <xf numFmtId="0" fontId="6" fillId="0" borderId="64" xfId="0" applyFont="1" applyBorder="1"/>
    <xf numFmtId="0" fontId="8" fillId="0" borderId="66" xfId="0" applyFont="1" applyBorder="1" applyAlignment="1">
      <alignment horizontal="center"/>
    </xf>
    <xf numFmtId="0" fontId="7" fillId="0" borderId="66" xfId="0" applyFont="1" applyBorder="1" applyAlignment="1">
      <alignment horizontal="center" vertical="center"/>
    </xf>
    <xf numFmtId="0" fontId="12" fillId="0" borderId="66" xfId="0" applyFont="1" applyBorder="1" applyAlignment="1">
      <alignment horizontal="center"/>
    </xf>
    <xf numFmtId="166" fontId="0" fillId="0" borderId="66" xfId="0" applyNumberFormat="1" applyBorder="1" applyAlignment="1">
      <alignment horizontal="center"/>
    </xf>
    <xf numFmtId="0" fontId="8" fillId="0" borderId="224" xfId="0" applyFont="1" applyBorder="1" applyAlignment="1">
      <alignment horizontal="center"/>
    </xf>
    <xf numFmtId="0" fontId="0" fillId="0" borderId="160" xfId="0" applyBorder="1"/>
    <xf numFmtId="0" fontId="0" fillId="0" borderId="160" xfId="0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166" fontId="0" fillId="0" borderId="0" xfId="0" applyNumberFormat="1" applyAlignment="1">
      <alignment horizontal="center"/>
    </xf>
    <xf numFmtId="0" fontId="6" fillId="0" borderId="315" xfId="0" applyFont="1" applyBorder="1"/>
    <xf numFmtId="0" fontId="0" fillId="0" borderId="341" xfId="0" applyBorder="1"/>
    <xf numFmtId="0" fontId="2" fillId="10" borderId="342" xfId="0" applyFont="1" applyFill="1" applyBorder="1"/>
    <xf numFmtId="0" fontId="6" fillId="0" borderId="70" xfId="0" applyFont="1" applyBorder="1"/>
    <xf numFmtId="0" fontId="7" fillId="0" borderId="80" xfId="0" applyFont="1" applyBorder="1" applyAlignment="1">
      <alignment vertical="center"/>
    </xf>
    <xf numFmtId="0" fontId="0" fillId="0" borderId="341" xfId="0" applyBorder="1" applyAlignment="1">
      <alignment horizontal="center"/>
    </xf>
    <xf numFmtId="0" fontId="13" fillId="0" borderId="63" xfId="0" applyFont="1" applyBorder="1" applyAlignment="1">
      <alignment horizontal="center"/>
    </xf>
    <xf numFmtId="0" fontId="8" fillId="0" borderId="80" xfId="0" applyFont="1" applyBorder="1" applyAlignment="1">
      <alignment horizontal="center"/>
    </xf>
    <xf numFmtId="0" fontId="8" fillId="0" borderId="226" xfId="0" applyFont="1" applyBorder="1" applyAlignment="1">
      <alignment horizontal="center"/>
    </xf>
    <xf numFmtId="2" fontId="0" fillId="3" borderId="97" xfId="0" applyNumberFormat="1" applyFill="1" applyBorder="1" applyAlignment="1">
      <alignment horizontal="center"/>
    </xf>
    <xf numFmtId="2" fontId="0" fillId="3" borderId="66" xfId="0" applyNumberFormat="1" applyFill="1" applyBorder="1" applyAlignment="1">
      <alignment horizontal="center"/>
    </xf>
    <xf numFmtId="0" fontId="6" fillId="0" borderId="105" xfId="0" applyFont="1" applyBorder="1"/>
    <xf numFmtId="0" fontId="7" fillId="0" borderId="15" xfId="0" applyFont="1" applyBorder="1" applyAlignment="1">
      <alignment vertical="center"/>
    </xf>
    <xf numFmtId="0" fontId="6" fillId="0" borderId="15" xfId="0" applyFont="1" applyBorder="1"/>
    <xf numFmtId="0" fontId="12" fillId="0" borderId="15" xfId="0" applyFont="1" applyBorder="1" applyAlignment="1">
      <alignment horizontal="center"/>
    </xf>
    <xf numFmtId="0" fontId="0" fillId="0" borderId="133" xfId="0" applyBorder="1"/>
    <xf numFmtId="0" fontId="6" fillId="0" borderId="341" xfId="0" applyFont="1" applyBorder="1"/>
    <xf numFmtId="0" fontId="7" fillId="0" borderId="63" xfId="0" applyFont="1" applyBorder="1" applyAlignment="1">
      <alignment vertical="center"/>
    </xf>
    <xf numFmtId="0" fontId="8" fillId="0" borderId="63" xfId="0" applyFont="1" applyBorder="1" applyAlignment="1">
      <alignment horizontal="center"/>
    </xf>
    <xf numFmtId="0" fontId="2" fillId="13" borderId="380" xfId="0" applyFont="1" applyFill="1" applyBorder="1" applyAlignment="1">
      <alignment horizontal="center"/>
    </xf>
    <xf numFmtId="0" fontId="3" fillId="13" borderId="380" xfId="0" applyFont="1" applyFill="1" applyBorder="1" applyAlignment="1">
      <alignment horizontal="center"/>
    </xf>
    <xf numFmtId="43" fontId="0" fillId="2" borderId="0" xfId="1" applyFont="1" applyFill="1"/>
    <xf numFmtId="0" fontId="2" fillId="22" borderId="306" xfId="0" applyFont="1" applyFill="1" applyBorder="1"/>
    <xf numFmtId="0" fontId="2" fillId="22" borderId="307" xfId="0" applyFont="1" applyFill="1" applyBorder="1"/>
    <xf numFmtId="0" fontId="2" fillId="22" borderId="308" xfId="0" applyFont="1" applyFill="1" applyBorder="1"/>
    <xf numFmtId="0" fontId="2" fillId="22" borderId="309" xfId="0" applyFont="1" applyFill="1" applyBorder="1"/>
    <xf numFmtId="0" fontId="2" fillId="22" borderId="310" xfId="0" applyFont="1" applyFill="1" applyBorder="1"/>
    <xf numFmtId="0" fontId="2" fillId="22" borderId="311" xfId="0" applyFont="1" applyFill="1" applyBorder="1"/>
    <xf numFmtId="0" fontId="2" fillId="22" borderId="422" xfId="0" applyFont="1" applyFill="1" applyBorder="1"/>
    <xf numFmtId="0" fontId="2" fillId="22" borderId="357" xfId="0" applyFont="1" applyFill="1" applyBorder="1"/>
    <xf numFmtId="0" fontId="0" fillId="22" borderId="423" xfId="0" applyFill="1" applyBorder="1"/>
    <xf numFmtId="0" fontId="0" fillId="0" borderId="423" xfId="0" applyBorder="1"/>
    <xf numFmtId="0" fontId="0" fillId="0" borderId="424" xfId="0" applyBorder="1"/>
    <xf numFmtId="43" fontId="2" fillId="0" borderId="424" xfId="0" applyNumberFormat="1" applyFont="1" applyBorder="1"/>
    <xf numFmtId="0" fontId="0" fillId="23" borderId="425" xfId="0" applyFill="1" applyBorder="1"/>
    <xf numFmtId="0" fontId="2" fillId="23" borderId="306" xfId="0" applyFont="1" applyFill="1" applyBorder="1"/>
    <xf numFmtId="0" fontId="2" fillId="23" borderId="309" xfId="0" applyFont="1" applyFill="1" applyBorder="1"/>
    <xf numFmtId="0" fontId="2" fillId="23" borderId="310" xfId="0" applyFont="1" applyFill="1" applyBorder="1"/>
    <xf numFmtId="0" fontId="2" fillId="23" borderId="311" xfId="0" applyFont="1" applyFill="1" applyBorder="1"/>
    <xf numFmtId="0" fontId="2" fillId="23" borderId="312" xfId="0" applyFont="1" applyFill="1" applyBorder="1"/>
    <xf numFmtId="0" fontId="2" fillId="23" borderId="313" xfId="0" applyFont="1" applyFill="1" applyBorder="1"/>
    <xf numFmtId="43" fontId="0" fillId="0" borderId="427" xfId="1" applyFont="1" applyFill="1" applyBorder="1"/>
    <xf numFmtId="43" fontId="0" fillId="0" borderId="428" xfId="1" applyFont="1" applyFill="1" applyBorder="1"/>
    <xf numFmtId="43" fontId="0" fillId="0" borderId="429" xfId="1" applyFont="1" applyFill="1" applyBorder="1"/>
    <xf numFmtId="43" fontId="0" fillId="0" borderId="430" xfId="1" applyFont="1" applyFill="1" applyBorder="1"/>
    <xf numFmtId="43" fontId="0" fillId="0" borderId="431" xfId="1" applyFont="1" applyFill="1" applyBorder="1"/>
    <xf numFmtId="0" fontId="2" fillId="23" borderId="422" xfId="0" applyFont="1" applyFill="1" applyBorder="1"/>
    <xf numFmtId="0" fontId="2" fillId="23" borderId="288" xfId="0" applyFont="1" applyFill="1" applyBorder="1"/>
    <xf numFmtId="0" fontId="2" fillId="23" borderId="421" xfId="0" applyFont="1" applyFill="1" applyBorder="1"/>
    <xf numFmtId="43" fontId="0" fillId="0" borderId="432" xfId="1" applyFont="1" applyFill="1" applyBorder="1"/>
    <xf numFmtId="43" fontId="0" fillId="0" borderId="433" xfId="1" applyFont="1" applyFill="1" applyBorder="1"/>
    <xf numFmtId="0" fontId="2" fillId="23" borderId="284" xfId="0" applyFont="1" applyFill="1" applyBorder="1"/>
    <xf numFmtId="43" fontId="0" fillId="0" borderId="435" xfId="1" applyFont="1" applyFill="1" applyBorder="1"/>
    <xf numFmtId="43" fontId="0" fillId="0" borderId="436" xfId="1" applyFont="1" applyFill="1" applyBorder="1"/>
    <xf numFmtId="43" fontId="0" fillId="0" borderId="437" xfId="1" applyFont="1" applyFill="1" applyBorder="1"/>
    <xf numFmtId="43" fontId="2" fillId="0" borderId="421" xfId="1" applyFont="1" applyFill="1" applyBorder="1"/>
    <xf numFmtId="43" fontId="2" fillId="0" borderId="305" xfId="1" applyFont="1" applyFill="1" applyBorder="1"/>
    <xf numFmtId="43" fontId="2" fillId="0" borderId="305" xfId="0" applyNumberFormat="1" applyFont="1" applyBorder="1"/>
    <xf numFmtId="0" fontId="2" fillId="22" borderId="426" xfId="0" applyFont="1" applyFill="1" applyBorder="1"/>
    <xf numFmtId="0" fontId="2" fillId="22" borderId="434" xfId="0" applyFont="1" applyFill="1" applyBorder="1"/>
    <xf numFmtId="43" fontId="0" fillId="0" borderId="0" xfId="0" applyNumberFormat="1"/>
    <xf numFmtId="0" fontId="0" fillId="0" borderId="0" xfId="0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0" fontId="0" fillId="0" borderId="62" xfId="0" applyBorder="1" applyAlignment="1">
      <alignment horizontal="center" vertical="center"/>
    </xf>
    <xf numFmtId="0" fontId="0" fillId="0" borderId="89" xfId="0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0" fontId="0" fillId="0" borderId="143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0" fillId="0" borderId="17" xfId="1" applyNumberFormat="1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5" xfId="0" applyBorder="1" applyAlignment="1">
      <alignment horizontal="center" vertical="center"/>
    </xf>
    <xf numFmtId="0" fontId="2" fillId="0" borderId="93" xfId="0" applyFont="1" applyBorder="1" applyAlignment="1">
      <alignment horizontal="center" vertical="center"/>
    </xf>
    <xf numFmtId="0" fontId="2" fillId="0" borderId="143" xfId="0" applyFont="1" applyBorder="1" applyAlignment="1">
      <alignment horizontal="center" vertical="center"/>
    </xf>
    <xf numFmtId="3" fontId="3" fillId="0" borderId="1" xfId="0" applyNumberFormat="1" applyFont="1" applyBorder="1"/>
    <xf numFmtId="3" fontId="4" fillId="0" borderId="3" xfId="0" applyNumberFormat="1" applyFont="1" applyBorder="1" applyAlignment="1">
      <alignment horizontal="center"/>
    </xf>
    <xf numFmtId="3" fontId="0" fillId="0" borderId="3" xfId="0" applyNumberFormat="1" applyBorder="1"/>
    <xf numFmtId="3" fontId="0" fillId="0" borderId="4" xfId="0" applyNumberFormat="1" applyBorder="1"/>
    <xf numFmtId="3" fontId="0" fillId="2" borderId="0" xfId="0" applyNumberFormat="1" applyFill="1"/>
    <xf numFmtId="3" fontId="2" fillId="4" borderId="1" xfId="0" applyNumberFormat="1" applyFont="1" applyFill="1" applyBorder="1" applyAlignment="1">
      <alignment horizontal="center"/>
    </xf>
    <xf numFmtId="3" fontId="2" fillId="4" borderId="9" xfId="0" applyNumberFormat="1" applyFont="1" applyFill="1" applyBorder="1" applyAlignment="1">
      <alignment horizontal="center"/>
    </xf>
    <xf numFmtId="3" fontId="2" fillId="4" borderId="7" xfId="0" applyNumberFormat="1" applyFont="1" applyFill="1" applyBorder="1" applyAlignment="1">
      <alignment horizontal="center"/>
    </xf>
    <xf numFmtId="3" fontId="2" fillId="4" borderId="10" xfId="0" applyNumberFormat="1" applyFont="1" applyFill="1" applyBorder="1" applyAlignment="1">
      <alignment horizontal="center"/>
    </xf>
    <xf numFmtId="3" fontId="2" fillId="4" borderId="8" xfId="0" applyNumberFormat="1" applyFont="1" applyFill="1" applyBorder="1" applyAlignment="1">
      <alignment horizontal="center"/>
    </xf>
    <xf numFmtId="3" fontId="0" fillId="3" borderId="12" xfId="0" applyNumberFormat="1" applyFill="1" applyBorder="1" applyAlignment="1">
      <alignment horizontal="center"/>
    </xf>
    <xf numFmtId="3" fontId="0" fillId="3" borderId="13" xfId="0" applyNumberFormat="1" applyFill="1" applyBorder="1" applyAlignment="1">
      <alignment horizontal="center"/>
    </xf>
    <xf numFmtId="3" fontId="0" fillId="3" borderId="14" xfId="0" applyNumberFormat="1" applyFill="1" applyBorder="1" applyAlignment="1">
      <alignment horizontal="center"/>
    </xf>
    <xf numFmtId="3" fontId="0" fillId="5" borderId="15" xfId="0" applyNumberFormat="1" applyFill="1" applyBorder="1" applyAlignment="1">
      <alignment horizontal="center"/>
    </xf>
    <xf numFmtId="3" fontId="0" fillId="3" borderId="16" xfId="0" applyNumberFormat="1" applyFill="1" applyBorder="1" applyAlignment="1">
      <alignment horizontal="center"/>
    </xf>
    <xf numFmtId="3" fontId="0" fillId="3" borderId="17" xfId="0" applyNumberFormat="1" applyFill="1" applyBorder="1" applyAlignment="1">
      <alignment horizontal="center"/>
    </xf>
    <xf numFmtId="3" fontId="0" fillId="3" borderId="18" xfId="0" applyNumberFormat="1" applyFill="1" applyBorder="1" applyAlignment="1">
      <alignment horizontal="center"/>
    </xf>
    <xf numFmtId="3" fontId="0" fillId="3" borderId="19" xfId="0" applyNumberFormat="1" applyFill="1" applyBorder="1" applyAlignment="1">
      <alignment horizontal="center"/>
    </xf>
    <xf numFmtId="3" fontId="5" fillId="3" borderId="23" xfId="0" applyNumberFormat="1" applyFont="1" applyFill="1" applyBorder="1" applyAlignment="1">
      <alignment horizontal="center"/>
    </xf>
    <xf numFmtId="3" fontId="5" fillId="3" borderId="19" xfId="0" applyNumberFormat="1" applyFont="1" applyFill="1" applyBorder="1" applyAlignment="1">
      <alignment horizontal="center"/>
    </xf>
    <xf numFmtId="3" fontId="5" fillId="3" borderId="21" xfId="0" applyNumberFormat="1" applyFont="1" applyFill="1" applyBorder="1" applyAlignment="1">
      <alignment horizontal="center"/>
    </xf>
    <xf numFmtId="3" fontId="5" fillId="5" borderId="21" xfId="0" applyNumberFormat="1" applyFont="1" applyFill="1" applyBorder="1" applyAlignment="1">
      <alignment horizontal="center"/>
    </xf>
    <xf numFmtId="3" fontId="0" fillId="3" borderId="22" xfId="0" applyNumberFormat="1" applyFill="1" applyBorder="1" applyAlignment="1">
      <alignment horizontal="center"/>
    </xf>
    <xf numFmtId="3" fontId="0" fillId="3" borderId="23" xfId="0" applyNumberFormat="1" applyFill="1" applyBorder="1" applyAlignment="1">
      <alignment horizontal="center"/>
    </xf>
    <xf numFmtId="3" fontId="5" fillId="3" borderId="24" xfId="0" applyNumberFormat="1" applyFont="1" applyFill="1" applyBorder="1" applyAlignment="1">
      <alignment horizontal="center"/>
    </xf>
    <xf numFmtId="3" fontId="5" fillId="3" borderId="25" xfId="0" applyNumberFormat="1" applyFont="1" applyFill="1" applyBorder="1" applyAlignment="1">
      <alignment horizontal="center"/>
    </xf>
    <xf numFmtId="3" fontId="0" fillId="3" borderId="28" xfId="0" applyNumberFormat="1" applyFill="1" applyBorder="1" applyAlignment="1">
      <alignment horizontal="center"/>
    </xf>
    <xf numFmtId="3" fontId="0" fillId="3" borderId="30" xfId="0" applyNumberFormat="1" applyFill="1" applyBorder="1" applyAlignment="1">
      <alignment horizontal="center"/>
    </xf>
    <xf numFmtId="3" fontId="5" fillId="3" borderId="15" xfId="0" applyNumberFormat="1" applyFont="1" applyFill="1" applyBorder="1" applyAlignment="1">
      <alignment horizontal="center"/>
    </xf>
    <xf numFmtId="3" fontId="0" fillId="7" borderId="4" xfId="0" applyNumberFormat="1" applyFill="1" applyBorder="1" applyAlignment="1">
      <alignment horizontal="center"/>
    </xf>
    <xf numFmtId="3" fontId="0" fillId="7" borderId="1" xfId="0" applyNumberFormat="1" applyFill="1" applyBorder="1" applyAlignment="1">
      <alignment horizontal="center"/>
    </xf>
    <xf numFmtId="3" fontId="0" fillId="5" borderId="21" xfId="0" applyNumberFormat="1" applyFill="1" applyBorder="1" applyAlignment="1">
      <alignment horizontal="center"/>
    </xf>
    <xf numFmtId="3" fontId="0" fillId="0" borderId="22" xfId="0" applyNumberFormat="1" applyBorder="1" applyAlignment="1">
      <alignment horizontal="center"/>
    </xf>
    <xf numFmtId="3" fontId="0" fillId="0" borderId="23" xfId="0" applyNumberFormat="1" applyBorder="1" applyAlignment="1">
      <alignment horizontal="center"/>
    </xf>
    <xf numFmtId="3" fontId="0" fillId="0" borderId="24" xfId="0" applyNumberFormat="1" applyBorder="1" applyAlignment="1">
      <alignment horizontal="center"/>
    </xf>
    <xf numFmtId="3" fontId="0" fillId="0" borderId="25" xfId="0" applyNumberFormat="1" applyBorder="1" applyAlignment="1">
      <alignment horizontal="center"/>
    </xf>
    <xf numFmtId="3" fontId="0" fillId="0" borderId="25" xfId="0" applyNumberFormat="1" applyBorder="1"/>
    <xf numFmtId="3" fontId="0" fillId="0" borderId="23" xfId="0" applyNumberFormat="1" applyBorder="1"/>
    <xf numFmtId="3" fontId="0" fillId="0" borderId="24" xfId="0" applyNumberFormat="1" applyBorder="1"/>
    <xf numFmtId="3" fontId="0" fillId="3" borderId="34" xfId="0" applyNumberFormat="1" applyFill="1" applyBorder="1" applyAlignment="1">
      <alignment horizontal="center"/>
    </xf>
    <xf numFmtId="3" fontId="5" fillId="3" borderId="36" xfId="0" applyNumberFormat="1" applyFont="1" applyFill="1" applyBorder="1" applyAlignment="1">
      <alignment horizontal="center"/>
    </xf>
    <xf numFmtId="3" fontId="5" fillId="3" borderId="14" xfId="0" applyNumberFormat="1" applyFont="1" applyFill="1" applyBorder="1" applyAlignment="1">
      <alignment horizontal="center"/>
    </xf>
    <xf numFmtId="3" fontId="5" fillId="5" borderId="37" xfId="0" applyNumberFormat="1" applyFont="1" applyFill="1" applyBorder="1" applyAlignment="1">
      <alignment horizontal="center"/>
    </xf>
    <xf numFmtId="3" fontId="0" fillId="0" borderId="38" xfId="0" applyNumberFormat="1" applyBorder="1"/>
    <xf numFmtId="3" fontId="0" fillId="0" borderId="30" xfId="0" applyNumberFormat="1" applyBorder="1"/>
    <xf numFmtId="3" fontId="0" fillId="3" borderId="39" xfId="0" applyNumberFormat="1" applyFill="1" applyBorder="1" applyAlignment="1">
      <alignment horizontal="center"/>
    </xf>
    <xf numFmtId="3" fontId="5" fillId="3" borderId="39" xfId="0" applyNumberFormat="1" applyFont="1" applyFill="1" applyBorder="1" applyAlignment="1">
      <alignment horizontal="center"/>
    </xf>
    <xf numFmtId="3" fontId="5" fillId="3" borderId="40" xfId="0" applyNumberFormat="1" applyFont="1" applyFill="1" applyBorder="1" applyAlignment="1">
      <alignment horizontal="center"/>
    </xf>
    <xf numFmtId="3" fontId="5" fillId="0" borderId="21" xfId="0" applyNumberFormat="1" applyFont="1" applyBorder="1" applyAlignment="1">
      <alignment horizontal="center"/>
    </xf>
    <xf numFmtId="3" fontId="2" fillId="6" borderId="41" xfId="0" applyNumberFormat="1" applyFont="1" applyFill="1" applyBorder="1" applyAlignment="1">
      <alignment horizontal="center"/>
    </xf>
    <xf numFmtId="3" fontId="0" fillId="3" borderId="43" xfId="0" applyNumberFormat="1" applyFill="1" applyBorder="1" applyAlignment="1">
      <alignment horizontal="center"/>
    </xf>
    <xf numFmtId="3" fontId="5" fillId="3" borderId="43" xfId="0" applyNumberFormat="1" applyFont="1" applyFill="1" applyBorder="1" applyAlignment="1">
      <alignment horizontal="center"/>
    </xf>
    <xf numFmtId="3" fontId="0" fillId="2" borderId="44" xfId="0" applyNumberFormat="1" applyFill="1" applyBorder="1"/>
    <xf numFmtId="3" fontId="0" fillId="3" borderId="45" xfId="0" applyNumberFormat="1" applyFill="1" applyBorder="1" applyAlignment="1">
      <alignment horizontal="center"/>
    </xf>
    <xf numFmtId="3" fontId="5" fillId="3" borderId="45" xfId="0" applyNumberFormat="1" applyFont="1" applyFill="1" applyBorder="1" applyAlignment="1">
      <alignment horizontal="center"/>
    </xf>
    <xf numFmtId="3" fontId="0" fillId="7" borderId="41" xfId="0" applyNumberFormat="1" applyFill="1" applyBorder="1" applyAlignment="1">
      <alignment horizontal="center"/>
    </xf>
    <xf numFmtId="3" fontId="0" fillId="7" borderId="46" xfId="0" applyNumberFormat="1" applyFill="1" applyBorder="1" applyAlignment="1">
      <alignment horizontal="center"/>
    </xf>
    <xf numFmtId="3" fontId="0" fillId="7" borderId="5" xfId="0" applyNumberFormat="1" applyFill="1" applyBorder="1" applyAlignment="1">
      <alignment horizontal="center"/>
    </xf>
    <xf numFmtId="3" fontId="0" fillId="2" borderId="47" xfId="0" applyNumberFormat="1" applyFill="1" applyBorder="1" applyAlignment="1">
      <alignment horizontal="center"/>
    </xf>
    <xf numFmtId="3" fontId="0" fillId="2" borderId="48" xfId="0" applyNumberFormat="1" applyFill="1" applyBorder="1" applyAlignment="1">
      <alignment horizontal="center"/>
    </xf>
    <xf numFmtId="3" fontId="0" fillId="0" borderId="380" xfId="0" applyNumberFormat="1" applyBorder="1" applyAlignment="1">
      <alignment horizontal="center"/>
    </xf>
    <xf numFmtId="3" fontId="0" fillId="0" borderId="380" xfId="1" applyNumberFormat="1" applyFont="1" applyFill="1" applyBorder="1" applyAlignment="1">
      <alignment horizontal="center"/>
    </xf>
    <xf numFmtId="3" fontId="0" fillId="0" borderId="380" xfId="1" applyNumberFormat="1" applyFont="1" applyFill="1" applyBorder="1"/>
    <xf numFmtId="3" fontId="3" fillId="0" borderId="380" xfId="1" applyNumberFormat="1" applyFont="1" applyFill="1" applyBorder="1" applyAlignment="1">
      <alignment horizontal="center"/>
    </xf>
    <xf numFmtId="3" fontId="0" fillId="2" borderId="231" xfId="0" applyNumberFormat="1" applyFill="1" applyBorder="1"/>
    <xf numFmtId="3" fontId="3" fillId="10" borderId="34" xfId="0" applyNumberFormat="1" applyFont="1" applyFill="1" applyBorder="1" applyAlignment="1">
      <alignment horizontal="center"/>
    </xf>
    <xf numFmtId="3" fontId="3" fillId="10" borderId="33" xfId="0" applyNumberFormat="1" applyFont="1" applyFill="1" applyBorder="1" applyAlignment="1">
      <alignment horizontal="center"/>
    </xf>
    <xf numFmtId="3" fontId="3" fillId="10" borderId="52" xfId="0" applyNumberFormat="1" applyFont="1" applyFill="1" applyBorder="1" applyAlignment="1">
      <alignment horizontal="center"/>
    </xf>
    <xf numFmtId="3" fontId="3" fillId="11" borderId="383" xfId="0" applyNumberFormat="1" applyFont="1" applyFill="1" applyBorder="1" applyAlignment="1">
      <alignment horizontal="center"/>
    </xf>
    <xf numFmtId="3" fontId="3" fillId="11" borderId="384" xfId="0" applyNumberFormat="1" applyFont="1" applyFill="1" applyBorder="1" applyAlignment="1">
      <alignment horizontal="center"/>
    </xf>
    <xf numFmtId="3" fontId="3" fillId="11" borderId="385" xfId="0" applyNumberFormat="1" applyFont="1" applyFill="1" applyBorder="1" applyAlignment="1">
      <alignment horizontal="center"/>
    </xf>
    <xf numFmtId="3" fontId="3" fillId="11" borderId="208" xfId="0" applyNumberFormat="1" applyFont="1" applyFill="1" applyBorder="1" applyAlignment="1">
      <alignment horizontal="center"/>
    </xf>
    <xf numFmtId="3" fontId="3" fillId="11" borderId="209" xfId="0" applyNumberFormat="1" applyFont="1" applyFill="1" applyBorder="1" applyAlignment="1">
      <alignment horizontal="center"/>
    </xf>
    <xf numFmtId="3" fontId="3" fillId="11" borderId="232" xfId="0" applyNumberFormat="1" applyFont="1" applyFill="1" applyBorder="1" applyAlignment="1">
      <alignment horizontal="center"/>
    </xf>
    <xf numFmtId="3" fontId="3" fillId="11" borderId="344" xfId="0" applyNumberFormat="1" applyFont="1" applyFill="1" applyBorder="1" applyAlignment="1">
      <alignment horizontal="center"/>
    </xf>
    <xf numFmtId="3" fontId="3" fillId="11" borderId="233" xfId="0" applyNumberFormat="1" applyFont="1" applyFill="1" applyBorder="1" applyAlignment="1">
      <alignment horizontal="center"/>
    </xf>
    <xf numFmtId="3" fontId="3" fillId="11" borderId="207" xfId="0" applyNumberFormat="1" applyFont="1" applyFill="1" applyBorder="1" applyAlignment="1">
      <alignment horizontal="center"/>
    </xf>
    <xf numFmtId="3" fontId="3" fillId="11" borderId="238" xfId="0" applyNumberFormat="1" applyFont="1" applyFill="1" applyBorder="1" applyAlignment="1">
      <alignment horizontal="center"/>
    </xf>
    <xf numFmtId="3" fontId="3" fillId="11" borderId="358" xfId="0" applyNumberFormat="1" applyFont="1" applyFill="1" applyBorder="1" applyAlignment="1">
      <alignment horizontal="center"/>
    </xf>
    <xf numFmtId="3" fontId="3" fillId="11" borderId="28" xfId="0" applyNumberFormat="1" applyFont="1" applyFill="1" applyBorder="1" applyAlignment="1">
      <alignment horizontal="center"/>
    </xf>
    <xf numFmtId="3" fontId="3" fillId="11" borderId="240" xfId="0" applyNumberFormat="1" applyFont="1" applyFill="1" applyBorder="1" applyAlignment="1">
      <alignment horizontal="center"/>
    </xf>
    <xf numFmtId="3" fontId="3" fillId="11" borderId="242" xfId="0" applyNumberFormat="1" applyFont="1" applyFill="1" applyBorder="1" applyAlignment="1">
      <alignment horizontal="center"/>
    </xf>
    <xf numFmtId="3" fontId="3" fillId="11" borderId="281" xfId="0" applyNumberFormat="1" applyFont="1" applyFill="1" applyBorder="1" applyAlignment="1">
      <alignment horizontal="center"/>
    </xf>
    <xf numFmtId="3" fontId="3" fillId="11" borderId="210" xfId="0" applyNumberFormat="1" applyFont="1" applyFill="1" applyBorder="1" applyAlignment="1">
      <alignment horizontal="center"/>
    </xf>
    <xf numFmtId="3" fontId="3" fillId="11" borderId="250" xfId="0" applyNumberFormat="1" applyFont="1" applyFill="1" applyBorder="1" applyAlignment="1">
      <alignment horizontal="center"/>
    </xf>
    <xf numFmtId="3" fontId="3" fillId="11" borderId="239" xfId="0" applyNumberFormat="1" applyFont="1" applyFill="1" applyBorder="1" applyAlignment="1">
      <alignment horizontal="center"/>
    </xf>
    <xf numFmtId="3" fontId="0" fillId="0" borderId="52" xfId="0" applyNumberFormat="1" applyBorder="1" applyAlignment="1">
      <alignment horizontal="center"/>
    </xf>
    <xf numFmtId="3" fontId="0" fillId="0" borderId="14" xfId="0" applyNumberFormat="1" applyBorder="1" applyAlignment="1">
      <alignment horizontal="center"/>
    </xf>
    <xf numFmtId="3" fontId="0" fillId="0" borderId="33" xfId="0" applyNumberFormat="1" applyBorder="1" applyAlignment="1">
      <alignment horizontal="center"/>
    </xf>
    <xf numFmtId="3" fontId="0" fillId="3" borderId="52" xfId="0" applyNumberFormat="1" applyFill="1" applyBorder="1" applyAlignment="1">
      <alignment horizontal="center"/>
    </xf>
    <xf numFmtId="3" fontId="0" fillId="3" borderId="386" xfId="0" applyNumberFormat="1" applyFill="1" applyBorder="1" applyAlignment="1">
      <alignment horizontal="center"/>
    </xf>
    <xf numFmtId="3" fontId="0" fillId="3" borderId="55" xfId="0" applyNumberFormat="1" applyFill="1" applyBorder="1" applyAlignment="1">
      <alignment horizontal="center"/>
    </xf>
    <xf numFmtId="3" fontId="0" fillId="0" borderId="12" xfId="0" applyNumberFormat="1" applyBorder="1" applyAlignment="1">
      <alignment horizontal="center"/>
    </xf>
    <xf numFmtId="3" fontId="0" fillId="11" borderId="343" xfId="0" applyNumberFormat="1" applyFill="1" applyBorder="1" applyAlignment="1">
      <alignment horizontal="center"/>
    </xf>
    <xf numFmtId="3" fontId="0" fillId="11" borderId="387" xfId="0" applyNumberFormat="1" applyFill="1" applyBorder="1" applyAlignment="1">
      <alignment horizontal="center"/>
    </xf>
    <xf numFmtId="3" fontId="0" fillId="3" borderId="16" xfId="0" applyNumberFormat="1" applyFill="1" applyBorder="1"/>
    <xf numFmtId="3" fontId="0" fillId="3" borderId="17" xfId="0" applyNumberFormat="1" applyFill="1" applyBorder="1"/>
    <xf numFmtId="3" fontId="0" fillId="3" borderId="13" xfId="0" applyNumberFormat="1" applyFill="1" applyBorder="1"/>
    <xf numFmtId="3" fontId="0" fillId="0" borderId="16" xfId="0" applyNumberFormat="1" applyBorder="1"/>
    <xf numFmtId="3" fontId="0" fillId="11" borderId="56" xfId="0" applyNumberFormat="1" applyFill="1" applyBorder="1"/>
    <xf numFmtId="3" fontId="0" fillId="11" borderId="134" xfId="0" applyNumberFormat="1" applyFill="1" applyBorder="1"/>
    <xf numFmtId="3" fontId="0" fillId="3" borderId="211" xfId="0" applyNumberFormat="1" applyFill="1" applyBorder="1" applyAlignment="1">
      <alignment horizontal="center"/>
    </xf>
    <xf numFmtId="3" fontId="0" fillId="0" borderId="17" xfId="0" applyNumberFormat="1" applyBorder="1" applyAlignment="1">
      <alignment horizontal="center"/>
    </xf>
    <xf numFmtId="3" fontId="0" fillId="11" borderId="56" xfId="0" applyNumberFormat="1" applyFill="1" applyBorder="1" applyAlignment="1">
      <alignment horizontal="center"/>
    </xf>
    <xf numFmtId="3" fontId="0" fillId="11" borderId="132" xfId="0" applyNumberFormat="1" applyFill="1" applyBorder="1"/>
    <xf numFmtId="3" fontId="0" fillId="3" borderId="135" xfId="0" applyNumberFormat="1" applyFill="1" applyBorder="1"/>
    <xf numFmtId="3" fontId="0" fillId="0" borderId="16" xfId="0" applyNumberFormat="1" applyBorder="1" applyAlignment="1">
      <alignment horizontal="center"/>
    </xf>
    <xf numFmtId="3" fontId="0" fillId="3" borderId="136" xfId="0" applyNumberFormat="1" applyFill="1" applyBorder="1"/>
    <xf numFmtId="3" fontId="0" fillId="3" borderId="19" xfId="0" applyNumberFormat="1" applyFill="1" applyBorder="1"/>
    <xf numFmtId="3" fontId="0" fillId="11" borderId="18" xfId="0" applyNumberFormat="1" applyFill="1" applyBorder="1"/>
    <xf numFmtId="3" fontId="0" fillId="3" borderId="33" xfId="0" applyNumberFormat="1" applyFill="1" applyBorder="1"/>
    <xf numFmtId="3" fontId="0" fillId="0" borderId="0" xfId="0" applyNumberFormat="1"/>
    <xf numFmtId="3" fontId="0" fillId="0" borderId="58" xfId="0" applyNumberFormat="1" applyBorder="1" applyAlignment="1">
      <alignment horizontal="center"/>
    </xf>
    <xf numFmtId="3" fontId="0" fillId="0" borderId="21" xfId="0" applyNumberFormat="1" applyBorder="1" applyAlignment="1">
      <alignment horizontal="center"/>
    </xf>
    <xf numFmtId="3" fontId="0" fillId="3" borderId="58" xfId="0" applyNumberFormat="1" applyFill="1" applyBorder="1" applyAlignment="1">
      <alignment horizontal="center"/>
    </xf>
    <xf numFmtId="3" fontId="0" fillId="11" borderId="24" xfId="0" applyNumberFormat="1" applyFill="1" applyBorder="1" applyAlignment="1">
      <alignment horizontal="center"/>
    </xf>
    <xf numFmtId="3" fontId="0" fillId="11" borderId="388" xfId="0" applyNumberFormat="1" applyFill="1" applyBorder="1" applyAlignment="1">
      <alignment horizontal="center"/>
    </xf>
    <xf numFmtId="3" fontId="0" fillId="3" borderId="22" xfId="0" applyNumberFormat="1" applyFill="1" applyBorder="1"/>
    <xf numFmtId="3" fontId="0" fillId="3" borderId="23" xfId="0" applyNumberFormat="1" applyFill="1" applyBorder="1"/>
    <xf numFmtId="3" fontId="0" fillId="3" borderId="25" xfId="0" applyNumberFormat="1" applyFill="1" applyBorder="1"/>
    <xf numFmtId="3" fontId="0" fillId="0" borderId="22" xfId="0" applyNumberFormat="1" applyBorder="1"/>
    <xf numFmtId="3" fontId="0" fillId="11" borderId="58" xfId="0" applyNumberFormat="1" applyFill="1" applyBorder="1"/>
    <xf numFmtId="3" fontId="0" fillId="11" borderId="155" xfId="0" applyNumberFormat="1" applyFill="1" applyBorder="1"/>
    <xf numFmtId="3" fontId="0" fillId="3" borderId="157" xfId="0" applyNumberFormat="1" applyFill="1" applyBorder="1" applyAlignment="1">
      <alignment horizontal="center"/>
    </xf>
    <xf numFmtId="3" fontId="0" fillId="3" borderId="24" xfId="0" applyNumberFormat="1" applyFill="1" applyBorder="1" applyAlignment="1">
      <alignment horizontal="center"/>
    </xf>
    <xf numFmtId="3" fontId="0" fillId="11" borderId="58" xfId="0" applyNumberFormat="1" applyFill="1" applyBorder="1" applyAlignment="1">
      <alignment horizontal="center"/>
    </xf>
    <xf numFmtId="3" fontId="0" fillId="11" borderId="156" xfId="0" applyNumberFormat="1" applyFill="1" applyBorder="1"/>
    <xf numFmtId="3" fontId="0" fillId="3" borderId="205" xfId="0" applyNumberFormat="1" applyFill="1" applyBorder="1"/>
    <xf numFmtId="3" fontId="0" fillId="3" borderId="25" xfId="0" applyNumberFormat="1" applyFill="1" applyBorder="1" applyAlignment="1">
      <alignment horizontal="center"/>
    </xf>
    <xf numFmtId="3" fontId="0" fillId="3" borderId="157" xfId="0" applyNumberFormat="1" applyFill="1" applyBorder="1"/>
    <xf numFmtId="3" fontId="0" fillId="11" borderId="24" xfId="0" applyNumberFormat="1" applyFill="1" applyBorder="1"/>
    <xf numFmtId="3" fontId="0" fillId="3" borderId="42" xfId="0" applyNumberFormat="1" applyFill="1" applyBorder="1"/>
    <xf numFmtId="3" fontId="0" fillId="3" borderId="21" xfId="0" applyNumberFormat="1" applyFill="1" applyBorder="1"/>
    <xf numFmtId="3" fontId="0" fillId="11" borderId="18" xfId="0" applyNumberFormat="1" applyFill="1" applyBorder="1" applyAlignment="1">
      <alignment horizontal="center"/>
    </xf>
    <xf numFmtId="3" fontId="0" fillId="11" borderId="389" xfId="0" applyNumberFormat="1" applyFill="1" applyBorder="1" applyAlignment="1">
      <alignment horizontal="center"/>
    </xf>
    <xf numFmtId="3" fontId="0" fillId="3" borderId="136" xfId="0" applyNumberFormat="1" applyFill="1" applyBorder="1" applyAlignment="1">
      <alignment horizontal="center"/>
    </xf>
    <xf numFmtId="3" fontId="0" fillId="3" borderId="15" xfId="0" applyNumberFormat="1" applyFill="1" applyBorder="1"/>
    <xf numFmtId="3" fontId="0" fillId="3" borderId="61" xfId="0" applyNumberFormat="1" applyFill="1" applyBorder="1" applyAlignment="1">
      <alignment horizontal="center"/>
    </xf>
    <xf numFmtId="3" fontId="0" fillId="3" borderId="62" xfId="0" applyNumberFormat="1" applyFill="1" applyBorder="1" applyAlignment="1">
      <alignment horizontal="center"/>
    </xf>
    <xf numFmtId="3" fontId="0" fillId="0" borderId="62" xfId="0" applyNumberFormat="1" applyBorder="1" applyAlignment="1">
      <alignment horizontal="center"/>
    </xf>
    <xf numFmtId="3" fontId="0" fillId="11" borderId="38" xfId="0" applyNumberFormat="1" applyFill="1" applyBorder="1" applyAlignment="1">
      <alignment horizontal="center"/>
    </xf>
    <xf numFmtId="3" fontId="0" fillId="0" borderId="0" xfId="0" applyNumberFormat="1" applyAlignment="1">
      <alignment horizontal="center"/>
    </xf>
    <xf numFmtId="3" fontId="0" fillId="0" borderId="57" xfId="0" applyNumberFormat="1" applyBorder="1" applyAlignment="1">
      <alignment horizontal="center"/>
    </xf>
    <xf numFmtId="3" fontId="0" fillId="3" borderId="0" xfId="0" applyNumberFormat="1" applyFill="1" applyAlignment="1">
      <alignment horizontal="center"/>
    </xf>
    <xf numFmtId="3" fontId="0" fillId="11" borderId="390" xfId="0" applyNumberFormat="1" applyFill="1" applyBorder="1" applyAlignment="1">
      <alignment horizontal="center"/>
    </xf>
    <xf numFmtId="3" fontId="0" fillId="3" borderId="61" xfId="0" applyNumberFormat="1" applyFill="1" applyBorder="1"/>
    <xf numFmtId="3" fontId="0" fillId="3" borderId="62" xfId="0" applyNumberFormat="1" applyFill="1" applyBorder="1"/>
    <xf numFmtId="3" fontId="0" fillId="3" borderId="89" xfId="0" applyNumberFormat="1" applyFill="1" applyBorder="1"/>
    <xf numFmtId="3" fontId="0" fillId="0" borderId="61" xfId="0" applyNumberFormat="1" applyBorder="1"/>
    <xf numFmtId="3" fontId="0" fillId="11" borderId="92" xfId="0" applyNumberFormat="1" applyFill="1" applyBorder="1"/>
    <xf numFmtId="3" fontId="0" fillId="11" borderId="175" xfId="0" applyNumberFormat="1" applyFill="1" applyBorder="1"/>
    <xf numFmtId="3" fontId="0" fillId="3" borderId="176" xfId="0" applyNumberFormat="1" applyFill="1" applyBorder="1" applyAlignment="1">
      <alignment horizontal="center"/>
    </xf>
    <xf numFmtId="3" fontId="0" fillId="3" borderId="38" xfId="0" applyNumberFormat="1" applyFill="1" applyBorder="1" applyAlignment="1">
      <alignment horizontal="center"/>
    </xf>
    <xf numFmtId="3" fontId="0" fillId="11" borderId="92" xfId="0" applyNumberFormat="1" applyFill="1" applyBorder="1" applyAlignment="1">
      <alignment horizontal="center"/>
    </xf>
    <xf numFmtId="3" fontId="0" fillId="11" borderId="174" xfId="0" applyNumberFormat="1" applyFill="1" applyBorder="1"/>
    <xf numFmtId="3" fontId="0" fillId="3" borderId="243" xfId="0" applyNumberFormat="1" applyFill="1" applyBorder="1"/>
    <xf numFmtId="3" fontId="0" fillId="3" borderId="176" xfId="0" applyNumberFormat="1" applyFill="1" applyBorder="1"/>
    <xf numFmtId="3" fontId="0" fillId="3" borderId="89" xfId="0" applyNumberFormat="1" applyFill="1" applyBorder="1" applyAlignment="1">
      <alignment horizontal="center"/>
    </xf>
    <xf numFmtId="3" fontId="0" fillId="0" borderId="61" xfId="0" applyNumberFormat="1" applyBorder="1" applyAlignment="1">
      <alignment horizontal="center"/>
    </xf>
    <xf numFmtId="3" fontId="0" fillId="11" borderId="38" xfId="0" applyNumberFormat="1" applyFill="1" applyBorder="1"/>
    <xf numFmtId="3" fontId="0" fillId="3" borderId="43" xfId="0" applyNumberFormat="1" applyFill="1" applyBorder="1"/>
    <xf numFmtId="3" fontId="0" fillId="0" borderId="98" xfId="0" applyNumberFormat="1" applyBorder="1" applyAlignment="1">
      <alignment horizontal="center"/>
    </xf>
    <xf numFmtId="3" fontId="0" fillId="0" borderId="80" xfId="0" applyNumberFormat="1" applyBorder="1" applyAlignment="1">
      <alignment horizontal="center"/>
    </xf>
    <xf numFmtId="3" fontId="0" fillId="3" borderId="98" xfId="0" applyNumberFormat="1" applyFill="1" applyBorder="1" applyAlignment="1">
      <alignment horizontal="center"/>
    </xf>
    <xf numFmtId="3" fontId="0" fillId="3" borderId="99" xfId="0" applyNumberFormat="1" applyFill="1" applyBorder="1"/>
    <xf numFmtId="3" fontId="0" fillId="0" borderId="99" xfId="0" applyNumberFormat="1" applyBorder="1"/>
    <xf numFmtId="3" fontId="0" fillId="11" borderId="100" xfId="0" applyNumberFormat="1" applyFill="1" applyBorder="1"/>
    <xf numFmtId="3" fontId="0" fillId="11" borderId="391" xfId="0" applyNumberFormat="1" applyFill="1" applyBorder="1"/>
    <xf numFmtId="3" fontId="0" fillId="3" borderId="101" xfId="0" applyNumberFormat="1" applyFill="1" applyBorder="1"/>
    <xf numFmtId="3" fontId="0" fillId="11" borderId="98" xfId="0" applyNumberFormat="1" applyFill="1" applyBorder="1"/>
    <xf numFmtId="3" fontId="0" fillId="11" borderId="149" xfId="0" applyNumberFormat="1" applyFill="1" applyBorder="1"/>
    <xf numFmtId="3" fontId="0" fillId="3" borderId="152" xfId="0" applyNumberFormat="1" applyFill="1" applyBorder="1"/>
    <xf numFmtId="3" fontId="0" fillId="3" borderId="97" xfId="0" applyNumberFormat="1" applyFill="1" applyBorder="1"/>
    <xf numFmtId="3" fontId="0" fillId="3" borderId="100" xfId="0" applyNumberFormat="1" applyFill="1" applyBorder="1"/>
    <xf numFmtId="3" fontId="0" fillId="11" borderId="102" xfId="0" applyNumberFormat="1" applyFill="1" applyBorder="1"/>
    <xf numFmtId="3" fontId="0" fillId="3" borderId="80" xfId="0" applyNumberFormat="1" applyFill="1" applyBorder="1"/>
    <xf numFmtId="3" fontId="0" fillId="0" borderId="67" xfId="0" applyNumberFormat="1" applyBorder="1" applyAlignment="1">
      <alignment horizontal="center"/>
    </xf>
    <xf numFmtId="3" fontId="0" fillId="0" borderId="66" xfId="0" applyNumberFormat="1" applyBorder="1" applyAlignment="1">
      <alignment horizontal="center"/>
    </xf>
    <xf numFmtId="3" fontId="0" fillId="3" borderId="67" xfId="0" applyNumberFormat="1" applyFill="1" applyBorder="1" applyAlignment="1">
      <alignment horizontal="center"/>
    </xf>
    <xf numFmtId="3" fontId="0" fillId="3" borderId="108" xfId="0" applyNumberFormat="1" applyFill="1" applyBorder="1"/>
    <xf numFmtId="3" fontId="0" fillId="0" borderId="108" xfId="0" applyNumberFormat="1" applyBorder="1"/>
    <xf numFmtId="3" fontId="0" fillId="11" borderId="109" xfId="0" applyNumberFormat="1" applyFill="1" applyBorder="1"/>
    <xf numFmtId="3" fontId="0" fillId="11" borderId="392" xfId="0" applyNumberFormat="1" applyFill="1" applyBorder="1"/>
    <xf numFmtId="3" fontId="0" fillId="3" borderId="110" xfId="0" applyNumberFormat="1" applyFill="1" applyBorder="1"/>
    <xf numFmtId="3" fontId="0" fillId="11" borderId="67" xfId="0" applyNumberFormat="1" applyFill="1" applyBorder="1"/>
    <xf numFmtId="3" fontId="0" fillId="11" borderId="158" xfId="0" applyNumberFormat="1" applyFill="1" applyBorder="1"/>
    <xf numFmtId="3" fontId="0" fillId="3" borderId="164" xfId="0" applyNumberFormat="1" applyFill="1" applyBorder="1"/>
    <xf numFmtId="3" fontId="0" fillId="3" borderId="107" xfId="0" applyNumberFormat="1" applyFill="1" applyBorder="1"/>
    <xf numFmtId="3" fontId="0" fillId="3" borderId="109" xfId="0" applyNumberFormat="1" applyFill="1" applyBorder="1"/>
    <xf numFmtId="3" fontId="0" fillId="11" borderId="111" xfId="0" applyNumberFormat="1" applyFill="1" applyBorder="1"/>
    <xf numFmtId="3" fontId="0" fillId="3" borderId="66" xfId="0" applyNumberFormat="1" applyFill="1" applyBorder="1"/>
    <xf numFmtId="3" fontId="0" fillId="3" borderId="63" xfId="0" applyNumberFormat="1" applyFill="1" applyBorder="1"/>
    <xf numFmtId="3" fontId="0" fillId="0" borderId="56" xfId="0" applyNumberFormat="1" applyBorder="1" applyAlignment="1">
      <alignment horizontal="center"/>
    </xf>
    <xf numFmtId="3" fontId="0" fillId="0" borderId="15" xfId="0" applyNumberFormat="1" applyBorder="1" applyAlignment="1">
      <alignment horizontal="center"/>
    </xf>
    <xf numFmtId="3" fontId="0" fillId="11" borderId="389" xfId="0" applyNumberFormat="1" applyFill="1" applyBorder="1"/>
    <xf numFmtId="3" fontId="0" fillId="0" borderId="19" xfId="0" applyNumberFormat="1" applyBorder="1"/>
    <xf numFmtId="3" fontId="0" fillId="0" borderId="136" xfId="0" applyNumberFormat="1" applyBorder="1"/>
    <xf numFmtId="3" fontId="0" fillId="0" borderId="40" xfId="0" applyNumberFormat="1" applyBorder="1"/>
    <xf numFmtId="3" fontId="0" fillId="0" borderId="15" xfId="0" applyNumberFormat="1" applyBorder="1"/>
    <xf numFmtId="3" fontId="0" fillId="0" borderId="42" xfId="0" applyNumberFormat="1" applyBorder="1" applyAlignment="1">
      <alignment horizontal="center"/>
    </xf>
    <xf numFmtId="3" fontId="0" fillId="3" borderId="92" xfId="0" applyNumberFormat="1" applyFill="1" applyBorder="1" applyAlignment="1">
      <alignment horizontal="center"/>
    </xf>
    <xf numFmtId="3" fontId="0" fillId="11" borderId="388" xfId="0" applyNumberFormat="1" applyFill="1" applyBorder="1"/>
    <xf numFmtId="3" fontId="0" fillId="0" borderId="157" xfId="0" applyNumberFormat="1" applyBorder="1"/>
    <xf numFmtId="3" fontId="0" fillId="0" borderId="39" xfId="0" applyNumberFormat="1" applyBorder="1"/>
    <xf numFmtId="3" fontId="0" fillId="0" borderId="21" xfId="0" applyNumberFormat="1" applyBorder="1"/>
    <xf numFmtId="3" fontId="0" fillId="0" borderId="58" xfId="0" applyNumberFormat="1" applyBorder="1"/>
    <xf numFmtId="3" fontId="0" fillId="3" borderId="56" xfId="0" applyNumberFormat="1" applyFill="1" applyBorder="1" applyAlignment="1">
      <alignment horizontal="center"/>
    </xf>
    <xf numFmtId="3" fontId="0" fillId="3" borderId="15" xfId="0" applyNumberFormat="1" applyFill="1" applyBorder="1" applyAlignment="1">
      <alignment horizontal="center"/>
    </xf>
    <xf numFmtId="3" fontId="0" fillId="3" borderId="57" xfId="0" applyNumberFormat="1" applyFill="1" applyBorder="1" applyAlignment="1">
      <alignment horizontal="center"/>
    </xf>
    <xf numFmtId="3" fontId="0" fillId="3" borderId="32" xfId="0" applyNumberFormat="1" applyFill="1" applyBorder="1" applyAlignment="1">
      <alignment horizontal="center"/>
    </xf>
    <xf numFmtId="3" fontId="0" fillId="3" borderId="41" xfId="0" applyNumberFormat="1" applyFill="1" applyBorder="1" applyAlignment="1">
      <alignment horizontal="center"/>
    </xf>
    <xf numFmtId="3" fontId="0" fillId="3" borderId="37" xfId="0" applyNumberFormat="1" applyFill="1" applyBorder="1" applyAlignment="1">
      <alignment horizontal="center"/>
    </xf>
    <xf numFmtId="3" fontId="0" fillId="3" borderId="114" xfId="0" applyNumberFormat="1" applyFill="1" applyBorder="1" applyAlignment="1">
      <alignment horizontal="center"/>
    </xf>
    <xf numFmtId="3" fontId="0" fillId="0" borderId="46" xfId="0" applyNumberFormat="1" applyBorder="1"/>
    <xf numFmtId="3" fontId="0" fillId="0" borderId="32" xfId="0" applyNumberFormat="1" applyBorder="1"/>
    <xf numFmtId="3" fontId="0" fillId="11" borderId="32" xfId="0" applyNumberFormat="1" applyFill="1" applyBorder="1"/>
    <xf numFmtId="3" fontId="0" fillId="11" borderId="393" xfId="0" applyNumberFormat="1" applyFill="1" applyBorder="1"/>
    <xf numFmtId="3" fontId="0" fillId="0" borderId="85" xfId="0" applyNumberFormat="1" applyBorder="1"/>
    <xf numFmtId="3" fontId="0" fillId="11" borderId="218" xfId="0" applyNumberFormat="1" applyFill="1" applyBorder="1"/>
    <xf numFmtId="3" fontId="0" fillId="0" borderId="215" xfId="0" applyNumberFormat="1" applyBorder="1"/>
    <xf numFmtId="3" fontId="0" fillId="0" borderId="83" xfId="0" applyNumberFormat="1" applyBorder="1"/>
    <xf numFmtId="3" fontId="0" fillId="3" borderId="215" xfId="0" applyNumberFormat="1" applyFill="1" applyBorder="1"/>
    <xf numFmtId="3" fontId="0" fillId="3" borderId="46" xfId="0" applyNumberFormat="1" applyFill="1" applyBorder="1"/>
    <xf numFmtId="3" fontId="0" fillId="3" borderId="85" xfId="0" applyNumberFormat="1" applyFill="1" applyBorder="1"/>
    <xf numFmtId="3" fontId="0" fillId="3" borderId="6" xfId="0" applyNumberFormat="1" applyFill="1" applyBorder="1"/>
    <xf numFmtId="3" fontId="0" fillId="0" borderId="41" xfId="0" applyNumberFormat="1" applyBorder="1"/>
    <xf numFmtId="3" fontId="0" fillId="3" borderId="41" xfId="0" applyNumberFormat="1" applyFill="1" applyBorder="1"/>
    <xf numFmtId="3" fontId="0" fillId="2" borderId="394" xfId="0" applyNumberFormat="1" applyFill="1" applyBorder="1"/>
    <xf numFmtId="3" fontId="0" fillId="2" borderId="116" xfId="0" applyNumberFormat="1" applyFill="1" applyBorder="1"/>
    <xf numFmtId="3" fontId="0" fillId="2" borderId="217" xfId="0" applyNumberFormat="1" applyFill="1" applyBorder="1"/>
    <xf numFmtId="3" fontId="0" fillId="2" borderId="279" xfId="0" applyNumberFormat="1" applyFill="1" applyBorder="1"/>
    <xf numFmtId="3" fontId="3" fillId="3" borderId="281" xfId="0" applyNumberFormat="1" applyFont="1" applyFill="1" applyBorder="1" applyAlignment="1">
      <alignment horizontal="center"/>
    </xf>
    <xf numFmtId="3" fontId="3" fillId="3" borderId="283" xfId="0" applyNumberFormat="1" applyFont="1" applyFill="1" applyBorder="1" applyAlignment="1">
      <alignment horizontal="center"/>
    </xf>
    <xf numFmtId="3" fontId="3" fillId="3" borderId="284" xfId="0" applyNumberFormat="1" applyFont="1" applyFill="1" applyBorder="1" applyAlignment="1">
      <alignment horizontal="center"/>
    </xf>
    <xf numFmtId="3" fontId="3" fillId="11" borderId="288" xfId="0" applyNumberFormat="1" applyFont="1" applyFill="1" applyBorder="1" applyAlignment="1">
      <alignment horizontal="center"/>
    </xf>
    <xf numFmtId="3" fontId="3" fillId="11" borderId="289" xfId="0" applyNumberFormat="1" applyFont="1" applyFill="1" applyBorder="1" applyAlignment="1">
      <alignment horizontal="center"/>
    </xf>
    <xf numFmtId="3" fontId="3" fillId="11" borderId="284" xfId="0" applyNumberFormat="1" applyFont="1" applyFill="1" applyBorder="1" applyAlignment="1">
      <alignment horizontal="center"/>
    </xf>
    <xf numFmtId="3" fontId="3" fillId="11" borderId="347" xfId="0" applyNumberFormat="1" applyFont="1" applyFill="1" applyBorder="1" applyAlignment="1">
      <alignment horizontal="center"/>
    </xf>
    <xf numFmtId="3" fontId="3" fillId="11" borderId="395" xfId="0" applyNumberFormat="1" applyFont="1" applyFill="1" applyBorder="1" applyAlignment="1">
      <alignment horizontal="center"/>
    </xf>
    <xf numFmtId="3" fontId="3" fillId="11" borderId="290" xfId="0" applyNumberFormat="1" applyFont="1" applyFill="1" applyBorder="1" applyAlignment="1">
      <alignment horizontal="center"/>
    </xf>
    <xf numFmtId="3" fontId="3" fillId="11" borderId="287" xfId="0" applyNumberFormat="1" applyFont="1" applyFill="1" applyBorder="1" applyAlignment="1">
      <alignment horizontal="center"/>
    </xf>
    <xf numFmtId="3" fontId="3" fillId="11" borderId="282" xfId="0" applyNumberFormat="1" applyFont="1" applyFill="1" applyBorder="1" applyAlignment="1">
      <alignment horizontal="center"/>
    </xf>
    <xf numFmtId="3" fontId="3" fillId="11" borderId="283" xfId="0" applyNumberFormat="1" applyFont="1" applyFill="1" applyBorder="1" applyAlignment="1">
      <alignment horizontal="center"/>
    </xf>
    <xf numFmtId="3" fontId="3" fillId="11" borderId="300" xfId="0" applyNumberFormat="1" applyFont="1" applyFill="1" applyBorder="1" applyAlignment="1">
      <alignment horizontal="center"/>
    </xf>
    <xf numFmtId="3" fontId="3" fillId="11" borderId="379" xfId="0" applyNumberFormat="1" applyFont="1" applyFill="1" applyBorder="1" applyAlignment="1">
      <alignment horizontal="center"/>
    </xf>
    <xf numFmtId="3" fontId="3" fillId="11" borderId="349" xfId="0" applyNumberFormat="1" applyFont="1" applyFill="1" applyBorder="1" applyAlignment="1">
      <alignment horizontal="center"/>
    </xf>
    <xf numFmtId="3" fontId="3" fillId="11" borderId="291" xfId="0" applyNumberFormat="1" applyFont="1" applyFill="1" applyBorder="1" applyAlignment="1">
      <alignment horizontal="center"/>
    </xf>
    <xf numFmtId="3" fontId="3" fillId="11" borderId="292" xfId="0" applyNumberFormat="1" applyFont="1" applyFill="1" applyBorder="1" applyAlignment="1">
      <alignment horizontal="center"/>
    </xf>
    <xf numFmtId="3" fontId="0" fillId="3" borderId="40" xfId="0" applyNumberFormat="1" applyFill="1" applyBorder="1" applyAlignment="1">
      <alignment horizontal="center"/>
    </xf>
    <xf numFmtId="3" fontId="0" fillId="11" borderId="15" xfId="0" applyNumberFormat="1" applyFill="1" applyBorder="1" applyAlignment="1">
      <alignment horizontal="center"/>
    </xf>
    <xf numFmtId="3" fontId="0" fillId="11" borderId="396" xfId="0" applyNumberFormat="1" applyFill="1" applyBorder="1" applyAlignment="1">
      <alignment horizontal="center"/>
    </xf>
    <xf numFmtId="3" fontId="0" fillId="11" borderId="235" xfId="0" applyNumberFormat="1" applyFill="1" applyBorder="1"/>
    <xf numFmtId="3" fontId="0" fillId="3" borderId="18" xfId="0" applyNumberFormat="1" applyFill="1" applyBorder="1"/>
    <xf numFmtId="3" fontId="0" fillId="11" borderId="15" xfId="0" applyNumberFormat="1" applyFill="1" applyBorder="1"/>
    <xf numFmtId="3" fontId="0" fillId="11" borderId="113" xfId="0" applyNumberFormat="1" applyFill="1" applyBorder="1"/>
    <xf numFmtId="3" fontId="0" fillId="11" borderId="371" xfId="0" applyNumberFormat="1" applyFill="1" applyBorder="1" applyAlignment="1">
      <alignment horizontal="center"/>
    </xf>
    <xf numFmtId="3" fontId="0" fillId="11" borderId="365" xfId="0" applyNumberFormat="1" applyFill="1" applyBorder="1" applyAlignment="1">
      <alignment horizontal="center"/>
    </xf>
    <xf numFmtId="3" fontId="0" fillId="11" borderId="40" xfId="0" applyNumberFormat="1" applyFill="1" applyBorder="1"/>
    <xf numFmtId="3" fontId="0" fillId="3" borderId="251" xfId="0" applyNumberFormat="1" applyFill="1" applyBorder="1"/>
    <xf numFmtId="3" fontId="0" fillId="3" borderId="51" xfId="0" applyNumberFormat="1" applyFill="1" applyBorder="1"/>
    <xf numFmtId="3" fontId="0" fillId="3" borderId="293" xfId="0" applyNumberFormat="1" applyFill="1" applyBorder="1"/>
    <xf numFmtId="3" fontId="0" fillId="0" borderId="59" xfId="0" applyNumberFormat="1" applyBorder="1" applyAlignment="1">
      <alignment horizontal="center"/>
    </xf>
    <xf numFmtId="3" fontId="0" fillId="11" borderId="42" xfId="0" applyNumberFormat="1" applyFill="1" applyBorder="1" applyAlignment="1">
      <alignment horizontal="center"/>
    </xf>
    <xf numFmtId="3" fontId="0" fillId="11" borderId="397" xfId="0" applyNumberFormat="1" applyFill="1" applyBorder="1" applyAlignment="1">
      <alignment horizontal="center"/>
    </xf>
    <xf numFmtId="3" fontId="0" fillId="11" borderId="223" xfId="0" applyNumberFormat="1" applyFill="1" applyBorder="1"/>
    <xf numFmtId="3" fontId="0" fillId="3" borderId="24" xfId="0" applyNumberFormat="1" applyFill="1" applyBorder="1"/>
    <xf numFmtId="3" fontId="0" fillId="11" borderId="21" xfId="0" applyNumberFormat="1" applyFill="1" applyBorder="1"/>
    <xf numFmtId="3" fontId="0" fillId="11" borderId="59" xfId="0" applyNumberFormat="1" applyFill="1" applyBorder="1"/>
    <xf numFmtId="3" fontId="0" fillId="11" borderId="372" xfId="0" applyNumberFormat="1" applyFill="1" applyBorder="1" applyAlignment="1">
      <alignment horizontal="center"/>
    </xf>
    <xf numFmtId="3" fontId="0" fillId="11" borderId="366" xfId="0" applyNumberFormat="1" applyFill="1" applyBorder="1" applyAlignment="1">
      <alignment horizontal="center"/>
    </xf>
    <xf numFmtId="3" fontId="0" fillId="11" borderId="39" xfId="0" applyNumberFormat="1" applyFill="1" applyBorder="1"/>
    <xf numFmtId="3" fontId="0" fillId="3" borderId="203" xfId="0" applyNumberFormat="1" applyFill="1" applyBorder="1"/>
    <xf numFmtId="3" fontId="0" fillId="3" borderId="223" xfId="0" applyNumberFormat="1" applyFill="1" applyBorder="1"/>
    <xf numFmtId="3" fontId="0" fillId="0" borderId="43" xfId="0" applyNumberFormat="1" applyBorder="1" applyAlignment="1">
      <alignment horizontal="center"/>
    </xf>
    <xf numFmtId="3" fontId="0" fillId="0" borderId="82" xfId="0" applyNumberFormat="1" applyBorder="1" applyAlignment="1">
      <alignment horizontal="center"/>
    </xf>
    <xf numFmtId="3" fontId="0" fillId="3" borderId="93" xfId="0" applyNumberFormat="1" applyFill="1" applyBorder="1"/>
    <xf numFmtId="3" fontId="0" fillId="3" borderId="81" xfId="0" applyNumberFormat="1" applyFill="1" applyBorder="1"/>
    <xf numFmtId="3" fontId="0" fillId="3" borderId="91" xfId="0" applyNumberFormat="1" applyFill="1" applyBorder="1"/>
    <xf numFmtId="3" fontId="0" fillId="11" borderId="0" xfId="0" applyNumberFormat="1" applyFill="1"/>
    <xf numFmtId="3" fontId="0" fillId="11" borderId="225" xfId="0" applyNumberFormat="1" applyFill="1" applyBorder="1"/>
    <xf numFmtId="3" fontId="0" fillId="3" borderId="148" xfId="0" applyNumberFormat="1" applyFill="1" applyBorder="1" applyAlignment="1">
      <alignment horizontal="center"/>
    </xf>
    <xf numFmtId="3" fontId="0" fillId="3" borderId="81" xfId="0" applyNumberFormat="1" applyFill="1" applyBorder="1" applyAlignment="1">
      <alignment horizontal="center"/>
    </xf>
    <xf numFmtId="3" fontId="0" fillId="3" borderId="91" xfId="0" applyNumberFormat="1" applyFill="1" applyBorder="1" applyAlignment="1">
      <alignment horizontal="center"/>
    </xf>
    <xf numFmtId="3" fontId="0" fillId="11" borderId="0" xfId="0" applyNumberFormat="1" applyFill="1" applyAlignment="1">
      <alignment horizontal="center"/>
    </xf>
    <xf numFmtId="3" fontId="0" fillId="3" borderId="148" xfId="0" applyNumberFormat="1" applyFill="1" applyBorder="1"/>
    <xf numFmtId="3" fontId="0" fillId="3" borderId="94" xfId="0" applyNumberFormat="1" applyFill="1" applyBorder="1"/>
    <xf numFmtId="3" fontId="0" fillId="11" borderId="57" xfId="0" applyNumberFormat="1" applyFill="1" applyBorder="1"/>
    <xf numFmtId="3" fontId="0" fillId="11" borderId="51" xfId="0" applyNumberFormat="1" applyFill="1" applyBorder="1"/>
    <xf numFmtId="3" fontId="0" fillId="3" borderId="94" xfId="0" applyNumberFormat="1" applyFill="1" applyBorder="1" applyAlignment="1">
      <alignment horizontal="center"/>
    </xf>
    <xf numFmtId="3" fontId="0" fillId="11" borderId="373" xfId="0" applyNumberFormat="1" applyFill="1" applyBorder="1" applyAlignment="1">
      <alignment horizontal="center"/>
    </xf>
    <xf numFmtId="3" fontId="0" fillId="11" borderId="367" xfId="0" applyNumberFormat="1" applyFill="1" applyBorder="1" applyAlignment="1">
      <alignment horizontal="center"/>
    </xf>
    <xf numFmtId="3" fontId="0" fillId="11" borderId="116" xfId="0" applyNumberFormat="1" applyFill="1" applyBorder="1"/>
    <xf numFmtId="3" fontId="0" fillId="11" borderId="35" xfId="0" applyNumberFormat="1" applyFill="1" applyBorder="1"/>
    <xf numFmtId="3" fontId="0" fillId="3" borderId="0" xfId="0" applyNumberFormat="1" applyFill="1"/>
    <xf numFmtId="3" fontId="0" fillId="0" borderId="97" xfId="0" applyNumberFormat="1" applyBorder="1" applyAlignment="1">
      <alignment horizontal="center"/>
    </xf>
    <xf numFmtId="3" fontId="0" fillId="3" borderId="100" xfId="0" applyNumberFormat="1" applyFill="1" applyBorder="1" applyAlignment="1">
      <alignment horizontal="center"/>
    </xf>
    <xf numFmtId="3" fontId="0" fillId="3" borderId="101" xfId="0" applyNumberFormat="1" applyFill="1" applyBorder="1" applyAlignment="1">
      <alignment horizontal="center"/>
    </xf>
    <xf numFmtId="3" fontId="0" fillId="11" borderId="98" xfId="0" applyNumberFormat="1" applyFill="1" applyBorder="1" applyAlignment="1">
      <alignment horizontal="center"/>
    </xf>
    <xf numFmtId="3" fontId="0" fillId="11" borderId="80" xfId="0" applyNumberFormat="1" applyFill="1" applyBorder="1" applyAlignment="1">
      <alignment horizontal="center"/>
    </xf>
    <xf numFmtId="3" fontId="0" fillId="11" borderId="391" xfId="0" applyNumberFormat="1" applyFill="1" applyBorder="1" applyAlignment="1">
      <alignment horizontal="center"/>
    </xf>
    <xf numFmtId="3" fontId="0" fillId="11" borderId="222" xfId="0" applyNumberFormat="1" applyFill="1" applyBorder="1"/>
    <xf numFmtId="3" fontId="0" fillId="3" borderId="152" xfId="0" applyNumberFormat="1" applyFill="1" applyBorder="1" applyAlignment="1">
      <alignment horizontal="center"/>
    </xf>
    <xf numFmtId="3" fontId="0" fillId="3" borderId="102" xfId="0" applyNumberFormat="1" applyFill="1" applyBorder="1"/>
    <xf numFmtId="3" fontId="0" fillId="11" borderId="80" xfId="0" applyNumberFormat="1" applyFill="1" applyBorder="1"/>
    <xf numFmtId="3" fontId="0" fillId="11" borderId="79" xfId="0" applyNumberFormat="1" applyFill="1" applyBorder="1"/>
    <xf numFmtId="3" fontId="0" fillId="3" borderId="102" xfId="0" applyNumberFormat="1" applyFill="1" applyBorder="1" applyAlignment="1">
      <alignment horizontal="center"/>
    </xf>
    <xf numFmtId="3" fontId="0" fillId="11" borderId="374" xfId="0" applyNumberFormat="1" applyFill="1" applyBorder="1" applyAlignment="1">
      <alignment horizontal="center"/>
    </xf>
    <xf numFmtId="3" fontId="0" fillId="11" borderId="368" xfId="0" applyNumberFormat="1" applyFill="1" applyBorder="1" applyAlignment="1">
      <alignment horizontal="center"/>
    </xf>
    <xf numFmtId="3" fontId="0" fillId="11" borderId="97" xfId="0" applyNumberFormat="1" applyFill="1" applyBorder="1"/>
    <xf numFmtId="3" fontId="0" fillId="11" borderId="103" xfId="0" applyNumberFormat="1" applyFill="1" applyBorder="1"/>
    <xf numFmtId="3" fontId="0" fillId="11" borderId="338" xfId="0" applyNumberFormat="1" applyFill="1" applyBorder="1"/>
    <xf numFmtId="3" fontId="0" fillId="11" borderId="248" xfId="0" applyNumberFormat="1" applyFill="1" applyBorder="1"/>
    <xf numFmtId="3" fontId="0" fillId="3" borderId="261" xfId="0" applyNumberFormat="1" applyFill="1" applyBorder="1"/>
    <xf numFmtId="3" fontId="0" fillId="3" borderId="104" xfId="0" applyNumberFormat="1" applyFill="1" applyBorder="1"/>
    <xf numFmtId="3" fontId="0" fillId="0" borderId="39" xfId="0" applyNumberFormat="1" applyBorder="1" applyAlignment="1">
      <alignment horizontal="center"/>
    </xf>
    <xf numFmtId="3" fontId="0" fillId="11" borderId="21" xfId="0" applyNumberFormat="1" applyFill="1" applyBorder="1" applyAlignment="1">
      <alignment horizontal="center"/>
    </xf>
    <xf numFmtId="3" fontId="0" fillId="11" borderId="398" xfId="0" applyNumberFormat="1" applyFill="1" applyBorder="1" applyAlignment="1">
      <alignment horizontal="center"/>
    </xf>
    <xf numFmtId="3" fontId="0" fillId="3" borderId="325" xfId="0" applyNumberFormat="1" applyFill="1" applyBorder="1" applyAlignment="1">
      <alignment horizontal="center"/>
    </xf>
    <xf numFmtId="3" fontId="0" fillId="3" borderId="326" xfId="0" applyNumberFormat="1" applyFill="1" applyBorder="1" applyAlignment="1">
      <alignment horizontal="center"/>
    </xf>
    <xf numFmtId="3" fontId="0" fillId="11" borderId="323" xfId="0" applyNumberFormat="1" applyFill="1" applyBorder="1" applyAlignment="1">
      <alignment horizontal="center"/>
    </xf>
    <xf numFmtId="3" fontId="0" fillId="11" borderId="322" xfId="0" applyNumberFormat="1" applyFill="1" applyBorder="1" applyAlignment="1">
      <alignment horizontal="center"/>
    </xf>
    <xf numFmtId="3" fontId="0" fillId="11" borderId="399" xfId="0" applyNumberFormat="1" applyFill="1" applyBorder="1" applyAlignment="1">
      <alignment horizontal="center"/>
    </xf>
    <xf numFmtId="3" fontId="0" fillId="3" borderId="381" xfId="0" applyNumberFormat="1" applyFill="1" applyBorder="1"/>
    <xf numFmtId="3" fontId="0" fillId="3" borderId="325" xfId="0" applyNumberFormat="1" applyFill="1" applyBorder="1"/>
    <xf numFmtId="3" fontId="0" fillId="3" borderId="326" xfId="0" applyNumberFormat="1" applyFill="1" applyBorder="1"/>
    <xf numFmtId="3" fontId="0" fillId="11" borderId="323" xfId="0" applyNumberFormat="1" applyFill="1" applyBorder="1"/>
    <xf numFmtId="3" fontId="0" fillId="11" borderId="327" xfId="0" applyNumberFormat="1" applyFill="1" applyBorder="1"/>
    <xf numFmtId="3" fontId="0" fillId="3" borderId="324" xfId="0" applyNumberFormat="1" applyFill="1" applyBorder="1" applyAlignment="1">
      <alignment horizontal="center"/>
    </xf>
    <xf numFmtId="3" fontId="0" fillId="3" borderId="324" xfId="0" applyNumberFormat="1" applyFill="1" applyBorder="1"/>
    <xf numFmtId="3" fontId="0" fillId="3" borderId="328" xfId="0" applyNumberFormat="1" applyFill="1" applyBorder="1"/>
    <xf numFmtId="3" fontId="0" fillId="11" borderId="322" xfId="0" applyNumberFormat="1" applyFill="1" applyBorder="1"/>
    <xf numFmtId="3" fontId="0" fillId="11" borderId="355" xfId="0" applyNumberFormat="1" applyFill="1" applyBorder="1"/>
    <xf numFmtId="3" fontId="0" fillId="3" borderId="328" xfId="0" applyNumberFormat="1" applyFill="1" applyBorder="1" applyAlignment="1">
      <alignment horizontal="center"/>
    </xf>
    <xf numFmtId="3" fontId="0" fillId="11" borderId="375" xfId="0" applyNumberFormat="1" applyFill="1" applyBorder="1" applyAlignment="1">
      <alignment horizontal="center"/>
    </xf>
    <xf numFmtId="3" fontId="0" fillId="11" borderId="369" xfId="0" applyNumberFormat="1" applyFill="1" applyBorder="1" applyAlignment="1">
      <alignment horizontal="center"/>
    </xf>
    <xf numFmtId="3" fontId="0" fillId="11" borderId="350" xfId="0" applyNumberFormat="1" applyFill="1" applyBorder="1"/>
    <xf numFmtId="3" fontId="0" fillId="11" borderId="329" xfId="0" applyNumberFormat="1" applyFill="1" applyBorder="1"/>
    <xf numFmtId="3" fontId="0" fillId="3" borderId="321" xfId="0" applyNumberFormat="1" applyFill="1" applyBorder="1"/>
    <xf numFmtId="3" fontId="0" fillId="3" borderId="323" xfId="0" applyNumberFormat="1" applyFill="1" applyBorder="1"/>
    <xf numFmtId="3" fontId="0" fillId="0" borderId="107" xfId="0" applyNumberFormat="1" applyBorder="1" applyAlignment="1">
      <alignment horizontal="center"/>
    </xf>
    <xf numFmtId="3" fontId="0" fillId="3" borderId="109" xfId="0" applyNumberFormat="1" applyFill="1" applyBorder="1" applyAlignment="1">
      <alignment horizontal="center"/>
    </xf>
    <xf numFmtId="3" fontId="0" fillId="3" borderId="110" xfId="0" applyNumberFormat="1" applyFill="1" applyBorder="1" applyAlignment="1">
      <alignment horizontal="center"/>
    </xf>
    <xf numFmtId="3" fontId="0" fillId="11" borderId="67" xfId="0" applyNumberFormat="1" applyFill="1" applyBorder="1" applyAlignment="1">
      <alignment horizontal="center"/>
    </xf>
    <xf numFmtId="3" fontId="0" fillId="11" borderId="66" xfId="0" applyNumberFormat="1" applyFill="1" applyBorder="1" applyAlignment="1">
      <alignment horizontal="center"/>
    </xf>
    <xf numFmtId="3" fontId="0" fillId="11" borderId="392" xfId="0" applyNumberFormat="1" applyFill="1" applyBorder="1" applyAlignment="1">
      <alignment horizontal="center"/>
    </xf>
    <xf numFmtId="3" fontId="0" fillId="11" borderId="224" xfId="0" applyNumberFormat="1" applyFill="1" applyBorder="1"/>
    <xf numFmtId="3" fontId="0" fillId="3" borderId="164" xfId="0" applyNumberFormat="1" applyFill="1" applyBorder="1" applyAlignment="1">
      <alignment horizontal="center"/>
    </xf>
    <xf numFmtId="3" fontId="0" fillId="3" borderId="111" xfId="0" applyNumberFormat="1" applyFill="1" applyBorder="1"/>
    <xf numFmtId="3" fontId="0" fillId="11" borderId="66" xfId="0" applyNumberFormat="1" applyFill="1" applyBorder="1"/>
    <xf numFmtId="3" fontId="0" fillId="11" borderId="206" xfId="0" applyNumberFormat="1" applyFill="1" applyBorder="1"/>
    <xf numFmtId="3" fontId="0" fillId="3" borderId="111" xfId="0" applyNumberFormat="1" applyFill="1" applyBorder="1" applyAlignment="1">
      <alignment horizontal="center"/>
    </xf>
    <xf numFmtId="3" fontId="0" fillId="11" borderId="376" xfId="0" applyNumberFormat="1" applyFill="1" applyBorder="1" applyAlignment="1">
      <alignment horizontal="center"/>
    </xf>
    <xf numFmtId="3" fontId="0" fillId="11" borderId="370" xfId="0" applyNumberFormat="1" applyFill="1" applyBorder="1" applyAlignment="1">
      <alignment horizontal="center"/>
    </xf>
    <xf numFmtId="3" fontId="0" fillId="11" borderId="107" xfId="0" applyNumberFormat="1" applyFill="1" applyBorder="1"/>
    <xf numFmtId="3" fontId="0" fillId="3" borderId="262" xfId="0" applyNumberFormat="1" applyFill="1" applyBorder="1"/>
    <xf numFmtId="3" fontId="0" fillId="3" borderId="67" xfId="0" applyNumberFormat="1" applyFill="1" applyBorder="1"/>
    <xf numFmtId="3" fontId="0" fillId="0" borderId="35" xfId="0" applyNumberFormat="1" applyBorder="1" applyAlignment="1">
      <alignment horizontal="center"/>
    </xf>
    <xf numFmtId="3" fontId="0" fillId="0" borderId="51" xfId="0" applyNumberFormat="1" applyBorder="1" applyAlignment="1">
      <alignment horizontal="center"/>
    </xf>
    <xf numFmtId="3" fontId="0" fillId="0" borderId="81" xfId="0" applyNumberFormat="1" applyBorder="1"/>
    <xf numFmtId="3" fontId="0" fillId="0" borderId="91" xfId="0" applyNumberFormat="1" applyBorder="1"/>
    <xf numFmtId="3" fontId="0" fillId="11" borderId="394" xfId="0" applyNumberFormat="1" applyFill="1" applyBorder="1"/>
    <xf numFmtId="3" fontId="0" fillId="0" borderId="93" xfId="0" applyNumberFormat="1" applyBorder="1"/>
    <xf numFmtId="3" fontId="0" fillId="0" borderId="148" xfId="0" applyNumberFormat="1" applyBorder="1"/>
    <xf numFmtId="3" fontId="0" fillId="0" borderId="94" xfId="0" applyNumberFormat="1" applyBorder="1"/>
    <xf numFmtId="3" fontId="0" fillId="11" borderId="373" xfId="0" applyNumberFormat="1" applyFill="1" applyBorder="1"/>
    <xf numFmtId="3" fontId="0" fillId="0" borderId="251" xfId="0" applyNumberFormat="1" applyBorder="1"/>
    <xf numFmtId="3" fontId="0" fillId="11" borderId="398" xfId="0" applyNumberFormat="1" applyFill="1" applyBorder="1"/>
    <xf numFmtId="3" fontId="0" fillId="11" borderId="372" xfId="0" applyNumberFormat="1" applyFill="1" applyBorder="1"/>
    <xf numFmtId="3" fontId="0" fillId="0" borderId="203" xfId="0" applyNumberFormat="1" applyBorder="1"/>
    <xf numFmtId="3" fontId="0" fillId="0" borderId="59" xfId="0" applyNumberFormat="1" applyBorder="1"/>
    <xf numFmtId="3" fontId="0" fillId="3" borderId="93" xfId="0" applyNumberFormat="1" applyFill="1" applyBorder="1" applyAlignment="1">
      <alignment horizontal="center"/>
    </xf>
    <xf numFmtId="3" fontId="0" fillId="11" borderId="43" xfId="0" applyNumberFormat="1" applyFill="1" applyBorder="1"/>
    <xf numFmtId="3" fontId="0" fillId="11" borderId="221" xfId="0" applyNumberFormat="1" applyFill="1" applyBorder="1"/>
    <xf numFmtId="3" fontId="0" fillId="0" borderId="62" xfId="0" applyNumberFormat="1" applyBorder="1"/>
    <xf numFmtId="3" fontId="0" fillId="0" borderId="89" xfId="0" applyNumberFormat="1" applyBorder="1"/>
    <xf numFmtId="3" fontId="0" fillId="0" borderId="254" xfId="0" applyNumberFormat="1" applyBorder="1"/>
    <xf numFmtId="3" fontId="0" fillId="0" borderId="82" xfId="0" applyNumberFormat="1" applyBorder="1"/>
    <xf numFmtId="3" fontId="0" fillId="3" borderId="221" xfId="0" applyNumberFormat="1" applyFill="1" applyBorder="1"/>
    <xf numFmtId="3" fontId="0" fillId="16" borderId="97" xfId="0" applyNumberFormat="1" applyFill="1" applyBorder="1" applyAlignment="1">
      <alignment horizontal="center"/>
    </xf>
    <xf numFmtId="3" fontId="0" fillId="16" borderId="80" xfId="0" applyNumberFormat="1" applyFill="1" applyBorder="1" applyAlignment="1">
      <alignment horizontal="center"/>
    </xf>
    <xf numFmtId="3" fontId="0" fillId="16" borderId="98" xfId="0" applyNumberFormat="1" applyFill="1" applyBorder="1" applyAlignment="1">
      <alignment horizontal="center"/>
    </xf>
    <xf numFmtId="3" fontId="0" fillId="16" borderId="100" xfId="0" applyNumberFormat="1" applyFill="1" applyBorder="1"/>
    <xf numFmtId="3" fontId="0" fillId="16" borderId="101" xfId="0" applyNumberFormat="1" applyFill="1" applyBorder="1"/>
    <xf numFmtId="3" fontId="0" fillId="16" borderId="98" xfId="0" applyNumberFormat="1" applyFill="1" applyBorder="1"/>
    <xf numFmtId="3" fontId="0" fillId="16" borderId="80" xfId="0" applyNumberFormat="1" applyFill="1" applyBorder="1"/>
    <xf numFmtId="3" fontId="0" fillId="16" borderId="391" xfId="0" applyNumberFormat="1" applyFill="1" applyBorder="1"/>
    <xf numFmtId="3" fontId="0" fillId="16" borderId="99" xfId="0" applyNumberFormat="1" applyFill="1" applyBorder="1"/>
    <xf numFmtId="3" fontId="0" fillId="16" borderId="222" xfId="0" applyNumberFormat="1" applyFill="1" applyBorder="1"/>
    <xf numFmtId="3" fontId="0" fillId="16" borderId="152" xfId="0" applyNumberFormat="1" applyFill="1" applyBorder="1"/>
    <xf numFmtId="3" fontId="0" fillId="16" borderId="99" xfId="0" applyNumberFormat="1" applyFill="1" applyBorder="1" applyAlignment="1">
      <alignment horizontal="center"/>
    </xf>
    <xf numFmtId="3" fontId="0" fillId="16" borderId="79" xfId="0" applyNumberFormat="1" applyFill="1" applyBorder="1"/>
    <xf numFmtId="3" fontId="0" fillId="16" borderId="102" xfId="0" applyNumberFormat="1" applyFill="1" applyBorder="1"/>
    <xf numFmtId="3" fontId="0" fillId="16" borderId="374" xfId="0" applyNumberFormat="1" applyFill="1" applyBorder="1"/>
    <xf numFmtId="3" fontId="0" fillId="16" borderId="149" xfId="0" applyNumberFormat="1" applyFill="1" applyBorder="1"/>
    <xf numFmtId="3" fontId="0" fillId="16" borderId="97" xfId="0" applyNumberFormat="1" applyFill="1" applyBorder="1"/>
    <xf numFmtId="3" fontId="0" fillId="16" borderId="103" xfId="0" applyNumberFormat="1" applyFill="1" applyBorder="1"/>
    <xf numFmtId="3" fontId="0" fillId="16" borderId="359" xfId="0" applyNumberFormat="1" applyFill="1" applyBorder="1"/>
    <xf numFmtId="3" fontId="0" fillId="16" borderId="263" xfId="0" applyNumberFormat="1" applyFill="1" applyBorder="1"/>
    <xf numFmtId="3" fontId="0" fillId="16" borderId="43" xfId="0" applyNumberFormat="1" applyFill="1" applyBorder="1" applyAlignment="1">
      <alignment horizontal="center"/>
    </xf>
    <xf numFmtId="3" fontId="0" fillId="16" borderId="42" xfId="0" applyNumberFormat="1" applyFill="1" applyBorder="1" applyAlignment="1">
      <alignment horizontal="center"/>
    </xf>
    <xf numFmtId="3" fontId="0" fillId="16" borderId="82" xfId="0" applyNumberFormat="1" applyFill="1" applyBorder="1" applyAlignment="1">
      <alignment horizontal="center"/>
    </xf>
    <xf numFmtId="3" fontId="0" fillId="16" borderId="62" xfId="0" applyNumberFormat="1" applyFill="1" applyBorder="1"/>
    <xf numFmtId="3" fontId="0" fillId="16" borderId="89" xfId="0" applyNumberFormat="1" applyFill="1" applyBorder="1"/>
    <xf numFmtId="3" fontId="0" fillId="16" borderId="92" xfId="0" applyNumberFormat="1" applyFill="1" applyBorder="1"/>
    <xf numFmtId="3" fontId="0" fillId="16" borderId="42" xfId="0" applyNumberFormat="1" applyFill="1" applyBorder="1"/>
    <xf numFmtId="3" fontId="0" fillId="16" borderId="397" xfId="0" applyNumberFormat="1" applyFill="1" applyBorder="1"/>
    <xf numFmtId="3" fontId="0" fillId="16" borderId="22" xfId="0" applyNumberFormat="1" applyFill="1" applyBorder="1"/>
    <xf numFmtId="3" fontId="0" fillId="16" borderId="23" xfId="0" applyNumberFormat="1" applyFill="1" applyBorder="1"/>
    <xf numFmtId="3" fontId="0" fillId="16" borderId="25" xfId="0" applyNumberFormat="1" applyFill="1" applyBorder="1"/>
    <xf numFmtId="3" fontId="0" fillId="16" borderId="21" xfId="0" applyNumberFormat="1" applyFill="1" applyBorder="1"/>
    <xf numFmtId="3" fontId="0" fillId="16" borderId="59" xfId="0" applyNumberFormat="1" applyFill="1" applyBorder="1"/>
    <xf numFmtId="3" fontId="0" fillId="16" borderId="223" xfId="0" applyNumberFormat="1" applyFill="1" applyBorder="1"/>
    <xf numFmtId="3" fontId="0" fillId="16" borderId="176" xfId="0" applyNumberFormat="1" applyFill="1" applyBorder="1"/>
    <xf numFmtId="3" fontId="0" fillId="16" borderId="221" xfId="0" applyNumberFormat="1" applyFill="1" applyBorder="1"/>
    <xf numFmtId="3" fontId="0" fillId="16" borderId="38" xfId="0" applyNumberFormat="1" applyFill="1" applyBorder="1"/>
    <xf numFmtId="3" fontId="0" fillId="16" borderId="82" xfId="0" applyNumberFormat="1" applyFill="1" applyBorder="1"/>
    <xf numFmtId="3" fontId="0" fillId="16" borderId="377" xfId="0" applyNumberFormat="1" applyFill="1" applyBorder="1"/>
    <xf numFmtId="3" fontId="0" fillId="16" borderId="175" xfId="0" applyNumberFormat="1" applyFill="1" applyBorder="1"/>
    <xf numFmtId="3" fontId="0" fillId="16" borderId="43" xfId="0" applyNumberFormat="1" applyFill="1" applyBorder="1"/>
    <xf numFmtId="3" fontId="0" fillId="16" borderId="360" xfId="0" applyNumberFormat="1" applyFill="1" applyBorder="1"/>
    <xf numFmtId="3" fontId="0" fillId="16" borderId="116" xfId="0" applyNumberFormat="1" applyFill="1" applyBorder="1"/>
    <xf numFmtId="3" fontId="0" fillId="16" borderId="251" xfId="0" applyNumberFormat="1" applyFill="1" applyBorder="1"/>
    <xf numFmtId="3" fontId="0" fillId="16" borderId="51" xfId="0" applyNumberFormat="1" applyFill="1" applyBorder="1"/>
    <xf numFmtId="3" fontId="0" fillId="16" borderId="64" xfId="0" applyNumberFormat="1" applyFill="1" applyBorder="1" applyAlignment="1">
      <alignment horizontal="center"/>
    </xf>
    <xf numFmtId="3" fontId="0" fillId="16" borderId="63" xfId="0" applyNumberFormat="1" applyFill="1" applyBorder="1" applyAlignment="1">
      <alignment horizontal="center"/>
    </xf>
    <xf numFmtId="3" fontId="0" fillId="16" borderId="112" xfId="0" applyNumberFormat="1" applyFill="1" applyBorder="1" applyAlignment="1">
      <alignment horizontal="center"/>
    </xf>
    <xf numFmtId="3" fontId="0" fillId="16" borderId="69" xfId="0" applyNumberFormat="1" applyFill="1" applyBorder="1"/>
    <xf numFmtId="3" fontId="0" fillId="16" borderId="70" xfId="0" applyNumberFormat="1" applyFill="1" applyBorder="1"/>
    <xf numFmtId="3" fontId="0" fillId="16" borderId="71" xfId="0" applyNumberFormat="1" applyFill="1" applyBorder="1"/>
    <xf numFmtId="3" fontId="0" fillId="16" borderId="63" xfId="0" applyNumberFormat="1" applyFill="1" applyBorder="1"/>
    <xf numFmtId="3" fontId="0" fillId="16" borderId="400" xfId="0" applyNumberFormat="1" applyFill="1" applyBorder="1"/>
    <xf numFmtId="3" fontId="0" fillId="16" borderId="108" xfId="0" applyNumberFormat="1" applyFill="1" applyBorder="1"/>
    <xf numFmtId="3" fontId="0" fillId="16" borderId="109" xfId="0" applyNumberFormat="1" applyFill="1" applyBorder="1"/>
    <xf numFmtId="3" fontId="0" fillId="16" borderId="110" xfId="0" applyNumberFormat="1" applyFill="1" applyBorder="1"/>
    <xf numFmtId="3" fontId="0" fillId="16" borderId="67" xfId="0" applyNumberFormat="1" applyFill="1" applyBorder="1"/>
    <xf numFmtId="3" fontId="0" fillId="16" borderId="224" xfId="0" applyNumberFormat="1" applyFill="1" applyBorder="1"/>
    <xf numFmtId="3" fontId="0" fillId="16" borderId="162" xfId="0" applyNumberFormat="1" applyFill="1" applyBorder="1"/>
    <xf numFmtId="3" fontId="0" fillId="16" borderId="112" xfId="0" applyNumberFormat="1" applyFill="1" applyBorder="1"/>
    <xf numFmtId="3" fontId="0" fillId="16" borderId="226" xfId="0" applyNumberFormat="1" applyFill="1" applyBorder="1"/>
    <xf numFmtId="3" fontId="0" fillId="16" borderId="163" xfId="0" applyNumberFormat="1" applyFill="1" applyBorder="1"/>
    <xf numFmtId="3" fontId="0" fillId="16" borderId="378" xfId="0" applyNumberFormat="1" applyFill="1" applyBorder="1"/>
    <xf numFmtId="3" fontId="0" fillId="16" borderId="159" xfId="0" applyNumberFormat="1" applyFill="1" applyBorder="1"/>
    <xf numFmtId="3" fontId="0" fillId="16" borderId="64" xfId="0" applyNumberFormat="1" applyFill="1" applyBorder="1"/>
    <xf numFmtId="3" fontId="0" fillId="16" borderId="361" xfId="0" applyNumberFormat="1" applyFill="1" applyBorder="1"/>
    <xf numFmtId="3" fontId="0" fillId="16" borderId="264" xfId="0" applyNumberFormat="1" applyFill="1" applyBorder="1"/>
    <xf numFmtId="3" fontId="0" fillId="16" borderId="100" xfId="0" applyNumberFormat="1" applyFill="1" applyBorder="1" applyAlignment="1">
      <alignment horizontal="center"/>
    </xf>
    <xf numFmtId="3" fontId="0" fillId="16" borderId="102" xfId="0" applyNumberFormat="1" applyFill="1" applyBorder="1" applyAlignment="1">
      <alignment horizontal="center"/>
    </xf>
    <xf numFmtId="3" fontId="0" fillId="16" borderId="96" xfId="0" applyNumberFormat="1" applyFill="1" applyBorder="1"/>
    <xf numFmtId="3" fontId="0" fillId="16" borderId="362" xfId="0" applyNumberFormat="1" applyFill="1" applyBorder="1"/>
    <xf numFmtId="3" fontId="0" fillId="16" borderId="40" xfId="0" applyNumberFormat="1" applyFill="1" applyBorder="1" applyAlignment="1">
      <alignment horizontal="center"/>
    </xf>
    <xf numFmtId="3" fontId="0" fillId="16" borderId="15" xfId="0" applyNumberFormat="1" applyFill="1" applyBorder="1" applyAlignment="1">
      <alignment horizontal="center"/>
    </xf>
    <xf numFmtId="3" fontId="0" fillId="16" borderId="113" xfId="0" applyNumberFormat="1" applyFill="1" applyBorder="1" applyAlignment="1">
      <alignment horizontal="center"/>
    </xf>
    <xf numFmtId="3" fontId="0" fillId="16" borderId="58" xfId="0" applyNumberFormat="1" applyFill="1" applyBorder="1"/>
    <xf numFmtId="3" fontId="0" fillId="16" borderId="157" xfId="0" applyNumberFormat="1" applyFill="1" applyBorder="1"/>
    <xf numFmtId="3" fontId="0" fillId="16" borderId="205" xfId="0" applyNumberFormat="1" applyFill="1" applyBorder="1"/>
    <xf numFmtId="3" fontId="0" fillId="16" borderId="39" xfId="0" applyNumberFormat="1" applyFill="1" applyBorder="1"/>
    <xf numFmtId="3" fontId="0" fillId="16" borderId="24" xfId="0" applyNumberFormat="1" applyFill="1" applyBorder="1"/>
    <xf numFmtId="3" fontId="0" fillId="16" borderId="375" xfId="0" applyNumberFormat="1" applyFill="1" applyBorder="1"/>
    <xf numFmtId="3" fontId="0" fillId="16" borderId="363" xfId="0" applyNumberFormat="1" applyFill="1" applyBorder="1"/>
    <xf numFmtId="3" fontId="0" fillId="16" borderId="134" xfId="0" applyNumberFormat="1" applyFill="1" applyBorder="1"/>
    <xf numFmtId="3" fontId="0" fillId="16" borderId="253" xfId="0" applyNumberFormat="1" applyFill="1" applyBorder="1"/>
    <xf numFmtId="3" fontId="0" fillId="16" borderId="15" xfId="0" applyNumberFormat="1" applyFill="1" applyBorder="1"/>
    <xf numFmtId="3" fontId="0" fillId="16" borderId="41" xfId="0" applyNumberFormat="1" applyFill="1" applyBorder="1"/>
    <xf numFmtId="3" fontId="0" fillId="16" borderId="68" xfId="0" applyNumberFormat="1" applyFill="1" applyBorder="1"/>
    <xf numFmtId="3" fontId="0" fillId="16" borderId="241" xfId="0" applyNumberFormat="1" applyFill="1" applyBorder="1"/>
    <xf numFmtId="3" fontId="0" fillId="16" borderId="107" xfId="0" applyNumberFormat="1" applyFill="1" applyBorder="1"/>
    <xf numFmtId="3" fontId="0" fillId="16" borderId="66" xfId="0" applyNumberFormat="1" applyFill="1" applyBorder="1"/>
    <xf numFmtId="3" fontId="0" fillId="16" borderId="206" xfId="0" applyNumberFormat="1" applyFill="1" applyBorder="1"/>
    <xf numFmtId="3" fontId="0" fillId="16" borderId="364" xfId="0" applyNumberFormat="1" applyFill="1" applyBorder="1"/>
    <xf numFmtId="3" fontId="0" fillId="16" borderId="158" xfId="0" applyNumberFormat="1" applyFill="1" applyBorder="1"/>
    <xf numFmtId="3" fontId="0" fillId="16" borderId="262" xfId="0" applyNumberFormat="1" applyFill="1" applyBorder="1"/>
    <xf numFmtId="3" fontId="0" fillId="2" borderId="0" xfId="0" applyNumberFormat="1" applyFill="1" applyAlignment="1">
      <alignment horizontal="center"/>
    </xf>
    <xf numFmtId="3" fontId="3" fillId="11" borderId="345" xfId="0" applyNumberFormat="1" applyFont="1" applyFill="1" applyBorder="1" applyAlignment="1">
      <alignment horizontal="center"/>
    </xf>
    <xf numFmtId="3" fontId="3" fillId="11" borderId="401" xfId="0" applyNumberFormat="1" applyFont="1" applyFill="1" applyBorder="1" applyAlignment="1">
      <alignment horizontal="center"/>
    </xf>
    <xf numFmtId="3" fontId="3" fillId="11" borderId="353" xfId="0" applyNumberFormat="1" applyFont="1" applyFill="1" applyBorder="1" applyAlignment="1">
      <alignment horizontal="center"/>
    </xf>
    <xf numFmtId="3" fontId="3" fillId="11" borderId="354" xfId="0" applyNumberFormat="1" applyFont="1" applyFill="1" applyBorder="1" applyAlignment="1">
      <alignment horizontal="center"/>
    </xf>
    <xf numFmtId="3" fontId="3" fillId="11" borderId="352" xfId="0" applyNumberFormat="1" applyFont="1" applyFill="1" applyBorder="1" applyAlignment="1">
      <alignment horizontal="center"/>
    </xf>
    <xf numFmtId="3" fontId="3" fillId="11" borderId="357" xfId="0" applyNumberFormat="1" applyFont="1" applyFill="1" applyBorder="1" applyAlignment="1">
      <alignment horizontal="center"/>
    </xf>
    <xf numFmtId="3" fontId="3" fillId="11" borderId="1" xfId="0" applyNumberFormat="1" applyFont="1" applyFill="1" applyBorder="1" applyAlignment="1">
      <alignment horizontal="center"/>
    </xf>
    <xf numFmtId="3" fontId="0" fillId="0" borderId="40" xfId="0" applyNumberFormat="1" applyBorder="1" applyAlignment="1">
      <alignment horizontal="center"/>
    </xf>
    <xf numFmtId="3" fontId="0" fillId="0" borderId="402" xfId="0" applyNumberFormat="1" applyBorder="1" applyAlignment="1">
      <alignment horizontal="center"/>
    </xf>
    <xf numFmtId="3" fontId="0" fillId="0" borderId="56" xfId="0" applyNumberFormat="1" applyBorder="1"/>
    <xf numFmtId="3" fontId="0" fillId="0" borderId="113" xfId="0" applyNumberFormat="1" applyBorder="1"/>
    <xf numFmtId="3" fontId="0" fillId="0" borderId="135" xfId="0" applyNumberFormat="1" applyBorder="1"/>
    <xf numFmtId="3" fontId="0" fillId="0" borderId="113" xfId="0" applyNumberFormat="1" applyBorder="1" applyAlignment="1">
      <alignment horizontal="center"/>
    </xf>
    <xf numFmtId="3" fontId="0" fillId="0" borderId="17" xfId="0" applyNumberFormat="1" applyBorder="1"/>
    <xf numFmtId="3" fontId="0" fillId="0" borderId="121" xfId="0" applyNumberFormat="1" applyBorder="1"/>
    <xf numFmtId="3" fontId="0" fillId="0" borderId="134" xfId="0" applyNumberFormat="1" applyBorder="1"/>
    <xf numFmtId="3" fontId="0" fillId="0" borderId="51" xfId="0" applyNumberFormat="1" applyBorder="1"/>
    <xf numFmtId="3" fontId="0" fillId="0" borderId="293" xfId="0" applyNumberFormat="1" applyBorder="1"/>
    <xf numFmtId="3" fontId="0" fillId="0" borderId="403" xfId="0" applyNumberFormat="1" applyBorder="1" applyAlignment="1">
      <alignment horizontal="center"/>
    </xf>
    <xf numFmtId="3" fontId="0" fillId="0" borderId="205" xfId="0" applyNumberFormat="1" applyBorder="1"/>
    <xf numFmtId="3" fontId="0" fillId="0" borderId="223" xfId="0" applyNumberFormat="1" applyBorder="1"/>
    <xf numFmtId="3" fontId="0" fillId="0" borderId="404" xfId="0" applyNumberFormat="1" applyBorder="1" applyAlignment="1">
      <alignment horizontal="center"/>
    </xf>
    <xf numFmtId="3" fontId="0" fillId="0" borderId="98" xfId="0" applyNumberFormat="1" applyBorder="1"/>
    <xf numFmtId="3" fontId="0" fillId="0" borderId="80" xfId="0" applyNumberFormat="1" applyBorder="1"/>
    <xf numFmtId="3" fontId="0" fillId="0" borderId="79" xfId="0" applyNumberFormat="1" applyBorder="1"/>
    <xf numFmtId="3" fontId="0" fillId="0" borderId="269" xfId="0" applyNumberFormat="1" applyBorder="1"/>
    <xf numFmtId="3" fontId="0" fillId="0" borderId="79" xfId="0" applyNumberFormat="1" applyBorder="1" applyAlignment="1">
      <alignment horizontal="center"/>
    </xf>
    <xf numFmtId="3" fontId="0" fillId="0" borderId="100" xfId="0" applyNumberFormat="1" applyBorder="1"/>
    <xf numFmtId="3" fontId="0" fillId="0" borderId="101" xfId="0" applyNumberFormat="1" applyBorder="1"/>
    <xf numFmtId="3" fontId="0" fillId="0" borderId="97" xfId="0" applyNumberFormat="1" applyBorder="1"/>
    <xf numFmtId="3" fontId="0" fillId="0" borderId="96" xfId="0" applyNumberFormat="1" applyBorder="1"/>
    <xf numFmtId="3" fontId="0" fillId="0" borderId="339" xfId="0" applyNumberFormat="1" applyBorder="1"/>
    <xf numFmtId="3" fontId="0" fillId="0" borderId="261" xfId="0" applyNumberFormat="1" applyBorder="1"/>
    <xf numFmtId="3" fontId="0" fillId="0" borderId="104" xfId="0" applyNumberFormat="1" applyBorder="1"/>
    <xf numFmtId="3" fontId="0" fillId="0" borderId="337" xfId="0" applyNumberFormat="1" applyBorder="1"/>
    <xf numFmtId="3" fontId="0" fillId="0" borderId="64" xfId="0" applyNumberFormat="1" applyBorder="1" applyAlignment="1">
      <alignment horizontal="center"/>
    </xf>
    <xf numFmtId="3" fontId="0" fillId="0" borderId="63" xfId="0" applyNumberFormat="1" applyBorder="1" applyAlignment="1">
      <alignment horizontal="center"/>
    </xf>
    <xf numFmtId="3" fontId="0" fillId="0" borderId="71" xfId="0" applyNumberFormat="1" applyBorder="1" applyAlignment="1">
      <alignment horizontal="center"/>
    </xf>
    <xf numFmtId="3" fontId="0" fillId="0" borderId="405" xfId="0" applyNumberFormat="1" applyBorder="1" applyAlignment="1">
      <alignment horizontal="center"/>
    </xf>
    <xf numFmtId="3" fontId="0" fillId="0" borderId="71" xfId="0" applyNumberFormat="1" applyBorder="1"/>
    <xf numFmtId="3" fontId="0" fillId="0" borderId="63" xfId="0" applyNumberFormat="1" applyBorder="1"/>
    <xf numFmtId="3" fontId="0" fillId="0" borderId="112" xfId="0" applyNumberFormat="1" applyBorder="1"/>
    <xf numFmtId="3" fontId="0" fillId="0" borderId="227" xfId="0" applyNumberFormat="1" applyBorder="1"/>
    <xf numFmtId="3" fontId="0" fillId="0" borderId="112" xfId="0" applyNumberFormat="1" applyBorder="1" applyAlignment="1">
      <alignment horizontal="center"/>
    </xf>
    <xf numFmtId="3" fontId="0" fillId="0" borderId="68" xfId="0" applyNumberFormat="1" applyBorder="1"/>
    <xf numFmtId="3" fontId="0" fillId="0" borderId="69" xfId="0" applyNumberFormat="1" applyBorder="1"/>
    <xf numFmtId="3" fontId="0" fillId="0" borderId="70" xfId="0" applyNumberFormat="1" applyBorder="1"/>
    <xf numFmtId="3" fontId="0" fillId="0" borderId="64" xfId="0" applyNumberFormat="1" applyBorder="1"/>
    <xf numFmtId="3" fontId="0" fillId="0" borderId="159" xfId="0" applyNumberFormat="1" applyBorder="1"/>
    <xf numFmtId="3" fontId="0" fillId="0" borderId="264" xfId="0" applyNumberFormat="1" applyBorder="1"/>
    <xf numFmtId="3" fontId="0" fillId="0" borderId="317" xfId="0" applyNumberFormat="1" applyBorder="1"/>
    <xf numFmtId="3" fontId="0" fillId="0" borderId="263" xfId="0" applyNumberFormat="1" applyBorder="1" applyAlignment="1">
      <alignment horizontal="center"/>
    </xf>
    <xf numFmtId="3" fontId="0" fillId="0" borderId="331" xfId="0" applyNumberFormat="1" applyBorder="1" applyAlignment="1">
      <alignment horizontal="center"/>
    </xf>
    <xf numFmtId="3" fontId="0" fillId="0" borderId="336" xfId="0" applyNumberFormat="1" applyBorder="1" applyAlignment="1">
      <alignment horizontal="center"/>
    </xf>
    <xf numFmtId="3" fontId="0" fillId="0" borderId="332" xfId="0" applyNumberFormat="1" applyBorder="1" applyAlignment="1">
      <alignment horizontal="center"/>
    </xf>
    <xf numFmtId="3" fontId="0" fillId="0" borderId="406" xfId="0" applyNumberFormat="1" applyBorder="1" applyAlignment="1">
      <alignment horizontal="center"/>
    </xf>
    <xf numFmtId="3" fontId="0" fillId="0" borderId="332" xfId="0" applyNumberFormat="1" applyBorder="1"/>
    <xf numFmtId="3" fontId="0" fillId="0" borderId="331" xfId="0" applyNumberFormat="1" applyBorder="1"/>
    <xf numFmtId="3" fontId="0" fillId="0" borderId="356" xfId="0" applyNumberFormat="1" applyBorder="1"/>
    <xf numFmtId="3" fontId="0" fillId="0" borderId="348" xfId="0" applyNumberFormat="1" applyBorder="1"/>
    <xf numFmtId="3" fontId="0" fillId="0" borderId="356" xfId="0" applyNumberFormat="1" applyBorder="1" applyAlignment="1">
      <alignment horizontal="center"/>
    </xf>
    <xf numFmtId="3" fontId="0" fillId="0" borderId="351" xfId="0" applyNumberFormat="1" applyBorder="1"/>
    <xf numFmtId="3" fontId="0" fillId="0" borderId="333" xfId="0" applyNumberFormat="1" applyBorder="1"/>
    <xf numFmtId="3" fontId="0" fillId="0" borderId="334" xfId="0" applyNumberFormat="1" applyBorder="1"/>
    <xf numFmtId="3" fontId="0" fillId="0" borderId="336" xfId="0" applyNumberFormat="1" applyBorder="1"/>
    <xf numFmtId="3" fontId="0" fillId="0" borderId="346" xfId="0" applyNumberFormat="1" applyBorder="1"/>
    <xf numFmtId="3" fontId="0" fillId="0" borderId="330" xfId="0" applyNumberFormat="1" applyBorder="1"/>
    <xf numFmtId="3" fontId="0" fillId="0" borderId="335" xfId="0" applyNumberFormat="1" applyBorder="1"/>
    <xf numFmtId="3" fontId="0" fillId="0" borderId="57" xfId="0" applyNumberFormat="1" applyBorder="1"/>
    <xf numFmtId="3" fontId="0" fillId="0" borderId="35" xfId="0" applyNumberFormat="1" applyBorder="1"/>
    <xf numFmtId="3" fontId="0" fillId="0" borderId="407" xfId="0" applyNumberFormat="1" applyBorder="1"/>
    <xf numFmtId="3" fontId="0" fillId="0" borderId="217" xfId="0" applyNumberFormat="1" applyBorder="1"/>
    <xf numFmtId="3" fontId="0" fillId="0" borderId="116" xfId="0" applyNumberFormat="1" applyBorder="1"/>
    <xf numFmtId="3" fontId="0" fillId="0" borderId="225" xfId="0" applyNumberFormat="1" applyBorder="1"/>
    <xf numFmtId="3" fontId="0" fillId="0" borderId="101" xfId="0" applyNumberFormat="1" applyBorder="1" applyAlignment="1">
      <alignment horizontal="center"/>
    </xf>
    <xf numFmtId="3" fontId="0" fillId="0" borderId="102" xfId="0" applyNumberFormat="1" applyBorder="1" applyAlignment="1">
      <alignment horizontal="center"/>
    </xf>
    <xf numFmtId="3" fontId="0" fillId="0" borderId="404" xfId="0" applyNumberFormat="1" applyBorder="1"/>
    <xf numFmtId="3" fontId="0" fillId="0" borderId="149" xfId="0" applyNumberFormat="1" applyBorder="1"/>
    <xf numFmtId="3" fontId="0" fillId="0" borderId="263" xfId="0" applyNumberFormat="1" applyBorder="1"/>
    <xf numFmtId="3" fontId="0" fillId="0" borderId="316" xfId="0" applyNumberFormat="1" applyBorder="1"/>
    <xf numFmtId="3" fontId="0" fillId="0" borderId="206" xfId="0" applyNumberFormat="1" applyBorder="1" applyAlignment="1">
      <alignment horizontal="center"/>
    </xf>
    <xf numFmtId="3" fontId="0" fillId="0" borderId="66" xfId="0" applyNumberFormat="1" applyBorder="1"/>
    <xf numFmtId="3" fontId="0" fillId="0" borderId="107" xfId="0" applyNumberFormat="1" applyBorder="1"/>
    <xf numFmtId="3" fontId="0" fillId="0" borderId="67" xfId="0" applyNumberFormat="1" applyBorder="1"/>
    <xf numFmtId="3" fontId="0" fillId="0" borderId="408" xfId="0" applyNumberFormat="1" applyBorder="1"/>
    <xf numFmtId="3" fontId="0" fillId="0" borderId="206" xfId="0" applyNumberFormat="1" applyBorder="1"/>
    <xf numFmtId="3" fontId="0" fillId="0" borderId="241" xfId="0" applyNumberFormat="1" applyBorder="1"/>
    <xf numFmtId="3" fontId="0" fillId="0" borderId="359" xfId="0" applyNumberFormat="1" applyBorder="1"/>
    <xf numFmtId="3" fontId="0" fillId="0" borderId="405" xfId="0" applyNumberFormat="1" applyBorder="1"/>
    <xf numFmtId="3" fontId="0" fillId="0" borderId="158" xfId="0" applyNumberFormat="1" applyBorder="1"/>
    <xf numFmtId="3" fontId="0" fillId="0" borderId="262" xfId="0" applyNumberFormat="1" applyBorder="1"/>
    <xf numFmtId="3" fontId="0" fillId="0" borderId="253" xfId="0" applyNumberFormat="1" applyBorder="1" applyAlignment="1">
      <alignment horizontal="center"/>
    </xf>
    <xf numFmtId="3" fontId="0" fillId="0" borderId="19" xfId="0" applyNumberFormat="1" applyBorder="1" applyAlignment="1">
      <alignment horizontal="center"/>
    </xf>
    <xf numFmtId="3" fontId="0" fillId="0" borderId="402" xfId="0" applyNumberFormat="1" applyBorder="1"/>
    <xf numFmtId="3" fontId="0" fillId="0" borderId="253" xfId="0" applyNumberFormat="1" applyBorder="1"/>
    <xf numFmtId="3" fontId="0" fillId="0" borderId="20" xfId="0" applyNumberFormat="1" applyBorder="1"/>
    <xf numFmtId="3" fontId="0" fillId="0" borderId="108" xfId="0" applyNumberFormat="1" applyBorder="1" applyAlignment="1">
      <alignment horizontal="center"/>
    </xf>
    <xf numFmtId="3" fontId="0" fillId="0" borderId="109" xfId="0" applyNumberFormat="1" applyBorder="1" applyAlignment="1">
      <alignment horizontal="center"/>
    </xf>
    <xf numFmtId="3" fontId="0" fillId="0" borderId="111" xfId="0" applyNumberFormat="1" applyBorder="1" applyAlignment="1">
      <alignment horizontal="center"/>
    </xf>
    <xf numFmtId="3" fontId="0" fillId="0" borderId="409" xfId="0" applyNumberFormat="1" applyBorder="1"/>
    <xf numFmtId="3" fontId="0" fillId="0" borderId="109" xfId="0" applyNumberFormat="1" applyBorder="1"/>
    <xf numFmtId="3" fontId="0" fillId="0" borderId="110" xfId="0" applyNumberFormat="1" applyBorder="1"/>
    <xf numFmtId="3" fontId="0" fillId="0" borderId="314" xfId="0" applyNumberFormat="1" applyBorder="1"/>
    <xf numFmtId="3" fontId="0" fillId="0" borderId="394" xfId="0" applyNumberFormat="1" applyBorder="1"/>
    <xf numFmtId="3" fontId="0" fillId="15" borderId="0" xfId="0" applyNumberFormat="1" applyFill="1"/>
    <xf numFmtId="3" fontId="0" fillId="2" borderId="49" xfId="0" applyNumberFormat="1" applyFill="1" applyBorder="1"/>
    <xf numFmtId="3" fontId="0" fillId="2" borderId="410" xfId="0" applyNumberFormat="1" applyFill="1" applyBorder="1"/>
    <xf numFmtId="3" fontId="0" fillId="2" borderId="32" xfId="0" applyNumberFormat="1" applyFill="1" applyBorder="1"/>
    <xf numFmtId="3" fontId="0" fillId="2" borderId="218" xfId="0" applyNumberFormat="1" applyFill="1" applyBorder="1"/>
    <xf numFmtId="0" fontId="2" fillId="10" borderId="33" xfId="0" applyFont="1" applyFill="1" applyBorder="1" applyAlignment="1">
      <alignment horizontal="center"/>
    </xf>
    <xf numFmtId="3" fontId="3" fillId="3" borderId="422" xfId="0" applyNumberFormat="1" applyFont="1" applyFill="1" applyBorder="1" applyAlignment="1">
      <alignment horizontal="center"/>
    </xf>
    <xf numFmtId="3" fontId="3" fillId="3" borderId="33" xfId="0" applyNumberFormat="1" applyFont="1" applyFill="1" applyBorder="1" applyAlignment="1">
      <alignment horizontal="center"/>
    </xf>
    <xf numFmtId="3" fontId="3" fillId="3" borderId="357" xfId="0" applyNumberFormat="1" applyFont="1" applyFill="1" applyBorder="1" applyAlignment="1">
      <alignment horizontal="center"/>
    </xf>
    <xf numFmtId="3" fontId="3" fillId="11" borderId="9" xfId="0" applyNumberFormat="1" applyFont="1" applyFill="1" applyBorder="1" applyAlignment="1">
      <alignment horizontal="center"/>
    </xf>
    <xf numFmtId="3" fontId="3" fillId="11" borderId="7" xfId="0" applyNumberFormat="1" applyFont="1" applyFill="1" applyBorder="1" applyAlignment="1">
      <alignment horizontal="center"/>
    </xf>
    <xf numFmtId="3" fontId="3" fillId="11" borderId="228" xfId="0" applyNumberFormat="1" applyFont="1" applyFill="1" applyBorder="1" applyAlignment="1">
      <alignment horizontal="center"/>
    </xf>
    <xf numFmtId="3" fontId="3" fillId="11" borderId="411" xfId="0" applyNumberFormat="1" applyFont="1" applyFill="1" applyBorder="1" applyAlignment="1">
      <alignment horizontal="center"/>
    </xf>
    <xf numFmtId="3" fontId="3" fillId="11" borderId="236" xfId="0" applyNumberFormat="1" applyFont="1" applyFill="1" applyBorder="1" applyAlignment="1">
      <alignment horizontal="center"/>
    </xf>
    <xf numFmtId="3" fontId="3" fillId="11" borderId="219" xfId="0" applyNumberFormat="1" applyFont="1" applyFill="1" applyBorder="1" applyAlignment="1">
      <alignment horizontal="center"/>
    </xf>
    <xf numFmtId="3" fontId="3" fillId="11" borderId="53" xfId="0" applyNumberFormat="1" applyFont="1" applyFill="1" applyBorder="1" applyAlignment="1">
      <alignment horizontal="center"/>
    </xf>
    <xf numFmtId="3" fontId="3" fillId="11" borderId="220" xfId="0" applyNumberFormat="1" applyFont="1" applyFill="1" applyBorder="1" applyAlignment="1">
      <alignment horizontal="center"/>
    </xf>
    <xf numFmtId="3" fontId="3" fillId="11" borderId="244" xfId="0" applyNumberFormat="1" applyFont="1" applyFill="1" applyBorder="1" applyAlignment="1">
      <alignment horizontal="center"/>
    </xf>
    <xf numFmtId="3" fontId="3" fillId="11" borderId="10" xfId="0" applyNumberFormat="1" applyFont="1" applyFill="1" applyBorder="1" applyAlignment="1">
      <alignment horizontal="center"/>
    </xf>
    <xf numFmtId="3" fontId="3" fillId="11" borderId="4" xfId="0" applyNumberFormat="1" applyFont="1" applyFill="1" applyBorder="1" applyAlignment="1">
      <alignment horizontal="center"/>
    </xf>
    <xf numFmtId="3" fontId="3" fillId="11" borderId="3" xfId="0" applyNumberFormat="1" applyFont="1" applyFill="1" applyBorder="1" applyAlignment="1">
      <alignment horizontal="center"/>
    </xf>
    <xf numFmtId="3" fontId="3" fillId="11" borderId="218" xfId="0" applyNumberFormat="1" applyFont="1" applyFill="1" applyBorder="1" applyAlignment="1">
      <alignment horizontal="center"/>
    </xf>
    <xf numFmtId="3" fontId="3" fillId="11" borderId="259" xfId="0" applyNumberFormat="1" applyFont="1" applyFill="1" applyBorder="1" applyAlignment="1">
      <alignment horizontal="center"/>
    </xf>
    <xf numFmtId="0" fontId="0" fillId="3" borderId="120" xfId="0" applyFill="1" applyBorder="1" applyAlignment="1">
      <alignment horizontal="center"/>
    </xf>
    <xf numFmtId="0" fontId="0" fillId="3" borderId="33" xfId="0" applyFill="1" applyBorder="1" applyAlignment="1">
      <alignment horizontal="center"/>
    </xf>
    <xf numFmtId="3" fontId="0" fillId="0" borderId="120" xfId="0" applyNumberFormat="1" applyBorder="1" applyAlignment="1">
      <alignment horizontal="center"/>
    </xf>
    <xf numFmtId="3" fontId="0" fillId="0" borderId="121" xfId="0" applyNumberFormat="1" applyBorder="1" applyAlignment="1">
      <alignment horizontal="center"/>
    </xf>
    <xf numFmtId="3" fontId="0" fillId="3" borderId="55" xfId="0" applyNumberFormat="1" applyFill="1" applyBorder="1"/>
    <xf numFmtId="3" fontId="0" fillId="3" borderId="56" xfId="0" applyNumberFormat="1" applyFill="1" applyBorder="1"/>
    <xf numFmtId="3" fontId="0" fillId="3" borderId="251" xfId="0" applyNumberFormat="1" applyFill="1" applyBorder="1" applyAlignment="1">
      <alignment horizontal="center" vertical="center"/>
    </xf>
    <xf numFmtId="3" fontId="0" fillId="3" borderId="57" xfId="0" applyNumberFormat="1" applyFill="1" applyBorder="1"/>
    <xf numFmtId="3" fontId="0" fillId="3" borderId="116" xfId="0" applyNumberFormat="1" applyFill="1" applyBorder="1"/>
    <xf numFmtId="0" fontId="0" fillId="3" borderId="113" xfId="0" applyFill="1" applyBorder="1" applyAlignment="1">
      <alignment horizontal="center"/>
    </xf>
    <xf numFmtId="0" fontId="0" fillId="3" borderId="439" xfId="0" applyFill="1" applyBorder="1" applyAlignment="1">
      <alignment horizontal="center"/>
    </xf>
    <xf numFmtId="3" fontId="0" fillId="3" borderId="21" xfId="0" applyNumberFormat="1" applyFill="1" applyBorder="1" applyAlignment="1">
      <alignment horizontal="center"/>
    </xf>
    <xf numFmtId="3" fontId="0" fillId="3" borderId="58" xfId="0" applyNumberFormat="1" applyFill="1" applyBorder="1"/>
    <xf numFmtId="0" fontId="0" fillId="3" borderId="440" xfId="0" applyFill="1" applyBorder="1" applyAlignment="1">
      <alignment horizontal="center"/>
    </xf>
    <xf numFmtId="0" fontId="0" fillId="3" borderId="441" xfId="0" applyFill="1" applyBorder="1" applyAlignment="1">
      <alignment horizontal="center"/>
    </xf>
    <xf numFmtId="0" fontId="2" fillId="3" borderId="45" xfId="0" applyFont="1" applyFill="1" applyBorder="1" applyAlignment="1">
      <alignment horizontal="center"/>
    </xf>
    <xf numFmtId="0" fontId="0" fillId="3" borderId="32" xfId="0" applyFill="1" applyBorder="1" applyAlignment="1">
      <alignment horizontal="center"/>
    </xf>
    <xf numFmtId="3" fontId="0" fillId="0" borderId="84" xfId="0" applyNumberFormat="1" applyBorder="1" applyAlignment="1">
      <alignment horizontal="center"/>
    </xf>
    <xf numFmtId="3" fontId="0" fillId="0" borderId="37" xfId="0" applyNumberFormat="1" applyBorder="1" applyAlignment="1">
      <alignment horizontal="center"/>
    </xf>
    <xf numFmtId="3" fontId="0" fillId="0" borderId="114" xfId="0" applyNumberFormat="1" applyBorder="1" applyAlignment="1">
      <alignment horizontal="center"/>
    </xf>
    <xf numFmtId="3" fontId="0" fillId="3" borderId="115" xfId="0" applyNumberFormat="1" applyFill="1" applyBorder="1" applyAlignment="1">
      <alignment horizontal="center"/>
    </xf>
    <xf numFmtId="3" fontId="0" fillId="11" borderId="29" xfId="0" applyNumberFormat="1" applyFill="1" applyBorder="1" applyAlignment="1">
      <alignment horizontal="center"/>
    </xf>
    <xf numFmtId="3" fontId="0" fillId="11" borderId="412" xfId="0" applyNumberFormat="1" applyFill="1" applyBorder="1" applyAlignment="1">
      <alignment horizontal="center"/>
    </xf>
    <xf numFmtId="3" fontId="0" fillId="3" borderId="115" xfId="0" applyNumberFormat="1" applyFill="1" applyBorder="1"/>
    <xf numFmtId="3" fontId="0" fillId="3" borderId="28" xfId="0" applyNumberFormat="1" applyFill="1" applyBorder="1"/>
    <xf numFmtId="3" fontId="0" fillId="11" borderId="237" xfId="0" applyNumberFormat="1" applyFill="1" applyBorder="1"/>
    <xf numFmtId="3" fontId="0" fillId="3" borderId="229" xfId="0" applyNumberFormat="1" applyFill="1" applyBorder="1" applyAlignment="1">
      <alignment horizontal="center"/>
    </xf>
    <xf numFmtId="3" fontId="0" fillId="3" borderId="29" xfId="0" applyNumberFormat="1" applyFill="1" applyBorder="1" applyAlignment="1">
      <alignment horizontal="center"/>
    </xf>
    <xf numFmtId="3" fontId="0" fillId="11" borderId="230" xfId="0" applyNumberFormat="1" applyFill="1" applyBorder="1"/>
    <xf numFmtId="3" fontId="0" fillId="3" borderId="245" xfId="0" applyNumberFormat="1" applyFill="1" applyBorder="1"/>
    <xf numFmtId="3" fontId="0" fillId="11" borderId="114" xfId="0" applyNumberFormat="1" applyFill="1" applyBorder="1"/>
    <xf numFmtId="3" fontId="0" fillId="3" borderId="229" xfId="0" applyNumberFormat="1" applyFill="1" applyBorder="1"/>
    <xf numFmtId="3" fontId="0" fillId="11" borderId="114" xfId="0" applyNumberFormat="1" applyFill="1" applyBorder="1" applyAlignment="1">
      <alignment horizontal="center"/>
    </xf>
    <xf numFmtId="3" fontId="0" fillId="3" borderId="114" xfId="0" applyNumberFormat="1" applyFill="1" applyBorder="1"/>
    <xf numFmtId="3" fontId="0" fillId="11" borderId="37" xfId="0" applyNumberFormat="1" applyFill="1" applyBorder="1"/>
    <xf numFmtId="3" fontId="0" fillId="11" borderId="29" xfId="0" applyNumberFormat="1" applyFill="1" applyBorder="1"/>
    <xf numFmtId="3" fontId="0" fillId="3" borderId="257" xfId="0" applyNumberFormat="1" applyFill="1" applyBorder="1" applyAlignment="1">
      <alignment horizontal="center" vertical="center"/>
    </xf>
    <xf numFmtId="3" fontId="0" fillId="3" borderId="258" xfId="0" applyNumberFormat="1" applyFill="1" applyBorder="1"/>
    <xf numFmtId="3" fontId="0" fillId="20" borderId="0" xfId="0" applyNumberFormat="1" applyFill="1" applyAlignment="1">
      <alignment horizontal="center"/>
    </xf>
    <xf numFmtId="3" fontId="0" fillId="13" borderId="0" xfId="0" applyNumberFormat="1" applyFill="1" applyAlignment="1">
      <alignment horizontal="center"/>
    </xf>
    <xf numFmtId="3" fontId="0" fillId="13" borderId="394" xfId="0" applyNumberFormat="1" applyFill="1" applyBorder="1" applyAlignment="1">
      <alignment horizontal="center"/>
    </xf>
    <xf numFmtId="3" fontId="0" fillId="13" borderId="0" xfId="0" applyNumberFormat="1" applyFill="1"/>
    <xf numFmtId="3" fontId="0" fillId="13" borderId="116" xfId="0" applyNumberFormat="1" applyFill="1" applyBorder="1"/>
    <xf numFmtId="3" fontId="0" fillId="13" borderId="217" xfId="0" applyNumberFormat="1" applyFill="1" applyBorder="1" applyAlignment="1">
      <alignment horizontal="center"/>
    </xf>
    <xf numFmtId="3" fontId="0" fillId="13" borderId="217" xfId="0" applyNumberFormat="1" applyFill="1" applyBorder="1"/>
    <xf numFmtId="3" fontId="0" fillId="13" borderId="52" xfId="0" applyNumberFormat="1" applyFill="1" applyBorder="1"/>
    <xf numFmtId="3" fontId="0" fillId="13" borderId="246" xfId="0" applyNumberFormat="1" applyFill="1" applyBorder="1"/>
    <xf numFmtId="3" fontId="0" fillId="13" borderId="394" xfId="0" applyNumberFormat="1" applyFill="1" applyBorder="1"/>
    <xf numFmtId="3" fontId="0" fillId="13" borderId="123" xfId="0" applyNumberFormat="1" applyFill="1" applyBorder="1"/>
    <xf numFmtId="3" fontId="0" fillId="13" borderId="124" xfId="0" applyNumberFormat="1" applyFill="1" applyBorder="1"/>
    <xf numFmtId="3" fontId="0" fillId="13" borderId="125" xfId="0" applyNumberFormat="1" applyFill="1" applyBorder="1"/>
    <xf numFmtId="3" fontId="0" fillId="13" borderId="279" xfId="0" applyNumberFormat="1" applyFill="1" applyBorder="1"/>
    <xf numFmtId="3" fontId="0" fillId="13" borderId="249" xfId="0" applyNumberFormat="1" applyFill="1" applyBorder="1"/>
    <xf numFmtId="3" fontId="3" fillId="3" borderId="52" xfId="0" applyNumberFormat="1" applyFont="1" applyFill="1" applyBorder="1" applyAlignment="1">
      <alignment horizontal="center"/>
    </xf>
    <xf numFmtId="3" fontId="3" fillId="3" borderId="1" xfId="0" applyNumberFormat="1" applyFont="1" applyFill="1" applyBorder="1" applyAlignment="1">
      <alignment horizontal="center"/>
    </xf>
    <xf numFmtId="3" fontId="3" fillId="3" borderId="3" xfId="0" applyNumberFormat="1" applyFont="1" applyFill="1" applyBorder="1" applyAlignment="1">
      <alignment horizontal="center"/>
    </xf>
    <xf numFmtId="3" fontId="3" fillId="11" borderId="130" xfId="0" applyNumberFormat="1" applyFont="1" applyFill="1" applyBorder="1" applyAlignment="1">
      <alignment horizontal="center"/>
    </xf>
    <xf numFmtId="3" fontId="3" fillId="11" borderId="127" xfId="0" applyNumberFormat="1" applyFont="1" applyFill="1" applyBorder="1" applyAlignment="1">
      <alignment horizontal="center"/>
    </xf>
    <xf numFmtId="3" fontId="3" fillId="11" borderId="413" xfId="0" applyNumberFormat="1" applyFont="1" applyFill="1" applyBorder="1" applyAlignment="1">
      <alignment horizontal="center"/>
    </xf>
    <xf numFmtId="3" fontId="3" fillId="11" borderId="129" xfId="0" applyNumberFormat="1" applyFont="1" applyFill="1" applyBorder="1" applyAlignment="1">
      <alignment horizontal="center"/>
    </xf>
    <xf numFmtId="3" fontId="3" fillId="11" borderId="126" xfId="0" applyNumberFormat="1" applyFont="1" applyFill="1" applyBorder="1" applyAlignment="1">
      <alignment horizontal="center"/>
    </xf>
    <xf numFmtId="3" fontId="3" fillId="11" borderId="87" xfId="0" applyNumberFormat="1" applyFont="1" applyFill="1" applyBorder="1" applyAlignment="1">
      <alignment horizontal="center"/>
    </xf>
    <xf numFmtId="3" fontId="3" fillId="11" borderId="131" xfId="0" applyNumberFormat="1" applyFont="1" applyFill="1" applyBorder="1" applyAlignment="1">
      <alignment horizontal="center"/>
    </xf>
    <xf numFmtId="3" fontId="3" fillId="11" borderId="88" xfId="0" applyNumberFormat="1" applyFont="1" applyFill="1" applyBorder="1" applyAlignment="1">
      <alignment horizontal="center"/>
    </xf>
    <xf numFmtId="3" fontId="0" fillId="0" borderId="18" xfId="0" applyNumberFormat="1" applyBorder="1" applyAlignment="1">
      <alignment horizontal="center"/>
    </xf>
    <xf numFmtId="3" fontId="0" fillId="11" borderId="132" xfId="0" applyNumberFormat="1" applyFill="1" applyBorder="1" applyAlignment="1">
      <alignment horizontal="center"/>
    </xf>
    <xf numFmtId="3" fontId="0" fillId="0" borderId="136" xfId="0" applyNumberFormat="1" applyBorder="1" applyAlignment="1">
      <alignment horizontal="center"/>
    </xf>
    <xf numFmtId="3" fontId="0" fillId="0" borderId="137" xfId="0" applyNumberFormat="1" applyBorder="1" applyAlignment="1">
      <alignment horizontal="center"/>
    </xf>
    <xf numFmtId="3" fontId="0" fillId="11" borderId="134" xfId="0" applyNumberFormat="1" applyFill="1" applyBorder="1" applyAlignment="1">
      <alignment horizontal="center"/>
    </xf>
    <xf numFmtId="3" fontId="0" fillId="0" borderId="138" xfId="0" applyNumberFormat="1" applyBorder="1"/>
    <xf numFmtId="3" fontId="0" fillId="0" borderId="139" xfId="0" applyNumberFormat="1" applyBorder="1"/>
    <xf numFmtId="3" fontId="0" fillId="0" borderId="265" xfId="0" applyNumberFormat="1" applyBorder="1"/>
    <xf numFmtId="3" fontId="0" fillId="3" borderId="141" xfId="0" applyNumberFormat="1" applyFill="1" applyBorder="1"/>
    <xf numFmtId="3" fontId="0" fillId="3" borderId="142" xfId="0" applyNumberFormat="1" applyFill="1" applyBorder="1"/>
    <xf numFmtId="3" fontId="0" fillId="3" borderId="144" xfId="0" applyNumberFormat="1" applyFill="1" applyBorder="1"/>
    <xf numFmtId="3" fontId="0" fillId="11" borderId="414" xfId="0" applyNumberFormat="1" applyFill="1" applyBorder="1" applyAlignment="1">
      <alignment horizontal="center"/>
    </xf>
    <xf numFmtId="3" fontId="0" fillId="11" borderId="144" xfId="0" applyNumberFormat="1" applyFill="1" applyBorder="1" applyAlignment="1">
      <alignment horizontal="center"/>
    </xf>
    <xf numFmtId="3" fontId="0" fillId="11" borderId="116" xfId="0" applyNumberFormat="1" applyFill="1" applyBorder="1" applyAlignment="1">
      <alignment horizontal="center"/>
    </xf>
    <xf numFmtId="3" fontId="0" fillId="11" borderId="94" xfId="0" applyNumberFormat="1" applyFill="1" applyBorder="1" applyAlignment="1">
      <alignment horizontal="center"/>
    </xf>
    <xf numFmtId="3" fontId="0" fillId="3" borderId="266" xfId="0" applyNumberFormat="1" applyFill="1" applyBorder="1"/>
    <xf numFmtId="3" fontId="0" fillId="3" borderId="99" xfId="0" applyNumberFormat="1" applyFill="1" applyBorder="1" applyAlignment="1">
      <alignment horizontal="center"/>
    </xf>
    <xf numFmtId="3" fontId="0" fillId="11" borderId="415" xfId="0" applyNumberFormat="1" applyFill="1" applyBorder="1" applyAlignment="1">
      <alignment horizontal="center"/>
    </xf>
    <xf numFmtId="3" fontId="0" fillId="11" borderId="151" xfId="0" applyNumberFormat="1" applyFill="1" applyBorder="1" applyAlignment="1">
      <alignment horizontal="center"/>
    </xf>
    <xf numFmtId="3" fontId="0" fillId="11" borderId="149" xfId="0" applyNumberFormat="1" applyFill="1" applyBorder="1" applyAlignment="1">
      <alignment horizontal="center"/>
    </xf>
    <xf numFmtId="3" fontId="0" fillId="11" borderId="102" xfId="0" applyNumberFormat="1" applyFill="1" applyBorder="1" applyAlignment="1">
      <alignment horizontal="center"/>
    </xf>
    <xf numFmtId="3" fontId="0" fillId="3" borderId="153" xfId="0" applyNumberFormat="1" applyFill="1" applyBorder="1"/>
    <xf numFmtId="3" fontId="0" fillId="3" borderId="154" xfId="0" applyNumberFormat="1" applyFill="1" applyBorder="1"/>
    <xf numFmtId="3" fontId="0" fillId="3" borderId="267" xfId="0" applyNumberFormat="1" applyFill="1" applyBorder="1"/>
    <xf numFmtId="3" fontId="0" fillId="11" borderId="156" xfId="0" applyNumberFormat="1" applyFill="1" applyBorder="1" applyAlignment="1">
      <alignment horizontal="center"/>
    </xf>
    <xf numFmtId="3" fontId="0" fillId="11" borderId="155" xfId="0" applyNumberFormat="1" applyFill="1" applyBorder="1" applyAlignment="1">
      <alignment horizontal="center"/>
    </xf>
    <xf numFmtId="3" fontId="0" fillId="3" borderId="68" xfId="0" applyNumberFormat="1" applyFill="1" applyBorder="1" applyAlignment="1">
      <alignment horizontal="center"/>
    </xf>
    <xf numFmtId="3" fontId="0" fillId="3" borderId="71" xfId="0" applyNumberFormat="1" applyFill="1" applyBorder="1" applyAlignment="1">
      <alignment horizontal="center"/>
    </xf>
    <xf numFmtId="3" fontId="0" fillId="11" borderId="416" xfId="0" applyNumberFormat="1" applyFill="1" applyBorder="1" applyAlignment="1">
      <alignment horizontal="center"/>
    </xf>
    <xf numFmtId="3" fontId="0" fillId="11" borderId="161" xfId="0" applyNumberFormat="1" applyFill="1" applyBorder="1" applyAlignment="1">
      <alignment horizontal="center"/>
    </xf>
    <xf numFmtId="3" fontId="0" fillId="3" borderId="162" xfId="0" applyNumberFormat="1" applyFill="1" applyBorder="1" applyAlignment="1">
      <alignment horizontal="center"/>
    </xf>
    <xf numFmtId="3" fontId="0" fillId="11" borderId="159" xfId="0" applyNumberFormat="1" applyFill="1" applyBorder="1" applyAlignment="1">
      <alignment horizontal="center"/>
    </xf>
    <xf numFmtId="3" fontId="0" fillId="3" borderId="69" xfId="0" applyNumberFormat="1" applyFill="1" applyBorder="1" applyAlignment="1">
      <alignment horizontal="center"/>
    </xf>
    <xf numFmtId="3" fontId="0" fillId="3" borderId="163" xfId="0" applyNumberFormat="1" applyFill="1" applyBorder="1" applyAlignment="1">
      <alignment horizontal="center"/>
    </xf>
    <xf numFmtId="3" fontId="0" fillId="11" borderId="163" xfId="0" applyNumberFormat="1" applyFill="1" applyBorder="1" applyAlignment="1">
      <alignment horizontal="center"/>
    </xf>
    <xf numFmtId="3" fontId="0" fillId="3" borderId="69" xfId="0" applyNumberFormat="1" applyFill="1" applyBorder="1"/>
    <xf numFmtId="3" fontId="0" fillId="0" borderId="103" xfId="0" applyNumberFormat="1" applyBorder="1" applyAlignment="1">
      <alignment horizontal="center"/>
    </xf>
    <xf numFmtId="3" fontId="0" fillId="0" borderId="96" xfId="0" applyNumberFormat="1" applyBorder="1" applyAlignment="1">
      <alignment horizontal="center"/>
    </xf>
    <xf numFmtId="3" fontId="0" fillId="0" borderId="104" xfId="0" applyNumberFormat="1" applyBorder="1" applyAlignment="1">
      <alignment horizontal="center"/>
    </xf>
    <xf numFmtId="3" fontId="0" fillId="0" borderId="153" xfId="0" applyNumberFormat="1" applyBorder="1"/>
    <xf numFmtId="3" fontId="0" fillId="0" borderId="154" xfId="0" applyNumberFormat="1" applyBorder="1"/>
    <xf numFmtId="3" fontId="0" fillId="0" borderId="267" xfId="0" applyNumberFormat="1" applyBorder="1"/>
    <xf numFmtId="3" fontId="0" fillId="3" borderId="172" xfId="0" applyNumberFormat="1" applyFill="1" applyBorder="1"/>
    <xf numFmtId="3" fontId="0" fillId="11" borderId="174" xfId="0" applyNumberFormat="1" applyFill="1" applyBorder="1" applyAlignment="1">
      <alignment horizontal="center"/>
    </xf>
    <xf numFmtId="3" fontId="0" fillId="11" borderId="175" xfId="0" applyNumberFormat="1" applyFill="1" applyBorder="1" applyAlignment="1">
      <alignment horizontal="center"/>
    </xf>
    <xf numFmtId="3" fontId="0" fillId="0" borderId="99" xfId="0" applyNumberFormat="1" applyBorder="1" applyAlignment="1">
      <alignment horizontal="center"/>
    </xf>
    <xf numFmtId="3" fontId="0" fillId="0" borderId="100" xfId="0" applyNumberFormat="1" applyBorder="1" applyAlignment="1">
      <alignment horizontal="center"/>
    </xf>
    <xf numFmtId="3" fontId="0" fillId="0" borderId="152" xfId="0" applyNumberFormat="1" applyBorder="1" applyAlignment="1">
      <alignment horizontal="center"/>
    </xf>
    <xf numFmtId="3" fontId="0" fillId="0" borderId="177" xfId="0" applyNumberFormat="1" applyBorder="1"/>
    <xf numFmtId="3" fontId="0" fillId="3" borderId="168" xfId="0" applyNumberFormat="1" applyFill="1" applyBorder="1"/>
    <xf numFmtId="3" fontId="0" fillId="0" borderId="26" xfId="0" applyNumberFormat="1" applyBorder="1" applyAlignment="1">
      <alignment horizontal="center"/>
    </xf>
    <xf numFmtId="3" fontId="0" fillId="3" borderId="132" xfId="0" applyNumberFormat="1" applyFill="1" applyBorder="1"/>
    <xf numFmtId="3" fontId="0" fillId="11" borderId="417" xfId="0" applyNumberFormat="1" applyFill="1" applyBorder="1" applyAlignment="1">
      <alignment horizontal="center"/>
    </xf>
    <xf numFmtId="3" fontId="0" fillId="3" borderId="108" xfId="0" applyNumberFormat="1" applyFill="1" applyBorder="1" applyAlignment="1">
      <alignment horizontal="center"/>
    </xf>
    <xf numFmtId="3" fontId="0" fillId="11" borderId="168" xfId="0" applyNumberFormat="1" applyFill="1" applyBorder="1" applyAlignment="1">
      <alignment horizontal="center"/>
    </xf>
    <xf numFmtId="3" fontId="0" fillId="11" borderId="158" xfId="0" applyNumberFormat="1" applyFill="1" applyBorder="1" applyAlignment="1">
      <alignment horizontal="center"/>
    </xf>
    <xf numFmtId="3" fontId="0" fillId="11" borderId="111" xfId="0" applyNumberFormat="1" applyFill="1" applyBorder="1" applyAlignment="1">
      <alignment horizontal="center"/>
    </xf>
    <xf numFmtId="3" fontId="0" fillId="0" borderId="264" xfId="0" applyNumberFormat="1" applyBorder="1" applyAlignment="1">
      <alignment horizontal="center"/>
    </xf>
    <xf numFmtId="3" fontId="0" fillId="3" borderId="185" xfId="0" applyNumberFormat="1" applyFill="1" applyBorder="1"/>
    <xf numFmtId="3" fontId="0" fillId="0" borderId="45" xfId="0" applyNumberFormat="1" applyBorder="1" applyAlignment="1">
      <alignment horizontal="center"/>
    </xf>
    <xf numFmtId="3" fontId="0" fillId="0" borderId="191" xfId="0" applyNumberFormat="1" applyBorder="1" applyAlignment="1">
      <alignment horizontal="center"/>
    </xf>
    <xf numFmtId="3" fontId="0" fillId="0" borderId="41" xfId="0" applyNumberFormat="1" applyBorder="1" applyAlignment="1">
      <alignment horizontal="center"/>
    </xf>
    <xf numFmtId="3" fontId="0" fillId="0" borderId="123" xfId="0" applyNumberFormat="1" applyBorder="1" applyAlignment="1">
      <alignment horizontal="center"/>
    </xf>
    <xf numFmtId="3" fontId="0" fillId="3" borderId="418" xfId="0" applyNumberFormat="1" applyFill="1" applyBorder="1"/>
    <xf numFmtId="3" fontId="0" fillId="3" borderId="418" xfId="0" applyNumberFormat="1" applyFill="1" applyBorder="1" applyAlignment="1">
      <alignment horizontal="center"/>
    </xf>
    <xf numFmtId="3" fontId="0" fillId="3" borderId="419" xfId="0" applyNumberFormat="1" applyFill="1" applyBorder="1" applyAlignment="1">
      <alignment horizontal="center"/>
    </xf>
    <xf numFmtId="3" fontId="0" fillId="11" borderId="420" xfId="0" applyNumberFormat="1" applyFill="1" applyBorder="1" applyAlignment="1">
      <alignment horizontal="center"/>
    </xf>
    <xf numFmtId="3" fontId="0" fillId="3" borderId="192" xfId="0" applyNumberFormat="1" applyFill="1" applyBorder="1" applyAlignment="1">
      <alignment horizontal="center"/>
    </xf>
    <xf numFmtId="3" fontId="0" fillId="3" borderId="193" xfId="0" applyNumberFormat="1" applyFill="1" applyBorder="1" applyAlignment="1">
      <alignment horizontal="center"/>
    </xf>
    <xf numFmtId="3" fontId="0" fillId="3" borderId="196" xfId="0" applyNumberFormat="1" applyFill="1" applyBorder="1" applyAlignment="1">
      <alignment horizontal="center"/>
    </xf>
    <xf numFmtId="3" fontId="0" fillId="11" borderId="194" xfId="0" applyNumberFormat="1" applyFill="1" applyBorder="1" applyAlignment="1">
      <alignment horizontal="center"/>
    </xf>
    <xf numFmtId="3" fontId="0" fillId="3" borderId="195" xfId="0" applyNumberFormat="1" applyFill="1" applyBorder="1" applyAlignment="1">
      <alignment horizontal="center"/>
    </xf>
    <xf numFmtId="3" fontId="0" fillId="3" borderId="191" xfId="0" applyNumberFormat="1" applyFill="1" applyBorder="1" applyAlignment="1">
      <alignment horizontal="center"/>
    </xf>
    <xf numFmtId="3" fontId="0" fillId="11" borderId="190" xfId="0" applyNumberFormat="1" applyFill="1" applyBorder="1" applyAlignment="1">
      <alignment horizontal="center"/>
    </xf>
    <xf numFmtId="3" fontId="0" fillId="11" borderId="196" xfId="0" applyNumberFormat="1" applyFill="1" applyBorder="1" applyAlignment="1">
      <alignment horizontal="center"/>
    </xf>
    <xf numFmtId="3" fontId="0" fillId="3" borderId="197" xfId="0" applyNumberFormat="1" applyFill="1" applyBorder="1"/>
    <xf numFmtId="3" fontId="0" fillId="3" borderId="198" xfId="0" applyNumberFormat="1" applyFill="1" applyBorder="1"/>
    <xf numFmtId="3" fontId="0" fillId="3" borderId="268" xfId="0" applyNumberFormat="1" applyFill="1" applyBorder="1"/>
    <xf numFmtId="3" fontId="0" fillId="2" borderId="199" xfId="0" applyNumberFormat="1" applyFill="1" applyBorder="1"/>
    <xf numFmtId="3" fontId="0" fillId="2" borderId="200" xfId="0" applyNumberFormat="1" applyFill="1" applyBorder="1"/>
    <xf numFmtId="3" fontId="0" fillId="2" borderId="382" xfId="0" applyNumberFormat="1" applyFill="1" applyBorder="1"/>
    <xf numFmtId="14" fontId="2" fillId="0" borderId="3" xfId="0" applyNumberFormat="1" applyFont="1" applyBorder="1" applyAlignment="1">
      <alignment vertical="center"/>
    </xf>
    <xf numFmtId="3" fontId="3" fillId="0" borderId="3" xfId="0" applyNumberFormat="1" applyFont="1" applyBorder="1"/>
    <xf numFmtId="3" fontId="0" fillId="0" borderId="92" xfId="0" applyNumberFormat="1" applyBorder="1" applyAlignment="1">
      <alignment horizontal="center"/>
    </xf>
    <xf numFmtId="3" fontId="0" fillId="16" borderId="92" xfId="0" applyNumberFormat="1" applyFill="1" applyBorder="1" applyAlignment="1">
      <alignment horizontal="center"/>
    </xf>
    <xf numFmtId="3" fontId="0" fillId="16" borderId="71" xfId="0" applyNumberFormat="1" applyFill="1" applyBorder="1" applyAlignment="1">
      <alignment horizontal="center"/>
    </xf>
    <xf numFmtId="3" fontId="0" fillId="16" borderId="56" xfId="0" applyNumberFormat="1" applyFill="1" applyBorder="1" applyAlignment="1">
      <alignment horizontal="center"/>
    </xf>
    <xf numFmtId="3" fontId="0" fillId="0" borderId="338" xfId="0" applyNumberFormat="1" applyBorder="1" applyAlignment="1">
      <alignment horizontal="center"/>
    </xf>
    <xf numFmtId="3" fontId="2" fillId="0" borderId="0" xfId="0" applyNumberFormat="1" applyFont="1" applyAlignment="1">
      <alignment horizontal="center"/>
    </xf>
    <xf numFmtId="3" fontId="5" fillId="0" borderId="0" xfId="0" applyNumberFormat="1" applyFont="1" applyAlignment="1">
      <alignment horizontal="center"/>
    </xf>
    <xf numFmtId="3" fontId="0" fillId="3" borderId="121" xfId="0" applyNumberFormat="1" applyFill="1" applyBorder="1" applyAlignment="1">
      <alignment horizontal="center"/>
    </xf>
    <xf numFmtId="3" fontId="0" fillId="0" borderId="442" xfId="0" applyNumberFormat="1" applyBorder="1"/>
    <xf numFmtId="3" fontId="0" fillId="3" borderId="381" xfId="0" applyNumberFormat="1" applyFill="1" applyBorder="1" applyAlignment="1">
      <alignment horizontal="center"/>
    </xf>
    <xf numFmtId="3" fontId="0" fillId="16" borderId="61" xfId="0" applyNumberFormat="1" applyFill="1" applyBorder="1"/>
    <xf numFmtId="3" fontId="0" fillId="3" borderId="68" xfId="0" applyNumberFormat="1" applyFill="1" applyBorder="1"/>
    <xf numFmtId="3" fontId="0" fillId="3" borderId="443" xfId="0" applyNumberFormat="1" applyFill="1" applyBorder="1"/>
    <xf numFmtId="3" fontId="0" fillId="3" borderId="205" xfId="0" applyNumberFormat="1" applyFill="1" applyBorder="1" applyAlignment="1">
      <alignment horizontal="center"/>
    </xf>
    <xf numFmtId="3" fontId="0" fillId="3" borderId="135" xfId="0" applyNumberFormat="1" applyFill="1" applyBorder="1" applyAlignment="1">
      <alignment horizontal="center"/>
    </xf>
    <xf numFmtId="3" fontId="0" fillId="3" borderId="134" xfId="0" applyNumberFormat="1" applyFill="1" applyBorder="1" applyAlignment="1">
      <alignment horizontal="center"/>
    </xf>
    <xf numFmtId="3" fontId="0" fillId="3" borderId="243" xfId="0" applyNumberFormat="1" applyFill="1" applyBorder="1" applyAlignment="1">
      <alignment horizontal="center"/>
    </xf>
    <xf numFmtId="3" fontId="0" fillId="3" borderId="217" xfId="0" applyNumberFormat="1" applyFill="1" applyBorder="1" applyAlignment="1">
      <alignment horizontal="center"/>
    </xf>
    <xf numFmtId="3" fontId="0" fillId="3" borderId="269" xfId="0" applyNumberFormat="1" applyFill="1" applyBorder="1" applyAlignment="1">
      <alignment horizontal="center"/>
    </xf>
    <xf numFmtId="3" fontId="0" fillId="3" borderId="241" xfId="0" applyNumberFormat="1" applyFill="1" applyBorder="1" applyAlignment="1">
      <alignment horizontal="center"/>
    </xf>
    <xf numFmtId="3" fontId="0" fillId="0" borderId="135" xfId="0" applyNumberFormat="1" applyBorder="1" applyAlignment="1">
      <alignment horizontal="center"/>
    </xf>
    <xf numFmtId="3" fontId="0" fillId="0" borderId="217" xfId="0" applyNumberFormat="1" applyBorder="1" applyAlignment="1">
      <alignment horizontal="center"/>
    </xf>
    <xf numFmtId="3" fontId="0" fillId="0" borderId="116" xfId="0" applyNumberFormat="1" applyBorder="1" applyAlignment="1">
      <alignment horizontal="center"/>
    </xf>
    <xf numFmtId="3" fontId="0" fillId="0" borderId="243" xfId="0" applyNumberFormat="1" applyBorder="1" applyAlignment="1">
      <alignment horizontal="center"/>
    </xf>
    <xf numFmtId="3" fontId="0" fillId="0" borderId="175" xfId="0" applyNumberFormat="1" applyBorder="1" applyAlignment="1">
      <alignment horizontal="center"/>
    </xf>
    <xf numFmtId="3" fontId="0" fillId="0" borderId="269" xfId="0" applyNumberFormat="1" applyBorder="1" applyAlignment="1">
      <alignment horizontal="center"/>
    </xf>
    <xf numFmtId="3" fontId="0" fillId="0" borderId="149" xfId="0" applyNumberFormat="1" applyBorder="1" applyAlignment="1">
      <alignment horizontal="center"/>
    </xf>
    <xf numFmtId="3" fontId="0" fillId="0" borderId="205" xfId="0" applyNumberFormat="1" applyBorder="1" applyAlignment="1">
      <alignment horizontal="center"/>
    </xf>
    <xf numFmtId="3" fontId="0" fillId="0" borderId="155" xfId="0" applyNumberFormat="1" applyBorder="1" applyAlignment="1">
      <alignment horizontal="center"/>
    </xf>
    <xf numFmtId="3" fontId="0" fillId="0" borderId="241" xfId="0" applyNumberFormat="1" applyBorder="1" applyAlignment="1">
      <alignment horizontal="center"/>
    </xf>
    <xf numFmtId="3" fontId="0" fillId="0" borderId="158" xfId="0" applyNumberFormat="1" applyBorder="1" applyAlignment="1">
      <alignment horizontal="center"/>
    </xf>
    <xf numFmtId="3" fontId="0" fillId="16" borderId="149" xfId="0" applyNumberFormat="1" applyFill="1" applyBorder="1" applyAlignment="1">
      <alignment horizontal="center"/>
    </xf>
    <xf numFmtId="3" fontId="0" fillId="16" borderId="175" xfId="0" applyNumberFormat="1" applyFill="1" applyBorder="1" applyAlignment="1">
      <alignment horizontal="center"/>
    </xf>
    <xf numFmtId="3" fontId="0" fillId="16" borderId="159" xfId="0" applyNumberFormat="1" applyFill="1" applyBorder="1" applyAlignment="1">
      <alignment horizontal="center"/>
    </xf>
    <xf numFmtId="3" fontId="0" fillId="16" borderId="134" xfId="0" applyNumberFormat="1" applyFill="1" applyBorder="1" applyAlignment="1">
      <alignment horizontal="center"/>
    </xf>
    <xf numFmtId="3" fontId="0" fillId="2" borderId="217" xfId="0" applyNumberFormat="1" applyFill="1" applyBorder="1" applyAlignment="1">
      <alignment horizontal="center"/>
    </xf>
    <xf numFmtId="3" fontId="0" fillId="2" borderId="116" xfId="0" applyNumberFormat="1" applyFill="1" applyBorder="1" applyAlignment="1">
      <alignment horizontal="center"/>
    </xf>
    <xf numFmtId="3" fontId="0" fillId="0" borderId="227" xfId="0" applyNumberFormat="1" applyBorder="1" applyAlignment="1">
      <alignment horizontal="center"/>
    </xf>
    <xf numFmtId="3" fontId="0" fillId="15" borderId="217" xfId="0" applyNumberFormat="1" applyFill="1" applyBorder="1"/>
    <xf numFmtId="3" fontId="0" fillId="15" borderId="116" xfId="0" applyNumberFormat="1" applyFill="1" applyBorder="1"/>
    <xf numFmtId="3" fontId="0" fillId="13" borderId="116" xfId="0" applyNumberFormat="1" applyFill="1" applyBorder="1" applyAlignment="1">
      <alignment horizontal="center"/>
    </xf>
    <xf numFmtId="3" fontId="0" fillId="0" borderId="444" xfId="0" applyNumberFormat="1" applyBorder="1" applyAlignment="1">
      <alignment horizontal="center"/>
    </xf>
    <xf numFmtId="3" fontId="0" fillId="0" borderId="270" xfId="0" applyNumberFormat="1" applyBorder="1" applyAlignment="1">
      <alignment horizontal="center"/>
    </xf>
    <xf numFmtId="0" fontId="3" fillId="0" borderId="380" xfId="0" applyFont="1" applyBorder="1" applyAlignment="1">
      <alignment horizontal="center"/>
    </xf>
    <xf numFmtId="3" fontId="5" fillId="0" borderId="42" xfId="0" applyNumberFormat="1" applyFont="1" applyBorder="1" applyAlignment="1">
      <alignment horizontal="center"/>
    </xf>
    <xf numFmtId="3" fontId="5" fillId="0" borderId="37" xfId="0" applyNumberFormat="1" applyFont="1" applyBorder="1" applyAlignment="1">
      <alignment horizontal="center"/>
    </xf>
    <xf numFmtId="0" fontId="2" fillId="4" borderId="31" xfId="0" applyFont="1" applyFill="1" applyBorder="1" applyAlignment="1">
      <alignment horizontal="center"/>
    </xf>
    <xf numFmtId="0" fontId="4" fillId="0" borderId="90" xfId="0" applyFont="1" applyBorder="1" applyAlignment="1">
      <alignment horizontal="center"/>
    </xf>
    <xf numFmtId="0" fontId="0" fillId="0" borderId="52" xfId="0" applyBorder="1"/>
    <xf numFmtId="0" fontId="0" fillId="0" borderId="34" xfId="0" applyBorder="1"/>
    <xf numFmtId="0" fontId="2" fillId="4" borderId="53" xfId="0" applyFont="1" applyFill="1" applyBorder="1" applyAlignment="1">
      <alignment horizontal="center"/>
    </xf>
    <xf numFmtId="3" fontId="0" fillId="0" borderId="55" xfId="0" applyNumberFormat="1" applyBorder="1" applyAlignment="1">
      <alignment horizontal="center"/>
    </xf>
    <xf numFmtId="3" fontId="5" fillId="0" borderId="16" xfId="0" applyNumberFormat="1" applyFont="1" applyBorder="1" applyAlignment="1">
      <alignment horizontal="center"/>
    </xf>
    <xf numFmtId="3" fontId="5" fillId="0" borderId="22" xfId="0" applyNumberFormat="1" applyFont="1" applyBorder="1" applyAlignment="1">
      <alignment horizontal="center"/>
    </xf>
    <xf numFmtId="3" fontId="0" fillId="0" borderId="115" xfId="0" applyNumberFormat="1" applyBorder="1" applyAlignment="1">
      <alignment horizontal="center"/>
    </xf>
    <xf numFmtId="3" fontId="5" fillId="0" borderId="34" xfId="0" applyNumberFormat="1" applyFont="1" applyBorder="1" applyAlignment="1">
      <alignment horizontal="center"/>
    </xf>
    <xf numFmtId="3" fontId="5" fillId="0" borderId="39" xfId="0" applyNumberFormat="1" applyFont="1" applyBorder="1" applyAlignment="1">
      <alignment horizontal="center"/>
    </xf>
    <xf numFmtId="3" fontId="5" fillId="0" borderId="43" xfId="0" applyNumberFormat="1" applyFont="1" applyBorder="1" applyAlignment="1">
      <alignment horizontal="center"/>
    </xf>
    <xf numFmtId="3" fontId="0" fillId="0" borderId="81" xfId="0" applyNumberFormat="1" applyBorder="1" applyAlignment="1">
      <alignment horizontal="center"/>
    </xf>
    <xf numFmtId="3" fontId="0" fillId="16" borderId="62" xfId="0" applyNumberFormat="1" applyFill="1" applyBorder="1" applyAlignment="1">
      <alignment horizontal="center"/>
    </xf>
    <xf numFmtId="3" fontId="0" fillId="16" borderId="69" xfId="0" applyNumberFormat="1" applyFill="1" applyBorder="1" applyAlignment="1">
      <alignment horizontal="center"/>
    </xf>
    <xf numFmtId="3" fontId="0" fillId="16" borderId="17" xfId="0" applyNumberFormat="1" applyFill="1" applyBorder="1" applyAlignment="1">
      <alignment horizontal="center"/>
    </xf>
    <xf numFmtId="3" fontId="0" fillId="0" borderId="94" xfId="0" applyNumberFormat="1" applyBorder="1" applyAlignment="1">
      <alignment horizontal="center"/>
    </xf>
    <xf numFmtId="3" fontId="0" fillId="0" borderId="38" xfId="0" applyNumberFormat="1" applyBorder="1" applyAlignment="1">
      <alignment horizontal="center"/>
    </xf>
    <xf numFmtId="3" fontId="0" fillId="16" borderId="38" xfId="0" applyNumberFormat="1" applyFill="1" applyBorder="1" applyAlignment="1">
      <alignment horizontal="center"/>
    </xf>
    <xf numFmtId="3" fontId="0" fillId="16" borderId="163" xfId="0" applyNumberFormat="1" applyFill="1" applyBorder="1" applyAlignment="1">
      <alignment horizontal="center"/>
    </xf>
    <xf numFmtId="3" fontId="0" fillId="16" borderId="18" xfId="0" applyNumberFormat="1" applyFill="1" applyBorder="1" applyAlignment="1">
      <alignment horizontal="center"/>
    </xf>
    <xf numFmtId="3" fontId="0" fillId="0" borderId="69" xfId="0" applyNumberFormat="1" applyBorder="1" applyAlignment="1">
      <alignment horizontal="center"/>
    </xf>
    <xf numFmtId="3" fontId="0" fillId="0" borderId="177" xfId="0" applyNumberFormat="1" applyBorder="1" applyAlignment="1">
      <alignment horizontal="center"/>
    </xf>
    <xf numFmtId="3" fontId="0" fillId="3" borderId="174" xfId="0" applyNumberFormat="1" applyFill="1" applyBorder="1" applyAlignment="1">
      <alignment horizontal="center"/>
    </xf>
    <xf numFmtId="3" fontId="0" fillId="3" borderId="156" xfId="0" applyNumberFormat="1" applyFill="1" applyBorder="1" applyAlignment="1">
      <alignment horizontal="center"/>
    </xf>
    <xf numFmtId="3" fontId="0" fillId="3" borderId="132" xfId="0" applyNumberFormat="1" applyFill="1" applyBorder="1" applyAlignment="1">
      <alignment horizontal="center"/>
    </xf>
    <xf numFmtId="3" fontId="0" fillId="3" borderId="144" xfId="0" applyNumberFormat="1" applyFill="1" applyBorder="1" applyAlignment="1">
      <alignment horizontal="center"/>
    </xf>
    <xf numFmtId="3" fontId="0" fillId="3" borderId="151" xfId="0" applyNumberFormat="1" applyFill="1" applyBorder="1" applyAlignment="1">
      <alignment horizontal="center"/>
    </xf>
    <xf numFmtId="3" fontId="0" fillId="3" borderId="168" xfId="0" applyNumberFormat="1" applyFill="1" applyBorder="1" applyAlignment="1">
      <alignment horizontal="center"/>
    </xf>
    <xf numFmtId="3" fontId="0" fillId="0" borderId="132" xfId="0" applyNumberFormat="1" applyBorder="1" applyAlignment="1">
      <alignment horizontal="center"/>
    </xf>
    <xf numFmtId="3" fontId="0" fillId="3" borderId="445" xfId="0" applyNumberFormat="1" applyFill="1" applyBorder="1" applyAlignment="1">
      <alignment horizontal="center"/>
    </xf>
    <xf numFmtId="3" fontId="0" fillId="3" borderId="198" xfId="0" applyNumberFormat="1" applyFill="1" applyBorder="1" applyAlignment="1">
      <alignment horizontal="center"/>
    </xf>
    <xf numFmtId="3" fontId="0" fillId="3" borderId="123" xfId="0" applyNumberFormat="1" applyFill="1" applyBorder="1" applyAlignment="1">
      <alignment horizontal="center"/>
    </xf>
    <xf numFmtId="3" fontId="0" fillId="3" borderId="268" xfId="0" applyNumberFormat="1" applyFill="1" applyBorder="1" applyAlignment="1">
      <alignment horizontal="center"/>
    </xf>
    <xf numFmtId="3" fontId="0" fillId="0" borderId="148" xfId="0" applyNumberFormat="1" applyBorder="1" applyAlignment="1">
      <alignment horizontal="center"/>
    </xf>
    <xf numFmtId="3" fontId="0" fillId="0" borderId="176" xfId="0" applyNumberFormat="1" applyBorder="1" applyAlignment="1">
      <alignment horizontal="center"/>
    </xf>
    <xf numFmtId="3" fontId="0" fillId="0" borderId="157" xfId="0" applyNumberFormat="1" applyBorder="1" applyAlignment="1">
      <alignment horizontal="center"/>
    </xf>
    <xf numFmtId="3" fontId="0" fillId="0" borderId="164" xfId="0" applyNumberFormat="1" applyBorder="1" applyAlignment="1">
      <alignment horizontal="center"/>
    </xf>
    <xf numFmtId="3" fontId="0" fillId="16" borderId="152" xfId="0" applyNumberFormat="1" applyFill="1" applyBorder="1" applyAlignment="1">
      <alignment horizontal="center"/>
    </xf>
    <xf numFmtId="3" fontId="0" fillId="16" borderId="176" xfId="0" applyNumberFormat="1" applyFill="1" applyBorder="1" applyAlignment="1">
      <alignment horizontal="center"/>
    </xf>
    <xf numFmtId="3" fontId="0" fillId="16" borderId="162" xfId="0" applyNumberFormat="1" applyFill="1" applyBorder="1" applyAlignment="1">
      <alignment horizontal="center"/>
    </xf>
    <xf numFmtId="3" fontId="0" fillId="16" borderId="136" xfId="0" applyNumberFormat="1" applyFill="1" applyBorder="1" applyAlignment="1">
      <alignment horizontal="center"/>
    </xf>
    <xf numFmtId="3" fontId="0" fillId="16" borderId="195" xfId="0" applyNumberFormat="1" applyFill="1" applyBorder="1" applyAlignment="1">
      <alignment horizontal="center"/>
    </xf>
    <xf numFmtId="3" fontId="0" fillId="16" borderId="191" xfId="0" applyNumberFormat="1" applyFill="1" applyBorder="1" applyAlignment="1">
      <alignment horizontal="center"/>
    </xf>
    <xf numFmtId="3" fontId="0" fillId="16" borderId="193" xfId="0" applyNumberFormat="1" applyFill="1" applyBorder="1" applyAlignment="1">
      <alignment horizontal="center"/>
    </xf>
    <xf numFmtId="3" fontId="0" fillId="16" borderId="196" xfId="0" applyNumberFormat="1" applyFill="1" applyBorder="1" applyAlignment="1">
      <alignment horizontal="center"/>
    </xf>
    <xf numFmtId="3" fontId="0" fillId="16" borderId="190" xfId="0" applyNumberFormat="1" applyFill="1" applyBorder="1" applyAlignment="1">
      <alignment horizontal="center"/>
    </xf>
    <xf numFmtId="3" fontId="0" fillId="0" borderId="174" xfId="0" applyNumberFormat="1" applyBorder="1" applyAlignment="1">
      <alignment horizontal="center"/>
    </xf>
    <xf numFmtId="3" fontId="0" fillId="0" borderId="151" xfId="0" applyNumberFormat="1" applyBorder="1" applyAlignment="1">
      <alignment horizontal="center"/>
    </xf>
    <xf numFmtId="3" fontId="0" fillId="0" borderId="161" xfId="0" applyNumberFormat="1" applyBorder="1" applyAlignment="1">
      <alignment horizontal="center"/>
    </xf>
    <xf numFmtId="3" fontId="0" fillId="0" borderId="144" xfId="0" applyNumberFormat="1" applyBorder="1" applyAlignment="1">
      <alignment horizontal="center"/>
    </xf>
    <xf numFmtId="3" fontId="0" fillId="0" borderId="168" xfId="0" applyNumberFormat="1" applyBorder="1" applyAlignment="1">
      <alignment horizontal="center"/>
    </xf>
    <xf numFmtId="3" fontId="0" fillId="0" borderId="193" xfId="0" applyNumberFormat="1" applyBorder="1" applyAlignment="1">
      <alignment horizontal="center"/>
    </xf>
    <xf numFmtId="3" fontId="0" fillId="0" borderId="194" xfId="0" applyNumberFormat="1" applyBorder="1" applyAlignment="1">
      <alignment horizontal="center"/>
    </xf>
    <xf numFmtId="3" fontId="0" fillId="3" borderId="270" xfId="0" applyNumberFormat="1" applyFill="1" applyBorder="1" applyAlignment="1">
      <alignment horizontal="center"/>
    </xf>
    <xf numFmtId="3" fontId="0" fillId="3" borderId="194" xfId="0" applyNumberFormat="1" applyFill="1" applyBorder="1" applyAlignment="1">
      <alignment horizontal="center"/>
    </xf>
    <xf numFmtId="3" fontId="0" fillId="0" borderId="156" xfId="0" applyNumberFormat="1" applyBorder="1" applyAlignment="1">
      <alignment horizontal="center"/>
    </xf>
    <xf numFmtId="3" fontId="0" fillId="0" borderId="267" xfId="0" applyNumberFormat="1" applyBorder="1" applyAlignment="1">
      <alignment horizontal="center"/>
    </xf>
    <xf numFmtId="3" fontId="3" fillId="11" borderId="446" xfId="0" applyNumberFormat="1" applyFont="1" applyFill="1" applyBorder="1" applyAlignment="1">
      <alignment horizontal="center"/>
    </xf>
    <xf numFmtId="3" fontId="3" fillId="11" borderId="447" xfId="0" applyNumberFormat="1" applyFont="1" applyFill="1" applyBorder="1" applyAlignment="1">
      <alignment horizontal="center"/>
    </xf>
    <xf numFmtId="3" fontId="3" fillId="11" borderId="86" xfId="0" applyNumberFormat="1" applyFont="1" applyFill="1" applyBorder="1" applyAlignment="1">
      <alignment horizontal="center"/>
    </xf>
    <xf numFmtId="3" fontId="3" fillId="11" borderId="448" xfId="0" applyNumberFormat="1" applyFont="1" applyFill="1" applyBorder="1" applyAlignment="1">
      <alignment horizontal="center"/>
    </xf>
    <xf numFmtId="3" fontId="3" fillId="11" borderId="449" xfId="0" applyNumberFormat="1" applyFont="1" applyFill="1" applyBorder="1" applyAlignment="1">
      <alignment horizontal="center"/>
    </xf>
    <xf numFmtId="3" fontId="0" fillId="2" borderId="275" xfId="0" applyNumberFormat="1" applyFill="1" applyBorder="1"/>
    <xf numFmtId="43" fontId="2" fillId="0" borderId="312" xfId="0" applyNumberFormat="1" applyFont="1" applyBorder="1"/>
    <xf numFmtId="0" fontId="2" fillId="23" borderId="90" xfId="0" applyFont="1" applyFill="1" applyBorder="1"/>
    <xf numFmtId="0" fontId="2" fillId="23" borderId="52" xfId="0" applyFont="1" applyFill="1" applyBorder="1"/>
    <xf numFmtId="0" fontId="0" fillId="23" borderId="52" xfId="0" applyFill="1" applyBorder="1"/>
    <xf numFmtId="0" fontId="0" fillId="23" borderId="34" xfId="0" applyFill="1" applyBorder="1"/>
    <xf numFmtId="0" fontId="0" fillId="23" borderId="51" xfId="0" applyFill="1" applyBorder="1"/>
    <xf numFmtId="0" fontId="2" fillId="23" borderId="0" xfId="0" applyFont="1" applyFill="1"/>
    <xf numFmtId="0" fontId="0" fillId="23" borderId="35" xfId="0" applyFill="1" applyBorder="1"/>
    <xf numFmtId="0" fontId="2" fillId="23" borderId="285" xfId="0" applyFont="1" applyFill="1" applyBorder="1"/>
    <xf numFmtId="0" fontId="2" fillId="23" borderId="289" xfId="0" applyFont="1" applyFill="1" applyBorder="1"/>
    <xf numFmtId="43" fontId="2" fillId="0" borderId="2" xfId="0" applyNumberFormat="1" applyFont="1" applyBorder="1"/>
    <xf numFmtId="43" fontId="2" fillId="0" borderId="451" xfId="0" applyNumberFormat="1" applyFont="1" applyBorder="1"/>
    <xf numFmtId="43" fontId="2" fillId="0" borderId="452" xfId="1" applyFont="1" applyFill="1" applyBorder="1"/>
    <xf numFmtId="43" fontId="2" fillId="0" borderId="453" xfId="1" applyFont="1" applyFill="1" applyBorder="1"/>
    <xf numFmtId="43" fontId="2" fillId="0" borderId="451" xfId="1" applyFont="1" applyFill="1" applyBorder="1"/>
    <xf numFmtId="43" fontId="2" fillId="0" borderId="31" xfId="1" applyFont="1" applyFill="1" applyBorder="1"/>
    <xf numFmtId="3" fontId="0" fillId="24" borderId="59" xfId="0" applyNumberFormat="1" applyFill="1" applyBorder="1" applyAlignment="1">
      <alignment horizontal="center"/>
    </xf>
    <xf numFmtId="3" fontId="0" fillId="24" borderId="21" xfId="0" applyNumberFormat="1" applyFill="1" applyBorder="1" applyAlignment="1">
      <alignment horizontal="center"/>
    </xf>
    <xf numFmtId="3" fontId="0" fillId="24" borderId="58" xfId="0" applyNumberFormat="1" applyFill="1" applyBorder="1" applyAlignment="1">
      <alignment horizontal="center"/>
    </xf>
    <xf numFmtId="3" fontId="0" fillId="24" borderId="37" xfId="0" applyNumberFormat="1" applyFill="1" applyBorder="1" applyAlignment="1">
      <alignment horizontal="center"/>
    </xf>
    <xf numFmtId="3" fontId="0" fillId="24" borderId="14" xfId="0" applyNumberFormat="1" applyFill="1" applyBorder="1" applyAlignment="1">
      <alignment horizontal="center"/>
    </xf>
    <xf numFmtId="3" fontId="0" fillId="24" borderId="80" xfId="0" applyNumberFormat="1" applyFill="1" applyBorder="1" applyAlignment="1">
      <alignment horizontal="center"/>
    </xf>
    <xf numFmtId="3" fontId="0" fillId="24" borderId="63" xfId="0" applyNumberFormat="1" applyFill="1" applyBorder="1" applyAlignment="1">
      <alignment horizontal="center"/>
    </xf>
    <xf numFmtId="3" fontId="0" fillId="3" borderId="80" xfId="0" applyNumberFormat="1" applyFill="1" applyBorder="1" applyAlignment="1">
      <alignment horizontal="center"/>
    </xf>
    <xf numFmtId="3" fontId="0" fillId="24" borderId="103" xfId="0" applyNumberFormat="1" applyFill="1" applyBorder="1" applyAlignment="1">
      <alignment horizontal="center"/>
    </xf>
    <xf numFmtId="3" fontId="0" fillId="24" borderId="96" xfId="0" applyNumberFormat="1" applyFill="1" applyBorder="1" applyAlignment="1">
      <alignment horizontal="center"/>
    </xf>
    <xf numFmtId="3" fontId="0" fillId="24" borderId="15" xfId="0" applyNumberFormat="1" applyFill="1" applyBorder="1" applyAlignment="1">
      <alignment horizontal="center"/>
    </xf>
    <xf numFmtId="3" fontId="0" fillId="24" borderId="52" xfId="0" applyNumberFormat="1" applyFill="1" applyBorder="1" applyAlignment="1">
      <alignment horizontal="center"/>
    </xf>
    <xf numFmtId="3" fontId="0" fillId="24" borderId="121" xfId="0" applyNumberFormat="1" applyFill="1" applyBorder="1" applyAlignment="1">
      <alignment horizontal="center"/>
    </xf>
    <xf numFmtId="3" fontId="0" fillId="0" borderId="391" xfId="0" applyNumberFormat="1" applyBorder="1"/>
    <xf numFmtId="3" fontId="0" fillId="0" borderId="222" xfId="0" applyNumberFormat="1" applyBorder="1"/>
    <xf numFmtId="3" fontId="0" fillId="0" borderId="152" xfId="0" applyNumberFormat="1" applyBorder="1"/>
    <xf numFmtId="3" fontId="0" fillId="0" borderId="102" xfId="0" applyNumberFormat="1" applyBorder="1"/>
    <xf numFmtId="3" fontId="0" fillId="0" borderId="374" xfId="0" applyNumberFormat="1" applyBorder="1"/>
    <xf numFmtId="3" fontId="0" fillId="0" borderId="103" xfId="0" applyNumberFormat="1" applyBorder="1"/>
    <xf numFmtId="0" fontId="12" fillId="0" borderId="42" xfId="0" applyFont="1" applyBorder="1" applyAlignment="1">
      <alignment horizontal="center"/>
    </xf>
    <xf numFmtId="166" fontId="0" fillId="0" borderId="42" xfId="0" applyNumberFormat="1" applyBorder="1" applyAlignment="1">
      <alignment horizontal="center"/>
    </xf>
    <xf numFmtId="0" fontId="0" fillId="0" borderId="92" xfId="0" applyBorder="1" applyAlignment="1">
      <alignment horizontal="center"/>
    </xf>
    <xf numFmtId="0" fontId="8" fillId="0" borderId="82" xfId="0" applyFont="1" applyBorder="1" applyAlignment="1">
      <alignment horizontal="center"/>
    </xf>
    <xf numFmtId="0" fontId="0" fillId="0" borderId="147" xfId="0" applyBorder="1"/>
    <xf numFmtId="3" fontId="0" fillId="0" borderId="92" xfId="0" applyNumberFormat="1" applyBorder="1"/>
    <xf numFmtId="3" fontId="0" fillId="0" borderId="42" xfId="0" applyNumberFormat="1" applyBorder="1"/>
    <xf numFmtId="3" fontId="0" fillId="0" borderId="397" xfId="0" applyNumberFormat="1" applyBorder="1"/>
    <xf numFmtId="3" fontId="0" fillId="0" borderId="176" xfId="0" applyNumberFormat="1" applyBorder="1"/>
    <xf numFmtId="3" fontId="0" fillId="0" borderId="221" xfId="0" applyNumberFormat="1" applyBorder="1"/>
    <xf numFmtId="3" fontId="0" fillId="0" borderId="377" xfId="0" applyNumberFormat="1" applyBorder="1"/>
    <xf numFmtId="3" fontId="0" fillId="0" borderId="175" xfId="0" applyNumberFormat="1" applyBorder="1"/>
    <xf numFmtId="3" fontId="0" fillId="0" borderId="43" xfId="0" applyNumberFormat="1" applyBorder="1"/>
    <xf numFmtId="3" fontId="0" fillId="0" borderId="360" xfId="0" applyNumberFormat="1" applyBorder="1"/>
    <xf numFmtId="0" fontId="8" fillId="0" borderId="64" xfId="0" applyFont="1" applyBorder="1" applyAlignment="1">
      <alignment horizontal="center"/>
    </xf>
    <xf numFmtId="3" fontId="0" fillId="0" borderId="162" xfId="0" applyNumberFormat="1" applyBorder="1" applyAlignment="1">
      <alignment horizontal="center"/>
    </xf>
    <xf numFmtId="3" fontId="0" fillId="0" borderId="163" xfId="0" applyNumberFormat="1" applyBorder="1" applyAlignment="1">
      <alignment horizontal="center"/>
    </xf>
    <xf numFmtId="3" fontId="0" fillId="0" borderId="159" xfId="0" applyNumberFormat="1" applyBorder="1" applyAlignment="1">
      <alignment horizontal="center"/>
    </xf>
    <xf numFmtId="3" fontId="0" fillId="0" borderId="400" xfId="0" applyNumberFormat="1" applyBorder="1"/>
    <xf numFmtId="3" fontId="0" fillId="0" borderId="224" xfId="0" applyNumberFormat="1" applyBorder="1"/>
    <xf numFmtId="3" fontId="0" fillId="0" borderId="162" xfId="0" applyNumberFormat="1" applyBorder="1"/>
    <xf numFmtId="3" fontId="0" fillId="0" borderId="226" xfId="0" applyNumberFormat="1" applyBorder="1"/>
    <xf numFmtId="3" fontId="0" fillId="0" borderId="163" xfId="0" applyNumberFormat="1" applyBorder="1"/>
    <xf numFmtId="3" fontId="0" fillId="0" borderId="378" xfId="0" applyNumberFormat="1" applyBorder="1"/>
    <xf numFmtId="3" fontId="0" fillId="0" borderId="361" xfId="0" applyNumberFormat="1" applyBorder="1"/>
    <xf numFmtId="0" fontId="0" fillId="0" borderId="97" xfId="0" applyBorder="1"/>
    <xf numFmtId="3" fontId="0" fillId="0" borderId="362" xfId="0" applyNumberFormat="1" applyBorder="1"/>
    <xf numFmtId="0" fontId="0" fillId="0" borderId="43" xfId="0" applyBorder="1"/>
    <xf numFmtId="0" fontId="12" fillId="0" borderId="21" xfId="0" applyFont="1" applyBorder="1" applyAlignment="1">
      <alignment horizontal="center"/>
    </xf>
    <xf numFmtId="0" fontId="0" fillId="0" borderId="140" xfId="0" applyBorder="1"/>
    <xf numFmtId="3" fontId="0" fillId="0" borderId="134" xfId="0" applyNumberFormat="1" applyBorder="1" applyAlignment="1">
      <alignment horizontal="center"/>
    </xf>
    <xf numFmtId="3" fontId="0" fillId="0" borderId="375" xfId="0" applyNumberFormat="1" applyBorder="1"/>
    <xf numFmtId="3" fontId="0" fillId="0" borderId="363" xfId="0" applyNumberFormat="1" applyBorder="1"/>
    <xf numFmtId="0" fontId="0" fillId="0" borderId="63" xfId="0" applyBorder="1"/>
    <xf numFmtId="0" fontId="12" fillId="0" borderId="71" xfId="0" applyFont="1" applyBorder="1" applyAlignment="1">
      <alignment horizontal="center"/>
    </xf>
    <xf numFmtId="0" fontId="0" fillId="0" borderId="112" xfId="0" applyBorder="1" applyAlignment="1">
      <alignment horizontal="center"/>
    </xf>
    <xf numFmtId="3" fontId="0" fillId="0" borderId="195" xfId="0" applyNumberFormat="1" applyBorder="1" applyAlignment="1">
      <alignment horizontal="center"/>
    </xf>
    <xf numFmtId="3" fontId="0" fillId="0" borderId="196" xfId="0" applyNumberFormat="1" applyBorder="1" applyAlignment="1">
      <alignment horizontal="center"/>
    </xf>
    <xf numFmtId="3" fontId="0" fillId="0" borderId="190" xfId="0" applyNumberFormat="1" applyBorder="1" applyAlignment="1">
      <alignment horizontal="center"/>
    </xf>
    <xf numFmtId="3" fontId="0" fillId="0" borderId="364" xfId="0" applyNumberFormat="1" applyBorder="1"/>
    <xf numFmtId="3" fontId="0" fillId="24" borderId="66" xfId="0" applyNumberFormat="1" applyFill="1" applyBorder="1" applyAlignment="1">
      <alignment horizontal="center"/>
    </xf>
    <xf numFmtId="3" fontId="0" fillId="24" borderId="57" xfId="0" applyNumberFormat="1" applyFill="1" applyBorder="1" applyAlignment="1">
      <alignment horizontal="center"/>
    </xf>
    <xf numFmtId="3" fontId="0" fillId="24" borderId="25" xfId="0" applyNumberFormat="1" applyFill="1" applyBorder="1" applyAlignment="1">
      <alignment horizontal="center"/>
    </xf>
    <xf numFmtId="3" fontId="0" fillId="24" borderId="42" xfId="0" applyNumberFormat="1" applyFill="1" applyBorder="1" applyAlignment="1">
      <alignment horizontal="center"/>
    </xf>
    <xf numFmtId="3" fontId="0" fillId="24" borderId="100" xfId="0" applyNumberFormat="1" applyFill="1" applyBorder="1" applyAlignment="1">
      <alignment horizontal="center"/>
    </xf>
    <xf numFmtId="3" fontId="0" fillId="24" borderId="98" xfId="0" applyNumberFormat="1" applyFill="1" applyBorder="1" applyAlignment="1">
      <alignment horizontal="center"/>
    </xf>
    <xf numFmtId="3" fontId="0" fillId="24" borderId="56" xfId="0" applyNumberFormat="1" applyFill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43" fontId="2" fillId="0" borderId="17" xfId="1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3" fontId="0" fillId="0" borderId="325" xfId="0" applyNumberFormat="1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15" borderId="439" xfId="0" applyFill="1" applyBorder="1" applyAlignment="1">
      <alignment horizontal="center"/>
    </xf>
    <xf numFmtId="0" fontId="0" fillId="0" borderId="441" xfId="0" applyBorder="1" applyAlignment="1">
      <alignment horizontal="center"/>
    </xf>
    <xf numFmtId="3" fontId="3" fillId="0" borderId="52" xfId="0" applyNumberFormat="1" applyFont="1" applyBorder="1" applyAlignment="1">
      <alignment horizontal="center"/>
    </xf>
    <xf numFmtId="1" fontId="0" fillId="3" borderId="133" xfId="0" applyNumberFormat="1" applyFill="1" applyBorder="1" applyAlignment="1">
      <alignment horizontal="center"/>
    </xf>
    <xf numFmtId="3" fontId="0" fillId="0" borderId="93" xfId="0" applyNumberFormat="1" applyBorder="1" applyAlignment="1">
      <alignment horizontal="center"/>
    </xf>
    <xf numFmtId="3" fontId="0" fillId="0" borderId="68" xfId="0" applyNumberFormat="1" applyBorder="1" applyAlignment="1">
      <alignment horizontal="center"/>
    </xf>
    <xf numFmtId="167" fontId="0" fillId="3" borderId="136" xfId="0" applyNumberFormat="1" applyFill="1" applyBorder="1" applyAlignment="1">
      <alignment horizontal="center"/>
    </xf>
    <xf numFmtId="167" fontId="0" fillId="0" borderId="157" xfId="0" applyNumberFormat="1" applyBorder="1" applyAlignment="1">
      <alignment horizontal="center"/>
    </xf>
    <xf numFmtId="1" fontId="0" fillId="0" borderId="133" xfId="0" applyNumberFormat="1" applyBorder="1" applyAlignment="1">
      <alignment horizontal="center"/>
    </xf>
    <xf numFmtId="1" fontId="0" fillId="3" borderId="145" xfId="0" applyNumberFormat="1" applyFill="1" applyBorder="1" applyAlignment="1">
      <alignment horizontal="center"/>
    </xf>
    <xf numFmtId="1" fontId="0" fillId="3" borderId="150" xfId="0" applyNumberFormat="1" applyFill="1" applyBorder="1" applyAlignment="1">
      <alignment horizontal="center"/>
    </xf>
    <xf numFmtId="3" fontId="0" fillId="3" borderId="96" xfId="0" applyNumberFormat="1" applyFill="1" applyBorder="1" applyAlignment="1">
      <alignment horizontal="center"/>
    </xf>
    <xf numFmtId="1" fontId="0" fillId="3" borderId="146" xfId="0" applyNumberFormat="1" applyFill="1" applyBorder="1" applyAlignment="1">
      <alignment horizontal="center"/>
    </xf>
    <xf numFmtId="3" fontId="0" fillId="0" borderId="192" xfId="0" applyNumberFormat="1" applyBorder="1" applyAlignment="1">
      <alignment horizontal="center"/>
    </xf>
    <xf numFmtId="0" fontId="0" fillId="0" borderId="41" xfId="0" applyBorder="1" applyAlignment="1">
      <alignment horizontal="center" vertical="center"/>
    </xf>
    <xf numFmtId="3" fontId="0" fillId="24" borderId="67" xfId="0" applyNumberFormat="1" applyFill="1" applyBorder="1" applyAlignment="1">
      <alignment horizontal="center"/>
    </xf>
    <xf numFmtId="3" fontId="0" fillId="3" borderId="103" xfId="0" applyNumberFormat="1" applyFill="1" applyBorder="1" applyAlignment="1">
      <alignment horizontal="center"/>
    </xf>
    <xf numFmtId="1" fontId="0" fillId="0" borderId="380" xfId="0" applyNumberFormat="1" applyBorder="1" applyAlignment="1">
      <alignment horizontal="center"/>
    </xf>
    <xf numFmtId="43" fontId="0" fillId="0" borderId="380" xfId="1" applyFont="1" applyFill="1" applyBorder="1"/>
    <xf numFmtId="165" fontId="9" fillId="0" borderId="380" xfId="1" applyNumberFormat="1" applyFont="1" applyFill="1" applyBorder="1" applyAlignment="1">
      <alignment horizontal="center"/>
    </xf>
    <xf numFmtId="165" fontId="3" fillId="0" borderId="380" xfId="1" applyNumberFormat="1" applyFont="1" applyFill="1" applyBorder="1" applyAlignment="1">
      <alignment horizontal="center"/>
    </xf>
    <xf numFmtId="0" fontId="3" fillId="11" borderId="454" xfId="0" applyFont="1" applyFill="1" applyBorder="1" applyAlignment="1">
      <alignment horizontal="center"/>
    </xf>
    <xf numFmtId="0" fontId="3" fillId="11" borderId="383" xfId="0" applyFont="1" applyFill="1" applyBorder="1" applyAlignment="1">
      <alignment horizontal="center"/>
    </xf>
    <xf numFmtId="0" fontId="3" fillId="11" borderId="384" xfId="0" applyFont="1" applyFill="1" applyBorder="1" applyAlignment="1">
      <alignment horizontal="center"/>
    </xf>
    <xf numFmtId="0" fontId="3" fillId="11" borderId="385" xfId="0" applyFont="1" applyFill="1" applyBorder="1" applyAlignment="1">
      <alignment horizontal="center"/>
    </xf>
    <xf numFmtId="0" fontId="3" fillId="11" borderId="344" xfId="0" applyFont="1" applyFill="1" applyBorder="1" applyAlignment="1">
      <alignment horizontal="center"/>
    </xf>
    <xf numFmtId="0" fontId="3" fillId="11" borderId="358" xfId="0" applyFont="1" applyFill="1" applyBorder="1" applyAlignment="1">
      <alignment horizontal="center"/>
    </xf>
    <xf numFmtId="0" fontId="3" fillId="11" borderId="28" xfId="0" applyFont="1" applyFill="1" applyBorder="1" applyAlignment="1">
      <alignment horizontal="center"/>
    </xf>
    <xf numFmtId="0" fontId="0" fillId="24" borderId="54" xfId="0" applyFill="1" applyBorder="1" applyAlignment="1">
      <alignment horizontal="center"/>
    </xf>
    <xf numFmtId="0" fontId="0" fillId="3" borderId="386" xfId="0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11" borderId="343" xfId="0" applyFill="1" applyBorder="1" applyAlignment="1">
      <alignment horizontal="center"/>
    </xf>
    <xf numFmtId="0" fontId="0" fillId="11" borderId="387" xfId="0" applyFill="1" applyBorder="1" applyAlignment="1">
      <alignment horizontal="center"/>
    </xf>
    <xf numFmtId="0" fontId="0" fillId="24" borderId="22" xfId="0" applyFill="1" applyBorder="1" applyAlignment="1">
      <alignment horizontal="center"/>
    </xf>
    <xf numFmtId="1" fontId="0" fillId="3" borderId="455" xfId="0" applyNumberFormat="1" applyFill="1" applyBorder="1" applyAlignment="1">
      <alignment horizontal="center"/>
    </xf>
    <xf numFmtId="0" fontId="0" fillId="11" borderId="24" xfId="0" applyFill="1" applyBorder="1" applyAlignment="1">
      <alignment horizontal="center"/>
    </xf>
    <xf numFmtId="0" fontId="0" fillId="11" borderId="388" xfId="0" applyFill="1" applyBorder="1" applyAlignment="1">
      <alignment horizontal="center"/>
    </xf>
    <xf numFmtId="0" fontId="0" fillId="3" borderId="456" xfId="0" applyFill="1" applyBorder="1" applyAlignment="1">
      <alignment horizontal="center"/>
    </xf>
    <xf numFmtId="0" fontId="0" fillId="11" borderId="18" xfId="0" applyFill="1" applyBorder="1" applyAlignment="1">
      <alignment horizontal="center"/>
    </xf>
    <xf numFmtId="0" fontId="0" fillId="11" borderId="389" xfId="0" applyFill="1" applyBorder="1" applyAlignment="1">
      <alignment horizontal="center"/>
    </xf>
    <xf numFmtId="0" fontId="0" fillId="3" borderId="457" xfId="0" applyFill="1" applyBorder="1" applyAlignment="1">
      <alignment horizontal="center"/>
    </xf>
    <xf numFmtId="0" fontId="0" fillId="0" borderId="62" xfId="0" applyBorder="1" applyAlignment="1">
      <alignment horizontal="center"/>
    </xf>
    <xf numFmtId="0" fontId="0" fillId="11" borderId="38" xfId="0" applyFill="1" applyBorder="1" applyAlignment="1">
      <alignment horizontal="center"/>
    </xf>
    <xf numFmtId="0" fontId="0" fillId="11" borderId="390" xfId="0" applyFill="1" applyBorder="1" applyAlignment="1">
      <alignment horizontal="center"/>
    </xf>
    <xf numFmtId="0" fontId="0" fillId="0" borderId="61" xfId="0" applyBorder="1"/>
    <xf numFmtId="0" fontId="0" fillId="11" borderId="92" xfId="0" applyFill="1" applyBorder="1"/>
    <xf numFmtId="0" fontId="0" fillId="0" borderId="61" xfId="0" applyBorder="1" applyAlignment="1">
      <alignment horizontal="center"/>
    </xf>
    <xf numFmtId="0" fontId="0" fillId="24" borderId="99" xfId="0" applyFill="1" applyBorder="1" applyAlignment="1">
      <alignment horizontal="center"/>
    </xf>
    <xf numFmtId="0" fontId="0" fillId="3" borderId="458" xfId="0" applyFill="1" applyBorder="1"/>
    <xf numFmtId="0" fontId="0" fillId="3" borderId="99" xfId="0" applyFill="1" applyBorder="1"/>
    <xf numFmtId="0" fontId="0" fillId="0" borderId="99" xfId="0" applyBorder="1"/>
    <xf numFmtId="0" fontId="0" fillId="11" borderId="100" xfId="0" applyFill="1" applyBorder="1"/>
    <xf numFmtId="0" fontId="0" fillId="11" borderId="391" xfId="0" applyFill="1" applyBorder="1"/>
    <xf numFmtId="0" fontId="0" fillId="11" borderId="149" xfId="0" applyFill="1" applyBorder="1"/>
    <xf numFmtId="0" fontId="0" fillId="3" borderId="97" xfId="0" applyFill="1" applyBorder="1"/>
    <xf numFmtId="0" fontId="0" fillId="11" borderId="151" xfId="0" applyFill="1" applyBorder="1"/>
    <xf numFmtId="0" fontId="0" fillId="3" borderId="263" xfId="0" applyFill="1" applyBorder="1"/>
    <xf numFmtId="0" fontId="0" fillId="3" borderId="80" xfId="0" applyFill="1" applyBorder="1"/>
    <xf numFmtId="0" fontId="0" fillId="3" borderId="316" xfId="0" applyFill="1" applyBorder="1"/>
    <xf numFmtId="0" fontId="0" fillId="3" borderId="459" xfId="0" applyFill="1" applyBorder="1"/>
    <xf numFmtId="0" fontId="0" fillId="3" borderId="108" xfId="0" applyFill="1" applyBorder="1"/>
    <xf numFmtId="0" fontId="0" fillId="0" borderId="108" xfId="0" applyBorder="1"/>
    <xf numFmtId="0" fontId="0" fillId="11" borderId="109" xfId="0" applyFill="1" applyBorder="1"/>
    <xf numFmtId="0" fontId="0" fillId="11" borderId="392" xfId="0" applyFill="1" applyBorder="1"/>
    <xf numFmtId="0" fontId="0" fillId="11" borderId="158" xfId="0" applyFill="1" applyBorder="1"/>
    <xf numFmtId="0" fontId="0" fillId="3" borderId="107" xfId="0" applyFill="1" applyBorder="1"/>
    <xf numFmtId="0" fontId="0" fillId="11" borderId="168" xfId="0" applyFill="1" applyBorder="1"/>
    <xf numFmtId="0" fontId="0" fillId="3" borderId="66" xfId="0" applyFill="1" applyBorder="1"/>
    <xf numFmtId="0" fontId="0" fillId="3" borderId="317" xfId="0" applyFill="1" applyBorder="1"/>
    <xf numFmtId="0" fontId="0" fillId="24" borderId="16" xfId="0" applyFill="1" applyBorder="1" applyAlignment="1">
      <alignment horizontal="center"/>
    </xf>
    <xf numFmtId="0" fontId="0" fillId="0" borderId="456" xfId="0" applyBorder="1"/>
    <xf numFmtId="0" fontId="0" fillId="11" borderId="389" xfId="0" applyFill="1" applyBorder="1"/>
    <xf numFmtId="0" fontId="0" fillId="0" borderId="455" xfId="0" applyBorder="1"/>
    <xf numFmtId="0" fontId="0" fillId="11" borderId="388" xfId="0" applyFill="1" applyBorder="1"/>
    <xf numFmtId="0" fontId="0" fillId="0" borderId="460" xfId="0" applyBorder="1"/>
    <xf numFmtId="0" fontId="0" fillId="11" borderId="393" xfId="0" applyFill="1" applyBorder="1"/>
    <xf numFmtId="0" fontId="0" fillId="2" borderId="461" xfId="0" applyFill="1" applyBorder="1"/>
    <xf numFmtId="0" fontId="0" fillId="2" borderId="394" xfId="0" applyFill="1" applyBorder="1"/>
    <xf numFmtId="0" fontId="3" fillId="11" borderId="462" xfId="0" applyFont="1" applyFill="1" applyBorder="1" applyAlignment="1">
      <alignment horizontal="center"/>
    </xf>
    <xf numFmtId="0" fontId="3" fillId="11" borderId="347" xfId="0" applyFont="1" applyFill="1" applyBorder="1" applyAlignment="1">
      <alignment horizontal="center"/>
    </xf>
    <xf numFmtId="0" fontId="3" fillId="11" borderId="395" xfId="0" applyFont="1" applyFill="1" applyBorder="1" applyAlignment="1">
      <alignment horizontal="center"/>
    </xf>
    <xf numFmtId="0" fontId="3" fillId="11" borderId="300" xfId="0" applyFont="1" applyFill="1" applyBorder="1" applyAlignment="1">
      <alignment horizontal="center"/>
    </xf>
    <xf numFmtId="0" fontId="3" fillId="11" borderId="379" xfId="0" applyFont="1" applyFill="1" applyBorder="1" applyAlignment="1">
      <alignment horizontal="center"/>
    </xf>
    <xf numFmtId="0" fontId="3" fillId="11" borderId="349" xfId="0" applyFont="1" applyFill="1" applyBorder="1" applyAlignment="1">
      <alignment horizontal="center"/>
    </xf>
    <xf numFmtId="0" fontId="0" fillId="0" borderId="461" xfId="0" applyBorder="1"/>
    <xf numFmtId="0" fontId="0" fillId="11" borderId="15" xfId="0" applyFill="1" applyBorder="1" applyAlignment="1">
      <alignment horizontal="center"/>
    </xf>
    <xf numFmtId="0" fontId="0" fillId="11" borderId="396" xfId="0" applyFill="1" applyBorder="1" applyAlignment="1">
      <alignment horizontal="center"/>
    </xf>
    <xf numFmtId="0" fontId="0" fillId="11" borderId="113" xfId="0" applyFill="1" applyBorder="1"/>
    <xf numFmtId="0" fontId="0" fillId="11" borderId="371" xfId="0" applyFill="1" applyBorder="1" applyAlignment="1">
      <alignment horizontal="center"/>
    </xf>
    <xf numFmtId="0" fontId="0" fillId="11" borderId="365" xfId="0" applyFill="1" applyBorder="1" applyAlignment="1">
      <alignment horizontal="center"/>
    </xf>
    <xf numFmtId="0" fontId="0" fillId="24" borderId="39" xfId="0" applyFill="1" applyBorder="1" applyAlignment="1">
      <alignment horizontal="center"/>
    </xf>
    <xf numFmtId="0" fontId="0" fillId="11" borderId="42" xfId="0" applyFill="1" applyBorder="1" applyAlignment="1">
      <alignment horizontal="center"/>
    </xf>
    <xf numFmtId="0" fontId="0" fillId="11" borderId="397" xfId="0" applyFill="1" applyBorder="1" applyAlignment="1">
      <alignment horizontal="center"/>
    </xf>
    <xf numFmtId="0" fontId="0" fillId="11" borderId="59" xfId="0" applyFill="1" applyBorder="1"/>
    <xf numFmtId="0" fontId="0" fillId="11" borderId="372" xfId="0" applyFill="1" applyBorder="1" applyAlignment="1">
      <alignment horizontal="center"/>
    </xf>
    <xf numFmtId="0" fontId="0" fillId="11" borderId="366" xfId="0" applyFill="1" applyBorder="1" applyAlignment="1">
      <alignment horizontal="center"/>
    </xf>
    <xf numFmtId="0" fontId="0" fillId="24" borderId="43" xfId="0" applyFill="1" applyBorder="1" applyAlignment="1">
      <alignment horizontal="center"/>
    </xf>
    <xf numFmtId="0" fontId="0" fillId="11" borderId="51" xfId="0" applyFill="1" applyBorder="1"/>
    <xf numFmtId="0" fontId="0" fillId="11" borderId="373" xfId="0" applyFill="1" applyBorder="1" applyAlignment="1">
      <alignment horizontal="center"/>
    </xf>
    <xf numFmtId="0" fontId="0" fillId="11" borderId="367" xfId="0" applyFill="1" applyBorder="1" applyAlignment="1">
      <alignment horizontal="center"/>
    </xf>
    <xf numFmtId="0" fontId="0" fillId="3" borderId="458" xfId="0" applyFill="1" applyBorder="1" applyAlignment="1">
      <alignment horizontal="center"/>
    </xf>
    <xf numFmtId="0" fontId="0" fillId="11" borderId="80" xfId="0" applyFill="1" applyBorder="1" applyAlignment="1">
      <alignment horizontal="center"/>
    </xf>
    <xf numFmtId="0" fontId="0" fillId="11" borderId="391" xfId="0" applyFill="1" applyBorder="1" applyAlignment="1">
      <alignment horizontal="center"/>
    </xf>
    <xf numFmtId="0" fontId="0" fillId="11" borderId="79" xfId="0" applyFill="1" applyBorder="1"/>
    <xf numFmtId="0" fontId="0" fillId="11" borderId="374" xfId="0" applyFill="1" applyBorder="1" applyAlignment="1">
      <alignment horizontal="center"/>
    </xf>
    <xf numFmtId="0" fontId="0" fillId="11" borderId="368" xfId="0" applyFill="1" applyBorder="1" applyAlignment="1">
      <alignment horizontal="center"/>
    </xf>
    <xf numFmtId="0" fontId="0" fillId="11" borderId="338" xfId="0" applyFill="1" applyBorder="1"/>
    <xf numFmtId="0" fontId="0" fillId="3" borderId="455" xfId="0" applyFill="1" applyBorder="1" applyAlignment="1">
      <alignment horizontal="center"/>
    </xf>
    <xf numFmtId="0" fontId="0" fillId="11" borderId="21" xfId="0" applyFill="1" applyBorder="1" applyAlignment="1">
      <alignment horizontal="center"/>
    </xf>
    <xf numFmtId="0" fontId="0" fillId="11" borderId="398" xfId="0" applyFill="1" applyBorder="1" applyAlignment="1">
      <alignment horizontal="center"/>
    </xf>
    <xf numFmtId="0" fontId="0" fillId="3" borderId="463" xfId="0" applyFill="1" applyBorder="1" applyAlignment="1">
      <alignment horizontal="center"/>
    </xf>
    <xf numFmtId="0" fontId="0" fillId="3" borderId="325" xfId="0" applyFill="1" applyBorder="1" applyAlignment="1">
      <alignment horizontal="center"/>
    </xf>
    <xf numFmtId="0" fontId="0" fillId="3" borderId="326" xfId="0" applyFill="1" applyBorder="1" applyAlignment="1">
      <alignment horizontal="center"/>
    </xf>
    <xf numFmtId="0" fontId="0" fillId="11" borderId="323" xfId="0" applyFill="1" applyBorder="1" applyAlignment="1">
      <alignment horizontal="center"/>
    </xf>
    <xf numFmtId="0" fontId="0" fillId="11" borderId="322" xfId="0" applyFill="1" applyBorder="1" applyAlignment="1">
      <alignment horizontal="center"/>
    </xf>
    <xf numFmtId="0" fontId="0" fillId="11" borderId="399" xfId="0" applyFill="1" applyBorder="1" applyAlignment="1">
      <alignment horizontal="center"/>
    </xf>
    <xf numFmtId="0" fontId="0" fillId="3" borderId="381" xfId="0" applyFill="1" applyBorder="1"/>
    <xf numFmtId="0" fontId="0" fillId="3" borderId="325" xfId="0" applyFill="1" applyBorder="1"/>
    <xf numFmtId="0" fontId="0" fillId="3" borderId="326" xfId="0" applyFill="1" applyBorder="1"/>
    <xf numFmtId="0" fontId="0" fillId="11" borderId="323" xfId="0" applyFill="1" applyBorder="1"/>
    <xf numFmtId="0" fontId="0" fillId="11" borderId="327" xfId="0" applyFill="1" applyBorder="1"/>
    <xf numFmtId="0" fontId="0" fillId="3" borderId="324" xfId="0" applyFill="1" applyBorder="1" applyAlignment="1">
      <alignment horizontal="center"/>
    </xf>
    <xf numFmtId="0" fontId="0" fillId="3" borderId="324" xfId="0" applyFill="1" applyBorder="1"/>
    <xf numFmtId="0" fontId="0" fillId="3" borderId="328" xfId="0" applyFill="1" applyBorder="1"/>
    <xf numFmtId="0" fontId="0" fillId="11" borderId="322" xfId="0" applyFill="1" applyBorder="1"/>
    <xf numFmtId="0" fontId="0" fillId="11" borderId="355" xfId="0" applyFill="1" applyBorder="1"/>
    <xf numFmtId="0" fontId="0" fillId="3" borderId="328" xfId="0" applyFill="1" applyBorder="1" applyAlignment="1">
      <alignment horizontal="center"/>
    </xf>
    <xf numFmtId="0" fontId="0" fillId="11" borderId="375" xfId="0" applyFill="1" applyBorder="1" applyAlignment="1">
      <alignment horizontal="center"/>
    </xf>
    <xf numFmtId="0" fontId="0" fillId="11" borderId="369" xfId="0" applyFill="1" applyBorder="1" applyAlignment="1">
      <alignment horizontal="center"/>
    </xf>
    <xf numFmtId="0" fontId="0" fillId="11" borderId="350" xfId="0" applyFill="1" applyBorder="1"/>
    <xf numFmtId="0" fontId="0" fillId="11" borderId="329" xfId="0" applyFill="1" applyBorder="1"/>
    <xf numFmtId="0" fontId="0" fillId="3" borderId="321" xfId="0" applyFill="1" applyBorder="1"/>
    <xf numFmtId="0" fontId="0" fillId="3" borderId="323" xfId="0" applyFill="1" applyBorder="1"/>
    <xf numFmtId="0" fontId="0" fillId="3" borderId="327" xfId="0" applyFill="1" applyBorder="1"/>
    <xf numFmtId="0" fontId="0" fillId="3" borderId="459" xfId="0" applyFill="1" applyBorder="1" applyAlignment="1">
      <alignment horizontal="center"/>
    </xf>
    <xf numFmtId="0" fontId="0" fillId="11" borderId="66" xfId="0" applyFill="1" applyBorder="1" applyAlignment="1">
      <alignment horizontal="center"/>
    </xf>
    <xf numFmtId="0" fontId="0" fillId="11" borderId="392" xfId="0" applyFill="1" applyBorder="1" applyAlignment="1">
      <alignment horizontal="center"/>
    </xf>
    <xf numFmtId="0" fontId="0" fillId="11" borderId="206" xfId="0" applyFill="1" applyBorder="1"/>
    <xf numFmtId="0" fontId="0" fillId="11" borderId="376" xfId="0" applyFill="1" applyBorder="1" applyAlignment="1">
      <alignment horizontal="center"/>
    </xf>
    <xf numFmtId="0" fontId="0" fillId="11" borderId="370" xfId="0" applyFill="1" applyBorder="1" applyAlignment="1">
      <alignment horizontal="center"/>
    </xf>
    <xf numFmtId="0" fontId="0" fillId="3" borderId="319" xfId="0" applyFill="1" applyBorder="1"/>
    <xf numFmtId="0" fontId="0" fillId="0" borderId="464" xfId="0" applyBorder="1"/>
    <xf numFmtId="0" fontId="0" fillId="11" borderId="394" xfId="0" applyFill="1" applyBorder="1"/>
    <xf numFmtId="0" fontId="0" fillId="0" borderId="93" xfId="0" applyBorder="1"/>
    <xf numFmtId="0" fontId="0" fillId="11" borderId="373" xfId="0" applyFill="1" applyBorder="1"/>
    <xf numFmtId="0" fontId="0" fillId="11" borderId="398" xfId="0" applyFill="1" applyBorder="1"/>
    <xf numFmtId="0" fontId="0" fillId="11" borderId="372" xfId="0" applyFill="1" applyBorder="1"/>
    <xf numFmtId="0" fontId="0" fillId="16" borderId="458" xfId="0" applyFill="1" applyBorder="1"/>
    <xf numFmtId="0" fontId="0" fillId="16" borderId="391" xfId="0" applyFill="1" applyBorder="1"/>
    <xf numFmtId="0" fontId="0" fillId="16" borderId="99" xfId="0" applyFill="1" applyBorder="1"/>
    <xf numFmtId="0" fontId="0" fillId="16" borderId="374" xfId="0" applyFill="1" applyBorder="1"/>
    <xf numFmtId="0" fontId="0" fillId="16" borderId="359" xfId="0" applyFill="1" applyBorder="1"/>
    <xf numFmtId="0" fontId="0" fillId="16" borderId="457" xfId="0" applyFill="1" applyBorder="1"/>
    <xf numFmtId="0" fontId="0" fillId="16" borderId="397" xfId="0" applyFill="1" applyBorder="1"/>
    <xf numFmtId="0" fontId="0" fillId="16" borderId="22" xfId="0" applyFill="1" applyBorder="1"/>
    <xf numFmtId="0" fontId="0" fillId="16" borderId="59" xfId="0" applyFill="1" applyBorder="1"/>
    <xf numFmtId="0" fontId="0" fillId="16" borderId="82" xfId="0" applyFill="1" applyBorder="1"/>
    <xf numFmtId="0" fontId="0" fillId="16" borderId="377" xfId="0" applyFill="1" applyBorder="1"/>
    <xf numFmtId="0" fontId="0" fillId="16" borderId="360" xfId="0" applyFill="1" applyBorder="1"/>
    <xf numFmtId="0" fontId="0" fillId="3" borderId="64" xfId="0" applyFill="1" applyBorder="1" applyAlignment="1">
      <alignment horizontal="center"/>
    </xf>
    <xf numFmtId="0" fontId="0" fillId="3" borderId="63" xfId="0" applyFill="1" applyBorder="1" applyAlignment="1">
      <alignment horizontal="center"/>
    </xf>
    <xf numFmtId="0" fontId="0" fillId="3" borderId="112" xfId="0" applyFill="1" applyBorder="1" applyAlignment="1">
      <alignment horizontal="center"/>
    </xf>
    <xf numFmtId="0" fontId="0" fillId="16" borderId="465" xfId="0" applyFill="1" applyBorder="1"/>
    <xf numFmtId="0" fontId="0" fillId="16" borderId="400" xfId="0" applyFill="1" applyBorder="1"/>
    <xf numFmtId="0" fontId="0" fillId="16" borderId="108" xfId="0" applyFill="1" applyBorder="1"/>
    <xf numFmtId="0" fontId="0" fillId="16" borderId="112" xfId="0" applyFill="1" applyBorder="1"/>
    <xf numFmtId="0" fontId="0" fillId="16" borderId="163" xfId="0" applyFill="1" applyBorder="1"/>
    <xf numFmtId="0" fontId="0" fillId="16" borderId="378" xfId="0" applyFill="1" applyBorder="1"/>
    <xf numFmtId="0" fontId="0" fillId="16" borderId="361" xfId="0" applyFill="1" applyBorder="1"/>
    <xf numFmtId="0" fontId="0" fillId="16" borderId="362" xfId="0" applyFill="1" applyBorder="1"/>
    <xf numFmtId="0" fontId="0" fillId="16" borderId="455" xfId="0" applyFill="1" applyBorder="1"/>
    <xf numFmtId="0" fontId="0" fillId="16" borderId="375" xfId="0" applyFill="1" applyBorder="1"/>
    <xf numFmtId="0" fontId="0" fillId="16" borderId="363" xfId="0" applyFill="1" applyBorder="1"/>
    <xf numFmtId="0" fontId="0" fillId="16" borderId="466" xfId="0" applyFill="1" applyBorder="1"/>
    <xf numFmtId="0" fontId="0" fillId="16" borderId="41" xfId="0" applyFill="1" applyBorder="1"/>
    <xf numFmtId="0" fontId="0" fillId="16" borderId="68" xfId="0" applyFill="1" applyBorder="1"/>
    <xf numFmtId="0" fontId="0" fillId="16" borderId="206" xfId="0" applyFill="1" applyBorder="1"/>
    <xf numFmtId="0" fontId="0" fillId="16" borderId="364" xfId="0" applyFill="1" applyBorder="1"/>
    <xf numFmtId="0" fontId="0" fillId="16" borderId="158" xfId="0" applyFill="1" applyBorder="1"/>
    <xf numFmtId="0" fontId="3" fillId="11" borderId="467" xfId="0" applyFont="1" applyFill="1" applyBorder="1" applyAlignment="1">
      <alignment horizontal="center"/>
    </xf>
    <xf numFmtId="0" fontId="3" fillId="11" borderId="345" xfId="0" applyFont="1" applyFill="1" applyBorder="1" applyAlignment="1">
      <alignment horizontal="center"/>
    </xf>
    <xf numFmtId="0" fontId="3" fillId="11" borderId="401" xfId="0" applyFont="1" applyFill="1" applyBorder="1" applyAlignment="1">
      <alignment horizontal="center"/>
    </xf>
    <xf numFmtId="0" fontId="3" fillId="11" borderId="353" xfId="0" applyFont="1" applyFill="1" applyBorder="1" applyAlignment="1">
      <alignment horizontal="center"/>
    </xf>
    <xf numFmtId="0" fontId="3" fillId="11" borderId="354" xfId="0" applyFont="1" applyFill="1" applyBorder="1" applyAlignment="1">
      <alignment horizontal="center"/>
    </xf>
    <xf numFmtId="0" fontId="3" fillId="11" borderId="352" xfId="0" applyFont="1" applyFill="1" applyBorder="1" applyAlignment="1">
      <alignment horizontal="center"/>
    </xf>
    <xf numFmtId="0" fontId="3" fillId="11" borderId="357" xfId="0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68" xfId="0" applyBorder="1"/>
    <xf numFmtId="0" fontId="0" fillId="0" borderId="402" xfId="0" applyBorder="1" applyAlignment="1">
      <alignment horizontal="center"/>
    </xf>
    <xf numFmtId="0" fontId="0" fillId="0" borderId="56" xfId="0" applyBorder="1"/>
    <xf numFmtId="0" fontId="0" fillId="0" borderId="113" xfId="0" applyBorder="1"/>
    <xf numFmtId="0" fontId="0" fillId="0" borderId="135" xfId="0" applyBorder="1"/>
    <xf numFmtId="0" fontId="0" fillId="0" borderId="113" xfId="0" applyBorder="1" applyAlignment="1">
      <alignment horizontal="center"/>
    </xf>
    <xf numFmtId="0" fontId="0" fillId="0" borderId="17" xfId="0" applyBorder="1"/>
    <xf numFmtId="0" fontId="0" fillId="0" borderId="121" xfId="0" applyBorder="1"/>
    <xf numFmtId="0" fontId="0" fillId="0" borderId="134" xfId="0" applyBorder="1"/>
    <xf numFmtId="0" fontId="0" fillId="0" borderId="51" xfId="0" applyBorder="1"/>
    <xf numFmtId="0" fontId="0" fillId="0" borderId="293" xfId="0" applyBorder="1"/>
    <xf numFmtId="0" fontId="0" fillId="0" borderId="39" xfId="0" applyBorder="1" applyAlignment="1">
      <alignment horizontal="center"/>
    </xf>
    <xf numFmtId="0" fontId="0" fillId="0" borderId="469" xfId="0" applyBorder="1"/>
    <xf numFmtId="0" fontId="0" fillId="0" borderId="42" xfId="0" applyBorder="1" applyAlignment="1">
      <alignment horizontal="center"/>
    </xf>
    <xf numFmtId="0" fontId="0" fillId="0" borderId="403" xfId="0" applyBorder="1" applyAlignment="1">
      <alignment horizontal="center"/>
    </xf>
    <xf numFmtId="0" fontId="0" fillId="0" borderId="205" xfId="0" applyBorder="1"/>
    <xf numFmtId="0" fontId="0" fillId="0" borderId="223" xfId="0" applyBorder="1"/>
    <xf numFmtId="0" fontId="0" fillId="0" borderId="97" xfId="0" applyBorder="1" applyAlignment="1">
      <alignment horizontal="center"/>
    </xf>
    <xf numFmtId="0" fontId="0" fillId="0" borderId="470" xfId="0" applyBorder="1" applyAlignment="1">
      <alignment horizontal="center"/>
    </xf>
    <xf numFmtId="0" fontId="0" fillId="0" borderId="404" xfId="0" applyBorder="1" applyAlignment="1">
      <alignment horizontal="center"/>
    </xf>
    <xf numFmtId="0" fontId="0" fillId="0" borderId="98" xfId="0" applyBorder="1"/>
    <xf numFmtId="0" fontId="0" fillId="0" borderId="80" xfId="0" applyBorder="1"/>
    <xf numFmtId="0" fontId="0" fillId="0" borderId="79" xfId="0" applyBorder="1"/>
    <xf numFmtId="0" fontId="0" fillId="0" borderId="269" xfId="0" applyBorder="1"/>
    <xf numFmtId="0" fontId="0" fillId="0" borderId="79" xfId="0" applyBorder="1" applyAlignment="1">
      <alignment horizontal="center"/>
    </xf>
    <xf numFmtId="0" fontId="0" fillId="0" borderId="100" xfId="0" applyBorder="1"/>
    <xf numFmtId="0" fontId="0" fillId="0" borderId="101" xfId="0" applyBorder="1"/>
    <xf numFmtId="0" fontId="0" fillId="0" borderId="96" xfId="0" applyBorder="1"/>
    <xf numFmtId="0" fontId="0" fillId="0" borderId="339" xfId="0" applyBorder="1"/>
    <xf numFmtId="0" fontId="0" fillId="0" borderId="261" xfId="0" applyBorder="1"/>
    <xf numFmtId="0" fontId="0" fillId="0" borderId="104" xfId="0" applyBorder="1"/>
    <xf numFmtId="0" fontId="0" fillId="0" borderId="337" xfId="0" applyBorder="1"/>
    <xf numFmtId="0" fontId="0" fillId="0" borderId="64" xfId="0" applyBorder="1" applyAlignment="1">
      <alignment horizontal="center"/>
    </xf>
    <xf numFmtId="0" fontId="0" fillId="0" borderId="63" xfId="0" applyBorder="1" applyAlignment="1">
      <alignment horizontal="center"/>
    </xf>
    <xf numFmtId="0" fontId="0" fillId="0" borderId="469" xfId="0" applyBorder="1" applyAlignment="1">
      <alignment horizontal="center"/>
    </xf>
    <xf numFmtId="0" fontId="0" fillId="0" borderId="405" xfId="0" applyBorder="1" applyAlignment="1">
      <alignment horizontal="center"/>
    </xf>
    <xf numFmtId="0" fontId="0" fillId="0" borderId="71" xfId="0" applyBorder="1"/>
    <xf numFmtId="0" fontId="0" fillId="0" borderId="112" xfId="0" applyBorder="1"/>
    <xf numFmtId="0" fontId="0" fillId="0" borderId="227" xfId="0" applyBorder="1"/>
    <xf numFmtId="0" fontId="0" fillId="0" borderId="68" xfId="0" applyBorder="1"/>
    <xf numFmtId="0" fontId="0" fillId="0" borderId="69" xfId="0" applyBorder="1"/>
    <xf numFmtId="0" fontId="0" fillId="0" borderId="70" xfId="0" applyBorder="1"/>
    <xf numFmtId="0" fontId="0" fillId="0" borderId="64" xfId="0" applyBorder="1"/>
    <xf numFmtId="0" fontId="0" fillId="0" borderId="159" xfId="0" applyBorder="1"/>
    <xf numFmtId="0" fontId="0" fillId="0" borderId="264" xfId="0" applyBorder="1"/>
    <xf numFmtId="0" fontId="0" fillId="0" borderId="317" xfId="0" applyBorder="1"/>
    <xf numFmtId="0" fontId="0" fillId="0" borderId="263" xfId="0" applyBorder="1" applyAlignment="1">
      <alignment horizontal="center"/>
    </xf>
    <xf numFmtId="0" fontId="0" fillId="0" borderId="331" xfId="0" applyBorder="1" applyAlignment="1">
      <alignment horizontal="center"/>
    </xf>
    <xf numFmtId="0" fontId="0" fillId="0" borderId="336" xfId="0" applyBorder="1" applyAlignment="1">
      <alignment horizontal="center"/>
    </xf>
    <xf numFmtId="0" fontId="0" fillId="0" borderId="332" xfId="0" applyBorder="1" applyAlignment="1">
      <alignment horizontal="center"/>
    </xf>
    <xf numFmtId="0" fontId="0" fillId="0" borderId="406" xfId="0" applyBorder="1" applyAlignment="1">
      <alignment horizontal="center"/>
    </xf>
    <xf numFmtId="0" fontId="0" fillId="0" borderId="332" xfId="0" applyBorder="1"/>
    <xf numFmtId="0" fontId="0" fillId="0" borderId="331" xfId="0" applyBorder="1"/>
    <xf numFmtId="0" fontId="0" fillId="0" borderId="356" xfId="0" applyBorder="1"/>
    <xf numFmtId="0" fontId="0" fillId="0" borderId="348" xfId="0" applyBorder="1"/>
    <xf numFmtId="0" fontId="0" fillId="0" borderId="356" xfId="0" applyBorder="1" applyAlignment="1">
      <alignment horizontal="center"/>
    </xf>
    <xf numFmtId="0" fontId="0" fillId="0" borderId="351" xfId="0" applyBorder="1"/>
    <xf numFmtId="0" fontId="0" fillId="0" borderId="333" xfId="0" applyBorder="1"/>
    <xf numFmtId="0" fontId="0" fillId="0" borderId="334" xfId="0" applyBorder="1"/>
    <xf numFmtId="0" fontId="0" fillId="0" borderId="336" xfId="0" applyBorder="1"/>
    <xf numFmtId="0" fontId="0" fillId="0" borderId="346" xfId="0" applyBorder="1"/>
    <xf numFmtId="0" fontId="0" fillId="0" borderId="330" xfId="0" applyBorder="1"/>
    <xf numFmtId="0" fontId="0" fillId="0" borderId="335" xfId="0" applyBorder="1"/>
    <xf numFmtId="0" fontId="0" fillId="0" borderId="35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35" xfId="0" applyBorder="1"/>
    <xf numFmtId="0" fontId="0" fillId="0" borderId="407" xfId="0" applyBorder="1"/>
    <xf numFmtId="0" fontId="0" fillId="0" borderId="116" xfId="0" applyBorder="1"/>
    <xf numFmtId="0" fontId="0" fillId="0" borderId="225" xfId="0" applyBorder="1"/>
    <xf numFmtId="0" fontId="0" fillId="0" borderId="101" xfId="0" applyBorder="1" applyAlignment="1">
      <alignment horizontal="center"/>
    </xf>
    <xf numFmtId="0" fontId="0" fillId="0" borderId="470" xfId="0" applyBorder="1"/>
    <xf numFmtId="0" fontId="0" fillId="0" borderId="404" xfId="0" applyBorder="1"/>
    <xf numFmtId="0" fontId="0" fillId="0" borderId="149" xfId="0" applyBorder="1"/>
    <xf numFmtId="0" fontId="0" fillId="0" borderId="263" xfId="0" applyBorder="1"/>
    <xf numFmtId="0" fontId="0" fillId="0" borderId="316" xfId="0" applyBorder="1"/>
    <xf numFmtId="0" fontId="0" fillId="0" borderId="107" xfId="0" applyBorder="1" applyAlignment="1">
      <alignment horizontal="center"/>
    </xf>
    <xf numFmtId="0" fontId="0" fillId="0" borderId="206" xfId="0" applyBorder="1" applyAlignment="1">
      <alignment horizontal="center"/>
    </xf>
    <xf numFmtId="0" fontId="0" fillId="0" borderId="471" xfId="0" applyBorder="1"/>
    <xf numFmtId="0" fontId="0" fillId="0" borderId="107" xfId="0" applyBorder="1"/>
    <xf numFmtId="0" fontId="0" fillId="0" borderId="67" xfId="0" applyBorder="1"/>
    <xf numFmtId="0" fontId="0" fillId="0" borderId="408" xfId="0" applyBorder="1"/>
    <xf numFmtId="0" fontId="0" fillId="0" borderId="206" xfId="0" applyBorder="1"/>
    <xf numFmtId="0" fontId="0" fillId="0" borderId="241" xfId="0" applyBorder="1"/>
    <xf numFmtId="0" fontId="0" fillId="0" borderId="359" xfId="0" applyBorder="1"/>
    <xf numFmtId="0" fontId="0" fillId="0" borderId="405" xfId="0" applyBorder="1"/>
    <xf numFmtId="0" fontId="0" fillId="0" borderId="158" xfId="0" applyBorder="1"/>
    <xf numFmtId="0" fontId="0" fillId="0" borderId="262" xfId="0" applyBorder="1"/>
    <xf numFmtId="0" fontId="0" fillId="0" borderId="253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472" xfId="0" applyBorder="1"/>
    <xf numFmtId="0" fontId="0" fillId="0" borderId="402" xfId="0" applyBorder="1"/>
    <xf numFmtId="0" fontId="0" fillId="0" borderId="20" xfId="0" applyBorder="1"/>
    <xf numFmtId="0" fontId="0" fillId="0" borderId="108" xfId="0" applyBorder="1" applyAlignment="1">
      <alignment horizontal="center"/>
    </xf>
    <xf numFmtId="0" fontId="0" fillId="0" borderId="109" xfId="0" applyBorder="1" applyAlignment="1">
      <alignment horizontal="center"/>
    </xf>
    <xf numFmtId="0" fontId="0" fillId="0" borderId="111" xfId="0" applyBorder="1" applyAlignment="1">
      <alignment horizontal="center"/>
    </xf>
    <xf numFmtId="0" fontId="0" fillId="0" borderId="473" xfId="0" applyBorder="1"/>
    <xf numFmtId="0" fontId="0" fillId="0" borderId="409" xfId="0" applyBorder="1"/>
    <xf numFmtId="0" fontId="0" fillId="0" borderId="109" xfId="0" applyBorder="1"/>
    <xf numFmtId="0" fontId="0" fillId="0" borderId="110" xfId="0" applyBorder="1"/>
    <xf numFmtId="0" fontId="0" fillId="0" borderId="314" xfId="0" applyBorder="1"/>
    <xf numFmtId="0" fontId="0" fillId="0" borderId="394" xfId="0" applyBorder="1"/>
    <xf numFmtId="0" fontId="0" fillId="2" borderId="410" xfId="0" applyFill="1" applyBorder="1"/>
    <xf numFmtId="0" fontId="3" fillId="11" borderId="474" xfId="0" applyFont="1" applyFill="1" applyBorder="1" applyAlignment="1">
      <alignment horizontal="center"/>
    </xf>
    <xf numFmtId="0" fontId="3" fillId="11" borderId="411" xfId="0" applyFont="1" applyFill="1" applyBorder="1" applyAlignment="1">
      <alignment horizontal="center"/>
    </xf>
    <xf numFmtId="0" fontId="3" fillId="11" borderId="10" xfId="0" applyFont="1" applyFill="1" applyBorder="1" applyAlignment="1">
      <alignment horizontal="center"/>
    </xf>
    <xf numFmtId="0" fontId="3" fillId="11" borderId="4" xfId="0" applyFont="1" applyFill="1" applyBorder="1" applyAlignment="1">
      <alignment horizontal="center"/>
    </xf>
    <xf numFmtId="0" fontId="3" fillId="11" borderId="218" xfId="0" applyFont="1" applyFill="1" applyBorder="1" applyAlignment="1">
      <alignment horizontal="center"/>
    </xf>
    <xf numFmtId="0" fontId="0" fillId="3" borderId="252" xfId="0" applyFill="1" applyBorder="1" applyAlignment="1">
      <alignment horizontal="center"/>
    </xf>
    <xf numFmtId="1" fontId="0" fillId="25" borderId="303" xfId="0" applyNumberFormat="1" applyFill="1" applyBorder="1" applyAlignment="1">
      <alignment horizontal="center"/>
    </xf>
    <xf numFmtId="1" fontId="0" fillId="24" borderId="297" xfId="0" applyNumberFormat="1" applyFill="1" applyBorder="1" applyAlignment="1">
      <alignment horizontal="center"/>
    </xf>
    <xf numFmtId="1" fontId="0" fillId="0" borderId="297" xfId="0" applyNumberFormat="1" applyBorder="1" applyAlignment="1">
      <alignment horizontal="center"/>
    </xf>
    <xf numFmtId="0" fontId="0" fillId="3" borderId="475" xfId="0" applyFill="1" applyBorder="1" applyAlignment="1">
      <alignment horizontal="center"/>
    </xf>
    <xf numFmtId="0" fontId="0" fillId="3" borderId="476" xfId="0" applyFill="1" applyBorder="1" applyAlignment="1">
      <alignment horizontal="center"/>
    </xf>
    <xf numFmtId="0" fontId="0" fillId="11" borderId="29" xfId="0" applyFill="1" applyBorder="1" applyAlignment="1">
      <alignment horizontal="center"/>
    </xf>
    <xf numFmtId="0" fontId="0" fillId="11" borderId="412" xfId="0" applyFill="1" applyBorder="1" applyAlignment="1">
      <alignment horizontal="center"/>
    </xf>
    <xf numFmtId="0" fontId="0" fillId="11" borderId="114" xfId="0" applyFill="1" applyBorder="1"/>
    <xf numFmtId="0" fontId="0" fillId="11" borderId="114" xfId="0" applyFill="1" applyBorder="1" applyAlignment="1">
      <alignment horizontal="center"/>
    </xf>
    <xf numFmtId="0" fontId="0" fillId="11" borderId="37" xfId="0" applyFill="1" applyBorder="1"/>
    <xf numFmtId="0" fontId="0" fillId="11" borderId="29" xfId="0" applyFill="1" applyBorder="1"/>
    <xf numFmtId="0" fontId="0" fillId="13" borderId="461" xfId="0" applyFill="1" applyBorder="1" applyAlignment="1">
      <alignment horizontal="center"/>
    </xf>
    <xf numFmtId="0" fontId="0" fillId="13" borderId="394" xfId="0" applyFill="1" applyBorder="1" applyAlignment="1">
      <alignment horizontal="center"/>
    </xf>
    <xf numFmtId="0" fontId="0" fillId="13" borderId="461" xfId="0" applyFill="1" applyBorder="1"/>
    <xf numFmtId="0" fontId="0" fillId="13" borderId="394" xfId="0" applyFill="1" applyBorder="1"/>
    <xf numFmtId="0" fontId="0" fillId="13" borderId="279" xfId="0" applyFill="1" applyBorder="1"/>
    <xf numFmtId="0" fontId="3" fillId="11" borderId="477" xfId="0" applyFont="1" applyFill="1" applyBorder="1" applyAlignment="1">
      <alignment horizontal="center"/>
    </xf>
    <xf numFmtId="0" fontId="3" fillId="11" borderId="413" xfId="0" applyFont="1" applyFill="1" applyBorder="1" applyAlignment="1">
      <alignment horizontal="center"/>
    </xf>
    <xf numFmtId="1" fontId="0" fillId="24" borderId="14" xfId="0" applyNumberFormat="1" applyFill="1" applyBorder="1" applyAlignment="1">
      <alignment horizontal="center"/>
    </xf>
    <xf numFmtId="1" fontId="0" fillId="3" borderId="456" xfId="0" applyNumberFormat="1" applyFill="1" applyBorder="1" applyAlignment="1">
      <alignment horizontal="center"/>
    </xf>
    <xf numFmtId="0" fontId="0" fillId="11" borderId="134" xfId="0" applyFill="1" applyBorder="1" applyAlignment="1">
      <alignment horizontal="center"/>
    </xf>
    <xf numFmtId="1" fontId="0" fillId="3" borderId="56" xfId="0" applyNumberFormat="1" applyFill="1" applyBorder="1" applyAlignment="1">
      <alignment horizontal="center"/>
    </xf>
    <xf numFmtId="1" fontId="0" fillId="3" borderId="113" xfId="0" applyNumberFormat="1" applyFill="1" applyBorder="1" applyAlignment="1">
      <alignment horizontal="center"/>
    </xf>
    <xf numFmtId="1" fontId="0" fillId="3" borderId="71" xfId="0" applyNumberFormat="1" applyFill="1" applyBorder="1" applyAlignment="1">
      <alignment horizontal="center"/>
    </xf>
    <xf numFmtId="1" fontId="0" fillId="3" borderId="112" xfId="0" applyNumberFormat="1" applyFill="1" applyBorder="1" applyAlignment="1">
      <alignment horizontal="center"/>
    </xf>
    <xf numFmtId="1" fontId="0" fillId="3" borderId="464" xfId="0" applyNumberFormat="1" applyFill="1" applyBorder="1" applyAlignment="1">
      <alignment horizontal="center"/>
    </xf>
    <xf numFmtId="0" fontId="0" fillId="11" borderId="414" xfId="0" applyFill="1" applyBorder="1" applyAlignment="1">
      <alignment horizontal="center"/>
    </xf>
    <xf numFmtId="0" fontId="0" fillId="11" borderId="144" xfId="0" applyFill="1" applyBorder="1" applyAlignment="1">
      <alignment horizontal="center"/>
    </xf>
    <xf numFmtId="0" fontId="0" fillId="11" borderId="116" xfId="0" applyFill="1" applyBorder="1" applyAlignment="1">
      <alignment horizontal="center"/>
    </xf>
    <xf numFmtId="0" fontId="0" fillId="11" borderId="94" xfId="0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0" fontId="0" fillId="11" borderId="415" xfId="0" applyFill="1" applyBorder="1" applyAlignment="1">
      <alignment horizontal="center"/>
    </xf>
    <xf numFmtId="0" fontId="0" fillId="11" borderId="151" xfId="0" applyFill="1" applyBorder="1" applyAlignment="1">
      <alignment horizontal="center"/>
    </xf>
    <xf numFmtId="0" fontId="0" fillId="11" borderId="149" xfId="0" applyFill="1" applyBorder="1" applyAlignment="1">
      <alignment horizontal="center"/>
    </xf>
    <xf numFmtId="0" fontId="0" fillId="11" borderId="102" xfId="0" applyFill="1" applyBorder="1" applyAlignment="1">
      <alignment horizontal="center"/>
    </xf>
    <xf numFmtId="0" fontId="0" fillId="11" borderId="155" xfId="0" applyFill="1" applyBorder="1" applyAlignment="1">
      <alignment horizontal="center"/>
    </xf>
    <xf numFmtId="0" fontId="0" fillId="3" borderId="465" xfId="0" applyFill="1" applyBorder="1" applyAlignment="1">
      <alignment horizontal="center"/>
    </xf>
    <xf numFmtId="0" fontId="0" fillId="11" borderId="416" xfId="0" applyFill="1" applyBorder="1" applyAlignment="1">
      <alignment horizontal="center"/>
    </xf>
    <xf numFmtId="0" fontId="0" fillId="11" borderId="161" xfId="0" applyFill="1" applyBorder="1" applyAlignment="1">
      <alignment horizontal="center"/>
    </xf>
    <xf numFmtId="0" fontId="0" fillId="11" borderId="159" xfId="0" applyFill="1" applyBorder="1" applyAlignment="1">
      <alignment horizontal="center"/>
    </xf>
    <xf numFmtId="0" fontId="0" fillId="11" borderId="163" xfId="0" applyFill="1" applyBorder="1" applyAlignment="1">
      <alignment horizontal="center"/>
    </xf>
    <xf numFmtId="1" fontId="0" fillId="3" borderId="79" xfId="0" applyNumberFormat="1" applyFill="1" applyBorder="1" applyAlignment="1">
      <alignment horizontal="center"/>
    </xf>
    <xf numFmtId="0" fontId="0" fillId="3" borderId="456" xfId="0" applyFill="1" applyBorder="1"/>
    <xf numFmtId="0" fontId="0" fillId="3" borderId="455" xfId="0" applyFill="1" applyBorder="1"/>
    <xf numFmtId="0" fontId="0" fillId="3" borderId="465" xfId="0" applyFill="1" applyBorder="1"/>
    <xf numFmtId="1" fontId="0" fillId="3" borderId="104" xfId="0" applyNumberFormat="1" applyFill="1" applyBorder="1" applyAlignment="1">
      <alignment horizontal="center"/>
    </xf>
    <xf numFmtId="0" fontId="5" fillId="26" borderId="132" xfId="0" applyFont="1" applyFill="1" applyBorder="1" applyAlignment="1">
      <alignment horizontal="center"/>
    </xf>
    <xf numFmtId="1" fontId="0" fillId="3" borderId="59" xfId="0" applyNumberFormat="1" applyFill="1" applyBorder="1" applyAlignment="1">
      <alignment horizontal="center"/>
    </xf>
    <xf numFmtId="0" fontId="0" fillId="3" borderId="457" xfId="0" applyFill="1" applyBorder="1"/>
    <xf numFmtId="0" fontId="0" fillId="11" borderId="175" xfId="0" applyFill="1" applyBorder="1" applyAlignment="1">
      <alignment horizontal="center"/>
    </xf>
    <xf numFmtId="1" fontId="0" fillId="3" borderId="51" xfId="0" applyNumberFormat="1" applyFill="1" applyBorder="1" applyAlignment="1">
      <alignment horizontal="center"/>
    </xf>
    <xf numFmtId="1" fontId="0" fillId="3" borderId="67" xfId="0" applyNumberFormat="1" applyFill="1" applyBorder="1" applyAlignment="1">
      <alignment horizontal="center"/>
    </xf>
    <xf numFmtId="1" fontId="0" fillId="3" borderId="206" xfId="0" applyNumberFormat="1" applyFill="1" applyBorder="1" applyAlignment="1">
      <alignment horizontal="center"/>
    </xf>
    <xf numFmtId="0" fontId="0" fillId="11" borderId="417" xfId="0" applyFill="1" applyBorder="1" applyAlignment="1">
      <alignment horizontal="center"/>
    </xf>
    <xf numFmtId="0" fontId="0" fillId="11" borderId="168" xfId="0" applyFill="1" applyBorder="1" applyAlignment="1">
      <alignment horizontal="center"/>
    </xf>
    <xf numFmtId="0" fontId="0" fillId="11" borderId="158" xfId="0" applyFill="1" applyBorder="1" applyAlignment="1">
      <alignment horizontal="center"/>
    </xf>
    <xf numFmtId="0" fontId="0" fillId="11" borderId="111" xfId="0" applyFill="1" applyBorder="1" applyAlignment="1">
      <alignment horizontal="center"/>
    </xf>
    <xf numFmtId="0" fontId="0" fillId="3" borderId="464" xfId="0" applyFill="1" applyBorder="1"/>
    <xf numFmtId="1" fontId="0" fillId="3" borderId="123" xfId="0" applyNumberFormat="1" applyFill="1" applyBorder="1" applyAlignment="1">
      <alignment horizontal="center"/>
    </xf>
    <xf numFmtId="0" fontId="0" fillId="3" borderId="191" xfId="0" applyFill="1" applyBorder="1" applyAlignment="1">
      <alignment horizontal="center"/>
    </xf>
    <xf numFmtId="0" fontId="0" fillId="3" borderId="478" xfId="0" applyFill="1" applyBorder="1"/>
    <xf numFmtId="0" fontId="0" fillId="3" borderId="418" xfId="0" applyFill="1" applyBorder="1"/>
    <xf numFmtId="0" fontId="0" fillId="3" borderId="418" xfId="0" applyFill="1" applyBorder="1" applyAlignment="1">
      <alignment horizontal="center"/>
    </xf>
    <xf numFmtId="0" fontId="0" fillId="3" borderId="419" xfId="0" applyFill="1" applyBorder="1" applyAlignment="1">
      <alignment horizontal="center"/>
    </xf>
    <xf numFmtId="0" fontId="0" fillId="11" borderId="420" xfId="0" applyFill="1" applyBorder="1" applyAlignment="1">
      <alignment horizontal="center"/>
    </xf>
    <xf numFmtId="0" fontId="0" fillId="11" borderId="194" xfId="0" applyFill="1" applyBorder="1" applyAlignment="1">
      <alignment horizontal="center"/>
    </xf>
    <xf numFmtId="0" fontId="0" fillId="11" borderId="190" xfId="0" applyFill="1" applyBorder="1" applyAlignment="1">
      <alignment horizontal="center"/>
    </xf>
    <xf numFmtId="0" fontId="0" fillId="11" borderId="196" xfId="0" applyFill="1" applyBorder="1" applyAlignment="1">
      <alignment horizontal="center"/>
    </xf>
    <xf numFmtId="0" fontId="0" fillId="2" borderId="382" xfId="0" applyFill="1" applyBorder="1"/>
    <xf numFmtId="0" fontId="0" fillId="0" borderId="17" xfId="1" applyNumberFormat="1" applyFont="1" applyBorder="1" applyAlignment="1">
      <alignment horizontal="center"/>
    </xf>
    <xf numFmtId="1" fontId="0" fillId="0" borderId="23" xfId="0" applyNumberFormat="1" applyBorder="1" applyAlignment="1">
      <alignment horizontal="center" vertical="center"/>
    </xf>
    <xf numFmtId="3" fontId="0" fillId="24" borderId="39" xfId="0" applyNumberFormat="1" applyFill="1" applyBorder="1" applyAlignment="1">
      <alignment horizontal="center"/>
    </xf>
    <xf numFmtId="0" fontId="0" fillId="16" borderId="147" xfId="0" applyFill="1" applyBorder="1" applyAlignment="1">
      <alignment horizontal="center"/>
    </xf>
    <xf numFmtId="0" fontId="0" fillId="27" borderId="120" xfId="0" applyFill="1" applyBorder="1" applyAlignment="1">
      <alignment horizontal="center"/>
    </xf>
    <xf numFmtId="0" fontId="0" fillId="27" borderId="33" xfId="0" applyFill="1" applyBorder="1" applyAlignment="1">
      <alignment horizontal="center"/>
    </xf>
    <xf numFmtId="0" fontId="2" fillId="27" borderId="36" xfId="0" applyFont="1" applyFill="1" applyBorder="1" applyAlignment="1">
      <alignment horizontal="center"/>
    </xf>
    <xf numFmtId="0" fontId="0" fillId="27" borderId="14" xfId="0" applyFill="1" applyBorder="1" applyAlignment="1">
      <alignment horizontal="center"/>
    </xf>
    <xf numFmtId="2" fontId="0" fillId="27" borderId="36" xfId="0" applyNumberFormat="1" applyFill="1" applyBorder="1" applyAlignment="1">
      <alignment horizontal="center"/>
    </xf>
    <xf numFmtId="0" fontId="0" fillId="27" borderId="121" xfId="0" applyFill="1" applyBorder="1" applyAlignment="1">
      <alignment horizontal="center"/>
    </xf>
    <xf numFmtId="0" fontId="0" fillId="27" borderId="52" xfId="0" applyFill="1" applyBorder="1" applyAlignment="1">
      <alignment horizontal="center"/>
    </xf>
    <xf numFmtId="3" fontId="0" fillId="27" borderId="120" xfId="0" applyNumberFormat="1" applyFill="1" applyBorder="1" applyAlignment="1">
      <alignment horizontal="center"/>
    </xf>
    <xf numFmtId="3" fontId="0" fillId="27" borderId="121" xfId="0" applyNumberFormat="1" applyFill="1" applyBorder="1" applyAlignment="1">
      <alignment horizontal="center"/>
    </xf>
    <xf numFmtId="3" fontId="0" fillId="27" borderId="14" xfId="0" applyNumberFormat="1" applyFill="1" applyBorder="1" applyAlignment="1">
      <alignment horizontal="center"/>
    </xf>
    <xf numFmtId="3" fontId="0" fillId="27" borderId="135" xfId="0" applyNumberFormat="1" applyFill="1" applyBorder="1" applyAlignment="1">
      <alignment horizontal="center"/>
    </xf>
    <xf numFmtId="3" fontId="0" fillId="27" borderId="17" xfId="0" applyNumberFormat="1" applyFill="1" applyBorder="1" applyAlignment="1">
      <alignment horizontal="center"/>
    </xf>
    <xf numFmtId="3" fontId="0" fillId="27" borderId="56" xfId="0" applyNumberFormat="1" applyFill="1" applyBorder="1" applyAlignment="1">
      <alignment horizontal="center"/>
    </xf>
    <xf numFmtId="3" fontId="0" fillId="27" borderId="132" xfId="0" applyNumberFormat="1" applyFill="1" applyBorder="1" applyAlignment="1">
      <alignment horizontal="center"/>
    </xf>
    <xf numFmtId="3" fontId="0" fillId="27" borderId="16" xfId="0" applyNumberFormat="1" applyFill="1" applyBorder="1" applyAlignment="1">
      <alignment horizontal="center"/>
    </xf>
    <xf numFmtId="3" fontId="0" fillId="27" borderId="18" xfId="0" applyNumberFormat="1" applyFill="1" applyBorder="1" applyAlignment="1">
      <alignment horizontal="center"/>
    </xf>
    <xf numFmtId="3" fontId="0" fillId="27" borderId="389" xfId="0" applyNumberFormat="1" applyFill="1" applyBorder="1" applyAlignment="1">
      <alignment horizontal="center"/>
    </xf>
    <xf numFmtId="3" fontId="0" fillId="27" borderId="16" xfId="0" applyNumberFormat="1" applyFill="1" applyBorder="1"/>
    <xf numFmtId="3" fontId="0" fillId="27" borderId="17" xfId="0" applyNumberFormat="1" applyFill="1" applyBorder="1"/>
    <xf numFmtId="3" fontId="0" fillId="27" borderId="55" xfId="0" applyNumberFormat="1" applyFill="1" applyBorder="1"/>
    <xf numFmtId="3" fontId="0" fillId="27" borderId="134" xfId="0" applyNumberFormat="1" applyFill="1" applyBorder="1"/>
    <xf numFmtId="3" fontId="0" fillId="27" borderId="211" xfId="0" applyNumberFormat="1" applyFill="1" applyBorder="1" applyAlignment="1">
      <alignment horizontal="center"/>
    </xf>
    <xf numFmtId="3" fontId="0" fillId="27" borderId="132" xfId="0" applyNumberFormat="1" applyFill="1" applyBorder="1"/>
    <xf numFmtId="3" fontId="0" fillId="27" borderId="135" xfId="0" applyNumberFormat="1" applyFill="1" applyBorder="1"/>
    <xf numFmtId="3" fontId="0" fillId="27" borderId="56" xfId="0" applyNumberFormat="1" applyFill="1" applyBorder="1"/>
    <xf numFmtId="3" fontId="0" fillId="27" borderId="136" xfId="0" applyNumberFormat="1" applyFill="1" applyBorder="1"/>
    <xf numFmtId="3" fontId="0" fillId="27" borderId="15" xfId="0" applyNumberFormat="1" applyFill="1" applyBorder="1"/>
    <xf numFmtId="3" fontId="0" fillId="27" borderId="18" xfId="0" applyNumberFormat="1" applyFill="1" applyBorder="1"/>
    <xf numFmtId="3" fontId="0" fillId="27" borderId="251" xfId="0" applyNumberFormat="1" applyFill="1" applyBorder="1" applyAlignment="1">
      <alignment horizontal="center" vertical="center"/>
    </xf>
    <xf numFmtId="3" fontId="0" fillId="27" borderId="57" xfId="0" applyNumberFormat="1" applyFill="1" applyBorder="1"/>
    <xf numFmtId="3" fontId="0" fillId="27" borderId="116" xfId="0" applyNumberFormat="1" applyFill="1" applyBorder="1"/>
    <xf numFmtId="0" fontId="0" fillId="27" borderId="0" xfId="0" applyFill="1"/>
    <xf numFmtId="3" fontId="0" fillId="27" borderId="0" xfId="0" applyNumberFormat="1" applyFill="1"/>
    <xf numFmtId="0" fontId="0" fillId="27" borderId="439" xfId="0" applyFill="1" applyBorder="1" applyAlignment="1">
      <alignment horizontal="center"/>
    </xf>
    <xf numFmtId="0" fontId="2" fillId="27" borderId="40" xfId="0" applyFont="1" applyFill="1" applyBorder="1" applyAlignment="1">
      <alignment horizontal="center"/>
    </xf>
    <xf numFmtId="0" fontId="0" fillId="27" borderId="21" xfId="0" applyFill="1" applyBorder="1" applyAlignment="1">
      <alignment horizontal="center"/>
    </xf>
    <xf numFmtId="2" fontId="0" fillId="27" borderId="39" xfId="0" applyNumberFormat="1" applyFill="1" applyBorder="1" applyAlignment="1">
      <alignment horizontal="center"/>
    </xf>
    <xf numFmtId="1" fontId="0" fillId="27" borderId="58" xfId="0" applyNumberFormat="1" applyFill="1" applyBorder="1" applyAlignment="1">
      <alignment horizontal="center"/>
    </xf>
    <xf numFmtId="1" fontId="0" fillId="27" borderId="21" xfId="0" applyNumberFormat="1" applyFill="1" applyBorder="1" applyAlignment="1">
      <alignment horizontal="center"/>
    </xf>
    <xf numFmtId="0" fontId="0" fillId="27" borderId="58" xfId="0" applyFill="1" applyBorder="1" applyAlignment="1">
      <alignment horizontal="center"/>
    </xf>
    <xf numFmtId="3" fontId="0" fillId="27" borderId="21" xfId="0" applyNumberFormat="1" applyFill="1" applyBorder="1" applyAlignment="1">
      <alignment horizontal="center"/>
    </xf>
    <xf numFmtId="3" fontId="0" fillId="27" borderId="58" xfId="0" applyNumberFormat="1" applyFill="1" applyBorder="1" applyAlignment="1">
      <alignment horizontal="center"/>
    </xf>
    <xf numFmtId="3" fontId="0" fillId="27" borderId="205" xfId="0" applyNumberFormat="1" applyFill="1" applyBorder="1" applyAlignment="1">
      <alignment horizontal="center"/>
    </xf>
    <xf numFmtId="3" fontId="0" fillId="27" borderId="23" xfId="0" applyNumberFormat="1" applyFill="1" applyBorder="1" applyAlignment="1">
      <alignment horizontal="center"/>
    </xf>
    <xf numFmtId="3" fontId="0" fillId="27" borderId="156" xfId="0" applyNumberFormat="1" applyFill="1" applyBorder="1" applyAlignment="1">
      <alignment horizontal="center"/>
    </xf>
    <xf numFmtId="3" fontId="0" fillId="27" borderId="22" xfId="0" applyNumberFormat="1" applyFill="1" applyBorder="1" applyAlignment="1">
      <alignment horizontal="center"/>
    </xf>
    <xf numFmtId="3" fontId="0" fillId="27" borderId="24" xfId="0" applyNumberFormat="1" applyFill="1" applyBorder="1" applyAlignment="1">
      <alignment horizontal="center"/>
    </xf>
    <xf numFmtId="3" fontId="0" fillId="27" borderId="388" xfId="0" applyNumberFormat="1" applyFill="1" applyBorder="1" applyAlignment="1">
      <alignment horizontal="center"/>
    </xf>
    <xf numFmtId="3" fontId="0" fillId="27" borderId="22" xfId="0" applyNumberFormat="1" applyFill="1" applyBorder="1"/>
    <xf numFmtId="3" fontId="0" fillId="27" borderId="23" xfId="0" applyNumberFormat="1" applyFill="1" applyBorder="1"/>
    <xf numFmtId="3" fontId="0" fillId="27" borderId="155" xfId="0" applyNumberFormat="1" applyFill="1" applyBorder="1"/>
    <xf numFmtId="3" fontId="0" fillId="27" borderId="157" xfId="0" applyNumberFormat="1" applyFill="1" applyBorder="1" applyAlignment="1">
      <alignment horizontal="center"/>
    </xf>
    <xf numFmtId="3" fontId="0" fillId="27" borderId="156" xfId="0" applyNumberFormat="1" applyFill="1" applyBorder="1"/>
    <xf numFmtId="3" fontId="0" fillId="27" borderId="205" xfId="0" applyNumberFormat="1" applyFill="1" applyBorder="1"/>
    <xf numFmtId="3" fontId="0" fillId="27" borderId="58" xfId="0" applyNumberFormat="1" applyFill="1" applyBorder="1"/>
    <xf numFmtId="3" fontId="0" fillId="27" borderId="157" xfId="0" applyNumberFormat="1" applyFill="1" applyBorder="1"/>
    <xf numFmtId="3" fontId="0" fillId="27" borderId="21" xfId="0" applyNumberFormat="1" applyFill="1" applyBorder="1"/>
    <xf numFmtId="3" fontId="0" fillId="27" borderId="24" xfId="0" applyNumberFormat="1" applyFill="1" applyBorder="1"/>
    <xf numFmtId="0" fontId="0" fillId="0" borderId="120" xfId="0" applyBorder="1" applyAlignment="1">
      <alignment horizontal="center"/>
    </xf>
    <xf numFmtId="0" fontId="0" fillId="0" borderId="439" xfId="0" applyBorder="1" applyAlignment="1">
      <alignment horizontal="center"/>
    </xf>
    <xf numFmtId="0" fontId="0" fillId="28" borderId="21" xfId="0" applyFill="1" applyBorder="1" applyAlignment="1">
      <alignment horizontal="center"/>
    </xf>
    <xf numFmtId="3" fontId="0" fillId="24" borderId="114" xfId="0" applyNumberFormat="1" applyFill="1" applyBorder="1" applyAlignment="1">
      <alignment horizontal="center"/>
    </xf>
    <xf numFmtId="0" fontId="0" fillId="0" borderId="14" xfId="0" applyBorder="1" applyAlignment="1">
      <alignment horizontal="center"/>
    </xf>
    <xf numFmtId="0" fontId="2" fillId="0" borderId="146" xfId="0" applyFont="1" applyBorder="1" applyAlignment="1">
      <alignment horizontal="center"/>
    </xf>
    <xf numFmtId="166" fontId="0" fillId="0" borderId="159" xfId="0" applyNumberFormat="1" applyBorder="1" applyAlignment="1">
      <alignment horizontal="center"/>
    </xf>
    <xf numFmtId="166" fontId="9" fillId="0" borderId="159" xfId="0" applyNumberFormat="1" applyFont="1" applyBorder="1" applyAlignment="1">
      <alignment horizontal="center"/>
    </xf>
    <xf numFmtId="1" fontId="0" fillId="0" borderId="227" xfId="0" applyNumberFormat="1" applyBorder="1" applyAlignment="1">
      <alignment horizontal="center"/>
    </xf>
    <xf numFmtId="3" fontId="0" fillId="0" borderId="416" xfId="0" applyNumberFormat="1" applyBorder="1" applyAlignment="1">
      <alignment horizontal="center"/>
    </xf>
    <xf numFmtId="3" fontId="0" fillId="0" borderId="164" xfId="0" applyNumberFormat="1" applyBorder="1"/>
    <xf numFmtId="3" fontId="0" fillId="0" borderId="144" xfId="0" applyNumberFormat="1" applyBorder="1"/>
    <xf numFmtId="0" fontId="0" fillId="26" borderId="14" xfId="0" applyFill="1" applyBorder="1" applyAlignment="1">
      <alignment horizontal="center"/>
    </xf>
    <xf numFmtId="0" fontId="0" fillId="26" borderId="149" xfId="0" applyFill="1" applyBorder="1" applyAlignment="1">
      <alignment horizontal="center"/>
    </xf>
    <xf numFmtId="0" fontId="2" fillId="26" borderId="133" xfId="0" applyFont="1" applyFill="1" applyBorder="1" applyAlignment="1">
      <alignment horizontal="center"/>
    </xf>
    <xf numFmtId="0" fontId="0" fillId="26" borderId="133" xfId="0" applyFill="1" applyBorder="1" applyAlignment="1">
      <alignment horizontal="center"/>
    </xf>
    <xf numFmtId="166" fontId="0" fillId="26" borderId="134" xfId="0" applyNumberFormat="1" applyFill="1" applyBorder="1" applyAlignment="1">
      <alignment horizontal="center"/>
    </xf>
    <xf numFmtId="166" fontId="9" fillId="26" borderId="134" xfId="0" applyNumberFormat="1" applyFont="1" applyFill="1" applyBorder="1" applyAlignment="1">
      <alignment horizontal="center"/>
    </xf>
    <xf numFmtId="1" fontId="0" fillId="26" borderId="135" xfId="0" applyNumberFormat="1" applyFill="1" applyBorder="1" applyAlignment="1">
      <alignment horizontal="center"/>
    </xf>
    <xf numFmtId="0" fontId="0" fillId="26" borderId="150" xfId="0" applyFill="1" applyBorder="1" applyAlignment="1">
      <alignment horizontal="center"/>
    </xf>
    <xf numFmtId="3" fontId="0" fillId="26" borderId="80" xfId="0" applyNumberFormat="1" applyFill="1" applyBorder="1" applyAlignment="1">
      <alignment horizontal="center"/>
    </xf>
    <xf numFmtId="3" fontId="0" fillId="26" borderId="79" xfId="0" applyNumberFormat="1" applyFill="1" applyBorder="1" applyAlignment="1">
      <alignment horizontal="center"/>
    </xf>
    <xf numFmtId="3" fontId="0" fillId="26" borderId="135" xfId="0" applyNumberFormat="1" applyFill="1" applyBorder="1" applyAlignment="1">
      <alignment horizontal="center"/>
    </xf>
    <xf numFmtId="3" fontId="0" fillId="26" borderId="17" xfId="0" applyNumberFormat="1" applyFill="1" applyBorder="1" applyAlignment="1">
      <alignment horizontal="center"/>
    </xf>
    <xf numFmtId="3" fontId="0" fillId="26" borderId="56" xfId="0" applyNumberFormat="1" applyFill="1" applyBorder="1" applyAlignment="1">
      <alignment horizontal="center"/>
    </xf>
    <xf numFmtId="3" fontId="0" fillId="26" borderId="132" xfId="0" applyNumberFormat="1" applyFill="1" applyBorder="1" applyAlignment="1">
      <alignment horizontal="center"/>
    </xf>
    <xf numFmtId="3" fontId="0" fillId="26" borderId="16" xfId="0" applyNumberFormat="1" applyFill="1" applyBorder="1"/>
    <xf numFmtId="3" fontId="0" fillId="26" borderId="17" xfId="0" applyNumberFormat="1" applyFill="1" applyBorder="1"/>
    <xf numFmtId="3" fontId="0" fillId="26" borderId="18" xfId="0" applyNumberFormat="1" applyFill="1" applyBorder="1" applyAlignment="1">
      <alignment horizontal="center"/>
    </xf>
    <xf numFmtId="3" fontId="0" fillId="26" borderId="389" xfId="0" applyNumberFormat="1" applyFill="1" applyBorder="1" applyAlignment="1">
      <alignment horizontal="center"/>
    </xf>
    <xf numFmtId="3" fontId="0" fillId="26" borderId="16" xfId="0" applyNumberFormat="1" applyFill="1" applyBorder="1" applyAlignment="1">
      <alignment horizontal="center"/>
    </xf>
    <xf numFmtId="3" fontId="0" fillId="26" borderId="136" xfId="0" applyNumberFormat="1" applyFill="1" applyBorder="1" applyAlignment="1">
      <alignment horizontal="center"/>
    </xf>
    <xf numFmtId="3" fontId="0" fillId="26" borderId="134" xfId="0" applyNumberFormat="1" applyFill="1" applyBorder="1" applyAlignment="1">
      <alignment horizontal="center"/>
    </xf>
    <xf numFmtId="3" fontId="0" fillId="26" borderId="148" xfId="0" applyNumberFormat="1" applyFill="1" applyBorder="1"/>
    <xf numFmtId="3" fontId="0" fillId="26" borderId="81" xfId="0" applyNumberFormat="1" applyFill="1" applyBorder="1"/>
    <xf numFmtId="3" fontId="0" fillId="26" borderId="267" xfId="0" applyNumberFormat="1" applyFill="1" applyBorder="1"/>
    <xf numFmtId="0" fontId="0" fillId="26" borderId="0" xfId="0" applyFill="1"/>
    <xf numFmtId="3" fontId="0" fillId="26" borderId="0" xfId="0" applyNumberFormat="1" applyFill="1"/>
    <xf numFmtId="0" fontId="0" fillId="0" borderId="165" xfId="0" applyBorder="1" applyAlignment="1">
      <alignment horizontal="center"/>
    </xf>
    <xf numFmtId="0" fontId="0" fillId="26" borderId="165" xfId="0" applyFill="1" applyBorder="1" applyAlignment="1">
      <alignment horizontal="center"/>
    </xf>
    <xf numFmtId="0" fontId="0" fillId="26" borderId="132" xfId="0" applyFill="1" applyBorder="1" applyAlignment="1">
      <alignment horizontal="center"/>
    </xf>
    <xf numFmtId="3" fontId="0" fillId="26" borderId="103" xfId="0" applyNumberFormat="1" applyFill="1" applyBorder="1" applyAlignment="1">
      <alignment horizontal="center"/>
    </xf>
    <xf numFmtId="3" fontId="0" fillId="26" borderId="153" xfId="0" applyNumberFormat="1" applyFill="1" applyBorder="1"/>
    <xf numFmtId="0" fontId="0" fillId="0" borderId="65" xfId="0" applyBorder="1"/>
    <xf numFmtId="0" fontId="0" fillId="0" borderId="168" xfId="0" applyBorder="1" applyAlignment="1">
      <alignment horizontal="center"/>
    </xf>
    <xf numFmtId="0" fontId="0" fillId="0" borderId="170" xfId="0" applyBorder="1" applyAlignment="1">
      <alignment horizontal="center"/>
    </xf>
    <xf numFmtId="0" fontId="0" fillId="26" borderId="170" xfId="0" applyFill="1" applyBorder="1" applyAlignment="1">
      <alignment horizontal="center"/>
    </xf>
    <xf numFmtId="0" fontId="0" fillId="26" borderId="151" xfId="0" applyFill="1" applyBorder="1" applyAlignment="1">
      <alignment horizontal="center"/>
    </xf>
    <xf numFmtId="0" fontId="2" fillId="26" borderId="150" xfId="0" applyFont="1" applyFill="1" applyBorder="1" applyAlignment="1">
      <alignment horizontal="center"/>
    </xf>
    <xf numFmtId="166" fontId="0" fillId="26" borderId="150" xfId="0" applyNumberFormat="1" applyFill="1" applyBorder="1" applyAlignment="1">
      <alignment horizontal="center"/>
    </xf>
    <xf numFmtId="1" fontId="0" fillId="26" borderId="269" xfId="0" applyNumberFormat="1" applyFill="1" applyBorder="1" applyAlignment="1">
      <alignment horizontal="center"/>
    </xf>
    <xf numFmtId="3" fontId="0" fillId="26" borderId="269" xfId="0" applyNumberFormat="1" applyFill="1" applyBorder="1" applyAlignment="1">
      <alignment horizontal="center"/>
    </xf>
    <xf numFmtId="3" fontId="0" fillId="26" borderId="100" xfId="0" applyNumberFormat="1" applyFill="1" applyBorder="1" applyAlignment="1">
      <alignment horizontal="center"/>
    </xf>
    <xf numFmtId="3" fontId="0" fillId="26" borderId="98" xfId="0" applyNumberFormat="1" applyFill="1" applyBorder="1" applyAlignment="1">
      <alignment horizontal="center"/>
    </xf>
    <xf numFmtId="3" fontId="0" fillId="26" borderId="151" xfId="0" applyNumberFormat="1" applyFill="1" applyBorder="1" applyAlignment="1">
      <alignment horizontal="center"/>
    </xf>
    <xf numFmtId="3" fontId="0" fillId="26" borderId="99" xfId="0" applyNumberFormat="1" applyFill="1" applyBorder="1"/>
    <xf numFmtId="3" fontId="0" fillId="26" borderId="100" xfId="0" applyNumberFormat="1" applyFill="1" applyBorder="1"/>
    <xf numFmtId="3" fontId="0" fillId="26" borderId="102" xfId="0" applyNumberFormat="1" applyFill="1" applyBorder="1" applyAlignment="1">
      <alignment horizontal="center"/>
    </xf>
    <xf numFmtId="3" fontId="0" fillId="26" borderId="415" xfId="0" applyNumberFormat="1" applyFill="1" applyBorder="1" applyAlignment="1">
      <alignment horizontal="center"/>
    </xf>
    <xf numFmtId="3" fontId="0" fillId="26" borderId="99" xfId="0" applyNumberFormat="1" applyFill="1" applyBorder="1" applyAlignment="1">
      <alignment horizontal="center"/>
    </xf>
    <xf numFmtId="3" fontId="0" fillId="26" borderId="152" xfId="0" applyNumberFormat="1" applyFill="1" applyBorder="1" applyAlignment="1">
      <alignment horizontal="center"/>
    </xf>
    <xf numFmtId="3" fontId="0" fillId="26" borderId="149" xfId="0" applyNumberFormat="1" applyFill="1" applyBorder="1" applyAlignment="1">
      <alignment horizontal="center"/>
    </xf>
    <xf numFmtId="3" fontId="0" fillId="26" borderId="154" xfId="0" applyNumberFormat="1" applyFill="1" applyBorder="1"/>
    <xf numFmtId="3" fontId="0" fillId="24" borderId="84" xfId="0" applyNumberFormat="1" applyFill="1" applyBorder="1" applyAlignment="1">
      <alignment horizontal="center"/>
    </xf>
    <xf numFmtId="3" fontId="0" fillId="24" borderId="40" xfId="0" applyNumberFormat="1" applyFill="1" applyBorder="1" applyAlignment="1">
      <alignment horizontal="center"/>
    </xf>
    <xf numFmtId="0" fontId="18" fillId="0" borderId="0" xfId="0" applyFont="1"/>
    <xf numFmtId="0" fontId="19" fillId="0" borderId="0" xfId="0" applyFont="1"/>
    <xf numFmtId="0" fontId="2" fillId="0" borderId="0" xfId="0" applyFont="1"/>
    <xf numFmtId="0" fontId="6" fillId="0" borderId="0" xfId="0" applyFont="1"/>
    <xf numFmtId="0" fontId="18" fillId="0" borderId="90" xfId="0" applyFont="1" applyBorder="1"/>
    <xf numFmtId="0" fontId="18" fillId="0" borderId="52" xfId="0" applyFont="1" applyBorder="1" applyAlignment="1">
      <alignment horizontal="center"/>
    </xf>
    <xf numFmtId="0" fontId="18" fillId="18" borderId="52" xfId="0" applyFont="1" applyFill="1" applyBorder="1" applyAlignment="1">
      <alignment horizontal="center"/>
    </xf>
    <xf numFmtId="0" fontId="21" fillId="0" borderId="482" xfId="0" applyFont="1" applyBorder="1" applyAlignment="1">
      <alignment horizontal="center"/>
    </xf>
    <xf numFmtId="0" fontId="21" fillId="18" borderId="483" xfId="0" applyFont="1" applyFill="1" applyBorder="1" applyAlignment="1">
      <alignment horizontal="center"/>
    </xf>
    <xf numFmtId="0" fontId="21" fillId="0" borderId="484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3" xfId="0" applyFont="1" applyBorder="1" applyAlignment="1">
      <alignment horizontal="center"/>
    </xf>
    <xf numFmtId="0" fontId="18" fillId="0" borderId="11" xfId="0" applyFont="1" applyBorder="1"/>
    <xf numFmtId="0" fontId="18" fillId="0" borderId="12" xfId="0" applyFont="1" applyBorder="1" applyAlignment="1">
      <alignment horizontal="center"/>
    </xf>
    <xf numFmtId="0" fontId="18" fillId="18" borderId="13" xfId="0" applyFont="1" applyFill="1" applyBorder="1" applyAlignment="1">
      <alignment horizontal="center"/>
    </xf>
    <xf numFmtId="0" fontId="18" fillId="0" borderId="0" xfId="0" applyFont="1" applyAlignment="1">
      <alignment horizontal="center"/>
    </xf>
    <xf numFmtId="0" fontId="21" fillId="18" borderId="485" xfId="0" applyFont="1" applyFill="1" applyBorder="1" applyAlignment="1">
      <alignment horizontal="center"/>
    </xf>
    <xf numFmtId="0" fontId="18" fillId="0" borderId="485" xfId="0" applyFont="1" applyBorder="1" applyAlignment="1">
      <alignment horizontal="center"/>
    </xf>
    <xf numFmtId="0" fontId="21" fillId="0" borderId="0" xfId="0" applyFont="1" applyAlignment="1">
      <alignment horizontal="center"/>
    </xf>
    <xf numFmtId="0" fontId="18" fillId="0" borderId="1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36" xfId="0" applyFont="1" applyBorder="1" applyAlignment="1">
      <alignment horizontal="center"/>
    </xf>
    <xf numFmtId="0" fontId="18" fillId="0" borderId="55" xfId="0" applyFont="1" applyBorder="1" applyAlignment="1">
      <alignment horizontal="center"/>
    </xf>
    <xf numFmtId="0" fontId="18" fillId="0" borderId="26" xfId="0" applyFont="1" applyBorder="1"/>
    <xf numFmtId="0" fontId="18" fillId="0" borderId="23" xfId="0" applyFont="1" applyBorder="1" applyAlignment="1">
      <alignment horizontal="center"/>
    </xf>
    <xf numFmtId="0" fontId="18" fillId="18" borderId="25" xfId="0" applyFont="1" applyFill="1" applyBorder="1" applyAlignment="1">
      <alignment horizontal="center"/>
    </xf>
    <xf numFmtId="0" fontId="18" fillId="0" borderId="26" xfId="0" applyFont="1" applyBorder="1" applyAlignment="1">
      <alignment horizontal="center"/>
    </xf>
    <xf numFmtId="0" fontId="18" fillId="0" borderId="25" xfId="0" applyFont="1" applyBorder="1" applyAlignment="1">
      <alignment horizontal="center"/>
    </xf>
    <xf numFmtId="0" fontId="18" fillId="0" borderId="39" xfId="0" applyFont="1" applyBorder="1" applyAlignment="1">
      <alignment horizontal="center"/>
    </xf>
    <xf numFmtId="0" fontId="18" fillId="0" borderId="22" xfId="0" applyFont="1" applyBorder="1" applyAlignment="1">
      <alignment horizontal="center"/>
    </xf>
    <xf numFmtId="0" fontId="18" fillId="0" borderId="23" xfId="0" applyFont="1" applyBorder="1"/>
    <xf numFmtId="0" fontId="18" fillId="0" borderId="39" xfId="0" applyFont="1" applyBorder="1"/>
    <xf numFmtId="0" fontId="18" fillId="0" borderId="22" xfId="0" applyFont="1" applyBorder="1"/>
    <xf numFmtId="0" fontId="18" fillId="0" borderId="27" xfId="0" applyFont="1" applyBorder="1"/>
    <xf numFmtId="0" fontId="18" fillId="0" borderId="28" xfId="0" applyFont="1" applyBorder="1" applyAlignment="1">
      <alignment horizontal="center"/>
    </xf>
    <xf numFmtId="0" fontId="18" fillId="18" borderId="89" xfId="0" applyFont="1" applyFill="1" applyBorder="1" applyAlignment="1">
      <alignment horizontal="center"/>
    </xf>
    <xf numFmtId="0" fontId="18" fillId="0" borderId="27" xfId="0" applyFont="1" applyBorder="1" applyAlignment="1">
      <alignment horizontal="center"/>
    </xf>
    <xf numFmtId="0" fontId="18" fillId="0" borderId="30" xfId="0" applyFont="1" applyBorder="1" applyAlignment="1">
      <alignment horizontal="center"/>
    </xf>
    <xf numFmtId="0" fontId="18" fillId="0" borderId="45" xfId="0" applyFont="1" applyBorder="1" applyAlignment="1">
      <alignment horizontal="center"/>
    </xf>
    <xf numFmtId="0" fontId="18" fillId="0" borderId="115" xfId="0" applyFont="1" applyBorder="1" applyAlignment="1">
      <alignment horizontal="center"/>
    </xf>
    <xf numFmtId="0" fontId="18" fillId="0" borderId="31" xfId="0" applyFont="1" applyBorder="1"/>
    <xf numFmtId="0" fontId="18" fillId="0" borderId="41" xfId="0" applyFont="1" applyBorder="1" applyAlignment="1">
      <alignment horizontal="center"/>
    </xf>
    <xf numFmtId="0" fontId="18" fillId="18" borderId="2" xfId="0" applyFont="1" applyFill="1" applyBorder="1" applyAlignment="1">
      <alignment horizontal="center"/>
    </xf>
    <xf numFmtId="0" fontId="18" fillId="0" borderId="486" xfId="0" applyFont="1" applyBorder="1" applyAlignment="1">
      <alignment horizontal="center"/>
    </xf>
    <xf numFmtId="0" fontId="18" fillId="18" borderId="487" xfId="0" applyFont="1" applyFill="1" applyBorder="1" applyAlignment="1">
      <alignment horizontal="center"/>
    </xf>
    <xf numFmtId="0" fontId="18" fillId="0" borderId="78" xfId="0" applyFont="1" applyBorder="1" applyAlignment="1">
      <alignment horizontal="center"/>
    </xf>
    <xf numFmtId="0" fontId="18" fillId="0" borderId="488" xfId="0" applyFont="1" applyBorder="1" applyAlignment="1">
      <alignment horizontal="center"/>
    </xf>
    <xf numFmtId="0" fontId="18" fillId="0" borderId="83" xfId="0" applyFont="1" applyBorder="1" applyAlignment="1">
      <alignment horizontal="center"/>
    </xf>
    <xf numFmtId="0" fontId="18" fillId="0" borderId="32" xfId="0" applyFont="1" applyBorder="1" applyAlignment="1">
      <alignment horizontal="center"/>
    </xf>
    <xf numFmtId="0" fontId="19" fillId="0" borderId="32" xfId="0" applyFont="1" applyBorder="1" applyAlignment="1">
      <alignment horizontal="center"/>
    </xf>
    <xf numFmtId="0" fontId="19" fillId="0" borderId="83" xfId="0" applyFont="1" applyBorder="1" applyAlignment="1">
      <alignment horizontal="center"/>
    </xf>
    <xf numFmtId="0" fontId="18" fillId="18" borderId="0" xfId="0" applyFont="1" applyFill="1" applyAlignment="1">
      <alignment horizontal="center"/>
    </xf>
    <xf numFmtId="0" fontId="19" fillId="0" borderId="0" xfId="0" applyFont="1" applyAlignment="1">
      <alignment horizontal="center"/>
    </xf>
    <xf numFmtId="0" fontId="18" fillId="0" borderId="479" xfId="0" applyFont="1" applyBorder="1" applyAlignment="1">
      <alignment horizontal="center"/>
    </xf>
    <xf numFmtId="0" fontId="18" fillId="18" borderId="479" xfId="0" applyFont="1" applyFill="1" applyBorder="1" applyAlignment="1">
      <alignment horizontal="center"/>
    </xf>
    <xf numFmtId="0" fontId="21" fillId="0" borderId="481" xfId="0" applyFont="1" applyBorder="1" applyAlignment="1">
      <alignment horizontal="center"/>
    </xf>
    <xf numFmtId="0" fontId="19" fillId="0" borderId="25" xfId="0" applyFont="1" applyBorder="1" applyAlignment="1">
      <alignment horizontal="center"/>
    </xf>
    <xf numFmtId="0" fontId="21" fillId="0" borderId="489" xfId="0" applyFont="1" applyBorder="1" applyAlignment="1">
      <alignment horizontal="center"/>
    </xf>
    <xf numFmtId="0" fontId="18" fillId="18" borderId="31" xfId="0" applyFont="1" applyFill="1" applyBorder="1" applyAlignment="1">
      <alignment horizontal="center"/>
    </xf>
    <xf numFmtId="0" fontId="18" fillId="18" borderId="490" xfId="0" applyFont="1" applyFill="1" applyBorder="1" applyAlignment="1">
      <alignment horizontal="center"/>
    </xf>
    <xf numFmtId="0" fontId="18" fillId="0" borderId="480" xfId="0" applyFont="1" applyBorder="1" applyAlignment="1">
      <alignment horizontal="center"/>
    </xf>
    <xf numFmtId="0" fontId="18" fillId="0" borderId="24" xfId="0" applyFont="1" applyBorder="1" applyAlignment="1">
      <alignment horizontal="center"/>
    </xf>
    <xf numFmtId="0" fontId="21" fillId="0" borderId="49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0" fillId="0" borderId="33" xfId="0" applyBorder="1"/>
    <xf numFmtId="0" fontId="0" fillId="23" borderId="0" xfId="0" applyFill="1"/>
    <xf numFmtId="0" fontId="2" fillId="23" borderId="1" xfId="0" applyFont="1" applyFill="1" applyBorder="1"/>
    <xf numFmtId="0" fontId="2" fillId="23" borderId="305" xfId="0" applyFont="1" applyFill="1" applyBorder="1"/>
    <xf numFmtId="0" fontId="2" fillId="23" borderId="282" xfId="0" applyFont="1" applyFill="1" applyBorder="1"/>
    <xf numFmtId="43" fontId="0" fillId="0" borderId="432" xfId="2" applyFont="1" applyFill="1" applyBorder="1"/>
    <xf numFmtId="43" fontId="0" fillId="0" borderId="56" xfId="2" applyFont="1" applyFill="1" applyBorder="1"/>
    <xf numFmtId="43" fontId="0" fillId="0" borderId="16" xfId="2" applyFont="1" applyFill="1" applyBorder="1"/>
    <xf numFmtId="43" fontId="0" fillId="0" borderId="113" xfId="2" applyFont="1" applyFill="1" applyBorder="1"/>
    <xf numFmtId="43" fontId="0" fillId="0" borderId="15" xfId="2" applyFont="1" applyFill="1" applyBorder="1"/>
    <xf numFmtId="43" fontId="0" fillId="0" borderId="433" xfId="2" applyFont="1" applyFill="1" applyBorder="1"/>
    <xf numFmtId="43" fontId="0" fillId="0" borderId="428" xfId="2" applyFont="1" applyFill="1" applyBorder="1"/>
    <xf numFmtId="43" fontId="2" fillId="0" borderId="41" xfId="0" applyNumberFormat="1" applyFont="1" applyBorder="1"/>
    <xf numFmtId="43" fontId="2" fillId="0" borderId="452" xfId="2" applyFont="1" applyFill="1" applyBorder="1"/>
    <xf numFmtId="43" fontId="2" fillId="0" borderId="453" xfId="2" applyFont="1" applyFill="1" applyBorder="1"/>
    <xf numFmtId="43" fontId="2" fillId="0" borderId="451" xfId="2" applyFont="1" applyFill="1" applyBorder="1"/>
    <xf numFmtId="43" fontId="2" fillId="0" borderId="493" xfId="0" applyNumberFormat="1" applyFont="1" applyBorder="1"/>
    <xf numFmtId="0" fontId="2" fillId="22" borderId="347" xfId="0" applyFont="1" applyFill="1" applyBorder="1"/>
    <xf numFmtId="0" fontId="2" fillId="22" borderId="288" xfId="0" applyFont="1" applyFill="1" applyBorder="1"/>
    <xf numFmtId="0" fontId="2" fillId="22" borderId="282" xfId="0" applyFont="1" applyFill="1" applyBorder="1"/>
    <xf numFmtId="43" fontId="2" fillId="0" borderId="57" xfId="0" applyNumberFormat="1" applyFont="1" applyBorder="1"/>
    <xf numFmtId="0" fontId="2" fillId="22" borderId="2" xfId="0" applyFont="1" applyFill="1" applyBorder="1"/>
    <xf numFmtId="43" fontId="2" fillId="0" borderId="1" xfId="2" applyFont="1" applyFill="1" applyBorder="1"/>
    <xf numFmtId="0" fontId="0" fillId="0" borderId="494" xfId="0" applyBorder="1"/>
    <xf numFmtId="0" fontId="2" fillId="23" borderId="357" xfId="0" applyFont="1" applyFill="1" applyBorder="1"/>
    <xf numFmtId="0" fontId="0" fillId="23" borderId="357" xfId="0" applyFill="1" applyBorder="1"/>
    <xf numFmtId="43" fontId="0" fillId="0" borderId="427" xfId="2" applyFont="1" applyFill="1" applyBorder="1"/>
    <xf numFmtId="43" fontId="0" fillId="0" borderId="496" xfId="2" applyFont="1" applyFill="1" applyBorder="1"/>
    <xf numFmtId="43" fontId="0" fillId="0" borderId="425" xfId="2" applyFont="1" applyFill="1" applyBorder="1"/>
    <xf numFmtId="0" fontId="2" fillId="23" borderId="2" xfId="0" applyFont="1" applyFill="1" applyBorder="1"/>
    <xf numFmtId="43" fontId="0" fillId="0" borderId="53" xfId="2" applyFont="1" applyFill="1" applyBorder="1"/>
    <xf numFmtId="43" fontId="0" fillId="0" borderId="497" xfId="2" applyFont="1" applyFill="1" applyBorder="1"/>
    <xf numFmtId="43" fontId="0" fillId="0" borderId="312" xfId="2" applyFont="1" applyFill="1" applyBorder="1"/>
    <xf numFmtId="43" fontId="0" fillId="0" borderId="1" xfId="2" applyFont="1" applyFill="1" applyBorder="1"/>
    <xf numFmtId="43" fontId="2" fillId="29" borderId="41" xfId="0" applyNumberFormat="1" applyFont="1" applyFill="1" applyBorder="1"/>
    <xf numFmtId="164" fontId="2" fillId="0" borderId="57" xfId="0" applyNumberFormat="1" applyFont="1" applyBorder="1"/>
    <xf numFmtId="43" fontId="0" fillId="30" borderId="0" xfId="0" applyNumberFormat="1" applyFill="1"/>
    <xf numFmtId="0" fontId="2" fillId="0" borderId="0" xfId="0" applyFont="1" applyAlignment="1">
      <alignment horizontal="center"/>
    </xf>
    <xf numFmtId="0" fontId="23" fillId="0" borderId="11" xfId="3" applyFont="1" applyBorder="1" applyAlignment="1">
      <alignment wrapText="1" readingOrder="1"/>
    </xf>
    <xf numFmtId="43" fontId="24" fillId="0" borderId="12" xfId="1" applyFont="1" applyFill="1" applyBorder="1" applyAlignment="1">
      <alignment horizontal="center" vertical="center" wrapText="1" readingOrder="1"/>
    </xf>
    <xf numFmtId="43" fontId="24" fillId="0" borderId="343" xfId="1" applyFont="1" applyFill="1" applyBorder="1" applyAlignment="1">
      <alignment horizontal="center" vertical="center" wrapText="1" readingOrder="1"/>
    </xf>
    <xf numFmtId="43" fontId="24" fillId="3" borderId="0" xfId="1" applyFont="1" applyFill="1" applyBorder="1" applyAlignment="1">
      <alignment horizontal="center" vertical="center" wrapText="1" readingOrder="1"/>
    </xf>
    <xf numFmtId="0" fontId="23" fillId="0" borderId="27" xfId="3" applyFont="1" applyBorder="1" applyAlignment="1">
      <alignment wrapText="1" readingOrder="1"/>
    </xf>
    <xf numFmtId="43" fontId="24" fillId="0" borderId="28" xfId="1" applyFont="1" applyFill="1" applyBorder="1" applyAlignment="1">
      <alignment horizontal="center" vertical="center" wrapText="1" readingOrder="1"/>
    </xf>
    <xf numFmtId="43" fontId="24" fillId="0" borderId="29" xfId="1" applyFont="1" applyFill="1" applyBorder="1" applyAlignment="1">
      <alignment horizontal="center" vertical="center" wrapText="1" readingOrder="1"/>
    </xf>
    <xf numFmtId="43" fontId="24" fillId="3" borderId="31" xfId="1" applyFont="1" applyFill="1" applyBorder="1" applyAlignment="1">
      <alignment horizontal="center" vertical="center" wrapText="1" readingOrder="1"/>
    </xf>
    <xf numFmtId="43" fontId="24" fillId="3" borderId="83" xfId="1" applyFont="1" applyFill="1" applyBorder="1" applyAlignment="1">
      <alignment horizontal="center" vertical="center" wrapText="1" readingOrder="1"/>
    </xf>
    <xf numFmtId="43" fontId="24" fillId="3" borderId="114" xfId="1" applyFont="1" applyFill="1" applyBorder="1" applyAlignment="1">
      <alignment horizontal="center" vertical="center" wrapText="1" readingOrder="1"/>
    </xf>
    <xf numFmtId="43" fontId="24" fillId="3" borderId="5" xfId="1" applyFont="1" applyFill="1" applyBorder="1" applyAlignment="1">
      <alignment horizontal="center" vertical="center" wrapText="1" readingOrder="1"/>
    </xf>
    <xf numFmtId="43" fontId="24" fillId="3" borderId="498" xfId="1" applyFont="1" applyFill="1" applyBorder="1" applyAlignment="1">
      <alignment horizontal="center" vertical="center" wrapText="1" readingOrder="1"/>
    </xf>
    <xf numFmtId="43" fontId="24" fillId="3" borderId="14" xfId="1" applyFont="1" applyFill="1" applyBorder="1" applyAlignment="1">
      <alignment horizontal="center" vertical="center" wrapText="1" readingOrder="1"/>
    </xf>
    <xf numFmtId="0" fontId="23" fillId="0" borderId="20" xfId="3" applyFont="1" applyBorder="1" applyAlignment="1">
      <alignment wrapText="1" readingOrder="1"/>
    </xf>
    <xf numFmtId="43" fontId="23" fillId="0" borderId="17" xfId="1" applyFont="1" applyBorder="1" applyAlignment="1">
      <alignment horizontal="right" vertical="center" wrapText="1" readingOrder="1"/>
    </xf>
    <xf numFmtId="43" fontId="23" fillId="0" borderId="18" xfId="1" applyFont="1" applyBorder="1" applyAlignment="1">
      <alignment horizontal="right" vertical="center" wrapText="1" readingOrder="1"/>
    </xf>
    <xf numFmtId="43" fontId="23" fillId="22" borderId="20" xfId="1" applyFont="1" applyFill="1" applyBorder="1" applyAlignment="1">
      <alignment horizontal="right" vertical="center" wrapText="1" readingOrder="1"/>
    </xf>
    <xf numFmtId="43" fontId="23" fillId="3" borderId="19" xfId="3" applyNumberFormat="1" applyFont="1" applyFill="1" applyBorder="1" applyAlignment="1">
      <alignment horizontal="right" vertical="center" wrapText="1" readingOrder="1"/>
    </xf>
    <xf numFmtId="43" fontId="23" fillId="22" borderId="16" xfId="3" applyNumberFormat="1" applyFont="1" applyFill="1" applyBorder="1" applyAlignment="1">
      <alignment horizontal="right" vertical="center" wrapText="1" readingOrder="1"/>
    </xf>
    <xf numFmtId="43" fontId="23" fillId="0" borderId="18" xfId="3" applyNumberFormat="1" applyFont="1" applyBorder="1" applyAlignment="1">
      <alignment horizontal="right" vertical="center" wrapText="1" readingOrder="1"/>
    </xf>
    <xf numFmtId="43" fontId="23" fillId="22" borderId="20" xfId="3" applyNumberFormat="1" applyFont="1" applyFill="1" applyBorder="1" applyAlignment="1">
      <alignment horizontal="right" vertical="center" wrapText="1" readingOrder="1"/>
    </xf>
    <xf numFmtId="43" fontId="23" fillId="0" borderId="19" xfId="3" applyNumberFormat="1" applyFont="1" applyBorder="1" applyAlignment="1">
      <alignment horizontal="right" vertical="center" wrapText="1" readingOrder="1"/>
    </xf>
    <xf numFmtId="43" fontId="23" fillId="3" borderId="18" xfId="3" applyNumberFormat="1" applyFont="1" applyFill="1" applyBorder="1" applyAlignment="1">
      <alignment horizontal="right" vertical="center" wrapText="1" readingOrder="1"/>
    </xf>
    <xf numFmtId="43" fontId="23" fillId="22" borderId="18" xfId="3" applyNumberFormat="1" applyFont="1" applyFill="1" applyBorder="1" applyAlignment="1">
      <alignment horizontal="right" vertical="center" wrapText="1" readingOrder="1"/>
    </xf>
    <xf numFmtId="43" fontId="2" fillId="0" borderId="21" xfId="0" applyNumberFormat="1" applyFont="1" applyBorder="1"/>
    <xf numFmtId="0" fontId="23" fillId="0" borderId="26" xfId="3" applyFont="1" applyBorder="1" applyAlignment="1">
      <alignment wrapText="1" readingOrder="1"/>
    </xf>
    <xf numFmtId="43" fontId="23" fillId="0" borderId="23" xfId="3" applyNumberFormat="1" applyFont="1" applyBorder="1" applyAlignment="1">
      <alignment horizontal="right" vertical="center" wrapText="1" readingOrder="1"/>
    </xf>
    <xf numFmtId="43" fontId="23" fillId="0" borderId="24" xfId="3" applyNumberFormat="1" applyFont="1" applyBorder="1" applyAlignment="1">
      <alignment horizontal="right" vertical="center" wrapText="1" readingOrder="1"/>
    </xf>
    <xf numFmtId="43" fontId="23" fillId="22" borderId="26" xfId="3" applyNumberFormat="1" applyFont="1" applyFill="1" applyBorder="1" applyAlignment="1">
      <alignment horizontal="right" vertical="center" wrapText="1" readingOrder="1"/>
    </xf>
    <xf numFmtId="43" fontId="23" fillId="3" borderId="25" xfId="3" applyNumberFormat="1" applyFont="1" applyFill="1" applyBorder="1" applyAlignment="1">
      <alignment horizontal="right" vertical="center" wrapText="1" readingOrder="1"/>
    </xf>
    <xf numFmtId="43" fontId="23" fillId="22" borderId="22" xfId="3" applyNumberFormat="1" applyFont="1" applyFill="1" applyBorder="1" applyAlignment="1">
      <alignment horizontal="right" vertical="center" wrapText="1" readingOrder="1"/>
    </xf>
    <xf numFmtId="43" fontId="23" fillId="0" borderId="25" xfId="3" applyNumberFormat="1" applyFont="1" applyBorder="1" applyAlignment="1">
      <alignment horizontal="right" vertical="center" wrapText="1" readingOrder="1"/>
    </xf>
    <xf numFmtId="43" fontId="23" fillId="3" borderId="24" xfId="3" applyNumberFormat="1" applyFont="1" applyFill="1" applyBorder="1" applyAlignment="1">
      <alignment horizontal="right" vertical="center" wrapText="1" readingOrder="1"/>
    </xf>
    <xf numFmtId="43" fontId="23" fillId="22" borderId="24" xfId="3" applyNumberFormat="1" applyFont="1" applyFill="1" applyBorder="1" applyAlignment="1">
      <alignment horizontal="right" vertical="center" wrapText="1" readingOrder="1"/>
    </xf>
    <xf numFmtId="43" fontId="23" fillId="0" borderId="23" xfId="1" applyFont="1" applyBorder="1" applyAlignment="1">
      <alignment horizontal="right" vertical="center" wrapText="1" readingOrder="1"/>
    </xf>
    <xf numFmtId="43" fontId="23" fillId="0" borderId="24" xfId="1" applyFont="1" applyBorder="1" applyAlignment="1">
      <alignment horizontal="right" vertical="center" wrapText="1" readingOrder="1"/>
    </xf>
    <xf numFmtId="43" fontId="23" fillId="22" borderId="26" xfId="1" applyFont="1" applyFill="1" applyBorder="1" applyAlignment="1">
      <alignment horizontal="right" vertical="center" wrapText="1" readingOrder="1"/>
    </xf>
    <xf numFmtId="43" fontId="23" fillId="0" borderId="25" xfId="1" applyFont="1" applyBorder="1" applyAlignment="1">
      <alignment horizontal="right" vertical="center" wrapText="1" readingOrder="1"/>
    </xf>
    <xf numFmtId="43" fontId="23" fillId="22" borderId="22" xfId="1" applyFont="1" applyFill="1" applyBorder="1" applyAlignment="1">
      <alignment horizontal="right" vertical="center" wrapText="1" readingOrder="1"/>
    </xf>
    <xf numFmtId="164" fontId="2" fillId="0" borderId="0" xfId="0" applyNumberFormat="1" applyFont="1"/>
    <xf numFmtId="0" fontId="23" fillId="0" borderId="60" xfId="3" applyFont="1" applyBorder="1" applyAlignment="1">
      <alignment wrapText="1" readingOrder="1"/>
    </xf>
    <xf numFmtId="43" fontId="23" fillId="0" borderId="62" xfId="3" applyNumberFormat="1" applyFont="1" applyBorder="1" applyAlignment="1">
      <alignment horizontal="right" vertical="center" wrapText="1" readingOrder="1"/>
    </xf>
    <xf numFmtId="43" fontId="23" fillId="0" borderId="38" xfId="3" applyNumberFormat="1" applyFont="1" applyBorder="1" applyAlignment="1">
      <alignment horizontal="right" vertical="center" wrapText="1" readingOrder="1"/>
    </xf>
    <xf numFmtId="43" fontId="23" fillId="22" borderId="60" xfId="3" applyNumberFormat="1" applyFont="1" applyFill="1" applyBorder="1" applyAlignment="1">
      <alignment horizontal="right" vertical="center" wrapText="1" readingOrder="1"/>
    </xf>
    <xf numFmtId="43" fontId="23" fillId="3" borderId="89" xfId="3" applyNumberFormat="1" applyFont="1" applyFill="1" applyBorder="1" applyAlignment="1">
      <alignment horizontal="right" vertical="center" wrapText="1" readingOrder="1"/>
    </xf>
    <xf numFmtId="43" fontId="23" fillId="22" borderId="61" xfId="3" applyNumberFormat="1" applyFont="1" applyFill="1" applyBorder="1" applyAlignment="1">
      <alignment horizontal="right" vertical="center" wrapText="1" readingOrder="1"/>
    </xf>
    <xf numFmtId="43" fontId="23" fillId="0" borderId="89" xfId="3" applyNumberFormat="1" applyFont="1" applyBorder="1" applyAlignment="1">
      <alignment horizontal="right" vertical="center" wrapText="1" readingOrder="1"/>
    </xf>
    <xf numFmtId="43" fontId="23" fillId="3" borderId="38" xfId="3" applyNumberFormat="1" applyFont="1" applyFill="1" applyBorder="1" applyAlignment="1">
      <alignment horizontal="right" vertical="center" wrapText="1" readingOrder="1"/>
    </xf>
    <xf numFmtId="43" fontId="23" fillId="22" borderId="38" xfId="3" applyNumberFormat="1" applyFont="1" applyFill="1" applyBorder="1" applyAlignment="1">
      <alignment horizontal="right" vertical="center" wrapText="1" readingOrder="1"/>
    </xf>
    <xf numFmtId="43" fontId="2" fillId="0" borderId="42" xfId="0" applyNumberFormat="1" applyFont="1" applyBorder="1"/>
    <xf numFmtId="0" fontId="25" fillId="0" borderId="53" xfId="3" applyFont="1" applyBorder="1" applyAlignment="1">
      <alignment wrapText="1" readingOrder="1"/>
    </xf>
    <xf numFmtId="43" fontId="25" fillId="0" borderId="7" xfId="3" applyNumberFormat="1" applyFont="1" applyBorder="1" applyAlignment="1">
      <alignment horizontal="right" vertical="center" wrapText="1" readingOrder="1"/>
    </xf>
    <xf numFmtId="43" fontId="25" fillId="0" borderId="10" xfId="3" applyNumberFormat="1" applyFont="1" applyBorder="1" applyAlignment="1">
      <alignment horizontal="right" vertical="center" wrapText="1" readingOrder="1"/>
    </xf>
    <xf numFmtId="43" fontId="25" fillId="22" borderId="10" xfId="3" applyNumberFormat="1" applyFont="1" applyFill="1" applyBorder="1" applyAlignment="1">
      <alignment horizontal="right" vertical="center" wrapText="1" readingOrder="1"/>
    </xf>
    <xf numFmtId="0" fontId="26" fillId="0" borderId="1" xfId="0" applyFont="1" applyBorder="1"/>
    <xf numFmtId="0" fontId="26" fillId="0" borderId="0" xfId="0" applyFont="1"/>
    <xf numFmtId="43" fontId="23" fillId="0" borderId="0" xfId="3" applyNumberFormat="1" applyFont="1" applyAlignment="1">
      <alignment horizontal="right" vertical="center" wrapText="1" readingOrder="1"/>
    </xf>
    <xf numFmtId="43" fontId="2" fillId="0" borderId="14" xfId="0" applyNumberFormat="1" applyFont="1" applyBorder="1"/>
    <xf numFmtId="43" fontId="2" fillId="0" borderId="0" xfId="0" applyNumberFormat="1" applyFont="1"/>
    <xf numFmtId="43" fontId="2" fillId="0" borderId="37" xfId="0" applyNumberFormat="1" applyFont="1" applyBorder="1"/>
    <xf numFmtId="0" fontId="2" fillId="0" borderId="11" xfId="0" applyFont="1" applyBorder="1"/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26" xfId="0" applyFont="1" applyBorder="1"/>
    <xf numFmtId="0" fontId="2" fillId="0" borderId="17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1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8" xfId="0" applyFont="1" applyBorder="1" applyAlignment="1">
      <alignment horizontal="center"/>
    </xf>
    <xf numFmtId="0" fontId="2" fillId="0" borderId="15" xfId="0" applyFont="1" applyBorder="1"/>
    <xf numFmtId="0" fontId="2" fillId="0" borderId="56" xfId="0" applyFont="1" applyBorder="1"/>
    <xf numFmtId="0" fontId="2" fillId="0" borderId="40" xfId="0" applyFont="1" applyBorder="1"/>
    <xf numFmtId="0" fontId="2" fillId="0" borderId="24" xfId="0" applyFont="1" applyBorder="1" applyAlignment="1">
      <alignment horizontal="center"/>
    </xf>
    <xf numFmtId="0" fontId="2" fillId="0" borderId="21" xfId="0" applyFont="1" applyBorder="1"/>
    <xf numFmtId="0" fontId="2" fillId="0" borderId="58" xfId="0" applyFont="1" applyBorder="1"/>
    <xf numFmtId="0" fontId="2" fillId="0" borderId="39" xfId="0" applyFont="1" applyBorder="1"/>
    <xf numFmtId="0" fontId="2" fillId="0" borderId="37" xfId="0" applyFont="1" applyBorder="1"/>
    <xf numFmtId="0" fontId="2" fillId="0" borderId="114" xfId="0" applyFont="1" applyBorder="1"/>
    <xf numFmtId="0" fontId="2" fillId="0" borderId="45" xfId="0" applyFont="1" applyBorder="1"/>
    <xf numFmtId="0" fontId="2" fillId="0" borderId="2" xfId="0" applyFont="1" applyBorder="1"/>
    <xf numFmtId="0" fontId="2" fillId="0" borderId="113" xfId="0" applyFont="1" applyBorder="1"/>
    <xf numFmtId="0" fontId="2" fillId="0" borderId="59" xfId="0" applyFont="1" applyBorder="1"/>
    <xf numFmtId="0" fontId="2" fillId="0" borderId="84" xfId="0" applyFont="1" applyBorder="1"/>
    <xf numFmtId="0" fontId="2" fillId="0" borderId="31" xfId="0" applyFont="1" applyBorder="1"/>
    <xf numFmtId="0" fontId="2" fillId="0" borderId="60" xfId="0" applyFont="1" applyBorder="1"/>
    <xf numFmtId="0" fontId="2" fillId="0" borderId="62" xfId="0" applyFont="1" applyBorder="1" applyAlignment="1">
      <alignment horizontal="center"/>
    </xf>
    <xf numFmtId="0" fontId="2" fillId="0" borderId="38" xfId="0" applyFont="1" applyBorder="1" applyAlignment="1">
      <alignment horizontal="center"/>
    </xf>
    <xf numFmtId="0" fontId="2" fillId="0" borderId="89" xfId="0" applyFont="1" applyBorder="1" applyAlignment="1">
      <alignment horizontal="center"/>
    </xf>
    <xf numFmtId="0" fontId="2" fillId="0" borderId="53" xfId="0" applyFont="1" applyBorder="1"/>
    <xf numFmtId="0" fontId="2" fillId="0" borderId="7" xfId="0" applyFont="1" applyBorder="1"/>
    <xf numFmtId="0" fontId="2" fillId="0" borderId="8" xfId="0" applyFont="1" applyBorder="1"/>
    <xf numFmtId="0" fontId="2" fillId="23" borderId="495" xfId="0" applyFont="1" applyFill="1" applyBorder="1" applyAlignment="1">
      <alignment horizontal="center" vertical="center" wrapText="1"/>
    </xf>
    <xf numFmtId="0" fontId="2" fillId="23" borderId="438" xfId="0" applyFont="1" applyFill="1" applyBorder="1" applyAlignment="1">
      <alignment horizontal="center" vertical="center" wrapText="1"/>
    </xf>
    <xf numFmtId="0" fontId="2" fillId="23" borderId="450" xfId="0" applyFont="1" applyFill="1" applyBorder="1" applyAlignment="1">
      <alignment horizontal="center" vertical="center" wrapText="1"/>
    </xf>
    <xf numFmtId="0" fontId="2" fillId="23" borderId="492" xfId="0" applyFont="1" applyFill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6" fillId="16" borderId="95" xfId="0" applyFont="1" applyFill="1" applyBorder="1" applyAlignment="1">
      <alignment horizontal="center"/>
    </xf>
    <xf numFmtId="0" fontId="6" fillId="16" borderId="105" xfId="0" applyFont="1" applyFill="1" applyBorder="1" applyAlignment="1">
      <alignment horizontal="center"/>
    </xf>
    <xf numFmtId="0" fontId="6" fillId="16" borderId="106" xfId="0" applyFont="1" applyFill="1" applyBorder="1" applyAlignment="1">
      <alignment horizontal="center"/>
    </xf>
    <xf numFmtId="0" fontId="7" fillId="17" borderId="96" xfId="0" applyFont="1" applyFill="1" applyBorder="1" applyAlignment="1">
      <alignment horizontal="center" vertical="center"/>
    </xf>
    <xf numFmtId="0" fontId="7" fillId="17" borderId="57" xfId="0" applyFont="1" applyFill="1" applyBorder="1" applyAlignment="1">
      <alignment horizontal="center" vertical="center"/>
    </xf>
    <xf numFmtId="0" fontId="7" fillId="17" borderId="66" xfId="0" applyFont="1" applyFill="1" applyBorder="1" applyAlignment="1">
      <alignment horizontal="center" vertical="center"/>
    </xf>
    <xf numFmtId="0" fontId="0" fillId="16" borderId="95" xfId="0" applyFill="1" applyBorder="1" applyAlignment="1">
      <alignment horizontal="center"/>
    </xf>
    <xf numFmtId="0" fontId="0" fillId="16" borderId="105" xfId="0" applyFill="1" applyBorder="1" applyAlignment="1">
      <alignment horizontal="center"/>
    </xf>
    <xf numFmtId="0" fontId="0" fillId="16" borderId="106" xfId="0" applyFill="1" applyBorder="1" applyAlignment="1">
      <alignment horizontal="center"/>
    </xf>
    <xf numFmtId="0" fontId="2" fillId="3" borderId="2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2" fillId="3" borderId="4" xfId="0" applyFont="1" applyFill="1" applyBorder="1" applyAlignment="1">
      <alignment horizontal="left"/>
    </xf>
    <xf numFmtId="0" fontId="0" fillId="3" borderId="91" xfId="0" applyFill="1" applyBorder="1" applyAlignment="1">
      <alignment horizontal="center"/>
    </xf>
    <xf numFmtId="0" fontId="0" fillId="3" borderId="95" xfId="0" applyFill="1" applyBorder="1" applyAlignment="1">
      <alignment horizontal="center"/>
    </xf>
    <xf numFmtId="0" fontId="0" fillId="3" borderId="105" xfId="0" applyFill="1" applyBorder="1" applyAlignment="1">
      <alignment horizontal="center"/>
    </xf>
    <xf numFmtId="0" fontId="0" fillId="3" borderId="106" xfId="0" applyFill="1" applyBorder="1" applyAlignment="1">
      <alignment horizontal="center"/>
    </xf>
    <xf numFmtId="0" fontId="6" fillId="3" borderId="91" xfId="0" applyFont="1" applyFill="1" applyBorder="1" applyAlignment="1">
      <alignment horizontal="center"/>
    </xf>
    <xf numFmtId="43" fontId="24" fillId="3" borderId="120" xfId="1" applyFont="1" applyFill="1" applyBorder="1" applyAlignment="1">
      <alignment horizontal="center" vertical="center" wrapText="1" readingOrder="1"/>
    </xf>
    <xf numFmtId="43" fontId="24" fillId="3" borderId="36" xfId="1" applyFont="1" applyFill="1" applyBorder="1" applyAlignment="1">
      <alignment horizontal="center" vertical="center" wrapText="1" readingOrder="1"/>
    </xf>
    <xf numFmtId="0" fontId="2" fillId="0" borderId="0" xfId="0" applyFont="1" applyAlignment="1">
      <alignment horizontal="center"/>
    </xf>
    <xf numFmtId="0" fontId="18" fillId="0" borderId="38" xfId="0" applyFont="1" applyBorder="1" applyAlignment="1">
      <alignment horizontal="center"/>
    </xf>
    <xf numFmtId="0" fontId="18" fillId="0" borderId="92" xfId="0" applyFont="1" applyBorder="1" applyAlignment="1">
      <alignment horizontal="center"/>
    </xf>
    <xf numFmtId="0" fontId="18" fillId="0" borderId="61" xfId="0" applyFont="1" applyBorder="1" applyAlignment="1">
      <alignment horizontal="center"/>
    </xf>
    <xf numFmtId="0" fontId="20" fillId="0" borderId="479" xfId="0" applyFont="1" applyBorder="1" applyAlignment="1">
      <alignment horizontal="center"/>
    </xf>
    <xf numFmtId="0" fontId="20" fillId="0" borderId="480" xfId="0" applyFont="1" applyBorder="1" applyAlignment="1">
      <alignment horizontal="center"/>
    </xf>
    <xf numFmtId="0" fontId="20" fillId="0" borderId="481" xfId="0" applyFont="1" applyBorder="1" applyAlignment="1">
      <alignment horizontal="center"/>
    </xf>
    <xf numFmtId="0" fontId="0" fillId="0" borderId="89" xfId="0" applyBorder="1" applyAlignment="1">
      <alignment horizontal="center"/>
    </xf>
    <xf numFmtId="0" fontId="0" fillId="0" borderId="110" xfId="0" applyBorder="1" applyAlignment="1">
      <alignment horizontal="center"/>
    </xf>
    <xf numFmtId="0" fontId="0" fillId="0" borderId="95" xfId="0" applyBorder="1" applyAlignment="1">
      <alignment horizontal="center"/>
    </xf>
    <xf numFmtId="0" fontId="0" fillId="0" borderId="105" xfId="0" applyBorder="1" applyAlignment="1">
      <alignment horizontal="center"/>
    </xf>
    <xf numFmtId="0" fontId="0" fillId="0" borderId="106" xfId="0" applyBorder="1" applyAlignment="1">
      <alignment horizontal="center"/>
    </xf>
    <xf numFmtId="0" fontId="7" fillId="0" borderId="96" xfId="0" applyFont="1" applyBorder="1" applyAlignment="1">
      <alignment horizontal="center" vertical="center"/>
    </xf>
    <xf numFmtId="0" fontId="7" fillId="0" borderId="57" xfId="0" applyFont="1" applyBorder="1" applyAlignment="1">
      <alignment horizontal="center" vertical="center"/>
    </xf>
    <xf numFmtId="0" fontId="7" fillId="0" borderId="66" xfId="0" applyFont="1" applyBorder="1" applyAlignment="1">
      <alignment horizontal="center" vertical="center"/>
    </xf>
    <xf numFmtId="0" fontId="6" fillId="0" borderId="95" xfId="0" applyFont="1" applyBorder="1" applyAlignment="1">
      <alignment horizontal="center"/>
    </xf>
    <xf numFmtId="0" fontId="6" fillId="0" borderId="105" xfId="0" applyFont="1" applyBorder="1" applyAlignment="1">
      <alignment horizontal="center"/>
    </xf>
    <xf numFmtId="0" fontId="6" fillId="0" borderId="106" xfId="0" applyFont="1" applyBorder="1" applyAlignment="1">
      <alignment horizontal="center"/>
    </xf>
    <xf numFmtId="0" fontId="2" fillId="0" borderId="33" xfId="0" applyFont="1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</cellXfs>
  <cellStyles count="4">
    <cellStyle name="Comma" xfId="1" builtinId="3"/>
    <cellStyle name="Comma 3" xfId="2" xr:uid="{C78558C3-25A3-44AB-9CD7-B70088804160}"/>
    <cellStyle name="Normal" xfId="0" builtinId="0"/>
    <cellStyle name="Normal 2" xfId="3" xr:uid="{C9757429-D612-4F9F-8EF8-DC4F3DC1823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784860</xdr:colOff>
      <xdr:row>0</xdr:row>
      <xdr:rowOff>121920</xdr:rowOff>
    </xdr:from>
    <xdr:to>
      <xdr:col>0</xdr:col>
      <xdr:colOff>1965960</xdr:colOff>
      <xdr:row>7</xdr:row>
      <xdr:rowOff>15240</xdr:rowOff>
    </xdr:to>
    <xdr:pic>
      <xdr:nvPicPr>
        <xdr:cNvPr id="3" name="image1.png">
          <a:extLst>
            <a:ext uri="{FF2B5EF4-FFF2-40B4-BE49-F238E27FC236}">
              <a16:creationId xmlns:a16="http://schemas.microsoft.com/office/drawing/2014/main" id="{2E01A6DC-39D7-A192-E9B9-69CC268FDDFA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784860" y="121920"/>
          <a:ext cx="1181100" cy="1226820"/>
        </a:xfrm>
        <a:prstGeom prst="rect">
          <a:avLst/>
        </a:prstGeom>
        <a:ln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784860</xdr:colOff>
      <xdr:row>0</xdr:row>
      <xdr:rowOff>144780</xdr:rowOff>
    </xdr:from>
    <xdr:to>
      <xdr:col>1</xdr:col>
      <xdr:colOff>1965960</xdr:colOff>
      <xdr:row>7</xdr:row>
      <xdr:rowOff>38100</xdr:rowOff>
    </xdr:to>
    <xdr:pic>
      <xdr:nvPicPr>
        <xdr:cNvPr id="2" name="image1.png">
          <a:extLst>
            <a:ext uri="{FF2B5EF4-FFF2-40B4-BE49-F238E27FC236}">
              <a16:creationId xmlns:a16="http://schemas.microsoft.com/office/drawing/2014/main" id="{C14EF61E-28CA-410F-8300-97583BB8F9EF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409700" y="144780"/>
          <a:ext cx="1181100" cy="1226820"/>
        </a:xfrm>
        <a:prstGeom prst="rect">
          <a:avLst/>
        </a:prstGeom>
        <a:ln/>
      </xdr:spPr>
    </xdr:pic>
    <xdr:clientData/>
  </xdr:twoCellAnchor>
  <xdr:twoCellAnchor editAs="oneCell">
    <xdr:from>
      <xdr:col>1</xdr:col>
      <xdr:colOff>906780</xdr:colOff>
      <xdr:row>1</xdr:row>
      <xdr:rowOff>83820</xdr:rowOff>
    </xdr:from>
    <xdr:to>
      <xdr:col>1</xdr:col>
      <xdr:colOff>2087880</xdr:colOff>
      <xdr:row>7</xdr:row>
      <xdr:rowOff>167640</xdr:rowOff>
    </xdr:to>
    <xdr:pic>
      <xdr:nvPicPr>
        <xdr:cNvPr id="3" name="image1.png">
          <a:extLst>
            <a:ext uri="{FF2B5EF4-FFF2-40B4-BE49-F238E27FC236}">
              <a16:creationId xmlns:a16="http://schemas.microsoft.com/office/drawing/2014/main" id="{EAF1229E-87B3-4073-A656-0B65356B1DA5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531620" y="274320"/>
          <a:ext cx="1181100" cy="1226820"/>
        </a:xfrm>
        <a:prstGeom prst="rect">
          <a:avLst/>
        </a:prstGeom>
        <a:ln/>
      </xdr:spPr>
    </xdr:pic>
    <xdr:clientData/>
  </xdr:twoCellAnchor>
  <xdr:twoCellAnchor editAs="oneCell">
    <xdr:from>
      <xdr:col>1</xdr:col>
      <xdr:colOff>861060</xdr:colOff>
      <xdr:row>1</xdr:row>
      <xdr:rowOff>68580</xdr:rowOff>
    </xdr:from>
    <xdr:to>
      <xdr:col>1</xdr:col>
      <xdr:colOff>2042160</xdr:colOff>
      <xdr:row>7</xdr:row>
      <xdr:rowOff>152400</xdr:rowOff>
    </xdr:to>
    <xdr:pic>
      <xdr:nvPicPr>
        <xdr:cNvPr id="4" name="image1.png">
          <a:extLst>
            <a:ext uri="{FF2B5EF4-FFF2-40B4-BE49-F238E27FC236}">
              <a16:creationId xmlns:a16="http://schemas.microsoft.com/office/drawing/2014/main" id="{F0D15BBD-3026-4AD4-B599-11A480E38BDB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485900" y="259080"/>
          <a:ext cx="1181100" cy="1226820"/>
        </a:xfrm>
        <a:prstGeom prst="rect">
          <a:avLst/>
        </a:prstGeom>
        <a:ln/>
      </xdr:spPr>
    </xdr:pic>
    <xdr:clientData/>
  </xdr:twoCellAnchor>
  <xdr:twoCellAnchor editAs="oneCell">
    <xdr:from>
      <xdr:col>1</xdr:col>
      <xdr:colOff>830580</xdr:colOff>
      <xdr:row>1</xdr:row>
      <xdr:rowOff>15240</xdr:rowOff>
    </xdr:from>
    <xdr:to>
      <xdr:col>1</xdr:col>
      <xdr:colOff>2011680</xdr:colOff>
      <xdr:row>7</xdr:row>
      <xdr:rowOff>99060</xdr:rowOff>
    </xdr:to>
    <xdr:pic>
      <xdr:nvPicPr>
        <xdr:cNvPr id="5" name="image1.png">
          <a:extLst>
            <a:ext uri="{FF2B5EF4-FFF2-40B4-BE49-F238E27FC236}">
              <a16:creationId xmlns:a16="http://schemas.microsoft.com/office/drawing/2014/main" id="{1AE093C3-F22A-41E7-9E9D-5AB43A7A576D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455420" y="205740"/>
          <a:ext cx="1181100" cy="1226820"/>
        </a:xfrm>
        <a:prstGeom prst="rect">
          <a:avLst/>
        </a:prstGeom>
        <a:ln/>
      </xdr:spPr>
    </xdr:pic>
    <xdr:clientData/>
  </xdr:twoCellAnchor>
  <xdr:twoCellAnchor editAs="oneCell">
    <xdr:from>
      <xdr:col>1</xdr:col>
      <xdr:colOff>784860</xdr:colOff>
      <xdr:row>0</xdr:row>
      <xdr:rowOff>121920</xdr:rowOff>
    </xdr:from>
    <xdr:to>
      <xdr:col>1</xdr:col>
      <xdr:colOff>1965960</xdr:colOff>
      <xdr:row>7</xdr:row>
      <xdr:rowOff>15240</xdr:rowOff>
    </xdr:to>
    <xdr:pic>
      <xdr:nvPicPr>
        <xdr:cNvPr id="6" name="image1.png">
          <a:extLst>
            <a:ext uri="{FF2B5EF4-FFF2-40B4-BE49-F238E27FC236}">
              <a16:creationId xmlns:a16="http://schemas.microsoft.com/office/drawing/2014/main" id="{57B0F3B5-549E-458A-A7AE-EF777F1566CA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409700" y="121920"/>
          <a:ext cx="1181100" cy="1226820"/>
        </a:xfrm>
        <a:prstGeom prst="rect">
          <a:avLst/>
        </a:prstGeom>
        <a:ln/>
      </xdr:spPr>
    </xdr:pic>
    <xdr:clientData/>
  </xdr:twoCellAnchor>
  <xdr:twoCellAnchor editAs="oneCell">
    <xdr:from>
      <xdr:col>1</xdr:col>
      <xdr:colOff>784860</xdr:colOff>
      <xdr:row>0</xdr:row>
      <xdr:rowOff>121920</xdr:rowOff>
    </xdr:from>
    <xdr:to>
      <xdr:col>1</xdr:col>
      <xdr:colOff>1965960</xdr:colOff>
      <xdr:row>7</xdr:row>
      <xdr:rowOff>15240</xdr:rowOff>
    </xdr:to>
    <xdr:pic>
      <xdr:nvPicPr>
        <xdr:cNvPr id="7" name="image1.png">
          <a:extLst>
            <a:ext uri="{FF2B5EF4-FFF2-40B4-BE49-F238E27FC236}">
              <a16:creationId xmlns:a16="http://schemas.microsoft.com/office/drawing/2014/main" id="{EE5FA26F-03DE-4224-926D-D02C06C78462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409700" y="121920"/>
          <a:ext cx="1181100" cy="1226820"/>
        </a:xfrm>
        <a:prstGeom prst="rect">
          <a:avLst/>
        </a:prstGeom>
        <a:ln/>
      </xdr:spPr>
    </xdr:pic>
    <xdr:clientData/>
  </xdr:twoCellAnchor>
  <xdr:twoCellAnchor editAs="oneCell">
    <xdr:from>
      <xdr:col>1</xdr:col>
      <xdr:colOff>807720</xdr:colOff>
      <xdr:row>0</xdr:row>
      <xdr:rowOff>68580</xdr:rowOff>
    </xdr:from>
    <xdr:to>
      <xdr:col>1</xdr:col>
      <xdr:colOff>1988820</xdr:colOff>
      <xdr:row>6</xdr:row>
      <xdr:rowOff>152400</xdr:rowOff>
    </xdr:to>
    <xdr:pic>
      <xdr:nvPicPr>
        <xdr:cNvPr id="8" name="image1.png">
          <a:extLst>
            <a:ext uri="{FF2B5EF4-FFF2-40B4-BE49-F238E27FC236}">
              <a16:creationId xmlns:a16="http://schemas.microsoft.com/office/drawing/2014/main" id="{972832AC-E54C-4C82-A719-D7B93ACD2EF5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432560" y="68580"/>
          <a:ext cx="1181100" cy="1226820"/>
        </a:xfrm>
        <a:prstGeom prst="rect">
          <a:avLst/>
        </a:prstGeom>
        <a:ln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784860</xdr:colOff>
      <xdr:row>0</xdr:row>
      <xdr:rowOff>121920</xdr:rowOff>
    </xdr:from>
    <xdr:to>
      <xdr:col>0</xdr:col>
      <xdr:colOff>1965960</xdr:colOff>
      <xdr:row>7</xdr:row>
      <xdr:rowOff>15240</xdr:rowOff>
    </xdr:to>
    <xdr:pic>
      <xdr:nvPicPr>
        <xdr:cNvPr id="2" name="image1.png">
          <a:extLst>
            <a:ext uri="{FF2B5EF4-FFF2-40B4-BE49-F238E27FC236}">
              <a16:creationId xmlns:a16="http://schemas.microsoft.com/office/drawing/2014/main" id="{25A09999-7FEF-4E35-805A-6C5D9F2B6255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784860" y="121920"/>
          <a:ext cx="1181100" cy="1226820"/>
        </a:xfrm>
        <a:prstGeom prst="rect">
          <a:avLst/>
        </a:prstGeom>
        <a:ln/>
      </xdr:spPr>
    </xdr:pic>
    <xdr:clientData/>
  </xdr:twoCellAnchor>
  <xdr:twoCellAnchor editAs="oneCell">
    <xdr:from>
      <xdr:col>0</xdr:col>
      <xdr:colOff>784860</xdr:colOff>
      <xdr:row>0</xdr:row>
      <xdr:rowOff>121920</xdr:rowOff>
    </xdr:from>
    <xdr:to>
      <xdr:col>0</xdr:col>
      <xdr:colOff>1965960</xdr:colOff>
      <xdr:row>7</xdr:row>
      <xdr:rowOff>15240</xdr:rowOff>
    </xdr:to>
    <xdr:pic>
      <xdr:nvPicPr>
        <xdr:cNvPr id="3" name="image1.png">
          <a:extLst>
            <a:ext uri="{FF2B5EF4-FFF2-40B4-BE49-F238E27FC236}">
              <a16:creationId xmlns:a16="http://schemas.microsoft.com/office/drawing/2014/main" id="{26607230-29BF-4300-9A92-AB5261AC9D2A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784860" y="121920"/>
          <a:ext cx="1181100" cy="1226820"/>
        </a:xfrm>
        <a:prstGeom prst="rect">
          <a:avLst/>
        </a:prstGeom>
        <a:ln/>
      </xdr:spPr>
    </xdr:pic>
    <xdr:clientData/>
  </xdr:twoCellAnchor>
  <xdr:twoCellAnchor editAs="oneCell">
    <xdr:from>
      <xdr:col>0</xdr:col>
      <xdr:colOff>784860</xdr:colOff>
      <xdr:row>0</xdr:row>
      <xdr:rowOff>121920</xdr:rowOff>
    </xdr:from>
    <xdr:to>
      <xdr:col>0</xdr:col>
      <xdr:colOff>1965960</xdr:colOff>
      <xdr:row>7</xdr:row>
      <xdr:rowOff>15240</xdr:rowOff>
    </xdr:to>
    <xdr:pic>
      <xdr:nvPicPr>
        <xdr:cNvPr id="4" name="image1.png">
          <a:extLst>
            <a:ext uri="{FF2B5EF4-FFF2-40B4-BE49-F238E27FC236}">
              <a16:creationId xmlns:a16="http://schemas.microsoft.com/office/drawing/2014/main" id="{7BC62546-15FE-4793-8D43-4B6D483DFE5D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784860" y="121920"/>
          <a:ext cx="1181100" cy="1226820"/>
        </a:xfrm>
        <a:prstGeom prst="rect">
          <a:avLst/>
        </a:prstGeom>
        <a:ln/>
      </xdr:spPr>
    </xdr:pic>
    <xdr:clientData/>
  </xdr:twoCellAnchor>
  <xdr:twoCellAnchor editAs="oneCell">
    <xdr:from>
      <xdr:col>0</xdr:col>
      <xdr:colOff>784860</xdr:colOff>
      <xdr:row>0</xdr:row>
      <xdr:rowOff>121920</xdr:rowOff>
    </xdr:from>
    <xdr:to>
      <xdr:col>0</xdr:col>
      <xdr:colOff>1965960</xdr:colOff>
      <xdr:row>7</xdr:row>
      <xdr:rowOff>81915</xdr:rowOff>
    </xdr:to>
    <xdr:pic>
      <xdr:nvPicPr>
        <xdr:cNvPr id="5" name="image1.png">
          <a:extLst>
            <a:ext uri="{FF2B5EF4-FFF2-40B4-BE49-F238E27FC236}">
              <a16:creationId xmlns:a16="http://schemas.microsoft.com/office/drawing/2014/main" id="{B16A2F9B-709D-4382-AFD2-066313C4E545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784860" y="121920"/>
          <a:ext cx="1181100" cy="1293495"/>
        </a:xfrm>
        <a:prstGeom prst="rect">
          <a:avLst/>
        </a:prstGeom>
        <a:ln/>
      </xdr:spPr>
    </xdr:pic>
    <xdr:clientData/>
  </xdr:twoCellAnchor>
  <xdr:twoCellAnchor editAs="oneCell">
    <xdr:from>
      <xdr:col>0</xdr:col>
      <xdr:colOff>784860</xdr:colOff>
      <xdr:row>0</xdr:row>
      <xdr:rowOff>121920</xdr:rowOff>
    </xdr:from>
    <xdr:to>
      <xdr:col>0</xdr:col>
      <xdr:colOff>1965960</xdr:colOff>
      <xdr:row>7</xdr:row>
      <xdr:rowOff>81915</xdr:rowOff>
    </xdr:to>
    <xdr:pic>
      <xdr:nvPicPr>
        <xdr:cNvPr id="6" name="image1.png">
          <a:extLst>
            <a:ext uri="{FF2B5EF4-FFF2-40B4-BE49-F238E27FC236}">
              <a16:creationId xmlns:a16="http://schemas.microsoft.com/office/drawing/2014/main" id="{1A98CBA5-5E8F-4464-B9A8-9875E6C49C46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784860" y="121920"/>
          <a:ext cx="1181100" cy="1293495"/>
        </a:xfrm>
        <a:prstGeom prst="rect">
          <a:avLst/>
        </a:prstGeom>
        <a:ln/>
      </xdr:spPr>
    </xdr:pic>
    <xdr:clientData/>
  </xdr:twoCellAnchor>
  <xdr:twoCellAnchor editAs="oneCell">
    <xdr:from>
      <xdr:col>0</xdr:col>
      <xdr:colOff>784860</xdr:colOff>
      <xdr:row>0</xdr:row>
      <xdr:rowOff>121920</xdr:rowOff>
    </xdr:from>
    <xdr:to>
      <xdr:col>0</xdr:col>
      <xdr:colOff>1965960</xdr:colOff>
      <xdr:row>7</xdr:row>
      <xdr:rowOff>81915</xdr:rowOff>
    </xdr:to>
    <xdr:pic>
      <xdr:nvPicPr>
        <xdr:cNvPr id="7" name="image1.png">
          <a:extLst>
            <a:ext uri="{FF2B5EF4-FFF2-40B4-BE49-F238E27FC236}">
              <a16:creationId xmlns:a16="http://schemas.microsoft.com/office/drawing/2014/main" id="{B59CB09C-F70C-4B91-B400-195E5F46D5A9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784860" y="121920"/>
          <a:ext cx="1181100" cy="1293495"/>
        </a:xfrm>
        <a:prstGeom prst="rect">
          <a:avLst/>
        </a:prstGeom>
        <a:ln/>
      </xdr:spPr>
    </xdr:pic>
    <xdr:clientData/>
  </xdr:twoCellAnchor>
  <xdr:twoCellAnchor editAs="oneCell">
    <xdr:from>
      <xdr:col>0</xdr:col>
      <xdr:colOff>784860</xdr:colOff>
      <xdr:row>0</xdr:row>
      <xdr:rowOff>121920</xdr:rowOff>
    </xdr:from>
    <xdr:to>
      <xdr:col>0</xdr:col>
      <xdr:colOff>1965960</xdr:colOff>
      <xdr:row>7</xdr:row>
      <xdr:rowOff>81915</xdr:rowOff>
    </xdr:to>
    <xdr:pic>
      <xdr:nvPicPr>
        <xdr:cNvPr id="8" name="image1.png">
          <a:extLst>
            <a:ext uri="{FF2B5EF4-FFF2-40B4-BE49-F238E27FC236}">
              <a16:creationId xmlns:a16="http://schemas.microsoft.com/office/drawing/2014/main" id="{94C26CEA-A111-4B78-972E-EB336A45045D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784860" y="121920"/>
          <a:ext cx="1181100" cy="1293495"/>
        </a:xfrm>
        <a:prstGeom prst="rect">
          <a:avLst/>
        </a:prstGeom>
        <a:ln/>
      </xdr:spPr>
    </xdr:pic>
    <xdr:clientData/>
  </xdr:twoCellAnchor>
  <xdr:twoCellAnchor editAs="oneCell">
    <xdr:from>
      <xdr:col>0</xdr:col>
      <xdr:colOff>784860</xdr:colOff>
      <xdr:row>0</xdr:row>
      <xdr:rowOff>121920</xdr:rowOff>
    </xdr:from>
    <xdr:to>
      <xdr:col>0</xdr:col>
      <xdr:colOff>1965960</xdr:colOff>
      <xdr:row>7</xdr:row>
      <xdr:rowOff>81915</xdr:rowOff>
    </xdr:to>
    <xdr:pic>
      <xdr:nvPicPr>
        <xdr:cNvPr id="9" name="image1.png">
          <a:extLst>
            <a:ext uri="{FF2B5EF4-FFF2-40B4-BE49-F238E27FC236}">
              <a16:creationId xmlns:a16="http://schemas.microsoft.com/office/drawing/2014/main" id="{EA592E1B-D1BF-46CA-A2E4-7D98BBCADBF4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784860" y="121920"/>
          <a:ext cx="1181100" cy="1293495"/>
        </a:xfrm>
        <a:prstGeom prst="rect">
          <a:avLst/>
        </a:prstGeom>
        <a:ln/>
      </xdr:spPr>
    </xdr:pic>
    <xdr:clientData/>
  </xdr:twoCellAnchor>
  <xdr:twoCellAnchor editAs="oneCell">
    <xdr:from>
      <xdr:col>0</xdr:col>
      <xdr:colOff>784860</xdr:colOff>
      <xdr:row>0</xdr:row>
      <xdr:rowOff>121920</xdr:rowOff>
    </xdr:from>
    <xdr:to>
      <xdr:col>0</xdr:col>
      <xdr:colOff>1965960</xdr:colOff>
      <xdr:row>7</xdr:row>
      <xdr:rowOff>81915</xdr:rowOff>
    </xdr:to>
    <xdr:pic>
      <xdr:nvPicPr>
        <xdr:cNvPr id="10" name="image1.png">
          <a:extLst>
            <a:ext uri="{FF2B5EF4-FFF2-40B4-BE49-F238E27FC236}">
              <a16:creationId xmlns:a16="http://schemas.microsoft.com/office/drawing/2014/main" id="{4D02ADBA-E617-4D27-89FE-7702CB5C0483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784860" y="121920"/>
          <a:ext cx="1181100" cy="1293495"/>
        </a:xfrm>
        <a:prstGeom prst="rect">
          <a:avLst/>
        </a:prstGeom>
        <a:ln/>
      </xdr:spPr>
    </xdr:pic>
    <xdr:clientData/>
  </xdr:twoCellAnchor>
  <xdr:twoCellAnchor editAs="oneCell">
    <xdr:from>
      <xdr:col>0</xdr:col>
      <xdr:colOff>784860</xdr:colOff>
      <xdr:row>0</xdr:row>
      <xdr:rowOff>121920</xdr:rowOff>
    </xdr:from>
    <xdr:to>
      <xdr:col>0</xdr:col>
      <xdr:colOff>2072640</xdr:colOff>
      <xdr:row>10</xdr:row>
      <xdr:rowOff>62865</xdr:rowOff>
    </xdr:to>
    <xdr:pic>
      <xdr:nvPicPr>
        <xdr:cNvPr id="11" name="image1.png">
          <a:extLst>
            <a:ext uri="{FF2B5EF4-FFF2-40B4-BE49-F238E27FC236}">
              <a16:creationId xmlns:a16="http://schemas.microsoft.com/office/drawing/2014/main" id="{2EDF2A99-63A5-44F0-A3E8-59F4A8B53E29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784860" y="121920"/>
          <a:ext cx="1287780" cy="1845945"/>
        </a:xfrm>
        <a:prstGeom prst="rect">
          <a:avLst/>
        </a:prstGeom>
        <a:ln/>
      </xdr:spPr>
    </xdr:pic>
    <xdr:clientData/>
  </xdr:twoCellAnchor>
  <xdr:twoCellAnchor editAs="oneCell">
    <xdr:from>
      <xdr:col>0</xdr:col>
      <xdr:colOff>784860</xdr:colOff>
      <xdr:row>0</xdr:row>
      <xdr:rowOff>121920</xdr:rowOff>
    </xdr:from>
    <xdr:to>
      <xdr:col>0</xdr:col>
      <xdr:colOff>2072640</xdr:colOff>
      <xdr:row>10</xdr:row>
      <xdr:rowOff>62865</xdr:rowOff>
    </xdr:to>
    <xdr:pic>
      <xdr:nvPicPr>
        <xdr:cNvPr id="12" name="image1.png">
          <a:extLst>
            <a:ext uri="{FF2B5EF4-FFF2-40B4-BE49-F238E27FC236}">
              <a16:creationId xmlns:a16="http://schemas.microsoft.com/office/drawing/2014/main" id="{F2B31BEF-C461-4756-8D29-F2D654A123D7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784860" y="121920"/>
          <a:ext cx="1287780" cy="1845945"/>
        </a:xfrm>
        <a:prstGeom prst="rect">
          <a:avLst/>
        </a:prstGeom>
        <a:ln/>
      </xdr:spPr>
    </xdr:pic>
    <xdr:clientData/>
  </xdr:twoCellAnchor>
  <xdr:twoCellAnchor editAs="oneCell">
    <xdr:from>
      <xdr:col>0</xdr:col>
      <xdr:colOff>784860</xdr:colOff>
      <xdr:row>0</xdr:row>
      <xdr:rowOff>121920</xdr:rowOff>
    </xdr:from>
    <xdr:to>
      <xdr:col>0</xdr:col>
      <xdr:colOff>2072640</xdr:colOff>
      <xdr:row>10</xdr:row>
      <xdr:rowOff>62865</xdr:rowOff>
    </xdr:to>
    <xdr:pic>
      <xdr:nvPicPr>
        <xdr:cNvPr id="13" name="image1.png">
          <a:extLst>
            <a:ext uri="{FF2B5EF4-FFF2-40B4-BE49-F238E27FC236}">
              <a16:creationId xmlns:a16="http://schemas.microsoft.com/office/drawing/2014/main" id="{5FBB236D-BB46-4A0B-AB29-091CAFF06F2A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784860" y="121920"/>
          <a:ext cx="1287780" cy="1845945"/>
        </a:xfrm>
        <a:prstGeom prst="rect">
          <a:avLst/>
        </a:prstGeom>
        <a:ln/>
      </xdr:spPr>
    </xdr:pic>
    <xdr:clientData/>
  </xdr:twoCellAnchor>
  <xdr:twoCellAnchor editAs="oneCell">
    <xdr:from>
      <xdr:col>0</xdr:col>
      <xdr:colOff>784860</xdr:colOff>
      <xdr:row>0</xdr:row>
      <xdr:rowOff>121920</xdr:rowOff>
    </xdr:from>
    <xdr:to>
      <xdr:col>0</xdr:col>
      <xdr:colOff>2072640</xdr:colOff>
      <xdr:row>10</xdr:row>
      <xdr:rowOff>163830</xdr:rowOff>
    </xdr:to>
    <xdr:pic>
      <xdr:nvPicPr>
        <xdr:cNvPr id="14" name="image1.png">
          <a:extLst>
            <a:ext uri="{FF2B5EF4-FFF2-40B4-BE49-F238E27FC236}">
              <a16:creationId xmlns:a16="http://schemas.microsoft.com/office/drawing/2014/main" id="{E78064D5-42D7-4339-8C8C-47D4215B2F3D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784860" y="121920"/>
          <a:ext cx="1287780" cy="1946910"/>
        </a:xfrm>
        <a:prstGeom prst="rect">
          <a:avLst/>
        </a:prstGeom>
        <a:ln/>
      </xdr:spPr>
    </xdr:pic>
    <xdr:clientData/>
  </xdr:twoCellAnchor>
  <xdr:twoCellAnchor editAs="oneCell">
    <xdr:from>
      <xdr:col>0</xdr:col>
      <xdr:colOff>784860</xdr:colOff>
      <xdr:row>0</xdr:row>
      <xdr:rowOff>121920</xdr:rowOff>
    </xdr:from>
    <xdr:to>
      <xdr:col>0</xdr:col>
      <xdr:colOff>2072640</xdr:colOff>
      <xdr:row>10</xdr:row>
      <xdr:rowOff>163830</xdr:rowOff>
    </xdr:to>
    <xdr:pic>
      <xdr:nvPicPr>
        <xdr:cNvPr id="15" name="image1.png">
          <a:extLst>
            <a:ext uri="{FF2B5EF4-FFF2-40B4-BE49-F238E27FC236}">
              <a16:creationId xmlns:a16="http://schemas.microsoft.com/office/drawing/2014/main" id="{18412549-A9CA-4A02-A854-AEC1A9BBF655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784860" y="121920"/>
          <a:ext cx="1287780" cy="1946910"/>
        </a:xfrm>
        <a:prstGeom prst="rect">
          <a:avLst/>
        </a:prstGeom>
        <a:ln/>
      </xdr:spPr>
    </xdr:pic>
    <xdr:clientData/>
  </xdr:twoCellAnchor>
  <xdr:twoCellAnchor editAs="oneCell">
    <xdr:from>
      <xdr:col>0</xdr:col>
      <xdr:colOff>784860</xdr:colOff>
      <xdr:row>0</xdr:row>
      <xdr:rowOff>121920</xdr:rowOff>
    </xdr:from>
    <xdr:to>
      <xdr:col>0</xdr:col>
      <xdr:colOff>2072640</xdr:colOff>
      <xdr:row>10</xdr:row>
      <xdr:rowOff>163830</xdr:rowOff>
    </xdr:to>
    <xdr:pic>
      <xdr:nvPicPr>
        <xdr:cNvPr id="16" name="image1.png">
          <a:extLst>
            <a:ext uri="{FF2B5EF4-FFF2-40B4-BE49-F238E27FC236}">
              <a16:creationId xmlns:a16="http://schemas.microsoft.com/office/drawing/2014/main" id="{53331D66-6893-49E7-98AE-7E28AF1AA3E8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784860" y="121920"/>
          <a:ext cx="1287780" cy="1946910"/>
        </a:xfrm>
        <a:prstGeom prst="rect">
          <a:avLst/>
        </a:prstGeom>
        <a:ln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784860</xdr:colOff>
      <xdr:row>0</xdr:row>
      <xdr:rowOff>121920</xdr:rowOff>
    </xdr:from>
    <xdr:to>
      <xdr:col>0</xdr:col>
      <xdr:colOff>1965960</xdr:colOff>
      <xdr:row>7</xdr:row>
      <xdr:rowOff>15240</xdr:rowOff>
    </xdr:to>
    <xdr:pic>
      <xdr:nvPicPr>
        <xdr:cNvPr id="2" name="image1.png">
          <a:extLst>
            <a:ext uri="{FF2B5EF4-FFF2-40B4-BE49-F238E27FC236}">
              <a16:creationId xmlns:a16="http://schemas.microsoft.com/office/drawing/2014/main" id="{C75507A0-9EC9-410C-AEC6-BCC9B353DF23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784860" y="121920"/>
          <a:ext cx="1181100" cy="1226820"/>
        </a:xfrm>
        <a:prstGeom prst="rect">
          <a:avLst/>
        </a:prstGeom>
        <a:ln/>
      </xdr:spPr>
    </xdr:pic>
    <xdr:clientData/>
  </xdr:twoCellAnchor>
  <xdr:twoCellAnchor editAs="oneCell">
    <xdr:from>
      <xdr:col>0</xdr:col>
      <xdr:colOff>784860</xdr:colOff>
      <xdr:row>0</xdr:row>
      <xdr:rowOff>121920</xdr:rowOff>
    </xdr:from>
    <xdr:to>
      <xdr:col>0</xdr:col>
      <xdr:colOff>1965960</xdr:colOff>
      <xdr:row>7</xdr:row>
      <xdr:rowOff>15240</xdr:rowOff>
    </xdr:to>
    <xdr:pic>
      <xdr:nvPicPr>
        <xdr:cNvPr id="3" name="image1.png">
          <a:extLst>
            <a:ext uri="{FF2B5EF4-FFF2-40B4-BE49-F238E27FC236}">
              <a16:creationId xmlns:a16="http://schemas.microsoft.com/office/drawing/2014/main" id="{98CB03FC-7307-4418-B1B0-C92DA1D8C12B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784860" y="121920"/>
          <a:ext cx="1181100" cy="1226820"/>
        </a:xfrm>
        <a:prstGeom prst="rect">
          <a:avLst/>
        </a:prstGeom>
        <a:ln/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784860</xdr:colOff>
      <xdr:row>0</xdr:row>
      <xdr:rowOff>121920</xdr:rowOff>
    </xdr:from>
    <xdr:to>
      <xdr:col>0</xdr:col>
      <xdr:colOff>1965960</xdr:colOff>
      <xdr:row>7</xdr:row>
      <xdr:rowOff>15240</xdr:rowOff>
    </xdr:to>
    <xdr:pic>
      <xdr:nvPicPr>
        <xdr:cNvPr id="2" name="image1.png">
          <a:extLst>
            <a:ext uri="{FF2B5EF4-FFF2-40B4-BE49-F238E27FC236}">
              <a16:creationId xmlns:a16="http://schemas.microsoft.com/office/drawing/2014/main" id="{4442F792-2100-4080-BF9E-93E8CD834CF1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784860" y="121920"/>
          <a:ext cx="1181100" cy="1226820"/>
        </a:xfrm>
        <a:prstGeom prst="rect">
          <a:avLst/>
        </a:prstGeom>
        <a:ln/>
      </xdr:spPr>
    </xdr:pic>
    <xdr:clientData/>
  </xdr:twoCellAnchor>
  <xdr:twoCellAnchor editAs="oneCell">
    <xdr:from>
      <xdr:col>0</xdr:col>
      <xdr:colOff>784860</xdr:colOff>
      <xdr:row>0</xdr:row>
      <xdr:rowOff>121920</xdr:rowOff>
    </xdr:from>
    <xdr:to>
      <xdr:col>0</xdr:col>
      <xdr:colOff>1965960</xdr:colOff>
      <xdr:row>7</xdr:row>
      <xdr:rowOff>15240</xdr:rowOff>
    </xdr:to>
    <xdr:pic>
      <xdr:nvPicPr>
        <xdr:cNvPr id="3" name="image1.png">
          <a:extLst>
            <a:ext uri="{FF2B5EF4-FFF2-40B4-BE49-F238E27FC236}">
              <a16:creationId xmlns:a16="http://schemas.microsoft.com/office/drawing/2014/main" id="{5BAA239C-853E-418A-B512-8C475303EF15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784860" y="121920"/>
          <a:ext cx="1181100" cy="1226820"/>
        </a:xfrm>
        <a:prstGeom prst="rect">
          <a:avLst/>
        </a:prstGeom>
        <a:ln/>
      </xdr:spPr>
    </xdr:pic>
    <xdr:clientData/>
  </xdr:twoCellAnchor>
  <xdr:twoCellAnchor editAs="oneCell">
    <xdr:from>
      <xdr:col>0</xdr:col>
      <xdr:colOff>784860</xdr:colOff>
      <xdr:row>0</xdr:row>
      <xdr:rowOff>121920</xdr:rowOff>
    </xdr:from>
    <xdr:to>
      <xdr:col>0</xdr:col>
      <xdr:colOff>1965960</xdr:colOff>
      <xdr:row>7</xdr:row>
      <xdr:rowOff>15240</xdr:rowOff>
    </xdr:to>
    <xdr:pic>
      <xdr:nvPicPr>
        <xdr:cNvPr id="4" name="image1.png">
          <a:extLst>
            <a:ext uri="{FF2B5EF4-FFF2-40B4-BE49-F238E27FC236}">
              <a16:creationId xmlns:a16="http://schemas.microsoft.com/office/drawing/2014/main" id="{2EDDF653-15EE-42E4-A8B9-3902AAA5853B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784860" y="121920"/>
          <a:ext cx="1181100" cy="1226820"/>
        </a:xfrm>
        <a:prstGeom prst="rect">
          <a:avLst/>
        </a:prstGeom>
        <a:ln/>
      </xdr:spPr>
    </xdr:pic>
    <xdr:clientData/>
  </xdr:twoCellAnchor>
  <xdr:twoCellAnchor editAs="oneCell">
    <xdr:from>
      <xdr:col>0</xdr:col>
      <xdr:colOff>784860</xdr:colOff>
      <xdr:row>0</xdr:row>
      <xdr:rowOff>121920</xdr:rowOff>
    </xdr:from>
    <xdr:to>
      <xdr:col>0</xdr:col>
      <xdr:colOff>1965960</xdr:colOff>
      <xdr:row>7</xdr:row>
      <xdr:rowOff>15240</xdr:rowOff>
    </xdr:to>
    <xdr:pic>
      <xdr:nvPicPr>
        <xdr:cNvPr id="5" name="image1.png">
          <a:extLst>
            <a:ext uri="{FF2B5EF4-FFF2-40B4-BE49-F238E27FC236}">
              <a16:creationId xmlns:a16="http://schemas.microsoft.com/office/drawing/2014/main" id="{28D85C78-E566-4697-B34F-2EBE572917FD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784860" y="121920"/>
          <a:ext cx="1181100" cy="1226820"/>
        </a:xfrm>
        <a:prstGeom prst="rect">
          <a:avLst/>
        </a:prstGeom>
        <a:ln/>
      </xdr:spPr>
    </xdr:pic>
    <xdr:clientData/>
  </xdr:twoCellAnchor>
  <xdr:twoCellAnchor editAs="oneCell">
    <xdr:from>
      <xdr:col>0</xdr:col>
      <xdr:colOff>784860</xdr:colOff>
      <xdr:row>0</xdr:row>
      <xdr:rowOff>121920</xdr:rowOff>
    </xdr:from>
    <xdr:to>
      <xdr:col>0</xdr:col>
      <xdr:colOff>1965960</xdr:colOff>
      <xdr:row>7</xdr:row>
      <xdr:rowOff>15240</xdr:rowOff>
    </xdr:to>
    <xdr:pic>
      <xdr:nvPicPr>
        <xdr:cNvPr id="6" name="image1.png">
          <a:extLst>
            <a:ext uri="{FF2B5EF4-FFF2-40B4-BE49-F238E27FC236}">
              <a16:creationId xmlns:a16="http://schemas.microsoft.com/office/drawing/2014/main" id="{CEEF24AB-D1C6-4E51-AB08-FCB49CA95984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784860" y="121920"/>
          <a:ext cx="1181100" cy="1226820"/>
        </a:xfrm>
        <a:prstGeom prst="rect">
          <a:avLst/>
        </a:prstGeom>
        <a:ln/>
      </xdr:spPr>
    </xdr:pic>
    <xdr:clientData/>
  </xdr:twoCellAnchor>
  <xdr:twoCellAnchor editAs="oneCell">
    <xdr:from>
      <xdr:col>0</xdr:col>
      <xdr:colOff>784860</xdr:colOff>
      <xdr:row>0</xdr:row>
      <xdr:rowOff>121920</xdr:rowOff>
    </xdr:from>
    <xdr:to>
      <xdr:col>0</xdr:col>
      <xdr:colOff>1965960</xdr:colOff>
      <xdr:row>7</xdr:row>
      <xdr:rowOff>15240</xdr:rowOff>
    </xdr:to>
    <xdr:pic>
      <xdr:nvPicPr>
        <xdr:cNvPr id="7" name="image1.png">
          <a:extLst>
            <a:ext uri="{FF2B5EF4-FFF2-40B4-BE49-F238E27FC236}">
              <a16:creationId xmlns:a16="http://schemas.microsoft.com/office/drawing/2014/main" id="{8C1A72C3-0CA5-4FCD-96B0-C183DAC24824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784860" y="121920"/>
          <a:ext cx="1181100" cy="1226820"/>
        </a:xfrm>
        <a:prstGeom prst="rect">
          <a:avLst/>
        </a:prstGeom>
        <a:ln/>
      </xdr:spPr>
    </xdr:pic>
    <xdr:clientData/>
  </xdr:twoCellAnchor>
  <xdr:twoCellAnchor editAs="oneCell">
    <xdr:from>
      <xdr:col>0</xdr:col>
      <xdr:colOff>784860</xdr:colOff>
      <xdr:row>0</xdr:row>
      <xdr:rowOff>121920</xdr:rowOff>
    </xdr:from>
    <xdr:to>
      <xdr:col>0</xdr:col>
      <xdr:colOff>1965960</xdr:colOff>
      <xdr:row>7</xdr:row>
      <xdr:rowOff>15240</xdr:rowOff>
    </xdr:to>
    <xdr:pic>
      <xdr:nvPicPr>
        <xdr:cNvPr id="8" name="image1.png">
          <a:extLst>
            <a:ext uri="{FF2B5EF4-FFF2-40B4-BE49-F238E27FC236}">
              <a16:creationId xmlns:a16="http://schemas.microsoft.com/office/drawing/2014/main" id="{973A199C-2E6B-4BB6-8970-7B0A45BBB0E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784860" y="121920"/>
          <a:ext cx="1181100" cy="1226820"/>
        </a:xfrm>
        <a:prstGeom prst="rect">
          <a:avLst/>
        </a:prstGeom>
        <a:ln/>
      </xdr:spPr>
    </xdr:pic>
    <xdr:clientData/>
  </xdr:twoCellAnchor>
  <xdr:twoCellAnchor editAs="oneCell">
    <xdr:from>
      <xdr:col>0</xdr:col>
      <xdr:colOff>784860</xdr:colOff>
      <xdr:row>0</xdr:row>
      <xdr:rowOff>121920</xdr:rowOff>
    </xdr:from>
    <xdr:to>
      <xdr:col>0</xdr:col>
      <xdr:colOff>1965960</xdr:colOff>
      <xdr:row>7</xdr:row>
      <xdr:rowOff>15240</xdr:rowOff>
    </xdr:to>
    <xdr:pic>
      <xdr:nvPicPr>
        <xdr:cNvPr id="9" name="image1.png">
          <a:extLst>
            <a:ext uri="{FF2B5EF4-FFF2-40B4-BE49-F238E27FC236}">
              <a16:creationId xmlns:a16="http://schemas.microsoft.com/office/drawing/2014/main" id="{848FE66F-B8EA-4D39-A609-6612BCD7A17A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784860" y="121920"/>
          <a:ext cx="1181100" cy="1226820"/>
        </a:xfrm>
        <a:prstGeom prst="rect">
          <a:avLst/>
        </a:prstGeom>
        <a:ln/>
      </xdr:spPr>
    </xdr:pic>
    <xdr:clientData/>
  </xdr:twoCellAnchor>
  <xdr:twoCellAnchor editAs="oneCell">
    <xdr:from>
      <xdr:col>0</xdr:col>
      <xdr:colOff>784860</xdr:colOff>
      <xdr:row>0</xdr:row>
      <xdr:rowOff>121920</xdr:rowOff>
    </xdr:from>
    <xdr:to>
      <xdr:col>0</xdr:col>
      <xdr:colOff>1965960</xdr:colOff>
      <xdr:row>7</xdr:row>
      <xdr:rowOff>15240</xdr:rowOff>
    </xdr:to>
    <xdr:pic>
      <xdr:nvPicPr>
        <xdr:cNvPr id="10" name="image1.png">
          <a:extLst>
            <a:ext uri="{FF2B5EF4-FFF2-40B4-BE49-F238E27FC236}">
              <a16:creationId xmlns:a16="http://schemas.microsoft.com/office/drawing/2014/main" id="{869284B2-021F-4877-8C2E-37C96D1CB0EB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784860" y="121920"/>
          <a:ext cx="1181100" cy="1226820"/>
        </a:xfrm>
        <a:prstGeom prst="rect">
          <a:avLst/>
        </a:prstGeom>
        <a:ln/>
      </xdr:spPr>
    </xdr:pic>
    <xdr:clientData/>
  </xdr:twoCellAnchor>
  <xdr:twoCellAnchor editAs="oneCell">
    <xdr:from>
      <xdr:col>0</xdr:col>
      <xdr:colOff>784860</xdr:colOff>
      <xdr:row>0</xdr:row>
      <xdr:rowOff>121920</xdr:rowOff>
    </xdr:from>
    <xdr:to>
      <xdr:col>0</xdr:col>
      <xdr:colOff>1965960</xdr:colOff>
      <xdr:row>7</xdr:row>
      <xdr:rowOff>15240</xdr:rowOff>
    </xdr:to>
    <xdr:pic>
      <xdr:nvPicPr>
        <xdr:cNvPr id="11" name="image1.png">
          <a:extLst>
            <a:ext uri="{FF2B5EF4-FFF2-40B4-BE49-F238E27FC236}">
              <a16:creationId xmlns:a16="http://schemas.microsoft.com/office/drawing/2014/main" id="{5BE6BDA4-521A-4357-92C3-7F0D15849D1D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784860" y="121920"/>
          <a:ext cx="1181100" cy="1226820"/>
        </a:xfrm>
        <a:prstGeom prst="rect">
          <a:avLst/>
        </a:prstGeom>
        <a:ln/>
      </xdr:spPr>
    </xdr:pic>
    <xdr:clientData/>
  </xdr:twoCellAnchor>
  <xdr:twoCellAnchor editAs="oneCell">
    <xdr:from>
      <xdr:col>0</xdr:col>
      <xdr:colOff>784860</xdr:colOff>
      <xdr:row>0</xdr:row>
      <xdr:rowOff>121920</xdr:rowOff>
    </xdr:from>
    <xdr:to>
      <xdr:col>0</xdr:col>
      <xdr:colOff>1965960</xdr:colOff>
      <xdr:row>7</xdr:row>
      <xdr:rowOff>15240</xdr:rowOff>
    </xdr:to>
    <xdr:pic>
      <xdr:nvPicPr>
        <xdr:cNvPr id="12" name="image1.png">
          <a:extLst>
            <a:ext uri="{FF2B5EF4-FFF2-40B4-BE49-F238E27FC236}">
              <a16:creationId xmlns:a16="http://schemas.microsoft.com/office/drawing/2014/main" id="{F53D905C-73DC-496E-AAD6-177FF124139A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784860" y="121920"/>
          <a:ext cx="1181100" cy="1226820"/>
        </a:xfrm>
        <a:prstGeom prst="rect">
          <a:avLst/>
        </a:prstGeom>
        <a:ln/>
      </xdr:spPr>
    </xdr:pic>
    <xdr:clientData/>
  </xdr:twoCellAnchor>
  <xdr:twoCellAnchor editAs="oneCell">
    <xdr:from>
      <xdr:col>0</xdr:col>
      <xdr:colOff>784860</xdr:colOff>
      <xdr:row>0</xdr:row>
      <xdr:rowOff>121920</xdr:rowOff>
    </xdr:from>
    <xdr:to>
      <xdr:col>0</xdr:col>
      <xdr:colOff>1965960</xdr:colOff>
      <xdr:row>7</xdr:row>
      <xdr:rowOff>15240</xdr:rowOff>
    </xdr:to>
    <xdr:pic>
      <xdr:nvPicPr>
        <xdr:cNvPr id="13" name="image1.png">
          <a:extLst>
            <a:ext uri="{FF2B5EF4-FFF2-40B4-BE49-F238E27FC236}">
              <a16:creationId xmlns:a16="http://schemas.microsoft.com/office/drawing/2014/main" id="{B0B22F71-F3F8-4D4B-9E15-56424C66E7EA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784860" y="121920"/>
          <a:ext cx="1181100" cy="1226820"/>
        </a:xfrm>
        <a:prstGeom prst="rect">
          <a:avLst/>
        </a:prstGeom>
        <a:ln/>
      </xdr:spPr>
    </xdr:pic>
    <xdr:clientData/>
  </xdr:twoCellAnchor>
  <xdr:twoCellAnchor editAs="oneCell">
    <xdr:from>
      <xdr:col>0</xdr:col>
      <xdr:colOff>784860</xdr:colOff>
      <xdr:row>0</xdr:row>
      <xdr:rowOff>121920</xdr:rowOff>
    </xdr:from>
    <xdr:to>
      <xdr:col>0</xdr:col>
      <xdr:colOff>1965960</xdr:colOff>
      <xdr:row>7</xdr:row>
      <xdr:rowOff>15240</xdr:rowOff>
    </xdr:to>
    <xdr:pic>
      <xdr:nvPicPr>
        <xdr:cNvPr id="14" name="image1.png">
          <a:extLst>
            <a:ext uri="{FF2B5EF4-FFF2-40B4-BE49-F238E27FC236}">
              <a16:creationId xmlns:a16="http://schemas.microsoft.com/office/drawing/2014/main" id="{25248C1C-AFFB-4241-8E7A-664F0C5A06F8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784860" y="121920"/>
          <a:ext cx="1181100" cy="1226820"/>
        </a:xfrm>
        <a:prstGeom prst="rect">
          <a:avLst/>
        </a:prstGeom>
        <a:ln/>
      </xdr:spPr>
    </xdr:pic>
    <xdr:clientData/>
  </xdr:twoCellAnchor>
  <xdr:twoCellAnchor editAs="oneCell">
    <xdr:from>
      <xdr:col>0</xdr:col>
      <xdr:colOff>784860</xdr:colOff>
      <xdr:row>0</xdr:row>
      <xdr:rowOff>121920</xdr:rowOff>
    </xdr:from>
    <xdr:to>
      <xdr:col>0</xdr:col>
      <xdr:colOff>1965960</xdr:colOff>
      <xdr:row>7</xdr:row>
      <xdr:rowOff>15240</xdr:rowOff>
    </xdr:to>
    <xdr:pic>
      <xdr:nvPicPr>
        <xdr:cNvPr id="15" name="image1.png">
          <a:extLst>
            <a:ext uri="{FF2B5EF4-FFF2-40B4-BE49-F238E27FC236}">
              <a16:creationId xmlns:a16="http://schemas.microsoft.com/office/drawing/2014/main" id="{256A2841-A661-451D-8CCD-31E0DF83D6E5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784860" y="121920"/>
          <a:ext cx="1181100" cy="1226820"/>
        </a:xfrm>
        <a:prstGeom prst="rect">
          <a:avLst/>
        </a:prstGeom>
        <a:ln/>
      </xdr:spPr>
    </xdr:pic>
    <xdr:clientData/>
  </xdr:twoCellAnchor>
  <xdr:twoCellAnchor editAs="oneCell">
    <xdr:from>
      <xdr:col>0</xdr:col>
      <xdr:colOff>784860</xdr:colOff>
      <xdr:row>0</xdr:row>
      <xdr:rowOff>121920</xdr:rowOff>
    </xdr:from>
    <xdr:to>
      <xdr:col>0</xdr:col>
      <xdr:colOff>1965960</xdr:colOff>
      <xdr:row>7</xdr:row>
      <xdr:rowOff>15240</xdr:rowOff>
    </xdr:to>
    <xdr:pic>
      <xdr:nvPicPr>
        <xdr:cNvPr id="16" name="image1.png">
          <a:extLst>
            <a:ext uri="{FF2B5EF4-FFF2-40B4-BE49-F238E27FC236}">
              <a16:creationId xmlns:a16="http://schemas.microsoft.com/office/drawing/2014/main" id="{D46B1C3C-87B9-4E31-8E46-8197B455F9CB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784860" y="121920"/>
          <a:ext cx="1181100" cy="1226820"/>
        </a:xfrm>
        <a:prstGeom prst="rect">
          <a:avLst/>
        </a:prstGeom>
        <a:ln/>
      </xdr:spPr>
    </xdr:pic>
    <xdr:clientData/>
  </xdr:twoCellAnchor>
  <xdr:twoCellAnchor editAs="oneCell">
    <xdr:from>
      <xdr:col>0</xdr:col>
      <xdr:colOff>784860</xdr:colOff>
      <xdr:row>0</xdr:row>
      <xdr:rowOff>121920</xdr:rowOff>
    </xdr:from>
    <xdr:to>
      <xdr:col>0</xdr:col>
      <xdr:colOff>1965960</xdr:colOff>
      <xdr:row>7</xdr:row>
      <xdr:rowOff>15240</xdr:rowOff>
    </xdr:to>
    <xdr:pic>
      <xdr:nvPicPr>
        <xdr:cNvPr id="17" name="image1.png">
          <a:extLst>
            <a:ext uri="{FF2B5EF4-FFF2-40B4-BE49-F238E27FC236}">
              <a16:creationId xmlns:a16="http://schemas.microsoft.com/office/drawing/2014/main" id="{903C26CB-3D62-4890-B881-52550EA8A09A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784860" y="121920"/>
          <a:ext cx="1181100" cy="1226820"/>
        </a:xfrm>
        <a:prstGeom prst="rect">
          <a:avLst/>
        </a:prstGeom>
        <a:ln/>
      </xdr:spPr>
    </xdr:pic>
    <xdr:clientData/>
  </xdr:twoCellAnchor>
  <xdr:twoCellAnchor editAs="oneCell">
    <xdr:from>
      <xdr:col>0</xdr:col>
      <xdr:colOff>784860</xdr:colOff>
      <xdr:row>0</xdr:row>
      <xdr:rowOff>121920</xdr:rowOff>
    </xdr:from>
    <xdr:to>
      <xdr:col>0</xdr:col>
      <xdr:colOff>1965960</xdr:colOff>
      <xdr:row>7</xdr:row>
      <xdr:rowOff>15240</xdr:rowOff>
    </xdr:to>
    <xdr:pic>
      <xdr:nvPicPr>
        <xdr:cNvPr id="18" name="image1.png">
          <a:extLst>
            <a:ext uri="{FF2B5EF4-FFF2-40B4-BE49-F238E27FC236}">
              <a16:creationId xmlns:a16="http://schemas.microsoft.com/office/drawing/2014/main" id="{5DC2E5E7-5967-4EAD-9FD1-3C74B48AE51E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784860" y="121920"/>
          <a:ext cx="1181100" cy="1226820"/>
        </a:xfrm>
        <a:prstGeom prst="rect">
          <a:avLst/>
        </a:prstGeom>
        <a:ln/>
      </xdr:spPr>
    </xdr:pic>
    <xdr:clientData/>
  </xdr:twoCellAnchor>
  <xdr:twoCellAnchor editAs="oneCell">
    <xdr:from>
      <xdr:col>0</xdr:col>
      <xdr:colOff>784860</xdr:colOff>
      <xdr:row>0</xdr:row>
      <xdr:rowOff>121920</xdr:rowOff>
    </xdr:from>
    <xdr:to>
      <xdr:col>0</xdr:col>
      <xdr:colOff>1965960</xdr:colOff>
      <xdr:row>7</xdr:row>
      <xdr:rowOff>15240</xdr:rowOff>
    </xdr:to>
    <xdr:pic>
      <xdr:nvPicPr>
        <xdr:cNvPr id="19" name="image1.png">
          <a:extLst>
            <a:ext uri="{FF2B5EF4-FFF2-40B4-BE49-F238E27FC236}">
              <a16:creationId xmlns:a16="http://schemas.microsoft.com/office/drawing/2014/main" id="{9D8CE5DA-46E4-4AA9-9F4C-CC50569C2322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784860" y="121920"/>
          <a:ext cx="1181100" cy="1226820"/>
        </a:xfrm>
        <a:prstGeom prst="rect">
          <a:avLst/>
        </a:prstGeom>
        <a:ln/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784860</xdr:colOff>
      <xdr:row>0</xdr:row>
      <xdr:rowOff>121920</xdr:rowOff>
    </xdr:from>
    <xdr:to>
      <xdr:col>0</xdr:col>
      <xdr:colOff>1965960</xdr:colOff>
      <xdr:row>7</xdr:row>
      <xdr:rowOff>15240</xdr:rowOff>
    </xdr:to>
    <xdr:pic>
      <xdr:nvPicPr>
        <xdr:cNvPr id="2" name="image1.png">
          <a:extLst>
            <a:ext uri="{FF2B5EF4-FFF2-40B4-BE49-F238E27FC236}">
              <a16:creationId xmlns:a16="http://schemas.microsoft.com/office/drawing/2014/main" id="{10EA64DA-4B2C-419E-B0E1-AF4F4CFF142B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784860" y="121920"/>
          <a:ext cx="1181100" cy="1226820"/>
        </a:xfrm>
        <a:prstGeom prst="rect">
          <a:avLst/>
        </a:prstGeom>
        <a:ln/>
      </xdr:spPr>
    </xdr:pic>
    <xdr:clientData/>
  </xdr:twoCellAnchor>
  <xdr:twoCellAnchor editAs="oneCell">
    <xdr:from>
      <xdr:col>0</xdr:col>
      <xdr:colOff>784860</xdr:colOff>
      <xdr:row>0</xdr:row>
      <xdr:rowOff>121920</xdr:rowOff>
    </xdr:from>
    <xdr:to>
      <xdr:col>0</xdr:col>
      <xdr:colOff>1965960</xdr:colOff>
      <xdr:row>7</xdr:row>
      <xdr:rowOff>15240</xdr:rowOff>
    </xdr:to>
    <xdr:pic>
      <xdr:nvPicPr>
        <xdr:cNvPr id="3" name="image1.png">
          <a:extLst>
            <a:ext uri="{FF2B5EF4-FFF2-40B4-BE49-F238E27FC236}">
              <a16:creationId xmlns:a16="http://schemas.microsoft.com/office/drawing/2014/main" id="{5AB805CB-A726-4047-9DB1-A3E66D11FEAD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784860" y="121920"/>
          <a:ext cx="1181100" cy="1226820"/>
        </a:xfrm>
        <a:prstGeom prst="rect">
          <a:avLst/>
        </a:prstGeom>
        <a:ln/>
      </xdr:spPr>
    </xdr:pic>
    <xdr:clientData/>
  </xdr:twoCellAnchor>
  <xdr:twoCellAnchor editAs="oneCell">
    <xdr:from>
      <xdr:col>0</xdr:col>
      <xdr:colOff>784860</xdr:colOff>
      <xdr:row>0</xdr:row>
      <xdr:rowOff>121920</xdr:rowOff>
    </xdr:from>
    <xdr:to>
      <xdr:col>0</xdr:col>
      <xdr:colOff>1965960</xdr:colOff>
      <xdr:row>7</xdr:row>
      <xdr:rowOff>15240</xdr:rowOff>
    </xdr:to>
    <xdr:pic>
      <xdr:nvPicPr>
        <xdr:cNvPr id="4" name="image1.png">
          <a:extLst>
            <a:ext uri="{FF2B5EF4-FFF2-40B4-BE49-F238E27FC236}">
              <a16:creationId xmlns:a16="http://schemas.microsoft.com/office/drawing/2014/main" id="{0FBAF776-1273-4364-A573-D37F7444F1C1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784860" y="121920"/>
          <a:ext cx="1181100" cy="1226820"/>
        </a:xfrm>
        <a:prstGeom prst="rect">
          <a:avLst/>
        </a:prstGeom>
        <a:ln/>
      </xdr:spPr>
    </xdr:pic>
    <xdr:clientData/>
  </xdr:twoCellAnchor>
  <xdr:twoCellAnchor editAs="oneCell">
    <xdr:from>
      <xdr:col>0</xdr:col>
      <xdr:colOff>784860</xdr:colOff>
      <xdr:row>0</xdr:row>
      <xdr:rowOff>121920</xdr:rowOff>
    </xdr:from>
    <xdr:to>
      <xdr:col>0</xdr:col>
      <xdr:colOff>1965960</xdr:colOff>
      <xdr:row>7</xdr:row>
      <xdr:rowOff>15240</xdr:rowOff>
    </xdr:to>
    <xdr:pic>
      <xdr:nvPicPr>
        <xdr:cNvPr id="5" name="image1.png">
          <a:extLst>
            <a:ext uri="{FF2B5EF4-FFF2-40B4-BE49-F238E27FC236}">
              <a16:creationId xmlns:a16="http://schemas.microsoft.com/office/drawing/2014/main" id="{49830C2B-3DBD-453F-B55C-4FBB71E7E859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784860" y="121920"/>
          <a:ext cx="1181100" cy="1226820"/>
        </a:xfrm>
        <a:prstGeom prst="rect">
          <a:avLst/>
        </a:prstGeom>
        <a:ln/>
      </xdr:spPr>
    </xdr:pic>
    <xdr:clientData/>
  </xdr:twoCellAnchor>
  <xdr:twoCellAnchor editAs="oneCell">
    <xdr:from>
      <xdr:col>0</xdr:col>
      <xdr:colOff>784860</xdr:colOff>
      <xdr:row>0</xdr:row>
      <xdr:rowOff>121920</xdr:rowOff>
    </xdr:from>
    <xdr:to>
      <xdr:col>0</xdr:col>
      <xdr:colOff>1965960</xdr:colOff>
      <xdr:row>7</xdr:row>
      <xdr:rowOff>15240</xdr:rowOff>
    </xdr:to>
    <xdr:pic>
      <xdr:nvPicPr>
        <xdr:cNvPr id="6" name="image1.png">
          <a:extLst>
            <a:ext uri="{FF2B5EF4-FFF2-40B4-BE49-F238E27FC236}">
              <a16:creationId xmlns:a16="http://schemas.microsoft.com/office/drawing/2014/main" id="{8F0BA49D-6795-48D8-8E00-CC7B7249DB9B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784860" y="121920"/>
          <a:ext cx="1181100" cy="1226820"/>
        </a:xfrm>
        <a:prstGeom prst="rect">
          <a:avLst/>
        </a:prstGeom>
        <a:ln/>
      </xdr:spPr>
    </xdr:pic>
    <xdr:clientData/>
  </xdr:twoCellAnchor>
  <xdr:twoCellAnchor editAs="oneCell">
    <xdr:from>
      <xdr:col>0</xdr:col>
      <xdr:colOff>784860</xdr:colOff>
      <xdr:row>0</xdr:row>
      <xdr:rowOff>121920</xdr:rowOff>
    </xdr:from>
    <xdr:to>
      <xdr:col>0</xdr:col>
      <xdr:colOff>1965960</xdr:colOff>
      <xdr:row>7</xdr:row>
      <xdr:rowOff>15240</xdr:rowOff>
    </xdr:to>
    <xdr:pic>
      <xdr:nvPicPr>
        <xdr:cNvPr id="7" name="image1.png">
          <a:extLst>
            <a:ext uri="{FF2B5EF4-FFF2-40B4-BE49-F238E27FC236}">
              <a16:creationId xmlns:a16="http://schemas.microsoft.com/office/drawing/2014/main" id="{5838DA14-D7C7-43D9-9682-4BEF2FE5D088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784860" y="121920"/>
          <a:ext cx="1181100" cy="1226820"/>
        </a:xfrm>
        <a:prstGeom prst="rect">
          <a:avLst/>
        </a:prstGeom>
        <a:ln/>
      </xdr:spPr>
    </xdr:pic>
    <xdr:clientData/>
  </xdr:twoCellAnchor>
  <xdr:twoCellAnchor editAs="oneCell">
    <xdr:from>
      <xdr:col>0</xdr:col>
      <xdr:colOff>784860</xdr:colOff>
      <xdr:row>0</xdr:row>
      <xdr:rowOff>121920</xdr:rowOff>
    </xdr:from>
    <xdr:to>
      <xdr:col>0</xdr:col>
      <xdr:colOff>1965960</xdr:colOff>
      <xdr:row>7</xdr:row>
      <xdr:rowOff>15240</xdr:rowOff>
    </xdr:to>
    <xdr:pic>
      <xdr:nvPicPr>
        <xdr:cNvPr id="8" name="image1.png">
          <a:extLst>
            <a:ext uri="{FF2B5EF4-FFF2-40B4-BE49-F238E27FC236}">
              <a16:creationId xmlns:a16="http://schemas.microsoft.com/office/drawing/2014/main" id="{3A9B98ED-D445-4A2D-8B45-CCBE32815CC3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784860" y="121920"/>
          <a:ext cx="1181100" cy="1226820"/>
        </a:xfrm>
        <a:prstGeom prst="rect">
          <a:avLst/>
        </a:prstGeom>
        <a:ln/>
      </xdr:spPr>
    </xdr:pic>
    <xdr:clientData/>
  </xdr:twoCellAnchor>
  <xdr:twoCellAnchor editAs="oneCell">
    <xdr:from>
      <xdr:col>0</xdr:col>
      <xdr:colOff>784860</xdr:colOff>
      <xdr:row>0</xdr:row>
      <xdr:rowOff>121920</xdr:rowOff>
    </xdr:from>
    <xdr:to>
      <xdr:col>0</xdr:col>
      <xdr:colOff>1965960</xdr:colOff>
      <xdr:row>7</xdr:row>
      <xdr:rowOff>15240</xdr:rowOff>
    </xdr:to>
    <xdr:pic>
      <xdr:nvPicPr>
        <xdr:cNvPr id="9" name="image1.png">
          <a:extLst>
            <a:ext uri="{FF2B5EF4-FFF2-40B4-BE49-F238E27FC236}">
              <a16:creationId xmlns:a16="http://schemas.microsoft.com/office/drawing/2014/main" id="{B8B8710E-9C2A-45CD-95A6-7AF2FC072A28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784860" y="121920"/>
          <a:ext cx="1181100" cy="1226820"/>
        </a:xfrm>
        <a:prstGeom prst="rect">
          <a:avLst/>
        </a:prstGeom>
        <a:ln/>
      </xdr:spPr>
    </xdr:pic>
    <xdr:clientData/>
  </xdr:twoCellAnchor>
  <xdr:twoCellAnchor editAs="oneCell">
    <xdr:from>
      <xdr:col>0</xdr:col>
      <xdr:colOff>784860</xdr:colOff>
      <xdr:row>0</xdr:row>
      <xdr:rowOff>121920</xdr:rowOff>
    </xdr:from>
    <xdr:to>
      <xdr:col>0</xdr:col>
      <xdr:colOff>1965960</xdr:colOff>
      <xdr:row>7</xdr:row>
      <xdr:rowOff>15240</xdr:rowOff>
    </xdr:to>
    <xdr:pic>
      <xdr:nvPicPr>
        <xdr:cNvPr id="10" name="image1.png">
          <a:extLst>
            <a:ext uri="{FF2B5EF4-FFF2-40B4-BE49-F238E27FC236}">
              <a16:creationId xmlns:a16="http://schemas.microsoft.com/office/drawing/2014/main" id="{3845426E-0DB1-4715-9192-AD1C3241EA72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784860" y="121920"/>
          <a:ext cx="1181100" cy="1226820"/>
        </a:xfrm>
        <a:prstGeom prst="rect">
          <a:avLst/>
        </a:prstGeom>
        <a:ln/>
      </xdr:spPr>
    </xdr:pic>
    <xdr:clientData/>
  </xdr:twoCellAnchor>
  <xdr:twoCellAnchor editAs="oneCell">
    <xdr:from>
      <xdr:col>0</xdr:col>
      <xdr:colOff>784860</xdr:colOff>
      <xdr:row>0</xdr:row>
      <xdr:rowOff>121920</xdr:rowOff>
    </xdr:from>
    <xdr:to>
      <xdr:col>0</xdr:col>
      <xdr:colOff>1965960</xdr:colOff>
      <xdr:row>7</xdr:row>
      <xdr:rowOff>15240</xdr:rowOff>
    </xdr:to>
    <xdr:pic>
      <xdr:nvPicPr>
        <xdr:cNvPr id="11" name="image1.png">
          <a:extLst>
            <a:ext uri="{FF2B5EF4-FFF2-40B4-BE49-F238E27FC236}">
              <a16:creationId xmlns:a16="http://schemas.microsoft.com/office/drawing/2014/main" id="{8AA50158-A7BD-48C0-B1DE-FA9B5AA84E81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784860" y="121920"/>
          <a:ext cx="1181100" cy="1226820"/>
        </a:xfrm>
        <a:prstGeom prst="rect">
          <a:avLst/>
        </a:prstGeom>
        <a:ln/>
      </xdr:spPr>
    </xdr:pic>
    <xdr:clientData/>
  </xdr:twoCellAnchor>
  <xdr:twoCellAnchor editAs="oneCell">
    <xdr:from>
      <xdr:col>0</xdr:col>
      <xdr:colOff>784860</xdr:colOff>
      <xdr:row>0</xdr:row>
      <xdr:rowOff>121920</xdr:rowOff>
    </xdr:from>
    <xdr:to>
      <xdr:col>0</xdr:col>
      <xdr:colOff>1965960</xdr:colOff>
      <xdr:row>7</xdr:row>
      <xdr:rowOff>15240</xdr:rowOff>
    </xdr:to>
    <xdr:pic>
      <xdr:nvPicPr>
        <xdr:cNvPr id="12" name="image1.png">
          <a:extLst>
            <a:ext uri="{FF2B5EF4-FFF2-40B4-BE49-F238E27FC236}">
              <a16:creationId xmlns:a16="http://schemas.microsoft.com/office/drawing/2014/main" id="{F53EB054-DC81-4886-B6B5-5F7E23661752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784860" y="121920"/>
          <a:ext cx="1181100" cy="1226820"/>
        </a:xfrm>
        <a:prstGeom prst="rect">
          <a:avLst/>
        </a:prstGeom>
        <a:ln/>
      </xdr:spPr>
    </xdr:pic>
    <xdr:clientData/>
  </xdr:twoCellAnchor>
  <xdr:twoCellAnchor editAs="oneCell">
    <xdr:from>
      <xdr:col>0</xdr:col>
      <xdr:colOff>784860</xdr:colOff>
      <xdr:row>0</xdr:row>
      <xdr:rowOff>121920</xdr:rowOff>
    </xdr:from>
    <xdr:to>
      <xdr:col>0</xdr:col>
      <xdr:colOff>1965960</xdr:colOff>
      <xdr:row>7</xdr:row>
      <xdr:rowOff>15240</xdr:rowOff>
    </xdr:to>
    <xdr:pic>
      <xdr:nvPicPr>
        <xdr:cNvPr id="13" name="image1.png">
          <a:extLst>
            <a:ext uri="{FF2B5EF4-FFF2-40B4-BE49-F238E27FC236}">
              <a16:creationId xmlns:a16="http://schemas.microsoft.com/office/drawing/2014/main" id="{4594DBE4-7B61-43BD-81E2-70AC6ECDBCF7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784860" y="121920"/>
          <a:ext cx="1181100" cy="1226820"/>
        </a:xfrm>
        <a:prstGeom prst="rect">
          <a:avLst/>
        </a:prstGeom>
        <a:ln/>
      </xdr:spPr>
    </xdr:pic>
    <xdr:clientData/>
  </xdr:twoCellAnchor>
  <xdr:twoCellAnchor editAs="oneCell">
    <xdr:from>
      <xdr:col>0</xdr:col>
      <xdr:colOff>784860</xdr:colOff>
      <xdr:row>0</xdr:row>
      <xdr:rowOff>121920</xdr:rowOff>
    </xdr:from>
    <xdr:to>
      <xdr:col>0</xdr:col>
      <xdr:colOff>1965960</xdr:colOff>
      <xdr:row>7</xdr:row>
      <xdr:rowOff>15240</xdr:rowOff>
    </xdr:to>
    <xdr:pic>
      <xdr:nvPicPr>
        <xdr:cNvPr id="14" name="image1.png">
          <a:extLst>
            <a:ext uri="{FF2B5EF4-FFF2-40B4-BE49-F238E27FC236}">
              <a16:creationId xmlns:a16="http://schemas.microsoft.com/office/drawing/2014/main" id="{5D3020E5-9877-4F43-B08E-F77AFDC66F81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784860" y="121920"/>
          <a:ext cx="1181100" cy="1226820"/>
        </a:xfrm>
        <a:prstGeom prst="rect">
          <a:avLst/>
        </a:prstGeom>
        <a:ln/>
      </xdr:spPr>
    </xdr:pic>
    <xdr:clientData/>
  </xdr:twoCellAnchor>
  <xdr:twoCellAnchor editAs="oneCell">
    <xdr:from>
      <xdr:col>0</xdr:col>
      <xdr:colOff>784860</xdr:colOff>
      <xdr:row>0</xdr:row>
      <xdr:rowOff>121920</xdr:rowOff>
    </xdr:from>
    <xdr:to>
      <xdr:col>0</xdr:col>
      <xdr:colOff>1965960</xdr:colOff>
      <xdr:row>7</xdr:row>
      <xdr:rowOff>15240</xdr:rowOff>
    </xdr:to>
    <xdr:pic>
      <xdr:nvPicPr>
        <xdr:cNvPr id="15" name="image1.png">
          <a:extLst>
            <a:ext uri="{FF2B5EF4-FFF2-40B4-BE49-F238E27FC236}">
              <a16:creationId xmlns:a16="http://schemas.microsoft.com/office/drawing/2014/main" id="{FD8020C7-63DC-483F-85E9-361D9A1C78EF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784860" y="121920"/>
          <a:ext cx="1181100" cy="1226820"/>
        </a:xfrm>
        <a:prstGeom prst="rect">
          <a:avLst/>
        </a:prstGeom>
        <a:ln/>
      </xdr:spPr>
    </xdr:pic>
    <xdr:clientData/>
  </xdr:twoCellAnchor>
  <xdr:twoCellAnchor editAs="oneCell">
    <xdr:from>
      <xdr:col>0</xdr:col>
      <xdr:colOff>784860</xdr:colOff>
      <xdr:row>0</xdr:row>
      <xdr:rowOff>121920</xdr:rowOff>
    </xdr:from>
    <xdr:to>
      <xdr:col>0</xdr:col>
      <xdr:colOff>1965960</xdr:colOff>
      <xdr:row>7</xdr:row>
      <xdr:rowOff>15240</xdr:rowOff>
    </xdr:to>
    <xdr:pic>
      <xdr:nvPicPr>
        <xdr:cNvPr id="16" name="image1.png">
          <a:extLst>
            <a:ext uri="{FF2B5EF4-FFF2-40B4-BE49-F238E27FC236}">
              <a16:creationId xmlns:a16="http://schemas.microsoft.com/office/drawing/2014/main" id="{EB30A1BE-4552-4EAD-B992-6E2EDFDC331C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784860" y="121920"/>
          <a:ext cx="1181100" cy="1226820"/>
        </a:xfrm>
        <a:prstGeom prst="rect">
          <a:avLst/>
        </a:prstGeom>
        <a:ln/>
      </xdr:spPr>
    </xdr:pic>
    <xdr:clientData/>
  </xdr:twoCellAnchor>
  <xdr:twoCellAnchor editAs="oneCell">
    <xdr:from>
      <xdr:col>0</xdr:col>
      <xdr:colOff>784860</xdr:colOff>
      <xdr:row>0</xdr:row>
      <xdr:rowOff>121920</xdr:rowOff>
    </xdr:from>
    <xdr:to>
      <xdr:col>0</xdr:col>
      <xdr:colOff>1965960</xdr:colOff>
      <xdr:row>7</xdr:row>
      <xdr:rowOff>15240</xdr:rowOff>
    </xdr:to>
    <xdr:pic>
      <xdr:nvPicPr>
        <xdr:cNvPr id="17" name="image1.png">
          <a:extLst>
            <a:ext uri="{FF2B5EF4-FFF2-40B4-BE49-F238E27FC236}">
              <a16:creationId xmlns:a16="http://schemas.microsoft.com/office/drawing/2014/main" id="{DB18FF85-1CED-40BB-97B2-53B29CAEB34A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784860" y="121920"/>
          <a:ext cx="1181100" cy="1226820"/>
        </a:xfrm>
        <a:prstGeom prst="rect">
          <a:avLst/>
        </a:prstGeom>
        <a:ln/>
      </xdr:spPr>
    </xdr:pic>
    <xdr:clientData/>
  </xdr:twoCellAnchor>
  <xdr:twoCellAnchor editAs="oneCell">
    <xdr:from>
      <xdr:col>0</xdr:col>
      <xdr:colOff>784860</xdr:colOff>
      <xdr:row>0</xdr:row>
      <xdr:rowOff>121920</xdr:rowOff>
    </xdr:from>
    <xdr:to>
      <xdr:col>0</xdr:col>
      <xdr:colOff>1965960</xdr:colOff>
      <xdr:row>7</xdr:row>
      <xdr:rowOff>15240</xdr:rowOff>
    </xdr:to>
    <xdr:pic>
      <xdr:nvPicPr>
        <xdr:cNvPr id="18" name="image1.png">
          <a:extLst>
            <a:ext uri="{FF2B5EF4-FFF2-40B4-BE49-F238E27FC236}">
              <a16:creationId xmlns:a16="http://schemas.microsoft.com/office/drawing/2014/main" id="{CA29C883-A7CB-4B2B-BAA5-24D15E8088C8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784860" y="121920"/>
          <a:ext cx="1181100" cy="1226820"/>
        </a:xfrm>
        <a:prstGeom prst="rect">
          <a:avLst/>
        </a:prstGeom>
        <a:ln/>
      </xdr:spPr>
    </xdr:pic>
    <xdr:clientData/>
  </xdr:twoCellAnchor>
  <xdr:twoCellAnchor editAs="oneCell">
    <xdr:from>
      <xdr:col>0</xdr:col>
      <xdr:colOff>784860</xdr:colOff>
      <xdr:row>0</xdr:row>
      <xdr:rowOff>121920</xdr:rowOff>
    </xdr:from>
    <xdr:to>
      <xdr:col>0</xdr:col>
      <xdr:colOff>1965960</xdr:colOff>
      <xdr:row>7</xdr:row>
      <xdr:rowOff>15240</xdr:rowOff>
    </xdr:to>
    <xdr:pic>
      <xdr:nvPicPr>
        <xdr:cNvPr id="19" name="image1.png">
          <a:extLst>
            <a:ext uri="{FF2B5EF4-FFF2-40B4-BE49-F238E27FC236}">
              <a16:creationId xmlns:a16="http://schemas.microsoft.com/office/drawing/2014/main" id="{D5936707-D46C-4042-B383-40341ABC6BD9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784860" y="121920"/>
          <a:ext cx="1181100" cy="1226820"/>
        </a:xfrm>
        <a:prstGeom prst="rect">
          <a:avLst/>
        </a:prstGeom>
        <a:ln/>
      </xdr:spPr>
    </xdr:pic>
    <xdr:clientData/>
  </xdr:twoCellAnchor>
  <xdr:twoCellAnchor editAs="oneCell">
    <xdr:from>
      <xdr:col>0</xdr:col>
      <xdr:colOff>784860</xdr:colOff>
      <xdr:row>0</xdr:row>
      <xdr:rowOff>121920</xdr:rowOff>
    </xdr:from>
    <xdr:to>
      <xdr:col>0</xdr:col>
      <xdr:colOff>1965960</xdr:colOff>
      <xdr:row>7</xdr:row>
      <xdr:rowOff>15240</xdr:rowOff>
    </xdr:to>
    <xdr:pic>
      <xdr:nvPicPr>
        <xdr:cNvPr id="20" name="image1.png">
          <a:extLst>
            <a:ext uri="{FF2B5EF4-FFF2-40B4-BE49-F238E27FC236}">
              <a16:creationId xmlns:a16="http://schemas.microsoft.com/office/drawing/2014/main" id="{B45D2E86-6C24-4F9F-AB3F-C0F8F462155C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784860" y="121920"/>
          <a:ext cx="1181100" cy="1226820"/>
        </a:xfrm>
        <a:prstGeom prst="rect">
          <a:avLst/>
        </a:prstGeom>
        <a:ln/>
      </xdr:spPr>
    </xdr:pic>
    <xdr:clientData/>
  </xdr:twoCellAnchor>
  <xdr:twoCellAnchor editAs="oneCell">
    <xdr:from>
      <xdr:col>0</xdr:col>
      <xdr:colOff>784860</xdr:colOff>
      <xdr:row>0</xdr:row>
      <xdr:rowOff>121920</xdr:rowOff>
    </xdr:from>
    <xdr:to>
      <xdr:col>0</xdr:col>
      <xdr:colOff>1965960</xdr:colOff>
      <xdr:row>7</xdr:row>
      <xdr:rowOff>15240</xdr:rowOff>
    </xdr:to>
    <xdr:pic>
      <xdr:nvPicPr>
        <xdr:cNvPr id="21" name="image1.png">
          <a:extLst>
            <a:ext uri="{FF2B5EF4-FFF2-40B4-BE49-F238E27FC236}">
              <a16:creationId xmlns:a16="http://schemas.microsoft.com/office/drawing/2014/main" id="{F5CE6303-D3B6-48DB-8A19-CD053FA98625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784860" y="121920"/>
          <a:ext cx="1181100" cy="1226820"/>
        </a:xfrm>
        <a:prstGeom prst="rect">
          <a:avLst/>
        </a:prstGeom>
        <a:ln/>
      </xdr:spPr>
    </xdr:pic>
    <xdr:clientData/>
  </xdr:twoCellAnchor>
  <xdr:twoCellAnchor editAs="oneCell">
    <xdr:from>
      <xdr:col>0</xdr:col>
      <xdr:colOff>784860</xdr:colOff>
      <xdr:row>0</xdr:row>
      <xdr:rowOff>121920</xdr:rowOff>
    </xdr:from>
    <xdr:to>
      <xdr:col>0</xdr:col>
      <xdr:colOff>1965960</xdr:colOff>
      <xdr:row>7</xdr:row>
      <xdr:rowOff>15240</xdr:rowOff>
    </xdr:to>
    <xdr:pic>
      <xdr:nvPicPr>
        <xdr:cNvPr id="22" name="image1.png">
          <a:extLst>
            <a:ext uri="{FF2B5EF4-FFF2-40B4-BE49-F238E27FC236}">
              <a16:creationId xmlns:a16="http://schemas.microsoft.com/office/drawing/2014/main" id="{54675432-878E-4D53-97AB-2A7728887583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784860" y="121920"/>
          <a:ext cx="1181100" cy="1226820"/>
        </a:xfrm>
        <a:prstGeom prst="rect">
          <a:avLst/>
        </a:prstGeom>
        <a:ln/>
      </xdr:spPr>
    </xdr:pic>
    <xdr:clientData/>
  </xdr:twoCellAnchor>
  <xdr:twoCellAnchor editAs="oneCell">
    <xdr:from>
      <xdr:col>0</xdr:col>
      <xdr:colOff>784860</xdr:colOff>
      <xdr:row>0</xdr:row>
      <xdr:rowOff>121920</xdr:rowOff>
    </xdr:from>
    <xdr:to>
      <xdr:col>0</xdr:col>
      <xdr:colOff>1965960</xdr:colOff>
      <xdr:row>7</xdr:row>
      <xdr:rowOff>15240</xdr:rowOff>
    </xdr:to>
    <xdr:pic>
      <xdr:nvPicPr>
        <xdr:cNvPr id="23" name="image1.png">
          <a:extLst>
            <a:ext uri="{FF2B5EF4-FFF2-40B4-BE49-F238E27FC236}">
              <a16:creationId xmlns:a16="http://schemas.microsoft.com/office/drawing/2014/main" id="{F827CF8F-31CA-49E0-B127-DA86B467A509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784860" y="121920"/>
          <a:ext cx="1181100" cy="1226820"/>
        </a:xfrm>
        <a:prstGeom prst="rect">
          <a:avLst/>
        </a:prstGeom>
        <a:ln/>
      </xdr:spPr>
    </xdr:pic>
    <xdr:clientData/>
  </xdr:twoCellAnchor>
  <xdr:twoCellAnchor editAs="oneCell">
    <xdr:from>
      <xdr:col>0</xdr:col>
      <xdr:colOff>784860</xdr:colOff>
      <xdr:row>0</xdr:row>
      <xdr:rowOff>121920</xdr:rowOff>
    </xdr:from>
    <xdr:to>
      <xdr:col>0</xdr:col>
      <xdr:colOff>1965960</xdr:colOff>
      <xdr:row>7</xdr:row>
      <xdr:rowOff>15240</xdr:rowOff>
    </xdr:to>
    <xdr:pic>
      <xdr:nvPicPr>
        <xdr:cNvPr id="24" name="image1.png">
          <a:extLst>
            <a:ext uri="{FF2B5EF4-FFF2-40B4-BE49-F238E27FC236}">
              <a16:creationId xmlns:a16="http://schemas.microsoft.com/office/drawing/2014/main" id="{B7B9BE31-12E9-420C-B38E-784D0F70A7E2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784860" y="121920"/>
          <a:ext cx="1181100" cy="1226820"/>
        </a:xfrm>
        <a:prstGeom prst="rect">
          <a:avLst/>
        </a:prstGeom>
        <a:ln/>
      </xdr:spPr>
    </xdr:pic>
    <xdr:clientData/>
  </xdr:twoCellAnchor>
  <xdr:twoCellAnchor editAs="oneCell">
    <xdr:from>
      <xdr:col>0</xdr:col>
      <xdr:colOff>784860</xdr:colOff>
      <xdr:row>0</xdr:row>
      <xdr:rowOff>121920</xdr:rowOff>
    </xdr:from>
    <xdr:to>
      <xdr:col>0</xdr:col>
      <xdr:colOff>1965960</xdr:colOff>
      <xdr:row>7</xdr:row>
      <xdr:rowOff>15240</xdr:rowOff>
    </xdr:to>
    <xdr:pic>
      <xdr:nvPicPr>
        <xdr:cNvPr id="25" name="image1.png">
          <a:extLst>
            <a:ext uri="{FF2B5EF4-FFF2-40B4-BE49-F238E27FC236}">
              <a16:creationId xmlns:a16="http://schemas.microsoft.com/office/drawing/2014/main" id="{6B15BDF4-1851-454F-B644-F3B4743D2CFA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784860" y="121920"/>
          <a:ext cx="1181100" cy="1226820"/>
        </a:xfrm>
        <a:prstGeom prst="rect">
          <a:avLst/>
        </a:prstGeom>
        <a:ln/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784860</xdr:colOff>
      <xdr:row>0</xdr:row>
      <xdr:rowOff>121920</xdr:rowOff>
    </xdr:from>
    <xdr:to>
      <xdr:col>0</xdr:col>
      <xdr:colOff>1965960</xdr:colOff>
      <xdr:row>7</xdr:row>
      <xdr:rowOff>15240</xdr:rowOff>
    </xdr:to>
    <xdr:pic>
      <xdr:nvPicPr>
        <xdr:cNvPr id="2" name="image1.png">
          <a:extLst>
            <a:ext uri="{FF2B5EF4-FFF2-40B4-BE49-F238E27FC236}">
              <a16:creationId xmlns:a16="http://schemas.microsoft.com/office/drawing/2014/main" id="{78C2114B-5BDC-4606-B426-AB94893FBBE8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784860" y="121920"/>
          <a:ext cx="1181100" cy="1226820"/>
        </a:xfrm>
        <a:prstGeom prst="rect">
          <a:avLst/>
        </a:prstGeom>
        <a:ln/>
      </xdr:spPr>
    </xdr:pic>
    <xdr:clientData/>
  </xdr:twoCellAnchor>
  <xdr:twoCellAnchor editAs="oneCell">
    <xdr:from>
      <xdr:col>0</xdr:col>
      <xdr:colOff>784860</xdr:colOff>
      <xdr:row>0</xdr:row>
      <xdr:rowOff>121920</xdr:rowOff>
    </xdr:from>
    <xdr:to>
      <xdr:col>0</xdr:col>
      <xdr:colOff>1965960</xdr:colOff>
      <xdr:row>7</xdr:row>
      <xdr:rowOff>15240</xdr:rowOff>
    </xdr:to>
    <xdr:pic>
      <xdr:nvPicPr>
        <xdr:cNvPr id="3" name="image1.png">
          <a:extLst>
            <a:ext uri="{FF2B5EF4-FFF2-40B4-BE49-F238E27FC236}">
              <a16:creationId xmlns:a16="http://schemas.microsoft.com/office/drawing/2014/main" id="{1BFD26F0-263F-4AAB-AFDE-279A5652B309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784860" y="121920"/>
          <a:ext cx="1181100" cy="1226820"/>
        </a:xfrm>
        <a:prstGeom prst="rect">
          <a:avLst/>
        </a:prstGeom>
        <a:ln/>
      </xdr:spPr>
    </xdr:pic>
    <xdr:clientData/>
  </xdr:twoCellAnchor>
  <xdr:twoCellAnchor editAs="oneCell">
    <xdr:from>
      <xdr:col>0</xdr:col>
      <xdr:colOff>784860</xdr:colOff>
      <xdr:row>0</xdr:row>
      <xdr:rowOff>121920</xdr:rowOff>
    </xdr:from>
    <xdr:to>
      <xdr:col>0</xdr:col>
      <xdr:colOff>1965960</xdr:colOff>
      <xdr:row>7</xdr:row>
      <xdr:rowOff>15240</xdr:rowOff>
    </xdr:to>
    <xdr:pic>
      <xdr:nvPicPr>
        <xdr:cNvPr id="4" name="image1.png">
          <a:extLst>
            <a:ext uri="{FF2B5EF4-FFF2-40B4-BE49-F238E27FC236}">
              <a16:creationId xmlns:a16="http://schemas.microsoft.com/office/drawing/2014/main" id="{BD07C1EE-19E7-4529-BB92-36E56685088E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784860" y="121920"/>
          <a:ext cx="1181100" cy="1226820"/>
        </a:xfrm>
        <a:prstGeom prst="rect">
          <a:avLst/>
        </a:prstGeom>
        <a:ln/>
      </xdr:spPr>
    </xdr:pic>
    <xdr:clientData/>
  </xdr:twoCellAnchor>
  <xdr:twoCellAnchor editAs="oneCell">
    <xdr:from>
      <xdr:col>0</xdr:col>
      <xdr:colOff>784860</xdr:colOff>
      <xdr:row>0</xdr:row>
      <xdr:rowOff>121920</xdr:rowOff>
    </xdr:from>
    <xdr:to>
      <xdr:col>0</xdr:col>
      <xdr:colOff>1965960</xdr:colOff>
      <xdr:row>7</xdr:row>
      <xdr:rowOff>15240</xdr:rowOff>
    </xdr:to>
    <xdr:pic>
      <xdr:nvPicPr>
        <xdr:cNvPr id="5" name="image1.png">
          <a:extLst>
            <a:ext uri="{FF2B5EF4-FFF2-40B4-BE49-F238E27FC236}">
              <a16:creationId xmlns:a16="http://schemas.microsoft.com/office/drawing/2014/main" id="{B7AA42C6-F95F-424E-9E92-CA2B76A899DD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784860" y="121920"/>
          <a:ext cx="1181100" cy="1226820"/>
        </a:xfrm>
        <a:prstGeom prst="rect">
          <a:avLst/>
        </a:prstGeom>
        <a:ln/>
      </xdr:spPr>
    </xdr:pic>
    <xdr:clientData/>
  </xdr:twoCellAnchor>
  <xdr:twoCellAnchor editAs="oneCell">
    <xdr:from>
      <xdr:col>0</xdr:col>
      <xdr:colOff>784860</xdr:colOff>
      <xdr:row>0</xdr:row>
      <xdr:rowOff>121920</xdr:rowOff>
    </xdr:from>
    <xdr:to>
      <xdr:col>0</xdr:col>
      <xdr:colOff>1965960</xdr:colOff>
      <xdr:row>7</xdr:row>
      <xdr:rowOff>15240</xdr:rowOff>
    </xdr:to>
    <xdr:pic>
      <xdr:nvPicPr>
        <xdr:cNvPr id="6" name="image1.png">
          <a:extLst>
            <a:ext uri="{FF2B5EF4-FFF2-40B4-BE49-F238E27FC236}">
              <a16:creationId xmlns:a16="http://schemas.microsoft.com/office/drawing/2014/main" id="{34B0842B-4C8A-412E-B090-B638AFA74F2C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784860" y="121920"/>
          <a:ext cx="1181100" cy="1226820"/>
        </a:xfrm>
        <a:prstGeom prst="rect">
          <a:avLst/>
        </a:prstGeom>
        <a:ln/>
      </xdr:spPr>
    </xdr:pic>
    <xdr:clientData/>
  </xdr:twoCellAnchor>
  <xdr:twoCellAnchor editAs="oneCell">
    <xdr:from>
      <xdr:col>0</xdr:col>
      <xdr:colOff>784860</xdr:colOff>
      <xdr:row>0</xdr:row>
      <xdr:rowOff>121920</xdr:rowOff>
    </xdr:from>
    <xdr:to>
      <xdr:col>0</xdr:col>
      <xdr:colOff>1965960</xdr:colOff>
      <xdr:row>7</xdr:row>
      <xdr:rowOff>15240</xdr:rowOff>
    </xdr:to>
    <xdr:pic>
      <xdr:nvPicPr>
        <xdr:cNvPr id="7" name="image1.png">
          <a:extLst>
            <a:ext uri="{FF2B5EF4-FFF2-40B4-BE49-F238E27FC236}">
              <a16:creationId xmlns:a16="http://schemas.microsoft.com/office/drawing/2014/main" id="{117799E2-69C6-4AD3-8708-D44034754875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784860" y="121920"/>
          <a:ext cx="1181100" cy="1226820"/>
        </a:xfrm>
        <a:prstGeom prst="rect">
          <a:avLst/>
        </a:prstGeom>
        <a:ln/>
      </xdr:spPr>
    </xdr:pic>
    <xdr:clientData/>
  </xdr:twoCellAnchor>
  <xdr:twoCellAnchor editAs="oneCell">
    <xdr:from>
      <xdr:col>0</xdr:col>
      <xdr:colOff>784860</xdr:colOff>
      <xdr:row>0</xdr:row>
      <xdr:rowOff>121920</xdr:rowOff>
    </xdr:from>
    <xdr:to>
      <xdr:col>0</xdr:col>
      <xdr:colOff>1965960</xdr:colOff>
      <xdr:row>7</xdr:row>
      <xdr:rowOff>15240</xdr:rowOff>
    </xdr:to>
    <xdr:pic>
      <xdr:nvPicPr>
        <xdr:cNvPr id="8" name="image1.png">
          <a:extLst>
            <a:ext uri="{FF2B5EF4-FFF2-40B4-BE49-F238E27FC236}">
              <a16:creationId xmlns:a16="http://schemas.microsoft.com/office/drawing/2014/main" id="{51E9C046-68E4-4FE3-B7C5-FEAB079D085A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784860" y="121920"/>
          <a:ext cx="1181100" cy="1226820"/>
        </a:xfrm>
        <a:prstGeom prst="rect">
          <a:avLst/>
        </a:prstGeom>
        <a:ln/>
      </xdr:spPr>
    </xdr:pic>
    <xdr:clientData/>
  </xdr:twoCellAnchor>
  <xdr:twoCellAnchor editAs="oneCell">
    <xdr:from>
      <xdr:col>0</xdr:col>
      <xdr:colOff>784860</xdr:colOff>
      <xdr:row>0</xdr:row>
      <xdr:rowOff>121920</xdr:rowOff>
    </xdr:from>
    <xdr:to>
      <xdr:col>0</xdr:col>
      <xdr:colOff>1965960</xdr:colOff>
      <xdr:row>7</xdr:row>
      <xdr:rowOff>15240</xdr:rowOff>
    </xdr:to>
    <xdr:pic>
      <xdr:nvPicPr>
        <xdr:cNvPr id="9" name="image1.png">
          <a:extLst>
            <a:ext uri="{FF2B5EF4-FFF2-40B4-BE49-F238E27FC236}">
              <a16:creationId xmlns:a16="http://schemas.microsoft.com/office/drawing/2014/main" id="{B8FB50F7-B78A-41D1-A790-D8CA0BFEF243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784860" y="121920"/>
          <a:ext cx="1181100" cy="1226820"/>
        </a:xfrm>
        <a:prstGeom prst="rect">
          <a:avLst/>
        </a:prstGeom>
        <a:ln/>
      </xdr:spPr>
    </xdr:pic>
    <xdr:clientData/>
  </xdr:twoCellAnchor>
  <xdr:twoCellAnchor editAs="oneCell">
    <xdr:from>
      <xdr:col>0</xdr:col>
      <xdr:colOff>784860</xdr:colOff>
      <xdr:row>0</xdr:row>
      <xdr:rowOff>121920</xdr:rowOff>
    </xdr:from>
    <xdr:to>
      <xdr:col>0</xdr:col>
      <xdr:colOff>1965960</xdr:colOff>
      <xdr:row>7</xdr:row>
      <xdr:rowOff>15240</xdr:rowOff>
    </xdr:to>
    <xdr:pic>
      <xdr:nvPicPr>
        <xdr:cNvPr id="10" name="image1.png">
          <a:extLst>
            <a:ext uri="{FF2B5EF4-FFF2-40B4-BE49-F238E27FC236}">
              <a16:creationId xmlns:a16="http://schemas.microsoft.com/office/drawing/2014/main" id="{7D850728-E78B-446B-B6DA-CA378EFD750B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784860" y="121920"/>
          <a:ext cx="1181100" cy="1226820"/>
        </a:xfrm>
        <a:prstGeom prst="rect">
          <a:avLst/>
        </a:prstGeom>
        <a:ln/>
      </xdr:spPr>
    </xdr:pic>
    <xdr:clientData/>
  </xdr:twoCellAnchor>
  <xdr:twoCellAnchor editAs="oneCell">
    <xdr:from>
      <xdr:col>0</xdr:col>
      <xdr:colOff>784860</xdr:colOff>
      <xdr:row>0</xdr:row>
      <xdr:rowOff>121920</xdr:rowOff>
    </xdr:from>
    <xdr:to>
      <xdr:col>0</xdr:col>
      <xdr:colOff>1965960</xdr:colOff>
      <xdr:row>7</xdr:row>
      <xdr:rowOff>15240</xdr:rowOff>
    </xdr:to>
    <xdr:pic>
      <xdr:nvPicPr>
        <xdr:cNvPr id="11" name="image1.png">
          <a:extLst>
            <a:ext uri="{FF2B5EF4-FFF2-40B4-BE49-F238E27FC236}">
              <a16:creationId xmlns:a16="http://schemas.microsoft.com/office/drawing/2014/main" id="{F2B44182-B91D-478E-9BBD-46CA68007D0A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784860" y="121920"/>
          <a:ext cx="1181100" cy="1226820"/>
        </a:xfrm>
        <a:prstGeom prst="rect">
          <a:avLst/>
        </a:prstGeom>
        <a:ln/>
      </xdr:spPr>
    </xdr:pic>
    <xdr:clientData/>
  </xdr:twoCellAnchor>
  <xdr:twoCellAnchor editAs="oneCell">
    <xdr:from>
      <xdr:col>0</xdr:col>
      <xdr:colOff>784860</xdr:colOff>
      <xdr:row>0</xdr:row>
      <xdr:rowOff>121920</xdr:rowOff>
    </xdr:from>
    <xdr:to>
      <xdr:col>0</xdr:col>
      <xdr:colOff>1965960</xdr:colOff>
      <xdr:row>7</xdr:row>
      <xdr:rowOff>15240</xdr:rowOff>
    </xdr:to>
    <xdr:pic>
      <xdr:nvPicPr>
        <xdr:cNvPr id="12" name="image1.png">
          <a:extLst>
            <a:ext uri="{FF2B5EF4-FFF2-40B4-BE49-F238E27FC236}">
              <a16:creationId xmlns:a16="http://schemas.microsoft.com/office/drawing/2014/main" id="{93DFC056-1185-4FEE-A70A-D4E7455238F9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784860" y="121920"/>
          <a:ext cx="1181100" cy="1226820"/>
        </a:xfrm>
        <a:prstGeom prst="rect">
          <a:avLst/>
        </a:prstGeom>
        <a:ln/>
      </xdr:spPr>
    </xdr:pic>
    <xdr:clientData/>
  </xdr:twoCellAnchor>
  <xdr:twoCellAnchor editAs="oneCell">
    <xdr:from>
      <xdr:col>0</xdr:col>
      <xdr:colOff>784860</xdr:colOff>
      <xdr:row>0</xdr:row>
      <xdr:rowOff>121920</xdr:rowOff>
    </xdr:from>
    <xdr:to>
      <xdr:col>0</xdr:col>
      <xdr:colOff>1965960</xdr:colOff>
      <xdr:row>7</xdr:row>
      <xdr:rowOff>15240</xdr:rowOff>
    </xdr:to>
    <xdr:pic>
      <xdr:nvPicPr>
        <xdr:cNvPr id="13" name="image1.png">
          <a:extLst>
            <a:ext uri="{FF2B5EF4-FFF2-40B4-BE49-F238E27FC236}">
              <a16:creationId xmlns:a16="http://schemas.microsoft.com/office/drawing/2014/main" id="{F6DB8A85-76C5-482B-B4BC-F2373BAD688A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784860" y="121920"/>
          <a:ext cx="1181100" cy="1226820"/>
        </a:xfrm>
        <a:prstGeom prst="rect">
          <a:avLst/>
        </a:prstGeom>
        <a:ln/>
      </xdr:spPr>
    </xdr:pic>
    <xdr:clientData/>
  </xdr:twoCellAnchor>
  <xdr:twoCellAnchor editAs="oneCell">
    <xdr:from>
      <xdr:col>0</xdr:col>
      <xdr:colOff>784860</xdr:colOff>
      <xdr:row>0</xdr:row>
      <xdr:rowOff>121920</xdr:rowOff>
    </xdr:from>
    <xdr:to>
      <xdr:col>0</xdr:col>
      <xdr:colOff>1965960</xdr:colOff>
      <xdr:row>7</xdr:row>
      <xdr:rowOff>15240</xdr:rowOff>
    </xdr:to>
    <xdr:pic>
      <xdr:nvPicPr>
        <xdr:cNvPr id="14" name="image1.png">
          <a:extLst>
            <a:ext uri="{FF2B5EF4-FFF2-40B4-BE49-F238E27FC236}">
              <a16:creationId xmlns:a16="http://schemas.microsoft.com/office/drawing/2014/main" id="{2D0D9CBD-2729-46FA-AADA-0DCE2C790C39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784860" y="121920"/>
          <a:ext cx="1181100" cy="1226820"/>
        </a:xfrm>
        <a:prstGeom prst="rect">
          <a:avLst/>
        </a:prstGeom>
        <a:ln/>
      </xdr:spPr>
    </xdr:pic>
    <xdr:clientData/>
  </xdr:twoCellAnchor>
  <xdr:twoCellAnchor editAs="oneCell">
    <xdr:from>
      <xdr:col>0</xdr:col>
      <xdr:colOff>784860</xdr:colOff>
      <xdr:row>0</xdr:row>
      <xdr:rowOff>121920</xdr:rowOff>
    </xdr:from>
    <xdr:to>
      <xdr:col>0</xdr:col>
      <xdr:colOff>1965960</xdr:colOff>
      <xdr:row>7</xdr:row>
      <xdr:rowOff>15240</xdr:rowOff>
    </xdr:to>
    <xdr:pic>
      <xdr:nvPicPr>
        <xdr:cNvPr id="15" name="image1.png">
          <a:extLst>
            <a:ext uri="{FF2B5EF4-FFF2-40B4-BE49-F238E27FC236}">
              <a16:creationId xmlns:a16="http://schemas.microsoft.com/office/drawing/2014/main" id="{BA3B1DF1-D4C8-440F-A716-DDF099C4AB15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784860" y="121920"/>
          <a:ext cx="1181100" cy="1226820"/>
        </a:xfrm>
        <a:prstGeom prst="rect">
          <a:avLst/>
        </a:prstGeom>
        <a:ln/>
      </xdr:spPr>
    </xdr:pic>
    <xdr:clientData/>
  </xdr:twoCellAnchor>
  <xdr:twoCellAnchor editAs="oneCell">
    <xdr:from>
      <xdr:col>0</xdr:col>
      <xdr:colOff>784860</xdr:colOff>
      <xdr:row>0</xdr:row>
      <xdr:rowOff>121920</xdr:rowOff>
    </xdr:from>
    <xdr:to>
      <xdr:col>0</xdr:col>
      <xdr:colOff>1965960</xdr:colOff>
      <xdr:row>7</xdr:row>
      <xdr:rowOff>15240</xdr:rowOff>
    </xdr:to>
    <xdr:pic>
      <xdr:nvPicPr>
        <xdr:cNvPr id="16" name="image1.png">
          <a:extLst>
            <a:ext uri="{FF2B5EF4-FFF2-40B4-BE49-F238E27FC236}">
              <a16:creationId xmlns:a16="http://schemas.microsoft.com/office/drawing/2014/main" id="{A24EE49A-3C1B-44C1-BF9D-9E4CB47F23FE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784860" y="121920"/>
          <a:ext cx="1181100" cy="1226820"/>
        </a:xfrm>
        <a:prstGeom prst="rect">
          <a:avLst/>
        </a:prstGeom>
        <a:ln/>
      </xdr:spPr>
    </xdr:pic>
    <xdr:clientData/>
  </xdr:twoCellAnchor>
  <xdr:twoCellAnchor editAs="oneCell">
    <xdr:from>
      <xdr:col>0</xdr:col>
      <xdr:colOff>784860</xdr:colOff>
      <xdr:row>0</xdr:row>
      <xdr:rowOff>121920</xdr:rowOff>
    </xdr:from>
    <xdr:to>
      <xdr:col>0</xdr:col>
      <xdr:colOff>1965960</xdr:colOff>
      <xdr:row>7</xdr:row>
      <xdr:rowOff>15240</xdr:rowOff>
    </xdr:to>
    <xdr:pic>
      <xdr:nvPicPr>
        <xdr:cNvPr id="17" name="image1.png">
          <a:extLst>
            <a:ext uri="{FF2B5EF4-FFF2-40B4-BE49-F238E27FC236}">
              <a16:creationId xmlns:a16="http://schemas.microsoft.com/office/drawing/2014/main" id="{12E90FE7-9055-4B24-B008-BB39C3FDD338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784860" y="121920"/>
          <a:ext cx="1181100" cy="1226820"/>
        </a:xfrm>
        <a:prstGeom prst="rect">
          <a:avLst/>
        </a:prstGeom>
        <a:ln/>
      </xdr:spPr>
    </xdr:pic>
    <xdr:clientData/>
  </xdr:twoCellAnchor>
  <xdr:twoCellAnchor editAs="oneCell">
    <xdr:from>
      <xdr:col>0</xdr:col>
      <xdr:colOff>784860</xdr:colOff>
      <xdr:row>0</xdr:row>
      <xdr:rowOff>121920</xdr:rowOff>
    </xdr:from>
    <xdr:to>
      <xdr:col>0</xdr:col>
      <xdr:colOff>1965960</xdr:colOff>
      <xdr:row>7</xdr:row>
      <xdr:rowOff>15240</xdr:rowOff>
    </xdr:to>
    <xdr:pic>
      <xdr:nvPicPr>
        <xdr:cNvPr id="18" name="image1.png">
          <a:extLst>
            <a:ext uri="{FF2B5EF4-FFF2-40B4-BE49-F238E27FC236}">
              <a16:creationId xmlns:a16="http://schemas.microsoft.com/office/drawing/2014/main" id="{A2579B60-61FF-420A-8661-13041723D6D8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784860" y="121920"/>
          <a:ext cx="1181100" cy="1226820"/>
        </a:xfrm>
        <a:prstGeom prst="rect">
          <a:avLst/>
        </a:prstGeom>
        <a:ln/>
      </xdr:spPr>
    </xdr:pic>
    <xdr:clientData/>
  </xdr:twoCellAnchor>
  <xdr:twoCellAnchor editAs="oneCell">
    <xdr:from>
      <xdr:col>0</xdr:col>
      <xdr:colOff>784860</xdr:colOff>
      <xdr:row>0</xdr:row>
      <xdr:rowOff>121920</xdr:rowOff>
    </xdr:from>
    <xdr:to>
      <xdr:col>0</xdr:col>
      <xdr:colOff>1965960</xdr:colOff>
      <xdr:row>7</xdr:row>
      <xdr:rowOff>15240</xdr:rowOff>
    </xdr:to>
    <xdr:pic>
      <xdr:nvPicPr>
        <xdr:cNvPr id="19" name="image1.png">
          <a:extLst>
            <a:ext uri="{FF2B5EF4-FFF2-40B4-BE49-F238E27FC236}">
              <a16:creationId xmlns:a16="http://schemas.microsoft.com/office/drawing/2014/main" id="{77D2E000-D045-4CD3-8156-3442817DD17A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784860" y="121920"/>
          <a:ext cx="1181100" cy="1226820"/>
        </a:xfrm>
        <a:prstGeom prst="rect">
          <a:avLst/>
        </a:prstGeom>
        <a:ln/>
      </xdr:spPr>
    </xdr:pic>
    <xdr:clientData/>
  </xdr:twoCellAnchor>
  <xdr:twoCellAnchor editAs="oneCell">
    <xdr:from>
      <xdr:col>0</xdr:col>
      <xdr:colOff>784860</xdr:colOff>
      <xdr:row>0</xdr:row>
      <xdr:rowOff>121920</xdr:rowOff>
    </xdr:from>
    <xdr:to>
      <xdr:col>0</xdr:col>
      <xdr:colOff>1965960</xdr:colOff>
      <xdr:row>7</xdr:row>
      <xdr:rowOff>15240</xdr:rowOff>
    </xdr:to>
    <xdr:pic>
      <xdr:nvPicPr>
        <xdr:cNvPr id="20" name="image1.png">
          <a:extLst>
            <a:ext uri="{FF2B5EF4-FFF2-40B4-BE49-F238E27FC236}">
              <a16:creationId xmlns:a16="http://schemas.microsoft.com/office/drawing/2014/main" id="{E82F7FBD-6D4D-4E3E-A831-D70F583583E6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784860" y="121920"/>
          <a:ext cx="1181100" cy="1226820"/>
        </a:xfrm>
        <a:prstGeom prst="rect">
          <a:avLst/>
        </a:prstGeom>
        <a:ln/>
      </xdr:spPr>
    </xdr:pic>
    <xdr:clientData/>
  </xdr:twoCellAnchor>
  <xdr:twoCellAnchor editAs="oneCell">
    <xdr:from>
      <xdr:col>0</xdr:col>
      <xdr:colOff>784860</xdr:colOff>
      <xdr:row>0</xdr:row>
      <xdr:rowOff>121920</xdr:rowOff>
    </xdr:from>
    <xdr:to>
      <xdr:col>0</xdr:col>
      <xdr:colOff>1965960</xdr:colOff>
      <xdr:row>7</xdr:row>
      <xdr:rowOff>15240</xdr:rowOff>
    </xdr:to>
    <xdr:pic>
      <xdr:nvPicPr>
        <xdr:cNvPr id="21" name="image1.png">
          <a:extLst>
            <a:ext uri="{FF2B5EF4-FFF2-40B4-BE49-F238E27FC236}">
              <a16:creationId xmlns:a16="http://schemas.microsoft.com/office/drawing/2014/main" id="{6DEDB4C6-319E-4DC1-ACD3-F49750F113C6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784860" y="121920"/>
          <a:ext cx="1181100" cy="1226820"/>
        </a:xfrm>
        <a:prstGeom prst="rect">
          <a:avLst/>
        </a:prstGeom>
        <a:ln/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osmas.GRASMERE\AppData\Local\Microsoft\Windows\INetCache\Content.Outlook\H5WXMW5K\Plan%20for%20Bagged%20and%20Bulk%20Feed%20Deliveries%20week%203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osmas.GRASMERE\AppData\Local\Microsoft\Windows\INetCache\Content.Outlook\H5WXMW5K\Bulk%20feed%20order%20week%20template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triplecpigs-my.sharepoint.com/personal/jimmyson_grasmere_co_zw/Documents/Documents/CCC/Feed/Porta%20Feed%20Order%20Week%2016%20Templa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ted Summary"/>
      <sheetName val="32"/>
      <sheetName val="33"/>
      <sheetName val="34"/>
      <sheetName val="Summary"/>
    </sheetNames>
    <sheetDataSet>
      <sheetData sheetId="0"/>
      <sheetData sheetId="1"/>
      <sheetData sheetId="2"/>
      <sheetData sheetId="3"/>
      <sheetData sheetId="4">
        <row r="33">
          <cell r="E33">
            <v>0</v>
          </cell>
          <cell r="Q33">
            <v>0</v>
          </cell>
          <cell r="R33">
            <v>250</v>
          </cell>
          <cell r="Z33">
            <v>0</v>
          </cell>
          <cell r="AA33">
            <v>35</v>
          </cell>
          <cell r="AB33">
            <v>0</v>
          </cell>
          <cell r="AI33">
            <v>0</v>
          </cell>
          <cell r="AJ33">
            <v>0</v>
          </cell>
          <cell r="AK33">
            <v>0</v>
          </cell>
        </row>
        <row r="69">
          <cell r="AH69">
            <v>6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plate Loading Instruction"/>
      <sheetName val="Template Feed Order"/>
      <sheetName val="Summary "/>
      <sheetName val="Porta Wk 34"/>
      <sheetName val="Porta L. Instruction"/>
      <sheetName val="Lionshead Wk 21"/>
      <sheetName val="Lionshead L.instruction"/>
      <sheetName val="Grasmere Wk 21"/>
      <sheetName val="Grasmere L. instruction"/>
      <sheetName val="Multiplier Wk 21"/>
      <sheetName val="Multiplier L. Instruction"/>
      <sheetName val="Learig Wk 21"/>
      <sheetName val="Learig L. Instruction"/>
      <sheetName val="Richlands Wk 21"/>
      <sheetName val="Richlands L. instruction"/>
    </sheetNames>
    <sheetDataSet>
      <sheetData sheetId="0"/>
      <sheetData sheetId="1"/>
      <sheetData sheetId="2"/>
      <sheetData sheetId="3">
        <row r="28">
          <cell r="T28">
            <v>3000</v>
          </cell>
        </row>
        <row r="34">
          <cell r="AB34">
            <v>3000</v>
          </cell>
        </row>
        <row r="36">
          <cell r="AA36">
            <v>3000</v>
          </cell>
        </row>
        <row r="49">
          <cell r="V49">
            <v>3000</v>
          </cell>
        </row>
        <row r="85">
          <cell r="AG85">
            <v>3000</v>
          </cell>
        </row>
        <row r="86">
          <cell r="AB86">
            <v>3000</v>
          </cell>
          <cell r="AT86">
            <v>3000</v>
          </cell>
        </row>
        <row r="87">
          <cell r="AZ87">
            <v>3000</v>
          </cell>
        </row>
        <row r="88">
          <cell r="BG88">
            <v>3000</v>
          </cell>
        </row>
        <row r="89">
          <cell r="AI89">
            <v>3000</v>
          </cell>
          <cell r="BA89">
            <v>3000</v>
          </cell>
        </row>
        <row r="94">
          <cell r="T94">
            <v>3000</v>
          </cell>
          <cell r="AF94">
            <v>3000</v>
          </cell>
          <cell r="AX94">
            <v>3000</v>
          </cell>
        </row>
        <row r="97">
          <cell r="Z97">
            <v>3000</v>
          </cell>
          <cell r="AR97">
            <v>3000</v>
          </cell>
          <cell r="BD97">
            <v>3000</v>
          </cell>
        </row>
        <row r="100">
          <cell r="U100">
            <v>3000</v>
          </cell>
          <cell r="AA100">
            <v>3000</v>
          </cell>
          <cell r="AM100">
            <v>3000</v>
          </cell>
          <cell r="AY100">
            <v>3000</v>
          </cell>
        </row>
        <row r="103">
          <cell r="U103">
            <v>3000</v>
          </cell>
          <cell r="AA103">
            <v>3000</v>
          </cell>
          <cell r="AM103">
            <v>3000</v>
          </cell>
          <cell r="AS103">
            <v>3000</v>
          </cell>
          <cell r="BE103">
            <v>3000</v>
          </cell>
        </row>
        <row r="106">
          <cell r="V106">
            <v>3000</v>
          </cell>
          <cell r="AB106">
            <v>3000</v>
          </cell>
          <cell r="AN106">
            <v>3000</v>
          </cell>
          <cell r="AT106">
            <v>3000</v>
          </cell>
          <cell r="BF106">
            <v>3000</v>
          </cell>
        </row>
        <row r="109">
          <cell r="AB109">
            <v>3000</v>
          </cell>
          <cell r="AH109">
            <v>3000</v>
          </cell>
          <cell r="AT109">
            <v>3000</v>
          </cell>
          <cell r="BF109">
            <v>3000</v>
          </cell>
        </row>
        <row r="112">
          <cell r="AI112">
            <v>3000</v>
          </cell>
          <cell r="AO112">
            <v>3000</v>
          </cell>
          <cell r="BA112">
            <v>3000</v>
          </cell>
        </row>
        <row r="115">
          <cell r="W115">
            <v>3000</v>
          </cell>
          <cell r="AI115">
            <v>3000</v>
          </cell>
          <cell r="AO115">
            <v>3000</v>
          </cell>
          <cell r="BA115">
            <v>3000</v>
          </cell>
        </row>
        <row r="118">
          <cell r="W118">
            <v>3000</v>
          </cell>
          <cell r="AI118">
            <v>3000</v>
          </cell>
          <cell r="AO118">
            <v>3000</v>
          </cell>
          <cell r="BB118">
            <v>3000</v>
          </cell>
        </row>
        <row r="122">
          <cell r="X122">
            <v>3000</v>
          </cell>
          <cell r="AJ122">
            <v>3000</v>
          </cell>
          <cell r="AP122">
            <v>3000</v>
          </cell>
          <cell r="BB122">
            <v>3000</v>
          </cell>
        </row>
        <row r="125">
          <cell r="AD125">
            <v>3000</v>
          </cell>
          <cell r="AJ125">
            <v>3000</v>
          </cell>
          <cell r="AV125">
            <v>3000</v>
          </cell>
          <cell r="BH125">
            <v>3000</v>
          </cell>
        </row>
        <row r="128">
          <cell r="X128">
            <v>3000</v>
          </cell>
          <cell r="AJ128">
            <v>3000</v>
          </cell>
          <cell r="AP128">
            <v>3000</v>
          </cell>
          <cell r="AV128">
            <v>3000</v>
          </cell>
          <cell r="BH128">
            <v>3000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plate Loading Instruction"/>
      <sheetName val="Template Feed Order"/>
      <sheetName val="Summary "/>
      <sheetName val="Porta Wk 16"/>
      <sheetName val="Porta L. Instruction"/>
      <sheetName val="Lionshead Wk 16"/>
      <sheetName val="Lionshead L.instruction"/>
      <sheetName val="Grasmere Wk 16"/>
      <sheetName val="Grasmere L. instruction"/>
      <sheetName val="Multiplier Wk 16"/>
      <sheetName val="Multiplier L. Instruction"/>
      <sheetName val="Learig Wk 16"/>
      <sheetName val="Learig L. Instruction"/>
      <sheetName val="Richlands Wk 16"/>
      <sheetName val="Richlands L. instruction"/>
    </sheetNames>
    <sheetDataSet>
      <sheetData sheetId="0" refreshError="1"/>
      <sheetData sheetId="1" refreshError="1"/>
      <sheetData sheetId="2" refreshError="1"/>
      <sheetData sheetId="3" refreshError="1">
        <row r="66">
          <cell r="T66"/>
          <cell r="U66"/>
          <cell r="V66"/>
          <cell r="W66"/>
          <cell r="X66"/>
          <cell r="Y66"/>
          <cell r="Z66"/>
          <cell r="AA66"/>
          <cell r="AB66"/>
          <cell r="AC66"/>
          <cell r="AD66"/>
          <cell r="AE66"/>
          <cell r="AF66"/>
          <cell r="AG66"/>
          <cell r="AH66"/>
          <cell r="AI66"/>
          <cell r="AJ66"/>
          <cell r="AK66"/>
          <cell r="AL66"/>
          <cell r="AM66"/>
          <cell r="AN66"/>
          <cell r="AO66"/>
          <cell r="AP66"/>
          <cell r="AQ66"/>
          <cell r="AR66"/>
          <cell r="AS66"/>
          <cell r="AT66"/>
          <cell r="AU66"/>
          <cell r="AV66"/>
          <cell r="AW66"/>
          <cell r="AX66"/>
          <cell r="AY66"/>
          <cell r="AZ66"/>
          <cell r="BA66"/>
          <cell r="BB66"/>
          <cell r="BC66"/>
          <cell r="BD66"/>
          <cell r="BE66"/>
          <cell r="BF66"/>
          <cell r="BG66"/>
          <cell r="BH66"/>
          <cell r="BI66"/>
        </row>
        <row r="67">
          <cell r="T67"/>
          <cell r="U67"/>
          <cell r="V67"/>
          <cell r="W67"/>
          <cell r="X67"/>
          <cell r="Y67"/>
          <cell r="Z67"/>
          <cell r="AA67"/>
          <cell r="AB67"/>
          <cell r="AC67"/>
          <cell r="AD67"/>
          <cell r="AE67"/>
          <cell r="AF67"/>
          <cell r="AG67"/>
          <cell r="AH67"/>
          <cell r="AI67"/>
          <cell r="AJ67"/>
          <cell r="AK67"/>
          <cell r="AL67"/>
          <cell r="AM67"/>
          <cell r="AN67"/>
          <cell r="AO67"/>
          <cell r="AP67"/>
          <cell r="AQ67"/>
          <cell r="AR67"/>
          <cell r="AS67"/>
          <cell r="AT67"/>
          <cell r="AU67"/>
          <cell r="AV67"/>
          <cell r="AW67"/>
          <cell r="AX67"/>
          <cell r="AY67"/>
          <cell r="AZ67"/>
          <cell r="BA67"/>
          <cell r="BB67"/>
          <cell r="BC67"/>
          <cell r="BD67"/>
          <cell r="BE67"/>
          <cell r="BF67"/>
          <cell r="BG67"/>
          <cell r="BH67"/>
          <cell r="BI67"/>
        </row>
        <row r="68">
          <cell r="T68"/>
          <cell r="U68"/>
          <cell r="V68"/>
          <cell r="W68"/>
          <cell r="X68"/>
          <cell r="Y68"/>
          <cell r="Z68"/>
          <cell r="AA68"/>
          <cell r="AB68"/>
          <cell r="AC68"/>
          <cell r="AD68"/>
          <cell r="AE68"/>
          <cell r="AF68"/>
          <cell r="AG68"/>
          <cell r="AH68"/>
          <cell r="AI68"/>
          <cell r="AJ68"/>
          <cell r="AK68"/>
          <cell r="AL68"/>
          <cell r="AM68"/>
          <cell r="AN68"/>
          <cell r="AO68"/>
          <cell r="AP68"/>
          <cell r="AQ68"/>
          <cell r="AR68"/>
          <cell r="AS68"/>
          <cell r="AT68"/>
          <cell r="AU68"/>
          <cell r="AV68"/>
          <cell r="AW68"/>
          <cell r="AX68"/>
          <cell r="AY68"/>
          <cell r="AZ68"/>
          <cell r="BA68"/>
          <cell r="BB68"/>
          <cell r="BC68"/>
          <cell r="BD68"/>
          <cell r="BE68"/>
          <cell r="BF68"/>
          <cell r="BG68"/>
          <cell r="BH68"/>
          <cell r="BI68"/>
        </row>
        <row r="69">
          <cell r="T69"/>
          <cell r="U69"/>
          <cell r="V69"/>
          <cell r="W69"/>
          <cell r="X69"/>
          <cell r="Y69"/>
          <cell r="Z69"/>
          <cell r="AA69"/>
          <cell r="AB69"/>
          <cell r="AC69"/>
          <cell r="AD69"/>
          <cell r="AE69"/>
          <cell r="AF69"/>
          <cell r="AG69"/>
          <cell r="AH69"/>
          <cell r="AI69"/>
          <cell r="AJ69"/>
          <cell r="AK69"/>
          <cell r="AL69"/>
          <cell r="AM69"/>
          <cell r="AN69"/>
          <cell r="AO69"/>
          <cell r="AP69"/>
          <cell r="AQ69"/>
          <cell r="AR69"/>
          <cell r="AS69"/>
          <cell r="AT69"/>
          <cell r="AU69"/>
          <cell r="AV69"/>
          <cell r="AW69"/>
          <cell r="AX69"/>
          <cell r="AY69"/>
          <cell r="AZ69"/>
          <cell r="BA69"/>
          <cell r="BB69"/>
          <cell r="BC69"/>
          <cell r="BD69"/>
          <cell r="BE69"/>
          <cell r="BF69"/>
          <cell r="BG69"/>
          <cell r="BH69"/>
          <cell r="BI69"/>
        </row>
        <row r="70">
          <cell r="T70"/>
          <cell r="U70"/>
          <cell r="V70"/>
          <cell r="W70"/>
          <cell r="X70"/>
          <cell r="Y70"/>
          <cell r="Z70"/>
          <cell r="AA70"/>
          <cell r="AB70"/>
          <cell r="AC70"/>
          <cell r="AD70"/>
          <cell r="AE70"/>
          <cell r="AF70"/>
          <cell r="AG70"/>
          <cell r="AH70"/>
          <cell r="AI70"/>
          <cell r="AJ70"/>
          <cell r="AK70"/>
          <cell r="AL70"/>
          <cell r="AM70"/>
          <cell r="AN70"/>
          <cell r="AO70"/>
          <cell r="AP70"/>
          <cell r="AQ70"/>
          <cell r="AR70"/>
          <cell r="AS70"/>
          <cell r="AT70"/>
          <cell r="AU70"/>
          <cell r="AV70"/>
          <cell r="AW70"/>
          <cell r="AX70"/>
          <cell r="AY70"/>
          <cell r="AZ70"/>
          <cell r="BA70"/>
          <cell r="BB70"/>
          <cell r="BC70"/>
          <cell r="BD70"/>
          <cell r="BE70"/>
          <cell r="BF70"/>
          <cell r="BG70"/>
          <cell r="BH70"/>
          <cell r="BI70"/>
        </row>
        <row r="71">
          <cell r="T71"/>
          <cell r="U71"/>
          <cell r="V71"/>
          <cell r="W71"/>
          <cell r="X71"/>
          <cell r="Y71"/>
          <cell r="Z71"/>
          <cell r="AA71"/>
          <cell r="AB71"/>
          <cell r="AC71"/>
          <cell r="AD71"/>
          <cell r="AE71"/>
          <cell r="AF71"/>
          <cell r="AG71"/>
          <cell r="AH71"/>
          <cell r="AI71"/>
          <cell r="AJ71"/>
          <cell r="AK71"/>
          <cell r="AL71"/>
          <cell r="AM71"/>
          <cell r="AN71"/>
          <cell r="AO71"/>
          <cell r="AP71"/>
          <cell r="AQ71"/>
          <cell r="AR71"/>
          <cell r="AS71"/>
          <cell r="AT71"/>
          <cell r="AU71"/>
          <cell r="AV71"/>
          <cell r="AW71"/>
          <cell r="AX71"/>
          <cell r="AY71"/>
          <cell r="AZ71"/>
          <cell r="BA71"/>
          <cell r="BB71"/>
          <cell r="BC71"/>
          <cell r="BD71"/>
          <cell r="BE71"/>
          <cell r="BF71"/>
          <cell r="BG71"/>
          <cell r="BH71"/>
          <cell r="BI71"/>
        </row>
        <row r="72">
          <cell r="T72"/>
          <cell r="U72"/>
          <cell r="V72"/>
          <cell r="W72"/>
          <cell r="X72"/>
          <cell r="Y72"/>
          <cell r="Z72"/>
          <cell r="AA72"/>
          <cell r="AB72"/>
          <cell r="AC72"/>
          <cell r="AD72"/>
          <cell r="AE72"/>
          <cell r="AF72"/>
          <cell r="AG72"/>
          <cell r="AH72"/>
          <cell r="AI72"/>
          <cell r="AJ72"/>
          <cell r="AK72"/>
          <cell r="AL72"/>
          <cell r="AM72"/>
          <cell r="AN72"/>
          <cell r="AO72"/>
          <cell r="AP72"/>
          <cell r="AQ72"/>
          <cell r="AR72"/>
          <cell r="AS72"/>
          <cell r="AT72"/>
          <cell r="AU72"/>
          <cell r="AV72"/>
          <cell r="AW72"/>
          <cell r="AX72"/>
          <cell r="AY72"/>
          <cell r="AZ72"/>
          <cell r="BA72"/>
          <cell r="BB72"/>
          <cell r="BC72"/>
          <cell r="BD72"/>
          <cell r="BE72"/>
          <cell r="BF72"/>
          <cell r="BG72"/>
          <cell r="BH72"/>
          <cell r="BI72"/>
        </row>
        <row r="73">
          <cell r="T73"/>
          <cell r="U73"/>
          <cell r="V73"/>
          <cell r="W73"/>
          <cell r="X73"/>
          <cell r="Y73"/>
          <cell r="Z73"/>
          <cell r="AA73"/>
          <cell r="AB73"/>
          <cell r="AC73"/>
          <cell r="AD73"/>
          <cell r="AE73"/>
          <cell r="AF73"/>
          <cell r="AG73"/>
          <cell r="AH73"/>
          <cell r="AI73"/>
          <cell r="AJ73"/>
          <cell r="AK73"/>
          <cell r="AL73"/>
          <cell r="AM73"/>
          <cell r="AN73"/>
          <cell r="AO73"/>
          <cell r="AP73"/>
          <cell r="AQ73"/>
          <cell r="AR73"/>
          <cell r="AS73"/>
          <cell r="AT73"/>
          <cell r="AU73"/>
          <cell r="AV73"/>
          <cell r="AW73"/>
          <cell r="AX73"/>
          <cell r="AY73"/>
          <cell r="AZ73"/>
          <cell r="BA73"/>
          <cell r="BB73"/>
          <cell r="BC73"/>
          <cell r="BD73"/>
          <cell r="BE73"/>
          <cell r="BF73"/>
          <cell r="BG73"/>
          <cell r="BH73"/>
          <cell r="BI73"/>
        </row>
        <row r="74">
          <cell r="T74"/>
          <cell r="U74"/>
          <cell r="V74"/>
          <cell r="W74"/>
          <cell r="X74"/>
          <cell r="Y74"/>
          <cell r="Z74"/>
          <cell r="AA74"/>
          <cell r="AB74"/>
          <cell r="AC74"/>
          <cell r="AD74"/>
          <cell r="AE74"/>
          <cell r="AF74"/>
          <cell r="AG74"/>
          <cell r="AH74"/>
          <cell r="AI74"/>
          <cell r="AJ74"/>
          <cell r="AK74"/>
          <cell r="AL74"/>
          <cell r="AM74"/>
          <cell r="AN74"/>
          <cell r="AO74"/>
          <cell r="AP74"/>
          <cell r="AQ74"/>
          <cell r="AR74"/>
          <cell r="AS74"/>
          <cell r="AT74"/>
          <cell r="AU74"/>
          <cell r="AV74"/>
          <cell r="AW74"/>
          <cell r="AX74"/>
          <cell r="AY74"/>
          <cell r="AZ74"/>
          <cell r="BA74"/>
          <cell r="BB74"/>
          <cell r="BC74"/>
          <cell r="BD74"/>
          <cell r="BE74"/>
          <cell r="BF74"/>
          <cell r="BG74"/>
          <cell r="BH74"/>
          <cell r="BI74"/>
        </row>
        <row r="75">
          <cell r="T75"/>
          <cell r="U75"/>
          <cell r="V75"/>
          <cell r="W75"/>
          <cell r="X75"/>
          <cell r="Y75"/>
          <cell r="Z75"/>
          <cell r="AA75"/>
          <cell r="AB75"/>
          <cell r="AC75"/>
          <cell r="AD75"/>
          <cell r="AE75"/>
          <cell r="AF75"/>
          <cell r="AG75"/>
          <cell r="AH75"/>
          <cell r="AI75"/>
          <cell r="AJ75"/>
          <cell r="AK75"/>
          <cell r="AL75"/>
          <cell r="AM75"/>
          <cell r="AN75"/>
          <cell r="AO75"/>
          <cell r="AP75"/>
          <cell r="AQ75"/>
          <cell r="AR75"/>
          <cell r="AS75"/>
          <cell r="AT75"/>
          <cell r="AU75"/>
          <cell r="AV75"/>
          <cell r="AW75"/>
          <cell r="AX75"/>
          <cell r="AY75"/>
          <cell r="AZ75"/>
          <cell r="BA75"/>
          <cell r="BB75"/>
          <cell r="BC75"/>
          <cell r="BD75"/>
          <cell r="BE75"/>
          <cell r="BF75"/>
          <cell r="BG75"/>
          <cell r="BH75"/>
          <cell r="BI75"/>
        </row>
        <row r="76">
          <cell r="T76"/>
          <cell r="U76"/>
          <cell r="V76"/>
          <cell r="W76"/>
          <cell r="X76"/>
          <cell r="Y76"/>
          <cell r="Z76"/>
          <cell r="AA76"/>
          <cell r="AB76"/>
          <cell r="AC76"/>
          <cell r="AD76"/>
          <cell r="AE76"/>
          <cell r="AF76"/>
          <cell r="AG76"/>
          <cell r="AH76"/>
          <cell r="AI76"/>
          <cell r="AJ76"/>
          <cell r="AK76"/>
          <cell r="AL76"/>
          <cell r="AM76"/>
          <cell r="AN76"/>
          <cell r="AO76"/>
          <cell r="AP76"/>
          <cell r="AQ76"/>
          <cell r="AR76"/>
          <cell r="AS76"/>
          <cell r="AT76"/>
          <cell r="AU76"/>
          <cell r="AV76"/>
          <cell r="AW76"/>
          <cell r="AX76"/>
          <cell r="AY76"/>
          <cell r="AZ76"/>
          <cell r="BA76"/>
          <cell r="BB76"/>
          <cell r="BC76"/>
          <cell r="BD76"/>
          <cell r="BE76"/>
          <cell r="BF76"/>
          <cell r="BG76"/>
          <cell r="BH76"/>
          <cell r="BI76"/>
        </row>
        <row r="77">
          <cell r="T77"/>
          <cell r="U77"/>
          <cell r="V77"/>
          <cell r="W77"/>
          <cell r="X77"/>
          <cell r="Y77"/>
          <cell r="Z77"/>
          <cell r="AA77"/>
          <cell r="AB77"/>
          <cell r="AC77"/>
          <cell r="AD77"/>
          <cell r="AE77"/>
          <cell r="AF77"/>
          <cell r="AG77"/>
          <cell r="AH77"/>
          <cell r="AI77"/>
          <cell r="AJ77"/>
          <cell r="AK77"/>
          <cell r="AL77"/>
          <cell r="AM77"/>
          <cell r="AN77"/>
          <cell r="AO77"/>
          <cell r="AP77"/>
          <cell r="AQ77"/>
          <cell r="AR77"/>
          <cell r="AS77"/>
          <cell r="AT77"/>
          <cell r="AU77"/>
          <cell r="AV77"/>
          <cell r="AW77"/>
          <cell r="AX77"/>
          <cell r="AY77"/>
          <cell r="AZ77"/>
          <cell r="BA77"/>
          <cell r="BB77"/>
          <cell r="BC77"/>
          <cell r="BD77"/>
          <cell r="BE77"/>
          <cell r="BF77"/>
          <cell r="BG77"/>
          <cell r="BH77"/>
          <cell r="BI77"/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4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2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BDEC6-ECC0-485B-8D29-2A1F06B004BB}">
  <sheetPr>
    <pageSetUpPr fitToPage="1"/>
  </sheetPr>
  <dimension ref="A1:AF46"/>
  <sheetViews>
    <sheetView zoomScaleNormal="100" workbookViewId="0">
      <pane xSplit="1" topLeftCell="B1" activePane="topRight" state="frozen"/>
      <selection pane="topRight" activeCell="D30" sqref="D30"/>
    </sheetView>
  </sheetViews>
  <sheetFormatPr defaultColWidth="9.109375" defaultRowHeight="14.4" x14ac:dyDescent="0.3"/>
  <cols>
    <col min="1" max="1" width="41.5546875" style="549" bestFit="1" customWidth="1"/>
    <col min="2" max="2" width="4.88671875" style="549" customWidth="1"/>
    <col min="3" max="3" width="20.6640625" style="549" bestFit="1" customWidth="1"/>
    <col min="4" max="4" width="23" style="549" bestFit="1" customWidth="1"/>
    <col min="5" max="5" width="19.33203125" style="549" bestFit="1" customWidth="1"/>
    <col min="6" max="6" width="16.33203125" style="549" bestFit="1" customWidth="1"/>
    <col min="7" max="7" width="20.6640625" style="549" bestFit="1" customWidth="1"/>
    <col min="8" max="8" width="11.33203125" style="549" bestFit="1" customWidth="1"/>
    <col min="9" max="9" width="23" style="549" bestFit="1" customWidth="1"/>
    <col min="10" max="10" width="16.33203125" style="549" bestFit="1" customWidth="1"/>
    <col min="11" max="11" width="20.6640625" style="549" bestFit="1" customWidth="1"/>
    <col min="12" max="12" width="11.33203125" style="549" bestFit="1" customWidth="1"/>
    <col min="13" max="13" width="23" style="549" bestFit="1" customWidth="1"/>
    <col min="14" max="14" width="16.33203125" style="549" customWidth="1"/>
    <col min="15" max="15" width="20.6640625" style="549" bestFit="1" customWidth="1"/>
    <col min="16" max="16" width="11.33203125" style="549" bestFit="1" customWidth="1"/>
    <col min="17" max="17" width="23" style="549" bestFit="1" customWidth="1"/>
    <col min="18" max="18" width="16.33203125" style="549" customWidth="1"/>
    <col min="19" max="19" width="20.6640625" style="549" bestFit="1" customWidth="1"/>
    <col min="20" max="20" width="11.33203125" style="550" bestFit="1" customWidth="1"/>
    <col min="21" max="21" width="23" style="549" bestFit="1" customWidth="1"/>
    <col min="22" max="22" width="16.33203125" style="549" bestFit="1" customWidth="1"/>
    <col min="23" max="23" width="20.6640625" style="549" bestFit="1" customWidth="1"/>
    <col min="24" max="24" width="11.33203125" style="549" bestFit="1" customWidth="1"/>
    <col min="25" max="25" width="23" style="549" bestFit="1" customWidth="1"/>
    <col min="26" max="26" width="16.33203125" style="549" bestFit="1" customWidth="1"/>
    <col min="27" max="27" width="20.6640625" style="549" bestFit="1" customWidth="1"/>
    <col min="28" max="28" width="11.33203125" style="549" bestFit="1" customWidth="1"/>
    <col min="29" max="29" width="23" style="549" bestFit="1" customWidth="1"/>
    <col min="30" max="30" width="16.33203125" style="549" bestFit="1" customWidth="1"/>
    <col min="31" max="32" width="11.33203125" style="549" bestFit="1" customWidth="1"/>
    <col min="33" max="16384" width="9.109375" style="549"/>
  </cols>
  <sheetData>
    <row r="1" spans="1:32" ht="15" thickBot="1" x14ac:dyDescent="0.35">
      <c r="C1" s="2724" t="s">
        <v>277</v>
      </c>
      <c r="D1" s="2725"/>
      <c r="E1" s="2725"/>
      <c r="F1" s="2726"/>
      <c r="G1" s="2724" t="s">
        <v>277</v>
      </c>
      <c r="H1" s="2725"/>
      <c r="I1" s="2725"/>
      <c r="J1" s="2726"/>
      <c r="K1" s="2724" t="s">
        <v>277</v>
      </c>
      <c r="L1" s="2725"/>
      <c r="M1" s="2725"/>
      <c r="N1" s="2726"/>
      <c r="O1" s="2724" t="s">
        <v>277</v>
      </c>
      <c r="P1" s="2725"/>
      <c r="Q1" s="2725"/>
      <c r="R1" s="2726"/>
      <c r="S1" s="2724" t="s">
        <v>277</v>
      </c>
      <c r="T1" s="2725"/>
      <c r="U1" s="2725"/>
      <c r="V1" s="2726"/>
      <c r="W1" s="2724" t="s">
        <v>277</v>
      </c>
      <c r="X1" s="2725"/>
      <c r="Y1" s="2725"/>
      <c r="Z1" s="2726"/>
      <c r="AA1" s="2724" t="s">
        <v>277</v>
      </c>
      <c r="AB1" s="2725"/>
      <c r="AC1" s="2725"/>
      <c r="AD1" s="2726"/>
    </row>
    <row r="2" spans="1:32" s="550" customFormat="1" ht="15" thickBot="1" x14ac:dyDescent="0.35">
      <c r="C2" s="572" t="s">
        <v>263</v>
      </c>
      <c r="D2" s="873"/>
      <c r="E2" s="550" t="s">
        <v>270</v>
      </c>
      <c r="F2" s="573"/>
      <c r="G2" s="572" t="s">
        <v>263</v>
      </c>
      <c r="H2" s="555"/>
      <c r="I2" s="550" t="s">
        <v>270</v>
      </c>
      <c r="J2" s="573"/>
      <c r="K2" s="572" t="s">
        <v>263</v>
      </c>
      <c r="L2" s="555"/>
      <c r="M2" s="550" t="s">
        <v>270</v>
      </c>
      <c r="N2" s="573"/>
      <c r="O2" s="572" t="s">
        <v>263</v>
      </c>
      <c r="P2" s="555"/>
      <c r="Q2" s="550" t="s">
        <v>270</v>
      </c>
      <c r="R2" s="573"/>
      <c r="S2" s="572" t="s">
        <v>263</v>
      </c>
      <c r="T2" s="555"/>
      <c r="U2" s="550" t="s">
        <v>270</v>
      </c>
      <c r="V2" s="573"/>
      <c r="W2" s="572" t="s">
        <v>263</v>
      </c>
      <c r="X2" s="555"/>
      <c r="Y2" s="550" t="s">
        <v>270</v>
      </c>
      <c r="Z2" s="573"/>
      <c r="AA2" s="572" t="s">
        <v>263</v>
      </c>
      <c r="AB2" s="555"/>
      <c r="AC2" s="550" t="s">
        <v>270</v>
      </c>
      <c r="AD2" s="573"/>
    </row>
    <row r="3" spans="1:32" ht="15" thickBot="1" x14ac:dyDescent="0.35">
      <c r="C3" s="572" t="s">
        <v>276</v>
      </c>
      <c r="D3" s="873"/>
      <c r="E3" s="550" t="s">
        <v>271</v>
      </c>
      <c r="F3" s="579"/>
      <c r="G3" s="572" t="s">
        <v>276</v>
      </c>
      <c r="H3" s="555"/>
      <c r="I3" s="550" t="s">
        <v>271</v>
      </c>
      <c r="J3" s="579"/>
      <c r="K3" s="572" t="s">
        <v>276</v>
      </c>
      <c r="L3" s="555"/>
      <c r="M3" s="550" t="s">
        <v>271</v>
      </c>
      <c r="N3" s="579"/>
      <c r="O3" s="572" t="s">
        <v>276</v>
      </c>
      <c r="P3" s="555"/>
      <c r="Q3" s="550" t="s">
        <v>271</v>
      </c>
      <c r="R3" s="579"/>
      <c r="S3" s="572" t="s">
        <v>276</v>
      </c>
      <c r="T3" s="555"/>
      <c r="U3" s="550" t="s">
        <v>271</v>
      </c>
      <c r="V3" s="579"/>
      <c r="W3" s="572" t="s">
        <v>276</v>
      </c>
      <c r="X3" s="555"/>
      <c r="Y3" s="550" t="s">
        <v>271</v>
      </c>
      <c r="Z3" s="579"/>
      <c r="AA3" s="572" t="s">
        <v>276</v>
      </c>
      <c r="AB3" s="555"/>
      <c r="AC3" s="550" t="s">
        <v>271</v>
      </c>
      <c r="AD3" s="579"/>
    </row>
    <row r="4" spans="1:32" s="550" customFormat="1" ht="15" thickBot="1" x14ac:dyDescent="0.35">
      <c r="C4" s="572" t="s">
        <v>269</v>
      </c>
      <c r="D4" s="874"/>
      <c r="E4" s="550" t="s">
        <v>272</v>
      </c>
      <c r="F4" s="579"/>
      <c r="G4" s="572" t="s">
        <v>269</v>
      </c>
      <c r="H4" s="555"/>
      <c r="I4" s="550" t="s">
        <v>272</v>
      </c>
      <c r="J4" s="579"/>
      <c r="K4" s="572" t="s">
        <v>269</v>
      </c>
      <c r="L4" s="555"/>
      <c r="M4" s="550" t="s">
        <v>272</v>
      </c>
      <c r="N4" s="579"/>
      <c r="O4" s="572" t="s">
        <v>269</v>
      </c>
      <c r="P4" s="555"/>
      <c r="Q4" s="550" t="s">
        <v>272</v>
      </c>
      <c r="R4" s="579"/>
      <c r="S4" s="572" t="s">
        <v>269</v>
      </c>
      <c r="T4" s="555"/>
      <c r="U4" s="550" t="s">
        <v>272</v>
      </c>
      <c r="V4" s="579"/>
      <c r="W4" s="572" t="s">
        <v>269</v>
      </c>
      <c r="X4" s="555"/>
      <c r="Y4" s="550" t="s">
        <v>272</v>
      </c>
      <c r="Z4" s="579"/>
      <c r="AA4" s="572" t="s">
        <v>269</v>
      </c>
      <c r="AB4" s="555"/>
      <c r="AC4" s="550" t="s">
        <v>272</v>
      </c>
      <c r="AD4" s="579"/>
    </row>
    <row r="5" spans="1:32" ht="15" thickBot="1" x14ac:dyDescent="0.35">
      <c r="C5" s="572" t="s">
        <v>275</v>
      </c>
      <c r="D5" s="555"/>
      <c r="E5" s="550" t="s">
        <v>278</v>
      </c>
      <c r="F5" s="579"/>
      <c r="G5" s="572" t="s">
        <v>275</v>
      </c>
      <c r="H5" s="555"/>
      <c r="I5" s="550" t="s">
        <v>278</v>
      </c>
      <c r="J5" s="579"/>
      <c r="K5" s="572" t="s">
        <v>275</v>
      </c>
      <c r="L5" s="555"/>
      <c r="M5" s="550" t="s">
        <v>278</v>
      </c>
      <c r="N5" s="579"/>
      <c r="O5" s="572" t="s">
        <v>275</v>
      </c>
      <c r="P5" s="555"/>
      <c r="Q5" s="550" t="s">
        <v>278</v>
      </c>
      <c r="R5" s="579"/>
      <c r="S5" s="572" t="s">
        <v>275</v>
      </c>
      <c r="T5" s="555"/>
      <c r="U5" s="550" t="s">
        <v>278</v>
      </c>
      <c r="V5" s="579"/>
      <c r="W5" s="572" t="s">
        <v>275</v>
      </c>
      <c r="X5" s="555"/>
      <c r="Y5" s="550" t="s">
        <v>278</v>
      </c>
      <c r="Z5" s="579"/>
      <c r="AA5" s="572" t="s">
        <v>275</v>
      </c>
      <c r="AB5" s="555"/>
      <c r="AC5" s="550" t="s">
        <v>278</v>
      </c>
      <c r="AD5" s="579"/>
    </row>
    <row r="6" spans="1:32" ht="15" thickBot="1" x14ac:dyDescent="0.35">
      <c r="A6" s="550"/>
      <c r="C6" s="572" t="s">
        <v>274</v>
      </c>
      <c r="D6" s="555"/>
      <c r="E6" s="550" t="s">
        <v>273</v>
      </c>
      <c r="F6" s="579"/>
      <c r="G6" s="572" t="s">
        <v>274</v>
      </c>
      <c r="H6" s="555"/>
      <c r="I6" s="550" t="s">
        <v>273</v>
      </c>
      <c r="J6" s="579"/>
      <c r="K6" s="572" t="s">
        <v>274</v>
      </c>
      <c r="L6" s="555"/>
      <c r="M6" s="550" t="s">
        <v>273</v>
      </c>
      <c r="N6" s="579"/>
      <c r="O6" s="572" t="s">
        <v>274</v>
      </c>
      <c r="P6" s="555"/>
      <c r="Q6" s="550" t="s">
        <v>273</v>
      </c>
      <c r="R6" s="579"/>
      <c r="S6" s="572" t="s">
        <v>274</v>
      </c>
      <c r="T6" s="555"/>
      <c r="U6" s="550" t="s">
        <v>273</v>
      </c>
      <c r="V6" s="579"/>
      <c r="W6" s="572" t="s">
        <v>274</v>
      </c>
      <c r="X6" s="555"/>
      <c r="Y6" s="550" t="s">
        <v>273</v>
      </c>
      <c r="Z6" s="579"/>
      <c r="AA6" s="572" t="s">
        <v>274</v>
      </c>
      <c r="AB6" s="555"/>
      <c r="AC6" s="550" t="s">
        <v>273</v>
      </c>
      <c r="AD6" s="579"/>
    </row>
    <row r="7" spans="1:32" ht="15" thickBot="1" x14ac:dyDescent="0.35">
      <c r="A7" s="581"/>
      <c r="C7" s="572" t="s">
        <v>279</v>
      </c>
      <c r="D7" s="555"/>
      <c r="E7" s="550" t="s">
        <v>280</v>
      </c>
      <c r="F7" s="579"/>
      <c r="G7" s="572" t="s">
        <v>279</v>
      </c>
      <c r="H7" s="555"/>
      <c r="I7" s="550" t="s">
        <v>280</v>
      </c>
      <c r="J7" s="579"/>
      <c r="K7" s="572" t="s">
        <v>279</v>
      </c>
      <c r="L7" s="555"/>
      <c r="M7" s="550" t="s">
        <v>280</v>
      </c>
      <c r="N7" s="579"/>
      <c r="O7" s="572" t="s">
        <v>279</v>
      </c>
      <c r="P7" s="555"/>
      <c r="Q7" s="550" t="s">
        <v>280</v>
      </c>
      <c r="R7" s="579"/>
      <c r="S7" s="572" t="s">
        <v>279</v>
      </c>
      <c r="T7" s="555"/>
      <c r="U7" s="550" t="s">
        <v>280</v>
      </c>
      <c r="V7" s="579"/>
      <c r="W7" s="572" t="s">
        <v>279</v>
      </c>
      <c r="X7" s="555"/>
      <c r="Y7" s="550" t="s">
        <v>280</v>
      </c>
      <c r="Z7" s="579"/>
      <c r="AA7" s="572" t="s">
        <v>279</v>
      </c>
      <c r="AB7" s="555"/>
      <c r="AC7" s="550" t="s">
        <v>280</v>
      </c>
      <c r="AD7" s="579"/>
    </row>
    <row r="8" spans="1:32" ht="15" thickBot="1" x14ac:dyDescent="0.35">
      <c r="A8" s="574"/>
      <c r="C8" s="575"/>
      <c r="D8" s="576"/>
      <c r="E8" s="576"/>
      <c r="F8" s="577"/>
      <c r="G8" s="575"/>
      <c r="H8" s="576"/>
      <c r="I8" s="576"/>
      <c r="J8" s="577"/>
      <c r="K8" s="575"/>
      <c r="L8" s="576"/>
      <c r="M8" s="576"/>
      <c r="N8" s="577"/>
      <c r="O8" s="575"/>
      <c r="P8" s="576"/>
      <c r="Q8" s="576"/>
      <c r="R8" s="577"/>
      <c r="S8" s="575"/>
      <c r="T8" s="576"/>
      <c r="U8" s="576"/>
      <c r="V8" s="577"/>
      <c r="W8" s="575"/>
      <c r="X8" s="576"/>
      <c r="Y8" s="576"/>
      <c r="Z8" s="577"/>
      <c r="AA8" s="575"/>
      <c r="AB8" s="576"/>
      <c r="AC8" s="576"/>
      <c r="AD8" s="577"/>
    </row>
    <row r="9" spans="1:32" s="550" customFormat="1" ht="14.4" customHeight="1" thickBot="1" x14ac:dyDescent="0.35">
      <c r="A9" s="2722" t="s">
        <v>30</v>
      </c>
      <c r="B9" s="561"/>
      <c r="C9" s="2724" t="s">
        <v>38</v>
      </c>
      <c r="D9" s="2725"/>
      <c r="E9" s="2725"/>
      <c r="F9" s="2726"/>
      <c r="G9" s="2724" t="s">
        <v>45</v>
      </c>
      <c r="H9" s="2725"/>
      <c r="I9" s="2725"/>
      <c r="J9" s="2726"/>
      <c r="K9" s="2724" t="s">
        <v>40</v>
      </c>
      <c r="L9" s="2725"/>
      <c r="M9" s="2725"/>
      <c r="N9" s="2726"/>
      <c r="O9" s="2724" t="s">
        <v>41</v>
      </c>
      <c r="P9" s="2725"/>
      <c r="Q9" s="2725"/>
      <c r="R9" s="2726"/>
      <c r="S9" s="2724" t="s">
        <v>42</v>
      </c>
      <c r="T9" s="2725"/>
      <c r="U9" s="2725"/>
      <c r="V9" s="2726"/>
      <c r="W9" s="2724" t="s">
        <v>43</v>
      </c>
      <c r="X9" s="2725"/>
      <c r="Y9" s="2725"/>
      <c r="Z9" s="2726"/>
      <c r="AA9" s="2724" t="s">
        <v>44</v>
      </c>
      <c r="AB9" s="2725"/>
      <c r="AC9" s="2725"/>
      <c r="AD9" s="2726"/>
      <c r="AE9" s="2725" t="s">
        <v>261</v>
      </c>
      <c r="AF9" s="2726"/>
    </row>
    <row r="10" spans="1:32" s="550" customFormat="1" ht="15" thickBot="1" x14ac:dyDescent="0.35">
      <c r="A10" s="2723"/>
      <c r="B10" s="561"/>
      <c r="C10" s="569" t="s">
        <v>224</v>
      </c>
      <c r="D10" s="570" t="s">
        <v>264</v>
      </c>
      <c r="E10" s="570" t="s">
        <v>259</v>
      </c>
      <c r="F10" s="563" t="s">
        <v>260</v>
      </c>
      <c r="G10" s="569" t="s">
        <v>224</v>
      </c>
      <c r="H10" s="570" t="s">
        <v>264</v>
      </c>
      <c r="I10" s="570" t="s">
        <v>259</v>
      </c>
      <c r="J10" s="563" t="s">
        <v>260</v>
      </c>
      <c r="K10" s="569" t="s">
        <v>224</v>
      </c>
      <c r="L10" s="570" t="s">
        <v>264</v>
      </c>
      <c r="M10" s="570" t="s">
        <v>259</v>
      </c>
      <c r="N10" s="563" t="s">
        <v>260</v>
      </c>
      <c r="O10" s="569" t="s">
        <v>224</v>
      </c>
      <c r="P10" s="570" t="s">
        <v>264</v>
      </c>
      <c r="Q10" s="570" t="s">
        <v>259</v>
      </c>
      <c r="R10" s="563" t="s">
        <v>260</v>
      </c>
      <c r="S10" s="569" t="s">
        <v>224</v>
      </c>
      <c r="T10" s="570" t="s">
        <v>264</v>
      </c>
      <c r="U10" s="570" t="s">
        <v>259</v>
      </c>
      <c r="V10" s="563" t="s">
        <v>260</v>
      </c>
      <c r="W10" s="569" t="s">
        <v>224</v>
      </c>
      <c r="X10" s="570" t="s">
        <v>264</v>
      </c>
      <c r="Y10" s="570" t="s">
        <v>259</v>
      </c>
      <c r="Z10" s="563" t="s">
        <v>260</v>
      </c>
      <c r="AA10" s="569" t="s">
        <v>224</v>
      </c>
      <c r="AB10" s="570" t="s">
        <v>264</v>
      </c>
      <c r="AC10" s="570" t="s">
        <v>259</v>
      </c>
      <c r="AD10" s="563" t="s">
        <v>260</v>
      </c>
      <c r="AE10" s="571" t="s">
        <v>264</v>
      </c>
      <c r="AF10" s="563" t="s">
        <v>262</v>
      </c>
    </row>
    <row r="11" spans="1:32" x14ac:dyDescent="0.3">
      <c r="A11" s="859" t="s">
        <v>137</v>
      </c>
      <c r="C11" s="551" t="str">
        <f>'Template Feed Order'!D72</f>
        <v>Creep 2</v>
      </c>
      <c r="D11" s="858"/>
      <c r="E11" s="858"/>
      <c r="F11" s="552"/>
      <c r="G11" s="551"/>
      <c r="H11" s="562"/>
      <c r="I11" s="562"/>
      <c r="J11" s="552"/>
      <c r="K11" s="551"/>
      <c r="L11" s="562"/>
      <c r="M11" s="562"/>
      <c r="N11" s="552"/>
      <c r="O11" s="551"/>
      <c r="P11" s="562"/>
      <c r="Q11" s="562"/>
      <c r="R11" s="552"/>
      <c r="S11" s="551"/>
      <c r="T11" s="562"/>
      <c r="U11" s="562"/>
      <c r="V11" s="552"/>
      <c r="W11" s="551"/>
      <c r="X11" s="562"/>
      <c r="Y11" s="562"/>
      <c r="Z11" s="552"/>
      <c r="AA11" s="551"/>
      <c r="AB11" s="562"/>
      <c r="AC11" s="562"/>
      <c r="AD11" s="552"/>
      <c r="AE11" s="578">
        <f>SUM(D11,H11,L11,P11,T11,X11,AB11)</f>
        <v>0</v>
      </c>
      <c r="AF11" s="567">
        <f>SUM(E11,I11,M11,Q11,U11,Y11,AC11)</f>
        <v>0</v>
      </c>
    </row>
    <row r="12" spans="1:32" x14ac:dyDescent="0.3">
      <c r="A12" s="860" t="s">
        <v>138</v>
      </c>
      <c r="C12" s="553"/>
      <c r="D12" s="556"/>
      <c r="E12" s="556"/>
      <c r="F12" s="554"/>
      <c r="G12" s="553"/>
      <c r="H12" s="556"/>
      <c r="I12" s="556"/>
      <c r="J12" s="554"/>
      <c r="K12" s="553"/>
      <c r="L12" s="556"/>
      <c r="M12" s="556"/>
      <c r="N12" s="554"/>
      <c r="O12" s="553"/>
      <c r="P12" s="556"/>
      <c r="Q12" s="556"/>
      <c r="R12" s="554"/>
      <c r="S12" s="553"/>
      <c r="T12" s="556"/>
      <c r="U12" s="556"/>
      <c r="V12" s="554"/>
      <c r="W12" s="553"/>
      <c r="X12" s="556"/>
      <c r="Y12" s="556"/>
      <c r="Z12" s="554"/>
      <c r="AA12" s="553"/>
      <c r="AB12" s="556"/>
      <c r="AC12" s="556"/>
      <c r="AD12" s="554"/>
      <c r="AE12" s="578">
        <f t="shared" ref="AE12:AE40" si="0">SUM(D12,H12,L12,P12,T12,X12,AB12)</f>
        <v>0</v>
      </c>
      <c r="AF12" s="567">
        <f t="shared" ref="AF12:AF40" si="1">SUM(E12,I12,M12,Q12,U12,Y12,AC12)</f>
        <v>0</v>
      </c>
    </row>
    <row r="13" spans="1:32" x14ac:dyDescent="0.3">
      <c r="A13" s="860" t="s">
        <v>140</v>
      </c>
      <c r="C13" s="553"/>
      <c r="D13" s="556"/>
      <c r="E13" s="556"/>
      <c r="F13" s="554"/>
      <c r="G13" s="553"/>
      <c r="H13" s="556"/>
      <c r="I13" s="556"/>
      <c r="J13" s="554"/>
      <c r="K13" s="553"/>
      <c r="L13" s="556"/>
      <c r="M13" s="556"/>
      <c r="N13" s="554"/>
      <c r="O13" s="553"/>
      <c r="P13" s="556"/>
      <c r="Q13" s="556"/>
      <c r="R13" s="554"/>
      <c r="S13" s="553"/>
      <c r="T13" s="556"/>
      <c r="U13" s="556"/>
      <c r="V13" s="554"/>
      <c r="W13" s="553"/>
      <c r="X13" s="556"/>
      <c r="Y13" s="556"/>
      <c r="Z13" s="554"/>
      <c r="AA13" s="553"/>
      <c r="AB13" s="556"/>
      <c r="AC13" s="556"/>
      <c r="AD13" s="554"/>
      <c r="AE13" s="578">
        <f t="shared" si="0"/>
        <v>0</v>
      </c>
      <c r="AF13" s="567">
        <f t="shared" si="1"/>
        <v>0</v>
      </c>
    </row>
    <row r="14" spans="1:32" x14ac:dyDescent="0.3">
      <c r="A14" s="860" t="s">
        <v>142</v>
      </c>
      <c r="C14" s="553"/>
      <c r="D14" s="556"/>
      <c r="E14" s="556"/>
      <c r="F14" s="554"/>
      <c r="G14" s="553"/>
      <c r="H14" s="556"/>
      <c r="I14" s="556"/>
      <c r="J14" s="554"/>
      <c r="K14" s="553"/>
      <c r="L14" s="556"/>
      <c r="M14" s="556"/>
      <c r="N14" s="554"/>
      <c r="O14" s="553"/>
      <c r="P14" s="556"/>
      <c r="Q14" s="556"/>
      <c r="R14" s="554"/>
      <c r="S14" s="553"/>
      <c r="T14" s="556"/>
      <c r="U14" s="556"/>
      <c r="V14" s="554"/>
      <c r="W14" s="553"/>
      <c r="X14" s="556"/>
      <c r="Y14" s="556"/>
      <c r="Z14" s="554"/>
      <c r="AA14" s="553"/>
      <c r="AB14" s="556"/>
      <c r="AC14" s="556"/>
      <c r="AD14" s="554"/>
      <c r="AE14" s="578">
        <f t="shared" si="0"/>
        <v>0</v>
      </c>
      <c r="AF14" s="567">
        <f t="shared" si="1"/>
        <v>0</v>
      </c>
    </row>
    <row r="15" spans="1:32" x14ac:dyDescent="0.3">
      <c r="A15" s="860" t="s">
        <v>22</v>
      </c>
      <c r="C15" s="553"/>
      <c r="D15" s="556"/>
      <c r="E15" s="556"/>
      <c r="F15" s="554"/>
      <c r="G15" s="553"/>
      <c r="H15" s="556"/>
      <c r="I15" s="556"/>
      <c r="J15" s="554"/>
      <c r="K15" s="553"/>
      <c r="L15" s="556"/>
      <c r="M15" s="556"/>
      <c r="N15" s="554"/>
      <c r="O15" s="553"/>
      <c r="P15" s="556"/>
      <c r="Q15" s="556"/>
      <c r="R15" s="554"/>
      <c r="S15" s="553"/>
      <c r="T15" s="556"/>
      <c r="U15" s="556"/>
      <c r="V15" s="554"/>
      <c r="W15" s="553"/>
      <c r="X15" s="556"/>
      <c r="Y15" s="556"/>
      <c r="Z15" s="554"/>
      <c r="AA15" s="553"/>
      <c r="AB15" s="556"/>
      <c r="AC15" s="556"/>
      <c r="AD15" s="554"/>
      <c r="AE15" s="578">
        <f t="shared" si="0"/>
        <v>0</v>
      </c>
      <c r="AF15" s="567">
        <f t="shared" si="1"/>
        <v>0</v>
      </c>
    </row>
    <row r="16" spans="1:32" x14ac:dyDescent="0.3">
      <c r="A16" s="860" t="s">
        <v>241</v>
      </c>
      <c r="C16" s="553"/>
      <c r="D16" s="556"/>
      <c r="E16" s="556"/>
      <c r="F16" s="554"/>
      <c r="G16" s="553"/>
      <c r="H16" s="556"/>
      <c r="I16" s="556"/>
      <c r="J16" s="554"/>
      <c r="K16" s="553"/>
      <c r="L16" s="556"/>
      <c r="M16" s="556"/>
      <c r="N16" s="554"/>
      <c r="O16" s="553"/>
      <c r="P16" s="556"/>
      <c r="Q16" s="556"/>
      <c r="R16" s="554"/>
      <c r="S16" s="553"/>
      <c r="T16" s="556"/>
      <c r="U16" s="556"/>
      <c r="V16" s="554"/>
      <c r="W16" s="553"/>
      <c r="X16" s="556"/>
      <c r="Y16" s="556"/>
      <c r="Z16" s="554"/>
      <c r="AA16" s="553"/>
      <c r="AB16" s="556"/>
      <c r="AC16" s="556"/>
      <c r="AD16" s="554"/>
      <c r="AE16" s="578">
        <f t="shared" si="0"/>
        <v>0</v>
      </c>
      <c r="AF16" s="567">
        <f t="shared" si="1"/>
        <v>0</v>
      </c>
    </row>
    <row r="17" spans="1:32" x14ac:dyDescent="0.3">
      <c r="A17" s="860" t="s">
        <v>242</v>
      </c>
      <c r="C17" s="553"/>
      <c r="D17" s="556"/>
      <c r="E17" s="556"/>
      <c r="F17" s="554"/>
      <c r="G17" s="553"/>
      <c r="H17" s="556"/>
      <c r="I17" s="556"/>
      <c r="J17" s="554"/>
      <c r="K17" s="553"/>
      <c r="L17" s="556"/>
      <c r="M17" s="556"/>
      <c r="N17" s="554"/>
      <c r="O17" s="553"/>
      <c r="P17" s="556"/>
      <c r="Q17" s="556"/>
      <c r="R17" s="554"/>
      <c r="S17" s="553"/>
      <c r="T17" s="556"/>
      <c r="U17" s="556"/>
      <c r="V17" s="554"/>
      <c r="W17" s="553"/>
      <c r="X17" s="556"/>
      <c r="Y17" s="556"/>
      <c r="Z17" s="554"/>
      <c r="AA17" s="553"/>
      <c r="AB17" s="556"/>
      <c r="AC17" s="556"/>
      <c r="AD17" s="554"/>
      <c r="AE17" s="578">
        <f t="shared" si="0"/>
        <v>0</v>
      </c>
      <c r="AF17" s="567">
        <f t="shared" si="1"/>
        <v>0</v>
      </c>
    </row>
    <row r="18" spans="1:32" x14ac:dyDescent="0.3">
      <c r="A18" s="860" t="s">
        <v>243</v>
      </c>
      <c r="C18" s="553"/>
      <c r="D18" s="556"/>
      <c r="E18" s="556"/>
      <c r="F18" s="554"/>
      <c r="G18" s="553"/>
      <c r="H18" s="556"/>
      <c r="I18" s="556"/>
      <c r="J18" s="554"/>
      <c r="K18" s="553"/>
      <c r="L18" s="556"/>
      <c r="M18" s="556"/>
      <c r="N18" s="554"/>
      <c r="O18" s="553"/>
      <c r="P18" s="556"/>
      <c r="Q18" s="556"/>
      <c r="R18" s="554"/>
      <c r="S18" s="553"/>
      <c r="T18" s="556"/>
      <c r="U18" s="556"/>
      <c r="V18" s="554"/>
      <c r="W18" s="553"/>
      <c r="X18" s="556"/>
      <c r="Y18" s="556"/>
      <c r="Z18" s="554"/>
      <c r="AA18" s="553"/>
      <c r="AB18" s="556"/>
      <c r="AC18" s="556"/>
      <c r="AD18" s="554"/>
      <c r="AE18" s="578">
        <f t="shared" si="0"/>
        <v>0</v>
      </c>
      <c r="AF18" s="567">
        <f t="shared" si="1"/>
        <v>0</v>
      </c>
    </row>
    <row r="19" spans="1:32" x14ac:dyDescent="0.3">
      <c r="A19" s="860" t="s">
        <v>183</v>
      </c>
      <c r="C19" s="553"/>
      <c r="D19" s="556"/>
      <c r="E19" s="556"/>
      <c r="F19" s="554"/>
      <c r="G19" s="553"/>
      <c r="H19" s="556"/>
      <c r="I19" s="556"/>
      <c r="J19" s="554"/>
      <c r="K19" s="553"/>
      <c r="L19" s="556"/>
      <c r="M19" s="556"/>
      <c r="N19" s="554"/>
      <c r="O19" s="553"/>
      <c r="P19" s="556"/>
      <c r="Q19" s="556"/>
      <c r="R19" s="554"/>
      <c r="S19" s="553"/>
      <c r="T19" s="556"/>
      <c r="U19" s="556"/>
      <c r="V19" s="554"/>
      <c r="W19" s="553"/>
      <c r="X19" s="556"/>
      <c r="Y19" s="556"/>
      <c r="Z19" s="554"/>
      <c r="AA19" s="553"/>
      <c r="AB19" s="556"/>
      <c r="AC19" s="556"/>
      <c r="AD19" s="554"/>
      <c r="AE19" s="578">
        <f t="shared" si="0"/>
        <v>0</v>
      </c>
      <c r="AF19" s="567">
        <f t="shared" si="1"/>
        <v>0</v>
      </c>
    </row>
    <row r="20" spans="1:32" x14ac:dyDescent="0.3">
      <c r="A20" s="860" t="s">
        <v>244</v>
      </c>
      <c r="C20" s="553"/>
      <c r="D20" s="556"/>
      <c r="E20" s="556"/>
      <c r="F20" s="554"/>
      <c r="G20" s="553"/>
      <c r="H20" s="556"/>
      <c r="I20" s="556"/>
      <c r="J20" s="554"/>
      <c r="K20" s="553"/>
      <c r="L20" s="556"/>
      <c r="M20" s="556"/>
      <c r="N20" s="554"/>
      <c r="O20" s="553"/>
      <c r="P20" s="556"/>
      <c r="Q20" s="556"/>
      <c r="R20" s="554"/>
      <c r="S20" s="553"/>
      <c r="T20" s="556"/>
      <c r="U20" s="556"/>
      <c r="V20" s="554"/>
      <c r="W20" s="553"/>
      <c r="X20" s="556"/>
      <c r="Y20" s="556"/>
      <c r="Z20" s="554"/>
      <c r="AA20" s="553"/>
      <c r="AB20" s="556"/>
      <c r="AC20" s="556"/>
      <c r="AD20" s="554"/>
      <c r="AE20" s="578">
        <f t="shared" si="0"/>
        <v>0</v>
      </c>
      <c r="AF20" s="567">
        <f t="shared" si="1"/>
        <v>0</v>
      </c>
    </row>
    <row r="21" spans="1:32" x14ac:dyDescent="0.3">
      <c r="A21" s="860" t="s">
        <v>245</v>
      </c>
      <c r="C21" s="553"/>
      <c r="D21" s="556"/>
      <c r="E21" s="556"/>
      <c r="F21" s="554"/>
      <c r="G21" s="553"/>
      <c r="H21" s="556"/>
      <c r="I21" s="556"/>
      <c r="J21" s="554"/>
      <c r="K21" s="553"/>
      <c r="L21" s="556"/>
      <c r="M21" s="556"/>
      <c r="N21" s="554"/>
      <c r="O21" s="553"/>
      <c r="P21" s="556"/>
      <c r="Q21" s="556"/>
      <c r="R21" s="554"/>
      <c r="S21" s="553"/>
      <c r="T21" s="556"/>
      <c r="U21" s="556"/>
      <c r="V21" s="554"/>
      <c r="W21" s="553"/>
      <c r="X21" s="556"/>
      <c r="Y21" s="556"/>
      <c r="Z21" s="554"/>
      <c r="AA21" s="553"/>
      <c r="AB21" s="556"/>
      <c r="AC21" s="556"/>
      <c r="AD21" s="554"/>
      <c r="AE21" s="578">
        <f t="shared" si="0"/>
        <v>0</v>
      </c>
      <c r="AF21" s="567">
        <f t="shared" si="1"/>
        <v>0</v>
      </c>
    </row>
    <row r="22" spans="1:32" x14ac:dyDescent="0.3">
      <c r="A22" s="860" t="s">
        <v>246</v>
      </c>
      <c r="C22" s="553"/>
      <c r="D22" s="556"/>
      <c r="E22" s="556"/>
      <c r="F22" s="554"/>
      <c r="G22" s="553"/>
      <c r="H22" s="556"/>
      <c r="I22" s="556"/>
      <c r="J22" s="554"/>
      <c r="K22" s="553"/>
      <c r="L22" s="556"/>
      <c r="M22" s="556"/>
      <c r="N22" s="554"/>
      <c r="O22" s="553"/>
      <c r="P22" s="556"/>
      <c r="Q22" s="556"/>
      <c r="R22" s="554"/>
      <c r="S22" s="553"/>
      <c r="T22" s="556"/>
      <c r="U22" s="556"/>
      <c r="V22" s="554"/>
      <c r="W22" s="553"/>
      <c r="X22" s="556"/>
      <c r="Y22" s="556"/>
      <c r="Z22" s="554"/>
      <c r="AA22" s="553"/>
      <c r="AB22" s="556"/>
      <c r="AC22" s="556"/>
      <c r="AD22" s="554"/>
      <c r="AE22" s="578">
        <f t="shared" si="0"/>
        <v>0</v>
      </c>
      <c r="AF22" s="567">
        <f t="shared" si="1"/>
        <v>0</v>
      </c>
    </row>
    <row r="23" spans="1:32" x14ac:dyDescent="0.3">
      <c r="A23" s="860" t="s">
        <v>247</v>
      </c>
      <c r="C23" s="553"/>
      <c r="D23" s="556"/>
      <c r="E23" s="556"/>
      <c r="F23" s="554"/>
      <c r="G23" s="553"/>
      <c r="H23" s="556"/>
      <c r="I23" s="556"/>
      <c r="J23" s="554"/>
      <c r="K23" s="553"/>
      <c r="L23" s="556"/>
      <c r="M23" s="556"/>
      <c r="N23" s="554"/>
      <c r="O23" s="553"/>
      <c r="P23" s="556"/>
      <c r="Q23" s="556"/>
      <c r="R23" s="554"/>
      <c r="S23" s="553"/>
      <c r="T23" s="556"/>
      <c r="U23" s="556"/>
      <c r="V23" s="554"/>
      <c r="W23" s="553"/>
      <c r="X23" s="556"/>
      <c r="Y23" s="556"/>
      <c r="Z23" s="554"/>
      <c r="AA23" s="553"/>
      <c r="AB23" s="556"/>
      <c r="AC23" s="556"/>
      <c r="AD23" s="554"/>
      <c r="AE23" s="578">
        <f t="shared" si="0"/>
        <v>0</v>
      </c>
      <c r="AF23" s="567">
        <f t="shared" si="1"/>
        <v>0</v>
      </c>
    </row>
    <row r="24" spans="1:32" x14ac:dyDescent="0.3">
      <c r="A24" s="860" t="s">
        <v>248</v>
      </c>
      <c r="C24" s="553"/>
      <c r="D24" s="556"/>
      <c r="E24" s="556"/>
      <c r="F24" s="554"/>
      <c r="G24" s="553"/>
      <c r="H24" s="556"/>
      <c r="I24" s="556"/>
      <c r="J24" s="554"/>
      <c r="K24" s="553"/>
      <c r="L24" s="556"/>
      <c r="M24" s="556"/>
      <c r="N24" s="554"/>
      <c r="O24" s="553"/>
      <c r="P24" s="556"/>
      <c r="Q24" s="556"/>
      <c r="R24" s="554"/>
      <c r="S24" s="553"/>
      <c r="T24" s="556"/>
      <c r="U24" s="556"/>
      <c r="V24" s="554"/>
      <c r="W24" s="553"/>
      <c r="X24" s="556"/>
      <c r="Y24" s="556"/>
      <c r="Z24" s="554"/>
      <c r="AA24" s="553"/>
      <c r="AB24" s="556"/>
      <c r="AC24" s="556"/>
      <c r="AD24" s="554"/>
      <c r="AE24" s="578">
        <f t="shared" si="0"/>
        <v>0</v>
      </c>
      <c r="AF24" s="567">
        <f t="shared" si="1"/>
        <v>0</v>
      </c>
    </row>
    <row r="25" spans="1:32" x14ac:dyDescent="0.3">
      <c r="A25" s="860" t="s">
        <v>249</v>
      </c>
      <c r="C25" s="553"/>
      <c r="D25" s="556"/>
      <c r="E25" s="556"/>
      <c r="F25" s="554"/>
      <c r="G25" s="553"/>
      <c r="H25" s="556"/>
      <c r="I25" s="556"/>
      <c r="J25" s="554"/>
      <c r="K25" s="553"/>
      <c r="L25" s="556"/>
      <c r="M25" s="556"/>
      <c r="N25" s="554"/>
      <c r="O25" s="553"/>
      <c r="P25" s="556"/>
      <c r="Q25" s="556"/>
      <c r="R25" s="554"/>
      <c r="S25" s="553"/>
      <c r="T25" s="556"/>
      <c r="U25" s="556"/>
      <c r="V25" s="554"/>
      <c r="W25" s="553"/>
      <c r="X25" s="556"/>
      <c r="Y25" s="556"/>
      <c r="Z25" s="554"/>
      <c r="AA25" s="553"/>
      <c r="AB25" s="556"/>
      <c r="AC25" s="556"/>
      <c r="AD25" s="554"/>
      <c r="AE25" s="578">
        <f t="shared" si="0"/>
        <v>0</v>
      </c>
      <c r="AF25" s="567">
        <f t="shared" si="1"/>
        <v>0</v>
      </c>
    </row>
    <row r="26" spans="1:32" x14ac:dyDescent="0.3">
      <c r="A26" s="860" t="s">
        <v>250</v>
      </c>
      <c r="C26" s="553"/>
      <c r="D26" s="556"/>
      <c r="E26" s="556"/>
      <c r="F26" s="554"/>
      <c r="G26" s="553"/>
      <c r="H26" s="556"/>
      <c r="I26" s="556"/>
      <c r="J26" s="554"/>
      <c r="K26" s="553"/>
      <c r="L26" s="556"/>
      <c r="M26" s="556"/>
      <c r="N26" s="554"/>
      <c r="O26" s="553"/>
      <c r="P26" s="556"/>
      <c r="Q26" s="556"/>
      <c r="R26" s="554"/>
      <c r="S26" s="553"/>
      <c r="T26" s="556"/>
      <c r="U26" s="556"/>
      <c r="V26" s="554"/>
      <c r="W26" s="553"/>
      <c r="X26" s="556"/>
      <c r="Y26" s="556"/>
      <c r="Z26" s="554"/>
      <c r="AA26" s="553"/>
      <c r="AB26" s="556"/>
      <c r="AC26" s="556"/>
      <c r="AD26" s="554"/>
      <c r="AE26" s="578">
        <f t="shared" si="0"/>
        <v>0</v>
      </c>
      <c r="AF26" s="567">
        <f t="shared" si="1"/>
        <v>0</v>
      </c>
    </row>
    <row r="27" spans="1:32" x14ac:dyDescent="0.3">
      <c r="A27" s="860" t="s">
        <v>251</v>
      </c>
      <c r="C27" s="553"/>
      <c r="D27" s="556"/>
      <c r="E27" s="556"/>
      <c r="F27" s="554"/>
      <c r="G27" s="553"/>
      <c r="H27" s="556"/>
      <c r="I27" s="556"/>
      <c r="J27" s="554"/>
      <c r="K27" s="553"/>
      <c r="L27" s="556"/>
      <c r="M27" s="556"/>
      <c r="N27" s="554"/>
      <c r="O27" s="553"/>
      <c r="P27" s="556"/>
      <c r="Q27" s="556"/>
      <c r="R27" s="554"/>
      <c r="S27" s="553"/>
      <c r="T27" s="556"/>
      <c r="U27" s="556"/>
      <c r="V27" s="554"/>
      <c r="W27" s="553"/>
      <c r="X27" s="556"/>
      <c r="Y27" s="556"/>
      <c r="Z27" s="554"/>
      <c r="AA27" s="553"/>
      <c r="AB27" s="556"/>
      <c r="AC27" s="556"/>
      <c r="AD27" s="554"/>
      <c r="AE27" s="578">
        <f t="shared" si="0"/>
        <v>0</v>
      </c>
      <c r="AF27" s="567">
        <f t="shared" si="1"/>
        <v>0</v>
      </c>
    </row>
    <row r="28" spans="1:32" x14ac:dyDescent="0.3">
      <c r="A28" s="860" t="s">
        <v>252</v>
      </c>
      <c r="C28" s="553"/>
      <c r="D28" s="556"/>
      <c r="E28" s="556"/>
      <c r="F28" s="554"/>
      <c r="G28" s="553"/>
      <c r="H28" s="556"/>
      <c r="I28" s="556"/>
      <c r="J28" s="554"/>
      <c r="K28" s="553"/>
      <c r="L28" s="556"/>
      <c r="M28" s="556"/>
      <c r="N28" s="554"/>
      <c r="O28" s="553"/>
      <c r="P28" s="556"/>
      <c r="Q28" s="556"/>
      <c r="R28" s="554"/>
      <c r="S28" s="553"/>
      <c r="T28" s="556"/>
      <c r="U28" s="556"/>
      <c r="V28" s="554"/>
      <c r="W28" s="553"/>
      <c r="X28" s="556"/>
      <c r="Y28" s="556"/>
      <c r="Z28" s="554"/>
      <c r="AA28" s="553"/>
      <c r="AB28" s="556"/>
      <c r="AC28" s="556"/>
      <c r="AD28" s="554"/>
      <c r="AE28" s="578">
        <f t="shared" si="0"/>
        <v>0</v>
      </c>
      <c r="AF28" s="567">
        <f t="shared" si="1"/>
        <v>0</v>
      </c>
    </row>
    <row r="29" spans="1:32" x14ac:dyDescent="0.3">
      <c r="A29" s="860" t="s">
        <v>253</v>
      </c>
      <c r="C29" s="553"/>
      <c r="D29" s="556"/>
      <c r="E29" s="556"/>
      <c r="F29" s="554"/>
      <c r="G29" s="553"/>
      <c r="H29" s="556"/>
      <c r="I29" s="556"/>
      <c r="J29" s="554"/>
      <c r="K29" s="553"/>
      <c r="L29" s="556"/>
      <c r="M29" s="556"/>
      <c r="N29" s="554"/>
      <c r="O29" s="553"/>
      <c r="P29" s="556"/>
      <c r="Q29" s="556"/>
      <c r="R29" s="554"/>
      <c r="S29" s="553"/>
      <c r="T29" s="556"/>
      <c r="U29" s="556"/>
      <c r="V29" s="554"/>
      <c r="W29" s="553"/>
      <c r="X29" s="556"/>
      <c r="Y29" s="556"/>
      <c r="Z29" s="554"/>
      <c r="AA29" s="553"/>
      <c r="AB29" s="556"/>
      <c r="AC29" s="556"/>
      <c r="AD29" s="554"/>
      <c r="AE29" s="578">
        <f t="shared" si="0"/>
        <v>0</v>
      </c>
      <c r="AF29" s="567">
        <f t="shared" si="1"/>
        <v>0</v>
      </c>
    </row>
    <row r="30" spans="1:32" x14ac:dyDescent="0.3">
      <c r="A30" s="860" t="s">
        <v>254</v>
      </c>
      <c r="C30" s="553"/>
      <c r="D30" s="556"/>
      <c r="E30" s="556"/>
      <c r="F30" s="554"/>
      <c r="G30" s="553"/>
      <c r="H30" s="556"/>
      <c r="I30" s="556"/>
      <c r="J30" s="554"/>
      <c r="K30" s="553"/>
      <c r="L30" s="556"/>
      <c r="M30" s="556"/>
      <c r="N30" s="554"/>
      <c r="O30" s="553"/>
      <c r="P30" s="556"/>
      <c r="Q30" s="556"/>
      <c r="R30" s="554"/>
      <c r="S30" s="553"/>
      <c r="T30" s="556"/>
      <c r="U30" s="556"/>
      <c r="V30" s="554"/>
      <c r="W30" s="553"/>
      <c r="X30" s="556"/>
      <c r="Y30" s="556"/>
      <c r="Z30" s="554"/>
      <c r="AA30" s="553"/>
      <c r="AB30" s="556"/>
      <c r="AC30" s="556"/>
      <c r="AD30" s="554"/>
      <c r="AE30" s="578">
        <f t="shared" si="0"/>
        <v>0</v>
      </c>
      <c r="AF30" s="567">
        <f t="shared" si="1"/>
        <v>0</v>
      </c>
    </row>
    <row r="31" spans="1:32" x14ac:dyDescent="0.3">
      <c r="A31" s="860" t="s">
        <v>255</v>
      </c>
      <c r="C31" s="553"/>
      <c r="D31" s="556"/>
      <c r="E31" s="556"/>
      <c r="F31" s="554"/>
      <c r="G31" s="553"/>
      <c r="H31" s="556"/>
      <c r="I31" s="556"/>
      <c r="J31" s="554"/>
      <c r="K31" s="553"/>
      <c r="L31" s="556"/>
      <c r="M31" s="556"/>
      <c r="N31" s="554"/>
      <c r="O31" s="553"/>
      <c r="P31" s="556"/>
      <c r="Q31" s="556"/>
      <c r="R31" s="554"/>
      <c r="S31" s="553"/>
      <c r="T31" s="556"/>
      <c r="U31" s="556"/>
      <c r="V31" s="554"/>
      <c r="W31" s="553"/>
      <c r="X31" s="556"/>
      <c r="Y31" s="556"/>
      <c r="Z31" s="554"/>
      <c r="AA31" s="553"/>
      <c r="AB31" s="556"/>
      <c r="AC31" s="556"/>
      <c r="AD31" s="554"/>
      <c r="AE31" s="578">
        <f t="shared" si="0"/>
        <v>0</v>
      </c>
      <c r="AF31" s="567">
        <f t="shared" si="1"/>
        <v>0</v>
      </c>
    </row>
    <row r="32" spans="1:32" x14ac:dyDescent="0.3">
      <c r="A32" s="860" t="s">
        <v>256</v>
      </c>
      <c r="C32" s="553"/>
      <c r="D32" s="556"/>
      <c r="E32" s="556"/>
      <c r="F32" s="554"/>
      <c r="G32" s="553"/>
      <c r="H32" s="556"/>
      <c r="I32" s="556"/>
      <c r="J32" s="554"/>
      <c r="K32" s="553"/>
      <c r="L32" s="556"/>
      <c r="M32" s="556"/>
      <c r="N32" s="554"/>
      <c r="O32" s="553"/>
      <c r="P32" s="556"/>
      <c r="Q32" s="556"/>
      <c r="R32" s="554"/>
      <c r="S32" s="553"/>
      <c r="T32" s="556"/>
      <c r="U32" s="556"/>
      <c r="V32" s="554"/>
      <c r="W32" s="553"/>
      <c r="X32" s="556"/>
      <c r="Y32" s="556"/>
      <c r="Z32" s="554"/>
      <c r="AA32" s="553"/>
      <c r="AB32" s="556"/>
      <c r="AC32" s="556"/>
      <c r="AD32" s="554"/>
      <c r="AE32" s="578">
        <f t="shared" si="0"/>
        <v>0</v>
      </c>
      <c r="AF32" s="567">
        <f t="shared" si="1"/>
        <v>0</v>
      </c>
    </row>
    <row r="33" spans="1:32" x14ac:dyDescent="0.3">
      <c r="A33" s="860" t="s">
        <v>257</v>
      </c>
      <c r="C33" s="553"/>
      <c r="D33" s="556"/>
      <c r="E33" s="556"/>
      <c r="F33" s="554"/>
      <c r="G33" s="553"/>
      <c r="H33" s="556"/>
      <c r="I33" s="556"/>
      <c r="J33" s="554"/>
      <c r="K33" s="553"/>
      <c r="L33" s="556"/>
      <c r="M33" s="556"/>
      <c r="N33" s="554"/>
      <c r="O33" s="553"/>
      <c r="P33" s="556"/>
      <c r="Q33" s="556"/>
      <c r="R33" s="554"/>
      <c r="S33" s="553"/>
      <c r="T33" s="556"/>
      <c r="U33" s="556"/>
      <c r="V33" s="554"/>
      <c r="W33" s="553"/>
      <c r="X33" s="556"/>
      <c r="Y33" s="556"/>
      <c r="Z33" s="554"/>
      <c r="AA33" s="553"/>
      <c r="AB33" s="556"/>
      <c r="AC33" s="556"/>
      <c r="AD33" s="554"/>
      <c r="AE33" s="578">
        <f t="shared" si="0"/>
        <v>0</v>
      </c>
      <c r="AF33" s="567">
        <f t="shared" si="1"/>
        <v>0</v>
      </c>
    </row>
    <row r="34" spans="1:32" x14ac:dyDescent="0.3">
      <c r="A34" s="860" t="s">
        <v>237</v>
      </c>
      <c r="C34" s="553"/>
      <c r="D34" s="556"/>
      <c r="E34" s="556"/>
      <c r="F34" s="554"/>
      <c r="G34" s="553"/>
      <c r="H34" s="556"/>
      <c r="I34" s="556"/>
      <c r="J34" s="554"/>
      <c r="K34" s="553"/>
      <c r="L34" s="556"/>
      <c r="M34" s="556"/>
      <c r="N34" s="554"/>
      <c r="O34" s="553"/>
      <c r="P34" s="556"/>
      <c r="Q34" s="556"/>
      <c r="R34" s="554"/>
      <c r="S34" s="553"/>
      <c r="T34" s="556"/>
      <c r="U34" s="556"/>
      <c r="V34" s="554"/>
      <c r="W34" s="553"/>
      <c r="X34" s="556"/>
      <c r="Y34" s="556"/>
      <c r="Z34" s="554"/>
      <c r="AA34" s="553"/>
      <c r="AB34" s="556"/>
      <c r="AC34" s="556"/>
      <c r="AD34" s="554"/>
      <c r="AE34" s="578">
        <f t="shared" si="0"/>
        <v>0</v>
      </c>
      <c r="AF34" s="567">
        <f t="shared" si="1"/>
        <v>0</v>
      </c>
    </row>
    <row r="35" spans="1:32" x14ac:dyDescent="0.3">
      <c r="A35" s="860" t="s">
        <v>238</v>
      </c>
      <c r="C35" s="553"/>
      <c r="D35" s="556"/>
      <c r="E35" s="556"/>
      <c r="F35" s="554"/>
      <c r="G35" s="553"/>
      <c r="H35" s="556"/>
      <c r="I35" s="556"/>
      <c r="J35" s="554"/>
      <c r="K35" s="553"/>
      <c r="L35" s="556"/>
      <c r="M35" s="556"/>
      <c r="N35" s="554"/>
      <c r="O35" s="553"/>
      <c r="P35" s="556"/>
      <c r="Q35" s="556"/>
      <c r="R35" s="554"/>
      <c r="S35" s="553"/>
      <c r="T35" s="556"/>
      <c r="U35" s="556"/>
      <c r="V35" s="554"/>
      <c r="W35" s="553"/>
      <c r="X35" s="556"/>
      <c r="Y35" s="556"/>
      <c r="Z35" s="554"/>
      <c r="AA35" s="553"/>
      <c r="AB35" s="556"/>
      <c r="AC35" s="556"/>
      <c r="AD35" s="554"/>
      <c r="AE35" s="578">
        <f t="shared" si="0"/>
        <v>0</v>
      </c>
      <c r="AF35" s="567">
        <f t="shared" si="1"/>
        <v>0</v>
      </c>
    </row>
    <row r="36" spans="1:32" x14ac:dyDescent="0.3">
      <c r="A36" s="860" t="s">
        <v>73</v>
      </c>
      <c r="C36" s="553"/>
      <c r="D36" s="556"/>
      <c r="E36" s="556"/>
      <c r="F36" s="554"/>
      <c r="G36" s="553"/>
      <c r="H36" s="556"/>
      <c r="I36" s="556"/>
      <c r="J36" s="554"/>
      <c r="K36" s="553"/>
      <c r="L36" s="556"/>
      <c r="M36" s="556"/>
      <c r="N36" s="554"/>
      <c r="O36" s="553"/>
      <c r="P36" s="556"/>
      <c r="Q36" s="556"/>
      <c r="R36" s="554"/>
      <c r="S36" s="553"/>
      <c r="T36" s="556"/>
      <c r="U36" s="556"/>
      <c r="V36" s="554"/>
      <c r="W36" s="553"/>
      <c r="X36" s="556"/>
      <c r="Y36" s="556"/>
      <c r="Z36" s="554"/>
      <c r="AA36" s="553"/>
      <c r="AB36" s="556"/>
      <c r="AC36" s="556"/>
      <c r="AD36" s="554"/>
      <c r="AE36" s="578">
        <f t="shared" si="0"/>
        <v>0</v>
      </c>
      <c r="AF36" s="567">
        <f t="shared" si="1"/>
        <v>0</v>
      </c>
    </row>
    <row r="37" spans="1:32" x14ac:dyDescent="0.3">
      <c r="A37" s="860" t="s">
        <v>74</v>
      </c>
      <c r="C37" s="553"/>
      <c r="D37" s="556"/>
      <c r="E37" s="556"/>
      <c r="F37" s="554"/>
      <c r="G37" s="553"/>
      <c r="H37" s="556"/>
      <c r="I37" s="556"/>
      <c r="J37" s="554"/>
      <c r="K37" s="553"/>
      <c r="L37" s="556"/>
      <c r="M37" s="556"/>
      <c r="N37" s="554"/>
      <c r="O37" s="553"/>
      <c r="P37" s="556"/>
      <c r="Q37" s="556"/>
      <c r="R37" s="554"/>
      <c r="S37" s="553"/>
      <c r="T37" s="556"/>
      <c r="U37" s="556"/>
      <c r="V37" s="554"/>
      <c r="W37" s="553"/>
      <c r="X37" s="556"/>
      <c r="Y37" s="556"/>
      <c r="Z37" s="554"/>
      <c r="AA37" s="553"/>
      <c r="AB37" s="556"/>
      <c r="AC37" s="556"/>
      <c r="AD37" s="554"/>
      <c r="AE37" s="578">
        <f t="shared" si="0"/>
        <v>0</v>
      </c>
      <c r="AF37" s="567">
        <f t="shared" si="1"/>
        <v>0</v>
      </c>
    </row>
    <row r="38" spans="1:32" x14ac:dyDescent="0.3">
      <c r="A38" s="860" t="s">
        <v>76</v>
      </c>
      <c r="C38" s="553"/>
      <c r="D38" s="556"/>
      <c r="E38" s="556"/>
      <c r="F38" s="554"/>
      <c r="G38" s="553"/>
      <c r="H38" s="556"/>
      <c r="I38" s="556"/>
      <c r="J38" s="554"/>
      <c r="K38" s="553"/>
      <c r="L38" s="556"/>
      <c r="M38" s="556"/>
      <c r="N38" s="554"/>
      <c r="O38" s="553"/>
      <c r="P38" s="556"/>
      <c r="Q38" s="556"/>
      <c r="R38" s="554"/>
      <c r="S38" s="553"/>
      <c r="T38" s="556"/>
      <c r="U38" s="556"/>
      <c r="V38" s="554"/>
      <c r="W38" s="553"/>
      <c r="X38" s="556"/>
      <c r="Y38" s="556"/>
      <c r="Z38" s="554"/>
      <c r="AA38" s="553"/>
      <c r="AB38" s="556"/>
      <c r="AC38" s="556"/>
      <c r="AD38" s="554"/>
      <c r="AE38" s="578">
        <f t="shared" si="0"/>
        <v>0</v>
      </c>
      <c r="AF38" s="567">
        <f t="shared" si="1"/>
        <v>0</v>
      </c>
    </row>
    <row r="39" spans="1:32" x14ac:dyDescent="0.3">
      <c r="A39" s="860" t="s">
        <v>77</v>
      </c>
      <c r="C39" s="553"/>
      <c r="D39" s="556"/>
      <c r="E39" s="556"/>
      <c r="F39" s="554"/>
      <c r="G39" s="553"/>
      <c r="H39" s="556"/>
      <c r="I39" s="556"/>
      <c r="J39" s="554"/>
      <c r="K39" s="553"/>
      <c r="L39" s="556"/>
      <c r="M39" s="556"/>
      <c r="N39" s="554"/>
      <c r="O39" s="553"/>
      <c r="P39" s="556"/>
      <c r="Q39" s="556"/>
      <c r="R39" s="554"/>
      <c r="S39" s="553"/>
      <c r="T39" s="556"/>
      <c r="U39" s="556"/>
      <c r="V39" s="554"/>
      <c r="W39" s="553"/>
      <c r="X39" s="556"/>
      <c r="Y39" s="556"/>
      <c r="Z39" s="554"/>
      <c r="AA39" s="553"/>
      <c r="AB39" s="556"/>
      <c r="AC39" s="556"/>
      <c r="AD39" s="554"/>
      <c r="AE39" s="578">
        <f t="shared" si="0"/>
        <v>0</v>
      </c>
      <c r="AF39" s="567">
        <f t="shared" si="1"/>
        <v>0</v>
      </c>
    </row>
    <row r="40" spans="1:32" ht="15" thickBot="1" x14ac:dyDescent="0.35">
      <c r="A40" s="861" t="s">
        <v>79</v>
      </c>
      <c r="C40" s="557"/>
      <c r="D40" s="558"/>
      <c r="E40" s="558"/>
      <c r="F40" s="559"/>
      <c r="G40" s="557"/>
      <c r="H40" s="558"/>
      <c r="I40" s="558"/>
      <c r="J40" s="559"/>
      <c r="K40" s="557"/>
      <c r="L40" s="558"/>
      <c r="M40" s="558"/>
      <c r="N40" s="559"/>
      <c r="O40" s="557"/>
      <c r="P40" s="558"/>
      <c r="Q40" s="558"/>
      <c r="R40" s="559"/>
      <c r="S40" s="557"/>
      <c r="T40" s="558"/>
      <c r="U40" s="558"/>
      <c r="V40" s="559"/>
      <c r="W40" s="557"/>
      <c r="X40" s="558"/>
      <c r="Y40" s="558"/>
      <c r="Z40" s="559"/>
      <c r="AA40" s="557"/>
      <c r="AB40" s="558"/>
      <c r="AC40" s="558"/>
      <c r="AD40" s="559"/>
      <c r="AE40" s="578">
        <f t="shared" si="0"/>
        <v>0</v>
      </c>
      <c r="AF40" s="567">
        <f t="shared" si="1"/>
        <v>0</v>
      </c>
    </row>
    <row r="41" spans="1:32" s="550" customFormat="1" ht="15" thickBot="1" x14ac:dyDescent="0.35">
      <c r="A41" s="581" t="s">
        <v>258</v>
      </c>
      <c r="C41" s="564"/>
      <c r="D41" s="872">
        <f>SUM(D11:D40)</f>
        <v>0</v>
      </c>
      <c r="E41" s="565"/>
      <c r="F41" s="566"/>
      <c r="G41" s="564"/>
      <c r="H41" s="872">
        <f>SUM(H11:H40)</f>
        <v>0</v>
      </c>
      <c r="I41" s="565"/>
      <c r="J41" s="566"/>
      <c r="K41" s="564"/>
      <c r="L41" s="872">
        <f>SUM(L11:L40)</f>
        <v>0</v>
      </c>
      <c r="M41" s="565"/>
      <c r="N41" s="566"/>
      <c r="O41" s="564"/>
      <c r="P41" s="872">
        <f>SUM(P11:P40)</f>
        <v>0</v>
      </c>
      <c r="Q41" s="565"/>
      <c r="R41" s="566"/>
      <c r="S41" s="564"/>
      <c r="T41" s="872">
        <f>SUM(T11:T40)</f>
        <v>0</v>
      </c>
      <c r="U41" s="565"/>
      <c r="V41" s="566"/>
      <c r="W41" s="564"/>
      <c r="X41" s="872">
        <f>SUM(X11:X40)</f>
        <v>0</v>
      </c>
      <c r="Y41" s="565"/>
      <c r="Z41" s="566"/>
      <c r="AA41" s="564"/>
      <c r="AB41" s="872">
        <f>SUM(AB11:AB40)</f>
        <v>0</v>
      </c>
      <c r="AC41" s="565"/>
      <c r="AD41" s="566"/>
      <c r="AE41" s="568">
        <f>SUM(AE11:AE40)</f>
        <v>0</v>
      </c>
      <c r="AF41" s="564">
        <f>SUM(AF11:AF40)</f>
        <v>0</v>
      </c>
    </row>
    <row r="42" spans="1:32" s="550" customFormat="1" x14ac:dyDescent="0.3">
      <c r="A42" s="572"/>
      <c r="C42" s="572"/>
      <c r="D42" s="561"/>
      <c r="E42" s="561"/>
      <c r="F42" s="560"/>
      <c r="G42" s="572"/>
      <c r="H42" s="561"/>
      <c r="I42" s="561"/>
      <c r="J42" s="560"/>
      <c r="K42" s="572"/>
      <c r="L42" s="583"/>
      <c r="M42" s="561"/>
      <c r="N42" s="560"/>
      <c r="O42" s="572"/>
      <c r="P42" s="561"/>
      <c r="Q42" s="561"/>
      <c r="R42" s="560"/>
      <c r="S42" s="572"/>
      <c r="T42" s="561"/>
      <c r="U42" s="561"/>
      <c r="V42" s="560"/>
      <c r="W42" s="572"/>
      <c r="X42" s="561"/>
      <c r="Y42" s="561"/>
      <c r="Z42" s="560"/>
      <c r="AA42" s="572"/>
      <c r="AB42" s="583"/>
      <c r="AC42" s="561"/>
      <c r="AD42" s="560"/>
      <c r="AF42" s="561"/>
    </row>
    <row r="43" spans="1:32" ht="15" thickBot="1" x14ac:dyDescent="0.35">
      <c r="C43" s="574" t="s">
        <v>265</v>
      </c>
      <c r="D43" s="580"/>
      <c r="E43" s="549" t="s">
        <v>266</v>
      </c>
      <c r="F43" s="582"/>
      <c r="G43" s="574" t="s">
        <v>265</v>
      </c>
      <c r="H43" s="580"/>
      <c r="I43" s="549" t="s">
        <v>266</v>
      </c>
      <c r="J43" s="582"/>
      <c r="K43" s="574" t="s">
        <v>265</v>
      </c>
      <c r="L43" s="580"/>
      <c r="M43" s="549" t="s">
        <v>266</v>
      </c>
      <c r="N43" s="582"/>
      <c r="O43" s="574" t="s">
        <v>265</v>
      </c>
      <c r="P43" s="580"/>
      <c r="Q43" s="549" t="s">
        <v>266</v>
      </c>
      <c r="R43" s="582"/>
      <c r="S43" s="574" t="s">
        <v>265</v>
      </c>
      <c r="T43" s="580"/>
      <c r="U43" s="549" t="s">
        <v>266</v>
      </c>
      <c r="V43" s="582"/>
      <c r="W43" s="574" t="s">
        <v>265</v>
      </c>
      <c r="X43" s="580"/>
      <c r="Y43" s="549" t="s">
        <v>266</v>
      </c>
      <c r="Z43" s="582"/>
      <c r="AA43" s="574" t="s">
        <v>265</v>
      </c>
      <c r="AB43" s="580"/>
      <c r="AC43" s="549" t="s">
        <v>266</v>
      </c>
      <c r="AD43" s="582"/>
    </row>
    <row r="44" spans="1:32" ht="15" thickBot="1" x14ac:dyDescent="0.35">
      <c r="C44" s="574" t="s">
        <v>268</v>
      </c>
      <c r="D44" s="555"/>
      <c r="E44" s="549" t="s">
        <v>268</v>
      </c>
      <c r="F44" s="579"/>
      <c r="G44" s="574" t="s">
        <v>268</v>
      </c>
      <c r="H44" s="555"/>
      <c r="I44" s="549" t="s">
        <v>268</v>
      </c>
      <c r="J44" s="579"/>
      <c r="K44" s="574" t="s">
        <v>268</v>
      </c>
      <c r="L44" s="555"/>
      <c r="M44" s="549" t="s">
        <v>268</v>
      </c>
      <c r="N44" s="579"/>
      <c r="O44" s="574" t="s">
        <v>268</v>
      </c>
      <c r="P44" s="555"/>
      <c r="Q44" s="549" t="s">
        <v>268</v>
      </c>
      <c r="R44" s="579"/>
      <c r="S44" s="574" t="s">
        <v>268</v>
      </c>
      <c r="T44" s="555"/>
      <c r="U44" s="549" t="s">
        <v>268</v>
      </c>
      <c r="V44" s="579"/>
      <c r="W44" s="574" t="s">
        <v>268</v>
      </c>
      <c r="X44" s="555"/>
      <c r="Y44" s="549" t="s">
        <v>268</v>
      </c>
      <c r="Z44" s="579"/>
      <c r="AA44" s="574" t="s">
        <v>268</v>
      </c>
      <c r="AB44" s="555"/>
      <c r="AC44" s="549" t="s">
        <v>268</v>
      </c>
      <c r="AD44" s="579"/>
    </row>
    <row r="45" spans="1:32" ht="15" thickBot="1" x14ac:dyDescent="0.35">
      <c r="C45" s="574" t="s">
        <v>267</v>
      </c>
      <c r="D45" s="555"/>
      <c r="E45" s="549" t="s">
        <v>267</v>
      </c>
      <c r="F45" s="579"/>
      <c r="G45" s="574" t="s">
        <v>267</v>
      </c>
      <c r="H45" s="555"/>
      <c r="I45" s="549" t="s">
        <v>267</v>
      </c>
      <c r="J45" s="579"/>
      <c r="K45" s="574" t="s">
        <v>267</v>
      </c>
      <c r="L45" s="555"/>
      <c r="M45" s="549" t="s">
        <v>267</v>
      </c>
      <c r="N45" s="579"/>
      <c r="O45" s="574" t="s">
        <v>267</v>
      </c>
      <c r="P45" s="555"/>
      <c r="Q45" s="549" t="s">
        <v>267</v>
      </c>
      <c r="R45" s="579"/>
      <c r="S45" s="574" t="s">
        <v>267</v>
      </c>
      <c r="T45" s="555"/>
      <c r="U45" s="549" t="s">
        <v>267</v>
      </c>
      <c r="V45" s="579"/>
      <c r="W45" s="574" t="s">
        <v>267</v>
      </c>
      <c r="X45" s="555"/>
      <c r="Y45" s="549" t="s">
        <v>267</v>
      </c>
      <c r="Z45" s="579"/>
      <c r="AA45" s="574" t="s">
        <v>267</v>
      </c>
      <c r="AB45" s="555"/>
      <c r="AC45" s="549" t="s">
        <v>267</v>
      </c>
      <c r="AD45" s="579"/>
    </row>
    <row r="46" spans="1:32" ht="15" thickBot="1" x14ac:dyDescent="0.35">
      <c r="C46" s="575"/>
      <c r="D46" s="555"/>
      <c r="E46" s="576"/>
      <c r="F46" s="579"/>
      <c r="G46" s="575"/>
      <c r="H46" s="555"/>
      <c r="I46" s="576"/>
      <c r="J46" s="579"/>
      <c r="K46" s="575"/>
      <c r="L46" s="555"/>
      <c r="M46" s="576"/>
      <c r="N46" s="579"/>
      <c r="O46" s="575"/>
      <c r="P46" s="555"/>
      <c r="Q46" s="576"/>
      <c r="R46" s="579"/>
      <c r="S46" s="575"/>
      <c r="T46" s="555"/>
      <c r="U46" s="576"/>
      <c r="V46" s="579"/>
      <c r="W46" s="575"/>
      <c r="X46" s="555"/>
      <c r="Y46" s="576"/>
      <c r="Z46" s="579"/>
      <c r="AA46" s="575"/>
      <c r="AB46" s="555"/>
      <c r="AC46" s="576"/>
      <c r="AD46" s="579"/>
    </row>
  </sheetData>
  <mergeCells count="16">
    <mergeCell ref="AE9:AF9"/>
    <mergeCell ref="C1:F1"/>
    <mergeCell ref="G1:J1"/>
    <mergeCell ref="K1:N1"/>
    <mergeCell ref="O1:R1"/>
    <mergeCell ref="S1:V1"/>
    <mergeCell ref="W1:Z1"/>
    <mergeCell ref="AA1:AD1"/>
    <mergeCell ref="AA9:AD9"/>
    <mergeCell ref="S9:V9"/>
    <mergeCell ref="W9:Z9"/>
    <mergeCell ref="A9:A10"/>
    <mergeCell ref="C9:F9"/>
    <mergeCell ref="G9:J9"/>
    <mergeCell ref="K9:N9"/>
    <mergeCell ref="O9:R9"/>
  </mergeCells>
  <pageMargins left="0.51181102362204722" right="0.51181102362204722" top="0.55118110236220474" bottom="0.74803149606299213" header="0.31496062992125984" footer="0.31496062992125984"/>
  <pageSetup scale="46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2928F-BD10-4622-A5F7-8888CDABEF8D}">
  <dimension ref="A1:BG127"/>
  <sheetViews>
    <sheetView zoomScale="70" zoomScaleNormal="70" workbookViewId="0">
      <selection sqref="A1:XFD1048576"/>
    </sheetView>
  </sheetViews>
  <sheetFormatPr defaultRowHeight="14.4" x14ac:dyDescent="0.3"/>
  <cols>
    <col min="1" max="1" width="18.88671875" customWidth="1"/>
    <col min="2" max="2" width="19.109375" bestFit="1" customWidth="1"/>
    <col min="3" max="3" width="24.44140625" customWidth="1"/>
    <col min="4" max="4" width="20.109375" customWidth="1"/>
    <col min="5" max="5" width="19.6640625" customWidth="1"/>
    <col min="6" max="6" width="23.109375" customWidth="1"/>
    <col min="7" max="7" width="18.33203125" customWidth="1"/>
    <col min="8" max="8" width="18.109375" customWidth="1"/>
    <col min="9" max="9" width="17.6640625" customWidth="1"/>
    <col min="10" max="10" width="15.5546875" customWidth="1"/>
    <col min="11" max="11" width="19.88671875" customWidth="1"/>
    <col min="12" max="12" width="21" customWidth="1"/>
    <col min="13" max="13" width="15" customWidth="1"/>
    <col min="14" max="14" width="15.6640625" customWidth="1"/>
    <col min="15" max="15" width="13.109375" customWidth="1"/>
    <col min="16" max="16" width="12.44140625" bestFit="1" customWidth="1"/>
    <col min="17" max="17" width="14.6640625" customWidth="1"/>
    <col min="18" max="18" width="12.44140625" customWidth="1"/>
    <col min="19" max="19" width="14.6640625" customWidth="1"/>
    <col min="20" max="20" width="19.44140625" customWidth="1"/>
    <col min="21" max="21" width="23.6640625" customWidth="1"/>
    <col min="22" max="22" width="15.6640625" customWidth="1"/>
    <col min="23" max="23" width="18.109375" customWidth="1"/>
    <col min="24" max="24" width="15.109375" customWidth="1"/>
    <col min="25" max="25" width="18.109375" customWidth="1"/>
    <col min="26" max="26" width="15.88671875" customWidth="1"/>
    <col min="27" max="27" width="16.33203125" customWidth="1"/>
    <col min="28" max="28" width="15.5546875" customWidth="1"/>
    <col min="29" max="29" width="14.109375" customWidth="1"/>
    <col min="30" max="30" width="16.5546875" customWidth="1"/>
    <col min="31" max="31" width="16.6640625" customWidth="1"/>
    <col min="32" max="32" width="22" customWidth="1"/>
    <col min="33" max="33" width="16" customWidth="1"/>
    <col min="34" max="34" width="15.44140625" customWidth="1"/>
    <col min="35" max="35" width="23.44140625" customWidth="1"/>
    <col min="36" max="36" width="13.33203125" bestFit="1" customWidth="1"/>
    <col min="37" max="37" width="15.44140625" bestFit="1" customWidth="1"/>
    <col min="38" max="38" width="14.33203125" customWidth="1"/>
    <col min="39" max="39" width="11" customWidth="1"/>
    <col min="40" max="40" width="15.44140625" bestFit="1" customWidth="1"/>
    <col min="41" max="41" width="14.6640625" bestFit="1" customWidth="1"/>
    <col min="42" max="42" width="13.33203125" bestFit="1" customWidth="1"/>
    <col min="43" max="43" width="14.88671875" customWidth="1"/>
    <col min="44" max="44" width="18" customWidth="1"/>
    <col min="45" max="45" width="14.6640625" customWidth="1"/>
    <col min="46" max="46" width="19.44140625" customWidth="1"/>
    <col min="47" max="47" width="17.6640625" customWidth="1"/>
    <col min="48" max="48" width="17.88671875" customWidth="1"/>
    <col min="49" max="49" width="17.88671875" bestFit="1" customWidth="1"/>
    <col min="50" max="50" width="19.6640625" customWidth="1"/>
    <col min="51" max="51" width="22.5546875" customWidth="1"/>
    <col min="52" max="52" width="29.33203125" customWidth="1"/>
    <col min="53" max="53" width="15.109375" customWidth="1"/>
    <col min="54" max="54" width="13.44140625" customWidth="1"/>
    <col min="55" max="55" width="22.109375" customWidth="1"/>
    <col min="56" max="56" width="17.109375" customWidth="1"/>
    <col min="57" max="57" width="26.33203125" customWidth="1"/>
  </cols>
  <sheetData>
    <row r="1" spans="1:59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</row>
    <row r="2" spans="1:59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</row>
    <row r="3" spans="1:59" ht="15" thickBot="1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</row>
    <row r="4" spans="1:59" ht="16.2" thickBot="1" x14ac:dyDescent="0.35">
      <c r="A4" s="2" t="s">
        <v>0</v>
      </c>
      <c r="B4" s="3"/>
      <c r="C4" s="4"/>
      <c r="D4" s="5"/>
      <c r="E4" s="1"/>
      <c r="F4" s="1"/>
      <c r="G4" s="1"/>
      <c r="H4" s="1"/>
      <c r="I4" s="1"/>
      <c r="J4" s="1"/>
      <c r="K4" s="2" t="s">
        <v>1</v>
      </c>
      <c r="L4" s="6"/>
      <c r="M4" s="4"/>
      <c r="N4" s="5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7"/>
    </row>
    <row r="5" spans="1:59" ht="15" thickBot="1" x14ac:dyDescent="0.35">
      <c r="A5" s="8" t="s">
        <v>2</v>
      </c>
      <c r="B5" s="9" t="s">
        <v>3</v>
      </c>
      <c r="C5" s="9" t="s">
        <v>4</v>
      </c>
      <c r="D5" s="9" t="s">
        <v>5</v>
      </c>
      <c r="E5" s="10" t="s">
        <v>6</v>
      </c>
      <c r="F5" s="10" t="s">
        <v>7</v>
      </c>
      <c r="G5" s="11" t="s">
        <v>8</v>
      </c>
      <c r="H5" s="11" t="s">
        <v>9</v>
      </c>
      <c r="I5" s="12"/>
      <c r="J5" s="12"/>
      <c r="K5" s="13" t="s">
        <v>2</v>
      </c>
      <c r="L5" s="14" t="s">
        <v>3</v>
      </c>
      <c r="M5" s="10" t="s">
        <v>4</v>
      </c>
      <c r="N5" s="10" t="s">
        <v>5</v>
      </c>
      <c r="O5" s="10" t="s">
        <v>6</v>
      </c>
      <c r="P5" s="10" t="s">
        <v>7</v>
      </c>
      <c r="Q5" s="15" t="s">
        <v>8</v>
      </c>
      <c r="R5" s="11" t="s">
        <v>9</v>
      </c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7"/>
    </row>
    <row r="6" spans="1:59" x14ac:dyDescent="0.3">
      <c r="A6" s="16" t="s">
        <v>10</v>
      </c>
      <c r="B6" s="17">
        <f>SUM(T72:T77)</f>
        <v>0</v>
      </c>
      <c r="C6" s="17">
        <f>SUM(Y72:Y77)</f>
        <v>0</v>
      </c>
      <c r="D6" s="17">
        <f>SUM(AD72:AD77)</f>
        <v>0</v>
      </c>
      <c r="E6" s="18">
        <f>SUM(AI72:AI77)</f>
        <v>0</v>
      </c>
      <c r="F6" s="19">
        <f>SUM(AN72:AN77)</f>
        <v>0</v>
      </c>
      <c r="G6" s="19">
        <f>SUM(AX72:AX77)</f>
        <v>0</v>
      </c>
      <c r="H6" s="19">
        <v>0</v>
      </c>
      <c r="I6" s="12"/>
      <c r="J6" s="12"/>
      <c r="K6" s="20" t="s">
        <v>11</v>
      </c>
      <c r="L6" s="21">
        <f>SUM(T28:T40)</f>
        <v>0</v>
      </c>
      <c r="M6" s="21">
        <f>SUM(Y28:Y40)</f>
        <v>0</v>
      </c>
      <c r="N6" s="22">
        <f>SUM(AD28:AD40)</f>
        <v>0</v>
      </c>
      <c r="O6" s="22">
        <f>SUM(AI28:AI40)</f>
        <v>0</v>
      </c>
      <c r="P6" s="22">
        <f>SUM(AN28:AN40)</f>
        <v>0</v>
      </c>
      <c r="Q6" s="23">
        <f>SUM(AS28:AS40)</f>
        <v>0</v>
      </c>
      <c r="R6" s="24">
        <f>SUM(AX28:AX40)</f>
        <v>0</v>
      </c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7"/>
    </row>
    <row r="7" spans="1:59" x14ac:dyDescent="0.3">
      <c r="A7" s="25" t="s">
        <v>12</v>
      </c>
      <c r="B7" s="22">
        <f>SUM(U72:U77)</f>
        <v>0</v>
      </c>
      <c r="C7" s="26">
        <f>SUM(Z72:Z77)</f>
        <v>0</v>
      </c>
      <c r="D7" s="23">
        <f>SUM(AE72:AE77)</f>
        <v>0</v>
      </c>
      <c r="E7" s="27">
        <f>SUM(AJ72:AJ77)</f>
        <v>0</v>
      </c>
      <c r="F7" s="28">
        <f>SUM(AO72:AO77)</f>
        <v>0</v>
      </c>
      <c r="G7" s="28">
        <v>0</v>
      </c>
      <c r="H7" s="28">
        <f>AY72+AY73+AY74+AY75+AY76+AY77</f>
        <v>0</v>
      </c>
      <c r="I7" s="1"/>
      <c r="J7" s="1"/>
      <c r="K7" s="29" t="s">
        <v>13</v>
      </c>
      <c r="L7" s="30">
        <f>V34</f>
        <v>0</v>
      </c>
      <c r="M7" s="31">
        <f>AA34</f>
        <v>0</v>
      </c>
      <c r="N7" s="32">
        <f>AF34</f>
        <v>0</v>
      </c>
      <c r="O7" s="31">
        <f>AK34</f>
        <v>0</v>
      </c>
      <c r="P7" s="31">
        <f>AP34</f>
        <v>0</v>
      </c>
      <c r="Q7" s="33">
        <f>AU34</f>
        <v>0</v>
      </c>
      <c r="R7" s="34">
        <f>AZ34</f>
        <v>0</v>
      </c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7"/>
    </row>
    <row r="8" spans="1:59" x14ac:dyDescent="0.3">
      <c r="A8" s="35" t="s">
        <v>14</v>
      </c>
      <c r="B8" s="32">
        <f>SUM(V72:V77)</f>
        <v>0</v>
      </c>
      <c r="C8" s="31">
        <f>SUM(AA72:AA77)</f>
        <v>0</v>
      </c>
      <c r="D8" s="33">
        <f>SUM(AF72:AF77)</f>
        <v>0</v>
      </c>
      <c r="E8" s="34">
        <f>SUM(AK72:AK77)</f>
        <v>0</v>
      </c>
      <c r="F8" s="28">
        <f>SUM(AP72:AP77)</f>
        <v>0</v>
      </c>
      <c r="G8" s="28">
        <f>SUM(AU72:AU77)</f>
        <v>0</v>
      </c>
      <c r="H8" s="28">
        <f>AZ72+AZ73+AZ74+AZ75+AZ76+AZ77</f>
        <v>0</v>
      </c>
      <c r="I8" s="1"/>
      <c r="J8" s="1"/>
      <c r="K8" s="29" t="s">
        <v>15</v>
      </c>
      <c r="L8" s="30">
        <f>SUM(U28:U40)</f>
        <v>0</v>
      </c>
      <c r="M8" s="31">
        <f>SUM(Z28:Z40)</f>
        <v>0</v>
      </c>
      <c r="N8" s="31">
        <f>SUM(AE28:AE40)</f>
        <v>0</v>
      </c>
      <c r="O8" s="31">
        <f>SUM(AJ28:AJ40)</f>
        <v>0</v>
      </c>
      <c r="P8" s="31">
        <f>SUM(AO28:AO40)</f>
        <v>0</v>
      </c>
      <c r="Q8" s="33">
        <f>SUM(AT28:AT40)</f>
        <v>0</v>
      </c>
      <c r="R8" s="34">
        <f>SUM(AY28:AY40)</f>
        <v>0</v>
      </c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7"/>
    </row>
    <row r="9" spans="1:59" ht="15" thickBot="1" x14ac:dyDescent="0.35">
      <c r="A9" s="36" t="s">
        <v>16</v>
      </c>
      <c r="B9" s="37">
        <f>SUM(W72:W77)</f>
        <v>0</v>
      </c>
      <c r="C9" s="37">
        <f>SUM(AB72:AB77)</f>
        <v>0</v>
      </c>
      <c r="D9" s="38">
        <f>SUM(AG72:AG77)</f>
        <v>0</v>
      </c>
      <c r="E9" s="39">
        <f>SUM(AL72:AL77)</f>
        <v>0</v>
      </c>
      <c r="F9" s="40">
        <f>SUM(AQ72:AQ77)</f>
        <v>0</v>
      </c>
      <c r="G9" s="40">
        <f>SUM(AV72:AV77)</f>
        <v>0</v>
      </c>
      <c r="H9" s="40">
        <f>SUM(BA72:BA77)</f>
        <v>0</v>
      </c>
      <c r="I9" s="1"/>
      <c r="J9" s="1"/>
      <c r="K9" s="29" t="s">
        <v>17</v>
      </c>
      <c r="L9" s="41">
        <f>SUM(T49:T63)</f>
        <v>0</v>
      </c>
      <c r="M9" s="31">
        <f>SUM(Y49:Y63)</f>
        <v>0</v>
      </c>
      <c r="N9" s="31">
        <f>SUM(AD49:AD63)</f>
        <v>0</v>
      </c>
      <c r="O9" s="31">
        <f>SUM(AI49:AI63)</f>
        <v>0</v>
      </c>
      <c r="P9" s="31">
        <f>SUM(AN49:AN63)</f>
        <v>0</v>
      </c>
      <c r="Q9" s="33">
        <f>SUM(AS49:AS63)</f>
        <v>0</v>
      </c>
      <c r="R9" s="34">
        <f>SUM(AX49:AX63)</f>
        <v>0</v>
      </c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7"/>
    </row>
    <row r="10" spans="1:59" ht="15" thickBot="1" x14ac:dyDescent="0.35">
      <c r="A10" s="42" t="s">
        <v>18</v>
      </c>
      <c r="B10" s="43">
        <f t="shared" ref="B10:H10" si="0">SUM(B6:B9)</f>
        <v>0</v>
      </c>
      <c r="C10" s="44">
        <f t="shared" si="0"/>
        <v>0</v>
      </c>
      <c r="D10" s="44">
        <f t="shared" si="0"/>
        <v>0</v>
      </c>
      <c r="E10" s="44">
        <f t="shared" si="0"/>
        <v>0</v>
      </c>
      <c r="F10" s="44">
        <f t="shared" si="0"/>
        <v>0</v>
      </c>
      <c r="G10" s="44">
        <f t="shared" si="0"/>
        <v>0</v>
      </c>
      <c r="H10" s="44">
        <f t="shared" si="0"/>
        <v>0</v>
      </c>
      <c r="I10" s="1"/>
      <c r="J10" s="1"/>
      <c r="K10" s="45" t="s">
        <v>19</v>
      </c>
      <c r="L10" s="30">
        <f>SUM(V49:V63)</f>
        <v>0</v>
      </c>
      <c r="M10" s="46">
        <f>SUM(AA49:AA63)</f>
        <v>0</v>
      </c>
      <c r="N10" s="46">
        <f>SUM(AF49:AF63)</f>
        <v>0</v>
      </c>
      <c r="O10" s="46">
        <f>SUM(AK49:AK63)</f>
        <v>0</v>
      </c>
      <c r="P10" s="31">
        <f>SUM(AP49:AP63)</f>
        <v>0</v>
      </c>
      <c r="Q10" s="33">
        <f>SUM(AU49:AU63)</f>
        <v>0</v>
      </c>
      <c r="R10" s="34">
        <f>SUM(AZ49:AZ63)</f>
        <v>0</v>
      </c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7"/>
    </row>
    <row r="11" spans="1:59" ht="15" thickBot="1" x14ac:dyDescent="0.35">
      <c r="A11" s="47"/>
      <c r="B11" s="48"/>
      <c r="C11" s="48"/>
      <c r="D11" s="48"/>
      <c r="E11" s="48"/>
      <c r="F11" s="48"/>
      <c r="G11" s="1"/>
      <c r="H11" s="1"/>
      <c r="I11" s="1"/>
      <c r="J11" s="1"/>
      <c r="K11" s="45" t="s">
        <v>20</v>
      </c>
      <c r="L11" s="49">
        <f>SUM(U49:U63)</f>
        <v>0</v>
      </c>
      <c r="M11" s="50">
        <f>SUM(Z49:Z63)</f>
        <v>0</v>
      </c>
      <c r="N11" s="50">
        <f>SUM(AE49:AE63)</f>
        <v>0</v>
      </c>
      <c r="O11" s="50">
        <f>SUM(AJ49:AJ63)</f>
        <v>0</v>
      </c>
      <c r="P11" s="50">
        <f>SUM(AO49:AO63)</f>
        <v>0</v>
      </c>
      <c r="Q11" s="51">
        <f>SUM(AT49:AT63)</f>
        <v>0</v>
      </c>
      <c r="R11" s="52">
        <f>SUM(AY49:AY63)</f>
        <v>0</v>
      </c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7"/>
    </row>
    <row r="12" spans="1:59" ht="15" thickBot="1" x14ac:dyDescent="0.35">
      <c r="A12" s="2736" t="s">
        <v>21</v>
      </c>
      <c r="B12" s="2737"/>
      <c r="C12" s="2737"/>
      <c r="D12" s="2738"/>
      <c r="E12" s="53"/>
      <c r="F12" s="54"/>
      <c r="G12" s="55"/>
      <c r="H12" s="55"/>
      <c r="I12" s="1"/>
      <c r="J12" s="1"/>
      <c r="K12" s="29"/>
      <c r="L12" s="56"/>
      <c r="M12" s="57"/>
      <c r="N12" s="57"/>
      <c r="O12" s="57"/>
      <c r="P12" s="57"/>
      <c r="Q12" s="58"/>
      <c r="R12" s="59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7"/>
    </row>
    <row r="13" spans="1:59" ht="15" thickBot="1" x14ac:dyDescent="0.35">
      <c r="A13" s="60" t="s">
        <v>2</v>
      </c>
      <c r="B13" s="61" t="s">
        <v>3</v>
      </c>
      <c r="C13" s="61" t="s">
        <v>4</v>
      </c>
      <c r="D13" s="61" t="s">
        <v>5</v>
      </c>
      <c r="E13" s="62" t="s">
        <v>6</v>
      </c>
      <c r="F13" s="62" t="s">
        <v>7</v>
      </c>
      <c r="G13" s="63" t="s">
        <v>8</v>
      </c>
      <c r="H13" s="63" t="s">
        <v>9</v>
      </c>
      <c r="I13" s="1"/>
      <c r="J13" s="1"/>
      <c r="K13" s="29"/>
      <c r="L13" s="49"/>
      <c r="M13" s="57"/>
      <c r="N13" s="57"/>
      <c r="O13" s="57"/>
      <c r="P13" s="57"/>
      <c r="Q13" s="58"/>
      <c r="R13" s="59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7"/>
    </row>
    <row r="14" spans="1:59" ht="15" thickBot="1" x14ac:dyDescent="0.35">
      <c r="A14" s="64" t="s">
        <v>22</v>
      </c>
      <c r="B14" s="65">
        <f>SUM(T81:T123)</f>
        <v>0</v>
      </c>
      <c r="C14" s="66">
        <f>SUM(Y81:Y123)</f>
        <v>0</v>
      </c>
      <c r="D14" s="66">
        <f>SUM(AD81:AD123)</f>
        <v>0</v>
      </c>
      <c r="E14" s="66">
        <f>SUM(AI81:AI123)</f>
        <v>0</v>
      </c>
      <c r="F14" s="67">
        <f>SUM(AN81:AN123)</f>
        <v>0</v>
      </c>
      <c r="G14" s="67">
        <f>SUM(AS81:AS86)</f>
        <v>0</v>
      </c>
      <c r="H14" s="67">
        <f>SUM(AX81:AX123)</f>
        <v>0</v>
      </c>
      <c r="I14" s="1"/>
      <c r="J14" s="1"/>
      <c r="K14" s="68"/>
      <c r="L14" s="49"/>
      <c r="M14" s="57"/>
      <c r="N14" s="57"/>
      <c r="O14" s="57"/>
      <c r="P14" s="57"/>
      <c r="Q14" s="69"/>
      <c r="R14" s="70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7"/>
    </row>
    <row r="15" spans="1:59" ht="15" thickBot="1" x14ac:dyDescent="0.35">
      <c r="A15" s="71" t="s">
        <v>23</v>
      </c>
      <c r="B15" s="72">
        <f>SUM(U81:U123)</f>
        <v>0</v>
      </c>
      <c r="C15" s="73">
        <f>SUM(Z81:Z123)</f>
        <v>0</v>
      </c>
      <c r="D15" s="74">
        <f>SUM(AE81:AE123)</f>
        <v>0</v>
      </c>
      <c r="E15" s="74">
        <f>SUM(AJ81:AJ123)</f>
        <v>0</v>
      </c>
      <c r="F15" s="28">
        <f>SUM(AO81:AO123)</f>
        <v>0</v>
      </c>
      <c r="G15" s="584">
        <f>SUM(AT81:AT123)</f>
        <v>0</v>
      </c>
      <c r="H15" s="28">
        <f>SUM(AY81:AY123)</f>
        <v>0</v>
      </c>
      <c r="I15" s="1"/>
      <c r="J15" s="1"/>
      <c r="K15" s="75" t="s">
        <v>18</v>
      </c>
      <c r="L15" s="44">
        <f>SUM(L6:L11)</f>
        <v>0</v>
      </c>
      <c r="M15" s="44">
        <f t="shared" ref="M15:R15" si="1">SUM(M6:M14)</f>
        <v>0</v>
      </c>
      <c r="N15" s="44">
        <f t="shared" si="1"/>
        <v>0</v>
      </c>
      <c r="O15" s="44">
        <f t="shared" si="1"/>
        <v>0</v>
      </c>
      <c r="P15" s="44">
        <f t="shared" si="1"/>
        <v>0</v>
      </c>
      <c r="Q15" s="44">
        <f t="shared" si="1"/>
        <v>0</v>
      </c>
      <c r="R15" s="44">
        <f t="shared" si="1"/>
        <v>0</v>
      </c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7"/>
    </row>
    <row r="16" spans="1:59" x14ac:dyDescent="0.3">
      <c r="A16" s="76" t="s">
        <v>24</v>
      </c>
      <c r="B16" s="77">
        <f>SUM(V81:V123)</f>
        <v>0</v>
      </c>
      <c r="C16" s="78">
        <f>SUM(AA81:AA123)</f>
        <v>0</v>
      </c>
      <c r="D16" s="73">
        <f>SUM(AF81:AF123)</f>
        <v>0</v>
      </c>
      <c r="E16" s="74">
        <f>SUM(AK81:AK123)</f>
        <v>0</v>
      </c>
      <c r="F16" s="28">
        <f>SUM(AP81:AP123)</f>
        <v>0</v>
      </c>
      <c r="G16" s="28">
        <f>SUM(AU93:AU98)</f>
        <v>0</v>
      </c>
      <c r="H16" s="28">
        <f>SUM(AZ81:AZ123)</f>
        <v>0</v>
      </c>
      <c r="I16" s="1"/>
      <c r="J16" s="1"/>
      <c r="K16" s="79"/>
      <c r="L16" s="1"/>
      <c r="M16" s="1"/>
      <c r="N16" s="1"/>
      <c r="O16" s="1"/>
      <c r="P16" s="79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7"/>
    </row>
    <row r="17" spans="1:59" x14ac:dyDescent="0.3">
      <c r="A17" s="76" t="s">
        <v>25</v>
      </c>
      <c r="B17" s="77">
        <f>SUM(W81:W123)</f>
        <v>0</v>
      </c>
      <c r="C17" s="78">
        <f>SUM(AB81:AB123)</f>
        <v>0</v>
      </c>
      <c r="D17" s="74">
        <f>SUM(AG81:AG123)</f>
        <v>0</v>
      </c>
      <c r="E17" s="73">
        <f>SUM(AL81:AL123)</f>
        <v>0</v>
      </c>
      <c r="F17" s="28">
        <f>SUM(AQ81:AQ123)</f>
        <v>0</v>
      </c>
      <c r="G17" s="28">
        <f>SUM(AV99:AV108)</f>
        <v>0</v>
      </c>
      <c r="H17" s="28">
        <f>SUM(BA81:BA123)</f>
        <v>0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</row>
    <row r="18" spans="1:59" ht="15" thickBot="1" x14ac:dyDescent="0.35">
      <c r="A18" s="81" t="s">
        <v>27</v>
      </c>
      <c r="B18" s="82">
        <f>SUM(X81:X123)</f>
        <v>0</v>
      </c>
      <c r="C18" s="82">
        <f>SUM(AC81:AC123)</f>
        <v>0</v>
      </c>
      <c r="D18" s="82">
        <f>SUM(AH81:AH123)</f>
        <v>0</v>
      </c>
      <c r="E18" s="83">
        <f>SUM(AM81:AM123)</f>
        <v>0</v>
      </c>
      <c r="F18" s="27">
        <f>SUM(AR81:AR123)</f>
        <v>0</v>
      </c>
      <c r="G18" s="27">
        <f>SUM(AW105:AW123)</f>
        <v>0</v>
      </c>
      <c r="H18" s="27">
        <f>SUM(BB81:BB123)</f>
        <v>0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7"/>
    </row>
    <row r="19" spans="1:59" ht="15" thickBot="1" x14ac:dyDescent="0.35">
      <c r="A19" s="75" t="s">
        <v>18</v>
      </c>
      <c r="B19" s="84">
        <f t="shared" ref="B19:H19" si="2">SUM(B14:B18)</f>
        <v>0</v>
      </c>
      <c r="C19" s="85">
        <f t="shared" si="2"/>
        <v>0</v>
      </c>
      <c r="D19" s="86">
        <f t="shared" si="2"/>
        <v>0</v>
      </c>
      <c r="E19" s="86">
        <f t="shared" si="2"/>
        <v>0</v>
      </c>
      <c r="F19" s="44">
        <f t="shared" si="2"/>
        <v>0</v>
      </c>
      <c r="G19" s="44">
        <f t="shared" si="2"/>
        <v>0</v>
      </c>
      <c r="H19" s="44">
        <f t="shared" si="2"/>
        <v>0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7"/>
    </row>
    <row r="20" spans="1:59" ht="15" thickBot="1" x14ac:dyDescent="0.35">
      <c r="A20" s="87"/>
      <c r="B20" s="88"/>
      <c r="C20" s="88"/>
      <c r="D20" s="88"/>
      <c r="E20" s="88"/>
      <c r="F20" s="89"/>
      <c r="G20" s="1"/>
      <c r="H20" s="1"/>
      <c r="I20" s="795" t="s">
        <v>281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</row>
    <row r="21" spans="1:59" ht="15" thickBot="1" x14ac:dyDescent="0.35">
      <c r="A21" s="42" t="s">
        <v>26</v>
      </c>
      <c r="B21" s="80">
        <f>B10+B19+L15</f>
        <v>0</v>
      </c>
      <c r="C21" s="80">
        <f t="shared" ref="C21:H21" si="3">C10+C19+M15</f>
        <v>0</v>
      </c>
      <c r="D21" s="80">
        <f t="shared" si="3"/>
        <v>0</v>
      </c>
      <c r="E21" s="80">
        <f t="shared" si="3"/>
        <v>0</v>
      </c>
      <c r="F21" s="80">
        <f t="shared" si="3"/>
        <v>0</v>
      </c>
      <c r="G21" s="80">
        <f t="shared" si="3"/>
        <v>0</v>
      </c>
      <c r="H21" s="80">
        <f t="shared" si="3"/>
        <v>0</v>
      </c>
      <c r="I21" s="548">
        <f>SUM(B21:H21)</f>
        <v>0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</row>
    <row r="22" spans="1:59" ht="16.2" thickBot="1" x14ac:dyDescent="0.35">
      <c r="A22" s="90"/>
      <c r="B22" s="91"/>
      <c r="C22" s="91"/>
      <c r="D22" s="91"/>
      <c r="E22" s="91"/>
      <c r="F22" s="91"/>
      <c r="G22" s="91"/>
      <c r="H22" s="92"/>
      <c r="I22" s="93"/>
      <c r="J22" s="94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</row>
    <row r="23" spans="1:59" x14ac:dyDescent="0.3">
      <c r="A23" s="1"/>
      <c r="B23" s="1"/>
      <c r="C23" s="93"/>
      <c r="D23" s="1"/>
      <c r="E23" s="1"/>
      <c r="F23" s="1"/>
      <c r="G23" s="1"/>
      <c r="H23" s="1"/>
      <c r="I23" s="1"/>
      <c r="J23" s="94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</row>
    <row r="24" spans="1:59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</row>
    <row r="25" spans="1:59" ht="18.600000000000001" thickBot="1" x14ac:dyDescent="0.4">
      <c r="A25" s="95"/>
      <c r="B25" s="95"/>
      <c r="C25" s="95"/>
      <c r="D25" s="95"/>
      <c r="E25" s="95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</row>
    <row r="26" spans="1:59" ht="16.2" thickBot="1" x14ac:dyDescent="0.35">
      <c r="A26" s="96" t="s">
        <v>28</v>
      </c>
      <c r="B26" s="4"/>
      <c r="C26" s="5"/>
      <c r="D26" s="1"/>
      <c r="E26" s="97"/>
      <c r="F26" s="98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79"/>
      <c r="V26" s="1"/>
      <c r="W26" s="1"/>
      <c r="X26" s="79"/>
      <c r="Y26" s="712"/>
      <c r="Z26" s="1"/>
      <c r="AA26" s="1"/>
      <c r="AB26" s="1"/>
      <c r="AC26" s="1"/>
      <c r="AD26" s="1"/>
      <c r="AE26" s="1"/>
      <c r="AF26" s="79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79"/>
      <c r="AU26" s="79"/>
      <c r="AV26" s="1"/>
      <c r="AW26" s="1"/>
      <c r="AX26" s="1"/>
      <c r="AY26" s="1"/>
      <c r="AZ26" s="79"/>
      <c r="BA26" s="1"/>
      <c r="BB26" s="1"/>
      <c r="BC26" s="1"/>
      <c r="BD26" s="1"/>
      <c r="BE26" s="1"/>
      <c r="BF26" s="1"/>
    </row>
    <row r="27" spans="1:59" ht="16.8" thickTop="1" thickBot="1" x14ac:dyDescent="0.35">
      <c r="A27" s="99" t="s">
        <v>29</v>
      </c>
      <c r="B27" s="100" t="s">
        <v>30</v>
      </c>
      <c r="C27" s="101" t="s">
        <v>31</v>
      </c>
      <c r="D27" s="102" t="s">
        <v>2</v>
      </c>
      <c r="E27" s="103" t="s">
        <v>32</v>
      </c>
      <c r="F27" s="104" t="s">
        <v>33</v>
      </c>
      <c r="G27" s="105" t="s">
        <v>34</v>
      </c>
      <c r="H27" s="827" t="s">
        <v>35</v>
      </c>
      <c r="I27" s="811" t="s">
        <v>36</v>
      </c>
      <c r="J27" s="811" t="s">
        <v>37</v>
      </c>
      <c r="K27" s="103" t="s">
        <v>38</v>
      </c>
      <c r="L27" s="102" t="s">
        <v>39</v>
      </c>
      <c r="M27" s="102" t="s">
        <v>40</v>
      </c>
      <c r="N27" s="102" t="s">
        <v>41</v>
      </c>
      <c r="O27" s="102" t="s">
        <v>42</v>
      </c>
      <c r="P27" s="102" t="s">
        <v>43</v>
      </c>
      <c r="Q27" s="106" t="s">
        <v>44</v>
      </c>
      <c r="R27" s="102" t="s">
        <v>38</v>
      </c>
      <c r="S27" s="106" t="s">
        <v>45</v>
      </c>
      <c r="T27" s="659" t="s">
        <v>46</v>
      </c>
      <c r="U27" s="660" t="s">
        <v>47</v>
      </c>
      <c r="V27" s="661" t="s">
        <v>48</v>
      </c>
      <c r="W27" s="661" t="s">
        <v>3</v>
      </c>
      <c r="X27" s="662" t="s">
        <v>3</v>
      </c>
      <c r="Y27" s="659" t="s">
        <v>49</v>
      </c>
      <c r="Z27" s="661" t="s">
        <v>50</v>
      </c>
      <c r="AA27" s="713" t="s">
        <v>282</v>
      </c>
      <c r="AB27" s="660" t="s">
        <v>51</v>
      </c>
      <c r="AC27" s="714" t="s">
        <v>51</v>
      </c>
      <c r="AD27" s="659" t="s">
        <v>52</v>
      </c>
      <c r="AE27" s="731" t="s">
        <v>53</v>
      </c>
      <c r="AF27" s="732" t="s">
        <v>54</v>
      </c>
      <c r="AG27" s="660" t="s">
        <v>5</v>
      </c>
      <c r="AH27" s="733" t="s">
        <v>55</v>
      </c>
      <c r="AI27" s="738" t="s">
        <v>56</v>
      </c>
      <c r="AJ27" s="661" t="s">
        <v>57</v>
      </c>
      <c r="AK27" s="713" t="s">
        <v>58</v>
      </c>
      <c r="AL27" s="660" t="s">
        <v>59</v>
      </c>
      <c r="AM27" s="714" t="s">
        <v>59</v>
      </c>
      <c r="AN27" s="659" t="s">
        <v>60</v>
      </c>
      <c r="AO27" s="660" t="s">
        <v>61</v>
      </c>
      <c r="AP27" s="713" t="s">
        <v>62</v>
      </c>
      <c r="AQ27" s="660" t="s">
        <v>63</v>
      </c>
      <c r="AR27" s="714" t="s">
        <v>7</v>
      </c>
      <c r="AS27" s="659" t="s">
        <v>64</v>
      </c>
      <c r="AT27" s="661" t="s">
        <v>65</v>
      </c>
      <c r="AU27" s="713" t="s">
        <v>66</v>
      </c>
      <c r="AV27" s="660" t="s">
        <v>8</v>
      </c>
      <c r="AW27" s="714" t="s">
        <v>8</v>
      </c>
      <c r="AX27" s="659" t="s">
        <v>67</v>
      </c>
      <c r="AY27" s="660" t="s">
        <v>68</v>
      </c>
      <c r="AZ27" s="713" t="s">
        <v>69</v>
      </c>
      <c r="BA27" s="660" t="s">
        <v>9</v>
      </c>
      <c r="BB27" s="662" t="s">
        <v>9</v>
      </c>
      <c r="BC27" s="756" t="s">
        <v>70</v>
      </c>
      <c r="BD27" s="732" t="s">
        <v>71</v>
      </c>
      <c r="BE27" s="714" t="s">
        <v>72</v>
      </c>
      <c r="BF27" s="1"/>
    </row>
    <row r="28" spans="1:59" x14ac:dyDescent="0.3">
      <c r="A28" s="112"/>
      <c r="B28" s="113" t="s">
        <v>73</v>
      </c>
      <c r="C28" s="114" t="s">
        <v>225</v>
      </c>
      <c r="D28" s="115" t="s">
        <v>11</v>
      </c>
      <c r="E28" s="116">
        <v>2.5</v>
      </c>
      <c r="F28" s="116" t="e">
        <f>(BE28/G28)/4</f>
        <v>#DIV/0!</v>
      </c>
      <c r="G28" s="19"/>
      <c r="H28" s="828">
        <f>G28*E28</f>
        <v>0</v>
      </c>
      <c r="I28" s="848"/>
      <c r="J28" s="812"/>
      <c r="K28" s="117">
        <f t="shared" ref="K28:S30" si="4">J28-$H28</f>
        <v>0</v>
      </c>
      <c r="L28" s="32">
        <f t="shared" si="4"/>
        <v>0</v>
      </c>
      <c r="M28" s="117">
        <f t="shared" si="4"/>
        <v>0</v>
      </c>
      <c r="N28" s="117">
        <f t="shared" si="4"/>
        <v>0</v>
      </c>
      <c r="O28" s="117">
        <f t="shared" si="4"/>
        <v>0</v>
      </c>
      <c r="P28" s="117">
        <f t="shared" si="4"/>
        <v>0</v>
      </c>
      <c r="Q28" s="117">
        <f t="shared" si="4"/>
        <v>0</v>
      </c>
      <c r="R28" s="117">
        <f t="shared" si="4"/>
        <v>0</v>
      </c>
      <c r="S28" s="642">
        <f t="shared" si="4"/>
        <v>0</v>
      </c>
      <c r="T28" s="663"/>
      <c r="U28" s="118"/>
      <c r="V28" s="17"/>
      <c r="W28" s="119"/>
      <c r="X28" s="664"/>
      <c r="Y28" s="641"/>
      <c r="Z28" s="121"/>
      <c r="AA28" s="122"/>
      <c r="AB28" s="123"/>
      <c r="AC28" s="715"/>
      <c r="AD28" s="663"/>
      <c r="AE28" s="22"/>
      <c r="AF28" s="24"/>
      <c r="AG28" s="125"/>
      <c r="AH28" s="672"/>
      <c r="AI28" s="739"/>
      <c r="AJ28" s="121"/>
      <c r="AK28" s="122"/>
      <c r="AL28" s="123"/>
      <c r="AM28" s="715"/>
      <c r="AN28" s="376"/>
      <c r="AO28" s="21"/>
      <c r="AP28" s="24"/>
      <c r="AQ28" s="128"/>
      <c r="AR28" s="715"/>
      <c r="AS28" s="641"/>
      <c r="AT28" s="121"/>
      <c r="AU28" s="130"/>
      <c r="AV28" s="123"/>
      <c r="AW28" s="715"/>
      <c r="AX28" s="641"/>
      <c r="AY28" s="120"/>
      <c r="AZ28" s="130"/>
      <c r="BA28" s="123"/>
      <c r="BB28" s="672"/>
      <c r="BC28" s="772"/>
      <c r="BD28" s="131"/>
      <c r="BE28" s="758"/>
      <c r="BF28" s="1"/>
    </row>
    <row r="29" spans="1:59" x14ac:dyDescent="0.3">
      <c r="A29" s="132"/>
      <c r="B29" s="133" t="s">
        <v>74</v>
      </c>
      <c r="C29" s="134" t="s">
        <v>226</v>
      </c>
      <c r="D29" s="135" t="s">
        <v>11</v>
      </c>
      <c r="E29" s="136">
        <v>3</v>
      </c>
      <c r="F29" s="136" t="e">
        <f t="shared" ref="F29:F40" si="5">(BE29/G29)/7</f>
        <v>#DIV/0!</v>
      </c>
      <c r="G29" s="137"/>
      <c r="H29" s="269">
        <f t="shared" ref="H29:H40" si="6">G29*E29</f>
        <v>0</v>
      </c>
      <c r="I29" s="375"/>
      <c r="J29" s="375"/>
      <c r="K29" s="41">
        <f t="shared" si="4"/>
        <v>0</v>
      </c>
      <c r="L29" s="32">
        <f t="shared" si="4"/>
        <v>0</v>
      </c>
      <c r="M29" s="32">
        <f t="shared" si="4"/>
        <v>0</v>
      </c>
      <c r="N29" s="32">
        <f t="shared" si="4"/>
        <v>0</v>
      </c>
      <c r="O29" s="32">
        <f t="shared" si="4"/>
        <v>0</v>
      </c>
      <c r="P29" s="32">
        <f t="shared" si="4"/>
        <v>0</v>
      </c>
      <c r="Q29" s="32">
        <f t="shared" si="4"/>
        <v>0</v>
      </c>
      <c r="R29" s="32">
        <f t="shared" si="4"/>
        <v>0</v>
      </c>
      <c r="S29" s="232">
        <f t="shared" si="4"/>
        <v>0</v>
      </c>
      <c r="T29" s="665"/>
      <c r="U29" s="41"/>
      <c r="V29" s="32"/>
      <c r="W29" s="140"/>
      <c r="X29" s="666"/>
      <c r="Y29" s="707"/>
      <c r="Z29" s="142"/>
      <c r="AA29" s="143"/>
      <c r="AB29" s="144"/>
      <c r="AC29" s="716"/>
      <c r="AD29" s="402"/>
      <c r="AE29" s="32"/>
      <c r="AF29" s="146"/>
      <c r="AG29" s="147"/>
      <c r="AH29" s="674"/>
      <c r="AI29" s="740"/>
      <c r="AJ29" s="142"/>
      <c r="AK29" s="143"/>
      <c r="AL29" s="144"/>
      <c r="AM29" s="716"/>
      <c r="AN29" s="402"/>
      <c r="AO29" s="41"/>
      <c r="AP29" s="146"/>
      <c r="AQ29" s="149"/>
      <c r="AR29" s="716"/>
      <c r="AS29" s="707"/>
      <c r="AT29" s="142"/>
      <c r="AU29" s="143"/>
      <c r="AV29" s="144"/>
      <c r="AW29" s="716"/>
      <c r="AX29" s="707"/>
      <c r="AY29" s="141"/>
      <c r="AZ29" s="143"/>
      <c r="BA29" s="144"/>
      <c r="BB29" s="154"/>
      <c r="BC29" s="249"/>
      <c r="BD29" s="297"/>
      <c r="BE29" s="628"/>
      <c r="BF29" s="1"/>
    </row>
    <row r="30" spans="1:59" x14ac:dyDescent="0.3">
      <c r="A30" s="143" t="s">
        <v>75</v>
      </c>
      <c r="B30" s="153" t="s">
        <v>76</v>
      </c>
      <c r="C30" s="134" t="s">
        <v>227</v>
      </c>
      <c r="D30" s="135" t="s">
        <v>11</v>
      </c>
      <c r="E30" s="136">
        <v>2.8</v>
      </c>
      <c r="F30" s="136" t="e">
        <f t="shared" si="5"/>
        <v>#DIV/0!</v>
      </c>
      <c r="G30" s="137"/>
      <c r="H30" s="269">
        <f t="shared" si="6"/>
        <v>0</v>
      </c>
      <c r="I30" s="375"/>
      <c r="J30" s="375"/>
      <c r="K30" s="41">
        <f t="shared" si="4"/>
        <v>0</v>
      </c>
      <c r="L30" s="32">
        <f t="shared" si="4"/>
        <v>0</v>
      </c>
      <c r="M30" s="32">
        <f t="shared" si="4"/>
        <v>0</v>
      </c>
      <c r="N30" s="32">
        <f t="shared" si="4"/>
        <v>0</v>
      </c>
      <c r="O30" s="32">
        <f t="shared" si="4"/>
        <v>0</v>
      </c>
      <c r="P30" s="32">
        <f t="shared" si="4"/>
        <v>0</v>
      </c>
      <c r="Q30" s="32">
        <f t="shared" si="4"/>
        <v>0</v>
      </c>
      <c r="R30" s="32">
        <f t="shared" si="4"/>
        <v>0</v>
      </c>
      <c r="S30" s="232">
        <f t="shared" si="4"/>
        <v>0</v>
      </c>
      <c r="T30" s="665"/>
      <c r="U30" s="41"/>
      <c r="V30" s="32"/>
      <c r="W30" s="140"/>
      <c r="X30" s="666"/>
      <c r="Y30" s="707"/>
      <c r="Z30" s="142"/>
      <c r="AA30" s="143"/>
      <c r="AB30" s="144"/>
      <c r="AC30" s="716"/>
      <c r="AD30" s="402"/>
      <c r="AE30" s="32"/>
      <c r="AF30" s="146"/>
      <c r="AG30" s="147"/>
      <c r="AH30" s="674"/>
      <c r="AI30" s="740"/>
      <c r="AJ30" s="142"/>
      <c r="AK30" s="143"/>
      <c r="AL30" s="144"/>
      <c r="AM30" s="716"/>
      <c r="AN30" s="707"/>
      <c r="AO30" s="41"/>
      <c r="AP30" s="146"/>
      <c r="AQ30" s="149"/>
      <c r="AR30" s="716"/>
      <c r="AS30" s="707"/>
      <c r="AT30" s="142"/>
      <c r="AU30" s="143"/>
      <c r="AV30" s="144"/>
      <c r="AW30" s="674"/>
      <c r="AX30" s="707"/>
      <c r="AY30" s="141"/>
      <c r="AZ30" s="143"/>
      <c r="BA30" s="144"/>
      <c r="BB30" s="154"/>
      <c r="BC30" s="143"/>
      <c r="BD30" s="132"/>
      <c r="BE30" s="150"/>
      <c r="BF30" s="1"/>
    </row>
    <row r="31" spans="1:59" x14ac:dyDescent="0.3">
      <c r="A31" s="143"/>
      <c r="B31" s="862"/>
      <c r="C31" s="134"/>
      <c r="D31" s="138" t="s">
        <v>11</v>
      </c>
      <c r="E31" s="136">
        <v>2.5</v>
      </c>
      <c r="F31" s="155" t="e">
        <f t="shared" si="5"/>
        <v>#DIV/0!</v>
      </c>
      <c r="G31" s="156"/>
      <c r="H31" s="299">
        <f t="shared" si="6"/>
        <v>0</v>
      </c>
      <c r="I31" s="362"/>
      <c r="J31" s="375"/>
      <c r="K31" s="41">
        <f>J31-$H31</f>
        <v>0</v>
      </c>
      <c r="L31" s="32">
        <f>(K31-$H31)+AS31</f>
        <v>0</v>
      </c>
      <c r="M31" s="32">
        <f>(L31-$H31)+AX31</f>
        <v>0</v>
      </c>
      <c r="N31" s="46">
        <f>(M31-$H31)+T31</f>
        <v>0</v>
      </c>
      <c r="O31" s="46">
        <f>(N31-$H31)+Y31</f>
        <v>0</v>
      </c>
      <c r="P31" s="46">
        <f>(O31-$H31)+AD31</f>
        <v>0</v>
      </c>
      <c r="Q31" s="46">
        <f>(P31-$H31)+AE31</f>
        <v>0</v>
      </c>
      <c r="R31" s="46">
        <f>(Q31-$H31)+AF31</f>
        <v>0</v>
      </c>
      <c r="S31" s="158">
        <f>(R31-$H31)+AG31</f>
        <v>0</v>
      </c>
      <c r="T31" s="376"/>
      <c r="U31" s="21"/>
      <c r="V31" s="22"/>
      <c r="W31" s="160"/>
      <c r="X31" s="667"/>
      <c r="Y31" s="641"/>
      <c r="Z31" s="121"/>
      <c r="AA31" s="130"/>
      <c r="AB31" s="123"/>
      <c r="AC31" s="715"/>
      <c r="AD31" s="376"/>
      <c r="AE31" s="22"/>
      <c r="AF31" s="24"/>
      <c r="AG31" s="125"/>
      <c r="AH31" s="672"/>
      <c r="AI31" s="739"/>
      <c r="AJ31" s="121"/>
      <c r="AK31" s="130"/>
      <c r="AL31" s="123"/>
      <c r="AM31" s="715"/>
      <c r="AN31" s="641"/>
      <c r="AO31" s="21"/>
      <c r="AP31" s="24"/>
      <c r="AQ31" s="128"/>
      <c r="AR31" s="715"/>
      <c r="AS31" s="641"/>
      <c r="AT31" s="121"/>
      <c r="AU31" s="130"/>
      <c r="AV31" s="123"/>
      <c r="AW31" s="715"/>
      <c r="AX31" s="641"/>
      <c r="AY31" s="120"/>
      <c r="AZ31" s="130"/>
      <c r="BA31" s="123"/>
      <c r="BB31" s="871"/>
      <c r="BC31" s="130"/>
      <c r="BD31" s="165"/>
      <c r="BE31" s="129"/>
      <c r="BF31" s="1"/>
    </row>
    <row r="32" spans="1:59" x14ac:dyDescent="0.3">
      <c r="A32" s="130"/>
      <c r="B32" s="863"/>
      <c r="C32" s="161"/>
      <c r="D32" s="135" t="s">
        <v>11</v>
      </c>
      <c r="E32" s="136">
        <v>3</v>
      </c>
      <c r="F32" s="136" t="e">
        <f t="shared" si="5"/>
        <v>#DIV/0!</v>
      </c>
      <c r="G32" s="137"/>
      <c r="H32" s="269">
        <f t="shared" si="6"/>
        <v>0</v>
      </c>
      <c r="I32" s="375"/>
      <c r="J32" s="375"/>
      <c r="K32" s="41">
        <f>J32-$H32</f>
        <v>0</v>
      </c>
      <c r="L32" s="32">
        <f>(K32-$H32)+AS32</f>
        <v>0</v>
      </c>
      <c r="M32" s="32">
        <f>(L32-$H32)+AX32</f>
        <v>0</v>
      </c>
      <c r="N32" s="46">
        <f>(M32-$H32)+T32</f>
        <v>0</v>
      </c>
      <c r="O32" s="46">
        <f>(N32-$H32)+Y32</f>
        <v>0</v>
      </c>
      <c r="P32" s="46">
        <f>(O32-$H32)+AD32</f>
        <v>0</v>
      </c>
      <c r="Q32" s="46">
        <f>(P32-$H32)+AI32</f>
        <v>0</v>
      </c>
      <c r="R32" s="46">
        <f>(Q32-$H32)</f>
        <v>0</v>
      </c>
      <c r="S32" s="158">
        <f>(R32-$H32)</f>
        <v>0</v>
      </c>
      <c r="T32" s="434"/>
      <c r="U32" s="162"/>
      <c r="V32" s="163"/>
      <c r="W32" s="164"/>
      <c r="X32" s="666"/>
      <c r="Y32" s="707"/>
      <c r="Z32" s="142"/>
      <c r="AA32" s="143"/>
      <c r="AB32" s="144"/>
      <c r="AC32" s="716"/>
      <c r="AD32" s="402"/>
      <c r="AE32" s="32"/>
      <c r="AF32" s="146"/>
      <c r="AG32" s="147"/>
      <c r="AH32" s="674"/>
      <c r="AI32" s="740"/>
      <c r="AJ32" s="142"/>
      <c r="AK32" s="143"/>
      <c r="AL32" s="144"/>
      <c r="AM32" s="716"/>
      <c r="AN32" s="707"/>
      <c r="AO32" s="41"/>
      <c r="AP32" s="146"/>
      <c r="AQ32" s="149"/>
      <c r="AR32" s="716"/>
      <c r="AS32" s="707"/>
      <c r="AT32" s="142"/>
      <c r="AU32" s="143"/>
      <c r="AV32" s="144"/>
      <c r="AW32" s="674"/>
      <c r="AX32" s="707"/>
      <c r="AY32" s="141"/>
      <c r="AZ32" s="143"/>
      <c r="BA32" s="144"/>
      <c r="BB32" s="674"/>
      <c r="BC32" s="760"/>
      <c r="BD32" s="165"/>
      <c r="BE32" s="761"/>
      <c r="BF32" s="1"/>
    </row>
    <row r="33" spans="1:58" ht="15" thickBot="1" x14ac:dyDescent="0.35">
      <c r="A33" s="297"/>
      <c r="B33" s="621"/>
      <c r="C33" s="621"/>
      <c r="D33" s="237" t="s">
        <v>11</v>
      </c>
      <c r="E33" s="622">
        <v>3</v>
      </c>
      <c r="F33" s="622" t="e">
        <f t="shared" si="5"/>
        <v>#DIV/0!</v>
      </c>
      <c r="G33" s="192"/>
      <c r="H33" s="300">
        <f t="shared" si="6"/>
        <v>0</v>
      </c>
      <c r="I33" s="386"/>
      <c r="J33" s="386"/>
      <c r="K33" s="244">
        <f>J33-$H33</f>
        <v>0</v>
      </c>
      <c r="L33" s="623">
        <f>(K33-$H33)+AS33</f>
        <v>0</v>
      </c>
      <c r="M33" s="623">
        <f>(L33-$H33)+AX33</f>
        <v>0</v>
      </c>
      <c r="N33" s="624">
        <f>(M33-$H33)+T33</f>
        <v>0</v>
      </c>
      <c r="O33" s="624">
        <f>(N33-$H33)+Y33</f>
        <v>0</v>
      </c>
      <c r="P33" s="624">
        <f>(O33-$H33)+AD33</f>
        <v>0</v>
      </c>
      <c r="Q33" s="410">
        <f>(P33-$H33)+AI33</f>
        <v>0</v>
      </c>
      <c r="R33" s="410">
        <f>(Q33-$H33)</f>
        <v>0</v>
      </c>
      <c r="S33" s="625">
        <f>(R33-$H33)</f>
        <v>0</v>
      </c>
      <c r="T33" s="434"/>
      <c r="U33" s="162"/>
      <c r="V33" s="163"/>
      <c r="W33" s="164"/>
      <c r="X33" s="668"/>
      <c r="Y33" s="709"/>
      <c r="Z33" s="305"/>
      <c r="AA33" s="249"/>
      <c r="AB33" s="626"/>
      <c r="AC33" s="717"/>
      <c r="AD33" s="434"/>
      <c r="AE33" s="163"/>
      <c r="AF33" s="238"/>
      <c r="AG33" s="239"/>
      <c r="AH33" s="734"/>
      <c r="AI33" s="741"/>
      <c r="AJ33" s="305"/>
      <c r="AK33" s="249"/>
      <c r="AL33" s="626"/>
      <c r="AM33" s="717"/>
      <c r="AN33" s="709"/>
      <c r="AO33" s="162"/>
      <c r="AP33" s="238"/>
      <c r="AQ33" s="627"/>
      <c r="AR33" s="717"/>
      <c r="AS33" s="709"/>
      <c r="AT33" s="305"/>
      <c r="AU33" s="249"/>
      <c r="AV33" s="626"/>
      <c r="AW33" s="717"/>
      <c r="AX33" s="709"/>
      <c r="AY33" s="304"/>
      <c r="AZ33" s="249"/>
      <c r="BA33" s="626"/>
      <c r="BB33" s="734"/>
      <c r="BC33" s="762"/>
      <c r="BD33" s="629"/>
      <c r="BE33" s="763"/>
      <c r="BF33" s="1"/>
    </row>
    <row r="34" spans="1:58" s="7" customFormat="1" ht="18.600000000000001" thickBot="1" x14ac:dyDescent="0.4">
      <c r="A34" s="170"/>
      <c r="B34" s="864" t="s">
        <v>77</v>
      </c>
      <c r="C34" s="171"/>
      <c r="D34" s="172" t="s">
        <v>78</v>
      </c>
      <c r="E34" s="173">
        <v>6</v>
      </c>
      <c r="F34" s="173" t="e">
        <f t="shared" si="5"/>
        <v>#DIV/0!</v>
      </c>
      <c r="G34" s="174"/>
      <c r="H34" s="829">
        <f t="shared" si="6"/>
        <v>0</v>
      </c>
      <c r="I34" s="813"/>
      <c r="J34" s="813"/>
      <c r="K34" s="631">
        <f>J34-$H34</f>
        <v>0</v>
      </c>
      <c r="L34" s="631">
        <f>K34-$H34</f>
        <v>0</v>
      </c>
      <c r="M34" s="631">
        <f t="shared" ref="M34:S35" si="7">L34-$H34</f>
        <v>0</v>
      </c>
      <c r="N34" s="631">
        <f t="shared" si="7"/>
        <v>0</v>
      </c>
      <c r="O34" s="631">
        <f t="shared" si="7"/>
        <v>0</v>
      </c>
      <c r="P34" s="631">
        <f t="shared" si="7"/>
        <v>0</v>
      </c>
      <c r="Q34" s="631">
        <f t="shared" si="7"/>
        <v>0</v>
      </c>
      <c r="R34" s="631">
        <f t="shared" si="7"/>
        <v>0</v>
      </c>
      <c r="S34" s="643">
        <f t="shared" si="7"/>
        <v>0</v>
      </c>
      <c r="T34" s="669"/>
      <c r="U34" s="175"/>
      <c r="V34" s="175"/>
      <c r="W34" s="176"/>
      <c r="X34" s="670"/>
      <c r="Y34" s="669"/>
      <c r="Z34" s="175"/>
      <c r="AA34" s="177"/>
      <c r="AB34" s="176"/>
      <c r="AC34" s="670"/>
      <c r="AD34" s="669"/>
      <c r="AE34" s="175"/>
      <c r="AF34" s="178"/>
      <c r="AG34" s="176"/>
      <c r="AH34" s="670"/>
      <c r="AI34" s="669"/>
      <c r="AJ34" s="175"/>
      <c r="AK34" s="177"/>
      <c r="AL34" s="176"/>
      <c r="AM34" s="670"/>
      <c r="AN34" s="669"/>
      <c r="AO34" s="175"/>
      <c r="AP34" s="177"/>
      <c r="AQ34" s="176"/>
      <c r="AR34" s="670"/>
      <c r="AS34" s="669"/>
      <c r="AT34" s="179"/>
      <c r="AU34" s="177"/>
      <c r="AV34" s="176"/>
      <c r="AW34" s="670"/>
      <c r="AX34" s="669"/>
      <c r="AY34" s="175"/>
      <c r="AZ34" s="177"/>
      <c r="BA34" s="176"/>
      <c r="BB34" s="751"/>
      <c r="BC34" s="764"/>
      <c r="BD34" s="180"/>
      <c r="BE34" s="765"/>
      <c r="BF34" s="1"/>
    </row>
    <row r="35" spans="1:58" ht="18" x14ac:dyDescent="0.35">
      <c r="A35" s="630"/>
      <c r="B35" s="865" t="s">
        <v>79</v>
      </c>
      <c r="C35" s="181" t="s">
        <v>228</v>
      </c>
      <c r="D35" s="182" t="s">
        <v>80</v>
      </c>
      <c r="E35" s="183">
        <v>2.5</v>
      </c>
      <c r="F35" s="184" t="e">
        <f t="shared" si="5"/>
        <v>#DIV/0!</v>
      </c>
      <c r="G35" s="156"/>
      <c r="H35" s="299">
        <f t="shared" si="6"/>
        <v>0</v>
      </c>
      <c r="I35" s="362"/>
      <c r="J35" s="362"/>
      <c r="K35" s="366">
        <f>J35-$H35</f>
        <v>0</v>
      </c>
      <c r="L35" s="366">
        <f>K35-$H35</f>
        <v>0</v>
      </c>
      <c r="M35" s="366">
        <f t="shared" si="7"/>
        <v>0</v>
      </c>
      <c r="N35" s="366">
        <f t="shared" si="7"/>
        <v>0</v>
      </c>
      <c r="O35" s="366">
        <f t="shared" si="7"/>
        <v>0</v>
      </c>
      <c r="P35" s="366">
        <f t="shared" si="7"/>
        <v>0</v>
      </c>
      <c r="Q35" s="366">
        <f t="shared" si="7"/>
        <v>0</v>
      </c>
      <c r="R35" s="366">
        <f t="shared" si="7"/>
        <v>0</v>
      </c>
      <c r="S35" s="480">
        <f t="shared" si="7"/>
        <v>0</v>
      </c>
      <c r="T35" s="671"/>
      <c r="U35" s="185"/>
      <c r="V35" s="185"/>
      <c r="W35" s="123"/>
      <c r="X35" s="672"/>
      <c r="Y35" s="671"/>
      <c r="Z35" s="185"/>
      <c r="AA35" s="186"/>
      <c r="AB35" s="123"/>
      <c r="AC35" s="715"/>
      <c r="AD35" s="671"/>
      <c r="AE35" s="185"/>
      <c r="AF35" s="187"/>
      <c r="AG35" s="123"/>
      <c r="AH35" s="715"/>
      <c r="AI35" s="671"/>
      <c r="AJ35" s="185"/>
      <c r="AK35" s="186"/>
      <c r="AL35" s="123"/>
      <c r="AM35" s="715"/>
      <c r="AN35" s="641"/>
      <c r="AO35" s="120"/>
      <c r="AP35" s="130"/>
      <c r="AQ35" s="123"/>
      <c r="AR35" s="715"/>
      <c r="AS35" s="641"/>
      <c r="AT35" s="121"/>
      <c r="AU35" s="130"/>
      <c r="AV35" s="123"/>
      <c r="AW35" s="715"/>
      <c r="AX35" s="671"/>
      <c r="AY35" s="185"/>
      <c r="AZ35" s="186"/>
      <c r="BA35" s="123"/>
      <c r="BB35" s="672"/>
      <c r="BC35" s="766"/>
      <c r="BD35" s="188"/>
      <c r="BE35" s="761"/>
      <c r="BF35" s="1"/>
    </row>
    <row r="36" spans="1:58" ht="18" x14ac:dyDescent="0.35">
      <c r="A36" s="189"/>
      <c r="B36" s="153"/>
      <c r="C36" s="190"/>
      <c r="D36" s="135" t="s">
        <v>80</v>
      </c>
      <c r="E36" s="136">
        <v>2.5</v>
      </c>
      <c r="F36" s="136" t="e">
        <f t="shared" si="5"/>
        <v>#DIV/0!</v>
      </c>
      <c r="G36" s="137"/>
      <c r="H36" s="269">
        <f t="shared" si="6"/>
        <v>0</v>
      </c>
      <c r="I36" s="849"/>
      <c r="J36" s="385"/>
      <c r="K36" s="21">
        <f>(J36-$H36)+AO36</f>
        <v>0</v>
      </c>
      <c r="L36" s="159">
        <f>(K36-$H36)+AT36</f>
        <v>0</v>
      </c>
      <c r="M36" s="159">
        <f>(L36-$H36)+AY36</f>
        <v>0</v>
      </c>
      <c r="N36" s="159">
        <f>(M36-$H36)+U36</f>
        <v>0</v>
      </c>
      <c r="O36" s="159">
        <f>(N36-$H36)+Z36</f>
        <v>0</v>
      </c>
      <c r="P36" s="159">
        <f>(O36-$H36)+AE36</f>
        <v>0</v>
      </c>
      <c r="Q36" s="156">
        <f>(P36-$H36)+AJ36</f>
        <v>0</v>
      </c>
      <c r="R36" s="192">
        <f t="shared" ref="R36:S40" si="8">Q36-$H36</f>
        <v>0</v>
      </c>
      <c r="S36" s="193">
        <f t="shared" si="8"/>
        <v>0</v>
      </c>
      <c r="T36" s="673"/>
      <c r="U36" s="194"/>
      <c r="V36" s="194"/>
      <c r="W36" s="144"/>
      <c r="X36" s="674"/>
      <c r="Y36" s="673"/>
      <c r="Z36" s="194"/>
      <c r="AA36" s="59"/>
      <c r="AB36" s="144"/>
      <c r="AC36" s="716"/>
      <c r="AD36" s="673"/>
      <c r="AE36" s="194"/>
      <c r="AF36" s="195"/>
      <c r="AG36" s="144"/>
      <c r="AH36" s="716"/>
      <c r="AI36" s="673"/>
      <c r="AJ36" s="194"/>
      <c r="AK36" s="59"/>
      <c r="AL36" s="144"/>
      <c r="AM36" s="716"/>
      <c r="AN36" s="402"/>
      <c r="AO36" s="141"/>
      <c r="AP36" s="143"/>
      <c r="AQ36" s="144"/>
      <c r="AR36" s="716"/>
      <c r="AS36" s="707"/>
      <c r="AT36" s="142"/>
      <c r="AU36" s="143"/>
      <c r="AV36" s="144"/>
      <c r="AW36" s="716"/>
      <c r="AX36" s="673"/>
      <c r="AY36" s="194"/>
      <c r="AZ36" s="59"/>
      <c r="BA36" s="144"/>
      <c r="BB36" s="716"/>
      <c r="BC36" s="767"/>
      <c r="BD36" s="196"/>
      <c r="BE36" s="768"/>
      <c r="BF36" s="1"/>
    </row>
    <row r="37" spans="1:58" ht="18" x14ac:dyDescent="0.35">
      <c r="A37" s="197"/>
      <c r="B37" s="134"/>
      <c r="C37" s="190"/>
      <c r="D37" s="135" t="s">
        <v>80</v>
      </c>
      <c r="E37" s="136">
        <v>2.5</v>
      </c>
      <c r="F37" s="136" t="e">
        <f t="shared" si="5"/>
        <v>#DIV/0!</v>
      </c>
      <c r="G37" s="137"/>
      <c r="H37" s="269">
        <f t="shared" si="6"/>
        <v>0</v>
      </c>
      <c r="I37" s="849"/>
      <c r="J37" s="375"/>
      <c r="K37" s="21">
        <f>(J37-$H37)+AO37</f>
        <v>0</v>
      </c>
      <c r="L37" s="159">
        <f>(K37-$H37)+AT37</f>
        <v>0</v>
      </c>
      <c r="M37" s="159">
        <f>(L37-$H37)+AY37</f>
        <v>0</v>
      </c>
      <c r="N37" s="159">
        <f>(M37-$H37)+U37</f>
        <v>0</v>
      </c>
      <c r="O37" s="159">
        <f>(N37-$H37)+Z37</f>
        <v>0</v>
      </c>
      <c r="P37" s="159">
        <f>(O37-$H37)+AE37</f>
        <v>0</v>
      </c>
      <c r="Q37" s="156">
        <f>(P37-$H37)+AJ37</f>
        <v>0</v>
      </c>
      <c r="R37" s="192">
        <f t="shared" si="8"/>
        <v>0</v>
      </c>
      <c r="S37" s="193">
        <f t="shared" si="8"/>
        <v>0</v>
      </c>
      <c r="T37" s="673"/>
      <c r="U37" s="194"/>
      <c r="V37" s="194"/>
      <c r="W37" s="144"/>
      <c r="X37" s="674"/>
      <c r="Y37" s="673"/>
      <c r="Z37" s="194"/>
      <c r="AA37" s="59"/>
      <c r="AB37" s="144"/>
      <c r="AC37" s="716"/>
      <c r="AD37" s="673"/>
      <c r="AE37" s="194"/>
      <c r="AF37" s="195"/>
      <c r="AG37" s="144"/>
      <c r="AH37" s="716"/>
      <c r="AI37" s="673"/>
      <c r="AJ37" s="194"/>
      <c r="AK37" s="59"/>
      <c r="AL37" s="144"/>
      <c r="AM37" s="716"/>
      <c r="AN37" s="402"/>
      <c r="AO37" s="141"/>
      <c r="AP37" s="143"/>
      <c r="AQ37" s="144"/>
      <c r="AR37" s="716"/>
      <c r="AS37" s="707"/>
      <c r="AT37" s="142"/>
      <c r="AU37" s="143"/>
      <c r="AV37" s="144"/>
      <c r="AW37" s="716"/>
      <c r="AX37" s="673"/>
      <c r="AY37" s="194"/>
      <c r="AZ37" s="59"/>
      <c r="BA37" s="144"/>
      <c r="BB37" s="716"/>
      <c r="BC37" s="767"/>
      <c r="BD37" s="196"/>
      <c r="BE37" s="768"/>
      <c r="BF37" s="1"/>
    </row>
    <row r="38" spans="1:58" ht="18" x14ac:dyDescent="0.35">
      <c r="A38" s="189"/>
      <c r="B38" s="181"/>
      <c r="C38" s="181"/>
      <c r="D38" s="182" t="s">
        <v>80</v>
      </c>
      <c r="E38" s="136">
        <v>2.5</v>
      </c>
      <c r="F38" s="136" t="e">
        <f t="shared" si="5"/>
        <v>#DIV/0!</v>
      </c>
      <c r="G38" s="137"/>
      <c r="H38" s="269">
        <f t="shared" si="6"/>
        <v>0</v>
      </c>
      <c r="I38" s="849"/>
      <c r="J38" s="375"/>
      <c r="K38" s="21">
        <f>(J38-$H38)+AO38</f>
        <v>0</v>
      </c>
      <c r="L38" s="159">
        <f>(K38-$H38)+AT38</f>
        <v>0</v>
      </c>
      <c r="M38" s="159">
        <f>(L38-$H38)+AY38</f>
        <v>0</v>
      </c>
      <c r="N38" s="159">
        <f>(M38-$H38)+U38</f>
        <v>0</v>
      </c>
      <c r="O38" s="159">
        <f>(N38-$H38)+Z38</f>
        <v>0</v>
      </c>
      <c r="P38" s="159">
        <f>(O38-$H38)+AE38</f>
        <v>0</v>
      </c>
      <c r="Q38" s="156">
        <f>(P38-$H38)+AJ38</f>
        <v>0</v>
      </c>
      <c r="R38" s="137">
        <f t="shared" si="8"/>
        <v>0</v>
      </c>
      <c r="S38" s="193">
        <f t="shared" si="8"/>
        <v>0</v>
      </c>
      <c r="T38" s="673"/>
      <c r="U38" s="194"/>
      <c r="V38" s="194"/>
      <c r="W38" s="152"/>
      <c r="X38" s="674"/>
      <c r="Y38" s="673"/>
      <c r="Z38" s="198"/>
      <c r="AA38" s="59"/>
      <c r="AB38" s="144"/>
      <c r="AC38" s="716"/>
      <c r="AD38" s="673"/>
      <c r="AE38" s="194"/>
      <c r="AF38" s="195"/>
      <c r="AG38" s="144"/>
      <c r="AH38" s="716"/>
      <c r="AI38" s="673"/>
      <c r="AJ38" s="194"/>
      <c r="AK38" s="59"/>
      <c r="AL38" s="144"/>
      <c r="AM38" s="716"/>
      <c r="AN38" s="402"/>
      <c r="AO38" s="141"/>
      <c r="AP38" s="143"/>
      <c r="AQ38" s="144"/>
      <c r="AR38" s="716"/>
      <c r="AS38" s="707"/>
      <c r="AT38" s="142"/>
      <c r="AU38" s="143"/>
      <c r="AV38" s="144"/>
      <c r="AW38" s="716"/>
      <c r="AX38" s="673"/>
      <c r="AY38" s="194"/>
      <c r="AZ38" s="59"/>
      <c r="BA38" s="144"/>
      <c r="BB38" s="716"/>
      <c r="BC38" s="767"/>
      <c r="BD38" s="196"/>
      <c r="BE38" s="768"/>
      <c r="BF38" s="1"/>
    </row>
    <row r="39" spans="1:58" ht="18" x14ac:dyDescent="0.35">
      <c r="A39" s="197"/>
      <c r="B39" s="190"/>
      <c r="C39" s="190"/>
      <c r="D39" s="135" t="s">
        <v>80</v>
      </c>
      <c r="E39" s="136">
        <v>3</v>
      </c>
      <c r="F39" s="136" t="e">
        <f t="shared" si="5"/>
        <v>#DIV/0!</v>
      </c>
      <c r="G39" s="137"/>
      <c r="H39" s="269">
        <f t="shared" si="6"/>
        <v>0</v>
      </c>
      <c r="I39" s="849"/>
      <c r="J39" s="362"/>
      <c r="K39" s="21">
        <f>(J39-$H39)+AO39</f>
        <v>0</v>
      </c>
      <c r="L39" s="159">
        <f>(K39-$H39)+AT39</f>
        <v>0</v>
      </c>
      <c r="M39" s="159">
        <f>(L39-$H39)+AY39</f>
        <v>0</v>
      </c>
      <c r="N39" s="159">
        <f>(M39-$H39)+U39</f>
        <v>0</v>
      </c>
      <c r="O39" s="159">
        <f>(N39-$H39)+Z39</f>
        <v>0</v>
      </c>
      <c r="P39" s="159">
        <f>(O39-$H39)+AE39</f>
        <v>0</v>
      </c>
      <c r="Q39" s="156">
        <f>(P39-$H39)+AJ39</f>
        <v>0</v>
      </c>
      <c r="R39" s="199">
        <f t="shared" si="8"/>
        <v>0</v>
      </c>
      <c r="S39" s="193">
        <f t="shared" si="8"/>
        <v>0</v>
      </c>
      <c r="T39" s="673"/>
      <c r="U39" s="194"/>
      <c r="V39" s="194"/>
      <c r="W39" s="144"/>
      <c r="X39" s="674"/>
      <c r="Y39" s="673"/>
      <c r="Z39" s="198"/>
      <c r="AA39" s="59"/>
      <c r="AB39" s="144"/>
      <c r="AC39" s="716"/>
      <c r="AD39" s="673"/>
      <c r="AE39" s="194"/>
      <c r="AF39" s="195"/>
      <c r="AG39" s="144"/>
      <c r="AH39" s="716"/>
      <c r="AI39" s="673"/>
      <c r="AJ39" s="194"/>
      <c r="AK39" s="59"/>
      <c r="AL39" s="144"/>
      <c r="AM39" s="716"/>
      <c r="AN39" s="402"/>
      <c r="AO39" s="141"/>
      <c r="AP39" s="143"/>
      <c r="AQ39" s="144"/>
      <c r="AR39" s="716"/>
      <c r="AS39" s="707"/>
      <c r="AT39" s="142"/>
      <c r="AU39" s="143"/>
      <c r="AV39" s="144"/>
      <c r="AW39" s="716"/>
      <c r="AX39" s="673"/>
      <c r="AY39" s="194"/>
      <c r="AZ39" s="59"/>
      <c r="BA39" s="144"/>
      <c r="BB39" s="716"/>
      <c r="BC39" s="767"/>
      <c r="BD39" s="196"/>
      <c r="BE39" s="768"/>
      <c r="BF39" s="1"/>
    </row>
    <row r="40" spans="1:58" ht="15" thickBot="1" x14ac:dyDescent="0.35">
      <c r="A40" s="200"/>
      <c r="B40" s="201"/>
      <c r="C40" s="202"/>
      <c r="D40" s="203" t="s">
        <v>80</v>
      </c>
      <c r="E40" s="204">
        <v>3</v>
      </c>
      <c r="F40" s="205" t="e">
        <f t="shared" si="5"/>
        <v>#DIV/0!</v>
      </c>
      <c r="G40" s="206"/>
      <c r="H40" s="830">
        <f t="shared" si="6"/>
        <v>0</v>
      </c>
      <c r="I40" s="814"/>
      <c r="J40" s="814"/>
      <c r="K40" s="208">
        <f>(J40-$H40)+AO40</f>
        <v>0</v>
      </c>
      <c r="L40" s="209">
        <f>(K40-$H40)+AT40</f>
        <v>0</v>
      </c>
      <c r="M40" s="209">
        <f>(L40-$H40)+AY40</f>
        <v>0</v>
      </c>
      <c r="N40" s="209">
        <f>(M40-$H40)+U40</f>
        <v>0</v>
      </c>
      <c r="O40" s="209">
        <f>(N40-$H40)+Z40</f>
        <v>0</v>
      </c>
      <c r="P40" s="209">
        <f>(O40-$H40)+AE40</f>
        <v>0</v>
      </c>
      <c r="Q40" s="206">
        <f>(P40-$H40)+AJ40</f>
        <v>0</v>
      </c>
      <c r="R40" s="210">
        <f t="shared" si="8"/>
        <v>0</v>
      </c>
      <c r="S40" s="211">
        <f t="shared" si="8"/>
        <v>0</v>
      </c>
      <c r="T40" s="675"/>
      <c r="U40" s="212"/>
      <c r="V40" s="212"/>
      <c r="W40" s="213"/>
      <c r="X40" s="676"/>
      <c r="Y40" s="675"/>
      <c r="Z40" s="214"/>
      <c r="AA40" s="215"/>
      <c r="AB40" s="216"/>
      <c r="AC40" s="718"/>
      <c r="AD40" s="675"/>
      <c r="AE40" s="212"/>
      <c r="AF40" s="217"/>
      <c r="AG40" s="216"/>
      <c r="AH40" s="718"/>
      <c r="AI40" s="675"/>
      <c r="AJ40" s="212"/>
      <c r="AK40" s="215"/>
      <c r="AL40" s="216"/>
      <c r="AM40" s="718"/>
      <c r="AN40" s="745"/>
      <c r="AO40" s="218"/>
      <c r="AP40" s="219"/>
      <c r="AQ40" s="216"/>
      <c r="AR40" s="718"/>
      <c r="AS40" s="745"/>
      <c r="AT40" s="207"/>
      <c r="AU40" s="219"/>
      <c r="AV40" s="216"/>
      <c r="AW40" s="718"/>
      <c r="AX40" s="675"/>
      <c r="AY40" s="212"/>
      <c r="AZ40" s="215"/>
      <c r="BA40" s="216"/>
      <c r="BB40" s="718"/>
      <c r="BC40" s="769"/>
      <c r="BD40" s="220"/>
      <c r="BE40" s="770"/>
      <c r="BF40" s="1"/>
    </row>
    <row r="41" spans="1:58" x14ac:dyDescent="0.3">
      <c r="A41" s="1"/>
      <c r="B41" s="1"/>
      <c r="C41" s="1"/>
      <c r="D41" s="1"/>
      <c r="E41" s="1"/>
      <c r="F41" s="1"/>
      <c r="G41" s="1"/>
      <c r="H41" s="1"/>
      <c r="I41" s="815"/>
      <c r="J41" s="815"/>
      <c r="K41" s="1"/>
      <c r="L41" s="1"/>
      <c r="M41" s="1"/>
      <c r="N41" s="1"/>
      <c r="O41" s="1"/>
      <c r="P41" s="1"/>
      <c r="Q41" s="1"/>
      <c r="R41" s="1"/>
      <c r="S41" s="1"/>
      <c r="T41" s="677"/>
      <c r="U41" s="1"/>
      <c r="V41" s="1"/>
      <c r="W41" s="1"/>
      <c r="X41" s="678"/>
      <c r="Y41" s="677"/>
      <c r="Z41" s="1"/>
      <c r="AA41" s="1"/>
      <c r="AB41" s="1"/>
      <c r="AC41" s="678"/>
      <c r="AD41" s="677"/>
      <c r="AE41" s="1"/>
      <c r="AF41" s="1"/>
      <c r="AG41" s="1"/>
      <c r="AH41" s="678"/>
      <c r="AI41" s="677"/>
      <c r="AJ41" s="1"/>
      <c r="AK41" s="1"/>
      <c r="AL41" s="1"/>
      <c r="AM41" s="678"/>
      <c r="AN41" s="677"/>
      <c r="AO41" s="1"/>
      <c r="AP41" s="1"/>
      <c r="AQ41" s="1"/>
      <c r="AR41" s="678"/>
      <c r="AS41" s="677"/>
      <c r="AT41" s="1"/>
      <c r="AU41" s="1"/>
      <c r="AV41" s="1"/>
      <c r="AW41" s="678"/>
      <c r="AX41" s="677"/>
      <c r="AY41" s="1"/>
      <c r="AZ41" s="1"/>
      <c r="BA41" s="1"/>
      <c r="BB41" s="678"/>
      <c r="BC41" s="677"/>
      <c r="BD41" s="1"/>
      <c r="BE41" s="678"/>
      <c r="BF41" s="1"/>
    </row>
    <row r="42" spans="1:58" x14ac:dyDescent="0.3">
      <c r="A42" s="1"/>
      <c r="B42" s="1"/>
      <c r="C42" s="1"/>
      <c r="D42" s="1"/>
      <c r="E42" s="1"/>
      <c r="F42" s="1"/>
      <c r="G42" s="1"/>
      <c r="H42" s="1"/>
      <c r="I42" s="815"/>
      <c r="J42" s="815"/>
      <c r="K42" s="1"/>
      <c r="L42" s="1"/>
      <c r="M42" s="1"/>
      <c r="N42" s="1"/>
      <c r="O42" s="1"/>
      <c r="P42" s="1"/>
      <c r="Q42" s="1"/>
      <c r="R42" s="1"/>
      <c r="S42" s="1"/>
      <c r="T42" s="677"/>
      <c r="U42" s="1"/>
      <c r="V42" s="1"/>
      <c r="W42" s="1"/>
      <c r="X42" s="678"/>
      <c r="Y42" s="677"/>
      <c r="Z42" s="1"/>
      <c r="AA42" s="1"/>
      <c r="AB42" s="1"/>
      <c r="AC42" s="678"/>
      <c r="AD42" s="677"/>
      <c r="AE42" s="1"/>
      <c r="AF42" s="1"/>
      <c r="AG42" s="1"/>
      <c r="AH42" s="678"/>
      <c r="AI42" s="677"/>
      <c r="AJ42" s="1"/>
      <c r="AK42" s="1"/>
      <c r="AL42" s="1"/>
      <c r="AM42" s="678"/>
      <c r="AN42" s="677"/>
      <c r="AO42" s="1"/>
      <c r="AP42" s="1"/>
      <c r="AQ42" s="1"/>
      <c r="AR42" s="678"/>
      <c r="AS42" s="677"/>
      <c r="AT42" s="1"/>
      <c r="AU42" s="1"/>
      <c r="AV42" s="1"/>
      <c r="AW42" s="678"/>
      <c r="AX42" s="677"/>
      <c r="AY42" s="1"/>
      <c r="AZ42" s="1"/>
      <c r="BA42" s="1"/>
      <c r="BB42" s="678"/>
      <c r="BC42" s="677"/>
      <c r="BD42" s="1"/>
      <c r="BE42" s="678"/>
      <c r="BF42" s="1"/>
    </row>
    <row r="43" spans="1:58" x14ac:dyDescent="0.3">
      <c r="A43" s="1"/>
      <c r="B43" s="1"/>
      <c r="C43" s="1"/>
      <c r="D43" s="1"/>
      <c r="E43" s="1"/>
      <c r="F43" s="1"/>
      <c r="G43" s="1"/>
      <c r="H43" s="1"/>
      <c r="I43" s="815"/>
      <c r="J43" s="815"/>
      <c r="K43" s="1"/>
      <c r="L43" s="1"/>
      <c r="M43" s="1"/>
      <c r="N43" s="1"/>
      <c r="O43" s="1"/>
      <c r="P43" s="1"/>
      <c r="Q43" s="1"/>
      <c r="R43" s="1"/>
      <c r="S43" s="1"/>
      <c r="T43" s="677"/>
      <c r="U43" s="1"/>
      <c r="V43" s="1"/>
      <c r="W43" s="1"/>
      <c r="X43" s="678"/>
      <c r="Y43" s="677"/>
      <c r="Z43" s="1"/>
      <c r="AA43" s="1"/>
      <c r="AB43" s="1"/>
      <c r="AC43" s="678"/>
      <c r="AD43" s="677"/>
      <c r="AE43" s="1"/>
      <c r="AF43" s="1"/>
      <c r="AG43" s="1"/>
      <c r="AH43" s="678"/>
      <c r="AI43" s="677"/>
      <c r="AJ43" s="1"/>
      <c r="AK43" s="1"/>
      <c r="AL43" s="1"/>
      <c r="AM43" s="678"/>
      <c r="AN43" s="677"/>
      <c r="AO43" s="1"/>
      <c r="AP43" s="1"/>
      <c r="AQ43" s="1"/>
      <c r="AR43" s="678"/>
      <c r="AS43" s="677"/>
      <c r="AT43" s="1"/>
      <c r="AU43" s="1"/>
      <c r="AV43" s="1"/>
      <c r="AW43" s="678"/>
      <c r="AX43" s="677"/>
      <c r="AY43" s="1"/>
      <c r="AZ43" s="1"/>
      <c r="BA43" s="1"/>
      <c r="BB43" s="678"/>
      <c r="BC43" s="677"/>
      <c r="BD43" s="1"/>
      <c r="BE43" s="678"/>
      <c r="BF43" s="1"/>
    </row>
    <row r="44" spans="1:58" x14ac:dyDescent="0.3">
      <c r="A44" s="1"/>
      <c r="B44" s="1"/>
      <c r="C44" s="1"/>
      <c r="D44" s="1"/>
      <c r="E44" s="1"/>
      <c r="F44" s="1"/>
      <c r="G44" s="1"/>
      <c r="H44" s="1"/>
      <c r="I44" s="815"/>
      <c r="J44" s="815"/>
      <c r="K44" s="1"/>
      <c r="L44" s="1"/>
      <c r="M44" s="1"/>
      <c r="N44" s="1"/>
      <c r="O44" s="1"/>
      <c r="P44" s="1"/>
      <c r="Q44" s="1"/>
      <c r="R44" s="1"/>
      <c r="S44" s="1"/>
      <c r="T44" s="677"/>
      <c r="U44" s="1"/>
      <c r="V44" s="1"/>
      <c r="W44" s="1"/>
      <c r="X44" s="678"/>
      <c r="Y44" s="677"/>
      <c r="Z44" s="1"/>
      <c r="AA44" s="1"/>
      <c r="AB44" s="1"/>
      <c r="AC44" s="678"/>
      <c r="AD44" s="677"/>
      <c r="AE44" s="1"/>
      <c r="AF44" s="1"/>
      <c r="AG44" s="1"/>
      <c r="AH44" s="678"/>
      <c r="AI44" s="677"/>
      <c r="AJ44" s="1"/>
      <c r="AK44" s="1"/>
      <c r="AL44" s="1"/>
      <c r="AM44" s="678"/>
      <c r="AN44" s="677"/>
      <c r="AO44" s="1"/>
      <c r="AP44" s="1"/>
      <c r="AQ44" s="1"/>
      <c r="AR44" s="678"/>
      <c r="AS44" s="677"/>
      <c r="AT44" s="1"/>
      <c r="AU44" s="1"/>
      <c r="AV44" s="1"/>
      <c r="AW44" s="678"/>
      <c r="AX44" s="677"/>
      <c r="AY44" s="1"/>
      <c r="AZ44" s="1"/>
      <c r="BA44" s="1"/>
      <c r="BB44" s="678"/>
      <c r="BC44" s="677"/>
      <c r="BD44" s="1"/>
      <c r="BE44" s="678"/>
      <c r="BF44" s="1"/>
    </row>
    <row r="45" spans="1:58" x14ac:dyDescent="0.3">
      <c r="A45" s="1"/>
      <c r="B45" s="1"/>
      <c r="C45" s="1"/>
      <c r="D45" s="1"/>
      <c r="E45" s="1"/>
      <c r="F45" s="1"/>
      <c r="G45" s="1"/>
      <c r="H45" s="1"/>
      <c r="I45" s="815"/>
      <c r="J45" s="815"/>
      <c r="K45" s="1"/>
      <c r="L45" s="1"/>
      <c r="M45" s="1"/>
      <c r="N45" s="1"/>
      <c r="O45" s="1"/>
      <c r="P45" s="1"/>
      <c r="Q45" s="1"/>
      <c r="R45" s="1"/>
      <c r="S45" s="1"/>
      <c r="T45" s="677"/>
      <c r="U45" s="1"/>
      <c r="V45" s="1"/>
      <c r="W45" s="1"/>
      <c r="X45" s="678"/>
      <c r="Y45" s="677"/>
      <c r="Z45" s="1"/>
      <c r="AA45" s="1"/>
      <c r="AB45" s="1"/>
      <c r="AC45" s="678"/>
      <c r="AD45" s="677"/>
      <c r="AE45" s="1"/>
      <c r="AF45" s="1"/>
      <c r="AG45" s="1"/>
      <c r="AH45" s="678"/>
      <c r="AI45" s="677"/>
      <c r="AJ45" s="1"/>
      <c r="AK45" s="1"/>
      <c r="AL45" s="1"/>
      <c r="AM45" s="678"/>
      <c r="AN45" s="677"/>
      <c r="AO45" s="1"/>
      <c r="AP45" s="1"/>
      <c r="AQ45" s="1"/>
      <c r="AR45" s="678"/>
      <c r="AS45" s="677"/>
      <c r="AT45" s="1"/>
      <c r="AU45" s="1"/>
      <c r="AV45" s="1"/>
      <c r="AW45" s="678"/>
      <c r="AX45" s="677"/>
      <c r="AY45" s="1"/>
      <c r="AZ45" s="1"/>
      <c r="BA45" s="1"/>
      <c r="BB45" s="678"/>
      <c r="BC45" s="677"/>
      <c r="BD45" s="1"/>
      <c r="BE45" s="678"/>
      <c r="BF45" s="1"/>
    </row>
    <row r="46" spans="1:58" ht="15" thickBot="1" x14ac:dyDescent="0.35">
      <c r="A46" s="1"/>
      <c r="B46" s="1"/>
      <c r="C46" s="1"/>
      <c r="D46" s="1"/>
      <c r="E46" s="1"/>
      <c r="F46" s="1"/>
      <c r="G46" s="1"/>
      <c r="H46" s="1"/>
      <c r="I46" s="815"/>
      <c r="J46" s="815"/>
      <c r="K46" s="1"/>
      <c r="L46" s="1"/>
      <c r="M46" s="1"/>
      <c r="N46" s="1"/>
      <c r="O46" s="1"/>
      <c r="P46" s="1"/>
      <c r="Q46" s="1"/>
      <c r="R46" s="1"/>
      <c r="S46" s="1"/>
      <c r="T46" s="677"/>
      <c r="U46" s="1"/>
      <c r="V46" s="1"/>
      <c r="W46" s="1"/>
      <c r="X46" s="678"/>
      <c r="Y46" s="677"/>
      <c r="Z46" s="1"/>
      <c r="AA46" s="1"/>
      <c r="AB46" s="1"/>
      <c r="AC46" s="678"/>
      <c r="AD46" s="677"/>
      <c r="AE46" s="1"/>
      <c r="AF46" s="1"/>
      <c r="AG46" s="1"/>
      <c r="AH46" s="678"/>
      <c r="AI46" s="677"/>
      <c r="AJ46" s="1"/>
      <c r="AK46" s="1"/>
      <c r="AL46" s="1"/>
      <c r="AM46" s="678"/>
      <c r="AN46" s="677"/>
      <c r="AO46" s="1"/>
      <c r="AP46" s="1"/>
      <c r="AQ46" s="1"/>
      <c r="AR46" s="678"/>
      <c r="AS46" s="677"/>
      <c r="AT46" s="1"/>
      <c r="AU46" s="1"/>
      <c r="AV46" s="1"/>
      <c r="AW46" s="678"/>
      <c r="AX46" s="677"/>
      <c r="AY46" s="1"/>
      <c r="AZ46" s="1"/>
      <c r="BA46" s="1"/>
      <c r="BB46" s="678"/>
      <c r="BC46" s="677"/>
      <c r="BD46" s="1"/>
      <c r="BE46" s="678"/>
      <c r="BF46" s="1"/>
    </row>
    <row r="47" spans="1:58" ht="16.8" thickTop="1" thickBot="1" x14ac:dyDescent="0.35">
      <c r="A47" s="875" t="s">
        <v>28</v>
      </c>
      <c r="B47" s="876"/>
      <c r="C47" s="877"/>
      <c r="D47" s="1"/>
      <c r="E47" s="79"/>
      <c r="F47" s="712"/>
      <c r="G47" s="1"/>
      <c r="H47" s="1"/>
      <c r="I47" s="815"/>
      <c r="J47" s="815"/>
      <c r="K47" s="1"/>
      <c r="L47" s="1"/>
      <c r="M47" s="1"/>
      <c r="N47" s="1"/>
      <c r="O47" s="1"/>
      <c r="P47" s="1"/>
      <c r="Q47" s="1"/>
      <c r="R47" s="1"/>
      <c r="S47" s="1"/>
      <c r="T47" s="677"/>
      <c r="U47" s="79"/>
      <c r="V47" s="1"/>
      <c r="W47" s="1"/>
      <c r="X47" s="678"/>
      <c r="Y47" s="878"/>
      <c r="Z47" s="1"/>
      <c r="AA47" s="1"/>
      <c r="AB47" s="1"/>
      <c r="AC47" s="678"/>
      <c r="AD47" s="677"/>
      <c r="AE47" s="1"/>
      <c r="AF47" s="79"/>
      <c r="AG47" s="1"/>
      <c r="AH47" s="678"/>
      <c r="AI47" s="677"/>
      <c r="AJ47" s="1"/>
      <c r="AK47" s="1"/>
      <c r="AL47" s="879"/>
      <c r="AM47" s="678"/>
      <c r="AN47" s="677"/>
      <c r="AO47" s="1"/>
      <c r="AP47" s="1"/>
      <c r="AQ47" s="1"/>
      <c r="AR47" s="678"/>
      <c r="AS47" s="677"/>
      <c r="AT47" s="79"/>
      <c r="AU47" s="79"/>
      <c r="AV47" s="1"/>
      <c r="AW47" s="678"/>
      <c r="AX47" s="677"/>
      <c r="AY47" s="1"/>
      <c r="AZ47" s="79"/>
      <c r="BA47" s="1"/>
      <c r="BB47" s="678"/>
      <c r="BC47" s="677"/>
      <c r="BD47" s="1"/>
      <c r="BE47" s="678"/>
      <c r="BF47" s="1"/>
    </row>
    <row r="48" spans="1:58" ht="16.2" thickBot="1" x14ac:dyDescent="0.35">
      <c r="A48" s="884" t="s">
        <v>29</v>
      </c>
      <c r="B48" s="885" t="s">
        <v>30</v>
      </c>
      <c r="C48" s="886" t="s">
        <v>31</v>
      </c>
      <c r="D48" s="887" t="s">
        <v>2</v>
      </c>
      <c r="E48" s="888" t="s">
        <v>32</v>
      </c>
      <c r="F48" s="888" t="s">
        <v>33</v>
      </c>
      <c r="G48" s="889" t="s">
        <v>34</v>
      </c>
      <c r="H48" s="890" t="s">
        <v>35</v>
      </c>
      <c r="I48" s="891" t="s">
        <v>36</v>
      </c>
      <c r="J48" s="891" t="s">
        <v>37</v>
      </c>
      <c r="K48" s="892" t="s">
        <v>38</v>
      </c>
      <c r="L48" s="888" t="s">
        <v>39</v>
      </c>
      <c r="M48" s="888" t="s">
        <v>40</v>
      </c>
      <c r="N48" s="888" t="s">
        <v>41</v>
      </c>
      <c r="O48" s="888" t="s">
        <v>42</v>
      </c>
      <c r="P48" s="888" t="s">
        <v>43</v>
      </c>
      <c r="Q48" s="889" t="s">
        <v>44</v>
      </c>
      <c r="R48" s="888" t="s">
        <v>38</v>
      </c>
      <c r="S48" s="889" t="s">
        <v>45</v>
      </c>
      <c r="T48" s="893" t="s">
        <v>81</v>
      </c>
      <c r="U48" s="894" t="s">
        <v>82</v>
      </c>
      <c r="V48" s="895" t="s">
        <v>83</v>
      </c>
      <c r="W48" s="896" t="s">
        <v>3</v>
      </c>
      <c r="X48" s="897" t="s">
        <v>3</v>
      </c>
      <c r="Y48" s="893" t="s">
        <v>84</v>
      </c>
      <c r="Z48" s="894" t="s">
        <v>85</v>
      </c>
      <c r="AA48" s="895" t="s">
        <v>86</v>
      </c>
      <c r="AB48" s="896" t="s">
        <v>51</v>
      </c>
      <c r="AC48" s="897" t="s">
        <v>51</v>
      </c>
      <c r="AD48" s="893" t="s">
        <v>87</v>
      </c>
      <c r="AE48" s="894" t="s">
        <v>88</v>
      </c>
      <c r="AF48" s="895" t="s">
        <v>89</v>
      </c>
      <c r="AG48" s="896" t="s">
        <v>5</v>
      </c>
      <c r="AH48" s="897" t="s">
        <v>55</v>
      </c>
      <c r="AI48" s="893" t="s">
        <v>90</v>
      </c>
      <c r="AJ48" s="894" t="s">
        <v>91</v>
      </c>
      <c r="AK48" s="898" t="s">
        <v>92</v>
      </c>
      <c r="AL48" s="899" t="s">
        <v>59</v>
      </c>
      <c r="AM48" s="897" t="s">
        <v>59</v>
      </c>
      <c r="AN48" s="893" t="s">
        <v>93</v>
      </c>
      <c r="AO48" s="894" t="s">
        <v>94</v>
      </c>
      <c r="AP48" s="898" t="s">
        <v>95</v>
      </c>
      <c r="AQ48" s="899" t="s">
        <v>63</v>
      </c>
      <c r="AR48" s="897" t="s">
        <v>7</v>
      </c>
      <c r="AS48" s="893" t="s">
        <v>96</v>
      </c>
      <c r="AT48" s="894" t="s">
        <v>97</v>
      </c>
      <c r="AU48" s="895" t="s">
        <v>98</v>
      </c>
      <c r="AV48" s="900" t="s">
        <v>8</v>
      </c>
      <c r="AW48" s="897" t="s">
        <v>8</v>
      </c>
      <c r="AX48" s="893" t="s">
        <v>99</v>
      </c>
      <c r="AY48" s="894" t="s">
        <v>100</v>
      </c>
      <c r="AZ48" s="898" t="s">
        <v>101</v>
      </c>
      <c r="BA48" s="899" t="s">
        <v>9</v>
      </c>
      <c r="BB48" s="897" t="s">
        <v>9</v>
      </c>
      <c r="BC48" s="901" t="s">
        <v>70</v>
      </c>
      <c r="BD48" s="896" t="s">
        <v>71</v>
      </c>
      <c r="BE48" s="902" t="s">
        <v>72</v>
      </c>
      <c r="BF48" s="1"/>
    </row>
    <row r="49" spans="1:58" ht="18" x14ac:dyDescent="0.35">
      <c r="A49" s="2739"/>
      <c r="B49" s="866"/>
      <c r="C49" s="329" t="s">
        <v>229</v>
      </c>
      <c r="D49" s="290" t="s">
        <v>102</v>
      </c>
      <c r="E49" s="880"/>
      <c r="F49" s="291" t="e">
        <f t="shared" ref="F49:F63" si="9">(BE49/G49)/7</f>
        <v>#DIV/0!</v>
      </c>
      <c r="G49" s="157"/>
      <c r="H49" s="834">
        <f>G49*E49</f>
        <v>0</v>
      </c>
      <c r="I49" s="362"/>
      <c r="J49" s="362"/>
      <c r="K49" s="881">
        <f>J49-H49</f>
        <v>0</v>
      </c>
      <c r="L49" s="156">
        <f t="shared" ref="K49:S63" si="10">K49-$H49</f>
        <v>0</v>
      </c>
      <c r="M49" s="156">
        <f t="shared" si="10"/>
        <v>0</v>
      </c>
      <c r="N49" s="156">
        <f t="shared" si="10"/>
        <v>0</v>
      </c>
      <c r="O49" s="156">
        <f t="shared" si="10"/>
        <v>0</v>
      </c>
      <c r="P49" s="156">
        <f t="shared" si="10"/>
        <v>0</v>
      </c>
      <c r="Q49" s="157">
        <f t="shared" si="10"/>
        <v>0</v>
      </c>
      <c r="R49" s="156">
        <f t="shared" si="10"/>
        <v>0</v>
      </c>
      <c r="S49" s="157">
        <f t="shared" si="10"/>
        <v>0</v>
      </c>
      <c r="T49" s="682"/>
      <c r="U49" s="22"/>
      <c r="V49" s="24"/>
      <c r="W49" s="125"/>
      <c r="X49" s="882"/>
      <c r="Y49" s="641"/>
      <c r="Z49" s="121"/>
      <c r="AA49" s="130"/>
      <c r="AB49" s="124"/>
      <c r="AC49" s="720"/>
      <c r="AD49" s="376"/>
      <c r="AE49" s="22"/>
      <c r="AF49" s="24"/>
      <c r="AG49" s="125"/>
      <c r="AH49" s="720"/>
      <c r="AI49" s="641"/>
      <c r="AJ49" s="121"/>
      <c r="AK49" s="229"/>
      <c r="AL49" s="228"/>
      <c r="AM49" s="720"/>
      <c r="AN49" s="641"/>
      <c r="AO49" s="22"/>
      <c r="AP49" s="23"/>
      <c r="AQ49" s="156"/>
      <c r="AR49" s="720"/>
      <c r="AS49" s="641"/>
      <c r="AT49" s="121"/>
      <c r="AU49" s="130"/>
      <c r="AV49" s="127"/>
      <c r="AW49" s="720"/>
      <c r="AX49" s="641"/>
      <c r="AY49" s="121"/>
      <c r="AZ49" s="229"/>
      <c r="BA49" s="228"/>
      <c r="BB49" s="720"/>
      <c r="BC49" s="757"/>
      <c r="BD49" s="883"/>
      <c r="BE49" s="903"/>
      <c r="BF49" s="1"/>
    </row>
    <row r="50" spans="1:58" ht="18" x14ac:dyDescent="0.35">
      <c r="A50" s="2739"/>
      <c r="B50" s="867" t="s">
        <v>233</v>
      </c>
      <c r="C50" s="224" t="s">
        <v>230</v>
      </c>
      <c r="D50" s="225" t="s">
        <v>103</v>
      </c>
      <c r="E50" s="585">
        <v>6</v>
      </c>
      <c r="F50" s="226" t="e">
        <f>(BE50/G50)/7</f>
        <v>#DIV/0!</v>
      </c>
      <c r="G50" s="139"/>
      <c r="H50" s="831">
        <f>G50*E50</f>
        <v>0</v>
      </c>
      <c r="I50" s="375"/>
      <c r="J50" s="375"/>
      <c r="K50" s="227">
        <f>J50-$H50</f>
        <v>0</v>
      </c>
      <c r="L50" s="137">
        <f>K50-$H50</f>
        <v>0</v>
      </c>
      <c r="M50" s="137">
        <f t="shared" si="10"/>
        <v>0</v>
      </c>
      <c r="N50" s="137">
        <f t="shared" si="10"/>
        <v>0</v>
      </c>
      <c r="O50" s="137">
        <f t="shared" si="10"/>
        <v>0</v>
      </c>
      <c r="P50" s="137">
        <f t="shared" si="10"/>
        <v>0</v>
      </c>
      <c r="Q50" s="137">
        <f t="shared" si="10"/>
        <v>0</v>
      </c>
      <c r="R50" s="137">
        <f t="shared" si="10"/>
        <v>0</v>
      </c>
      <c r="S50" s="330">
        <f t="shared" si="10"/>
        <v>0</v>
      </c>
      <c r="T50" s="682"/>
      <c r="U50" s="32"/>
      <c r="V50" s="146"/>
      <c r="W50" s="147"/>
      <c r="X50" s="683"/>
      <c r="Y50" s="707"/>
      <c r="Z50" s="142"/>
      <c r="AA50" s="143"/>
      <c r="AB50" s="151"/>
      <c r="AC50" s="689"/>
      <c r="AD50" s="402"/>
      <c r="AE50" s="32"/>
      <c r="AF50" s="146"/>
      <c r="AG50" s="147"/>
      <c r="AH50" s="689"/>
      <c r="AI50" s="707"/>
      <c r="AJ50" s="142"/>
      <c r="AK50" s="231"/>
      <c r="AL50" s="230"/>
      <c r="AM50" s="689"/>
      <c r="AN50" s="707"/>
      <c r="AO50" s="32"/>
      <c r="AP50" s="232"/>
      <c r="AQ50" s="137"/>
      <c r="AR50" s="689"/>
      <c r="AS50" s="707"/>
      <c r="AT50" s="142"/>
      <c r="AU50" s="143"/>
      <c r="AV50" s="145"/>
      <c r="AW50" s="689"/>
      <c r="AX50" s="707"/>
      <c r="AY50" s="142"/>
      <c r="AZ50" s="231"/>
      <c r="BA50" s="228"/>
      <c r="BB50" s="720"/>
      <c r="BC50" s="773"/>
      <c r="BD50" s="132"/>
      <c r="BE50" s="768"/>
      <c r="BF50" s="1"/>
    </row>
    <row r="51" spans="1:58" ht="18.600000000000001" thickBot="1" x14ac:dyDescent="0.4">
      <c r="A51" s="2739"/>
      <c r="B51" s="868" t="s">
        <v>234</v>
      </c>
      <c r="C51" s="233"/>
      <c r="D51" s="234" t="s">
        <v>104</v>
      </c>
      <c r="E51" s="586">
        <v>2.5</v>
      </c>
      <c r="F51" s="235" t="e">
        <f>(BE51/G51)/7</f>
        <v>#DIV/0!</v>
      </c>
      <c r="G51" s="236"/>
      <c r="H51" s="234">
        <f>G51*E51</f>
        <v>0</v>
      </c>
      <c r="I51" s="386"/>
      <c r="J51" s="386"/>
      <c r="K51" s="77">
        <f>J51-$H51</f>
        <v>0</v>
      </c>
      <c r="L51" s="192">
        <f t="shared" si="10"/>
        <v>0</v>
      </c>
      <c r="M51" s="192">
        <f t="shared" si="10"/>
        <v>0</v>
      </c>
      <c r="N51" s="192">
        <f t="shared" si="10"/>
        <v>0</v>
      </c>
      <c r="O51" s="192">
        <f t="shared" si="10"/>
        <v>0</v>
      </c>
      <c r="P51" s="192">
        <f t="shared" si="10"/>
        <v>0</v>
      </c>
      <c r="Q51" s="192">
        <f t="shared" si="10"/>
        <v>0</v>
      </c>
      <c r="R51" s="192">
        <f t="shared" si="10"/>
        <v>0</v>
      </c>
      <c r="S51" s="193">
        <f t="shared" si="10"/>
        <v>0</v>
      </c>
      <c r="T51" s="434"/>
      <c r="U51" s="163"/>
      <c r="V51" s="238"/>
      <c r="W51" s="239"/>
      <c r="X51" s="683"/>
      <c r="Y51" s="389"/>
      <c r="Z51" s="241"/>
      <c r="AA51" s="242"/>
      <c r="AB51" s="596"/>
      <c r="AC51" s="688"/>
      <c r="AD51" s="387"/>
      <c r="AE51" s="191"/>
      <c r="AF51" s="245"/>
      <c r="AG51" s="735"/>
      <c r="AH51" s="688"/>
      <c r="AI51" s="389"/>
      <c r="AJ51" s="241"/>
      <c r="AK51" s="246"/>
      <c r="AL51" s="243"/>
      <c r="AM51" s="688"/>
      <c r="AN51" s="389"/>
      <c r="AO51" s="191"/>
      <c r="AP51" s="247"/>
      <c r="AQ51" s="199"/>
      <c r="AR51" s="688"/>
      <c r="AS51" s="389"/>
      <c r="AT51" s="241"/>
      <c r="AU51" s="242"/>
      <c r="AV51" s="248"/>
      <c r="AW51" s="688"/>
      <c r="AX51" s="389"/>
      <c r="AY51" s="241"/>
      <c r="AZ51" s="249"/>
      <c r="BA51" s="248"/>
      <c r="BB51" s="688"/>
      <c r="BC51" s="757"/>
      <c r="BD51" s="7"/>
      <c r="BE51" s="759"/>
      <c r="BF51" s="1"/>
    </row>
    <row r="52" spans="1:58" ht="18" x14ac:dyDescent="0.35">
      <c r="A52" s="2740"/>
      <c r="B52" s="869"/>
      <c r="C52" s="250" t="s">
        <v>231</v>
      </c>
      <c r="D52" s="251" t="s">
        <v>102</v>
      </c>
      <c r="E52" s="587"/>
      <c r="F52" s="252" t="e">
        <f t="shared" si="9"/>
        <v>#DIV/0!</v>
      </c>
      <c r="G52" s="253"/>
      <c r="H52" s="832">
        <f t="shared" ref="H52:H63" si="11">G52*E52</f>
        <v>0</v>
      </c>
      <c r="I52" s="392"/>
      <c r="J52" s="392"/>
      <c r="K52" s="255">
        <f t="shared" ref="K52:K58" si="12">(J52-$H52)+T52</f>
        <v>0</v>
      </c>
      <c r="L52" s="254">
        <f t="shared" si="10"/>
        <v>0</v>
      </c>
      <c r="M52" s="254">
        <f t="shared" si="10"/>
        <v>0</v>
      </c>
      <c r="N52" s="254">
        <f t="shared" si="10"/>
        <v>0</v>
      </c>
      <c r="O52" s="254">
        <f t="shared" si="10"/>
        <v>0</v>
      </c>
      <c r="P52" s="254">
        <f t="shared" si="10"/>
        <v>0</v>
      </c>
      <c r="Q52" s="253">
        <f t="shared" si="10"/>
        <v>0</v>
      </c>
      <c r="R52" s="254">
        <f t="shared" si="10"/>
        <v>0</v>
      </c>
      <c r="S52" s="253">
        <f t="shared" si="10"/>
        <v>0</v>
      </c>
      <c r="T52" s="395"/>
      <c r="U52" s="257"/>
      <c r="V52" s="258"/>
      <c r="W52" s="259"/>
      <c r="X52" s="684"/>
      <c r="Y52" s="710"/>
      <c r="Z52" s="260"/>
      <c r="AA52" s="261"/>
      <c r="AB52" s="262"/>
      <c r="AC52" s="721"/>
      <c r="AD52" s="395"/>
      <c r="AE52" s="257"/>
      <c r="AF52" s="258"/>
      <c r="AG52" s="259"/>
      <c r="AH52" s="721"/>
      <c r="AI52" s="710"/>
      <c r="AJ52" s="260"/>
      <c r="AK52" s="264"/>
      <c r="AL52" s="263"/>
      <c r="AM52" s="721"/>
      <c r="AN52" s="710"/>
      <c r="AO52" s="257"/>
      <c r="AP52" s="265"/>
      <c r="AQ52" s="254"/>
      <c r="AR52" s="721"/>
      <c r="AS52" s="710"/>
      <c r="AT52" s="260"/>
      <c r="AU52" s="261"/>
      <c r="AV52" s="266"/>
      <c r="AW52" s="721"/>
      <c r="AX52" s="710"/>
      <c r="AY52" s="260"/>
      <c r="AZ52" s="261"/>
      <c r="BA52" s="267"/>
      <c r="BB52" s="752"/>
      <c r="BC52" s="774"/>
      <c r="BD52" s="268"/>
      <c r="BE52" s="775"/>
      <c r="BF52" s="1"/>
    </row>
    <row r="53" spans="1:58" ht="18" x14ac:dyDescent="0.35">
      <c r="A53" s="2741"/>
      <c r="B53" s="867" t="s">
        <v>235</v>
      </c>
      <c r="C53" s="224" t="s">
        <v>232</v>
      </c>
      <c r="D53" s="269" t="s">
        <v>103</v>
      </c>
      <c r="E53" s="585">
        <v>11</v>
      </c>
      <c r="F53" s="226" t="e">
        <f t="shared" si="9"/>
        <v>#DIV/0!</v>
      </c>
      <c r="G53" s="139"/>
      <c r="H53" s="831">
        <f t="shared" si="11"/>
        <v>0</v>
      </c>
      <c r="I53" s="375"/>
      <c r="J53" s="375"/>
      <c r="K53" s="227">
        <f t="shared" si="10"/>
        <v>0</v>
      </c>
      <c r="L53" s="137">
        <f t="shared" si="10"/>
        <v>0</v>
      </c>
      <c r="M53" s="137">
        <f t="shared" si="10"/>
        <v>0</v>
      </c>
      <c r="N53" s="137">
        <f t="shared" si="10"/>
        <v>0</v>
      </c>
      <c r="O53" s="137">
        <f t="shared" si="10"/>
        <v>0</v>
      </c>
      <c r="P53" s="137">
        <f t="shared" si="10"/>
        <v>0</v>
      </c>
      <c r="Q53" s="139">
        <f t="shared" si="10"/>
        <v>0</v>
      </c>
      <c r="R53" s="137">
        <f t="shared" si="10"/>
        <v>0</v>
      </c>
      <c r="S53" s="139">
        <f t="shared" si="10"/>
        <v>0</v>
      </c>
      <c r="T53" s="402"/>
      <c r="U53" s="32"/>
      <c r="V53" s="146"/>
      <c r="W53" s="147"/>
      <c r="X53" s="685"/>
      <c r="Y53" s="707"/>
      <c r="Z53" s="142"/>
      <c r="AA53" s="143"/>
      <c r="AB53" s="151"/>
      <c r="AC53" s="689"/>
      <c r="AD53" s="402"/>
      <c r="AE53" s="32"/>
      <c r="AF53" s="146"/>
      <c r="AG53" s="147"/>
      <c r="AH53" s="689"/>
      <c r="AI53" s="707"/>
      <c r="AJ53" s="142"/>
      <c r="AK53" s="231"/>
      <c r="AL53" s="230"/>
      <c r="AM53" s="689"/>
      <c r="AN53" s="707"/>
      <c r="AO53" s="32"/>
      <c r="AP53" s="232"/>
      <c r="AQ53" s="137"/>
      <c r="AR53" s="689"/>
      <c r="AS53" s="707"/>
      <c r="AT53" s="142"/>
      <c r="AU53" s="143"/>
      <c r="AV53" s="145"/>
      <c r="AW53" s="689"/>
      <c r="AX53" s="707"/>
      <c r="AY53" s="142"/>
      <c r="AZ53" s="143"/>
      <c r="BA53" s="230"/>
      <c r="BB53" s="689"/>
      <c r="BC53" s="773"/>
      <c r="BD53" s="132"/>
      <c r="BE53" s="768"/>
      <c r="BF53" s="1"/>
    </row>
    <row r="54" spans="1:58" ht="18.600000000000001" thickBot="1" x14ac:dyDescent="0.4">
      <c r="A54" s="2742"/>
      <c r="B54" s="870" t="s">
        <v>236</v>
      </c>
      <c r="C54" s="270"/>
      <c r="D54" s="271" t="s">
        <v>104</v>
      </c>
      <c r="E54" s="588">
        <v>2.5</v>
      </c>
      <c r="F54" s="272" t="e">
        <f t="shared" si="9"/>
        <v>#DIV/0!</v>
      </c>
      <c r="G54" s="273"/>
      <c r="H54" s="833">
        <f t="shared" si="11"/>
        <v>0</v>
      </c>
      <c r="I54" s="409"/>
      <c r="J54" s="406"/>
      <c r="K54" s="276">
        <f t="shared" si="12"/>
        <v>0</v>
      </c>
      <c r="L54" s="274">
        <f t="shared" si="10"/>
        <v>0</v>
      </c>
      <c r="M54" s="274">
        <f t="shared" si="10"/>
        <v>0</v>
      </c>
      <c r="N54" s="274">
        <f t="shared" si="10"/>
        <v>0</v>
      </c>
      <c r="O54" s="274">
        <f t="shared" si="10"/>
        <v>0</v>
      </c>
      <c r="P54" s="274">
        <f t="shared" si="10"/>
        <v>0</v>
      </c>
      <c r="Q54" s="275">
        <f t="shared" si="10"/>
        <v>0</v>
      </c>
      <c r="R54" s="274">
        <f t="shared" si="10"/>
        <v>0</v>
      </c>
      <c r="S54" s="275">
        <f t="shared" si="10"/>
        <v>0</v>
      </c>
      <c r="T54" s="640"/>
      <c r="U54" s="278"/>
      <c r="V54" s="279"/>
      <c r="W54" s="280"/>
      <c r="X54" s="686"/>
      <c r="Y54" s="415"/>
      <c r="Z54" s="281"/>
      <c r="AA54" s="282"/>
      <c r="AB54" s="283"/>
      <c r="AC54" s="722"/>
      <c r="AD54" s="640"/>
      <c r="AE54" s="278"/>
      <c r="AF54" s="279"/>
      <c r="AG54" s="280"/>
      <c r="AH54" s="722"/>
      <c r="AI54" s="415"/>
      <c r="AJ54" s="281"/>
      <c r="AK54" s="285"/>
      <c r="AL54" s="284"/>
      <c r="AM54" s="722"/>
      <c r="AN54" s="415"/>
      <c r="AO54" s="278"/>
      <c r="AP54" s="286"/>
      <c r="AQ54" s="274"/>
      <c r="AR54" s="722"/>
      <c r="AS54" s="415"/>
      <c r="AT54" s="281"/>
      <c r="AU54" s="282"/>
      <c r="AV54" s="287"/>
      <c r="AW54" s="722"/>
      <c r="AX54" s="415"/>
      <c r="AY54" s="281"/>
      <c r="AZ54" s="282"/>
      <c r="BA54" s="287"/>
      <c r="BB54" s="722"/>
      <c r="BC54" s="776"/>
      <c r="BD54" s="288"/>
      <c r="BE54" s="777"/>
      <c r="BF54" s="1"/>
    </row>
    <row r="55" spans="1:58" ht="18" x14ac:dyDescent="0.35">
      <c r="A55" s="2743"/>
      <c r="B55" s="866"/>
      <c r="C55" s="289"/>
      <c r="D55" s="290" t="s">
        <v>102</v>
      </c>
      <c r="E55" s="589"/>
      <c r="F55" s="291" t="e">
        <f t="shared" si="9"/>
        <v>#DIV/0!</v>
      </c>
      <c r="G55" s="157"/>
      <c r="H55" s="834">
        <f t="shared" si="11"/>
        <v>0</v>
      </c>
      <c r="I55" s="850"/>
      <c r="J55" s="362"/>
      <c r="K55" s="797">
        <f>J55-H55</f>
        <v>0</v>
      </c>
      <c r="L55" s="199">
        <f t="shared" si="10"/>
        <v>0</v>
      </c>
      <c r="M55" s="199">
        <f>L55-H55</f>
        <v>0</v>
      </c>
      <c r="N55" s="199">
        <f t="shared" si="10"/>
        <v>0</v>
      </c>
      <c r="O55" s="199">
        <f t="shared" si="10"/>
        <v>0</v>
      </c>
      <c r="P55" s="199">
        <f t="shared" si="10"/>
        <v>0</v>
      </c>
      <c r="Q55" s="199">
        <f t="shared" si="10"/>
        <v>0</v>
      </c>
      <c r="R55" s="199">
        <f t="shared" si="10"/>
        <v>0</v>
      </c>
      <c r="S55" s="644">
        <f t="shared" si="10"/>
        <v>0</v>
      </c>
      <c r="T55" s="687"/>
      <c r="U55" s="292"/>
      <c r="V55" s="293"/>
      <c r="W55" s="596"/>
      <c r="X55" s="688"/>
      <c r="Y55" s="687"/>
      <c r="Z55" s="292"/>
      <c r="AA55" s="293"/>
      <c r="AB55" s="596"/>
      <c r="AC55" s="688"/>
      <c r="AD55" s="687"/>
      <c r="AE55" s="292"/>
      <c r="AF55" s="293"/>
      <c r="AG55" s="596"/>
      <c r="AH55" s="688"/>
      <c r="AI55" s="687"/>
      <c r="AJ55" s="292"/>
      <c r="AK55" s="294"/>
      <c r="AL55" s="243"/>
      <c r="AM55" s="688"/>
      <c r="AN55" s="687"/>
      <c r="AO55" s="292"/>
      <c r="AP55" s="294"/>
      <c r="AQ55" s="295"/>
      <c r="AR55" s="746"/>
      <c r="AS55" s="389"/>
      <c r="AT55" s="241"/>
      <c r="AU55" s="242"/>
      <c r="AV55" s="248"/>
      <c r="AW55" s="688"/>
      <c r="AX55" s="687"/>
      <c r="AY55" s="292"/>
      <c r="AZ55" s="293"/>
      <c r="BA55" s="248"/>
      <c r="BB55" s="688"/>
      <c r="BC55" s="778"/>
      <c r="BE55" s="761"/>
      <c r="BF55" s="1"/>
    </row>
    <row r="56" spans="1:58" ht="18" x14ac:dyDescent="0.35">
      <c r="A56" s="2743"/>
      <c r="B56" s="867" t="s">
        <v>237</v>
      </c>
      <c r="C56" s="296" t="s">
        <v>239</v>
      </c>
      <c r="D56" s="488" t="s">
        <v>103</v>
      </c>
      <c r="E56" s="591">
        <v>8</v>
      </c>
      <c r="F56" s="235" t="e">
        <f t="shared" si="9"/>
        <v>#DIV/0!</v>
      </c>
      <c r="G56" s="236"/>
      <c r="H56" s="234">
        <f t="shared" si="11"/>
        <v>0</v>
      </c>
      <c r="I56" s="851"/>
      <c r="J56" s="375"/>
      <c r="K56" s="227">
        <f>J56-$H56</f>
        <v>0</v>
      </c>
      <c r="L56" s="146">
        <f>K56-$H56</f>
        <v>0</v>
      </c>
      <c r="M56" s="146">
        <f>L56-$H56</f>
        <v>0</v>
      </c>
      <c r="N56" s="146">
        <f t="shared" si="10"/>
        <v>0</v>
      </c>
      <c r="O56" s="146">
        <f>N56-H56</f>
        <v>0</v>
      </c>
      <c r="P56" s="146">
        <f t="shared" si="10"/>
        <v>0</v>
      </c>
      <c r="Q56" s="146">
        <f>P56-H56</f>
        <v>0</v>
      </c>
      <c r="R56" s="146">
        <f t="shared" si="10"/>
        <v>0</v>
      </c>
      <c r="S56" s="232">
        <f t="shared" si="10"/>
        <v>0</v>
      </c>
      <c r="T56" s="673"/>
      <c r="U56" s="57"/>
      <c r="V56" s="59"/>
      <c r="W56" s="151"/>
      <c r="X56" s="689"/>
      <c r="Y56" s="673"/>
      <c r="Z56" s="57"/>
      <c r="AA56" s="59"/>
      <c r="AB56" s="151"/>
      <c r="AC56" s="689"/>
      <c r="AD56" s="673"/>
      <c r="AE56" s="57"/>
      <c r="AF56" s="59"/>
      <c r="AG56" s="151"/>
      <c r="AH56" s="689"/>
      <c r="AI56" s="673"/>
      <c r="AJ56" s="57"/>
      <c r="AK56" s="58"/>
      <c r="AL56" s="230"/>
      <c r="AM56" s="689"/>
      <c r="AN56" s="673"/>
      <c r="AO56" s="57"/>
      <c r="AP56" s="58"/>
      <c r="AQ56" s="196"/>
      <c r="AR56" s="716"/>
      <c r="AS56" s="707"/>
      <c r="AT56" s="142"/>
      <c r="AU56" s="143"/>
      <c r="AV56" s="145"/>
      <c r="AW56" s="689"/>
      <c r="AX56" s="673"/>
      <c r="AY56" s="57"/>
      <c r="AZ56" s="59"/>
      <c r="BA56" s="145"/>
      <c r="BB56" s="689"/>
      <c r="BC56" s="767"/>
      <c r="BD56" s="298"/>
      <c r="BE56" s="768"/>
      <c r="BF56" s="1"/>
    </row>
    <row r="57" spans="1:58" ht="18.600000000000001" thickBot="1" x14ac:dyDescent="0.4">
      <c r="A57" s="2743"/>
      <c r="B57" s="868" t="s">
        <v>238</v>
      </c>
      <c r="C57" s="595" t="s">
        <v>240</v>
      </c>
      <c r="D57" s="300" t="s">
        <v>104</v>
      </c>
      <c r="E57" s="591"/>
      <c r="F57" s="235" t="e">
        <f t="shared" si="9"/>
        <v>#DIV/0!</v>
      </c>
      <c r="G57" s="236"/>
      <c r="H57" s="234">
        <f t="shared" si="11"/>
        <v>0</v>
      </c>
      <c r="I57" s="851"/>
      <c r="J57" s="386"/>
      <c r="K57" s="797">
        <f>J57-$H57</f>
        <v>0</v>
      </c>
      <c r="L57" s="199">
        <f t="shared" si="10"/>
        <v>0</v>
      </c>
      <c r="M57" s="199">
        <f t="shared" si="10"/>
        <v>0</v>
      </c>
      <c r="N57" s="199">
        <f t="shared" si="10"/>
        <v>0</v>
      </c>
      <c r="O57" s="199">
        <f t="shared" si="10"/>
        <v>0</v>
      </c>
      <c r="P57" s="199">
        <f t="shared" si="10"/>
        <v>0</v>
      </c>
      <c r="Q57" s="199">
        <f t="shared" si="10"/>
        <v>0</v>
      </c>
      <c r="R57" s="199">
        <f t="shared" si="10"/>
        <v>0</v>
      </c>
      <c r="S57" s="644">
        <f t="shared" si="10"/>
        <v>0</v>
      </c>
      <c r="T57" s="687"/>
      <c r="U57" s="292"/>
      <c r="V57" s="293"/>
      <c r="W57" s="596"/>
      <c r="X57" s="688"/>
      <c r="Y57" s="687"/>
      <c r="Z57" s="292"/>
      <c r="AA57" s="293"/>
      <c r="AB57" s="596"/>
      <c r="AC57" s="688"/>
      <c r="AD57" s="687"/>
      <c r="AE57" s="292"/>
      <c r="AF57" s="293"/>
      <c r="AG57" s="596"/>
      <c r="AH57" s="688"/>
      <c r="AI57" s="687"/>
      <c r="AJ57" s="292"/>
      <c r="AK57" s="244"/>
      <c r="AL57" s="243"/>
      <c r="AM57" s="688"/>
      <c r="AN57" s="687"/>
      <c r="AO57" s="292"/>
      <c r="AP57" s="294"/>
      <c r="AQ57" s="295"/>
      <c r="AR57" s="717"/>
      <c r="AS57" s="709"/>
      <c r="AT57" s="305"/>
      <c r="AU57" s="249"/>
      <c r="AV57" s="303"/>
      <c r="AW57" s="748"/>
      <c r="AX57" s="687"/>
      <c r="AY57" s="301"/>
      <c r="AZ57" s="302"/>
      <c r="BA57" s="303"/>
      <c r="BB57" s="748"/>
      <c r="BC57" s="779"/>
      <c r="BD57" s="597"/>
      <c r="BE57" s="763"/>
      <c r="BF57" s="1"/>
    </row>
    <row r="58" spans="1:58" ht="18" x14ac:dyDescent="0.35">
      <c r="A58" s="2727"/>
      <c r="B58" s="2730" t="s">
        <v>105</v>
      </c>
      <c r="C58" s="598"/>
      <c r="D58" s="599" t="s">
        <v>102</v>
      </c>
      <c r="E58" s="600"/>
      <c r="F58" s="601" t="e">
        <f t="shared" si="9"/>
        <v>#DIV/0!</v>
      </c>
      <c r="G58" s="602"/>
      <c r="H58" s="835">
        <f t="shared" si="11"/>
        <v>0</v>
      </c>
      <c r="I58" s="852"/>
      <c r="J58" s="816"/>
      <c r="K58" s="604">
        <f t="shared" si="12"/>
        <v>0</v>
      </c>
      <c r="L58" s="603">
        <f t="shared" si="10"/>
        <v>0</v>
      </c>
      <c r="M58" s="603">
        <f t="shared" si="10"/>
        <v>0</v>
      </c>
      <c r="N58" s="603">
        <f t="shared" si="10"/>
        <v>0</v>
      </c>
      <c r="O58" s="603">
        <f t="shared" si="10"/>
        <v>0</v>
      </c>
      <c r="P58" s="603">
        <f t="shared" si="10"/>
        <v>0</v>
      </c>
      <c r="Q58" s="602">
        <f t="shared" si="10"/>
        <v>0</v>
      </c>
      <c r="R58" s="603">
        <f t="shared" si="10"/>
        <v>0</v>
      </c>
      <c r="S58" s="602">
        <f t="shared" si="10"/>
        <v>0</v>
      </c>
      <c r="T58" s="690"/>
      <c r="U58" s="605"/>
      <c r="V58" s="606"/>
      <c r="W58" s="607"/>
      <c r="X58" s="691"/>
      <c r="Y58" s="690"/>
      <c r="Z58" s="605"/>
      <c r="AA58" s="606"/>
      <c r="AB58" s="607"/>
      <c r="AC58" s="691"/>
      <c r="AD58" s="690"/>
      <c r="AE58" s="605"/>
      <c r="AF58" s="606"/>
      <c r="AG58" s="607"/>
      <c r="AH58" s="691"/>
      <c r="AI58" s="690"/>
      <c r="AJ58" s="605"/>
      <c r="AK58" s="608"/>
      <c r="AL58" s="492"/>
      <c r="AM58" s="691"/>
      <c r="AN58" s="690"/>
      <c r="AO58" s="605"/>
      <c r="AP58" s="609"/>
      <c r="AQ58" s="492"/>
      <c r="AR58" s="747"/>
      <c r="AS58" s="690"/>
      <c r="AT58" s="605"/>
      <c r="AU58" s="606"/>
      <c r="AV58" s="610"/>
      <c r="AW58" s="691"/>
      <c r="AX58" s="690"/>
      <c r="AY58" s="605"/>
      <c r="AZ58" s="606"/>
      <c r="BA58" s="611"/>
      <c r="BB58" s="691"/>
      <c r="BC58" s="780"/>
      <c r="BD58" s="612"/>
      <c r="BE58" s="691"/>
      <c r="BF58" s="1"/>
    </row>
    <row r="59" spans="1:58" ht="18" x14ac:dyDescent="0.35">
      <c r="A59" s="2728"/>
      <c r="B59" s="2731"/>
      <c r="C59" s="493"/>
      <c r="D59" s="494" t="s">
        <v>103</v>
      </c>
      <c r="E59" s="592">
        <v>8</v>
      </c>
      <c r="F59" s="495" t="e">
        <f t="shared" si="9"/>
        <v>#DIV/0!</v>
      </c>
      <c r="G59" s="496"/>
      <c r="H59" s="836">
        <f t="shared" si="11"/>
        <v>0</v>
      </c>
      <c r="I59" s="853"/>
      <c r="J59" s="817"/>
      <c r="K59" s="798">
        <f>J59-$H59</f>
        <v>0</v>
      </c>
      <c r="L59" s="498">
        <f t="shared" si="10"/>
        <v>0</v>
      </c>
      <c r="M59" s="498">
        <f>L59-H59</f>
        <v>0</v>
      </c>
      <c r="N59" s="498">
        <f t="shared" si="10"/>
        <v>0</v>
      </c>
      <c r="O59" s="498">
        <f t="shared" si="10"/>
        <v>0</v>
      </c>
      <c r="P59" s="498">
        <f t="shared" si="10"/>
        <v>0</v>
      </c>
      <c r="Q59" s="498">
        <f t="shared" si="10"/>
        <v>0</v>
      </c>
      <c r="R59" s="498">
        <f t="shared" si="10"/>
        <v>0</v>
      </c>
      <c r="S59" s="645">
        <f t="shared" si="10"/>
        <v>0</v>
      </c>
      <c r="T59" s="692"/>
      <c r="U59" s="499"/>
      <c r="V59" s="500"/>
      <c r="W59" s="501"/>
      <c r="X59" s="693"/>
      <c r="Y59" s="696"/>
      <c r="Z59" s="502"/>
      <c r="AA59" s="503"/>
      <c r="AB59" s="504"/>
      <c r="AC59" s="723"/>
      <c r="AD59" s="692"/>
      <c r="AE59" s="499"/>
      <c r="AF59" s="500"/>
      <c r="AG59" s="501"/>
      <c r="AH59" s="693"/>
      <c r="AI59" s="692"/>
      <c r="AJ59" s="499"/>
      <c r="AK59" s="505"/>
      <c r="AL59" s="497"/>
      <c r="AM59" s="693"/>
      <c r="AN59" s="692"/>
      <c r="AO59" s="499"/>
      <c r="AP59" s="505"/>
      <c r="AQ59" s="497"/>
      <c r="AR59" s="726"/>
      <c r="AS59" s="692"/>
      <c r="AT59" s="499"/>
      <c r="AU59" s="500"/>
      <c r="AV59" s="506"/>
      <c r="AW59" s="693"/>
      <c r="AX59" s="692"/>
      <c r="AY59" s="499"/>
      <c r="AZ59" s="500"/>
      <c r="BA59" s="497"/>
      <c r="BB59" s="753"/>
      <c r="BC59" s="781"/>
      <c r="BD59" s="507"/>
      <c r="BE59" s="693"/>
      <c r="BF59" s="1"/>
    </row>
    <row r="60" spans="1:58" ht="18.600000000000001" thickBot="1" x14ac:dyDescent="0.4">
      <c r="A60" s="2729"/>
      <c r="B60" s="2732"/>
      <c r="C60" s="508"/>
      <c r="D60" s="509" t="s">
        <v>104</v>
      </c>
      <c r="E60" s="593">
        <v>2.5</v>
      </c>
      <c r="F60" s="510" t="e">
        <f t="shared" si="9"/>
        <v>#DIV/0!</v>
      </c>
      <c r="G60" s="511"/>
      <c r="H60" s="837">
        <f t="shared" si="11"/>
        <v>0</v>
      </c>
      <c r="I60" s="819"/>
      <c r="J60" s="818"/>
      <c r="K60" s="799">
        <f>J60-$H60</f>
        <v>0</v>
      </c>
      <c r="L60" s="613">
        <f t="shared" si="10"/>
        <v>0</v>
      </c>
      <c r="M60" s="613">
        <f t="shared" si="10"/>
        <v>0</v>
      </c>
      <c r="N60" s="613">
        <f t="shared" si="10"/>
        <v>0</v>
      </c>
      <c r="O60" s="613">
        <f t="shared" si="10"/>
        <v>0</v>
      </c>
      <c r="P60" s="613">
        <f t="shared" si="10"/>
        <v>0</v>
      </c>
      <c r="Q60" s="613">
        <f t="shared" si="10"/>
        <v>0</v>
      </c>
      <c r="R60" s="613">
        <f t="shared" si="10"/>
        <v>0</v>
      </c>
      <c r="S60" s="619">
        <f t="shared" si="10"/>
        <v>0</v>
      </c>
      <c r="T60" s="694"/>
      <c r="U60" s="514"/>
      <c r="V60" s="515"/>
      <c r="W60" s="516"/>
      <c r="X60" s="695"/>
      <c r="Y60" s="724"/>
      <c r="Z60" s="517"/>
      <c r="AA60" s="518"/>
      <c r="AB60" s="519"/>
      <c r="AC60" s="725"/>
      <c r="AD60" s="694"/>
      <c r="AE60" s="514"/>
      <c r="AF60" s="515"/>
      <c r="AG60" s="513"/>
      <c r="AH60" s="695"/>
      <c r="AI60" s="694"/>
      <c r="AJ60" s="514"/>
      <c r="AK60" s="515"/>
      <c r="AL60" s="513"/>
      <c r="AM60" s="695"/>
      <c r="AN60" s="694"/>
      <c r="AO60" s="514"/>
      <c r="AP60" s="515"/>
      <c r="AQ60" s="513"/>
      <c r="AR60" s="727"/>
      <c r="AS60" s="694"/>
      <c r="AT60" s="514"/>
      <c r="AU60" s="515"/>
      <c r="AV60" s="521"/>
      <c r="AW60" s="695"/>
      <c r="AX60" s="694"/>
      <c r="AY60" s="514"/>
      <c r="AZ60" s="515"/>
      <c r="BA60" s="513"/>
      <c r="BB60" s="727"/>
      <c r="BC60" s="782"/>
      <c r="BD60" s="513"/>
      <c r="BE60" s="695"/>
      <c r="BF60" s="1"/>
    </row>
    <row r="61" spans="1:58" ht="18" customHeight="1" x14ac:dyDescent="0.3">
      <c r="A61" s="2733"/>
      <c r="B61" s="2730" t="s">
        <v>106</v>
      </c>
      <c r="C61" s="610"/>
      <c r="D61" s="599" t="s">
        <v>102</v>
      </c>
      <c r="E61" s="600">
        <v>8</v>
      </c>
      <c r="F61" s="601" t="e">
        <f t="shared" si="9"/>
        <v>#DIV/0!</v>
      </c>
      <c r="G61" s="602"/>
      <c r="H61" s="835">
        <f t="shared" si="11"/>
        <v>0</v>
      </c>
      <c r="I61" s="852"/>
      <c r="J61" s="816"/>
      <c r="K61" s="608">
        <f>J61-H61</f>
        <v>0</v>
      </c>
      <c r="L61" s="616">
        <f>(K61-$H61)+U61</f>
        <v>0</v>
      </c>
      <c r="M61" s="616">
        <f>L61-H61</f>
        <v>0</v>
      </c>
      <c r="N61" s="616">
        <f t="shared" ref="N61:S61" si="13">(M61-$H61)+W61</f>
        <v>0</v>
      </c>
      <c r="O61" s="616">
        <f t="shared" si="13"/>
        <v>0</v>
      </c>
      <c r="P61" s="616">
        <f t="shared" si="13"/>
        <v>0</v>
      </c>
      <c r="Q61" s="616">
        <f t="shared" si="13"/>
        <v>0</v>
      </c>
      <c r="R61" s="616">
        <f t="shared" si="13"/>
        <v>0</v>
      </c>
      <c r="S61" s="646">
        <f t="shared" si="13"/>
        <v>0</v>
      </c>
      <c r="T61" s="690"/>
      <c r="U61" s="605"/>
      <c r="V61" s="606"/>
      <c r="W61" s="607"/>
      <c r="X61" s="691"/>
      <c r="Y61" s="690"/>
      <c r="Z61" s="605"/>
      <c r="AA61" s="606"/>
      <c r="AB61" s="607"/>
      <c r="AC61" s="691"/>
      <c r="AD61" s="690"/>
      <c r="AE61" s="605"/>
      <c r="AF61" s="606"/>
      <c r="AG61" s="607"/>
      <c r="AH61" s="691"/>
      <c r="AI61" s="690"/>
      <c r="AJ61" s="605"/>
      <c r="AK61" s="606"/>
      <c r="AL61" s="610"/>
      <c r="AM61" s="691"/>
      <c r="AN61" s="690"/>
      <c r="AO61" s="605"/>
      <c r="AP61" s="609"/>
      <c r="AQ61" s="492"/>
      <c r="AR61" s="747"/>
      <c r="AS61" s="690"/>
      <c r="AT61" s="605"/>
      <c r="AU61" s="606"/>
      <c r="AV61" s="610"/>
      <c r="AW61" s="691"/>
      <c r="AX61" s="690"/>
      <c r="AY61" s="605"/>
      <c r="AZ61" s="606"/>
      <c r="BA61" s="617"/>
      <c r="BB61" s="747"/>
      <c r="BC61" s="780"/>
      <c r="BD61" s="492"/>
      <c r="BE61" s="691"/>
      <c r="BF61" s="1"/>
    </row>
    <row r="62" spans="1:58" ht="18.600000000000001" customHeight="1" x14ac:dyDescent="0.3">
      <c r="A62" s="2734"/>
      <c r="B62" s="2731"/>
      <c r="C62" s="506"/>
      <c r="D62" s="522" t="s">
        <v>103</v>
      </c>
      <c r="E62" s="590">
        <v>8</v>
      </c>
      <c r="F62" s="523" t="e">
        <f t="shared" si="9"/>
        <v>#DIV/0!</v>
      </c>
      <c r="G62" s="524"/>
      <c r="H62" s="838">
        <f t="shared" si="11"/>
        <v>0</v>
      </c>
      <c r="I62" s="854"/>
      <c r="J62" s="817"/>
      <c r="K62" s="491">
        <f>J62-$H62</f>
        <v>0</v>
      </c>
      <c r="L62" s="490">
        <f t="shared" ref="L62:S63" si="14">K62-$H62</f>
        <v>0</v>
      </c>
      <c r="M62" s="490">
        <f t="shared" si="14"/>
        <v>0</v>
      </c>
      <c r="N62" s="490">
        <f t="shared" si="14"/>
        <v>0</v>
      </c>
      <c r="O62" s="490">
        <f t="shared" si="14"/>
        <v>0</v>
      </c>
      <c r="P62" s="490">
        <f t="shared" si="14"/>
        <v>0</v>
      </c>
      <c r="Q62" s="490">
        <f t="shared" si="14"/>
        <v>0</v>
      </c>
      <c r="R62" s="490">
        <f t="shared" si="14"/>
        <v>0</v>
      </c>
      <c r="S62" s="647">
        <f t="shared" si="14"/>
        <v>0</v>
      </c>
      <c r="T62" s="696"/>
      <c r="U62" s="502"/>
      <c r="V62" s="503"/>
      <c r="W62" s="525"/>
      <c r="X62" s="693"/>
      <c r="Y62" s="696"/>
      <c r="Z62" s="502"/>
      <c r="AA62" s="503"/>
      <c r="AB62" s="504"/>
      <c r="AC62" s="726"/>
      <c r="AD62" s="696"/>
      <c r="AE62" s="502"/>
      <c r="AF62" s="503"/>
      <c r="AG62" s="501"/>
      <c r="AH62" s="693"/>
      <c r="AI62" s="742"/>
      <c r="AJ62" s="502"/>
      <c r="AK62" s="503"/>
      <c r="AL62" s="526"/>
      <c r="AM62" s="723"/>
      <c r="AN62" s="696"/>
      <c r="AO62" s="502"/>
      <c r="AP62" s="527"/>
      <c r="AQ62" s="504"/>
      <c r="AR62" s="726"/>
      <c r="AS62" s="696"/>
      <c r="AT62" s="502"/>
      <c r="AU62" s="503"/>
      <c r="AV62" s="526"/>
      <c r="AW62" s="723"/>
      <c r="AX62" s="696"/>
      <c r="AY62" s="502"/>
      <c r="AZ62" s="503"/>
      <c r="BA62" s="504"/>
      <c r="BB62" s="754"/>
      <c r="BC62" s="783"/>
      <c r="BD62" s="489"/>
      <c r="BE62" s="753"/>
      <c r="BF62" s="1"/>
    </row>
    <row r="63" spans="1:58" ht="21" customHeight="1" thickBot="1" x14ac:dyDescent="0.35">
      <c r="A63" s="2735"/>
      <c r="B63" s="2732"/>
      <c r="C63" s="513"/>
      <c r="D63" s="512" t="s">
        <v>104</v>
      </c>
      <c r="E63" s="618">
        <v>2.5</v>
      </c>
      <c r="F63" s="510" t="e">
        <f t="shared" si="9"/>
        <v>#DIV/0!</v>
      </c>
      <c r="G63" s="619"/>
      <c r="H63" s="837">
        <f t="shared" si="11"/>
        <v>0</v>
      </c>
      <c r="I63" s="819"/>
      <c r="J63" s="819"/>
      <c r="K63" s="799">
        <f>J63-$H63</f>
        <v>0</v>
      </c>
      <c r="L63" s="613">
        <f t="shared" si="10"/>
        <v>0</v>
      </c>
      <c r="M63" s="613">
        <f t="shared" si="14"/>
        <v>0</v>
      </c>
      <c r="N63" s="613">
        <f t="shared" si="14"/>
        <v>0</v>
      </c>
      <c r="O63" s="613">
        <f t="shared" si="14"/>
        <v>0</v>
      </c>
      <c r="P63" s="613">
        <f t="shared" si="14"/>
        <v>0</v>
      </c>
      <c r="Q63" s="613">
        <f t="shared" si="14"/>
        <v>0</v>
      </c>
      <c r="R63" s="613">
        <f t="shared" si="14"/>
        <v>0</v>
      </c>
      <c r="S63" s="619">
        <f t="shared" si="14"/>
        <v>0</v>
      </c>
      <c r="T63" s="697"/>
      <c r="U63" s="514"/>
      <c r="V63" s="515"/>
      <c r="W63" s="519"/>
      <c r="X63" s="695"/>
      <c r="Y63" s="694"/>
      <c r="Z63" s="514"/>
      <c r="AA63" s="515"/>
      <c r="AB63" s="513"/>
      <c r="AC63" s="727"/>
      <c r="AD63" s="736"/>
      <c r="AE63" s="517"/>
      <c r="AF63" s="518"/>
      <c r="AG63" s="513"/>
      <c r="AH63" s="695"/>
      <c r="AI63" s="736"/>
      <c r="AJ63" s="514"/>
      <c r="AK63" s="515"/>
      <c r="AL63" s="620"/>
      <c r="AM63" s="725"/>
      <c r="AN63" s="736"/>
      <c r="AO63" s="514"/>
      <c r="AP63" s="515"/>
      <c r="AQ63" s="520"/>
      <c r="AR63" s="695"/>
      <c r="AS63" s="736"/>
      <c r="AT63" s="514"/>
      <c r="AU63" s="515"/>
      <c r="AV63" s="620"/>
      <c r="AW63" s="725"/>
      <c r="AX63" s="736"/>
      <c r="AY63" s="517"/>
      <c r="AZ63" s="518"/>
      <c r="BA63" s="513"/>
      <c r="BB63" s="725"/>
      <c r="BC63" s="784"/>
      <c r="BD63" s="513"/>
      <c r="BE63" s="695"/>
      <c r="BF63" s="1"/>
    </row>
    <row r="64" spans="1:58" x14ac:dyDescent="0.3">
      <c r="A64" s="614"/>
      <c r="B64" s="615"/>
      <c r="C64" s="308"/>
      <c r="D64" s="309"/>
      <c r="E64" s="308"/>
      <c r="F64" s="310"/>
      <c r="G64" s="308"/>
      <c r="H64" s="309"/>
      <c r="I64" s="820"/>
      <c r="J64" s="820"/>
      <c r="K64" s="311"/>
      <c r="L64" s="311"/>
      <c r="M64" s="311"/>
      <c r="N64" s="311"/>
      <c r="O64" s="311"/>
      <c r="P64" s="311"/>
      <c r="Q64" s="311"/>
      <c r="R64" s="311"/>
      <c r="S64" s="311"/>
      <c r="T64" s="698"/>
      <c r="U64" s="308"/>
      <c r="V64" s="308"/>
      <c r="W64" s="308"/>
      <c r="X64" s="699"/>
      <c r="Y64" s="698"/>
      <c r="Z64" s="308"/>
      <c r="AA64" s="308"/>
      <c r="AB64" s="308"/>
      <c r="AC64" s="699"/>
      <c r="AD64" s="698"/>
      <c r="AE64" s="308"/>
      <c r="AF64" s="308"/>
      <c r="AG64" s="308"/>
      <c r="AH64" s="699"/>
      <c r="AI64" s="698"/>
      <c r="AJ64" s="308"/>
      <c r="AK64" s="308"/>
      <c r="AL64" s="308"/>
      <c r="AM64" s="699"/>
      <c r="AN64" s="698"/>
      <c r="AO64" s="308"/>
      <c r="AP64" s="308"/>
      <c r="AQ64" s="308"/>
      <c r="AR64" s="699"/>
      <c r="AS64" s="698"/>
      <c r="AT64" s="308"/>
      <c r="AU64" s="308"/>
      <c r="AV64" s="308"/>
      <c r="AW64" s="699"/>
      <c r="AX64" s="698"/>
      <c r="AY64" s="308"/>
      <c r="AZ64" s="308"/>
      <c r="BA64" s="308"/>
      <c r="BB64" s="699"/>
      <c r="BC64" s="698"/>
      <c r="BD64" s="308"/>
      <c r="BE64" s="699"/>
      <c r="BF64" s="1"/>
    </row>
    <row r="65" spans="1:58" ht="15" thickBot="1" x14ac:dyDescent="0.35">
      <c r="A65" s="1"/>
      <c r="B65" s="1"/>
      <c r="C65" s="1"/>
      <c r="D65" s="1"/>
      <c r="E65" s="1"/>
      <c r="F65" s="1"/>
      <c r="G65" s="1"/>
      <c r="H65" s="1"/>
      <c r="I65" s="815"/>
      <c r="J65" s="815"/>
      <c r="K65" s="1"/>
      <c r="L65" s="1"/>
      <c r="M65" s="1"/>
      <c r="N65" s="1"/>
      <c r="O65" s="1"/>
      <c r="P65" s="1"/>
      <c r="Q65" s="1"/>
      <c r="R65" s="1"/>
      <c r="S65" s="1"/>
      <c r="T65" s="677"/>
      <c r="U65" s="1"/>
      <c r="V65" s="1"/>
      <c r="W65" s="1"/>
      <c r="X65" s="678"/>
      <c r="Y65" s="677"/>
      <c r="Z65" s="1"/>
      <c r="AA65" s="1"/>
      <c r="AB65" s="1"/>
      <c r="AC65" s="678"/>
      <c r="AD65" s="677"/>
      <c r="AE65" s="1"/>
      <c r="AF65" s="1"/>
      <c r="AG65" s="1"/>
      <c r="AH65" s="678"/>
      <c r="AI65" s="677"/>
      <c r="AJ65" s="1"/>
      <c r="AK65" s="1"/>
      <c r="AL65" s="1"/>
      <c r="AM65" s="678"/>
      <c r="AN65" s="677"/>
      <c r="AO65" s="1"/>
      <c r="AP65" s="1"/>
      <c r="AQ65" s="1"/>
      <c r="AR65" s="678"/>
      <c r="AS65" s="677"/>
      <c r="AT65" s="1"/>
      <c r="AU65" s="1"/>
      <c r="AV65" s="1"/>
      <c r="AW65" s="678"/>
      <c r="AX65" s="677"/>
      <c r="AY65" s="1"/>
      <c r="AZ65" s="1"/>
      <c r="BA65" s="1"/>
      <c r="BB65" s="678"/>
      <c r="BC65" s="677"/>
      <c r="BD65" s="1"/>
      <c r="BE65" s="678"/>
      <c r="BF65" s="1"/>
    </row>
    <row r="66" spans="1:58" x14ac:dyDescent="0.3">
      <c r="A66" s="1"/>
      <c r="B66" s="1"/>
      <c r="C66" s="1"/>
      <c r="D66" s="1"/>
      <c r="E66" s="1"/>
      <c r="F66" s="1"/>
      <c r="G66" s="1"/>
      <c r="H66" s="313">
        <f>G72*I66</f>
        <v>0</v>
      </c>
      <c r="I66" s="855">
        <v>4</v>
      </c>
      <c r="J66" s="821" t="e">
        <f>3000/G72</f>
        <v>#DIV/0!</v>
      </c>
      <c r="K66" s="1"/>
      <c r="L66" s="1" t="s">
        <v>75</v>
      </c>
      <c r="M66" s="1"/>
      <c r="N66" s="1"/>
      <c r="O66" s="1"/>
      <c r="P66" s="1"/>
      <c r="Q66" s="1"/>
      <c r="R66" s="1"/>
      <c r="S66" s="316"/>
      <c r="T66" s="677"/>
      <c r="U66" s="1"/>
      <c r="V66" s="1"/>
      <c r="W66" s="1"/>
      <c r="X66" s="678"/>
      <c r="Y66" s="677"/>
      <c r="Z66" s="1"/>
      <c r="AA66" s="1"/>
      <c r="AB66" s="1"/>
      <c r="AC66" s="678"/>
      <c r="AD66" s="677"/>
      <c r="AE66" s="1"/>
      <c r="AF66" s="1"/>
      <c r="AG66" s="1"/>
      <c r="AH66" s="678"/>
      <c r="AI66" s="677"/>
      <c r="AJ66" s="1"/>
      <c r="AK66" s="1"/>
      <c r="AL66" s="1"/>
      <c r="AM66" s="678"/>
      <c r="AN66" s="677"/>
      <c r="AO66" s="1"/>
      <c r="AP66" s="1"/>
      <c r="AQ66" s="1"/>
      <c r="AR66" s="678"/>
      <c r="AS66" s="677"/>
      <c r="AT66" s="1"/>
      <c r="AU66" s="1"/>
      <c r="AV66" s="1"/>
      <c r="AW66" s="678"/>
      <c r="AX66" s="677"/>
      <c r="AY66" s="1"/>
      <c r="AZ66" s="1"/>
      <c r="BA66" s="1"/>
      <c r="BB66" s="678"/>
      <c r="BC66" s="677"/>
      <c r="BD66" s="1"/>
      <c r="BE66" s="678"/>
      <c r="BF66" s="1"/>
    </row>
    <row r="67" spans="1:58" ht="15" thickBot="1" x14ac:dyDescent="0.35">
      <c r="A67" s="1"/>
      <c r="B67" s="1"/>
      <c r="C67" s="1"/>
      <c r="D67" s="1"/>
      <c r="E67" s="1"/>
      <c r="F67" s="1"/>
      <c r="G67" s="1"/>
      <c r="H67" s="317"/>
      <c r="I67" s="815">
        <v>3</v>
      </c>
      <c r="J67" s="822" t="e">
        <f>2000/G72</f>
        <v>#DIV/0!</v>
      </c>
      <c r="K67" s="1"/>
      <c r="L67" s="1"/>
      <c r="M67" s="1"/>
      <c r="N67" s="1"/>
      <c r="O67" s="1"/>
      <c r="P67" s="1"/>
      <c r="Q67" s="1"/>
      <c r="R67" s="1"/>
      <c r="S67" s="1"/>
      <c r="T67" s="677"/>
      <c r="U67" s="1"/>
      <c r="V67" s="1"/>
      <c r="W67" s="1"/>
      <c r="X67" s="678"/>
      <c r="Y67" s="677"/>
      <c r="Z67" s="1"/>
      <c r="AA67" s="1"/>
      <c r="AB67" s="1"/>
      <c r="AC67" s="678"/>
      <c r="AD67" s="677"/>
      <c r="AE67" s="1"/>
      <c r="AF67" s="1"/>
      <c r="AG67" s="1"/>
      <c r="AH67" s="678"/>
      <c r="AI67" s="677"/>
      <c r="AJ67" s="1"/>
      <c r="AK67" s="1"/>
      <c r="AL67" s="1"/>
      <c r="AM67" s="678"/>
      <c r="AN67" s="677"/>
      <c r="AO67" s="1"/>
      <c r="AP67" s="1"/>
      <c r="AQ67" s="1"/>
      <c r="AR67" s="678"/>
      <c r="AS67" s="677"/>
      <c r="AT67" s="1"/>
      <c r="AU67" s="1"/>
      <c r="AV67" s="1"/>
      <c r="AW67" s="678"/>
      <c r="AX67" s="677"/>
      <c r="AY67" s="1"/>
      <c r="AZ67" s="1"/>
      <c r="BA67" s="1"/>
      <c r="BB67" s="678"/>
      <c r="BC67" s="677"/>
      <c r="BD67" s="1"/>
      <c r="BE67" s="678"/>
      <c r="BF67" s="1"/>
    </row>
    <row r="68" spans="1:58" x14ac:dyDescent="0.3">
      <c r="A68" s="1"/>
      <c r="B68" s="1"/>
      <c r="C68" s="1"/>
      <c r="D68" s="1"/>
      <c r="E68" s="1"/>
      <c r="F68" s="1"/>
      <c r="G68" s="1"/>
      <c r="H68" s="319"/>
      <c r="I68" s="815"/>
      <c r="J68" s="815"/>
      <c r="K68" s="1"/>
      <c r="L68" s="1"/>
      <c r="M68" s="1"/>
      <c r="N68" s="1"/>
      <c r="O68" s="320">
        <v>13</v>
      </c>
      <c r="P68" s="314">
        <f>G73*O68</f>
        <v>0</v>
      </c>
      <c r="Q68" s="315"/>
      <c r="R68" s="1"/>
      <c r="S68" s="1"/>
      <c r="T68" s="677"/>
      <c r="U68" s="1"/>
      <c r="V68" s="1"/>
      <c r="W68" s="1"/>
      <c r="X68" s="678"/>
      <c r="Y68" s="677"/>
      <c r="Z68" s="1"/>
      <c r="AA68" s="1"/>
      <c r="AB68" s="1"/>
      <c r="AC68" s="678"/>
      <c r="AD68" s="677"/>
      <c r="AE68" s="1"/>
      <c r="AF68" s="1"/>
      <c r="AG68" s="1"/>
      <c r="AH68" s="678"/>
      <c r="AI68" s="677"/>
      <c r="AJ68" s="1"/>
      <c r="AK68" s="1"/>
      <c r="AL68" s="1"/>
      <c r="AM68" s="678"/>
      <c r="AN68" s="677"/>
      <c r="AO68" s="1"/>
      <c r="AP68" s="1"/>
      <c r="AQ68" s="1"/>
      <c r="AR68" s="678"/>
      <c r="AS68" s="677"/>
      <c r="AT68" s="1"/>
      <c r="AU68" s="1"/>
      <c r="AV68" s="1"/>
      <c r="AW68" s="678"/>
      <c r="AX68" s="677"/>
      <c r="AY68" s="1"/>
      <c r="AZ68" s="1"/>
      <c r="BA68" s="1"/>
      <c r="BB68" s="678"/>
      <c r="BC68" s="677"/>
      <c r="BD68" s="1"/>
      <c r="BE68" s="678"/>
      <c r="BF68" s="1"/>
    </row>
    <row r="69" spans="1:58" ht="15" thickBot="1" x14ac:dyDescent="0.35">
      <c r="A69" s="12"/>
      <c r="B69" s="48"/>
      <c r="C69" s="48"/>
      <c r="D69" s="48"/>
      <c r="E69" s="321"/>
      <c r="F69" s="48"/>
      <c r="G69" s="1"/>
      <c r="H69" s="317"/>
      <c r="I69" s="815"/>
      <c r="J69" s="815"/>
      <c r="K69" s="1"/>
      <c r="L69" s="1"/>
      <c r="M69" s="1"/>
      <c r="N69" s="1"/>
      <c r="O69" s="319"/>
      <c r="P69" s="1"/>
      <c r="Q69" s="318"/>
      <c r="R69" s="1"/>
      <c r="S69" s="1"/>
      <c r="T69" s="677"/>
      <c r="U69" s="1"/>
      <c r="V69" s="1"/>
      <c r="W69" s="1"/>
      <c r="X69" s="678"/>
      <c r="Y69" s="677"/>
      <c r="Z69" s="1"/>
      <c r="AA69" s="1"/>
      <c r="AB69" s="1"/>
      <c r="AC69" s="678"/>
      <c r="AD69" s="677"/>
      <c r="AE69" s="1"/>
      <c r="AF69" s="1"/>
      <c r="AG69" s="1"/>
      <c r="AH69" s="678"/>
      <c r="AI69" s="677"/>
      <c r="AJ69" s="1"/>
      <c r="AK69" s="1"/>
      <c r="AL69" s="1"/>
      <c r="AM69" s="678"/>
      <c r="AN69" s="677"/>
      <c r="AO69" s="1"/>
      <c r="AP69" s="1"/>
      <c r="AQ69" s="1"/>
      <c r="AR69" s="678"/>
      <c r="AS69" s="677"/>
      <c r="AT69" s="1"/>
      <c r="AU69" s="1"/>
      <c r="AV69" s="1"/>
      <c r="AW69" s="678"/>
      <c r="AX69" s="677"/>
      <c r="AY69" s="1"/>
      <c r="AZ69" s="1"/>
      <c r="BA69" s="1"/>
      <c r="BB69" s="678"/>
      <c r="BC69" s="677"/>
      <c r="BD69" s="1"/>
      <c r="BE69" s="678"/>
      <c r="BF69" s="1"/>
    </row>
    <row r="70" spans="1:58" ht="16.2" thickBot="1" x14ac:dyDescent="0.35">
      <c r="A70" s="96" t="s">
        <v>107</v>
      </c>
      <c r="B70" s="4"/>
      <c r="C70" s="5"/>
      <c r="D70" s="1" t="s">
        <v>12</v>
      </c>
      <c r="E70" s="97"/>
      <c r="F70" s="98"/>
      <c r="G70" s="1"/>
      <c r="H70" s="322"/>
      <c r="I70" s="823"/>
      <c r="J70" s="823"/>
      <c r="K70" s="1"/>
      <c r="L70" s="1"/>
      <c r="M70" s="1"/>
      <c r="N70" s="1"/>
      <c r="O70" s="319"/>
      <c r="P70" s="1"/>
      <c r="Q70" s="318"/>
      <c r="R70" s="1"/>
      <c r="S70" s="1"/>
      <c r="T70" s="677"/>
      <c r="U70" s="97"/>
      <c r="V70" s="1"/>
      <c r="W70" s="1"/>
      <c r="X70" s="679"/>
      <c r="Y70" s="719"/>
      <c r="Z70" s="1"/>
      <c r="AA70" s="1"/>
      <c r="AB70" s="1"/>
      <c r="AC70" s="678"/>
      <c r="AD70" s="677"/>
      <c r="AE70" s="1"/>
      <c r="AF70" s="97"/>
      <c r="AG70" s="1"/>
      <c r="AH70" s="678"/>
      <c r="AI70" s="677"/>
      <c r="AJ70" s="1"/>
      <c r="AK70" s="1"/>
      <c r="AL70" s="55"/>
      <c r="AM70" s="678"/>
      <c r="AN70" s="677"/>
      <c r="AO70" s="1"/>
      <c r="AP70" s="1"/>
      <c r="AQ70" s="1"/>
      <c r="AR70" s="678"/>
      <c r="AS70" s="677"/>
      <c r="AT70" s="97"/>
      <c r="AU70" s="97"/>
      <c r="AV70" s="1"/>
      <c r="AW70" s="679"/>
      <c r="AX70" s="677"/>
      <c r="AY70" s="1"/>
      <c r="AZ70" s="79"/>
      <c r="BA70" s="1"/>
      <c r="BB70" s="678"/>
      <c r="BC70" s="677"/>
      <c r="BD70" s="1"/>
      <c r="BE70" s="678"/>
      <c r="BF70" s="1"/>
    </row>
    <row r="71" spans="1:58" ht="16.2" thickBot="1" x14ac:dyDescent="0.35">
      <c r="A71" s="99" t="s">
        <v>29</v>
      </c>
      <c r="B71" s="323" t="s">
        <v>30</v>
      </c>
      <c r="C71" s="222" t="s">
        <v>108</v>
      </c>
      <c r="D71" s="324" t="s">
        <v>2</v>
      </c>
      <c r="E71" s="103" t="s">
        <v>32</v>
      </c>
      <c r="F71" s="104" t="s">
        <v>33</v>
      </c>
      <c r="G71" s="104" t="s">
        <v>34</v>
      </c>
      <c r="H71" s="827" t="s">
        <v>35</v>
      </c>
      <c r="I71" s="824" t="s">
        <v>36</v>
      </c>
      <c r="J71" s="908" t="s">
        <v>37</v>
      </c>
      <c r="K71" s="918" t="s">
        <v>38</v>
      </c>
      <c r="L71" s="888" t="s">
        <v>39</v>
      </c>
      <c r="M71" s="888" t="s">
        <v>40</v>
      </c>
      <c r="N71" s="888" t="s">
        <v>41</v>
      </c>
      <c r="O71" s="888" t="s">
        <v>42</v>
      </c>
      <c r="P71" s="888" t="s">
        <v>43</v>
      </c>
      <c r="Q71" s="888" t="s">
        <v>44</v>
      </c>
      <c r="R71" s="888" t="s">
        <v>38</v>
      </c>
      <c r="S71" s="919" t="s">
        <v>45</v>
      </c>
      <c r="T71" s="108" t="s">
        <v>109</v>
      </c>
      <c r="U71" s="108" t="s">
        <v>110</v>
      </c>
      <c r="V71" s="109" t="s">
        <v>111</v>
      </c>
      <c r="W71" s="109" t="s">
        <v>112</v>
      </c>
      <c r="X71" s="700" t="s">
        <v>3</v>
      </c>
      <c r="Y71" s="680" t="s">
        <v>113</v>
      </c>
      <c r="Z71" s="109" t="s">
        <v>114</v>
      </c>
      <c r="AA71" s="108" t="s">
        <v>115</v>
      </c>
      <c r="AB71" s="109" t="s">
        <v>116</v>
      </c>
      <c r="AC71" s="728" t="s">
        <v>51</v>
      </c>
      <c r="AD71" s="680" t="s">
        <v>117</v>
      </c>
      <c r="AE71" s="107" t="s">
        <v>118</v>
      </c>
      <c r="AF71" s="107" t="s">
        <v>119</v>
      </c>
      <c r="AG71" s="107" t="s">
        <v>120</v>
      </c>
      <c r="AH71" s="681" t="s">
        <v>55</v>
      </c>
      <c r="AI71" s="743" t="s">
        <v>121</v>
      </c>
      <c r="AJ71" s="109" t="s">
        <v>122</v>
      </c>
      <c r="AK71" s="108" t="s">
        <v>123</v>
      </c>
      <c r="AL71" s="108" t="s">
        <v>124</v>
      </c>
      <c r="AM71" s="728" t="s">
        <v>59</v>
      </c>
      <c r="AN71" s="680" t="s">
        <v>125</v>
      </c>
      <c r="AO71" s="108" t="s">
        <v>126</v>
      </c>
      <c r="AP71" s="109" t="s">
        <v>127</v>
      </c>
      <c r="AQ71" s="109" t="s">
        <v>128</v>
      </c>
      <c r="AR71" s="728" t="s">
        <v>7</v>
      </c>
      <c r="AS71" s="680" t="s">
        <v>129</v>
      </c>
      <c r="AT71" s="109" t="s">
        <v>130</v>
      </c>
      <c r="AU71" s="109" t="s">
        <v>131</v>
      </c>
      <c r="AV71" s="111" t="s">
        <v>132</v>
      </c>
      <c r="AW71" s="749" t="s">
        <v>8</v>
      </c>
      <c r="AX71" s="680" t="s">
        <v>133</v>
      </c>
      <c r="AY71" s="108" t="s">
        <v>134</v>
      </c>
      <c r="AZ71" s="109" t="s">
        <v>135</v>
      </c>
      <c r="BA71" s="109" t="s">
        <v>136</v>
      </c>
      <c r="BB71" s="700" t="s">
        <v>9</v>
      </c>
      <c r="BC71" s="771" t="s">
        <v>70</v>
      </c>
      <c r="BD71" s="110" t="s">
        <v>71</v>
      </c>
      <c r="BE71" s="728" t="s">
        <v>72</v>
      </c>
      <c r="BF71" s="1"/>
    </row>
    <row r="72" spans="1:58" ht="15" thickBot="1" x14ac:dyDescent="0.35">
      <c r="A72" s="19">
        <v>2606</v>
      </c>
      <c r="B72" s="325" t="s">
        <v>137</v>
      </c>
      <c r="C72" s="326">
        <v>4</v>
      </c>
      <c r="D72" s="19" t="s">
        <v>12</v>
      </c>
      <c r="E72" s="116">
        <v>0.48</v>
      </c>
      <c r="F72" s="116" t="e">
        <f>(BE72/G72)/4</f>
        <v>#DIV/0!</v>
      </c>
      <c r="G72" s="19"/>
      <c r="H72" s="327">
        <f t="shared" ref="H72:H77" si="15">G72*E72</f>
        <v>0</v>
      </c>
      <c r="I72" s="848"/>
      <c r="J72" s="904">
        <v>0</v>
      </c>
      <c r="K72" s="914">
        <v>4000</v>
      </c>
      <c r="L72" s="915">
        <f t="shared" ref="L72:M72" si="16">K72-$H72</f>
        <v>4000</v>
      </c>
      <c r="M72" s="915">
        <f t="shared" si="16"/>
        <v>4000</v>
      </c>
      <c r="N72" s="916">
        <f t="shared" ref="M72:S73" si="17">M72-$H72</f>
        <v>4000</v>
      </c>
      <c r="O72" s="916">
        <f t="shared" si="17"/>
        <v>4000</v>
      </c>
      <c r="P72" s="916">
        <f t="shared" si="17"/>
        <v>4000</v>
      </c>
      <c r="Q72" s="916">
        <f t="shared" si="17"/>
        <v>4000</v>
      </c>
      <c r="R72" s="916">
        <f t="shared" si="17"/>
        <v>4000</v>
      </c>
      <c r="S72" s="917">
        <f t="shared" si="17"/>
        <v>4000</v>
      </c>
      <c r="T72" s="21"/>
      <c r="U72" s="21"/>
      <c r="V72" s="22"/>
      <c r="W72" s="22"/>
      <c r="X72" s="667"/>
      <c r="Y72" s="641"/>
      <c r="Z72" s="121"/>
      <c r="AA72" s="328"/>
      <c r="AB72" s="120"/>
      <c r="AC72" s="715"/>
      <c r="AD72" s="663"/>
      <c r="AE72" s="22"/>
      <c r="AF72" s="22"/>
      <c r="AG72" s="23"/>
      <c r="AH72" s="672"/>
      <c r="AI72" s="739"/>
      <c r="AJ72" s="121"/>
      <c r="AK72" s="328"/>
      <c r="AL72" s="120"/>
      <c r="AM72" s="715"/>
      <c r="AN72" s="641"/>
      <c r="AO72" s="21"/>
      <c r="AP72" s="22"/>
      <c r="AQ72" s="22"/>
      <c r="AR72" s="715"/>
      <c r="AS72" s="641"/>
      <c r="AT72" s="121"/>
      <c r="AU72" s="121"/>
      <c r="AV72" s="126"/>
      <c r="AW72" s="672"/>
      <c r="AX72" s="641"/>
      <c r="AY72" s="120"/>
      <c r="AZ72" s="121"/>
      <c r="BA72" s="121"/>
      <c r="BB72" s="672"/>
      <c r="BC72" s="757"/>
      <c r="BD72" s="131"/>
      <c r="BE72" s="785">
        <f t="shared" ref="BE72:BE77" si="18">(J72+BC72)-BD72</f>
        <v>0</v>
      </c>
      <c r="BF72" s="1"/>
    </row>
    <row r="73" spans="1:58" ht="15" thickBot="1" x14ac:dyDescent="0.35">
      <c r="A73" s="156">
        <v>2605</v>
      </c>
      <c r="B73" s="325" t="s">
        <v>138</v>
      </c>
      <c r="C73" s="329">
        <v>5</v>
      </c>
      <c r="D73" s="137" t="s">
        <v>139</v>
      </c>
      <c r="E73" s="136">
        <v>0.94</v>
      </c>
      <c r="F73" s="136" t="e">
        <f>(BE73/G73)/7</f>
        <v>#DIV/0!</v>
      </c>
      <c r="G73" s="137"/>
      <c r="H73" s="423">
        <f>G73*E73</f>
        <v>0</v>
      </c>
      <c r="I73" s="375"/>
      <c r="J73" s="905"/>
      <c r="K73" s="909">
        <f>J73-$H73</f>
        <v>0</v>
      </c>
      <c r="L73" s="907">
        <f>K73-$H73</f>
        <v>0</v>
      </c>
      <c r="M73" s="907">
        <f t="shared" si="17"/>
        <v>0</v>
      </c>
      <c r="N73" s="907">
        <f t="shared" si="17"/>
        <v>0</v>
      </c>
      <c r="O73" s="907">
        <f t="shared" si="17"/>
        <v>0</v>
      </c>
      <c r="P73" s="907">
        <f t="shared" si="17"/>
        <v>0</v>
      </c>
      <c r="Q73" s="907">
        <f t="shared" si="17"/>
        <v>0</v>
      </c>
      <c r="R73" s="907">
        <f t="shared" si="17"/>
        <v>0</v>
      </c>
      <c r="S73" s="910">
        <f t="shared" si="17"/>
        <v>0</v>
      </c>
      <c r="T73" s="30"/>
      <c r="U73" s="41"/>
      <c r="V73" s="32"/>
      <c r="W73" s="32"/>
      <c r="X73" s="666"/>
      <c r="Y73" s="707"/>
      <c r="Z73" s="142"/>
      <c r="AA73" s="141"/>
      <c r="AB73" s="141"/>
      <c r="AC73" s="716"/>
      <c r="AD73" s="402"/>
      <c r="AE73" s="32"/>
      <c r="AF73" s="32"/>
      <c r="AG73" s="232"/>
      <c r="AH73" s="674"/>
      <c r="AI73" s="740"/>
      <c r="AJ73" s="142"/>
      <c r="AK73" s="141"/>
      <c r="AL73" s="141"/>
      <c r="AM73" s="716"/>
      <c r="AN73" s="707"/>
      <c r="AO73" s="41"/>
      <c r="AP73" s="32"/>
      <c r="AQ73" s="32"/>
      <c r="AR73" s="716"/>
      <c r="AS73" s="707"/>
      <c r="AT73" s="142"/>
      <c r="AU73" s="142"/>
      <c r="AV73" s="148"/>
      <c r="AW73" s="674"/>
      <c r="AX73" s="707"/>
      <c r="AY73" s="141"/>
      <c r="AZ73" s="142"/>
      <c r="BA73" s="142"/>
      <c r="BB73" s="674"/>
      <c r="BC73" s="757"/>
      <c r="BD73" s="131"/>
      <c r="BE73" s="785">
        <f t="shared" si="18"/>
        <v>0</v>
      </c>
      <c r="BF73" s="1"/>
    </row>
    <row r="74" spans="1:58" ht="15" thickBot="1" x14ac:dyDescent="0.35">
      <c r="A74" s="137">
        <v>2604</v>
      </c>
      <c r="B74" s="325" t="s">
        <v>140</v>
      </c>
      <c r="C74" s="224">
        <v>6</v>
      </c>
      <c r="D74" s="137" t="s">
        <v>139</v>
      </c>
      <c r="E74" s="136">
        <v>0.94</v>
      </c>
      <c r="F74" s="136" t="e">
        <f>(BE74/G74)/7</f>
        <v>#DIV/0!</v>
      </c>
      <c r="G74" s="156"/>
      <c r="H74" s="423">
        <f t="shared" si="15"/>
        <v>0</v>
      </c>
      <c r="I74" s="375"/>
      <c r="J74" s="905"/>
      <c r="K74" s="909">
        <f>J74-$H74</f>
        <v>0</v>
      </c>
      <c r="L74" s="907">
        <f t="shared" ref="L74:S74" si="19">K74-$H74</f>
        <v>0</v>
      </c>
      <c r="M74" s="907">
        <f t="shared" si="19"/>
        <v>0</v>
      </c>
      <c r="N74" s="907">
        <f t="shared" si="19"/>
        <v>0</v>
      </c>
      <c r="O74" s="907">
        <f t="shared" si="19"/>
        <v>0</v>
      </c>
      <c r="P74" s="907">
        <f t="shared" si="19"/>
        <v>0</v>
      </c>
      <c r="Q74" s="907">
        <f t="shared" si="19"/>
        <v>0</v>
      </c>
      <c r="R74" s="907">
        <f t="shared" si="19"/>
        <v>0</v>
      </c>
      <c r="S74" s="910">
        <f t="shared" si="19"/>
        <v>0</v>
      </c>
      <c r="T74" s="30"/>
      <c r="U74" s="41"/>
      <c r="V74" s="32"/>
      <c r="W74" s="32"/>
      <c r="X74" s="666"/>
      <c r="Y74" s="707"/>
      <c r="Z74" s="142"/>
      <c r="AA74" s="141"/>
      <c r="AB74" s="141"/>
      <c r="AC74" s="716"/>
      <c r="AD74" s="402"/>
      <c r="AE74" s="32"/>
      <c r="AF74" s="32"/>
      <c r="AG74" s="232"/>
      <c r="AH74" s="674"/>
      <c r="AI74" s="740"/>
      <c r="AJ74" s="142"/>
      <c r="AK74" s="141"/>
      <c r="AL74" s="141"/>
      <c r="AM74" s="716"/>
      <c r="AN74" s="707"/>
      <c r="AO74" s="41"/>
      <c r="AP74" s="32"/>
      <c r="AQ74" s="32"/>
      <c r="AR74" s="716"/>
      <c r="AS74" s="707"/>
      <c r="AT74" s="142"/>
      <c r="AU74" s="142"/>
      <c r="AV74" s="148"/>
      <c r="AW74" s="674"/>
      <c r="AX74" s="707"/>
      <c r="AY74" s="141"/>
      <c r="AZ74" s="142"/>
      <c r="BA74" s="142"/>
      <c r="BB74" s="674"/>
      <c r="BC74" s="757"/>
      <c r="BD74" s="131"/>
      <c r="BE74" s="785">
        <f t="shared" si="18"/>
        <v>0</v>
      </c>
      <c r="BF74" s="1"/>
    </row>
    <row r="75" spans="1:58" ht="15" thickBot="1" x14ac:dyDescent="0.35">
      <c r="A75" s="137">
        <v>2603</v>
      </c>
      <c r="B75" s="325" t="s">
        <v>141</v>
      </c>
      <c r="C75" s="224">
        <v>7</v>
      </c>
      <c r="D75" s="137" t="s">
        <v>22</v>
      </c>
      <c r="E75" s="136">
        <v>1</v>
      </c>
      <c r="F75" s="331" t="e">
        <f>(BE75/G75)/7</f>
        <v>#DIV/0!</v>
      </c>
      <c r="G75" s="137"/>
      <c r="H75" s="139">
        <f>G75*E75</f>
        <v>0</v>
      </c>
      <c r="I75" s="375"/>
      <c r="J75" s="905"/>
      <c r="K75" s="909">
        <f>J75-$H75</f>
        <v>0</v>
      </c>
      <c r="L75" s="907">
        <f>K75-$H75</f>
        <v>0</v>
      </c>
      <c r="M75" s="907">
        <f t="shared" ref="M75:S75" si="20">L75-$H75</f>
        <v>0</v>
      </c>
      <c r="N75" s="907">
        <f t="shared" si="20"/>
        <v>0</v>
      </c>
      <c r="O75" s="907">
        <f t="shared" si="20"/>
        <v>0</v>
      </c>
      <c r="P75" s="907">
        <f t="shared" si="20"/>
        <v>0</v>
      </c>
      <c r="Q75" s="907">
        <f t="shared" si="20"/>
        <v>0</v>
      </c>
      <c r="R75" s="907">
        <f t="shared" si="20"/>
        <v>0</v>
      </c>
      <c r="S75" s="910">
        <f t="shared" si="20"/>
        <v>0</v>
      </c>
      <c r="T75" s="41"/>
      <c r="U75" s="41"/>
      <c r="V75" s="32"/>
      <c r="W75" s="32"/>
      <c r="X75" s="666"/>
      <c r="Y75" s="707"/>
      <c r="Z75" s="142"/>
      <c r="AA75" s="141"/>
      <c r="AB75" s="141"/>
      <c r="AC75" s="716"/>
      <c r="AD75" s="402"/>
      <c r="AE75" s="32"/>
      <c r="AF75" s="32"/>
      <c r="AG75" s="232"/>
      <c r="AH75" s="674"/>
      <c r="AI75" s="740"/>
      <c r="AJ75" s="142"/>
      <c r="AK75" s="141"/>
      <c r="AL75" s="141"/>
      <c r="AM75" s="716"/>
      <c r="AN75" s="707"/>
      <c r="AO75" s="41"/>
      <c r="AP75" s="32"/>
      <c r="AQ75" s="32"/>
      <c r="AR75" s="716"/>
      <c r="AS75" s="707"/>
      <c r="AT75" s="142"/>
      <c r="AU75" s="142"/>
      <c r="AV75" s="148"/>
      <c r="AW75" s="674"/>
      <c r="AX75" s="707"/>
      <c r="AY75" s="141"/>
      <c r="AZ75" s="142"/>
      <c r="BA75" s="142"/>
      <c r="BB75" s="674"/>
      <c r="BC75" s="757"/>
      <c r="BD75" s="131"/>
      <c r="BE75" s="785">
        <f t="shared" si="18"/>
        <v>0</v>
      </c>
      <c r="BF75" s="1"/>
    </row>
    <row r="76" spans="1:58" ht="15" thickBot="1" x14ac:dyDescent="0.35">
      <c r="A76" s="137">
        <v>2602</v>
      </c>
      <c r="B76" s="325" t="s">
        <v>142</v>
      </c>
      <c r="C76" s="224">
        <v>8</v>
      </c>
      <c r="D76" s="137" t="s">
        <v>22</v>
      </c>
      <c r="E76" s="136">
        <v>1.1000000000000001</v>
      </c>
      <c r="F76" s="136" t="e">
        <f>(BE76/G76)/7</f>
        <v>#DIV/0!</v>
      </c>
      <c r="G76" s="137"/>
      <c r="H76" s="139">
        <f t="shared" si="15"/>
        <v>0</v>
      </c>
      <c r="I76" s="375"/>
      <c r="J76" s="905"/>
      <c r="K76" s="909">
        <f t="shared" ref="K76:S77" si="21">J76-$H76</f>
        <v>0</v>
      </c>
      <c r="L76" s="907">
        <f t="shared" si="21"/>
        <v>0</v>
      </c>
      <c r="M76" s="907">
        <f t="shared" si="21"/>
        <v>0</v>
      </c>
      <c r="N76" s="907">
        <f t="shared" si="21"/>
        <v>0</v>
      </c>
      <c r="O76" s="907">
        <f t="shared" si="21"/>
        <v>0</v>
      </c>
      <c r="P76" s="907">
        <f t="shared" si="21"/>
        <v>0</v>
      </c>
      <c r="Q76" s="907">
        <f t="shared" si="21"/>
        <v>0</v>
      </c>
      <c r="R76" s="907">
        <f t="shared" si="21"/>
        <v>0</v>
      </c>
      <c r="S76" s="910">
        <f t="shared" si="21"/>
        <v>0</v>
      </c>
      <c r="T76" s="41"/>
      <c r="U76" s="41"/>
      <c r="V76" s="32"/>
      <c r="W76" s="32"/>
      <c r="X76" s="666"/>
      <c r="Y76" s="707"/>
      <c r="Z76" s="142"/>
      <c r="AA76" s="141"/>
      <c r="AB76" s="141"/>
      <c r="AC76" s="716"/>
      <c r="AD76" s="402"/>
      <c r="AE76" s="32"/>
      <c r="AF76" s="32"/>
      <c r="AG76" s="232"/>
      <c r="AH76" s="674"/>
      <c r="AI76" s="740"/>
      <c r="AJ76" s="142"/>
      <c r="AK76" s="141"/>
      <c r="AL76" s="141"/>
      <c r="AM76" s="716"/>
      <c r="AN76" s="707"/>
      <c r="AO76" s="41"/>
      <c r="AP76" s="32"/>
      <c r="AQ76" s="32"/>
      <c r="AR76" s="716"/>
      <c r="AS76" s="707"/>
      <c r="AT76" s="142"/>
      <c r="AU76" s="142"/>
      <c r="AV76" s="148"/>
      <c r="AW76" s="674"/>
      <c r="AX76" s="707"/>
      <c r="AY76" s="141"/>
      <c r="AZ76" s="142"/>
      <c r="BA76" s="142"/>
      <c r="BB76" s="674"/>
      <c r="BC76" s="757"/>
      <c r="BD76" s="131"/>
      <c r="BE76" s="785">
        <f t="shared" si="18"/>
        <v>0</v>
      </c>
      <c r="BF76" s="1"/>
    </row>
    <row r="77" spans="1:58" ht="15" thickBot="1" x14ac:dyDescent="0.35">
      <c r="A77" s="210">
        <v>2601</v>
      </c>
      <c r="B77" s="325" t="s">
        <v>22</v>
      </c>
      <c r="C77" s="332">
        <v>9</v>
      </c>
      <c r="D77" s="210" t="s">
        <v>22</v>
      </c>
      <c r="E77" s="204">
        <v>1.2</v>
      </c>
      <c r="F77" s="204" t="e">
        <f>(BE77/G77)/7</f>
        <v>#DIV/0!</v>
      </c>
      <c r="G77" s="210"/>
      <c r="H77" s="839">
        <f t="shared" si="15"/>
        <v>0</v>
      </c>
      <c r="I77" s="856"/>
      <c r="J77" s="906"/>
      <c r="K77" s="911">
        <f t="shared" si="21"/>
        <v>0</v>
      </c>
      <c r="L77" s="912">
        <f t="shared" si="21"/>
        <v>0</v>
      </c>
      <c r="M77" s="912">
        <f t="shared" si="21"/>
        <v>0</v>
      </c>
      <c r="N77" s="912">
        <f t="shared" si="21"/>
        <v>0</v>
      </c>
      <c r="O77" s="912">
        <f t="shared" si="21"/>
        <v>0</v>
      </c>
      <c r="P77" s="912">
        <f t="shared" si="21"/>
        <v>0</v>
      </c>
      <c r="Q77" s="912">
        <f t="shared" si="21"/>
        <v>0</v>
      </c>
      <c r="R77" s="912">
        <f t="shared" si="21"/>
        <v>0</v>
      </c>
      <c r="S77" s="913">
        <f t="shared" si="21"/>
        <v>0</v>
      </c>
      <c r="T77" s="333"/>
      <c r="U77" s="333"/>
      <c r="V77" s="334"/>
      <c r="W77" s="334"/>
      <c r="X77" s="702"/>
      <c r="Y77" s="729"/>
      <c r="Z77" s="307"/>
      <c r="AA77" s="335"/>
      <c r="AB77" s="335"/>
      <c r="AC77" s="730"/>
      <c r="AD77" s="701"/>
      <c r="AE77" s="334"/>
      <c r="AF77" s="334"/>
      <c r="AG77" s="336"/>
      <c r="AH77" s="737"/>
      <c r="AI77" s="744"/>
      <c r="AJ77" s="307"/>
      <c r="AK77" s="335"/>
      <c r="AL77" s="335"/>
      <c r="AM77" s="730"/>
      <c r="AN77" s="729"/>
      <c r="AO77" s="333"/>
      <c r="AP77" s="334"/>
      <c r="AQ77" s="334"/>
      <c r="AR77" s="730"/>
      <c r="AS77" s="729"/>
      <c r="AT77" s="307"/>
      <c r="AU77" s="307"/>
      <c r="AV77" s="306"/>
      <c r="AW77" s="734"/>
      <c r="AX77" s="729"/>
      <c r="AY77" s="335"/>
      <c r="AZ77" s="307"/>
      <c r="BA77" s="307"/>
      <c r="BB77" s="737"/>
      <c r="BC77" s="786"/>
      <c r="BD77" s="221"/>
      <c r="BE77" s="770">
        <f t="shared" si="18"/>
        <v>0</v>
      </c>
      <c r="BF77" s="1"/>
    </row>
    <row r="78" spans="1:58" ht="15" thickBot="1" x14ac:dyDescent="0.35">
      <c r="A78" s="308"/>
      <c r="B78" s="308"/>
      <c r="C78" s="337"/>
      <c r="D78" s="338"/>
      <c r="E78" s="339"/>
      <c r="F78" s="339"/>
      <c r="G78" s="338"/>
      <c r="H78" s="338"/>
      <c r="I78" s="825"/>
      <c r="J78" s="825"/>
      <c r="K78" s="920"/>
      <c r="L78" s="920"/>
      <c r="M78" s="920"/>
      <c r="N78" s="920"/>
      <c r="O78" s="920"/>
      <c r="P78" s="920"/>
      <c r="Q78" s="920"/>
      <c r="R78" s="338"/>
      <c r="S78" s="338"/>
      <c r="T78" s="703"/>
      <c r="U78" s="338"/>
      <c r="V78" s="338"/>
      <c r="W78" s="338"/>
      <c r="X78" s="704"/>
      <c r="Y78" s="698"/>
      <c r="Z78" s="308"/>
      <c r="AA78" s="308"/>
      <c r="AB78" s="308"/>
      <c r="AC78" s="699"/>
      <c r="AD78" s="703"/>
      <c r="AE78" s="338"/>
      <c r="AF78" s="338"/>
      <c r="AG78" s="338"/>
      <c r="AH78" s="699"/>
      <c r="AI78" s="698"/>
      <c r="AJ78" s="312"/>
      <c r="AK78" s="308"/>
      <c r="AL78" s="308"/>
      <c r="AM78" s="699"/>
      <c r="AN78" s="698"/>
      <c r="AO78" s="338"/>
      <c r="AP78" s="338"/>
      <c r="AQ78" s="338"/>
      <c r="AR78" s="699"/>
      <c r="AS78" s="698"/>
      <c r="AT78" s="308"/>
      <c r="AU78" s="308"/>
      <c r="AV78" s="308"/>
      <c r="AW78" s="750"/>
      <c r="AX78" s="698"/>
      <c r="AY78" s="308"/>
      <c r="AZ78" s="308"/>
      <c r="BA78" s="308"/>
      <c r="BB78" s="699"/>
      <c r="BC78" s="698"/>
      <c r="BD78" s="308"/>
      <c r="BE78" s="699"/>
      <c r="BF78" s="1"/>
    </row>
    <row r="79" spans="1:58" ht="16.8" thickTop="1" thickBot="1" x14ac:dyDescent="0.35">
      <c r="A79" s="340" t="s">
        <v>143</v>
      </c>
      <c r="B79" s="341"/>
      <c r="C79" s="342"/>
      <c r="D79" s="308"/>
      <c r="E79" s="308"/>
      <c r="F79" s="308"/>
      <c r="G79" s="343"/>
      <c r="H79" s="308"/>
      <c r="I79" s="820"/>
      <c r="J79" s="820"/>
      <c r="K79" s="308"/>
      <c r="L79" s="308"/>
      <c r="M79" s="308"/>
      <c r="N79" s="308"/>
      <c r="O79" s="308"/>
      <c r="P79" s="308"/>
      <c r="Q79" s="308"/>
      <c r="R79" s="308"/>
      <c r="S79" s="308"/>
      <c r="T79" s="698"/>
      <c r="U79" s="308"/>
      <c r="V79" s="308"/>
      <c r="W79" s="308"/>
      <c r="X79" s="699"/>
      <c r="Y79" s="698"/>
      <c r="Z79" s="308"/>
      <c r="AA79" s="308"/>
      <c r="AB79" s="308"/>
      <c r="AC79" s="699"/>
      <c r="AD79" s="698"/>
      <c r="AE79" s="308"/>
      <c r="AF79" s="308"/>
      <c r="AG79" s="344"/>
      <c r="AH79" s="699"/>
      <c r="AI79" s="698"/>
      <c r="AJ79" s="344"/>
      <c r="AK79" s="308"/>
      <c r="AL79" s="308"/>
      <c r="AM79" s="699"/>
      <c r="AN79" s="698"/>
      <c r="AO79" s="308"/>
      <c r="AP79" s="308"/>
      <c r="AQ79" s="308"/>
      <c r="AR79" s="699"/>
      <c r="AS79" s="698"/>
      <c r="AT79" s="308"/>
      <c r="AU79" s="308"/>
      <c r="AV79" s="308"/>
      <c r="AW79" s="699"/>
      <c r="AX79" s="698"/>
      <c r="AY79" s="345"/>
      <c r="AZ79" s="346"/>
      <c r="BA79" s="345"/>
      <c r="BB79" s="755"/>
      <c r="BC79" s="698"/>
      <c r="BD79" s="308"/>
      <c r="BE79" s="699"/>
      <c r="BF79" s="1"/>
    </row>
    <row r="80" spans="1:58" ht="16.8" thickTop="1" thickBot="1" x14ac:dyDescent="0.35">
      <c r="A80" s="347" t="s">
        <v>29</v>
      </c>
      <c r="B80" s="348" t="s">
        <v>30</v>
      </c>
      <c r="C80" s="349" t="s">
        <v>144</v>
      </c>
      <c r="D80" s="349" t="s">
        <v>2</v>
      </c>
      <c r="E80" s="350" t="s">
        <v>32</v>
      </c>
      <c r="F80" s="350" t="s">
        <v>33</v>
      </c>
      <c r="G80" s="349" t="s">
        <v>34</v>
      </c>
      <c r="H80" s="796" t="s">
        <v>35</v>
      </c>
      <c r="I80" s="349" t="s">
        <v>36</v>
      </c>
      <c r="J80" s="349" t="s">
        <v>37</v>
      </c>
      <c r="K80" s="223" t="s">
        <v>38</v>
      </c>
      <c r="L80" s="351" t="s">
        <v>39</v>
      </c>
      <c r="M80" s="351" t="s">
        <v>40</v>
      </c>
      <c r="N80" s="351" t="s">
        <v>41</v>
      </c>
      <c r="O80" s="351" t="s">
        <v>42</v>
      </c>
      <c r="P80" s="351" t="s">
        <v>43</v>
      </c>
      <c r="Q80" s="352" t="s">
        <v>44</v>
      </c>
      <c r="R80" s="351" t="s">
        <v>38</v>
      </c>
      <c r="S80" s="352" t="s">
        <v>45</v>
      </c>
      <c r="T80" s="356" t="s">
        <v>145</v>
      </c>
      <c r="U80" s="354" t="s">
        <v>146</v>
      </c>
      <c r="V80" s="354" t="s">
        <v>147</v>
      </c>
      <c r="W80" s="354" t="s">
        <v>148</v>
      </c>
      <c r="X80" s="355" t="s">
        <v>149</v>
      </c>
      <c r="Y80" s="356" t="s">
        <v>150</v>
      </c>
      <c r="Z80" s="354" t="s">
        <v>151</v>
      </c>
      <c r="AA80" s="354" t="s">
        <v>152</v>
      </c>
      <c r="AB80" s="354" t="s">
        <v>153</v>
      </c>
      <c r="AC80" s="355" t="s">
        <v>154</v>
      </c>
      <c r="AD80" s="356" t="s">
        <v>155</v>
      </c>
      <c r="AE80" s="357" t="s">
        <v>156</v>
      </c>
      <c r="AF80" s="358" t="s">
        <v>157</v>
      </c>
      <c r="AG80" s="354" t="s">
        <v>158</v>
      </c>
      <c r="AH80" s="359" t="s">
        <v>159</v>
      </c>
      <c r="AI80" s="356" t="s">
        <v>124</v>
      </c>
      <c r="AJ80" s="353" t="s">
        <v>160</v>
      </c>
      <c r="AK80" s="354" t="s">
        <v>161</v>
      </c>
      <c r="AL80" s="354" t="s">
        <v>162</v>
      </c>
      <c r="AM80" s="355" t="s">
        <v>163</v>
      </c>
      <c r="AN80" s="356" t="s">
        <v>164</v>
      </c>
      <c r="AO80" s="353" t="s">
        <v>165</v>
      </c>
      <c r="AP80" s="354" t="s">
        <v>166</v>
      </c>
      <c r="AQ80" s="358" t="s">
        <v>167</v>
      </c>
      <c r="AR80" s="355" t="s">
        <v>168</v>
      </c>
      <c r="AS80" s="356" t="s">
        <v>132</v>
      </c>
      <c r="AT80" s="354" t="s">
        <v>169</v>
      </c>
      <c r="AU80" s="354" t="s">
        <v>170</v>
      </c>
      <c r="AV80" s="354" t="s">
        <v>171</v>
      </c>
      <c r="AW80" s="355" t="s">
        <v>172</v>
      </c>
      <c r="AX80" s="356" t="s">
        <v>136</v>
      </c>
      <c r="AY80" s="353" t="s">
        <v>173</v>
      </c>
      <c r="AZ80" s="353" t="s">
        <v>174</v>
      </c>
      <c r="BA80" s="353" t="s">
        <v>175</v>
      </c>
      <c r="BB80" s="359" t="s">
        <v>176</v>
      </c>
      <c r="BC80" s="356" t="s">
        <v>70</v>
      </c>
      <c r="BD80" s="354" t="s">
        <v>71</v>
      </c>
      <c r="BE80" s="355" t="s">
        <v>72</v>
      </c>
      <c r="BF80" s="1"/>
    </row>
    <row r="81" spans="1:58" ht="16.2" thickTop="1" x14ac:dyDescent="0.3">
      <c r="A81" s="159">
        <v>2552</v>
      </c>
      <c r="B81" s="360"/>
      <c r="C81" s="361" t="s">
        <v>177</v>
      </c>
      <c r="D81" s="362" t="s">
        <v>22</v>
      </c>
      <c r="E81" s="363">
        <v>1.6</v>
      </c>
      <c r="F81" s="364" t="e">
        <f>(BE81/G81)/7</f>
        <v>#DIV/0!</v>
      </c>
      <c r="G81" s="362"/>
      <c r="H81" s="840">
        <f t="shared" ref="H81:H123" si="22">G81*E81</f>
        <v>0</v>
      </c>
      <c r="I81" s="362"/>
      <c r="J81" s="362"/>
      <c r="K81" s="800">
        <f t="shared" ref="K81:S81" si="23">J81-$H81</f>
        <v>0</v>
      </c>
      <c r="L81" s="365">
        <f t="shared" si="23"/>
        <v>0</v>
      </c>
      <c r="M81" s="472">
        <f t="shared" si="23"/>
        <v>0</v>
      </c>
      <c r="N81" s="472">
        <f t="shared" si="23"/>
        <v>0</v>
      </c>
      <c r="O81" s="472">
        <f t="shared" si="23"/>
        <v>0</v>
      </c>
      <c r="P81" s="472">
        <f t="shared" si="23"/>
        <v>0</v>
      </c>
      <c r="Q81" s="472">
        <f t="shared" si="23"/>
        <v>0</v>
      </c>
      <c r="R81" s="472">
        <f t="shared" si="23"/>
        <v>0</v>
      </c>
      <c r="S81" s="648">
        <f t="shared" si="23"/>
        <v>0</v>
      </c>
      <c r="T81" s="705"/>
      <c r="U81" s="121"/>
      <c r="V81" s="121"/>
      <c r="W81" s="22"/>
      <c r="X81" s="360"/>
      <c r="Y81" s="369"/>
      <c r="Z81" s="367"/>
      <c r="AA81" s="367"/>
      <c r="AB81" s="367"/>
      <c r="AC81" s="368"/>
      <c r="AD81" s="369"/>
      <c r="AE81" s="370"/>
      <c r="AF81" s="370"/>
      <c r="AG81" s="366"/>
      <c r="AH81" s="371"/>
      <c r="AI81" s="369"/>
      <c r="AJ81" s="366"/>
      <c r="AK81" s="367"/>
      <c r="AL81" s="367"/>
      <c r="AM81" s="368"/>
      <c r="AN81" s="369"/>
      <c r="AO81" s="370"/>
      <c r="AP81" s="370"/>
      <c r="AQ81" s="366"/>
      <c r="AR81" s="368"/>
      <c r="AS81" s="369"/>
      <c r="AT81" s="367"/>
      <c r="AU81" s="367"/>
      <c r="AV81" s="367"/>
      <c r="AW81" s="371"/>
      <c r="AX81" s="369"/>
      <c r="AY81" s="367"/>
      <c r="AZ81" s="367"/>
      <c r="BA81" s="372"/>
      <c r="BB81" s="368"/>
      <c r="BC81" s="373"/>
      <c r="BD81" s="374"/>
      <c r="BE81" s="787">
        <f>(J81+BC81)-BD81</f>
        <v>0</v>
      </c>
    </row>
    <row r="82" spans="1:58" ht="15.6" x14ac:dyDescent="0.3">
      <c r="A82" s="129"/>
      <c r="B82" s="360"/>
      <c r="C82" s="361" t="s">
        <v>178</v>
      </c>
      <c r="D82" s="362" t="s">
        <v>22</v>
      </c>
      <c r="E82" s="363">
        <v>1.6</v>
      </c>
      <c r="F82" s="364"/>
      <c r="G82" s="362"/>
      <c r="H82" s="840">
        <f t="shared" si="22"/>
        <v>0</v>
      </c>
      <c r="I82" s="375"/>
      <c r="J82" s="362"/>
      <c r="K82" s="801">
        <f>(J82-$H82)</f>
        <v>0</v>
      </c>
      <c r="L82" s="451">
        <f t="shared" ref="L82:S83" si="24">(K82-$H82)+AO82</f>
        <v>0</v>
      </c>
      <c r="M82" s="450">
        <f t="shared" si="24"/>
        <v>0</v>
      </c>
      <c r="N82" s="451">
        <f t="shared" si="24"/>
        <v>0</v>
      </c>
      <c r="O82" s="450">
        <f t="shared" si="24"/>
        <v>0</v>
      </c>
      <c r="P82" s="451">
        <f t="shared" si="24"/>
        <v>0</v>
      </c>
      <c r="Q82" s="450">
        <f t="shared" si="24"/>
        <v>0</v>
      </c>
      <c r="R82" s="451">
        <f t="shared" si="24"/>
        <v>0</v>
      </c>
      <c r="S82" s="649">
        <f t="shared" si="24"/>
        <v>0</v>
      </c>
      <c r="T82" s="705"/>
      <c r="U82" s="120"/>
      <c r="V82" s="120"/>
      <c r="W82" s="21"/>
      <c r="X82" s="360"/>
      <c r="Y82" s="376"/>
      <c r="Z82" s="21"/>
      <c r="AA82" s="21"/>
      <c r="AB82" s="21"/>
      <c r="AC82" s="360"/>
      <c r="AD82" s="376"/>
      <c r="AE82" s="21"/>
      <c r="AF82" s="21"/>
      <c r="AG82" s="21"/>
      <c r="AH82" s="377"/>
      <c r="AI82" s="376"/>
      <c r="AJ82" s="21"/>
      <c r="AK82" s="22"/>
      <c r="AL82" s="22"/>
      <c r="AM82" s="360"/>
      <c r="AN82" s="376"/>
      <c r="AO82" s="21"/>
      <c r="AP82" s="21"/>
      <c r="AQ82" s="21"/>
      <c r="AR82" s="360"/>
      <c r="AS82" s="376"/>
      <c r="AT82" s="22"/>
      <c r="AU82" s="22"/>
      <c r="AV82" s="22"/>
      <c r="AW82" s="377"/>
      <c r="AX82" s="376"/>
      <c r="AY82" s="22"/>
      <c r="AZ82" s="22"/>
      <c r="BA82" s="23"/>
      <c r="BB82" s="360"/>
      <c r="BC82" s="378"/>
      <c r="BD82" s="379"/>
      <c r="BE82" s="788">
        <f t="shared" ref="BE82:BE123" si="25">(J82+BC82)-BD82</f>
        <v>0</v>
      </c>
      <c r="BF82" s="1"/>
    </row>
    <row r="83" spans="1:58" ht="16.2" thickBot="1" x14ac:dyDescent="0.35">
      <c r="A83" s="380"/>
      <c r="B83" s="381"/>
      <c r="C83" s="382" t="s">
        <v>179</v>
      </c>
      <c r="D83" s="362" t="s">
        <v>22</v>
      </c>
      <c r="E83" s="383">
        <v>1.6</v>
      </c>
      <c r="F83" s="384"/>
      <c r="G83" s="385"/>
      <c r="H83" s="840">
        <f t="shared" si="22"/>
        <v>0</v>
      </c>
      <c r="I83" s="386"/>
      <c r="J83" s="362"/>
      <c r="K83" s="802">
        <f>(J83-$H83)</f>
        <v>0</v>
      </c>
      <c r="L83" s="455">
        <f t="shared" si="24"/>
        <v>0</v>
      </c>
      <c r="M83" s="456">
        <f t="shared" si="24"/>
        <v>0</v>
      </c>
      <c r="N83" s="455">
        <f t="shared" si="24"/>
        <v>0</v>
      </c>
      <c r="O83" s="456">
        <f t="shared" si="24"/>
        <v>0</v>
      </c>
      <c r="P83" s="455">
        <f t="shared" si="24"/>
        <v>0</v>
      </c>
      <c r="Q83" s="456">
        <f t="shared" si="24"/>
        <v>0</v>
      </c>
      <c r="R83" s="455">
        <f t="shared" si="24"/>
        <v>0</v>
      </c>
      <c r="S83" s="650">
        <f t="shared" si="24"/>
        <v>0</v>
      </c>
      <c r="T83" s="706"/>
      <c r="U83" s="240"/>
      <c r="V83" s="240"/>
      <c r="W83" s="244"/>
      <c r="X83" s="381"/>
      <c r="Y83" s="387"/>
      <c r="Z83" s="244"/>
      <c r="AA83" s="244"/>
      <c r="AB83" s="244"/>
      <c r="AC83" s="381"/>
      <c r="AD83" s="387"/>
      <c r="AE83" s="244"/>
      <c r="AF83" s="244"/>
      <c r="AG83" s="244"/>
      <c r="AH83" s="388"/>
      <c r="AI83" s="387"/>
      <c r="AJ83" s="244"/>
      <c r="AK83" s="191"/>
      <c r="AL83" s="191"/>
      <c r="AM83" s="381"/>
      <c r="AN83" s="387"/>
      <c r="AO83" s="244"/>
      <c r="AP83" s="244"/>
      <c r="AQ83" s="244"/>
      <c r="AR83" s="381"/>
      <c r="AS83" s="387"/>
      <c r="AT83" s="191"/>
      <c r="AU83" s="191"/>
      <c r="AV83" s="191"/>
      <c r="AW83" s="388"/>
      <c r="AX83" s="387"/>
      <c r="AY83" s="191"/>
      <c r="AZ83" s="191"/>
      <c r="BA83" s="247"/>
      <c r="BB83" s="381"/>
      <c r="BC83" s="389"/>
      <c r="BD83" s="241"/>
      <c r="BE83" s="789">
        <f t="shared" si="25"/>
        <v>0</v>
      </c>
      <c r="BF83" s="1"/>
    </row>
    <row r="84" spans="1:58" ht="18.75" customHeight="1" x14ac:dyDescent="0.3">
      <c r="A84" s="19">
        <v>2551</v>
      </c>
      <c r="B84" s="390"/>
      <c r="C84" s="391" t="s">
        <v>180</v>
      </c>
      <c r="D84" s="392" t="s">
        <v>22</v>
      </c>
      <c r="E84" s="393">
        <v>1.7</v>
      </c>
      <c r="F84" s="364" t="e">
        <f>(BE84/G84)/7</f>
        <v>#DIV/0!</v>
      </c>
      <c r="G84" s="392"/>
      <c r="H84" s="841">
        <f t="shared" si="22"/>
        <v>0</v>
      </c>
      <c r="I84" s="392"/>
      <c r="J84" s="362"/>
      <c r="K84" s="801">
        <f>J84-$H84</f>
        <v>0</v>
      </c>
      <c r="L84" s="450">
        <f t="shared" ref="L84:S84" si="26">K84-$H84</f>
        <v>0</v>
      </c>
      <c r="M84" s="450">
        <f t="shared" si="26"/>
        <v>0</v>
      </c>
      <c r="N84" s="450">
        <f t="shared" si="26"/>
        <v>0</v>
      </c>
      <c r="O84" s="450">
        <f t="shared" si="26"/>
        <v>0</v>
      </c>
      <c r="P84" s="450">
        <f t="shared" si="26"/>
        <v>0</v>
      </c>
      <c r="Q84" s="450">
        <f t="shared" si="26"/>
        <v>0</v>
      </c>
      <c r="R84" s="450">
        <f t="shared" si="26"/>
        <v>0</v>
      </c>
      <c r="S84" s="649">
        <f t="shared" si="26"/>
        <v>0</v>
      </c>
      <c r="T84" s="395"/>
      <c r="U84" s="256"/>
      <c r="V84" s="256"/>
      <c r="W84" s="256"/>
      <c r="X84" s="394"/>
      <c r="Y84" s="395"/>
      <c r="Z84" s="256"/>
      <c r="AA84" s="256"/>
      <c r="AB84" s="256"/>
      <c r="AC84" s="394"/>
      <c r="AD84" s="395"/>
      <c r="AE84" s="256"/>
      <c r="AF84" s="256"/>
      <c r="AG84" s="256"/>
      <c r="AH84" s="390"/>
      <c r="AI84" s="395"/>
      <c r="AJ84" s="256"/>
      <c r="AK84" s="257"/>
      <c r="AL84" s="257"/>
      <c r="AM84" s="394"/>
      <c r="AN84" s="395"/>
      <c r="AO84" s="256"/>
      <c r="AP84" s="256"/>
      <c r="AQ84" s="256"/>
      <c r="AR84" s="394"/>
      <c r="AS84" s="395"/>
      <c r="AT84" s="257"/>
      <c r="AU84" s="257"/>
      <c r="AV84" s="257"/>
      <c r="AW84" s="390"/>
      <c r="AX84" s="395"/>
      <c r="AY84" s="257"/>
      <c r="AZ84" s="257"/>
      <c r="BA84" s="265"/>
      <c r="BB84" s="394"/>
      <c r="BC84" s="396"/>
      <c r="BD84" s="397"/>
      <c r="BE84" s="790">
        <f t="shared" si="25"/>
        <v>0</v>
      </c>
      <c r="BF84" s="1"/>
    </row>
    <row r="85" spans="1:58" ht="18.75" customHeight="1" x14ac:dyDescent="0.3">
      <c r="A85" s="165"/>
      <c r="B85" s="377"/>
      <c r="C85" s="398" t="s">
        <v>181</v>
      </c>
      <c r="D85" s="375" t="s">
        <v>22</v>
      </c>
      <c r="E85" s="399">
        <v>1.7</v>
      </c>
      <c r="F85" s="400"/>
      <c r="G85" s="362"/>
      <c r="H85" s="842">
        <f t="shared" si="22"/>
        <v>0</v>
      </c>
      <c r="I85" s="375"/>
      <c r="J85" s="362"/>
      <c r="K85" s="801">
        <f t="shared" ref="K85:S86" si="27">(J85-$H85)+AN85</f>
        <v>0</v>
      </c>
      <c r="L85" s="451">
        <f t="shared" si="27"/>
        <v>0</v>
      </c>
      <c r="M85" s="450">
        <f t="shared" si="27"/>
        <v>0</v>
      </c>
      <c r="N85" s="451">
        <f t="shared" si="27"/>
        <v>0</v>
      </c>
      <c r="O85" s="450">
        <f t="shared" si="27"/>
        <v>0</v>
      </c>
      <c r="P85" s="451">
        <f t="shared" si="27"/>
        <v>0</v>
      </c>
      <c r="Q85" s="450">
        <f t="shared" si="27"/>
        <v>0</v>
      </c>
      <c r="R85" s="451">
        <f t="shared" si="27"/>
        <v>0</v>
      </c>
      <c r="S85" s="649">
        <f t="shared" si="27"/>
        <v>0</v>
      </c>
      <c r="T85" s="402"/>
      <c r="U85" s="41"/>
      <c r="V85" s="41"/>
      <c r="W85" s="41"/>
      <c r="X85" s="401"/>
      <c r="Y85" s="402"/>
      <c r="Z85" s="41"/>
      <c r="AA85" s="41"/>
      <c r="AB85" s="41"/>
      <c r="AC85" s="401"/>
      <c r="AD85" s="402"/>
      <c r="AE85" s="41"/>
      <c r="AF85" s="41"/>
      <c r="AG85" s="41"/>
      <c r="AH85" s="403"/>
      <c r="AI85" s="402"/>
      <c r="AJ85" s="41"/>
      <c r="AK85" s="32"/>
      <c r="AL85" s="32"/>
      <c r="AM85" s="401"/>
      <c r="AN85" s="402"/>
      <c r="AO85" s="41"/>
      <c r="AP85" s="41"/>
      <c r="AQ85" s="41"/>
      <c r="AR85" s="401"/>
      <c r="AS85" s="402"/>
      <c r="AT85" s="32"/>
      <c r="AU85" s="32"/>
      <c r="AV85" s="32"/>
      <c r="AW85" s="403"/>
      <c r="AX85" s="402"/>
      <c r="AY85" s="32"/>
      <c r="AZ85" s="32"/>
      <c r="BA85" s="232"/>
      <c r="BB85" s="401"/>
      <c r="BC85" s="378"/>
      <c r="BD85" s="379"/>
      <c r="BE85" s="788">
        <f t="shared" si="25"/>
        <v>0</v>
      </c>
      <c r="BF85" s="1"/>
    </row>
    <row r="86" spans="1:58" ht="16.2" thickBot="1" x14ac:dyDescent="0.35">
      <c r="A86" s="221"/>
      <c r="B86" s="404"/>
      <c r="C86" s="405" t="s">
        <v>182</v>
      </c>
      <c r="D86" s="406" t="s">
        <v>22</v>
      </c>
      <c r="E86" s="407">
        <v>1.7</v>
      </c>
      <c r="F86" s="408"/>
      <c r="G86" s="409"/>
      <c r="H86" s="843">
        <f t="shared" si="22"/>
        <v>0</v>
      </c>
      <c r="I86" s="406"/>
      <c r="J86" s="362"/>
      <c r="K86" s="803">
        <f t="shared" si="27"/>
        <v>0</v>
      </c>
      <c r="L86" s="451">
        <f t="shared" si="27"/>
        <v>0</v>
      </c>
      <c r="M86" s="456">
        <f t="shared" si="27"/>
        <v>0</v>
      </c>
      <c r="N86" s="455">
        <f t="shared" si="27"/>
        <v>0</v>
      </c>
      <c r="O86" s="456">
        <f t="shared" si="27"/>
        <v>0</v>
      </c>
      <c r="P86" s="455">
        <f t="shared" si="27"/>
        <v>0</v>
      </c>
      <c r="Q86" s="456">
        <f t="shared" si="27"/>
        <v>0</v>
      </c>
      <c r="R86" s="455">
        <f t="shared" si="27"/>
        <v>0</v>
      </c>
      <c r="S86" s="650">
        <f t="shared" si="27"/>
        <v>0</v>
      </c>
      <c r="T86" s="412"/>
      <c r="U86" s="166"/>
      <c r="V86" s="166"/>
      <c r="W86" s="166"/>
      <c r="X86" s="411"/>
      <c r="Y86" s="412"/>
      <c r="Z86" s="166"/>
      <c r="AA86" s="166"/>
      <c r="AB86" s="166"/>
      <c r="AC86" s="411"/>
      <c r="AD86" s="412"/>
      <c r="AE86" s="166"/>
      <c r="AF86" s="166"/>
      <c r="AG86" s="166"/>
      <c r="AH86" s="413"/>
      <c r="AI86" s="412"/>
      <c r="AJ86" s="166"/>
      <c r="AK86" s="167"/>
      <c r="AL86" s="167"/>
      <c r="AM86" s="411"/>
      <c r="AN86" s="412"/>
      <c r="AO86" s="166"/>
      <c r="AP86" s="166"/>
      <c r="AQ86" s="166"/>
      <c r="AR86" s="411"/>
      <c r="AS86" s="412"/>
      <c r="AT86" s="167"/>
      <c r="AU86" s="167"/>
      <c r="AV86" s="167"/>
      <c r="AW86" s="413"/>
      <c r="AX86" s="412"/>
      <c r="AY86" s="167"/>
      <c r="AZ86" s="167"/>
      <c r="BA86" s="414"/>
      <c r="BB86" s="411"/>
      <c r="BC86" s="415"/>
      <c r="BD86" s="281"/>
      <c r="BE86" s="788">
        <f t="shared" si="25"/>
        <v>0</v>
      </c>
      <c r="BF86" s="1"/>
    </row>
    <row r="87" spans="1:58" ht="22.5" customHeight="1" x14ac:dyDescent="0.3">
      <c r="A87" s="416">
        <v>2550</v>
      </c>
      <c r="B87" s="360"/>
      <c r="C87" s="361" t="s">
        <v>184</v>
      </c>
      <c r="D87" s="362" t="s">
        <v>185</v>
      </c>
      <c r="E87" s="363">
        <v>2.2000000000000002</v>
      </c>
      <c r="F87" s="364" t="e">
        <f>(BE87/G87)/7</f>
        <v>#DIV/0!</v>
      </c>
      <c r="G87" s="362"/>
      <c r="H87" s="840">
        <f t="shared" si="22"/>
        <v>0</v>
      </c>
      <c r="I87" s="362"/>
      <c r="J87" s="362"/>
      <c r="K87" s="804">
        <f t="shared" ref="K87:S87" si="28">J87-$H87</f>
        <v>0</v>
      </c>
      <c r="L87" s="473">
        <f t="shared" si="28"/>
        <v>0</v>
      </c>
      <c r="M87" s="473">
        <f t="shared" si="28"/>
        <v>0</v>
      </c>
      <c r="N87" s="473">
        <f t="shared" si="28"/>
        <v>0</v>
      </c>
      <c r="O87" s="473">
        <f t="shared" si="28"/>
        <v>0</v>
      </c>
      <c r="P87" s="473">
        <f t="shared" si="28"/>
        <v>0</v>
      </c>
      <c r="Q87" s="473">
        <f t="shared" si="28"/>
        <v>0</v>
      </c>
      <c r="R87" s="473">
        <f t="shared" si="28"/>
        <v>0</v>
      </c>
      <c r="S87" s="651">
        <f t="shared" si="28"/>
        <v>0</v>
      </c>
      <c r="T87" s="641"/>
      <c r="U87" s="22"/>
      <c r="V87" s="121"/>
      <c r="W87" s="22"/>
      <c r="X87" s="360"/>
      <c r="Y87" s="376"/>
      <c r="Z87" s="22"/>
      <c r="AA87" s="22"/>
      <c r="AB87" s="22"/>
      <c r="AC87" s="360"/>
      <c r="AD87" s="376"/>
      <c r="AE87" s="21"/>
      <c r="AF87" s="21"/>
      <c r="AG87" s="21"/>
      <c r="AH87" s="377"/>
      <c r="AI87" s="376"/>
      <c r="AJ87" s="21"/>
      <c r="AK87" s="22"/>
      <c r="AL87" s="22"/>
      <c r="AM87" s="360"/>
      <c r="AN87" s="376"/>
      <c r="AO87" s="21"/>
      <c r="AP87" s="21"/>
      <c r="AQ87" s="21"/>
      <c r="AR87" s="360"/>
      <c r="AS87" s="376"/>
      <c r="AT87" s="22"/>
      <c r="AU87" s="22"/>
      <c r="AV87" s="22"/>
      <c r="AW87" s="377"/>
      <c r="AX87" s="376"/>
      <c r="AY87" s="22"/>
      <c r="AZ87" s="22"/>
      <c r="BA87" s="23"/>
      <c r="BB87" s="360"/>
      <c r="BC87" s="389"/>
      <c r="BD87" s="241"/>
      <c r="BE87" s="790">
        <f t="shared" si="25"/>
        <v>0</v>
      </c>
      <c r="BF87" s="1"/>
    </row>
    <row r="88" spans="1:58" ht="15.6" x14ac:dyDescent="0.3">
      <c r="A88" s="418"/>
      <c r="B88" s="360"/>
      <c r="C88" s="398" t="s">
        <v>186</v>
      </c>
      <c r="D88" s="375" t="s">
        <v>185</v>
      </c>
      <c r="E88" s="399">
        <v>2.2000000000000002</v>
      </c>
      <c r="F88" s="400"/>
      <c r="G88" s="362"/>
      <c r="H88" s="842">
        <f t="shared" si="22"/>
        <v>0</v>
      </c>
      <c r="I88" s="375"/>
      <c r="J88" s="362"/>
      <c r="K88" s="803">
        <f>J88-H88</f>
        <v>0</v>
      </c>
      <c r="L88" s="451">
        <f t="shared" ref="L88:S88" si="29">K88-I88</f>
        <v>0</v>
      </c>
      <c r="M88" s="474">
        <f t="shared" si="29"/>
        <v>0</v>
      </c>
      <c r="N88" s="451">
        <f t="shared" si="29"/>
        <v>0</v>
      </c>
      <c r="O88" s="450">
        <f t="shared" si="29"/>
        <v>0</v>
      </c>
      <c r="P88" s="451">
        <f t="shared" si="29"/>
        <v>0</v>
      </c>
      <c r="Q88" s="474">
        <f t="shared" si="29"/>
        <v>0</v>
      </c>
      <c r="R88" s="451">
        <f t="shared" si="29"/>
        <v>0</v>
      </c>
      <c r="S88" s="649">
        <f t="shared" si="29"/>
        <v>0</v>
      </c>
      <c r="T88" s="707"/>
      <c r="U88" s="32"/>
      <c r="V88" s="142"/>
      <c r="W88" s="32"/>
      <c r="X88" s="401"/>
      <c r="Y88" s="402"/>
      <c r="Z88" s="32"/>
      <c r="AA88" s="32"/>
      <c r="AB88" s="32"/>
      <c r="AC88" s="401"/>
      <c r="AD88" s="402"/>
      <c r="AE88" s="41"/>
      <c r="AF88" s="41"/>
      <c r="AG88" s="41"/>
      <c r="AH88" s="403"/>
      <c r="AI88" s="402"/>
      <c r="AJ88" s="41"/>
      <c r="AK88" s="32"/>
      <c r="AL88" s="32"/>
      <c r="AM88" s="401"/>
      <c r="AN88" s="402"/>
      <c r="AO88" s="41"/>
      <c r="AP88" s="41"/>
      <c r="AQ88" s="41"/>
      <c r="AR88" s="401"/>
      <c r="AS88" s="402"/>
      <c r="AT88" s="32"/>
      <c r="AU88" s="32"/>
      <c r="AV88" s="32"/>
      <c r="AW88" s="403"/>
      <c r="AX88" s="402"/>
      <c r="AY88" s="32"/>
      <c r="AZ88" s="32"/>
      <c r="BA88" s="232"/>
      <c r="BB88" s="401"/>
      <c r="BC88" s="389"/>
      <c r="BD88" s="241"/>
      <c r="BE88" s="788">
        <f t="shared" si="25"/>
        <v>0</v>
      </c>
      <c r="BF88" s="1"/>
    </row>
    <row r="89" spans="1:58" ht="16.2" thickBot="1" x14ac:dyDescent="0.35">
      <c r="A89" s="420"/>
      <c r="B89" s="421"/>
      <c r="C89" s="405" t="s">
        <v>187</v>
      </c>
      <c r="D89" s="406" t="s">
        <v>185</v>
      </c>
      <c r="E89" s="407">
        <v>2.2000000000000002</v>
      </c>
      <c r="F89" s="408"/>
      <c r="G89" s="409"/>
      <c r="H89" s="843">
        <f t="shared" si="22"/>
        <v>0</v>
      </c>
      <c r="I89" s="406"/>
      <c r="J89" s="362"/>
      <c r="K89" s="802">
        <f t="shared" ref="K89:S89" si="30">(J89-$H89)+AO89</f>
        <v>0</v>
      </c>
      <c r="L89" s="454">
        <f t="shared" si="30"/>
        <v>0</v>
      </c>
      <c r="M89" s="456">
        <f t="shared" si="30"/>
        <v>0</v>
      </c>
      <c r="N89" s="475">
        <f t="shared" si="30"/>
        <v>0</v>
      </c>
      <c r="O89" s="476">
        <f t="shared" si="30"/>
        <v>0</v>
      </c>
      <c r="P89" s="475">
        <f t="shared" si="30"/>
        <v>0</v>
      </c>
      <c r="Q89" s="476">
        <f t="shared" si="30"/>
        <v>0</v>
      </c>
      <c r="R89" s="455">
        <f t="shared" si="30"/>
        <v>0</v>
      </c>
      <c r="S89" s="650">
        <f t="shared" si="30"/>
        <v>0</v>
      </c>
      <c r="T89" s="708"/>
      <c r="U89" s="167"/>
      <c r="V89" s="168"/>
      <c r="W89" s="167"/>
      <c r="X89" s="411"/>
      <c r="Y89" s="412"/>
      <c r="Z89" s="167"/>
      <c r="AA89" s="167"/>
      <c r="AB89" s="167"/>
      <c r="AC89" s="411"/>
      <c r="AD89" s="412"/>
      <c r="AE89" s="166"/>
      <c r="AF89" s="166"/>
      <c r="AG89" s="166"/>
      <c r="AH89" s="413"/>
      <c r="AI89" s="412"/>
      <c r="AJ89" s="166"/>
      <c r="AK89" s="167"/>
      <c r="AL89" s="167"/>
      <c r="AM89" s="411"/>
      <c r="AN89" s="412"/>
      <c r="AO89" s="166"/>
      <c r="AP89" s="166"/>
      <c r="AQ89" s="166"/>
      <c r="AR89" s="411"/>
      <c r="AS89" s="412"/>
      <c r="AT89" s="167"/>
      <c r="AU89" s="167"/>
      <c r="AV89" s="167"/>
      <c r="AW89" s="413"/>
      <c r="AX89" s="412"/>
      <c r="AY89" s="167"/>
      <c r="AZ89" s="167"/>
      <c r="BA89" s="414"/>
      <c r="BB89" s="411"/>
      <c r="BC89" s="415"/>
      <c r="BD89" s="281"/>
      <c r="BE89" s="788">
        <f t="shared" si="25"/>
        <v>0</v>
      </c>
      <c r="BF89" s="1"/>
    </row>
    <row r="90" spans="1:58" ht="15.6" x14ac:dyDescent="0.3">
      <c r="A90" s="159">
        <v>2549</v>
      </c>
      <c r="B90" s="360"/>
      <c r="C90" s="361" t="s">
        <v>188</v>
      </c>
      <c r="D90" s="362" t="s">
        <v>185</v>
      </c>
      <c r="E90" s="363">
        <v>2.5</v>
      </c>
      <c r="F90" s="364" t="e">
        <f>(BE90/G90)/7</f>
        <v>#DIV/0!</v>
      </c>
      <c r="G90" s="362"/>
      <c r="H90" s="840">
        <f t="shared" si="22"/>
        <v>0</v>
      </c>
      <c r="I90" s="362"/>
      <c r="J90" s="826"/>
      <c r="K90" s="805">
        <f>J90-$H90</f>
        <v>0</v>
      </c>
      <c r="L90" s="477">
        <f t="shared" ref="L90:S90" si="31">K90-$H90</f>
        <v>0</v>
      </c>
      <c r="M90" s="422">
        <f t="shared" si="31"/>
        <v>0</v>
      </c>
      <c r="N90" s="477">
        <f t="shared" si="31"/>
        <v>0</v>
      </c>
      <c r="O90" s="477">
        <f t="shared" si="31"/>
        <v>0</v>
      </c>
      <c r="P90" s="477">
        <f t="shared" si="31"/>
        <v>0</v>
      </c>
      <c r="Q90" s="477">
        <f t="shared" si="31"/>
        <v>0</v>
      </c>
      <c r="R90" s="477">
        <f t="shared" si="31"/>
        <v>0</v>
      </c>
      <c r="S90" s="652">
        <f t="shared" si="31"/>
        <v>0</v>
      </c>
      <c r="T90" s="641"/>
      <c r="U90" s="22"/>
      <c r="V90" s="121"/>
      <c r="W90" s="22"/>
      <c r="X90" s="360"/>
      <c r="Y90" s="376"/>
      <c r="Z90" s="22"/>
      <c r="AA90" s="22"/>
      <c r="AB90" s="22"/>
      <c r="AC90" s="360"/>
      <c r="AD90" s="376"/>
      <c r="AE90" s="21"/>
      <c r="AF90" s="21"/>
      <c r="AG90" s="21"/>
      <c r="AH90" s="377"/>
      <c r="AI90" s="376"/>
      <c r="AJ90" s="21"/>
      <c r="AK90" s="22"/>
      <c r="AL90" s="22"/>
      <c r="AM90" s="360"/>
      <c r="AN90" s="376"/>
      <c r="AO90" s="21"/>
      <c r="AP90" s="21"/>
      <c r="AQ90" s="21"/>
      <c r="AR90" s="360"/>
      <c r="AS90" s="376"/>
      <c r="AT90" s="22"/>
      <c r="AU90" s="22"/>
      <c r="AV90" s="22"/>
      <c r="AW90" s="377"/>
      <c r="AX90" s="376"/>
      <c r="AY90" s="22"/>
      <c r="AZ90" s="22"/>
      <c r="BA90" s="23"/>
      <c r="BB90" s="360"/>
      <c r="BC90" s="396"/>
      <c r="BD90" s="241"/>
      <c r="BE90" s="790">
        <f t="shared" si="25"/>
        <v>0</v>
      </c>
      <c r="BF90" s="1"/>
    </row>
    <row r="91" spans="1:58" ht="15.6" x14ac:dyDescent="0.3">
      <c r="A91" s="150"/>
      <c r="B91" s="594"/>
      <c r="C91" s="398" t="s">
        <v>189</v>
      </c>
      <c r="D91" s="375" t="s">
        <v>185</v>
      </c>
      <c r="E91" s="399">
        <v>2.5</v>
      </c>
      <c r="F91" s="400"/>
      <c r="G91" s="362"/>
      <c r="H91" s="842">
        <f t="shared" si="22"/>
        <v>0</v>
      </c>
      <c r="I91" s="375"/>
      <c r="J91" s="362"/>
      <c r="K91" s="72">
        <f t="shared" ref="K91:S92" si="32">(J91-$H91)+AO91</f>
        <v>0</v>
      </c>
      <c r="L91" s="478">
        <f t="shared" si="32"/>
        <v>0</v>
      </c>
      <c r="M91" s="450">
        <f t="shared" si="32"/>
        <v>0</v>
      </c>
      <c r="N91" s="451">
        <f t="shared" si="32"/>
        <v>0</v>
      </c>
      <c r="O91" s="450">
        <f t="shared" si="32"/>
        <v>0</v>
      </c>
      <c r="P91" s="451">
        <f t="shared" si="32"/>
        <v>0</v>
      </c>
      <c r="Q91" s="450">
        <f t="shared" si="32"/>
        <v>0</v>
      </c>
      <c r="R91" s="451">
        <f t="shared" si="32"/>
        <v>0</v>
      </c>
      <c r="S91" s="649">
        <f t="shared" si="32"/>
        <v>0</v>
      </c>
      <c r="T91" s="707"/>
      <c r="U91" s="32"/>
      <c r="V91" s="142"/>
      <c r="W91" s="32"/>
      <c r="X91" s="401"/>
      <c r="Y91" s="402"/>
      <c r="Z91" s="32"/>
      <c r="AA91" s="32"/>
      <c r="AB91" s="32"/>
      <c r="AC91" s="401"/>
      <c r="AD91" s="402"/>
      <c r="AE91" s="41"/>
      <c r="AF91" s="41"/>
      <c r="AG91" s="41"/>
      <c r="AH91" s="403"/>
      <c r="AI91" s="402"/>
      <c r="AJ91" s="41"/>
      <c r="AK91" s="32"/>
      <c r="AL91" s="32"/>
      <c r="AM91" s="401"/>
      <c r="AN91" s="402"/>
      <c r="AO91" s="41"/>
      <c r="AP91" s="41"/>
      <c r="AQ91" s="41"/>
      <c r="AR91" s="401"/>
      <c r="AS91" s="402"/>
      <c r="AT91" s="32"/>
      <c r="AU91" s="32"/>
      <c r="AV91" s="32"/>
      <c r="AW91" s="403"/>
      <c r="AX91" s="402"/>
      <c r="AY91" s="32"/>
      <c r="AZ91" s="32"/>
      <c r="BA91" s="232"/>
      <c r="BB91" s="401"/>
      <c r="BC91" s="378"/>
      <c r="BD91" s="241"/>
      <c r="BE91" s="788">
        <f t="shared" si="25"/>
        <v>0</v>
      </c>
      <c r="BF91" s="1"/>
    </row>
    <row r="92" spans="1:58" ht="16.2" thickBot="1" x14ac:dyDescent="0.35">
      <c r="A92" s="169"/>
      <c r="B92" s="421"/>
      <c r="C92" s="405" t="s">
        <v>190</v>
      </c>
      <c r="D92" s="406" t="s">
        <v>185</v>
      </c>
      <c r="E92" s="407">
        <v>2.5</v>
      </c>
      <c r="F92" s="424"/>
      <c r="G92" s="409"/>
      <c r="H92" s="843">
        <f t="shared" si="22"/>
        <v>0</v>
      </c>
      <c r="I92" s="406"/>
      <c r="J92" s="362"/>
      <c r="K92" s="801">
        <f t="shared" si="32"/>
        <v>0</v>
      </c>
      <c r="L92" s="451">
        <f t="shared" si="32"/>
        <v>0</v>
      </c>
      <c r="M92" s="450">
        <f t="shared" si="32"/>
        <v>0</v>
      </c>
      <c r="N92" s="451">
        <f t="shared" si="32"/>
        <v>0</v>
      </c>
      <c r="O92" s="450">
        <f t="shared" si="32"/>
        <v>0</v>
      </c>
      <c r="P92" s="451">
        <f t="shared" si="32"/>
        <v>0</v>
      </c>
      <c r="Q92" s="450">
        <f t="shared" si="32"/>
        <v>0</v>
      </c>
      <c r="R92" s="455">
        <f t="shared" si="32"/>
        <v>0</v>
      </c>
      <c r="S92" s="650">
        <f t="shared" si="32"/>
        <v>0</v>
      </c>
      <c r="T92" s="708"/>
      <c r="U92" s="167"/>
      <c r="V92" s="168"/>
      <c r="W92" s="167"/>
      <c r="X92" s="411"/>
      <c r="Y92" s="412"/>
      <c r="Z92" s="167"/>
      <c r="AA92" s="167"/>
      <c r="AB92" s="167"/>
      <c r="AC92" s="411"/>
      <c r="AD92" s="412"/>
      <c r="AE92" s="166"/>
      <c r="AF92" s="166"/>
      <c r="AG92" s="166"/>
      <c r="AH92" s="413"/>
      <c r="AI92" s="412"/>
      <c r="AJ92" s="166"/>
      <c r="AK92" s="167"/>
      <c r="AL92" s="167"/>
      <c r="AM92" s="411"/>
      <c r="AN92" s="412"/>
      <c r="AO92" s="166"/>
      <c r="AP92" s="166"/>
      <c r="AQ92" s="166"/>
      <c r="AR92" s="411"/>
      <c r="AS92" s="412"/>
      <c r="AT92" s="167"/>
      <c r="AU92" s="167"/>
      <c r="AV92" s="167"/>
      <c r="AW92" s="413"/>
      <c r="AX92" s="412"/>
      <c r="AY92" s="167"/>
      <c r="AZ92" s="167"/>
      <c r="BA92" s="414"/>
      <c r="BB92" s="411"/>
      <c r="BC92" s="415"/>
      <c r="BD92" s="281"/>
      <c r="BE92" s="788">
        <f t="shared" si="25"/>
        <v>0</v>
      </c>
      <c r="BF92" s="1"/>
    </row>
    <row r="93" spans="1:58" ht="15.6" x14ac:dyDescent="0.3">
      <c r="A93" s="425">
        <v>2548</v>
      </c>
      <c r="B93" s="360"/>
      <c r="C93" s="361" t="s">
        <v>192</v>
      </c>
      <c r="D93" s="362" t="s">
        <v>193</v>
      </c>
      <c r="E93" s="363">
        <v>2.6</v>
      </c>
      <c r="F93" s="364" t="e">
        <f>(BE93/G93)/7</f>
        <v>#DIV/0!</v>
      </c>
      <c r="G93" s="362"/>
      <c r="H93" s="840">
        <f t="shared" si="22"/>
        <v>0</v>
      </c>
      <c r="I93" s="362"/>
      <c r="J93" s="362"/>
      <c r="K93" s="805">
        <f>J93-$H93</f>
        <v>0</v>
      </c>
      <c r="L93" s="422">
        <f>K93-$H93</f>
        <v>0</v>
      </c>
      <c r="M93" s="477">
        <f t="shared" ref="M93:S93" si="33">L93-$H93</f>
        <v>0</v>
      </c>
      <c r="N93" s="477">
        <f t="shared" ref="N93" si="34">M93-$H93</f>
        <v>0</v>
      </c>
      <c r="O93" s="477">
        <f t="shared" ref="O93" si="35">N93-$H93</f>
        <v>0</v>
      </c>
      <c r="P93" s="477">
        <f t="shared" ref="P93" si="36">O93-$H93</f>
        <v>0</v>
      </c>
      <c r="Q93" s="477">
        <f t="shared" ref="Q93" si="37">P93-$H93</f>
        <v>0</v>
      </c>
      <c r="R93" s="477">
        <f t="shared" si="33"/>
        <v>0</v>
      </c>
      <c r="S93" s="652">
        <f t="shared" si="33"/>
        <v>0</v>
      </c>
      <c r="T93" s="641"/>
      <c r="U93" s="121"/>
      <c r="V93" s="22"/>
      <c r="W93" s="22"/>
      <c r="X93" s="360"/>
      <c r="Y93" s="369"/>
      <c r="Z93" s="367"/>
      <c r="AA93" s="367"/>
      <c r="AB93" s="367"/>
      <c r="AC93" s="368"/>
      <c r="AD93" s="369"/>
      <c r="AE93" s="366"/>
      <c r="AF93" s="366"/>
      <c r="AG93" s="366"/>
      <c r="AH93" s="371"/>
      <c r="AI93" s="369"/>
      <c r="AJ93" s="366"/>
      <c r="AK93" s="367"/>
      <c r="AL93" s="367"/>
      <c r="AM93" s="368"/>
      <c r="AN93" s="369"/>
      <c r="AO93" s="366"/>
      <c r="AP93" s="366"/>
      <c r="AQ93" s="366"/>
      <c r="AR93" s="368"/>
      <c r="AS93" s="369"/>
      <c r="AT93" s="367"/>
      <c r="AU93" s="367"/>
      <c r="AV93" s="367"/>
      <c r="AW93" s="371"/>
      <c r="AX93" s="369"/>
      <c r="AY93" s="367"/>
      <c r="AZ93" s="367"/>
      <c r="BA93" s="372"/>
      <c r="BB93" s="368"/>
      <c r="BC93" s="426"/>
      <c r="BD93" s="427"/>
      <c r="BE93" s="791">
        <f t="shared" si="25"/>
        <v>0</v>
      </c>
    </row>
    <row r="94" spans="1:58" ht="15.6" x14ac:dyDescent="0.3">
      <c r="A94" s="428"/>
      <c r="B94" s="360"/>
      <c r="C94" s="398" t="s">
        <v>194</v>
      </c>
      <c r="D94" s="375" t="s">
        <v>193</v>
      </c>
      <c r="E94" s="399">
        <v>2.6</v>
      </c>
      <c r="F94" s="400"/>
      <c r="G94" s="362"/>
      <c r="H94" s="842">
        <f t="shared" si="22"/>
        <v>0</v>
      </c>
      <c r="I94" s="375"/>
      <c r="J94" s="362"/>
      <c r="K94" s="72">
        <f>(J94-$H94)+AP94</f>
        <v>0</v>
      </c>
      <c r="L94" s="478">
        <f t="shared" ref="L94:S94" si="38">(K94-$H94)+AQ94</f>
        <v>0</v>
      </c>
      <c r="M94" s="474">
        <f t="shared" si="38"/>
        <v>0</v>
      </c>
      <c r="N94" s="478">
        <f t="shared" si="38"/>
        <v>0</v>
      </c>
      <c r="O94" s="474">
        <f t="shared" si="38"/>
        <v>0</v>
      </c>
      <c r="P94" s="478">
        <f t="shared" si="38"/>
        <v>0</v>
      </c>
      <c r="Q94" s="474">
        <f t="shared" si="38"/>
        <v>0</v>
      </c>
      <c r="R94" s="451">
        <f t="shared" si="38"/>
        <v>0</v>
      </c>
      <c r="S94" s="649">
        <f t="shared" si="38"/>
        <v>0</v>
      </c>
      <c r="T94" s="707"/>
      <c r="U94" s="142"/>
      <c r="V94" s="32"/>
      <c r="W94" s="32"/>
      <c r="X94" s="401"/>
      <c r="Y94" s="402"/>
      <c r="Z94" s="32"/>
      <c r="AA94" s="32"/>
      <c r="AB94" s="32"/>
      <c r="AC94" s="401"/>
      <c r="AD94" s="402"/>
      <c r="AE94" s="41"/>
      <c r="AF94" s="41"/>
      <c r="AG94" s="41"/>
      <c r="AH94" s="403"/>
      <c r="AI94" s="402"/>
      <c r="AJ94" s="41"/>
      <c r="AK94" s="32"/>
      <c r="AL94" s="32"/>
      <c r="AM94" s="401"/>
      <c r="AN94" s="402"/>
      <c r="AO94" s="41"/>
      <c r="AP94" s="41"/>
      <c r="AQ94" s="41"/>
      <c r="AR94" s="401"/>
      <c r="AS94" s="402"/>
      <c r="AT94" s="32"/>
      <c r="AU94" s="32"/>
      <c r="AV94" s="32"/>
      <c r="AW94" s="403"/>
      <c r="AX94" s="402"/>
      <c r="AY94" s="32"/>
      <c r="AZ94" s="32"/>
      <c r="BA94" s="232"/>
      <c r="BB94" s="401"/>
      <c r="BC94" s="429"/>
      <c r="BD94" s="379"/>
      <c r="BE94" s="788">
        <f t="shared" si="25"/>
        <v>0</v>
      </c>
      <c r="BF94" s="1"/>
    </row>
    <row r="95" spans="1:58" ht="16.2" thickBot="1" x14ac:dyDescent="0.35">
      <c r="A95" s="430"/>
      <c r="B95" s="421"/>
      <c r="C95" s="405" t="s">
        <v>195</v>
      </c>
      <c r="D95" s="406" t="s">
        <v>193</v>
      </c>
      <c r="E95" s="407">
        <v>2.6</v>
      </c>
      <c r="F95" s="424"/>
      <c r="G95" s="409"/>
      <c r="H95" s="843">
        <f t="shared" si="22"/>
        <v>0</v>
      </c>
      <c r="I95" s="406"/>
      <c r="J95" s="362"/>
      <c r="K95" s="801">
        <f>(J95-$H95)+AP95</f>
        <v>0</v>
      </c>
      <c r="L95" s="451">
        <f t="shared" ref="L95:S95" si="39">(K95-$H95)+AQ95</f>
        <v>0</v>
      </c>
      <c r="M95" s="450">
        <f t="shared" si="39"/>
        <v>0</v>
      </c>
      <c r="N95" s="451">
        <f t="shared" si="39"/>
        <v>0</v>
      </c>
      <c r="O95" s="450">
        <f t="shared" si="39"/>
        <v>0</v>
      </c>
      <c r="P95" s="451">
        <f t="shared" si="39"/>
        <v>0</v>
      </c>
      <c r="Q95" s="450">
        <f t="shared" si="39"/>
        <v>0</v>
      </c>
      <c r="R95" s="455">
        <f t="shared" si="39"/>
        <v>0</v>
      </c>
      <c r="S95" s="650">
        <f t="shared" si="39"/>
        <v>0</v>
      </c>
      <c r="T95" s="708"/>
      <c r="U95" s="168"/>
      <c r="V95" s="167"/>
      <c r="W95" s="167"/>
      <c r="X95" s="411"/>
      <c r="Y95" s="412"/>
      <c r="Z95" s="167"/>
      <c r="AA95" s="167"/>
      <c r="AB95" s="167"/>
      <c r="AC95" s="411"/>
      <c r="AD95" s="412"/>
      <c r="AE95" s="166"/>
      <c r="AF95" s="166"/>
      <c r="AG95" s="166"/>
      <c r="AH95" s="413"/>
      <c r="AI95" s="412"/>
      <c r="AJ95" s="166"/>
      <c r="AK95" s="167"/>
      <c r="AL95" s="167"/>
      <c r="AM95" s="411"/>
      <c r="AN95" s="412"/>
      <c r="AO95" s="166"/>
      <c r="AP95" s="166"/>
      <c r="AQ95" s="166"/>
      <c r="AR95" s="411"/>
      <c r="AS95" s="412"/>
      <c r="AT95" s="167"/>
      <c r="AU95" s="167"/>
      <c r="AV95" s="167"/>
      <c r="AW95" s="413"/>
      <c r="AX95" s="412"/>
      <c r="AY95" s="167"/>
      <c r="AZ95" s="167"/>
      <c r="BA95" s="414"/>
      <c r="BB95" s="411"/>
      <c r="BC95" s="415"/>
      <c r="BD95" s="281"/>
      <c r="BE95" s="789">
        <f t="shared" si="25"/>
        <v>0</v>
      </c>
      <c r="BF95" s="1"/>
    </row>
    <row r="96" spans="1:58" ht="15.6" x14ac:dyDescent="0.3">
      <c r="A96" s="159">
        <v>2547</v>
      </c>
      <c r="B96" s="360"/>
      <c r="C96" s="361" t="s">
        <v>196</v>
      </c>
      <c r="D96" s="362" t="s">
        <v>193</v>
      </c>
      <c r="E96" s="363">
        <v>2.7</v>
      </c>
      <c r="F96" s="364" t="e">
        <f>(BE96/G96)/7</f>
        <v>#DIV/0!</v>
      </c>
      <c r="G96" s="362"/>
      <c r="H96" s="840">
        <f t="shared" si="22"/>
        <v>0</v>
      </c>
      <c r="I96" s="362"/>
      <c r="J96" s="362"/>
      <c r="K96" s="805">
        <f>J96-$H96</f>
        <v>0</v>
      </c>
      <c r="L96" s="477">
        <f t="shared" ref="L96:S96" si="40">K96-$H96</f>
        <v>0</v>
      </c>
      <c r="M96" s="477">
        <f t="shared" si="40"/>
        <v>0</v>
      </c>
      <c r="N96" s="477">
        <f t="shared" si="40"/>
        <v>0</v>
      </c>
      <c r="O96" s="477">
        <f t="shared" si="40"/>
        <v>0</v>
      </c>
      <c r="P96" s="477">
        <f t="shared" si="40"/>
        <v>0</v>
      </c>
      <c r="Q96" s="477">
        <f t="shared" si="40"/>
        <v>0</v>
      </c>
      <c r="R96" s="477">
        <f t="shared" si="40"/>
        <v>0</v>
      </c>
      <c r="S96" s="652">
        <f t="shared" si="40"/>
        <v>0</v>
      </c>
      <c r="T96" s="641"/>
      <c r="U96" s="121"/>
      <c r="V96" s="22"/>
      <c r="W96" s="22"/>
      <c r="X96" s="360"/>
      <c r="Y96" s="369"/>
      <c r="Z96" s="367"/>
      <c r="AA96" s="367"/>
      <c r="AB96" s="367"/>
      <c r="AC96" s="368"/>
      <c r="AD96" s="369"/>
      <c r="AE96" s="366"/>
      <c r="AF96" s="366"/>
      <c r="AG96" s="366"/>
      <c r="AH96" s="371"/>
      <c r="AI96" s="369"/>
      <c r="AJ96" s="366"/>
      <c r="AK96" s="367"/>
      <c r="AL96" s="367"/>
      <c r="AM96" s="368"/>
      <c r="AN96" s="369"/>
      <c r="AO96" s="366"/>
      <c r="AP96" s="366"/>
      <c r="AQ96" s="366"/>
      <c r="AR96" s="368"/>
      <c r="AS96" s="369"/>
      <c r="AT96" s="367"/>
      <c r="AU96" s="367"/>
      <c r="AV96" s="367"/>
      <c r="AW96" s="371"/>
      <c r="AX96" s="369"/>
      <c r="AY96" s="367"/>
      <c r="AZ96" s="367"/>
      <c r="BA96" s="372"/>
      <c r="BB96" s="368"/>
      <c r="BC96" s="426"/>
      <c r="BD96" s="427"/>
      <c r="BE96" s="791">
        <f t="shared" si="25"/>
        <v>0</v>
      </c>
    </row>
    <row r="97" spans="1:58" ht="15.6" x14ac:dyDescent="0.3">
      <c r="A97" s="150"/>
      <c r="B97" s="401"/>
      <c r="C97" s="398" t="s">
        <v>197</v>
      </c>
      <c r="D97" s="375" t="s">
        <v>193</v>
      </c>
      <c r="E97" s="399">
        <v>2.7</v>
      </c>
      <c r="F97" s="400"/>
      <c r="G97" s="375"/>
      <c r="H97" s="842">
        <f t="shared" si="22"/>
        <v>0</v>
      </c>
      <c r="I97" s="375"/>
      <c r="J97" s="362"/>
      <c r="K97" s="72">
        <f t="shared" ref="K97:S98" si="41">(J97-$H97)+AP97</f>
        <v>0</v>
      </c>
      <c r="L97" s="478">
        <f t="shared" si="41"/>
        <v>0</v>
      </c>
      <c r="M97" s="474">
        <f t="shared" si="41"/>
        <v>0</v>
      </c>
      <c r="N97" s="478">
        <f t="shared" si="41"/>
        <v>0</v>
      </c>
      <c r="O97" s="474">
        <f t="shared" si="41"/>
        <v>0</v>
      </c>
      <c r="P97" s="478">
        <f t="shared" si="41"/>
        <v>0</v>
      </c>
      <c r="Q97" s="474">
        <f t="shared" si="41"/>
        <v>0</v>
      </c>
      <c r="R97" s="478">
        <f t="shared" si="41"/>
        <v>0</v>
      </c>
      <c r="S97" s="653">
        <f t="shared" si="41"/>
        <v>0</v>
      </c>
      <c r="T97" s="707"/>
      <c r="U97" s="142"/>
      <c r="V97" s="32"/>
      <c r="W97" s="32"/>
      <c r="X97" s="401"/>
      <c r="Y97" s="402"/>
      <c r="Z97" s="32"/>
      <c r="AA97" s="32"/>
      <c r="AB97" s="32"/>
      <c r="AC97" s="401"/>
      <c r="AD97" s="402"/>
      <c r="AE97" s="41"/>
      <c r="AF97" s="41"/>
      <c r="AG97" s="41"/>
      <c r="AH97" s="403"/>
      <c r="AI97" s="402"/>
      <c r="AJ97" s="41"/>
      <c r="AK97" s="32"/>
      <c r="AL97" s="32"/>
      <c r="AM97" s="401"/>
      <c r="AN97" s="402"/>
      <c r="AO97" s="41"/>
      <c r="AP97" s="41"/>
      <c r="AQ97" s="41"/>
      <c r="AR97" s="401"/>
      <c r="AS97" s="402"/>
      <c r="AT97" s="32"/>
      <c r="AU97" s="32"/>
      <c r="AV97" s="32"/>
      <c r="AW97" s="403"/>
      <c r="AX97" s="402"/>
      <c r="AY97" s="32"/>
      <c r="AZ97" s="32"/>
      <c r="BA97" s="232"/>
      <c r="BB97" s="401"/>
      <c r="BC97" s="429"/>
      <c r="BD97" s="379"/>
      <c r="BE97" s="788">
        <f t="shared" si="25"/>
        <v>0</v>
      </c>
      <c r="BF97" s="1"/>
    </row>
    <row r="98" spans="1:58" ht="18" customHeight="1" thickBot="1" x14ac:dyDescent="0.35">
      <c r="A98" s="169"/>
      <c r="B98" s="431"/>
      <c r="C98" s="432" t="s">
        <v>198</v>
      </c>
      <c r="D98" s="386" t="s">
        <v>193</v>
      </c>
      <c r="E98" s="433">
        <v>2.7</v>
      </c>
      <c r="F98" s="424"/>
      <c r="G98" s="386"/>
      <c r="H98" s="844">
        <f t="shared" si="22"/>
        <v>0</v>
      </c>
      <c r="I98" s="386"/>
      <c r="J98" s="362"/>
      <c r="K98" s="801">
        <f t="shared" si="41"/>
        <v>0</v>
      </c>
      <c r="L98" s="451">
        <f t="shared" si="41"/>
        <v>0</v>
      </c>
      <c r="M98" s="450">
        <f t="shared" si="41"/>
        <v>0</v>
      </c>
      <c r="N98" s="451">
        <f t="shared" si="41"/>
        <v>0</v>
      </c>
      <c r="O98" s="450">
        <f t="shared" si="41"/>
        <v>0</v>
      </c>
      <c r="P98" s="451">
        <f t="shared" si="41"/>
        <v>0</v>
      </c>
      <c r="Q98" s="453">
        <f t="shared" si="41"/>
        <v>0</v>
      </c>
      <c r="R98" s="451">
        <f t="shared" si="41"/>
        <v>0</v>
      </c>
      <c r="S98" s="649">
        <f t="shared" si="41"/>
        <v>0</v>
      </c>
      <c r="T98" s="709"/>
      <c r="U98" s="305"/>
      <c r="V98" s="163"/>
      <c r="W98" s="163"/>
      <c r="X98" s="431"/>
      <c r="Y98" s="434"/>
      <c r="Z98" s="163"/>
      <c r="AA98" s="163"/>
      <c r="AB98" s="163"/>
      <c r="AC98" s="431"/>
      <c r="AD98" s="434"/>
      <c r="AE98" s="162"/>
      <c r="AF98" s="162"/>
      <c r="AG98" s="162"/>
      <c r="AH98" s="435"/>
      <c r="AI98" s="434"/>
      <c r="AJ98" s="162"/>
      <c r="AK98" s="163"/>
      <c r="AL98" s="163"/>
      <c r="AM98" s="431"/>
      <c r="AN98" s="434"/>
      <c r="AO98" s="162"/>
      <c r="AP98" s="162"/>
      <c r="AQ98" s="162"/>
      <c r="AR98" s="431"/>
      <c r="AS98" s="434"/>
      <c r="AT98" s="163"/>
      <c r="AU98" s="163"/>
      <c r="AV98" s="163"/>
      <c r="AW98" s="435"/>
      <c r="AX98" s="434"/>
      <c r="AY98" s="163"/>
      <c r="AZ98" s="163"/>
      <c r="BA98" s="436"/>
      <c r="BB98" s="431"/>
      <c r="BC98" s="389"/>
      <c r="BD98" s="241"/>
      <c r="BE98" s="789">
        <f t="shared" si="25"/>
        <v>0</v>
      </c>
      <c r="BF98" s="1"/>
    </row>
    <row r="99" spans="1:58" ht="15.6" x14ac:dyDescent="0.3">
      <c r="A99" s="425">
        <v>2546</v>
      </c>
      <c r="B99" s="394"/>
      <c r="C99" s="391" t="s">
        <v>199</v>
      </c>
      <c r="D99" s="392" t="s">
        <v>191</v>
      </c>
      <c r="E99" s="393">
        <v>2.9</v>
      </c>
      <c r="F99" s="364" t="e">
        <f>(BE99/G99)/7</f>
        <v>#DIV/0!</v>
      </c>
      <c r="G99" s="392"/>
      <c r="H99" s="841">
        <f t="shared" si="22"/>
        <v>0</v>
      </c>
      <c r="I99" s="392"/>
      <c r="J99" s="362"/>
      <c r="K99" s="805">
        <f>J99-$H99</f>
        <v>0</v>
      </c>
      <c r="L99" s="477">
        <f t="shared" ref="L99:S99" si="42">K99-$H99</f>
        <v>0</v>
      </c>
      <c r="M99" s="477">
        <f t="shared" si="42"/>
        <v>0</v>
      </c>
      <c r="N99" s="477">
        <f t="shared" ref="N99" si="43">M99-$H99</f>
        <v>0</v>
      </c>
      <c r="O99" s="477">
        <f t="shared" ref="O99" si="44">N99-$H99</f>
        <v>0</v>
      </c>
      <c r="P99" s="477">
        <f t="shared" ref="P99" si="45">O99-$H99</f>
        <v>0</v>
      </c>
      <c r="Q99" s="477">
        <f t="shared" si="42"/>
        <v>0</v>
      </c>
      <c r="R99" s="477">
        <f t="shared" si="42"/>
        <v>0</v>
      </c>
      <c r="S99" s="652">
        <f t="shared" si="42"/>
        <v>0</v>
      </c>
      <c r="T99" s="710"/>
      <c r="U99" s="260"/>
      <c r="V99" s="260"/>
      <c r="W99" s="257"/>
      <c r="X99" s="394"/>
      <c r="Y99" s="440"/>
      <c r="Z99" s="438"/>
      <c r="AA99" s="438"/>
      <c r="AB99" s="438"/>
      <c r="AC99" s="439"/>
      <c r="AD99" s="440"/>
      <c r="AE99" s="437"/>
      <c r="AF99" s="437"/>
      <c r="AG99" s="437"/>
      <c r="AH99" s="441"/>
      <c r="AI99" s="440"/>
      <c r="AJ99" s="437"/>
      <c r="AK99" s="438"/>
      <c r="AL99" s="438"/>
      <c r="AM99" s="439"/>
      <c r="AN99" s="440"/>
      <c r="AO99" s="437"/>
      <c r="AP99" s="437"/>
      <c r="AQ99" s="437"/>
      <c r="AR99" s="439"/>
      <c r="AS99" s="440"/>
      <c r="AT99" s="438"/>
      <c r="AU99" s="438"/>
      <c r="AV99" s="438"/>
      <c r="AW99" s="441"/>
      <c r="AX99" s="440"/>
      <c r="AY99" s="438"/>
      <c r="AZ99" s="438"/>
      <c r="BA99" s="442"/>
      <c r="BB99" s="439"/>
      <c r="BC99" s="426"/>
      <c r="BD99" s="443"/>
      <c r="BE99" s="791">
        <f t="shared" si="25"/>
        <v>0</v>
      </c>
    </row>
    <row r="100" spans="1:58" ht="15.6" x14ac:dyDescent="0.3">
      <c r="A100" s="428"/>
      <c r="B100" s="401"/>
      <c r="C100" s="398" t="s">
        <v>200</v>
      </c>
      <c r="D100" s="375" t="s">
        <v>191</v>
      </c>
      <c r="E100" s="399">
        <v>2.9</v>
      </c>
      <c r="F100" s="400"/>
      <c r="G100" s="375"/>
      <c r="H100" s="842">
        <f t="shared" si="22"/>
        <v>0</v>
      </c>
      <c r="I100" s="375"/>
      <c r="J100" s="362"/>
      <c r="K100" s="72">
        <f t="shared" ref="K100:K108" si="46">J100-$H100+AQ100</f>
        <v>0</v>
      </c>
      <c r="L100" s="478">
        <f t="shared" ref="L100:S101" si="47">K100-$H100+AR100</f>
        <v>0</v>
      </c>
      <c r="M100" s="474">
        <f t="shared" si="47"/>
        <v>0</v>
      </c>
      <c r="N100" s="478">
        <f t="shared" si="47"/>
        <v>0</v>
      </c>
      <c r="O100" s="474">
        <f t="shared" si="47"/>
        <v>0</v>
      </c>
      <c r="P100" s="478">
        <f t="shared" si="47"/>
        <v>0</v>
      </c>
      <c r="Q100" s="474">
        <f t="shared" si="47"/>
        <v>0</v>
      </c>
      <c r="R100" s="478">
        <f t="shared" si="47"/>
        <v>0</v>
      </c>
      <c r="S100" s="653">
        <f t="shared" si="47"/>
        <v>0</v>
      </c>
      <c r="T100" s="707"/>
      <c r="U100" s="142"/>
      <c r="V100" s="142"/>
      <c r="W100" s="32"/>
      <c r="X100" s="401"/>
      <c r="Y100" s="402"/>
      <c r="Z100" s="32"/>
      <c r="AA100" s="32"/>
      <c r="AB100" s="32"/>
      <c r="AC100" s="401"/>
      <c r="AD100" s="402"/>
      <c r="AE100" s="41"/>
      <c r="AF100" s="41"/>
      <c r="AG100" s="41"/>
      <c r="AH100" s="403"/>
      <c r="AI100" s="402"/>
      <c r="AJ100" s="41"/>
      <c r="AK100" s="32"/>
      <c r="AL100" s="32"/>
      <c r="AM100" s="401"/>
      <c r="AN100" s="402"/>
      <c r="AO100" s="41"/>
      <c r="AP100" s="41"/>
      <c r="AQ100" s="41"/>
      <c r="AR100" s="401"/>
      <c r="AS100" s="402"/>
      <c r="AT100" s="32"/>
      <c r="AU100" s="32"/>
      <c r="AV100" s="32"/>
      <c r="AW100" s="403"/>
      <c r="AX100" s="402"/>
      <c r="AY100" s="32"/>
      <c r="AZ100" s="32"/>
      <c r="BA100" s="232"/>
      <c r="BB100" s="401"/>
      <c r="BC100" s="429"/>
      <c r="BD100" s="241"/>
      <c r="BE100" s="788">
        <f t="shared" si="25"/>
        <v>0</v>
      </c>
      <c r="BF100" s="1"/>
    </row>
    <row r="101" spans="1:58" ht="16.2" thickBot="1" x14ac:dyDescent="0.35">
      <c r="A101" s="444"/>
      <c r="B101" s="411"/>
      <c r="C101" s="405" t="s">
        <v>201</v>
      </c>
      <c r="D101" s="406" t="s">
        <v>191</v>
      </c>
      <c r="E101" s="407">
        <v>2.9</v>
      </c>
      <c r="F101" s="424"/>
      <c r="G101" s="406"/>
      <c r="H101" s="843">
        <f t="shared" si="22"/>
        <v>0</v>
      </c>
      <c r="I101" s="406"/>
      <c r="J101" s="362"/>
      <c r="K101" s="801">
        <f t="shared" si="46"/>
        <v>0</v>
      </c>
      <c r="L101" s="451">
        <f t="shared" si="47"/>
        <v>0</v>
      </c>
      <c r="M101" s="450">
        <f t="shared" si="47"/>
        <v>0</v>
      </c>
      <c r="N101" s="451">
        <f t="shared" si="47"/>
        <v>0</v>
      </c>
      <c r="O101" s="450">
        <f t="shared" si="47"/>
        <v>0</v>
      </c>
      <c r="P101" s="451">
        <f t="shared" si="47"/>
        <v>0</v>
      </c>
      <c r="Q101" s="453">
        <f t="shared" si="47"/>
        <v>0</v>
      </c>
      <c r="R101" s="451">
        <f t="shared" si="47"/>
        <v>0</v>
      </c>
      <c r="S101" s="649">
        <f t="shared" si="47"/>
        <v>0</v>
      </c>
      <c r="T101" s="708"/>
      <c r="U101" s="168"/>
      <c r="V101" s="168"/>
      <c r="W101" s="167"/>
      <c r="X101" s="411"/>
      <c r="Y101" s="412"/>
      <c r="Z101" s="167"/>
      <c r="AA101" s="167"/>
      <c r="AB101" s="167"/>
      <c r="AC101" s="411"/>
      <c r="AD101" s="412"/>
      <c r="AE101" s="166"/>
      <c r="AF101" s="166"/>
      <c r="AG101" s="166"/>
      <c r="AH101" s="413"/>
      <c r="AI101" s="412"/>
      <c r="AJ101" s="166"/>
      <c r="AK101" s="167"/>
      <c r="AL101" s="167"/>
      <c r="AM101" s="411"/>
      <c r="AN101" s="412"/>
      <c r="AO101" s="166"/>
      <c r="AP101" s="166"/>
      <c r="AQ101" s="166"/>
      <c r="AR101" s="411"/>
      <c r="AS101" s="412"/>
      <c r="AT101" s="167"/>
      <c r="AU101" s="167"/>
      <c r="AV101" s="167"/>
      <c r="AW101" s="413"/>
      <c r="AX101" s="412"/>
      <c r="AY101" s="167"/>
      <c r="AZ101" s="167"/>
      <c r="BA101" s="414"/>
      <c r="BB101" s="411"/>
      <c r="BC101" s="415"/>
      <c r="BD101" s="281"/>
      <c r="BE101" s="792">
        <f t="shared" si="25"/>
        <v>0</v>
      </c>
      <c r="BF101" s="1"/>
    </row>
    <row r="102" spans="1:58" ht="15.6" x14ac:dyDescent="0.3">
      <c r="A102" s="445">
        <v>2545</v>
      </c>
      <c r="B102" s="360"/>
      <c r="C102" s="361" t="s">
        <v>202</v>
      </c>
      <c r="D102" s="362" t="s">
        <v>191</v>
      </c>
      <c r="E102" s="363">
        <v>3.1</v>
      </c>
      <c r="F102" s="364" t="e">
        <f>(BE102/G102)/7</f>
        <v>#DIV/0!</v>
      </c>
      <c r="G102" s="362"/>
      <c r="H102" s="840">
        <f t="shared" si="22"/>
        <v>0</v>
      </c>
      <c r="I102" s="362"/>
      <c r="J102" s="362"/>
      <c r="K102" s="805">
        <f>J102-$H102</f>
        <v>0</v>
      </c>
      <c r="L102" s="422">
        <f t="shared" ref="L102:Q102" si="48">K102-$H102</f>
        <v>0</v>
      </c>
      <c r="M102" s="422">
        <f t="shared" si="48"/>
        <v>0</v>
      </c>
      <c r="N102" s="422">
        <f t="shared" si="48"/>
        <v>0</v>
      </c>
      <c r="O102" s="422">
        <f t="shared" si="48"/>
        <v>0</v>
      </c>
      <c r="P102" s="422">
        <f t="shared" si="48"/>
        <v>0</v>
      </c>
      <c r="Q102" s="422">
        <f t="shared" si="48"/>
        <v>0</v>
      </c>
      <c r="R102" s="477">
        <f t="shared" ref="R102:S102" si="49">Q102-$H102</f>
        <v>0</v>
      </c>
      <c r="S102" s="652">
        <f t="shared" si="49"/>
        <v>0</v>
      </c>
      <c r="T102" s="641"/>
      <c r="U102" s="121"/>
      <c r="V102" s="121"/>
      <c r="W102" s="22"/>
      <c r="X102" s="360"/>
      <c r="Y102" s="369"/>
      <c r="Z102" s="367"/>
      <c r="AA102" s="367"/>
      <c r="AB102" s="367"/>
      <c r="AC102" s="368"/>
      <c r="AD102" s="369"/>
      <c r="AE102" s="366"/>
      <c r="AF102" s="366"/>
      <c r="AG102" s="366"/>
      <c r="AH102" s="371"/>
      <c r="AI102" s="369"/>
      <c r="AJ102" s="366"/>
      <c r="AK102" s="367"/>
      <c r="AL102" s="367"/>
      <c r="AM102" s="368"/>
      <c r="AN102" s="369"/>
      <c r="AO102" s="366"/>
      <c r="AP102" s="366"/>
      <c r="AQ102" s="366"/>
      <c r="AR102" s="368"/>
      <c r="AS102" s="369"/>
      <c r="AT102" s="367"/>
      <c r="AU102" s="367"/>
      <c r="AV102" s="367"/>
      <c r="AW102" s="371"/>
      <c r="AX102" s="369"/>
      <c r="AY102" s="367"/>
      <c r="AZ102" s="367"/>
      <c r="BA102" s="372"/>
      <c r="BB102" s="368"/>
      <c r="BC102" s="426"/>
      <c r="BD102" s="427"/>
      <c r="BE102" s="791">
        <f t="shared" si="25"/>
        <v>0</v>
      </c>
    </row>
    <row r="103" spans="1:58" ht="15.6" x14ac:dyDescent="0.3">
      <c r="A103" s="418"/>
      <c r="B103" s="401"/>
      <c r="C103" s="398" t="s">
        <v>203</v>
      </c>
      <c r="D103" s="375" t="s">
        <v>191</v>
      </c>
      <c r="E103" s="399">
        <v>3.1</v>
      </c>
      <c r="F103" s="400"/>
      <c r="G103" s="375"/>
      <c r="H103" s="842">
        <f t="shared" si="22"/>
        <v>0</v>
      </c>
      <c r="I103" s="375"/>
      <c r="J103" s="362"/>
      <c r="K103" s="72">
        <f t="shared" si="46"/>
        <v>0</v>
      </c>
      <c r="L103" s="478">
        <f t="shared" ref="L103:S104" si="50">K103-$H103+AR103</f>
        <v>0</v>
      </c>
      <c r="M103" s="474">
        <f t="shared" si="50"/>
        <v>0</v>
      </c>
      <c r="N103" s="478">
        <f t="shared" si="50"/>
        <v>0</v>
      </c>
      <c r="O103" s="474">
        <f t="shared" si="50"/>
        <v>0</v>
      </c>
      <c r="P103" s="478">
        <f t="shared" si="50"/>
        <v>0</v>
      </c>
      <c r="Q103" s="474">
        <f t="shared" si="50"/>
        <v>0</v>
      </c>
      <c r="R103" s="478">
        <f t="shared" si="50"/>
        <v>0</v>
      </c>
      <c r="S103" s="653">
        <f t="shared" si="50"/>
        <v>0</v>
      </c>
      <c r="T103" s="707"/>
      <c r="U103" s="142"/>
      <c r="V103" s="142"/>
      <c r="W103" s="32"/>
      <c r="X103" s="401"/>
      <c r="Y103" s="402"/>
      <c r="Z103" s="32"/>
      <c r="AA103" s="32"/>
      <c r="AB103" s="32"/>
      <c r="AC103" s="401"/>
      <c r="AD103" s="402"/>
      <c r="AE103" s="41"/>
      <c r="AF103" s="41"/>
      <c r="AG103" s="41"/>
      <c r="AH103" s="403"/>
      <c r="AI103" s="402"/>
      <c r="AJ103" s="41"/>
      <c r="AK103" s="32"/>
      <c r="AL103" s="32"/>
      <c r="AM103" s="401"/>
      <c r="AN103" s="402"/>
      <c r="AO103" s="41"/>
      <c r="AP103" s="41"/>
      <c r="AQ103" s="41"/>
      <c r="AR103" s="401"/>
      <c r="AS103" s="402"/>
      <c r="AT103" s="32"/>
      <c r="AU103" s="32"/>
      <c r="AV103" s="32"/>
      <c r="AW103" s="403"/>
      <c r="AX103" s="402"/>
      <c r="AY103" s="32"/>
      <c r="AZ103" s="32"/>
      <c r="BA103" s="232"/>
      <c r="BB103" s="401"/>
      <c r="BC103" s="378"/>
      <c r="BD103" s="379"/>
      <c r="BE103" s="788">
        <f t="shared" si="25"/>
        <v>0</v>
      </c>
      <c r="BF103" s="1"/>
    </row>
    <row r="104" spans="1:58" ht="16.2" thickBot="1" x14ac:dyDescent="0.35">
      <c r="A104" s="420"/>
      <c r="B104" s="431"/>
      <c r="C104" s="432" t="s">
        <v>204</v>
      </c>
      <c r="D104" s="386" t="s">
        <v>191</v>
      </c>
      <c r="E104" s="433">
        <v>3.1</v>
      </c>
      <c r="F104" s="424"/>
      <c r="G104" s="386"/>
      <c r="H104" s="844">
        <f t="shared" si="22"/>
        <v>0</v>
      </c>
      <c r="I104" s="386"/>
      <c r="J104" s="362"/>
      <c r="K104" s="801">
        <f t="shared" si="46"/>
        <v>0</v>
      </c>
      <c r="L104" s="451">
        <f t="shared" si="50"/>
        <v>0</v>
      </c>
      <c r="M104" s="450">
        <f t="shared" si="50"/>
        <v>0</v>
      </c>
      <c r="N104" s="451">
        <f t="shared" si="50"/>
        <v>0</v>
      </c>
      <c r="O104" s="450">
        <f t="shared" si="50"/>
        <v>0</v>
      </c>
      <c r="P104" s="451">
        <f t="shared" si="50"/>
        <v>0</v>
      </c>
      <c r="Q104" s="453">
        <f t="shared" si="50"/>
        <v>0</v>
      </c>
      <c r="R104" s="451">
        <f t="shared" si="50"/>
        <v>0</v>
      </c>
      <c r="S104" s="649">
        <f t="shared" si="50"/>
        <v>0</v>
      </c>
      <c r="T104" s="709"/>
      <c r="U104" s="305"/>
      <c r="V104" s="305"/>
      <c r="W104" s="163"/>
      <c r="X104" s="431"/>
      <c r="Y104" s="434"/>
      <c r="Z104" s="163"/>
      <c r="AA104" s="163"/>
      <c r="AB104" s="163"/>
      <c r="AC104" s="431"/>
      <c r="AD104" s="434"/>
      <c r="AE104" s="162"/>
      <c r="AF104" s="162"/>
      <c r="AG104" s="162"/>
      <c r="AH104" s="435"/>
      <c r="AI104" s="434"/>
      <c r="AJ104" s="162"/>
      <c r="AK104" s="163"/>
      <c r="AL104" s="163"/>
      <c r="AM104" s="431"/>
      <c r="AN104" s="434"/>
      <c r="AO104" s="162"/>
      <c r="AP104" s="162"/>
      <c r="AQ104" s="162"/>
      <c r="AR104" s="431"/>
      <c r="AS104" s="434"/>
      <c r="AT104" s="163"/>
      <c r="AU104" s="163"/>
      <c r="AV104" s="163"/>
      <c r="AW104" s="435"/>
      <c r="AX104" s="434"/>
      <c r="AY104" s="163"/>
      <c r="AZ104" s="163"/>
      <c r="BA104" s="436"/>
      <c r="BB104" s="431"/>
      <c r="BC104" s="389"/>
      <c r="BD104" s="241"/>
      <c r="BE104" s="792">
        <f t="shared" si="25"/>
        <v>0</v>
      </c>
      <c r="BF104" s="1"/>
    </row>
    <row r="105" spans="1:58" ht="15.6" x14ac:dyDescent="0.3">
      <c r="A105" s="425">
        <v>2544</v>
      </c>
      <c r="B105" s="394"/>
      <c r="C105" s="391" t="s">
        <v>205</v>
      </c>
      <c r="D105" s="392" t="s">
        <v>191</v>
      </c>
      <c r="E105" s="393">
        <v>3.1</v>
      </c>
      <c r="F105" s="364" t="e">
        <f>(BE105/G105)/7</f>
        <v>#DIV/0!</v>
      </c>
      <c r="G105" s="392"/>
      <c r="H105" s="841">
        <f t="shared" si="22"/>
        <v>0</v>
      </c>
      <c r="I105" s="392"/>
      <c r="J105" s="362"/>
      <c r="K105" s="804">
        <f>J105-$H105</f>
        <v>0</v>
      </c>
      <c r="L105" s="417">
        <f t="shared" ref="L105:N105" si="51">K105-$H105</f>
        <v>0</v>
      </c>
      <c r="M105" s="417">
        <f t="shared" si="51"/>
        <v>0</v>
      </c>
      <c r="N105" s="417">
        <f t="shared" si="51"/>
        <v>0</v>
      </c>
      <c r="O105" s="473">
        <f t="shared" ref="O105:S105" si="52">N105-$H105</f>
        <v>0</v>
      </c>
      <c r="P105" s="528">
        <f t="shared" si="52"/>
        <v>0</v>
      </c>
      <c r="Q105" s="528">
        <f t="shared" si="52"/>
        <v>0</v>
      </c>
      <c r="R105" s="473">
        <f t="shared" si="52"/>
        <v>0</v>
      </c>
      <c r="S105" s="651">
        <f t="shared" si="52"/>
        <v>0</v>
      </c>
      <c r="T105" s="710"/>
      <c r="U105" s="260"/>
      <c r="V105" s="260"/>
      <c r="W105" s="257"/>
      <c r="X105" s="394"/>
      <c r="Y105" s="395"/>
      <c r="Z105" s="257"/>
      <c r="AA105" s="257"/>
      <c r="AB105" s="257"/>
      <c r="AC105" s="394"/>
      <c r="AD105" s="395"/>
      <c r="AE105" s="256"/>
      <c r="AF105" s="256"/>
      <c r="AG105" s="256"/>
      <c r="AH105" s="390"/>
      <c r="AI105" s="395"/>
      <c r="AJ105" s="256"/>
      <c r="AK105" s="257"/>
      <c r="AL105" s="257"/>
      <c r="AM105" s="394"/>
      <c r="AN105" s="395"/>
      <c r="AO105" s="256"/>
      <c r="AP105" s="256"/>
      <c r="AQ105" s="256"/>
      <c r="AR105" s="394"/>
      <c r="AS105" s="395"/>
      <c r="AT105" s="257"/>
      <c r="AU105" s="257"/>
      <c r="AV105" s="257"/>
      <c r="AW105" s="390"/>
      <c r="AX105" s="395"/>
      <c r="AY105" s="257"/>
      <c r="AZ105" s="257"/>
      <c r="BA105" s="265"/>
      <c r="BB105" s="394"/>
      <c r="BC105" s="396"/>
      <c r="BD105" s="397"/>
      <c r="BE105" s="790">
        <f t="shared" si="25"/>
        <v>0</v>
      </c>
      <c r="BF105" s="1"/>
    </row>
    <row r="106" spans="1:58" ht="15.6" x14ac:dyDescent="0.3">
      <c r="A106" s="142"/>
      <c r="B106" s="32"/>
      <c r="C106" s="632" t="s">
        <v>206</v>
      </c>
      <c r="D106" s="375" t="s">
        <v>191</v>
      </c>
      <c r="E106" s="399">
        <v>3.1</v>
      </c>
      <c r="F106" s="400"/>
      <c r="G106" s="375"/>
      <c r="H106" s="842">
        <f t="shared" si="22"/>
        <v>0</v>
      </c>
      <c r="I106" s="375"/>
      <c r="J106" s="362"/>
      <c r="K106" s="803">
        <f t="shared" si="46"/>
        <v>0</v>
      </c>
      <c r="L106" s="454">
        <f t="shared" ref="L106:S108" si="53">K106-$H106+AR106</f>
        <v>0</v>
      </c>
      <c r="M106" s="453">
        <f t="shared" si="53"/>
        <v>0</v>
      </c>
      <c r="N106" s="454">
        <f t="shared" si="53"/>
        <v>0</v>
      </c>
      <c r="O106" s="453">
        <f t="shared" si="53"/>
        <v>0</v>
      </c>
      <c r="P106" s="454">
        <f t="shared" si="53"/>
        <v>0</v>
      </c>
      <c r="Q106" s="453">
        <f t="shared" si="53"/>
        <v>0</v>
      </c>
      <c r="R106" s="454">
        <f t="shared" si="53"/>
        <v>0</v>
      </c>
      <c r="S106" s="654">
        <f t="shared" si="53"/>
        <v>0</v>
      </c>
      <c r="T106" s="707"/>
      <c r="U106" s="142"/>
      <c r="V106" s="142"/>
      <c r="W106" s="32"/>
      <c r="X106" s="401"/>
      <c r="Y106" s="402"/>
      <c r="Z106" s="32"/>
      <c r="AA106" s="32"/>
      <c r="AB106" s="32"/>
      <c r="AC106" s="401"/>
      <c r="AD106" s="402"/>
      <c r="AE106" s="41"/>
      <c r="AF106" s="41"/>
      <c r="AG106" s="41"/>
      <c r="AH106" s="403"/>
      <c r="AI106" s="402"/>
      <c r="AJ106" s="41"/>
      <c r="AK106" s="32"/>
      <c r="AL106" s="32"/>
      <c r="AM106" s="401"/>
      <c r="AN106" s="402"/>
      <c r="AO106" s="41"/>
      <c r="AP106" s="41"/>
      <c r="AQ106" s="41"/>
      <c r="AR106" s="401"/>
      <c r="AS106" s="402"/>
      <c r="AT106" s="32"/>
      <c r="AU106" s="32"/>
      <c r="AV106" s="32"/>
      <c r="AW106" s="403"/>
      <c r="AX106" s="402"/>
      <c r="AY106" s="32"/>
      <c r="AZ106" s="32"/>
      <c r="BA106" s="232"/>
      <c r="BB106" s="401"/>
      <c r="BC106" s="429"/>
      <c r="BD106" s="379"/>
      <c r="BE106" s="788">
        <f t="shared" si="25"/>
        <v>0</v>
      </c>
      <c r="BF106" s="1"/>
    </row>
    <row r="107" spans="1:58" ht="15.6" x14ac:dyDescent="0.3">
      <c r="A107" s="633"/>
      <c r="B107" s="401"/>
      <c r="C107" s="398" t="s">
        <v>207</v>
      </c>
      <c r="D107" s="375" t="s">
        <v>191</v>
      </c>
      <c r="E107" s="399">
        <v>3.1</v>
      </c>
      <c r="F107" s="637"/>
      <c r="G107" s="375"/>
      <c r="H107" s="842">
        <f t="shared" ref="H107" si="54">G107*E107</f>
        <v>0</v>
      </c>
      <c r="I107" s="375"/>
      <c r="J107" s="375"/>
      <c r="K107" s="423">
        <f t="shared" ref="K107" si="55">J107-$H107+AQ107</f>
        <v>0</v>
      </c>
      <c r="L107" s="638">
        <f t="shared" ref="L107" si="56">K107-$H107+AR107</f>
        <v>0</v>
      </c>
      <c r="M107" s="474">
        <f t="shared" ref="M107" si="57">L107-$H107+AS107</f>
        <v>0</v>
      </c>
      <c r="N107" s="478">
        <f t="shared" ref="N107" si="58">M107-$H107+AT107</f>
        <v>0</v>
      </c>
      <c r="O107" s="639">
        <f t="shared" ref="O107" si="59">N107-$H107+AU107</f>
        <v>0</v>
      </c>
      <c r="P107" s="638">
        <f t="shared" ref="P107" si="60">O107-$H107+AV107</f>
        <v>0</v>
      </c>
      <c r="Q107" s="474">
        <f t="shared" ref="Q107" si="61">P107-$H107+AW107</f>
        <v>0</v>
      </c>
      <c r="R107" s="478">
        <f t="shared" ref="R107" si="62">Q107-$H107+AX107</f>
        <v>0</v>
      </c>
      <c r="S107" s="653">
        <f t="shared" ref="S107" si="63">R107-$H107+AY107</f>
        <v>0</v>
      </c>
      <c r="T107" s="707"/>
      <c r="U107" s="142"/>
      <c r="V107" s="142"/>
      <c r="W107" s="32"/>
      <c r="X107" s="401"/>
      <c r="Y107" s="402"/>
      <c r="Z107" s="32"/>
      <c r="AA107" s="32"/>
      <c r="AB107" s="32"/>
      <c r="AC107" s="401"/>
      <c r="AD107" s="402"/>
      <c r="AE107" s="32"/>
      <c r="AF107" s="41"/>
      <c r="AG107" s="41"/>
      <c r="AH107" s="403"/>
      <c r="AI107" s="402"/>
      <c r="AJ107" s="41"/>
      <c r="AK107" s="32"/>
      <c r="AL107" s="32"/>
      <c r="AM107" s="401"/>
      <c r="AN107" s="402"/>
      <c r="AO107" s="41"/>
      <c r="AP107" s="41"/>
      <c r="AQ107" s="41"/>
      <c r="AR107" s="401"/>
      <c r="AS107" s="402"/>
      <c r="AT107" s="32"/>
      <c r="AU107" s="32"/>
      <c r="AV107" s="32"/>
      <c r="AW107" s="403"/>
      <c r="AX107" s="402"/>
      <c r="AY107" s="32"/>
      <c r="AZ107" s="32"/>
      <c r="BA107" s="232"/>
      <c r="BB107" s="401"/>
      <c r="BC107" s="641"/>
      <c r="BD107" s="121"/>
      <c r="BE107" s="793">
        <f t="shared" ref="BE107" si="64">(J107+BC107)-BD107</f>
        <v>0</v>
      </c>
      <c r="BF107" s="1"/>
    </row>
    <row r="108" spans="1:58" ht="16.2" thickBot="1" x14ac:dyDescent="0.35">
      <c r="A108" s="444"/>
      <c r="B108" s="421"/>
      <c r="C108" s="634" t="s">
        <v>207</v>
      </c>
      <c r="D108" s="409" t="s">
        <v>209</v>
      </c>
      <c r="E108" s="635">
        <v>3.1</v>
      </c>
      <c r="F108" s="636"/>
      <c r="G108" s="409"/>
      <c r="H108" s="845">
        <f t="shared" si="22"/>
        <v>0</v>
      </c>
      <c r="I108" s="409"/>
      <c r="J108" s="362"/>
      <c r="K108" s="806">
        <f t="shared" si="46"/>
        <v>0</v>
      </c>
      <c r="L108" s="475">
        <f t="shared" si="53"/>
        <v>0</v>
      </c>
      <c r="M108" s="476">
        <f t="shared" si="53"/>
        <v>0</v>
      </c>
      <c r="N108" s="475">
        <f t="shared" si="53"/>
        <v>0</v>
      </c>
      <c r="O108" s="476">
        <f t="shared" si="53"/>
        <v>0</v>
      </c>
      <c r="P108" s="475">
        <f t="shared" si="53"/>
        <v>0</v>
      </c>
      <c r="Q108" s="476">
        <f t="shared" si="53"/>
        <v>0</v>
      </c>
      <c r="R108" s="475">
        <f t="shared" si="53"/>
        <v>0</v>
      </c>
      <c r="S108" s="655">
        <f t="shared" si="53"/>
        <v>0</v>
      </c>
      <c r="T108" s="415"/>
      <c r="U108" s="281"/>
      <c r="V108" s="281"/>
      <c r="W108" s="278"/>
      <c r="X108" s="421"/>
      <c r="Y108" s="640"/>
      <c r="Z108" s="278"/>
      <c r="AA108" s="278"/>
      <c r="AB108" s="278"/>
      <c r="AC108" s="421"/>
      <c r="AD108" s="640"/>
      <c r="AE108" s="277"/>
      <c r="AF108" s="277"/>
      <c r="AG108" s="277"/>
      <c r="AH108" s="404"/>
      <c r="AI108" s="640"/>
      <c r="AJ108" s="277"/>
      <c r="AK108" s="278"/>
      <c r="AL108" s="278"/>
      <c r="AM108" s="421"/>
      <c r="AN108" s="640"/>
      <c r="AO108" s="277"/>
      <c r="AP108" s="277"/>
      <c r="AQ108" s="277"/>
      <c r="AR108" s="421"/>
      <c r="AS108" s="640"/>
      <c r="AT108" s="278"/>
      <c r="AU108" s="278"/>
      <c r="AV108" s="278"/>
      <c r="AW108" s="404"/>
      <c r="AX108" s="640"/>
      <c r="AY108" s="278"/>
      <c r="AZ108" s="278"/>
      <c r="BA108" s="286"/>
      <c r="BB108" s="421"/>
      <c r="BC108" s="415"/>
      <c r="BD108" s="168"/>
      <c r="BE108" s="789">
        <f t="shared" si="25"/>
        <v>0</v>
      </c>
      <c r="BF108" s="1"/>
    </row>
    <row r="109" spans="1:58" ht="15.6" x14ac:dyDescent="0.3">
      <c r="A109" s="445">
        <v>2543</v>
      </c>
      <c r="B109" s="360"/>
      <c r="C109" s="361" t="s">
        <v>208</v>
      </c>
      <c r="D109" s="362" t="s">
        <v>209</v>
      </c>
      <c r="E109" s="363">
        <v>3.1</v>
      </c>
      <c r="F109" s="364" t="e">
        <f>(BE109/G109)/7</f>
        <v>#DIV/0!</v>
      </c>
      <c r="G109" s="362"/>
      <c r="H109" s="840">
        <f t="shared" si="22"/>
        <v>0</v>
      </c>
      <c r="I109" s="362"/>
      <c r="J109" s="362"/>
      <c r="K109" s="807">
        <f>J109-$H109</f>
        <v>0</v>
      </c>
      <c r="L109" s="529">
        <f t="shared" ref="L109:S109" si="65">K109-$H109</f>
        <v>0</v>
      </c>
      <c r="M109" s="529">
        <f t="shared" si="65"/>
        <v>0</v>
      </c>
      <c r="N109" s="529">
        <f t="shared" si="65"/>
        <v>0</v>
      </c>
      <c r="O109" s="529">
        <f t="shared" si="65"/>
        <v>0</v>
      </c>
      <c r="P109" s="529">
        <f t="shared" si="65"/>
        <v>0</v>
      </c>
      <c r="Q109" s="529">
        <f t="shared" si="65"/>
        <v>0</v>
      </c>
      <c r="R109" s="450">
        <f t="shared" si="65"/>
        <v>0</v>
      </c>
      <c r="S109" s="649">
        <f t="shared" si="65"/>
        <v>0</v>
      </c>
      <c r="T109" s="641"/>
      <c r="U109" s="121"/>
      <c r="V109" s="121"/>
      <c r="W109" s="22"/>
      <c r="X109" s="360"/>
      <c r="Y109" s="376"/>
      <c r="Z109" s="22"/>
      <c r="AA109" s="22"/>
      <c r="AB109" s="22"/>
      <c r="AC109" s="360"/>
      <c r="AD109" s="376"/>
      <c r="AE109" s="21"/>
      <c r="AF109" s="21"/>
      <c r="AG109" s="21"/>
      <c r="AH109" s="377"/>
      <c r="AI109" s="376"/>
      <c r="AJ109" s="21"/>
      <c r="AK109" s="22"/>
      <c r="AL109" s="22"/>
      <c r="AM109" s="360"/>
      <c r="AN109" s="376"/>
      <c r="AO109" s="21"/>
      <c r="AP109" s="21"/>
      <c r="AQ109" s="21"/>
      <c r="AR109" s="360"/>
      <c r="AS109" s="376"/>
      <c r="AT109" s="22"/>
      <c r="AU109" s="22"/>
      <c r="AV109" s="22"/>
      <c r="AW109" s="377"/>
      <c r="AX109" s="376"/>
      <c r="AY109" s="22"/>
      <c r="AZ109" s="22"/>
      <c r="BA109" s="23"/>
      <c r="BB109" s="360"/>
      <c r="BC109" s="396"/>
      <c r="BD109" s="397"/>
      <c r="BE109" s="790">
        <f t="shared" si="25"/>
        <v>0</v>
      </c>
      <c r="BF109" s="1"/>
    </row>
    <row r="110" spans="1:58" ht="15.6" x14ac:dyDescent="0.3">
      <c r="A110" s="418"/>
      <c r="B110" s="401"/>
      <c r="C110" s="398" t="s">
        <v>210</v>
      </c>
      <c r="D110" s="362" t="s">
        <v>209</v>
      </c>
      <c r="E110" s="399">
        <v>3.1</v>
      </c>
      <c r="F110" s="400"/>
      <c r="G110" s="375"/>
      <c r="H110" s="842">
        <f t="shared" si="22"/>
        <v>0</v>
      </c>
      <c r="I110" s="375"/>
      <c r="J110" s="362"/>
      <c r="K110" s="801">
        <f t="shared" ref="K110:K120" si="66">(J110-$H110)+AR110</f>
        <v>0</v>
      </c>
      <c r="L110" s="451">
        <f t="shared" ref="L110:S111" si="67">(K110-$H110)+AS110</f>
        <v>0</v>
      </c>
      <c r="M110" s="450">
        <f t="shared" si="67"/>
        <v>0</v>
      </c>
      <c r="N110" s="451">
        <f t="shared" si="67"/>
        <v>0</v>
      </c>
      <c r="O110" s="450">
        <f t="shared" si="67"/>
        <v>0</v>
      </c>
      <c r="P110" s="451">
        <f t="shared" si="67"/>
        <v>0</v>
      </c>
      <c r="Q110" s="450">
        <f t="shared" si="67"/>
        <v>0</v>
      </c>
      <c r="R110" s="451">
        <f t="shared" si="67"/>
        <v>0</v>
      </c>
      <c r="S110" s="649">
        <f t="shared" si="67"/>
        <v>0</v>
      </c>
      <c r="T110" s="707"/>
      <c r="U110" s="142"/>
      <c r="V110" s="142"/>
      <c r="W110" s="32"/>
      <c r="X110" s="401"/>
      <c r="Y110" s="402"/>
      <c r="Z110" s="32"/>
      <c r="AA110" s="32"/>
      <c r="AB110" s="32"/>
      <c r="AC110" s="401"/>
      <c r="AD110" s="402"/>
      <c r="AE110" s="41"/>
      <c r="AF110" s="41"/>
      <c r="AG110" s="41"/>
      <c r="AH110" s="403"/>
      <c r="AI110" s="402"/>
      <c r="AJ110" s="41"/>
      <c r="AK110" s="32"/>
      <c r="AL110" s="32"/>
      <c r="AM110" s="401"/>
      <c r="AN110" s="402"/>
      <c r="AO110" s="41"/>
      <c r="AP110" s="41"/>
      <c r="AQ110" s="41"/>
      <c r="AR110" s="401"/>
      <c r="AS110" s="402"/>
      <c r="AT110" s="32"/>
      <c r="AU110" s="32"/>
      <c r="AV110" s="32"/>
      <c r="AW110" s="403"/>
      <c r="AX110" s="402"/>
      <c r="AY110" s="32"/>
      <c r="AZ110" s="32"/>
      <c r="BA110" s="232"/>
      <c r="BB110" s="401"/>
      <c r="BC110" s="429"/>
      <c r="BD110" s="379"/>
      <c r="BE110" s="788">
        <f t="shared" si="25"/>
        <v>0</v>
      </c>
      <c r="BF110" s="1"/>
    </row>
    <row r="111" spans="1:58" ht="16.2" thickBot="1" x14ac:dyDescent="0.35">
      <c r="A111" s="420"/>
      <c r="B111" s="431"/>
      <c r="C111" s="432" t="s">
        <v>211</v>
      </c>
      <c r="D111" s="362" t="s">
        <v>209</v>
      </c>
      <c r="E111" s="433">
        <v>3.1</v>
      </c>
      <c r="F111" s="424"/>
      <c r="G111" s="386"/>
      <c r="H111" s="844">
        <f t="shared" si="22"/>
        <v>0</v>
      </c>
      <c r="I111" s="386"/>
      <c r="J111" s="362"/>
      <c r="K111" s="803">
        <f t="shared" si="66"/>
        <v>0</v>
      </c>
      <c r="L111" s="454">
        <f t="shared" si="67"/>
        <v>0</v>
      </c>
      <c r="M111" s="453">
        <f t="shared" si="67"/>
        <v>0</v>
      </c>
      <c r="N111" s="454">
        <f t="shared" si="67"/>
        <v>0</v>
      </c>
      <c r="O111" s="453">
        <f t="shared" si="67"/>
        <v>0</v>
      </c>
      <c r="P111" s="454">
        <f t="shared" si="67"/>
        <v>0</v>
      </c>
      <c r="Q111" s="453">
        <f t="shared" si="67"/>
        <v>0</v>
      </c>
      <c r="R111" s="454">
        <f t="shared" si="67"/>
        <v>0</v>
      </c>
      <c r="S111" s="654">
        <f t="shared" si="67"/>
        <v>0</v>
      </c>
      <c r="T111" s="709"/>
      <c r="U111" s="305"/>
      <c r="V111" s="305"/>
      <c r="W111" s="163"/>
      <c r="X111" s="431"/>
      <c r="Y111" s="434"/>
      <c r="Z111" s="163"/>
      <c r="AA111" s="163"/>
      <c r="AB111" s="163"/>
      <c r="AC111" s="431"/>
      <c r="AD111" s="434"/>
      <c r="AE111" s="162"/>
      <c r="AF111" s="162"/>
      <c r="AG111" s="162"/>
      <c r="AH111" s="435"/>
      <c r="AI111" s="434"/>
      <c r="AJ111" s="162"/>
      <c r="AK111" s="163"/>
      <c r="AL111" s="163"/>
      <c r="AM111" s="431"/>
      <c r="AN111" s="434"/>
      <c r="AO111" s="162"/>
      <c r="AP111" s="162"/>
      <c r="AQ111" s="162"/>
      <c r="AR111" s="431"/>
      <c r="AS111" s="434"/>
      <c r="AT111" s="163"/>
      <c r="AU111" s="163"/>
      <c r="AV111" s="163"/>
      <c r="AW111" s="435"/>
      <c r="AX111" s="434"/>
      <c r="AY111" s="163"/>
      <c r="AZ111" s="163"/>
      <c r="BA111" s="436"/>
      <c r="BB111" s="431"/>
      <c r="BC111" s="389"/>
      <c r="BD111" s="241"/>
      <c r="BE111" s="792">
        <f t="shared" si="25"/>
        <v>0</v>
      </c>
      <c r="BF111" s="1"/>
    </row>
    <row r="112" spans="1:58" ht="15.6" x14ac:dyDescent="0.3">
      <c r="A112" s="425">
        <v>2542</v>
      </c>
      <c r="B112" s="394"/>
      <c r="C112" s="391" t="s">
        <v>212</v>
      </c>
      <c r="D112" s="392" t="s">
        <v>209</v>
      </c>
      <c r="E112" s="393">
        <v>3.2</v>
      </c>
      <c r="F112" s="364" t="e">
        <f>(BE112/G112)/7</f>
        <v>#DIV/0!</v>
      </c>
      <c r="G112" s="392"/>
      <c r="H112" s="841">
        <f t="shared" si="22"/>
        <v>0</v>
      </c>
      <c r="I112" s="392"/>
      <c r="J112" s="362"/>
      <c r="K112" s="808">
        <f t="shared" ref="K112:S112" si="68">J112-$H112</f>
        <v>0</v>
      </c>
      <c r="L112" s="528">
        <f t="shared" si="68"/>
        <v>0</v>
      </c>
      <c r="M112" s="528">
        <f t="shared" si="68"/>
        <v>0</v>
      </c>
      <c r="N112" s="528">
        <f t="shared" si="68"/>
        <v>0</v>
      </c>
      <c r="O112" s="528">
        <f t="shared" si="68"/>
        <v>0</v>
      </c>
      <c r="P112" s="528">
        <f t="shared" si="68"/>
        <v>0</v>
      </c>
      <c r="Q112" s="528">
        <f t="shared" si="68"/>
        <v>0</v>
      </c>
      <c r="R112" s="473">
        <f t="shared" si="68"/>
        <v>0</v>
      </c>
      <c r="S112" s="651">
        <f t="shared" si="68"/>
        <v>0</v>
      </c>
      <c r="T112" s="710"/>
      <c r="U112" s="260"/>
      <c r="V112" s="260"/>
      <c r="W112" s="257"/>
      <c r="X112" s="394"/>
      <c r="Y112" s="440"/>
      <c r="Z112" s="438"/>
      <c r="AA112" s="438"/>
      <c r="AB112" s="438"/>
      <c r="AC112" s="439"/>
      <c r="AD112" s="440"/>
      <c r="AE112" s="437"/>
      <c r="AF112" s="437"/>
      <c r="AG112" s="437"/>
      <c r="AH112" s="441"/>
      <c r="AI112" s="440"/>
      <c r="AJ112" s="437"/>
      <c r="AK112" s="438"/>
      <c r="AL112" s="438"/>
      <c r="AM112" s="439"/>
      <c r="AN112" s="440"/>
      <c r="AO112" s="437"/>
      <c r="AP112" s="437"/>
      <c r="AQ112" s="437"/>
      <c r="AR112" s="439"/>
      <c r="AS112" s="440"/>
      <c r="AT112" s="438"/>
      <c r="AU112" s="438"/>
      <c r="AV112" s="438"/>
      <c r="AW112" s="441"/>
      <c r="AX112" s="440"/>
      <c r="AY112" s="438"/>
      <c r="AZ112" s="438"/>
      <c r="BA112" s="442"/>
      <c r="BB112" s="439"/>
      <c r="BC112" s="426"/>
      <c r="BD112" s="427"/>
      <c r="BE112" s="791">
        <f t="shared" si="25"/>
        <v>0</v>
      </c>
    </row>
    <row r="113" spans="1:58" ht="15.6" x14ac:dyDescent="0.3">
      <c r="A113" s="428"/>
      <c r="B113" s="401"/>
      <c r="C113" s="398" t="s">
        <v>213</v>
      </c>
      <c r="D113" s="375" t="s">
        <v>209</v>
      </c>
      <c r="E113" s="399">
        <v>3.2</v>
      </c>
      <c r="F113" s="400"/>
      <c r="G113" s="375"/>
      <c r="H113" s="842">
        <f t="shared" si="22"/>
        <v>0</v>
      </c>
      <c r="I113" s="375"/>
      <c r="J113" s="362"/>
      <c r="K113" s="801">
        <f t="shared" si="66"/>
        <v>0</v>
      </c>
      <c r="L113" s="451">
        <f t="shared" ref="L113:S114" si="69">(K113-$H113)+AS113</f>
        <v>0</v>
      </c>
      <c r="M113" s="450">
        <f t="shared" si="69"/>
        <v>0</v>
      </c>
      <c r="N113" s="451">
        <f t="shared" si="69"/>
        <v>0</v>
      </c>
      <c r="O113" s="450">
        <f t="shared" si="69"/>
        <v>0</v>
      </c>
      <c r="P113" s="451">
        <f t="shared" si="69"/>
        <v>0</v>
      </c>
      <c r="Q113" s="450">
        <f t="shared" si="69"/>
        <v>0</v>
      </c>
      <c r="R113" s="451">
        <f t="shared" si="69"/>
        <v>0</v>
      </c>
      <c r="S113" s="649">
        <f t="shared" si="69"/>
        <v>0</v>
      </c>
      <c r="T113" s="707"/>
      <c r="U113" s="142"/>
      <c r="V113" s="142"/>
      <c r="W113" s="32"/>
      <c r="X113" s="401"/>
      <c r="Y113" s="402"/>
      <c r="Z113" s="32"/>
      <c r="AA113" s="32"/>
      <c r="AB113" s="32"/>
      <c r="AC113" s="401"/>
      <c r="AD113" s="402"/>
      <c r="AE113" s="41"/>
      <c r="AF113" s="41"/>
      <c r="AG113" s="41"/>
      <c r="AH113" s="403"/>
      <c r="AI113" s="402"/>
      <c r="AJ113" s="41"/>
      <c r="AK113" s="32"/>
      <c r="AL113" s="32"/>
      <c r="AM113" s="401"/>
      <c r="AN113" s="402"/>
      <c r="AO113" s="41"/>
      <c r="AP113" s="41"/>
      <c r="AQ113" s="41"/>
      <c r="AR113" s="401"/>
      <c r="AS113" s="402"/>
      <c r="AT113" s="32"/>
      <c r="AU113" s="32"/>
      <c r="AV113" s="32"/>
      <c r="AW113" s="403"/>
      <c r="AX113" s="402"/>
      <c r="AY113" s="32"/>
      <c r="AZ113" s="32"/>
      <c r="BA113" s="232"/>
      <c r="BB113" s="401"/>
      <c r="BC113" s="429"/>
      <c r="BD113" s="379"/>
      <c r="BE113" s="788">
        <f t="shared" si="25"/>
        <v>0</v>
      </c>
      <c r="BF113" s="1"/>
    </row>
    <row r="114" spans="1:58" ht="16.2" thickBot="1" x14ac:dyDescent="0.35">
      <c r="A114" s="444"/>
      <c r="B114" s="411"/>
      <c r="C114" s="405" t="s">
        <v>214</v>
      </c>
      <c r="D114" s="406" t="s">
        <v>209</v>
      </c>
      <c r="E114" s="407">
        <v>3.2</v>
      </c>
      <c r="F114" s="424"/>
      <c r="G114" s="406"/>
      <c r="H114" s="843">
        <f t="shared" si="22"/>
        <v>0</v>
      </c>
      <c r="I114" s="406"/>
      <c r="J114" s="362"/>
      <c r="K114" s="803">
        <f t="shared" si="66"/>
        <v>0</v>
      </c>
      <c r="L114" s="454">
        <f t="shared" si="69"/>
        <v>0</v>
      </c>
      <c r="M114" s="453">
        <f t="shared" si="69"/>
        <v>0</v>
      </c>
      <c r="N114" s="454">
        <f t="shared" si="69"/>
        <v>0</v>
      </c>
      <c r="O114" s="453">
        <f t="shared" si="69"/>
        <v>0</v>
      </c>
      <c r="P114" s="454">
        <f t="shared" si="69"/>
        <v>0</v>
      </c>
      <c r="Q114" s="453">
        <f t="shared" si="69"/>
        <v>0</v>
      </c>
      <c r="R114" s="454">
        <f t="shared" si="69"/>
        <v>0</v>
      </c>
      <c r="S114" s="654">
        <f t="shared" si="69"/>
        <v>0</v>
      </c>
      <c r="T114" s="708"/>
      <c r="U114" s="168"/>
      <c r="V114" s="168"/>
      <c r="W114" s="167"/>
      <c r="X114" s="411"/>
      <c r="Y114" s="412"/>
      <c r="Z114" s="167"/>
      <c r="AA114" s="167"/>
      <c r="AB114" s="167"/>
      <c r="AC114" s="411"/>
      <c r="AD114" s="412"/>
      <c r="AE114" s="166"/>
      <c r="AF114" s="166"/>
      <c r="AG114" s="166"/>
      <c r="AH114" s="413"/>
      <c r="AI114" s="412"/>
      <c r="AJ114" s="166"/>
      <c r="AK114" s="167"/>
      <c r="AL114" s="167"/>
      <c r="AM114" s="411"/>
      <c r="AN114" s="412"/>
      <c r="AO114" s="166"/>
      <c r="AP114" s="166"/>
      <c r="AQ114" s="166"/>
      <c r="AR114" s="411"/>
      <c r="AS114" s="412"/>
      <c r="AT114" s="167"/>
      <c r="AU114" s="167"/>
      <c r="AV114" s="167"/>
      <c r="AW114" s="413"/>
      <c r="AX114" s="412"/>
      <c r="AY114" s="167"/>
      <c r="AZ114" s="167"/>
      <c r="BA114" s="414"/>
      <c r="BB114" s="411"/>
      <c r="BC114" s="415"/>
      <c r="BD114" s="281"/>
      <c r="BE114" s="789">
        <f t="shared" si="25"/>
        <v>0</v>
      </c>
      <c r="BF114" s="1"/>
    </row>
    <row r="115" spans="1:58" ht="15.6" x14ac:dyDescent="0.3">
      <c r="A115" s="445">
        <v>2541</v>
      </c>
      <c r="B115" s="360"/>
      <c r="C115" s="361" t="s">
        <v>215</v>
      </c>
      <c r="D115" s="362" t="s">
        <v>209</v>
      </c>
      <c r="E115" s="363">
        <v>3.3</v>
      </c>
      <c r="F115" s="364" t="e">
        <f>(BE115/G115)/7</f>
        <v>#DIV/0!</v>
      </c>
      <c r="G115" s="362"/>
      <c r="H115" s="840">
        <f t="shared" si="22"/>
        <v>0</v>
      </c>
      <c r="I115" s="362"/>
      <c r="J115" s="362"/>
      <c r="K115" s="808">
        <f>J115-$H115</f>
        <v>0</v>
      </c>
      <c r="L115" s="528">
        <f t="shared" ref="L115:S115" si="70">K115-$H115</f>
        <v>0</v>
      </c>
      <c r="M115" s="528">
        <f t="shared" ref="M115" si="71">L115-$H115</f>
        <v>0</v>
      </c>
      <c r="N115" s="528">
        <f t="shared" ref="N115" si="72">M115-$H115</f>
        <v>0</v>
      </c>
      <c r="O115" s="528">
        <f t="shared" ref="O115" si="73">N115-$H115</f>
        <v>0</v>
      </c>
      <c r="P115" s="528">
        <f t="shared" ref="P115" si="74">O115-$H115</f>
        <v>0</v>
      </c>
      <c r="Q115" s="528">
        <f t="shared" si="70"/>
        <v>0</v>
      </c>
      <c r="R115" s="473">
        <f t="shared" si="70"/>
        <v>0</v>
      </c>
      <c r="S115" s="651">
        <f t="shared" si="70"/>
        <v>0</v>
      </c>
      <c r="T115" s="641"/>
      <c r="U115" s="121"/>
      <c r="V115" s="121"/>
      <c r="W115" s="22"/>
      <c r="X115" s="360"/>
      <c r="Y115" s="369"/>
      <c r="Z115" s="367"/>
      <c r="AA115" s="367"/>
      <c r="AB115" s="367"/>
      <c r="AC115" s="368"/>
      <c r="AD115" s="369"/>
      <c r="AE115" s="366"/>
      <c r="AF115" s="366"/>
      <c r="AG115" s="366"/>
      <c r="AH115" s="371"/>
      <c r="AI115" s="369"/>
      <c r="AJ115" s="366"/>
      <c r="AK115" s="367"/>
      <c r="AL115" s="367"/>
      <c r="AM115" s="368"/>
      <c r="AN115" s="369"/>
      <c r="AO115" s="366"/>
      <c r="AP115" s="366"/>
      <c r="AQ115" s="366"/>
      <c r="AR115" s="368"/>
      <c r="AS115" s="369"/>
      <c r="AT115" s="367"/>
      <c r="AU115" s="367"/>
      <c r="AV115" s="367"/>
      <c r="AW115" s="371"/>
      <c r="AX115" s="369"/>
      <c r="AY115" s="367"/>
      <c r="AZ115" s="367"/>
      <c r="BA115" s="372"/>
      <c r="BB115" s="368"/>
      <c r="BC115" s="426"/>
      <c r="BD115" s="427"/>
      <c r="BE115" s="791">
        <f t="shared" si="25"/>
        <v>0</v>
      </c>
    </row>
    <row r="116" spans="1:58" ht="15.6" x14ac:dyDescent="0.3">
      <c r="A116" s="418"/>
      <c r="B116" s="401"/>
      <c r="C116" s="398" t="s">
        <v>216</v>
      </c>
      <c r="D116" s="375" t="s">
        <v>209</v>
      </c>
      <c r="E116" s="399">
        <v>3.3</v>
      </c>
      <c r="F116" s="400"/>
      <c r="G116" s="375"/>
      <c r="H116" s="842">
        <f t="shared" si="22"/>
        <v>0</v>
      </c>
      <c r="I116" s="375"/>
      <c r="J116" s="362"/>
      <c r="K116" s="72">
        <f t="shared" si="66"/>
        <v>0</v>
      </c>
      <c r="L116" s="478">
        <f t="shared" ref="L116:S117" si="75">(K116-$H116)+AS116</f>
        <v>0</v>
      </c>
      <c r="M116" s="474">
        <f t="shared" si="75"/>
        <v>0</v>
      </c>
      <c r="N116" s="478">
        <f t="shared" si="75"/>
        <v>0</v>
      </c>
      <c r="O116" s="474">
        <f t="shared" si="75"/>
        <v>0</v>
      </c>
      <c r="P116" s="478">
        <f t="shared" si="75"/>
        <v>0</v>
      </c>
      <c r="Q116" s="474">
        <f t="shared" si="75"/>
        <v>0</v>
      </c>
      <c r="R116" s="478">
        <f t="shared" si="75"/>
        <v>0</v>
      </c>
      <c r="S116" s="653">
        <f t="shared" si="75"/>
        <v>0</v>
      </c>
      <c r="T116" s="707"/>
      <c r="U116" s="142"/>
      <c r="V116" s="142"/>
      <c r="W116" s="32"/>
      <c r="X116" s="401"/>
      <c r="Y116" s="402"/>
      <c r="Z116" s="32"/>
      <c r="AA116" s="32"/>
      <c r="AB116" s="32"/>
      <c r="AC116" s="401"/>
      <c r="AD116" s="402"/>
      <c r="AE116" s="41"/>
      <c r="AF116" s="41"/>
      <c r="AG116" s="41"/>
      <c r="AH116" s="403"/>
      <c r="AI116" s="402"/>
      <c r="AJ116" s="41"/>
      <c r="AK116" s="32"/>
      <c r="AL116" s="32"/>
      <c r="AM116" s="401"/>
      <c r="AN116" s="402"/>
      <c r="AO116" s="41"/>
      <c r="AP116" s="41"/>
      <c r="AQ116" s="41"/>
      <c r="AR116" s="401"/>
      <c r="AS116" s="402"/>
      <c r="AT116" s="32"/>
      <c r="AU116" s="32"/>
      <c r="AV116" s="32"/>
      <c r="AW116" s="403"/>
      <c r="AX116" s="402"/>
      <c r="AY116" s="32"/>
      <c r="AZ116" s="32"/>
      <c r="BA116" s="232"/>
      <c r="BB116" s="401"/>
      <c r="BC116" s="429"/>
      <c r="BD116" s="379"/>
      <c r="BE116" s="788">
        <f t="shared" si="25"/>
        <v>0</v>
      </c>
      <c r="BF116" s="1"/>
    </row>
    <row r="117" spans="1:58" ht="16.2" thickBot="1" x14ac:dyDescent="0.35">
      <c r="A117" s="420"/>
      <c r="B117" s="431"/>
      <c r="C117" s="432" t="s">
        <v>217</v>
      </c>
      <c r="D117" s="386" t="s">
        <v>209</v>
      </c>
      <c r="E117" s="433">
        <v>3.3</v>
      </c>
      <c r="F117" s="424"/>
      <c r="G117" s="386"/>
      <c r="H117" s="844">
        <f t="shared" si="22"/>
        <v>0</v>
      </c>
      <c r="I117" s="386"/>
      <c r="J117" s="362"/>
      <c r="K117" s="803">
        <f t="shared" si="66"/>
        <v>0</v>
      </c>
      <c r="L117" s="454">
        <f t="shared" si="75"/>
        <v>0</v>
      </c>
      <c r="M117" s="453">
        <f t="shared" si="75"/>
        <v>0</v>
      </c>
      <c r="N117" s="454">
        <f t="shared" si="75"/>
        <v>0</v>
      </c>
      <c r="O117" s="453">
        <f t="shared" si="75"/>
        <v>0</v>
      </c>
      <c r="P117" s="454">
        <f t="shared" si="75"/>
        <v>0</v>
      </c>
      <c r="Q117" s="453">
        <f t="shared" si="75"/>
        <v>0</v>
      </c>
      <c r="R117" s="454">
        <f t="shared" si="75"/>
        <v>0</v>
      </c>
      <c r="S117" s="654">
        <f t="shared" si="75"/>
        <v>0</v>
      </c>
      <c r="T117" s="709"/>
      <c r="U117" s="305"/>
      <c r="V117" s="305"/>
      <c r="W117" s="163"/>
      <c r="X117" s="431"/>
      <c r="Y117" s="434"/>
      <c r="Z117" s="163"/>
      <c r="AA117" s="163"/>
      <c r="AB117" s="163"/>
      <c r="AC117" s="431"/>
      <c r="AD117" s="434"/>
      <c r="AE117" s="162"/>
      <c r="AF117" s="162"/>
      <c r="AG117" s="162"/>
      <c r="AH117" s="435"/>
      <c r="AI117" s="434"/>
      <c r="AJ117" s="162"/>
      <c r="AK117" s="163"/>
      <c r="AL117" s="163"/>
      <c r="AM117" s="431"/>
      <c r="AN117" s="434"/>
      <c r="AO117" s="162"/>
      <c r="AP117" s="162"/>
      <c r="AQ117" s="162"/>
      <c r="AR117" s="431"/>
      <c r="AS117" s="434"/>
      <c r="AT117" s="163"/>
      <c r="AU117" s="163"/>
      <c r="AV117" s="163"/>
      <c r="AW117" s="435"/>
      <c r="AX117" s="434"/>
      <c r="AY117" s="163"/>
      <c r="AZ117" s="163"/>
      <c r="BA117" s="436"/>
      <c r="BB117" s="431"/>
      <c r="BC117" s="389"/>
      <c r="BD117" s="241"/>
      <c r="BE117" s="789">
        <f t="shared" si="25"/>
        <v>0</v>
      </c>
      <c r="BF117" s="1"/>
    </row>
    <row r="118" spans="1:58" ht="15.6" x14ac:dyDescent="0.3">
      <c r="A118" s="425">
        <v>2540</v>
      </c>
      <c r="B118" s="394"/>
      <c r="C118" s="391" t="s">
        <v>218</v>
      </c>
      <c r="D118" s="392" t="s">
        <v>209</v>
      </c>
      <c r="E118" s="446">
        <v>3.3</v>
      </c>
      <c r="F118" s="364" t="e">
        <f>(BE118/G118)/7</f>
        <v>#DIV/0!</v>
      </c>
      <c r="G118" s="392"/>
      <c r="H118" s="841">
        <f t="shared" si="22"/>
        <v>0</v>
      </c>
      <c r="I118" s="392"/>
      <c r="J118" s="362"/>
      <c r="K118" s="808">
        <f t="shared" ref="K118:S118" si="76">J118-$H118</f>
        <v>0</v>
      </c>
      <c r="L118" s="528">
        <f t="shared" si="76"/>
        <v>0</v>
      </c>
      <c r="M118" s="528">
        <f t="shared" si="76"/>
        <v>0</v>
      </c>
      <c r="N118" s="528">
        <f t="shared" si="76"/>
        <v>0</v>
      </c>
      <c r="O118" s="528">
        <f t="shared" si="76"/>
        <v>0</v>
      </c>
      <c r="P118" s="473">
        <f t="shared" si="76"/>
        <v>0</v>
      </c>
      <c r="Q118" s="530">
        <v>6000</v>
      </c>
      <c r="R118" s="473">
        <f t="shared" si="76"/>
        <v>6000</v>
      </c>
      <c r="S118" s="651">
        <f t="shared" si="76"/>
        <v>6000</v>
      </c>
      <c r="T118" s="710"/>
      <c r="U118" s="260"/>
      <c r="V118" s="260"/>
      <c r="W118" s="257"/>
      <c r="X118" s="394"/>
      <c r="Y118" s="395"/>
      <c r="Z118" s="257"/>
      <c r="AA118" s="257"/>
      <c r="AB118" s="257"/>
      <c r="AC118" s="394"/>
      <c r="AD118" s="395"/>
      <c r="AE118" s="256"/>
      <c r="AF118" s="256"/>
      <c r="AG118" s="256"/>
      <c r="AH118" s="390"/>
      <c r="AI118" s="395"/>
      <c r="AJ118" s="256"/>
      <c r="AK118" s="257"/>
      <c r="AL118" s="257"/>
      <c r="AM118" s="394"/>
      <c r="AN118" s="395"/>
      <c r="AO118" s="256"/>
      <c r="AP118" s="256"/>
      <c r="AQ118" s="256"/>
      <c r="AR118" s="394"/>
      <c r="AS118" s="395"/>
      <c r="AT118" s="257"/>
      <c r="AU118" s="257"/>
      <c r="AV118" s="257"/>
      <c r="AW118" s="390"/>
      <c r="AX118" s="395"/>
      <c r="AY118" s="257"/>
      <c r="AZ118" s="257"/>
      <c r="BA118" s="265"/>
      <c r="BB118" s="394"/>
      <c r="BC118" s="396"/>
      <c r="BD118" s="397"/>
      <c r="BE118" s="790">
        <f t="shared" si="25"/>
        <v>0</v>
      </c>
      <c r="BF118" s="1"/>
    </row>
    <row r="119" spans="1:58" ht="15.6" x14ac:dyDescent="0.3">
      <c r="A119" s="447"/>
      <c r="B119" s="401"/>
      <c r="C119" s="432" t="s">
        <v>219</v>
      </c>
      <c r="D119" s="386" t="s">
        <v>209</v>
      </c>
      <c r="E119" s="448">
        <v>3.3</v>
      </c>
      <c r="F119" s="449"/>
      <c r="G119" s="375"/>
      <c r="H119" s="844">
        <f t="shared" si="22"/>
        <v>0</v>
      </c>
      <c r="I119" s="386"/>
      <c r="J119" s="362"/>
      <c r="K119" s="809">
        <f t="shared" si="66"/>
        <v>0</v>
      </c>
      <c r="L119" s="451">
        <f t="shared" ref="L119:S120" si="77">(K119-$H119)+AS119</f>
        <v>0</v>
      </c>
      <c r="M119" s="450">
        <f t="shared" si="77"/>
        <v>0</v>
      </c>
      <c r="N119" s="451">
        <f t="shared" si="77"/>
        <v>0</v>
      </c>
      <c r="O119" s="450">
        <f t="shared" si="77"/>
        <v>0</v>
      </c>
      <c r="P119" s="451">
        <f t="shared" si="77"/>
        <v>0</v>
      </c>
      <c r="Q119" s="450">
        <f t="shared" si="77"/>
        <v>0</v>
      </c>
      <c r="R119" s="451">
        <f t="shared" si="77"/>
        <v>0</v>
      </c>
      <c r="S119" s="649">
        <f t="shared" si="77"/>
        <v>0</v>
      </c>
      <c r="T119" s="707"/>
      <c r="U119" s="305"/>
      <c r="V119" s="305"/>
      <c r="W119" s="163"/>
      <c r="X119" s="431"/>
      <c r="Y119" s="434"/>
      <c r="Z119" s="163"/>
      <c r="AA119" s="163"/>
      <c r="AB119" s="163"/>
      <c r="AC119" s="431"/>
      <c r="AD119" s="434"/>
      <c r="AE119" s="162"/>
      <c r="AF119" s="162"/>
      <c r="AG119" s="162"/>
      <c r="AH119" s="435"/>
      <c r="AI119" s="434"/>
      <c r="AJ119" s="162"/>
      <c r="AK119" s="163"/>
      <c r="AL119" s="163"/>
      <c r="AM119" s="431"/>
      <c r="AN119" s="434"/>
      <c r="AO119" s="162"/>
      <c r="AP119" s="162"/>
      <c r="AQ119" s="162"/>
      <c r="AR119" s="431"/>
      <c r="AS119" s="434"/>
      <c r="AT119" s="163"/>
      <c r="AU119" s="163"/>
      <c r="AV119" s="163"/>
      <c r="AW119" s="435"/>
      <c r="AX119" s="434"/>
      <c r="AY119" s="163"/>
      <c r="AZ119" s="163"/>
      <c r="BA119" s="436"/>
      <c r="BB119" s="431"/>
      <c r="BC119" s="429"/>
      <c r="BD119" s="379"/>
      <c r="BE119" s="788">
        <f t="shared" si="25"/>
        <v>0</v>
      </c>
      <c r="BF119" s="1"/>
    </row>
    <row r="120" spans="1:58" ht="16.2" thickBot="1" x14ac:dyDescent="0.35">
      <c r="A120" s="420"/>
      <c r="B120" s="411"/>
      <c r="C120" s="405" t="s">
        <v>220</v>
      </c>
      <c r="D120" s="406" t="s">
        <v>209</v>
      </c>
      <c r="E120" s="452">
        <v>3.3</v>
      </c>
      <c r="F120" s="424"/>
      <c r="G120" s="406"/>
      <c r="H120" s="843">
        <f t="shared" si="22"/>
        <v>0</v>
      </c>
      <c r="I120" s="406"/>
      <c r="J120" s="362"/>
      <c r="K120" s="810">
        <f t="shared" si="66"/>
        <v>0</v>
      </c>
      <c r="L120" s="454">
        <f t="shared" si="77"/>
        <v>0</v>
      </c>
      <c r="M120" s="453">
        <f t="shared" si="77"/>
        <v>0</v>
      </c>
      <c r="N120" s="455">
        <f t="shared" si="77"/>
        <v>0</v>
      </c>
      <c r="O120" s="456">
        <f t="shared" si="77"/>
        <v>0</v>
      </c>
      <c r="P120" s="455">
        <f t="shared" si="77"/>
        <v>0</v>
      </c>
      <c r="Q120" s="456">
        <f t="shared" si="77"/>
        <v>0</v>
      </c>
      <c r="R120" s="455">
        <f t="shared" si="77"/>
        <v>0</v>
      </c>
      <c r="S120" s="650">
        <f t="shared" si="77"/>
        <v>0</v>
      </c>
      <c r="T120" s="708"/>
      <c r="U120" s="168"/>
      <c r="V120" s="168"/>
      <c r="W120" s="167"/>
      <c r="X120" s="411"/>
      <c r="Y120" s="412"/>
      <c r="Z120" s="167"/>
      <c r="AA120" s="167"/>
      <c r="AB120" s="167"/>
      <c r="AC120" s="411"/>
      <c r="AD120" s="412"/>
      <c r="AE120" s="166"/>
      <c r="AF120" s="166"/>
      <c r="AG120" s="166"/>
      <c r="AH120" s="413"/>
      <c r="AI120" s="412"/>
      <c r="AJ120" s="166"/>
      <c r="AK120" s="167"/>
      <c r="AL120" s="167"/>
      <c r="AM120" s="411"/>
      <c r="AN120" s="412"/>
      <c r="AO120" s="166"/>
      <c r="AP120" s="166"/>
      <c r="AQ120" s="166"/>
      <c r="AR120" s="411"/>
      <c r="AS120" s="412"/>
      <c r="AT120" s="167"/>
      <c r="AU120" s="167"/>
      <c r="AV120" s="167"/>
      <c r="AW120" s="413"/>
      <c r="AX120" s="412"/>
      <c r="AY120" s="167"/>
      <c r="AZ120" s="167"/>
      <c r="BA120" s="414"/>
      <c r="BB120" s="411"/>
      <c r="BC120" s="415"/>
      <c r="BD120" s="281"/>
      <c r="BE120" s="789">
        <f t="shared" si="25"/>
        <v>0</v>
      </c>
      <c r="BF120" s="1"/>
    </row>
    <row r="121" spans="1:58" ht="15.6" x14ac:dyDescent="0.3">
      <c r="A121" s="531"/>
      <c r="B121" s="532"/>
      <c r="C121" s="533" t="s">
        <v>221</v>
      </c>
      <c r="D121" s="534" t="s">
        <v>209</v>
      </c>
      <c r="E121" s="535">
        <v>3.3</v>
      </c>
      <c r="F121" s="536" t="e">
        <f>(BE121/G121)/7</f>
        <v>#DIV/0!</v>
      </c>
      <c r="G121" s="385"/>
      <c r="H121" s="846">
        <f t="shared" si="22"/>
        <v>0</v>
      </c>
      <c r="I121" s="385"/>
      <c r="J121" s="362"/>
      <c r="K121" s="72">
        <f>(J121-$H121)</f>
        <v>0</v>
      </c>
      <c r="L121" s="419">
        <f>(K121-$H121)</f>
        <v>0</v>
      </c>
      <c r="M121" s="477">
        <f>(L121-$H121)+Z121</f>
        <v>0</v>
      </c>
      <c r="N121" s="477">
        <f t="shared" ref="N121:P121" si="78">(M121-$H121)+AA121</f>
        <v>0</v>
      </c>
      <c r="O121" s="477">
        <f t="shared" si="78"/>
        <v>0</v>
      </c>
      <c r="P121" s="477">
        <f t="shared" si="78"/>
        <v>0</v>
      </c>
      <c r="Q121" s="479">
        <f t="shared" ref="Q121:S123" si="79">(P121-$H121)+AD121</f>
        <v>0</v>
      </c>
      <c r="R121" s="480">
        <f t="shared" si="79"/>
        <v>0</v>
      </c>
      <c r="S121" s="656">
        <f t="shared" si="79"/>
        <v>0</v>
      </c>
      <c r="T121" s="389"/>
      <c r="U121" s="241"/>
      <c r="V121" s="241"/>
      <c r="W121" s="191"/>
      <c r="X121" s="381"/>
      <c r="Y121" s="387"/>
      <c r="Z121" s="191"/>
      <c r="AA121" s="191"/>
      <c r="AB121" s="191"/>
      <c r="AC121" s="381"/>
      <c r="AD121" s="387"/>
      <c r="AE121" s="244"/>
      <c r="AF121" s="244"/>
      <c r="AG121" s="244"/>
      <c r="AH121" s="388"/>
      <c r="AI121" s="387"/>
      <c r="AJ121" s="244"/>
      <c r="AK121" s="191"/>
      <c r="AL121" s="191"/>
      <c r="AM121" s="381"/>
      <c r="AN121" s="387"/>
      <c r="AO121" s="244"/>
      <c r="AP121" s="244"/>
      <c r="AQ121" s="244"/>
      <c r="AR121" s="381"/>
      <c r="AS121" s="387"/>
      <c r="AT121" s="191"/>
      <c r="AU121" s="191"/>
      <c r="AV121" s="191"/>
      <c r="AW121" s="388"/>
      <c r="AX121" s="387"/>
      <c r="AY121" s="191"/>
      <c r="AZ121" s="191"/>
      <c r="BA121" s="247"/>
      <c r="BB121" s="381"/>
      <c r="BC121" s="396"/>
      <c r="BD121" s="397"/>
      <c r="BE121" s="790">
        <f t="shared" si="25"/>
        <v>0</v>
      </c>
      <c r="BF121" s="1"/>
    </row>
    <row r="122" spans="1:58" ht="15.6" x14ac:dyDescent="0.3">
      <c r="A122" s="537"/>
      <c r="B122" s="538"/>
      <c r="C122" s="539" t="s">
        <v>222</v>
      </c>
      <c r="D122" s="540" t="s">
        <v>209</v>
      </c>
      <c r="E122" s="535">
        <v>3.3</v>
      </c>
      <c r="F122" s="541"/>
      <c r="G122" s="375"/>
      <c r="H122" s="842">
        <f t="shared" si="22"/>
        <v>0</v>
      </c>
      <c r="I122" s="375"/>
      <c r="J122" s="362"/>
      <c r="K122" s="72">
        <f>(J122-$H122)+X122</f>
        <v>0</v>
      </c>
      <c r="L122" s="454">
        <f>(K122-$H122)+Y122</f>
        <v>0</v>
      </c>
      <c r="M122" s="474">
        <f>(L122-$H122)+Z122</f>
        <v>0</v>
      </c>
      <c r="N122" s="451">
        <f t="shared" ref="N122:P123" si="80">(M122-$H122)+AA122</f>
        <v>0</v>
      </c>
      <c r="O122" s="481">
        <f t="shared" si="80"/>
        <v>0</v>
      </c>
      <c r="P122" s="451">
        <f t="shared" si="80"/>
        <v>0</v>
      </c>
      <c r="Q122" s="481">
        <f t="shared" si="79"/>
        <v>0</v>
      </c>
      <c r="R122" s="482">
        <f t="shared" si="79"/>
        <v>0</v>
      </c>
      <c r="S122" s="657">
        <f t="shared" si="79"/>
        <v>0</v>
      </c>
      <c r="T122" s="707"/>
      <c r="U122" s="142"/>
      <c r="V122" s="142"/>
      <c r="W122" s="32"/>
      <c r="X122" s="401"/>
      <c r="Y122" s="402"/>
      <c r="Z122" s="32"/>
      <c r="AA122" s="32"/>
      <c r="AB122" s="32"/>
      <c r="AC122" s="401"/>
      <c r="AD122" s="402"/>
      <c r="AE122" s="41"/>
      <c r="AF122" s="41"/>
      <c r="AG122" s="41"/>
      <c r="AH122" s="403"/>
      <c r="AI122" s="402"/>
      <c r="AJ122" s="41"/>
      <c r="AK122" s="32"/>
      <c r="AL122" s="32"/>
      <c r="AM122" s="401"/>
      <c r="AN122" s="402"/>
      <c r="AO122" s="41"/>
      <c r="AP122" s="41"/>
      <c r="AQ122" s="41"/>
      <c r="AR122" s="401"/>
      <c r="AS122" s="402"/>
      <c r="AT122" s="32"/>
      <c r="AU122" s="32"/>
      <c r="AV122" s="32"/>
      <c r="AW122" s="403"/>
      <c r="AX122" s="402"/>
      <c r="AY122" s="32"/>
      <c r="AZ122" s="32"/>
      <c r="BA122" s="232"/>
      <c r="BB122" s="401"/>
      <c r="BC122" s="429"/>
      <c r="BD122" s="457"/>
      <c r="BE122" s="788">
        <f t="shared" si="25"/>
        <v>0</v>
      </c>
      <c r="BF122" s="1"/>
    </row>
    <row r="123" spans="1:58" ht="16.2" thickBot="1" x14ac:dyDescent="0.35">
      <c r="A123" s="542"/>
      <c r="B123" s="543"/>
      <c r="C123" s="544" t="s">
        <v>223</v>
      </c>
      <c r="D123" s="545" t="s">
        <v>209</v>
      </c>
      <c r="E123" s="546">
        <v>3.3</v>
      </c>
      <c r="F123" s="547"/>
      <c r="G123" s="458"/>
      <c r="H123" s="847">
        <f t="shared" si="22"/>
        <v>0</v>
      </c>
      <c r="I123" s="458"/>
      <c r="J123" s="459"/>
      <c r="K123" s="82">
        <f>(J123-$H123)+X123</f>
        <v>0</v>
      </c>
      <c r="L123" s="483">
        <f>(K123-$H123)+Y123</f>
        <v>0</v>
      </c>
      <c r="M123" s="484">
        <f>(L123-$H123)+Z123</f>
        <v>0</v>
      </c>
      <c r="N123" s="485">
        <f t="shared" si="80"/>
        <v>0</v>
      </c>
      <c r="O123" s="486">
        <f t="shared" si="80"/>
        <v>0</v>
      </c>
      <c r="P123" s="485">
        <f t="shared" si="80"/>
        <v>0</v>
      </c>
      <c r="Q123" s="486">
        <f t="shared" si="79"/>
        <v>0</v>
      </c>
      <c r="R123" s="487">
        <f t="shared" si="79"/>
        <v>0</v>
      </c>
      <c r="S123" s="658">
        <f t="shared" si="79"/>
        <v>0</v>
      </c>
      <c r="T123" s="711"/>
      <c r="U123" s="460"/>
      <c r="V123" s="460"/>
      <c r="W123" s="461"/>
      <c r="X123" s="462"/>
      <c r="Y123" s="464"/>
      <c r="Z123" s="461"/>
      <c r="AA123" s="461"/>
      <c r="AB123" s="461"/>
      <c r="AC123" s="462"/>
      <c r="AD123" s="464"/>
      <c r="AE123" s="463"/>
      <c r="AF123" s="463"/>
      <c r="AG123" s="463"/>
      <c r="AH123" s="465"/>
      <c r="AI123" s="464"/>
      <c r="AJ123" s="463"/>
      <c r="AK123" s="461"/>
      <c r="AL123" s="461"/>
      <c r="AM123" s="462"/>
      <c r="AN123" s="464"/>
      <c r="AO123" s="463"/>
      <c r="AP123" s="463"/>
      <c r="AQ123" s="463"/>
      <c r="AR123" s="462"/>
      <c r="AS123" s="464"/>
      <c r="AT123" s="461"/>
      <c r="AU123" s="461"/>
      <c r="AV123" s="461"/>
      <c r="AW123" s="465"/>
      <c r="AX123" s="464"/>
      <c r="AY123" s="461"/>
      <c r="AZ123" s="461"/>
      <c r="BA123" s="466"/>
      <c r="BB123" s="462"/>
      <c r="BC123" s="467"/>
      <c r="BD123" s="468"/>
      <c r="BE123" s="794">
        <f t="shared" si="25"/>
        <v>0</v>
      </c>
      <c r="BF123" s="1"/>
    </row>
    <row r="124" spans="1:58" ht="15" thickTop="1" x14ac:dyDescent="0.3">
      <c r="A124" s="1"/>
      <c r="B124" s="1"/>
      <c r="C124" s="1"/>
      <c r="D124" s="1"/>
      <c r="E124" s="1"/>
      <c r="F124" s="1"/>
      <c r="G124" s="1"/>
      <c r="H124" s="1"/>
      <c r="I124" s="857"/>
      <c r="J124" s="1"/>
      <c r="K124" s="1"/>
      <c r="L124" s="1"/>
      <c r="M124" s="469"/>
      <c r="N124" s="470"/>
      <c r="O124" s="1"/>
      <c r="P124" s="1"/>
      <c r="Q124" s="1"/>
      <c r="R124" s="1"/>
      <c r="S124" s="1"/>
      <c r="T124" s="1"/>
      <c r="U124" s="1"/>
      <c r="V124" s="1"/>
      <c r="W124" s="47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</row>
    <row r="125" spans="1:58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</row>
    <row r="126" spans="1:58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</row>
    <row r="127" spans="1:58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</row>
  </sheetData>
  <mergeCells count="8">
    <mergeCell ref="A58:A60"/>
    <mergeCell ref="B58:B60"/>
    <mergeCell ref="A61:A63"/>
    <mergeCell ref="B61:B63"/>
    <mergeCell ref="A12:D12"/>
    <mergeCell ref="A49:A51"/>
    <mergeCell ref="A52:A54"/>
    <mergeCell ref="A55:A57"/>
  </mergeCells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2F97F-B69B-4A8D-BAA7-D0B2DD4D67B5}">
  <dimension ref="A1:J60"/>
  <sheetViews>
    <sheetView tabSelected="1" workbookViewId="0">
      <selection activeCell="M21" sqref="M21"/>
    </sheetView>
  </sheetViews>
  <sheetFormatPr defaultRowHeight="14.4" x14ac:dyDescent="0.3"/>
  <cols>
    <col min="2" max="2" width="18.44140625" bestFit="1" customWidth="1"/>
    <col min="3" max="7" width="11.5546875" bestFit="1" customWidth="1"/>
    <col min="8" max="9" width="10.5546875" bestFit="1" customWidth="1"/>
    <col min="10" max="10" width="15.6640625" bestFit="1" customWidth="1"/>
  </cols>
  <sheetData>
    <row r="1" spans="2:10" ht="18" x14ac:dyDescent="0.35">
      <c r="C1" s="2585"/>
      <c r="D1" s="2585"/>
      <c r="E1" s="2585"/>
      <c r="F1" s="2585"/>
    </row>
    <row r="2" spans="2:10" ht="18" x14ac:dyDescent="0.35">
      <c r="B2" s="2524" t="s">
        <v>628</v>
      </c>
      <c r="C2" s="2585"/>
      <c r="D2" s="2585" t="s">
        <v>629</v>
      </c>
      <c r="E2" s="2585" t="s">
        <v>630</v>
      </c>
      <c r="F2" s="2585"/>
    </row>
    <row r="3" spans="2:10" ht="15" thickBot="1" x14ac:dyDescent="0.35"/>
    <row r="4" spans="2:10" x14ac:dyDescent="0.3">
      <c r="B4" s="1052" t="s">
        <v>356</v>
      </c>
      <c r="C4" s="2720" t="s">
        <v>291</v>
      </c>
      <c r="D4" s="1939"/>
      <c r="E4" s="2720" t="s">
        <v>291</v>
      </c>
      <c r="F4" s="1940"/>
      <c r="G4" s="2720" t="s">
        <v>291</v>
      </c>
      <c r="H4" s="1940"/>
      <c r="I4" s="1940"/>
      <c r="J4" s="2586"/>
    </row>
    <row r="5" spans="2:10" ht="15" thickBot="1" x14ac:dyDescent="0.35">
      <c r="B5" s="1040"/>
      <c r="C5" s="2721"/>
      <c r="D5" s="1943"/>
      <c r="E5" s="2719"/>
      <c r="F5" s="1943"/>
      <c r="G5" s="2719"/>
      <c r="H5" s="1943"/>
      <c r="I5" s="2587"/>
      <c r="J5" s="295"/>
    </row>
    <row r="6" spans="2:10" ht="15" thickBot="1" x14ac:dyDescent="0.35">
      <c r="B6" s="1041" t="s">
        <v>283</v>
      </c>
      <c r="C6" s="2588" t="s">
        <v>44</v>
      </c>
      <c r="D6" s="2589" t="s">
        <v>38</v>
      </c>
      <c r="E6" s="1057" t="s">
        <v>45</v>
      </c>
      <c r="F6" s="1054" t="s">
        <v>40</v>
      </c>
      <c r="G6" s="1053" t="s">
        <v>41</v>
      </c>
      <c r="H6" s="1946" t="s">
        <v>631</v>
      </c>
      <c r="I6" s="2590" t="s">
        <v>632</v>
      </c>
      <c r="J6" s="295"/>
    </row>
    <row r="7" spans="2:10" x14ac:dyDescent="0.3">
      <c r="B7" s="1042" t="s">
        <v>284</v>
      </c>
      <c r="C7" s="2591"/>
      <c r="D7" s="2592">
        <v>30000</v>
      </c>
      <c r="E7" s="2591">
        <v>27000</v>
      </c>
      <c r="F7" s="2592">
        <v>30000</v>
      </c>
      <c r="G7" s="2591">
        <v>30000</v>
      </c>
      <c r="H7" s="2593">
        <v>30000</v>
      </c>
      <c r="I7" s="2594">
        <v>60000</v>
      </c>
      <c r="J7" s="2595">
        <f>+C7+D7+E7+F7+G7+H7+I7</f>
        <v>207000</v>
      </c>
    </row>
    <row r="8" spans="2:10" x14ac:dyDescent="0.3">
      <c r="B8" s="1043" t="s">
        <v>285</v>
      </c>
      <c r="C8" s="2596">
        <v>60000</v>
      </c>
      <c r="D8" s="2595"/>
      <c r="E8" s="2595"/>
      <c r="F8" s="2595">
        <v>30000</v>
      </c>
      <c r="G8" s="2595">
        <v>30000</v>
      </c>
      <c r="H8" s="2595"/>
      <c r="I8" s="2594"/>
      <c r="J8" s="2595">
        <f t="shared" ref="J8:J12" si="0">+C8+D8+E8+F8+G8+H8+I8</f>
        <v>120000</v>
      </c>
    </row>
    <row r="9" spans="2:10" x14ac:dyDescent="0.3">
      <c r="B9" s="1043" t="s">
        <v>286</v>
      </c>
      <c r="C9" s="2596">
        <v>85000</v>
      </c>
      <c r="D9" s="2595">
        <v>71000</v>
      </c>
      <c r="E9" s="2595">
        <v>33000</v>
      </c>
      <c r="F9" s="2595">
        <v>61000</v>
      </c>
      <c r="G9" s="2595">
        <v>61000</v>
      </c>
      <c r="H9" s="2595">
        <v>12000</v>
      </c>
      <c r="I9" s="2594"/>
      <c r="J9" s="2595">
        <f t="shared" si="0"/>
        <v>323000</v>
      </c>
    </row>
    <row r="10" spans="2:10" x14ac:dyDescent="0.3">
      <c r="B10" s="1043" t="s">
        <v>287</v>
      </c>
      <c r="C10" s="2597">
        <v>13000</v>
      </c>
      <c r="D10" s="2595">
        <v>13000</v>
      </c>
      <c r="E10" s="2595">
        <v>16000</v>
      </c>
      <c r="F10" s="2595">
        <v>13000</v>
      </c>
      <c r="G10" s="2595">
        <v>10000</v>
      </c>
      <c r="H10" s="2595"/>
      <c r="I10" s="2594">
        <v>11000</v>
      </c>
      <c r="J10" s="2595">
        <f t="shared" si="0"/>
        <v>76000</v>
      </c>
    </row>
    <row r="11" spans="2:10" x14ac:dyDescent="0.3">
      <c r="B11" s="1043" t="s">
        <v>288</v>
      </c>
      <c r="C11" s="2591"/>
      <c r="D11" s="2595">
        <v>30000</v>
      </c>
      <c r="E11" s="2595">
        <v>30000</v>
      </c>
      <c r="F11" s="2595">
        <v>30000</v>
      </c>
      <c r="G11" s="2595"/>
      <c r="H11" s="2595"/>
      <c r="I11" s="2594"/>
      <c r="J11" s="2595">
        <f t="shared" si="0"/>
        <v>90000</v>
      </c>
    </row>
    <row r="12" spans="2:10" ht="15" thickBot="1" x14ac:dyDescent="0.35">
      <c r="B12" s="1044" t="s">
        <v>289</v>
      </c>
      <c r="C12" s="2591">
        <v>30000</v>
      </c>
      <c r="D12" s="2591">
        <v>30000</v>
      </c>
      <c r="E12" s="2595">
        <v>30000</v>
      </c>
      <c r="F12" s="2591">
        <v>30000</v>
      </c>
      <c r="G12" s="2595">
        <v>30000</v>
      </c>
      <c r="H12" s="2595"/>
      <c r="I12" s="2594"/>
      <c r="J12" s="2595">
        <f t="shared" si="0"/>
        <v>150000</v>
      </c>
    </row>
    <row r="13" spans="2:10" ht="15" thickBot="1" x14ac:dyDescent="0.35">
      <c r="B13" s="1045" t="s">
        <v>261</v>
      </c>
      <c r="C13" s="1947">
        <f>SUM(C7:C12)</f>
        <v>188000</v>
      </c>
      <c r="D13" s="1947">
        <f t="shared" ref="D13:I13" si="1">SUM(D7:D12)</f>
        <v>174000</v>
      </c>
      <c r="E13" s="1947">
        <f t="shared" si="1"/>
        <v>136000</v>
      </c>
      <c r="F13" s="1947">
        <f t="shared" si="1"/>
        <v>194000</v>
      </c>
      <c r="G13" s="1947">
        <f t="shared" si="1"/>
        <v>161000</v>
      </c>
      <c r="H13" s="1947">
        <f t="shared" si="1"/>
        <v>42000</v>
      </c>
      <c r="I13" s="1947">
        <f t="shared" si="1"/>
        <v>71000</v>
      </c>
      <c r="J13" s="2598">
        <f>C13+D13+E13+F13+G13+H13+I13</f>
        <v>966000</v>
      </c>
    </row>
    <row r="14" spans="2:10" ht="15" thickBot="1" x14ac:dyDescent="0.35">
      <c r="B14" s="1046" t="s">
        <v>290</v>
      </c>
      <c r="C14" s="2599">
        <v>180000</v>
      </c>
      <c r="D14" s="2599">
        <v>180000</v>
      </c>
      <c r="E14" s="2599">
        <v>180000</v>
      </c>
      <c r="F14" s="2599">
        <v>180000</v>
      </c>
      <c r="G14" s="2599">
        <v>180000</v>
      </c>
      <c r="H14" s="2600">
        <v>40000</v>
      </c>
      <c r="I14" s="2601">
        <v>40000</v>
      </c>
      <c r="J14" s="2602">
        <v>980000</v>
      </c>
    </row>
    <row r="16" spans="2:10" ht="15" thickBot="1" x14ac:dyDescent="0.35">
      <c r="I16" s="1066"/>
    </row>
    <row r="17" spans="1:10" ht="15" thickBot="1" x14ac:dyDescent="0.35">
      <c r="B17" s="1034" t="s">
        <v>633</v>
      </c>
      <c r="C17" s="2588" t="s">
        <v>44</v>
      </c>
      <c r="D17" s="2589" t="s">
        <v>38</v>
      </c>
      <c r="E17" s="1057" t="s">
        <v>45</v>
      </c>
      <c r="F17" s="1054" t="s">
        <v>40</v>
      </c>
      <c r="G17" s="1053" t="s">
        <v>41</v>
      </c>
      <c r="H17" s="1946" t="s">
        <v>631</v>
      </c>
      <c r="I17" s="1946" t="s">
        <v>632</v>
      </c>
      <c r="J17" s="2586"/>
    </row>
    <row r="18" spans="1:10" ht="15" thickBot="1" x14ac:dyDescent="0.35">
      <c r="B18" s="1028" t="s">
        <v>283</v>
      </c>
      <c r="C18" s="2603"/>
      <c r="D18" s="2604"/>
      <c r="E18" s="1029"/>
      <c r="F18" s="1029"/>
      <c r="G18" s="1029"/>
      <c r="H18" s="1029"/>
      <c r="I18" s="2605"/>
      <c r="J18" s="295"/>
    </row>
    <row r="19" spans="1:10" x14ac:dyDescent="0.3">
      <c r="B19" s="1031" t="s">
        <v>284</v>
      </c>
      <c r="C19" s="2591"/>
      <c r="D19" s="2591">
        <v>30000</v>
      </c>
      <c r="E19" s="2591">
        <v>27000</v>
      </c>
      <c r="F19" s="2591">
        <v>30000</v>
      </c>
      <c r="G19" s="2591">
        <v>30000</v>
      </c>
      <c r="H19" s="2591">
        <v>30000</v>
      </c>
      <c r="I19" s="2591">
        <v>60000</v>
      </c>
      <c r="J19" s="2606">
        <f t="shared" ref="J19:J24" si="2">C19+D19+E19+F19+G19+H19+I19</f>
        <v>207000</v>
      </c>
    </row>
    <row r="20" spans="1:10" x14ac:dyDescent="0.3">
      <c r="B20" s="1032" t="s">
        <v>285</v>
      </c>
      <c r="C20" s="2591">
        <v>60000</v>
      </c>
      <c r="D20" s="2591"/>
      <c r="E20" s="2591"/>
      <c r="F20" s="2591">
        <v>30000</v>
      </c>
      <c r="G20" s="2591">
        <v>30000</v>
      </c>
      <c r="H20" s="2591"/>
      <c r="I20" s="2591"/>
      <c r="J20" s="2606">
        <f t="shared" si="2"/>
        <v>120000</v>
      </c>
    </row>
    <row r="21" spans="1:10" x14ac:dyDescent="0.3">
      <c r="B21" s="1032" t="s">
        <v>286</v>
      </c>
      <c r="C21" s="2591">
        <v>85000</v>
      </c>
      <c r="D21" s="2591">
        <v>71000</v>
      </c>
      <c r="E21" s="2591">
        <v>33000</v>
      </c>
      <c r="F21" s="2591">
        <v>61000</v>
      </c>
      <c r="G21" s="2591">
        <v>61000</v>
      </c>
      <c r="H21" s="2591">
        <v>12000</v>
      </c>
      <c r="I21" s="2591"/>
      <c r="J21" s="2606">
        <f t="shared" si="2"/>
        <v>323000</v>
      </c>
    </row>
    <row r="22" spans="1:10" x14ac:dyDescent="0.3">
      <c r="B22" s="1032" t="s">
        <v>287</v>
      </c>
      <c r="C22" s="2591">
        <v>13000</v>
      </c>
      <c r="D22" s="2591">
        <v>13000</v>
      </c>
      <c r="E22" s="2591">
        <v>16000</v>
      </c>
      <c r="F22" s="2591">
        <v>13000</v>
      </c>
      <c r="G22" s="2591">
        <v>10000</v>
      </c>
      <c r="H22" s="2591"/>
      <c r="I22" s="2591">
        <v>11000</v>
      </c>
      <c r="J22" s="2606">
        <f t="shared" si="2"/>
        <v>76000</v>
      </c>
    </row>
    <row r="23" spans="1:10" x14ac:dyDescent="0.3">
      <c r="B23" s="1032" t="s">
        <v>288</v>
      </c>
      <c r="C23" s="2591"/>
      <c r="D23" s="2591">
        <v>30000</v>
      </c>
      <c r="E23" s="2591">
        <v>30000</v>
      </c>
      <c r="F23" s="2591">
        <v>30000</v>
      </c>
      <c r="G23" s="2591"/>
      <c r="H23" s="2591"/>
      <c r="I23" s="2591"/>
      <c r="J23" s="2606">
        <f t="shared" si="2"/>
        <v>90000</v>
      </c>
    </row>
    <row r="24" spans="1:10" ht="15" thickBot="1" x14ac:dyDescent="0.35">
      <c r="B24" s="1033" t="s">
        <v>289</v>
      </c>
      <c r="C24" s="2591">
        <v>30000</v>
      </c>
      <c r="D24" s="2591">
        <v>30000</v>
      </c>
      <c r="E24" s="2591">
        <v>30000</v>
      </c>
      <c r="F24" s="2591">
        <v>30000</v>
      </c>
      <c r="G24" s="2591">
        <v>30000</v>
      </c>
      <c r="H24" s="2591"/>
      <c r="I24" s="2591"/>
      <c r="J24" s="2606">
        <f t="shared" si="2"/>
        <v>150000</v>
      </c>
    </row>
    <row r="25" spans="1:10" ht="15" thickBot="1" x14ac:dyDescent="0.35">
      <c r="A25" s="2524"/>
      <c r="B25" s="2607" t="s">
        <v>261</v>
      </c>
      <c r="C25" s="2608">
        <f>+C19+C20+C21+C22+C23+C24</f>
        <v>188000</v>
      </c>
      <c r="D25" s="2608">
        <f t="shared" ref="D25:I25" si="3">+D19+D20+D21+D22+D23+D24</f>
        <v>174000</v>
      </c>
      <c r="E25" s="2608">
        <f t="shared" si="3"/>
        <v>136000</v>
      </c>
      <c r="F25" s="2608">
        <f t="shared" si="3"/>
        <v>194000</v>
      </c>
      <c r="G25" s="2608">
        <f t="shared" si="3"/>
        <v>161000</v>
      </c>
      <c r="H25" s="2608">
        <f t="shared" si="3"/>
        <v>42000</v>
      </c>
      <c r="I25" s="2608">
        <f t="shared" si="3"/>
        <v>71000</v>
      </c>
      <c r="J25" s="2608">
        <f>+J19+J20+J21+J22+J24+J23</f>
        <v>966000</v>
      </c>
    </row>
    <row r="26" spans="1:10" ht="15" thickBot="1" x14ac:dyDescent="0.35">
      <c r="B26" s="2609"/>
      <c r="C26" s="2609"/>
      <c r="D26" s="2609"/>
      <c r="E26" s="2609"/>
      <c r="F26" s="2609"/>
      <c r="G26" s="2609"/>
      <c r="H26" s="2609"/>
      <c r="I26" s="2609"/>
      <c r="J26" s="2609"/>
    </row>
    <row r="27" spans="1:10" ht="15" thickTop="1" x14ac:dyDescent="0.3"/>
    <row r="28" spans="1:10" ht="18.600000000000001" thickBot="1" x14ac:dyDescent="0.4">
      <c r="D28" s="2585" t="s">
        <v>634</v>
      </c>
    </row>
    <row r="29" spans="1:10" x14ac:dyDescent="0.3">
      <c r="B29" s="1052" t="s">
        <v>356</v>
      </c>
      <c r="C29" s="2718"/>
      <c r="D29" s="2610"/>
      <c r="E29" s="2718"/>
      <c r="F29" s="2611"/>
      <c r="G29" s="2718"/>
      <c r="H29" s="2611"/>
      <c r="I29" s="2611"/>
      <c r="J29" s="2586"/>
    </row>
    <row r="30" spans="1:10" ht="15" thickBot="1" x14ac:dyDescent="0.35">
      <c r="B30" s="1040"/>
      <c r="C30" s="2719"/>
      <c r="D30" s="1943"/>
      <c r="E30" s="2719"/>
      <c r="F30" s="1943" t="s">
        <v>635</v>
      </c>
      <c r="G30" s="2719"/>
      <c r="H30" s="1943"/>
      <c r="I30" s="2587"/>
      <c r="J30" s="295"/>
    </row>
    <row r="31" spans="1:10" ht="15" thickBot="1" x14ac:dyDescent="0.35">
      <c r="B31" s="1041" t="s">
        <v>283</v>
      </c>
      <c r="C31" s="2588" t="s">
        <v>44</v>
      </c>
      <c r="D31" s="2589" t="s">
        <v>38</v>
      </c>
      <c r="E31" s="1057" t="s">
        <v>45</v>
      </c>
      <c r="F31" s="1054" t="s">
        <v>40</v>
      </c>
      <c r="G31" s="1053" t="s">
        <v>41</v>
      </c>
      <c r="H31" s="1946" t="s">
        <v>631</v>
      </c>
      <c r="I31" s="1946" t="s">
        <v>632</v>
      </c>
      <c r="J31" s="295"/>
    </row>
    <row r="32" spans="1:10" x14ac:dyDescent="0.3">
      <c r="B32" s="1042" t="s">
        <v>284</v>
      </c>
      <c r="C32" s="2612"/>
      <c r="D32" s="2595"/>
      <c r="E32" s="2595"/>
      <c r="F32" s="2595"/>
      <c r="G32" s="2595">
        <v>6000</v>
      </c>
      <c r="H32" s="2595"/>
      <c r="I32" s="2595"/>
      <c r="J32" s="2595">
        <f>+C32+D32+E32+F32+G32+H32+I32</f>
        <v>6000</v>
      </c>
    </row>
    <row r="33" spans="2:10" x14ac:dyDescent="0.3">
      <c r="B33" s="1042" t="s">
        <v>636</v>
      </c>
      <c r="C33" s="2612"/>
      <c r="D33" s="2595">
        <v>30000</v>
      </c>
      <c r="E33" s="2595"/>
      <c r="F33" s="2595">
        <v>18000</v>
      </c>
      <c r="G33" s="2595"/>
      <c r="H33" s="2595"/>
      <c r="I33" s="2595"/>
      <c r="J33" s="2595">
        <f t="shared" ref="J33:J40" si="4">+C33+D33+E33+F33+G33+H33+I33</f>
        <v>48000</v>
      </c>
    </row>
    <row r="34" spans="2:10" x14ac:dyDescent="0.3">
      <c r="B34" s="1042" t="s">
        <v>637</v>
      </c>
      <c r="C34" s="2612"/>
      <c r="D34" s="2595"/>
      <c r="E34" s="2595">
        <v>30000</v>
      </c>
      <c r="F34" s="2595"/>
      <c r="G34" s="2612">
        <v>41000</v>
      </c>
      <c r="H34" s="2595"/>
      <c r="I34" s="2595"/>
      <c r="J34" s="2595">
        <f t="shared" si="4"/>
        <v>71000</v>
      </c>
    </row>
    <row r="35" spans="2:10" x14ac:dyDescent="0.3">
      <c r="B35" s="1043" t="s">
        <v>285</v>
      </c>
      <c r="C35" s="2612">
        <v>30000</v>
      </c>
      <c r="D35" s="2595"/>
      <c r="E35" s="2595">
        <v>14000</v>
      </c>
      <c r="F35" s="2595"/>
      <c r="G35" s="2595"/>
      <c r="H35" s="2595"/>
      <c r="I35" s="2595"/>
      <c r="J35" s="2595">
        <f t="shared" si="4"/>
        <v>44000</v>
      </c>
    </row>
    <row r="36" spans="2:10" x14ac:dyDescent="0.3">
      <c r="B36" s="1043" t="s">
        <v>286</v>
      </c>
      <c r="C36" s="2612"/>
      <c r="D36" s="2595"/>
      <c r="E36" s="2595"/>
      <c r="F36" s="2595"/>
      <c r="G36" s="2595">
        <v>8000</v>
      </c>
      <c r="H36" s="2595"/>
      <c r="I36" s="2595"/>
      <c r="J36" s="2595">
        <f t="shared" si="4"/>
        <v>8000</v>
      </c>
    </row>
    <row r="37" spans="2:10" x14ac:dyDescent="0.3">
      <c r="B37" s="1043" t="s">
        <v>287</v>
      </c>
      <c r="C37" s="2612"/>
      <c r="D37" s="2595"/>
      <c r="E37" s="2595">
        <v>3000</v>
      </c>
      <c r="F37" s="2595"/>
      <c r="G37" s="2595"/>
      <c r="H37" s="2595"/>
      <c r="I37" s="2595"/>
      <c r="J37" s="2595">
        <f t="shared" si="4"/>
        <v>3000</v>
      </c>
    </row>
    <row r="38" spans="2:10" x14ac:dyDescent="0.3">
      <c r="B38" s="1043" t="s">
        <v>638</v>
      </c>
      <c r="C38" s="2612"/>
      <c r="D38" s="2612"/>
      <c r="E38" s="2612"/>
      <c r="F38" s="2612"/>
      <c r="G38" s="2612">
        <v>17000</v>
      </c>
      <c r="H38" s="2612"/>
      <c r="I38" s="2612"/>
      <c r="J38" s="2595">
        <f t="shared" si="4"/>
        <v>17000</v>
      </c>
    </row>
    <row r="39" spans="2:10" x14ac:dyDescent="0.3">
      <c r="B39" s="1043" t="s">
        <v>288</v>
      </c>
      <c r="C39" s="2612"/>
      <c r="D39" s="2612"/>
      <c r="E39" s="2612"/>
      <c r="F39" s="2612">
        <v>12000</v>
      </c>
      <c r="G39" s="2612"/>
      <c r="H39" s="2612"/>
      <c r="I39" s="2612"/>
      <c r="J39" s="2595">
        <f t="shared" si="4"/>
        <v>12000</v>
      </c>
    </row>
    <row r="40" spans="2:10" ht="15" thickBot="1" x14ac:dyDescent="0.35">
      <c r="B40" s="1044" t="s">
        <v>289</v>
      </c>
      <c r="C40" s="2612">
        <v>30000</v>
      </c>
      <c r="D40" s="2612"/>
      <c r="E40" s="2612"/>
      <c r="F40" s="2612">
        <v>15000</v>
      </c>
      <c r="G40" s="2612"/>
      <c r="H40" s="2613"/>
      <c r="I40" s="2614"/>
      <c r="J40" s="2595">
        <f t="shared" si="4"/>
        <v>45000</v>
      </c>
    </row>
    <row r="41" spans="2:10" ht="15" thickBot="1" x14ac:dyDescent="0.35">
      <c r="B41" s="2615" t="s">
        <v>261</v>
      </c>
      <c r="C41" s="2616">
        <f>SUM(C32:C40)</f>
        <v>60000</v>
      </c>
      <c r="D41" s="2617">
        <f t="shared" ref="D41:I41" si="5">SUM(D32:D40)</f>
        <v>30000</v>
      </c>
      <c r="E41" s="2617">
        <f t="shared" si="5"/>
        <v>47000</v>
      </c>
      <c r="F41" s="2617">
        <f t="shared" si="5"/>
        <v>45000</v>
      </c>
      <c r="G41" s="2617">
        <f>SUM(G32:G40)</f>
        <v>72000</v>
      </c>
      <c r="H41" s="2618">
        <f t="shared" si="5"/>
        <v>0</v>
      </c>
      <c r="I41" s="2619">
        <f t="shared" si="5"/>
        <v>0</v>
      </c>
      <c r="J41" s="2619">
        <f>+C41+D41+E41+F41+G41+H41+I41</f>
        <v>254000</v>
      </c>
    </row>
    <row r="43" spans="2:10" ht="15" thickBot="1" x14ac:dyDescent="0.35"/>
    <row r="44" spans="2:10" x14ac:dyDescent="0.3">
      <c r="B44" s="1052" t="s">
        <v>633</v>
      </c>
      <c r="C44" s="2718"/>
      <c r="D44" s="2610"/>
      <c r="E44" s="2718"/>
      <c r="F44" s="2611"/>
      <c r="G44" s="2718"/>
      <c r="H44" s="2611"/>
      <c r="I44" s="2611"/>
      <c r="J44" s="2586"/>
    </row>
    <row r="45" spans="2:10" ht="15" thickBot="1" x14ac:dyDescent="0.35">
      <c r="B45" s="1040"/>
      <c r="C45" s="2719"/>
      <c r="D45" s="1943"/>
      <c r="E45" s="2719"/>
      <c r="F45" s="1943"/>
      <c r="G45" s="2719"/>
      <c r="H45" s="1943"/>
      <c r="I45" s="2587"/>
      <c r="J45" s="295"/>
    </row>
    <row r="46" spans="2:10" ht="15" thickBot="1" x14ac:dyDescent="0.35">
      <c r="B46" s="1041" t="s">
        <v>283</v>
      </c>
      <c r="C46" s="2588" t="s">
        <v>44</v>
      </c>
      <c r="D46" s="2589" t="s">
        <v>38</v>
      </c>
      <c r="E46" s="1057" t="s">
        <v>45</v>
      </c>
      <c r="F46" s="1054" t="s">
        <v>40</v>
      </c>
      <c r="G46" s="1053" t="s">
        <v>41</v>
      </c>
      <c r="H46" s="1946" t="s">
        <v>631</v>
      </c>
      <c r="I46" s="1946" t="s">
        <v>632</v>
      </c>
      <c r="J46" s="295"/>
    </row>
    <row r="47" spans="2:10" x14ac:dyDescent="0.3">
      <c r="B47" s="1042" t="s">
        <v>284</v>
      </c>
      <c r="C47" s="2612"/>
      <c r="D47" s="2612"/>
      <c r="E47" s="2612"/>
      <c r="F47" s="2612"/>
      <c r="G47" s="2612">
        <v>6000</v>
      </c>
      <c r="H47" s="2612"/>
      <c r="I47" s="2612"/>
      <c r="J47" s="2595">
        <v>6000</v>
      </c>
    </row>
    <row r="48" spans="2:10" x14ac:dyDescent="0.3">
      <c r="B48" s="1042" t="s">
        <v>636</v>
      </c>
      <c r="C48" s="2612"/>
      <c r="D48" s="2612">
        <v>30000</v>
      </c>
      <c r="E48" s="2612"/>
      <c r="F48" s="2612">
        <v>18000</v>
      </c>
      <c r="G48" s="2612"/>
      <c r="H48" s="2612"/>
      <c r="I48" s="2612"/>
      <c r="J48" s="2595">
        <v>48000</v>
      </c>
    </row>
    <row r="49" spans="2:10" x14ac:dyDescent="0.3">
      <c r="B49" s="1042" t="s">
        <v>637</v>
      </c>
      <c r="C49" s="2612"/>
      <c r="D49" s="2612"/>
      <c r="E49" s="2612">
        <v>30000</v>
      </c>
      <c r="F49" s="2612"/>
      <c r="G49" s="2612">
        <v>41000</v>
      </c>
      <c r="H49" s="2612"/>
      <c r="I49" s="2612"/>
      <c r="J49" s="2595">
        <v>71000</v>
      </c>
    </row>
    <row r="50" spans="2:10" x14ac:dyDescent="0.3">
      <c r="B50" s="1043" t="s">
        <v>285</v>
      </c>
      <c r="C50" s="2612">
        <v>30000</v>
      </c>
      <c r="D50" s="2612"/>
      <c r="E50" s="2612">
        <v>14000</v>
      </c>
      <c r="F50" s="2612"/>
      <c r="G50" s="2612"/>
      <c r="H50" s="2612"/>
      <c r="I50" s="2612"/>
      <c r="J50" s="2595">
        <v>44000</v>
      </c>
    </row>
    <row r="51" spans="2:10" x14ac:dyDescent="0.3">
      <c r="B51" s="1043" t="s">
        <v>286</v>
      </c>
      <c r="C51" s="2612"/>
      <c r="D51" s="2612"/>
      <c r="E51" s="2612"/>
      <c r="F51" s="2612"/>
      <c r="G51" s="2612">
        <v>8000</v>
      </c>
      <c r="H51" s="2612"/>
      <c r="I51" s="2612"/>
      <c r="J51" s="2595">
        <v>13000</v>
      </c>
    </row>
    <row r="52" spans="2:10" x14ac:dyDescent="0.3">
      <c r="B52" s="1043" t="s">
        <v>287</v>
      </c>
      <c r="C52" s="2612"/>
      <c r="D52" s="2612"/>
      <c r="E52" s="2612">
        <v>3000</v>
      </c>
      <c r="F52" s="2612"/>
      <c r="G52" s="2612"/>
      <c r="H52" s="2612"/>
      <c r="I52" s="2612"/>
      <c r="J52" s="2595">
        <v>3000</v>
      </c>
    </row>
    <row r="53" spans="2:10" x14ac:dyDescent="0.3">
      <c r="B53" s="1043" t="s">
        <v>638</v>
      </c>
      <c r="C53" s="2612"/>
      <c r="D53" s="2612"/>
      <c r="E53" s="2612"/>
      <c r="F53" s="2612"/>
      <c r="G53" s="2612">
        <v>17000</v>
      </c>
      <c r="H53" s="2612"/>
      <c r="I53" s="2612"/>
      <c r="J53" s="2595">
        <v>17000</v>
      </c>
    </row>
    <row r="54" spans="2:10" x14ac:dyDescent="0.3">
      <c r="B54" s="1043" t="s">
        <v>288</v>
      </c>
      <c r="C54" s="2612"/>
      <c r="D54" s="2612"/>
      <c r="E54" s="2612"/>
      <c r="F54" s="2612">
        <v>12000</v>
      </c>
      <c r="G54" s="2612"/>
      <c r="H54" s="2612"/>
      <c r="I54" s="2612"/>
      <c r="J54" s="2595">
        <v>12000</v>
      </c>
    </row>
    <row r="55" spans="2:10" ht="15" thickBot="1" x14ac:dyDescent="0.35">
      <c r="B55" s="1044" t="s">
        <v>289</v>
      </c>
      <c r="C55" s="2612">
        <v>30000</v>
      </c>
      <c r="D55" s="2612"/>
      <c r="E55" s="2612"/>
      <c r="F55" s="2612">
        <v>15000</v>
      </c>
      <c r="G55" s="2612"/>
      <c r="H55" s="2612"/>
      <c r="I55" s="2612"/>
      <c r="J55" s="2595">
        <v>45000</v>
      </c>
    </row>
    <row r="56" spans="2:10" ht="15" thickBot="1" x14ac:dyDescent="0.35">
      <c r="B56" s="2615" t="s">
        <v>261</v>
      </c>
      <c r="C56" s="2616">
        <f>SUM(C47:C55)</f>
        <v>60000</v>
      </c>
      <c r="D56" s="2617">
        <f t="shared" ref="D56:I56" si="6">SUM(D47:D55)</f>
        <v>30000</v>
      </c>
      <c r="E56" s="2617">
        <f t="shared" si="6"/>
        <v>47000</v>
      </c>
      <c r="F56" s="2617">
        <f t="shared" si="6"/>
        <v>45000</v>
      </c>
      <c r="G56" s="2616">
        <f t="shared" si="6"/>
        <v>72000</v>
      </c>
      <c r="H56" s="2616">
        <f t="shared" si="6"/>
        <v>0</v>
      </c>
      <c r="I56" s="2616">
        <f t="shared" si="6"/>
        <v>0</v>
      </c>
      <c r="J56" s="2619">
        <f>+J47+J48+J49+J50+J51+J52+J53+J54+J55</f>
        <v>259000</v>
      </c>
    </row>
    <row r="57" spans="2:10" x14ac:dyDescent="0.3">
      <c r="J57" s="2586" t="s">
        <v>639</v>
      </c>
    </row>
    <row r="58" spans="2:10" ht="15" thickBot="1" x14ac:dyDescent="0.35">
      <c r="B58" s="1943" t="s">
        <v>640</v>
      </c>
      <c r="C58" s="1066">
        <f>C13+C41</f>
        <v>248000</v>
      </c>
      <c r="D58" s="1066">
        <f t="shared" ref="D58:I58" si="7">D13+D41</f>
        <v>204000</v>
      </c>
      <c r="E58" s="1066">
        <f t="shared" si="7"/>
        <v>183000</v>
      </c>
      <c r="F58" s="1066">
        <f t="shared" si="7"/>
        <v>239000</v>
      </c>
      <c r="G58" s="1066">
        <f t="shared" si="7"/>
        <v>233000</v>
      </c>
      <c r="H58" s="1066">
        <f t="shared" si="7"/>
        <v>42000</v>
      </c>
      <c r="I58" s="1066">
        <f t="shared" si="7"/>
        <v>71000</v>
      </c>
      <c r="J58" s="2620">
        <f>+C58+D58+E58+F58+G58+H58+I58</f>
        <v>1220000</v>
      </c>
    </row>
    <row r="59" spans="2:10" x14ac:dyDescent="0.3">
      <c r="B59" s="1943" t="s">
        <v>641</v>
      </c>
      <c r="C59" s="1066">
        <f>C56+C25</f>
        <v>248000</v>
      </c>
      <c r="D59" s="1066">
        <f t="shared" ref="D59:I59" si="8">D56+D25</f>
        <v>204000</v>
      </c>
      <c r="E59" s="1066">
        <f t="shared" si="8"/>
        <v>183000</v>
      </c>
      <c r="F59" s="1066">
        <f t="shared" si="8"/>
        <v>239000</v>
      </c>
      <c r="G59" s="1066">
        <f t="shared" si="8"/>
        <v>233000</v>
      </c>
      <c r="H59" s="1066">
        <f t="shared" si="8"/>
        <v>42000</v>
      </c>
      <c r="I59" s="1066">
        <f t="shared" si="8"/>
        <v>71000</v>
      </c>
      <c r="J59" s="2621">
        <f>+C59+D59+E59+F59+G59+H59+I59</f>
        <v>1220000</v>
      </c>
    </row>
    <row r="60" spans="2:10" ht="15" thickBot="1" x14ac:dyDescent="0.35">
      <c r="B60" s="1943" t="s">
        <v>642</v>
      </c>
      <c r="C60" s="2622">
        <f>C58-C59</f>
        <v>0</v>
      </c>
      <c r="D60" s="2622">
        <f t="shared" ref="D60:I60" si="9">D58-D59</f>
        <v>0</v>
      </c>
      <c r="E60" s="2622">
        <f t="shared" si="9"/>
        <v>0</v>
      </c>
      <c r="F60" s="2622">
        <f t="shared" si="9"/>
        <v>0</v>
      </c>
      <c r="G60" s="2622">
        <f t="shared" si="9"/>
        <v>0</v>
      </c>
      <c r="H60" s="2622">
        <f t="shared" si="9"/>
        <v>0</v>
      </c>
      <c r="I60" s="2622">
        <f t="shared" si="9"/>
        <v>0</v>
      </c>
      <c r="J60" s="2620">
        <f>+C60+D60+E60+F60+G60+H60+I60</f>
        <v>0</v>
      </c>
    </row>
  </sheetData>
  <mergeCells count="9">
    <mergeCell ref="C44:C45"/>
    <mergeCell ref="E44:E45"/>
    <mergeCell ref="G44:G45"/>
    <mergeCell ref="C4:C5"/>
    <mergeCell ref="E4:E5"/>
    <mergeCell ref="G4:G5"/>
    <mergeCell ref="C29:C30"/>
    <mergeCell ref="E29:E30"/>
    <mergeCell ref="G29:G3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25596-F3CE-4AE6-A6AC-5BF55B386BA2}">
  <dimension ref="A2:U39"/>
  <sheetViews>
    <sheetView workbookViewId="0">
      <selection activeCell="F20" sqref="F20"/>
    </sheetView>
  </sheetViews>
  <sheetFormatPr defaultColWidth="15.44140625" defaultRowHeight="14.4" x14ac:dyDescent="0.3"/>
  <cols>
    <col min="1" max="1" width="18.5546875" style="2524" bestFit="1" customWidth="1"/>
    <col min="2" max="2" width="21" style="2524" bestFit="1" customWidth="1"/>
    <col min="3" max="16384" width="15.44140625" style="2524"/>
  </cols>
  <sheetData>
    <row r="2" spans="2:21" ht="21.75" customHeight="1" thickBot="1" x14ac:dyDescent="0.5">
      <c r="B2" s="2747" t="s">
        <v>643</v>
      </c>
      <c r="C2" s="2748"/>
      <c r="D2" s="2748"/>
      <c r="E2" s="2748"/>
      <c r="F2" s="2748"/>
      <c r="G2" s="2748"/>
      <c r="H2" s="2748"/>
      <c r="I2" s="2748"/>
      <c r="J2" s="2748"/>
      <c r="K2" s="2748"/>
      <c r="L2" s="2748"/>
      <c r="M2" s="2748"/>
      <c r="N2" s="2749"/>
      <c r="O2" s="2623"/>
    </row>
    <row r="3" spans="2:21" ht="21.75" customHeight="1" thickBot="1" x14ac:dyDescent="0.45">
      <c r="B3" s="2624" t="s">
        <v>644</v>
      </c>
      <c r="C3" s="2625" t="s">
        <v>645</v>
      </c>
      <c r="D3" s="2626" t="s">
        <v>646</v>
      </c>
      <c r="E3" s="2744" t="s">
        <v>647</v>
      </c>
      <c r="F3" s="2745"/>
      <c r="G3" s="2744" t="s">
        <v>648</v>
      </c>
      <c r="H3" s="2745"/>
      <c r="I3" s="2744" t="s">
        <v>649</v>
      </c>
      <c r="J3" s="2745"/>
      <c r="K3" s="2744" t="s">
        <v>650</v>
      </c>
      <c r="L3" s="2745"/>
      <c r="M3" s="2744" t="s">
        <v>651</v>
      </c>
      <c r="N3" s="2745"/>
      <c r="O3" s="2744" t="s">
        <v>652</v>
      </c>
      <c r="P3" s="2745"/>
      <c r="Q3" s="2744" t="s">
        <v>653</v>
      </c>
      <c r="R3" s="2745"/>
      <c r="S3" s="2627"/>
    </row>
    <row r="4" spans="2:21" ht="21.75" customHeight="1" thickBot="1" x14ac:dyDescent="0.45">
      <c r="B4" s="2628"/>
      <c r="C4" s="2629"/>
      <c r="D4" s="2630"/>
      <c r="E4" s="2631" t="s">
        <v>634</v>
      </c>
      <c r="F4" s="2632" t="s">
        <v>629</v>
      </c>
      <c r="G4" s="2633" t="s">
        <v>634</v>
      </c>
      <c r="H4" s="2633" t="s">
        <v>629</v>
      </c>
      <c r="I4" s="2631" t="s">
        <v>634</v>
      </c>
      <c r="J4" s="2632" t="s">
        <v>629</v>
      </c>
      <c r="K4" s="2633" t="s">
        <v>634</v>
      </c>
      <c r="L4" s="2633" t="s">
        <v>629</v>
      </c>
      <c r="M4" s="2631" t="s">
        <v>634</v>
      </c>
      <c r="N4" s="2632" t="s">
        <v>629</v>
      </c>
      <c r="O4" s="2633" t="s">
        <v>634</v>
      </c>
      <c r="P4" s="2633" t="s">
        <v>629</v>
      </c>
      <c r="Q4" s="2634" t="s">
        <v>634</v>
      </c>
      <c r="R4" s="2635" t="s">
        <v>629</v>
      </c>
      <c r="S4" s="2636" t="s">
        <v>258</v>
      </c>
    </row>
    <row r="5" spans="2:21" ht="21.75" customHeight="1" x14ac:dyDescent="0.4">
      <c r="B5" s="2637" t="s">
        <v>654</v>
      </c>
      <c r="C5" s="2638">
        <v>71</v>
      </c>
      <c r="D5" s="2639">
        <f>[1]Summary!H69</f>
        <v>0</v>
      </c>
      <c r="E5" s="2640"/>
      <c r="F5" s="2641">
        <v>0</v>
      </c>
      <c r="G5" s="2642"/>
      <c r="H5" s="2643">
        <v>0</v>
      </c>
      <c r="I5" s="2644">
        <v>30</v>
      </c>
      <c r="J5" s="2645">
        <v>0</v>
      </c>
      <c r="K5" s="2642">
        <v>41</v>
      </c>
      <c r="L5" s="2646">
        <v>0</v>
      </c>
      <c r="M5" s="2644"/>
      <c r="N5" s="2645">
        <v>0</v>
      </c>
      <c r="O5" s="2642"/>
      <c r="P5" s="2643"/>
      <c r="Q5" s="2647"/>
      <c r="R5" s="2643"/>
      <c r="S5" s="2648">
        <f>SUM(E5:R5)</f>
        <v>71</v>
      </c>
    </row>
    <row r="6" spans="2:21" ht="21.75" customHeight="1" x14ac:dyDescent="0.4">
      <c r="B6" s="2649" t="s">
        <v>289</v>
      </c>
      <c r="C6" s="2650">
        <v>45</v>
      </c>
      <c r="D6" s="2651">
        <v>150</v>
      </c>
      <c r="E6" s="2652">
        <v>30</v>
      </c>
      <c r="F6" s="2653">
        <v>30</v>
      </c>
      <c r="G6" s="2654">
        <v>15</v>
      </c>
      <c r="H6" s="2651">
        <v>30</v>
      </c>
      <c r="I6" s="2652"/>
      <c r="J6" s="2655">
        <v>30</v>
      </c>
      <c r="K6" s="2654">
        <f>C6-E6-G6-I6</f>
        <v>0</v>
      </c>
      <c r="L6" s="2656">
        <v>60</v>
      </c>
      <c r="M6" s="2652"/>
      <c r="N6" s="2655">
        <v>0</v>
      </c>
      <c r="O6" s="2654"/>
      <c r="P6" s="2651"/>
      <c r="Q6" s="2657"/>
      <c r="R6" s="2651"/>
      <c r="S6" s="2648">
        <f t="shared" ref="S6:S15" si="0">SUM(E6:R6)</f>
        <v>195</v>
      </c>
    </row>
    <row r="7" spans="2:21" ht="21.75" customHeight="1" x14ac:dyDescent="0.4">
      <c r="B7" s="2649" t="s">
        <v>655</v>
      </c>
      <c r="C7" s="2650">
        <v>44</v>
      </c>
      <c r="D7" s="2651">
        <v>150</v>
      </c>
      <c r="E7" s="2652">
        <v>30</v>
      </c>
      <c r="F7" s="2653"/>
      <c r="G7" s="2654">
        <v>14</v>
      </c>
      <c r="H7" s="2651">
        <v>60</v>
      </c>
      <c r="I7" s="2652"/>
      <c r="J7" s="2655">
        <v>30</v>
      </c>
      <c r="K7" s="2654"/>
      <c r="L7" s="2656"/>
      <c r="M7" s="2652"/>
      <c r="N7" s="2655">
        <v>60</v>
      </c>
      <c r="O7" s="2654">
        <v>0</v>
      </c>
      <c r="P7" s="2651">
        <v>0</v>
      </c>
      <c r="Q7" s="2657">
        <v>0</v>
      </c>
      <c r="R7" s="2651">
        <v>0</v>
      </c>
      <c r="S7" s="2648">
        <f>SUM(E7:R7)</f>
        <v>194</v>
      </c>
    </row>
    <row r="8" spans="2:21" ht="21.75" customHeight="1" x14ac:dyDescent="0.4">
      <c r="B8" s="2649" t="s">
        <v>284</v>
      </c>
      <c r="C8" s="2650">
        <v>6</v>
      </c>
      <c r="D8" s="2651">
        <v>210</v>
      </c>
      <c r="E8" s="2652">
        <v>0</v>
      </c>
      <c r="F8" s="2653">
        <v>30</v>
      </c>
      <c r="G8" s="2654">
        <v>0</v>
      </c>
      <c r="H8" s="2651">
        <v>30</v>
      </c>
      <c r="I8" s="2652">
        <v>0</v>
      </c>
      <c r="J8" s="2655">
        <v>30</v>
      </c>
      <c r="K8" s="2654">
        <v>0</v>
      </c>
      <c r="L8" s="2656">
        <v>30</v>
      </c>
      <c r="M8" s="2652">
        <v>6</v>
      </c>
      <c r="N8" s="2655">
        <v>30</v>
      </c>
      <c r="O8" s="2654">
        <v>0</v>
      </c>
      <c r="P8" s="2651">
        <v>30</v>
      </c>
      <c r="Q8" s="2657"/>
      <c r="R8" s="2651">
        <v>30</v>
      </c>
      <c r="S8" s="2648">
        <f t="shared" si="0"/>
        <v>216</v>
      </c>
    </row>
    <row r="9" spans="2:21" ht="21.75" customHeight="1" x14ac:dyDescent="0.4">
      <c r="B9" s="2649" t="s">
        <v>288</v>
      </c>
      <c r="C9" s="2650">
        <f>[1]Summary!AH69</f>
        <v>6</v>
      </c>
      <c r="D9" s="2651">
        <v>114</v>
      </c>
      <c r="E9" s="2652"/>
      <c r="F9" s="2653">
        <v>0</v>
      </c>
      <c r="G9" s="2654">
        <v>0</v>
      </c>
      <c r="H9" s="2651">
        <v>30</v>
      </c>
      <c r="I9" s="2652"/>
      <c r="J9" s="2655">
        <v>40</v>
      </c>
      <c r="K9" s="2654"/>
      <c r="L9" s="2656">
        <v>30</v>
      </c>
      <c r="M9" s="2652"/>
      <c r="N9" s="2655">
        <v>0</v>
      </c>
      <c r="O9" s="2654"/>
      <c r="P9" s="2651"/>
      <c r="Q9" s="2657"/>
      <c r="R9" s="2651"/>
      <c r="S9" s="2648">
        <f t="shared" si="0"/>
        <v>100</v>
      </c>
    </row>
    <row r="10" spans="2:21" ht="21.75" customHeight="1" x14ac:dyDescent="0.4">
      <c r="B10" s="2649" t="s">
        <v>656</v>
      </c>
      <c r="C10" s="2658">
        <v>48</v>
      </c>
      <c r="D10" s="2651">
        <v>0</v>
      </c>
      <c r="E10" s="2652"/>
      <c r="F10" s="2653">
        <v>0</v>
      </c>
      <c r="G10" s="2654">
        <v>30</v>
      </c>
      <c r="H10" s="2659">
        <v>0</v>
      </c>
      <c r="I10" s="2660">
        <v>18</v>
      </c>
      <c r="J10" s="2661">
        <f>+[1]Summary!E33</f>
        <v>0</v>
      </c>
      <c r="K10" s="2662"/>
      <c r="L10" s="2656">
        <v>0</v>
      </c>
      <c r="M10" s="2652"/>
      <c r="N10" s="2655">
        <v>0</v>
      </c>
      <c r="O10" s="2654"/>
      <c r="P10" s="2651"/>
      <c r="Q10" s="2657"/>
      <c r="R10" s="2651"/>
      <c r="S10" s="2648">
        <f t="shared" si="0"/>
        <v>48</v>
      </c>
    </row>
    <row r="11" spans="2:21" ht="21.75" customHeight="1" x14ac:dyDescent="0.4">
      <c r="B11" s="2649" t="s">
        <v>657</v>
      </c>
      <c r="C11" s="2650">
        <v>5</v>
      </c>
      <c r="D11" s="2651">
        <v>70</v>
      </c>
      <c r="E11" s="2652"/>
      <c r="F11" s="2653">
        <v>0</v>
      </c>
      <c r="G11" s="2654"/>
      <c r="H11" s="2651">
        <v>20</v>
      </c>
      <c r="I11" s="2652"/>
      <c r="J11" s="2655">
        <v>25</v>
      </c>
      <c r="K11" s="2654"/>
      <c r="L11" s="2656">
        <v>25</v>
      </c>
      <c r="M11" s="2652">
        <v>5</v>
      </c>
      <c r="N11" s="2655">
        <v>0</v>
      </c>
      <c r="O11" s="2654"/>
      <c r="P11" s="2651"/>
      <c r="Q11" s="2657"/>
      <c r="R11" s="2651"/>
      <c r="S11" s="2648">
        <f t="shared" si="0"/>
        <v>75</v>
      </c>
    </row>
    <row r="12" spans="2:21" ht="21.75" customHeight="1" x14ac:dyDescent="0.4">
      <c r="B12" s="2649" t="s">
        <v>658</v>
      </c>
      <c r="C12" s="2650">
        <f>+[1]Summary!Q33</f>
        <v>0</v>
      </c>
      <c r="D12" s="2651">
        <f>+[1]Summary!R33</f>
        <v>250</v>
      </c>
      <c r="E12" s="2652"/>
      <c r="F12" s="2653">
        <v>60</v>
      </c>
      <c r="G12" s="2654"/>
      <c r="H12" s="2651">
        <v>60</v>
      </c>
      <c r="I12" s="2652"/>
      <c r="J12" s="2655">
        <v>0</v>
      </c>
      <c r="K12" s="2654"/>
      <c r="L12" s="2656">
        <v>60</v>
      </c>
      <c r="M12" s="2652"/>
      <c r="N12" s="2655">
        <v>70</v>
      </c>
      <c r="O12" s="2654"/>
      <c r="P12" s="2651"/>
      <c r="Q12" s="2657"/>
      <c r="R12" s="2651"/>
      <c r="S12" s="2648">
        <f t="shared" si="0"/>
        <v>250</v>
      </c>
    </row>
    <row r="13" spans="2:21" ht="21.75" customHeight="1" x14ac:dyDescent="0.4">
      <c r="B13" s="2649" t="s">
        <v>659</v>
      </c>
      <c r="C13" s="2650">
        <f>+[1]Summary!Z33</f>
        <v>0</v>
      </c>
      <c r="D13" s="2651">
        <f>+[1]Summary!AA33</f>
        <v>35</v>
      </c>
      <c r="E13" s="2652"/>
      <c r="F13" s="2653">
        <v>0</v>
      </c>
      <c r="G13" s="2654"/>
      <c r="H13" s="2651">
        <f>+[1]Summary!AB33</f>
        <v>0</v>
      </c>
      <c r="I13" s="2652"/>
      <c r="J13" s="2655">
        <v>35</v>
      </c>
      <c r="K13" s="2654"/>
      <c r="L13" s="2656">
        <f>C13-H13</f>
        <v>0</v>
      </c>
      <c r="M13" s="2652"/>
      <c r="N13" s="2655">
        <v>0</v>
      </c>
      <c r="O13" s="2654"/>
      <c r="P13" s="2651"/>
      <c r="Q13" s="2657"/>
      <c r="R13" s="2651"/>
      <c r="S13" s="2648">
        <f t="shared" si="0"/>
        <v>35</v>
      </c>
    </row>
    <row r="14" spans="2:21" ht="21.75" customHeight="1" x14ac:dyDescent="0.4">
      <c r="B14" s="2649" t="s">
        <v>660</v>
      </c>
      <c r="C14" s="2650">
        <v>1</v>
      </c>
      <c r="D14" s="2651">
        <f>+[1]Summary!AI33</f>
        <v>0</v>
      </c>
      <c r="E14" s="2652">
        <v>1</v>
      </c>
      <c r="F14" s="2653"/>
      <c r="G14" s="2654"/>
      <c r="H14" s="2651">
        <f>+[1]Summary!AJ33</f>
        <v>0</v>
      </c>
      <c r="I14" s="2652"/>
      <c r="J14" s="2655">
        <f>+[1]Summary!AK33</f>
        <v>0</v>
      </c>
      <c r="K14" s="2654"/>
      <c r="L14" s="2656">
        <f>C14-H14</f>
        <v>1</v>
      </c>
      <c r="M14" s="2652"/>
      <c r="N14" s="2655">
        <v>0</v>
      </c>
      <c r="O14" s="2654"/>
      <c r="P14" s="2651"/>
      <c r="Q14" s="2657"/>
      <c r="R14" s="2651"/>
      <c r="S14" s="2648">
        <f t="shared" si="0"/>
        <v>2</v>
      </c>
    </row>
    <row r="15" spans="2:21" ht="21.75" customHeight="1" x14ac:dyDescent="0.4">
      <c r="B15" s="2649" t="s">
        <v>287</v>
      </c>
      <c r="C15" s="2650">
        <v>3</v>
      </c>
      <c r="D15" s="2651">
        <v>70</v>
      </c>
      <c r="E15" s="2652"/>
      <c r="F15" s="2653">
        <v>10</v>
      </c>
      <c r="G15" s="2654">
        <v>0</v>
      </c>
      <c r="H15" s="2651">
        <v>8</v>
      </c>
      <c r="I15" s="2652">
        <v>3</v>
      </c>
      <c r="J15" s="2655">
        <v>12</v>
      </c>
      <c r="K15" s="2654"/>
      <c r="L15" s="2656">
        <v>10</v>
      </c>
      <c r="M15" s="2652"/>
      <c r="N15" s="2655">
        <v>10</v>
      </c>
      <c r="O15" s="2654"/>
      <c r="P15" s="2651">
        <v>10</v>
      </c>
      <c r="Q15" s="2657"/>
      <c r="R15" s="2651">
        <v>10</v>
      </c>
      <c r="S15" s="2648">
        <f t="shared" si="0"/>
        <v>73</v>
      </c>
    </row>
    <row r="16" spans="2:21" ht="21.75" customHeight="1" x14ac:dyDescent="0.4">
      <c r="B16" s="2649" t="s">
        <v>661</v>
      </c>
      <c r="C16" s="2650">
        <v>0</v>
      </c>
      <c r="D16" s="2650">
        <v>0</v>
      </c>
      <c r="E16" s="2652"/>
      <c r="F16" s="2653">
        <f>SUM(C16:D16)</f>
        <v>0</v>
      </c>
      <c r="G16" s="2654"/>
      <c r="H16" s="2651">
        <v>0</v>
      </c>
      <c r="I16" s="2652"/>
      <c r="J16" s="2655">
        <v>0</v>
      </c>
      <c r="K16" s="2654"/>
      <c r="L16" s="2656">
        <f>C16-H16</f>
        <v>0</v>
      </c>
      <c r="M16" s="2652"/>
      <c r="N16" s="2655">
        <v>0</v>
      </c>
      <c r="O16" s="2654"/>
      <c r="P16" s="2651"/>
      <c r="Q16" s="2657"/>
      <c r="R16" s="2651"/>
      <c r="S16" s="2648">
        <f t="shared" ref="S16:S17" si="1">SUM(D16:R16)</f>
        <v>0</v>
      </c>
      <c r="U16" s="2663"/>
    </row>
    <row r="17" spans="1:20" ht="21.75" customHeight="1" thickBot="1" x14ac:dyDescent="0.45">
      <c r="B17" s="2664" t="s">
        <v>638</v>
      </c>
      <c r="C17" s="2665">
        <f>+[1]Summary!AP69</f>
        <v>0</v>
      </c>
      <c r="D17" s="2666">
        <f>+[1]Summary!AQ69</f>
        <v>0</v>
      </c>
      <c r="E17" s="2667"/>
      <c r="F17" s="2668">
        <f>SUM(C17:D17)</f>
        <v>0</v>
      </c>
      <c r="G17" s="2669"/>
      <c r="H17" s="2666">
        <f>+[1]Summary!AR69</f>
        <v>0</v>
      </c>
      <c r="I17" s="2667"/>
      <c r="J17" s="2670">
        <f>+[1]Summary!AS69</f>
        <v>0</v>
      </c>
      <c r="K17" s="2669"/>
      <c r="L17" s="2671">
        <f>C17-H17</f>
        <v>0</v>
      </c>
      <c r="M17" s="2667"/>
      <c r="N17" s="2670">
        <v>0</v>
      </c>
      <c r="O17" s="2669"/>
      <c r="P17" s="2666"/>
      <c r="Q17" s="2672"/>
      <c r="R17" s="2666"/>
      <c r="S17" s="2673">
        <f t="shared" si="1"/>
        <v>0</v>
      </c>
    </row>
    <row r="18" spans="1:20" ht="21.75" customHeight="1" thickBot="1" x14ac:dyDescent="0.45">
      <c r="B18" s="2674" t="s">
        <v>18</v>
      </c>
      <c r="C18" s="2675">
        <f t="shared" ref="C18" si="2">SUM(C5:C17)</f>
        <v>229</v>
      </c>
      <c r="D18" s="2676">
        <f>SUM(D5:D17)</f>
        <v>1049</v>
      </c>
      <c r="E18" s="2677">
        <f t="shared" ref="E18:R18" si="3">SUM(E5:E17)</f>
        <v>61</v>
      </c>
      <c r="F18" s="2676">
        <f t="shared" si="3"/>
        <v>130</v>
      </c>
      <c r="G18" s="2677">
        <f t="shared" si="3"/>
        <v>59</v>
      </c>
      <c r="H18" s="2676">
        <f t="shared" si="3"/>
        <v>238</v>
      </c>
      <c r="I18" s="2677">
        <f t="shared" si="3"/>
        <v>51</v>
      </c>
      <c r="J18" s="2676">
        <f t="shared" si="3"/>
        <v>202</v>
      </c>
      <c r="K18" s="2677">
        <f t="shared" si="3"/>
        <v>41</v>
      </c>
      <c r="L18" s="2676">
        <f t="shared" si="3"/>
        <v>216</v>
      </c>
      <c r="M18" s="2677">
        <f t="shared" si="3"/>
        <v>11</v>
      </c>
      <c r="N18" s="2676">
        <f t="shared" si="3"/>
        <v>170</v>
      </c>
      <c r="O18" s="2677">
        <f t="shared" si="3"/>
        <v>0</v>
      </c>
      <c r="P18" s="2676">
        <f t="shared" si="3"/>
        <v>40</v>
      </c>
      <c r="Q18" s="2677">
        <f t="shared" si="3"/>
        <v>0</v>
      </c>
      <c r="R18" s="2676">
        <f t="shared" si="3"/>
        <v>40</v>
      </c>
      <c r="S18" s="2678"/>
      <c r="T18" s="2679"/>
    </row>
    <row r="19" spans="1:20" ht="21.75" customHeight="1" thickBot="1" x14ac:dyDescent="0.35">
      <c r="F19" s="2663"/>
      <c r="G19" s="2663"/>
      <c r="N19" s="2663"/>
      <c r="O19" s="2663"/>
      <c r="Q19" s="2680"/>
      <c r="R19" s="2680"/>
    </row>
    <row r="20" spans="1:20" ht="21.75" customHeight="1" x14ac:dyDescent="0.3">
      <c r="D20" s="2681" t="s">
        <v>662</v>
      </c>
      <c r="E20" s="2682"/>
      <c r="N20" s="2663"/>
      <c r="O20" s="2663"/>
      <c r="P20" s="2663"/>
      <c r="Q20" s="2680"/>
      <c r="R20" s="2680"/>
    </row>
    <row r="21" spans="1:20" ht="21.75" customHeight="1" thickBot="1" x14ac:dyDescent="0.35">
      <c r="D21" s="2683">
        <f>C18+D18</f>
        <v>1278</v>
      </c>
      <c r="E21" s="2682"/>
      <c r="F21" s="2682"/>
      <c r="G21" s="2682"/>
      <c r="H21" s="2682"/>
      <c r="I21" s="2682"/>
      <c r="L21" s="2524" t="s">
        <v>663</v>
      </c>
      <c r="N21" s="2663"/>
      <c r="O21" s="2663"/>
      <c r="Q21" s="2680"/>
      <c r="R21" s="2680"/>
    </row>
    <row r="22" spans="1:20" ht="21.75" customHeight="1" x14ac:dyDescent="0.3">
      <c r="O22" s="2663"/>
      <c r="R22" s="2663"/>
    </row>
    <row r="23" spans="1:20" ht="21.75" customHeight="1" thickBot="1" x14ac:dyDescent="0.35">
      <c r="A23" s="2746" t="s">
        <v>664</v>
      </c>
      <c r="B23" s="2746"/>
      <c r="C23" s="2746"/>
      <c r="D23" s="2746"/>
      <c r="I23" s="2524" t="s">
        <v>665</v>
      </c>
    </row>
    <row r="24" spans="1:20" ht="21.75" customHeight="1" thickBot="1" x14ac:dyDescent="0.35">
      <c r="B24" s="2684" t="s">
        <v>666</v>
      </c>
      <c r="C24" s="2685" t="s">
        <v>667</v>
      </c>
      <c r="D24" s="2685" t="s">
        <v>668</v>
      </c>
      <c r="E24" s="2685" t="s">
        <v>669</v>
      </c>
      <c r="F24" s="2686" t="s">
        <v>670</v>
      </c>
      <c r="I24" s="2524" t="s">
        <v>671</v>
      </c>
    </row>
    <row r="25" spans="1:20" ht="21.75" customHeight="1" thickBot="1" x14ac:dyDescent="0.35">
      <c r="B25" s="2687"/>
      <c r="C25" s="2688"/>
      <c r="D25" s="2689"/>
      <c r="E25" s="2690"/>
      <c r="F25" s="2691"/>
      <c r="G25" s="2623"/>
      <c r="H25" s="2692" t="s">
        <v>672</v>
      </c>
      <c r="I25" s="2692" t="s">
        <v>39</v>
      </c>
      <c r="J25" s="2693" t="s">
        <v>673</v>
      </c>
      <c r="K25" s="2692" t="s">
        <v>674</v>
      </c>
      <c r="L25" s="2693" t="s">
        <v>631</v>
      </c>
      <c r="M25" s="2692" t="s">
        <v>632</v>
      </c>
      <c r="N25" s="2694" t="s">
        <v>675</v>
      </c>
    </row>
    <row r="26" spans="1:20" ht="21.75" customHeight="1" x14ac:dyDescent="0.3">
      <c r="B26" s="2687" t="s">
        <v>654</v>
      </c>
      <c r="C26" s="2688">
        <v>0</v>
      </c>
      <c r="D26" s="2689">
        <v>3</v>
      </c>
      <c r="E26" s="2690"/>
      <c r="F26" s="2691"/>
      <c r="G26" s="2695">
        <v>1</v>
      </c>
      <c r="H26" s="2696" t="s">
        <v>284</v>
      </c>
      <c r="I26" s="2696" t="s">
        <v>284</v>
      </c>
      <c r="J26" s="2697" t="s">
        <v>284</v>
      </c>
      <c r="K26" s="2696" t="s">
        <v>284</v>
      </c>
      <c r="L26" s="2697" t="s">
        <v>284</v>
      </c>
      <c r="M26" s="2696" t="s">
        <v>284</v>
      </c>
      <c r="N26" s="2698" t="s">
        <v>284</v>
      </c>
    </row>
    <row r="27" spans="1:20" ht="21.75" customHeight="1" x14ac:dyDescent="0.3">
      <c r="B27" s="2687" t="s">
        <v>289</v>
      </c>
      <c r="C27" s="2690">
        <v>5</v>
      </c>
      <c r="D27" s="2699">
        <v>2</v>
      </c>
      <c r="E27" s="2690"/>
      <c r="F27" s="2691"/>
      <c r="G27" s="2695">
        <v>2</v>
      </c>
      <c r="H27" s="2700" t="s">
        <v>291</v>
      </c>
      <c r="I27" s="2700" t="s">
        <v>655</v>
      </c>
      <c r="J27" s="2701" t="s">
        <v>655</v>
      </c>
      <c r="K27" s="2700" t="s">
        <v>676</v>
      </c>
      <c r="L27" s="2701" t="s">
        <v>677</v>
      </c>
      <c r="M27" s="2700"/>
      <c r="N27" s="2702"/>
    </row>
    <row r="28" spans="1:20" ht="21.75" customHeight="1" x14ac:dyDescent="0.3">
      <c r="B28" s="2687" t="s">
        <v>655</v>
      </c>
      <c r="C28" s="2690">
        <v>5</v>
      </c>
      <c r="D28" s="2699">
        <v>3</v>
      </c>
      <c r="E28" s="2690"/>
      <c r="F28" s="2691"/>
      <c r="G28" s="2695">
        <v>3</v>
      </c>
      <c r="H28" s="2700" t="s">
        <v>678</v>
      </c>
      <c r="I28" s="2700" t="s">
        <v>655</v>
      </c>
      <c r="J28" s="2701" t="s">
        <v>679</v>
      </c>
      <c r="K28" s="2700" t="s">
        <v>680</v>
      </c>
      <c r="L28" s="2701" t="s">
        <v>677</v>
      </c>
      <c r="M28" s="2700"/>
      <c r="N28" s="2702"/>
    </row>
    <row r="29" spans="1:20" ht="21.75" customHeight="1" x14ac:dyDescent="0.3">
      <c r="B29" s="2687" t="s">
        <v>284</v>
      </c>
      <c r="C29" s="2690">
        <v>7</v>
      </c>
      <c r="D29" s="2699">
        <v>1</v>
      </c>
      <c r="E29" s="2690"/>
      <c r="F29" s="2691"/>
      <c r="G29" s="2695">
        <v>4</v>
      </c>
      <c r="H29" s="2700" t="s">
        <v>678</v>
      </c>
      <c r="I29" s="2700" t="s">
        <v>676</v>
      </c>
      <c r="J29" s="2701" t="s">
        <v>680</v>
      </c>
      <c r="K29" s="2700" t="s">
        <v>678</v>
      </c>
      <c r="L29" s="2701" t="s">
        <v>676</v>
      </c>
      <c r="M29" s="2700"/>
      <c r="N29" s="2702"/>
    </row>
    <row r="30" spans="1:20" ht="21.75" customHeight="1" x14ac:dyDescent="0.3">
      <c r="B30" s="2687" t="s">
        <v>288</v>
      </c>
      <c r="C30" s="2690">
        <v>4</v>
      </c>
      <c r="D30" s="2699">
        <v>1</v>
      </c>
      <c r="E30" s="2690"/>
      <c r="F30" s="2691"/>
      <c r="G30" s="2695">
        <v>5</v>
      </c>
      <c r="H30" s="2700" t="s">
        <v>676</v>
      </c>
      <c r="I30" s="2700" t="s">
        <v>288</v>
      </c>
      <c r="J30" s="2701" t="s">
        <v>678</v>
      </c>
      <c r="K30" s="2700" t="s">
        <v>681</v>
      </c>
      <c r="L30" s="2701" t="s">
        <v>676</v>
      </c>
      <c r="M30" s="2700"/>
      <c r="N30" s="2702"/>
    </row>
    <row r="31" spans="1:20" ht="21.75" customHeight="1" thickBot="1" x14ac:dyDescent="0.35">
      <c r="B31" s="2687" t="s">
        <v>656</v>
      </c>
      <c r="C31" s="2690"/>
      <c r="D31" s="2699">
        <v>3</v>
      </c>
      <c r="E31" s="2690"/>
      <c r="F31" s="2691"/>
      <c r="G31" s="2695">
        <v>6</v>
      </c>
      <c r="H31" s="2703" t="s">
        <v>681</v>
      </c>
      <c r="I31" s="2703" t="s">
        <v>676</v>
      </c>
      <c r="J31" s="2700" t="s">
        <v>681</v>
      </c>
      <c r="K31" s="2703" t="s">
        <v>678</v>
      </c>
      <c r="L31" s="2704" t="s">
        <v>676</v>
      </c>
      <c r="M31" s="2703"/>
      <c r="N31" s="2705"/>
    </row>
    <row r="32" spans="1:20" ht="21.75" customHeight="1" x14ac:dyDescent="0.3">
      <c r="B32" s="2687" t="s">
        <v>657</v>
      </c>
      <c r="C32" s="2690">
        <v>3</v>
      </c>
      <c r="D32" s="2699">
        <v>0</v>
      </c>
      <c r="E32" s="2690"/>
      <c r="F32" s="2691">
        <v>1</v>
      </c>
      <c r="G32" s="2623"/>
    </row>
    <row r="33" spans="2:12" ht="21.75" customHeight="1" thickBot="1" x14ac:dyDescent="0.35">
      <c r="B33" s="2687" t="s">
        <v>658</v>
      </c>
      <c r="C33" s="2690">
        <v>8</v>
      </c>
      <c r="D33" s="2699">
        <v>0</v>
      </c>
      <c r="E33" s="2690"/>
      <c r="F33" s="2691"/>
      <c r="G33" s="2623"/>
      <c r="I33" s="2524" t="s">
        <v>682</v>
      </c>
    </row>
    <row r="34" spans="2:12" ht="21.75" customHeight="1" thickBot="1" x14ac:dyDescent="0.35">
      <c r="B34" s="2687" t="s">
        <v>659</v>
      </c>
      <c r="C34" s="2690">
        <v>1</v>
      </c>
      <c r="D34" s="2699">
        <v>0</v>
      </c>
      <c r="E34" s="2690"/>
      <c r="F34" s="2691"/>
      <c r="G34" s="2623"/>
      <c r="H34" s="2706" t="s">
        <v>672</v>
      </c>
      <c r="I34" s="2706" t="s">
        <v>39</v>
      </c>
      <c r="J34" s="2692" t="s">
        <v>673</v>
      </c>
      <c r="K34" s="2693" t="s">
        <v>674</v>
      </c>
      <c r="L34" s="2692" t="s">
        <v>631</v>
      </c>
    </row>
    <row r="35" spans="2:12" ht="21.75" customHeight="1" x14ac:dyDescent="0.3">
      <c r="B35" s="2687" t="s">
        <v>660</v>
      </c>
      <c r="C35" s="2690">
        <v>0</v>
      </c>
      <c r="D35" s="2699">
        <v>0</v>
      </c>
      <c r="E35" s="2690"/>
      <c r="F35" s="2691">
        <v>1</v>
      </c>
      <c r="G35" s="2695">
        <v>1</v>
      </c>
      <c r="H35" s="2707" t="s">
        <v>655</v>
      </c>
      <c r="I35" s="2707" t="s">
        <v>655</v>
      </c>
      <c r="J35" s="2696" t="s">
        <v>683</v>
      </c>
      <c r="K35" s="2697" t="s">
        <v>683</v>
      </c>
      <c r="L35" s="2696" t="s">
        <v>284</v>
      </c>
    </row>
    <row r="36" spans="2:12" ht="21.75" customHeight="1" thickBot="1" x14ac:dyDescent="0.35">
      <c r="B36" s="2687" t="s">
        <v>287</v>
      </c>
      <c r="C36" s="2690">
        <v>0</v>
      </c>
      <c r="D36" s="2699">
        <v>0</v>
      </c>
      <c r="E36" s="2690">
        <v>2</v>
      </c>
      <c r="F36" s="2691">
        <v>1</v>
      </c>
      <c r="G36" s="2695">
        <v>2</v>
      </c>
      <c r="H36" s="2708" t="s">
        <v>678</v>
      </c>
      <c r="I36" s="2707" t="s">
        <v>684</v>
      </c>
      <c r="J36" s="2700" t="s">
        <v>678</v>
      </c>
      <c r="K36" s="2709" t="s">
        <v>286</v>
      </c>
      <c r="L36" s="2703" t="s">
        <v>286</v>
      </c>
    </row>
    <row r="37" spans="2:12" ht="21.75" customHeight="1" thickBot="1" x14ac:dyDescent="0.35">
      <c r="B37" s="2687" t="s">
        <v>661</v>
      </c>
      <c r="C37" s="2690">
        <v>0</v>
      </c>
      <c r="D37" s="2699">
        <v>0</v>
      </c>
      <c r="E37" s="2690"/>
      <c r="F37" s="2691"/>
      <c r="G37" s="2695">
        <v>3</v>
      </c>
      <c r="H37" s="2710" t="s">
        <v>684</v>
      </c>
      <c r="I37" s="2709" t="s">
        <v>286</v>
      </c>
      <c r="J37" s="2703"/>
      <c r="K37" s="2703" t="s">
        <v>680</v>
      </c>
      <c r="L37" s="2703"/>
    </row>
    <row r="38" spans="2:12" ht="21.75" customHeight="1" thickBot="1" x14ac:dyDescent="0.35">
      <c r="B38" s="2711" t="s">
        <v>638</v>
      </c>
      <c r="C38" s="2712">
        <v>0</v>
      </c>
      <c r="D38" s="2713">
        <v>0</v>
      </c>
      <c r="E38" s="2712"/>
      <c r="F38" s="2714"/>
      <c r="G38" s="2623"/>
    </row>
    <row r="39" spans="2:12" ht="21.75" customHeight="1" thickBot="1" x14ac:dyDescent="0.35">
      <c r="B39" s="2715" t="s">
        <v>18</v>
      </c>
      <c r="C39" s="2716">
        <f>SUM(C26:C38)</f>
        <v>33</v>
      </c>
      <c r="D39" s="2716">
        <f>SUM(D26:D38)</f>
        <v>13</v>
      </c>
      <c r="E39" s="2716">
        <f t="shared" ref="E39:F39" si="4">SUM(E26:E38)</f>
        <v>2</v>
      </c>
      <c r="F39" s="2717">
        <f t="shared" si="4"/>
        <v>3</v>
      </c>
    </row>
  </sheetData>
  <mergeCells count="9">
    <mergeCell ref="O3:P3"/>
    <mergeCell ref="Q3:R3"/>
    <mergeCell ref="A23:D23"/>
    <mergeCell ref="B2:N2"/>
    <mergeCell ref="E3:F3"/>
    <mergeCell ref="G3:H3"/>
    <mergeCell ref="I3:J3"/>
    <mergeCell ref="K3:L3"/>
    <mergeCell ref="M3:N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45F11-22F0-43B3-8EF3-6582EDA9CFEC}">
  <dimension ref="A1:R101"/>
  <sheetViews>
    <sheetView zoomScale="50" zoomScaleNormal="50" workbookViewId="0">
      <selection activeCell="J11" sqref="J11"/>
    </sheetView>
  </sheetViews>
  <sheetFormatPr defaultRowHeight="14.4" x14ac:dyDescent="0.3"/>
  <cols>
    <col min="1" max="1" width="11" bestFit="1" customWidth="1"/>
    <col min="2" max="2" width="59.88671875" bestFit="1" customWidth="1"/>
    <col min="3" max="8" width="22.109375" customWidth="1"/>
    <col min="9" max="9" width="23.77734375" bestFit="1" customWidth="1"/>
    <col min="10" max="10" width="20.6640625" bestFit="1" customWidth="1"/>
    <col min="11" max="11" width="19.33203125" bestFit="1" customWidth="1"/>
    <col min="12" max="12" width="23.21875" bestFit="1" customWidth="1"/>
    <col min="13" max="13" width="19.5546875" bestFit="1" customWidth="1"/>
    <col min="14" max="18" width="31" customWidth="1"/>
  </cols>
  <sheetData>
    <row r="1" spans="1:18" ht="24" thickBot="1" x14ac:dyDescent="0.5">
      <c r="A1" s="2522" t="s">
        <v>584</v>
      </c>
      <c r="B1" s="2522" t="s">
        <v>585</v>
      </c>
      <c r="C1" s="2523"/>
      <c r="D1" s="2523"/>
      <c r="E1" s="2522" t="s">
        <v>586</v>
      </c>
    </row>
    <row r="2" spans="1:18" ht="32.4" thickTop="1" thickBot="1" x14ac:dyDescent="0.65">
      <c r="A2" s="2524"/>
      <c r="B2" s="2525"/>
      <c r="E2" s="2524"/>
      <c r="J2" s="2750" t="s">
        <v>587</v>
      </c>
      <c r="K2" s="2751"/>
      <c r="L2" s="2751"/>
      <c r="M2" s="2752"/>
    </row>
    <row r="3" spans="1:18" ht="24.6" thickTop="1" thickBot="1" x14ac:dyDescent="0.5">
      <c r="B3" s="2526" t="s">
        <v>2</v>
      </c>
      <c r="C3" s="2527" t="s">
        <v>588</v>
      </c>
      <c r="D3" s="2527" t="s">
        <v>589</v>
      </c>
      <c r="E3" s="2527" t="s">
        <v>455</v>
      </c>
      <c r="F3" s="2527" t="s">
        <v>590</v>
      </c>
      <c r="G3" s="2527" t="s">
        <v>450</v>
      </c>
      <c r="H3" s="2527" t="s">
        <v>591</v>
      </c>
      <c r="I3" s="2528" t="s">
        <v>592</v>
      </c>
      <c r="J3" s="2529" t="s">
        <v>593</v>
      </c>
      <c r="K3" s="2530" t="s">
        <v>594</v>
      </c>
      <c r="L3" s="2531" t="s">
        <v>595</v>
      </c>
      <c r="M3" s="2531" t="s">
        <v>596</v>
      </c>
      <c r="N3" s="2527" t="s">
        <v>597</v>
      </c>
      <c r="O3" s="2527" t="s">
        <v>598</v>
      </c>
      <c r="P3" s="2532" t="s">
        <v>599</v>
      </c>
      <c r="Q3" s="2533" t="s">
        <v>600</v>
      </c>
      <c r="R3" s="2533" t="s">
        <v>601</v>
      </c>
    </row>
    <row r="4" spans="1:18" ht="23.4" x14ac:dyDescent="0.45">
      <c r="B4" s="2534" t="s">
        <v>602</v>
      </c>
      <c r="C4" s="2535">
        <f>15+9</f>
        <v>24</v>
      </c>
      <c r="D4" s="2535">
        <v>9</v>
      </c>
      <c r="E4" s="2535">
        <v>6</v>
      </c>
      <c r="F4" s="2535">
        <v>6</v>
      </c>
      <c r="G4" s="2535">
        <v>3</v>
      </c>
      <c r="H4" s="2535">
        <v>6</v>
      </c>
      <c r="I4" s="2536">
        <f t="shared" ref="I4:I33" si="0">SUM(C4:H4)</f>
        <v>54</v>
      </c>
      <c r="J4" s="2537">
        <v>3</v>
      </c>
      <c r="K4" s="2538">
        <f t="shared" ref="K4:K32" si="1">COUNT(C4:H4)</f>
        <v>6</v>
      </c>
      <c r="L4" s="2539">
        <v>1</v>
      </c>
      <c r="M4" s="2540">
        <f t="shared" ref="M4:M33" si="2">AVERAGE(J4,L4)</f>
        <v>2</v>
      </c>
      <c r="N4" s="2541">
        <v>54</v>
      </c>
      <c r="O4" s="2542">
        <f t="shared" ref="O4:O33" si="3">I4-N4</f>
        <v>0</v>
      </c>
      <c r="P4" s="2543"/>
      <c r="Q4" s="2544">
        <v>24</v>
      </c>
      <c r="R4" s="2542"/>
    </row>
    <row r="5" spans="1:18" ht="23.4" x14ac:dyDescent="0.45">
      <c r="B5" s="2545" t="s">
        <v>603</v>
      </c>
      <c r="C5" s="2546">
        <v>15</v>
      </c>
      <c r="D5" s="2546">
        <v>9</v>
      </c>
      <c r="E5" s="2546">
        <v>12</v>
      </c>
      <c r="F5" s="2546">
        <v>9</v>
      </c>
      <c r="G5" s="2546"/>
      <c r="H5" s="2546"/>
      <c r="I5" s="2547">
        <f t="shared" si="0"/>
        <v>45</v>
      </c>
      <c r="J5" s="2537">
        <v>4</v>
      </c>
      <c r="K5" s="2538">
        <f t="shared" si="1"/>
        <v>4</v>
      </c>
      <c r="L5" s="2539">
        <v>2</v>
      </c>
      <c r="M5" s="2540">
        <f t="shared" si="2"/>
        <v>3</v>
      </c>
      <c r="N5" s="2548">
        <v>45</v>
      </c>
      <c r="O5" s="2549">
        <f t="shared" si="3"/>
        <v>0</v>
      </c>
      <c r="P5" s="2550"/>
      <c r="Q5" s="2551">
        <v>23</v>
      </c>
      <c r="R5" s="2549"/>
    </row>
    <row r="6" spans="1:18" ht="23.4" x14ac:dyDescent="0.45">
      <c r="B6" s="2545" t="s">
        <v>604</v>
      </c>
      <c r="C6" s="2546"/>
      <c r="D6" s="2546">
        <v>6</v>
      </c>
      <c r="E6" s="2546">
        <v>6</v>
      </c>
      <c r="F6" s="2546"/>
      <c r="G6" s="2546">
        <v>3</v>
      </c>
      <c r="H6" s="2546">
        <v>4</v>
      </c>
      <c r="I6" s="2547">
        <f t="shared" si="0"/>
        <v>19</v>
      </c>
      <c r="J6" s="2537">
        <v>7</v>
      </c>
      <c r="K6" s="2538">
        <f>COUNT(C6:H6)</f>
        <v>4</v>
      </c>
      <c r="L6" s="2539">
        <v>2</v>
      </c>
      <c r="M6" s="2540">
        <f t="shared" si="2"/>
        <v>4.5</v>
      </c>
      <c r="N6" s="2548">
        <v>19</v>
      </c>
      <c r="O6" s="2549">
        <f t="shared" si="3"/>
        <v>0</v>
      </c>
      <c r="P6" s="2550"/>
      <c r="Q6" s="2551">
        <v>17</v>
      </c>
      <c r="R6" s="2549"/>
    </row>
    <row r="7" spans="1:18" ht="23.4" x14ac:dyDescent="0.45">
      <c r="B7" s="2545" t="s">
        <v>209</v>
      </c>
      <c r="C7" s="2546"/>
      <c r="D7" s="2546">
        <v>27</v>
      </c>
      <c r="E7" s="2546">
        <v>15</v>
      </c>
      <c r="F7" s="2546"/>
      <c r="G7" s="2546">
        <v>24</v>
      </c>
      <c r="H7" s="2546"/>
      <c r="I7" s="2547">
        <f t="shared" si="0"/>
        <v>66</v>
      </c>
      <c r="J7" s="2537">
        <v>1</v>
      </c>
      <c r="K7" s="2538">
        <f t="shared" si="1"/>
        <v>3</v>
      </c>
      <c r="L7" s="2539">
        <v>3</v>
      </c>
      <c r="M7" s="2540">
        <f t="shared" si="2"/>
        <v>2</v>
      </c>
      <c r="N7" s="2548">
        <v>66</v>
      </c>
      <c r="O7" s="2549">
        <f t="shared" si="3"/>
        <v>0</v>
      </c>
      <c r="P7" s="2550"/>
      <c r="Q7" s="2551">
        <v>21</v>
      </c>
      <c r="R7" s="2549"/>
    </row>
    <row r="8" spans="1:18" ht="23.4" x14ac:dyDescent="0.45">
      <c r="B8" s="2545" t="s">
        <v>605</v>
      </c>
      <c r="C8" s="2546">
        <v>36</v>
      </c>
      <c r="D8" s="2546"/>
      <c r="E8" s="2546"/>
      <c r="F8" s="2546">
        <v>9</v>
      </c>
      <c r="G8" s="2546"/>
      <c r="H8" s="2546">
        <v>11</v>
      </c>
      <c r="I8" s="2547">
        <f t="shared" si="0"/>
        <v>56</v>
      </c>
      <c r="J8" s="2537">
        <v>2</v>
      </c>
      <c r="K8" s="2538">
        <f t="shared" si="1"/>
        <v>3</v>
      </c>
      <c r="L8" s="2539">
        <v>3</v>
      </c>
      <c r="M8" s="2540">
        <f t="shared" si="2"/>
        <v>2.5</v>
      </c>
      <c r="N8" s="2548">
        <v>56</v>
      </c>
      <c r="O8" s="2549">
        <f t="shared" si="3"/>
        <v>0</v>
      </c>
      <c r="P8" s="2550"/>
      <c r="Q8" s="2551">
        <v>22</v>
      </c>
      <c r="R8" s="2549"/>
    </row>
    <row r="9" spans="1:18" ht="23.4" x14ac:dyDescent="0.45">
      <c r="B9" s="2545" t="s">
        <v>446</v>
      </c>
      <c r="C9" s="2546">
        <v>21</v>
      </c>
      <c r="D9" s="2546"/>
      <c r="E9" s="2546">
        <v>12</v>
      </c>
      <c r="F9" s="2546">
        <v>12</v>
      </c>
      <c r="G9" s="2546"/>
      <c r="H9" s="2546"/>
      <c r="I9" s="2547">
        <f t="shared" si="0"/>
        <v>45</v>
      </c>
      <c r="J9" s="2537">
        <v>4</v>
      </c>
      <c r="K9" s="2538">
        <f t="shared" si="1"/>
        <v>3</v>
      </c>
      <c r="L9" s="2539">
        <v>3</v>
      </c>
      <c r="M9" s="2540">
        <f t="shared" si="2"/>
        <v>3.5</v>
      </c>
      <c r="N9" s="2548">
        <v>45</v>
      </c>
      <c r="O9" s="2549">
        <f t="shared" si="3"/>
        <v>0</v>
      </c>
      <c r="P9" s="2550"/>
      <c r="Q9" s="2551">
        <v>19</v>
      </c>
      <c r="R9" s="2549"/>
    </row>
    <row r="10" spans="1:18" ht="23.4" x14ac:dyDescent="0.45">
      <c r="B10" s="2545" t="s">
        <v>606</v>
      </c>
      <c r="C10" s="2546">
        <v>15</v>
      </c>
      <c r="D10" s="2546"/>
      <c r="E10" s="2546">
        <v>9</v>
      </c>
      <c r="F10" s="2546">
        <v>6</v>
      </c>
      <c r="G10" s="2546"/>
      <c r="H10" s="2546"/>
      <c r="I10" s="2547">
        <f t="shared" si="0"/>
        <v>30</v>
      </c>
      <c r="J10" s="2537">
        <v>5</v>
      </c>
      <c r="K10" s="2538">
        <f t="shared" si="1"/>
        <v>3</v>
      </c>
      <c r="L10" s="2539">
        <v>3</v>
      </c>
      <c r="M10" s="2540">
        <f t="shared" si="2"/>
        <v>4</v>
      </c>
      <c r="N10" s="2548">
        <v>30</v>
      </c>
      <c r="O10" s="2549">
        <f t="shared" si="3"/>
        <v>0</v>
      </c>
      <c r="P10" s="2550"/>
      <c r="Q10" s="2551">
        <v>16</v>
      </c>
      <c r="R10" s="2549"/>
    </row>
    <row r="11" spans="1:18" ht="23.4" x14ac:dyDescent="0.45">
      <c r="B11" s="2545" t="s">
        <v>14</v>
      </c>
      <c r="C11" s="2546"/>
      <c r="D11" s="2546">
        <v>6</v>
      </c>
      <c r="E11" s="2546"/>
      <c r="F11" s="2546">
        <v>3</v>
      </c>
      <c r="G11" s="2546"/>
      <c r="H11" s="2546">
        <v>4</v>
      </c>
      <c r="I11" s="2547">
        <f t="shared" si="0"/>
        <v>13</v>
      </c>
      <c r="J11" s="2537">
        <v>8</v>
      </c>
      <c r="K11" s="2538">
        <f t="shared" si="1"/>
        <v>3</v>
      </c>
      <c r="L11" s="2539">
        <v>3</v>
      </c>
      <c r="M11" s="2540">
        <f t="shared" si="2"/>
        <v>5.5</v>
      </c>
      <c r="N11" s="2548">
        <v>13</v>
      </c>
      <c r="O11" s="2549">
        <f t="shared" si="3"/>
        <v>0</v>
      </c>
      <c r="P11" s="2550"/>
      <c r="Q11" s="2551">
        <v>18</v>
      </c>
      <c r="R11" s="2549"/>
    </row>
    <row r="12" spans="1:18" ht="23.4" x14ac:dyDescent="0.45">
      <c r="B12" s="2545" t="s">
        <v>534</v>
      </c>
      <c r="C12" s="2546">
        <f>14+7</f>
        <v>21</v>
      </c>
      <c r="D12" s="2546"/>
      <c r="E12" s="2546"/>
      <c r="F12" s="2546">
        <v>3</v>
      </c>
      <c r="G12" s="2546"/>
      <c r="H12" s="2546"/>
      <c r="I12" s="2547">
        <f t="shared" si="0"/>
        <v>24</v>
      </c>
      <c r="J12" s="2537">
        <v>6</v>
      </c>
      <c r="K12" s="2538">
        <f t="shared" si="1"/>
        <v>2</v>
      </c>
      <c r="L12" s="2539">
        <v>4</v>
      </c>
      <c r="M12" s="2540">
        <f t="shared" si="2"/>
        <v>5</v>
      </c>
      <c r="N12" s="2548">
        <v>24</v>
      </c>
      <c r="O12" s="2549">
        <f t="shared" si="3"/>
        <v>0</v>
      </c>
      <c r="P12" s="2550"/>
      <c r="Q12" s="2551">
        <v>15</v>
      </c>
      <c r="R12" s="2549"/>
    </row>
    <row r="13" spans="1:18" ht="23.4" x14ac:dyDescent="0.45">
      <c r="B13" s="2545" t="s">
        <v>607</v>
      </c>
      <c r="C13" s="2546">
        <v>2</v>
      </c>
      <c r="D13" s="2546">
        <v>3</v>
      </c>
      <c r="E13" s="2546"/>
      <c r="F13" s="2546"/>
      <c r="G13" s="2546"/>
      <c r="H13" s="2546"/>
      <c r="I13" s="2547">
        <f t="shared" si="0"/>
        <v>5</v>
      </c>
      <c r="J13" s="2537">
        <v>11</v>
      </c>
      <c r="K13" s="2538">
        <f t="shared" si="1"/>
        <v>2</v>
      </c>
      <c r="L13" s="2539">
        <v>4</v>
      </c>
      <c r="M13" s="2540">
        <f t="shared" si="2"/>
        <v>7.5</v>
      </c>
      <c r="N13" s="2548">
        <v>5</v>
      </c>
      <c r="O13" s="2549">
        <f t="shared" si="3"/>
        <v>0</v>
      </c>
      <c r="P13" s="2550"/>
      <c r="Q13" s="2551"/>
      <c r="R13" s="2549">
        <v>18</v>
      </c>
    </row>
    <row r="14" spans="1:18" ht="23.4" x14ac:dyDescent="0.45">
      <c r="B14" s="2545" t="s">
        <v>537</v>
      </c>
      <c r="C14" s="2546">
        <v>2</v>
      </c>
      <c r="D14" s="2546"/>
      <c r="E14" s="2546"/>
      <c r="F14" s="2546">
        <v>3</v>
      </c>
      <c r="G14" s="2546"/>
      <c r="H14" s="2546"/>
      <c r="I14" s="2547">
        <f t="shared" si="0"/>
        <v>5</v>
      </c>
      <c r="J14" s="2537">
        <v>11</v>
      </c>
      <c r="K14" s="2538">
        <f t="shared" si="1"/>
        <v>2</v>
      </c>
      <c r="L14" s="2539">
        <v>4</v>
      </c>
      <c r="M14" s="2540">
        <f t="shared" si="2"/>
        <v>7.5</v>
      </c>
      <c r="N14" s="2548">
        <v>5</v>
      </c>
      <c r="O14" s="2549">
        <f t="shared" si="3"/>
        <v>0</v>
      </c>
      <c r="P14" s="2550"/>
      <c r="Q14" s="2551"/>
      <c r="R14" s="2549">
        <v>18</v>
      </c>
    </row>
    <row r="15" spans="1:18" ht="23.4" x14ac:dyDescent="0.45">
      <c r="B15" s="2545" t="s">
        <v>539</v>
      </c>
      <c r="C15" s="2546"/>
      <c r="D15" s="2546"/>
      <c r="E15" s="2546"/>
      <c r="F15" s="2546">
        <v>3</v>
      </c>
      <c r="G15" s="2546"/>
      <c r="H15" s="2546">
        <v>1</v>
      </c>
      <c r="I15" s="2547">
        <f t="shared" si="0"/>
        <v>4</v>
      </c>
      <c r="J15" s="2537">
        <v>12</v>
      </c>
      <c r="K15" s="2538">
        <f t="shared" si="1"/>
        <v>2</v>
      </c>
      <c r="L15" s="2539">
        <v>4</v>
      </c>
      <c r="M15" s="2540">
        <f t="shared" si="2"/>
        <v>8</v>
      </c>
      <c r="N15" s="2548">
        <v>4</v>
      </c>
      <c r="O15" s="2549">
        <f t="shared" si="3"/>
        <v>0</v>
      </c>
      <c r="P15" s="2550"/>
      <c r="Q15" s="2551">
        <v>20</v>
      </c>
      <c r="R15" s="2549"/>
    </row>
    <row r="16" spans="1:18" ht="23.4" x14ac:dyDescent="0.45">
      <c r="B16" s="2545" t="s">
        <v>102</v>
      </c>
      <c r="C16" s="2546">
        <v>12</v>
      </c>
      <c r="D16" s="2546"/>
      <c r="E16" s="2546"/>
      <c r="F16" s="2546"/>
      <c r="G16" s="2546"/>
      <c r="H16" s="2546"/>
      <c r="I16" s="2547">
        <f t="shared" si="0"/>
        <v>12</v>
      </c>
      <c r="J16" s="2537">
        <v>9</v>
      </c>
      <c r="K16" s="2538">
        <f t="shared" si="1"/>
        <v>1</v>
      </c>
      <c r="L16" s="2539">
        <v>5</v>
      </c>
      <c r="M16" s="2540">
        <f t="shared" si="2"/>
        <v>7</v>
      </c>
      <c r="N16" s="2548">
        <v>12</v>
      </c>
      <c r="O16" s="2549">
        <f t="shared" si="3"/>
        <v>0</v>
      </c>
      <c r="P16" s="2550"/>
      <c r="Q16" s="2551"/>
      <c r="R16" s="2549">
        <v>20</v>
      </c>
    </row>
    <row r="17" spans="2:18" ht="23.4" x14ac:dyDescent="0.45">
      <c r="B17" s="2545" t="s">
        <v>608</v>
      </c>
      <c r="C17" s="2546">
        <v>8</v>
      </c>
      <c r="D17" s="2546"/>
      <c r="E17" s="2546"/>
      <c r="F17" s="2546"/>
      <c r="G17" s="2546"/>
      <c r="H17" s="2546"/>
      <c r="I17" s="2547">
        <f t="shared" si="0"/>
        <v>8</v>
      </c>
      <c r="J17" s="2537">
        <v>10</v>
      </c>
      <c r="K17" s="2538">
        <f t="shared" si="1"/>
        <v>1</v>
      </c>
      <c r="L17" s="2539">
        <v>5</v>
      </c>
      <c r="M17" s="2540">
        <f t="shared" si="2"/>
        <v>7.5</v>
      </c>
      <c r="N17" s="2548">
        <v>8</v>
      </c>
      <c r="O17" s="2549">
        <f t="shared" si="3"/>
        <v>0</v>
      </c>
      <c r="P17" s="2550"/>
      <c r="Q17" s="2551"/>
      <c r="R17" s="2549">
        <v>18</v>
      </c>
    </row>
    <row r="18" spans="2:18" ht="23.4" x14ac:dyDescent="0.45">
      <c r="B18" s="2545" t="s">
        <v>609</v>
      </c>
      <c r="C18" s="2546"/>
      <c r="D18" s="2546"/>
      <c r="E18" s="2546"/>
      <c r="F18" s="2546">
        <v>3</v>
      </c>
      <c r="G18" s="2546"/>
      <c r="H18" s="2546"/>
      <c r="I18" s="2547">
        <f t="shared" si="0"/>
        <v>3</v>
      </c>
      <c r="J18" s="2537">
        <v>13</v>
      </c>
      <c r="K18" s="2538">
        <f t="shared" si="1"/>
        <v>1</v>
      </c>
      <c r="L18" s="2539">
        <v>5</v>
      </c>
      <c r="M18" s="2540">
        <f t="shared" si="2"/>
        <v>9</v>
      </c>
      <c r="N18" s="2548">
        <v>3</v>
      </c>
      <c r="O18" s="2549">
        <f t="shared" si="3"/>
        <v>0</v>
      </c>
      <c r="P18" s="2550"/>
      <c r="Q18" s="2551"/>
      <c r="R18" s="2549">
        <v>20</v>
      </c>
    </row>
    <row r="19" spans="2:18" ht="23.4" x14ac:dyDescent="0.45">
      <c r="B19" s="2545" t="s">
        <v>610</v>
      </c>
      <c r="C19" s="2546"/>
      <c r="D19" s="2546"/>
      <c r="E19" s="2546"/>
      <c r="F19" s="2546"/>
      <c r="G19" s="2546"/>
      <c r="H19" s="2546"/>
      <c r="I19" s="2547">
        <f t="shared" si="0"/>
        <v>0</v>
      </c>
      <c r="J19" s="2537"/>
      <c r="K19" s="2538">
        <f t="shared" si="1"/>
        <v>0</v>
      </c>
      <c r="L19" s="2539"/>
      <c r="M19" s="2540" t="e">
        <f t="shared" si="2"/>
        <v>#DIV/0!</v>
      </c>
      <c r="N19" s="2548"/>
      <c r="O19" s="2549">
        <f t="shared" si="3"/>
        <v>0</v>
      </c>
      <c r="P19" s="2550"/>
      <c r="Q19" s="2551"/>
      <c r="R19" s="2549"/>
    </row>
    <row r="20" spans="2:18" ht="23.4" x14ac:dyDescent="0.45">
      <c r="B20" s="2545" t="s">
        <v>611</v>
      </c>
      <c r="C20" s="2546"/>
      <c r="D20" s="2546"/>
      <c r="E20" s="2546"/>
      <c r="F20" s="2546"/>
      <c r="G20" s="2546"/>
      <c r="H20" s="2546"/>
      <c r="I20" s="2547">
        <f t="shared" si="0"/>
        <v>0</v>
      </c>
      <c r="J20" s="2537"/>
      <c r="K20" s="2538">
        <f t="shared" si="1"/>
        <v>0</v>
      </c>
      <c r="L20" s="2539"/>
      <c r="M20" s="2540" t="e">
        <f t="shared" si="2"/>
        <v>#DIV/0!</v>
      </c>
      <c r="N20" s="2548"/>
      <c r="O20" s="2549">
        <f t="shared" si="3"/>
        <v>0</v>
      </c>
      <c r="P20" s="2550"/>
      <c r="Q20" s="2551"/>
      <c r="R20" s="2549"/>
    </row>
    <row r="21" spans="2:18" ht="23.4" x14ac:dyDescent="0.45">
      <c r="B21" s="2545" t="s">
        <v>612</v>
      </c>
      <c r="C21" s="2546"/>
      <c r="D21" s="2546"/>
      <c r="E21" s="2546"/>
      <c r="F21" s="2546"/>
      <c r="G21" s="2546"/>
      <c r="H21" s="2546"/>
      <c r="I21" s="2547">
        <f t="shared" si="0"/>
        <v>0</v>
      </c>
      <c r="J21" s="2537"/>
      <c r="K21" s="2538">
        <f t="shared" si="1"/>
        <v>0</v>
      </c>
      <c r="L21" s="2539"/>
      <c r="M21" s="2540" t="e">
        <f t="shared" si="2"/>
        <v>#DIV/0!</v>
      </c>
      <c r="N21" s="2548"/>
      <c r="O21" s="2549">
        <f t="shared" si="3"/>
        <v>0</v>
      </c>
      <c r="P21" s="2550"/>
      <c r="Q21" s="2551"/>
      <c r="R21" s="2549"/>
    </row>
    <row r="22" spans="2:18" ht="23.4" x14ac:dyDescent="0.45">
      <c r="B22" s="2545" t="s">
        <v>613</v>
      </c>
      <c r="C22" s="2546"/>
      <c r="D22" s="2552"/>
      <c r="E22" s="2552"/>
      <c r="F22" s="2552"/>
      <c r="G22" s="2552"/>
      <c r="H22" s="2552"/>
      <c r="I22" s="2547">
        <f t="shared" si="0"/>
        <v>0</v>
      </c>
      <c r="J22" s="2537"/>
      <c r="K22" s="2538">
        <f t="shared" si="1"/>
        <v>0</v>
      </c>
      <c r="L22" s="2539"/>
      <c r="M22" s="2540" t="e">
        <f t="shared" si="2"/>
        <v>#DIV/0!</v>
      </c>
      <c r="N22" s="2548"/>
      <c r="O22" s="2549">
        <f t="shared" si="3"/>
        <v>0</v>
      </c>
      <c r="P22" s="2553"/>
      <c r="Q22" s="2554"/>
      <c r="R22" s="2549"/>
    </row>
    <row r="23" spans="2:18" ht="23.4" x14ac:dyDescent="0.45">
      <c r="B23" s="2545" t="s">
        <v>614</v>
      </c>
      <c r="C23" s="2546"/>
      <c r="D23" s="2546"/>
      <c r="E23" s="2546"/>
      <c r="F23" s="2546"/>
      <c r="G23" s="2546"/>
      <c r="H23" s="2546"/>
      <c r="I23" s="2547">
        <f t="shared" si="0"/>
        <v>0</v>
      </c>
      <c r="J23" s="2537"/>
      <c r="K23" s="2538">
        <f t="shared" si="1"/>
        <v>0</v>
      </c>
      <c r="L23" s="2539"/>
      <c r="M23" s="2540" t="e">
        <f t="shared" si="2"/>
        <v>#DIV/0!</v>
      </c>
      <c r="N23" s="2548"/>
      <c r="O23" s="2549">
        <f t="shared" si="3"/>
        <v>0</v>
      </c>
      <c r="P23" s="2550"/>
      <c r="Q23" s="2551"/>
      <c r="R23" s="2549"/>
    </row>
    <row r="24" spans="2:18" ht="23.4" x14ac:dyDescent="0.45">
      <c r="B24" s="2545" t="s">
        <v>615</v>
      </c>
      <c r="C24" s="2546"/>
      <c r="D24" s="2546"/>
      <c r="E24" s="2546"/>
      <c r="F24" s="2546"/>
      <c r="G24" s="2546"/>
      <c r="H24" s="2546"/>
      <c r="I24" s="2547">
        <f t="shared" si="0"/>
        <v>0</v>
      </c>
      <c r="J24" s="2537"/>
      <c r="K24" s="2538">
        <f t="shared" si="1"/>
        <v>0</v>
      </c>
      <c r="L24" s="2539"/>
      <c r="M24" s="2540" t="e">
        <f t="shared" si="2"/>
        <v>#DIV/0!</v>
      </c>
      <c r="N24" s="2548"/>
      <c r="O24" s="2549">
        <f t="shared" si="3"/>
        <v>0</v>
      </c>
      <c r="P24" s="2550"/>
      <c r="Q24" s="2551"/>
      <c r="R24" s="2549"/>
    </row>
    <row r="25" spans="2:18" ht="23.4" x14ac:dyDescent="0.45">
      <c r="B25" s="2545" t="s">
        <v>616</v>
      </c>
      <c r="C25" s="2546"/>
      <c r="D25" s="2546"/>
      <c r="E25" s="2546"/>
      <c r="F25" s="2546"/>
      <c r="G25" s="2546"/>
      <c r="H25" s="2546"/>
      <c r="I25" s="2547">
        <f t="shared" si="0"/>
        <v>0</v>
      </c>
      <c r="J25" s="2537"/>
      <c r="K25" s="2538">
        <f t="shared" si="1"/>
        <v>0</v>
      </c>
      <c r="L25" s="2539"/>
      <c r="M25" s="2540" t="e">
        <f t="shared" si="2"/>
        <v>#DIV/0!</v>
      </c>
      <c r="N25" s="2548"/>
      <c r="O25" s="2549">
        <f t="shared" si="3"/>
        <v>0</v>
      </c>
      <c r="P25" s="2550"/>
      <c r="Q25" s="2551"/>
      <c r="R25" s="2549"/>
    </row>
    <row r="26" spans="2:18" ht="23.4" x14ac:dyDescent="0.45">
      <c r="B26" s="2545" t="s">
        <v>617</v>
      </c>
      <c r="C26" s="2546"/>
      <c r="D26" s="2546"/>
      <c r="E26" s="2546"/>
      <c r="F26" s="2546"/>
      <c r="G26" s="2546"/>
      <c r="H26" s="2546"/>
      <c r="I26" s="2547">
        <f t="shared" si="0"/>
        <v>0</v>
      </c>
      <c r="J26" s="2537"/>
      <c r="K26" s="2538">
        <f t="shared" si="1"/>
        <v>0</v>
      </c>
      <c r="L26" s="2539"/>
      <c r="M26" s="2540" t="e">
        <f t="shared" si="2"/>
        <v>#DIV/0!</v>
      </c>
      <c r="N26" s="2548"/>
      <c r="O26" s="2549">
        <f t="shared" si="3"/>
        <v>0</v>
      </c>
      <c r="P26" s="2550"/>
      <c r="Q26" s="2551"/>
      <c r="R26" s="2549"/>
    </row>
    <row r="27" spans="2:18" ht="23.4" x14ac:dyDescent="0.45">
      <c r="B27" s="2545" t="s">
        <v>618</v>
      </c>
      <c r="C27" s="2546"/>
      <c r="D27" s="2546"/>
      <c r="E27" s="2546"/>
      <c r="F27" s="2546"/>
      <c r="G27" s="2546"/>
      <c r="H27" s="2546"/>
      <c r="I27" s="2547">
        <f t="shared" si="0"/>
        <v>0</v>
      </c>
      <c r="J27" s="2537"/>
      <c r="K27" s="2538">
        <f t="shared" si="1"/>
        <v>0</v>
      </c>
      <c r="L27" s="2539"/>
      <c r="M27" s="2540" t="e">
        <f t="shared" si="2"/>
        <v>#DIV/0!</v>
      </c>
      <c r="N27" s="2548"/>
      <c r="O27" s="2549">
        <f t="shared" si="3"/>
        <v>0</v>
      </c>
      <c r="P27" s="2550"/>
      <c r="Q27" s="2551"/>
      <c r="R27" s="2549"/>
    </row>
    <row r="28" spans="2:18" ht="23.4" x14ac:dyDescent="0.45">
      <c r="B28" s="2545" t="s">
        <v>619</v>
      </c>
      <c r="C28" s="2546"/>
      <c r="D28" s="2546"/>
      <c r="E28" s="2546"/>
      <c r="F28" s="2546"/>
      <c r="G28" s="2546"/>
      <c r="H28" s="2546"/>
      <c r="I28" s="2547">
        <f t="shared" si="0"/>
        <v>0</v>
      </c>
      <c r="J28" s="2537"/>
      <c r="K28" s="2538">
        <f t="shared" si="1"/>
        <v>0</v>
      </c>
      <c r="L28" s="2539"/>
      <c r="M28" s="2540" t="e">
        <f t="shared" si="2"/>
        <v>#DIV/0!</v>
      </c>
      <c r="N28" s="2548"/>
      <c r="O28" s="2549">
        <f t="shared" si="3"/>
        <v>0</v>
      </c>
      <c r="P28" s="2550"/>
      <c r="Q28" s="2551"/>
      <c r="R28" s="2549"/>
    </row>
    <row r="29" spans="2:18" ht="23.4" x14ac:dyDescent="0.45">
      <c r="B29" s="2545" t="s">
        <v>620</v>
      </c>
      <c r="C29" s="2546"/>
      <c r="D29" s="2546"/>
      <c r="E29" s="2546"/>
      <c r="F29" s="2546"/>
      <c r="G29" s="2546"/>
      <c r="H29" s="2546"/>
      <c r="I29" s="2547">
        <f t="shared" si="0"/>
        <v>0</v>
      </c>
      <c r="J29" s="2537"/>
      <c r="K29" s="2538">
        <f t="shared" si="1"/>
        <v>0</v>
      </c>
      <c r="L29" s="2539"/>
      <c r="M29" s="2540" t="e">
        <f t="shared" si="2"/>
        <v>#DIV/0!</v>
      </c>
      <c r="N29" s="2548"/>
      <c r="O29" s="2549">
        <f t="shared" si="3"/>
        <v>0</v>
      </c>
      <c r="P29" s="2550"/>
      <c r="Q29" s="2551"/>
      <c r="R29" s="2549"/>
    </row>
    <row r="30" spans="2:18" ht="23.4" x14ac:dyDescent="0.45">
      <c r="B30" s="2545" t="s">
        <v>608</v>
      </c>
      <c r="C30" s="2546"/>
      <c r="D30" s="2546"/>
      <c r="E30" s="2546"/>
      <c r="F30" s="2546"/>
      <c r="G30" s="2546"/>
      <c r="H30" s="2546"/>
      <c r="I30" s="2547">
        <f t="shared" si="0"/>
        <v>0</v>
      </c>
      <c r="J30" s="2537"/>
      <c r="K30" s="2538">
        <f t="shared" si="1"/>
        <v>0</v>
      </c>
      <c r="L30" s="2539"/>
      <c r="M30" s="2540" t="e">
        <f t="shared" si="2"/>
        <v>#DIV/0!</v>
      </c>
      <c r="N30" s="2548"/>
      <c r="O30" s="2549">
        <f t="shared" si="3"/>
        <v>0</v>
      </c>
      <c r="P30" s="2550"/>
      <c r="Q30" s="2551"/>
      <c r="R30" s="2549"/>
    </row>
    <row r="31" spans="2:18" ht="23.4" x14ac:dyDescent="0.45">
      <c r="B31" s="2545" t="s">
        <v>621</v>
      </c>
      <c r="C31" s="2546"/>
      <c r="D31" s="2546"/>
      <c r="E31" s="2546"/>
      <c r="F31" s="2546"/>
      <c r="G31" s="2546"/>
      <c r="H31" s="2546"/>
      <c r="I31" s="2547">
        <f t="shared" si="0"/>
        <v>0</v>
      </c>
      <c r="J31" s="2537"/>
      <c r="K31" s="2538">
        <f t="shared" si="1"/>
        <v>0</v>
      </c>
      <c r="L31" s="2539"/>
      <c r="M31" s="2540" t="e">
        <f t="shared" si="2"/>
        <v>#DIV/0!</v>
      </c>
      <c r="N31" s="2548"/>
      <c r="O31" s="2549">
        <f t="shared" si="3"/>
        <v>0</v>
      </c>
      <c r="P31" s="2550"/>
      <c r="Q31" s="2551"/>
      <c r="R31" s="2549"/>
    </row>
    <row r="32" spans="2:18" ht="23.4" x14ac:dyDescent="0.45">
      <c r="B32" s="2545" t="s">
        <v>622</v>
      </c>
      <c r="C32" s="2546"/>
      <c r="D32" s="2546"/>
      <c r="E32" s="2546"/>
      <c r="F32" s="2546"/>
      <c r="G32" s="2546"/>
      <c r="H32" s="2546"/>
      <c r="I32" s="2547">
        <f t="shared" si="0"/>
        <v>0</v>
      </c>
      <c r="J32" s="2537"/>
      <c r="K32" s="2538">
        <f t="shared" si="1"/>
        <v>0</v>
      </c>
      <c r="L32" s="2539"/>
      <c r="M32" s="2540" t="e">
        <f t="shared" si="2"/>
        <v>#DIV/0!</v>
      </c>
      <c r="N32" s="2548"/>
      <c r="O32" s="2549">
        <f t="shared" si="3"/>
        <v>0</v>
      </c>
      <c r="P32" s="2550"/>
      <c r="Q32" s="2551"/>
      <c r="R32" s="2549"/>
    </row>
    <row r="33" spans="2:18" ht="24" thickBot="1" x14ac:dyDescent="0.5">
      <c r="B33" s="2555"/>
      <c r="C33" s="2556"/>
      <c r="D33" s="2556"/>
      <c r="E33" s="2556"/>
      <c r="F33" s="2556"/>
      <c r="G33" s="2556"/>
      <c r="H33" s="2556"/>
      <c r="I33" s="2557">
        <f t="shared" si="0"/>
        <v>0</v>
      </c>
      <c r="J33" s="2537"/>
      <c r="K33" s="2538"/>
      <c r="L33" s="2539"/>
      <c r="M33" s="2540" t="e">
        <f t="shared" si="2"/>
        <v>#DIV/0!</v>
      </c>
      <c r="N33" s="2558"/>
      <c r="O33" s="2559">
        <f t="shared" si="3"/>
        <v>0</v>
      </c>
      <c r="P33" s="2560"/>
      <c r="Q33" s="2561"/>
      <c r="R33" s="2559"/>
    </row>
    <row r="34" spans="2:18" ht="24" thickBot="1" x14ac:dyDescent="0.5">
      <c r="B34" s="2562" t="s">
        <v>592</v>
      </c>
      <c r="C34" s="2563">
        <f t="shared" ref="C34:I34" si="4">SUM(C4:C33)</f>
        <v>156</v>
      </c>
      <c r="D34" s="2563">
        <f t="shared" si="4"/>
        <v>60</v>
      </c>
      <c r="E34" s="2563">
        <f t="shared" si="4"/>
        <v>60</v>
      </c>
      <c r="F34" s="2563">
        <f t="shared" si="4"/>
        <v>57</v>
      </c>
      <c r="G34" s="2563">
        <f t="shared" si="4"/>
        <v>30</v>
      </c>
      <c r="H34" s="2563">
        <f t="shared" si="4"/>
        <v>26</v>
      </c>
      <c r="I34" s="2564">
        <f t="shared" si="4"/>
        <v>389</v>
      </c>
      <c r="J34" s="2565"/>
      <c r="K34" s="2566"/>
      <c r="L34" s="2567"/>
      <c r="M34" s="2568"/>
      <c r="N34" s="2569"/>
      <c r="O34" s="2570">
        <f>SUM(O4:O33)</f>
        <v>0</v>
      </c>
      <c r="P34" s="2563"/>
      <c r="Q34" s="2571"/>
      <c r="R34" s="2572"/>
    </row>
    <row r="35" spans="2:18" ht="23.4" x14ac:dyDescent="0.45">
      <c r="B35" s="2522"/>
      <c r="C35" s="2537"/>
      <c r="D35" s="2537"/>
      <c r="E35" s="2537"/>
      <c r="F35" s="2537"/>
      <c r="G35" s="2537"/>
      <c r="H35" s="2537"/>
      <c r="I35" s="2573"/>
      <c r="J35" s="2537"/>
      <c r="K35" s="2573"/>
      <c r="L35" s="2537"/>
      <c r="M35" s="2537"/>
      <c r="N35" s="2537"/>
      <c r="O35" s="2537"/>
      <c r="P35" s="2537"/>
      <c r="Q35" s="2574"/>
      <c r="R35" s="2574"/>
    </row>
    <row r="36" spans="2:18" ht="24" thickBot="1" x14ac:dyDescent="0.5">
      <c r="B36" s="2523"/>
      <c r="C36" s="2523"/>
      <c r="D36" s="2523"/>
      <c r="E36" s="2523"/>
      <c r="F36" s="2523"/>
      <c r="G36" s="2523"/>
      <c r="H36" s="2546" t="s">
        <v>623</v>
      </c>
      <c r="I36" s="2523"/>
      <c r="J36" s="2523"/>
      <c r="K36" s="2523"/>
      <c r="L36" s="2523"/>
      <c r="M36" s="2523"/>
      <c r="N36" s="2523"/>
      <c r="O36" s="2523"/>
      <c r="P36" s="2523"/>
      <c r="Q36" s="2523"/>
      <c r="R36" s="2523"/>
    </row>
    <row r="37" spans="2:18" ht="24.6" thickTop="1" thickBot="1" x14ac:dyDescent="0.5">
      <c r="B37" s="2526" t="s">
        <v>2</v>
      </c>
      <c r="C37" s="2527" t="s">
        <v>588</v>
      </c>
      <c r="D37" s="2527" t="s">
        <v>589</v>
      </c>
      <c r="E37" s="2527" t="s">
        <v>455</v>
      </c>
      <c r="F37" s="2527" t="s">
        <v>590</v>
      </c>
      <c r="G37" s="2527" t="s">
        <v>450</v>
      </c>
      <c r="H37" s="2527" t="s">
        <v>591</v>
      </c>
      <c r="I37" s="2528" t="s">
        <v>592</v>
      </c>
      <c r="J37" s="2575" t="str">
        <f>J3</f>
        <v>Total ton prio</v>
      </c>
      <c r="K37" s="2576" t="str">
        <f>K3</f>
        <v>TOTAL FREQ</v>
      </c>
      <c r="L37" s="2575" t="str">
        <f>L3</f>
        <v>Total truck prio</v>
      </c>
      <c r="M37" s="2577" t="s">
        <v>596</v>
      </c>
      <c r="N37" s="2527" t="s">
        <v>597</v>
      </c>
      <c r="O37" s="2527" t="s">
        <v>598</v>
      </c>
      <c r="P37" s="2532" t="s">
        <v>599</v>
      </c>
      <c r="Q37" s="2533" t="s">
        <v>600</v>
      </c>
      <c r="R37" s="2533" t="s">
        <v>601</v>
      </c>
    </row>
    <row r="38" spans="2:18" ht="24" thickTop="1" x14ac:dyDescent="0.45">
      <c r="B38" s="2534" t="s">
        <v>602</v>
      </c>
      <c r="C38" s="2535">
        <v>9</v>
      </c>
      <c r="D38" s="2535">
        <v>3</v>
      </c>
      <c r="E38" s="2535">
        <v>9</v>
      </c>
      <c r="F38" s="2535">
        <v>18</v>
      </c>
      <c r="G38" s="2535">
        <v>21</v>
      </c>
      <c r="H38" s="2535"/>
      <c r="I38" s="2536">
        <f t="shared" ref="I38:I66" si="5">SUM(C38:H38)</f>
        <v>60</v>
      </c>
      <c r="J38" s="2537">
        <v>1</v>
      </c>
      <c r="K38" s="2538">
        <f t="shared" ref="K38:K66" si="6">COUNT(C38:H38)</f>
        <v>5</v>
      </c>
      <c r="L38" s="2539">
        <v>2</v>
      </c>
      <c r="M38" s="2540">
        <f t="shared" ref="M38:M66" si="7">AVERAGE(J38,L38)</f>
        <v>1.5</v>
      </c>
      <c r="N38" s="2541">
        <v>60</v>
      </c>
      <c r="O38" s="2542">
        <f t="shared" ref="O38:O66" si="8">I38-N38</f>
        <v>0</v>
      </c>
      <c r="P38" s="2543"/>
      <c r="Q38" s="2544">
        <v>24</v>
      </c>
      <c r="R38" s="2542"/>
    </row>
    <row r="39" spans="2:18" ht="23.4" x14ac:dyDescent="0.45">
      <c r="B39" s="2545" t="s">
        <v>603</v>
      </c>
      <c r="C39" s="2546">
        <v>9</v>
      </c>
      <c r="D39" s="2546">
        <v>12</v>
      </c>
      <c r="E39" s="2546">
        <v>6</v>
      </c>
      <c r="F39" s="2546">
        <v>6</v>
      </c>
      <c r="G39" s="2546">
        <v>9</v>
      </c>
      <c r="H39" s="2546">
        <v>7</v>
      </c>
      <c r="I39" s="2547">
        <f t="shared" si="5"/>
        <v>49</v>
      </c>
      <c r="J39" s="2537">
        <v>3</v>
      </c>
      <c r="K39" s="2538">
        <f t="shared" si="6"/>
        <v>6</v>
      </c>
      <c r="L39" s="2539">
        <v>1</v>
      </c>
      <c r="M39" s="2540">
        <f t="shared" si="7"/>
        <v>2</v>
      </c>
      <c r="N39" s="2548">
        <v>49</v>
      </c>
      <c r="O39" s="2549">
        <f t="shared" si="8"/>
        <v>0</v>
      </c>
      <c r="P39" s="2550"/>
      <c r="Q39" s="2551">
        <v>23</v>
      </c>
      <c r="R39" s="2549"/>
    </row>
    <row r="40" spans="2:18" ht="23.4" x14ac:dyDescent="0.45">
      <c r="B40" s="2545" t="s">
        <v>446</v>
      </c>
      <c r="C40" s="2546">
        <v>9</v>
      </c>
      <c r="D40" s="2546">
        <v>9</v>
      </c>
      <c r="E40" s="2546">
        <v>6</v>
      </c>
      <c r="F40" s="2546">
        <v>6</v>
      </c>
      <c r="G40" s="2546">
        <v>12</v>
      </c>
      <c r="H40" s="2546">
        <v>4</v>
      </c>
      <c r="I40" s="2547">
        <f t="shared" si="5"/>
        <v>46</v>
      </c>
      <c r="J40" s="2537">
        <v>4</v>
      </c>
      <c r="K40" s="2538">
        <f t="shared" si="6"/>
        <v>6</v>
      </c>
      <c r="L40" s="2539">
        <v>1</v>
      </c>
      <c r="M40" s="2540">
        <f t="shared" si="7"/>
        <v>2.5</v>
      </c>
      <c r="N40" s="2548">
        <v>46</v>
      </c>
      <c r="O40" s="2549">
        <f t="shared" si="8"/>
        <v>0</v>
      </c>
      <c r="P40" s="2550"/>
      <c r="Q40" s="2551">
        <v>20</v>
      </c>
      <c r="R40" s="2549"/>
    </row>
    <row r="41" spans="2:18" ht="23.4" x14ac:dyDescent="0.45">
      <c r="B41" s="2545" t="s">
        <v>209</v>
      </c>
      <c r="C41" s="2546"/>
      <c r="D41" s="2546">
        <v>30</v>
      </c>
      <c r="E41" s="2546">
        <v>15</v>
      </c>
      <c r="F41" s="2546"/>
      <c r="G41" s="2546">
        <v>6</v>
      </c>
      <c r="H41" s="2546"/>
      <c r="I41" s="2547">
        <f t="shared" si="5"/>
        <v>51</v>
      </c>
      <c r="J41" s="2537">
        <v>2</v>
      </c>
      <c r="K41" s="2538">
        <f t="shared" si="6"/>
        <v>3</v>
      </c>
      <c r="L41" s="2539">
        <v>4</v>
      </c>
      <c r="M41" s="2540">
        <f t="shared" si="7"/>
        <v>3</v>
      </c>
      <c r="N41" s="2548">
        <v>51</v>
      </c>
      <c r="O41" s="2549">
        <f t="shared" si="8"/>
        <v>0</v>
      </c>
      <c r="P41" s="2550"/>
      <c r="Q41" s="2551">
        <v>21</v>
      </c>
      <c r="R41" s="2549"/>
    </row>
    <row r="42" spans="2:18" ht="23.4" x14ac:dyDescent="0.45">
      <c r="B42" s="2545" t="s">
        <v>606</v>
      </c>
      <c r="C42" s="2546">
        <v>3</v>
      </c>
      <c r="D42" s="2546">
        <v>9</v>
      </c>
      <c r="E42" s="2546">
        <v>6</v>
      </c>
      <c r="F42" s="2546">
        <v>3</v>
      </c>
      <c r="G42" s="2546">
        <v>6</v>
      </c>
      <c r="H42" s="2546">
        <v>4</v>
      </c>
      <c r="I42" s="2547">
        <f t="shared" si="5"/>
        <v>31</v>
      </c>
      <c r="J42" s="2537">
        <v>6</v>
      </c>
      <c r="K42" s="2538">
        <f t="shared" si="6"/>
        <v>6</v>
      </c>
      <c r="L42" s="2539">
        <v>1</v>
      </c>
      <c r="M42" s="2540">
        <f t="shared" si="7"/>
        <v>3.5</v>
      </c>
      <c r="N42" s="2548">
        <v>31</v>
      </c>
      <c r="O42" s="2549">
        <f t="shared" si="8"/>
        <v>0</v>
      </c>
      <c r="P42" s="2550"/>
      <c r="Q42" s="2551">
        <v>19</v>
      </c>
      <c r="R42" s="2549"/>
    </row>
    <row r="43" spans="2:18" ht="23.4" x14ac:dyDescent="0.45">
      <c r="B43" s="2545" t="s">
        <v>604</v>
      </c>
      <c r="C43" s="2546">
        <v>15</v>
      </c>
      <c r="D43" s="2546">
        <v>6</v>
      </c>
      <c r="E43" s="2546">
        <v>3</v>
      </c>
      <c r="F43" s="2546">
        <v>3</v>
      </c>
      <c r="G43" s="2546"/>
      <c r="H43" s="2546">
        <v>1</v>
      </c>
      <c r="I43" s="2547">
        <f t="shared" si="5"/>
        <v>28</v>
      </c>
      <c r="J43" s="2537">
        <v>7</v>
      </c>
      <c r="K43" s="2538">
        <f t="shared" si="6"/>
        <v>5</v>
      </c>
      <c r="L43" s="2539">
        <v>2</v>
      </c>
      <c r="M43" s="2540">
        <f t="shared" si="7"/>
        <v>4.5</v>
      </c>
      <c r="N43" s="2548">
        <v>28</v>
      </c>
      <c r="O43" s="2549">
        <f t="shared" si="8"/>
        <v>0</v>
      </c>
      <c r="P43" s="2550"/>
      <c r="Q43" s="2551">
        <v>17</v>
      </c>
      <c r="R43" s="2549"/>
    </row>
    <row r="44" spans="2:18" ht="23.4" x14ac:dyDescent="0.45">
      <c r="B44" s="2545" t="s">
        <v>14</v>
      </c>
      <c r="C44" s="2546">
        <v>13</v>
      </c>
      <c r="D44" s="2546">
        <v>6</v>
      </c>
      <c r="E44" s="2546">
        <v>6</v>
      </c>
      <c r="F44" s="2546"/>
      <c r="G44" s="2546">
        <v>6</v>
      </c>
      <c r="H44" s="2546"/>
      <c r="I44" s="2547">
        <f t="shared" si="5"/>
        <v>31</v>
      </c>
      <c r="J44" s="2537">
        <v>6</v>
      </c>
      <c r="K44" s="2538">
        <f t="shared" si="6"/>
        <v>4</v>
      </c>
      <c r="L44" s="2539">
        <v>3</v>
      </c>
      <c r="M44" s="2540">
        <f t="shared" si="7"/>
        <v>4.5</v>
      </c>
      <c r="N44" s="2548">
        <v>31</v>
      </c>
      <c r="O44" s="2549">
        <f t="shared" si="8"/>
        <v>0</v>
      </c>
      <c r="P44" s="2550"/>
      <c r="Q44" s="2551">
        <v>16</v>
      </c>
      <c r="R44" s="2549"/>
    </row>
    <row r="45" spans="2:18" ht="23.4" x14ac:dyDescent="0.45">
      <c r="B45" s="2545" t="s">
        <v>605</v>
      </c>
      <c r="C45" s="2546">
        <v>24</v>
      </c>
      <c r="D45" s="2546"/>
      <c r="E45" s="2546"/>
      <c r="F45" s="2546">
        <v>15</v>
      </c>
      <c r="G45" s="2546"/>
      <c r="H45" s="2546">
        <v>6</v>
      </c>
      <c r="I45" s="2547">
        <f t="shared" si="5"/>
        <v>45</v>
      </c>
      <c r="J45" s="2537">
        <v>5</v>
      </c>
      <c r="K45" s="2538">
        <f t="shared" si="6"/>
        <v>3</v>
      </c>
      <c r="L45" s="2539">
        <v>4</v>
      </c>
      <c r="M45" s="2540">
        <f t="shared" si="7"/>
        <v>4.5</v>
      </c>
      <c r="N45" s="2548">
        <v>45</v>
      </c>
      <c r="O45" s="2549">
        <f t="shared" si="8"/>
        <v>0</v>
      </c>
      <c r="P45" s="2550"/>
      <c r="Q45" s="2551">
        <v>22</v>
      </c>
      <c r="R45" s="2549"/>
    </row>
    <row r="46" spans="2:18" ht="23.4" x14ac:dyDescent="0.45">
      <c r="B46" s="2545" t="s">
        <v>534</v>
      </c>
      <c r="C46" s="2546"/>
      <c r="D46" s="2546">
        <v>6</v>
      </c>
      <c r="E46" s="2546">
        <v>9</v>
      </c>
      <c r="F46" s="2546">
        <v>3</v>
      </c>
      <c r="G46" s="2546"/>
      <c r="H46" s="2546"/>
      <c r="I46" s="2547">
        <f t="shared" si="5"/>
        <v>18</v>
      </c>
      <c r="J46" s="2537">
        <v>8</v>
      </c>
      <c r="K46" s="2538">
        <f t="shared" si="6"/>
        <v>3</v>
      </c>
      <c r="L46" s="2539">
        <v>4</v>
      </c>
      <c r="M46" s="2540">
        <f t="shared" si="7"/>
        <v>6</v>
      </c>
      <c r="N46" s="2548">
        <v>18</v>
      </c>
      <c r="O46" s="2549">
        <f t="shared" si="8"/>
        <v>0</v>
      </c>
      <c r="P46" s="2550"/>
      <c r="Q46" s="2551">
        <v>18</v>
      </c>
      <c r="R46" s="2549"/>
    </row>
    <row r="47" spans="2:18" ht="23.4" x14ac:dyDescent="0.45">
      <c r="B47" s="2545" t="s">
        <v>607</v>
      </c>
      <c r="C47" s="2546">
        <v>1</v>
      </c>
      <c r="D47" s="2546">
        <v>9</v>
      </c>
      <c r="E47" s="2546"/>
      <c r="F47" s="2546">
        <v>3</v>
      </c>
      <c r="G47" s="2546"/>
      <c r="H47" s="2546"/>
      <c r="I47" s="2547">
        <f t="shared" si="5"/>
        <v>13</v>
      </c>
      <c r="J47" s="2537">
        <v>9</v>
      </c>
      <c r="K47" s="2538">
        <f t="shared" si="6"/>
        <v>3</v>
      </c>
      <c r="L47" s="2539">
        <v>4</v>
      </c>
      <c r="M47" s="2540">
        <f t="shared" si="7"/>
        <v>6.5</v>
      </c>
      <c r="N47" s="2548">
        <v>13</v>
      </c>
      <c r="O47" s="2549">
        <f t="shared" si="8"/>
        <v>0</v>
      </c>
      <c r="P47" s="2550"/>
      <c r="Q47" s="2551">
        <v>15</v>
      </c>
      <c r="R47" s="2549"/>
    </row>
    <row r="48" spans="2:18" ht="23.4" x14ac:dyDescent="0.45">
      <c r="B48" s="2545" t="s">
        <v>614</v>
      </c>
      <c r="C48" s="2546">
        <v>5</v>
      </c>
      <c r="D48" s="2546"/>
      <c r="E48" s="2546"/>
      <c r="F48" s="2546">
        <v>3</v>
      </c>
      <c r="G48" s="2546"/>
      <c r="H48" s="2546">
        <v>1</v>
      </c>
      <c r="I48" s="2547">
        <f t="shared" si="5"/>
        <v>9</v>
      </c>
      <c r="J48" s="2537">
        <v>10</v>
      </c>
      <c r="K48" s="2538">
        <f t="shared" si="6"/>
        <v>3</v>
      </c>
      <c r="L48" s="2539">
        <v>4</v>
      </c>
      <c r="M48" s="2540">
        <f t="shared" si="7"/>
        <v>7</v>
      </c>
      <c r="N48" s="2548">
        <v>9</v>
      </c>
      <c r="O48" s="2549">
        <f t="shared" si="8"/>
        <v>0</v>
      </c>
      <c r="P48" s="2550"/>
      <c r="Q48" s="2551"/>
      <c r="R48" s="2549">
        <v>15</v>
      </c>
    </row>
    <row r="49" spans="2:18" ht="23.4" x14ac:dyDescent="0.45">
      <c r="B49" s="2545" t="s">
        <v>539</v>
      </c>
      <c r="C49" s="2546"/>
      <c r="D49" s="2546"/>
      <c r="E49" s="2546"/>
      <c r="F49" s="2546"/>
      <c r="G49" s="2546"/>
      <c r="H49" s="2546">
        <v>4</v>
      </c>
      <c r="I49" s="2547">
        <f t="shared" si="5"/>
        <v>4</v>
      </c>
      <c r="J49" s="2537">
        <v>11</v>
      </c>
      <c r="K49" s="2538">
        <f t="shared" si="6"/>
        <v>1</v>
      </c>
      <c r="L49" s="2539">
        <v>5</v>
      </c>
      <c r="M49" s="2540">
        <f t="shared" si="7"/>
        <v>8</v>
      </c>
      <c r="N49" s="2548">
        <v>4</v>
      </c>
      <c r="O49" s="2549">
        <f t="shared" si="8"/>
        <v>0</v>
      </c>
      <c r="P49" s="2550"/>
      <c r="Q49" s="2551"/>
      <c r="R49" s="2549">
        <v>15</v>
      </c>
    </row>
    <row r="50" spans="2:18" ht="23.4" x14ac:dyDescent="0.45">
      <c r="B50" s="2545" t="s">
        <v>537</v>
      </c>
      <c r="C50" s="2546"/>
      <c r="D50" s="2546"/>
      <c r="E50" s="2546"/>
      <c r="F50" s="2546"/>
      <c r="G50" s="2546"/>
      <c r="H50" s="2546">
        <v>2</v>
      </c>
      <c r="I50" s="2547">
        <f t="shared" si="5"/>
        <v>2</v>
      </c>
      <c r="J50" s="2537">
        <v>12</v>
      </c>
      <c r="K50" s="2538">
        <f t="shared" si="6"/>
        <v>1</v>
      </c>
      <c r="L50" s="2539">
        <v>5</v>
      </c>
      <c r="M50" s="2540">
        <f t="shared" si="7"/>
        <v>8.5</v>
      </c>
      <c r="N50" s="2548">
        <v>2</v>
      </c>
      <c r="O50" s="2549">
        <f t="shared" si="8"/>
        <v>0</v>
      </c>
      <c r="P50" s="2550"/>
      <c r="Q50" s="2551"/>
      <c r="R50" s="2549">
        <v>18</v>
      </c>
    </row>
    <row r="51" spans="2:18" ht="23.4" x14ac:dyDescent="0.45">
      <c r="B51" s="2545" t="s">
        <v>608</v>
      </c>
      <c r="C51" s="2546"/>
      <c r="D51" s="2546"/>
      <c r="E51" s="2546"/>
      <c r="F51" s="2546"/>
      <c r="G51" s="2546"/>
      <c r="H51" s="2546"/>
      <c r="I51" s="2547">
        <f t="shared" si="5"/>
        <v>0</v>
      </c>
      <c r="J51" s="2537"/>
      <c r="K51" s="2538">
        <f t="shared" si="6"/>
        <v>0</v>
      </c>
      <c r="L51" s="2539"/>
      <c r="M51" s="2540" t="e">
        <f t="shared" si="7"/>
        <v>#DIV/0!</v>
      </c>
      <c r="N51" s="2548"/>
      <c r="O51" s="2549">
        <f t="shared" si="8"/>
        <v>0</v>
      </c>
      <c r="P51" s="2550"/>
      <c r="Q51" s="2551"/>
      <c r="R51" s="2549"/>
    </row>
    <row r="52" spans="2:18" ht="23.4" x14ac:dyDescent="0.45">
      <c r="B52" s="2545" t="s">
        <v>611</v>
      </c>
      <c r="C52" s="2552"/>
      <c r="D52" s="2552"/>
      <c r="E52" s="2552"/>
      <c r="F52" s="2552"/>
      <c r="G52" s="2552"/>
      <c r="H52" s="2546"/>
      <c r="I52" s="2547">
        <f t="shared" si="5"/>
        <v>0</v>
      </c>
      <c r="J52" s="2537"/>
      <c r="K52" s="2538">
        <f t="shared" si="6"/>
        <v>0</v>
      </c>
      <c r="L52" s="2539"/>
      <c r="M52" s="2540" t="e">
        <f t="shared" si="7"/>
        <v>#DIV/0!</v>
      </c>
      <c r="N52" s="2545"/>
      <c r="O52" s="2549">
        <f t="shared" si="8"/>
        <v>0</v>
      </c>
      <c r="P52" s="2553"/>
      <c r="Q52" s="2554"/>
      <c r="R52" s="2578"/>
    </row>
    <row r="53" spans="2:18" ht="23.4" x14ac:dyDescent="0.45">
      <c r="B53" s="2545" t="s">
        <v>102</v>
      </c>
      <c r="C53" s="2546"/>
      <c r="D53" s="2546"/>
      <c r="E53" s="2546"/>
      <c r="F53" s="2546"/>
      <c r="G53" s="2546"/>
      <c r="H53" s="2546"/>
      <c r="I53" s="2547">
        <f t="shared" si="5"/>
        <v>0</v>
      </c>
      <c r="J53" s="2537"/>
      <c r="K53" s="2538">
        <f t="shared" si="6"/>
        <v>0</v>
      </c>
      <c r="L53" s="2539"/>
      <c r="M53" s="2540" t="e">
        <f t="shared" si="7"/>
        <v>#DIV/0!</v>
      </c>
      <c r="N53" s="2548"/>
      <c r="O53" s="2549">
        <f t="shared" si="8"/>
        <v>0</v>
      </c>
      <c r="P53" s="2550"/>
      <c r="Q53" s="2551"/>
      <c r="R53" s="2549"/>
    </row>
    <row r="54" spans="2:18" ht="23.4" x14ac:dyDescent="0.45">
      <c r="B54" s="2545" t="s">
        <v>610</v>
      </c>
      <c r="C54" s="2546"/>
      <c r="D54" s="2546"/>
      <c r="E54" s="2546"/>
      <c r="F54" s="2546"/>
      <c r="G54" s="2546"/>
      <c r="H54" s="2546"/>
      <c r="I54" s="2547">
        <f t="shared" si="5"/>
        <v>0</v>
      </c>
      <c r="J54" s="2537"/>
      <c r="K54" s="2538">
        <f t="shared" si="6"/>
        <v>0</v>
      </c>
      <c r="L54" s="2539"/>
      <c r="M54" s="2540" t="e">
        <f t="shared" si="7"/>
        <v>#DIV/0!</v>
      </c>
      <c r="N54" s="2548"/>
      <c r="O54" s="2549">
        <f t="shared" si="8"/>
        <v>0</v>
      </c>
      <c r="P54" s="2550"/>
      <c r="Q54" s="2551"/>
      <c r="R54" s="2549"/>
    </row>
    <row r="55" spans="2:18" ht="23.4" x14ac:dyDescent="0.45">
      <c r="B55" s="2545" t="s">
        <v>613</v>
      </c>
      <c r="C55" s="2546"/>
      <c r="D55" s="2546"/>
      <c r="E55" s="2546"/>
      <c r="F55" s="2546"/>
      <c r="G55" s="2546"/>
      <c r="H55" s="2546"/>
      <c r="I55" s="2547">
        <f t="shared" si="5"/>
        <v>0</v>
      </c>
      <c r="J55" s="2537"/>
      <c r="K55" s="2538">
        <f t="shared" si="6"/>
        <v>0</v>
      </c>
      <c r="L55" s="2539"/>
      <c r="M55" s="2540" t="e">
        <f t="shared" si="7"/>
        <v>#DIV/0!</v>
      </c>
      <c r="N55" s="2548"/>
      <c r="O55" s="2549">
        <f t="shared" si="8"/>
        <v>0</v>
      </c>
      <c r="P55" s="2550"/>
      <c r="Q55" s="2551"/>
      <c r="R55" s="2549"/>
    </row>
    <row r="56" spans="2:18" ht="23.4" x14ac:dyDescent="0.45">
      <c r="B56" s="2545" t="s">
        <v>609</v>
      </c>
      <c r="C56" s="2546"/>
      <c r="D56" s="2546"/>
      <c r="E56" s="2546"/>
      <c r="F56" s="2546"/>
      <c r="G56" s="2546"/>
      <c r="H56" s="2546"/>
      <c r="I56" s="2547">
        <f t="shared" si="5"/>
        <v>0</v>
      </c>
      <c r="J56" s="2537"/>
      <c r="K56" s="2538">
        <f t="shared" si="6"/>
        <v>0</v>
      </c>
      <c r="L56" s="2539"/>
      <c r="M56" s="2540" t="e">
        <f t="shared" si="7"/>
        <v>#DIV/0!</v>
      </c>
      <c r="N56" s="2548"/>
      <c r="O56" s="2549">
        <f t="shared" si="8"/>
        <v>0</v>
      </c>
      <c r="P56" s="2550"/>
      <c r="Q56" s="2551"/>
      <c r="R56" s="2549"/>
    </row>
    <row r="57" spans="2:18" ht="23.4" x14ac:dyDescent="0.45">
      <c r="B57" s="2545" t="s">
        <v>615</v>
      </c>
      <c r="C57" s="2546"/>
      <c r="D57" s="2546"/>
      <c r="E57" s="2546"/>
      <c r="F57" s="2546"/>
      <c r="G57" s="2546"/>
      <c r="H57" s="2546"/>
      <c r="I57" s="2547">
        <f t="shared" si="5"/>
        <v>0</v>
      </c>
      <c r="J57" s="2537"/>
      <c r="K57" s="2538">
        <f t="shared" si="6"/>
        <v>0</v>
      </c>
      <c r="L57" s="2539"/>
      <c r="M57" s="2540" t="e">
        <f t="shared" si="7"/>
        <v>#DIV/0!</v>
      </c>
      <c r="N57" s="2548"/>
      <c r="O57" s="2549">
        <f t="shared" si="8"/>
        <v>0</v>
      </c>
      <c r="P57" s="2550"/>
      <c r="Q57" s="2551"/>
      <c r="R57" s="2549"/>
    </row>
    <row r="58" spans="2:18" ht="23.4" x14ac:dyDescent="0.45">
      <c r="B58" s="2545" t="s">
        <v>616</v>
      </c>
      <c r="C58" s="2546"/>
      <c r="D58" s="2546"/>
      <c r="E58" s="2546"/>
      <c r="F58" s="2546"/>
      <c r="G58" s="2546"/>
      <c r="H58" s="2546"/>
      <c r="I58" s="2547">
        <f t="shared" si="5"/>
        <v>0</v>
      </c>
      <c r="J58" s="2537"/>
      <c r="K58" s="2538">
        <f t="shared" si="6"/>
        <v>0</v>
      </c>
      <c r="L58" s="2539"/>
      <c r="M58" s="2540" t="e">
        <f t="shared" si="7"/>
        <v>#DIV/0!</v>
      </c>
      <c r="N58" s="2548"/>
      <c r="O58" s="2549">
        <f t="shared" si="8"/>
        <v>0</v>
      </c>
      <c r="P58" s="2550"/>
      <c r="Q58" s="2551"/>
      <c r="R58" s="2549"/>
    </row>
    <row r="59" spans="2:18" ht="23.4" x14ac:dyDescent="0.45">
      <c r="B59" s="2545" t="s">
        <v>617</v>
      </c>
      <c r="C59" s="2546"/>
      <c r="D59" s="2546"/>
      <c r="E59" s="2546"/>
      <c r="F59" s="2546"/>
      <c r="G59" s="2546"/>
      <c r="H59" s="2546"/>
      <c r="I59" s="2547">
        <f t="shared" si="5"/>
        <v>0</v>
      </c>
      <c r="J59" s="2537"/>
      <c r="K59" s="2538">
        <f t="shared" si="6"/>
        <v>0</v>
      </c>
      <c r="L59" s="2539"/>
      <c r="M59" s="2540" t="e">
        <f t="shared" si="7"/>
        <v>#DIV/0!</v>
      </c>
      <c r="N59" s="2548"/>
      <c r="O59" s="2549">
        <f t="shared" si="8"/>
        <v>0</v>
      </c>
      <c r="P59" s="2550"/>
      <c r="Q59" s="2551"/>
      <c r="R59" s="2549"/>
    </row>
    <row r="60" spans="2:18" ht="23.4" x14ac:dyDescent="0.45">
      <c r="B60" s="2545" t="s">
        <v>618</v>
      </c>
      <c r="C60" s="2546"/>
      <c r="D60" s="2546"/>
      <c r="E60" s="2546"/>
      <c r="F60" s="2546"/>
      <c r="G60" s="2546"/>
      <c r="H60" s="2546"/>
      <c r="I60" s="2547">
        <f t="shared" si="5"/>
        <v>0</v>
      </c>
      <c r="J60" s="2537"/>
      <c r="K60" s="2538">
        <f t="shared" si="6"/>
        <v>0</v>
      </c>
      <c r="L60" s="2539"/>
      <c r="M60" s="2540" t="e">
        <f t="shared" si="7"/>
        <v>#DIV/0!</v>
      </c>
      <c r="N60" s="2548"/>
      <c r="O60" s="2549">
        <f t="shared" si="8"/>
        <v>0</v>
      </c>
      <c r="P60" s="2550"/>
      <c r="Q60" s="2551"/>
      <c r="R60" s="2549"/>
    </row>
    <row r="61" spans="2:18" ht="23.4" x14ac:dyDescent="0.45">
      <c r="B61" s="2545" t="s">
        <v>624</v>
      </c>
      <c r="C61" s="2546"/>
      <c r="D61" s="2546"/>
      <c r="E61" s="2546"/>
      <c r="F61" s="2546"/>
      <c r="G61" s="2546"/>
      <c r="H61" s="2546"/>
      <c r="I61" s="2547">
        <f t="shared" si="5"/>
        <v>0</v>
      </c>
      <c r="J61" s="2537"/>
      <c r="K61" s="2538">
        <f t="shared" si="6"/>
        <v>0</v>
      </c>
      <c r="L61" s="2539"/>
      <c r="M61" s="2540" t="e">
        <f t="shared" si="7"/>
        <v>#DIV/0!</v>
      </c>
      <c r="N61" s="2548"/>
      <c r="O61" s="2549">
        <f t="shared" si="8"/>
        <v>0</v>
      </c>
      <c r="P61" s="2550"/>
      <c r="Q61" s="2551"/>
      <c r="R61" s="2549"/>
    </row>
    <row r="62" spans="2:18" ht="23.4" x14ac:dyDescent="0.45">
      <c r="B62" s="2545" t="s">
        <v>619</v>
      </c>
      <c r="C62" s="2546"/>
      <c r="D62" s="2546"/>
      <c r="E62" s="2546"/>
      <c r="F62" s="2546"/>
      <c r="G62" s="2546"/>
      <c r="H62" s="2546"/>
      <c r="I62" s="2547">
        <f t="shared" si="5"/>
        <v>0</v>
      </c>
      <c r="J62" s="2537"/>
      <c r="K62" s="2538">
        <f t="shared" si="6"/>
        <v>0</v>
      </c>
      <c r="L62" s="2539"/>
      <c r="M62" s="2540" t="e">
        <f t="shared" si="7"/>
        <v>#DIV/0!</v>
      </c>
      <c r="N62" s="2548"/>
      <c r="O62" s="2549">
        <f t="shared" si="8"/>
        <v>0</v>
      </c>
      <c r="P62" s="2550"/>
      <c r="Q62" s="2551"/>
      <c r="R62" s="2549"/>
    </row>
    <row r="63" spans="2:18" ht="23.4" x14ac:dyDescent="0.45">
      <c r="B63" s="2545" t="s">
        <v>625</v>
      </c>
      <c r="C63" s="2546"/>
      <c r="D63" s="2546"/>
      <c r="E63" s="2546"/>
      <c r="F63" s="2546"/>
      <c r="G63" s="2546"/>
      <c r="H63" s="2546"/>
      <c r="I63" s="2547">
        <f t="shared" si="5"/>
        <v>0</v>
      </c>
      <c r="J63" s="2537"/>
      <c r="K63" s="2538">
        <f t="shared" si="6"/>
        <v>0</v>
      </c>
      <c r="L63" s="2539"/>
      <c r="M63" s="2540" t="e">
        <f t="shared" si="7"/>
        <v>#DIV/0!</v>
      </c>
      <c r="N63" s="2548"/>
      <c r="O63" s="2549">
        <f t="shared" si="8"/>
        <v>0</v>
      </c>
      <c r="P63" s="2550"/>
      <c r="Q63" s="2551"/>
      <c r="R63" s="2549"/>
    </row>
    <row r="64" spans="2:18" ht="23.4" x14ac:dyDescent="0.45">
      <c r="B64" s="2545" t="s">
        <v>620</v>
      </c>
      <c r="C64" s="2546"/>
      <c r="D64" s="2546"/>
      <c r="E64" s="2546"/>
      <c r="F64" s="2546"/>
      <c r="G64" s="2546"/>
      <c r="H64" s="2546"/>
      <c r="I64" s="2547">
        <f t="shared" si="5"/>
        <v>0</v>
      </c>
      <c r="J64" s="2537"/>
      <c r="K64" s="2538">
        <f t="shared" si="6"/>
        <v>0</v>
      </c>
      <c r="L64" s="2539"/>
      <c r="M64" s="2540" t="e">
        <f t="shared" si="7"/>
        <v>#DIV/0!</v>
      </c>
      <c r="N64" s="2548"/>
      <c r="O64" s="2549">
        <f t="shared" si="8"/>
        <v>0</v>
      </c>
      <c r="P64" s="2550"/>
      <c r="Q64" s="2551"/>
      <c r="R64" s="2549"/>
    </row>
    <row r="65" spans="2:18" ht="23.4" x14ac:dyDescent="0.45">
      <c r="B65" s="2545" t="s">
        <v>621</v>
      </c>
      <c r="C65" s="2546"/>
      <c r="D65" s="2546"/>
      <c r="E65" s="2546"/>
      <c r="F65" s="2546"/>
      <c r="G65" s="2546"/>
      <c r="H65" s="2546"/>
      <c r="I65" s="2547">
        <f t="shared" si="5"/>
        <v>0</v>
      </c>
      <c r="J65" s="2537"/>
      <c r="K65" s="2538">
        <f t="shared" si="6"/>
        <v>0</v>
      </c>
      <c r="L65" s="2539"/>
      <c r="M65" s="2540" t="e">
        <f t="shared" si="7"/>
        <v>#DIV/0!</v>
      </c>
      <c r="N65" s="2548"/>
      <c r="O65" s="2549">
        <f t="shared" si="8"/>
        <v>0</v>
      </c>
      <c r="P65" s="2550"/>
      <c r="Q65" s="2551"/>
      <c r="R65" s="2549"/>
    </row>
    <row r="66" spans="2:18" ht="24" thickBot="1" x14ac:dyDescent="0.5">
      <c r="B66" s="2545" t="s">
        <v>622</v>
      </c>
      <c r="C66" s="2556"/>
      <c r="D66" s="2556"/>
      <c r="E66" s="2556"/>
      <c r="F66" s="2556"/>
      <c r="G66" s="2556"/>
      <c r="H66" s="2556"/>
      <c r="I66" s="2547">
        <f t="shared" si="5"/>
        <v>0</v>
      </c>
      <c r="J66" s="2537"/>
      <c r="K66" s="2538">
        <f t="shared" si="6"/>
        <v>0</v>
      </c>
      <c r="L66" s="2539"/>
      <c r="M66" s="2579" t="e">
        <f t="shared" si="7"/>
        <v>#DIV/0!</v>
      </c>
      <c r="N66" s="2558"/>
      <c r="O66" s="2559">
        <f t="shared" si="8"/>
        <v>0</v>
      </c>
      <c r="P66" s="2560"/>
      <c r="Q66" s="2561"/>
      <c r="R66" s="2559"/>
    </row>
    <row r="67" spans="2:18" ht="24.6" thickTop="1" thickBot="1" x14ac:dyDescent="0.5">
      <c r="B67" s="2562" t="s">
        <v>592</v>
      </c>
      <c r="C67" s="2563">
        <f t="shared" ref="C67:I67" si="9">SUM(C38:C66)</f>
        <v>88</v>
      </c>
      <c r="D67" s="2563">
        <f t="shared" si="9"/>
        <v>90</v>
      </c>
      <c r="E67" s="2563">
        <f t="shared" si="9"/>
        <v>60</v>
      </c>
      <c r="F67" s="2563">
        <f t="shared" si="9"/>
        <v>60</v>
      </c>
      <c r="G67" s="2563">
        <f t="shared" si="9"/>
        <v>60</v>
      </c>
      <c r="H67" s="2563">
        <f t="shared" si="9"/>
        <v>29</v>
      </c>
      <c r="I67" s="2580">
        <f t="shared" si="9"/>
        <v>387</v>
      </c>
      <c r="J67" s="2575"/>
      <c r="K67" s="2581"/>
      <c r="L67" s="2582"/>
      <c r="M67" s="2582"/>
      <c r="N67" s="2569"/>
      <c r="O67" s="2570">
        <f>SUM(O38:O66)</f>
        <v>0</v>
      </c>
      <c r="P67" s="2563"/>
      <c r="Q67" s="2571"/>
      <c r="R67" s="2572"/>
    </row>
    <row r="69" spans="2:18" ht="24" thickBot="1" x14ac:dyDescent="0.5">
      <c r="H69" s="2583" t="s">
        <v>626</v>
      </c>
    </row>
    <row r="70" spans="2:18" ht="24.6" thickTop="1" thickBot="1" x14ac:dyDescent="0.5">
      <c r="B70" s="2526" t="s">
        <v>2</v>
      </c>
      <c r="C70" s="2527" t="s">
        <v>588</v>
      </c>
      <c r="D70" s="2527" t="s">
        <v>589</v>
      </c>
      <c r="E70" s="2527" t="s">
        <v>455</v>
      </c>
      <c r="F70" s="2527" t="s">
        <v>590</v>
      </c>
      <c r="G70" s="2527" t="s">
        <v>450</v>
      </c>
      <c r="H70" s="2527" t="s">
        <v>591</v>
      </c>
      <c r="I70" s="2528" t="s">
        <v>592</v>
      </c>
      <c r="J70" s="2575" t="s">
        <v>593</v>
      </c>
      <c r="K70" s="2576" t="s">
        <v>594</v>
      </c>
      <c r="L70" s="2575" t="s">
        <v>595</v>
      </c>
      <c r="M70" s="2584" t="s">
        <v>596</v>
      </c>
      <c r="N70" s="2527" t="s">
        <v>597</v>
      </c>
      <c r="O70" s="2527" t="s">
        <v>598</v>
      </c>
      <c r="P70" s="2532" t="s">
        <v>599</v>
      </c>
      <c r="Q70" s="2533" t="s">
        <v>600</v>
      </c>
      <c r="R70" s="2533" t="s">
        <v>601</v>
      </c>
    </row>
    <row r="71" spans="2:18" ht="24" thickTop="1" x14ac:dyDescent="0.45">
      <c r="B71" s="2534" t="s">
        <v>605</v>
      </c>
      <c r="C71" s="2535">
        <v>17</v>
      </c>
      <c r="D71" s="2535"/>
      <c r="E71" s="2535"/>
      <c r="F71" s="2535">
        <v>18</v>
      </c>
      <c r="G71" s="2535"/>
      <c r="H71" s="2535">
        <v>9</v>
      </c>
      <c r="I71" s="2536">
        <f t="shared" ref="I71:I100" si="10">SUM(C71:H71)</f>
        <v>44</v>
      </c>
      <c r="J71" s="2537">
        <v>1</v>
      </c>
      <c r="K71" s="2538">
        <f t="shared" ref="K71:K100" si="11">COUNT(C71:H71)</f>
        <v>3</v>
      </c>
      <c r="L71" s="2539">
        <v>1</v>
      </c>
      <c r="M71" s="2540">
        <f t="shared" ref="M71:M99" si="12">AVERAGE(J71,L71)</f>
        <v>1</v>
      </c>
      <c r="N71" s="2541"/>
      <c r="O71" s="2542">
        <f t="shared" ref="O71:O100" si="13">I71-N71</f>
        <v>44</v>
      </c>
      <c r="P71" s="2543"/>
      <c r="Q71" s="2544">
        <v>22</v>
      </c>
      <c r="R71" s="2542"/>
    </row>
    <row r="72" spans="2:18" ht="23.4" x14ac:dyDescent="0.45">
      <c r="B72" s="2545" t="s">
        <v>606</v>
      </c>
      <c r="C72" s="2546">
        <v>14</v>
      </c>
      <c r="D72" s="2546"/>
      <c r="E72" s="2546"/>
      <c r="F72" s="2546">
        <v>15</v>
      </c>
      <c r="G72" s="2546"/>
      <c r="H72" s="2546">
        <v>4</v>
      </c>
      <c r="I72" s="2547">
        <f t="shared" si="10"/>
        <v>33</v>
      </c>
      <c r="J72" s="2537">
        <v>2</v>
      </c>
      <c r="K72" s="2538">
        <f t="shared" si="11"/>
        <v>3</v>
      </c>
      <c r="L72" s="2539">
        <v>1</v>
      </c>
      <c r="M72" s="2540">
        <f t="shared" si="12"/>
        <v>1.5</v>
      </c>
      <c r="N72" s="2548"/>
      <c r="O72" s="2549">
        <f t="shared" si="13"/>
        <v>33</v>
      </c>
      <c r="P72" s="2550"/>
      <c r="Q72" s="2551">
        <v>19</v>
      </c>
      <c r="R72" s="2549"/>
    </row>
    <row r="73" spans="2:18" ht="23.4" x14ac:dyDescent="0.45">
      <c r="B73" s="2545" t="s">
        <v>602</v>
      </c>
      <c r="C73" s="2546">
        <v>12</v>
      </c>
      <c r="D73" s="2546"/>
      <c r="E73" s="2546"/>
      <c r="F73" s="2546">
        <v>6</v>
      </c>
      <c r="G73" s="2546"/>
      <c r="H73" s="2546">
        <v>6</v>
      </c>
      <c r="I73" s="2547">
        <f t="shared" si="10"/>
        <v>24</v>
      </c>
      <c r="J73" s="2537">
        <v>3</v>
      </c>
      <c r="K73" s="2538">
        <f t="shared" si="11"/>
        <v>3</v>
      </c>
      <c r="L73" s="2539">
        <v>1</v>
      </c>
      <c r="M73" s="2540">
        <f t="shared" si="12"/>
        <v>2</v>
      </c>
      <c r="N73" s="2548"/>
      <c r="O73" s="2549">
        <f t="shared" si="13"/>
        <v>24</v>
      </c>
      <c r="P73" s="2550"/>
      <c r="Q73" s="2551">
        <v>24</v>
      </c>
      <c r="R73" s="2549"/>
    </row>
    <row r="74" spans="2:18" ht="23.4" x14ac:dyDescent="0.45">
      <c r="B74" s="2545" t="s">
        <v>603</v>
      </c>
      <c r="C74" s="2546">
        <v>9</v>
      </c>
      <c r="D74" s="2546"/>
      <c r="E74" s="2546"/>
      <c r="F74" s="2546">
        <v>12</v>
      </c>
      <c r="G74" s="2546"/>
      <c r="H74" s="2546">
        <v>2</v>
      </c>
      <c r="I74" s="2547">
        <f t="shared" si="10"/>
        <v>23</v>
      </c>
      <c r="J74" s="2537">
        <v>4</v>
      </c>
      <c r="K74" s="2538">
        <f t="shared" si="11"/>
        <v>3</v>
      </c>
      <c r="L74" s="2539">
        <v>1</v>
      </c>
      <c r="M74" s="2540">
        <f t="shared" si="12"/>
        <v>2.5</v>
      </c>
      <c r="N74" s="2548"/>
      <c r="O74" s="2549">
        <f t="shared" si="13"/>
        <v>23</v>
      </c>
      <c r="P74" s="2550"/>
      <c r="Q74" s="2551">
        <v>23</v>
      </c>
      <c r="R74" s="2549"/>
    </row>
    <row r="75" spans="2:18" ht="23.4" x14ac:dyDescent="0.45">
      <c r="B75" s="2545" t="s">
        <v>446</v>
      </c>
      <c r="C75" s="2546">
        <v>7</v>
      </c>
      <c r="D75" s="2546"/>
      <c r="E75" s="2546"/>
      <c r="F75" s="2546">
        <v>9</v>
      </c>
      <c r="G75" s="2546"/>
      <c r="H75" s="2546"/>
      <c r="I75" s="2547">
        <f t="shared" si="10"/>
        <v>16</v>
      </c>
      <c r="J75" s="2537">
        <v>4</v>
      </c>
      <c r="K75" s="2538">
        <f t="shared" si="11"/>
        <v>2</v>
      </c>
      <c r="L75" s="2539">
        <v>2</v>
      </c>
      <c r="M75" s="2540">
        <f t="shared" si="12"/>
        <v>3</v>
      </c>
      <c r="N75" s="2548"/>
      <c r="O75" s="2549">
        <f t="shared" si="13"/>
        <v>16</v>
      </c>
      <c r="P75" s="2550"/>
      <c r="Q75" s="2551">
        <v>20</v>
      </c>
      <c r="R75" s="2549"/>
    </row>
    <row r="76" spans="2:18" ht="23.4" x14ac:dyDescent="0.45">
      <c r="B76" s="2545" t="s">
        <v>537</v>
      </c>
      <c r="C76" s="2546">
        <v>2</v>
      </c>
      <c r="D76" s="2546"/>
      <c r="E76" s="2546"/>
      <c r="F76" s="2546">
        <v>3</v>
      </c>
      <c r="G76" s="2546"/>
      <c r="H76" s="2546"/>
      <c r="I76" s="2547">
        <f t="shared" si="10"/>
        <v>5</v>
      </c>
      <c r="J76" s="2537">
        <v>6</v>
      </c>
      <c r="K76" s="2538">
        <f t="shared" si="11"/>
        <v>2</v>
      </c>
      <c r="L76" s="2539">
        <v>1</v>
      </c>
      <c r="M76" s="2540">
        <f t="shared" si="12"/>
        <v>3.5</v>
      </c>
      <c r="N76" s="2548"/>
      <c r="O76" s="2549">
        <f t="shared" si="13"/>
        <v>5</v>
      </c>
      <c r="P76" s="2550"/>
      <c r="Q76" s="2551">
        <v>15</v>
      </c>
      <c r="R76" s="2549"/>
    </row>
    <row r="77" spans="2:18" ht="23.4" x14ac:dyDescent="0.45">
      <c r="B77" s="2545" t="s">
        <v>604</v>
      </c>
      <c r="C77" s="2546"/>
      <c r="D77" s="2546"/>
      <c r="E77" s="2546"/>
      <c r="F77" s="2546">
        <v>6</v>
      </c>
      <c r="G77" s="2546"/>
      <c r="H77" s="2546"/>
      <c r="I77" s="2547">
        <f t="shared" si="10"/>
        <v>6</v>
      </c>
      <c r="J77" s="2537">
        <v>5</v>
      </c>
      <c r="K77" s="2538">
        <f t="shared" si="11"/>
        <v>1</v>
      </c>
      <c r="L77" s="2539">
        <v>3</v>
      </c>
      <c r="M77" s="2540">
        <f t="shared" si="12"/>
        <v>4</v>
      </c>
      <c r="N77" s="2548"/>
      <c r="O77" s="2549">
        <f t="shared" si="13"/>
        <v>6</v>
      </c>
      <c r="P77" s="2550"/>
      <c r="Q77" s="2551">
        <v>17</v>
      </c>
      <c r="R77" s="2549"/>
    </row>
    <row r="78" spans="2:18" ht="23.4" x14ac:dyDescent="0.45">
      <c r="B78" s="2545" t="s">
        <v>607</v>
      </c>
      <c r="C78" s="2546"/>
      <c r="D78" s="2546"/>
      <c r="E78" s="2546"/>
      <c r="F78" s="2546">
        <v>6</v>
      </c>
      <c r="G78" s="2546"/>
      <c r="H78" s="2546"/>
      <c r="I78" s="2547">
        <f t="shared" si="10"/>
        <v>6</v>
      </c>
      <c r="J78" s="2537">
        <v>5</v>
      </c>
      <c r="K78" s="2538">
        <f t="shared" si="11"/>
        <v>1</v>
      </c>
      <c r="L78" s="2539">
        <v>3</v>
      </c>
      <c r="M78" s="2540">
        <f t="shared" si="12"/>
        <v>4</v>
      </c>
      <c r="N78" s="2548"/>
      <c r="O78" s="2549">
        <f t="shared" si="13"/>
        <v>6</v>
      </c>
      <c r="P78" s="2550"/>
      <c r="Q78" s="2551">
        <v>16</v>
      </c>
      <c r="R78" s="2549"/>
    </row>
    <row r="79" spans="2:18" ht="23.4" x14ac:dyDescent="0.45">
      <c r="B79" s="2545" t="s">
        <v>534</v>
      </c>
      <c r="C79" s="2546"/>
      <c r="D79" s="2546"/>
      <c r="E79" s="2546"/>
      <c r="F79" s="2546">
        <v>6</v>
      </c>
      <c r="G79" s="2546"/>
      <c r="H79" s="2546"/>
      <c r="I79" s="2547">
        <f t="shared" si="10"/>
        <v>6</v>
      </c>
      <c r="J79" s="2537">
        <v>5</v>
      </c>
      <c r="K79" s="2538">
        <f t="shared" si="11"/>
        <v>1</v>
      </c>
      <c r="L79" s="2539">
        <v>3</v>
      </c>
      <c r="M79" s="2540">
        <f t="shared" si="12"/>
        <v>4</v>
      </c>
      <c r="N79" s="2548"/>
      <c r="O79" s="2549">
        <f t="shared" si="13"/>
        <v>6</v>
      </c>
      <c r="P79" s="2550"/>
      <c r="Q79" s="2551">
        <v>18</v>
      </c>
      <c r="R79" s="2549"/>
    </row>
    <row r="80" spans="2:18" ht="23.4" x14ac:dyDescent="0.45">
      <c r="B80" s="2545" t="s">
        <v>14</v>
      </c>
      <c r="C80" s="2546"/>
      <c r="D80" s="2546"/>
      <c r="E80" s="2546"/>
      <c r="F80" s="2546">
        <v>6</v>
      </c>
      <c r="G80" s="2546"/>
      <c r="H80" s="2546"/>
      <c r="I80" s="2547">
        <f t="shared" si="10"/>
        <v>6</v>
      </c>
      <c r="J80" s="2537">
        <v>5</v>
      </c>
      <c r="K80" s="2538">
        <f t="shared" si="11"/>
        <v>1</v>
      </c>
      <c r="L80" s="2539">
        <v>3</v>
      </c>
      <c r="M80" s="2540">
        <f t="shared" si="12"/>
        <v>4</v>
      </c>
      <c r="N80" s="2548"/>
      <c r="O80" s="2549">
        <f t="shared" si="13"/>
        <v>6</v>
      </c>
      <c r="P80" s="2550"/>
      <c r="Q80" s="2551"/>
      <c r="R80" s="2549">
        <v>15</v>
      </c>
    </row>
    <row r="81" spans="2:18" ht="23.4" x14ac:dyDescent="0.45">
      <c r="B81" s="2545" t="s">
        <v>609</v>
      </c>
      <c r="C81" s="2546">
        <v>4</v>
      </c>
      <c r="D81" s="2546"/>
      <c r="E81" s="2546"/>
      <c r="F81" s="2546"/>
      <c r="G81" s="2546"/>
      <c r="H81" s="2546"/>
      <c r="I81" s="2547">
        <f t="shared" si="10"/>
        <v>4</v>
      </c>
      <c r="J81" s="2537">
        <v>7</v>
      </c>
      <c r="K81" s="2538">
        <f t="shared" si="11"/>
        <v>1</v>
      </c>
      <c r="L81" s="2539">
        <v>3</v>
      </c>
      <c r="M81" s="2540">
        <f t="shared" si="12"/>
        <v>5</v>
      </c>
      <c r="N81" s="2548"/>
      <c r="O81" s="2549">
        <f t="shared" si="13"/>
        <v>4</v>
      </c>
      <c r="P81" s="2550"/>
      <c r="Q81" s="2551"/>
      <c r="R81" s="2549">
        <v>17</v>
      </c>
    </row>
    <row r="82" spans="2:18" ht="23.4" x14ac:dyDescent="0.45">
      <c r="B82" s="2545" t="s">
        <v>539</v>
      </c>
      <c r="C82" s="2546"/>
      <c r="D82" s="2546"/>
      <c r="E82" s="2546"/>
      <c r="F82" s="2546">
        <v>3</v>
      </c>
      <c r="G82" s="2546"/>
      <c r="H82" s="2546"/>
      <c r="I82" s="2547">
        <f t="shared" si="10"/>
        <v>3</v>
      </c>
      <c r="J82" s="2537">
        <v>8</v>
      </c>
      <c r="K82" s="2538">
        <f t="shared" si="11"/>
        <v>1</v>
      </c>
      <c r="L82" s="2539">
        <v>3</v>
      </c>
      <c r="M82" s="2540">
        <f t="shared" si="12"/>
        <v>5.5</v>
      </c>
      <c r="N82" s="2548"/>
      <c r="O82" s="2549">
        <f t="shared" si="13"/>
        <v>3</v>
      </c>
      <c r="P82" s="2550"/>
      <c r="Q82" s="2551"/>
      <c r="R82" s="2549">
        <v>18</v>
      </c>
    </row>
    <row r="83" spans="2:18" ht="23.4" x14ac:dyDescent="0.45">
      <c r="B83" s="2545" t="s">
        <v>102</v>
      </c>
      <c r="C83" s="2546"/>
      <c r="D83" s="2546"/>
      <c r="E83" s="2546"/>
      <c r="F83" s="2546"/>
      <c r="G83" s="2546"/>
      <c r="H83" s="2546"/>
      <c r="I83" s="2547">
        <f t="shared" si="10"/>
        <v>0</v>
      </c>
      <c r="J83" s="2537"/>
      <c r="K83" s="2538">
        <f t="shared" si="11"/>
        <v>0</v>
      </c>
      <c r="L83" s="2539"/>
      <c r="M83" s="2540" t="e">
        <f t="shared" si="12"/>
        <v>#DIV/0!</v>
      </c>
      <c r="N83" s="2548"/>
      <c r="O83" s="2549">
        <f t="shared" si="13"/>
        <v>0</v>
      </c>
      <c r="P83" s="2550"/>
      <c r="Q83" s="2551"/>
      <c r="R83" s="2549"/>
    </row>
    <row r="84" spans="2:18" ht="23.4" x14ac:dyDescent="0.45">
      <c r="B84" s="2545" t="s">
        <v>613</v>
      </c>
      <c r="C84" s="2552"/>
      <c r="D84" s="2552"/>
      <c r="E84" s="2552"/>
      <c r="F84" s="2552"/>
      <c r="G84" s="2552"/>
      <c r="H84" s="2552"/>
      <c r="I84" s="2547">
        <f t="shared" si="10"/>
        <v>0</v>
      </c>
      <c r="J84" s="2537"/>
      <c r="K84" s="2538">
        <f t="shared" si="11"/>
        <v>0</v>
      </c>
      <c r="L84" s="2539"/>
      <c r="M84" s="2540" t="e">
        <f t="shared" si="12"/>
        <v>#DIV/0!</v>
      </c>
      <c r="N84" s="2548"/>
      <c r="O84" s="2549">
        <f t="shared" si="13"/>
        <v>0</v>
      </c>
      <c r="P84" s="2553"/>
      <c r="Q84" s="2554"/>
      <c r="R84" s="2549"/>
    </row>
    <row r="85" spans="2:18" ht="23.4" x14ac:dyDescent="0.45">
      <c r="B85" s="2545" t="s">
        <v>611</v>
      </c>
      <c r="C85" s="2546"/>
      <c r="D85" s="2546"/>
      <c r="E85" s="2546"/>
      <c r="F85" s="2546"/>
      <c r="G85" s="2546"/>
      <c r="H85" s="2546"/>
      <c r="I85" s="2547">
        <f t="shared" si="10"/>
        <v>0</v>
      </c>
      <c r="J85" s="2537"/>
      <c r="K85" s="2538">
        <f t="shared" si="11"/>
        <v>0</v>
      </c>
      <c r="L85" s="2539"/>
      <c r="M85" s="2540" t="e">
        <f t="shared" si="12"/>
        <v>#DIV/0!</v>
      </c>
      <c r="N85" s="2548"/>
      <c r="O85" s="2549">
        <f t="shared" si="13"/>
        <v>0</v>
      </c>
      <c r="P85" s="2550"/>
      <c r="Q85" s="2551"/>
      <c r="R85" s="2549"/>
    </row>
    <row r="86" spans="2:18" ht="23.4" x14ac:dyDescent="0.45">
      <c r="B86" s="2545" t="s">
        <v>209</v>
      </c>
      <c r="C86" s="2546"/>
      <c r="D86" s="2546"/>
      <c r="E86" s="2546"/>
      <c r="F86" s="2546"/>
      <c r="G86" s="2546"/>
      <c r="H86" s="2546"/>
      <c r="I86" s="2547">
        <f t="shared" si="10"/>
        <v>0</v>
      </c>
      <c r="J86" s="2537"/>
      <c r="K86" s="2538">
        <f t="shared" si="11"/>
        <v>0</v>
      </c>
      <c r="L86" s="2539"/>
      <c r="M86" s="2540" t="e">
        <f t="shared" si="12"/>
        <v>#DIV/0!</v>
      </c>
      <c r="N86" s="2548"/>
      <c r="O86" s="2549">
        <f t="shared" si="13"/>
        <v>0</v>
      </c>
      <c r="P86" s="2550"/>
      <c r="Q86" s="2551"/>
      <c r="R86" s="2549"/>
    </row>
    <row r="87" spans="2:18" ht="23.4" x14ac:dyDescent="0.45">
      <c r="B87" s="2545" t="s">
        <v>627</v>
      </c>
      <c r="C87" s="2546"/>
      <c r="D87" s="2546"/>
      <c r="E87" s="2546"/>
      <c r="F87" s="2546"/>
      <c r="G87" s="2546"/>
      <c r="H87" s="2546"/>
      <c r="I87" s="2547">
        <f t="shared" si="10"/>
        <v>0</v>
      </c>
      <c r="J87" s="2537"/>
      <c r="K87" s="2538">
        <f t="shared" si="11"/>
        <v>0</v>
      </c>
      <c r="L87" s="2539"/>
      <c r="M87" s="2540" t="e">
        <f t="shared" si="12"/>
        <v>#DIV/0!</v>
      </c>
      <c r="N87" s="2548"/>
      <c r="O87" s="2549">
        <f t="shared" si="13"/>
        <v>0</v>
      </c>
      <c r="P87" s="2550"/>
      <c r="Q87" s="2551"/>
      <c r="R87" s="2549"/>
    </row>
    <row r="88" spans="2:18" ht="23.4" x14ac:dyDescent="0.45">
      <c r="B88" s="2545" t="s">
        <v>614</v>
      </c>
      <c r="C88" s="2546"/>
      <c r="D88" s="2546"/>
      <c r="E88" s="2546"/>
      <c r="F88" s="2546"/>
      <c r="G88" s="2546"/>
      <c r="H88" s="2546"/>
      <c r="I88" s="2547">
        <f t="shared" si="10"/>
        <v>0</v>
      </c>
      <c r="J88" s="2537"/>
      <c r="K88" s="2538">
        <f t="shared" si="11"/>
        <v>0</v>
      </c>
      <c r="L88" s="2539"/>
      <c r="M88" s="2540" t="e">
        <f t="shared" si="12"/>
        <v>#DIV/0!</v>
      </c>
      <c r="N88" s="2548"/>
      <c r="O88" s="2549">
        <f t="shared" si="13"/>
        <v>0</v>
      </c>
      <c r="P88" s="2550"/>
      <c r="Q88" s="2551"/>
      <c r="R88" s="2549"/>
    </row>
    <row r="89" spans="2:18" ht="23.4" x14ac:dyDescent="0.45">
      <c r="B89" s="2545" t="s">
        <v>610</v>
      </c>
      <c r="C89" s="2546"/>
      <c r="D89" s="2546"/>
      <c r="E89" s="2546"/>
      <c r="F89" s="2546"/>
      <c r="G89" s="2546"/>
      <c r="H89" s="2546"/>
      <c r="I89" s="2547">
        <f t="shared" si="10"/>
        <v>0</v>
      </c>
      <c r="J89" s="2537"/>
      <c r="K89" s="2538">
        <f t="shared" si="11"/>
        <v>0</v>
      </c>
      <c r="L89" s="2539"/>
      <c r="M89" s="2540" t="e">
        <f t="shared" si="12"/>
        <v>#DIV/0!</v>
      </c>
      <c r="N89" s="2548"/>
      <c r="O89" s="2549">
        <f t="shared" si="13"/>
        <v>0</v>
      </c>
      <c r="P89" s="2550"/>
      <c r="Q89" s="2551"/>
      <c r="R89" s="2549"/>
    </row>
    <row r="90" spans="2:18" ht="23.4" x14ac:dyDescent="0.45">
      <c r="B90" s="2545" t="s">
        <v>608</v>
      </c>
      <c r="C90" s="2546"/>
      <c r="D90" s="2546"/>
      <c r="E90" s="2546"/>
      <c r="F90" s="2546"/>
      <c r="G90" s="2546"/>
      <c r="H90" s="2546"/>
      <c r="I90" s="2547">
        <f t="shared" si="10"/>
        <v>0</v>
      </c>
      <c r="J90" s="2537"/>
      <c r="K90" s="2538">
        <f t="shared" si="11"/>
        <v>0</v>
      </c>
      <c r="L90" s="2539"/>
      <c r="M90" s="2540" t="e">
        <f t="shared" si="12"/>
        <v>#DIV/0!</v>
      </c>
      <c r="N90" s="2548"/>
      <c r="O90" s="2549">
        <f t="shared" si="13"/>
        <v>0</v>
      </c>
      <c r="P90" s="2550"/>
      <c r="Q90" s="2551"/>
      <c r="R90" s="2549"/>
    </row>
    <row r="91" spans="2:18" ht="23.4" x14ac:dyDescent="0.45">
      <c r="B91" s="2545" t="s">
        <v>616</v>
      </c>
      <c r="C91" s="2546"/>
      <c r="D91" s="2546"/>
      <c r="E91" s="2546"/>
      <c r="F91" s="2546"/>
      <c r="G91" s="2546"/>
      <c r="H91" s="2546"/>
      <c r="I91" s="2547">
        <f t="shared" si="10"/>
        <v>0</v>
      </c>
      <c r="J91" s="2537"/>
      <c r="K91" s="2538">
        <f t="shared" si="11"/>
        <v>0</v>
      </c>
      <c r="L91" s="2539"/>
      <c r="M91" s="2540" t="e">
        <f t="shared" si="12"/>
        <v>#DIV/0!</v>
      </c>
      <c r="N91" s="2548"/>
      <c r="O91" s="2549">
        <f t="shared" si="13"/>
        <v>0</v>
      </c>
      <c r="P91" s="2550"/>
      <c r="Q91" s="2551"/>
      <c r="R91" s="2549"/>
    </row>
    <row r="92" spans="2:18" ht="23.4" x14ac:dyDescent="0.45">
      <c r="B92" s="2545" t="s">
        <v>617</v>
      </c>
      <c r="C92" s="2546"/>
      <c r="D92" s="2546"/>
      <c r="E92" s="2546"/>
      <c r="F92" s="2546"/>
      <c r="G92" s="2546"/>
      <c r="H92" s="2546"/>
      <c r="I92" s="2547">
        <f t="shared" si="10"/>
        <v>0</v>
      </c>
      <c r="J92" s="2537"/>
      <c r="K92" s="2538">
        <f t="shared" si="11"/>
        <v>0</v>
      </c>
      <c r="L92" s="2539"/>
      <c r="M92" s="2540" t="e">
        <f t="shared" si="12"/>
        <v>#DIV/0!</v>
      </c>
      <c r="N92" s="2548"/>
      <c r="O92" s="2549">
        <f t="shared" si="13"/>
        <v>0</v>
      </c>
      <c r="P92" s="2550"/>
      <c r="Q92" s="2551"/>
      <c r="R92" s="2549"/>
    </row>
    <row r="93" spans="2:18" ht="23.4" x14ac:dyDescent="0.45">
      <c r="B93" s="2545" t="s">
        <v>618</v>
      </c>
      <c r="C93" s="2546"/>
      <c r="D93" s="2546"/>
      <c r="E93" s="2546"/>
      <c r="F93" s="2546"/>
      <c r="G93" s="2546"/>
      <c r="H93" s="2546"/>
      <c r="I93" s="2547">
        <f t="shared" si="10"/>
        <v>0</v>
      </c>
      <c r="J93" s="2537"/>
      <c r="K93" s="2538">
        <f t="shared" si="11"/>
        <v>0</v>
      </c>
      <c r="L93" s="2539"/>
      <c r="M93" s="2540" t="e">
        <f t="shared" si="12"/>
        <v>#DIV/0!</v>
      </c>
      <c r="N93" s="2548"/>
      <c r="O93" s="2549">
        <f t="shared" si="13"/>
        <v>0</v>
      </c>
      <c r="P93" s="2550"/>
      <c r="Q93" s="2551"/>
      <c r="R93" s="2549"/>
    </row>
    <row r="94" spans="2:18" ht="23.4" x14ac:dyDescent="0.45">
      <c r="B94" s="2545" t="s">
        <v>624</v>
      </c>
      <c r="C94" s="2546"/>
      <c r="D94" s="2546"/>
      <c r="E94" s="2546"/>
      <c r="F94" s="2546"/>
      <c r="G94" s="2546"/>
      <c r="H94" s="2546"/>
      <c r="I94" s="2547">
        <f t="shared" si="10"/>
        <v>0</v>
      </c>
      <c r="J94" s="2537"/>
      <c r="K94" s="2538">
        <f t="shared" si="11"/>
        <v>0</v>
      </c>
      <c r="L94" s="2539"/>
      <c r="M94" s="2540" t="e">
        <f t="shared" si="12"/>
        <v>#DIV/0!</v>
      </c>
      <c r="N94" s="2548"/>
      <c r="O94" s="2549">
        <f t="shared" si="13"/>
        <v>0</v>
      </c>
      <c r="P94" s="2550"/>
      <c r="Q94" s="2551"/>
      <c r="R94" s="2549"/>
    </row>
    <row r="95" spans="2:18" ht="23.4" x14ac:dyDescent="0.45">
      <c r="B95" s="2545" t="s">
        <v>619</v>
      </c>
      <c r="C95" s="2546"/>
      <c r="D95" s="2546"/>
      <c r="E95" s="2546"/>
      <c r="F95" s="2546"/>
      <c r="G95" s="2546"/>
      <c r="H95" s="2546"/>
      <c r="I95" s="2547">
        <f t="shared" si="10"/>
        <v>0</v>
      </c>
      <c r="J95" s="2537"/>
      <c r="K95" s="2538">
        <f t="shared" si="11"/>
        <v>0</v>
      </c>
      <c r="L95" s="2539"/>
      <c r="M95" s="2540" t="e">
        <f t="shared" si="12"/>
        <v>#DIV/0!</v>
      </c>
      <c r="N95" s="2548"/>
      <c r="O95" s="2549">
        <f t="shared" si="13"/>
        <v>0</v>
      </c>
      <c r="P95" s="2550"/>
      <c r="Q95" s="2551"/>
      <c r="R95" s="2549"/>
    </row>
    <row r="96" spans="2:18" ht="23.4" x14ac:dyDescent="0.45">
      <c r="B96" s="2545" t="s">
        <v>625</v>
      </c>
      <c r="C96" s="2546"/>
      <c r="D96" s="2546"/>
      <c r="E96" s="2546"/>
      <c r="F96" s="2546"/>
      <c r="G96" s="2546"/>
      <c r="H96" s="2546"/>
      <c r="I96" s="2547">
        <f t="shared" si="10"/>
        <v>0</v>
      </c>
      <c r="J96" s="2537"/>
      <c r="K96" s="2538">
        <f t="shared" si="11"/>
        <v>0</v>
      </c>
      <c r="L96" s="2539"/>
      <c r="M96" s="2540" t="e">
        <f t="shared" si="12"/>
        <v>#DIV/0!</v>
      </c>
      <c r="N96" s="2548"/>
      <c r="O96" s="2549">
        <f t="shared" si="13"/>
        <v>0</v>
      </c>
      <c r="P96" s="2550"/>
      <c r="Q96" s="2551"/>
      <c r="R96" s="2549"/>
    </row>
    <row r="97" spans="2:18" ht="23.4" x14ac:dyDescent="0.45">
      <c r="B97" s="2545" t="s">
        <v>620</v>
      </c>
      <c r="C97" s="2546"/>
      <c r="D97" s="2546"/>
      <c r="E97" s="2546"/>
      <c r="F97" s="2546"/>
      <c r="G97" s="2546"/>
      <c r="H97" s="2546"/>
      <c r="I97" s="2547">
        <f t="shared" si="10"/>
        <v>0</v>
      </c>
      <c r="J97" s="2537"/>
      <c r="K97" s="2538">
        <f t="shared" si="11"/>
        <v>0</v>
      </c>
      <c r="L97" s="2539"/>
      <c r="M97" s="2540" t="e">
        <f t="shared" si="12"/>
        <v>#DIV/0!</v>
      </c>
      <c r="N97" s="2548"/>
      <c r="O97" s="2549">
        <f t="shared" si="13"/>
        <v>0</v>
      </c>
      <c r="P97" s="2550"/>
      <c r="Q97" s="2551"/>
      <c r="R97" s="2549"/>
    </row>
    <row r="98" spans="2:18" ht="23.4" x14ac:dyDescent="0.45">
      <c r="B98" s="2545" t="s">
        <v>621</v>
      </c>
      <c r="C98" s="2546"/>
      <c r="D98" s="2546"/>
      <c r="E98" s="2546"/>
      <c r="F98" s="2546"/>
      <c r="G98" s="2546"/>
      <c r="H98" s="2546"/>
      <c r="I98" s="2547">
        <f t="shared" si="10"/>
        <v>0</v>
      </c>
      <c r="J98" s="2537"/>
      <c r="K98" s="2538">
        <f t="shared" si="11"/>
        <v>0</v>
      </c>
      <c r="L98" s="2539"/>
      <c r="M98" s="2540" t="e">
        <f t="shared" si="12"/>
        <v>#DIV/0!</v>
      </c>
      <c r="N98" s="2548"/>
      <c r="O98" s="2549">
        <f t="shared" si="13"/>
        <v>0</v>
      </c>
      <c r="P98" s="2550"/>
      <c r="Q98" s="2551"/>
      <c r="R98" s="2549"/>
    </row>
    <row r="99" spans="2:18" ht="23.4" x14ac:dyDescent="0.45">
      <c r="B99" s="2545" t="s">
        <v>622</v>
      </c>
      <c r="C99" s="2546"/>
      <c r="D99" s="2546"/>
      <c r="E99" s="2546"/>
      <c r="F99" s="2546"/>
      <c r="G99" s="2546"/>
      <c r="H99" s="2546"/>
      <c r="I99" s="2547">
        <f t="shared" si="10"/>
        <v>0</v>
      </c>
      <c r="J99" s="2537"/>
      <c r="K99" s="2538">
        <f t="shared" si="11"/>
        <v>0</v>
      </c>
      <c r="L99" s="2539"/>
      <c r="M99" s="2540" t="e">
        <f t="shared" si="12"/>
        <v>#DIV/0!</v>
      </c>
      <c r="N99" s="2548"/>
      <c r="O99" s="2549">
        <f t="shared" si="13"/>
        <v>0</v>
      </c>
      <c r="P99" s="2550"/>
      <c r="Q99" s="2551"/>
      <c r="R99" s="2549"/>
    </row>
    <row r="100" spans="2:18" ht="24" thickBot="1" x14ac:dyDescent="0.5">
      <c r="B100" s="2555"/>
      <c r="C100" s="2556"/>
      <c r="D100" s="2556"/>
      <c r="E100" s="2556"/>
      <c r="F100" s="2556"/>
      <c r="G100" s="2556"/>
      <c r="H100" s="2556"/>
      <c r="I100" s="2547">
        <f t="shared" si="10"/>
        <v>0</v>
      </c>
      <c r="J100" s="2537"/>
      <c r="K100" s="2538">
        <f t="shared" si="11"/>
        <v>0</v>
      </c>
      <c r="L100" s="2539"/>
      <c r="M100" s="2579"/>
      <c r="N100" s="2558"/>
      <c r="O100" s="2559">
        <f t="shared" si="13"/>
        <v>0</v>
      </c>
      <c r="P100" s="2560"/>
      <c r="Q100" s="2561"/>
      <c r="R100" s="2559"/>
    </row>
    <row r="101" spans="2:18" ht="24.6" thickTop="1" thickBot="1" x14ac:dyDescent="0.5">
      <c r="B101" s="2562" t="s">
        <v>592</v>
      </c>
      <c r="C101" s="2563">
        <f t="shared" ref="C101:I101" si="14">SUM(C71:C100)</f>
        <v>65</v>
      </c>
      <c r="D101" s="2563">
        <f t="shared" si="14"/>
        <v>0</v>
      </c>
      <c r="E101" s="2563">
        <f t="shared" si="14"/>
        <v>0</v>
      </c>
      <c r="F101" s="2563">
        <f t="shared" si="14"/>
        <v>90</v>
      </c>
      <c r="G101" s="2563">
        <f t="shared" si="14"/>
        <v>0</v>
      </c>
      <c r="H101" s="2563">
        <f t="shared" si="14"/>
        <v>21</v>
      </c>
      <c r="I101" s="2580">
        <f t="shared" si="14"/>
        <v>176</v>
      </c>
      <c r="J101" s="2575"/>
      <c r="K101" s="2581"/>
      <c r="L101" s="2582"/>
      <c r="M101" s="2582"/>
      <c r="N101" s="2569"/>
      <c r="O101" s="2570">
        <f>SUM(O71:O100)</f>
        <v>176</v>
      </c>
      <c r="P101" s="2563"/>
      <c r="Q101" s="2571"/>
      <c r="R101" s="2572"/>
    </row>
  </sheetData>
  <sortState xmlns:xlrd2="http://schemas.microsoft.com/office/spreadsheetml/2017/richdata2" ref="B71:R100">
    <sortCondition ref="M71:M100"/>
  </sortState>
  <mergeCells count="1">
    <mergeCell ref="J2:M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77DA7-488F-4FFC-91D8-4B25A36F10FB}">
  <dimension ref="B1:K26"/>
  <sheetViews>
    <sheetView zoomScale="120" zoomScaleNormal="120" workbookViewId="0">
      <selection activeCell="D5" sqref="D5"/>
    </sheetView>
  </sheetViews>
  <sheetFormatPr defaultRowHeight="14.4" x14ac:dyDescent="0.3"/>
  <cols>
    <col min="2" max="2" width="19.88671875" bestFit="1" customWidth="1"/>
    <col min="3" max="3" width="19.88671875" customWidth="1"/>
    <col min="4" max="8" width="11.44140625" bestFit="1" customWidth="1"/>
    <col min="9" max="10" width="11.33203125" bestFit="1" customWidth="1"/>
    <col min="11" max="11" width="13.109375" bestFit="1" customWidth="1"/>
  </cols>
  <sheetData>
    <row r="1" spans="2:11" ht="15" thickBot="1" x14ac:dyDescent="0.35"/>
    <row r="2" spans="2:11" x14ac:dyDescent="0.3">
      <c r="B2" s="1052" t="s">
        <v>356</v>
      </c>
      <c r="C2" s="1938"/>
      <c r="D2" s="2720" t="s">
        <v>291</v>
      </c>
      <c r="E2" s="1939"/>
      <c r="F2" s="2720" t="s">
        <v>291</v>
      </c>
      <c r="G2" s="1940"/>
      <c r="H2" s="2720" t="s">
        <v>291</v>
      </c>
      <c r="I2" s="1940"/>
      <c r="J2" s="1941"/>
      <c r="K2" s="1037"/>
    </row>
    <row r="3" spans="2:11" ht="15" thickBot="1" x14ac:dyDescent="0.35">
      <c r="B3" s="1040"/>
      <c r="C3" s="1942"/>
      <c r="D3" s="2719"/>
      <c r="E3" s="1943"/>
      <c r="F3" s="2719"/>
      <c r="G3" s="1943"/>
      <c r="H3" s="2719"/>
      <c r="I3" s="1943"/>
      <c r="J3" s="1944"/>
      <c r="K3" s="1038"/>
    </row>
    <row r="4" spans="2:11" ht="15" thickBot="1" x14ac:dyDescent="0.35">
      <c r="B4" s="1041" t="s">
        <v>283</v>
      </c>
      <c r="C4" s="1945" t="s">
        <v>44</v>
      </c>
      <c r="D4" s="1054" t="s">
        <v>38</v>
      </c>
      <c r="E4" s="1057" t="s">
        <v>45</v>
      </c>
      <c r="F4" s="1054" t="s">
        <v>40</v>
      </c>
      <c r="G4" s="1057" t="s">
        <v>41</v>
      </c>
      <c r="H4" s="1054" t="s">
        <v>42</v>
      </c>
      <c r="I4" s="1053" t="s">
        <v>43</v>
      </c>
      <c r="J4" s="1946" t="s">
        <v>44</v>
      </c>
      <c r="K4" s="1038"/>
    </row>
    <row r="5" spans="2:11" x14ac:dyDescent="0.3">
      <c r="B5" s="1042" t="s">
        <v>284</v>
      </c>
      <c r="C5" s="1048">
        <v>0</v>
      </c>
      <c r="D5" s="1055">
        <f>'Porta Wk 34 '!B18</f>
        <v>30000</v>
      </c>
      <c r="E5" s="1055">
        <f>'Porta Wk 34 '!C18</f>
        <v>27000</v>
      </c>
      <c r="F5" s="1055">
        <f>'Porta Wk 34 '!D18</f>
        <v>30000</v>
      </c>
      <c r="G5" s="1055">
        <f>'Porta Wk 34 '!E18</f>
        <v>30000</v>
      </c>
      <c r="H5" s="1055">
        <f>'Porta Wk 34 '!F18</f>
        <v>30000</v>
      </c>
      <c r="I5" s="1055">
        <f>'Porta Wk 34 '!G18</f>
        <v>30000</v>
      </c>
      <c r="J5" s="1055">
        <f>'Porta Wk 34 '!H18</f>
        <v>30000</v>
      </c>
      <c r="K5" s="1039">
        <f>SUM(C5:J5)</f>
        <v>207000</v>
      </c>
    </row>
    <row r="6" spans="2:11" x14ac:dyDescent="0.3">
      <c r="B6" s="1043" t="s">
        <v>285</v>
      </c>
      <c r="C6" s="1050">
        <v>0</v>
      </c>
      <c r="D6" s="1050">
        <f>'Lionshead Wk 34'!D18</f>
        <v>60000</v>
      </c>
      <c r="E6" s="1050">
        <f>'Lionshead Wk 34'!E18</f>
        <v>0</v>
      </c>
      <c r="F6" s="1050">
        <f>'Lionshead Wk 34'!F18</f>
        <v>60000</v>
      </c>
      <c r="G6" s="1050">
        <f>'Lionshead Wk 34'!G18</f>
        <v>0</v>
      </c>
      <c r="H6" s="1050">
        <f>'Lionshead Wk 34'!H18</f>
        <v>0</v>
      </c>
      <c r="I6" s="1050">
        <v>0</v>
      </c>
      <c r="J6" s="1050">
        <v>0</v>
      </c>
      <c r="K6" s="1039">
        <f t="shared" ref="K6:K10" si="0">SUM(C6:J6)</f>
        <v>120000</v>
      </c>
    </row>
    <row r="7" spans="2:11" x14ac:dyDescent="0.3">
      <c r="B7" s="1043" t="s">
        <v>286</v>
      </c>
      <c r="C7" s="1056">
        <f>'Grasmere Wk 34'!B18</f>
        <v>85000</v>
      </c>
      <c r="D7" s="1056">
        <f>'Grasmere Wk 34'!C18</f>
        <v>71000</v>
      </c>
      <c r="E7" s="1056">
        <f>'Grasmere Wk 34'!D18</f>
        <v>35000</v>
      </c>
      <c r="F7" s="1056">
        <f>'Grasmere Wk 34'!E18</f>
        <v>55000</v>
      </c>
      <c r="G7" s="1056">
        <f>'Grasmere Wk 34'!F18</f>
        <v>61000</v>
      </c>
      <c r="H7" s="1056">
        <f>'Grasmere Wk 34'!G18</f>
        <v>4000</v>
      </c>
      <c r="I7" s="1056">
        <f>'Grasmere Wk 34'!H18</f>
        <v>0</v>
      </c>
      <c r="J7" s="1056">
        <f>'Grasmere Wk 34'!I18</f>
        <v>0</v>
      </c>
      <c r="K7" s="1039">
        <f t="shared" si="0"/>
        <v>311000</v>
      </c>
    </row>
    <row r="8" spans="2:11" x14ac:dyDescent="0.3">
      <c r="B8" s="1043" t="s">
        <v>287</v>
      </c>
      <c r="C8" s="1056">
        <f>'Multiplier Wk 34'!B18</f>
        <v>13000</v>
      </c>
      <c r="D8" s="1056">
        <f>'Multiplier Wk 34'!C18</f>
        <v>13000</v>
      </c>
      <c r="E8" s="1056">
        <f>'Multiplier Wk 34'!D18</f>
        <v>16000</v>
      </c>
      <c r="F8" s="1056">
        <f>'Multiplier Wk 34'!E18</f>
        <v>13000</v>
      </c>
      <c r="G8" s="1056">
        <f>'Multiplier Wk 34'!F18</f>
        <v>10000</v>
      </c>
      <c r="H8" s="1056">
        <f>'Multiplier Wk 34'!G18</f>
        <v>0</v>
      </c>
      <c r="I8" s="1056">
        <f>'Multiplier Wk 34'!H18</f>
        <v>11000</v>
      </c>
      <c r="J8" s="1056">
        <f>'Multiplier Wk 34'!I18</f>
        <v>0</v>
      </c>
      <c r="K8" s="1039">
        <f t="shared" si="0"/>
        <v>76000</v>
      </c>
    </row>
    <row r="9" spans="2:11" x14ac:dyDescent="0.3">
      <c r="B9" s="1043" t="s">
        <v>288</v>
      </c>
      <c r="C9" s="1056">
        <f>'Learig Wk 34'!B18</f>
        <v>0</v>
      </c>
      <c r="D9" s="1056">
        <f>'Learig Wk 34'!C18</f>
        <v>30000</v>
      </c>
      <c r="E9" s="1056">
        <f>'Learig Wk 34'!D18</f>
        <v>30000</v>
      </c>
      <c r="F9" s="1056">
        <f>'Learig Wk 34'!E18</f>
        <v>30000</v>
      </c>
      <c r="G9" s="1056">
        <f>'Learig Wk 34'!F18</f>
        <v>0</v>
      </c>
      <c r="H9" s="1056">
        <f>'Learig Wk 34'!G18</f>
        <v>0</v>
      </c>
      <c r="I9" s="1056">
        <f>'Learig Wk 34'!H18</f>
        <v>0</v>
      </c>
      <c r="J9" s="1056">
        <f>'Learig Wk 34'!I18</f>
        <v>0</v>
      </c>
      <c r="K9" s="1039">
        <f t="shared" si="0"/>
        <v>90000</v>
      </c>
    </row>
    <row r="10" spans="2:11" ht="15" thickBot="1" x14ac:dyDescent="0.35">
      <c r="B10" s="1044" t="s">
        <v>289</v>
      </c>
      <c r="C10" s="1056">
        <f>'Richlands Wk 34'!B18</f>
        <v>30000</v>
      </c>
      <c r="D10" s="1056">
        <f>'Richlands Wk 34'!C18</f>
        <v>30000</v>
      </c>
      <c r="E10" s="1056">
        <f>'Richlands Wk 34'!D18</f>
        <v>60000</v>
      </c>
      <c r="F10" s="1056">
        <f>'Richlands Wk 34'!E18</f>
        <v>30000</v>
      </c>
      <c r="G10" s="1056">
        <f>'Richlands Wk 34'!F18</f>
        <v>0</v>
      </c>
      <c r="H10" s="1056">
        <f>'Richlands Wk 34'!G18</f>
        <v>0</v>
      </c>
      <c r="I10" s="1056">
        <f>'Richlands Wk 34'!H18</f>
        <v>0</v>
      </c>
      <c r="J10" s="1056">
        <f>'Richlands Wk 34'!I18</f>
        <v>0</v>
      </c>
      <c r="K10" s="1039">
        <f t="shared" si="0"/>
        <v>150000</v>
      </c>
    </row>
    <row r="11" spans="2:11" ht="15" thickBot="1" x14ac:dyDescent="0.35">
      <c r="B11" s="1045" t="s">
        <v>261</v>
      </c>
      <c r="C11" s="1947">
        <f>SUM(C5:C10)</f>
        <v>128000</v>
      </c>
      <c r="D11" s="1937">
        <f t="shared" ref="D11:J11" si="1">SUM(D5:D10)</f>
        <v>234000</v>
      </c>
      <c r="E11" s="1937">
        <f t="shared" si="1"/>
        <v>168000</v>
      </c>
      <c r="F11" s="1937">
        <f t="shared" si="1"/>
        <v>218000</v>
      </c>
      <c r="G11" s="1937">
        <f t="shared" si="1"/>
        <v>101000</v>
      </c>
      <c r="H11" s="1937">
        <f t="shared" si="1"/>
        <v>34000</v>
      </c>
      <c r="I11" s="1937">
        <f t="shared" si="1"/>
        <v>41000</v>
      </c>
      <c r="J11" s="1948">
        <f t="shared" si="1"/>
        <v>30000</v>
      </c>
      <c r="K11" s="1039">
        <f>SUM(C11:J11)</f>
        <v>954000</v>
      </c>
    </row>
    <row r="12" spans="2:11" ht="15" thickBot="1" x14ac:dyDescent="0.35">
      <c r="B12" s="1046" t="s">
        <v>290</v>
      </c>
      <c r="C12" s="1952">
        <v>180000</v>
      </c>
      <c r="D12" s="1949">
        <v>180000</v>
      </c>
      <c r="E12" s="1949">
        <v>180000</v>
      </c>
      <c r="F12" s="1949">
        <v>180000</v>
      </c>
      <c r="G12" s="1949">
        <v>180000</v>
      </c>
      <c r="H12" s="1949"/>
      <c r="I12" s="1950">
        <v>40000</v>
      </c>
      <c r="J12" s="1951">
        <v>40000</v>
      </c>
      <c r="K12" s="1063">
        <f>SUM(C12:J12)</f>
        <v>980000</v>
      </c>
    </row>
    <row r="13" spans="2:11" ht="15" thickBot="1" x14ac:dyDescent="0.35"/>
    <row r="14" spans="2:11" ht="15" thickBot="1" x14ac:dyDescent="0.35">
      <c r="B14" s="1034" t="s">
        <v>357</v>
      </c>
      <c r="C14" s="1034"/>
      <c r="D14" s="1034"/>
      <c r="E14" s="1035"/>
      <c r="F14" s="1035"/>
      <c r="G14" s="1035"/>
      <c r="H14" s="1035"/>
      <c r="I14" s="1035"/>
      <c r="J14" s="1036"/>
      <c r="K14" s="1037"/>
    </row>
    <row r="15" spans="2:11" ht="15" thickBot="1" x14ac:dyDescent="0.35">
      <c r="B15" s="1028" t="s">
        <v>283</v>
      </c>
      <c r="C15" s="1028" t="s">
        <v>44</v>
      </c>
      <c r="D15" s="1064" t="s">
        <v>38</v>
      </c>
      <c r="E15" s="1029" t="s">
        <v>45</v>
      </c>
      <c r="F15" s="1029" t="s">
        <v>40</v>
      </c>
      <c r="G15" s="1029" t="s">
        <v>41</v>
      </c>
      <c r="H15" s="1029" t="s">
        <v>42</v>
      </c>
      <c r="I15" s="1029" t="s">
        <v>43</v>
      </c>
      <c r="J15" s="1030" t="s">
        <v>44</v>
      </c>
      <c r="K15" s="1038"/>
    </row>
    <row r="16" spans="2:11" x14ac:dyDescent="0.3">
      <c r="B16" s="1031" t="s">
        <v>284</v>
      </c>
      <c r="C16" s="1047">
        <f>'Porta Wk 34 '!B19</f>
        <v>30000</v>
      </c>
      <c r="D16" s="1047">
        <f>'Porta Wk 34 '!C19</f>
        <v>30000</v>
      </c>
      <c r="E16" s="1047">
        <f>'Porta Wk 34 '!D19</f>
        <v>30000</v>
      </c>
      <c r="F16" s="1047">
        <f>'Porta Wk 34 '!E19</f>
        <v>30000</v>
      </c>
      <c r="G16" s="1047">
        <f>'Porta Wk 34 '!F19</f>
        <v>30000</v>
      </c>
      <c r="H16" s="1047">
        <f>'Porta Wk 34 '!G19</f>
        <v>30000</v>
      </c>
      <c r="I16" s="1047">
        <f>'Porta Wk 34 '!H19</f>
        <v>30000</v>
      </c>
      <c r="J16" s="1047">
        <f>'Porta Wk 34 '!I19</f>
        <v>210000</v>
      </c>
      <c r="K16" s="1039">
        <f>SUM(C16:J16)</f>
        <v>420000</v>
      </c>
    </row>
    <row r="17" spans="2:11" x14ac:dyDescent="0.3">
      <c r="B17" s="1032" t="s">
        <v>285</v>
      </c>
      <c r="C17" s="1049">
        <f>'Lionshead Wk 34'!B19</f>
        <v>0</v>
      </c>
      <c r="D17" s="1049">
        <f>'Lionshead Wk 34'!C19</f>
        <v>60000</v>
      </c>
      <c r="E17" s="1049">
        <f>'Lionshead Wk 34'!D19</f>
        <v>0</v>
      </c>
      <c r="F17" s="1049">
        <f>'Lionshead Wk 34'!E19</f>
        <v>0</v>
      </c>
      <c r="G17" s="1049">
        <f>'Lionshead Wk 34'!F19</f>
        <v>60000</v>
      </c>
      <c r="H17" s="1049">
        <f>'Lionshead Wk 34'!G19</f>
        <v>0</v>
      </c>
      <c r="I17" s="1049">
        <f>'Lionshead Wk 34'!H19</f>
        <v>0</v>
      </c>
      <c r="J17" s="1049">
        <f>'Lionshead Wk 34'!I19</f>
        <v>0</v>
      </c>
      <c r="K17" s="1039">
        <f t="shared" ref="K17:K21" si="2">SUM(C17:J17)</f>
        <v>120000</v>
      </c>
    </row>
    <row r="18" spans="2:11" x14ac:dyDescent="0.3">
      <c r="B18" s="1032" t="s">
        <v>286</v>
      </c>
      <c r="C18" s="1049">
        <f>'Grasmere Wk 34'!B19</f>
        <v>60000</v>
      </c>
      <c r="D18" s="1049">
        <f>'Grasmere Wk 34'!C19</f>
        <v>90000</v>
      </c>
      <c r="E18" s="1049">
        <f>'Grasmere Wk 34'!D19</f>
        <v>70000</v>
      </c>
      <c r="F18" s="1049">
        <f>'Grasmere Wk 34'!E19</f>
        <v>80000</v>
      </c>
      <c r="G18" s="1049">
        <f>'Grasmere Wk 34'!F19</f>
        <v>70000</v>
      </c>
      <c r="H18" s="1049">
        <f>'Grasmere Wk 34'!G19</f>
        <v>0</v>
      </c>
      <c r="I18" s="1049">
        <f>'Grasmere Wk 34'!H19</f>
        <v>0</v>
      </c>
      <c r="J18" s="1049">
        <f>'Grasmere Wk 34'!I19</f>
        <v>0</v>
      </c>
      <c r="K18" s="1039">
        <f t="shared" si="2"/>
        <v>370000</v>
      </c>
    </row>
    <row r="19" spans="2:11" x14ac:dyDescent="0.3">
      <c r="B19" s="1032" t="s">
        <v>287</v>
      </c>
      <c r="C19" s="1049">
        <f>'Multiplier Wk 34'!B19</f>
        <v>10000</v>
      </c>
      <c r="D19" s="1049">
        <f>'Multiplier Wk 34'!C19</f>
        <v>10000</v>
      </c>
      <c r="E19" s="1049">
        <f>'Multiplier Wk 34'!D19</f>
        <v>10000</v>
      </c>
      <c r="F19" s="1049">
        <f>'Multiplier Wk 34'!E19</f>
        <v>10000</v>
      </c>
      <c r="G19" s="1049">
        <f>'Multiplier Wk 34'!F19</f>
        <v>10000</v>
      </c>
      <c r="H19" s="1049">
        <f>'Multiplier Wk 34'!G19</f>
        <v>0</v>
      </c>
      <c r="I19" s="1049">
        <f>'Multiplier Wk 34'!H19</f>
        <v>10000</v>
      </c>
      <c r="J19" s="1049">
        <f>'Multiplier Wk 34'!I19</f>
        <v>10000</v>
      </c>
      <c r="K19" s="1039">
        <f t="shared" si="2"/>
        <v>70000</v>
      </c>
    </row>
    <row r="20" spans="2:11" x14ac:dyDescent="0.3">
      <c r="B20" s="1032" t="s">
        <v>288</v>
      </c>
      <c r="C20" s="1049">
        <f>'Learig Wk 34'!B19</f>
        <v>0</v>
      </c>
      <c r="D20" s="1049">
        <f>'Learig Wk 34'!C19</f>
        <v>30000</v>
      </c>
      <c r="E20" s="1049">
        <f>'Learig Wk 34'!D19</f>
        <v>40000</v>
      </c>
      <c r="F20" s="1049">
        <f>'Learig Wk 34'!E19</f>
        <v>30000</v>
      </c>
      <c r="G20" s="1049">
        <f>'Learig Wk 34'!F19</f>
        <v>0</v>
      </c>
      <c r="H20" s="1049">
        <f>'Learig Wk 34'!G19</f>
        <v>0</v>
      </c>
      <c r="I20" s="1049">
        <f>'Learig Wk 34'!H19</f>
        <v>0</v>
      </c>
      <c r="J20" s="1049">
        <f>'Learig Wk 34'!I19</f>
        <v>0</v>
      </c>
      <c r="K20" s="1039">
        <f>SUM(C20:J20)</f>
        <v>100000</v>
      </c>
    </row>
    <row r="21" spans="2:11" ht="15" thickBot="1" x14ac:dyDescent="0.35">
      <c r="B21" s="1033" t="s">
        <v>289</v>
      </c>
      <c r="C21" s="1051">
        <f>'Richlands Wk 34'!B19</f>
        <v>30000</v>
      </c>
      <c r="D21" s="1051">
        <f>'Richlands Wk 34'!C19</f>
        <v>30000</v>
      </c>
      <c r="E21" s="1051">
        <f>'Richlands Wk 34'!D19</f>
        <v>60000</v>
      </c>
      <c r="F21" s="1051">
        <f>'Richlands Wk 34'!E19</f>
        <v>30000</v>
      </c>
      <c r="G21" s="1051">
        <f>'Richlands Wk 34'!F19</f>
        <v>0</v>
      </c>
      <c r="H21" s="1051">
        <f>'Richlands Wk 34'!G19</f>
        <v>0</v>
      </c>
      <c r="I21" s="1051">
        <f>'Richlands Wk 34'!H19</f>
        <v>0</v>
      </c>
      <c r="J21" s="1051">
        <f>'Richlands Wk 34'!I19</f>
        <v>0</v>
      </c>
      <c r="K21" s="1039">
        <f t="shared" si="2"/>
        <v>150000</v>
      </c>
    </row>
    <row r="22" spans="2:11" ht="15" thickBot="1" x14ac:dyDescent="0.35">
      <c r="B22" s="1065" t="s">
        <v>261</v>
      </c>
      <c r="C22" s="1058">
        <f t="shared" ref="C22:J22" si="3">SUM(C16:C21)</f>
        <v>130000</v>
      </c>
      <c r="D22" s="1058">
        <f t="shared" si="3"/>
        <v>250000</v>
      </c>
      <c r="E22" s="1059">
        <f t="shared" si="3"/>
        <v>210000</v>
      </c>
      <c r="F22" s="1059">
        <f t="shared" si="3"/>
        <v>180000</v>
      </c>
      <c r="G22" s="1059">
        <f t="shared" si="3"/>
        <v>170000</v>
      </c>
      <c r="H22" s="1059"/>
      <c r="I22" s="1059">
        <f t="shared" si="3"/>
        <v>40000</v>
      </c>
      <c r="J22" s="1060">
        <f t="shared" si="3"/>
        <v>220000</v>
      </c>
      <c r="K22" s="1039">
        <f>SUM(C22:J22)</f>
        <v>1200000</v>
      </c>
    </row>
    <row r="23" spans="2:11" ht="15" thickBot="1" x14ac:dyDescent="0.35">
      <c r="B23" s="1028" t="s">
        <v>290</v>
      </c>
      <c r="C23" s="1061">
        <v>180000</v>
      </c>
      <c r="D23" s="1061">
        <v>180000</v>
      </c>
      <c r="E23" s="1062">
        <v>180000</v>
      </c>
      <c r="F23" s="1062">
        <v>180000</v>
      </c>
      <c r="G23" s="1062">
        <v>180000</v>
      </c>
      <c r="H23" s="1062"/>
      <c r="I23" s="1062">
        <v>40000</v>
      </c>
      <c r="J23" s="1062">
        <v>40000</v>
      </c>
      <c r="K23" s="1063">
        <f>SUM(C23:J23)</f>
        <v>980000</v>
      </c>
    </row>
    <row r="24" spans="2:11" x14ac:dyDescent="0.3">
      <c r="K24" s="1066"/>
    </row>
    <row r="25" spans="2:11" x14ac:dyDescent="0.3">
      <c r="D25" s="1066"/>
    </row>
    <row r="26" spans="2:11" x14ac:dyDescent="0.3">
      <c r="D26" s="1066"/>
    </row>
  </sheetData>
  <mergeCells count="3">
    <mergeCell ref="D2:D3"/>
    <mergeCell ref="F2:F3"/>
    <mergeCell ref="H2:H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621C3-5EC6-4F0E-AD6C-11EE4E5D2F09}">
  <dimension ref="A1:BN140"/>
  <sheetViews>
    <sheetView zoomScale="70" zoomScaleNormal="70" workbookViewId="0">
      <selection activeCell="K28" sqref="K28"/>
    </sheetView>
  </sheetViews>
  <sheetFormatPr defaultRowHeight="14.4" x14ac:dyDescent="0.3"/>
  <cols>
    <col min="1" max="1" width="33.33203125" customWidth="1"/>
    <col min="2" max="2" width="19.6640625" customWidth="1"/>
    <col min="3" max="3" width="36.109375" customWidth="1"/>
    <col min="4" max="4" width="20.109375" customWidth="1"/>
    <col min="5" max="5" width="19.6640625" customWidth="1"/>
    <col min="6" max="6" width="23.109375" customWidth="1"/>
    <col min="7" max="7" width="18.33203125" customWidth="1"/>
    <col min="8" max="8" width="18.109375" customWidth="1"/>
    <col min="9" max="9" width="26.5546875" customWidth="1"/>
    <col min="10" max="10" width="15.5546875" customWidth="1"/>
    <col min="11" max="11" width="19.88671875" customWidth="1"/>
    <col min="12" max="12" width="21" customWidth="1"/>
    <col min="13" max="13" width="15" customWidth="1"/>
    <col min="14" max="14" width="15.6640625" customWidth="1"/>
    <col min="15" max="15" width="13.109375" customWidth="1"/>
    <col min="16" max="16" width="12.44140625" bestFit="1" customWidth="1"/>
    <col min="17" max="17" width="14.6640625" customWidth="1"/>
    <col min="18" max="18" width="12.44140625" customWidth="1"/>
    <col min="19" max="19" width="14.6640625" customWidth="1"/>
    <col min="20" max="20" width="19.44140625" customWidth="1"/>
    <col min="21" max="21" width="13.33203125" bestFit="1" customWidth="1"/>
    <col min="22" max="22" width="15.5546875" bestFit="1" customWidth="1"/>
    <col min="23" max="23" width="12.6640625" bestFit="1" customWidth="1"/>
    <col min="24" max="24" width="18.44140625" customWidth="1"/>
    <col min="25" max="25" width="15.109375" customWidth="1"/>
    <col min="26" max="26" width="18.109375" customWidth="1"/>
    <col min="27" max="27" width="15.88671875" customWidth="1"/>
    <col min="28" max="28" width="16.33203125" customWidth="1"/>
    <col min="29" max="30" width="15.5546875" customWidth="1"/>
    <col min="31" max="31" width="14.109375" customWidth="1"/>
    <col min="32" max="32" width="16.5546875" customWidth="1"/>
    <col min="33" max="33" width="16.6640625" customWidth="1"/>
    <col min="34" max="34" width="22" customWidth="1"/>
    <col min="35" max="36" width="16" customWidth="1"/>
    <col min="37" max="37" width="15.44140625" customWidth="1"/>
    <col min="38" max="38" width="23.44140625" customWidth="1"/>
    <col min="39" max="39" width="13.33203125" bestFit="1" customWidth="1"/>
    <col min="40" max="40" width="15.44140625" bestFit="1" customWidth="1"/>
    <col min="41" max="43" width="14.33203125" customWidth="1"/>
    <col min="44" max="44" width="15.44140625" bestFit="1" customWidth="1"/>
    <col min="45" max="45" width="14.6640625" bestFit="1" customWidth="1"/>
    <col min="46" max="46" width="13.33203125" bestFit="1" customWidth="1"/>
    <col min="47" max="48" width="14.88671875" customWidth="1"/>
    <col min="49" max="49" width="18" customWidth="1"/>
    <col min="50" max="50" width="14.6640625" customWidth="1"/>
    <col min="51" max="51" width="19.44140625" customWidth="1"/>
    <col min="52" max="52" width="17.6640625" customWidth="1"/>
    <col min="53" max="54" width="17.88671875" customWidth="1"/>
    <col min="55" max="55" width="17.88671875" bestFit="1" customWidth="1"/>
    <col min="56" max="56" width="19.6640625" customWidth="1"/>
    <col min="57" max="57" width="22.5546875" customWidth="1"/>
    <col min="58" max="58" width="29.33203125" customWidth="1"/>
    <col min="59" max="60" width="15.109375" customWidth="1"/>
    <col min="61" max="61" width="13.44140625" customWidth="1"/>
    <col min="62" max="62" width="22.109375" customWidth="1"/>
    <col min="63" max="63" width="17.109375" customWidth="1"/>
    <col min="64" max="64" width="26.33203125" customWidth="1"/>
  </cols>
  <sheetData>
    <row r="1" spans="1:66" ht="16.2" thickBot="1" x14ac:dyDescent="0.35">
      <c r="A1" s="2" t="s">
        <v>0</v>
      </c>
      <c r="B1" s="3"/>
      <c r="C1" s="4"/>
      <c r="D1" s="5"/>
      <c r="E1" s="1"/>
      <c r="F1" s="1"/>
      <c r="G1" s="1"/>
      <c r="H1" s="1"/>
      <c r="I1" s="1"/>
      <c r="J1" s="1"/>
      <c r="K1" s="2" t="s">
        <v>1</v>
      </c>
      <c r="L1" s="6"/>
      <c r="M1" s="4"/>
      <c r="N1" s="5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7"/>
    </row>
    <row r="2" spans="1:66" ht="15" thickBot="1" x14ac:dyDescent="0.35">
      <c r="A2" s="8" t="s">
        <v>2</v>
      </c>
      <c r="B2" s="9" t="s">
        <v>3</v>
      </c>
      <c r="C2" s="9" t="s">
        <v>4</v>
      </c>
      <c r="D2" s="9" t="s">
        <v>5</v>
      </c>
      <c r="E2" s="10" t="s">
        <v>6</v>
      </c>
      <c r="F2" s="10" t="s">
        <v>7</v>
      </c>
      <c r="G2" s="11" t="s">
        <v>8</v>
      </c>
      <c r="H2" s="11" t="s">
        <v>9</v>
      </c>
      <c r="I2" s="12"/>
      <c r="J2" s="12"/>
      <c r="K2" s="13" t="s">
        <v>2</v>
      </c>
      <c r="L2" s="14" t="s">
        <v>3</v>
      </c>
      <c r="M2" s="10" t="s">
        <v>4</v>
      </c>
      <c r="N2" s="10" t="s">
        <v>5</v>
      </c>
      <c r="O2" s="10" t="s">
        <v>6</v>
      </c>
      <c r="P2" s="10" t="s">
        <v>7</v>
      </c>
      <c r="Q2" s="15" t="s">
        <v>8</v>
      </c>
      <c r="R2" s="11" t="s">
        <v>9</v>
      </c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7"/>
    </row>
    <row r="3" spans="1:66" x14ac:dyDescent="0.3">
      <c r="A3" s="16" t="s">
        <v>10</v>
      </c>
      <c r="B3" s="17">
        <f>SUM(T85:T90)</f>
        <v>0</v>
      </c>
      <c r="C3" s="17">
        <f>SUM(Z85:Z90)</f>
        <v>0</v>
      </c>
      <c r="D3" s="17">
        <f>SUM(AF85:AF90)</f>
        <v>0</v>
      </c>
      <c r="E3" s="18">
        <f>SUM(AL85:AL90)</f>
        <v>0</v>
      </c>
      <c r="F3" s="19">
        <f>SUM(AR85:AR90)</f>
        <v>0</v>
      </c>
      <c r="G3" s="19">
        <f>SUM(BD85:BD90)</f>
        <v>0</v>
      </c>
      <c r="H3" s="19">
        <v>0</v>
      </c>
      <c r="I3" s="12"/>
      <c r="J3" s="12"/>
      <c r="K3" s="20" t="s">
        <v>11</v>
      </c>
      <c r="L3" s="21">
        <f>SUM(T28:T41)</f>
        <v>3000</v>
      </c>
      <c r="M3" s="21">
        <f>SUM(Z28:Z41)</f>
        <v>0</v>
      </c>
      <c r="N3" s="22">
        <f>SUM(AF28:AF41)</f>
        <v>0</v>
      </c>
      <c r="O3" s="22">
        <f>SUM(AL28:AL41)</f>
        <v>3000</v>
      </c>
      <c r="P3" s="22">
        <f>SUM(AR28:AR41)</f>
        <v>6000</v>
      </c>
      <c r="Q3" s="23">
        <f>SUM(AX28:AX41)</f>
        <v>0</v>
      </c>
      <c r="R3" s="24">
        <f>SUM(BD28:BD41)</f>
        <v>0</v>
      </c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7"/>
    </row>
    <row r="4" spans="1:66" x14ac:dyDescent="0.3">
      <c r="A4" s="25" t="s">
        <v>12</v>
      </c>
      <c r="B4" s="22">
        <f>SUM(U85:U90)</f>
        <v>0</v>
      </c>
      <c r="C4" s="26">
        <f>SUM(AA85:AA90)</f>
        <v>0</v>
      </c>
      <c r="D4" s="23">
        <f>SUM(AG85:AG90)</f>
        <v>3000</v>
      </c>
      <c r="E4" s="27">
        <f>SUM(AM85:AM90)</f>
        <v>0</v>
      </c>
      <c r="F4" s="28">
        <f>SUM(AS85:AS90)</f>
        <v>0</v>
      </c>
      <c r="G4" s="28">
        <v>0</v>
      </c>
      <c r="H4" s="28">
        <f>BE85+BE86+BE87+BE88+BE89+BE90</f>
        <v>0</v>
      </c>
      <c r="I4" s="1"/>
      <c r="J4" s="1"/>
      <c r="K4" s="29" t="s">
        <v>13</v>
      </c>
      <c r="L4" s="30">
        <f>V34</f>
        <v>0</v>
      </c>
      <c r="M4" s="31">
        <f>AB34</f>
        <v>3000</v>
      </c>
      <c r="N4" s="32">
        <f>AH34</f>
        <v>0</v>
      </c>
      <c r="O4" s="31">
        <f>AN34</f>
        <v>0</v>
      </c>
      <c r="P4" s="31">
        <f>AT34</f>
        <v>0</v>
      </c>
      <c r="Q4" s="33">
        <f>AZ34</f>
        <v>0</v>
      </c>
      <c r="R4" s="34">
        <f>BF34</f>
        <v>3000</v>
      </c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7"/>
    </row>
    <row r="5" spans="1:66" x14ac:dyDescent="0.3">
      <c r="A5" s="35" t="s">
        <v>14</v>
      </c>
      <c r="B5" s="32">
        <f>SUM(V85:V90)</f>
        <v>0</v>
      </c>
      <c r="C5" s="31">
        <f>SUM(AB85:AB90)</f>
        <v>3000</v>
      </c>
      <c r="D5" s="33">
        <f>SUM(AH85:AH90)</f>
        <v>0</v>
      </c>
      <c r="E5" s="34">
        <f>SUM(AN85:AN90)</f>
        <v>0</v>
      </c>
      <c r="F5" s="28">
        <f>SUM(AT85:AT90)</f>
        <v>3000</v>
      </c>
      <c r="G5" s="28">
        <f>SUM(AZ85:AZ90)</f>
        <v>3000</v>
      </c>
      <c r="H5" s="28">
        <f>BF85+BF86+BF87+BF88+BF89+BF90</f>
        <v>0</v>
      </c>
      <c r="I5" s="1"/>
      <c r="J5" s="1"/>
      <c r="K5" s="29" t="s">
        <v>15</v>
      </c>
      <c r="L5" s="30">
        <f>SUM(U28:U41)</f>
        <v>0</v>
      </c>
      <c r="M5" s="31">
        <f>SUM(AA28:AA41)</f>
        <v>3000</v>
      </c>
      <c r="N5" s="31">
        <f>SUM(AG28:AG41)</f>
        <v>0</v>
      </c>
      <c r="O5" s="31">
        <f>SUM(AM28:AM41)</f>
        <v>0</v>
      </c>
      <c r="P5" s="31">
        <f>SUM(AS28:AS41)</f>
        <v>0</v>
      </c>
      <c r="Q5" s="33">
        <f>SUM(AY28:AY41)</f>
        <v>3000</v>
      </c>
      <c r="R5" s="34">
        <f>SUM(BE28:BE41)</f>
        <v>0</v>
      </c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7"/>
    </row>
    <row r="6" spans="1:66" ht="15" thickBot="1" x14ac:dyDescent="0.35">
      <c r="A6" s="36" t="s">
        <v>16</v>
      </c>
      <c r="B6" s="37">
        <f>SUM(W85:W90)</f>
        <v>0</v>
      </c>
      <c r="C6" s="37">
        <f>SUM(AC85:AC90)</f>
        <v>0</v>
      </c>
      <c r="D6" s="38">
        <f>SUM(AI85:AI90)</f>
        <v>3000</v>
      </c>
      <c r="E6" s="39">
        <f>SUM(AO85:AO90)</f>
        <v>0</v>
      </c>
      <c r="F6" s="40">
        <f>SUM(AU85:AU90)</f>
        <v>0</v>
      </c>
      <c r="G6" s="40">
        <f>SUM(BA85:BA90)</f>
        <v>3000</v>
      </c>
      <c r="H6" s="40">
        <f>SUM(BG85:BG90)</f>
        <v>3000</v>
      </c>
      <c r="I6" s="1"/>
      <c r="J6" s="1"/>
      <c r="K6" s="29" t="s">
        <v>17</v>
      </c>
      <c r="L6" s="41">
        <f>SUM(T47:T62)</f>
        <v>0</v>
      </c>
      <c r="M6" s="31">
        <f>SUM(Z47:Z62)</f>
        <v>0</v>
      </c>
      <c r="N6" s="31">
        <f>SUM(AF47:AF62)</f>
        <v>0</v>
      </c>
      <c r="O6" s="31">
        <f>SUM(AL47:AL62)</f>
        <v>0</v>
      </c>
      <c r="P6" s="31">
        <f>SUM(AR47:AR62)</f>
        <v>0</v>
      </c>
      <c r="Q6" s="33">
        <f>SUM(AX47:AX62)</f>
        <v>0</v>
      </c>
      <c r="R6" s="34">
        <f>SUM(BD47:BD62)</f>
        <v>0</v>
      </c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7"/>
    </row>
    <row r="7" spans="1:66" ht="15" thickBot="1" x14ac:dyDescent="0.35">
      <c r="A7" s="42" t="s">
        <v>18</v>
      </c>
      <c r="B7" s="43">
        <f t="shared" ref="B7:H7" si="0">SUM(B3:B6)</f>
        <v>0</v>
      </c>
      <c r="C7" s="44">
        <f t="shared" si="0"/>
        <v>3000</v>
      </c>
      <c r="D7" s="44">
        <f t="shared" si="0"/>
        <v>6000</v>
      </c>
      <c r="E7" s="44">
        <f t="shared" si="0"/>
        <v>0</v>
      </c>
      <c r="F7" s="44">
        <f t="shared" si="0"/>
        <v>3000</v>
      </c>
      <c r="G7" s="44">
        <f t="shared" si="0"/>
        <v>6000</v>
      </c>
      <c r="H7" s="44">
        <f t="shared" si="0"/>
        <v>3000</v>
      </c>
      <c r="I7" s="1"/>
      <c r="J7" s="1"/>
      <c r="K7" s="45" t="s">
        <v>19</v>
      </c>
      <c r="L7" s="30">
        <f>SUM(V47:V62)</f>
        <v>3000</v>
      </c>
      <c r="M7" s="46">
        <f>SUM(AB47:AB62)</f>
        <v>0</v>
      </c>
      <c r="N7" s="46">
        <f>SUM(AH47:AH62)</f>
        <v>0</v>
      </c>
      <c r="O7" s="46">
        <f>SUM(AN47:AN62)</f>
        <v>0</v>
      </c>
      <c r="P7" s="31">
        <f>SUM(AT47:AT62)</f>
        <v>0</v>
      </c>
      <c r="Q7" s="33">
        <f>SUM(AZ47:AZ62)</f>
        <v>0</v>
      </c>
      <c r="R7" s="34">
        <f>SUM(BF47:BF62)</f>
        <v>0</v>
      </c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7"/>
    </row>
    <row r="8" spans="1:66" ht="15" thickBot="1" x14ac:dyDescent="0.35">
      <c r="A8" s="47"/>
      <c r="B8" s="48"/>
      <c r="C8" s="48"/>
      <c r="D8" s="48"/>
      <c r="E8" s="48"/>
      <c r="F8" s="48"/>
      <c r="G8" s="1"/>
      <c r="H8" s="1"/>
      <c r="I8" s="1"/>
      <c r="J8" s="1"/>
      <c r="K8" s="45" t="s">
        <v>20</v>
      </c>
      <c r="L8" s="49">
        <f>SUM(U47:U62)</f>
        <v>0</v>
      </c>
      <c r="M8" s="50">
        <f>SUM(AA47:AA62)</f>
        <v>0</v>
      </c>
      <c r="N8" s="50">
        <f>SUM(AG47:AG62)</f>
        <v>0</v>
      </c>
      <c r="O8" s="50">
        <f>SUM(AM47:AM62)</f>
        <v>3000</v>
      </c>
      <c r="P8" s="50">
        <f>SUM(AS47:AS62)</f>
        <v>3000</v>
      </c>
      <c r="Q8" s="51">
        <f>SUM(AY47:AY62)</f>
        <v>0</v>
      </c>
      <c r="R8" s="52">
        <f>SUM(BE47:BE62)</f>
        <v>3000</v>
      </c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7"/>
    </row>
    <row r="9" spans="1:66" ht="15" thickBot="1" x14ac:dyDescent="0.35">
      <c r="A9" s="2736" t="s">
        <v>21</v>
      </c>
      <c r="B9" s="2737"/>
      <c r="C9" s="2737"/>
      <c r="D9" s="2738"/>
      <c r="E9" s="53"/>
      <c r="F9" s="54"/>
      <c r="G9" s="55"/>
      <c r="H9" s="55"/>
      <c r="I9" s="1"/>
      <c r="J9" s="1"/>
      <c r="K9" s="29" t="s">
        <v>309</v>
      </c>
      <c r="L9" s="56">
        <f>SUM(W28:W41)</f>
        <v>0</v>
      </c>
      <c r="M9" s="50">
        <f>SUM(AC28:AC41)</f>
        <v>0</v>
      </c>
      <c r="N9" s="50"/>
      <c r="O9" s="50">
        <f>SUM(AO28:AO41)</f>
        <v>0</v>
      </c>
      <c r="P9" s="50">
        <f>SUM(AU28:AU41)</f>
        <v>0</v>
      </c>
      <c r="Q9" s="51">
        <f>SUM(BA28:BA41)</f>
        <v>0</v>
      </c>
      <c r="R9" s="59">
        <f>SUM(BG28:BG41)</f>
        <v>0</v>
      </c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7"/>
    </row>
    <row r="10" spans="1:66" ht="15" thickBot="1" x14ac:dyDescent="0.35">
      <c r="A10" s="60" t="s">
        <v>2</v>
      </c>
      <c r="B10" s="61" t="s">
        <v>3</v>
      </c>
      <c r="C10" s="61" t="s">
        <v>4</v>
      </c>
      <c r="D10" s="61" t="s">
        <v>5</v>
      </c>
      <c r="E10" s="62" t="s">
        <v>6</v>
      </c>
      <c r="F10" s="62" t="s">
        <v>7</v>
      </c>
      <c r="G10" s="63" t="s">
        <v>8</v>
      </c>
      <c r="H10" s="63" t="s">
        <v>9</v>
      </c>
      <c r="I10" s="1"/>
      <c r="J10" s="1"/>
      <c r="K10" s="29"/>
      <c r="L10" s="49"/>
      <c r="M10" s="57"/>
      <c r="N10" s="57"/>
      <c r="O10" s="57"/>
      <c r="P10" s="57"/>
      <c r="Q10" s="58"/>
      <c r="R10" s="59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7"/>
    </row>
    <row r="11" spans="1:66" ht="15" thickBot="1" x14ac:dyDescent="0.35">
      <c r="A11" s="64" t="s">
        <v>22</v>
      </c>
      <c r="B11" s="65">
        <f>SUM(T94:T136)</f>
        <v>3000</v>
      </c>
      <c r="C11" s="66">
        <f>SUM(Z94:Z136)</f>
        <v>3000</v>
      </c>
      <c r="D11" s="66">
        <f>SUM(AF94:AF136)</f>
        <v>3000</v>
      </c>
      <c r="E11" s="66">
        <f>SUM(AL94:AL136)</f>
        <v>0</v>
      </c>
      <c r="F11" s="67">
        <f>SUM(AR94:AR136)</f>
        <v>3000</v>
      </c>
      <c r="G11" s="67">
        <f>SUM(AX94:AX136)</f>
        <v>6000</v>
      </c>
      <c r="H11" s="67">
        <f>SUM(BD94:BD136)</f>
        <v>6000</v>
      </c>
      <c r="I11" s="1"/>
      <c r="J11" s="1"/>
      <c r="K11" s="68"/>
      <c r="L11" s="49"/>
      <c r="M11" s="57"/>
      <c r="N11" s="57"/>
      <c r="O11" s="57"/>
      <c r="P11" s="57"/>
      <c r="Q11" s="69"/>
      <c r="R11" s="70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7"/>
    </row>
    <row r="12" spans="1:66" ht="15" thickBot="1" x14ac:dyDescent="0.35">
      <c r="A12" s="71" t="s">
        <v>23</v>
      </c>
      <c r="B12" s="72">
        <f>SUM(U94:U136)</f>
        <v>6000</v>
      </c>
      <c r="C12" s="73">
        <f>SUM(AA94:AA136)</f>
        <v>6000</v>
      </c>
      <c r="D12" s="74">
        <f>SUM(AG94:AG136)</f>
        <v>0</v>
      </c>
      <c r="E12" s="74">
        <f>SUM(AM94:AM136)</f>
        <v>6000</v>
      </c>
      <c r="F12" s="28">
        <f>SUM(AS94:AS136)</f>
        <v>3000</v>
      </c>
      <c r="G12" s="584">
        <f>SUM(AY94:AY136)</f>
        <v>3000</v>
      </c>
      <c r="H12" s="28">
        <f>SUM(BE94:BE136)</f>
        <v>3000</v>
      </c>
      <c r="I12" s="1"/>
      <c r="J12" s="1"/>
      <c r="K12" s="75" t="s">
        <v>18</v>
      </c>
      <c r="L12" s="44">
        <f>SUM(L3:L8)</f>
        <v>6000</v>
      </c>
      <c r="M12" s="44">
        <f t="shared" ref="M12:R12" si="1">SUM(M3:M11)</f>
        <v>6000</v>
      </c>
      <c r="N12" s="44">
        <f>SUM(N3:N11)</f>
        <v>0</v>
      </c>
      <c r="O12" s="44">
        <f t="shared" si="1"/>
        <v>6000</v>
      </c>
      <c r="P12" s="44">
        <f t="shared" si="1"/>
        <v>9000</v>
      </c>
      <c r="Q12" s="44">
        <f t="shared" si="1"/>
        <v>3000</v>
      </c>
      <c r="R12" s="44">
        <f t="shared" si="1"/>
        <v>6000</v>
      </c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7"/>
    </row>
    <row r="13" spans="1:66" ht="15" thickBot="1" x14ac:dyDescent="0.35">
      <c r="A13" s="76" t="s">
        <v>24</v>
      </c>
      <c r="B13" s="77">
        <f>SUM(V94:V136)</f>
        <v>3000</v>
      </c>
      <c r="C13" s="78">
        <f>SUM(AB94:AB136)</f>
        <v>6000</v>
      </c>
      <c r="D13" s="73">
        <f>SUM(AH94:AH136)</f>
        <v>3000</v>
      </c>
      <c r="E13" s="74">
        <f>SUM(AN94:AN136)</f>
        <v>3000</v>
      </c>
      <c r="F13" s="28">
        <f>SUM(AT94:AT136)</f>
        <v>6000</v>
      </c>
      <c r="G13" s="28">
        <f>SUM(AZ106:AZ111)</f>
        <v>0</v>
      </c>
      <c r="H13" s="28">
        <f>SUM(BF94:BF136)</f>
        <v>6000</v>
      </c>
      <c r="I13" s="1"/>
      <c r="J13" s="1"/>
      <c r="K13" s="79"/>
      <c r="L13" s="1"/>
      <c r="M13" s="1"/>
      <c r="N13" s="1"/>
      <c r="O13" s="1"/>
      <c r="P13" s="79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7"/>
    </row>
    <row r="14" spans="1:66" ht="16.2" thickBot="1" x14ac:dyDescent="0.35">
      <c r="A14" s="76" t="s">
        <v>25</v>
      </c>
      <c r="B14" s="77">
        <f>SUM(W94:W136)</f>
        <v>6000</v>
      </c>
      <c r="C14" s="78">
        <f>SUM(AC94:AC136)</f>
        <v>0</v>
      </c>
      <c r="D14" s="74">
        <f>SUM(AI94:AI136)</f>
        <v>9000</v>
      </c>
      <c r="E14" s="73">
        <f>SUM(AO94:AO136)</f>
        <v>9000</v>
      </c>
      <c r="F14" s="28">
        <f>SUM(AU94:AU136)</f>
        <v>0</v>
      </c>
      <c r="G14" s="28">
        <f>SUM(BA112:BA121)</f>
        <v>6000</v>
      </c>
      <c r="H14" s="28">
        <f>SUM(BG94:BG136)</f>
        <v>0</v>
      </c>
      <c r="I14" s="1"/>
      <c r="J14" s="1"/>
      <c r="K14" s="2" t="s">
        <v>292</v>
      </c>
      <c r="L14" s="6"/>
      <c r="M14" s="4"/>
      <c r="N14" s="5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</row>
    <row r="15" spans="1:66" ht="15" thickBot="1" x14ac:dyDescent="0.35">
      <c r="A15" s="81" t="s">
        <v>27</v>
      </c>
      <c r="B15" s="82">
        <f>SUM(X94:X136)</f>
        <v>6000</v>
      </c>
      <c r="C15" s="82">
        <f>SUM(AD94:AD136)</f>
        <v>3000</v>
      </c>
      <c r="D15" s="82">
        <f>SUM(AJ94:AJ136)</f>
        <v>9000</v>
      </c>
      <c r="E15" s="83">
        <f>SUM(AP94:AP136)</f>
        <v>6000</v>
      </c>
      <c r="F15" s="27">
        <f>SUM(AV94:AV136)</f>
        <v>6000</v>
      </c>
      <c r="G15" s="27">
        <f>SUM(BB118:BB136)</f>
        <v>6000</v>
      </c>
      <c r="H15" s="27">
        <f>SUM(BH94:BH136)</f>
        <v>6000</v>
      </c>
      <c r="I15" s="1"/>
      <c r="J15" s="1"/>
      <c r="K15" s="13" t="s">
        <v>2</v>
      </c>
      <c r="L15" s="14" t="s">
        <v>3</v>
      </c>
      <c r="M15" s="10" t="s">
        <v>4</v>
      </c>
      <c r="N15" s="10" t="s">
        <v>5</v>
      </c>
      <c r="O15" s="10" t="s">
        <v>6</v>
      </c>
      <c r="P15" s="10" t="s">
        <v>7</v>
      </c>
      <c r="Q15" s="15" t="s">
        <v>8</v>
      </c>
      <c r="R15" s="11" t="s">
        <v>9</v>
      </c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7"/>
    </row>
    <row r="16" spans="1:66" ht="15" thickBot="1" x14ac:dyDescent="0.35">
      <c r="A16" s="75" t="s">
        <v>18</v>
      </c>
      <c r="B16" s="84">
        <f t="shared" ref="B16:G16" si="2">SUM(B11:B15)</f>
        <v>24000</v>
      </c>
      <c r="C16" s="85">
        <f t="shared" si="2"/>
        <v>18000</v>
      </c>
      <c r="D16" s="86">
        <f>SUM(D11:D15)</f>
        <v>24000</v>
      </c>
      <c r="E16" s="86">
        <f t="shared" si="2"/>
        <v>24000</v>
      </c>
      <c r="F16" s="44">
        <f t="shared" si="2"/>
        <v>18000</v>
      </c>
      <c r="G16" s="44">
        <f t="shared" si="2"/>
        <v>21000</v>
      </c>
      <c r="H16" s="44">
        <f>SUM(H11:H15)</f>
        <v>21000</v>
      </c>
      <c r="I16" s="1"/>
      <c r="J16" s="1"/>
      <c r="K16" s="20" t="s">
        <v>293</v>
      </c>
      <c r="L16" s="21">
        <f>SUM(T66:T77)</f>
        <v>0</v>
      </c>
      <c r="M16" s="21">
        <f>SUM(Z66:Z77)</f>
        <v>0</v>
      </c>
      <c r="N16" s="22">
        <f>SUM(AF66:AF77)</f>
        <v>0</v>
      </c>
      <c r="O16" s="22">
        <f>SUM(AL66:AL77)</f>
        <v>0</v>
      </c>
      <c r="P16" s="22">
        <f>SUM(AR66:AR77)</f>
        <v>0</v>
      </c>
      <c r="Q16" s="23">
        <f>SUM(AX66:AX77)</f>
        <v>0</v>
      </c>
      <c r="R16" s="24">
        <f>SUM(BD66:BD77)</f>
        <v>0</v>
      </c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7"/>
    </row>
    <row r="17" spans="1:65" ht="15" thickBot="1" x14ac:dyDescent="0.35">
      <c r="A17" s="87"/>
      <c r="B17" s="88"/>
      <c r="C17" s="88"/>
      <c r="D17" s="88"/>
      <c r="E17" s="88"/>
      <c r="F17" s="89"/>
      <c r="G17" s="1"/>
      <c r="H17" s="1"/>
      <c r="I17" s="795" t="s">
        <v>281</v>
      </c>
      <c r="J17" s="1"/>
      <c r="K17" s="29" t="s">
        <v>294</v>
      </c>
      <c r="L17" s="30">
        <f>SUM(U66:U77)</f>
        <v>0</v>
      </c>
      <c r="M17" s="31">
        <f>SUM(AA66:AA77)</f>
        <v>0</v>
      </c>
      <c r="N17" s="32">
        <f>SUM(AG66:AG77)</f>
        <v>0</v>
      </c>
      <c r="O17" s="31">
        <f>SUM(AM66:AM77)</f>
        <v>0</v>
      </c>
      <c r="P17" s="22">
        <f>SUM(AS66:AS77)</f>
        <v>0</v>
      </c>
      <c r="Q17" s="23">
        <f>SUM(AY66:AY77)</f>
        <v>0</v>
      </c>
      <c r="R17" s="24">
        <f>SUM(BE66:BE77)</f>
        <v>0</v>
      </c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</row>
    <row r="18" spans="1:65" ht="15.6" thickTop="1" thickBot="1" x14ac:dyDescent="0.35">
      <c r="A18" s="1025" t="s">
        <v>26</v>
      </c>
      <c r="B18" s="2048">
        <f>B7+B16+L12</f>
        <v>30000</v>
      </c>
      <c r="C18" s="2048">
        <f t="shared" ref="C18:G18" si="3">C7+C16+M12</f>
        <v>27000</v>
      </c>
      <c r="D18" s="2048">
        <f>D7+D16+N12</f>
        <v>30000</v>
      </c>
      <c r="E18" s="2048">
        <f>E7+E16+O12+O25</f>
        <v>30000</v>
      </c>
      <c r="F18" s="2048">
        <f t="shared" si="3"/>
        <v>30000</v>
      </c>
      <c r="G18" s="2048">
        <f t="shared" si="3"/>
        <v>30000</v>
      </c>
      <c r="H18" s="2048">
        <f>H7+H16+R12</f>
        <v>30000</v>
      </c>
      <c r="I18" s="1027">
        <f>SUM(B18:H18)</f>
        <v>207000</v>
      </c>
      <c r="J18" s="1"/>
      <c r="K18" s="29" t="s">
        <v>295</v>
      </c>
      <c r="L18" s="30">
        <f>SUM(V66:V77)</f>
        <v>0</v>
      </c>
      <c r="M18" s="31">
        <f>SUM(AB66:AB77)</f>
        <v>0</v>
      </c>
      <c r="N18" s="31">
        <f>SUM(AH66:AH77)</f>
        <v>0</v>
      </c>
      <c r="O18" s="31">
        <f>SUM(AN66:AN77)</f>
        <v>0</v>
      </c>
      <c r="P18" s="22">
        <f>SUM(AT66:AT77)</f>
        <v>0</v>
      </c>
      <c r="Q18" s="33">
        <f>SUM(AZ66:AZ77)</f>
        <v>0</v>
      </c>
      <c r="R18" s="24">
        <f>SUM(BF66:BF77)</f>
        <v>0</v>
      </c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</row>
    <row r="19" spans="1:65" ht="16.8" thickTop="1" thickBot="1" x14ac:dyDescent="0.35">
      <c r="A19" s="1026" t="s">
        <v>299</v>
      </c>
      <c r="B19" s="2049">
        <v>30000</v>
      </c>
      <c r="C19" s="2049">
        <v>30000</v>
      </c>
      <c r="D19" s="2049">
        <v>30000</v>
      </c>
      <c r="E19" s="2049">
        <v>30000</v>
      </c>
      <c r="F19" s="2049">
        <v>30000</v>
      </c>
      <c r="G19" s="2050">
        <v>30000</v>
      </c>
      <c r="H19" s="2050">
        <v>30000</v>
      </c>
      <c r="I19" s="1027">
        <f>SUM(B19:H19)</f>
        <v>210000</v>
      </c>
      <c r="J19" s="94"/>
      <c r="K19" s="29" t="s">
        <v>296</v>
      </c>
      <c r="L19" s="41">
        <f>SUM(W66:W77)</f>
        <v>0</v>
      </c>
      <c r="M19" s="31">
        <f>SUM(AC66:AC77)</f>
        <v>0</v>
      </c>
      <c r="N19" s="31">
        <f>SUM(AI66:AI77)</f>
        <v>0</v>
      </c>
      <c r="O19" s="31">
        <f>SUM(AO66:AO77)</f>
        <v>0</v>
      </c>
      <c r="P19" s="22">
        <f>SUM(AU66:AU77)</f>
        <v>0</v>
      </c>
      <c r="Q19" s="33">
        <f>SUM(BA66:BA77)</f>
        <v>0</v>
      </c>
      <c r="R19" s="24">
        <f>SUM(BG66:BG77)</f>
        <v>0</v>
      </c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</row>
    <row r="20" spans="1:65" ht="16.8" thickTop="1" thickBot="1" x14ac:dyDescent="0.35">
      <c r="A20" s="1026" t="s">
        <v>355</v>
      </c>
      <c r="B20" s="2049"/>
      <c r="C20" s="2049"/>
      <c r="D20" s="2049"/>
      <c r="E20" s="2049"/>
      <c r="F20" s="2049"/>
      <c r="G20" s="2051"/>
      <c r="H20" s="2051"/>
      <c r="I20" s="1027">
        <f>I18-I19</f>
        <v>-3000</v>
      </c>
      <c r="J20" s="94"/>
      <c r="K20" s="29" t="s">
        <v>298</v>
      </c>
      <c r="L20" s="30">
        <f>SUM(X66:X77)</f>
        <v>0</v>
      </c>
      <c r="M20" s="46">
        <f>SUM(AD66:AD77)</f>
        <v>0</v>
      </c>
      <c r="N20" s="46">
        <f>SUM(AJ66:AJ77)</f>
        <v>0</v>
      </c>
      <c r="O20" s="46">
        <f>SUM(AP66:AP77)</f>
        <v>0</v>
      </c>
      <c r="P20" s="22">
        <f>SUM(AV66:AV77)</f>
        <v>0</v>
      </c>
      <c r="Q20" s="33">
        <f>SUM(BB66:BB77)</f>
        <v>0</v>
      </c>
      <c r="R20" s="24">
        <f>SUM(BH66:BH77)</f>
        <v>0</v>
      </c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</row>
    <row r="21" spans="1:65" ht="16.2" thickTop="1" x14ac:dyDescent="0.3">
      <c r="A21" s="930"/>
      <c r="B21" s="931"/>
      <c r="C21" s="931"/>
      <c r="D21" s="931"/>
      <c r="E21" s="931"/>
      <c r="F21" s="931"/>
      <c r="G21" s="932"/>
      <c r="H21" s="932"/>
      <c r="I21" s="93"/>
      <c r="J21" s="94"/>
      <c r="K21" s="29" t="s">
        <v>297</v>
      </c>
      <c r="L21" s="49">
        <f>SUM(Y66:Y77)</f>
        <v>0</v>
      </c>
      <c r="M21" s="50">
        <f>SUM(AE66:AE77)</f>
        <v>0</v>
      </c>
      <c r="N21" s="50">
        <f>SUM(AK66:AK77)</f>
        <v>0</v>
      </c>
      <c r="O21" s="50">
        <f>SUM(AQ66:AQ77)</f>
        <v>0</v>
      </c>
      <c r="P21" s="22">
        <f>SUM(AW66:AW77)</f>
        <v>0</v>
      </c>
      <c r="Q21" s="33">
        <f>SUM(BC66:BC77)</f>
        <v>0</v>
      </c>
      <c r="R21" s="24">
        <f>SUM(BI66:BI77)</f>
        <v>0</v>
      </c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</row>
    <row r="22" spans="1:65" ht="15.6" x14ac:dyDescent="0.3">
      <c r="A22" s="930"/>
      <c r="B22" s="931"/>
      <c r="C22" s="931"/>
      <c r="D22" s="931"/>
      <c r="E22" s="931"/>
      <c r="F22" s="931"/>
      <c r="G22" s="932"/>
      <c r="H22" s="932"/>
      <c r="I22" s="93"/>
      <c r="J22" s="94"/>
      <c r="K22" s="29"/>
      <c r="L22" s="56"/>
      <c r="M22" s="57"/>
      <c r="N22" s="57"/>
      <c r="O22" s="57"/>
      <c r="P22" s="57"/>
      <c r="Q22" s="58"/>
      <c r="R22" s="59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</row>
    <row r="23" spans="1:65" x14ac:dyDescent="0.3">
      <c r="A23" s="1"/>
      <c r="B23" s="1"/>
      <c r="C23" s="93"/>
      <c r="D23" s="1"/>
      <c r="E23" s="1"/>
      <c r="F23" s="1"/>
      <c r="G23" s="1"/>
      <c r="H23" s="1"/>
      <c r="I23" s="1"/>
      <c r="J23" s="94"/>
      <c r="K23" s="29"/>
      <c r="L23" s="49"/>
      <c r="M23" s="57"/>
      <c r="N23" s="57"/>
      <c r="O23" s="57"/>
      <c r="P23" s="57"/>
      <c r="Q23" s="58"/>
      <c r="R23" s="59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</row>
    <row r="24" spans="1:65" ht="15" thickBot="1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68"/>
      <c r="L24" s="49"/>
      <c r="M24" s="57"/>
      <c r="N24" s="57"/>
      <c r="O24" s="57"/>
      <c r="P24" s="57"/>
      <c r="Q24" s="69"/>
      <c r="R24" s="70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</row>
    <row r="25" spans="1:65" ht="18.600000000000001" thickBot="1" x14ac:dyDescent="0.4">
      <c r="A25" s="95"/>
      <c r="B25" s="95"/>
      <c r="C25" s="95"/>
      <c r="D25" s="95"/>
      <c r="E25" s="95"/>
      <c r="F25" s="1"/>
      <c r="G25" s="1"/>
      <c r="H25" s="1"/>
      <c r="I25" s="1"/>
      <c r="J25" s="1"/>
      <c r="K25" s="75" t="s">
        <v>18</v>
      </c>
      <c r="L25" s="44">
        <f>SUM(L16:L21)</f>
        <v>0</v>
      </c>
      <c r="M25" s="44">
        <f t="shared" ref="M25:R25" si="4">SUM(M16:M24)</f>
        <v>0</v>
      </c>
      <c r="N25" s="44">
        <f t="shared" si="4"/>
        <v>0</v>
      </c>
      <c r="O25" s="44">
        <f t="shared" si="4"/>
        <v>0</v>
      </c>
      <c r="P25" s="44">
        <f t="shared" si="4"/>
        <v>0</v>
      </c>
      <c r="Q25" s="44">
        <f t="shared" si="4"/>
        <v>0</v>
      </c>
      <c r="R25" s="44">
        <f t="shared" si="4"/>
        <v>0</v>
      </c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</row>
    <row r="26" spans="1:65" ht="16.2" thickBot="1" x14ac:dyDescent="0.35">
      <c r="A26" s="96" t="s">
        <v>28</v>
      </c>
      <c r="B26" s="4"/>
      <c r="C26" s="5"/>
      <c r="D26" s="1"/>
      <c r="E26" s="97"/>
      <c r="F26" s="98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79"/>
      <c r="V26" s="1"/>
      <c r="W26" s="1"/>
      <c r="X26" s="1"/>
      <c r="Y26" s="79"/>
      <c r="Z26" s="712"/>
      <c r="AA26" s="1"/>
      <c r="AB26" s="1"/>
      <c r="AC26" s="1"/>
      <c r="AD26" s="1"/>
      <c r="AE26" s="1"/>
      <c r="AF26" s="1"/>
      <c r="AG26" s="1"/>
      <c r="AH26" s="79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79"/>
      <c r="AZ26" s="79"/>
      <c r="BA26" s="1"/>
      <c r="BB26" s="1"/>
      <c r="BC26" s="1"/>
      <c r="BD26" s="1"/>
      <c r="BE26" s="1"/>
      <c r="BF26" s="79"/>
      <c r="BG26" s="1"/>
      <c r="BH26" s="1"/>
      <c r="BI26" s="1"/>
      <c r="BJ26" s="1"/>
      <c r="BK26" s="1"/>
      <c r="BL26" s="1"/>
      <c r="BM26" s="1"/>
    </row>
    <row r="27" spans="1:65" ht="16.8" thickTop="1" thickBot="1" x14ac:dyDescent="0.35">
      <c r="A27" s="99" t="s">
        <v>29</v>
      </c>
      <c r="B27" s="100" t="s">
        <v>30</v>
      </c>
      <c r="C27" s="101" t="s">
        <v>31</v>
      </c>
      <c r="D27" s="102" t="s">
        <v>2</v>
      </c>
      <c r="E27" s="103" t="s">
        <v>32</v>
      </c>
      <c r="F27" s="104" t="s">
        <v>33</v>
      </c>
      <c r="G27" s="105" t="s">
        <v>34</v>
      </c>
      <c r="H27" s="827" t="s">
        <v>35</v>
      </c>
      <c r="I27" s="811" t="s">
        <v>36</v>
      </c>
      <c r="J27" s="811" t="s">
        <v>37</v>
      </c>
      <c r="K27" s="103" t="s">
        <v>38</v>
      </c>
      <c r="L27" s="102" t="s">
        <v>39</v>
      </c>
      <c r="M27" s="102" t="s">
        <v>40</v>
      </c>
      <c r="N27" s="102" t="s">
        <v>41</v>
      </c>
      <c r="O27" s="102" t="s">
        <v>42</v>
      </c>
      <c r="P27" s="102" t="s">
        <v>43</v>
      </c>
      <c r="Q27" s="106" t="s">
        <v>44</v>
      </c>
      <c r="R27" s="102" t="s">
        <v>38</v>
      </c>
      <c r="S27" s="106" t="s">
        <v>45</v>
      </c>
      <c r="T27" s="2052" t="s">
        <v>46</v>
      </c>
      <c r="U27" s="2053" t="s">
        <v>47</v>
      </c>
      <c r="V27" s="2054" t="s">
        <v>48</v>
      </c>
      <c r="W27" s="2054" t="s">
        <v>308</v>
      </c>
      <c r="X27" s="2054" t="s">
        <v>3</v>
      </c>
      <c r="Y27" s="2055" t="s">
        <v>3</v>
      </c>
      <c r="Z27" s="660" t="s">
        <v>49</v>
      </c>
      <c r="AA27" s="661" t="s">
        <v>50</v>
      </c>
      <c r="AB27" s="713" t="s">
        <v>282</v>
      </c>
      <c r="AC27" s="660" t="s">
        <v>349</v>
      </c>
      <c r="AD27" s="2056"/>
      <c r="AE27" s="714" t="s">
        <v>51</v>
      </c>
      <c r="AF27" s="659" t="s">
        <v>52</v>
      </c>
      <c r="AG27" s="731" t="s">
        <v>53</v>
      </c>
      <c r="AH27" s="2057" t="s">
        <v>54</v>
      </c>
      <c r="AI27" s="2058" t="s">
        <v>350</v>
      </c>
      <c r="AJ27" s="660" t="s">
        <v>5</v>
      </c>
      <c r="AK27" s="733" t="s">
        <v>55</v>
      </c>
      <c r="AL27" s="738" t="s">
        <v>56</v>
      </c>
      <c r="AM27" s="661" t="s">
        <v>57</v>
      </c>
      <c r="AN27" s="713" t="s">
        <v>58</v>
      </c>
      <c r="AO27" s="660" t="s">
        <v>351</v>
      </c>
      <c r="AP27" s="660" t="s">
        <v>59</v>
      </c>
      <c r="AQ27" s="660" t="s">
        <v>59</v>
      </c>
      <c r="AR27" s="659" t="s">
        <v>60</v>
      </c>
      <c r="AS27" s="660" t="s">
        <v>61</v>
      </c>
      <c r="AT27" s="713" t="s">
        <v>62</v>
      </c>
      <c r="AU27" s="660" t="s">
        <v>352</v>
      </c>
      <c r="AV27" s="714" t="s">
        <v>7</v>
      </c>
      <c r="AW27" s="714" t="s">
        <v>7</v>
      </c>
      <c r="AX27" s="659" t="s">
        <v>64</v>
      </c>
      <c r="AY27" s="661" t="s">
        <v>65</v>
      </c>
      <c r="AZ27" s="713" t="s">
        <v>66</v>
      </c>
      <c r="BA27" s="660" t="s">
        <v>353</v>
      </c>
      <c r="BB27" s="900" t="s">
        <v>8</v>
      </c>
      <c r="BC27" s="714" t="s">
        <v>8</v>
      </c>
      <c r="BD27" s="659" t="s">
        <v>67</v>
      </c>
      <c r="BE27" s="660" t="s">
        <v>68</v>
      </c>
      <c r="BF27" s="713" t="s">
        <v>69</v>
      </c>
      <c r="BG27" s="660" t="s">
        <v>354</v>
      </c>
      <c r="BH27" s="662" t="s">
        <v>9</v>
      </c>
      <c r="BI27" s="662" t="s">
        <v>9</v>
      </c>
      <c r="BJ27" s="756" t="s">
        <v>70</v>
      </c>
      <c r="BK27" s="732" t="s">
        <v>71</v>
      </c>
      <c r="BL27" s="714" t="s">
        <v>72</v>
      </c>
      <c r="BM27" s="1"/>
    </row>
    <row r="28" spans="1:65" ht="15" thickBot="1" x14ac:dyDescent="0.35">
      <c r="A28" s="112"/>
      <c r="B28" s="113" t="s">
        <v>73</v>
      </c>
      <c r="C28" s="114" t="s">
        <v>441</v>
      </c>
      <c r="D28" s="115" t="s">
        <v>11</v>
      </c>
      <c r="E28" s="116">
        <v>2.8</v>
      </c>
      <c r="F28" s="116">
        <f>(BL28/G28)/4</f>
        <v>0</v>
      </c>
      <c r="G28" s="19">
        <v>170</v>
      </c>
      <c r="H28" s="828">
        <f>G28*E28</f>
        <v>475.99999999999994</v>
      </c>
      <c r="I28" s="848">
        <v>5800</v>
      </c>
      <c r="J28" s="812">
        <v>0</v>
      </c>
      <c r="K28" s="2059">
        <v>3000</v>
      </c>
      <c r="L28" s="117">
        <f t="shared" ref="K28:N41" si="5">K28-$H28</f>
        <v>2524</v>
      </c>
      <c r="M28" s="117">
        <f t="shared" si="5"/>
        <v>2048</v>
      </c>
      <c r="N28" s="117">
        <f t="shared" si="5"/>
        <v>1572</v>
      </c>
      <c r="O28" s="2059">
        <v>4096</v>
      </c>
      <c r="P28" s="117">
        <f t="shared" ref="P28:S41" si="6">O28-$H28</f>
        <v>3620</v>
      </c>
      <c r="Q28" s="117">
        <f t="shared" si="6"/>
        <v>3144</v>
      </c>
      <c r="R28" s="117">
        <f t="shared" si="6"/>
        <v>2668</v>
      </c>
      <c r="S28" s="117">
        <f t="shared" si="6"/>
        <v>2192</v>
      </c>
      <c r="T28" s="2060">
        <v>3000</v>
      </c>
      <c r="U28" s="118"/>
      <c r="V28" s="17"/>
      <c r="W28" s="2061"/>
      <c r="X28" s="2062"/>
      <c r="Y28" s="2063"/>
      <c r="Z28" s="120"/>
      <c r="AA28" s="121"/>
      <c r="AB28" s="122"/>
      <c r="AC28" s="185"/>
      <c r="AD28" s="124"/>
      <c r="AE28" s="715"/>
      <c r="AF28" s="663"/>
      <c r="AG28" s="22"/>
      <c r="AH28" s="23"/>
      <c r="AI28" s="367"/>
      <c r="AJ28" s="125"/>
      <c r="AK28" s="672"/>
      <c r="AL28" s="739"/>
      <c r="AM28" s="121"/>
      <c r="AN28" s="122"/>
      <c r="AO28" s="185"/>
      <c r="AP28" s="124"/>
      <c r="AQ28" s="124"/>
      <c r="AR28" s="2060">
        <v>3000</v>
      </c>
      <c r="AS28" s="21"/>
      <c r="AT28" s="24"/>
      <c r="AU28" s="366"/>
      <c r="AV28" s="125"/>
      <c r="AW28" s="715"/>
      <c r="AX28" s="641"/>
      <c r="AY28" s="121"/>
      <c r="AZ28" s="130"/>
      <c r="BA28" s="185"/>
      <c r="BB28" s="124"/>
      <c r="BC28" s="715"/>
      <c r="BD28" s="641"/>
      <c r="BE28" s="120"/>
      <c r="BF28" s="130"/>
      <c r="BG28" s="185"/>
      <c r="BH28" s="124"/>
      <c r="BI28" s="672"/>
      <c r="BJ28" s="772"/>
      <c r="BK28" s="131"/>
      <c r="BL28" s="758"/>
      <c r="BM28" s="1"/>
    </row>
    <row r="29" spans="1:65" ht="15" thickBot="1" x14ac:dyDescent="0.35">
      <c r="A29" s="132"/>
      <c r="B29" s="133" t="s">
        <v>74</v>
      </c>
      <c r="C29" s="134" t="s">
        <v>529</v>
      </c>
      <c r="D29" s="135" t="s">
        <v>11</v>
      </c>
      <c r="E29" s="136">
        <v>3</v>
      </c>
      <c r="F29" s="136">
        <f t="shared" ref="F29:F41" si="7">(BL29/G29)/7</f>
        <v>0</v>
      </c>
      <c r="G29" s="137">
        <v>230</v>
      </c>
      <c r="H29" s="269">
        <f t="shared" ref="H29:H41" si="8">G29*E29</f>
        <v>690</v>
      </c>
      <c r="I29" s="848">
        <v>5800</v>
      </c>
      <c r="J29" s="375">
        <v>5000</v>
      </c>
      <c r="K29" s="41">
        <f t="shared" ref="K29:L41" si="9">J29-$H29</f>
        <v>4310</v>
      </c>
      <c r="L29" s="41">
        <f t="shared" si="5"/>
        <v>3620</v>
      </c>
      <c r="M29" s="41">
        <f t="shared" si="5"/>
        <v>2930</v>
      </c>
      <c r="N29" s="41">
        <f t="shared" si="5"/>
        <v>2240</v>
      </c>
      <c r="O29" s="2064">
        <v>4550</v>
      </c>
      <c r="P29" s="41">
        <f t="shared" si="6"/>
        <v>3860</v>
      </c>
      <c r="Q29" s="41">
        <f t="shared" si="6"/>
        <v>3170</v>
      </c>
      <c r="R29" s="41">
        <f t="shared" si="6"/>
        <v>2480</v>
      </c>
      <c r="S29" s="41">
        <f t="shared" si="6"/>
        <v>1790</v>
      </c>
      <c r="T29" s="2065"/>
      <c r="U29" s="41"/>
      <c r="V29" s="32"/>
      <c r="W29" s="50"/>
      <c r="X29" s="2066"/>
      <c r="Y29" s="2067"/>
      <c r="Z29" s="141"/>
      <c r="AA29" s="142"/>
      <c r="AB29" s="143"/>
      <c r="AC29" s="194"/>
      <c r="AD29" s="151"/>
      <c r="AE29" s="716"/>
      <c r="AF29" s="402"/>
      <c r="AG29" s="32"/>
      <c r="AH29" s="232"/>
      <c r="AI29" s="50"/>
      <c r="AJ29" s="147"/>
      <c r="AK29" s="674"/>
      <c r="AL29" s="740"/>
      <c r="AM29" s="142"/>
      <c r="AN29" s="143"/>
      <c r="AO29" s="194"/>
      <c r="AP29" s="151"/>
      <c r="AQ29" s="151"/>
      <c r="AR29" s="402">
        <v>3000</v>
      </c>
      <c r="AS29" s="41"/>
      <c r="AT29" s="146"/>
      <c r="AU29" s="49"/>
      <c r="AV29" s="147"/>
      <c r="AW29" s="716"/>
      <c r="AX29" s="707"/>
      <c r="AY29" s="142"/>
      <c r="AZ29" s="143"/>
      <c r="BA29" s="194"/>
      <c r="BB29" s="151"/>
      <c r="BC29" s="716"/>
      <c r="BD29" s="707"/>
      <c r="BE29" s="141"/>
      <c r="BF29" s="143"/>
      <c r="BG29" s="194"/>
      <c r="BH29" s="151"/>
      <c r="BI29" s="154"/>
      <c r="BJ29" s="249"/>
      <c r="BK29" s="297"/>
      <c r="BL29" s="628"/>
      <c r="BM29" s="1"/>
    </row>
    <row r="30" spans="1:65" x14ac:dyDescent="0.3">
      <c r="A30" s="143" t="s">
        <v>75</v>
      </c>
      <c r="B30" s="153" t="s">
        <v>76</v>
      </c>
      <c r="C30" s="134" t="s">
        <v>530</v>
      </c>
      <c r="D30" s="135" t="s">
        <v>11</v>
      </c>
      <c r="E30" s="136">
        <v>2.8</v>
      </c>
      <c r="F30" s="136">
        <f t="shared" si="7"/>
        <v>0</v>
      </c>
      <c r="G30" s="137">
        <v>230</v>
      </c>
      <c r="H30" s="269">
        <f t="shared" si="8"/>
        <v>644</v>
      </c>
      <c r="I30" s="848">
        <v>5800</v>
      </c>
      <c r="J30" s="375">
        <v>4000</v>
      </c>
      <c r="K30" s="41">
        <f t="shared" si="9"/>
        <v>3356</v>
      </c>
      <c r="L30" s="41">
        <f t="shared" si="5"/>
        <v>2712</v>
      </c>
      <c r="M30" s="41">
        <f t="shared" si="5"/>
        <v>2068</v>
      </c>
      <c r="N30" s="2064">
        <v>4420</v>
      </c>
      <c r="O30" s="41">
        <f t="shared" ref="O30:P41" si="10">N30-$H30</f>
        <v>3776</v>
      </c>
      <c r="P30" s="41">
        <f t="shared" si="6"/>
        <v>3132</v>
      </c>
      <c r="Q30" s="41">
        <f t="shared" si="6"/>
        <v>2488</v>
      </c>
      <c r="R30" s="41">
        <f t="shared" si="6"/>
        <v>1844</v>
      </c>
      <c r="S30" s="41">
        <f t="shared" si="6"/>
        <v>1200</v>
      </c>
      <c r="T30" s="2065"/>
      <c r="U30" s="41"/>
      <c r="V30" s="32"/>
      <c r="W30" s="50"/>
      <c r="X30" s="2066"/>
      <c r="Y30" s="2067"/>
      <c r="Z30" s="141"/>
      <c r="AA30" s="142"/>
      <c r="AB30" s="143"/>
      <c r="AC30" s="194"/>
      <c r="AD30" s="151"/>
      <c r="AE30" s="716"/>
      <c r="AF30" s="402"/>
      <c r="AG30" s="32"/>
      <c r="AH30" s="232"/>
      <c r="AI30" s="50"/>
      <c r="AJ30" s="147"/>
      <c r="AK30" s="674"/>
      <c r="AL30" s="740">
        <v>3000</v>
      </c>
      <c r="AM30" s="142"/>
      <c r="AN30" s="143"/>
      <c r="AO30" s="194"/>
      <c r="AP30" s="151"/>
      <c r="AQ30" s="151"/>
      <c r="AR30" s="707"/>
      <c r="AS30" s="41"/>
      <c r="AT30" s="146"/>
      <c r="AU30" s="49"/>
      <c r="AV30" s="147"/>
      <c r="AW30" s="716"/>
      <c r="AX30" s="707"/>
      <c r="AY30" s="142"/>
      <c r="AZ30" s="143"/>
      <c r="BA30" s="194"/>
      <c r="BB30" s="151"/>
      <c r="BC30" s="674"/>
      <c r="BD30" s="707"/>
      <c r="BE30" s="141"/>
      <c r="BF30" s="143"/>
      <c r="BG30" s="194"/>
      <c r="BH30" s="151"/>
      <c r="BI30" s="154"/>
      <c r="BJ30" s="143"/>
      <c r="BK30" s="132"/>
      <c r="BL30" s="150"/>
      <c r="BM30" s="1"/>
    </row>
    <row r="31" spans="1:65" x14ac:dyDescent="0.3">
      <c r="A31" s="143"/>
      <c r="B31" s="862"/>
      <c r="C31" s="134"/>
      <c r="D31" s="138" t="s">
        <v>11</v>
      </c>
      <c r="E31" s="136">
        <v>2.5</v>
      </c>
      <c r="F31" s="155" t="e">
        <f t="shared" si="7"/>
        <v>#DIV/0!</v>
      </c>
      <c r="G31" s="156"/>
      <c r="H31" s="299">
        <f t="shared" si="8"/>
        <v>0</v>
      </c>
      <c r="I31" s="362"/>
      <c r="J31" s="375"/>
      <c r="K31" s="41">
        <f t="shared" si="9"/>
        <v>0</v>
      </c>
      <c r="L31" s="32">
        <f t="shared" si="5"/>
        <v>0</v>
      </c>
      <c r="M31" s="32">
        <f t="shared" si="5"/>
        <v>0</v>
      </c>
      <c r="N31" s="46">
        <f t="shared" si="5"/>
        <v>0</v>
      </c>
      <c r="O31" s="46">
        <f t="shared" si="10"/>
        <v>0</v>
      </c>
      <c r="P31" s="46">
        <f t="shared" si="6"/>
        <v>0</v>
      </c>
      <c r="Q31" s="46">
        <f t="shared" si="6"/>
        <v>0</v>
      </c>
      <c r="R31" s="46">
        <f t="shared" si="6"/>
        <v>0</v>
      </c>
      <c r="S31" s="158">
        <f t="shared" si="6"/>
        <v>0</v>
      </c>
      <c r="T31" s="2068"/>
      <c r="U31" s="21"/>
      <c r="V31" s="22"/>
      <c r="W31" s="367"/>
      <c r="X31" s="2069"/>
      <c r="Y31" s="2070"/>
      <c r="Z31" s="120"/>
      <c r="AA31" s="121"/>
      <c r="AB31" s="130"/>
      <c r="AC31" s="185"/>
      <c r="AD31" s="124"/>
      <c r="AE31" s="715"/>
      <c r="AF31" s="376"/>
      <c r="AG31" s="22"/>
      <c r="AH31" s="23"/>
      <c r="AI31" s="367"/>
      <c r="AJ31" s="125"/>
      <c r="AK31" s="672"/>
      <c r="AL31" s="739"/>
      <c r="AM31" s="121"/>
      <c r="AN31" s="130"/>
      <c r="AO31" s="185"/>
      <c r="AP31" s="124"/>
      <c r="AQ31" s="124"/>
      <c r="AR31" s="641"/>
      <c r="AS31" s="21"/>
      <c r="AT31" s="24"/>
      <c r="AU31" s="366"/>
      <c r="AV31" s="125"/>
      <c r="AW31" s="715"/>
      <c r="AX31" s="641"/>
      <c r="AY31" s="121"/>
      <c r="AZ31" s="130"/>
      <c r="BA31" s="185"/>
      <c r="BB31" s="124"/>
      <c r="BC31" s="715"/>
      <c r="BD31" s="641"/>
      <c r="BE31" s="120"/>
      <c r="BF31" s="130"/>
      <c r="BG31" s="185"/>
      <c r="BH31" s="124"/>
      <c r="BI31" s="871"/>
      <c r="BJ31" s="130"/>
      <c r="BK31" s="165"/>
      <c r="BL31" s="129"/>
      <c r="BM31" s="1"/>
    </row>
    <row r="32" spans="1:65" x14ac:dyDescent="0.3">
      <c r="A32" s="130"/>
      <c r="B32" s="863"/>
      <c r="C32" s="161"/>
      <c r="D32" s="135" t="s">
        <v>11</v>
      </c>
      <c r="E32" s="136">
        <v>3</v>
      </c>
      <c r="F32" s="136" t="e">
        <f t="shared" si="7"/>
        <v>#DIV/0!</v>
      </c>
      <c r="G32" s="137"/>
      <c r="H32" s="269">
        <f t="shared" si="8"/>
        <v>0</v>
      </c>
      <c r="I32" s="375"/>
      <c r="J32" s="375"/>
      <c r="K32" s="41">
        <f t="shared" si="9"/>
        <v>0</v>
      </c>
      <c r="L32" s="32">
        <f t="shared" si="5"/>
        <v>0</v>
      </c>
      <c r="M32" s="32">
        <f t="shared" si="5"/>
        <v>0</v>
      </c>
      <c r="N32" s="46">
        <f t="shared" si="5"/>
        <v>0</v>
      </c>
      <c r="O32" s="46">
        <f t="shared" si="10"/>
        <v>0</v>
      </c>
      <c r="P32" s="46">
        <f t="shared" si="6"/>
        <v>0</v>
      </c>
      <c r="Q32" s="46">
        <f t="shared" si="6"/>
        <v>0</v>
      </c>
      <c r="R32" s="46">
        <f t="shared" si="6"/>
        <v>0</v>
      </c>
      <c r="S32" s="158">
        <f t="shared" si="6"/>
        <v>0</v>
      </c>
      <c r="T32" s="2071"/>
      <c r="U32" s="162"/>
      <c r="V32" s="163"/>
      <c r="W32" s="2072"/>
      <c r="X32" s="2073"/>
      <c r="Y32" s="2067"/>
      <c r="Z32" s="141"/>
      <c r="AA32" s="142"/>
      <c r="AB32" s="143"/>
      <c r="AC32" s="194"/>
      <c r="AD32" s="151"/>
      <c r="AE32" s="716"/>
      <c r="AF32" s="402"/>
      <c r="AG32" s="32"/>
      <c r="AH32" s="232"/>
      <c r="AI32" s="50"/>
      <c r="AJ32" s="147"/>
      <c r="AK32" s="674"/>
      <c r="AL32" s="740"/>
      <c r="AM32" s="142"/>
      <c r="AN32" s="143"/>
      <c r="AO32" s="194"/>
      <c r="AP32" s="151"/>
      <c r="AQ32" s="151"/>
      <c r="AR32" s="707"/>
      <c r="AS32" s="41"/>
      <c r="AT32" s="146"/>
      <c r="AU32" s="49"/>
      <c r="AV32" s="147"/>
      <c r="AW32" s="716"/>
      <c r="AX32" s="707"/>
      <c r="AY32" s="142"/>
      <c r="AZ32" s="143"/>
      <c r="BA32" s="194"/>
      <c r="BB32" s="151"/>
      <c r="BC32" s="674"/>
      <c r="BD32" s="707"/>
      <c r="BE32" s="141"/>
      <c r="BF32" s="143"/>
      <c r="BG32" s="194"/>
      <c r="BH32" s="151"/>
      <c r="BI32" s="674"/>
      <c r="BJ32" s="760"/>
      <c r="BK32" s="165"/>
      <c r="BL32" s="761"/>
      <c r="BM32" s="1"/>
    </row>
    <row r="33" spans="1:65" ht="15" thickBot="1" x14ac:dyDescent="0.35">
      <c r="A33" s="297"/>
      <c r="B33" s="621"/>
      <c r="C33" s="621"/>
      <c r="D33" s="237" t="s">
        <v>11</v>
      </c>
      <c r="E33" s="622">
        <v>3</v>
      </c>
      <c r="F33" s="622" t="e">
        <f t="shared" si="7"/>
        <v>#DIV/0!</v>
      </c>
      <c r="G33" s="192"/>
      <c r="H33" s="300">
        <f t="shared" si="8"/>
        <v>0</v>
      </c>
      <c r="I33" s="386"/>
      <c r="J33" s="386"/>
      <c r="K33" s="244">
        <f t="shared" si="9"/>
        <v>0</v>
      </c>
      <c r="L33" s="623">
        <f t="shared" si="5"/>
        <v>0</v>
      </c>
      <c r="M33" s="623">
        <f t="shared" si="5"/>
        <v>0</v>
      </c>
      <c r="N33" s="624">
        <f t="shared" si="5"/>
        <v>0</v>
      </c>
      <c r="O33" s="624">
        <f t="shared" si="10"/>
        <v>0</v>
      </c>
      <c r="P33" s="624">
        <f t="shared" si="6"/>
        <v>0</v>
      </c>
      <c r="Q33" s="410">
        <f t="shared" si="6"/>
        <v>0</v>
      </c>
      <c r="R33" s="410">
        <f t="shared" si="6"/>
        <v>0</v>
      </c>
      <c r="S33" s="625">
        <f t="shared" si="6"/>
        <v>0</v>
      </c>
      <c r="T33" s="2071"/>
      <c r="U33" s="162"/>
      <c r="V33" s="163"/>
      <c r="W33" s="2072"/>
      <c r="X33" s="2073"/>
      <c r="Y33" s="2074"/>
      <c r="Z33" s="304"/>
      <c r="AA33" s="305"/>
      <c r="AB33" s="249"/>
      <c r="AC33" s="2075"/>
      <c r="AD33" s="2076"/>
      <c r="AE33" s="717"/>
      <c r="AF33" s="434"/>
      <c r="AG33" s="163"/>
      <c r="AH33" s="436"/>
      <c r="AI33" s="2072"/>
      <c r="AJ33" s="239"/>
      <c r="AK33" s="734"/>
      <c r="AL33" s="741"/>
      <c r="AM33" s="305"/>
      <c r="AN33" s="249"/>
      <c r="AO33" s="2075"/>
      <c r="AP33" s="2076"/>
      <c r="AQ33" s="2076"/>
      <c r="AR33" s="709"/>
      <c r="AS33" s="162"/>
      <c r="AT33" s="238"/>
      <c r="AU33" s="2077"/>
      <c r="AV33" s="239"/>
      <c r="AW33" s="717"/>
      <c r="AX33" s="709"/>
      <c r="AY33" s="305"/>
      <c r="AZ33" s="249"/>
      <c r="BA33" s="2075"/>
      <c r="BB33" s="2076"/>
      <c r="BC33" s="717"/>
      <c r="BD33" s="709"/>
      <c r="BE33" s="304"/>
      <c r="BF33" s="249"/>
      <c r="BG33" s="2075"/>
      <c r="BH33" s="2076"/>
      <c r="BI33" s="734"/>
      <c r="BJ33" s="762"/>
      <c r="BK33" s="629"/>
      <c r="BL33" s="763"/>
      <c r="BM33" s="1"/>
    </row>
    <row r="34" spans="1:65" s="7" customFormat="1" ht="18" x14ac:dyDescent="0.35">
      <c r="A34" s="923"/>
      <c r="B34" s="924" t="s">
        <v>77</v>
      </c>
      <c r="C34" s="926"/>
      <c r="D34" s="933" t="s">
        <v>78</v>
      </c>
      <c r="E34" s="928">
        <v>6.5</v>
      </c>
      <c r="F34" s="1015">
        <f t="shared" si="7"/>
        <v>0</v>
      </c>
      <c r="G34" s="254">
        <v>89</v>
      </c>
      <c r="H34" s="832">
        <f t="shared" si="8"/>
        <v>578.5</v>
      </c>
      <c r="I34" s="392">
        <v>5800</v>
      </c>
      <c r="J34" s="392">
        <v>1000</v>
      </c>
      <c r="K34" s="256">
        <f t="shared" si="5"/>
        <v>421.5</v>
      </c>
      <c r="L34" s="2078">
        <v>3000</v>
      </c>
      <c r="M34" s="256">
        <f t="shared" si="5"/>
        <v>2421.5</v>
      </c>
      <c r="N34" s="256">
        <f t="shared" si="5"/>
        <v>1843</v>
      </c>
      <c r="O34" s="256">
        <f t="shared" si="10"/>
        <v>1264.5</v>
      </c>
      <c r="P34" s="256">
        <f t="shared" si="6"/>
        <v>686</v>
      </c>
      <c r="Q34" s="2078">
        <v>3000</v>
      </c>
      <c r="R34" s="256">
        <f t="shared" si="6"/>
        <v>2421.5</v>
      </c>
      <c r="S34" s="256">
        <f t="shared" si="6"/>
        <v>1843</v>
      </c>
      <c r="T34" s="2079"/>
      <c r="U34" s="2080"/>
      <c r="V34" s="2080"/>
      <c r="W34" s="2081"/>
      <c r="X34" s="2082"/>
      <c r="Y34" s="2083"/>
      <c r="Z34" s="2080"/>
      <c r="AA34" s="2080"/>
      <c r="AB34" s="261">
        <v>3000</v>
      </c>
      <c r="AC34" s="2081"/>
      <c r="AD34" s="262"/>
      <c r="AE34" s="2084"/>
      <c r="AF34" s="710"/>
      <c r="AG34" s="2080"/>
      <c r="AH34" s="2085"/>
      <c r="AI34" s="2081"/>
      <c r="AJ34" s="2082"/>
      <c r="AK34" s="2084"/>
      <c r="AL34" s="710"/>
      <c r="AM34" s="2080"/>
      <c r="AN34" s="261"/>
      <c r="AO34" s="2081"/>
      <c r="AP34" s="262"/>
      <c r="AQ34" s="262"/>
      <c r="AR34" s="710"/>
      <c r="AS34" s="2080"/>
      <c r="AT34" s="261"/>
      <c r="AU34" s="2081"/>
      <c r="AV34" s="262"/>
      <c r="AW34" s="2084"/>
      <c r="AX34" s="710"/>
      <c r="AY34" s="260"/>
      <c r="AZ34" s="261"/>
      <c r="BA34" s="2081"/>
      <c r="BB34" s="262"/>
      <c r="BC34" s="2084"/>
      <c r="BD34" s="710"/>
      <c r="BE34" s="2080"/>
      <c r="BF34" s="261">
        <v>3000</v>
      </c>
      <c r="BG34" s="2081"/>
      <c r="BH34" s="262"/>
      <c r="BI34" s="2086"/>
      <c r="BJ34" s="2087"/>
      <c r="BK34" s="2088"/>
      <c r="BL34" s="2089"/>
      <c r="BM34" s="1"/>
    </row>
    <row r="35" spans="1:65" s="7" customFormat="1" ht="18.600000000000001" thickBot="1" x14ac:dyDescent="0.4">
      <c r="A35" s="922"/>
      <c r="B35" s="925" t="s">
        <v>77</v>
      </c>
      <c r="C35" s="921"/>
      <c r="D35" s="927" t="s">
        <v>78</v>
      </c>
      <c r="E35" s="1016">
        <v>0</v>
      </c>
      <c r="F35" s="929" t="e">
        <f t="shared" si="7"/>
        <v>#DIV/0!</v>
      </c>
      <c r="G35" s="274"/>
      <c r="H35" s="833">
        <f t="shared" si="8"/>
        <v>0</v>
      </c>
      <c r="I35" s="409"/>
      <c r="J35" s="409"/>
      <c r="K35" s="277">
        <f t="shared" si="9"/>
        <v>0</v>
      </c>
      <c r="L35" s="277">
        <f t="shared" si="5"/>
        <v>0</v>
      </c>
      <c r="M35" s="277">
        <f t="shared" si="5"/>
        <v>0</v>
      </c>
      <c r="N35" s="277">
        <f t="shared" si="5"/>
        <v>0</v>
      </c>
      <c r="O35" s="277">
        <f t="shared" si="10"/>
        <v>0</v>
      </c>
      <c r="P35" s="277">
        <f t="shared" si="6"/>
        <v>0</v>
      </c>
      <c r="Q35" s="277">
        <f t="shared" si="6"/>
        <v>0</v>
      </c>
      <c r="R35" s="277">
        <f t="shared" si="6"/>
        <v>0</v>
      </c>
      <c r="S35" s="275">
        <f t="shared" si="6"/>
        <v>0</v>
      </c>
      <c r="T35" s="2090"/>
      <c r="U35" s="2091"/>
      <c r="V35" s="2091"/>
      <c r="W35" s="2092"/>
      <c r="X35" s="2093"/>
      <c r="Y35" s="2094"/>
      <c r="Z35" s="2091"/>
      <c r="AA35" s="2091"/>
      <c r="AB35" s="282"/>
      <c r="AC35" s="2092"/>
      <c r="AD35" s="283"/>
      <c r="AE35" s="2095"/>
      <c r="AF35" s="415"/>
      <c r="AG35" s="2091"/>
      <c r="AH35" s="2096"/>
      <c r="AI35" s="2092"/>
      <c r="AJ35" s="2093"/>
      <c r="AK35" s="2095"/>
      <c r="AL35" s="415"/>
      <c r="AM35" s="2091"/>
      <c r="AN35" s="282"/>
      <c r="AO35" s="2092"/>
      <c r="AP35" s="283"/>
      <c r="AQ35" s="283"/>
      <c r="AR35" s="415"/>
      <c r="AS35" s="2091"/>
      <c r="AT35" s="282"/>
      <c r="AU35" s="2092"/>
      <c r="AV35" s="283"/>
      <c r="AW35" s="2095"/>
      <c r="AX35" s="415"/>
      <c r="AY35" s="281"/>
      <c r="AZ35" s="282"/>
      <c r="BA35" s="2092"/>
      <c r="BB35" s="283"/>
      <c r="BC35" s="2095"/>
      <c r="BD35" s="415"/>
      <c r="BE35" s="2091"/>
      <c r="BF35" s="282"/>
      <c r="BG35" s="2092"/>
      <c r="BH35" s="283"/>
      <c r="BI35" s="2097"/>
      <c r="BJ35" s="776"/>
      <c r="BK35" s="2098"/>
      <c r="BL35" s="2099"/>
      <c r="BM35" s="1"/>
    </row>
    <row r="36" spans="1:65" ht="18" x14ac:dyDescent="0.35">
      <c r="A36" s="630"/>
      <c r="B36" s="865" t="s">
        <v>79</v>
      </c>
      <c r="C36" s="181" t="s">
        <v>228</v>
      </c>
      <c r="D36" s="182" t="s">
        <v>80</v>
      </c>
      <c r="E36" s="183">
        <v>2.7</v>
      </c>
      <c r="F36" s="184">
        <f t="shared" si="7"/>
        <v>0</v>
      </c>
      <c r="G36" s="156">
        <v>180</v>
      </c>
      <c r="H36" s="299">
        <f t="shared" si="8"/>
        <v>486.00000000000006</v>
      </c>
      <c r="I36" s="362">
        <v>5800</v>
      </c>
      <c r="J36" s="362">
        <v>2000</v>
      </c>
      <c r="K36" s="21">
        <f t="shared" si="9"/>
        <v>1514</v>
      </c>
      <c r="L36" s="2100">
        <v>4028</v>
      </c>
      <c r="M36" s="21">
        <f t="shared" si="5"/>
        <v>3542</v>
      </c>
      <c r="N36" s="21">
        <f t="shared" si="5"/>
        <v>3056</v>
      </c>
      <c r="O36" s="21">
        <f t="shared" si="10"/>
        <v>2570</v>
      </c>
      <c r="P36" s="2100">
        <v>5084</v>
      </c>
      <c r="Q36" s="21">
        <f t="shared" si="6"/>
        <v>4598</v>
      </c>
      <c r="R36" s="21">
        <f t="shared" si="6"/>
        <v>4112</v>
      </c>
      <c r="S36" s="21">
        <f t="shared" si="6"/>
        <v>3626</v>
      </c>
      <c r="T36" s="2101"/>
      <c r="U36" s="185"/>
      <c r="V36" s="185"/>
      <c r="W36" s="185"/>
      <c r="X36" s="124"/>
      <c r="Y36" s="2102"/>
      <c r="Z36" s="185"/>
      <c r="AA36" s="185">
        <v>3000</v>
      </c>
      <c r="AB36" s="186"/>
      <c r="AC36" s="185"/>
      <c r="AD36" s="124"/>
      <c r="AE36" s="715"/>
      <c r="AF36" s="671"/>
      <c r="AG36" s="185"/>
      <c r="AH36" s="187"/>
      <c r="AI36" s="185"/>
      <c r="AJ36" s="124"/>
      <c r="AK36" s="715"/>
      <c r="AL36" s="671"/>
      <c r="AM36" s="185"/>
      <c r="AN36" s="186"/>
      <c r="AO36" s="185"/>
      <c r="AP36" s="124"/>
      <c r="AQ36" s="124"/>
      <c r="AR36" s="641"/>
      <c r="AS36" s="120"/>
      <c r="AT36" s="130"/>
      <c r="AU36" s="185"/>
      <c r="AV36" s="124"/>
      <c r="AW36" s="715"/>
      <c r="AX36" s="641"/>
      <c r="AY36" s="121">
        <v>3000</v>
      </c>
      <c r="AZ36" s="130"/>
      <c r="BA36" s="185"/>
      <c r="BB36" s="124"/>
      <c r="BC36" s="715"/>
      <c r="BD36" s="671"/>
      <c r="BE36" s="185"/>
      <c r="BF36" s="186"/>
      <c r="BG36" s="185"/>
      <c r="BH36" s="124"/>
      <c r="BI36" s="672"/>
      <c r="BJ36" s="766"/>
      <c r="BK36" s="188"/>
      <c r="BL36" s="761"/>
      <c r="BM36" s="1"/>
    </row>
    <row r="37" spans="1:65" ht="18" x14ac:dyDescent="0.35">
      <c r="A37" s="189"/>
      <c r="B37" s="153"/>
      <c r="C37" s="190"/>
      <c r="D37" s="135" t="s">
        <v>80</v>
      </c>
      <c r="E37" s="136">
        <v>2.5</v>
      </c>
      <c r="F37" s="136" t="e">
        <f t="shared" si="7"/>
        <v>#DIV/0!</v>
      </c>
      <c r="G37" s="137"/>
      <c r="H37" s="269">
        <f t="shared" si="8"/>
        <v>0</v>
      </c>
      <c r="I37" s="849"/>
      <c r="J37" s="385"/>
      <c r="K37" s="21">
        <f t="shared" si="9"/>
        <v>0</v>
      </c>
      <c r="L37" s="159">
        <f t="shared" si="9"/>
        <v>0</v>
      </c>
      <c r="M37" s="159">
        <f t="shared" si="5"/>
        <v>0</v>
      </c>
      <c r="N37" s="159">
        <f t="shared" si="5"/>
        <v>0</v>
      </c>
      <c r="O37" s="159">
        <f t="shared" si="10"/>
        <v>0</v>
      </c>
      <c r="P37" s="159">
        <f t="shared" si="10"/>
        <v>0</v>
      </c>
      <c r="Q37" s="156">
        <f t="shared" si="6"/>
        <v>0</v>
      </c>
      <c r="R37" s="192">
        <f t="shared" si="6"/>
        <v>0</v>
      </c>
      <c r="S37" s="193">
        <f t="shared" si="6"/>
        <v>0</v>
      </c>
      <c r="T37" s="2103"/>
      <c r="U37" s="194"/>
      <c r="V37" s="194"/>
      <c r="W37" s="194"/>
      <c r="X37" s="151"/>
      <c r="Y37" s="2104"/>
      <c r="Z37" s="194"/>
      <c r="AA37" s="194"/>
      <c r="AB37" s="59"/>
      <c r="AC37" s="194"/>
      <c r="AD37" s="151"/>
      <c r="AE37" s="716"/>
      <c r="AF37" s="673"/>
      <c r="AG37" s="194"/>
      <c r="AH37" s="195"/>
      <c r="AI37" s="194"/>
      <c r="AJ37" s="151"/>
      <c r="AK37" s="716"/>
      <c r="AL37" s="673"/>
      <c r="AM37" s="194"/>
      <c r="AN37" s="59"/>
      <c r="AO37" s="194"/>
      <c r="AP37" s="151"/>
      <c r="AQ37" s="151"/>
      <c r="AR37" s="402"/>
      <c r="AS37" s="141"/>
      <c r="AT37" s="143"/>
      <c r="AU37" s="194"/>
      <c r="AV37" s="151"/>
      <c r="AW37" s="716"/>
      <c r="AX37" s="707"/>
      <c r="AY37" s="142"/>
      <c r="AZ37" s="143"/>
      <c r="BA37" s="194"/>
      <c r="BB37" s="151"/>
      <c r="BC37" s="716"/>
      <c r="BD37" s="673"/>
      <c r="BE37" s="194"/>
      <c r="BF37" s="59"/>
      <c r="BG37" s="194"/>
      <c r="BH37" s="151"/>
      <c r="BI37" s="716"/>
      <c r="BJ37" s="767"/>
      <c r="BK37" s="196"/>
      <c r="BL37" s="768"/>
      <c r="BM37" s="1"/>
    </row>
    <row r="38" spans="1:65" ht="18" x14ac:dyDescent="0.35">
      <c r="A38" s="197"/>
      <c r="B38" s="134"/>
      <c r="C38" s="190"/>
      <c r="D38" s="135" t="s">
        <v>80</v>
      </c>
      <c r="E38" s="136">
        <v>2.5</v>
      </c>
      <c r="F38" s="136" t="e">
        <f t="shared" si="7"/>
        <v>#DIV/0!</v>
      </c>
      <c r="G38" s="137"/>
      <c r="H38" s="269">
        <f t="shared" si="8"/>
        <v>0</v>
      </c>
      <c r="I38" s="849"/>
      <c r="J38" s="375"/>
      <c r="K38" s="21">
        <f t="shared" si="9"/>
        <v>0</v>
      </c>
      <c r="L38" s="159">
        <f t="shared" si="9"/>
        <v>0</v>
      </c>
      <c r="M38" s="159">
        <f t="shared" si="5"/>
        <v>0</v>
      </c>
      <c r="N38" s="159">
        <f t="shared" si="5"/>
        <v>0</v>
      </c>
      <c r="O38" s="159">
        <f t="shared" si="10"/>
        <v>0</v>
      </c>
      <c r="P38" s="159">
        <f t="shared" si="10"/>
        <v>0</v>
      </c>
      <c r="Q38" s="156">
        <f t="shared" si="6"/>
        <v>0</v>
      </c>
      <c r="R38" s="192">
        <f t="shared" si="6"/>
        <v>0</v>
      </c>
      <c r="S38" s="193">
        <f t="shared" si="6"/>
        <v>0</v>
      </c>
      <c r="T38" s="2103"/>
      <c r="U38" s="194"/>
      <c r="V38" s="194"/>
      <c r="W38" s="194"/>
      <c r="X38" s="151"/>
      <c r="Y38" s="2104"/>
      <c r="Z38" s="194"/>
      <c r="AA38" s="194"/>
      <c r="AB38" s="59"/>
      <c r="AC38" s="194"/>
      <c r="AD38" s="151"/>
      <c r="AE38" s="716"/>
      <c r="AF38" s="673"/>
      <c r="AG38" s="194"/>
      <c r="AH38" s="195"/>
      <c r="AI38" s="194"/>
      <c r="AJ38" s="151"/>
      <c r="AK38" s="716"/>
      <c r="AL38" s="673"/>
      <c r="AM38" s="194"/>
      <c r="AN38" s="59"/>
      <c r="AO38" s="194"/>
      <c r="AP38" s="151"/>
      <c r="AQ38" s="151"/>
      <c r="AR38" s="402"/>
      <c r="AS38" s="141"/>
      <c r="AT38" s="143"/>
      <c r="AU38" s="194"/>
      <c r="AV38" s="151"/>
      <c r="AW38" s="716"/>
      <c r="AX38" s="707"/>
      <c r="AY38" s="142"/>
      <c r="AZ38" s="143"/>
      <c r="BA38" s="194"/>
      <c r="BB38" s="151"/>
      <c r="BC38" s="716"/>
      <c r="BD38" s="673"/>
      <c r="BE38" s="194"/>
      <c r="BF38" s="59"/>
      <c r="BG38" s="194"/>
      <c r="BH38" s="151"/>
      <c r="BI38" s="716"/>
      <c r="BJ38" s="767"/>
      <c r="BK38" s="196"/>
      <c r="BL38" s="768"/>
      <c r="BM38" s="1"/>
    </row>
    <row r="39" spans="1:65" ht="18" x14ac:dyDescent="0.35">
      <c r="A39" s="189"/>
      <c r="B39" s="181"/>
      <c r="C39" s="181"/>
      <c r="D39" s="182" t="s">
        <v>80</v>
      </c>
      <c r="E39" s="136">
        <v>2.5</v>
      </c>
      <c r="F39" s="136" t="e">
        <f t="shared" si="7"/>
        <v>#DIV/0!</v>
      </c>
      <c r="G39" s="137"/>
      <c r="H39" s="269">
        <f t="shared" si="8"/>
        <v>0</v>
      </c>
      <c r="I39" s="849"/>
      <c r="J39" s="375"/>
      <c r="K39" s="21">
        <f t="shared" si="9"/>
        <v>0</v>
      </c>
      <c r="L39" s="159">
        <f t="shared" si="9"/>
        <v>0</v>
      </c>
      <c r="M39" s="159">
        <f t="shared" si="5"/>
        <v>0</v>
      </c>
      <c r="N39" s="159">
        <f t="shared" si="5"/>
        <v>0</v>
      </c>
      <c r="O39" s="159">
        <f t="shared" si="10"/>
        <v>0</v>
      </c>
      <c r="P39" s="159">
        <f t="shared" si="10"/>
        <v>0</v>
      </c>
      <c r="Q39" s="156">
        <f t="shared" si="6"/>
        <v>0</v>
      </c>
      <c r="R39" s="137">
        <f t="shared" si="6"/>
        <v>0</v>
      </c>
      <c r="S39" s="193">
        <f t="shared" si="6"/>
        <v>0</v>
      </c>
      <c r="T39" s="2103"/>
      <c r="U39" s="194"/>
      <c r="V39" s="194"/>
      <c r="W39" s="57"/>
      <c r="X39" s="154"/>
      <c r="Y39" s="2104"/>
      <c r="Z39" s="194"/>
      <c r="AA39" s="198"/>
      <c r="AB39" s="59"/>
      <c r="AC39" s="194"/>
      <c r="AD39" s="151"/>
      <c r="AE39" s="716"/>
      <c r="AF39" s="673"/>
      <c r="AG39" s="194"/>
      <c r="AH39" s="195"/>
      <c r="AI39" s="194"/>
      <c r="AJ39" s="151"/>
      <c r="AK39" s="716"/>
      <c r="AL39" s="673"/>
      <c r="AM39" s="194"/>
      <c r="AN39" s="59"/>
      <c r="AO39" s="194"/>
      <c r="AP39" s="151"/>
      <c r="AQ39" s="151"/>
      <c r="AR39" s="402"/>
      <c r="AS39" s="141"/>
      <c r="AT39" s="143"/>
      <c r="AU39" s="194"/>
      <c r="AV39" s="151"/>
      <c r="AW39" s="716"/>
      <c r="AX39" s="707"/>
      <c r="AY39" s="142"/>
      <c r="AZ39" s="143"/>
      <c r="BA39" s="194"/>
      <c r="BB39" s="151"/>
      <c r="BC39" s="716"/>
      <c r="BD39" s="673"/>
      <c r="BE39" s="194"/>
      <c r="BF39" s="59"/>
      <c r="BG39" s="194"/>
      <c r="BH39" s="151"/>
      <c r="BI39" s="716"/>
      <c r="BJ39" s="767"/>
      <c r="BK39" s="196"/>
      <c r="BL39" s="768"/>
      <c r="BM39" s="1"/>
    </row>
    <row r="40" spans="1:65" ht="18" x14ac:dyDescent="0.35">
      <c r="A40" s="197"/>
      <c r="B40" s="190"/>
      <c r="C40" s="190"/>
      <c r="D40" s="135" t="s">
        <v>80</v>
      </c>
      <c r="E40" s="136">
        <v>3</v>
      </c>
      <c r="F40" s="136" t="e">
        <f t="shared" si="7"/>
        <v>#DIV/0!</v>
      </c>
      <c r="G40" s="137"/>
      <c r="H40" s="269">
        <f t="shared" si="8"/>
        <v>0</v>
      </c>
      <c r="I40" s="849"/>
      <c r="J40" s="362"/>
      <c r="K40" s="21">
        <f t="shared" si="9"/>
        <v>0</v>
      </c>
      <c r="L40" s="159">
        <f t="shared" si="9"/>
        <v>0</v>
      </c>
      <c r="M40" s="159">
        <f t="shared" si="5"/>
        <v>0</v>
      </c>
      <c r="N40" s="159">
        <f t="shared" si="5"/>
        <v>0</v>
      </c>
      <c r="O40" s="159">
        <f t="shared" si="10"/>
        <v>0</v>
      </c>
      <c r="P40" s="159">
        <f t="shared" si="10"/>
        <v>0</v>
      </c>
      <c r="Q40" s="156">
        <f t="shared" si="6"/>
        <v>0</v>
      </c>
      <c r="R40" s="199">
        <f t="shared" si="6"/>
        <v>0</v>
      </c>
      <c r="S40" s="193">
        <f t="shared" si="6"/>
        <v>0</v>
      </c>
      <c r="T40" s="2103"/>
      <c r="U40" s="194"/>
      <c r="V40" s="194"/>
      <c r="W40" s="194"/>
      <c r="X40" s="151"/>
      <c r="Y40" s="2104"/>
      <c r="Z40" s="194"/>
      <c r="AA40" s="198"/>
      <c r="AB40" s="59"/>
      <c r="AC40" s="194"/>
      <c r="AD40" s="151"/>
      <c r="AE40" s="716"/>
      <c r="AF40" s="673"/>
      <c r="AG40" s="194"/>
      <c r="AH40" s="195"/>
      <c r="AI40" s="194"/>
      <c r="AJ40" s="151"/>
      <c r="AK40" s="716"/>
      <c r="AL40" s="673"/>
      <c r="AM40" s="194"/>
      <c r="AN40" s="59"/>
      <c r="AO40" s="194"/>
      <c r="AP40" s="151"/>
      <c r="AQ40" s="151"/>
      <c r="AR40" s="402"/>
      <c r="AS40" s="141"/>
      <c r="AT40" s="143"/>
      <c r="AU40" s="194"/>
      <c r="AV40" s="151"/>
      <c r="AW40" s="716"/>
      <c r="AX40" s="707"/>
      <c r="AY40" s="142"/>
      <c r="AZ40" s="143"/>
      <c r="BA40" s="194"/>
      <c r="BB40" s="151"/>
      <c r="BC40" s="716"/>
      <c r="BD40" s="673"/>
      <c r="BE40" s="194"/>
      <c r="BF40" s="59"/>
      <c r="BG40" s="194"/>
      <c r="BH40" s="151"/>
      <c r="BI40" s="716"/>
      <c r="BJ40" s="767"/>
      <c r="BK40" s="196"/>
      <c r="BL40" s="768"/>
      <c r="BM40" s="1"/>
    </row>
    <row r="41" spans="1:65" ht="15" thickBot="1" x14ac:dyDescent="0.35">
      <c r="A41" s="200"/>
      <c r="B41" s="201"/>
      <c r="C41" s="202"/>
      <c r="D41" s="203" t="s">
        <v>80</v>
      </c>
      <c r="E41" s="204">
        <v>3</v>
      </c>
      <c r="F41" s="205" t="e">
        <f t="shared" si="7"/>
        <v>#DIV/0!</v>
      </c>
      <c r="G41" s="206"/>
      <c r="H41" s="830">
        <f t="shared" si="8"/>
        <v>0</v>
      </c>
      <c r="I41" s="814"/>
      <c r="J41" s="814"/>
      <c r="K41" s="208">
        <f t="shared" si="9"/>
        <v>0</v>
      </c>
      <c r="L41" s="209">
        <f t="shared" si="9"/>
        <v>0</v>
      </c>
      <c r="M41" s="209">
        <f t="shared" si="5"/>
        <v>0</v>
      </c>
      <c r="N41" s="209">
        <f t="shared" si="5"/>
        <v>0</v>
      </c>
      <c r="O41" s="209">
        <f t="shared" si="10"/>
        <v>0</v>
      </c>
      <c r="P41" s="209">
        <f t="shared" si="10"/>
        <v>0</v>
      </c>
      <c r="Q41" s="206">
        <f t="shared" si="6"/>
        <v>0</v>
      </c>
      <c r="R41" s="210">
        <f t="shared" si="6"/>
        <v>0</v>
      </c>
      <c r="S41" s="211">
        <f t="shared" si="6"/>
        <v>0</v>
      </c>
      <c r="T41" s="2105"/>
      <c r="U41" s="212"/>
      <c r="V41" s="212"/>
      <c r="W41" s="214"/>
      <c r="X41" s="213"/>
      <c r="Y41" s="2106"/>
      <c r="Z41" s="212"/>
      <c r="AA41" s="214"/>
      <c r="AB41" s="215"/>
      <c r="AC41" s="212"/>
      <c r="AD41" s="213"/>
      <c r="AE41" s="718"/>
      <c r="AF41" s="675"/>
      <c r="AG41" s="212"/>
      <c r="AH41" s="217"/>
      <c r="AI41" s="212"/>
      <c r="AJ41" s="213"/>
      <c r="AK41" s="718"/>
      <c r="AL41" s="675"/>
      <c r="AM41" s="212"/>
      <c r="AN41" s="215"/>
      <c r="AO41" s="212"/>
      <c r="AP41" s="213"/>
      <c r="AQ41" s="213"/>
      <c r="AR41" s="745"/>
      <c r="AS41" s="218"/>
      <c r="AT41" s="219"/>
      <c r="AU41" s="212"/>
      <c r="AV41" s="213"/>
      <c r="AW41" s="718"/>
      <c r="AX41" s="745"/>
      <c r="AY41" s="207"/>
      <c r="AZ41" s="219"/>
      <c r="BA41" s="212"/>
      <c r="BB41" s="213"/>
      <c r="BC41" s="718"/>
      <c r="BD41" s="675"/>
      <c r="BE41" s="212"/>
      <c r="BF41" s="215"/>
      <c r="BG41" s="212"/>
      <c r="BH41" s="213"/>
      <c r="BI41" s="718"/>
      <c r="BJ41" s="769"/>
      <c r="BK41" s="220"/>
      <c r="BL41" s="770"/>
      <c r="BM41" s="1"/>
    </row>
    <row r="42" spans="1:65" x14ac:dyDescent="0.3">
      <c r="A42" s="1"/>
      <c r="B42" s="1"/>
      <c r="C42" s="1"/>
      <c r="D42" s="1"/>
      <c r="E42" s="1"/>
      <c r="F42" s="1"/>
      <c r="G42" s="1"/>
      <c r="H42" s="1"/>
      <c r="I42" s="815"/>
      <c r="J42" s="815"/>
      <c r="K42" s="1"/>
      <c r="L42" s="1"/>
      <c r="M42" s="1"/>
      <c r="N42" s="1"/>
      <c r="O42" s="1"/>
      <c r="P42" s="1"/>
      <c r="Q42" s="1"/>
      <c r="R42" s="1"/>
      <c r="S42" s="1"/>
      <c r="T42" s="2107"/>
      <c r="U42" s="1"/>
      <c r="V42" s="1"/>
      <c r="W42" s="1"/>
      <c r="X42" s="1"/>
      <c r="Y42" s="2108"/>
      <c r="Z42" s="1"/>
      <c r="AA42" s="1"/>
      <c r="AB42" s="1"/>
      <c r="AC42" s="1"/>
      <c r="AD42" s="1"/>
      <c r="AE42" s="678"/>
      <c r="AF42" s="677"/>
      <c r="AG42" s="1"/>
      <c r="AH42" s="1"/>
      <c r="AI42" s="1"/>
      <c r="AJ42" s="1"/>
      <c r="AK42" s="678"/>
      <c r="AL42" s="677"/>
      <c r="AM42" s="1"/>
      <c r="AN42" s="1"/>
      <c r="AO42" s="1"/>
      <c r="AP42" s="1"/>
      <c r="AQ42" s="1"/>
      <c r="AR42" s="677"/>
      <c r="AS42" s="1"/>
      <c r="AT42" s="1"/>
      <c r="AU42" s="1"/>
      <c r="AV42" s="1"/>
      <c r="AW42" s="678"/>
      <c r="AX42" s="677"/>
      <c r="AY42" s="1"/>
      <c r="AZ42" s="1"/>
      <c r="BA42" s="1"/>
      <c r="BB42" s="1"/>
      <c r="BC42" s="678"/>
      <c r="BD42" s="677"/>
      <c r="BE42" s="1"/>
      <c r="BF42" s="1"/>
      <c r="BG42" s="1"/>
      <c r="BH42" s="1"/>
      <c r="BI42" s="678"/>
      <c r="BJ42" s="677"/>
      <c r="BK42" s="1"/>
      <c r="BL42" s="678"/>
      <c r="BM42" s="1"/>
    </row>
    <row r="43" spans="1:65" x14ac:dyDescent="0.3">
      <c r="A43" s="1"/>
      <c r="B43" s="1"/>
      <c r="C43" s="1"/>
      <c r="D43" s="1"/>
      <c r="E43" s="1"/>
      <c r="F43" s="1"/>
      <c r="G43" s="1"/>
      <c r="H43" s="1"/>
      <c r="I43" s="815"/>
      <c r="J43" s="815"/>
      <c r="K43" s="1"/>
      <c r="L43" s="1"/>
      <c r="M43" s="1"/>
      <c r="N43" s="1"/>
      <c r="O43" s="1"/>
      <c r="P43" s="1"/>
      <c r="Q43" s="1"/>
      <c r="R43" s="1"/>
      <c r="S43" s="1"/>
      <c r="T43" s="2107"/>
      <c r="U43" s="1"/>
      <c r="V43" s="1"/>
      <c r="W43" s="1"/>
      <c r="X43" s="1"/>
      <c r="Y43" s="2108"/>
      <c r="Z43" s="1"/>
      <c r="AA43" s="1"/>
      <c r="AB43" s="1"/>
      <c r="AC43" s="1"/>
      <c r="AD43" s="1"/>
      <c r="AE43" s="678"/>
      <c r="AF43" s="677"/>
      <c r="AG43" s="1"/>
      <c r="AH43" s="1"/>
      <c r="AI43" s="1"/>
      <c r="AJ43" s="1"/>
      <c r="AK43" s="678"/>
      <c r="AL43" s="677"/>
      <c r="AM43" s="1"/>
      <c r="AN43" s="1"/>
      <c r="AO43" s="1"/>
      <c r="AP43" s="1"/>
      <c r="AQ43" s="1"/>
      <c r="AR43" s="677"/>
      <c r="AS43" s="1"/>
      <c r="AT43" s="1"/>
      <c r="AU43" s="1"/>
      <c r="AV43" s="1"/>
      <c r="AW43" s="678"/>
      <c r="AX43" s="677"/>
      <c r="AY43" s="1"/>
      <c r="AZ43" s="1"/>
      <c r="BA43" s="1"/>
      <c r="BB43" s="1"/>
      <c r="BC43" s="678"/>
      <c r="BD43" s="677"/>
      <c r="BE43" s="1"/>
      <c r="BF43" s="1"/>
      <c r="BG43" s="1"/>
      <c r="BH43" s="1"/>
      <c r="BI43" s="678"/>
      <c r="BJ43" s="677"/>
      <c r="BK43" s="1"/>
      <c r="BL43" s="678"/>
      <c r="BM43" s="1"/>
    </row>
    <row r="44" spans="1:65" ht="15" thickBot="1" x14ac:dyDescent="0.35">
      <c r="A44" s="1"/>
      <c r="B44" s="1"/>
      <c r="C44" s="1"/>
      <c r="D44" s="1"/>
      <c r="E44" s="1"/>
      <c r="F44" s="1"/>
      <c r="G44" s="1"/>
      <c r="H44" s="1"/>
      <c r="I44" s="815"/>
      <c r="J44" s="815"/>
      <c r="K44" s="1"/>
      <c r="L44" s="1"/>
      <c r="M44" s="1"/>
      <c r="N44" s="1"/>
      <c r="O44" s="1"/>
      <c r="P44" s="1"/>
      <c r="Q44" s="1"/>
      <c r="R44" s="1"/>
      <c r="S44" s="1"/>
      <c r="T44" s="2107"/>
      <c r="U44" s="1"/>
      <c r="V44" s="1"/>
      <c r="W44" s="1"/>
      <c r="X44" s="1"/>
      <c r="Y44" s="2108"/>
      <c r="Z44" s="1"/>
      <c r="AA44" s="1"/>
      <c r="AB44" s="1"/>
      <c r="AC44" s="1"/>
      <c r="AD44" s="1"/>
      <c r="AE44" s="678"/>
      <c r="AF44" s="677"/>
      <c r="AG44" s="1"/>
      <c r="AH44" s="1"/>
      <c r="AI44" s="1"/>
      <c r="AJ44" s="1"/>
      <c r="AK44" s="678"/>
      <c r="AL44" s="677"/>
      <c r="AM44" s="1"/>
      <c r="AN44" s="1"/>
      <c r="AO44" s="1"/>
      <c r="AP44" s="1"/>
      <c r="AQ44" s="1"/>
      <c r="AR44" s="677"/>
      <c r="AS44" s="1"/>
      <c r="AT44" s="1"/>
      <c r="AU44" s="1"/>
      <c r="AV44" s="1"/>
      <c r="AW44" s="678"/>
      <c r="AX44" s="677"/>
      <c r="AY44" s="1"/>
      <c r="AZ44" s="1"/>
      <c r="BA44" s="1"/>
      <c r="BB44" s="1"/>
      <c r="BC44" s="678"/>
      <c r="BD44" s="677"/>
      <c r="BE44" s="1"/>
      <c r="BF44" s="1"/>
      <c r="BG44" s="1"/>
      <c r="BH44" s="1"/>
      <c r="BI44" s="678"/>
      <c r="BJ44" s="677"/>
      <c r="BK44" s="1"/>
      <c r="BL44" s="678"/>
      <c r="BM44" s="1"/>
    </row>
    <row r="45" spans="1:65" ht="16.8" thickTop="1" thickBot="1" x14ac:dyDescent="0.35">
      <c r="A45" s="875" t="s">
        <v>28</v>
      </c>
      <c r="B45" s="876"/>
      <c r="C45" s="877"/>
      <c r="D45" s="1"/>
      <c r="E45" s="79"/>
      <c r="F45" s="712"/>
      <c r="G45" s="1"/>
      <c r="H45" s="1"/>
      <c r="I45" s="815"/>
      <c r="J45" s="815"/>
      <c r="K45" s="1"/>
      <c r="L45" s="1"/>
      <c r="M45" s="1"/>
      <c r="N45" s="1"/>
      <c r="O45" s="1"/>
      <c r="P45" s="1"/>
      <c r="Q45" s="1"/>
      <c r="R45" s="1"/>
      <c r="S45" s="1"/>
      <c r="T45" s="2107"/>
      <c r="U45" s="79"/>
      <c r="V45" s="1"/>
      <c r="W45" s="1"/>
      <c r="X45" s="1"/>
      <c r="Y45" s="2108"/>
      <c r="Z45" s="79"/>
      <c r="AA45" s="1"/>
      <c r="AB45" s="1"/>
      <c r="AC45" s="1"/>
      <c r="AD45" s="1"/>
      <c r="AE45" s="678"/>
      <c r="AF45" s="677"/>
      <c r="AG45" s="1"/>
      <c r="AH45" s="79"/>
      <c r="AI45" s="1"/>
      <c r="AJ45" s="1"/>
      <c r="AK45" s="678"/>
      <c r="AL45" s="677"/>
      <c r="AM45" s="1"/>
      <c r="AN45" s="1"/>
      <c r="AO45" s="879"/>
      <c r="AP45" s="1"/>
      <c r="AQ45" s="1"/>
      <c r="AR45" s="677"/>
      <c r="AS45" s="1"/>
      <c r="AT45" s="1"/>
      <c r="AU45" s="1"/>
      <c r="AV45" s="1"/>
      <c r="AW45" s="678"/>
      <c r="AX45" s="677"/>
      <c r="AY45" s="79"/>
      <c r="AZ45" s="79"/>
      <c r="BA45" s="1"/>
      <c r="BB45" s="1"/>
      <c r="BC45" s="678"/>
      <c r="BD45" s="677"/>
      <c r="BE45" s="1"/>
      <c r="BF45" s="79"/>
      <c r="BG45" s="1"/>
      <c r="BH45" s="1"/>
      <c r="BI45" s="678"/>
      <c r="BJ45" s="677"/>
      <c r="BK45" s="1"/>
      <c r="BL45" s="678"/>
      <c r="BM45" s="1"/>
    </row>
    <row r="46" spans="1:65" ht="16.8" thickTop="1" thickBot="1" x14ac:dyDescent="0.35">
      <c r="A46" s="884" t="s">
        <v>29</v>
      </c>
      <c r="B46" s="885" t="s">
        <v>30</v>
      </c>
      <c r="C46" s="886" t="s">
        <v>31</v>
      </c>
      <c r="D46" s="887" t="s">
        <v>2</v>
      </c>
      <c r="E46" s="888" t="s">
        <v>32</v>
      </c>
      <c r="F46" s="888" t="s">
        <v>33</v>
      </c>
      <c r="G46" s="889" t="s">
        <v>34</v>
      </c>
      <c r="H46" s="890" t="s">
        <v>35</v>
      </c>
      <c r="I46" s="891" t="s">
        <v>36</v>
      </c>
      <c r="J46" s="891" t="s">
        <v>37</v>
      </c>
      <c r="K46" s="892" t="s">
        <v>38</v>
      </c>
      <c r="L46" s="888" t="s">
        <v>39</v>
      </c>
      <c r="M46" s="888" t="s">
        <v>40</v>
      </c>
      <c r="N46" s="888" t="s">
        <v>41</v>
      </c>
      <c r="O46" s="888" t="s">
        <v>42</v>
      </c>
      <c r="P46" s="888" t="s">
        <v>43</v>
      </c>
      <c r="Q46" s="889" t="s">
        <v>44</v>
      </c>
      <c r="R46" s="888" t="s">
        <v>38</v>
      </c>
      <c r="S46" s="889" t="s">
        <v>45</v>
      </c>
      <c r="T46" s="2109" t="s">
        <v>81</v>
      </c>
      <c r="U46" s="894" t="s">
        <v>82</v>
      </c>
      <c r="V46" s="895" t="s">
        <v>83</v>
      </c>
      <c r="W46" s="896" t="s">
        <v>3</v>
      </c>
      <c r="X46" s="2110" t="s">
        <v>3</v>
      </c>
      <c r="Y46" s="2111" t="s">
        <v>3</v>
      </c>
      <c r="Z46" s="894" t="s">
        <v>84</v>
      </c>
      <c r="AA46" s="894" t="s">
        <v>85</v>
      </c>
      <c r="AB46" s="895" t="s">
        <v>86</v>
      </c>
      <c r="AC46" s="896" t="s">
        <v>51</v>
      </c>
      <c r="AD46" s="897" t="s">
        <v>51</v>
      </c>
      <c r="AE46" s="897" t="s">
        <v>51</v>
      </c>
      <c r="AF46" s="893" t="s">
        <v>87</v>
      </c>
      <c r="AG46" s="894" t="s">
        <v>88</v>
      </c>
      <c r="AH46" s="895" t="s">
        <v>89</v>
      </c>
      <c r="AI46" s="896" t="s">
        <v>5</v>
      </c>
      <c r="AJ46" s="897" t="s">
        <v>5</v>
      </c>
      <c r="AK46" s="897" t="s">
        <v>55</v>
      </c>
      <c r="AL46" s="893" t="s">
        <v>90</v>
      </c>
      <c r="AM46" s="894" t="s">
        <v>91</v>
      </c>
      <c r="AN46" s="898" t="s">
        <v>92</v>
      </c>
      <c r="AO46" s="899" t="s">
        <v>59</v>
      </c>
      <c r="AP46" s="897" t="s">
        <v>59</v>
      </c>
      <c r="AQ46" s="897" t="s">
        <v>59</v>
      </c>
      <c r="AR46" s="893" t="s">
        <v>93</v>
      </c>
      <c r="AS46" s="894" t="s">
        <v>94</v>
      </c>
      <c r="AT46" s="898" t="s">
        <v>95</v>
      </c>
      <c r="AU46" s="2112" t="s">
        <v>63</v>
      </c>
      <c r="AV46" s="2113" t="s">
        <v>7</v>
      </c>
      <c r="AW46" s="2114" t="s">
        <v>7</v>
      </c>
      <c r="AX46" s="893" t="s">
        <v>96</v>
      </c>
      <c r="AY46" s="894" t="s">
        <v>97</v>
      </c>
      <c r="AZ46" s="895" t="s">
        <v>98</v>
      </c>
      <c r="BA46" s="900" t="s">
        <v>8</v>
      </c>
      <c r="BB46" s="900" t="s">
        <v>8</v>
      </c>
      <c r="BC46" s="897" t="s">
        <v>8</v>
      </c>
      <c r="BD46" s="893" t="s">
        <v>99</v>
      </c>
      <c r="BE46" s="894" t="s">
        <v>100</v>
      </c>
      <c r="BF46" s="898" t="s">
        <v>101</v>
      </c>
      <c r="BG46" s="899" t="s">
        <v>9</v>
      </c>
      <c r="BH46" s="662" t="s">
        <v>9</v>
      </c>
      <c r="BI46" s="897" t="s">
        <v>9</v>
      </c>
      <c r="BJ46" s="901" t="s">
        <v>70</v>
      </c>
      <c r="BK46" s="896" t="s">
        <v>71</v>
      </c>
      <c r="BL46" s="902" t="s">
        <v>72</v>
      </c>
      <c r="BM46" s="1"/>
    </row>
    <row r="47" spans="1:65" ht="18" x14ac:dyDescent="0.35">
      <c r="A47" s="2739"/>
      <c r="B47" s="866"/>
      <c r="C47" s="329" t="s">
        <v>531</v>
      </c>
      <c r="D47" s="290" t="s">
        <v>102</v>
      </c>
      <c r="E47" s="880"/>
      <c r="F47" s="291" t="e">
        <f t="shared" ref="F47:F62" si="11">(BL47/G47)/7</f>
        <v>#DIV/0!</v>
      </c>
      <c r="G47" s="157"/>
      <c r="H47" s="834">
        <f>G47*E47</f>
        <v>0</v>
      </c>
      <c r="I47" s="362"/>
      <c r="J47" s="362"/>
      <c r="K47" s="881">
        <f>J47-H47</f>
        <v>0</v>
      </c>
      <c r="L47" s="156">
        <f t="shared" ref="L47:S47" si="12">K47-I47</f>
        <v>0</v>
      </c>
      <c r="M47" s="156">
        <f t="shared" si="12"/>
        <v>0</v>
      </c>
      <c r="N47" s="156">
        <f t="shared" si="12"/>
        <v>0</v>
      </c>
      <c r="O47" s="156">
        <f t="shared" si="12"/>
        <v>0</v>
      </c>
      <c r="P47" s="156">
        <f t="shared" si="12"/>
        <v>0</v>
      </c>
      <c r="Q47" s="157">
        <f t="shared" si="12"/>
        <v>0</v>
      </c>
      <c r="R47" s="156">
        <f t="shared" si="12"/>
        <v>0</v>
      </c>
      <c r="S47" s="157">
        <f t="shared" si="12"/>
        <v>0</v>
      </c>
      <c r="T47" s="2115"/>
      <c r="U47" s="22"/>
      <c r="V47" s="24"/>
      <c r="W47" s="125"/>
      <c r="X47" s="2116"/>
      <c r="Y47" s="2117"/>
      <c r="Z47" s="120"/>
      <c r="AA47" s="121"/>
      <c r="AB47" s="130"/>
      <c r="AC47" s="124"/>
      <c r="AD47" s="124"/>
      <c r="AE47" s="720"/>
      <c r="AF47" s="376"/>
      <c r="AG47" s="22"/>
      <c r="AH47" s="24"/>
      <c r="AI47" s="125"/>
      <c r="AJ47" s="125"/>
      <c r="AK47" s="720"/>
      <c r="AL47" s="641"/>
      <c r="AM47" s="121"/>
      <c r="AN47" s="229"/>
      <c r="AO47" s="228"/>
      <c r="AP47" s="2118"/>
      <c r="AQ47" s="2118"/>
      <c r="AR47" s="641"/>
      <c r="AS47" s="22"/>
      <c r="AT47" s="23"/>
      <c r="AU47" s="2119"/>
      <c r="AV47" s="2120"/>
      <c r="AW47" s="715"/>
      <c r="AX47" s="641"/>
      <c r="AY47" s="121"/>
      <c r="AZ47" s="130"/>
      <c r="BA47" s="127"/>
      <c r="BB47" s="124"/>
      <c r="BC47" s="720"/>
      <c r="BD47" s="641"/>
      <c r="BE47" s="121"/>
      <c r="BF47" s="229"/>
      <c r="BG47" s="228"/>
      <c r="BH47" s="2118"/>
      <c r="BI47" s="720"/>
      <c r="BJ47" s="757"/>
      <c r="BK47" s="883"/>
      <c r="BL47" s="903"/>
      <c r="BM47" s="1"/>
    </row>
    <row r="48" spans="1:65" ht="18" x14ac:dyDescent="0.35">
      <c r="A48" s="2739"/>
      <c r="B48" s="867" t="s">
        <v>233</v>
      </c>
      <c r="C48" s="224" t="s">
        <v>230</v>
      </c>
      <c r="D48" s="225" t="s">
        <v>103</v>
      </c>
      <c r="E48" s="585">
        <v>11</v>
      </c>
      <c r="F48" s="226">
        <f t="shared" si="11"/>
        <v>0</v>
      </c>
      <c r="G48" s="139">
        <v>70</v>
      </c>
      <c r="H48" s="831">
        <f>G48*E48</f>
        <v>770</v>
      </c>
      <c r="I48" s="375">
        <v>5800</v>
      </c>
      <c r="J48" s="375">
        <v>5500</v>
      </c>
      <c r="K48" s="227">
        <f>J48-$H48</f>
        <v>4730</v>
      </c>
      <c r="L48" s="227">
        <f t="shared" ref="L48:S49" si="13">K48-$H48</f>
        <v>3960</v>
      </c>
      <c r="M48" s="227">
        <f t="shared" si="13"/>
        <v>3190</v>
      </c>
      <c r="N48" s="227">
        <f t="shared" si="13"/>
        <v>2420</v>
      </c>
      <c r="O48" s="2121">
        <v>4650</v>
      </c>
      <c r="P48" s="227">
        <f t="shared" si="13"/>
        <v>3880</v>
      </c>
      <c r="Q48" s="227">
        <f t="shared" si="13"/>
        <v>3110</v>
      </c>
      <c r="R48" s="227">
        <f t="shared" si="13"/>
        <v>2340</v>
      </c>
      <c r="S48" s="227">
        <f t="shared" si="13"/>
        <v>1570</v>
      </c>
      <c r="T48" s="2115"/>
      <c r="U48" s="32"/>
      <c r="V48" s="146"/>
      <c r="W48" s="147"/>
      <c r="X48" s="2122"/>
      <c r="Y48" s="2123"/>
      <c r="Z48" s="141"/>
      <c r="AA48" s="142"/>
      <c r="AB48" s="143"/>
      <c r="AC48" s="151"/>
      <c r="AD48" s="151"/>
      <c r="AE48" s="689"/>
      <c r="AF48" s="402"/>
      <c r="AG48" s="32"/>
      <c r="AH48" s="146"/>
      <c r="AI48" s="147"/>
      <c r="AJ48" s="147"/>
      <c r="AK48" s="689"/>
      <c r="AL48" s="707"/>
      <c r="AM48" s="142"/>
      <c r="AN48" s="231"/>
      <c r="AO48" s="230"/>
      <c r="AP48" s="2124"/>
      <c r="AQ48" s="2124"/>
      <c r="AR48" s="707"/>
      <c r="AS48" s="32">
        <v>3000</v>
      </c>
      <c r="AT48" s="232"/>
      <c r="AU48" s="2125"/>
      <c r="AV48" s="2126"/>
      <c r="AW48" s="716"/>
      <c r="AX48" s="707"/>
      <c r="AY48" s="142"/>
      <c r="AZ48" s="143"/>
      <c r="BA48" s="145"/>
      <c r="BB48" s="151"/>
      <c r="BC48" s="689"/>
      <c r="BD48" s="707"/>
      <c r="BE48" s="142"/>
      <c r="BF48" s="231"/>
      <c r="BG48" s="228"/>
      <c r="BH48" s="2118"/>
      <c r="BI48" s="720"/>
      <c r="BJ48" s="773"/>
      <c r="BK48" s="132"/>
      <c r="BL48" s="768"/>
      <c r="BM48" s="1"/>
    </row>
    <row r="49" spans="1:65" ht="18.600000000000001" thickBot="1" x14ac:dyDescent="0.4">
      <c r="A49" s="2739"/>
      <c r="B49" s="868" t="s">
        <v>234</v>
      </c>
      <c r="C49" s="233"/>
      <c r="D49" s="234" t="s">
        <v>104</v>
      </c>
      <c r="E49" s="586">
        <v>2.5</v>
      </c>
      <c r="F49" s="235">
        <f t="shared" si="11"/>
        <v>0</v>
      </c>
      <c r="G49" s="236">
        <v>44</v>
      </c>
      <c r="H49" s="234">
        <f>G49*E49</f>
        <v>110</v>
      </c>
      <c r="I49" s="386">
        <v>2700</v>
      </c>
      <c r="J49" s="386">
        <v>0</v>
      </c>
      <c r="K49" s="2127">
        <v>3000</v>
      </c>
      <c r="L49" s="77">
        <f t="shared" si="13"/>
        <v>2890</v>
      </c>
      <c r="M49" s="77">
        <f t="shared" si="13"/>
        <v>2780</v>
      </c>
      <c r="N49" s="77">
        <f t="shared" si="13"/>
        <v>2670</v>
      </c>
      <c r="O49" s="77">
        <f t="shared" si="13"/>
        <v>2560</v>
      </c>
      <c r="P49" s="77">
        <f t="shared" si="13"/>
        <v>2450</v>
      </c>
      <c r="Q49" s="77">
        <f t="shared" si="13"/>
        <v>2340</v>
      </c>
      <c r="R49" s="77">
        <f t="shared" si="13"/>
        <v>2230</v>
      </c>
      <c r="S49" s="77">
        <f t="shared" si="13"/>
        <v>2120</v>
      </c>
      <c r="T49" s="2071"/>
      <c r="U49" s="163"/>
      <c r="V49" s="238">
        <v>3000</v>
      </c>
      <c r="W49" s="239"/>
      <c r="X49" s="2122"/>
      <c r="Y49" s="2123"/>
      <c r="Z49" s="240"/>
      <c r="AA49" s="241"/>
      <c r="AB49" s="242"/>
      <c r="AC49" s="596"/>
      <c r="AD49" s="596"/>
      <c r="AE49" s="688"/>
      <c r="AF49" s="387"/>
      <c r="AG49" s="191"/>
      <c r="AH49" s="245"/>
      <c r="AI49" s="735"/>
      <c r="AJ49" s="735"/>
      <c r="AK49" s="688"/>
      <c r="AL49" s="389"/>
      <c r="AM49" s="241"/>
      <c r="AN49" s="246"/>
      <c r="AO49" s="243"/>
      <c r="AP49" s="2128"/>
      <c r="AQ49" s="2128"/>
      <c r="AR49" s="389"/>
      <c r="AS49" s="191"/>
      <c r="AT49" s="247"/>
      <c r="AU49" s="2129"/>
      <c r="AV49" s="2130"/>
      <c r="AW49" s="746"/>
      <c r="AX49" s="389"/>
      <c r="AY49" s="241"/>
      <c r="AZ49" s="242"/>
      <c r="BA49" s="248"/>
      <c r="BB49" s="596"/>
      <c r="BC49" s="688"/>
      <c r="BD49" s="389"/>
      <c r="BE49" s="241"/>
      <c r="BF49" s="249"/>
      <c r="BG49" s="248"/>
      <c r="BH49" s="596"/>
      <c r="BI49" s="688"/>
      <c r="BJ49" s="757"/>
      <c r="BK49" s="7"/>
      <c r="BL49" s="759"/>
      <c r="BM49" s="1"/>
    </row>
    <row r="50" spans="1:65" ht="18" x14ac:dyDescent="0.35">
      <c r="A50" s="2740"/>
      <c r="B50" s="869"/>
      <c r="C50" s="250" t="s">
        <v>532</v>
      </c>
      <c r="D50" s="251" t="s">
        <v>102</v>
      </c>
      <c r="E50" s="587"/>
      <c r="F50" s="252" t="e">
        <f t="shared" si="11"/>
        <v>#DIV/0!</v>
      </c>
      <c r="G50" s="253"/>
      <c r="H50" s="832">
        <f t="shared" ref="H50:H62" si="14">G50*E50</f>
        <v>0</v>
      </c>
      <c r="I50" s="392"/>
      <c r="J50" s="392"/>
      <c r="K50" s="255">
        <f t="shared" ref="K50:S56" si="15">J50-$H50</f>
        <v>0</v>
      </c>
      <c r="L50" s="254">
        <f t="shared" si="15"/>
        <v>0</v>
      </c>
      <c r="M50" s="254">
        <f t="shared" si="15"/>
        <v>0</v>
      </c>
      <c r="N50" s="254">
        <f t="shared" si="15"/>
        <v>0</v>
      </c>
      <c r="O50" s="254">
        <f t="shared" si="15"/>
        <v>0</v>
      </c>
      <c r="P50" s="254">
        <f t="shared" si="15"/>
        <v>0</v>
      </c>
      <c r="Q50" s="253">
        <f t="shared" si="15"/>
        <v>0</v>
      </c>
      <c r="R50" s="254">
        <f t="shared" si="15"/>
        <v>0</v>
      </c>
      <c r="S50" s="253">
        <f t="shared" si="15"/>
        <v>0</v>
      </c>
      <c r="T50" s="2131"/>
      <c r="U50" s="257"/>
      <c r="V50" s="258"/>
      <c r="W50" s="259"/>
      <c r="X50" s="2132"/>
      <c r="Y50" s="2133"/>
      <c r="Z50" s="2080"/>
      <c r="AA50" s="260"/>
      <c r="AB50" s="261"/>
      <c r="AC50" s="262"/>
      <c r="AD50" s="262"/>
      <c r="AE50" s="721"/>
      <c r="AF50" s="395"/>
      <c r="AG50" s="257"/>
      <c r="AH50" s="258"/>
      <c r="AI50" s="259"/>
      <c r="AJ50" s="259"/>
      <c r="AK50" s="721"/>
      <c r="AL50" s="710"/>
      <c r="AM50" s="260"/>
      <c r="AN50" s="264"/>
      <c r="AO50" s="263"/>
      <c r="AP50" s="2134"/>
      <c r="AQ50" s="2134"/>
      <c r="AR50" s="710"/>
      <c r="AS50" s="257"/>
      <c r="AT50" s="265"/>
      <c r="AU50" s="2135"/>
      <c r="AV50" s="2136"/>
      <c r="AW50" s="2084"/>
      <c r="AX50" s="710"/>
      <c r="AY50" s="260"/>
      <c r="AZ50" s="261"/>
      <c r="BA50" s="266"/>
      <c r="BB50" s="262"/>
      <c r="BC50" s="721"/>
      <c r="BD50" s="710"/>
      <c r="BE50" s="260"/>
      <c r="BF50" s="261"/>
      <c r="BG50" s="267"/>
      <c r="BH50" s="2137"/>
      <c r="BI50" s="752"/>
      <c r="BJ50" s="774"/>
      <c r="BK50" s="268"/>
      <c r="BL50" s="775"/>
      <c r="BM50" s="1"/>
    </row>
    <row r="51" spans="1:65" ht="18" x14ac:dyDescent="0.35">
      <c r="A51" s="2741"/>
      <c r="B51" s="867" t="s">
        <v>235</v>
      </c>
      <c r="C51" s="224" t="s">
        <v>232</v>
      </c>
      <c r="D51" s="269" t="s">
        <v>103</v>
      </c>
      <c r="E51" s="585">
        <v>11</v>
      </c>
      <c r="F51" s="226">
        <f t="shared" si="11"/>
        <v>0</v>
      </c>
      <c r="G51" s="139">
        <v>92</v>
      </c>
      <c r="H51" s="831">
        <f t="shared" si="14"/>
        <v>1012</v>
      </c>
      <c r="I51" s="375">
        <v>5800</v>
      </c>
      <c r="J51" s="375">
        <v>5000</v>
      </c>
      <c r="K51" s="227">
        <f t="shared" si="15"/>
        <v>3988</v>
      </c>
      <c r="L51" s="227">
        <f t="shared" si="15"/>
        <v>2976</v>
      </c>
      <c r="M51" s="227">
        <f t="shared" si="15"/>
        <v>1964</v>
      </c>
      <c r="N51" s="2121">
        <v>3952</v>
      </c>
      <c r="O51" s="227">
        <f t="shared" si="15"/>
        <v>2940</v>
      </c>
      <c r="P51" s="227">
        <f t="shared" si="15"/>
        <v>1928</v>
      </c>
      <c r="Q51" s="2121">
        <v>3900</v>
      </c>
      <c r="R51" s="227">
        <f t="shared" si="15"/>
        <v>2888</v>
      </c>
      <c r="S51" s="227">
        <f t="shared" si="15"/>
        <v>1876</v>
      </c>
      <c r="T51" s="2138"/>
      <c r="U51" s="32"/>
      <c r="V51" s="146"/>
      <c r="W51" s="147"/>
      <c r="X51" s="2139"/>
      <c r="Y51" s="2140"/>
      <c r="Z51" s="141"/>
      <c r="AA51" s="142"/>
      <c r="AB51" s="143"/>
      <c r="AC51" s="151"/>
      <c r="AD51" s="151"/>
      <c r="AE51" s="689"/>
      <c r="AF51" s="402"/>
      <c r="AG51" s="32"/>
      <c r="AH51" s="146"/>
      <c r="AI51" s="147"/>
      <c r="AJ51" s="147"/>
      <c r="AK51" s="689"/>
      <c r="AL51" s="707"/>
      <c r="AM51" s="142">
        <v>3000</v>
      </c>
      <c r="AN51" s="231"/>
      <c r="AO51" s="230"/>
      <c r="AP51" s="2124"/>
      <c r="AQ51" s="2124"/>
      <c r="AR51" s="707"/>
      <c r="AS51" s="32"/>
      <c r="AT51" s="232"/>
      <c r="AU51" s="2125"/>
      <c r="AV51" s="2126"/>
      <c r="AW51" s="716"/>
      <c r="AX51" s="707"/>
      <c r="AY51" s="142"/>
      <c r="AZ51" s="143"/>
      <c r="BA51" s="145"/>
      <c r="BB51" s="151"/>
      <c r="BC51" s="689"/>
      <c r="BD51" s="707"/>
      <c r="BE51" s="142">
        <v>3000</v>
      </c>
      <c r="BF51" s="143"/>
      <c r="BG51" s="230"/>
      <c r="BH51" s="2124"/>
      <c r="BI51" s="689"/>
      <c r="BJ51" s="773"/>
      <c r="BK51" s="132"/>
      <c r="BL51" s="768"/>
      <c r="BM51" s="1"/>
    </row>
    <row r="52" spans="1:65" ht="18" x14ac:dyDescent="0.35">
      <c r="A52" s="2741"/>
      <c r="B52" s="867"/>
      <c r="C52" s="233"/>
      <c r="D52" s="300" t="s">
        <v>104</v>
      </c>
      <c r="E52" s="586">
        <v>2.5</v>
      </c>
      <c r="F52" s="226">
        <f t="shared" si="11"/>
        <v>0</v>
      </c>
      <c r="G52" s="236">
        <v>44</v>
      </c>
      <c r="H52" s="934">
        <f t="shared" si="14"/>
        <v>110</v>
      </c>
      <c r="I52" s="385">
        <v>2700</v>
      </c>
      <c r="J52" s="386">
        <v>0</v>
      </c>
      <c r="K52" s="227">
        <f t="shared" si="15"/>
        <v>-110</v>
      </c>
      <c r="L52" s="227">
        <f t="shared" si="15"/>
        <v>-220</v>
      </c>
      <c r="M52" s="227">
        <f t="shared" si="15"/>
        <v>-330</v>
      </c>
      <c r="N52" s="227">
        <f t="shared" si="15"/>
        <v>-440</v>
      </c>
      <c r="O52" s="227">
        <f t="shared" si="15"/>
        <v>-550</v>
      </c>
      <c r="P52" s="227">
        <f t="shared" si="15"/>
        <v>-660</v>
      </c>
      <c r="Q52" s="227">
        <f t="shared" si="15"/>
        <v>-770</v>
      </c>
      <c r="R52" s="227">
        <f t="shared" si="15"/>
        <v>-880</v>
      </c>
      <c r="S52" s="227">
        <f t="shared" si="15"/>
        <v>-990</v>
      </c>
      <c r="T52" s="2141"/>
      <c r="U52" s="2142"/>
      <c r="V52" s="2143"/>
      <c r="W52" s="2144"/>
      <c r="X52" s="2145"/>
      <c r="Y52" s="2146"/>
      <c r="Z52" s="2147"/>
      <c r="AA52" s="2148"/>
      <c r="AB52" s="2149"/>
      <c r="AC52" s="2150"/>
      <c r="AD52" s="2150"/>
      <c r="AE52" s="2151"/>
      <c r="AF52" s="2152"/>
      <c r="AG52" s="2142"/>
      <c r="AH52" s="2143"/>
      <c r="AI52" s="2144"/>
      <c r="AJ52" s="2144"/>
      <c r="AK52" s="2151"/>
      <c r="AL52" s="2153"/>
      <c r="AM52" s="2148"/>
      <c r="AN52" s="2154"/>
      <c r="AO52" s="2155"/>
      <c r="AP52" s="2156"/>
      <c r="AQ52" s="2156"/>
      <c r="AR52" s="2153"/>
      <c r="AS52" s="2142"/>
      <c r="AT52" s="2157"/>
      <c r="AU52" s="2158"/>
      <c r="AV52" s="2159"/>
      <c r="AW52" s="2160"/>
      <c r="AX52" s="2153"/>
      <c r="AY52" s="2148"/>
      <c r="AZ52" s="2149"/>
      <c r="BA52" s="2161"/>
      <c r="BB52" s="2150"/>
      <c r="BC52" s="2151"/>
      <c r="BD52" s="2153"/>
      <c r="BE52" s="2148"/>
      <c r="BF52" s="2149"/>
      <c r="BG52" s="2161"/>
      <c r="BH52" s="2150"/>
      <c r="BI52" s="2151"/>
      <c r="BJ52" s="2162"/>
      <c r="BK52" s="2163"/>
      <c r="BL52" s="2164"/>
      <c r="BM52" s="1"/>
    </row>
    <row r="53" spans="1:65" ht="18.600000000000001" thickBot="1" x14ac:dyDescent="0.4">
      <c r="A53" s="2742"/>
      <c r="B53" s="870" t="s">
        <v>236</v>
      </c>
      <c r="C53" s="270"/>
      <c r="D53" s="935" t="s">
        <v>104</v>
      </c>
      <c r="E53" s="588">
        <v>2.5</v>
      </c>
      <c r="F53" s="272" t="e">
        <f t="shared" si="11"/>
        <v>#DIV/0!</v>
      </c>
      <c r="G53" s="273"/>
      <c r="H53" s="936">
        <f t="shared" si="14"/>
        <v>0</v>
      </c>
      <c r="I53" s="937"/>
      <c r="J53" s="406"/>
      <c r="K53" s="276">
        <f t="shared" si="15"/>
        <v>0</v>
      </c>
      <c r="L53" s="274">
        <f t="shared" si="15"/>
        <v>0</v>
      </c>
      <c r="M53" s="274">
        <f t="shared" si="15"/>
        <v>0</v>
      </c>
      <c r="N53" s="274">
        <f t="shared" si="15"/>
        <v>0</v>
      </c>
      <c r="O53" s="274">
        <f t="shared" si="15"/>
        <v>0</v>
      </c>
      <c r="P53" s="274">
        <f t="shared" si="15"/>
        <v>0</v>
      </c>
      <c r="Q53" s="275">
        <f t="shared" si="15"/>
        <v>0</v>
      </c>
      <c r="R53" s="274">
        <f t="shared" si="15"/>
        <v>0</v>
      </c>
      <c r="S53" s="275">
        <f t="shared" si="15"/>
        <v>0</v>
      </c>
      <c r="T53" s="2165"/>
      <c r="U53" s="278"/>
      <c r="V53" s="279"/>
      <c r="W53" s="280"/>
      <c r="X53" s="2166"/>
      <c r="Y53" s="2167"/>
      <c r="Z53" s="2091"/>
      <c r="AA53" s="281"/>
      <c r="AB53" s="282"/>
      <c r="AC53" s="283"/>
      <c r="AD53" s="283"/>
      <c r="AE53" s="722"/>
      <c r="AF53" s="640"/>
      <c r="AG53" s="278"/>
      <c r="AH53" s="279"/>
      <c r="AI53" s="280"/>
      <c r="AJ53" s="280"/>
      <c r="AK53" s="722"/>
      <c r="AL53" s="415"/>
      <c r="AM53" s="281"/>
      <c r="AN53" s="285"/>
      <c r="AO53" s="284"/>
      <c r="AP53" s="2168"/>
      <c r="AQ53" s="2168"/>
      <c r="AR53" s="415"/>
      <c r="AS53" s="278"/>
      <c r="AT53" s="286"/>
      <c r="AU53" s="2169"/>
      <c r="AV53" s="2170"/>
      <c r="AW53" s="2095"/>
      <c r="AX53" s="415"/>
      <c r="AY53" s="281"/>
      <c r="AZ53" s="282"/>
      <c r="BA53" s="287"/>
      <c r="BB53" s="283"/>
      <c r="BC53" s="722"/>
      <c r="BD53" s="415"/>
      <c r="BE53" s="281"/>
      <c r="BF53" s="282"/>
      <c r="BG53" s="287"/>
      <c r="BH53" s="283"/>
      <c r="BI53" s="722"/>
      <c r="BJ53" s="776"/>
      <c r="BK53" s="288"/>
      <c r="BL53" s="2171"/>
      <c r="BM53" s="1"/>
    </row>
    <row r="54" spans="1:65" ht="18" x14ac:dyDescent="0.35">
      <c r="A54" s="2743"/>
      <c r="B54" s="866"/>
      <c r="C54" s="289"/>
      <c r="D54" s="290" t="s">
        <v>102</v>
      </c>
      <c r="E54" s="589"/>
      <c r="F54" s="291" t="e">
        <f t="shared" si="11"/>
        <v>#DIV/0!</v>
      </c>
      <c r="G54" s="157"/>
      <c r="H54" s="834">
        <f t="shared" si="14"/>
        <v>0</v>
      </c>
      <c r="I54" s="850"/>
      <c r="J54" s="362"/>
      <c r="K54" s="797">
        <f t="shared" si="15"/>
        <v>0</v>
      </c>
      <c r="L54" s="199">
        <f t="shared" si="15"/>
        <v>0</v>
      </c>
      <c r="M54" s="199">
        <f t="shared" si="15"/>
        <v>0</v>
      </c>
      <c r="N54" s="199">
        <f t="shared" si="15"/>
        <v>0</v>
      </c>
      <c r="O54" s="199">
        <f t="shared" si="15"/>
        <v>0</v>
      </c>
      <c r="P54" s="199">
        <f t="shared" si="15"/>
        <v>0</v>
      </c>
      <c r="Q54" s="199">
        <f t="shared" si="15"/>
        <v>0</v>
      </c>
      <c r="R54" s="199">
        <f t="shared" si="15"/>
        <v>0</v>
      </c>
      <c r="S54" s="644">
        <f t="shared" si="15"/>
        <v>0</v>
      </c>
      <c r="T54" s="2172"/>
      <c r="U54" s="292"/>
      <c r="V54" s="293"/>
      <c r="W54" s="596"/>
      <c r="X54" s="243"/>
      <c r="Y54" s="2173"/>
      <c r="Z54" s="2174"/>
      <c r="AA54" s="292"/>
      <c r="AB54" s="293"/>
      <c r="AC54" s="596"/>
      <c r="AD54" s="596"/>
      <c r="AE54" s="688"/>
      <c r="AF54" s="687"/>
      <c r="AG54" s="292"/>
      <c r="AH54" s="293"/>
      <c r="AI54" s="596"/>
      <c r="AJ54" s="596"/>
      <c r="AK54" s="688"/>
      <c r="AL54" s="687"/>
      <c r="AM54" s="292"/>
      <c r="AN54" s="294"/>
      <c r="AO54" s="243"/>
      <c r="AP54" s="2128"/>
      <c r="AQ54" s="2128"/>
      <c r="AR54" s="687"/>
      <c r="AS54" s="292"/>
      <c r="AT54" s="294"/>
      <c r="AU54" s="2175"/>
      <c r="AV54" s="596"/>
      <c r="AW54" s="746"/>
      <c r="AX54" s="389"/>
      <c r="AY54" s="241"/>
      <c r="AZ54" s="242"/>
      <c r="BA54" s="248"/>
      <c r="BB54" s="596"/>
      <c r="BC54" s="688"/>
      <c r="BD54" s="687"/>
      <c r="BE54" s="292"/>
      <c r="BF54" s="293"/>
      <c r="BG54" s="248"/>
      <c r="BH54" s="596"/>
      <c r="BI54" s="688"/>
      <c r="BJ54" s="778"/>
      <c r="BL54" s="761"/>
      <c r="BM54" s="1"/>
    </row>
    <row r="55" spans="1:65" ht="18" x14ac:dyDescent="0.35">
      <c r="A55" s="2743"/>
      <c r="B55" s="867" t="s">
        <v>237</v>
      </c>
      <c r="C55" s="296" t="s">
        <v>533</v>
      </c>
      <c r="D55" s="488" t="s">
        <v>103</v>
      </c>
      <c r="E55" s="591">
        <v>8</v>
      </c>
      <c r="F55" s="235">
        <f t="shared" si="11"/>
        <v>0</v>
      </c>
      <c r="G55" s="236">
        <v>46</v>
      </c>
      <c r="H55" s="234">
        <f t="shared" si="14"/>
        <v>368</v>
      </c>
      <c r="I55" s="851">
        <v>5800</v>
      </c>
      <c r="J55" s="375">
        <v>5800</v>
      </c>
      <c r="K55" s="227">
        <f t="shared" si="15"/>
        <v>5432</v>
      </c>
      <c r="L55" s="227">
        <f t="shared" si="15"/>
        <v>5064</v>
      </c>
      <c r="M55" s="227">
        <f t="shared" si="15"/>
        <v>4696</v>
      </c>
      <c r="N55" s="227">
        <f t="shared" si="15"/>
        <v>4328</v>
      </c>
      <c r="O55" s="227">
        <f t="shared" si="15"/>
        <v>3960</v>
      </c>
      <c r="P55" s="227">
        <f t="shared" si="15"/>
        <v>3592</v>
      </c>
      <c r="Q55" s="227">
        <f t="shared" si="15"/>
        <v>3224</v>
      </c>
      <c r="R55" s="227">
        <f t="shared" si="15"/>
        <v>2856</v>
      </c>
      <c r="S55" s="227">
        <f t="shared" si="15"/>
        <v>2488</v>
      </c>
      <c r="T55" s="2103"/>
      <c r="U55" s="57"/>
      <c r="V55" s="59"/>
      <c r="W55" s="151"/>
      <c r="X55" s="230"/>
      <c r="Y55" s="2176"/>
      <c r="Z55" s="194"/>
      <c r="AA55" s="57"/>
      <c r="AB55" s="59"/>
      <c r="AC55" s="151"/>
      <c r="AD55" s="151"/>
      <c r="AE55" s="689"/>
      <c r="AF55" s="673"/>
      <c r="AG55" s="57"/>
      <c r="AH55" s="59"/>
      <c r="AI55" s="151"/>
      <c r="AJ55" s="151"/>
      <c r="AK55" s="689"/>
      <c r="AL55" s="673"/>
      <c r="AM55" s="57"/>
      <c r="AN55" s="58"/>
      <c r="AO55" s="230"/>
      <c r="AP55" s="2124"/>
      <c r="AQ55" s="2124"/>
      <c r="AR55" s="673"/>
      <c r="AS55" s="57"/>
      <c r="AT55" s="58"/>
      <c r="AU55" s="2177"/>
      <c r="AV55" s="151"/>
      <c r="AW55" s="716"/>
      <c r="AX55" s="707"/>
      <c r="AY55" s="142"/>
      <c r="AZ55" s="143"/>
      <c r="BA55" s="145"/>
      <c r="BB55" s="151"/>
      <c r="BC55" s="689"/>
      <c r="BD55" s="673"/>
      <c r="BE55" s="57"/>
      <c r="BF55" s="59"/>
      <c r="BG55" s="145"/>
      <c r="BH55" s="151"/>
      <c r="BI55" s="689"/>
      <c r="BJ55" s="767"/>
      <c r="BK55" s="298"/>
      <c r="BL55" s="768"/>
      <c r="BM55" s="1"/>
    </row>
    <row r="56" spans="1:65" ht="18.600000000000001" thickBot="1" x14ac:dyDescent="0.4">
      <c r="A56" s="2743"/>
      <c r="B56" s="868" t="s">
        <v>238</v>
      </c>
      <c r="C56" s="595" t="s">
        <v>240</v>
      </c>
      <c r="D56" s="300" t="s">
        <v>104</v>
      </c>
      <c r="E56" s="591"/>
      <c r="F56" s="235" t="e">
        <f t="shared" si="11"/>
        <v>#DIV/0!</v>
      </c>
      <c r="G56" s="236">
        <v>0</v>
      </c>
      <c r="H56" s="234">
        <f t="shared" si="14"/>
        <v>0</v>
      </c>
      <c r="I56" s="851">
        <v>2700</v>
      </c>
      <c r="J56" s="386">
        <v>1500</v>
      </c>
      <c r="K56" s="227">
        <f t="shared" si="15"/>
        <v>1500</v>
      </c>
      <c r="L56" s="227">
        <f t="shared" si="15"/>
        <v>1500</v>
      </c>
      <c r="M56" s="227">
        <f t="shared" si="15"/>
        <v>1500</v>
      </c>
      <c r="N56" s="227">
        <f t="shared" si="15"/>
        <v>1500</v>
      </c>
      <c r="O56" s="227">
        <f t="shared" si="15"/>
        <v>1500</v>
      </c>
      <c r="P56" s="227">
        <f t="shared" si="15"/>
        <v>1500</v>
      </c>
      <c r="Q56" s="227">
        <f t="shared" si="15"/>
        <v>1500</v>
      </c>
      <c r="R56" s="227">
        <f t="shared" si="15"/>
        <v>1500</v>
      </c>
      <c r="S56" s="227">
        <f t="shared" si="15"/>
        <v>1500</v>
      </c>
      <c r="T56" s="2172"/>
      <c r="U56" s="292"/>
      <c r="V56" s="293"/>
      <c r="W56" s="596"/>
      <c r="X56" s="243"/>
      <c r="Y56" s="2173"/>
      <c r="Z56" s="2174"/>
      <c r="AA56" s="292"/>
      <c r="AB56" s="293"/>
      <c r="AC56" s="596"/>
      <c r="AD56" s="596"/>
      <c r="AE56" s="688"/>
      <c r="AF56" s="687"/>
      <c r="AG56" s="292"/>
      <c r="AH56" s="293"/>
      <c r="AI56" s="596"/>
      <c r="AJ56" s="596"/>
      <c r="AK56" s="688"/>
      <c r="AL56" s="687"/>
      <c r="AM56" s="292"/>
      <c r="AN56" s="244"/>
      <c r="AO56" s="243"/>
      <c r="AP56" s="2128"/>
      <c r="AQ56" s="2128"/>
      <c r="AR56" s="687"/>
      <c r="AS56" s="292"/>
      <c r="AT56" s="294"/>
      <c r="AU56" s="2175"/>
      <c r="AV56" s="596"/>
      <c r="AW56" s="717"/>
      <c r="AX56" s="709"/>
      <c r="AY56" s="305"/>
      <c r="AZ56" s="249"/>
      <c r="BA56" s="303"/>
      <c r="BB56" s="2076"/>
      <c r="BC56" s="748"/>
      <c r="BD56" s="687"/>
      <c r="BE56" s="301"/>
      <c r="BF56" s="302"/>
      <c r="BG56" s="303"/>
      <c r="BH56" s="2076"/>
      <c r="BI56" s="748"/>
      <c r="BJ56" s="779"/>
      <c r="BK56" s="597"/>
      <c r="BL56" s="763"/>
      <c r="BM56" s="1"/>
    </row>
    <row r="57" spans="1:65" ht="18" x14ac:dyDescent="0.35">
      <c r="A57" s="2727"/>
      <c r="B57" s="2730" t="s">
        <v>105</v>
      </c>
      <c r="C57" s="598"/>
      <c r="D57" s="599" t="s">
        <v>102</v>
      </c>
      <c r="E57" s="600"/>
      <c r="F57" s="601" t="e">
        <f t="shared" si="11"/>
        <v>#DIV/0!</v>
      </c>
      <c r="G57" s="602"/>
      <c r="H57" s="835">
        <f t="shared" si="14"/>
        <v>0</v>
      </c>
      <c r="I57" s="852"/>
      <c r="J57" s="816"/>
      <c r="K57" s="255">
        <f t="shared" ref="K57:S62" si="16">J57-H57</f>
        <v>0</v>
      </c>
      <c r="L57" s="254">
        <f t="shared" si="16"/>
        <v>0</v>
      </c>
      <c r="M57" s="254">
        <f t="shared" si="16"/>
        <v>0</v>
      </c>
      <c r="N57" s="254">
        <f t="shared" si="16"/>
        <v>0</v>
      </c>
      <c r="O57" s="254">
        <f t="shared" si="16"/>
        <v>0</v>
      </c>
      <c r="P57" s="254">
        <f t="shared" si="16"/>
        <v>0</v>
      </c>
      <c r="Q57" s="253">
        <f t="shared" si="16"/>
        <v>0</v>
      </c>
      <c r="R57" s="254">
        <f t="shared" si="16"/>
        <v>0</v>
      </c>
      <c r="S57" s="253">
        <f t="shared" si="16"/>
        <v>0</v>
      </c>
      <c r="T57" s="2178"/>
      <c r="U57" s="605"/>
      <c r="V57" s="606"/>
      <c r="W57" s="607"/>
      <c r="X57" s="492"/>
      <c r="Y57" s="2179"/>
      <c r="Z57" s="2180"/>
      <c r="AA57" s="605"/>
      <c r="AB57" s="606"/>
      <c r="AC57" s="607"/>
      <c r="AD57" s="607"/>
      <c r="AE57" s="691"/>
      <c r="AF57" s="690"/>
      <c r="AG57" s="605"/>
      <c r="AH57" s="606"/>
      <c r="AI57" s="607"/>
      <c r="AJ57" s="607"/>
      <c r="AK57" s="691"/>
      <c r="AL57" s="690"/>
      <c r="AM57" s="605"/>
      <c r="AN57" s="608"/>
      <c r="AO57" s="492"/>
      <c r="AP57" s="612"/>
      <c r="AQ57" s="612"/>
      <c r="AR57" s="690"/>
      <c r="AS57" s="605"/>
      <c r="AT57" s="609"/>
      <c r="AU57" s="2181"/>
      <c r="AV57" s="607"/>
      <c r="AW57" s="747"/>
      <c r="AX57" s="690"/>
      <c r="AY57" s="605"/>
      <c r="AZ57" s="606"/>
      <c r="BA57" s="610"/>
      <c r="BB57" s="607"/>
      <c r="BC57" s="691"/>
      <c r="BD57" s="690"/>
      <c r="BE57" s="605"/>
      <c r="BF57" s="606"/>
      <c r="BG57" s="611"/>
      <c r="BH57" s="2182"/>
      <c r="BI57" s="691"/>
      <c r="BJ57" s="780"/>
      <c r="BK57" s="612"/>
      <c r="BL57" s="691"/>
      <c r="BM57" s="1"/>
    </row>
    <row r="58" spans="1:65" ht="18" x14ac:dyDescent="0.35">
      <c r="A58" s="2728"/>
      <c r="B58" s="2731"/>
      <c r="C58" s="493"/>
      <c r="D58" s="494" t="s">
        <v>103</v>
      </c>
      <c r="E58" s="592">
        <v>8</v>
      </c>
      <c r="F58" s="495" t="e">
        <f t="shared" si="11"/>
        <v>#DIV/0!</v>
      </c>
      <c r="G58" s="496"/>
      <c r="H58" s="836">
        <f t="shared" si="14"/>
        <v>0</v>
      </c>
      <c r="I58" s="853"/>
      <c r="J58" s="817"/>
      <c r="K58" s="77">
        <f t="shared" si="16"/>
        <v>0</v>
      </c>
      <c r="L58" s="192">
        <f t="shared" si="16"/>
        <v>0</v>
      </c>
      <c r="M58" s="192">
        <f t="shared" si="16"/>
        <v>0</v>
      </c>
      <c r="N58" s="192">
        <f t="shared" si="16"/>
        <v>0</v>
      </c>
      <c r="O58" s="192">
        <f t="shared" si="16"/>
        <v>0</v>
      </c>
      <c r="P58" s="192">
        <f t="shared" si="16"/>
        <v>0</v>
      </c>
      <c r="Q58" s="192">
        <f t="shared" si="16"/>
        <v>0</v>
      </c>
      <c r="R58" s="192">
        <f t="shared" si="16"/>
        <v>0</v>
      </c>
      <c r="S58" s="193">
        <f t="shared" si="16"/>
        <v>0</v>
      </c>
      <c r="T58" s="2183"/>
      <c r="U58" s="499"/>
      <c r="V58" s="500"/>
      <c r="W58" s="501"/>
      <c r="X58" s="497"/>
      <c r="Y58" s="2184"/>
      <c r="Z58" s="2185"/>
      <c r="AA58" s="502"/>
      <c r="AB58" s="503"/>
      <c r="AC58" s="504"/>
      <c r="AD58" s="2186"/>
      <c r="AE58" s="723"/>
      <c r="AF58" s="692"/>
      <c r="AG58" s="499"/>
      <c r="AH58" s="500"/>
      <c r="AI58" s="501"/>
      <c r="AJ58" s="501"/>
      <c r="AK58" s="693"/>
      <c r="AL58" s="692"/>
      <c r="AM58" s="499"/>
      <c r="AN58" s="505"/>
      <c r="AO58" s="497"/>
      <c r="AP58" s="2187"/>
      <c r="AQ58" s="2187"/>
      <c r="AR58" s="692"/>
      <c r="AS58" s="499"/>
      <c r="AT58" s="505"/>
      <c r="AU58" s="2188"/>
      <c r="AV58" s="501"/>
      <c r="AW58" s="726"/>
      <c r="AX58" s="692"/>
      <c r="AY58" s="499"/>
      <c r="AZ58" s="500"/>
      <c r="BA58" s="506"/>
      <c r="BB58" s="501"/>
      <c r="BC58" s="693"/>
      <c r="BD58" s="692"/>
      <c r="BE58" s="499"/>
      <c r="BF58" s="500"/>
      <c r="BG58" s="497"/>
      <c r="BH58" s="2189"/>
      <c r="BI58" s="753"/>
      <c r="BJ58" s="781"/>
      <c r="BK58" s="507"/>
      <c r="BL58" s="693"/>
      <c r="BM58" s="1"/>
    </row>
    <row r="59" spans="1:65" ht="18.600000000000001" thickBot="1" x14ac:dyDescent="0.4">
      <c r="A59" s="2729"/>
      <c r="B59" s="2732"/>
      <c r="C59" s="508"/>
      <c r="D59" s="509" t="s">
        <v>104</v>
      </c>
      <c r="E59" s="593">
        <v>2.5</v>
      </c>
      <c r="F59" s="510" t="e">
        <f t="shared" si="11"/>
        <v>#DIV/0!</v>
      </c>
      <c r="G59" s="511"/>
      <c r="H59" s="837">
        <f t="shared" si="14"/>
        <v>0</v>
      </c>
      <c r="I59" s="819"/>
      <c r="J59" s="818"/>
      <c r="K59" s="2190">
        <f t="shared" si="16"/>
        <v>0</v>
      </c>
      <c r="L59" s="2191">
        <f t="shared" si="16"/>
        <v>0</v>
      </c>
      <c r="M59" s="2191">
        <f t="shared" si="16"/>
        <v>0</v>
      </c>
      <c r="N59" s="2191">
        <f t="shared" si="16"/>
        <v>0</v>
      </c>
      <c r="O59" s="2191">
        <f t="shared" si="16"/>
        <v>0</v>
      </c>
      <c r="P59" s="2191">
        <f t="shared" si="16"/>
        <v>0</v>
      </c>
      <c r="Q59" s="2191">
        <f t="shared" si="16"/>
        <v>0</v>
      </c>
      <c r="R59" s="2191">
        <f t="shared" si="16"/>
        <v>0</v>
      </c>
      <c r="S59" s="2192">
        <f t="shared" si="16"/>
        <v>0</v>
      </c>
      <c r="T59" s="2193"/>
      <c r="U59" s="514"/>
      <c r="V59" s="515"/>
      <c r="W59" s="516"/>
      <c r="X59" s="513"/>
      <c r="Y59" s="2194"/>
      <c r="Z59" s="2195"/>
      <c r="AA59" s="517"/>
      <c r="AB59" s="518"/>
      <c r="AC59" s="519"/>
      <c r="AD59" s="519"/>
      <c r="AE59" s="725"/>
      <c r="AF59" s="694"/>
      <c r="AG59" s="514"/>
      <c r="AH59" s="515"/>
      <c r="AI59" s="513"/>
      <c r="AJ59" s="2196"/>
      <c r="AK59" s="695"/>
      <c r="AL59" s="694"/>
      <c r="AM59" s="514"/>
      <c r="AN59" s="515"/>
      <c r="AO59" s="513"/>
      <c r="AP59" s="2196"/>
      <c r="AQ59" s="2196"/>
      <c r="AR59" s="694"/>
      <c r="AS59" s="514"/>
      <c r="AT59" s="2197"/>
      <c r="AU59" s="2198"/>
      <c r="AV59" s="516"/>
      <c r="AW59" s="727"/>
      <c r="AX59" s="694"/>
      <c r="AY59" s="514"/>
      <c r="AZ59" s="515"/>
      <c r="BA59" s="521"/>
      <c r="BB59" s="516"/>
      <c r="BC59" s="695"/>
      <c r="BD59" s="694"/>
      <c r="BE59" s="514"/>
      <c r="BF59" s="515"/>
      <c r="BG59" s="513"/>
      <c r="BH59" s="2199"/>
      <c r="BI59" s="727"/>
      <c r="BJ59" s="782"/>
      <c r="BK59" s="513"/>
      <c r="BL59" s="695"/>
      <c r="BM59" s="1"/>
    </row>
    <row r="60" spans="1:65" ht="18" customHeight="1" x14ac:dyDescent="0.3">
      <c r="A60" s="2733"/>
      <c r="B60" s="2730" t="s">
        <v>106</v>
      </c>
      <c r="C60" s="610"/>
      <c r="D60" s="599" t="s">
        <v>102</v>
      </c>
      <c r="E60" s="600">
        <v>8</v>
      </c>
      <c r="F60" s="601" t="e">
        <f t="shared" si="11"/>
        <v>#DIV/0!</v>
      </c>
      <c r="G60" s="602"/>
      <c r="H60" s="835">
        <f t="shared" si="14"/>
        <v>0</v>
      </c>
      <c r="I60" s="852"/>
      <c r="J60" s="816"/>
      <c r="K60" s="256">
        <f t="shared" si="16"/>
        <v>0</v>
      </c>
      <c r="L60" s="257">
        <f t="shared" si="16"/>
        <v>0</v>
      </c>
      <c r="M60" s="257">
        <f t="shared" si="16"/>
        <v>0</v>
      </c>
      <c r="N60" s="257">
        <f t="shared" si="16"/>
        <v>0</v>
      </c>
      <c r="O60" s="257">
        <f t="shared" si="16"/>
        <v>0</v>
      </c>
      <c r="P60" s="257">
        <f t="shared" si="16"/>
        <v>0</v>
      </c>
      <c r="Q60" s="257">
        <f t="shared" si="16"/>
        <v>0</v>
      </c>
      <c r="R60" s="257">
        <f t="shared" si="16"/>
        <v>0</v>
      </c>
      <c r="S60" s="265">
        <f t="shared" si="16"/>
        <v>0</v>
      </c>
      <c r="T60" s="2178"/>
      <c r="U60" s="605"/>
      <c r="V60" s="606"/>
      <c r="W60" s="607"/>
      <c r="X60" s="492"/>
      <c r="Y60" s="2179"/>
      <c r="Z60" s="2180"/>
      <c r="AA60" s="605"/>
      <c r="AB60" s="606"/>
      <c r="AC60" s="607"/>
      <c r="AD60" s="607"/>
      <c r="AE60" s="691"/>
      <c r="AF60" s="690"/>
      <c r="AG60" s="605"/>
      <c r="AH60" s="606"/>
      <c r="AI60" s="607"/>
      <c r="AJ60" s="607"/>
      <c r="AK60" s="691"/>
      <c r="AL60" s="690"/>
      <c r="AM60" s="605"/>
      <c r="AN60" s="606"/>
      <c r="AO60" s="610"/>
      <c r="AP60" s="607"/>
      <c r="AQ60" s="607"/>
      <c r="AR60" s="690"/>
      <c r="AS60" s="605"/>
      <c r="AT60" s="609"/>
      <c r="AU60" s="2181"/>
      <c r="AV60" s="607"/>
      <c r="AW60" s="747"/>
      <c r="AX60" s="690"/>
      <c r="AY60" s="605"/>
      <c r="AZ60" s="606"/>
      <c r="BA60" s="610"/>
      <c r="BB60" s="607"/>
      <c r="BC60" s="691"/>
      <c r="BD60" s="690"/>
      <c r="BE60" s="605"/>
      <c r="BF60" s="606"/>
      <c r="BG60" s="617"/>
      <c r="BH60" s="2200"/>
      <c r="BI60" s="747"/>
      <c r="BJ60" s="780"/>
      <c r="BK60" s="492"/>
      <c r="BL60" s="691"/>
      <c r="BM60" s="1"/>
    </row>
    <row r="61" spans="1:65" ht="18.600000000000001" customHeight="1" x14ac:dyDescent="0.3">
      <c r="A61" s="2734"/>
      <c r="B61" s="2731"/>
      <c r="C61" s="506"/>
      <c r="D61" s="522" t="s">
        <v>103</v>
      </c>
      <c r="E61" s="590">
        <v>8</v>
      </c>
      <c r="F61" s="523" t="e">
        <f t="shared" si="11"/>
        <v>#DIV/0!</v>
      </c>
      <c r="G61" s="524"/>
      <c r="H61" s="838">
        <f t="shared" si="14"/>
        <v>0</v>
      </c>
      <c r="I61" s="854"/>
      <c r="J61" s="817"/>
      <c r="K61" s="881">
        <f t="shared" si="16"/>
        <v>0</v>
      </c>
      <c r="L61" s="156">
        <f t="shared" si="16"/>
        <v>0</v>
      </c>
      <c r="M61" s="156">
        <f t="shared" si="16"/>
        <v>0</v>
      </c>
      <c r="N61" s="156">
        <f t="shared" si="16"/>
        <v>0</v>
      </c>
      <c r="O61" s="156">
        <f t="shared" si="16"/>
        <v>0</v>
      </c>
      <c r="P61" s="156">
        <f t="shared" si="16"/>
        <v>0</v>
      </c>
      <c r="Q61" s="156">
        <f t="shared" si="16"/>
        <v>0</v>
      </c>
      <c r="R61" s="156">
        <f t="shared" si="16"/>
        <v>0</v>
      </c>
      <c r="S61" s="1689">
        <f t="shared" si="16"/>
        <v>0</v>
      </c>
      <c r="T61" s="2201"/>
      <c r="U61" s="502"/>
      <c r="V61" s="503"/>
      <c r="W61" s="525"/>
      <c r="X61" s="497"/>
      <c r="Y61" s="2184"/>
      <c r="Z61" s="2185"/>
      <c r="AA61" s="502"/>
      <c r="AB61" s="503"/>
      <c r="AC61" s="504"/>
      <c r="AD61" s="501"/>
      <c r="AE61" s="726"/>
      <c r="AF61" s="696"/>
      <c r="AG61" s="502"/>
      <c r="AH61" s="503"/>
      <c r="AI61" s="501"/>
      <c r="AJ61" s="501"/>
      <c r="AK61" s="693"/>
      <c r="AL61" s="742"/>
      <c r="AM61" s="502"/>
      <c r="AN61" s="503"/>
      <c r="AO61" s="526"/>
      <c r="AP61" s="525"/>
      <c r="AQ61" s="525"/>
      <c r="AR61" s="696"/>
      <c r="AS61" s="502"/>
      <c r="AT61" s="527"/>
      <c r="AU61" s="2202"/>
      <c r="AV61" s="501"/>
      <c r="AW61" s="726"/>
      <c r="AX61" s="696"/>
      <c r="AY61" s="502"/>
      <c r="AZ61" s="503"/>
      <c r="BA61" s="526"/>
      <c r="BB61" s="525"/>
      <c r="BC61" s="723"/>
      <c r="BD61" s="696"/>
      <c r="BE61" s="502"/>
      <c r="BF61" s="503"/>
      <c r="BG61" s="504"/>
      <c r="BH61" s="2203"/>
      <c r="BI61" s="754"/>
      <c r="BJ61" s="783"/>
      <c r="BK61" s="489"/>
      <c r="BL61" s="753"/>
      <c r="BM61" s="1"/>
    </row>
    <row r="62" spans="1:65" ht="21" customHeight="1" thickBot="1" x14ac:dyDescent="0.35">
      <c r="A62" s="2735"/>
      <c r="B62" s="2732"/>
      <c r="C62" s="513"/>
      <c r="D62" s="512" t="s">
        <v>104</v>
      </c>
      <c r="E62" s="618">
        <v>2.5</v>
      </c>
      <c r="F62" s="510" t="e">
        <f t="shared" si="11"/>
        <v>#DIV/0!</v>
      </c>
      <c r="G62" s="619"/>
      <c r="H62" s="837">
        <f t="shared" si="14"/>
        <v>0</v>
      </c>
      <c r="I62" s="819"/>
      <c r="J62" s="819"/>
      <c r="K62" s="2190">
        <f t="shared" si="16"/>
        <v>0</v>
      </c>
      <c r="L62" s="2191">
        <f t="shared" si="16"/>
        <v>0</v>
      </c>
      <c r="M62" s="2191">
        <f t="shared" si="16"/>
        <v>0</v>
      </c>
      <c r="N62" s="2191">
        <f t="shared" si="16"/>
        <v>0</v>
      </c>
      <c r="O62" s="2191">
        <f t="shared" si="16"/>
        <v>0</v>
      </c>
      <c r="P62" s="2191">
        <f t="shared" si="16"/>
        <v>0</v>
      </c>
      <c r="Q62" s="2191">
        <f t="shared" si="16"/>
        <v>0</v>
      </c>
      <c r="R62" s="2191">
        <f t="shared" si="16"/>
        <v>0</v>
      </c>
      <c r="S62" s="2192">
        <f t="shared" si="16"/>
        <v>0</v>
      </c>
      <c r="T62" s="2204"/>
      <c r="U62" s="514"/>
      <c r="V62" s="515"/>
      <c r="W62" s="519"/>
      <c r="X62" s="2205"/>
      <c r="Y62" s="2194"/>
      <c r="Z62" s="2206"/>
      <c r="AA62" s="514"/>
      <c r="AB62" s="515"/>
      <c r="AC62" s="513"/>
      <c r="AD62" s="516"/>
      <c r="AE62" s="727"/>
      <c r="AF62" s="736"/>
      <c r="AG62" s="517"/>
      <c r="AH62" s="518"/>
      <c r="AI62" s="513"/>
      <c r="AJ62" s="2196"/>
      <c r="AK62" s="695"/>
      <c r="AL62" s="736"/>
      <c r="AM62" s="514"/>
      <c r="AN62" s="515"/>
      <c r="AO62" s="620"/>
      <c r="AP62" s="519"/>
      <c r="AQ62" s="519"/>
      <c r="AR62" s="736"/>
      <c r="AS62" s="514"/>
      <c r="AT62" s="515"/>
      <c r="AU62" s="520"/>
      <c r="AV62" s="2207"/>
      <c r="AW62" s="695"/>
      <c r="AX62" s="736"/>
      <c r="AY62" s="514"/>
      <c r="AZ62" s="515"/>
      <c r="BA62" s="620"/>
      <c r="BB62" s="519"/>
      <c r="BC62" s="725"/>
      <c r="BD62" s="736"/>
      <c r="BE62" s="517"/>
      <c r="BF62" s="518"/>
      <c r="BG62" s="513"/>
      <c r="BH62" s="2208"/>
      <c r="BI62" s="2209"/>
      <c r="BJ62" s="784"/>
      <c r="BK62" s="513"/>
      <c r="BL62" s="695"/>
      <c r="BM62" s="1"/>
    </row>
    <row r="63" spans="1:65" s="1" customFormat="1" ht="21" customHeight="1" thickBot="1" x14ac:dyDescent="0.35">
      <c r="A63" s="48"/>
      <c r="B63" s="938"/>
      <c r="D63" s="939"/>
      <c r="E63" s="940"/>
      <c r="F63" s="941"/>
      <c r="G63" s="48"/>
      <c r="H63" s="939"/>
      <c r="I63" s="815"/>
      <c r="J63" s="815"/>
      <c r="K63" s="48"/>
      <c r="L63" s="48"/>
      <c r="M63" s="48"/>
      <c r="N63" s="48"/>
      <c r="O63" s="48"/>
      <c r="P63" s="48"/>
      <c r="Q63" s="48"/>
      <c r="R63" s="48"/>
      <c r="S63" s="48"/>
      <c r="T63" s="2107"/>
      <c r="Y63" s="2108"/>
      <c r="AE63" s="678"/>
      <c r="AF63" s="677"/>
      <c r="AK63" s="678"/>
      <c r="AL63" s="677"/>
      <c r="AR63" s="677"/>
      <c r="AW63" s="678"/>
      <c r="AX63" s="677"/>
      <c r="BC63" s="678"/>
      <c r="BD63" s="677"/>
      <c r="BI63" s="678"/>
      <c r="BJ63" s="677"/>
      <c r="BL63" s="678"/>
    </row>
    <row r="64" spans="1:65" s="1" customFormat="1" ht="21" customHeight="1" thickTop="1" thickBot="1" x14ac:dyDescent="0.35">
      <c r="A64" s="875" t="s">
        <v>300</v>
      </c>
      <c r="B64" s="876"/>
      <c r="C64" s="877"/>
      <c r="E64" s="79"/>
      <c r="F64" s="712"/>
      <c r="I64" s="815"/>
      <c r="J64" s="815"/>
      <c r="T64" s="2107"/>
      <c r="U64" s="79"/>
      <c r="Y64" s="2108"/>
      <c r="Z64" s="79"/>
      <c r="AE64" s="678"/>
      <c r="AF64" s="677"/>
      <c r="AH64" s="79"/>
      <c r="AK64" s="678"/>
      <c r="AL64" s="677"/>
      <c r="AO64" s="879"/>
      <c r="AR64" s="677"/>
      <c r="AW64" s="678"/>
      <c r="AX64" s="677"/>
      <c r="AY64" s="79"/>
      <c r="AZ64" s="79"/>
      <c r="BC64" s="678"/>
      <c r="BD64" s="677"/>
      <c r="BF64" s="79"/>
      <c r="BI64" s="678"/>
      <c r="BJ64" s="677"/>
      <c r="BL64" s="678"/>
    </row>
    <row r="65" spans="1:65" s="1" customFormat="1" ht="21" customHeight="1" thickBot="1" x14ac:dyDescent="0.35">
      <c r="A65" s="1008" t="s">
        <v>29</v>
      </c>
      <c r="B65" s="885" t="s">
        <v>30</v>
      </c>
      <c r="C65" s="886" t="s">
        <v>31</v>
      </c>
      <c r="D65" s="887" t="s">
        <v>2</v>
      </c>
      <c r="E65" s="888" t="s">
        <v>32</v>
      </c>
      <c r="F65" s="888" t="s">
        <v>33</v>
      </c>
      <c r="G65" s="889" t="s">
        <v>34</v>
      </c>
      <c r="H65" s="890" t="s">
        <v>35</v>
      </c>
      <c r="I65" s="891" t="s">
        <v>36</v>
      </c>
      <c r="J65" s="891" t="s">
        <v>37</v>
      </c>
      <c r="K65" s="892" t="s">
        <v>38</v>
      </c>
      <c r="L65" s="888" t="s">
        <v>39</v>
      </c>
      <c r="M65" s="888" t="s">
        <v>40</v>
      </c>
      <c r="N65" s="888" t="s">
        <v>41</v>
      </c>
      <c r="O65" s="888" t="s">
        <v>42</v>
      </c>
      <c r="P65" s="888" t="s">
        <v>43</v>
      </c>
      <c r="Q65" s="889" t="s">
        <v>44</v>
      </c>
      <c r="R65" s="888" t="s">
        <v>38</v>
      </c>
      <c r="S65" s="889" t="s">
        <v>45</v>
      </c>
      <c r="T65" s="2210" t="s">
        <v>301</v>
      </c>
      <c r="U65" s="2110" t="s">
        <v>302</v>
      </c>
      <c r="V65" s="894" t="s">
        <v>303</v>
      </c>
      <c r="W65" s="2211" t="s">
        <v>304</v>
      </c>
      <c r="X65" s="2110" t="s">
        <v>306</v>
      </c>
      <c r="Y65" s="2212" t="s">
        <v>305</v>
      </c>
      <c r="Z65" s="896" t="s">
        <v>310</v>
      </c>
      <c r="AA65" s="2110" t="s">
        <v>311</v>
      </c>
      <c r="AB65" s="896" t="s">
        <v>312</v>
      </c>
      <c r="AC65" s="2110" t="s">
        <v>313</v>
      </c>
      <c r="AD65" s="896" t="s">
        <v>314</v>
      </c>
      <c r="AE65" s="2110" t="s">
        <v>315</v>
      </c>
      <c r="AF65" s="2110" t="s">
        <v>317</v>
      </c>
      <c r="AG65" s="2213" t="s">
        <v>318</v>
      </c>
      <c r="AH65" s="2110" t="s">
        <v>319</v>
      </c>
      <c r="AI65" s="2214" t="s">
        <v>320</v>
      </c>
      <c r="AJ65" s="2110" t="s">
        <v>321</v>
      </c>
      <c r="AK65" s="2214" t="s">
        <v>322</v>
      </c>
      <c r="AL65" s="2110" t="s">
        <v>324</v>
      </c>
      <c r="AM65" s="2213" t="s">
        <v>325</v>
      </c>
      <c r="AN65" s="2110" t="s">
        <v>326</v>
      </c>
      <c r="AO65" s="2214" t="s">
        <v>327</v>
      </c>
      <c r="AP65" s="2110" t="s">
        <v>328</v>
      </c>
      <c r="AQ65" s="2215" t="s">
        <v>329</v>
      </c>
      <c r="AR65" s="2214" t="s">
        <v>331</v>
      </c>
      <c r="AS65" s="2110" t="s">
        <v>332</v>
      </c>
      <c r="AT65" s="2215" t="s">
        <v>333</v>
      </c>
      <c r="AU65" s="2110" t="s">
        <v>334</v>
      </c>
      <c r="AV65" s="2214" t="s">
        <v>335</v>
      </c>
      <c r="AW65" s="2110" t="s">
        <v>336</v>
      </c>
      <c r="AX65" s="2214" t="s">
        <v>337</v>
      </c>
      <c r="AY65" s="2110" t="s">
        <v>338</v>
      </c>
      <c r="AZ65" s="2215" t="s">
        <v>339</v>
      </c>
      <c r="BA65" s="2110" t="s">
        <v>340</v>
      </c>
      <c r="BB65" s="2214" t="s">
        <v>341</v>
      </c>
      <c r="BC65" s="2214" t="s">
        <v>342</v>
      </c>
      <c r="BD65" s="2110" t="s">
        <v>343</v>
      </c>
      <c r="BE65" s="2216" t="s">
        <v>344</v>
      </c>
      <c r="BF65" s="2110" t="s">
        <v>345</v>
      </c>
      <c r="BG65" s="2110" t="s">
        <v>346</v>
      </c>
      <c r="BH65" s="110" t="s">
        <v>347</v>
      </c>
      <c r="BI65" s="2114" t="s">
        <v>348</v>
      </c>
      <c r="BJ65" s="901" t="s">
        <v>70</v>
      </c>
      <c r="BK65" s="896" t="s">
        <v>71</v>
      </c>
      <c r="BL65" s="902" t="s">
        <v>72</v>
      </c>
    </row>
    <row r="66" spans="1:65" s="1" customFormat="1" ht="21" customHeight="1" x14ac:dyDescent="0.35">
      <c r="A66" s="2753"/>
      <c r="B66" s="866"/>
      <c r="C66" s="942"/>
      <c r="D66" s="290" t="s">
        <v>293</v>
      </c>
      <c r="E66" s="943"/>
      <c r="F66" s="944" t="e">
        <f t="shared" ref="F66:F77" si="17">(BL66/G66)/7</f>
        <v>#DIV/0!</v>
      </c>
      <c r="G66" s="480"/>
      <c r="H66" s="945">
        <f>G66*E66</f>
        <v>0</v>
      </c>
      <c r="I66" s="826"/>
      <c r="J66" s="826"/>
      <c r="K66" s="2217">
        <f>J66-H66</f>
        <v>0</v>
      </c>
      <c r="L66" s="479">
        <f t="shared" ref="L66:S76" si="18">K66-$H66</f>
        <v>0</v>
      </c>
      <c r="M66" s="479">
        <f t="shared" si="18"/>
        <v>0</v>
      </c>
      <c r="N66" s="479">
        <f t="shared" si="18"/>
        <v>0</v>
      </c>
      <c r="O66" s="479">
        <f t="shared" si="18"/>
        <v>0</v>
      </c>
      <c r="P66" s="479">
        <f t="shared" si="18"/>
        <v>0</v>
      </c>
      <c r="Q66" s="480">
        <f t="shared" si="18"/>
        <v>0</v>
      </c>
      <c r="R66" s="479">
        <f t="shared" si="18"/>
        <v>0</v>
      </c>
      <c r="S66" s="480">
        <f t="shared" si="18"/>
        <v>0</v>
      </c>
      <c r="T66" s="2218"/>
      <c r="U66" s="479"/>
      <c r="V66" s="2217"/>
      <c r="W66" s="480"/>
      <c r="X66" s="479"/>
      <c r="Y66" s="2219"/>
      <c r="Z66" s="2220"/>
      <c r="AA66" s="188"/>
      <c r="AB66" s="2220"/>
      <c r="AC66" s="188"/>
      <c r="AD66" s="2220"/>
      <c r="AE66" s="188"/>
      <c r="AF66" s="479"/>
      <c r="AG66" s="480"/>
      <c r="AH66" s="479"/>
      <c r="AI66" s="480"/>
      <c r="AJ66" s="479"/>
      <c r="AK66" s="2221"/>
      <c r="AL66" s="188"/>
      <c r="AM66" s="2220"/>
      <c r="AN66" s="188"/>
      <c r="AO66" s="188"/>
      <c r="AP66" s="188"/>
      <c r="AQ66" s="2220"/>
      <c r="AR66" s="2222"/>
      <c r="AS66" s="479"/>
      <c r="AT66" s="480"/>
      <c r="AU66" s="479"/>
      <c r="AV66" s="2223"/>
      <c r="AW66" s="188"/>
      <c r="AX66" s="185"/>
      <c r="AY66" s="2224"/>
      <c r="AZ66" s="186"/>
      <c r="BA66" s="187"/>
      <c r="BB66" s="2220"/>
      <c r="BC66" s="2221"/>
      <c r="BD66" s="188"/>
      <c r="BE66" s="2225"/>
      <c r="BF66" s="188"/>
      <c r="BG66" s="188"/>
      <c r="BH66" s="188"/>
      <c r="BI66" s="2226"/>
      <c r="BJ66" s="778"/>
      <c r="BK66" s="2227"/>
      <c r="BL66" s="2228"/>
    </row>
    <row r="67" spans="1:65" s="1" customFormat="1" ht="18.600000000000001" thickBot="1" x14ac:dyDescent="0.4">
      <c r="A67" s="2754"/>
      <c r="B67" s="867"/>
      <c r="C67" s="946"/>
      <c r="D67" s="290" t="s">
        <v>293</v>
      </c>
      <c r="E67" s="947"/>
      <c r="F67" s="948" t="e">
        <f t="shared" si="17"/>
        <v>#DIV/0!</v>
      </c>
      <c r="G67" s="482"/>
      <c r="H67" s="949">
        <f>G67*E67</f>
        <v>0</v>
      </c>
      <c r="I67" s="950"/>
      <c r="J67" s="950"/>
      <c r="K67" s="2229">
        <f>J67-$H67</f>
        <v>0</v>
      </c>
      <c r="L67" s="481">
        <f>K67-$H67</f>
        <v>0</v>
      </c>
      <c r="M67" s="481">
        <f t="shared" si="18"/>
        <v>0</v>
      </c>
      <c r="N67" s="481">
        <f t="shared" si="18"/>
        <v>0</v>
      </c>
      <c r="O67" s="481">
        <f t="shared" si="18"/>
        <v>0</v>
      </c>
      <c r="P67" s="481">
        <f t="shared" si="18"/>
        <v>0</v>
      </c>
      <c r="Q67" s="481">
        <f t="shared" si="18"/>
        <v>0</v>
      </c>
      <c r="R67" s="481">
        <f t="shared" si="18"/>
        <v>0</v>
      </c>
      <c r="S67" s="657">
        <f t="shared" si="18"/>
        <v>0</v>
      </c>
      <c r="T67" s="2230"/>
      <c r="U67" s="481"/>
      <c r="V67" s="2229"/>
      <c r="W67" s="482"/>
      <c r="X67" s="2231"/>
      <c r="Y67" s="2232"/>
      <c r="Z67" s="198"/>
      <c r="AA67" s="196"/>
      <c r="AB67" s="198"/>
      <c r="AC67" s="196"/>
      <c r="AD67" s="198"/>
      <c r="AE67" s="196"/>
      <c r="AF67" s="481"/>
      <c r="AG67" s="482"/>
      <c r="AH67" s="481"/>
      <c r="AI67" s="482"/>
      <c r="AJ67" s="481"/>
      <c r="AK67" s="298"/>
      <c r="AL67" s="196"/>
      <c r="AM67" s="198"/>
      <c r="AN67" s="196"/>
      <c r="AO67" s="196"/>
      <c r="AP67" s="196"/>
      <c r="AQ67" s="198"/>
      <c r="AR67" s="2233"/>
      <c r="AS67" s="481"/>
      <c r="AT67" s="482"/>
      <c r="AU67" s="481"/>
      <c r="AV67" s="657"/>
      <c r="AW67" s="196"/>
      <c r="AX67" s="194"/>
      <c r="AY67" s="57"/>
      <c r="AZ67" s="59"/>
      <c r="BA67" s="195"/>
      <c r="BB67" s="198"/>
      <c r="BC67" s="298"/>
      <c r="BD67" s="196"/>
      <c r="BE67" s="198"/>
      <c r="BF67" s="196"/>
      <c r="BG67" s="188"/>
      <c r="BH67" s="188"/>
      <c r="BI67" s="2226"/>
      <c r="BJ67" s="767"/>
      <c r="BK67" s="196"/>
      <c r="BL67" s="2234"/>
    </row>
    <row r="68" spans="1:65" s="1" customFormat="1" ht="18" x14ac:dyDescent="0.35">
      <c r="A68" s="951"/>
      <c r="B68" s="869"/>
      <c r="C68" s="952"/>
      <c r="D68" s="953" t="s">
        <v>294</v>
      </c>
      <c r="E68" s="954"/>
      <c r="F68" s="955" t="e">
        <f t="shared" si="17"/>
        <v>#DIV/0!</v>
      </c>
      <c r="G68" s="956"/>
      <c r="H68" s="957">
        <f t="shared" ref="H68:H77" si="19">G68*E68</f>
        <v>0</v>
      </c>
      <c r="I68" s="958"/>
      <c r="J68" s="958"/>
      <c r="K68" s="2235">
        <f t="shared" ref="K68" si="20">(J68-$H68)+T68</f>
        <v>0</v>
      </c>
      <c r="L68" s="959">
        <f t="shared" ref="L68:L71" si="21">K68-$H68</f>
        <v>0</v>
      </c>
      <c r="M68" s="959">
        <f t="shared" si="18"/>
        <v>0</v>
      </c>
      <c r="N68" s="959">
        <f t="shared" si="18"/>
        <v>0</v>
      </c>
      <c r="O68" s="959">
        <f t="shared" si="18"/>
        <v>0</v>
      </c>
      <c r="P68" s="959">
        <f t="shared" si="18"/>
        <v>0</v>
      </c>
      <c r="Q68" s="956">
        <f t="shared" si="18"/>
        <v>0</v>
      </c>
      <c r="R68" s="959">
        <f t="shared" si="18"/>
        <v>0</v>
      </c>
      <c r="S68" s="956">
        <f t="shared" si="18"/>
        <v>0</v>
      </c>
      <c r="T68" s="2236"/>
      <c r="U68" s="959"/>
      <c r="V68" s="2235"/>
      <c r="W68" s="956"/>
      <c r="X68" s="959"/>
      <c r="Y68" s="2237"/>
      <c r="Z68" s="2238"/>
      <c r="AA68" s="2239"/>
      <c r="AB68" s="2238"/>
      <c r="AC68" s="2239"/>
      <c r="AD68" s="2238"/>
      <c r="AE68" s="2239"/>
      <c r="AF68" s="959"/>
      <c r="AG68" s="956"/>
      <c r="AH68" s="959"/>
      <c r="AI68" s="956"/>
      <c r="AJ68" s="959"/>
      <c r="AK68" s="2240"/>
      <c r="AL68" s="2239"/>
      <c r="AM68" s="2238"/>
      <c r="AN68" s="2239"/>
      <c r="AO68" s="2239"/>
      <c r="AP68" s="2239"/>
      <c r="AQ68" s="2238"/>
      <c r="AR68" s="2241"/>
      <c r="AS68" s="959"/>
      <c r="AT68" s="956"/>
      <c r="AU68" s="959"/>
      <c r="AV68" s="2242"/>
      <c r="AW68" s="2239"/>
      <c r="AX68" s="2081"/>
      <c r="AY68" s="2243"/>
      <c r="AZ68" s="2244"/>
      <c r="BA68" s="1997"/>
      <c r="BB68" s="2238"/>
      <c r="BC68" s="2240"/>
      <c r="BD68" s="2239"/>
      <c r="BE68" s="2238"/>
      <c r="BF68" s="2239"/>
      <c r="BG68" s="2245"/>
      <c r="BH68" s="2245"/>
      <c r="BI68" s="2246"/>
      <c r="BJ68" s="2247"/>
      <c r="BK68" s="2248"/>
      <c r="BL68" s="2249"/>
    </row>
    <row r="69" spans="1:65" s="1" customFormat="1" ht="18.600000000000001" thickBot="1" x14ac:dyDescent="0.4">
      <c r="A69" s="1007"/>
      <c r="B69" s="960"/>
      <c r="C69" s="961"/>
      <c r="D69" s="962" t="s">
        <v>294</v>
      </c>
      <c r="E69" s="963"/>
      <c r="F69" s="964" t="e">
        <f t="shared" si="17"/>
        <v>#DIV/0!</v>
      </c>
      <c r="G69" s="965"/>
      <c r="H69" s="966">
        <f t="shared" si="19"/>
        <v>0</v>
      </c>
      <c r="I69" s="967"/>
      <c r="J69" s="967"/>
      <c r="K69" s="2250">
        <f t="shared" ref="K69:K70" si="22">J69-$H69</f>
        <v>0</v>
      </c>
      <c r="L69" s="2251">
        <f t="shared" si="21"/>
        <v>0</v>
      </c>
      <c r="M69" s="2251">
        <f t="shared" si="18"/>
        <v>0</v>
      </c>
      <c r="N69" s="2251">
        <f t="shared" si="18"/>
        <v>0</v>
      </c>
      <c r="O69" s="2251">
        <f t="shared" si="18"/>
        <v>0</v>
      </c>
      <c r="P69" s="2251">
        <f t="shared" si="18"/>
        <v>0</v>
      </c>
      <c r="Q69" s="965">
        <f t="shared" si="18"/>
        <v>0</v>
      </c>
      <c r="R69" s="2251">
        <f t="shared" si="18"/>
        <v>0</v>
      </c>
      <c r="S69" s="965">
        <f t="shared" si="18"/>
        <v>0</v>
      </c>
      <c r="T69" s="2252"/>
      <c r="U69" s="2251"/>
      <c r="V69" s="2250"/>
      <c r="W69" s="965"/>
      <c r="X69" s="2251"/>
      <c r="Y69" s="2253"/>
      <c r="Z69" s="2254"/>
      <c r="AA69" s="2005"/>
      <c r="AB69" s="2254"/>
      <c r="AC69" s="2005"/>
      <c r="AD69" s="2254"/>
      <c r="AE69" s="2005"/>
      <c r="AF69" s="2251"/>
      <c r="AG69" s="965"/>
      <c r="AH69" s="2251"/>
      <c r="AI69" s="965"/>
      <c r="AJ69" s="2251"/>
      <c r="AK69" s="2255"/>
      <c r="AL69" s="2005"/>
      <c r="AM69" s="2254"/>
      <c r="AN69" s="2005"/>
      <c r="AO69" s="2005"/>
      <c r="AP69" s="2005"/>
      <c r="AQ69" s="2254"/>
      <c r="AR69" s="2256"/>
      <c r="AS69" s="2251"/>
      <c r="AT69" s="965"/>
      <c r="AU69" s="2251"/>
      <c r="AV69" s="2007"/>
      <c r="AW69" s="2005"/>
      <c r="AX69" s="2257"/>
      <c r="AY69" s="2258"/>
      <c r="AZ69" s="2259"/>
      <c r="BA69" s="2260"/>
      <c r="BB69" s="2254"/>
      <c r="BC69" s="2255"/>
      <c r="BD69" s="2005"/>
      <c r="BE69" s="2254"/>
      <c r="BF69" s="2005"/>
      <c r="BG69" s="2005"/>
      <c r="BH69" s="2005"/>
      <c r="BI69" s="2261"/>
      <c r="BJ69" s="2262"/>
      <c r="BK69" s="2005"/>
      <c r="BL69" s="2263"/>
    </row>
    <row r="70" spans="1:65" s="1" customFormat="1" ht="18" x14ac:dyDescent="0.35">
      <c r="A70" s="968"/>
      <c r="B70" s="969"/>
      <c r="C70" s="970"/>
      <c r="D70" s="290" t="s">
        <v>295</v>
      </c>
      <c r="E70" s="971"/>
      <c r="F70" s="944" t="e">
        <f t="shared" si="17"/>
        <v>#DIV/0!</v>
      </c>
      <c r="G70" s="959"/>
      <c r="H70" s="973">
        <f t="shared" si="19"/>
        <v>0</v>
      </c>
      <c r="I70" s="974"/>
      <c r="J70" s="958"/>
      <c r="K70" s="2264">
        <f t="shared" si="22"/>
        <v>0</v>
      </c>
      <c r="L70" s="959">
        <f t="shared" si="21"/>
        <v>0</v>
      </c>
      <c r="M70" s="959">
        <f t="shared" si="18"/>
        <v>0</v>
      </c>
      <c r="N70" s="2235">
        <f t="shared" si="18"/>
        <v>0</v>
      </c>
      <c r="O70" s="2235">
        <f t="shared" si="18"/>
        <v>0</v>
      </c>
      <c r="P70" s="2235">
        <f t="shared" si="18"/>
        <v>0</v>
      </c>
      <c r="Q70" s="2235">
        <f t="shared" si="18"/>
        <v>0</v>
      </c>
      <c r="R70" s="2235">
        <f t="shared" si="18"/>
        <v>0</v>
      </c>
      <c r="S70" s="956">
        <f t="shared" si="18"/>
        <v>0</v>
      </c>
      <c r="T70" s="2236"/>
      <c r="U70" s="2265"/>
      <c r="V70" s="2266"/>
      <c r="W70" s="2267"/>
      <c r="X70" s="2265"/>
      <c r="Y70" s="2268"/>
      <c r="Z70" s="2269"/>
      <c r="AA70" s="2270"/>
      <c r="AB70" s="2269"/>
      <c r="AC70" s="2270"/>
      <c r="AD70" s="2269"/>
      <c r="AE70" s="2270"/>
      <c r="AF70" s="2265"/>
      <c r="AG70" s="2267"/>
      <c r="AH70" s="2265"/>
      <c r="AI70" s="2267"/>
      <c r="AJ70" s="2265"/>
      <c r="AK70" s="2271"/>
      <c r="AL70" s="2270"/>
      <c r="AM70" s="2269"/>
      <c r="AN70" s="2270"/>
      <c r="AO70" s="2270"/>
      <c r="AP70" s="2270"/>
      <c r="AQ70" s="2269"/>
      <c r="AR70" s="2272"/>
      <c r="AS70" s="2265"/>
      <c r="AT70" s="2267"/>
      <c r="AU70" s="2265"/>
      <c r="AV70" s="2273"/>
      <c r="AW70" s="2270"/>
      <c r="AX70" s="2274"/>
      <c r="AY70" s="2275"/>
      <c r="AZ70" s="2276"/>
      <c r="BA70" s="2277"/>
      <c r="BB70" s="2269"/>
      <c r="BC70" s="2271"/>
      <c r="BD70" s="2270"/>
      <c r="BE70" s="2269"/>
      <c r="BF70" s="2270"/>
      <c r="BG70" s="2270"/>
      <c r="BH70" s="2270"/>
      <c r="BI70" s="2278"/>
      <c r="BJ70" s="2279"/>
      <c r="BK70" s="2269"/>
      <c r="BL70" s="2280"/>
    </row>
    <row r="71" spans="1:65" s="1" customFormat="1" ht="18.600000000000001" thickBot="1" x14ac:dyDescent="0.4">
      <c r="A71" s="1009"/>
      <c r="B71" s="870"/>
      <c r="C71" s="986"/>
      <c r="D71" s="975" t="s">
        <v>295</v>
      </c>
      <c r="E71" s="1012"/>
      <c r="F71" s="976" t="e">
        <f t="shared" si="17"/>
        <v>#DIV/0!</v>
      </c>
      <c r="G71" s="972"/>
      <c r="H71" s="1014">
        <f t="shared" si="19"/>
        <v>0</v>
      </c>
      <c r="I71" s="989"/>
      <c r="J71" s="974"/>
      <c r="K71" s="2281">
        <f>J71-H71</f>
        <v>0</v>
      </c>
      <c r="L71" s="2282">
        <f t="shared" si="21"/>
        <v>0</v>
      </c>
      <c r="M71" s="2282">
        <f>L71-H71</f>
        <v>0</v>
      </c>
      <c r="N71" s="2282">
        <f t="shared" si="18"/>
        <v>0</v>
      </c>
      <c r="O71" s="2282">
        <f t="shared" si="18"/>
        <v>0</v>
      </c>
      <c r="P71" s="2282">
        <f t="shared" si="18"/>
        <v>0</v>
      </c>
      <c r="Q71" s="2282">
        <f t="shared" si="18"/>
        <v>0</v>
      </c>
      <c r="R71" s="2282">
        <f t="shared" si="18"/>
        <v>0</v>
      </c>
      <c r="S71" s="656">
        <f t="shared" si="18"/>
        <v>0</v>
      </c>
      <c r="T71" s="2218"/>
      <c r="U71" s="295"/>
      <c r="V71" s="2283"/>
      <c r="W71"/>
      <c r="X71" s="295"/>
      <c r="Y71" s="2284"/>
      <c r="Z71"/>
      <c r="AA71" s="295"/>
      <c r="AB71"/>
      <c r="AC71" s="295"/>
      <c r="AD71"/>
      <c r="AE71" s="295"/>
      <c r="AF71" s="295"/>
      <c r="AG71"/>
      <c r="AH71" s="295"/>
      <c r="AI71"/>
      <c r="AJ71" s="295"/>
      <c r="AK71" s="2227"/>
      <c r="AL71" s="295"/>
      <c r="AM71"/>
      <c r="AN71" s="295"/>
      <c r="AO71" s="295"/>
      <c r="AP71" s="295"/>
      <c r="AQ71"/>
      <c r="AR71" s="682"/>
      <c r="AS71" s="295"/>
      <c r="AT71"/>
      <c r="AU71" s="295"/>
      <c r="AV71"/>
      <c r="AW71" s="295"/>
      <c r="AX71" s="2174"/>
      <c r="AY71" s="292"/>
      <c r="AZ71" s="293"/>
      <c r="BA71" s="2283"/>
      <c r="BB71"/>
      <c r="BC71" s="2227"/>
      <c r="BD71" s="295"/>
      <c r="BE71"/>
      <c r="BF71" s="295"/>
      <c r="BG71" s="295"/>
      <c r="BH71" s="295"/>
      <c r="BI71" s="2285"/>
      <c r="BJ71" s="778"/>
      <c r="BK71"/>
      <c r="BL71" s="2286"/>
    </row>
    <row r="72" spans="1:65" s="1" customFormat="1" ht="18" x14ac:dyDescent="0.35">
      <c r="A72" s="1006"/>
      <c r="B72" s="978"/>
      <c r="C72" s="979"/>
      <c r="D72" s="953" t="s">
        <v>296</v>
      </c>
      <c r="E72" s="980"/>
      <c r="F72" s="981" t="e">
        <f t="shared" si="17"/>
        <v>#DIV/0!</v>
      </c>
      <c r="G72" s="982"/>
      <c r="H72" s="983">
        <f t="shared" si="19"/>
        <v>0</v>
      </c>
      <c r="I72" s="984"/>
      <c r="J72" s="958"/>
      <c r="K72" s="2235">
        <f>J72-$H72</f>
        <v>0</v>
      </c>
      <c r="L72" s="2287">
        <f>K72-$H72</f>
        <v>0</v>
      </c>
      <c r="M72" s="2287">
        <f>L72-$H72</f>
        <v>0</v>
      </c>
      <c r="N72" s="2287">
        <f>M72-$H72</f>
        <v>0</v>
      </c>
      <c r="O72" s="2287">
        <f>N72-H72</f>
        <v>0</v>
      </c>
      <c r="P72" s="2287">
        <f t="shared" si="18"/>
        <v>0</v>
      </c>
      <c r="Q72" s="2287">
        <f>P72-H72</f>
        <v>0</v>
      </c>
      <c r="R72" s="2287">
        <f t="shared" si="18"/>
        <v>0</v>
      </c>
      <c r="S72" s="442">
        <f t="shared" si="18"/>
        <v>0</v>
      </c>
      <c r="T72" s="2288"/>
      <c r="U72" s="2239"/>
      <c r="V72" s="1997"/>
      <c r="W72" s="2238"/>
      <c r="X72" s="2239"/>
      <c r="Y72" s="2289"/>
      <c r="Z72" s="2238"/>
      <c r="AA72" s="2239"/>
      <c r="AB72" s="2238"/>
      <c r="AC72" s="2239"/>
      <c r="AD72" s="2238"/>
      <c r="AE72" s="2239"/>
      <c r="AF72" s="2239"/>
      <c r="AG72" s="2238"/>
      <c r="AH72" s="2239"/>
      <c r="AI72" s="2238"/>
      <c r="AJ72" s="2239"/>
      <c r="AK72" s="2240"/>
      <c r="AL72" s="2239"/>
      <c r="AM72" s="2238"/>
      <c r="AN72" s="2239"/>
      <c r="AO72" s="2239"/>
      <c r="AP72" s="2239"/>
      <c r="AQ72" s="2238"/>
      <c r="AR72" s="2241"/>
      <c r="AS72" s="2239"/>
      <c r="AT72" s="2238"/>
      <c r="AU72" s="2239"/>
      <c r="AV72" s="2238"/>
      <c r="AW72" s="2239"/>
      <c r="AX72" s="2081"/>
      <c r="AY72" s="2243"/>
      <c r="AZ72" s="2244"/>
      <c r="BA72" s="1997"/>
      <c r="BB72" s="2238"/>
      <c r="BC72" s="2240"/>
      <c r="BD72" s="2239"/>
      <c r="BE72" s="2238"/>
      <c r="BF72" s="2239"/>
      <c r="BG72" s="2239"/>
      <c r="BH72" s="2239"/>
      <c r="BI72" s="2290"/>
      <c r="BJ72" s="2291"/>
      <c r="BK72" s="2240"/>
      <c r="BL72" s="2292"/>
    </row>
    <row r="73" spans="1:65" s="1" customFormat="1" ht="18.600000000000001" thickBot="1" x14ac:dyDescent="0.4">
      <c r="A73" s="985"/>
      <c r="B73" s="870"/>
      <c r="C73" s="986"/>
      <c r="D73" s="987" t="s">
        <v>296</v>
      </c>
      <c r="E73" s="988"/>
      <c r="F73" s="964" t="e">
        <f t="shared" si="17"/>
        <v>#DIV/0!</v>
      </c>
      <c r="G73" s="965"/>
      <c r="H73" s="966">
        <f t="shared" si="19"/>
        <v>0</v>
      </c>
      <c r="I73" s="989"/>
      <c r="J73" s="967"/>
      <c r="K73" s="2293">
        <f>J73-$H73</f>
        <v>0</v>
      </c>
      <c r="L73" s="990">
        <f t="shared" ref="L73:O76" si="23">K73-$H73</f>
        <v>0</v>
      </c>
      <c r="M73" s="990">
        <f t="shared" si="23"/>
        <v>0</v>
      </c>
      <c r="N73" s="990">
        <f t="shared" si="23"/>
        <v>0</v>
      </c>
      <c r="O73" s="990">
        <f t="shared" si="23"/>
        <v>0</v>
      </c>
      <c r="P73" s="990">
        <f t="shared" si="18"/>
        <v>0</v>
      </c>
      <c r="Q73" s="990">
        <f t="shared" si="18"/>
        <v>0</v>
      </c>
      <c r="R73" s="990">
        <f t="shared" si="18"/>
        <v>0</v>
      </c>
      <c r="S73" s="2294">
        <f t="shared" si="18"/>
        <v>0</v>
      </c>
      <c r="T73" s="2295"/>
      <c r="U73" s="991"/>
      <c r="V73" s="2296"/>
      <c r="W73" s="2297"/>
      <c r="X73" s="991"/>
      <c r="Y73" s="2298"/>
      <c r="Z73" s="2297"/>
      <c r="AA73" s="991"/>
      <c r="AB73" s="2297"/>
      <c r="AC73" s="991"/>
      <c r="AD73" s="2297"/>
      <c r="AE73" s="991"/>
      <c r="AF73" s="991"/>
      <c r="AG73" s="2297"/>
      <c r="AH73" s="991"/>
      <c r="AI73" s="2297"/>
      <c r="AJ73" s="991"/>
      <c r="AK73" s="2299"/>
      <c r="AL73" s="991"/>
      <c r="AM73" s="2297"/>
      <c r="AN73" s="990"/>
      <c r="AO73" s="991"/>
      <c r="AP73" s="991"/>
      <c r="AQ73" s="2297"/>
      <c r="AR73" s="2300"/>
      <c r="AS73" s="991"/>
      <c r="AT73" s="2297"/>
      <c r="AU73" s="991"/>
      <c r="AV73" s="2297"/>
      <c r="AW73" s="2005"/>
      <c r="AX73" s="2257"/>
      <c r="AY73" s="2258"/>
      <c r="AZ73" s="2259"/>
      <c r="BA73" s="2260"/>
      <c r="BB73" s="2254"/>
      <c r="BC73" s="2255"/>
      <c r="BD73" s="991"/>
      <c r="BE73" s="2254"/>
      <c r="BF73" s="2005"/>
      <c r="BG73" s="2005"/>
      <c r="BH73" s="2005"/>
      <c r="BI73" s="2261"/>
      <c r="BJ73" s="2262"/>
      <c r="BK73" s="2255"/>
      <c r="BL73" s="2263"/>
    </row>
    <row r="74" spans="1:65" s="1" customFormat="1" ht="18" x14ac:dyDescent="0.35">
      <c r="A74" s="1006"/>
      <c r="B74" s="1010"/>
      <c r="C74" s="992"/>
      <c r="D74" s="1013" t="s">
        <v>298</v>
      </c>
      <c r="E74" s="993"/>
      <c r="F74" s="955" t="e">
        <f t="shared" si="17"/>
        <v>#DIV/0!</v>
      </c>
      <c r="G74" s="956"/>
      <c r="H74" s="957">
        <f t="shared" si="19"/>
        <v>0</v>
      </c>
      <c r="I74" s="994"/>
      <c r="J74" s="958"/>
      <c r="K74" s="2235">
        <f t="shared" ref="K74" si="24">(J74-$H74)+T74</f>
        <v>0</v>
      </c>
      <c r="L74" s="959">
        <f t="shared" si="23"/>
        <v>0</v>
      </c>
      <c r="M74" s="959">
        <f t="shared" si="23"/>
        <v>0</v>
      </c>
      <c r="N74" s="959">
        <f t="shared" si="23"/>
        <v>0</v>
      </c>
      <c r="O74" s="959">
        <f t="shared" si="23"/>
        <v>0</v>
      </c>
      <c r="P74" s="959">
        <f t="shared" si="18"/>
        <v>0</v>
      </c>
      <c r="Q74" s="956">
        <f t="shared" si="18"/>
        <v>0</v>
      </c>
      <c r="R74" s="959">
        <f t="shared" si="18"/>
        <v>0</v>
      </c>
      <c r="S74" s="956">
        <f t="shared" si="18"/>
        <v>0</v>
      </c>
      <c r="T74" s="2288"/>
      <c r="U74" s="2239"/>
      <c r="V74" s="1997"/>
      <c r="W74" s="2238"/>
      <c r="X74" s="2239"/>
      <c r="Y74" s="2289"/>
      <c r="Z74" s="2238"/>
      <c r="AA74" s="2239"/>
      <c r="AB74" s="2238"/>
      <c r="AC74" s="2239"/>
      <c r="AD74" s="2238"/>
      <c r="AE74" s="2239"/>
      <c r="AF74" s="2239"/>
      <c r="AG74" s="2238"/>
      <c r="AH74" s="2239"/>
      <c r="AI74" s="2238"/>
      <c r="AJ74" s="2239"/>
      <c r="AK74" s="2240"/>
      <c r="AL74" s="2239"/>
      <c r="AM74" s="2238"/>
      <c r="AN74" s="959"/>
      <c r="AO74" s="2239"/>
      <c r="AP74" s="2239"/>
      <c r="AQ74" s="2238"/>
      <c r="AR74" s="2241"/>
      <c r="AS74" s="2239"/>
      <c r="AT74" s="2238"/>
      <c r="AU74" s="2239"/>
      <c r="AV74" s="2238"/>
      <c r="AW74" s="2239"/>
      <c r="AX74" s="2081"/>
      <c r="AY74" s="2243"/>
      <c r="AZ74" s="2244"/>
      <c r="BA74" s="1997"/>
      <c r="BB74" s="2238"/>
      <c r="BC74" s="2240"/>
      <c r="BD74" s="2239"/>
      <c r="BE74" s="2238"/>
      <c r="BF74" s="2239"/>
      <c r="BG74" s="2245"/>
      <c r="BH74" s="2301"/>
      <c r="BI74" s="2290"/>
      <c r="BJ74" s="2291"/>
      <c r="BK74" s="2240"/>
      <c r="BL74" s="2292"/>
    </row>
    <row r="75" spans="1:65" s="1" customFormat="1" ht="18.600000000000001" thickBot="1" x14ac:dyDescent="0.4">
      <c r="A75" s="1022"/>
      <c r="B75" s="1023"/>
      <c r="C75" s="995"/>
      <c r="D75" s="1024" t="s">
        <v>298</v>
      </c>
      <c r="E75" s="988"/>
      <c r="F75" s="964" t="e">
        <f t="shared" si="17"/>
        <v>#DIV/0!</v>
      </c>
      <c r="G75" s="965"/>
      <c r="H75" s="966">
        <f t="shared" si="19"/>
        <v>0</v>
      </c>
      <c r="I75" s="989"/>
      <c r="J75" s="967"/>
      <c r="K75" s="2250">
        <f>J75-$H75</f>
        <v>0</v>
      </c>
      <c r="L75" s="2251">
        <f t="shared" si="23"/>
        <v>0</v>
      </c>
      <c r="M75" s="2251">
        <f>L75-H75</f>
        <v>0</v>
      </c>
      <c r="N75" s="2251">
        <f t="shared" si="23"/>
        <v>0</v>
      </c>
      <c r="O75" s="2251">
        <f t="shared" si="23"/>
        <v>0</v>
      </c>
      <c r="P75" s="2251">
        <f t="shared" si="18"/>
        <v>0</v>
      </c>
      <c r="Q75" s="2251">
        <f t="shared" si="18"/>
        <v>0</v>
      </c>
      <c r="R75" s="2251">
        <f t="shared" si="18"/>
        <v>0</v>
      </c>
      <c r="S75" s="2007">
        <f t="shared" si="18"/>
        <v>0</v>
      </c>
      <c r="T75" s="2230"/>
      <c r="U75" s="2005"/>
      <c r="V75" s="2260"/>
      <c r="W75" s="2254"/>
      <c r="X75" s="2005"/>
      <c r="Y75" s="2302"/>
      <c r="Z75" s="2254"/>
      <c r="AA75" s="2005"/>
      <c r="AB75" s="2254"/>
      <c r="AC75" s="2005"/>
      <c r="AD75" s="2005"/>
      <c r="AE75" s="2005"/>
      <c r="AF75" s="2005"/>
      <c r="AG75" s="2254"/>
      <c r="AH75" s="2005"/>
      <c r="AI75" s="2254"/>
      <c r="AJ75" s="2005"/>
      <c r="AK75" s="2255"/>
      <c r="AL75" s="2005"/>
      <c r="AM75" s="2254"/>
      <c r="AN75" s="2005"/>
      <c r="AO75" s="2005"/>
      <c r="AP75" s="2005"/>
      <c r="AQ75" s="2254"/>
      <c r="AR75" s="2256"/>
      <c r="AS75" s="2005"/>
      <c r="AT75" s="2254"/>
      <c r="AU75" s="2005"/>
      <c r="AV75" s="2254"/>
      <c r="AW75" s="2005"/>
      <c r="AX75" s="2257"/>
      <c r="AY75" s="2258"/>
      <c r="AZ75" s="2259"/>
      <c r="BA75" s="2260"/>
      <c r="BB75" s="2254"/>
      <c r="BC75" s="2255"/>
      <c r="BD75" s="2005"/>
      <c r="BE75" s="2255"/>
      <c r="BF75" s="2005"/>
      <c r="BG75" s="2005"/>
      <c r="BH75" s="991"/>
      <c r="BI75" s="2303"/>
      <c r="BJ75" s="2304"/>
      <c r="BK75" s="2299"/>
      <c r="BL75" s="2263"/>
    </row>
    <row r="76" spans="1:65" s="1" customFormat="1" ht="18" x14ac:dyDescent="0.35">
      <c r="A76" s="1017"/>
      <c r="B76" s="1018"/>
      <c r="C76" s="1019"/>
      <c r="D76" s="290" t="s">
        <v>297</v>
      </c>
      <c r="E76" s="1020"/>
      <c r="F76" s="944" t="e">
        <f t="shared" si="17"/>
        <v>#DIV/0!</v>
      </c>
      <c r="G76" s="480"/>
      <c r="H76" s="945">
        <f t="shared" si="19"/>
        <v>0</v>
      </c>
      <c r="I76" s="1021"/>
      <c r="J76" s="826"/>
      <c r="K76" s="2305">
        <f>J76-$H76</f>
        <v>0</v>
      </c>
      <c r="L76" s="479">
        <f t="shared" si="23"/>
        <v>0</v>
      </c>
      <c r="M76" s="479">
        <f t="shared" si="23"/>
        <v>0</v>
      </c>
      <c r="N76" s="479">
        <f t="shared" si="23"/>
        <v>0</v>
      </c>
      <c r="O76" s="2223">
        <f t="shared" si="23"/>
        <v>0</v>
      </c>
      <c r="P76" s="2306">
        <f t="shared" si="18"/>
        <v>0</v>
      </c>
      <c r="Q76" s="479">
        <f t="shared" si="18"/>
        <v>0</v>
      </c>
      <c r="R76" s="479">
        <f t="shared" si="18"/>
        <v>0</v>
      </c>
      <c r="S76" s="2223">
        <f t="shared" si="18"/>
        <v>0</v>
      </c>
      <c r="T76" s="2307"/>
      <c r="U76" s="188"/>
      <c r="V76" s="187"/>
      <c r="W76" s="2220"/>
      <c r="X76" s="188"/>
      <c r="Y76" s="2308"/>
      <c r="Z76" s="2220"/>
      <c r="AA76" s="188"/>
      <c r="AB76" s="2220"/>
      <c r="AC76" s="188"/>
      <c r="AD76" s="2220"/>
      <c r="AE76" s="2239"/>
      <c r="AF76" s="2239"/>
      <c r="AG76" s="2238"/>
      <c r="AH76" s="2239"/>
      <c r="AI76" s="2240"/>
      <c r="AJ76" s="2239"/>
      <c r="AK76" s="2240"/>
      <c r="AL76" s="2239"/>
      <c r="AM76" s="2238"/>
      <c r="AN76" s="2239"/>
      <c r="AO76" s="2239"/>
      <c r="AP76" s="2239"/>
      <c r="AQ76" s="2238"/>
      <c r="AR76" s="2241"/>
      <c r="AS76" s="2239"/>
      <c r="AT76" s="1997"/>
      <c r="AU76" s="2239"/>
      <c r="AV76" s="2238"/>
      <c r="AW76" s="2239"/>
      <c r="AX76" s="2081"/>
      <c r="AY76" s="2243"/>
      <c r="AZ76" s="2244"/>
      <c r="BA76" s="1997"/>
      <c r="BB76" s="2238"/>
      <c r="BC76" s="2240"/>
      <c r="BD76" s="2239"/>
      <c r="BE76" s="2220"/>
      <c r="BF76" s="188"/>
      <c r="BG76" s="188"/>
      <c r="BH76" s="188"/>
      <c r="BI76" s="2226"/>
      <c r="BJ76" s="766"/>
      <c r="BK76" s="188"/>
      <c r="BL76" s="2309"/>
    </row>
    <row r="77" spans="1:65" s="1" customFormat="1" ht="15" thickBot="1" x14ac:dyDescent="0.35">
      <c r="A77" s="1011"/>
      <c r="B77" s="997"/>
      <c r="C77" s="991"/>
      <c r="D77" s="996" t="s">
        <v>297</v>
      </c>
      <c r="E77" s="998"/>
      <c r="F77" s="999" t="e">
        <f t="shared" si="17"/>
        <v>#DIV/0!</v>
      </c>
      <c r="G77" s="990"/>
      <c r="H77" s="1000">
        <f t="shared" si="19"/>
        <v>0</v>
      </c>
      <c r="I77" s="1001"/>
      <c r="J77" s="1002"/>
      <c r="K77" s="2310">
        <f>J77-H77</f>
        <v>0</v>
      </c>
      <c r="L77" s="2311">
        <f>(K77-$H77)+U77</f>
        <v>0</v>
      </c>
      <c r="M77" s="2311">
        <f>L77-H77</f>
        <v>0</v>
      </c>
      <c r="N77" s="2311">
        <f>(M77-$H77)+W77</f>
        <v>0</v>
      </c>
      <c r="O77" s="2311">
        <f>(N77-$H77)+Y77</f>
        <v>0</v>
      </c>
      <c r="P77" s="2311">
        <f t="shared" ref="P77:S77" si="25">(O77-$H77)+Z77</f>
        <v>0</v>
      </c>
      <c r="Q77" s="2311">
        <f t="shared" si="25"/>
        <v>0</v>
      </c>
      <c r="R77" s="2311">
        <f t="shared" si="25"/>
        <v>0</v>
      </c>
      <c r="S77" s="2312">
        <f t="shared" si="25"/>
        <v>0</v>
      </c>
      <c r="T77" s="2313"/>
      <c r="U77" s="220"/>
      <c r="V77" s="2296"/>
      <c r="W77" s="2299"/>
      <c r="X77" s="220"/>
      <c r="Y77" s="2314"/>
      <c r="Z77" s="2297"/>
      <c r="AA77" s="220"/>
      <c r="AB77" s="2297"/>
      <c r="AC77" s="220"/>
      <c r="AD77" s="2297"/>
      <c r="AE77" s="220"/>
      <c r="AF77" s="220"/>
      <c r="AG77" s="2297"/>
      <c r="AH77" s="220"/>
      <c r="AI77" s="2297"/>
      <c r="AJ77" s="220"/>
      <c r="AK77" s="2299"/>
      <c r="AL77" s="220"/>
      <c r="AM77" s="2297"/>
      <c r="AN77" s="220"/>
      <c r="AO77" s="2296"/>
      <c r="AP77" s="220"/>
      <c r="AQ77" s="2297"/>
      <c r="AR77" s="2300"/>
      <c r="AS77" s="220"/>
      <c r="AT77" s="2297"/>
      <c r="AU77" s="220"/>
      <c r="AV77" s="2297"/>
      <c r="AW77" s="220"/>
      <c r="AX77" s="2092"/>
      <c r="AY77" s="2315"/>
      <c r="AZ77" s="2316"/>
      <c r="BA77" s="2296"/>
      <c r="BB77" s="2297"/>
      <c r="BC77" s="2299"/>
      <c r="BD77" s="220"/>
      <c r="BE77" s="214"/>
      <c r="BF77" s="220"/>
      <c r="BG77" s="220"/>
      <c r="BH77" s="220"/>
      <c r="BI77" s="2303"/>
      <c r="BJ77" s="2304"/>
      <c r="BK77" s="991"/>
      <c r="BL77" s="2317"/>
    </row>
    <row r="78" spans="1:65" ht="15" thickBot="1" x14ac:dyDescent="0.35">
      <c r="A78" s="972"/>
      <c r="B78" s="1003"/>
      <c r="D78" s="975"/>
      <c r="E78" s="1004"/>
      <c r="F78" s="1005"/>
      <c r="G78" s="972"/>
      <c r="H78" s="973"/>
      <c r="I78" s="977"/>
      <c r="J78" s="977"/>
      <c r="K78" s="972"/>
      <c r="L78" s="972"/>
      <c r="M78" s="972"/>
      <c r="N78" s="972"/>
      <c r="O78" s="972"/>
      <c r="P78" s="972"/>
      <c r="Q78" s="972"/>
      <c r="R78" s="972"/>
      <c r="S78" s="972"/>
      <c r="T78" s="2115"/>
      <c r="Y78" s="2318"/>
      <c r="AE78" s="2285"/>
      <c r="AF78" s="682"/>
      <c r="AK78" s="2285"/>
      <c r="AL78" s="682"/>
      <c r="AR78" s="682"/>
      <c r="AW78" s="2285"/>
      <c r="AX78" s="682"/>
      <c r="BC78" s="2285"/>
      <c r="BD78" s="682"/>
      <c r="BI78" s="2285"/>
      <c r="BJ78" s="682"/>
      <c r="BL78" s="2285"/>
      <c r="BM78" s="1"/>
    </row>
    <row r="79" spans="1:65" x14ac:dyDescent="0.3">
      <c r="A79" s="1"/>
      <c r="B79" s="1"/>
      <c r="C79" s="1"/>
      <c r="D79" s="1"/>
      <c r="E79" s="1"/>
      <c r="F79" s="1"/>
      <c r="G79" s="1"/>
      <c r="H79" s="313">
        <f>G85*I79</f>
        <v>2800</v>
      </c>
      <c r="I79" s="855">
        <v>4</v>
      </c>
      <c r="J79" s="821">
        <f>3000/G85</f>
        <v>4.2857142857142856</v>
      </c>
      <c r="K79" s="1"/>
      <c r="L79" s="1" t="s">
        <v>75</v>
      </c>
      <c r="M79" s="1"/>
      <c r="N79" s="1"/>
      <c r="O79" s="1"/>
      <c r="P79" s="1"/>
      <c r="Q79" s="1"/>
      <c r="R79" s="1"/>
      <c r="S79" s="316"/>
      <c r="T79" s="2107"/>
      <c r="U79" s="1"/>
      <c r="V79" s="1"/>
      <c r="W79" s="1"/>
      <c r="X79" s="1"/>
      <c r="Y79" s="2108"/>
      <c r="Z79" s="1"/>
      <c r="AA79" s="1"/>
      <c r="AB79" s="1"/>
      <c r="AC79" s="1"/>
      <c r="AD79" s="1"/>
      <c r="AE79" s="678"/>
      <c r="AF79" s="677"/>
      <c r="AG79" s="1"/>
      <c r="AH79" s="1"/>
      <c r="AI79" s="1"/>
      <c r="AJ79" s="1"/>
      <c r="AK79" s="678"/>
      <c r="AL79" s="677"/>
      <c r="AM79" s="1"/>
      <c r="AN79" s="1"/>
      <c r="AO79" s="1"/>
      <c r="AP79" s="1"/>
      <c r="AQ79" s="1"/>
      <c r="AR79" s="677"/>
      <c r="AS79" s="1"/>
      <c r="AT79" s="1"/>
      <c r="AU79" s="1"/>
      <c r="AV79" s="1"/>
      <c r="AW79" s="678"/>
      <c r="AX79" s="677"/>
      <c r="AY79" s="1"/>
      <c r="AZ79" s="1"/>
      <c r="BA79" s="1"/>
      <c r="BB79" s="1"/>
      <c r="BC79" s="678"/>
      <c r="BD79" s="677"/>
      <c r="BE79" s="1"/>
      <c r="BF79" s="1"/>
      <c r="BG79" s="1"/>
      <c r="BH79" s="1"/>
      <c r="BI79" s="678"/>
      <c r="BJ79" s="677"/>
      <c r="BK79" s="1"/>
      <c r="BL79" s="678"/>
      <c r="BM79" s="1"/>
    </row>
    <row r="80" spans="1:65" ht="15" thickBot="1" x14ac:dyDescent="0.35">
      <c r="A80" s="1"/>
      <c r="B80" s="1"/>
      <c r="C80" s="1"/>
      <c r="D80" s="1"/>
      <c r="E80" s="1"/>
      <c r="F80" s="1"/>
      <c r="G80" s="1"/>
      <c r="H80" s="317"/>
      <c r="I80" s="815">
        <v>3</v>
      </c>
      <c r="J80" s="822">
        <f>2000/G85</f>
        <v>2.8571428571428572</v>
      </c>
      <c r="K80" s="1"/>
      <c r="L80" s="1"/>
      <c r="M80" s="1"/>
      <c r="N80" s="1"/>
      <c r="O80" s="1"/>
      <c r="P80" s="1"/>
      <c r="Q80" s="1"/>
      <c r="R80" s="1"/>
      <c r="S80" s="1"/>
      <c r="T80" s="2107"/>
      <c r="U80" s="1"/>
      <c r="V80" s="1"/>
      <c r="W80" s="1"/>
      <c r="X80" s="1"/>
      <c r="Y80" s="2108"/>
      <c r="Z80" s="1"/>
      <c r="AA80" s="1"/>
      <c r="AB80" s="1"/>
      <c r="AC80" s="1"/>
      <c r="AD80" s="1"/>
      <c r="AE80" s="678"/>
      <c r="AF80" s="677"/>
      <c r="AG80" s="1"/>
      <c r="AH80" s="1"/>
      <c r="AI80" s="1"/>
      <c r="AJ80" s="1"/>
      <c r="AK80" s="678"/>
      <c r="AL80" s="677"/>
      <c r="AM80" s="1"/>
      <c r="AN80" s="1"/>
      <c r="AO80" s="1"/>
      <c r="AP80" s="1"/>
      <c r="AQ80" s="1"/>
      <c r="AR80" s="677"/>
      <c r="AS80" s="1"/>
      <c r="AT80" s="1"/>
      <c r="AU80" s="1"/>
      <c r="AV80" s="1"/>
      <c r="AW80" s="678"/>
      <c r="AX80" s="677"/>
      <c r="AY80" s="1"/>
      <c r="AZ80" s="1"/>
      <c r="BA80" s="1"/>
      <c r="BB80" s="1"/>
      <c r="BC80" s="678"/>
      <c r="BD80" s="677"/>
      <c r="BE80" s="1"/>
      <c r="BF80" s="1"/>
      <c r="BG80" s="1"/>
      <c r="BH80" s="1"/>
      <c r="BI80" s="678"/>
      <c r="BJ80" s="677"/>
      <c r="BK80" s="1"/>
      <c r="BL80" s="678"/>
      <c r="BM80" s="1"/>
    </row>
    <row r="81" spans="1:65" x14ac:dyDescent="0.3">
      <c r="A81" s="1"/>
      <c r="B81" s="1"/>
      <c r="C81" s="1"/>
      <c r="D81" s="1"/>
      <c r="E81" s="1"/>
      <c r="F81" s="1"/>
      <c r="G81" s="1"/>
      <c r="H81" s="319"/>
      <c r="I81" s="815"/>
      <c r="J81" s="815"/>
      <c r="K81" s="1"/>
      <c r="L81" s="1"/>
      <c r="M81" s="1"/>
      <c r="N81" s="1"/>
      <c r="O81" s="320">
        <v>13</v>
      </c>
      <c r="P81" s="314">
        <f>G86*O81</f>
        <v>8658</v>
      </c>
      <c r="Q81" s="315"/>
      <c r="R81" s="1"/>
      <c r="S81" s="1"/>
      <c r="T81" s="2107"/>
      <c r="U81" s="1"/>
      <c r="V81" s="1"/>
      <c r="W81" s="1"/>
      <c r="X81" s="1"/>
      <c r="Y81" s="2108"/>
      <c r="Z81" s="1"/>
      <c r="AA81" s="1"/>
      <c r="AB81" s="1"/>
      <c r="AC81" s="1"/>
      <c r="AD81" s="1"/>
      <c r="AE81" s="678"/>
      <c r="AF81" s="677"/>
      <c r="AG81" s="1"/>
      <c r="AH81" s="1"/>
      <c r="AI81" s="1"/>
      <c r="AJ81" s="1"/>
      <c r="AK81" s="678"/>
      <c r="AL81" s="677"/>
      <c r="AM81" s="1"/>
      <c r="AN81" s="1"/>
      <c r="AO81" s="1"/>
      <c r="AP81" s="1"/>
      <c r="AQ81" s="1"/>
      <c r="AR81" s="677"/>
      <c r="AS81" s="1"/>
      <c r="AT81" s="1"/>
      <c r="AU81" s="1"/>
      <c r="AV81" s="1"/>
      <c r="AW81" s="678"/>
      <c r="AX81" s="677"/>
      <c r="AY81" s="1"/>
      <c r="AZ81" s="1"/>
      <c r="BA81" s="1"/>
      <c r="BB81" s="1"/>
      <c r="BC81" s="678"/>
      <c r="BD81" s="677"/>
      <c r="BE81" s="1"/>
      <c r="BF81" s="1"/>
      <c r="BG81" s="1"/>
      <c r="BH81" s="1"/>
      <c r="BI81" s="678"/>
      <c r="BJ81" s="677"/>
      <c r="BK81" s="1"/>
      <c r="BL81" s="678"/>
      <c r="BM81" s="1"/>
    </row>
    <row r="82" spans="1:65" ht="15" thickBot="1" x14ac:dyDescent="0.35">
      <c r="A82" s="12"/>
      <c r="B82" s="48"/>
      <c r="C82" s="48"/>
      <c r="D82" s="48"/>
      <c r="E82" s="321"/>
      <c r="F82" s="48"/>
      <c r="G82" s="1"/>
      <c r="H82" s="317"/>
      <c r="I82" s="815"/>
      <c r="J82" s="815"/>
      <c r="K82" s="1"/>
      <c r="L82" s="1"/>
      <c r="M82" s="1"/>
      <c r="N82" s="1"/>
      <c r="O82" s="319"/>
      <c r="P82" s="1"/>
      <c r="Q82" s="318"/>
      <c r="R82" s="1"/>
      <c r="S82" s="1"/>
      <c r="T82" s="2107"/>
      <c r="U82" s="1"/>
      <c r="V82" s="1"/>
      <c r="W82" s="1"/>
      <c r="X82" s="1"/>
      <c r="Y82" s="2108"/>
      <c r="Z82" s="1"/>
      <c r="AA82" s="1"/>
      <c r="AB82" s="1"/>
      <c r="AC82" s="1"/>
      <c r="AD82" s="1"/>
      <c r="AE82" s="678"/>
      <c r="AF82" s="677"/>
      <c r="AG82" s="1"/>
      <c r="AH82" s="1"/>
      <c r="AI82" s="1"/>
      <c r="AJ82" s="1"/>
      <c r="AK82" s="678"/>
      <c r="AL82" s="677"/>
      <c r="AM82" s="1"/>
      <c r="AN82" s="1"/>
      <c r="AO82" s="1"/>
      <c r="AP82" s="1"/>
      <c r="AQ82" s="1"/>
      <c r="AR82" s="677"/>
      <c r="AS82" s="1"/>
      <c r="AT82" s="1"/>
      <c r="AU82" s="1"/>
      <c r="AV82" s="1"/>
      <c r="AW82" s="678"/>
      <c r="AX82" s="677"/>
      <c r="AY82" s="1"/>
      <c r="AZ82" s="1"/>
      <c r="BA82" s="1"/>
      <c r="BB82" s="1"/>
      <c r="BC82" s="678"/>
      <c r="BD82" s="677"/>
      <c r="BE82" s="1"/>
      <c r="BF82" s="1"/>
      <c r="BG82" s="1"/>
      <c r="BH82" s="1"/>
      <c r="BI82" s="678"/>
      <c r="BJ82" s="677"/>
      <c r="BK82" s="1"/>
      <c r="BL82" s="678"/>
      <c r="BM82" s="1"/>
    </row>
    <row r="83" spans="1:65" ht="16.2" thickBot="1" x14ac:dyDescent="0.35">
      <c r="A83" s="96" t="s">
        <v>107</v>
      </c>
      <c r="B83" s="4"/>
      <c r="C83" s="5"/>
      <c r="D83" s="1" t="s">
        <v>12</v>
      </c>
      <c r="E83" s="97"/>
      <c r="F83" s="98"/>
      <c r="G83" s="1"/>
      <c r="H83" s="322"/>
      <c r="I83" s="823"/>
      <c r="J83" s="823"/>
      <c r="K83" s="1"/>
      <c r="L83" s="1"/>
      <c r="M83" s="1"/>
      <c r="N83" s="1"/>
      <c r="O83" s="319"/>
      <c r="P83" s="1"/>
      <c r="Q83" s="318"/>
      <c r="R83" s="1"/>
      <c r="S83" s="1"/>
      <c r="T83" s="2107"/>
      <c r="U83" s="97"/>
      <c r="V83" s="1"/>
      <c r="W83" s="1"/>
      <c r="X83" s="1"/>
      <c r="Y83" s="2319"/>
      <c r="Z83" s="97"/>
      <c r="AA83" s="1"/>
      <c r="AB83" s="1"/>
      <c r="AC83" s="1"/>
      <c r="AD83" s="1"/>
      <c r="AE83" s="678"/>
      <c r="AF83" s="677"/>
      <c r="AG83" s="1"/>
      <c r="AH83" s="97"/>
      <c r="AI83" s="1"/>
      <c r="AJ83" s="1"/>
      <c r="AK83" s="678"/>
      <c r="AL83" s="677"/>
      <c r="AM83" s="1"/>
      <c r="AN83" s="1"/>
      <c r="AO83" s="55"/>
      <c r="AP83" s="1"/>
      <c r="AQ83" s="1"/>
      <c r="AR83" s="677"/>
      <c r="AS83" s="1"/>
      <c r="AT83" s="1"/>
      <c r="AU83" s="1"/>
      <c r="AV83" s="1"/>
      <c r="AW83" s="678"/>
      <c r="AX83" s="677"/>
      <c r="AY83" s="97"/>
      <c r="AZ83" s="97"/>
      <c r="BA83" s="1"/>
      <c r="BB83" s="1"/>
      <c r="BC83" s="679"/>
      <c r="BD83" s="677"/>
      <c r="BE83" s="1"/>
      <c r="BF83" s="79"/>
      <c r="BG83" s="1"/>
      <c r="BH83" s="1"/>
      <c r="BI83" s="678"/>
      <c r="BJ83" s="677"/>
      <c r="BK83" s="1"/>
      <c r="BL83" s="678"/>
      <c r="BM83" s="1"/>
    </row>
    <row r="84" spans="1:65" ht="16.8" thickTop="1" thickBot="1" x14ac:dyDescent="0.35">
      <c r="A84" s="99" t="s">
        <v>29</v>
      </c>
      <c r="B84" s="323" t="s">
        <v>30</v>
      </c>
      <c r="C84" s="222" t="s">
        <v>108</v>
      </c>
      <c r="D84" s="324" t="s">
        <v>2</v>
      </c>
      <c r="E84" s="103" t="s">
        <v>32</v>
      </c>
      <c r="F84" s="104" t="s">
        <v>33</v>
      </c>
      <c r="G84" s="104" t="s">
        <v>34</v>
      </c>
      <c r="H84" s="827" t="s">
        <v>35</v>
      </c>
      <c r="I84" s="824" t="s">
        <v>36</v>
      </c>
      <c r="J84" s="908" t="s">
        <v>37</v>
      </c>
      <c r="K84" s="918" t="s">
        <v>38</v>
      </c>
      <c r="L84" s="888" t="s">
        <v>39</v>
      </c>
      <c r="M84" s="888" t="s">
        <v>40</v>
      </c>
      <c r="N84" s="888" t="s">
        <v>41</v>
      </c>
      <c r="O84" s="888" t="s">
        <v>42</v>
      </c>
      <c r="P84" s="888" t="s">
        <v>43</v>
      </c>
      <c r="Q84" s="888" t="s">
        <v>44</v>
      </c>
      <c r="R84" s="888" t="s">
        <v>38</v>
      </c>
      <c r="S84" s="889" t="s">
        <v>45</v>
      </c>
      <c r="T84" s="2320" t="s">
        <v>109</v>
      </c>
      <c r="U84" s="108" t="s">
        <v>110</v>
      </c>
      <c r="V84" s="109" t="s">
        <v>111</v>
      </c>
      <c r="W84" s="109" t="s">
        <v>112</v>
      </c>
      <c r="X84" s="700" t="s">
        <v>3</v>
      </c>
      <c r="Y84" s="2321" t="s">
        <v>3</v>
      </c>
      <c r="Z84" s="108" t="s">
        <v>113</v>
      </c>
      <c r="AA84" s="109" t="s">
        <v>114</v>
      </c>
      <c r="AB84" s="108" t="s">
        <v>115</v>
      </c>
      <c r="AC84" s="109" t="s">
        <v>116</v>
      </c>
      <c r="AD84" s="728" t="s">
        <v>51</v>
      </c>
      <c r="AE84" s="728" t="s">
        <v>51</v>
      </c>
      <c r="AF84" s="680" t="s">
        <v>117</v>
      </c>
      <c r="AG84" s="107" t="s">
        <v>118</v>
      </c>
      <c r="AH84" s="107" t="s">
        <v>119</v>
      </c>
      <c r="AI84" s="107" t="s">
        <v>120</v>
      </c>
      <c r="AJ84" s="681" t="s">
        <v>55</v>
      </c>
      <c r="AK84" s="681" t="s">
        <v>55</v>
      </c>
      <c r="AL84" s="743" t="s">
        <v>121</v>
      </c>
      <c r="AM84" s="109" t="s">
        <v>122</v>
      </c>
      <c r="AN84" s="108" t="s">
        <v>123</v>
      </c>
      <c r="AO84" s="108" t="s">
        <v>124</v>
      </c>
      <c r="AP84" s="897" t="s">
        <v>59</v>
      </c>
      <c r="AQ84" s="897" t="s">
        <v>59</v>
      </c>
      <c r="AR84" s="680" t="s">
        <v>125</v>
      </c>
      <c r="AS84" s="108" t="s">
        <v>126</v>
      </c>
      <c r="AT84" s="109" t="s">
        <v>127</v>
      </c>
      <c r="AU84" s="2322" t="s">
        <v>128</v>
      </c>
      <c r="AV84" s="681" t="s">
        <v>7</v>
      </c>
      <c r="AW84" s="2323" t="s">
        <v>7</v>
      </c>
      <c r="AX84" s="108" t="s">
        <v>129</v>
      </c>
      <c r="AY84" s="109" t="s">
        <v>130</v>
      </c>
      <c r="AZ84" s="109" t="s">
        <v>131</v>
      </c>
      <c r="BA84" s="111" t="s">
        <v>132</v>
      </c>
      <c r="BB84" s="2110" t="s">
        <v>8</v>
      </c>
      <c r="BC84" s="2324" t="s">
        <v>8</v>
      </c>
      <c r="BD84" s="680" t="s">
        <v>133</v>
      </c>
      <c r="BE84" s="108" t="s">
        <v>134</v>
      </c>
      <c r="BF84" s="109" t="s">
        <v>135</v>
      </c>
      <c r="BG84" s="109" t="s">
        <v>136</v>
      </c>
      <c r="BH84" s="662" t="s">
        <v>9</v>
      </c>
      <c r="BI84" s="700" t="s">
        <v>9</v>
      </c>
      <c r="BJ84" s="771" t="s">
        <v>70</v>
      </c>
      <c r="BK84" s="110" t="s">
        <v>71</v>
      </c>
      <c r="BL84" s="728" t="s">
        <v>72</v>
      </c>
      <c r="BM84" s="1"/>
    </row>
    <row r="85" spans="1:65" ht="15" thickBot="1" x14ac:dyDescent="0.35">
      <c r="A85" s="19">
        <v>2626</v>
      </c>
      <c r="B85" s="2325" t="s">
        <v>138</v>
      </c>
      <c r="C85" s="326">
        <v>4</v>
      </c>
      <c r="D85" s="19" t="s">
        <v>12</v>
      </c>
      <c r="E85" s="116">
        <v>0.48</v>
      </c>
      <c r="F85" s="116">
        <f>(BL85/G85)/4</f>
        <v>0</v>
      </c>
      <c r="G85" s="19">
        <v>700</v>
      </c>
      <c r="H85" s="327">
        <f t="shared" ref="H85:H90" si="26">G85*E85</f>
        <v>336</v>
      </c>
      <c r="I85" s="848">
        <v>7800</v>
      </c>
      <c r="J85" s="904">
        <v>0</v>
      </c>
      <c r="K85" s="915">
        <f t="shared" ref="K85:L90" si="27">J85-$H85</f>
        <v>-336</v>
      </c>
      <c r="L85" s="915">
        <f t="shared" si="27"/>
        <v>-672</v>
      </c>
      <c r="M85" s="2326">
        <v>3000</v>
      </c>
      <c r="N85" s="915">
        <f t="shared" ref="N85:S90" si="28">M85-$H85</f>
        <v>2664</v>
      </c>
      <c r="O85" s="915">
        <f t="shared" si="28"/>
        <v>2328</v>
      </c>
      <c r="P85" s="915">
        <f t="shared" si="28"/>
        <v>1992</v>
      </c>
      <c r="Q85" s="915">
        <f t="shared" si="28"/>
        <v>1656</v>
      </c>
      <c r="R85" s="915">
        <f t="shared" si="28"/>
        <v>1320</v>
      </c>
      <c r="S85" s="915">
        <f t="shared" si="28"/>
        <v>984</v>
      </c>
      <c r="T85" s="2068"/>
      <c r="U85" s="21"/>
      <c r="V85" s="22"/>
      <c r="W85" s="22"/>
      <c r="X85" s="2069"/>
      <c r="Y85" s="2070"/>
      <c r="Z85" s="120"/>
      <c r="AA85" s="121"/>
      <c r="AB85" s="328"/>
      <c r="AC85" s="120"/>
      <c r="AD85" s="715"/>
      <c r="AE85" s="715"/>
      <c r="AF85" s="663"/>
      <c r="AG85" s="22">
        <v>3000</v>
      </c>
      <c r="AH85" s="22"/>
      <c r="AI85" s="23"/>
      <c r="AJ85" s="2069"/>
      <c r="AK85" s="672"/>
      <c r="AL85" s="739"/>
      <c r="AM85" s="121"/>
      <c r="AN85" s="328"/>
      <c r="AO85" s="120"/>
      <c r="AP85" s="124"/>
      <c r="AQ85" s="124"/>
      <c r="AR85" s="641"/>
      <c r="AS85" s="21"/>
      <c r="AT85" s="22"/>
      <c r="AU85" s="22"/>
      <c r="AV85" s="125"/>
      <c r="AW85" s="715"/>
      <c r="AX85" s="641"/>
      <c r="AY85" s="121"/>
      <c r="AZ85" s="121"/>
      <c r="BA85" s="126"/>
      <c r="BB85" s="228"/>
      <c r="BC85" s="715"/>
      <c r="BD85" s="641"/>
      <c r="BE85" s="120"/>
      <c r="BF85" s="121"/>
      <c r="BG85" s="121"/>
      <c r="BH85" s="871"/>
      <c r="BI85" s="672"/>
      <c r="BJ85" s="757"/>
      <c r="BK85" s="131"/>
      <c r="BL85" s="785">
        <f t="shared" ref="BL85:BL90" si="29">(J85+BJ85)-BK85</f>
        <v>0</v>
      </c>
      <c r="BM85" s="1"/>
    </row>
    <row r="86" spans="1:65" ht="15" thickBot="1" x14ac:dyDescent="0.35">
      <c r="A86" s="156">
        <v>2625</v>
      </c>
      <c r="B86" s="2325" t="s">
        <v>140</v>
      </c>
      <c r="C86" s="329">
        <v>5</v>
      </c>
      <c r="D86" s="137" t="s">
        <v>139</v>
      </c>
      <c r="E86" s="136">
        <v>0.94</v>
      </c>
      <c r="F86" s="136">
        <f>(BL86/G86)/7</f>
        <v>0.42900042900042895</v>
      </c>
      <c r="G86" s="137">
        <v>666</v>
      </c>
      <c r="H86" s="423">
        <f>G86*E86</f>
        <v>626.04</v>
      </c>
      <c r="I86" s="848">
        <v>7800</v>
      </c>
      <c r="J86" s="905">
        <v>2000</v>
      </c>
      <c r="K86" s="909">
        <f t="shared" si="27"/>
        <v>1373.96</v>
      </c>
      <c r="L86" s="2327">
        <v>3748</v>
      </c>
      <c r="M86" s="909">
        <f t="shared" ref="M86:M90" si="30">L86-$H86</f>
        <v>3121.96</v>
      </c>
      <c r="N86" s="2328">
        <f t="shared" si="28"/>
        <v>2495.92</v>
      </c>
      <c r="O86" s="2327">
        <v>4870</v>
      </c>
      <c r="P86" s="909">
        <f t="shared" si="28"/>
        <v>4243.96</v>
      </c>
      <c r="Q86" s="909">
        <f t="shared" si="28"/>
        <v>3617.92</v>
      </c>
      <c r="R86" s="909">
        <f t="shared" si="28"/>
        <v>2991.88</v>
      </c>
      <c r="S86" s="909">
        <f t="shared" si="28"/>
        <v>2365.84</v>
      </c>
      <c r="T86" s="2065"/>
      <c r="U86" s="41"/>
      <c r="V86" s="32"/>
      <c r="W86" s="32"/>
      <c r="X86" s="2066"/>
      <c r="Y86" s="2067"/>
      <c r="Z86" s="141"/>
      <c r="AA86" s="142"/>
      <c r="AB86" s="141">
        <v>3000</v>
      </c>
      <c r="AC86" s="141"/>
      <c r="AD86" s="716"/>
      <c r="AE86" s="716"/>
      <c r="AF86" s="402"/>
      <c r="AG86" s="32"/>
      <c r="AH86" s="32"/>
      <c r="AI86" s="232"/>
      <c r="AJ86" s="2066"/>
      <c r="AK86" s="674"/>
      <c r="AL86" s="740"/>
      <c r="AM86" s="142"/>
      <c r="AN86" s="141"/>
      <c r="AO86" s="141"/>
      <c r="AP86" s="151"/>
      <c r="AQ86" s="151"/>
      <c r="AR86" s="707"/>
      <c r="AS86" s="41"/>
      <c r="AT86" s="32">
        <v>3000</v>
      </c>
      <c r="AU86" s="32"/>
      <c r="AV86" s="147"/>
      <c r="AW86" s="716"/>
      <c r="AX86" s="707"/>
      <c r="AY86" s="142"/>
      <c r="AZ86" s="142"/>
      <c r="BA86" s="148"/>
      <c r="BB86" s="230"/>
      <c r="BC86" s="716"/>
      <c r="BD86" s="707"/>
      <c r="BE86" s="141"/>
      <c r="BF86" s="142"/>
      <c r="BG86" s="142"/>
      <c r="BH86" s="154"/>
      <c r="BI86" s="674"/>
      <c r="BJ86" s="757"/>
      <c r="BK86" s="131"/>
      <c r="BL86" s="785">
        <f t="shared" si="29"/>
        <v>2000</v>
      </c>
      <c r="BM86" s="1"/>
    </row>
    <row r="87" spans="1:65" ht="15" thickBot="1" x14ac:dyDescent="0.35">
      <c r="A87" s="137">
        <v>2624</v>
      </c>
      <c r="B87" s="2325" t="s">
        <v>141</v>
      </c>
      <c r="C87" s="224">
        <v>6</v>
      </c>
      <c r="D87" s="137" t="s">
        <v>139</v>
      </c>
      <c r="E87" s="136">
        <v>0.94</v>
      </c>
      <c r="F87" s="136">
        <f>(BL87/G87)/7</f>
        <v>1.4396456256921373</v>
      </c>
      <c r="G87" s="156">
        <v>645</v>
      </c>
      <c r="H87" s="423">
        <f t="shared" si="26"/>
        <v>606.29999999999995</v>
      </c>
      <c r="I87" s="848">
        <v>7800</v>
      </c>
      <c r="J87" s="905">
        <v>6500</v>
      </c>
      <c r="K87" s="909">
        <f t="shared" si="27"/>
        <v>5893.7</v>
      </c>
      <c r="L87" s="909">
        <f t="shared" si="27"/>
        <v>5287.4</v>
      </c>
      <c r="M87" s="909">
        <f t="shared" si="30"/>
        <v>4681.0999999999995</v>
      </c>
      <c r="N87" s="909">
        <f t="shared" si="28"/>
        <v>4074.7999999999993</v>
      </c>
      <c r="O87" s="909">
        <f t="shared" si="28"/>
        <v>3468.4999999999991</v>
      </c>
      <c r="P87" s="2327">
        <v>5862</v>
      </c>
      <c r="Q87" s="909">
        <f t="shared" si="28"/>
        <v>5255.7</v>
      </c>
      <c r="R87" s="909">
        <f t="shared" si="28"/>
        <v>4649.3999999999996</v>
      </c>
      <c r="S87" s="909">
        <f t="shared" si="28"/>
        <v>4043.0999999999995</v>
      </c>
      <c r="T87" s="2065"/>
      <c r="U87" s="41"/>
      <c r="V87" s="32"/>
      <c r="W87" s="32"/>
      <c r="X87" s="2066"/>
      <c r="Y87" s="2067"/>
      <c r="Z87" s="141"/>
      <c r="AA87" s="142"/>
      <c r="AB87" s="141"/>
      <c r="AC87" s="141"/>
      <c r="AD87" s="716"/>
      <c r="AE87" s="716"/>
      <c r="AF87" s="402"/>
      <c r="AG87" s="32"/>
      <c r="AH87" s="32"/>
      <c r="AI87" s="232"/>
      <c r="AJ87" s="2066"/>
      <c r="AK87" s="674"/>
      <c r="AL87" s="740"/>
      <c r="AM87" s="142"/>
      <c r="AN87" s="141"/>
      <c r="AO87" s="141"/>
      <c r="AP87" s="151"/>
      <c r="AQ87" s="151"/>
      <c r="AR87" s="707"/>
      <c r="AS87" s="41"/>
      <c r="AT87" s="32"/>
      <c r="AU87" s="32"/>
      <c r="AV87" s="147"/>
      <c r="AW87" s="716"/>
      <c r="AX87" s="707"/>
      <c r="AY87" s="142"/>
      <c r="AZ87" s="142">
        <v>3000</v>
      </c>
      <c r="BA87" s="148"/>
      <c r="BB87" s="230"/>
      <c r="BC87" s="716"/>
      <c r="BD87" s="707"/>
      <c r="BE87" s="141"/>
      <c r="BF87" s="142"/>
      <c r="BG87" s="142"/>
      <c r="BH87" s="154"/>
      <c r="BI87" s="674"/>
      <c r="BJ87" s="757"/>
      <c r="BK87" s="131"/>
      <c r="BL87" s="785">
        <f t="shared" si="29"/>
        <v>6500</v>
      </c>
      <c r="BM87" s="1"/>
    </row>
    <row r="88" spans="1:65" ht="15" thickBot="1" x14ac:dyDescent="0.35">
      <c r="A88" s="137">
        <v>2623</v>
      </c>
      <c r="B88" s="2325" t="s">
        <v>142</v>
      </c>
      <c r="C88" s="224">
        <v>7</v>
      </c>
      <c r="D88" s="137" t="s">
        <v>22</v>
      </c>
      <c r="E88" s="136">
        <v>1</v>
      </c>
      <c r="F88" s="331">
        <f>(BL88/G88)/7</f>
        <v>1.5748031496062993</v>
      </c>
      <c r="G88" s="137">
        <v>635</v>
      </c>
      <c r="H88" s="139">
        <f>G88*E88</f>
        <v>635</v>
      </c>
      <c r="I88" s="848">
        <v>7800</v>
      </c>
      <c r="J88" s="905">
        <v>7000</v>
      </c>
      <c r="K88" s="909">
        <f t="shared" si="27"/>
        <v>6365</v>
      </c>
      <c r="L88" s="909">
        <f t="shared" si="27"/>
        <v>5730</v>
      </c>
      <c r="M88" s="909">
        <f t="shared" si="30"/>
        <v>5095</v>
      </c>
      <c r="N88" s="909">
        <f t="shared" si="28"/>
        <v>4460</v>
      </c>
      <c r="O88" s="909">
        <f t="shared" si="28"/>
        <v>3825</v>
      </c>
      <c r="P88" s="909">
        <f t="shared" si="28"/>
        <v>3190</v>
      </c>
      <c r="Q88" s="2327">
        <v>5555</v>
      </c>
      <c r="R88" s="909">
        <f t="shared" si="28"/>
        <v>4920</v>
      </c>
      <c r="S88" s="909">
        <f t="shared" si="28"/>
        <v>4285</v>
      </c>
      <c r="T88" s="2138"/>
      <c r="U88" s="41"/>
      <c r="V88" s="32"/>
      <c r="W88" s="32"/>
      <c r="X88" s="2066"/>
      <c r="Y88" s="2067"/>
      <c r="Z88" s="141"/>
      <c r="AA88" s="142"/>
      <c r="AB88" s="141"/>
      <c r="AC88" s="141"/>
      <c r="AD88" s="716"/>
      <c r="AE88" s="716"/>
      <c r="AF88" s="402"/>
      <c r="AG88" s="32"/>
      <c r="AH88" s="32"/>
      <c r="AI88" s="232"/>
      <c r="AJ88" s="2066"/>
      <c r="AK88" s="674"/>
      <c r="AL88" s="740"/>
      <c r="AM88" s="142"/>
      <c r="AN88" s="141"/>
      <c r="AO88" s="141"/>
      <c r="AP88" s="151"/>
      <c r="AQ88" s="151"/>
      <c r="AR88" s="707"/>
      <c r="AS88" s="41"/>
      <c r="AT88" s="32"/>
      <c r="AU88" s="32"/>
      <c r="AV88" s="147"/>
      <c r="AW88" s="716"/>
      <c r="AX88" s="707"/>
      <c r="AY88" s="142"/>
      <c r="AZ88" s="142"/>
      <c r="BA88" s="148"/>
      <c r="BB88" s="230"/>
      <c r="BC88" s="716"/>
      <c r="BD88" s="707"/>
      <c r="BE88" s="141"/>
      <c r="BF88" s="142"/>
      <c r="BG88" s="142">
        <v>3000</v>
      </c>
      <c r="BH88" s="154"/>
      <c r="BI88" s="674"/>
      <c r="BJ88" s="757"/>
      <c r="BK88" s="131"/>
      <c r="BL88" s="785">
        <f t="shared" si="29"/>
        <v>7000</v>
      </c>
      <c r="BM88" s="1"/>
    </row>
    <row r="89" spans="1:65" ht="15" thickBot="1" x14ac:dyDescent="0.35">
      <c r="A89" s="137">
        <v>2622</v>
      </c>
      <c r="B89" s="388" t="s">
        <v>22</v>
      </c>
      <c r="C89" s="224">
        <v>8</v>
      </c>
      <c r="D89" s="137" t="s">
        <v>22</v>
      </c>
      <c r="E89" s="136">
        <v>1.1000000000000001</v>
      </c>
      <c r="F89" s="136">
        <f>(BL89/G89)/7</f>
        <v>0.97108329736728527</v>
      </c>
      <c r="G89" s="137">
        <v>662</v>
      </c>
      <c r="H89" s="139">
        <f t="shared" si="26"/>
        <v>728.2</v>
      </c>
      <c r="I89" s="848">
        <v>7800</v>
      </c>
      <c r="J89" s="905">
        <v>4500</v>
      </c>
      <c r="K89" s="909">
        <f t="shared" si="27"/>
        <v>3771.8</v>
      </c>
      <c r="L89" s="909">
        <f t="shared" si="27"/>
        <v>3043.6000000000004</v>
      </c>
      <c r="M89" s="2327">
        <v>5315</v>
      </c>
      <c r="N89" s="909">
        <f t="shared" si="28"/>
        <v>4586.8</v>
      </c>
      <c r="O89" s="909">
        <f t="shared" si="28"/>
        <v>3858.6000000000004</v>
      </c>
      <c r="P89" s="2327">
        <v>6130</v>
      </c>
      <c r="Q89" s="909">
        <f t="shared" si="28"/>
        <v>5401.8</v>
      </c>
      <c r="R89" s="909">
        <f t="shared" si="28"/>
        <v>4673.6000000000004</v>
      </c>
      <c r="S89" s="909">
        <f t="shared" si="28"/>
        <v>3945.4000000000005</v>
      </c>
      <c r="T89" s="2138"/>
      <c r="U89" s="41"/>
      <c r="V89" s="32"/>
      <c r="W89" s="32"/>
      <c r="X89" s="2066"/>
      <c r="Y89" s="2067"/>
      <c r="Z89" s="141"/>
      <c r="AA89" s="142"/>
      <c r="AB89" s="141"/>
      <c r="AC89" s="141"/>
      <c r="AD89" s="716"/>
      <c r="AE89" s="716"/>
      <c r="AF89" s="402"/>
      <c r="AG89" s="32"/>
      <c r="AH89" s="32"/>
      <c r="AI89" s="232">
        <v>3000</v>
      </c>
      <c r="AJ89" s="2066"/>
      <c r="AK89" s="674"/>
      <c r="AL89" s="740"/>
      <c r="AM89" s="142"/>
      <c r="AN89" s="141"/>
      <c r="AO89" s="141"/>
      <c r="AP89" s="151"/>
      <c r="AQ89" s="151"/>
      <c r="AR89" s="707"/>
      <c r="AS89" s="41"/>
      <c r="AT89" s="32"/>
      <c r="AU89" s="32"/>
      <c r="AV89" s="147"/>
      <c r="AW89" s="716"/>
      <c r="AX89" s="707"/>
      <c r="AY89" s="142"/>
      <c r="AZ89" s="142"/>
      <c r="BA89" s="148">
        <v>3000</v>
      </c>
      <c r="BB89" s="230"/>
      <c r="BC89" s="716"/>
      <c r="BD89" s="707"/>
      <c r="BE89" s="141"/>
      <c r="BF89" s="142"/>
      <c r="BG89" s="142"/>
      <c r="BH89" s="154"/>
      <c r="BI89" s="674"/>
      <c r="BJ89" s="757"/>
      <c r="BK89" s="131"/>
      <c r="BL89" s="785">
        <f t="shared" si="29"/>
        <v>4500</v>
      </c>
      <c r="BM89" s="1"/>
    </row>
    <row r="90" spans="1:65" ht="15" thickBot="1" x14ac:dyDescent="0.35">
      <c r="A90" s="210">
        <v>2621</v>
      </c>
      <c r="B90" s="2329" t="s">
        <v>137</v>
      </c>
      <c r="C90" s="332">
        <v>9</v>
      </c>
      <c r="D90" s="210" t="s">
        <v>22</v>
      </c>
      <c r="E90" s="204">
        <v>1.2</v>
      </c>
      <c r="F90" s="204">
        <f>(BL90/G90)/7</f>
        <v>1.2531328320802007</v>
      </c>
      <c r="G90" s="210">
        <v>627</v>
      </c>
      <c r="H90" s="839">
        <f t="shared" si="26"/>
        <v>752.4</v>
      </c>
      <c r="I90" s="848">
        <v>7800</v>
      </c>
      <c r="J90" s="906">
        <v>5500</v>
      </c>
      <c r="K90" s="911">
        <f t="shared" si="27"/>
        <v>4747.6000000000004</v>
      </c>
      <c r="L90" s="911">
        <f t="shared" si="27"/>
        <v>3995.2000000000003</v>
      </c>
      <c r="M90" s="911">
        <f t="shared" si="30"/>
        <v>3242.8</v>
      </c>
      <c r="N90" s="911">
        <f t="shared" si="28"/>
        <v>2490.4</v>
      </c>
      <c r="O90" s="911">
        <f t="shared" si="28"/>
        <v>1738</v>
      </c>
      <c r="P90" s="911">
        <f t="shared" si="28"/>
        <v>985.6</v>
      </c>
      <c r="Q90" s="911">
        <f t="shared" si="28"/>
        <v>233.20000000000005</v>
      </c>
      <c r="R90" s="911">
        <f t="shared" si="28"/>
        <v>-519.19999999999993</v>
      </c>
      <c r="S90" s="911">
        <f t="shared" si="28"/>
        <v>-1271.5999999999999</v>
      </c>
      <c r="T90" s="2330"/>
      <c r="U90" s="333"/>
      <c r="V90" s="334"/>
      <c r="W90" s="334"/>
      <c r="X90" s="2331"/>
      <c r="Y90" s="2332"/>
      <c r="Z90" s="335"/>
      <c r="AA90" s="307"/>
      <c r="AB90" s="335"/>
      <c r="AC90" s="335"/>
      <c r="AD90" s="730"/>
      <c r="AE90" s="730"/>
      <c r="AF90" s="701"/>
      <c r="AG90" s="334"/>
      <c r="AH90" s="334"/>
      <c r="AI90" s="336"/>
      <c r="AJ90" s="2331"/>
      <c r="AK90" s="737"/>
      <c r="AL90" s="744"/>
      <c r="AM90" s="307"/>
      <c r="AN90" s="335"/>
      <c r="AO90" s="335"/>
      <c r="AP90" s="2333"/>
      <c r="AQ90" s="2333"/>
      <c r="AR90" s="729"/>
      <c r="AS90" s="333"/>
      <c r="AT90" s="334"/>
      <c r="AU90" s="334"/>
      <c r="AV90" s="2334"/>
      <c r="AW90" s="730"/>
      <c r="AX90" s="729"/>
      <c r="AY90" s="307"/>
      <c r="AZ90" s="307"/>
      <c r="BA90" s="306"/>
      <c r="BB90" s="2335"/>
      <c r="BC90" s="717"/>
      <c r="BD90" s="729"/>
      <c r="BE90" s="335"/>
      <c r="BF90" s="307"/>
      <c r="BG90" s="307"/>
      <c r="BH90" s="2336"/>
      <c r="BI90" s="737"/>
      <c r="BJ90" s="786"/>
      <c r="BK90" s="221"/>
      <c r="BL90" s="770">
        <f t="shared" si="29"/>
        <v>5500</v>
      </c>
      <c r="BM90" s="1"/>
    </row>
    <row r="91" spans="1:65" ht="15" thickBot="1" x14ac:dyDescent="0.35">
      <c r="A91" s="308"/>
      <c r="B91" s="308"/>
      <c r="C91" s="337"/>
      <c r="D91" s="338"/>
      <c r="E91" s="339"/>
      <c r="F91" s="339"/>
      <c r="G91" s="338"/>
      <c r="H91" s="338"/>
      <c r="I91" s="825"/>
      <c r="J91" s="825"/>
      <c r="K91" s="920"/>
      <c r="L91" s="920"/>
      <c r="M91" s="920"/>
      <c r="N91" s="920"/>
      <c r="O91" s="920"/>
      <c r="P91" s="920"/>
      <c r="Q91" s="920"/>
      <c r="R91" s="338"/>
      <c r="S91" s="338"/>
      <c r="T91" s="2337"/>
      <c r="U91" s="338"/>
      <c r="V91" s="338"/>
      <c r="W91" s="338"/>
      <c r="X91" s="338"/>
      <c r="Y91" s="2338"/>
      <c r="Z91" s="308"/>
      <c r="AA91" s="308"/>
      <c r="AB91" s="308"/>
      <c r="AC91" s="308"/>
      <c r="AD91" s="308"/>
      <c r="AE91" s="699"/>
      <c r="AF91" s="703"/>
      <c r="AG91" s="338"/>
      <c r="AH91" s="338"/>
      <c r="AI91" s="338"/>
      <c r="AJ91" s="338"/>
      <c r="AK91" s="699"/>
      <c r="AL91" s="698"/>
      <c r="AM91" s="312"/>
      <c r="AN91" s="308"/>
      <c r="AO91" s="308"/>
      <c r="AP91" s="308"/>
      <c r="AQ91" s="308"/>
      <c r="AR91" s="698"/>
      <c r="AS91" s="338"/>
      <c r="AT91" s="338"/>
      <c r="AU91" s="338"/>
      <c r="AV91" s="338"/>
      <c r="AW91" s="699"/>
      <c r="AX91" s="698"/>
      <c r="AY91" s="308"/>
      <c r="AZ91" s="308"/>
      <c r="BA91" s="308"/>
      <c r="BB91" s="308"/>
      <c r="BC91" s="750"/>
      <c r="BD91" s="698"/>
      <c r="BE91" s="308"/>
      <c r="BF91" s="308"/>
      <c r="BG91" s="308"/>
      <c r="BH91" s="308"/>
      <c r="BI91" s="699"/>
      <c r="BJ91" s="698"/>
      <c r="BK91" s="308"/>
      <c r="BL91" s="699"/>
      <c r="BM91" s="1"/>
    </row>
    <row r="92" spans="1:65" ht="16.8" thickTop="1" thickBot="1" x14ac:dyDescent="0.35">
      <c r="A92" s="340" t="s">
        <v>143</v>
      </c>
      <c r="B92" s="341"/>
      <c r="C92" s="342"/>
      <c r="D92" s="308"/>
      <c r="E92" s="308"/>
      <c r="F92" s="308"/>
      <c r="G92" s="343"/>
      <c r="H92" s="308"/>
      <c r="I92" s="820"/>
      <c r="J92" s="820"/>
      <c r="K92" s="308"/>
      <c r="L92" s="308"/>
      <c r="M92" s="308"/>
      <c r="N92" s="308"/>
      <c r="O92" s="308"/>
      <c r="P92" s="308"/>
      <c r="Q92" s="308"/>
      <c r="R92" s="308"/>
      <c r="S92" s="308"/>
      <c r="T92" s="2339"/>
      <c r="U92" s="308"/>
      <c r="V92" s="308"/>
      <c r="W92" s="308"/>
      <c r="X92" s="308"/>
      <c r="Y92" s="2340"/>
      <c r="Z92" s="308"/>
      <c r="AA92" s="308"/>
      <c r="AB92" s="308"/>
      <c r="AC92" s="308"/>
      <c r="AD92" s="308"/>
      <c r="AE92" s="699"/>
      <c r="AF92" s="698"/>
      <c r="AG92" s="308"/>
      <c r="AH92" s="308"/>
      <c r="AI92" s="344"/>
      <c r="AJ92" s="308"/>
      <c r="AK92" s="699"/>
      <c r="AL92" s="698"/>
      <c r="AM92" s="344"/>
      <c r="AN92" s="308"/>
      <c r="AO92" s="308"/>
      <c r="AP92" s="308"/>
      <c r="AQ92" s="308"/>
      <c r="AR92" s="698"/>
      <c r="AS92" s="308"/>
      <c r="AT92" s="308"/>
      <c r="AU92" s="308"/>
      <c r="AV92" s="308"/>
      <c r="AW92" s="699"/>
      <c r="AX92" s="698"/>
      <c r="AY92" s="308"/>
      <c r="AZ92" s="308"/>
      <c r="BA92" s="308"/>
      <c r="BB92" s="308"/>
      <c r="BC92" s="699"/>
      <c r="BD92" s="698"/>
      <c r="BE92" s="345"/>
      <c r="BF92" s="346"/>
      <c r="BG92" s="345"/>
      <c r="BH92" s="2341"/>
      <c r="BI92" s="755"/>
      <c r="BJ92" s="698"/>
      <c r="BK92" s="308"/>
      <c r="BL92" s="699"/>
      <c r="BM92" s="1"/>
    </row>
    <row r="93" spans="1:65" ht="16.8" thickTop="1" thickBot="1" x14ac:dyDescent="0.35">
      <c r="A93" s="347" t="s">
        <v>29</v>
      </c>
      <c r="B93" s="348" t="s">
        <v>30</v>
      </c>
      <c r="C93" s="349" t="s">
        <v>144</v>
      </c>
      <c r="D93" s="349" t="s">
        <v>2</v>
      </c>
      <c r="E93" s="350" t="s">
        <v>32</v>
      </c>
      <c r="F93" s="350" t="s">
        <v>33</v>
      </c>
      <c r="G93" s="349" t="s">
        <v>34</v>
      </c>
      <c r="H93" s="796" t="s">
        <v>35</v>
      </c>
      <c r="I93" s="349" t="s">
        <v>36</v>
      </c>
      <c r="J93" s="349" t="s">
        <v>37</v>
      </c>
      <c r="K93" s="223" t="s">
        <v>38</v>
      </c>
      <c r="L93" s="351" t="s">
        <v>39</v>
      </c>
      <c r="M93" s="351" t="s">
        <v>40</v>
      </c>
      <c r="N93" s="351" t="s">
        <v>41</v>
      </c>
      <c r="O93" s="351" t="s">
        <v>42</v>
      </c>
      <c r="P93" s="351" t="s">
        <v>43</v>
      </c>
      <c r="Q93" s="352" t="s">
        <v>44</v>
      </c>
      <c r="R93" s="351" t="s">
        <v>38</v>
      </c>
      <c r="S93" s="352" t="s">
        <v>45</v>
      </c>
      <c r="T93" s="2342" t="s">
        <v>145</v>
      </c>
      <c r="U93" s="354" t="s">
        <v>146</v>
      </c>
      <c r="V93" s="354" t="s">
        <v>147</v>
      </c>
      <c r="W93" s="354" t="s">
        <v>148</v>
      </c>
      <c r="X93" s="355" t="s">
        <v>149</v>
      </c>
      <c r="Y93" s="2343" t="s">
        <v>307</v>
      </c>
      <c r="Z93" s="353" t="s">
        <v>150</v>
      </c>
      <c r="AA93" s="354" t="s">
        <v>151</v>
      </c>
      <c r="AB93" s="354" t="s">
        <v>152</v>
      </c>
      <c r="AC93" s="354" t="s">
        <v>153</v>
      </c>
      <c r="AD93" s="355" t="s">
        <v>154</v>
      </c>
      <c r="AE93" s="355" t="s">
        <v>316</v>
      </c>
      <c r="AF93" s="356" t="s">
        <v>155</v>
      </c>
      <c r="AG93" s="357" t="s">
        <v>156</v>
      </c>
      <c r="AH93" s="358" t="s">
        <v>157</v>
      </c>
      <c r="AI93" s="354" t="s">
        <v>158</v>
      </c>
      <c r="AJ93" s="359" t="s">
        <v>159</v>
      </c>
      <c r="AK93" s="359" t="s">
        <v>5</v>
      </c>
      <c r="AL93" s="356" t="s">
        <v>124</v>
      </c>
      <c r="AM93" s="353" t="s">
        <v>160</v>
      </c>
      <c r="AN93" s="354" t="s">
        <v>161</v>
      </c>
      <c r="AO93" s="354" t="s">
        <v>162</v>
      </c>
      <c r="AP93" s="897" t="s">
        <v>323</v>
      </c>
      <c r="AQ93" s="897" t="s">
        <v>59</v>
      </c>
      <c r="AR93" s="356" t="s">
        <v>164</v>
      </c>
      <c r="AS93" s="353" t="s">
        <v>165</v>
      </c>
      <c r="AT93" s="354" t="s">
        <v>166</v>
      </c>
      <c r="AU93" s="358" t="s">
        <v>167</v>
      </c>
      <c r="AV93" s="110" t="s">
        <v>330</v>
      </c>
      <c r="AW93" s="359" t="s">
        <v>63</v>
      </c>
      <c r="AX93" s="356" t="s">
        <v>132</v>
      </c>
      <c r="AY93" s="354" t="s">
        <v>169</v>
      </c>
      <c r="AZ93" s="354" t="s">
        <v>170</v>
      </c>
      <c r="BA93" s="354" t="s">
        <v>171</v>
      </c>
      <c r="BB93" s="355" t="s">
        <v>172</v>
      </c>
      <c r="BC93" s="355" t="s">
        <v>8</v>
      </c>
      <c r="BD93" s="356" t="s">
        <v>136</v>
      </c>
      <c r="BE93" s="353" t="s">
        <v>173</v>
      </c>
      <c r="BF93" s="353" t="s">
        <v>174</v>
      </c>
      <c r="BG93" s="353" t="s">
        <v>175</v>
      </c>
      <c r="BH93" s="662" t="s">
        <v>176</v>
      </c>
      <c r="BI93" s="359" t="s">
        <v>9</v>
      </c>
      <c r="BJ93" s="356" t="s">
        <v>70</v>
      </c>
      <c r="BK93" s="354" t="s">
        <v>71</v>
      </c>
      <c r="BL93" s="355" t="s">
        <v>72</v>
      </c>
      <c r="BM93" s="1"/>
    </row>
    <row r="94" spans="1:65" ht="16.8" thickTop="1" thickBot="1" x14ac:dyDescent="0.35">
      <c r="A94" s="159">
        <v>2620</v>
      </c>
      <c r="B94" s="360" t="s">
        <v>405</v>
      </c>
      <c r="C94" s="361" t="s">
        <v>177</v>
      </c>
      <c r="D94" s="362" t="s">
        <v>22</v>
      </c>
      <c r="E94" s="363">
        <v>1.6</v>
      </c>
      <c r="F94" s="364">
        <f>(BL94/G94)/7</f>
        <v>0.40874718986306968</v>
      </c>
      <c r="G94" s="362">
        <v>699</v>
      </c>
      <c r="H94" s="840">
        <f t="shared" ref="H94:H136" si="31">G94*E94</f>
        <v>1118.4000000000001</v>
      </c>
      <c r="I94" s="362">
        <v>5800</v>
      </c>
      <c r="J94" s="362">
        <v>2000</v>
      </c>
      <c r="K94" s="2344">
        <v>3882</v>
      </c>
      <c r="L94" s="365">
        <f t="shared" ref="L94:M108" si="32">K94-$H94</f>
        <v>2763.6</v>
      </c>
      <c r="M94" s="2344">
        <v>4645</v>
      </c>
      <c r="N94" s="365">
        <f t="shared" ref="N94:P136" si="33">M94-$H94</f>
        <v>3526.6</v>
      </c>
      <c r="O94" s="365">
        <f t="shared" si="33"/>
        <v>2408.1999999999998</v>
      </c>
      <c r="P94" s="2344">
        <v>4290</v>
      </c>
      <c r="Q94" s="365">
        <f t="shared" ref="Q94:S136" si="34">P94-$H94</f>
        <v>3171.6</v>
      </c>
      <c r="R94" s="365">
        <f t="shared" si="34"/>
        <v>2053.1999999999998</v>
      </c>
      <c r="S94" s="365">
        <f t="shared" si="34"/>
        <v>934.79999999999973</v>
      </c>
      <c r="T94" s="2345">
        <v>3000</v>
      </c>
      <c r="U94" s="121"/>
      <c r="V94" s="121"/>
      <c r="W94" s="22"/>
      <c r="X94" s="23"/>
      <c r="Y94" s="2070"/>
      <c r="Z94" s="366"/>
      <c r="AA94" s="367"/>
      <c r="AB94" s="367"/>
      <c r="AC94" s="367"/>
      <c r="AD94" s="372"/>
      <c r="AE94" s="667"/>
      <c r="AF94" s="369">
        <v>3000</v>
      </c>
      <c r="AG94" s="370"/>
      <c r="AH94" s="370"/>
      <c r="AI94" s="366"/>
      <c r="AJ94" s="480"/>
      <c r="AK94" s="2346"/>
      <c r="AL94" s="369"/>
      <c r="AM94" s="366"/>
      <c r="AN94" s="367"/>
      <c r="AO94" s="367"/>
      <c r="AP94" s="372"/>
      <c r="AQ94" s="2069"/>
      <c r="AR94" s="369"/>
      <c r="AS94" s="370"/>
      <c r="AT94" s="370"/>
      <c r="AU94" s="366"/>
      <c r="AV94" s="480"/>
      <c r="AW94" s="667"/>
      <c r="AX94" s="369">
        <v>3000</v>
      </c>
      <c r="AY94" s="367"/>
      <c r="AZ94" s="367"/>
      <c r="BA94" s="367"/>
      <c r="BB94" s="480"/>
      <c r="BC94" s="2346"/>
      <c r="BD94" s="369"/>
      <c r="BE94" s="367"/>
      <c r="BF94" s="367"/>
      <c r="BG94" s="372"/>
      <c r="BH94" s="372"/>
      <c r="BI94" s="667"/>
      <c r="BJ94" s="373"/>
      <c r="BK94" s="374"/>
      <c r="BL94" s="787">
        <f t="shared" ref="BL94:BL136" si="35">(J94+BJ94)-BK94</f>
        <v>2000</v>
      </c>
    </row>
    <row r="95" spans="1:65" ht="16.2" thickBot="1" x14ac:dyDescent="0.35">
      <c r="A95" s="129"/>
      <c r="B95" s="360"/>
      <c r="C95" s="361" t="s">
        <v>178</v>
      </c>
      <c r="D95" s="362" t="s">
        <v>22</v>
      </c>
      <c r="E95" s="363">
        <v>1.6</v>
      </c>
      <c r="F95" s="364"/>
      <c r="G95" s="362"/>
      <c r="H95" s="840">
        <f t="shared" si="31"/>
        <v>0</v>
      </c>
      <c r="I95" s="375"/>
      <c r="J95" s="362"/>
      <c r="K95" s="365">
        <f t="shared" ref="K95:M136" si="36">J95-$H95</f>
        <v>0</v>
      </c>
      <c r="L95" s="365">
        <f t="shared" si="32"/>
        <v>0</v>
      </c>
      <c r="M95" s="365">
        <f t="shared" si="32"/>
        <v>0</v>
      </c>
      <c r="N95" s="365">
        <f t="shared" si="33"/>
        <v>0</v>
      </c>
      <c r="O95" s="365">
        <f t="shared" si="33"/>
        <v>0</v>
      </c>
      <c r="P95" s="365">
        <f t="shared" si="33"/>
        <v>0</v>
      </c>
      <c r="Q95" s="365">
        <f t="shared" si="34"/>
        <v>0</v>
      </c>
      <c r="R95" s="2347">
        <f t="shared" si="34"/>
        <v>0</v>
      </c>
      <c r="S95" s="2348">
        <f t="shared" si="34"/>
        <v>0</v>
      </c>
      <c r="T95" s="2345"/>
      <c r="U95" s="120"/>
      <c r="V95" s="120"/>
      <c r="W95" s="21"/>
      <c r="X95" s="157"/>
      <c r="Y95" s="2070"/>
      <c r="Z95" s="21"/>
      <c r="AA95" s="21"/>
      <c r="AB95" s="21"/>
      <c r="AC95" s="21"/>
      <c r="AD95" s="157"/>
      <c r="AE95" s="667"/>
      <c r="AF95" s="376"/>
      <c r="AG95" s="21"/>
      <c r="AH95" s="21"/>
      <c r="AI95" s="21"/>
      <c r="AJ95" s="157"/>
      <c r="AK95" s="2346"/>
      <c r="AL95" s="376"/>
      <c r="AM95" s="21"/>
      <c r="AN95" s="22"/>
      <c r="AO95" s="22"/>
      <c r="AP95" s="23"/>
      <c r="AQ95" s="2069"/>
      <c r="AR95" s="376"/>
      <c r="AS95" s="21"/>
      <c r="AT95" s="21"/>
      <c r="AU95" s="21"/>
      <c r="AV95" s="157"/>
      <c r="AW95" s="667"/>
      <c r="AX95" s="376"/>
      <c r="AY95" s="22"/>
      <c r="AZ95" s="22"/>
      <c r="BA95" s="22"/>
      <c r="BB95" s="157"/>
      <c r="BC95" s="2346"/>
      <c r="BD95" s="376"/>
      <c r="BE95" s="22"/>
      <c r="BF95" s="22"/>
      <c r="BG95" s="23"/>
      <c r="BH95" s="23"/>
      <c r="BI95" s="667"/>
      <c r="BJ95" s="378"/>
      <c r="BK95" s="379"/>
      <c r="BL95" s="788">
        <f t="shared" si="35"/>
        <v>0</v>
      </c>
      <c r="BM95" s="1"/>
    </row>
    <row r="96" spans="1:65" ht="16.2" thickBot="1" x14ac:dyDescent="0.35">
      <c r="A96" s="380"/>
      <c r="B96" s="381"/>
      <c r="C96" s="382" t="s">
        <v>179</v>
      </c>
      <c r="D96" s="362" t="s">
        <v>22</v>
      </c>
      <c r="E96" s="383">
        <v>1.6</v>
      </c>
      <c r="F96" s="384"/>
      <c r="G96" s="385"/>
      <c r="H96" s="840">
        <f t="shared" si="31"/>
        <v>0</v>
      </c>
      <c r="I96" s="386"/>
      <c r="J96" s="385"/>
      <c r="K96" s="365">
        <f t="shared" si="36"/>
        <v>0</v>
      </c>
      <c r="L96" s="365">
        <f t="shared" si="32"/>
        <v>0</v>
      </c>
      <c r="M96" s="365">
        <f t="shared" si="32"/>
        <v>0</v>
      </c>
      <c r="N96" s="365">
        <f t="shared" si="33"/>
        <v>0</v>
      </c>
      <c r="O96" s="365">
        <f t="shared" si="33"/>
        <v>0</v>
      </c>
      <c r="P96" s="365">
        <f t="shared" si="33"/>
        <v>0</v>
      </c>
      <c r="Q96" s="365">
        <f t="shared" si="34"/>
        <v>0</v>
      </c>
      <c r="R96" s="2349">
        <f t="shared" si="34"/>
        <v>0</v>
      </c>
      <c r="S96" s="2350">
        <f t="shared" si="34"/>
        <v>0</v>
      </c>
      <c r="T96" s="2351"/>
      <c r="U96" s="240"/>
      <c r="V96" s="240"/>
      <c r="W96" s="244"/>
      <c r="X96" s="311"/>
      <c r="Y96" s="2352"/>
      <c r="Z96" s="244"/>
      <c r="AA96" s="244"/>
      <c r="AB96" s="244"/>
      <c r="AC96" s="244"/>
      <c r="AD96" s="311"/>
      <c r="AE96" s="2353"/>
      <c r="AF96" s="387"/>
      <c r="AG96" s="244"/>
      <c r="AH96" s="244"/>
      <c r="AI96" s="244"/>
      <c r="AJ96" s="311"/>
      <c r="AK96" s="2354"/>
      <c r="AL96" s="387"/>
      <c r="AM96" s="244"/>
      <c r="AN96" s="191"/>
      <c r="AO96" s="191"/>
      <c r="AP96" s="247"/>
      <c r="AQ96" s="2355"/>
      <c r="AR96" s="387"/>
      <c r="AS96" s="244"/>
      <c r="AT96" s="244"/>
      <c r="AU96" s="244"/>
      <c r="AV96" s="311"/>
      <c r="AW96" s="2353"/>
      <c r="AX96" s="387"/>
      <c r="AY96" s="191"/>
      <c r="AZ96" s="191"/>
      <c r="BA96" s="191"/>
      <c r="BB96" s="311"/>
      <c r="BC96" s="2354"/>
      <c r="BD96" s="387"/>
      <c r="BE96" s="191"/>
      <c r="BF96" s="191"/>
      <c r="BG96" s="247"/>
      <c r="BH96" s="247"/>
      <c r="BI96" s="2353"/>
      <c r="BJ96" s="389"/>
      <c r="BK96" s="241"/>
      <c r="BL96" s="789">
        <f t="shared" si="35"/>
        <v>0</v>
      </c>
      <c r="BM96" s="1"/>
    </row>
    <row r="97" spans="1:65" ht="18.75" customHeight="1" thickBot="1" x14ac:dyDescent="0.35">
      <c r="A97" s="19">
        <v>2619</v>
      </c>
      <c r="B97" s="390" t="s">
        <v>361</v>
      </c>
      <c r="C97" s="391" t="s">
        <v>180</v>
      </c>
      <c r="D97" s="392" t="s">
        <v>22</v>
      </c>
      <c r="E97" s="393">
        <v>1.7</v>
      </c>
      <c r="F97" s="364">
        <f>(BL97/G97)/7</f>
        <v>0.96092248558616267</v>
      </c>
      <c r="G97" s="392">
        <v>669</v>
      </c>
      <c r="H97" s="841">
        <f t="shared" si="31"/>
        <v>1137.3</v>
      </c>
      <c r="I97" s="362">
        <v>5800</v>
      </c>
      <c r="J97" s="392">
        <v>4500</v>
      </c>
      <c r="K97" s="365">
        <f t="shared" si="36"/>
        <v>3362.7</v>
      </c>
      <c r="L97" s="2344">
        <v>5220</v>
      </c>
      <c r="M97" s="365">
        <f t="shared" si="32"/>
        <v>4082.7</v>
      </c>
      <c r="N97" s="365">
        <f t="shared" si="33"/>
        <v>2945.3999999999996</v>
      </c>
      <c r="O97" s="2344">
        <v>4800</v>
      </c>
      <c r="P97" s="365">
        <f t="shared" si="33"/>
        <v>3662.7</v>
      </c>
      <c r="Q97" s="2344">
        <v>5525</v>
      </c>
      <c r="R97" s="2356">
        <f t="shared" si="34"/>
        <v>4387.7</v>
      </c>
      <c r="S97" s="2348">
        <f t="shared" si="34"/>
        <v>3250.3999999999996</v>
      </c>
      <c r="T97" s="2131"/>
      <c r="U97" s="256"/>
      <c r="V97" s="256"/>
      <c r="W97" s="256"/>
      <c r="X97" s="253"/>
      <c r="Y97" s="2357"/>
      <c r="Z97" s="256">
        <v>3000</v>
      </c>
      <c r="AA97" s="256"/>
      <c r="AB97" s="256"/>
      <c r="AC97" s="256"/>
      <c r="AD97" s="253"/>
      <c r="AE97" s="2358"/>
      <c r="AF97" s="395"/>
      <c r="AG97" s="256"/>
      <c r="AH97" s="256"/>
      <c r="AI97" s="256"/>
      <c r="AJ97" s="253"/>
      <c r="AK97" s="2359"/>
      <c r="AL97" s="395"/>
      <c r="AM97" s="256"/>
      <c r="AN97" s="257"/>
      <c r="AO97" s="257"/>
      <c r="AP97" s="265"/>
      <c r="AQ97" s="2360"/>
      <c r="AR97" s="395">
        <v>3000</v>
      </c>
      <c r="AS97" s="256"/>
      <c r="AT97" s="256"/>
      <c r="AU97" s="256"/>
      <c r="AV97" s="253"/>
      <c r="AW97" s="2358"/>
      <c r="AX97" s="395"/>
      <c r="AY97" s="257"/>
      <c r="AZ97" s="257"/>
      <c r="BA97" s="257"/>
      <c r="BB97" s="253"/>
      <c r="BC97" s="2359"/>
      <c r="BD97" s="395">
        <v>3000</v>
      </c>
      <c r="BE97" s="257"/>
      <c r="BF97" s="257"/>
      <c r="BG97" s="265"/>
      <c r="BH97" s="265"/>
      <c r="BI97" s="2358"/>
      <c r="BJ97" s="396"/>
      <c r="BK97" s="397"/>
      <c r="BL97" s="790">
        <f t="shared" si="35"/>
        <v>4500</v>
      </c>
      <c r="BM97" s="1"/>
    </row>
    <row r="98" spans="1:65" ht="18.75" customHeight="1" thickBot="1" x14ac:dyDescent="0.35">
      <c r="A98" s="165"/>
      <c r="B98" s="377"/>
      <c r="C98" s="398" t="s">
        <v>181</v>
      </c>
      <c r="D98" s="375" t="s">
        <v>22</v>
      </c>
      <c r="E98" s="399">
        <v>1.7</v>
      </c>
      <c r="F98" s="400"/>
      <c r="G98" s="362"/>
      <c r="H98" s="842">
        <f t="shared" si="31"/>
        <v>0</v>
      </c>
      <c r="I98" s="375"/>
      <c r="J98" s="362"/>
      <c r="K98" s="365">
        <f t="shared" si="36"/>
        <v>0</v>
      </c>
      <c r="L98" s="365">
        <f t="shared" si="32"/>
        <v>0</v>
      </c>
      <c r="M98" s="365">
        <f t="shared" si="32"/>
        <v>0</v>
      </c>
      <c r="N98" s="365">
        <f t="shared" si="33"/>
        <v>0</v>
      </c>
      <c r="O98" s="365">
        <f t="shared" si="33"/>
        <v>0</v>
      </c>
      <c r="P98" s="365">
        <f t="shared" si="33"/>
        <v>0</v>
      </c>
      <c r="Q98" s="365">
        <f t="shared" si="34"/>
        <v>0</v>
      </c>
      <c r="R98" s="2347">
        <f t="shared" si="34"/>
        <v>0</v>
      </c>
      <c r="S98" s="2348">
        <f t="shared" si="34"/>
        <v>0</v>
      </c>
      <c r="T98" s="2138"/>
      <c r="U98" s="41"/>
      <c r="V98" s="41"/>
      <c r="W98" s="41"/>
      <c r="X98" s="139"/>
      <c r="Y98" s="2067"/>
      <c r="Z98" s="41"/>
      <c r="AA98" s="41"/>
      <c r="AB98" s="41"/>
      <c r="AC98" s="41"/>
      <c r="AD98" s="139"/>
      <c r="AE98" s="666"/>
      <c r="AF98" s="402"/>
      <c r="AG98" s="41"/>
      <c r="AH98" s="41"/>
      <c r="AI98" s="41"/>
      <c r="AJ98" s="139"/>
      <c r="AK98" s="2361"/>
      <c r="AL98" s="402"/>
      <c r="AM98" s="41"/>
      <c r="AN98" s="32"/>
      <c r="AO98" s="32"/>
      <c r="AP98" s="232"/>
      <c r="AQ98" s="2066"/>
      <c r="AR98" s="402"/>
      <c r="AS98" s="41"/>
      <c r="AT98" s="41"/>
      <c r="AU98" s="41"/>
      <c r="AV98" s="139"/>
      <c r="AW98" s="666"/>
      <c r="AX98" s="402"/>
      <c r="AY98" s="32"/>
      <c r="AZ98" s="32"/>
      <c r="BA98" s="32"/>
      <c r="BB98" s="139"/>
      <c r="BC98" s="2361"/>
      <c r="BD98" s="402"/>
      <c r="BE98" s="32"/>
      <c r="BF98" s="32"/>
      <c r="BG98" s="232"/>
      <c r="BH98" s="232"/>
      <c r="BI98" s="666"/>
      <c r="BJ98" s="378"/>
      <c r="BK98" s="379"/>
      <c r="BL98" s="788">
        <f t="shared" si="35"/>
        <v>0</v>
      </c>
      <c r="BM98" s="1"/>
    </row>
    <row r="99" spans="1:65" ht="16.2" thickBot="1" x14ac:dyDescent="0.35">
      <c r="A99" s="221"/>
      <c r="B99" s="404"/>
      <c r="C99" s="405" t="s">
        <v>182</v>
      </c>
      <c r="D99" s="406" t="s">
        <v>22</v>
      </c>
      <c r="E99" s="407">
        <v>1.7</v>
      </c>
      <c r="F99" s="408"/>
      <c r="G99" s="409"/>
      <c r="H99" s="843">
        <f t="shared" si="31"/>
        <v>0</v>
      </c>
      <c r="I99" s="406"/>
      <c r="J99" s="385"/>
      <c r="K99" s="365">
        <f t="shared" si="36"/>
        <v>0</v>
      </c>
      <c r="L99" s="365">
        <f t="shared" si="32"/>
        <v>0</v>
      </c>
      <c r="M99" s="365">
        <f t="shared" si="32"/>
        <v>0</v>
      </c>
      <c r="N99" s="365">
        <f t="shared" si="33"/>
        <v>0</v>
      </c>
      <c r="O99" s="365">
        <f t="shared" si="33"/>
        <v>0</v>
      </c>
      <c r="P99" s="365">
        <f t="shared" si="33"/>
        <v>0</v>
      </c>
      <c r="Q99" s="365">
        <f t="shared" si="34"/>
        <v>0</v>
      </c>
      <c r="R99" s="2349">
        <f t="shared" si="34"/>
        <v>0</v>
      </c>
      <c r="S99" s="2350">
        <f t="shared" si="34"/>
        <v>0</v>
      </c>
      <c r="T99" s="2362"/>
      <c r="U99" s="166"/>
      <c r="V99" s="166"/>
      <c r="W99" s="166"/>
      <c r="X99" s="273"/>
      <c r="Y99" s="2363"/>
      <c r="Z99" s="166"/>
      <c r="AA99" s="166"/>
      <c r="AB99" s="166"/>
      <c r="AC99" s="166"/>
      <c r="AD99" s="273"/>
      <c r="AE99" s="2364"/>
      <c r="AF99" s="412"/>
      <c r="AG99" s="166"/>
      <c r="AH99" s="166"/>
      <c r="AI99" s="166"/>
      <c r="AJ99" s="273"/>
      <c r="AK99" s="2365"/>
      <c r="AL99" s="412"/>
      <c r="AM99" s="166"/>
      <c r="AN99" s="167"/>
      <c r="AO99" s="167"/>
      <c r="AP99" s="414"/>
      <c r="AQ99" s="2366"/>
      <c r="AR99" s="412"/>
      <c r="AS99" s="166"/>
      <c r="AT99" s="166"/>
      <c r="AU99" s="166"/>
      <c r="AV99" s="273"/>
      <c r="AW99" s="2364"/>
      <c r="AX99" s="412"/>
      <c r="AY99" s="167"/>
      <c r="AZ99" s="167"/>
      <c r="BA99" s="167"/>
      <c r="BB99" s="273"/>
      <c r="BC99" s="2365"/>
      <c r="BD99" s="412"/>
      <c r="BE99" s="167"/>
      <c r="BF99" s="167"/>
      <c r="BG99" s="414"/>
      <c r="BH99" s="414"/>
      <c r="BI99" s="2364"/>
      <c r="BJ99" s="415"/>
      <c r="BK99" s="281"/>
      <c r="BL99" s="788">
        <f t="shared" si="35"/>
        <v>0</v>
      </c>
      <c r="BM99" s="1"/>
    </row>
    <row r="100" spans="1:65" ht="22.5" customHeight="1" thickBot="1" x14ac:dyDescent="0.35">
      <c r="A100" s="416">
        <v>2618</v>
      </c>
      <c r="B100" s="360" t="s">
        <v>183</v>
      </c>
      <c r="C100" s="361" t="s">
        <v>184</v>
      </c>
      <c r="D100" s="362" t="s">
        <v>185</v>
      </c>
      <c r="E100" s="363">
        <v>2.2000000000000002</v>
      </c>
      <c r="F100" s="364">
        <f>(BL100/G100)/7</f>
        <v>0.34730261634637649</v>
      </c>
      <c r="G100" s="362">
        <v>617</v>
      </c>
      <c r="H100" s="840">
        <f t="shared" si="31"/>
        <v>1357.4</v>
      </c>
      <c r="I100" s="362">
        <v>5800</v>
      </c>
      <c r="J100" s="392">
        <v>1500</v>
      </c>
      <c r="K100" s="2344">
        <v>3100</v>
      </c>
      <c r="L100" s="2344">
        <v>4743</v>
      </c>
      <c r="M100" s="365">
        <f t="shared" si="32"/>
        <v>3385.6</v>
      </c>
      <c r="N100" s="2344">
        <v>5028</v>
      </c>
      <c r="O100" s="365">
        <f t="shared" si="33"/>
        <v>3670.6</v>
      </c>
      <c r="P100" s="2344">
        <v>5313</v>
      </c>
      <c r="Q100" s="365">
        <f t="shared" si="34"/>
        <v>3955.6</v>
      </c>
      <c r="R100" s="417">
        <f t="shared" si="34"/>
        <v>2598.1999999999998</v>
      </c>
      <c r="S100" s="2367">
        <f t="shared" si="34"/>
        <v>1240.7999999999997</v>
      </c>
      <c r="T100" s="2368"/>
      <c r="U100" s="22">
        <v>3000</v>
      </c>
      <c r="V100" s="121"/>
      <c r="W100" s="22"/>
      <c r="X100" s="23"/>
      <c r="Y100" s="2070"/>
      <c r="Z100" s="21"/>
      <c r="AA100" s="22">
        <v>3000</v>
      </c>
      <c r="AB100" s="22"/>
      <c r="AC100" s="22"/>
      <c r="AD100" s="23"/>
      <c r="AE100" s="667"/>
      <c r="AF100" s="376"/>
      <c r="AG100" s="21"/>
      <c r="AH100" s="21"/>
      <c r="AI100" s="21"/>
      <c r="AJ100" s="157"/>
      <c r="AK100" s="2346"/>
      <c r="AL100" s="376"/>
      <c r="AM100" s="21">
        <v>3000</v>
      </c>
      <c r="AN100" s="22"/>
      <c r="AO100" s="22"/>
      <c r="AP100" s="23"/>
      <c r="AQ100" s="2069"/>
      <c r="AR100" s="376"/>
      <c r="AS100" s="21"/>
      <c r="AT100" s="21"/>
      <c r="AU100" s="21"/>
      <c r="AV100" s="157"/>
      <c r="AW100" s="667"/>
      <c r="AX100" s="376"/>
      <c r="AY100" s="22">
        <v>3000</v>
      </c>
      <c r="AZ100" s="22"/>
      <c r="BA100" s="22"/>
      <c r="BB100" s="157"/>
      <c r="BC100" s="2346"/>
      <c r="BD100" s="376"/>
      <c r="BE100" s="22"/>
      <c r="BF100" s="22"/>
      <c r="BG100" s="23"/>
      <c r="BH100" s="23"/>
      <c r="BI100" s="667"/>
      <c r="BJ100" s="389"/>
      <c r="BK100" s="241"/>
      <c r="BL100" s="790">
        <f t="shared" si="35"/>
        <v>1500</v>
      </c>
      <c r="BM100" s="1"/>
    </row>
    <row r="101" spans="1:65" ht="16.2" thickBot="1" x14ac:dyDescent="0.35">
      <c r="A101" s="418"/>
      <c r="B101" s="360"/>
      <c r="C101" s="398" t="s">
        <v>186</v>
      </c>
      <c r="D101" s="375" t="s">
        <v>185</v>
      </c>
      <c r="E101" s="399">
        <v>2.2000000000000002</v>
      </c>
      <c r="F101" s="400"/>
      <c r="G101" s="362"/>
      <c r="H101" s="842">
        <f t="shared" si="31"/>
        <v>0</v>
      </c>
      <c r="I101" s="375"/>
      <c r="J101" s="362"/>
      <c r="K101" s="365">
        <f t="shared" si="36"/>
        <v>0</v>
      </c>
      <c r="L101" s="365">
        <f t="shared" si="32"/>
        <v>0</v>
      </c>
      <c r="M101" s="365">
        <f t="shared" si="32"/>
        <v>0</v>
      </c>
      <c r="N101" s="365">
        <f t="shared" si="33"/>
        <v>0</v>
      </c>
      <c r="O101" s="365">
        <f t="shared" si="33"/>
        <v>0</v>
      </c>
      <c r="P101" s="365">
        <f t="shared" si="33"/>
        <v>0</v>
      </c>
      <c r="Q101" s="365">
        <f t="shared" si="34"/>
        <v>0</v>
      </c>
      <c r="R101" s="2347">
        <f t="shared" si="34"/>
        <v>0</v>
      </c>
      <c r="S101" s="2348">
        <f t="shared" si="34"/>
        <v>0</v>
      </c>
      <c r="T101" s="2369"/>
      <c r="U101" s="32"/>
      <c r="V101" s="142"/>
      <c r="W101" s="32"/>
      <c r="X101" s="232"/>
      <c r="Y101" s="2067"/>
      <c r="Z101" s="41"/>
      <c r="AA101" s="32"/>
      <c r="AB101" s="32"/>
      <c r="AC101" s="32"/>
      <c r="AD101" s="232"/>
      <c r="AE101" s="666"/>
      <c r="AF101" s="402"/>
      <c r="AG101" s="41"/>
      <c r="AH101" s="41"/>
      <c r="AI101" s="41"/>
      <c r="AJ101" s="139"/>
      <c r="AK101" s="2361"/>
      <c r="AL101" s="402"/>
      <c r="AM101" s="41"/>
      <c r="AN101" s="32"/>
      <c r="AO101" s="32"/>
      <c r="AP101" s="232"/>
      <c r="AQ101" s="2066"/>
      <c r="AR101" s="402"/>
      <c r="AS101" s="41"/>
      <c r="AT101" s="41"/>
      <c r="AU101" s="41"/>
      <c r="AV101" s="139"/>
      <c r="AW101" s="666"/>
      <c r="AX101" s="402"/>
      <c r="AY101" s="32"/>
      <c r="AZ101" s="32"/>
      <c r="BA101" s="32"/>
      <c r="BB101" s="139"/>
      <c r="BC101" s="2361"/>
      <c r="BD101" s="402"/>
      <c r="BE101" s="32"/>
      <c r="BF101" s="32"/>
      <c r="BG101" s="232"/>
      <c r="BH101" s="232"/>
      <c r="BI101" s="666"/>
      <c r="BJ101" s="389"/>
      <c r="BK101" s="241"/>
      <c r="BL101" s="788">
        <f t="shared" si="35"/>
        <v>0</v>
      </c>
      <c r="BM101" s="1"/>
    </row>
    <row r="102" spans="1:65" ht="16.2" thickBot="1" x14ac:dyDescent="0.35">
      <c r="A102" s="420"/>
      <c r="B102" s="421"/>
      <c r="C102" s="405" t="s">
        <v>187</v>
      </c>
      <c r="D102" s="406" t="s">
        <v>185</v>
      </c>
      <c r="E102" s="407">
        <v>2.2000000000000002</v>
      </c>
      <c r="F102" s="408"/>
      <c r="G102" s="409"/>
      <c r="H102" s="843">
        <f t="shared" si="31"/>
        <v>0</v>
      </c>
      <c r="I102" s="406"/>
      <c r="J102" s="406"/>
      <c r="K102" s="365">
        <f t="shared" si="36"/>
        <v>0</v>
      </c>
      <c r="L102" s="365">
        <f t="shared" si="32"/>
        <v>0</v>
      </c>
      <c r="M102" s="365">
        <f t="shared" si="32"/>
        <v>0</v>
      </c>
      <c r="N102" s="365">
        <f t="shared" si="33"/>
        <v>0</v>
      </c>
      <c r="O102" s="365">
        <f t="shared" si="33"/>
        <v>0</v>
      </c>
      <c r="P102" s="365">
        <f t="shared" si="33"/>
        <v>0</v>
      </c>
      <c r="Q102" s="365">
        <f t="shared" si="34"/>
        <v>0</v>
      </c>
      <c r="R102" s="2349">
        <f t="shared" si="34"/>
        <v>0</v>
      </c>
      <c r="S102" s="2350">
        <f t="shared" si="34"/>
        <v>0</v>
      </c>
      <c r="T102" s="2370"/>
      <c r="U102" s="167"/>
      <c r="V102" s="168"/>
      <c r="W102" s="167"/>
      <c r="X102" s="414"/>
      <c r="Y102" s="2363"/>
      <c r="Z102" s="166"/>
      <c r="AA102" s="167"/>
      <c r="AB102" s="167"/>
      <c r="AC102" s="167"/>
      <c r="AD102" s="414"/>
      <c r="AE102" s="2364"/>
      <c r="AF102" s="412"/>
      <c r="AG102" s="166"/>
      <c r="AH102" s="166"/>
      <c r="AI102" s="166"/>
      <c r="AJ102" s="273"/>
      <c r="AK102" s="2365"/>
      <c r="AL102" s="412"/>
      <c r="AM102" s="166"/>
      <c r="AN102" s="167"/>
      <c r="AO102" s="167"/>
      <c r="AP102" s="414"/>
      <c r="AQ102" s="2366"/>
      <c r="AR102" s="412"/>
      <c r="AS102" s="166"/>
      <c r="AT102" s="166"/>
      <c r="AU102" s="166"/>
      <c r="AV102" s="273"/>
      <c r="AW102" s="2364"/>
      <c r="AX102" s="412"/>
      <c r="AY102" s="167"/>
      <c r="AZ102" s="167"/>
      <c r="BA102" s="167"/>
      <c r="BB102" s="273"/>
      <c r="BC102" s="2365"/>
      <c r="BD102" s="412"/>
      <c r="BE102" s="167"/>
      <c r="BF102" s="167"/>
      <c r="BG102" s="414"/>
      <c r="BH102" s="414"/>
      <c r="BI102" s="2364"/>
      <c r="BJ102" s="415"/>
      <c r="BK102" s="281"/>
      <c r="BL102" s="788">
        <f t="shared" si="35"/>
        <v>0</v>
      </c>
      <c r="BM102" s="1"/>
    </row>
    <row r="103" spans="1:65" ht="19.5" customHeight="1" thickBot="1" x14ac:dyDescent="0.35">
      <c r="A103" s="159">
        <v>2617</v>
      </c>
      <c r="B103" s="360" t="s">
        <v>241</v>
      </c>
      <c r="C103" s="361" t="s">
        <v>188</v>
      </c>
      <c r="D103" s="362" t="s">
        <v>185</v>
      </c>
      <c r="E103" s="363">
        <v>2.5</v>
      </c>
      <c r="F103" s="364">
        <f>(BL103/G103)/7</f>
        <v>0.33171163202122955</v>
      </c>
      <c r="G103" s="362">
        <v>646</v>
      </c>
      <c r="H103" s="840">
        <f t="shared" si="31"/>
        <v>1615</v>
      </c>
      <c r="I103" s="362">
        <v>5800</v>
      </c>
      <c r="J103" s="826">
        <v>1500</v>
      </c>
      <c r="K103" s="2344">
        <v>3000</v>
      </c>
      <c r="L103" s="2344">
        <v>4380</v>
      </c>
      <c r="M103" s="365">
        <f t="shared" si="32"/>
        <v>2765</v>
      </c>
      <c r="N103" s="2344">
        <v>4150</v>
      </c>
      <c r="O103" s="2344">
        <v>5530</v>
      </c>
      <c r="P103" s="365">
        <f t="shared" si="33"/>
        <v>3915</v>
      </c>
      <c r="Q103" s="2344">
        <v>5300</v>
      </c>
      <c r="R103" s="422">
        <f t="shared" si="34"/>
        <v>3685</v>
      </c>
      <c r="S103" s="2371">
        <f t="shared" si="34"/>
        <v>2070</v>
      </c>
      <c r="T103" s="2368"/>
      <c r="U103" s="22">
        <v>3000</v>
      </c>
      <c r="V103" s="121"/>
      <c r="W103" s="22"/>
      <c r="X103" s="23"/>
      <c r="Y103" s="2070"/>
      <c r="Z103" s="21"/>
      <c r="AA103" s="22">
        <v>3000</v>
      </c>
      <c r="AB103" s="22"/>
      <c r="AC103" s="22"/>
      <c r="AD103" s="23"/>
      <c r="AE103" s="667"/>
      <c r="AF103" s="376"/>
      <c r="AG103" s="21"/>
      <c r="AH103" s="21"/>
      <c r="AI103" s="21"/>
      <c r="AJ103" s="157"/>
      <c r="AK103" s="2346"/>
      <c r="AL103" s="376"/>
      <c r="AM103" s="21">
        <v>3000</v>
      </c>
      <c r="AN103" s="22"/>
      <c r="AO103" s="22"/>
      <c r="AP103" s="23"/>
      <c r="AQ103" s="2069"/>
      <c r="AR103" s="376"/>
      <c r="AS103" s="21">
        <v>3000</v>
      </c>
      <c r="AT103" s="21"/>
      <c r="AU103" s="21"/>
      <c r="AV103" s="157"/>
      <c r="AW103" s="667"/>
      <c r="AX103" s="376"/>
      <c r="AY103" s="22"/>
      <c r="AZ103" s="22"/>
      <c r="BA103" s="22"/>
      <c r="BB103" s="157"/>
      <c r="BC103" s="2346"/>
      <c r="BD103" s="376"/>
      <c r="BE103" s="22">
        <v>3000</v>
      </c>
      <c r="BF103" s="22"/>
      <c r="BG103" s="23"/>
      <c r="BH103" s="23"/>
      <c r="BI103" s="667"/>
      <c r="BJ103" s="396"/>
      <c r="BK103" s="241"/>
      <c r="BL103" s="790">
        <f t="shared" si="35"/>
        <v>1500</v>
      </c>
      <c r="BM103" s="1"/>
    </row>
    <row r="104" spans="1:65" ht="16.2" thickBot="1" x14ac:dyDescent="0.35">
      <c r="A104" s="150"/>
      <c r="B104" s="2372" t="s">
        <v>366</v>
      </c>
      <c r="C104" s="398" t="s">
        <v>189</v>
      </c>
      <c r="D104" s="375" t="s">
        <v>185</v>
      </c>
      <c r="E104" s="399">
        <v>2.5</v>
      </c>
      <c r="F104" s="400"/>
      <c r="G104" s="362"/>
      <c r="H104" s="842">
        <f t="shared" si="31"/>
        <v>0</v>
      </c>
      <c r="I104" s="375"/>
      <c r="J104" s="362"/>
      <c r="K104" s="365">
        <f t="shared" si="36"/>
        <v>0</v>
      </c>
      <c r="L104" s="365">
        <f t="shared" si="32"/>
        <v>0</v>
      </c>
      <c r="M104" s="365">
        <f t="shared" si="32"/>
        <v>0</v>
      </c>
      <c r="N104" s="365">
        <f t="shared" si="33"/>
        <v>0</v>
      </c>
      <c r="O104" s="365">
        <f t="shared" si="33"/>
        <v>0</v>
      </c>
      <c r="P104" s="365">
        <f t="shared" si="33"/>
        <v>0</v>
      </c>
      <c r="Q104" s="365">
        <f t="shared" si="34"/>
        <v>0</v>
      </c>
      <c r="R104" s="2347">
        <f t="shared" si="34"/>
        <v>0</v>
      </c>
      <c r="S104" s="2348">
        <f t="shared" si="34"/>
        <v>0</v>
      </c>
      <c r="T104" s="2369"/>
      <c r="U104" s="32"/>
      <c r="V104" s="142"/>
      <c r="W104" s="32"/>
      <c r="X104" s="232"/>
      <c r="Y104" s="2067"/>
      <c r="Z104" s="41"/>
      <c r="AA104" s="32"/>
      <c r="AB104" s="32"/>
      <c r="AC104" s="32"/>
      <c r="AD104" s="232"/>
      <c r="AE104" s="666"/>
      <c r="AF104" s="402"/>
      <c r="AG104" s="41"/>
      <c r="AH104" s="41"/>
      <c r="AI104" s="41"/>
      <c r="AJ104" s="139"/>
      <c r="AK104" s="2361"/>
      <c r="AL104" s="402"/>
      <c r="AM104" s="41"/>
      <c r="AN104" s="32"/>
      <c r="AO104" s="32"/>
      <c r="AP104" s="232"/>
      <c r="AQ104" s="2066"/>
      <c r="AR104" s="402"/>
      <c r="AS104" s="41"/>
      <c r="AT104" s="41"/>
      <c r="AU104" s="41"/>
      <c r="AV104" s="139"/>
      <c r="AW104" s="666"/>
      <c r="AX104" s="402"/>
      <c r="AY104" s="32"/>
      <c r="AZ104" s="32"/>
      <c r="BA104" s="32"/>
      <c r="BB104" s="139"/>
      <c r="BC104" s="2361"/>
      <c r="BD104" s="402"/>
      <c r="BE104" s="32"/>
      <c r="BF104" s="32"/>
      <c r="BG104" s="232"/>
      <c r="BH104" s="232"/>
      <c r="BI104" s="666"/>
      <c r="BJ104" s="378"/>
      <c r="BK104" s="241"/>
      <c r="BL104" s="788">
        <f t="shared" si="35"/>
        <v>0</v>
      </c>
      <c r="BM104" s="1"/>
    </row>
    <row r="105" spans="1:65" ht="16.2" thickBot="1" x14ac:dyDescent="0.35">
      <c r="A105" s="169"/>
      <c r="B105" s="421"/>
      <c r="C105" s="405" t="s">
        <v>190</v>
      </c>
      <c r="D105" s="406" t="s">
        <v>185</v>
      </c>
      <c r="E105" s="407">
        <v>2.5</v>
      </c>
      <c r="F105" s="424"/>
      <c r="G105" s="409"/>
      <c r="H105" s="843">
        <f t="shared" si="31"/>
        <v>0</v>
      </c>
      <c r="I105" s="406"/>
      <c r="J105" s="385"/>
      <c r="K105" s="365">
        <f t="shared" si="36"/>
        <v>0</v>
      </c>
      <c r="L105" s="365">
        <f t="shared" si="32"/>
        <v>0</v>
      </c>
      <c r="M105" s="365">
        <f t="shared" si="32"/>
        <v>0</v>
      </c>
      <c r="N105" s="365">
        <f t="shared" si="33"/>
        <v>0</v>
      </c>
      <c r="O105" s="365">
        <f t="shared" si="33"/>
        <v>0</v>
      </c>
      <c r="P105" s="365">
        <f t="shared" si="33"/>
        <v>0</v>
      </c>
      <c r="Q105" s="365">
        <f t="shared" si="34"/>
        <v>0</v>
      </c>
      <c r="R105" s="2349">
        <f t="shared" si="34"/>
        <v>0</v>
      </c>
      <c r="S105" s="2350">
        <f t="shared" si="34"/>
        <v>0</v>
      </c>
      <c r="T105" s="2370"/>
      <c r="U105" s="167"/>
      <c r="V105" s="168"/>
      <c r="W105" s="167"/>
      <c r="X105" s="414"/>
      <c r="Y105" s="2363"/>
      <c r="Z105" s="166"/>
      <c r="AA105" s="167"/>
      <c r="AB105" s="167"/>
      <c r="AC105" s="167"/>
      <c r="AD105" s="414"/>
      <c r="AE105" s="2364"/>
      <c r="AF105" s="412"/>
      <c r="AG105" s="166"/>
      <c r="AH105" s="166"/>
      <c r="AI105" s="166"/>
      <c r="AJ105" s="273"/>
      <c r="AK105" s="2365"/>
      <c r="AL105" s="412"/>
      <c r="AM105" s="166"/>
      <c r="AN105" s="167"/>
      <c r="AO105" s="167"/>
      <c r="AP105" s="414"/>
      <c r="AQ105" s="2366"/>
      <c r="AR105" s="412"/>
      <c r="AS105" s="166"/>
      <c r="AT105" s="166"/>
      <c r="AU105" s="166"/>
      <c r="AV105" s="273"/>
      <c r="AW105" s="2364"/>
      <c r="AX105" s="412"/>
      <c r="AY105" s="167"/>
      <c r="AZ105" s="167"/>
      <c r="BA105" s="167"/>
      <c r="BB105" s="273"/>
      <c r="BC105" s="2365"/>
      <c r="BD105" s="412"/>
      <c r="BE105" s="167"/>
      <c r="BF105" s="167"/>
      <c r="BG105" s="414"/>
      <c r="BH105" s="414"/>
      <c r="BI105" s="2364"/>
      <c r="BJ105" s="415"/>
      <c r="BK105" s="281"/>
      <c r="BL105" s="788">
        <f t="shared" si="35"/>
        <v>0</v>
      </c>
      <c r="BM105" s="1"/>
    </row>
    <row r="106" spans="1:65" ht="16.2" thickBot="1" x14ac:dyDescent="0.35">
      <c r="A106" s="425">
        <v>2616</v>
      </c>
      <c r="B106" s="360" t="s">
        <v>365</v>
      </c>
      <c r="C106" s="361" t="s">
        <v>192</v>
      </c>
      <c r="D106" s="362" t="s">
        <v>193</v>
      </c>
      <c r="E106" s="363">
        <v>2.6</v>
      </c>
      <c r="F106" s="364">
        <f>(BL106/G106)/7</f>
        <v>0.4329004329004329</v>
      </c>
      <c r="G106" s="362">
        <v>660</v>
      </c>
      <c r="H106" s="840">
        <f t="shared" si="31"/>
        <v>1716</v>
      </c>
      <c r="I106" s="362">
        <v>5800</v>
      </c>
      <c r="J106" s="392">
        <v>2000</v>
      </c>
      <c r="K106" s="2344">
        <v>3200</v>
      </c>
      <c r="L106" s="2344">
        <v>4480</v>
      </c>
      <c r="M106" s="365">
        <f t="shared" si="32"/>
        <v>2764</v>
      </c>
      <c r="N106" s="2344">
        <v>4050</v>
      </c>
      <c r="O106" s="2344">
        <v>5330</v>
      </c>
      <c r="P106" s="365">
        <f t="shared" si="33"/>
        <v>3614</v>
      </c>
      <c r="Q106" s="2344">
        <v>4898</v>
      </c>
      <c r="R106" s="422">
        <f t="shared" si="34"/>
        <v>3182</v>
      </c>
      <c r="S106" s="2371">
        <f t="shared" si="34"/>
        <v>1466</v>
      </c>
      <c r="T106" s="2368"/>
      <c r="U106" s="121"/>
      <c r="V106" s="22">
        <v>3000</v>
      </c>
      <c r="W106" s="22"/>
      <c r="X106" s="23"/>
      <c r="Y106" s="2070"/>
      <c r="Z106" s="366"/>
      <c r="AA106" s="367"/>
      <c r="AB106" s="367">
        <v>3000</v>
      </c>
      <c r="AC106" s="367"/>
      <c r="AD106" s="372"/>
      <c r="AE106" s="667"/>
      <c r="AF106" s="369"/>
      <c r="AG106" s="366"/>
      <c r="AH106" s="366"/>
      <c r="AI106" s="366"/>
      <c r="AJ106" s="480"/>
      <c r="AK106" s="2346"/>
      <c r="AL106" s="369"/>
      <c r="AM106" s="366"/>
      <c r="AN106" s="367">
        <v>3000</v>
      </c>
      <c r="AO106" s="367"/>
      <c r="AP106" s="372"/>
      <c r="AQ106" s="2069"/>
      <c r="AR106" s="369"/>
      <c r="AS106" s="366"/>
      <c r="AT106" s="366">
        <v>3000</v>
      </c>
      <c r="AU106" s="366"/>
      <c r="AV106" s="480"/>
      <c r="AW106" s="667"/>
      <c r="AX106" s="369"/>
      <c r="AY106" s="367"/>
      <c r="AZ106" s="367"/>
      <c r="BA106" s="367"/>
      <c r="BB106" s="480"/>
      <c r="BC106" s="2346"/>
      <c r="BD106" s="369"/>
      <c r="BE106" s="367"/>
      <c r="BF106" s="367">
        <v>3000</v>
      </c>
      <c r="BG106" s="372"/>
      <c r="BH106" s="372"/>
      <c r="BI106" s="667"/>
      <c r="BJ106" s="426"/>
      <c r="BK106" s="427"/>
      <c r="BL106" s="791">
        <f t="shared" si="35"/>
        <v>2000</v>
      </c>
    </row>
    <row r="107" spans="1:65" ht="16.2" thickBot="1" x14ac:dyDescent="0.35">
      <c r="A107" s="428"/>
      <c r="B107" s="360"/>
      <c r="C107" s="398" t="s">
        <v>194</v>
      </c>
      <c r="D107" s="375" t="s">
        <v>193</v>
      </c>
      <c r="E107" s="399">
        <v>2.6</v>
      </c>
      <c r="F107" s="400"/>
      <c r="G107" s="362"/>
      <c r="H107" s="842">
        <f t="shared" si="31"/>
        <v>0</v>
      </c>
      <c r="I107" s="375"/>
      <c r="J107" s="362"/>
      <c r="K107" s="365">
        <f t="shared" si="36"/>
        <v>0</v>
      </c>
      <c r="L107" s="365">
        <f t="shared" si="32"/>
        <v>0</v>
      </c>
      <c r="M107" s="365">
        <f t="shared" si="32"/>
        <v>0</v>
      </c>
      <c r="N107" s="365">
        <f t="shared" si="33"/>
        <v>0</v>
      </c>
      <c r="O107" s="365">
        <f t="shared" si="33"/>
        <v>0</v>
      </c>
      <c r="P107" s="365">
        <f t="shared" si="33"/>
        <v>0</v>
      </c>
      <c r="Q107" s="365">
        <f t="shared" si="34"/>
        <v>0</v>
      </c>
      <c r="R107" s="2347">
        <f t="shared" si="34"/>
        <v>0</v>
      </c>
      <c r="S107" s="2348">
        <f t="shared" si="34"/>
        <v>0</v>
      </c>
      <c r="T107" s="2369"/>
      <c r="U107" s="142"/>
      <c r="V107" s="32"/>
      <c r="W107" s="32"/>
      <c r="X107" s="232"/>
      <c r="Y107" s="2067"/>
      <c r="Z107" s="41"/>
      <c r="AA107" s="32"/>
      <c r="AB107" s="32"/>
      <c r="AC107" s="32"/>
      <c r="AD107" s="232"/>
      <c r="AE107" s="666"/>
      <c r="AF107" s="402"/>
      <c r="AG107" s="41"/>
      <c r="AH107" s="41"/>
      <c r="AI107" s="41"/>
      <c r="AJ107" s="139"/>
      <c r="AK107" s="2361"/>
      <c r="AL107" s="402"/>
      <c r="AM107" s="41"/>
      <c r="AN107" s="32"/>
      <c r="AO107" s="32"/>
      <c r="AP107" s="232"/>
      <c r="AQ107" s="2066"/>
      <c r="AR107" s="402"/>
      <c r="AS107" s="41"/>
      <c r="AT107" s="41"/>
      <c r="AU107" s="41"/>
      <c r="AV107" s="139"/>
      <c r="AW107" s="666"/>
      <c r="AX107" s="402"/>
      <c r="AY107" s="32"/>
      <c r="AZ107" s="32"/>
      <c r="BA107" s="32"/>
      <c r="BB107" s="139"/>
      <c r="BC107" s="2361"/>
      <c r="BD107" s="402"/>
      <c r="BE107" s="32"/>
      <c r="BF107" s="32"/>
      <c r="BG107" s="232"/>
      <c r="BH107" s="232"/>
      <c r="BI107" s="666"/>
      <c r="BJ107" s="429"/>
      <c r="BK107" s="379"/>
      <c r="BL107" s="788">
        <f t="shared" si="35"/>
        <v>0</v>
      </c>
      <c r="BM107" s="1"/>
    </row>
    <row r="108" spans="1:65" ht="16.2" thickBot="1" x14ac:dyDescent="0.35">
      <c r="A108" s="430"/>
      <c r="B108" s="421"/>
      <c r="C108" s="405" t="s">
        <v>195</v>
      </c>
      <c r="D108" s="406" t="s">
        <v>193</v>
      </c>
      <c r="E108" s="407">
        <v>2.6</v>
      </c>
      <c r="F108" s="424"/>
      <c r="G108" s="409"/>
      <c r="H108" s="843">
        <f t="shared" si="31"/>
        <v>0</v>
      </c>
      <c r="I108" s="406"/>
      <c r="J108" s="406"/>
      <c r="K108" s="365">
        <f t="shared" si="36"/>
        <v>0</v>
      </c>
      <c r="L108" s="365">
        <f t="shared" si="32"/>
        <v>0</v>
      </c>
      <c r="M108" s="365">
        <f t="shared" si="32"/>
        <v>0</v>
      </c>
      <c r="N108" s="365">
        <f t="shared" si="33"/>
        <v>0</v>
      </c>
      <c r="O108" s="365">
        <f t="shared" si="33"/>
        <v>0</v>
      </c>
      <c r="P108" s="365">
        <f t="shared" si="33"/>
        <v>0</v>
      </c>
      <c r="Q108" s="365">
        <f t="shared" si="34"/>
        <v>0</v>
      </c>
      <c r="R108" s="2349">
        <f t="shared" si="34"/>
        <v>0</v>
      </c>
      <c r="S108" s="2350">
        <f t="shared" si="34"/>
        <v>0</v>
      </c>
      <c r="T108" s="2370"/>
      <c r="U108" s="168"/>
      <c r="V108" s="167"/>
      <c r="W108" s="167"/>
      <c r="X108" s="414"/>
      <c r="Y108" s="2363"/>
      <c r="Z108" s="166"/>
      <c r="AA108" s="167"/>
      <c r="AB108" s="167"/>
      <c r="AC108" s="167"/>
      <c r="AD108" s="414"/>
      <c r="AE108" s="2364"/>
      <c r="AF108" s="412"/>
      <c r="AG108" s="166"/>
      <c r="AH108" s="166"/>
      <c r="AI108" s="166"/>
      <c r="AJ108" s="273"/>
      <c r="AK108" s="2365"/>
      <c r="AL108" s="412"/>
      <c r="AM108" s="166"/>
      <c r="AN108" s="167"/>
      <c r="AO108" s="167"/>
      <c r="AP108" s="414"/>
      <c r="AQ108" s="2366"/>
      <c r="AR108" s="412"/>
      <c r="AS108" s="166"/>
      <c r="AT108" s="166"/>
      <c r="AU108" s="166"/>
      <c r="AV108" s="273"/>
      <c r="AW108" s="2364"/>
      <c r="AX108" s="412"/>
      <c r="AY108" s="167"/>
      <c r="AZ108" s="167"/>
      <c r="BA108" s="167"/>
      <c r="BB108" s="273"/>
      <c r="BC108" s="2365"/>
      <c r="BD108" s="412"/>
      <c r="BE108" s="167"/>
      <c r="BF108" s="167"/>
      <c r="BG108" s="414"/>
      <c r="BH108" s="414"/>
      <c r="BI108" s="2364"/>
      <c r="BJ108" s="415"/>
      <c r="BK108" s="281"/>
      <c r="BL108" s="789">
        <f t="shared" si="35"/>
        <v>0</v>
      </c>
      <c r="BM108" s="1"/>
    </row>
    <row r="109" spans="1:65" ht="16.2" thickBot="1" x14ac:dyDescent="0.35">
      <c r="A109" s="159">
        <v>2615</v>
      </c>
      <c r="B109" s="360" t="s">
        <v>364</v>
      </c>
      <c r="C109" s="361" t="s">
        <v>196</v>
      </c>
      <c r="D109" s="362" t="s">
        <v>193</v>
      </c>
      <c r="E109" s="363">
        <v>2.7</v>
      </c>
      <c r="F109" s="364">
        <f>(BL109/G109)/7</f>
        <v>0.97108329736728527</v>
      </c>
      <c r="G109" s="362">
        <v>662</v>
      </c>
      <c r="H109" s="840">
        <f t="shared" si="31"/>
        <v>1787.4</v>
      </c>
      <c r="I109" s="362">
        <v>5800</v>
      </c>
      <c r="J109" s="362">
        <v>4500</v>
      </c>
      <c r="K109" s="365">
        <f t="shared" si="36"/>
        <v>2712.6</v>
      </c>
      <c r="L109" s="2344">
        <v>3925</v>
      </c>
      <c r="M109" s="2344">
        <v>5138</v>
      </c>
      <c r="N109" s="365">
        <f t="shared" si="33"/>
        <v>3350.6</v>
      </c>
      <c r="O109" s="2344">
        <v>5563</v>
      </c>
      <c r="P109" s="365">
        <f t="shared" si="33"/>
        <v>3775.6</v>
      </c>
      <c r="Q109" s="2344">
        <v>4980</v>
      </c>
      <c r="R109" s="422">
        <f t="shared" si="34"/>
        <v>3192.6</v>
      </c>
      <c r="S109" s="2371">
        <f t="shared" si="34"/>
        <v>1405.1999999999998</v>
      </c>
      <c r="T109" s="2368"/>
      <c r="U109" s="121"/>
      <c r="V109" s="22"/>
      <c r="W109" s="22"/>
      <c r="X109" s="23"/>
      <c r="Y109" s="2070"/>
      <c r="Z109" s="366"/>
      <c r="AA109" s="367"/>
      <c r="AB109" s="367">
        <v>3000</v>
      </c>
      <c r="AC109" s="367"/>
      <c r="AD109" s="372"/>
      <c r="AE109" s="667"/>
      <c r="AF109" s="369"/>
      <c r="AG109" s="366"/>
      <c r="AH109" s="366">
        <v>3000</v>
      </c>
      <c r="AI109" s="366"/>
      <c r="AJ109" s="480"/>
      <c r="AK109" s="2346"/>
      <c r="AL109" s="369"/>
      <c r="AM109" s="366"/>
      <c r="AN109" s="367"/>
      <c r="AO109" s="367"/>
      <c r="AP109" s="372"/>
      <c r="AQ109" s="2069"/>
      <c r="AR109" s="369"/>
      <c r="AS109" s="366"/>
      <c r="AT109" s="366">
        <v>3000</v>
      </c>
      <c r="AU109" s="366"/>
      <c r="AV109" s="480"/>
      <c r="AW109" s="667"/>
      <c r="AX109" s="369"/>
      <c r="AY109" s="367"/>
      <c r="AZ109" s="367"/>
      <c r="BA109" s="367"/>
      <c r="BB109" s="480"/>
      <c r="BC109" s="2346"/>
      <c r="BD109" s="369"/>
      <c r="BE109" s="367"/>
      <c r="BF109" s="367">
        <v>3000</v>
      </c>
      <c r="BG109" s="372"/>
      <c r="BH109" s="372"/>
      <c r="BI109" s="667"/>
      <c r="BJ109" s="426"/>
      <c r="BK109" s="427"/>
      <c r="BL109" s="791">
        <f t="shared" si="35"/>
        <v>4500</v>
      </c>
    </row>
    <row r="110" spans="1:65" ht="16.2" thickBot="1" x14ac:dyDescent="0.35">
      <c r="A110" s="150"/>
      <c r="B110" s="401"/>
      <c r="C110" s="398" t="s">
        <v>197</v>
      </c>
      <c r="D110" s="375" t="s">
        <v>193</v>
      </c>
      <c r="E110" s="399">
        <v>2.7</v>
      </c>
      <c r="F110" s="400"/>
      <c r="G110" s="375"/>
      <c r="H110" s="842">
        <f t="shared" si="31"/>
        <v>0</v>
      </c>
      <c r="I110" s="375"/>
      <c r="J110" s="362"/>
      <c r="K110" s="365">
        <f t="shared" si="36"/>
        <v>0</v>
      </c>
      <c r="L110" s="365">
        <f t="shared" si="36"/>
        <v>0</v>
      </c>
      <c r="M110" s="365">
        <f t="shared" si="36"/>
        <v>0</v>
      </c>
      <c r="N110" s="365">
        <f t="shared" si="33"/>
        <v>0</v>
      </c>
      <c r="O110" s="365">
        <f t="shared" si="33"/>
        <v>0</v>
      </c>
      <c r="P110" s="365">
        <f t="shared" si="33"/>
        <v>0</v>
      </c>
      <c r="Q110" s="365">
        <f t="shared" si="34"/>
        <v>0</v>
      </c>
      <c r="R110" s="423">
        <f t="shared" si="34"/>
        <v>0</v>
      </c>
      <c r="S110" s="2373">
        <f t="shared" si="34"/>
        <v>0</v>
      </c>
      <c r="T110" s="2369"/>
      <c r="U110" s="142"/>
      <c r="V110" s="32"/>
      <c r="W110" s="32"/>
      <c r="X110" s="232"/>
      <c r="Y110" s="2067"/>
      <c r="Z110" s="41"/>
      <c r="AA110" s="32"/>
      <c r="AB110" s="32"/>
      <c r="AC110" s="32"/>
      <c r="AD110" s="232"/>
      <c r="AE110" s="666"/>
      <c r="AF110" s="402"/>
      <c r="AG110" s="41"/>
      <c r="AH110" s="41"/>
      <c r="AI110" s="41"/>
      <c r="AJ110" s="139"/>
      <c r="AK110" s="2361"/>
      <c r="AL110" s="402"/>
      <c r="AM110" s="41"/>
      <c r="AN110" s="32"/>
      <c r="AO110" s="32"/>
      <c r="AP110" s="232"/>
      <c r="AQ110" s="2066"/>
      <c r="AR110" s="402"/>
      <c r="AS110" s="41"/>
      <c r="AT110" s="41"/>
      <c r="AU110" s="41"/>
      <c r="AV110" s="139"/>
      <c r="AW110" s="666"/>
      <c r="AX110" s="402"/>
      <c r="AY110" s="32"/>
      <c r="AZ110" s="32"/>
      <c r="BA110" s="32"/>
      <c r="BB110" s="139"/>
      <c r="BC110" s="2361"/>
      <c r="BD110" s="402"/>
      <c r="BE110" s="32"/>
      <c r="BF110" s="32"/>
      <c r="BG110" s="232"/>
      <c r="BH110" s="232"/>
      <c r="BI110" s="666"/>
      <c r="BJ110" s="429"/>
      <c r="BK110" s="379"/>
      <c r="BL110" s="788">
        <f t="shared" si="35"/>
        <v>0</v>
      </c>
      <c r="BM110" s="1"/>
    </row>
    <row r="111" spans="1:65" ht="18" customHeight="1" thickBot="1" x14ac:dyDescent="0.35">
      <c r="A111" s="169"/>
      <c r="B111" s="431"/>
      <c r="C111" s="432" t="s">
        <v>198</v>
      </c>
      <c r="D111" s="386" t="s">
        <v>193</v>
      </c>
      <c r="E111" s="433">
        <v>2.7</v>
      </c>
      <c r="F111" s="424"/>
      <c r="G111" s="386"/>
      <c r="H111" s="844">
        <f t="shared" si="31"/>
        <v>0</v>
      </c>
      <c r="I111" s="386"/>
      <c r="J111" s="385"/>
      <c r="K111" s="365">
        <f t="shared" si="36"/>
        <v>0</v>
      </c>
      <c r="L111" s="365">
        <f t="shared" si="36"/>
        <v>0</v>
      </c>
      <c r="M111" s="365">
        <f t="shared" si="36"/>
        <v>0</v>
      </c>
      <c r="N111" s="365">
        <f t="shared" si="33"/>
        <v>0</v>
      </c>
      <c r="O111" s="365">
        <f t="shared" si="33"/>
        <v>0</v>
      </c>
      <c r="P111" s="365">
        <f t="shared" si="33"/>
        <v>0</v>
      </c>
      <c r="Q111" s="365">
        <f t="shared" si="34"/>
        <v>0</v>
      </c>
      <c r="R111" s="2347">
        <f t="shared" si="34"/>
        <v>0</v>
      </c>
      <c r="S111" s="2348">
        <f t="shared" si="34"/>
        <v>0</v>
      </c>
      <c r="T111" s="2374"/>
      <c r="U111" s="305"/>
      <c r="V111" s="163"/>
      <c r="W111" s="163"/>
      <c r="X111" s="436"/>
      <c r="Y111" s="2074"/>
      <c r="Z111" s="162"/>
      <c r="AA111" s="163"/>
      <c r="AB111" s="163"/>
      <c r="AC111" s="163"/>
      <c r="AD111" s="436"/>
      <c r="AE111" s="668"/>
      <c r="AF111" s="434"/>
      <c r="AG111" s="162"/>
      <c r="AH111" s="162"/>
      <c r="AI111" s="162"/>
      <c r="AJ111" s="236"/>
      <c r="AK111" s="2375"/>
      <c r="AL111" s="434"/>
      <c r="AM111" s="162"/>
      <c r="AN111" s="163"/>
      <c r="AO111" s="163"/>
      <c r="AP111" s="436"/>
      <c r="AQ111" s="2073"/>
      <c r="AR111" s="434"/>
      <c r="AS111" s="162"/>
      <c r="AT111" s="162"/>
      <c r="AU111" s="162"/>
      <c r="AV111" s="236"/>
      <c r="AW111" s="668"/>
      <c r="AX111" s="434"/>
      <c r="AY111" s="163"/>
      <c r="AZ111" s="163"/>
      <c r="BA111" s="163"/>
      <c r="BB111" s="236"/>
      <c r="BC111" s="2375"/>
      <c r="BD111" s="434"/>
      <c r="BE111" s="163"/>
      <c r="BF111" s="163"/>
      <c r="BG111" s="436"/>
      <c r="BH111" s="436"/>
      <c r="BI111" s="668"/>
      <c r="BJ111" s="389"/>
      <c r="BK111" s="241"/>
      <c r="BL111" s="789">
        <f t="shared" si="35"/>
        <v>0</v>
      </c>
      <c r="BM111" s="1"/>
    </row>
    <row r="112" spans="1:65" ht="16.2" thickBot="1" x14ac:dyDescent="0.35">
      <c r="A112" s="425">
        <v>2614</v>
      </c>
      <c r="B112" s="394" t="s">
        <v>363</v>
      </c>
      <c r="C112" s="391" t="s">
        <v>199</v>
      </c>
      <c r="D112" s="392" t="s">
        <v>191</v>
      </c>
      <c r="E112" s="393">
        <v>2.9</v>
      </c>
      <c r="F112" s="364">
        <f>(BL112/G112)/7</f>
        <v>1.3869625520110955</v>
      </c>
      <c r="G112" s="392">
        <v>618</v>
      </c>
      <c r="H112" s="841">
        <f t="shared" si="31"/>
        <v>1792.2</v>
      </c>
      <c r="I112" s="362">
        <v>5800</v>
      </c>
      <c r="J112" s="392">
        <v>6000</v>
      </c>
      <c r="K112" s="365">
        <f t="shared" si="36"/>
        <v>4207.8</v>
      </c>
      <c r="L112" s="365">
        <f t="shared" si="36"/>
        <v>2415.6000000000004</v>
      </c>
      <c r="M112" s="2344">
        <v>3600</v>
      </c>
      <c r="N112" s="2344">
        <v>4800</v>
      </c>
      <c r="O112" s="365">
        <f t="shared" si="33"/>
        <v>3007.8</v>
      </c>
      <c r="P112" s="2344">
        <v>5216</v>
      </c>
      <c r="Q112" s="365">
        <f t="shared" si="34"/>
        <v>3423.8</v>
      </c>
      <c r="R112" s="422">
        <f t="shared" si="34"/>
        <v>1631.6000000000001</v>
      </c>
      <c r="S112" s="2371">
        <f t="shared" si="34"/>
        <v>-160.59999999999991</v>
      </c>
      <c r="T112" s="2079"/>
      <c r="U112" s="260"/>
      <c r="V112" s="260"/>
      <c r="W112" s="257"/>
      <c r="X112" s="265"/>
      <c r="Y112" s="2357"/>
      <c r="Z112" s="437"/>
      <c r="AA112" s="438"/>
      <c r="AB112" s="438"/>
      <c r="AC112" s="438"/>
      <c r="AD112" s="442"/>
      <c r="AE112" s="2358"/>
      <c r="AF112" s="440"/>
      <c r="AG112" s="437"/>
      <c r="AH112" s="437"/>
      <c r="AI112" s="437">
        <v>3000</v>
      </c>
      <c r="AJ112" s="956"/>
      <c r="AK112" s="2359"/>
      <c r="AL112" s="440"/>
      <c r="AM112" s="437"/>
      <c r="AN112" s="438"/>
      <c r="AO112" s="438">
        <v>3000</v>
      </c>
      <c r="AP112" s="442"/>
      <c r="AQ112" s="2360"/>
      <c r="AR112" s="440"/>
      <c r="AS112" s="437"/>
      <c r="AT112" s="437"/>
      <c r="AU112" s="437"/>
      <c r="AV112" s="956"/>
      <c r="AW112" s="2358"/>
      <c r="AX112" s="440"/>
      <c r="AY112" s="438"/>
      <c r="AZ112" s="438"/>
      <c r="BA112" s="438">
        <v>3000</v>
      </c>
      <c r="BB112" s="956"/>
      <c r="BC112" s="2359"/>
      <c r="BD112" s="440"/>
      <c r="BE112" s="438"/>
      <c r="BF112" s="438"/>
      <c r="BG112" s="442"/>
      <c r="BH112" s="442"/>
      <c r="BI112" s="2358"/>
      <c r="BJ112" s="426"/>
      <c r="BK112" s="443"/>
      <c r="BL112" s="791">
        <f t="shared" si="35"/>
        <v>6000</v>
      </c>
    </row>
    <row r="113" spans="1:65" ht="16.2" thickBot="1" x14ac:dyDescent="0.35">
      <c r="A113" s="428"/>
      <c r="B113" s="401"/>
      <c r="C113" s="398" t="s">
        <v>200</v>
      </c>
      <c r="D113" s="375" t="s">
        <v>191</v>
      </c>
      <c r="E113" s="399">
        <v>2.9</v>
      </c>
      <c r="F113" s="400"/>
      <c r="G113" s="375"/>
      <c r="H113" s="842">
        <f t="shared" si="31"/>
        <v>0</v>
      </c>
      <c r="I113" s="375"/>
      <c r="J113" s="362"/>
      <c r="K113" s="365">
        <f t="shared" si="36"/>
        <v>0</v>
      </c>
      <c r="L113" s="365">
        <f t="shared" si="36"/>
        <v>0</v>
      </c>
      <c r="M113" s="365">
        <f t="shared" si="36"/>
        <v>0</v>
      </c>
      <c r="N113" s="365">
        <f t="shared" si="33"/>
        <v>0</v>
      </c>
      <c r="O113" s="365">
        <f t="shared" si="33"/>
        <v>0</v>
      </c>
      <c r="P113" s="365">
        <f t="shared" si="33"/>
        <v>0</v>
      </c>
      <c r="Q113" s="365">
        <f t="shared" si="34"/>
        <v>0</v>
      </c>
      <c r="R113" s="423">
        <f t="shared" si="34"/>
        <v>0</v>
      </c>
      <c r="S113" s="2373">
        <f t="shared" si="34"/>
        <v>0</v>
      </c>
      <c r="T113" s="2369"/>
      <c r="U113" s="142"/>
      <c r="V113" s="142"/>
      <c r="W113" s="32"/>
      <c r="X113" s="232"/>
      <c r="Y113" s="2067"/>
      <c r="Z113" s="41"/>
      <c r="AA113" s="32"/>
      <c r="AB113" s="32"/>
      <c r="AC113" s="32"/>
      <c r="AD113" s="232"/>
      <c r="AE113" s="666"/>
      <c r="AF113" s="402"/>
      <c r="AG113" s="41"/>
      <c r="AH113" s="41"/>
      <c r="AI113" s="41"/>
      <c r="AJ113" s="139"/>
      <c r="AK113" s="2361"/>
      <c r="AL113" s="402"/>
      <c r="AM113" s="41"/>
      <c r="AN113" s="32"/>
      <c r="AO113" s="32"/>
      <c r="AP113" s="232"/>
      <c r="AQ113" s="2066"/>
      <c r="AR113" s="402"/>
      <c r="AS113" s="41"/>
      <c r="AT113" s="41"/>
      <c r="AU113" s="41"/>
      <c r="AV113" s="139"/>
      <c r="AW113" s="666"/>
      <c r="AX113" s="402"/>
      <c r="AY113" s="32"/>
      <c r="AZ113" s="32"/>
      <c r="BA113" s="32"/>
      <c r="BB113" s="139"/>
      <c r="BC113" s="2361"/>
      <c r="BD113" s="402"/>
      <c r="BE113" s="32"/>
      <c r="BF113" s="32"/>
      <c r="BG113" s="232"/>
      <c r="BH113" s="232"/>
      <c r="BI113" s="666"/>
      <c r="BJ113" s="429"/>
      <c r="BK113" s="241"/>
      <c r="BL113" s="788">
        <f t="shared" si="35"/>
        <v>0</v>
      </c>
      <c r="BM113" s="1"/>
    </row>
    <row r="114" spans="1:65" ht="16.2" thickBot="1" x14ac:dyDescent="0.35">
      <c r="A114" s="444"/>
      <c r="B114" s="411"/>
      <c r="C114" s="405" t="s">
        <v>201</v>
      </c>
      <c r="D114" s="406" t="s">
        <v>191</v>
      </c>
      <c r="E114" s="407">
        <v>2.9</v>
      </c>
      <c r="F114" s="424"/>
      <c r="G114" s="406"/>
      <c r="H114" s="843">
        <f t="shared" si="31"/>
        <v>0</v>
      </c>
      <c r="I114" s="406"/>
      <c r="J114" s="406"/>
      <c r="K114" s="365">
        <f t="shared" si="36"/>
        <v>0</v>
      </c>
      <c r="L114" s="365">
        <f t="shared" si="36"/>
        <v>0</v>
      </c>
      <c r="M114" s="365">
        <f t="shared" si="36"/>
        <v>0</v>
      </c>
      <c r="N114" s="365">
        <f t="shared" si="33"/>
        <v>0</v>
      </c>
      <c r="O114" s="365">
        <f t="shared" si="33"/>
        <v>0</v>
      </c>
      <c r="P114" s="365">
        <f t="shared" si="33"/>
        <v>0</v>
      </c>
      <c r="Q114" s="365">
        <f t="shared" si="34"/>
        <v>0</v>
      </c>
      <c r="R114" s="2347">
        <f t="shared" si="34"/>
        <v>0</v>
      </c>
      <c r="S114" s="2348">
        <f t="shared" si="34"/>
        <v>0</v>
      </c>
      <c r="T114" s="2370"/>
      <c r="U114" s="168"/>
      <c r="V114" s="168"/>
      <c r="W114" s="167"/>
      <c r="X114" s="414"/>
      <c r="Y114" s="2363"/>
      <c r="Z114" s="166"/>
      <c r="AA114" s="167"/>
      <c r="AB114" s="167"/>
      <c r="AC114" s="167"/>
      <c r="AD114" s="414"/>
      <c r="AE114" s="2364"/>
      <c r="AF114" s="412"/>
      <c r="AG114" s="166"/>
      <c r="AH114" s="166"/>
      <c r="AI114" s="166"/>
      <c r="AJ114" s="273"/>
      <c r="AK114" s="2365"/>
      <c r="AL114" s="412"/>
      <c r="AM114" s="166"/>
      <c r="AN114" s="167"/>
      <c r="AO114" s="167"/>
      <c r="AP114" s="414"/>
      <c r="AQ114" s="2366"/>
      <c r="AR114" s="412"/>
      <c r="AS114" s="166"/>
      <c r="AT114" s="166"/>
      <c r="AU114" s="166"/>
      <c r="AV114" s="273"/>
      <c r="AW114" s="2364"/>
      <c r="AX114" s="412"/>
      <c r="AY114" s="167"/>
      <c r="AZ114" s="167"/>
      <c r="BA114" s="167"/>
      <c r="BB114" s="273"/>
      <c r="BC114" s="2365"/>
      <c r="BD114" s="412"/>
      <c r="BE114" s="167"/>
      <c r="BF114" s="167"/>
      <c r="BG114" s="414"/>
      <c r="BH114" s="414"/>
      <c r="BI114" s="2364"/>
      <c r="BJ114" s="415"/>
      <c r="BK114" s="281"/>
      <c r="BL114" s="792">
        <f t="shared" si="35"/>
        <v>0</v>
      </c>
      <c r="BM114" s="1"/>
    </row>
    <row r="115" spans="1:65" ht="16.2" thickBot="1" x14ac:dyDescent="0.35">
      <c r="A115" s="445">
        <v>2613</v>
      </c>
      <c r="B115" s="360" t="s">
        <v>362</v>
      </c>
      <c r="C115" s="361" t="s">
        <v>202</v>
      </c>
      <c r="D115" s="362" t="s">
        <v>191</v>
      </c>
      <c r="E115" s="363">
        <v>3.1</v>
      </c>
      <c r="F115" s="364">
        <f>(BL115/G115)/7</f>
        <v>1.0076130765785938</v>
      </c>
      <c r="G115" s="362">
        <v>638</v>
      </c>
      <c r="H115" s="840">
        <f t="shared" si="31"/>
        <v>1977.8</v>
      </c>
      <c r="I115" s="362">
        <v>5800</v>
      </c>
      <c r="J115" s="362">
        <v>4500</v>
      </c>
      <c r="K115" s="2344">
        <v>5520</v>
      </c>
      <c r="L115" s="365">
        <f t="shared" si="36"/>
        <v>3542.2</v>
      </c>
      <c r="M115" s="2344">
        <v>4560</v>
      </c>
      <c r="N115" s="2344">
        <v>5580</v>
      </c>
      <c r="O115" s="365">
        <f t="shared" si="33"/>
        <v>3602.2</v>
      </c>
      <c r="P115" s="2344">
        <v>5624</v>
      </c>
      <c r="Q115" s="365">
        <f t="shared" si="34"/>
        <v>3646.2</v>
      </c>
      <c r="R115" s="422">
        <f t="shared" si="34"/>
        <v>1668.3999999999999</v>
      </c>
      <c r="S115" s="2371">
        <f t="shared" si="34"/>
        <v>-309.40000000000009</v>
      </c>
      <c r="T115" s="2368"/>
      <c r="U115" s="121"/>
      <c r="V115" s="121"/>
      <c r="W115" s="22">
        <v>3000</v>
      </c>
      <c r="X115" s="23"/>
      <c r="Y115" s="2070"/>
      <c r="Z115" s="366"/>
      <c r="AA115" s="367"/>
      <c r="AB115" s="367"/>
      <c r="AC115" s="367"/>
      <c r="AD115" s="372"/>
      <c r="AE115" s="667"/>
      <c r="AF115" s="369"/>
      <c r="AG115" s="366"/>
      <c r="AH115" s="366"/>
      <c r="AI115" s="366">
        <v>3000</v>
      </c>
      <c r="AJ115" s="480"/>
      <c r="AK115" s="2346"/>
      <c r="AL115" s="369"/>
      <c r="AM115" s="366"/>
      <c r="AN115" s="367"/>
      <c r="AO115" s="367">
        <v>3000</v>
      </c>
      <c r="AP115" s="372"/>
      <c r="AQ115" s="2069"/>
      <c r="AR115" s="369"/>
      <c r="AS115" s="366"/>
      <c r="AT115" s="366"/>
      <c r="AU115" s="366"/>
      <c r="AV115" s="480"/>
      <c r="AW115" s="667"/>
      <c r="AX115" s="369"/>
      <c r="AY115" s="367"/>
      <c r="AZ115" s="367"/>
      <c r="BA115" s="367">
        <v>3000</v>
      </c>
      <c r="BB115" s="480"/>
      <c r="BC115" s="2346"/>
      <c r="BD115" s="369"/>
      <c r="BE115" s="367"/>
      <c r="BF115" s="367"/>
      <c r="BG115" s="372"/>
      <c r="BH115" s="372"/>
      <c r="BI115" s="667"/>
      <c r="BJ115" s="426"/>
      <c r="BK115" s="427"/>
      <c r="BL115" s="791">
        <f t="shared" si="35"/>
        <v>4500</v>
      </c>
    </row>
    <row r="116" spans="1:65" ht="16.2" thickBot="1" x14ac:dyDescent="0.35">
      <c r="A116" s="418"/>
      <c r="B116" s="401"/>
      <c r="C116" s="398" t="s">
        <v>203</v>
      </c>
      <c r="D116" s="375" t="s">
        <v>191</v>
      </c>
      <c r="E116" s="399">
        <v>3.1</v>
      </c>
      <c r="F116" s="400"/>
      <c r="G116" s="375"/>
      <c r="H116" s="842">
        <f t="shared" si="31"/>
        <v>0</v>
      </c>
      <c r="I116" s="375"/>
      <c r="J116" s="362"/>
      <c r="K116" s="365">
        <f t="shared" si="36"/>
        <v>0</v>
      </c>
      <c r="L116" s="365">
        <f t="shared" si="36"/>
        <v>0</v>
      </c>
      <c r="M116" s="365">
        <f t="shared" si="36"/>
        <v>0</v>
      </c>
      <c r="N116" s="365">
        <f t="shared" si="33"/>
        <v>0</v>
      </c>
      <c r="O116" s="365">
        <f t="shared" si="33"/>
        <v>0</v>
      </c>
      <c r="P116" s="365">
        <f t="shared" si="33"/>
        <v>0</v>
      </c>
      <c r="Q116" s="365">
        <f t="shared" si="34"/>
        <v>0</v>
      </c>
      <c r="R116" s="423">
        <f t="shared" si="34"/>
        <v>0</v>
      </c>
      <c r="S116" s="2373">
        <f t="shared" si="34"/>
        <v>0</v>
      </c>
      <c r="T116" s="2369"/>
      <c r="U116" s="142"/>
      <c r="V116" s="142"/>
      <c r="W116" s="32"/>
      <c r="X116" s="232"/>
      <c r="Y116" s="2067"/>
      <c r="Z116" s="41"/>
      <c r="AA116" s="32"/>
      <c r="AB116" s="32"/>
      <c r="AC116" s="32"/>
      <c r="AD116" s="232"/>
      <c r="AE116" s="666"/>
      <c r="AF116" s="402"/>
      <c r="AG116" s="41"/>
      <c r="AH116" s="41"/>
      <c r="AI116" s="41"/>
      <c r="AJ116" s="139"/>
      <c r="AK116" s="2361"/>
      <c r="AL116" s="402"/>
      <c r="AM116" s="41"/>
      <c r="AN116" s="32"/>
      <c r="AO116" s="32"/>
      <c r="AP116" s="232"/>
      <c r="AQ116" s="2066"/>
      <c r="AR116" s="402"/>
      <c r="AS116" s="41"/>
      <c r="AT116" s="41"/>
      <c r="AU116" s="41"/>
      <c r="AV116" s="139"/>
      <c r="AW116" s="666"/>
      <c r="AX116" s="402"/>
      <c r="AY116" s="32"/>
      <c r="AZ116" s="32"/>
      <c r="BA116" s="32"/>
      <c r="BB116" s="139"/>
      <c r="BC116" s="2361"/>
      <c r="BD116" s="402"/>
      <c r="BE116" s="32"/>
      <c r="BF116" s="32"/>
      <c r="BG116" s="232"/>
      <c r="BH116" s="232"/>
      <c r="BI116" s="666"/>
      <c r="BJ116" s="378"/>
      <c r="BK116" s="379"/>
      <c r="BL116" s="788">
        <f t="shared" si="35"/>
        <v>0</v>
      </c>
      <c r="BM116" s="1"/>
    </row>
    <row r="117" spans="1:65" ht="16.2" thickBot="1" x14ac:dyDescent="0.35">
      <c r="A117" s="420"/>
      <c r="B117" s="431"/>
      <c r="C117" s="432" t="s">
        <v>204</v>
      </c>
      <c r="D117" s="386" t="s">
        <v>191</v>
      </c>
      <c r="E117" s="433">
        <v>3.1</v>
      </c>
      <c r="F117" s="424"/>
      <c r="G117" s="386"/>
      <c r="H117" s="844">
        <f t="shared" si="31"/>
        <v>0</v>
      </c>
      <c r="I117" s="386"/>
      <c r="J117" s="406"/>
      <c r="K117" s="365">
        <f t="shared" si="36"/>
        <v>0</v>
      </c>
      <c r="L117" s="365">
        <f t="shared" si="36"/>
        <v>0</v>
      </c>
      <c r="M117" s="365">
        <f t="shared" si="36"/>
        <v>0</v>
      </c>
      <c r="N117" s="365">
        <f t="shared" si="33"/>
        <v>0</v>
      </c>
      <c r="O117" s="365">
        <f t="shared" si="33"/>
        <v>0</v>
      </c>
      <c r="P117" s="365">
        <f t="shared" si="33"/>
        <v>0</v>
      </c>
      <c r="Q117" s="365">
        <f t="shared" si="34"/>
        <v>0</v>
      </c>
      <c r="R117" s="2347">
        <f t="shared" si="34"/>
        <v>0</v>
      </c>
      <c r="S117" s="2348">
        <f t="shared" si="34"/>
        <v>0</v>
      </c>
      <c r="T117" s="2374"/>
      <c r="U117" s="305"/>
      <c r="V117" s="305"/>
      <c r="W117" s="163"/>
      <c r="X117" s="436"/>
      <c r="Y117" s="2074"/>
      <c r="Z117" s="162"/>
      <c r="AA117" s="163"/>
      <c r="AB117" s="163"/>
      <c r="AC117" s="163"/>
      <c r="AD117" s="436"/>
      <c r="AE117" s="668"/>
      <c r="AF117" s="434"/>
      <c r="AG117" s="162"/>
      <c r="AH117" s="162"/>
      <c r="AI117" s="162"/>
      <c r="AJ117" s="236"/>
      <c r="AK117" s="2375"/>
      <c r="AL117" s="434"/>
      <c r="AM117" s="162"/>
      <c r="AN117" s="163"/>
      <c r="AO117" s="163"/>
      <c r="AP117" s="436"/>
      <c r="AQ117" s="2073"/>
      <c r="AR117" s="434"/>
      <c r="AS117" s="162"/>
      <c r="AT117" s="162"/>
      <c r="AU117" s="162"/>
      <c r="AV117" s="236"/>
      <c r="AW117" s="668"/>
      <c r="AX117" s="434"/>
      <c r="AY117" s="163"/>
      <c r="AZ117" s="163"/>
      <c r="BA117" s="163"/>
      <c r="BB117" s="236"/>
      <c r="BC117" s="2375"/>
      <c r="BD117" s="434"/>
      <c r="BE117" s="163"/>
      <c r="BF117" s="163"/>
      <c r="BG117" s="436"/>
      <c r="BH117" s="436"/>
      <c r="BI117" s="668"/>
      <c r="BJ117" s="389"/>
      <c r="BK117" s="241"/>
      <c r="BL117" s="792">
        <f t="shared" si="35"/>
        <v>0</v>
      </c>
      <c r="BM117" s="1"/>
    </row>
    <row r="118" spans="1:65" ht="16.2" thickBot="1" x14ac:dyDescent="0.35">
      <c r="A118" s="425">
        <v>2612</v>
      </c>
      <c r="B118" s="394" t="s">
        <v>191</v>
      </c>
      <c r="C118" s="391" t="s">
        <v>205</v>
      </c>
      <c r="D118" s="392" t="s">
        <v>191</v>
      </c>
      <c r="E118" s="393">
        <v>3.1</v>
      </c>
      <c r="F118" s="364">
        <f>(BL118/G118)/7</f>
        <v>1.0741138560687433</v>
      </c>
      <c r="G118" s="392">
        <v>665</v>
      </c>
      <c r="H118" s="841">
        <f t="shared" si="31"/>
        <v>2061.5</v>
      </c>
      <c r="I118" s="362">
        <v>5800</v>
      </c>
      <c r="J118" s="362">
        <v>5000</v>
      </c>
      <c r="K118" s="2344">
        <v>5939</v>
      </c>
      <c r="L118" s="365">
        <f t="shared" si="36"/>
        <v>3877.5</v>
      </c>
      <c r="M118" s="2344">
        <v>4816</v>
      </c>
      <c r="N118" s="2344">
        <v>5750</v>
      </c>
      <c r="O118" s="365">
        <f t="shared" si="33"/>
        <v>3688.5</v>
      </c>
      <c r="P118" s="2344">
        <v>5627</v>
      </c>
      <c r="Q118" s="365">
        <f t="shared" si="34"/>
        <v>3565.5</v>
      </c>
      <c r="R118" s="417">
        <f t="shared" si="34"/>
        <v>1504</v>
      </c>
      <c r="S118" s="2367">
        <f t="shared" si="34"/>
        <v>-557.5</v>
      </c>
      <c r="T118" s="2079"/>
      <c r="U118" s="260"/>
      <c r="V118" s="260"/>
      <c r="W118" s="257">
        <v>3000</v>
      </c>
      <c r="X118" s="265"/>
      <c r="Y118" s="2357"/>
      <c r="Z118" s="256"/>
      <c r="AA118" s="257"/>
      <c r="AB118" s="257"/>
      <c r="AC118" s="257"/>
      <c r="AD118" s="265"/>
      <c r="AE118" s="2358"/>
      <c r="AF118" s="395"/>
      <c r="AG118" s="256"/>
      <c r="AH118" s="256"/>
      <c r="AI118" s="256">
        <v>3000</v>
      </c>
      <c r="AJ118" s="253"/>
      <c r="AK118" s="2359"/>
      <c r="AL118" s="395"/>
      <c r="AM118" s="256"/>
      <c r="AN118" s="257"/>
      <c r="AO118" s="257">
        <v>3000</v>
      </c>
      <c r="AP118" s="265"/>
      <c r="AQ118" s="2360"/>
      <c r="AR118" s="395"/>
      <c r="AS118" s="256"/>
      <c r="AT118" s="256"/>
      <c r="AU118" s="256"/>
      <c r="AV118" s="253"/>
      <c r="AW118" s="2358"/>
      <c r="AX118" s="395"/>
      <c r="AY118" s="257"/>
      <c r="AZ118" s="257"/>
      <c r="BA118" s="257"/>
      <c r="BB118" s="253">
        <v>3000</v>
      </c>
      <c r="BC118" s="2359"/>
      <c r="BD118" s="395"/>
      <c r="BE118" s="257"/>
      <c r="BF118" s="257"/>
      <c r="BG118" s="265"/>
      <c r="BH118" s="265"/>
      <c r="BI118" s="2358"/>
      <c r="BJ118" s="396"/>
      <c r="BK118" s="397"/>
      <c r="BL118" s="790">
        <f t="shared" si="35"/>
        <v>5000</v>
      </c>
      <c r="BM118" s="1"/>
    </row>
    <row r="119" spans="1:65" ht="16.2" thickBot="1" x14ac:dyDescent="0.35">
      <c r="A119" s="142"/>
      <c r="B119" s="32"/>
      <c r="C119" s="632" t="s">
        <v>206</v>
      </c>
      <c r="D119" s="375" t="s">
        <v>191</v>
      </c>
      <c r="E119" s="399">
        <v>3.1</v>
      </c>
      <c r="F119" s="400"/>
      <c r="G119" s="375"/>
      <c r="H119" s="842">
        <f t="shared" si="31"/>
        <v>0</v>
      </c>
      <c r="I119" s="375"/>
      <c r="J119" s="362"/>
      <c r="K119" s="365">
        <f t="shared" si="36"/>
        <v>0</v>
      </c>
      <c r="L119" s="365">
        <f t="shared" si="36"/>
        <v>0</v>
      </c>
      <c r="M119" s="365">
        <f t="shared" si="36"/>
        <v>0</v>
      </c>
      <c r="N119" s="365">
        <f t="shared" si="33"/>
        <v>0</v>
      </c>
      <c r="O119" s="365">
        <f t="shared" si="33"/>
        <v>0</v>
      </c>
      <c r="P119" s="365">
        <f t="shared" si="33"/>
        <v>0</v>
      </c>
      <c r="Q119" s="365">
        <f t="shared" si="34"/>
        <v>0</v>
      </c>
      <c r="R119" s="625">
        <f t="shared" si="34"/>
        <v>0</v>
      </c>
      <c r="S119" s="2376">
        <f t="shared" si="34"/>
        <v>0</v>
      </c>
      <c r="T119" s="2369"/>
      <c r="U119" s="142"/>
      <c r="V119" s="142"/>
      <c r="W119" s="32"/>
      <c r="X119" s="232"/>
      <c r="Y119" s="2067"/>
      <c r="Z119" s="41"/>
      <c r="AA119" s="32"/>
      <c r="AB119" s="32"/>
      <c r="AC119" s="32"/>
      <c r="AD119" s="232"/>
      <c r="AE119" s="666"/>
      <c r="AF119" s="402"/>
      <c r="AG119" s="41"/>
      <c r="AH119" s="41"/>
      <c r="AI119" s="41"/>
      <c r="AJ119" s="139"/>
      <c r="AK119" s="2361"/>
      <c r="AL119" s="402"/>
      <c r="AM119" s="41"/>
      <c r="AN119" s="32"/>
      <c r="AO119" s="32"/>
      <c r="AP119" s="232"/>
      <c r="AQ119" s="2066"/>
      <c r="AR119" s="402"/>
      <c r="AS119" s="41"/>
      <c r="AT119" s="41"/>
      <c r="AU119" s="41"/>
      <c r="AV119" s="139"/>
      <c r="AW119" s="666"/>
      <c r="AX119" s="402"/>
      <c r="AY119" s="32"/>
      <c r="AZ119" s="32"/>
      <c r="BA119" s="32"/>
      <c r="BB119" s="139"/>
      <c r="BC119" s="2361"/>
      <c r="BD119" s="402"/>
      <c r="BE119" s="32"/>
      <c r="BF119" s="32"/>
      <c r="BG119" s="232"/>
      <c r="BH119" s="232"/>
      <c r="BI119" s="666"/>
      <c r="BJ119" s="429"/>
      <c r="BK119" s="379"/>
      <c r="BL119" s="788">
        <f t="shared" si="35"/>
        <v>0</v>
      </c>
      <c r="BM119" s="1"/>
    </row>
    <row r="120" spans="1:65" ht="16.2" thickBot="1" x14ac:dyDescent="0.35">
      <c r="A120" s="633"/>
      <c r="B120" s="401"/>
      <c r="C120" s="398" t="s">
        <v>207</v>
      </c>
      <c r="D120" s="375" t="s">
        <v>191</v>
      </c>
      <c r="E120" s="399">
        <v>3.1</v>
      </c>
      <c r="F120" s="637"/>
      <c r="G120" s="375"/>
      <c r="H120" s="842">
        <f t="shared" si="31"/>
        <v>0</v>
      </c>
      <c r="I120" s="375"/>
      <c r="J120" s="375"/>
      <c r="K120" s="365">
        <f t="shared" si="36"/>
        <v>0</v>
      </c>
      <c r="L120" s="365">
        <f t="shared" si="36"/>
        <v>0</v>
      </c>
      <c r="M120" s="365">
        <f t="shared" si="36"/>
        <v>0</v>
      </c>
      <c r="N120" s="365">
        <f t="shared" si="33"/>
        <v>0</v>
      </c>
      <c r="O120" s="365">
        <f t="shared" si="33"/>
        <v>0</v>
      </c>
      <c r="P120" s="365">
        <f t="shared" si="33"/>
        <v>0</v>
      </c>
      <c r="Q120" s="365">
        <f t="shared" si="34"/>
        <v>0</v>
      </c>
      <c r="R120" s="423">
        <f t="shared" si="34"/>
        <v>0</v>
      </c>
      <c r="S120" s="2373">
        <f t="shared" si="34"/>
        <v>0</v>
      </c>
      <c r="T120" s="2369"/>
      <c r="U120" s="142"/>
      <c r="V120" s="142"/>
      <c r="W120" s="32"/>
      <c r="X120" s="232"/>
      <c r="Y120" s="2067"/>
      <c r="Z120" s="41"/>
      <c r="AA120" s="32"/>
      <c r="AB120" s="32"/>
      <c r="AC120" s="32"/>
      <c r="AD120" s="232"/>
      <c r="AE120" s="666"/>
      <c r="AF120" s="402"/>
      <c r="AG120" s="32"/>
      <c r="AH120" s="41"/>
      <c r="AI120" s="41"/>
      <c r="AJ120" s="139"/>
      <c r="AK120" s="2361"/>
      <c r="AL120" s="402"/>
      <c r="AM120" s="41"/>
      <c r="AN120" s="32"/>
      <c r="AO120" s="32"/>
      <c r="AP120" s="232"/>
      <c r="AQ120" s="2066"/>
      <c r="AR120" s="402"/>
      <c r="AS120" s="41"/>
      <c r="AT120" s="41"/>
      <c r="AU120" s="41"/>
      <c r="AV120" s="139"/>
      <c r="AW120" s="666"/>
      <c r="AX120" s="402"/>
      <c r="AY120" s="32"/>
      <c r="AZ120" s="32"/>
      <c r="BA120" s="32"/>
      <c r="BB120" s="139"/>
      <c r="BC120" s="2361"/>
      <c r="BD120" s="402"/>
      <c r="BE120" s="32"/>
      <c r="BF120" s="32"/>
      <c r="BG120" s="232"/>
      <c r="BH120" s="232"/>
      <c r="BI120" s="666"/>
      <c r="BJ120" s="641"/>
      <c r="BK120" s="121"/>
      <c r="BL120" s="793">
        <f t="shared" si="35"/>
        <v>0</v>
      </c>
      <c r="BM120" s="1"/>
    </row>
    <row r="121" spans="1:65" ht="16.2" thickBot="1" x14ac:dyDescent="0.35">
      <c r="A121" s="444"/>
      <c r="B121" s="421"/>
      <c r="C121" s="634" t="s">
        <v>207</v>
      </c>
      <c r="D121" s="409" t="s">
        <v>209</v>
      </c>
      <c r="E121" s="635">
        <v>3.1</v>
      </c>
      <c r="F121" s="636"/>
      <c r="G121" s="409"/>
      <c r="H121" s="845">
        <f t="shared" si="31"/>
        <v>0</v>
      </c>
      <c r="I121" s="409"/>
      <c r="J121" s="406"/>
      <c r="K121" s="365">
        <f t="shared" si="36"/>
        <v>0</v>
      </c>
      <c r="L121" s="365">
        <f t="shared" si="36"/>
        <v>0</v>
      </c>
      <c r="M121" s="365">
        <f t="shared" si="36"/>
        <v>0</v>
      </c>
      <c r="N121" s="365">
        <f t="shared" si="33"/>
        <v>0</v>
      </c>
      <c r="O121" s="365">
        <f t="shared" si="33"/>
        <v>0</v>
      </c>
      <c r="P121" s="365">
        <f t="shared" si="33"/>
        <v>0</v>
      </c>
      <c r="Q121" s="365">
        <f t="shared" si="34"/>
        <v>0</v>
      </c>
      <c r="R121" s="2377">
        <f t="shared" si="34"/>
        <v>0</v>
      </c>
      <c r="S121" s="2378">
        <f t="shared" si="34"/>
        <v>0</v>
      </c>
      <c r="T121" s="2090"/>
      <c r="U121" s="281"/>
      <c r="V121" s="281"/>
      <c r="W121" s="278"/>
      <c r="X121" s="286"/>
      <c r="Y121" s="2379"/>
      <c r="Z121" s="277"/>
      <c r="AA121" s="278"/>
      <c r="AB121" s="278"/>
      <c r="AC121" s="278"/>
      <c r="AD121" s="286"/>
      <c r="AE121" s="2380"/>
      <c r="AF121" s="640"/>
      <c r="AG121" s="277"/>
      <c r="AH121" s="277"/>
      <c r="AI121" s="277"/>
      <c r="AJ121" s="275"/>
      <c r="AK121" s="2381"/>
      <c r="AL121" s="640"/>
      <c r="AM121" s="277"/>
      <c r="AN121" s="278"/>
      <c r="AO121" s="278"/>
      <c r="AP121" s="286"/>
      <c r="AQ121" s="2382"/>
      <c r="AR121" s="640"/>
      <c r="AS121" s="277"/>
      <c r="AT121" s="277"/>
      <c r="AU121" s="277"/>
      <c r="AV121" s="275"/>
      <c r="AW121" s="2380"/>
      <c r="AX121" s="640"/>
      <c r="AY121" s="278"/>
      <c r="AZ121" s="278"/>
      <c r="BA121" s="278"/>
      <c r="BB121" s="275"/>
      <c r="BC121" s="2381"/>
      <c r="BD121" s="640"/>
      <c r="BE121" s="278"/>
      <c r="BF121" s="278"/>
      <c r="BG121" s="286"/>
      <c r="BH121" s="286"/>
      <c r="BI121" s="2380"/>
      <c r="BJ121" s="415"/>
      <c r="BK121" s="168"/>
      <c r="BL121" s="789">
        <f t="shared" si="35"/>
        <v>0</v>
      </c>
      <c r="BM121" s="1"/>
    </row>
    <row r="122" spans="1:65" ht="16.2" thickBot="1" x14ac:dyDescent="0.35">
      <c r="A122" s="445">
        <v>2611</v>
      </c>
      <c r="B122" s="360" t="s">
        <v>193</v>
      </c>
      <c r="C122" s="361" t="s">
        <v>208</v>
      </c>
      <c r="D122" s="362" t="s">
        <v>209</v>
      </c>
      <c r="E122" s="363">
        <v>3.1</v>
      </c>
      <c r="F122" s="364">
        <f>(BL122/G122)/7</f>
        <v>0.94921689606074988</v>
      </c>
      <c r="G122" s="362">
        <v>602</v>
      </c>
      <c r="H122" s="840">
        <f t="shared" si="31"/>
        <v>1866.2</v>
      </c>
      <c r="I122" s="362">
        <v>5800</v>
      </c>
      <c r="J122" s="362">
        <v>4000</v>
      </c>
      <c r="K122" s="2344">
        <v>5134</v>
      </c>
      <c r="L122" s="365">
        <f t="shared" si="36"/>
        <v>3267.8</v>
      </c>
      <c r="M122" s="2344">
        <v>4400</v>
      </c>
      <c r="N122" s="2344">
        <v>5534</v>
      </c>
      <c r="O122" s="365">
        <f t="shared" si="33"/>
        <v>3667.8</v>
      </c>
      <c r="P122" s="2344">
        <v>5800</v>
      </c>
      <c r="Q122" s="365">
        <f t="shared" si="34"/>
        <v>3933.8</v>
      </c>
      <c r="R122" s="2356">
        <f t="shared" si="34"/>
        <v>2067.6000000000004</v>
      </c>
      <c r="S122" s="2348">
        <f t="shared" si="34"/>
        <v>201.40000000000032</v>
      </c>
      <c r="T122" s="2368"/>
      <c r="U122" s="121"/>
      <c r="V122" s="121"/>
      <c r="W122" s="22"/>
      <c r="X122" s="23">
        <v>3000</v>
      </c>
      <c r="Y122" s="2070"/>
      <c r="Z122" s="21"/>
      <c r="AA122" s="22"/>
      <c r="AB122" s="22"/>
      <c r="AC122" s="22"/>
      <c r="AD122" s="23"/>
      <c r="AE122" s="667"/>
      <c r="AF122" s="376"/>
      <c r="AG122" s="21"/>
      <c r="AH122" s="21"/>
      <c r="AI122" s="21"/>
      <c r="AJ122" s="157">
        <v>3000</v>
      </c>
      <c r="AK122" s="2346"/>
      <c r="AL122" s="376"/>
      <c r="AM122" s="21"/>
      <c r="AN122" s="22"/>
      <c r="AO122" s="22"/>
      <c r="AP122" s="23">
        <v>3000</v>
      </c>
      <c r="AQ122" s="2069"/>
      <c r="AR122" s="376"/>
      <c r="AS122" s="21"/>
      <c r="AT122" s="21"/>
      <c r="AU122" s="21"/>
      <c r="AV122" s="157"/>
      <c r="AW122" s="667"/>
      <c r="AX122" s="376"/>
      <c r="AY122" s="22"/>
      <c r="AZ122" s="22"/>
      <c r="BA122" s="22"/>
      <c r="BB122" s="157">
        <v>3000</v>
      </c>
      <c r="BC122" s="2346"/>
      <c r="BD122" s="376"/>
      <c r="BE122" s="22"/>
      <c r="BF122" s="22"/>
      <c r="BG122" s="23"/>
      <c r="BH122" s="23"/>
      <c r="BI122" s="667"/>
      <c r="BJ122" s="396"/>
      <c r="BK122" s="397"/>
      <c r="BL122" s="790">
        <f t="shared" si="35"/>
        <v>4000</v>
      </c>
      <c r="BM122" s="1"/>
    </row>
    <row r="123" spans="1:65" ht="16.2" thickBot="1" x14ac:dyDescent="0.35">
      <c r="A123" s="418"/>
      <c r="B123" s="401"/>
      <c r="C123" s="398" t="s">
        <v>210</v>
      </c>
      <c r="D123" s="362" t="s">
        <v>209</v>
      </c>
      <c r="E123" s="399">
        <v>3.1</v>
      </c>
      <c r="F123" s="400"/>
      <c r="G123" s="375"/>
      <c r="H123" s="842">
        <f t="shared" si="31"/>
        <v>0</v>
      </c>
      <c r="I123" s="375"/>
      <c r="J123" s="362"/>
      <c r="K123" s="365">
        <f t="shared" si="36"/>
        <v>0</v>
      </c>
      <c r="L123" s="365">
        <f t="shared" si="36"/>
        <v>0</v>
      </c>
      <c r="M123" s="365">
        <f t="shared" si="36"/>
        <v>0</v>
      </c>
      <c r="N123" s="365">
        <f t="shared" si="33"/>
        <v>0</v>
      </c>
      <c r="O123" s="365">
        <f t="shared" si="33"/>
        <v>0</v>
      </c>
      <c r="P123" s="365">
        <f t="shared" si="33"/>
        <v>0</v>
      </c>
      <c r="Q123" s="365">
        <f t="shared" si="34"/>
        <v>0</v>
      </c>
      <c r="R123" s="2347">
        <f t="shared" si="34"/>
        <v>0</v>
      </c>
      <c r="S123" s="2348">
        <f t="shared" si="34"/>
        <v>0</v>
      </c>
      <c r="T123" s="2369"/>
      <c r="U123" s="142"/>
      <c r="V123" s="142"/>
      <c r="W123" s="32"/>
      <c r="X123" s="232"/>
      <c r="Y123" s="2067"/>
      <c r="Z123" s="41"/>
      <c r="AA123" s="32"/>
      <c r="AB123" s="32"/>
      <c r="AC123" s="32"/>
      <c r="AD123" s="232"/>
      <c r="AE123" s="666"/>
      <c r="AF123" s="402"/>
      <c r="AG123" s="41"/>
      <c r="AH123" s="41"/>
      <c r="AI123" s="41"/>
      <c r="AJ123" s="139"/>
      <c r="AK123" s="2361"/>
      <c r="AL123" s="402"/>
      <c r="AM123" s="41"/>
      <c r="AN123" s="32"/>
      <c r="AO123" s="32"/>
      <c r="AP123" s="232"/>
      <c r="AQ123" s="2066"/>
      <c r="AR123" s="402"/>
      <c r="AS123" s="41"/>
      <c r="AT123" s="41"/>
      <c r="AU123" s="41"/>
      <c r="AV123" s="139"/>
      <c r="AW123" s="666"/>
      <c r="AX123" s="402"/>
      <c r="AY123" s="32"/>
      <c r="AZ123" s="32"/>
      <c r="BA123" s="32"/>
      <c r="BB123" s="139"/>
      <c r="BC123" s="2361"/>
      <c r="BD123" s="402"/>
      <c r="BE123" s="32"/>
      <c r="BF123" s="32"/>
      <c r="BG123" s="232"/>
      <c r="BH123" s="232"/>
      <c r="BI123" s="666"/>
      <c r="BJ123" s="429"/>
      <c r="BK123" s="379"/>
      <c r="BL123" s="788">
        <f t="shared" si="35"/>
        <v>0</v>
      </c>
      <c r="BM123" s="1"/>
    </row>
    <row r="124" spans="1:65" ht="16.2" thickBot="1" x14ac:dyDescent="0.35">
      <c r="A124" s="420"/>
      <c r="B124" s="431"/>
      <c r="C124" s="432" t="s">
        <v>211</v>
      </c>
      <c r="D124" s="362" t="s">
        <v>209</v>
      </c>
      <c r="E124" s="433">
        <v>3.1</v>
      </c>
      <c r="F124" s="424"/>
      <c r="G124" s="386"/>
      <c r="H124" s="844">
        <f t="shared" si="31"/>
        <v>0</v>
      </c>
      <c r="I124" s="386"/>
      <c r="J124" s="385"/>
      <c r="K124" s="365">
        <f t="shared" si="36"/>
        <v>0</v>
      </c>
      <c r="L124" s="365">
        <f t="shared" si="36"/>
        <v>0</v>
      </c>
      <c r="M124" s="365">
        <f t="shared" si="36"/>
        <v>0</v>
      </c>
      <c r="N124" s="365">
        <f t="shared" si="33"/>
        <v>0</v>
      </c>
      <c r="O124" s="365">
        <f t="shared" si="33"/>
        <v>0</v>
      </c>
      <c r="P124" s="365">
        <f t="shared" si="33"/>
        <v>0</v>
      </c>
      <c r="Q124" s="365">
        <f t="shared" si="34"/>
        <v>0</v>
      </c>
      <c r="R124" s="625">
        <f t="shared" si="34"/>
        <v>0</v>
      </c>
      <c r="S124" s="2376">
        <f t="shared" si="34"/>
        <v>0</v>
      </c>
      <c r="T124" s="2374"/>
      <c r="U124" s="305"/>
      <c r="V124" s="305"/>
      <c r="W124" s="163"/>
      <c r="X124" s="436"/>
      <c r="Y124" s="2074"/>
      <c r="Z124" s="162"/>
      <c r="AA124" s="163"/>
      <c r="AB124" s="163"/>
      <c r="AC124" s="163"/>
      <c r="AD124" s="436"/>
      <c r="AE124" s="668"/>
      <c r="AF124" s="434"/>
      <c r="AG124" s="162"/>
      <c r="AH124" s="162"/>
      <c r="AI124" s="162"/>
      <c r="AJ124" s="236"/>
      <c r="AK124" s="2375"/>
      <c r="AL124" s="434"/>
      <c r="AM124" s="162"/>
      <c r="AN124" s="163"/>
      <c r="AO124" s="163"/>
      <c r="AP124" s="436"/>
      <c r="AQ124" s="2073"/>
      <c r="AR124" s="434"/>
      <c r="AS124" s="162"/>
      <c r="AT124" s="162"/>
      <c r="AU124" s="162"/>
      <c r="AV124" s="236"/>
      <c r="AW124" s="668"/>
      <c r="AX124" s="434"/>
      <c r="AY124" s="163"/>
      <c r="AZ124" s="163"/>
      <c r="BA124" s="163"/>
      <c r="BB124" s="236"/>
      <c r="BC124" s="2375"/>
      <c r="BD124" s="434"/>
      <c r="BE124" s="163"/>
      <c r="BF124" s="163"/>
      <c r="BG124" s="436"/>
      <c r="BH124" s="436"/>
      <c r="BI124" s="668"/>
      <c r="BJ124" s="389"/>
      <c r="BK124" s="241"/>
      <c r="BL124" s="792">
        <f t="shared" si="35"/>
        <v>0</v>
      </c>
      <c r="BM124" s="1"/>
    </row>
    <row r="125" spans="1:65" ht="16.2" thickBot="1" x14ac:dyDescent="0.35">
      <c r="A125" s="425">
        <v>2610</v>
      </c>
      <c r="B125" s="394" t="s">
        <v>185</v>
      </c>
      <c r="C125" s="391" t="s">
        <v>212</v>
      </c>
      <c r="D125" s="392" t="s">
        <v>209</v>
      </c>
      <c r="E125" s="393">
        <v>3.2</v>
      </c>
      <c r="F125" s="364">
        <f>(BL125/G125)/7</f>
        <v>1.3562386980108501</v>
      </c>
      <c r="G125" s="392">
        <v>632</v>
      </c>
      <c r="H125" s="841">
        <f t="shared" si="31"/>
        <v>2022.4</v>
      </c>
      <c r="I125" s="362">
        <v>5800</v>
      </c>
      <c r="J125" s="392">
        <v>6000</v>
      </c>
      <c r="K125" s="365">
        <f t="shared" si="36"/>
        <v>3977.6</v>
      </c>
      <c r="L125" s="2344">
        <v>4900</v>
      </c>
      <c r="M125" s="2344">
        <v>5878</v>
      </c>
      <c r="N125" s="365">
        <f t="shared" si="33"/>
        <v>3855.6</v>
      </c>
      <c r="O125" s="2344">
        <v>5833</v>
      </c>
      <c r="P125" s="365">
        <f t="shared" si="33"/>
        <v>3810.6</v>
      </c>
      <c r="Q125" s="2344">
        <v>4788</v>
      </c>
      <c r="R125" s="417">
        <f t="shared" si="34"/>
        <v>2765.6</v>
      </c>
      <c r="S125" s="2367">
        <f t="shared" si="34"/>
        <v>743.19999999999982</v>
      </c>
      <c r="T125" s="2079"/>
      <c r="U125" s="260"/>
      <c r="V125" s="260"/>
      <c r="W125" s="257"/>
      <c r="X125" s="265"/>
      <c r="Y125" s="2357"/>
      <c r="Z125" s="437"/>
      <c r="AA125" s="438"/>
      <c r="AB125" s="438"/>
      <c r="AC125" s="438"/>
      <c r="AD125" s="442">
        <v>3000</v>
      </c>
      <c r="AE125" s="2358"/>
      <c r="AF125" s="440"/>
      <c r="AG125" s="437"/>
      <c r="AH125" s="437"/>
      <c r="AI125" s="437"/>
      <c r="AJ125" s="956">
        <v>3000</v>
      </c>
      <c r="AK125" s="2359"/>
      <c r="AL125" s="440"/>
      <c r="AM125" s="437"/>
      <c r="AN125" s="438"/>
      <c r="AO125" s="438"/>
      <c r="AP125" s="442"/>
      <c r="AQ125" s="2360"/>
      <c r="AR125" s="440"/>
      <c r="AS125" s="437"/>
      <c r="AT125" s="437"/>
      <c r="AU125" s="437"/>
      <c r="AV125" s="956">
        <v>3000</v>
      </c>
      <c r="AW125" s="2358"/>
      <c r="AX125" s="440"/>
      <c r="AY125" s="438"/>
      <c r="AZ125" s="438"/>
      <c r="BA125" s="438"/>
      <c r="BB125" s="956"/>
      <c r="BC125" s="2359"/>
      <c r="BD125" s="440"/>
      <c r="BE125" s="438"/>
      <c r="BF125" s="438"/>
      <c r="BG125" s="442"/>
      <c r="BH125" s="442">
        <v>3000</v>
      </c>
      <c r="BI125" s="2358"/>
      <c r="BJ125" s="426"/>
      <c r="BK125" s="427"/>
      <c r="BL125" s="791">
        <f t="shared" si="35"/>
        <v>6000</v>
      </c>
    </row>
    <row r="126" spans="1:65" ht="16.2" thickBot="1" x14ac:dyDescent="0.35">
      <c r="A126" s="428"/>
      <c r="B126" s="401"/>
      <c r="C126" s="398" t="s">
        <v>213</v>
      </c>
      <c r="D126" s="375" t="s">
        <v>209</v>
      </c>
      <c r="E126" s="399">
        <v>3.2</v>
      </c>
      <c r="F126" s="400"/>
      <c r="G126" s="375"/>
      <c r="H126" s="842">
        <f t="shared" si="31"/>
        <v>0</v>
      </c>
      <c r="I126" s="375"/>
      <c r="J126" s="362"/>
      <c r="K126" s="365">
        <f t="shared" si="36"/>
        <v>0</v>
      </c>
      <c r="L126" s="365">
        <f t="shared" si="36"/>
        <v>0</v>
      </c>
      <c r="M126" s="365">
        <f t="shared" si="36"/>
        <v>0</v>
      </c>
      <c r="N126" s="365">
        <f t="shared" si="33"/>
        <v>0</v>
      </c>
      <c r="O126" s="365">
        <f t="shared" si="33"/>
        <v>0</v>
      </c>
      <c r="P126" s="365">
        <f t="shared" si="33"/>
        <v>0</v>
      </c>
      <c r="Q126" s="365">
        <f t="shared" si="34"/>
        <v>0</v>
      </c>
      <c r="R126" s="2347">
        <f t="shared" si="34"/>
        <v>0</v>
      </c>
      <c r="S126" s="2348">
        <f t="shared" si="34"/>
        <v>0</v>
      </c>
      <c r="T126" s="2369"/>
      <c r="U126" s="142"/>
      <c r="V126" s="142"/>
      <c r="W126" s="32"/>
      <c r="X126" s="232"/>
      <c r="Y126" s="2067"/>
      <c r="Z126" s="41"/>
      <c r="AA126" s="32"/>
      <c r="AB126" s="32"/>
      <c r="AC126" s="32"/>
      <c r="AD126" s="232"/>
      <c r="AE126" s="666"/>
      <c r="AF126" s="402"/>
      <c r="AG126" s="41"/>
      <c r="AH126" s="41"/>
      <c r="AI126" s="41"/>
      <c r="AJ126" s="139"/>
      <c r="AK126" s="2361"/>
      <c r="AL126" s="402"/>
      <c r="AM126" s="41"/>
      <c r="AN126" s="32"/>
      <c r="AO126" s="32"/>
      <c r="AP126" s="232"/>
      <c r="AQ126" s="2066"/>
      <c r="AR126" s="402"/>
      <c r="AS126" s="41"/>
      <c r="AT126" s="41"/>
      <c r="AU126" s="41"/>
      <c r="AV126" s="139"/>
      <c r="AW126" s="666"/>
      <c r="AX126" s="402"/>
      <c r="AY126" s="32"/>
      <c r="AZ126" s="32"/>
      <c r="BA126" s="32"/>
      <c r="BB126" s="139"/>
      <c r="BC126" s="2361"/>
      <c r="BD126" s="402"/>
      <c r="BE126" s="32"/>
      <c r="BF126" s="32"/>
      <c r="BG126" s="232"/>
      <c r="BH126" s="232"/>
      <c r="BI126" s="666"/>
      <c r="BJ126" s="429"/>
      <c r="BK126" s="379"/>
      <c r="BL126" s="788">
        <f t="shared" si="35"/>
        <v>0</v>
      </c>
      <c r="BM126" s="1"/>
    </row>
    <row r="127" spans="1:65" ht="16.2" thickBot="1" x14ac:dyDescent="0.35">
      <c r="A127" s="444"/>
      <c r="B127" s="411"/>
      <c r="C127" s="405" t="s">
        <v>214</v>
      </c>
      <c r="D127" s="406" t="s">
        <v>209</v>
      </c>
      <c r="E127" s="407">
        <v>3.2</v>
      </c>
      <c r="F127" s="424"/>
      <c r="G127" s="406"/>
      <c r="H127" s="843">
        <f t="shared" si="31"/>
        <v>0</v>
      </c>
      <c r="I127" s="406"/>
      <c r="J127" s="385"/>
      <c r="K127" s="365">
        <f t="shared" si="36"/>
        <v>0</v>
      </c>
      <c r="L127" s="365">
        <f t="shared" si="36"/>
        <v>0</v>
      </c>
      <c r="M127" s="365">
        <f t="shared" si="36"/>
        <v>0</v>
      </c>
      <c r="N127" s="365">
        <f t="shared" si="33"/>
        <v>0</v>
      </c>
      <c r="O127" s="365">
        <f t="shared" si="33"/>
        <v>0</v>
      </c>
      <c r="P127" s="365">
        <f t="shared" si="33"/>
        <v>0</v>
      </c>
      <c r="Q127" s="365">
        <f t="shared" si="34"/>
        <v>0</v>
      </c>
      <c r="R127" s="625">
        <f t="shared" si="34"/>
        <v>0</v>
      </c>
      <c r="S127" s="2376">
        <f t="shared" si="34"/>
        <v>0</v>
      </c>
      <c r="T127" s="2370"/>
      <c r="U127" s="168"/>
      <c r="V127" s="168"/>
      <c r="W127" s="167"/>
      <c r="X127" s="414"/>
      <c r="Y127" s="2363"/>
      <c r="Z127" s="166"/>
      <c r="AA127" s="167"/>
      <c r="AB127" s="167"/>
      <c r="AC127" s="167"/>
      <c r="AD127" s="414"/>
      <c r="AE127" s="2364"/>
      <c r="AF127" s="412"/>
      <c r="AG127" s="166"/>
      <c r="AH127" s="166"/>
      <c r="AI127" s="166"/>
      <c r="AJ127" s="273"/>
      <c r="AK127" s="2365"/>
      <c r="AL127" s="412"/>
      <c r="AM127" s="166"/>
      <c r="AN127" s="167"/>
      <c r="AO127" s="167"/>
      <c r="AP127" s="414"/>
      <c r="AQ127" s="2366"/>
      <c r="AR127" s="412"/>
      <c r="AS127" s="166"/>
      <c r="AT127" s="166"/>
      <c r="AU127" s="166"/>
      <c r="AV127" s="273"/>
      <c r="AW127" s="2364"/>
      <c r="AX127" s="412"/>
      <c r="AY127" s="167"/>
      <c r="AZ127" s="167"/>
      <c r="BA127" s="167"/>
      <c r="BB127" s="273"/>
      <c r="BC127" s="2365"/>
      <c r="BD127" s="412"/>
      <c r="BE127" s="167"/>
      <c r="BF127" s="167"/>
      <c r="BG127" s="414"/>
      <c r="BH127" s="414"/>
      <c r="BI127" s="2364"/>
      <c r="BJ127" s="415"/>
      <c r="BK127" s="281"/>
      <c r="BL127" s="789">
        <f t="shared" si="35"/>
        <v>0</v>
      </c>
      <c r="BM127" s="1"/>
    </row>
    <row r="128" spans="1:65" ht="16.2" thickBot="1" x14ac:dyDescent="0.35">
      <c r="A128" s="445">
        <v>2609</v>
      </c>
      <c r="B128" s="360" t="s">
        <v>368</v>
      </c>
      <c r="C128" s="361" t="s">
        <v>215</v>
      </c>
      <c r="D128" s="362" t="s">
        <v>209</v>
      </c>
      <c r="E128" s="363">
        <v>3.3</v>
      </c>
      <c r="F128" s="364">
        <f>(BL128/G128)/7</f>
        <v>0.99053488883997354</v>
      </c>
      <c r="G128" s="362">
        <v>649</v>
      </c>
      <c r="H128" s="840">
        <f t="shared" si="31"/>
        <v>2141.6999999999998</v>
      </c>
      <c r="I128" s="362">
        <v>5800</v>
      </c>
      <c r="J128" s="392">
        <v>4500</v>
      </c>
      <c r="K128" s="2344">
        <v>5358</v>
      </c>
      <c r="L128" s="365">
        <f t="shared" si="36"/>
        <v>3216.3</v>
      </c>
      <c r="M128" s="2344">
        <v>4075</v>
      </c>
      <c r="N128" s="2344">
        <v>4930</v>
      </c>
      <c r="O128" s="2344">
        <v>5788</v>
      </c>
      <c r="P128" s="365">
        <f t="shared" si="33"/>
        <v>3646.3</v>
      </c>
      <c r="Q128" s="2344">
        <v>4505</v>
      </c>
      <c r="R128" s="417">
        <f t="shared" si="34"/>
        <v>2363.3000000000002</v>
      </c>
      <c r="S128" s="2367">
        <f t="shared" si="34"/>
        <v>221.60000000000036</v>
      </c>
      <c r="T128" s="2368"/>
      <c r="U128" s="121"/>
      <c r="V128" s="121"/>
      <c r="W128" s="22"/>
      <c r="X128" s="23">
        <v>3000</v>
      </c>
      <c r="Y128" s="2070"/>
      <c r="Z128" s="366"/>
      <c r="AA128" s="367"/>
      <c r="AB128" s="367"/>
      <c r="AC128" s="367"/>
      <c r="AD128" s="372"/>
      <c r="AE128" s="667"/>
      <c r="AF128" s="369"/>
      <c r="AG128" s="366"/>
      <c r="AH128" s="366"/>
      <c r="AI128" s="366"/>
      <c r="AJ128" s="480">
        <v>3000</v>
      </c>
      <c r="AK128" s="2346"/>
      <c r="AL128" s="369"/>
      <c r="AM128" s="366"/>
      <c r="AN128" s="367"/>
      <c r="AO128" s="367"/>
      <c r="AP128" s="372">
        <v>3000</v>
      </c>
      <c r="AQ128" s="2069"/>
      <c r="AR128" s="369"/>
      <c r="AS128" s="366"/>
      <c r="AT128" s="366"/>
      <c r="AU128" s="366"/>
      <c r="AV128" s="480">
        <v>3000</v>
      </c>
      <c r="AW128" s="667"/>
      <c r="AX128" s="369"/>
      <c r="AY128" s="367"/>
      <c r="AZ128" s="367"/>
      <c r="BA128" s="367"/>
      <c r="BB128" s="480"/>
      <c r="BC128" s="2346"/>
      <c r="BD128" s="369"/>
      <c r="BE128" s="367"/>
      <c r="BF128" s="367"/>
      <c r="BG128" s="372"/>
      <c r="BH128" s="372">
        <v>3000</v>
      </c>
      <c r="BI128" s="667"/>
      <c r="BJ128" s="426"/>
      <c r="BK128" s="427"/>
      <c r="BL128" s="791">
        <f t="shared" si="35"/>
        <v>4500</v>
      </c>
    </row>
    <row r="129" spans="1:65" ht="16.2" thickBot="1" x14ac:dyDescent="0.35">
      <c r="A129" s="418"/>
      <c r="B129" s="401"/>
      <c r="C129" s="398" t="s">
        <v>216</v>
      </c>
      <c r="D129" s="375" t="s">
        <v>209</v>
      </c>
      <c r="E129" s="399">
        <v>3.3</v>
      </c>
      <c r="F129" s="400"/>
      <c r="G129" s="375"/>
      <c r="H129" s="842">
        <f t="shared" si="31"/>
        <v>0</v>
      </c>
      <c r="I129" s="375"/>
      <c r="J129" s="362"/>
      <c r="K129" s="365">
        <f t="shared" si="36"/>
        <v>0</v>
      </c>
      <c r="L129" s="365">
        <f t="shared" si="36"/>
        <v>0</v>
      </c>
      <c r="M129" s="365">
        <f t="shared" si="36"/>
        <v>0</v>
      </c>
      <c r="N129" s="365">
        <f t="shared" si="33"/>
        <v>0</v>
      </c>
      <c r="O129" s="365">
        <f t="shared" si="33"/>
        <v>0</v>
      </c>
      <c r="P129" s="365">
        <f t="shared" si="33"/>
        <v>0</v>
      </c>
      <c r="Q129" s="365">
        <f t="shared" si="34"/>
        <v>0</v>
      </c>
      <c r="R129" s="423">
        <f t="shared" si="34"/>
        <v>0</v>
      </c>
      <c r="S129" s="2373">
        <f t="shared" si="34"/>
        <v>0</v>
      </c>
      <c r="T129" s="2369"/>
      <c r="U129" s="142"/>
      <c r="V129" s="142"/>
      <c r="W129" s="32"/>
      <c r="X129" s="232"/>
      <c r="Y129" s="2067"/>
      <c r="Z129" s="41"/>
      <c r="AA129" s="32"/>
      <c r="AB129" s="32"/>
      <c r="AC129" s="32"/>
      <c r="AD129" s="232"/>
      <c r="AE129" s="666"/>
      <c r="AF129" s="402"/>
      <c r="AG129" s="41"/>
      <c r="AH129" s="41"/>
      <c r="AI129" s="41"/>
      <c r="AJ129" s="139"/>
      <c r="AK129" s="2361"/>
      <c r="AL129" s="402"/>
      <c r="AM129" s="41"/>
      <c r="AN129" s="32"/>
      <c r="AO129" s="32"/>
      <c r="AP129" s="232"/>
      <c r="AQ129" s="2066"/>
      <c r="AR129" s="402"/>
      <c r="AS129" s="41"/>
      <c r="AT129" s="41"/>
      <c r="AU129" s="41"/>
      <c r="AV129" s="139"/>
      <c r="AW129" s="666"/>
      <c r="AX129" s="402"/>
      <c r="AY129" s="32"/>
      <c r="AZ129" s="32"/>
      <c r="BA129" s="32"/>
      <c r="BB129" s="139"/>
      <c r="BC129" s="2361"/>
      <c r="BD129" s="402"/>
      <c r="BE129" s="32"/>
      <c r="BF129" s="32"/>
      <c r="BG129" s="232"/>
      <c r="BH129" s="232"/>
      <c r="BI129" s="666"/>
      <c r="BJ129" s="429"/>
      <c r="BK129" s="379"/>
      <c r="BL129" s="788">
        <f t="shared" si="35"/>
        <v>0</v>
      </c>
      <c r="BM129" s="1"/>
    </row>
    <row r="130" spans="1:65" ht="16.2" thickBot="1" x14ac:dyDescent="0.35">
      <c r="A130" s="420"/>
      <c r="B130" s="431"/>
      <c r="C130" s="432" t="s">
        <v>217</v>
      </c>
      <c r="D130" s="386" t="s">
        <v>209</v>
      </c>
      <c r="E130" s="433">
        <v>3.3</v>
      </c>
      <c r="F130" s="424"/>
      <c r="G130" s="386"/>
      <c r="H130" s="844">
        <f t="shared" si="31"/>
        <v>0</v>
      </c>
      <c r="I130" s="386"/>
      <c r="J130" s="385"/>
      <c r="K130" s="365">
        <f t="shared" si="36"/>
        <v>0</v>
      </c>
      <c r="L130" s="365">
        <f t="shared" si="36"/>
        <v>0</v>
      </c>
      <c r="M130" s="365">
        <f t="shared" si="36"/>
        <v>0</v>
      </c>
      <c r="N130" s="365">
        <f t="shared" si="33"/>
        <v>0</v>
      </c>
      <c r="O130" s="365">
        <f t="shared" si="33"/>
        <v>0</v>
      </c>
      <c r="P130" s="365">
        <f t="shared" si="33"/>
        <v>0</v>
      </c>
      <c r="Q130" s="365">
        <f t="shared" si="34"/>
        <v>0</v>
      </c>
      <c r="R130" s="625">
        <f t="shared" si="34"/>
        <v>0</v>
      </c>
      <c r="S130" s="2376">
        <f t="shared" si="34"/>
        <v>0</v>
      </c>
      <c r="T130" s="2374"/>
      <c r="U130" s="305"/>
      <c r="V130" s="305"/>
      <c r="W130" s="163"/>
      <c r="X130" s="436"/>
      <c r="Y130" s="2074"/>
      <c r="Z130" s="162"/>
      <c r="AA130" s="163"/>
      <c r="AB130" s="163"/>
      <c r="AC130" s="163"/>
      <c r="AD130" s="436"/>
      <c r="AE130" s="668"/>
      <c r="AF130" s="434"/>
      <c r="AG130" s="162"/>
      <c r="AH130" s="162"/>
      <c r="AI130" s="162"/>
      <c r="AJ130" s="236"/>
      <c r="AK130" s="2375"/>
      <c r="AL130" s="434"/>
      <c r="AM130" s="162"/>
      <c r="AN130" s="163"/>
      <c r="AO130" s="163"/>
      <c r="AP130" s="436"/>
      <c r="AQ130" s="2073"/>
      <c r="AR130" s="434"/>
      <c r="AS130" s="162"/>
      <c r="AT130" s="162"/>
      <c r="AU130" s="162"/>
      <c r="AV130" s="236"/>
      <c r="AW130" s="668"/>
      <c r="AX130" s="434"/>
      <c r="AY130" s="163"/>
      <c r="AZ130" s="163"/>
      <c r="BA130" s="163"/>
      <c r="BB130" s="236"/>
      <c r="BC130" s="2375"/>
      <c r="BD130" s="434"/>
      <c r="BE130" s="163"/>
      <c r="BF130" s="163"/>
      <c r="BG130" s="436"/>
      <c r="BH130" s="436"/>
      <c r="BI130" s="668"/>
      <c r="BJ130" s="389"/>
      <c r="BK130" s="241"/>
      <c r="BL130" s="789">
        <f t="shared" si="35"/>
        <v>0</v>
      </c>
      <c r="BM130" s="1"/>
    </row>
    <row r="131" spans="1:65" ht="16.2" thickBot="1" x14ac:dyDescent="0.35">
      <c r="A131" s="425">
        <v>2608</v>
      </c>
      <c r="B131" s="394" t="s">
        <v>367</v>
      </c>
      <c r="C131" s="391" t="s">
        <v>218</v>
      </c>
      <c r="D131" s="392" t="s">
        <v>209</v>
      </c>
      <c r="E131" s="446">
        <v>3.3</v>
      </c>
      <c r="F131" s="364">
        <f>(BL131/G131)/7</f>
        <v>1.4739229024943312</v>
      </c>
      <c r="G131" s="392">
        <v>630</v>
      </c>
      <c r="H131" s="841">
        <f t="shared" si="31"/>
        <v>2079</v>
      </c>
      <c r="I131" s="362">
        <v>5800</v>
      </c>
      <c r="J131" s="392">
        <v>6500</v>
      </c>
      <c r="K131" s="365">
        <f t="shared" si="36"/>
        <v>4421</v>
      </c>
      <c r="L131" s="365">
        <f t="shared" si="36"/>
        <v>2342</v>
      </c>
      <c r="M131" s="365">
        <f t="shared" si="36"/>
        <v>263</v>
      </c>
      <c r="N131" s="365">
        <f t="shared" si="33"/>
        <v>-1816</v>
      </c>
      <c r="O131" s="365">
        <f t="shared" si="33"/>
        <v>-3895</v>
      </c>
      <c r="P131" s="2344">
        <f t="shared" si="33"/>
        <v>-5974</v>
      </c>
      <c r="Q131" s="2344">
        <f t="shared" si="34"/>
        <v>-8053</v>
      </c>
      <c r="R131" s="417">
        <f t="shared" si="34"/>
        <v>-10132</v>
      </c>
      <c r="S131" s="2367">
        <f t="shared" si="34"/>
        <v>-12211</v>
      </c>
      <c r="T131" s="2079"/>
      <c r="U131" s="260"/>
      <c r="V131" s="260"/>
      <c r="W131" s="257"/>
      <c r="X131" s="265"/>
      <c r="Y131" s="2357"/>
      <c r="Z131" s="256"/>
      <c r="AA131" s="257"/>
      <c r="AB131" s="257"/>
      <c r="AC131" s="257"/>
      <c r="AD131" s="265"/>
      <c r="AE131" s="2358"/>
      <c r="AF131" s="395"/>
      <c r="AG131" s="256"/>
      <c r="AH131" s="256"/>
      <c r="AI131" s="256"/>
      <c r="AJ131" s="253"/>
      <c r="AK131" s="2359"/>
      <c r="AL131" s="395"/>
      <c r="AM131" s="256"/>
      <c r="AN131" s="257"/>
      <c r="AO131" s="257"/>
      <c r="AP131" s="265"/>
      <c r="AQ131" s="2360"/>
      <c r="AR131" s="395"/>
      <c r="AS131" s="256"/>
      <c r="AT131" s="256"/>
      <c r="AU131" s="256"/>
      <c r="AV131" s="253"/>
      <c r="AW131" s="2358"/>
      <c r="AX131" s="395">
        <v>3000</v>
      </c>
      <c r="AY131" s="257"/>
      <c r="AZ131" s="257"/>
      <c r="BA131" s="257"/>
      <c r="BB131" s="253"/>
      <c r="BC131" s="2359"/>
      <c r="BD131" s="395">
        <v>3000</v>
      </c>
      <c r="BE131" s="257"/>
      <c r="BF131" s="257"/>
      <c r="BG131" s="265"/>
      <c r="BH131" s="265"/>
      <c r="BI131" s="2358"/>
      <c r="BJ131" s="396"/>
      <c r="BK131" s="397"/>
      <c r="BL131" s="790">
        <f t="shared" si="35"/>
        <v>6500</v>
      </c>
      <c r="BM131" s="1"/>
    </row>
    <row r="132" spans="1:65" ht="16.2" thickBot="1" x14ac:dyDescent="0.35">
      <c r="A132" s="447"/>
      <c r="B132" s="401"/>
      <c r="C132" s="432" t="s">
        <v>219</v>
      </c>
      <c r="D132" s="386" t="s">
        <v>209</v>
      </c>
      <c r="E132" s="448">
        <v>3.3</v>
      </c>
      <c r="F132" s="449"/>
      <c r="G132" s="375"/>
      <c r="H132" s="844">
        <f t="shared" si="31"/>
        <v>0</v>
      </c>
      <c r="I132" s="386"/>
      <c r="J132" s="362"/>
      <c r="K132" s="365">
        <f t="shared" si="36"/>
        <v>0</v>
      </c>
      <c r="L132" s="365">
        <f t="shared" si="36"/>
        <v>0</v>
      </c>
      <c r="M132" s="365">
        <f t="shared" si="36"/>
        <v>0</v>
      </c>
      <c r="N132" s="365">
        <f t="shared" si="33"/>
        <v>0</v>
      </c>
      <c r="O132" s="365">
        <f t="shared" si="33"/>
        <v>0</v>
      </c>
      <c r="P132" s="365">
        <f t="shared" si="33"/>
        <v>0</v>
      </c>
      <c r="Q132" s="365">
        <f t="shared" si="34"/>
        <v>0</v>
      </c>
      <c r="R132" s="2347">
        <f t="shared" si="34"/>
        <v>0</v>
      </c>
      <c r="S132" s="2348">
        <f t="shared" si="34"/>
        <v>0</v>
      </c>
      <c r="T132" s="2369"/>
      <c r="U132" s="305"/>
      <c r="V132" s="305"/>
      <c r="W132" s="163"/>
      <c r="X132" s="436"/>
      <c r="Y132" s="2074"/>
      <c r="Z132" s="162"/>
      <c r="AA132" s="163"/>
      <c r="AB132" s="163"/>
      <c r="AC132" s="163"/>
      <c r="AD132" s="436"/>
      <c r="AE132" s="668"/>
      <c r="AF132" s="434"/>
      <c r="AG132" s="162"/>
      <c r="AH132" s="162"/>
      <c r="AI132" s="162"/>
      <c r="AJ132" s="236"/>
      <c r="AK132" s="2375"/>
      <c r="AL132" s="434"/>
      <c r="AM132" s="162"/>
      <c r="AN132" s="163"/>
      <c r="AO132" s="163"/>
      <c r="AP132" s="436"/>
      <c r="AQ132" s="2073"/>
      <c r="AR132" s="434"/>
      <c r="AS132" s="162"/>
      <c r="AT132" s="162"/>
      <c r="AU132" s="162"/>
      <c r="AV132" s="236"/>
      <c r="AW132" s="668"/>
      <c r="AX132" s="434"/>
      <c r="AY132" s="163"/>
      <c r="AZ132" s="163"/>
      <c r="BA132" s="163"/>
      <c r="BB132" s="236"/>
      <c r="BC132" s="2375"/>
      <c r="BD132" s="434"/>
      <c r="BE132" s="163"/>
      <c r="BF132" s="163"/>
      <c r="BG132" s="436"/>
      <c r="BH132" s="436"/>
      <c r="BI132" s="668"/>
      <c r="BJ132" s="429"/>
      <c r="BK132" s="379"/>
      <c r="BL132" s="788">
        <f t="shared" si="35"/>
        <v>0</v>
      </c>
      <c r="BM132" s="1"/>
    </row>
    <row r="133" spans="1:65" ht="16.2" thickBot="1" x14ac:dyDescent="0.35">
      <c r="A133" s="420"/>
      <c r="B133" s="411"/>
      <c r="C133" s="405" t="s">
        <v>220</v>
      </c>
      <c r="D133" s="406" t="s">
        <v>209</v>
      </c>
      <c r="E133" s="452">
        <v>3.3</v>
      </c>
      <c r="F133" s="424"/>
      <c r="G133" s="406"/>
      <c r="H133" s="843">
        <f t="shared" si="31"/>
        <v>0</v>
      </c>
      <c r="I133" s="406"/>
      <c r="J133" s="385"/>
      <c r="K133" s="365">
        <f t="shared" si="36"/>
        <v>0</v>
      </c>
      <c r="L133" s="365">
        <f t="shared" si="36"/>
        <v>0</v>
      </c>
      <c r="M133" s="365">
        <f t="shared" si="36"/>
        <v>0</v>
      </c>
      <c r="N133" s="365">
        <f t="shared" si="33"/>
        <v>0</v>
      </c>
      <c r="O133" s="365">
        <f t="shared" si="33"/>
        <v>0</v>
      </c>
      <c r="P133" s="365">
        <f t="shared" si="33"/>
        <v>0</v>
      </c>
      <c r="Q133" s="365">
        <f t="shared" si="34"/>
        <v>0</v>
      </c>
      <c r="R133" s="2349">
        <f t="shared" si="34"/>
        <v>0</v>
      </c>
      <c r="S133" s="2350">
        <f t="shared" si="34"/>
        <v>0</v>
      </c>
      <c r="T133" s="2370"/>
      <c r="U133" s="168"/>
      <c r="V133" s="168"/>
      <c r="W133" s="167"/>
      <c r="X133" s="414"/>
      <c r="Y133" s="2363"/>
      <c r="Z133" s="166"/>
      <c r="AA133" s="167"/>
      <c r="AB133" s="167"/>
      <c r="AC133" s="167"/>
      <c r="AD133" s="414"/>
      <c r="AE133" s="2364"/>
      <c r="AF133" s="412"/>
      <c r="AG133" s="166"/>
      <c r="AH133" s="166"/>
      <c r="AI133" s="166"/>
      <c r="AJ133" s="273"/>
      <c r="AK133" s="2365"/>
      <c r="AL133" s="412"/>
      <c r="AM133" s="166"/>
      <c r="AN133" s="167"/>
      <c r="AO133" s="167"/>
      <c r="AP133" s="414"/>
      <c r="AQ133" s="2366"/>
      <c r="AR133" s="412"/>
      <c r="AS133" s="166"/>
      <c r="AT133" s="166"/>
      <c r="AU133" s="166"/>
      <c r="AV133" s="273"/>
      <c r="AW133" s="2364"/>
      <c r="AX133" s="412"/>
      <c r="AY133" s="167"/>
      <c r="AZ133" s="167"/>
      <c r="BA133" s="167"/>
      <c r="BB133" s="273"/>
      <c r="BC133" s="2365"/>
      <c r="BD133" s="412"/>
      <c r="BE133" s="167"/>
      <c r="BF133" s="167"/>
      <c r="BG133" s="414"/>
      <c r="BH133" s="414"/>
      <c r="BI133" s="2364"/>
      <c r="BJ133" s="415"/>
      <c r="BK133" s="281"/>
      <c r="BL133" s="789">
        <f t="shared" si="35"/>
        <v>0</v>
      </c>
      <c r="BM133" s="1"/>
    </row>
    <row r="134" spans="1:65" ht="16.2" thickBot="1" x14ac:dyDescent="0.35">
      <c r="A134" s="531"/>
      <c r="B134" s="532"/>
      <c r="C134" s="533" t="s">
        <v>221</v>
      </c>
      <c r="D134" s="534" t="s">
        <v>209</v>
      </c>
      <c r="E134" s="535">
        <v>3.3</v>
      </c>
      <c r="F134" s="536">
        <v>1.2</v>
      </c>
      <c r="G134" s="385">
        <v>600</v>
      </c>
      <c r="H134" s="846">
        <f t="shared" si="31"/>
        <v>1980</v>
      </c>
      <c r="I134" s="385"/>
      <c r="J134" s="392">
        <v>0</v>
      </c>
      <c r="K134" s="365">
        <f t="shared" si="36"/>
        <v>-1980</v>
      </c>
      <c r="L134" s="365">
        <f t="shared" si="36"/>
        <v>-3960</v>
      </c>
      <c r="M134" s="365">
        <f t="shared" si="36"/>
        <v>-5940</v>
      </c>
      <c r="N134" s="365">
        <f t="shared" si="33"/>
        <v>-7920</v>
      </c>
      <c r="O134" s="365">
        <f t="shared" si="33"/>
        <v>-9900</v>
      </c>
      <c r="P134" s="365">
        <f t="shared" si="33"/>
        <v>-11880</v>
      </c>
      <c r="Q134" s="365">
        <f t="shared" si="34"/>
        <v>-13860</v>
      </c>
      <c r="R134" s="157">
        <f t="shared" si="34"/>
        <v>-15840</v>
      </c>
      <c r="S134" s="644">
        <f t="shared" si="34"/>
        <v>-17820</v>
      </c>
      <c r="T134" s="2383"/>
      <c r="U134" s="241"/>
      <c r="V134" s="241"/>
      <c r="W134" s="191"/>
      <c r="X134" s="247"/>
      <c r="Y134" s="2352"/>
      <c r="Z134" s="244"/>
      <c r="AA134" s="191"/>
      <c r="AB134" s="191"/>
      <c r="AC134" s="191"/>
      <c r="AD134" s="247"/>
      <c r="AE134" s="2353"/>
      <c r="AF134" s="387"/>
      <c r="AG134" s="244"/>
      <c r="AH134" s="244"/>
      <c r="AI134" s="244"/>
      <c r="AJ134" s="311"/>
      <c r="AK134" s="2354"/>
      <c r="AL134" s="387"/>
      <c r="AM134" s="244"/>
      <c r="AN134" s="191"/>
      <c r="AO134" s="191"/>
      <c r="AP134" s="247"/>
      <c r="AQ134" s="2355"/>
      <c r="AR134" s="387"/>
      <c r="AS134" s="244"/>
      <c r="AT134" s="244"/>
      <c r="AU134" s="244"/>
      <c r="AV134" s="311"/>
      <c r="AW134" s="2353"/>
      <c r="AX134" s="387"/>
      <c r="AY134" s="191"/>
      <c r="AZ134" s="191"/>
      <c r="BA134" s="191"/>
      <c r="BB134" s="311"/>
      <c r="BC134" s="2354"/>
      <c r="BD134" s="387"/>
      <c r="BE134" s="191"/>
      <c r="BF134" s="191"/>
      <c r="BG134" s="247"/>
      <c r="BH134" s="247"/>
      <c r="BI134" s="2353"/>
      <c r="BJ134" s="396"/>
      <c r="BK134" s="397"/>
      <c r="BL134" s="790">
        <f t="shared" si="35"/>
        <v>0</v>
      </c>
      <c r="BM134" s="1"/>
    </row>
    <row r="135" spans="1:65" ht="16.2" thickBot="1" x14ac:dyDescent="0.35">
      <c r="A135" s="537"/>
      <c r="B135" s="538"/>
      <c r="C135" s="539" t="s">
        <v>222</v>
      </c>
      <c r="D135" s="540" t="s">
        <v>209</v>
      </c>
      <c r="E135" s="535">
        <v>3.3</v>
      </c>
      <c r="F135" s="541"/>
      <c r="G135" s="375"/>
      <c r="H135" s="842">
        <f t="shared" si="31"/>
        <v>0</v>
      </c>
      <c r="I135" s="375"/>
      <c r="J135" s="362"/>
      <c r="K135" s="365">
        <f t="shared" si="36"/>
        <v>0</v>
      </c>
      <c r="L135" s="365">
        <f t="shared" si="36"/>
        <v>0</v>
      </c>
      <c r="M135" s="365">
        <f t="shared" si="36"/>
        <v>0</v>
      </c>
      <c r="N135" s="365">
        <f t="shared" si="33"/>
        <v>0</v>
      </c>
      <c r="O135" s="365">
        <f t="shared" si="33"/>
        <v>0</v>
      </c>
      <c r="P135" s="365">
        <f t="shared" si="33"/>
        <v>0</v>
      </c>
      <c r="Q135" s="365">
        <f t="shared" si="34"/>
        <v>0</v>
      </c>
      <c r="R135" s="139">
        <f t="shared" si="34"/>
        <v>0</v>
      </c>
      <c r="S135" s="330">
        <f t="shared" si="34"/>
        <v>0</v>
      </c>
      <c r="T135" s="2369"/>
      <c r="U135" s="142"/>
      <c r="V135" s="142"/>
      <c r="W135" s="32"/>
      <c r="X135" s="232"/>
      <c r="Y135" s="2067"/>
      <c r="Z135" s="41"/>
      <c r="AA135" s="32"/>
      <c r="AB135" s="32"/>
      <c r="AC135" s="32"/>
      <c r="AD135" s="232"/>
      <c r="AE135" s="666"/>
      <c r="AF135" s="402"/>
      <c r="AG135" s="41"/>
      <c r="AH135" s="41"/>
      <c r="AI135" s="41"/>
      <c r="AJ135" s="139"/>
      <c r="AK135" s="2361"/>
      <c r="AL135" s="402"/>
      <c r="AM135" s="41"/>
      <c r="AN135" s="32"/>
      <c r="AO135" s="32"/>
      <c r="AP135" s="232"/>
      <c r="AQ135" s="2066"/>
      <c r="AR135" s="402"/>
      <c r="AS135" s="41"/>
      <c r="AT135" s="41"/>
      <c r="AU135" s="41"/>
      <c r="AV135" s="139"/>
      <c r="AW135" s="666"/>
      <c r="AX135" s="402"/>
      <c r="AY135" s="32"/>
      <c r="AZ135" s="32"/>
      <c r="BA135" s="32"/>
      <c r="BB135" s="139"/>
      <c r="BC135" s="2361"/>
      <c r="BD135" s="402"/>
      <c r="BE135" s="32"/>
      <c r="BF135" s="32"/>
      <c r="BG135" s="232"/>
      <c r="BH135" s="232"/>
      <c r="BI135" s="666"/>
      <c r="BJ135" s="429"/>
      <c r="BK135" s="457"/>
      <c r="BL135" s="788">
        <f t="shared" si="35"/>
        <v>0</v>
      </c>
      <c r="BM135" s="1"/>
    </row>
    <row r="136" spans="1:65" ht="16.2" thickBot="1" x14ac:dyDescent="0.35">
      <c r="A136" s="542"/>
      <c r="B136" s="543"/>
      <c r="C136" s="544" t="s">
        <v>223</v>
      </c>
      <c r="D136" s="545" t="s">
        <v>209</v>
      </c>
      <c r="E136" s="546">
        <v>3.3</v>
      </c>
      <c r="F136" s="547"/>
      <c r="G136" s="458"/>
      <c r="H136" s="847">
        <f t="shared" si="31"/>
        <v>0</v>
      </c>
      <c r="I136" s="458"/>
      <c r="J136" s="459"/>
      <c r="K136" s="365">
        <f t="shared" si="36"/>
        <v>0</v>
      </c>
      <c r="L136" s="365">
        <f t="shared" si="36"/>
        <v>0</v>
      </c>
      <c r="M136" s="365">
        <f t="shared" si="36"/>
        <v>0</v>
      </c>
      <c r="N136" s="365">
        <f t="shared" si="33"/>
        <v>0</v>
      </c>
      <c r="O136" s="365">
        <f t="shared" si="33"/>
        <v>0</v>
      </c>
      <c r="P136" s="2384">
        <f t="shared" si="33"/>
        <v>0</v>
      </c>
      <c r="Q136" s="365">
        <f t="shared" si="34"/>
        <v>0</v>
      </c>
      <c r="R136" s="2385">
        <f t="shared" si="34"/>
        <v>0</v>
      </c>
      <c r="S136" s="211">
        <f t="shared" si="34"/>
        <v>0</v>
      </c>
      <c r="T136" s="2386"/>
      <c r="U136" s="2387"/>
      <c r="V136" s="2387"/>
      <c r="W136" s="2388"/>
      <c r="X136" s="2389"/>
      <c r="Y136" s="2390"/>
      <c r="Z136" s="463"/>
      <c r="AA136" s="461"/>
      <c r="AB136" s="461"/>
      <c r="AC136" s="461"/>
      <c r="AD136" s="466"/>
      <c r="AE136" s="2391"/>
      <c r="AF136" s="464"/>
      <c r="AG136" s="463"/>
      <c r="AH136" s="463"/>
      <c r="AI136" s="463"/>
      <c r="AJ136" s="2385"/>
      <c r="AK136" s="2392"/>
      <c r="AL136" s="464"/>
      <c r="AM136" s="463"/>
      <c r="AN136" s="461"/>
      <c r="AO136" s="461"/>
      <c r="AP136" s="466"/>
      <c r="AQ136" s="2393"/>
      <c r="AR136" s="464"/>
      <c r="AS136" s="463"/>
      <c r="AT136" s="463"/>
      <c r="AU136" s="463"/>
      <c r="AV136" s="2385"/>
      <c r="AW136" s="2391"/>
      <c r="AX136" s="464"/>
      <c r="AY136" s="461"/>
      <c r="AZ136" s="461"/>
      <c r="BA136" s="461"/>
      <c r="BB136" s="2385"/>
      <c r="BC136" s="2392"/>
      <c r="BD136" s="464"/>
      <c r="BE136" s="461"/>
      <c r="BF136" s="461"/>
      <c r="BG136" s="466"/>
      <c r="BH136" s="466"/>
      <c r="BI136" s="2391"/>
      <c r="BJ136" s="467"/>
      <c r="BK136" s="468"/>
      <c r="BL136" s="794">
        <f t="shared" si="35"/>
        <v>0</v>
      </c>
      <c r="BM136" s="1"/>
    </row>
    <row r="137" spans="1:65" ht="15" thickTop="1" x14ac:dyDescent="0.3">
      <c r="A137" s="1"/>
      <c r="B137" s="1"/>
      <c r="C137" s="1"/>
      <c r="D137" s="1"/>
      <c r="E137" s="1"/>
      <c r="F137" s="1"/>
      <c r="G137" s="1"/>
      <c r="H137" s="1"/>
      <c r="I137" s="857"/>
      <c r="J137" s="1"/>
      <c r="K137" s="1"/>
      <c r="L137" s="1"/>
      <c r="M137" s="469"/>
      <c r="N137" s="470"/>
      <c r="O137" s="1"/>
      <c r="P137" s="1"/>
      <c r="Q137" s="1"/>
      <c r="R137" s="1"/>
      <c r="S137" s="1"/>
      <c r="T137" s="1"/>
      <c r="U137" s="1"/>
      <c r="V137" s="1"/>
      <c r="W137" s="2394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</row>
    <row r="138" spans="1:65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</row>
    <row r="139" spans="1:65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</row>
    <row r="140" spans="1:65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</row>
  </sheetData>
  <mergeCells count="9">
    <mergeCell ref="A66:A67"/>
    <mergeCell ref="A9:D9"/>
    <mergeCell ref="A47:A49"/>
    <mergeCell ref="A50:A53"/>
    <mergeCell ref="A54:A56"/>
    <mergeCell ref="A57:A59"/>
    <mergeCell ref="B57:B59"/>
    <mergeCell ref="A60:A62"/>
    <mergeCell ref="B60:B62"/>
  </mergeCells>
  <pageMargins left="0.7" right="0.7" top="0.75" bottom="0.75" header="0.3" footer="0.3"/>
  <pageSetup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EC7D9-48DF-4AB2-820D-B940F084D9E1}">
  <sheetPr>
    <pageSetUpPr fitToPage="1"/>
  </sheetPr>
  <dimension ref="A1:AG46"/>
  <sheetViews>
    <sheetView topLeftCell="A2" zoomScaleNormal="100" workbookViewId="0">
      <pane xSplit="1" topLeftCell="B1" activePane="topRight" state="frozen"/>
      <selection pane="topRight" activeCell="B11" sqref="B11"/>
    </sheetView>
  </sheetViews>
  <sheetFormatPr defaultColWidth="9.109375" defaultRowHeight="14.4" x14ac:dyDescent="0.3"/>
  <cols>
    <col min="1" max="1" width="9.109375" style="549"/>
    <col min="2" max="2" width="41.5546875" style="549" bestFit="1" customWidth="1"/>
    <col min="3" max="3" width="4.88671875" style="549" customWidth="1"/>
    <col min="4" max="4" width="20.6640625" style="549" bestFit="1" customWidth="1"/>
    <col min="5" max="5" width="23" style="549" bestFit="1" customWidth="1"/>
    <col min="6" max="6" width="19.33203125" style="549" bestFit="1" customWidth="1"/>
    <col min="7" max="7" width="16.33203125" style="549" bestFit="1" customWidth="1"/>
    <col min="8" max="8" width="20.6640625" style="549" bestFit="1" customWidth="1"/>
    <col min="9" max="9" width="11.33203125" style="549" bestFit="1" customWidth="1"/>
    <col min="10" max="10" width="23" style="549" bestFit="1" customWidth="1"/>
    <col min="11" max="11" width="16.33203125" style="549" bestFit="1" customWidth="1"/>
    <col min="12" max="12" width="20.6640625" style="549" bestFit="1" customWidth="1"/>
    <col min="13" max="13" width="11.33203125" style="549" bestFit="1" customWidth="1"/>
    <col min="14" max="14" width="23" style="549" bestFit="1" customWidth="1"/>
    <col min="15" max="15" width="16.33203125" style="549" customWidth="1"/>
    <col min="16" max="16" width="20.6640625" style="549" bestFit="1" customWidth="1"/>
    <col min="17" max="17" width="11.33203125" style="549" bestFit="1" customWidth="1"/>
    <col min="18" max="18" width="23" style="549" bestFit="1" customWidth="1"/>
    <col min="19" max="19" width="16.33203125" style="549" customWidth="1"/>
    <col min="20" max="20" width="20.6640625" style="549" bestFit="1" customWidth="1"/>
    <col min="21" max="21" width="11.33203125" style="550" bestFit="1" customWidth="1"/>
    <col min="22" max="22" width="23" style="549" bestFit="1" customWidth="1"/>
    <col min="23" max="23" width="16.33203125" style="549" bestFit="1" customWidth="1"/>
    <col min="24" max="24" width="20.6640625" style="549" bestFit="1" customWidth="1"/>
    <col min="25" max="25" width="11.33203125" style="549" bestFit="1" customWidth="1"/>
    <col min="26" max="26" width="23" style="549" bestFit="1" customWidth="1"/>
    <col min="27" max="27" width="16.33203125" style="549" bestFit="1" customWidth="1"/>
    <col min="28" max="28" width="20.6640625" style="549" bestFit="1" customWidth="1"/>
    <col min="29" max="29" width="11.33203125" style="549" bestFit="1" customWidth="1"/>
    <col min="30" max="30" width="23" style="549" bestFit="1" customWidth="1"/>
    <col min="31" max="31" width="16.33203125" style="549" bestFit="1" customWidth="1"/>
    <col min="32" max="33" width="11.33203125" style="549" bestFit="1" customWidth="1"/>
    <col min="34" max="16384" width="9.109375" style="549"/>
  </cols>
  <sheetData>
    <row r="1" spans="1:33" ht="15" thickBot="1" x14ac:dyDescent="0.35">
      <c r="D1" s="2724" t="s">
        <v>277</v>
      </c>
      <c r="E1" s="2725"/>
      <c r="F1" s="2725"/>
      <c r="G1" s="2726"/>
      <c r="H1" s="2724" t="s">
        <v>277</v>
      </c>
      <c r="I1" s="2725"/>
      <c r="J1" s="2725"/>
      <c r="K1" s="2726"/>
      <c r="L1" s="2724" t="s">
        <v>277</v>
      </c>
      <c r="M1" s="2725"/>
      <c r="N1" s="2725"/>
      <c r="O1" s="2726"/>
      <c r="P1" s="2724" t="s">
        <v>277</v>
      </c>
      <c r="Q1" s="2725"/>
      <c r="R1" s="2725"/>
      <c r="S1" s="2726"/>
      <c r="T1" s="2724" t="s">
        <v>277</v>
      </c>
      <c r="U1" s="2725"/>
      <c r="V1" s="2725"/>
      <c r="W1" s="2726"/>
      <c r="X1" s="2724" t="s">
        <v>277</v>
      </c>
      <c r="Y1" s="2725"/>
      <c r="Z1" s="2725"/>
      <c r="AA1" s="2726"/>
      <c r="AB1" s="2724" t="s">
        <v>277</v>
      </c>
      <c r="AC1" s="2725"/>
      <c r="AD1" s="2725"/>
      <c r="AE1" s="2726"/>
    </row>
    <row r="2" spans="1:33" s="550" customFormat="1" ht="15" thickBot="1" x14ac:dyDescent="0.35">
      <c r="D2" s="572" t="s">
        <v>263</v>
      </c>
      <c r="E2" s="873"/>
      <c r="F2" s="550" t="s">
        <v>270</v>
      </c>
      <c r="G2" s="573"/>
      <c r="H2" s="572" t="s">
        <v>263</v>
      </c>
      <c r="I2" s="555"/>
      <c r="J2" s="550" t="s">
        <v>270</v>
      </c>
      <c r="K2" s="573"/>
      <c r="L2" s="572" t="s">
        <v>263</v>
      </c>
      <c r="M2" s="555"/>
      <c r="N2" s="550" t="s">
        <v>270</v>
      </c>
      <c r="O2" s="573"/>
      <c r="P2" s="572" t="s">
        <v>263</v>
      </c>
      <c r="Q2" s="555"/>
      <c r="R2" s="550" t="s">
        <v>270</v>
      </c>
      <c r="S2" s="573"/>
      <c r="T2" s="572" t="s">
        <v>263</v>
      </c>
      <c r="U2" s="555"/>
      <c r="V2" s="550" t="s">
        <v>270</v>
      </c>
      <c r="W2" s="573"/>
      <c r="X2" s="572" t="s">
        <v>263</v>
      </c>
      <c r="Y2" s="555"/>
      <c r="Z2" s="550" t="s">
        <v>270</v>
      </c>
      <c r="AA2" s="573"/>
      <c r="AB2" s="572" t="s">
        <v>263</v>
      </c>
      <c r="AC2" s="555"/>
      <c r="AD2" s="550" t="s">
        <v>270</v>
      </c>
      <c r="AE2" s="573"/>
    </row>
    <row r="3" spans="1:33" ht="15" thickBot="1" x14ac:dyDescent="0.35">
      <c r="D3" s="572" t="s">
        <v>276</v>
      </c>
      <c r="E3" s="873"/>
      <c r="F3" s="550" t="s">
        <v>271</v>
      </c>
      <c r="G3" s="579"/>
      <c r="H3" s="572" t="s">
        <v>276</v>
      </c>
      <c r="I3" s="555"/>
      <c r="J3" s="550" t="s">
        <v>271</v>
      </c>
      <c r="K3" s="579"/>
      <c r="L3" s="572" t="s">
        <v>276</v>
      </c>
      <c r="M3" s="555"/>
      <c r="N3" s="550" t="s">
        <v>271</v>
      </c>
      <c r="O3" s="579"/>
      <c r="P3" s="572" t="s">
        <v>276</v>
      </c>
      <c r="Q3" s="555"/>
      <c r="R3" s="550" t="s">
        <v>271</v>
      </c>
      <c r="S3" s="579"/>
      <c r="T3" s="572" t="s">
        <v>276</v>
      </c>
      <c r="U3" s="555"/>
      <c r="V3" s="550" t="s">
        <v>271</v>
      </c>
      <c r="W3" s="579"/>
      <c r="X3" s="572" t="s">
        <v>276</v>
      </c>
      <c r="Y3" s="555"/>
      <c r="Z3" s="550" t="s">
        <v>271</v>
      </c>
      <c r="AA3" s="579"/>
      <c r="AB3" s="572" t="s">
        <v>276</v>
      </c>
      <c r="AC3" s="555"/>
      <c r="AD3" s="550" t="s">
        <v>271</v>
      </c>
      <c r="AE3" s="579"/>
    </row>
    <row r="4" spans="1:33" s="550" customFormat="1" ht="15" thickBot="1" x14ac:dyDescent="0.35">
      <c r="D4" s="572" t="s">
        <v>269</v>
      </c>
      <c r="E4" s="874"/>
      <c r="F4" s="550" t="s">
        <v>272</v>
      </c>
      <c r="G4" s="579"/>
      <c r="H4" s="572" t="s">
        <v>269</v>
      </c>
      <c r="I4" s="555"/>
      <c r="J4" s="550" t="s">
        <v>272</v>
      </c>
      <c r="K4" s="579"/>
      <c r="L4" s="572" t="s">
        <v>269</v>
      </c>
      <c r="M4" s="555"/>
      <c r="N4" s="550" t="s">
        <v>272</v>
      </c>
      <c r="O4" s="579"/>
      <c r="P4" s="572" t="s">
        <v>269</v>
      </c>
      <c r="Q4" s="555"/>
      <c r="R4" s="550" t="s">
        <v>272</v>
      </c>
      <c r="S4" s="579"/>
      <c r="T4" s="572" t="s">
        <v>269</v>
      </c>
      <c r="U4" s="555"/>
      <c r="V4" s="550" t="s">
        <v>272</v>
      </c>
      <c r="W4" s="579"/>
      <c r="X4" s="572" t="s">
        <v>269</v>
      </c>
      <c r="Y4" s="555"/>
      <c r="Z4" s="550" t="s">
        <v>272</v>
      </c>
      <c r="AA4" s="579"/>
      <c r="AB4" s="572" t="s">
        <v>269</v>
      </c>
      <c r="AC4" s="555"/>
      <c r="AD4" s="550" t="s">
        <v>272</v>
      </c>
      <c r="AE4" s="579"/>
    </row>
    <row r="5" spans="1:33" ht="15" thickBot="1" x14ac:dyDescent="0.35">
      <c r="D5" s="572" t="s">
        <v>275</v>
      </c>
      <c r="E5" s="555"/>
      <c r="F5" s="550" t="s">
        <v>278</v>
      </c>
      <c r="G5" s="579"/>
      <c r="H5" s="572" t="s">
        <v>275</v>
      </c>
      <c r="I5" s="555"/>
      <c r="J5" s="550" t="s">
        <v>278</v>
      </c>
      <c r="K5" s="579"/>
      <c r="L5" s="572" t="s">
        <v>275</v>
      </c>
      <c r="M5" s="555"/>
      <c r="N5" s="550" t="s">
        <v>278</v>
      </c>
      <c r="O5" s="579"/>
      <c r="P5" s="572" t="s">
        <v>275</v>
      </c>
      <c r="Q5" s="555"/>
      <c r="R5" s="550" t="s">
        <v>278</v>
      </c>
      <c r="S5" s="579"/>
      <c r="T5" s="572" t="s">
        <v>275</v>
      </c>
      <c r="U5" s="555"/>
      <c r="V5" s="550" t="s">
        <v>278</v>
      </c>
      <c r="W5" s="579"/>
      <c r="X5" s="572" t="s">
        <v>275</v>
      </c>
      <c r="Y5" s="555"/>
      <c r="Z5" s="550" t="s">
        <v>278</v>
      </c>
      <c r="AA5" s="579"/>
      <c r="AB5" s="572" t="s">
        <v>275</v>
      </c>
      <c r="AC5" s="555"/>
      <c r="AD5" s="550" t="s">
        <v>278</v>
      </c>
      <c r="AE5" s="579"/>
    </row>
    <row r="6" spans="1:33" ht="15" thickBot="1" x14ac:dyDescent="0.35">
      <c r="B6" s="550"/>
      <c r="D6" s="572" t="s">
        <v>274</v>
      </c>
      <c r="E6" s="555"/>
      <c r="F6" s="550" t="s">
        <v>273</v>
      </c>
      <c r="G6" s="579"/>
      <c r="H6" s="572" t="s">
        <v>274</v>
      </c>
      <c r="I6" s="555"/>
      <c r="J6" s="550" t="s">
        <v>273</v>
      </c>
      <c r="K6" s="579"/>
      <c r="L6" s="572" t="s">
        <v>274</v>
      </c>
      <c r="M6" s="555"/>
      <c r="N6" s="550" t="s">
        <v>273</v>
      </c>
      <c r="O6" s="579"/>
      <c r="P6" s="572" t="s">
        <v>274</v>
      </c>
      <c r="Q6" s="555"/>
      <c r="R6" s="550" t="s">
        <v>273</v>
      </c>
      <c r="S6" s="579"/>
      <c r="T6" s="572" t="s">
        <v>274</v>
      </c>
      <c r="U6" s="555"/>
      <c r="V6" s="550" t="s">
        <v>273</v>
      </c>
      <c r="W6" s="579"/>
      <c r="X6" s="572" t="s">
        <v>274</v>
      </c>
      <c r="Y6" s="555"/>
      <c r="Z6" s="550" t="s">
        <v>273</v>
      </c>
      <c r="AA6" s="579"/>
      <c r="AB6" s="572" t="s">
        <v>274</v>
      </c>
      <c r="AC6" s="555"/>
      <c r="AD6" s="550" t="s">
        <v>273</v>
      </c>
      <c r="AE6" s="579"/>
    </row>
    <row r="7" spans="1:33" ht="15" thickBot="1" x14ac:dyDescent="0.35">
      <c r="B7" s="581"/>
      <c r="D7" s="572" t="s">
        <v>279</v>
      </c>
      <c r="E7" s="555"/>
      <c r="F7" s="550" t="s">
        <v>280</v>
      </c>
      <c r="G7" s="579"/>
      <c r="H7" s="572" t="s">
        <v>279</v>
      </c>
      <c r="I7" s="555"/>
      <c r="J7" s="550" t="s">
        <v>280</v>
      </c>
      <c r="K7" s="579"/>
      <c r="L7" s="572" t="s">
        <v>279</v>
      </c>
      <c r="M7" s="555"/>
      <c r="N7" s="550" t="s">
        <v>280</v>
      </c>
      <c r="O7" s="579"/>
      <c r="P7" s="572" t="s">
        <v>279</v>
      </c>
      <c r="Q7" s="555"/>
      <c r="R7" s="550" t="s">
        <v>280</v>
      </c>
      <c r="S7" s="579"/>
      <c r="T7" s="572" t="s">
        <v>279</v>
      </c>
      <c r="U7" s="555"/>
      <c r="V7" s="550" t="s">
        <v>280</v>
      </c>
      <c r="W7" s="579"/>
      <c r="X7" s="572" t="s">
        <v>279</v>
      </c>
      <c r="Y7" s="555"/>
      <c r="Z7" s="550" t="s">
        <v>280</v>
      </c>
      <c r="AA7" s="579"/>
      <c r="AB7" s="572" t="s">
        <v>279</v>
      </c>
      <c r="AC7" s="555"/>
      <c r="AD7" s="550" t="s">
        <v>280</v>
      </c>
      <c r="AE7" s="579"/>
    </row>
    <row r="8" spans="1:33" ht="15" thickBot="1" x14ac:dyDescent="0.35">
      <c r="B8" s="574"/>
      <c r="D8" s="575"/>
      <c r="E8" s="576"/>
      <c r="F8" s="576"/>
      <c r="G8" s="577"/>
      <c r="H8" s="575"/>
      <c r="I8" s="576"/>
      <c r="J8" s="576"/>
      <c r="K8" s="577"/>
      <c r="L8" s="575"/>
      <c r="M8" s="576"/>
      <c r="N8" s="576"/>
      <c r="O8" s="577"/>
      <c r="P8" s="575"/>
      <c r="Q8" s="576"/>
      <c r="R8" s="576"/>
      <c r="S8" s="577"/>
      <c r="T8" s="575"/>
      <c r="U8" s="576"/>
      <c r="V8" s="576"/>
      <c r="W8" s="577"/>
      <c r="X8" s="575"/>
      <c r="Y8" s="576"/>
      <c r="Z8" s="576"/>
      <c r="AA8" s="577"/>
      <c r="AB8" s="575"/>
      <c r="AC8" s="576"/>
      <c r="AD8" s="576"/>
      <c r="AE8" s="577"/>
    </row>
    <row r="9" spans="1:33" s="550" customFormat="1" ht="14.4" customHeight="1" thickBot="1" x14ac:dyDescent="0.35">
      <c r="A9" s="550" t="s">
        <v>31</v>
      </c>
      <c r="B9" s="2722" t="s">
        <v>30</v>
      </c>
      <c r="C9" s="561"/>
      <c r="D9" s="2724" t="s">
        <v>38</v>
      </c>
      <c r="E9" s="2725"/>
      <c r="F9" s="2725"/>
      <c r="G9" s="2726"/>
      <c r="H9" s="2724" t="s">
        <v>45</v>
      </c>
      <c r="I9" s="2725"/>
      <c r="J9" s="2725"/>
      <c r="K9" s="2726"/>
      <c r="L9" s="2724" t="s">
        <v>40</v>
      </c>
      <c r="M9" s="2725"/>
      <c r="N9" s="2725"/>
      <c r="O9" s="2726"/>
      <c r="P9" s="2724" t="s">
        <v>41</v>
      </c>
      <c r="Q9" s="2725"/>
      <c r="R9" s="2725"/>
      <c r="S9" s="2726"/>
      <c r="T9" s="2724" t="s">
        <v>42</v>
      </c>
      <c r="U9" s="2725"/>
      <c r="V9" s="2725"/>
      <c r="W9" s="2726"/>
      <c r="X9" s="2724" t="s">
        <v>43</v>
      </c>
      <c r="Y9" s="2725"/>
      <c r="Z9" s="2725"/>
      <c r="AA9" s="2726"/>
      <c r="AB9" s="2724" t="s">
        <v>44</v>
      </c>
      <c r="AC9" s="2725"/>
      <c r="AD9" s="2725"/>
      <c r="AE9" s="2726"/>
      <c r="AF9" s="2725" t="s">
        <v>261</v>
      </c>
      <c r="AG9" s="2726"/>
    </row>
    <row r="10" spans="1:33" s="550" customFormat="1" ht="15" thickBot="1" x14ac:dyDescent="0.35">
      <c r="B10" s="2723"/>
      <c r="C10" s="561"/>
      <c r="D10" s="569" t="s">
        <v>224</v>
      </c>
      <c r="E10" s="570" t="s">
        <v>264</v>
      </c>
      <c r="F10" s="570" t="s">
        <v>259</v>
      </c>
      <c r="G10" s="563" t="s">
        <v>260</v>
      </c>
      <c r="H10" s="569" t="s">
        <v>224</v>
      </c>
      <c r="I10" s="570" t="s">
        <v>264</v>
      </c>
      <c r="J10" s="570" t="s">
        <v>259</v>
      </c>
      <c r="K10" s="563" t="s">
        <v>260</v>
      </c>
      <c r="L10" s="569" t="s">
        <v>224</v>
      </c>
      <c r="M10" s="570" t="s">
        <v>264</v>
      </c>
      <c r="N10" s="570" t="s">
        <v>259</v>
      </c>
      <c r="O10" s="563" t="s">
        <v>260</v>
      </c>
      <c r="P10" s="569" t="s">
        <v>224</v>
      </c>
      <c r="Q10" s="570" t="s">
        <v>264</v>
      </c>
      <c r="R10" s="570" t="s">
        <v>259</v>
      </c>
      <c r="S10" s="563" t="s">
        <v>260</v>
      </c>
      <c r="T10" s="569" t="s">
        <v>224</v>
      </c>
      <c r="U10" s="570" t="s">
        <v>264</v>
      </c>
      <c r="V10" s="570" t="s">
        <v>259</v>
      </c>
      <c r="W10" s="563" t="s">
        <v>260</v>
      </c>
      <c r="X10" s="569" t="s">
        <v>224</v>
      </c>
      <c r="Y10" s="570" t="s">
        <v>264</v>
      </c>
      <c r="Z10" s="570" t="s">
        <v>259</v>
      </c>
      <c r="AA10" s="563" t="s">
        <v>260</v>
      </c>
      <c r="AB10" s="569" t="s">
        <v>224</v>
      </c>
      <c r="AC10" s="570" t="s">
        <v>264</v>
      </c>
      <c r="AD10" s="570" t="s">
        <v>259</v>
      </c>
      <c r="AE10" s="563" t="s">
        <v>260</v>
      </c>
      <c r="AF10" s="571" t="s">
        <v>264</v>
      </c>
      <c r="AG10" s="563" t="s">
        <v>262</v>
      </c>
    </row>
    <row r="11" spans="1:33" x14ac:dyDescent="0.3">
      <c r="B11" s="859" t="s">
        <v>73</v>
      </c>
      <c r="D11" s="551" t="s">
        <v>11</v>
      </c>
      <c r="E11" s="2395">
        <f>'[2]Porta Wk 34'!T28</f>
        <v>3000</v>
      </c>
      <c r="F11" s="858"/>
      <c r="G11" s="552"/>
      <c r="H11" s="551"/>
      <c r="I11" s="562"/>
      <c r="J11" s="562"/>
      <c r="K11" s="552"/>
      <c r="L11" s="551"/>
      <c r="M11" s="562"/>
      <c r="N11" s="562"/>
      <c r="O11" s="552"/>
      <c r="P11" s="551"/>
      <c r="Q11" s="562"/>
      <c r="R11" s="562"/>
      <c r="S11" s="552"/>
      <c r="T11" s="551" t="s">
        <v>534</v>
      </c>
      <c r="U11" s="562">
        <v>3000</v>
      </c>
      <c r="V11" s="562"/>
      <c r="W11" s="552"/>
      <c r="X11" s="551"/>
      <c r="Y11" s="562"/>
      <c r="Z11" s="562"/>
      <c r="AA11" s="552"/>
      <c r="AB11" s="551"/>
      <c r="AC11" s="562"/>
      <c r="AD11" s="562"/>
      <c r="AE11" s="552"/>
      <c r="AF11" s="578">
        <f>SUM(E11,I11,M11,Q11,U11,Y11,AC11)</f>
        <v>6000</v>
      </c>
      <c r="AG11" s="567">
        <f>SUM(F11,J11,N11,R11,V11,Z11,AD11)</f>
        <v>0</v>
      </c>
    </row>
    <row r="12" spans="1:33" x14ac:dyDescent="0.3">
      <c r="B12" s="860" t="s">
        <v>74</v>
      </c>
      <c r="D12" s="553"/>
      <c r="E12" s="2395">
        <f>'[2]Porta Wk 34'!T29</f>
        <v>0</v>
      </c>
      <c r="F12" s="556"/>
      <c r="G12" s="554"/>
      <c r="H12" s="553" t="s">
        <v>535</v>
      </c>
      <c r="I12" s="562">
        <f>'[2]Porta Wk 34'!Z29</f>
        <v>0</v>
      </c>
      <c r="J12" s="556"/>
      <c r="K12" s="554"/>
      <c r="L12" s="553"/>
      <c r="M12" s="562"/>
      <c r="N12" s="556"/>
      <c r="O12" s="554"/>
      <c r="P12" s="553"/>
      <c r="Q12" s="556"/>
      <c r="R12" s="556"/>
      <c r="S12" s="554"/>
      <c r="T12" s="551" t="s">
        <v>534</v>
      </c>
      <c r="U12" s="556">
        <v>3000</v>
      </c>
      <c r="V12" s="556"/>
      <c r="W12" s="554"/>
      <c r="X12" s="553" t="s">
        <v>534</v>
      </c>
      <c r="Y12" s="562"/>
      <c r="Z12" s="556"/>
      <c r="AA12" s="554"/>
      <c r="AB12" s="553"/>
      <c r="AC12" s="562"/>
      <c r="AD12" s="556"/>
      <c r="AE12" s="554"/>
      <c r="AF12" s="578">
        <f t="shared" ref="AF12:AG40" si="0">SUM(E12,I12,M12,Q12,U12,Y12,AC12)</f>
        <v>3000</v>
      </c>
      <c r="AG12" s="567">
        <f t="shared" si="0"/>
        <v>0</v>
      </c>
    </row>
    <row r="13" spans="1:33" x14ac:dyDescent="0.3">
      <c r="B13" s="860" t="s">
        <v>76</v>
      </c>
      <c r="D13" s="553"/>
      <c r="E13" s="2395">
        <f>'[2]Porta Wk 34'!T30</f>
        <v>0</v>
      </c>
      <c r="F13" s="556"/>
      <c r="G13" s="554"/>
      <c r="H13" s="553"/>
      <c r="I13" s="562"/>
      <c r="J13" s="556"/>
      <c r="K13" s="554"/>
      <c r="L13" s="553"/>
      <c r="M13" s="562"/>
      <c r="N13" s="556"/>
      <c r="O13" s="554"/>
      <c r="P13" s="553" t="s">
        <v>534</v>
      </c>
      <c r="Q13" s="556">
        <v>3000</v>
      </c>
      <c r="R13" s="556"/>
      <c r="S13" s="554"/>
      <c r="T13" s="553"/>
      <c r="U13" s="556"/>
      <c r="V13" s="556"/>
      <c r="W13" s="554"/>
      <c r="X13" s="553"/>
      <c r="Y13" s="562"/>
      <c r="Z13" s="556"/>
      <c r="AA13" s="554"/>
      <c r="AB13" s="553"/>
      <c r="AC13" s="562"/>
      <c r="AD13" s="556"/>
      <c r="AE13" s="554"/>
      <c r="AF13" s="578">
        <f t="shared" si="0"/>
        <v>3000</v>
      </c>
      <c r="AG13" s="567">
        <f t="shared" si="0"/>
        <v>0</v>
      </c>
    </row>
    <row r="14" spans="1:33" x14ac:dyDescent="0.3">
      <c r="B14" s="860" t="s">
        <v>536</v>
      </c>
      <c r="D14" s="553"/>
      <c r="E14" s="2395">
        <f>'[2]Porta Wk 34'!V34</f>
        <v>0</v>
      </c>
      <c r="F14" s="556"/>
      <c r="G14" s="554"/>
      <c r="H14" s="553" t="s">
        <v>537</v>
      </c>
      <c r="I14" s="562">
        <f>'[2]Porta Wk 34'!AB34</f>
        <v>3000</v>
      </c>
      <c r="J14" s="556"/>
      <c r="K14" s="554"/>
      <c r="L14" s="553"/>
      <c r="M14" s="562"/>
      <c r="N14" s="556"/>
      <c r="O14" s="554"/>
      <c r="P14" s="553"/>
      <c r="Q14" s="556"/>
      <c r="R14" s="556"/>
      <c r="S14" s="554"/>
      <c r="T14" s="553"/>
      <c r="U14" s="556"/>
      <c r="V14" s="556"/>
      <c r="W14" s="554"/>
      <c r="X14" s="553"/>
      <c r="Y14" s="562"/>
      <c r="Z14" s="556"/>
      <c r="AA14" s="554"/>
      <c r="AB14" s="553" t="s">
        <v>537</v>
      </c>
      <c r="AC14" s="562">
        <v>3000</v>
      </c>
      <c r="AD14" s="556"/>
      <c r="AE14" s="554"/>
      <c r="AF14" s="578">
        <f t="shared" si="0"/>
        <v>6000</v>
      </c>
      <c r="AG14" s="567">
        <f t="shared" si="0"/>
        <v>0</v>
      </c>
    </row>
    <row r="15" spans="1:33" x14ac:dyDescent="0.3">
      <c r="B15" s="860" t="s">
        <v>359</v>
      </c>
      <c r="D15" s="553" t="s">
        <v>104</v>
      </c>
      <c r="E15" s="2395">
        <f>'[2]Porta Wk 34'!V49</f>
        <v>3000</v>
      </c>
      <c r="F15" s="556"/>
      <c r="G15" s="554"/>
      <c r="H15" s="553"/>
      <c r="I15" s="562"/>
      <c r="J15" s="556"/>
      <c r="K15" s="554"/>
      <c r="L15" s="553"/>
      <c r="M15" s="562"/>
      <c r="N15" s="556"/>
      <c r="O15" s="554"/>
      <c r="P15" s="553"/>
      <c r="Q15" s="556"/>
      <c r="R15" s="556"/>
      <c r="S15" s="554"/>
      <c r="T15" s="553" t="s">
        <v>538</v>
      </c>
      <c r="U15" s="556">
        <v>3000</v>
      </c>
      <c r="V15" s="556"/>
      <c r="W15" s="554"/>
      <c r="X15" s="553"/>
      <c r="Y15" s="562"/>
      <c r="Z15" s="556"/>
      <c r="AA15" s="554"/>
      <c r="AB15" s="553"/>
      <c r="AC15" s="562"/>
      <c r="AD15" s="556"/>
      <c r="AE15" s="554"/>
      <c r="AF15" s="578">
        <f t="shared" si="0"/>
        <v>6000</v>
      </c>
      <c r="AG15" s="567">
        <f t="shared" si="0"/>
        <v>0</v>
      </c>
    </row>
    <row r="16" spans="1:33" x14ac:dyDescent="0.3">
      <c r="B16" s="860" t="s">
        <v>360</v>
      </c>
      <c r="D16" s="553"/>
      <c r="E16" s="858"/>
      <c r="F16" s="556"/>
      <c r="G16" s="554"/>
      <c r="H16" s="553"/>
      <c r="I16" s="562"/>
      <c r="J16" s="556"/>
      <c r="K16" s="554"/>
      <c r="L16" s="553"/>
      <c r="M16" s="562"/>
      <c r="N16" s="556"/>
      <c r="O16" s="554"/>
      <c r="P16" s="553" t="s">
        <v>103</v>
      </c>
      <c r="Q16" s="556">
        <v>3000</v>
      </c>
      <c r="R16" s="556"/>
      <c r="S16" s="554"/>
      <c r="T16" s="553"/>
      <c r="U16" s="556"/>
      <c r="V16" s="556"/>
      <c r="W16" s="554"/>
      <c r="X16" s="553"/>
      <c r="Y16" s="556"/>
      <c r="Z16" s="556"/>
      <c r="AA16" s="554"/>
      <c r="AB16" s="553" t="s">
        <v>103</v>
      </c>
      <c r="AC16" s="562">
        <v>3000</v>
      </c>
      <c r="AD16" s="556"/>
      <c r="AE16" s="554"/>
      <c r="AF16" s="578">
        <f t="shared" si="0"/>
        <v>6000</v>
      </c>
      <c r="AG16" s="567">
        <f t="shared" si="0"/>
        <v>0</v>
      </c>
    </row>
    <row r="17" spans="1:33" x14ac:dyDescent="0.3">
      <c r="B17" s="860" t="s">
        <v>358</v>
      </c>
      <c r="D17" s="553"/>
      <c r="E17" s="556"/>
      <c r="F17" s="556"/>
      <c r="G17" s="554"/>
      <c r="H17" s="553" t="s">
        <v>80</v>
      </c>
      <c r="I17" s="562">
        <f>'[2]Porta Wk 34'!AA36</f>
        <v>3000</v>
      </c>
      <c r="J17" s="556"/>
      <c r="K17" s="554"/>
      <c r="L17" s="553"/>
      <c r="M17" s="562"/>
      <c r="N17" s="556"/>
      <c r="O17" s="554"/>
      <c r="P17" s="553"/>
      <c r="Q17" s="556"/>
      <c r="R17" s="556"/>
      <c r="S17" s="554"/>
      <c r="T17" s="553"/>
      <c r="U17" s="556"/>
      <c r="V17" s="556"/>
      <c r="W17" s="554"/>
      <c r="X17" s="553" t="s">
        <v>539</v>
      </c>
      <c r="Y17" s="556">
        <v>3000</v>
      </c>
      <c r="Z17" s="556"/>
      <c r="AA17" s="554"/>
      <c r="AB17" s="553"/>
      <c r="AC17" s="562"/>
      <c r="AD17" s="556"/>
      <c r="AE17" s="554"/>
      <c r="AF17" s="578">
        <f t="shared" si="0"/>
        <v>6000</v>
      </c>
      <c r="AG17" s="567">
        <f t="shared" si="0"/>
        <v>0</v>
      </c>
    </row>
    <row r="18" spans="1:33" x14ac:dyDescent="0.3">
      <c r="B18" s="860" t="s">
        <v>240</v>
      </c>
      <c r="D18" s="553"/>
      <c r="E18" s="556"/>
      <c r="F18" s="556"/>
      <c r="G18" s="554"/>
      <c r="H18" s="553"/>
      <c r="I18" s="562"/>
      <c r="J18" s="556"/>
      <c r="K18" s="554"/>
      <c r="L18" s="553"/>
      <c r="M18" s="562"/>
      <c r="N18" s="556"/>
      <c r="O18" s="554"/>
      <c r="P18" s="553"/>
      <c r="Q18" s="556"/>
      <c r="R18" s="556"/>
      <c r="S18" s="554"/>
      <c r="T18" s="553"/>
      <c r="U18" s="556"/>
      <c r="V18" s="556"/>
      <c r="W18" s="554"/>
      <c r="X18" s="553"/>
      <c r="Y18" s="556"/>
      <c r="Z18" s="556"/>
      <c r="AA18" s="554"/>
      <c r="AB18" s="553"/>
      <c r="AC18" s="556"/>
      <c r="AD18" s="556"/>
      <c r="AE18" s="554"/>
      <c r="AF18" s="578">
        <f t="shared" si="0"/>
        <v>0</v>
      </c>
      <c r="AG18" s="567">
        <f t="shared" si="0"/>
        <v>0</v>
      </c>
    </row>
    <row r="19" spans="1:33" x14ac:dyDescent="0.3">
      <c r="A19" s="549" t="s">
        <v>540</v>
      </c>
      <c r="B19" s="860" t="s">
        <v>138</v>
      </c>
      <c r="D19" s="553"/>
      <c r="E19" s="556"/>
      <c r="F19" s="556"/>
      <c r="G19" s="554"/>
      <c r="H19" s="553"/>
      <c r="I19" s="562">
        <f>'[2]Porta Wk 34'!AA85</f>
        <v>0</v>
      </c>
      <c r="J19" s="556"/>
      <c r="K19" s="554"/>
      <c r="L19" s="553" t="s">
        <v>470</v>
      </c>
      <c r="M19" s="556">
        <f>'[2]Porta Wk 34'!AG85</f>
        <v>3000</v>
      </c>
      <c r="N19" s="556"/>
      <c r="O19" s="554"/>
      <c r="P19" s="553"/>
      <c r="Q19" s="556">
        <f>'[2]Porta Wk 34'!AM85</f>
        <v>0</v>
      </c>
      <c r="R19" s="556"/>
      <c r="S19" s="554"/>
      <c r="T19" s="553"/>
      <c r="U19" s="556">
        <f>'[2]Porta Wk 34'!AS85</f>
        <v>0</v>
      </c>
      <c r="V19" s="556"/>
      <c r="W19" s="554"/>
      <c r="X19" s="553"/>
      <c r="Y19" s="556">
        <f>'[2]Porta Wk 34'!AZ85</f>
        <v>0</v>
      </c>
      <c r="Z19" s="556"/>
      <c r="AA19" s="554"/>
      <c r="AB19" s="553"/>
      <c r="AC19" s="556">
        <f>'[2]Porta Wk 34'!BE85</f>
        <v>0</v>
      </c>
      <c r="AD19" s="556"/>
      <c r="AE19" s="554"/>
      <c r="AF19" s="578">
        <f t="shared" si="0"/>
        <v>3000</v>
      </c>
      <c r="AG19" s="567">
        <f t="shared" si="0"/>
        <v>0</v>
      </c>
    </row>
    <row r="20" spans="1:33" x14ac:dyDescent="0.3">
      <c r="A20" s="549" t="s">
        <v>541</v>
      </c>
      <c r="B20" s="860" t="s">
        <v>140</v>
      </c>
      <c r="D20" s="553"/>
      <c r="E20" s="556">
        <f>'[2]Porta Wk 34'!V86</f>
        <v>0</v>
      </c>
      <c r="F20" s="556"/>
      <c r="G20" s="554"/>
      <c r="H20" s="553" t="s">
        <v>14</v>
      </c>
      <c r="I20" s="562">
        <f>'[2]Porta Wk 34'!AB86</f>
        <v>3000</v>
      </c>
      <c r="J20" s="556"/>
      <c r="K20" s="554"/>
      <c r="L20" s="553"/>
      <c r="M20" s="556">
        <f>'[2]Porta Wk 34'!AH86</f>
        <v>0</v>
      </c>
      <c r="N20" s="556"/>
      <c r="O20" s="554"/>
      <c r="P20" s="553"/>
      <c r="Q20" s="556">
        <f>'[2]Porta Wk 34'!AN86</f>
        <v>0</v>
      </c>
      <c r="R20" s="556"/>
      <c r="S20" s="554"/>
      <c r="T20" s="553" t="s">
        <v>14</v>
      </c>
      <c r="U20" s="556">
        <f>'[2]Porta Wk 34'!AT86</f>
        <v>3000</v>
      </c>
      <c r="V20" s="556"/>
      <c r="W20" s="554"/>
      <c r="X20" s="553"/>
      <c r="Y20" s="556">
        <f>'[2]Porta Wk 34'!AZ86</f>
        <v>0</v>
      </c>
      <c r="Z20" s="556"/>
      <c r="AA20" s="554"/>
      <c r="AB20" s="553"/>
      <c r="AC20" s="556">
        <f>'[2]Porta Wk 34'!BF86</f>
        <v>0</v>
      </c>
      <c r="AD20" s="556"/>
      <c r="AE20" s="554"/>
      <c r="AF20" s="578">
        <f t="shared" si="0"/>
        <v>6000</v>
      </c>
      <c r="AG20" s="567">
        <f t="shared" si="0"/>
        <v>0</v>
      </c>
    </row>
    <row r="21" spans="1:33" x14ac:dyDescent="0.3">
      <c r="A21" s="549" t="s">
        <v>542</v>
      </c>
      <c r="B21" s="860" t="s">
        <v>141</v>
      </c>
      <c r="D21" s="553"/>
      <c r="E21" s="556">
        <f>'[2]Porta Wk 34'!V87</f>
        <v>0</v>
      </c>
      <c r="F21" s="556"/>
      <c r="G21" s="554"/>
      <c r="H21" s="553"/>
      <c r="I21" s="562">
        <f>'[2]Porta Wk 34'!AB87</f>
        <v>0</v>
      </c>
      <c r="J21" s="556"/>
      <c r="K21" s="554"/>
      <c r="L21" s="553"/>
      <c r="M21" s="556">
        <f>'[2]Porta Wk 34'!AH87</f>
        <v>0</v>
      </c>
      <c r="N21" s="556"/>
      <c r="O21" s="554"/>
      <c r="P21" s="553"/>
      <c r="Q21" s="556">
        <f>'[2]Porta Wk 34'!AN87</f>
        <v>0</v>
      </c>
      <c r="R21" s="556"/>
      <c r="S21" s="554"/>
      <c r="T21" s="553"/>
      <c r="U21" s="556">
        <f>'[2]Porta Wk 34'!AT87</f>
        <v>0</v>
      </c>
      <c r="V21" s="556"/>
      <c r="W21" s="554"/>
      <c r="X21" s="553" t="s">
        <v>14</v>
      </c>
      <c r="Y21" s="556">
        <f>'[2]Porta Wk 34'!AZ87</f>
        <v>3000</v>
      </c>
      <c r="Z21" s="556"/>
      <c r="AA21" s="554"/>
      <c r="AB21" s="553"/>
      <c r="AC21" s="556">
        <f>'[2]Porta Wk 34'!BF87</f>
        <v>0</v>
      </c>
      <c r="AD21" s="556"/>
      <c r="AE21" s="554"/>
      <c r="AF21" s="578">
        <f t="shared" si="0"/>
        <v>3000</v>
      </c>
      <c r="AG21" s="567">
        <f t="shared" si="0"/>
        <v>0</v>
      </c>
    </row>
    <row r="22" spans="1:33" x14ac:dyDescent="0.3">
      <c r="A22" s="549" t="s">
        <v>543</v>
      </c>
      <c r="B22" s="860" t="s">
        <v>142</v>
      </c>
      <c r="D22" s="553"/>
      <c r="E22" s="556">
        <f>'[2]Porta Wk 34'!V88</f>
        <v>0</v>
      </c>
      <c r="F22" s="556"/>
      <c r="G22" s="554"/>
      <c r="H22" s="553"/>
      <c r="I22" s="562">
        <f>'[2]Porta Wk 34'!AB88</f>
        <v>0</v>
      </c>
      <c r="J22" s="556"/>
      <c r="K22" s="554"/>
      <c r="L22" s="553"/>
      <c r="M22" s="556">
        <f>'[2]Porta Wk 34'!AH88</f>
        <v>0</v>
      </c>
      <c r="N22" s="556"/>
      <c r="O22" s="554"/>
      <c r="P22" s="553"/>
      <c r="Q22" s="556">
        <f>'[2]Porta Wk 34'!AO88</f>
        <v>0</v>
      </c>
      <c r="R22" s="556"/>
      <c r="S22" s="554"/>
      <c r="T22" s="553"/>
      <c r="U22" s="556">
        <f>'[2]Porta Wk 34'!AU88</f>
        <v>0</v>
      </c>
      <c r="V22" s="556"/>
      <c r="W22" s="554"/>
      <c r="X22" s="553"/>
      <c r="Y22" s="556">
        <f>'[2]Porta Wk 34'!AZ88</f>
        <v>0</v>
      </c>
      <c r="Z22" s="556"/>
      <c r="AA22" s="554"/>
      <c r="AB22" s="553" t="s">
        <v>544</v>
      </c>
      <c r="AC22" s="556">
        <f>'[2]Porta Wk 34'!BG88</f>
        <v>3000</v>
      </c>
      <c r="AD22" s="556"/>
      <c r="AE22" s="554"/>
      <c r="AF22" s="578">
        <f t="shared" si="0"/>
        <v>3000</v>
      </c>
      <c r="AG22" s="567">
        <f t="shared" si="0"/>
        <v>0</v>
      </c>
    </row>
    <row r="23" spans="1:33" x14ac:dyDescent="0.3">
      <c r="A23" s="549" t="s">
        <v>545</v>
      </c>
      <c r="B23" s="860" t="s">
        <v>22</v>
      </c>
      <c r="D23" s="553"/>
      <c r="E23" s="556">
        <f>'[2]Porta Wk 34'!W89</f>
        <v>0</v>
      </c>
      <c r="F23" s="556"/>
      <c r="G23" s="554"/>
      <c r="H23" s="553"/>
      <c r="I23" s="556">
        <f>'[2]Porta Wk 34'!AC89</f>
        <v>0</v>
      </c>
      <c r="J23" s="556"/>
      <c r="K23" s="554"/>
      <c r="L23" s="553" t="s">
        <v>544</v>
      </c>
      <c r="M23" s="556">
        <f>'[2]Porta Wk 34'!AI89</f>
        <v>3000</v>
      </c>
      <c r="N23" s="556"/>
      <c r="O23" s="554"/>
      <c r="P23" s="553"/>
      <c r="Q23" s="556">
        <f>'[2]Porta Wk 34'!AO89</f>
        <v>0</v>
      </c>
      <c r="R23" s="556"/>
      <c r="S23" s="554"/>
      <c r="T23" s="553"/>
      <c r="U23" s="556">
        <f>'[2]Porta Wk 34'!AU89</f>
        <v>0</v>
      </c>
      <c r="V23" s="556"/>
      <c r="W23" s="554"/>
      <c r="X23" s="553" t="s">
        <v>544</v>
      </c>
      <c r="Y23" s="556">
        <f>'[2]Porta Wk 34'!BA89</f>
        <v>3000</v>
      </c>
      <c r="Z23" s="556"/>
      <c r="AA23" s="554"/>
      <c r="AB23" s="553"/>
      <c r="AC23" s="556">
        <f>'[2]Porta Wk 34'!BG89</f>
        <v>0</v>
      </c>
      <c r="AD23" s="556"/>
      <c r="AE23" s="554"/>
      <c r="AF23" s="578">
        <f t="shared" si="0"/>
        <v>6000</v>
      </c>
      <c r="AG23" s="567">
        <f t="shared" si="0"/>
        <v>0</v>
      </c>
    </row>
    <row r="24" spans="1:33" x14ac:dyDescent="0.3">
      <c r="A24" s="549" t="s">
        <v>546</v>
      </c>
      <c r="B24" s="860" t="s">
        <v>137</v>
      </c>
      <c r="D24" s="553"/>
      <c r="E24" s="556">
        <f>'[2]Porta Wk 34'!W90</f>
        <v>0</v>
      </c>
      <c r="F24" s="556"/>
      <c r="G24" s="554"/>
      <c r="H24" s="553"/>
      <c r="I24" s="556">
        <f>'[2]Porta Wk 34'!AC90</f>
        <v>0</v>
      </c>
      <c r="J24" s="556"/>
      <c r="K24" s="554"/>
      <c r="L24" s="553"/>
      <c r="M24" s="556">
        <f>'[2]Porta Wk 34'!AI90</f>
        <v>0</v>
      </c>
      <c r="N24" s="556"/>
      <c r="O24" s="554"/>
      <c r="P24" s="553"/>
      <c r="Q24" s="556">
        <f>'[2]Porta Wk 34'!AO90</f>
        <v>0</v>
      </c>
      <c r="R24" s="556"/>
      <c r="S24" s="554"/>
      <c r="T24" s="553"/>
      <c r="U24" s="556">
        <f>'[2]Porta Wk 34'!AU90</f>
        <v>0</v>
      </c>
      <c r="V24" s="556"/>
      <c r="W24" s="554"/>
      <c r="X24" s="553"/>
      <c r="Y24" s="556">
        <f>'[2]Porta Wk 34'!BA90</f>
        <v>0</v>
      </c>
      <c r="Z24" s="556"/>
      <c r="AA24" s="554"/>
      <c r="AB24" s="553"/>
      <c r="AC24" s="556">
        <f>'[2]Porta Wk 34'!BG90</f>
        <v>0</v>
      </c>
      <c r="AD24" s="556"/>
      <c r="AE24" s="554"/>
      <c r="AF24" s="578">
        <f t="shared" si="0"/>
        <v>0</v>
      </c>
      <c r="AG24" s="567">
        <f t="shared" si="0"/>
        <v>0</v>
      </c>
    </row>
    <row r="25" spans="1:33" x14ac:dyDescent="0.3">
      <c r="A25" s="549" t="s">
        <v>547</v>
      </c>
      <c r="B25" s="860" t="s">
        <v>405</v>
      </c>
      <c r="D25" s="553" t="s">
        <v>510</v>
      </c>
      <c r="E25" s="2396">
        <f>'[2]Porta Wk 34'!T94</f>
        <v>3000</v>
      </c>
      <c r="F25" s="556"/>
      <c r="G25" s="554"/>
      <c r="H25" s="553"/>
      <c r="I25" s="556">
        <f>'[2]Porta Wk 34'!Z94</f>
        <v>0</v>
      </c>
      <c r="J25" s="556"/>
      <c r="K25" s="554"/>
      <c r="L25" s="553" t="s">
        <v>510</v>
      </c>
      <c r="M25" s="556">
        <f>'[2]Porta Wk 34'!AF94</f>
        <v>3000</v>
      </c>
      <c r="N25" s="556"/>
      <c r="O25" s="554"/>
      <c r="P25" s="553"/>
      <c r="Q25" s="556">
        <f>'[2]Porta Wk 34'!AL94</f>
        <v>0</v>
      </c>
      <c r="R25" s="556"/>
      <c r="S25" s="554"/>
      <c r="T25" s="553"/>
      <c r="U25" s="556">
        <f>'[2]Porta Wk 34'!AR94</f>
        <v>0</v>
      </c>
      <c r="V25" s="556"/>
      <c r="W25" s="554"/>
      <c r="X25" s="553" t="s">
        <v>510</v>
      </c>
      <c r="Y25" s="556">
        <f>'[2]Porta Wk 34'!AX94</f>
        <v>3000</v>
      </c>
      <c r="Z25" s="556"/>
      <c r="AA25" s="554"/>
      <c r="AB25" s="553"/>
      <c r="AC25" s="556"/>
      <c r="AD25" s="556"/>
      <c r="AE25" s="554"/>
      <c r="AF25" s="578">
        <f t="shared" si="0"/>
        <v>9000</v>
      </c>
      <c r="AG25" s="567">
        <f t="shared" si="0"/>
        <v>0</v>
      </c>
    </row>
    <row r="26" spans="1:33" x14ac:dyDescent="0.3">
      <c r="A26" s="549" t="s">
        <v>548</v>
      </c>
      <c r="B26" s="860" t="s">
        <v>361</v>
      </c>
      <c r="D26" s="553"/>
      <c r="E26" s="556">
        <f>'[2]Porta Wk 34'!T97</f>
        <v>0</v>
      </c>
      <c r="F26" s="556"/>
      <c r="G26" s="554"/>
      <c r="H26" s="553" t="s">
        <v>510</v>
      </c>
      <c r="I26" s="556">
        <f>'[2]Porta Wk 34'!Z97</f>
        <v>3000</v>
      </c>
      <c r="J26" s="556"/>
      <c r="K26" s="554"/>
      <c r="L26" s="553"/>
      <c r="M26" s="556">
        <f>'[2]Porta Wk 34'!AF97</f>
        <v>0</v>
      </c>
      <c r="N26" s="556"/>
      <c r="O26" s="554"/>
      <c r="P26" s="553"/>
      <c r="Q26" s="556">
        <f>'[2]Porta Wk 34'!AL97</f>
        <v>0</v>
      </c>
      <c r="R26" s="556"/>
      <c r="S26" s="554"/>
      <c r="T26" s="553" t="s">
        <v>510</v>
      </c>
      <c r="U26" s="556">
        <f>'[2]Porta Wk 34'!AR97</f>
        <v>3000</v>
      </c>
      <c r="V26" s="556"/>
      <c r="W26" s="554"/>
      <c r="X26" s="553"/>
      <c r="Y26" s="556">
        <f>'[2]Porta Wk 34'!AX97</f>
        <v>0</v>
      </c>
      <c r="Z26" s="556"/>
      <c r="AA26" s="554"/>
      <c r="AB26" s="553" t="s">
        <v>549</v>
      </c>
      <c r="AC26" s="556">
        <f>'[2]Porta Wk 34'!BD97</f>
        <v>3000</v>
      </c>
      <c r="AD26" s="556"/>
      <c r="AE26" s="554"/>
      <c r="AF26" s="578">
        <f t="shared" si="0"/>
        <v>9000</v>
      </c>
      <c r="AG26" s="567">
        <f t="shared" si="0"/>
        <v>0</v>
      </c>
    </row>
    <row r="27" spans="1:33" x14ac:dyDescent="0.3">
      <c r="A27" s="549" t="s">
        <v>550</v>
      </c>
      <c r="B27" s="860" t="s">
        <v>183</v>
      </c>
      <c r="D27" s="553" t="s">
        <v>446</v>
      </c>
      <c r="E27" s="556">
        <f>'[2]Porta Wk 34'!U100</f>
        <v>3000</v>
      </c>
      <c r="F27" s="556"/>
      <c r="G27" s="554"/>
      <c r="H27" s="553" t="s">
        <v>446</v>
      </c>
      <c r="I27" s="556">
        <f>'[2]Porta Wk 34'!AA100</f>
        <v>3000</v>
      </c>
      <c r="J27" s="556"/>
      <c r="K27" s="554"/>
      <c r="L27" s="553"/>
      <c r="M27" s="556">
        <f>'[2]Porta Wk 34'!AG100</f>
        <v>0</v>
      </c>
      <c r="N27" s="556"/>
      <c r="O27" s="554"/>
      <c r="P27" s="553" t="s">
        <v>510</v>
      </c>
      <c r="Q27" s="556">
        <f>'[2]Porta Wk 34'!AM100</f>
        <v>3000</v>
      </c>
      <c r="R27" s="556"/>
      <c r="S27" s="554"/>
      <c r="T27" s="553"/>
      <c r="U27" s="556">
        <f>'[2]Porta Wk 34'!AS100</f>
        <v>0</v>
      </c>
      <c r="V27" s="556"/>
      <c r="W27" s="554"/>
      <c r="X27" s="553" t="s">
        <v>446</v>
      </c>
      <c r="Y27" s="556">
        <f>'[2]Porta Wk 34'!AY100</f>
        <v>3000</v>
      </c>
      <c r="Z27" s="556"/>
      <c r="AA27" s="554"/>
      <c r="AB27" s="553"/>
      <c r="AC27" s="556">
        <f>'[2]Porta Wk 34'!BE100</f>
        <v>0</v>
      </c>
      <c r="AD27" s="556"/>
      <c r="AE27" s="554"/>
      <c r="AF27" s="578">
        <f t="shared" si="0"/>
        <v>12000</v>
      </c>
      <c r="AG27" s="567">
        <f t="shared" si="0"/>
        <v>0</v>
      </c>
    </row>
    <row r="28" spans="1:33" x14ac:dyDescent="0.3">
      <c r="A28" s="549" t="s">
        <v>551</v>
      </c>
      <c r="B28" s="860" t="s">
        <v>552</v>
      </c>
      <c r="D28" s="553" t="s">
        <v>446</v>
      </c>
      <c r="E28" s="556">
        <f>'[2]Porta Wk 34'!U103</f>
        <v>3000</v>
      </c>
      <c r="F28" s="556"/>
      <c r="G28" s="554"/>
      <c r="H28" s="553" t="s">
        <v>446</v>
      </c>
      <c r="I28" s="556">
        <f>'[2]Porta Wk 34'!AA103</f>
        <v>3000</v>
      </c>
      <c r="J28" s="556"/>
      <c r="K28" s="554"/>
      <c r="L28" s="553"/>
      <c r="M28" s="556">
        <f>'[2]Porta Wk 34'!AG103</f>
        <v>0</v>
      </c>
      <c r="N28" s="556"/>
      <c r="O28" s="554"/>
      <c r="P28" s="553" t="s">
        <v>446</v>
      </c>
      <c r="Q28" s="556">
        <f>'[2]Porta Wk 34'!AM103</f>
        <v>3000</v>
      </c>
      <c r="R28" s="556"/>
      <c r="S28" s="554"/>
      <c r="T28" s="553" t="s">
        <v>511</v>
      </c>
      <c r="U28" s="556">
        <f>'[2]Porta Wk 34'!AS103</f>
        <v>3000</v>
      </c>
      <c r="V28" s="556"/>
      <c r="W28" s="554"/>
      <c r="X28" s="553"/>
      <c r="Y28" s="556">
        <f>'[2]Porta Wk 34'!AY103</f>
        <v>0</v>
      </c>
      <c r="Z28" s="556"/>
      <c r="AA28" s="554"/>
      <c r="AB28" s="553" t="s">
        <v>446</v>
      </c>
      <c r="AC28" s="556">
        <f>'[2]Porta Wk 34'!BE103</f>
        <v>3000</v>
      </c>
      <c r="AD28" s="556"/>
      <c r="AE28" s="554"/>
      <c r="AF28" s="578">
        <f t="shared" si="0"/>
        <v>15000</v>
      </c>
      <c r="AG28" s="567">
        <f t="shared" si="0"/>
        <v>0</v>
      </c>
    </row>
    <row r="29" spans="1:33" x14ac:dyDescent="0.3">
      <c r="A29" s="549" t="s">
        <v>553</v>
      </c>
      <c r="B29" s="860" t="s">
        <v>365</v>
      </c>
      <c r="D29" s="553" t="s">
        <v>511</v>
      </c>
      <c r="E29" s="556">
        <f>'[2]Porta Wk 34'!V106</f>
        <v>3000</v>
      </c>
      <c r="F29" s="556"/>
      <c r="G29" s="554"/>
      <c r="H29" s="553" t="s">
        <v>511</v>
      </c>
      <c r="I29" s="556">
        <f>'[2]Porta Wk 34'!AB106</f>
        <v>3000</v>
      </c>
      <c r="J29" s="556"/>
      <c r="K29" s="554"/>
      <c r="L29" s="553"/>
      <c r="M29" s="556">
        <f>'[2]Porta Wk 34'!AH106</f>
        <v>0</v>
      </c>
      <c r="N29" s="556"/>
      <c r="O29" s="554"/>
      <c r="P29" s="553" t="s">
        <v>511</v>
      </c>
      <c r="Q29" s="556">
        <f>'[2]Porta Wk 34'!AN106</f>
        <v>3000</v>
      </c>
      <c r="R29" s="556"/>
      <c r="S29" s="554"/>
      <c r="T29" s="553" t="s">
        <v>554</v>
      </c>
      <c r="U29" s="556">
        <f>'[2]Porta Wk 34'!AT106</f>
        <v>3000</v>
      </c>
      <c r="V29" s="556"/>
      <c r="W29" s="554"/>
      <c r="X29" s="553"/>
      <c r="Y29" s="556">
        <f>'[2]Porta Wk 34'!AZ106</f>
        <v>0</v>
      </c>
      <c r="Z29" s="556"/>
      <c r="AA29" s="554"/>
      <c r="AB29" s="553" t="s">
        <v>446</v>
      </c>
      <c r="AC29" s="556">
        <f>'[2]Porta Wk 34'!BF106</f>
        <v>3000</v>
      </c>
      <c r="AD29" s="556"/>
      <c r="AE29" s="554"/>
      <c r="AF29" s="578">
        <f t="shared" si="0"/>
        <v>15000</v>
      </c>
      <c r="AG29" s="567">
        <f t="shared" si="0"/>
        <v>0</v>
      </c>
    </row>
    <row r="30" spans="1:33" x14ac:dyDescent="0.3">
      <c r="A30" s="549" t="s">
        <v>555</v>
      </c>
      <c r="B30" s="860" t="s">
        <v>364</v>
      </c>
      <c r="D30" s="553"/>
      <c r="E30" s="556">
        <f>'[2]Porta Wk 34'!V109</f>
        <v>0</v>
      </c>
      <c r="F30" s="556"/>
      <c r="G30" s="554"/>
      <c r="H30" s="553" t="s">
        <v>511</v>
      </c>
      <c r="I30" s="556">
        <f>'[2]Porta Wk 34'!AB109</f>
        <v>3000</v>
      </c>
      <c r="J30" s="556"/>
      <c r="K30" s="554"/>
      <c r="L30" s="553" t="s">
        <v>511</v>
      </c>
      <c r="M30" s="556">
        <f>'[2]Porta Wk 34'!AH109</f>
        <v>3000</v>
      </c>
      <c r="N30" s="556"/>
      <c r="O30" s="554"/>
      <c r="P30" s="553"/>
      <c r="Q30" s="556">
        <f>'[2]Porta Wk 34'!AN109</f>
        <v>0</v>
      </c>
      <c r="R30" s="556"/>
      <c r="S30" s="554"/>
      <c r="T30" s="553" t="s">
        <v>511</v>
      </c>
      <c r="U30" s="556">
        <f>'[2]Porta Wk 34'!AT109</f>
        <v>3000</v>
      </c>
      <c r="V30" s="556"/>
      <c r="W30" s="554"/>
      <c r="X30" s="553"/>
      <c r="Y30" s="556">
        <f>'[2]Porta Wk 34'!AZ109</f>
        <v>0</v>
      </c>
      <c r="Z30" s="556"/>
      <c r="AA30" s="554"/>
      <c r="AB30" s="553" t="s">
        <v>511</v>
      </c>
      <c r="AC30" s="556">
        <f>'[2]Porta Wk 34'!BF109</f>
        <v>3000</v>
      </c>
      <c r="AD30" s="556"/>
      <c r="AE30" s="554"/>
      <c r="AF30" s="578">
        <f t="shared" si="0"/>
        <v>12000</v>
      </c>
      <c r="AG30" s="567">
        <f t="shared" si="0"/>
        <v>0</v>
      </c>
    </row>
    <row r="31" spans="1:33" x14ac:dyDescent="0.3">
      <c r="A31" s="549" t="s">
        <v>556</v>
      </c>
      <c r="B31" s="860" t="s">
        <v>363</v>
      </c>
      <c r="D31" s="553"/>
      <c r="E31" s="556">
        <f>'[2]Porta Wk 34'!W112</f>
        <v>0</v>
      </c>
      <c r="F31" s="556"/>
      <c r="G31" s="554"/>
      <c r="H31" s="553"/>
      <c r="I31" s="556">
        <f>'[2]Porta Wk 34'!AC112</f>
        <v>0</v>
      </c>
      <c r="J31" s="556"/>
      <c r="K31" s="554"/>
      <c r="L31" s="553" t="s">
        <v>512</v>
      </c>
      <c r="M31" s="556">
        <f>'[2]Porta Wk 34'!AI112</f>
        <v>3000</v>
      </c>
      <c r="N31" s="556"/>
      <c r="O31" s="554"/>
      <c r="P31" s="553" t="s">
        <v>512</v>
      </c>
      <c r="Q31" s="556">
        <f>'[2]Porta Wk 34'!AO112</f>
        <v>3000</v>
      </c>
      <c r="R31" s="556"/>
      <c r="S31" s="554"/>
      <c r="T31" s="553"/>
      <c r="U31" s="556">
        <f>'[2]Porta Wk 34'!AU112</f>
        <v>0</v>
      </c>
      <c r="V31" s="556"/>
      <c r="W31" s="554"/>
      <c r="X31" s="553" t="s">
        <v>512</v>
      </c>
      <c r="Y31" s="556">
        <f>'[2]Porta Wk 34'!BA112</f>
        <v>3000</v>
      </c>
      <c r="Z31" s="556"/>
      <c r="AA31" s="554"/>
      <c r="AB31" s="553"/>
      <c r="AC31" s="556">
        <f>'[2]Porta Wk 34'!BG112</f>
        <v>0</v>
      </c>
      <c r="AD31" s="556"/>
      <c r="AE31" s="554"/>
      <c r="AF31" s="578">
        <f t="shared" si="0"/>
        <v>9000</v>
      </c>
      <c r="AG31" s="567">
        <f t="shared" si="0"/>
        <v>0</v>
      </c>
    </row>
    <row r="32" spans="1:33" x14ac:dyDescent="0.3">
      <c r="A32" s="549" t="s">
        <v>557</v>
      </c>
      <c r="B32" s="860" t="s">
        <v>362</v>
      </c>
      <c r="D32" s="553" t="s">
        <v>512</v>
      </c>
      <c r="E32" s="556">
        <f>'[2]Porta Wk 34'!W115</f>
        <v>3000</v>
      </c>
      <c r="F32" s="556"/>
      <c r="G32" s="554"/>
      <c r="H32" s="553"/>
      <c r="I32" s="556">
        <f>'[2]Porta Wk 34'!AC115</f>
        <v>0</v>
      </c>
      <c r="J32" s="556"/>
      <c r="K32" s="554"/>
      <c r="L32" s="553" t="s">
        <v>512</v>
      </c>
      <c r="M32" s="556">
        <f>'[2]Porta Wk 34'!AI115</f>
        <v>3000</v>
      </c>
      <c r="N32" s="556"/>
      <c r="O32" s="554"/>
      <c r="P32" s="553" t="s">
        <v>512</v>
      </c>
      <c r="Q32" s="556">
        <f>'[2]Porta Wk 34'!AO115</f>
        <v>3000</v>
      </c>
      <c r="R32" s="556"/>
      <c r="S32" s="554"/>
      <c r="T32" s="553"/>
      <c r="U32" s="556">
        <f>'[2]Porta Wk 34'!AU115</f>
        <v>0</v>
      </c>
      <c r="V32" s="556"/>
      <c r="W32" s="554"/>
      <c r="X32" s="553" t="s">
        <v>512</v>
      </c>
      <c r="Y32" s="556">
        <f>'[2]Porta Wk 34'!BA115</f>
        <v>3000</v>
      </c>
      <c r="Z32" s="556"/>
      <c r="AA32" s="554"/>
      <c r="AB32" s="553"/>
      <c r="AC32" s="556">
        <f>'[2]Porta Wk 34'!BG115</f>
        <v>0</v>
      </c>
      <c r="AD32" s="556"/>
      <c r="AE32" s="554"/>
      <c r="AF32" s="578">
        <f t="shared" si="0"/>
        <v>12000</v>
      </c>
      <c r="AG32" s="567">
        <f t="shared" si="0"/>
        <v>0</v>
      </c>
    </row>
    <row r="33" spans="1:33" x14ac:dyDescent="0.3">
      <c r="A33" s="549" t="s">
        <v>558</v>
      </c>
      <c r="B33" s="860" t="s">
        <v>191</v>
      </c>
      <c r="D33" s="553" t="s">
        <v>512</v>
      </c>
      <c r="E33" s="556">
        <f>'[2]Porta Wk 34'!W118</f>
        <v>3000</v>
      </c>
      <c r="F33" s="556"/>
      <c r="G33" s="554"/>
      <c r="H33" s="553"/>
      <c r="I33" s="556">
        <f>'[2]Porta Wk 34'!AC118</f>
        <v>0</v>
      </c>
      <c r="J33" s="556"/>
      <c r="K33" s="554"/>
      <c r="L33" s="553" t="s">
        <v>512</v>
      </c>
      <c r="M33" s="556">
        <f>'[2]Porta Wk 34'!AI118</f>
        <v>3000</v>
      </c>
      <c r="N33" s="556"/>
      <c r="O33" s="554"/>
      <c r="P33" s="553" t="s">
        <v>512</v>
      </c>
      <c r="Q33" s="556">
        <f>'[2]Porta Wk 34'!AO118</f>
        <v>3000</v>
      </c>
      <c r="R33" s="556"/>
      <c r="S33" s="554"/>
      <c r="T33" s="553"/>
      <c r="U33" s="556">
        <f>'[2]Porta Wk 34'!AV118</f>
        <v>0</v>
      </c>
      <c r="V33" s="556"/>
      <c r="W33" s="554"/>
      <c r="X33" s="553" t="s">
        <v>559</v>
      </c>
      <c r="Y33" s="556">
        <f>'[2]Porta Wk 34'!BB118</f>
        <v>3000</v>
      </c>
      <c r="Z33" s="556"/>
      <c r="AA33" s="554"/>
      <c r="AB33" s="553"/>
      <c r="AC33" s="556">
        <f>'[2]Porta Wk 34'!BH118</f>
        <v>0</v>
      </c>
      <c r="AD33" s="556"/>
      <c r="AE33" s="554"/>
      <c r="AF33" s="578">
        <f t="shared" si="0"/>
        <v>12000</v>
      </c>
      <c r="AG33" s="567">
        <f t="shared" si="0"/>
        <v>0</v>
      </c>
    </row>
    <row r="34" spans="1:33" x14ac:dyDescent="0.3">
      <c r="A34" s="549" t="s">
        <v>560</v>
      </c>
      <c r="B34" s="860" t="s">
        <v>193</v>
      </c>
      <c r="D34" s="553" t="s">
        <v>559</v>
      </c>
      <c r="E34" s="556">
        <f>'[2]Porta Wk 34'!X122</f>
        <v>3000</v>
      </c>
      <c r="F34" s="556"/>
      <c r="G34" s="554"/>
      <c r="H34" s="553"/>
      <c r="I34" s="556">
        <f>'[2]Porta Wk 34'!AD122</f>
        <v>0</v>
      </c>
      <c r="J34" s="556"/>
      <c r="K34" s="554"/>
      <c r="L34" s="553" t="s">
        <v>559</v>
      </c>
      <c r="M34" s="556">
        <f>'[2]Porta Wk 34'!AJ122</f>
        <v>3000</v>
      </c>
      <c r="N34" s="556"/>
      <c r="O34" s="554"/>
      <c r="P34" s="553" t="s">
        <v>559</v>
      </c>
      <c r="Q34" s="556">
        <f>'[2]Porta Wk 34'!AP122</f>
        <v>3000</v>
      </c>
      <c r="R34" s="556"/>
      <c r="S34" s="554"/>
      <c r="T34" s="553"/>
      <c r="U34" s="556">
        <f>'[2]Porta Wk 34'!AV122</f>
        <v>0</v>
      </c>
      <c r="V34" s="556"/>
      <c r="W34" s="554"/>
      <c r="X34" s="553" t="s">
        <v>559</v>
      </c>
      <c r="Y34" s="556">
        <f>'[2]Porta Wk 34'!BB122</f>
        <v>3000</v>
      </c>
      <c r="Z34" s="556"/>
      <c r="AA34" s="554"/>
      <c r="AB34" s="553"/>
      <c r="AC34" s="556">
        <f>'[2]Porta Wk 34'!BH122</f>
        <v>0</v>
      </c>
      <c r="AD34" s="556"/>
      <c r="AE34" s="554"/>
      <c r="AF34" s="578">
        <f t="shared" si="0"/>
        <v>12000</v>
      </c>
      <c r="AG34" s="567">
        <f t="shared" si="0"/>
        <v>0</v>
      </c>
    </row>
    <row r="35" spans="1:33" x14ac:dyDescent="0.3">
      <c r="A35" s="549" t="s">
        <v>561</v>
      </c>
      <c r="B35" s="860" t="s">
        <v>185</v>
      </c>
      <c r="D35" s="553"/>
      <c r="E35" s="556">
        <f>'[2]Porta Wk 34'!X125</f>
        <v>0</v>
      </c>
      <c r="F35" s="556"/>
      <c r="G35" s="554"/>
      <c r="H35" s="553" t="s">
        <v>559</v>
      </c>
      <c r="I35" s="556">
        <f>'[2]Porta Wk 34'!AD125</f>
        <v>3000</v>
      </c>
      <c r="J35" s="556"/>
      <c r="K35" s="554"/>
      <c r="L35" s="553" t="s">
        <v>559</v>
      </c>
      <c r="M35" s="556">
        <f>'[2]Porta Wk 34'!AJ125</f>
        <v>3000</v>
      </c>
      <c r="N35" s="556"/>
      <c r="O35" s="554"/>
      <c r="P35" s="553"/>
      <c r="Q35" s="556">
        <f>'[2]Porta Wk 34'!AP125</f>
        <v>0</v>
      </c>
      <c r="R35" s="556"/>
      <c r="S35" s="554"/>
      <c r="T35" s="553" t="s">
        <v>559</v>
      </c>
      <c r="U35" s="556">
        <f>'[2]Porta Wk 34'!AV125</f>
        <v>3000</v>
      </c>
      <c r="V35" s="556"/>
      <c r="W35" s="554"/>
      <c r="X35" s="553"/>
      <c r="Y35" s="556">
        <f>'[2]Porta Wk 34'!BB125</f>
        <v>0</v>
      </c>
      <c r="Z35" s="556"/>
      <c r="AA35" s="554"/>
      <c r="AB35" s="553" t="s">
        <v>559</v>
      </c>
      <c r="AC35" s="556">
        <f>'[2]Porta Wk 34'!BH125</f>
        <v>3000</v>
      </c>
      <c r="AD35" s="556"/>
      <c r="AE35" s="554"/>
      <c r="AF35" s="578">
        <f t="shared" si="0"/>
        <v>12000</v>
      </c>
      <c r="AG35" s="567">
        <f t="shared" si="0"/>
        <v>0</v>
      </c>
    </row>
    <row r="36" spans="1:33" x14ac:dyDescent="0.3">
      <c r="A36" s="549" t="s">
        <v>562</v>
      </c>
      <c r="B36" s="860" t="s">
        <v>368</v>
      </c>
      <c r="D36" s="553" t="s">
        <v>559</v>
      </c>
      <c r="E36" s="556">
        <f>'[2]Porta Wk 34'!X128</f>
        <v>3000</v>
      </c>
      <c r="F36" s="556"/>
      <c r="G36" s="554"/>
      <c r="H36" s="553"/>
      <c r="I36" s="556">
        <f>'[2]Porta Wk 34'!AD128</f>
        <v>0</v>
      </c>
      <c r="J36" s="556"/>
      <c r="K36" s="554"/>
      <c r="L36" s="553" t="s">
        <v>559</v>
      </c>
      <c r="M36" s="556">
        <f>'[2]Porta Wk 34'!AJ128</f>
        <v>3000</v>
      </c>
      <c r="N36" s="556"/>
      <c r="O36" s="554"/>
      <c r="P36" s="553" t="s">
        <v>559</v>
      </c>
      <c r="Q36" s="556">
        <f>'[2]Porta Wk 34'!AP128</f>
        <v>3000</v>
      </c>
      <c r="R36" s="556"/>
      <c r="S36" s="554"/>
      <c r="T36" s="553" t="s">
        <v>559</v>
      </c>
      <c r="U36" s="556">
        <f>'[2]Porta Wk 34'!AV128</f>
        <v>3000</v>
      </c>
      <c r="V36" s="556"/>
      <c r="W36" s="554"/>
      <c r="X36" s="553"/>
      <c r="Y36" s="556">
        <f>'[2]Porta Wk 34'!BB128</f>
        <v>0</v>
      </c>
      <c r="Z36" s="556"/>
      <c r="AA36" s="554"/>
      <c r="AB36" s="553" t="s">
        <v>559</v>
      </c>
      <c r="AC36" s="556">
        <f>'[2]Porta Wk 34'!BH128</f>
        <v>3000</v>
      </c>
      <c r="AD36" s="556"/>
      <c r="AE36" s="554"/>
      <c r="AF36" s="578">
        <f t="shared" si="0"/>
        <v>15000</v>
      </c>
      <c r="AG36" s="567">
        <f t="shared" si="0"/>
        <v>0</v>
      </c>
    </row>
    <row r="37" spans="1:33" x14ac:dyDescent="0.3">
      <c r="A37" s="549" t="s">
        <v>563</v>
      </c>
      <c r="B37" s="860" t="s">
        <v>367</v>
      </c>
      <c r="D37" s="553"/>
      <c r="E37" s="556">
        <f>'[2]Porta Wk 34'!X131</f>
        <v>0</v>
      </c>
      <c r="F37" s="556"/>
      <c r="G37" s="554"/>
      <c r="H37" s="553"/>
      <c r="I37" s="556">
        <f>'[2]Porta Wk 34'!AD131</f>
        <v>0</v>
      </c>
      <c r="J37" s="556"/>
      <c r="K37" s="554"/>
      <c r="L37" s="553"/>
      <c r="M37" s="556">
        <f>'[2]Porta Wk 34'!AJ131</f>
        <v>0</v>
      </c>
      <c r="N37" s="556"/>
      <c r="O37" s="554"/>
      <c r="P37" s="553"/>
      <c r="Q37" s="556">
        <f>'[2]Porta Wk 34'!AP131</f>
        <v>0</v>
      </c>
      <c r="R37" s="556"/>
      <c r="S37" s="554"/>
      <c r="T37" s="553"/>
      <c r="U37" s="556">
        <f>'[2]Porta Wk 34'!AV131</f>
        <v>0</v>
      </c>
      <c r="V37" s="556"/>
      <c r="W37" s="554"/>
      <c r="X37" s="553"/>
      <c r="Y37" s="556">
        <f>'[2]Porta Wk 34'!BB131</f>
        <v>0</v>
      </c>
      <c r="Z37" s="556"/>
      <c r="AA37" s="554"/>
      <c r="AB37" s="553"/>
      <c r="AC37" s="556">
        <f>'[2]Porta Wk 34'!BH131</f>
        <v>0</v>
      </c>
      <c r="AD37" s="556"/>
      <c r="AE37" s="554"/>
      <c r="AF37" s="578">
        <f t="shared" si="0"/>
        <v>0</v>
      </c>
      <c r="AG37" s="567">
        <f t="shared" si="0"/>
        <v>0</v>
      </c>
    </row>
    <row r="38" spans="1:33" x14ac:dyDescent="0.3">
      <c r="A38" s="549" t="s">
        <v>564</v>
      </c>
      <c r="B38" s="860"/>
      <c r="D38" s="553"/>
      <c r="E38" s="556">
        <f>'[2]Porta Wk 34'!X134</f>
        <v>0</v>
      </c>
      <c r="F38" s="556"/>
      <c r="G38" s="554"/>
      <c r="H38" s="553"/>
      <c r="I38" s="556">
        <f>'[2]Porta Wk 34'!AD134</f>
        <v>0</v>
      </c>
      <c r="J38" s="556"/>
      <c r="K38" s="554"/>
      <c r="L38" s="553"/>
      <c r="M38" s="556">
        <f>'[2]Porta Wk 34'!AJ134</f>
        <v>0</v>
      </c>
      <c r="N38" s="556"/>
      <c r="O38" s="554"/>
      <c r="P38" s="553"/>
      <c r="Q38" s="556">
        <f>'[2]Porta Wk 34'!AP134</f>
        <v>0</v>
      </c>
      <c r="R38" s="556"/>
      <c r="S38" s="554"/>
      <c r="T38" s="553"/>
      <c r="U38" s="556">
        <f>'[2]Porta Wk 34'!AV134</f>
        <v>0</v>
      </c>
      <c r="V38" s="556"/>
      <c r="W38" s="554"/>
      <c r="X38" s="553"/>
      <c r="Y38" s="556">
        <f>'[2]Porta Wk 34'!BB134</f>
        <v>0</v>
      </c>
      <c r="Z38" s="556"/>
      <c r="AA38" s="554"/>
      <c r="AB38" s="553"/>
      <c r="AC38" s="556">
        <f>'[2]Porta Wk 34'!BD134</f>
        <v>0</v>
      </c>
      <c r="AD38" s="556"/>
      <c r="AE38" s="554"/>
      <c r="AF38" s="578">
        <f t="shared" si="0"/>
        <v>0</v>
      </c>
      <c r="AG38" s="567">
        <f t="shared" si="0"/>
        <v>0</v>
      </c>
    </row>
    <row r="39" spans="1:33" x14ac:dyDescent="0.3">
      <c r="A39" s="549" t="s">
        <v>547</v>
      </c>
      <c r="B39" s="860" t="s">
        <v>241</v>
      </c>
      <c r="D39" s="553"/>
      <c r="E39" s="556"/>
      <c r="F39" s="556"/>
      <c r="G39" s="554"/>
      <c r="H39" s="553"/>
      <c r="I39" s="556"/>
      <c r="J39" s="556"/>
      <c r="K39" s="554"/>
      <c r="L39" s="553"/>
      <c r="M39" s="556"/>
      <c r="N39" s="556"/>
      <c r="O39" s="554"/>
      <c r="P39" s="553"/>
      <c r="Q39" s="556"/>
      <c r="R39" s="556"/>
      <c r="S39" s="554"/>
      <c r="T39" s="553"/>
      <c r="U39" s="556"/>
      <c r="V39" s="556"/>
      <c r="W39" s="554"/>
      <c r="X39" s="553" t="s">
        <v>510</v>
      </c>
      <c r="Y39" s="556">
        <v>3000</v>
      </c>
      <c r="Z39" s="556"/>
      <c r="AA39" s="554"/>
      <c r="AB39" s="553" t="s">
        <v>549</v>
      </c>
      <c r="AC39" s="556">
        <v>3000</v>
      </c>
      <c r="AD39" s="556"/>
      <c r="AE39" s="554"/>
      <c r="AF39" s="578">
        <f t="shared" si="0"/>
        <v>6000</v>
      </c>
      <c r="AG39" s="567">
        <f t="shared" si="0"/>
        <v>0</v>
      </c>
    </row>
    <row r="40" spans="1:33" ht="15" thickBot="1" x14ac:dyDescent="0.35">
      <c r="B40" s="861"/>
      <c r="D40" s="557"/>
      <c r="E40" s="558"/>
      <c r="F40" s="558"/>
      <c r="G40" s="559"/>
      <c r="H40" s="557"/>
      <c r="I40" s="558"/>
      <c r="J40" s="558"/>
      <c r="K40" s="559"/>
      <c r="L40" s="557"/>
      <c r="M40" s="556"/>
      <c r="N40" s="558"/>
      <c r="O40" s="559"/>
      <c r="P40" s="557"/>
      <c r="Q40" s="558"/>
      <c r="R40" s="558"/>
      <c r="S40" s="559"/>
      <c r="T40" s="557"/>
      <c r="U40" s="558"/>
      <c r="V40" s="558"/>
      <c r="W40" s="559"/>
      <c r="X40" s="557"/>
      <c r="Y40" s="558"/>
      <c r="Z40" s="558"/>
      <c r="AA40" s="559"/>
      <c r="AB40" s="557"/>
      <c r="AC40" s="556"/>
      <c r="AD40" s="558"/>
      <c r="AE40" s="559"/>
      <c r="AF40" s="578">
        <f t="shared" si="0"/>
        <v>0</v>
      </c>
      <c r="AG40" s="567">
        <f t="shared" si="0"/>
        <v>0</v>
      </c>
    </row>
    <row r="41" spans="1:33" s="550" customFormat="1" ht="15" thickBot="1" x14ac:dyDescent="0.35">
      <c r="B41" s="581" t="s">
        <v>258</v>
      </c>
      <c r="D41" s="564"/>
      <c r="E41" s="872">
        <f>SUM(E11:E40)</f>
        <v>30000</v>
      </c>
      <c r="F41" s="565"/>
      <c r="G41" s="566"/>
      <c r="H41" s="564"/>
      <c r="I41" s="872">
        <f>SUM(I11:I40)</f>
        <v>27000</v>
      </c>
      <c r="J41" s="565"/>
      <c r="K41" s="566"/>
      <c r="L41" s="564"/>
      <c r="M41" s="872">
        <f>SUM(M11:M40)</f>
        <v>30000</v>
      </c>
      <c r="N41" s="565"/>
      <c r="O41" s="566"/>
      <c r="P41" s="564"/>
      <c r="Q41" s="872">
        <f>SUM(Q11:Q40)</f>
        <v>30000</v>
      </c>
      <c r="R41" s="565"/>
      <c r="S41" s="566"/>
      <c r="T41" s="564"/>
      <c r="U41" s="872">
        <f>SUM(U11:U40)</f>
        <v>30000</v>
      </c>
      <c r="V41" s="565"/>
      <c r="W41" s="566"/>
      <c r="X41" s="564"/>
      <c r="Y41" s="872">
        <f>SUM(Y11:Y40)</f>
        <v>30000</v>
      </c>
      <c r="Z41" s="565"/>
      <c r="AA41" s="566"/>
      <c r="AB41" s="564"/>
      <c r="AC41" s="872">
        <f>SUM(AC11:AC40)</f>
        <v>30000</v>
      </c>
      <c r="AD41" s="565"/>
      <c r="AE41" s="566"/>
      <c r="AF41" s="568">
        <f>SUM(AF11:AF40)</f>
        <v>207000</v>
      </c>
      <c r="AG41" s="564">
        <f>SUM(AG11:AG40)</f>
        <v>0</v>
      </c>
    </row>
    <row r="42" spans="1:33" s="550" customFormat="1" x14ac:dyDescent="0.3">
      <c r="B42" s="572"/>
      <c r="D42" s="572"/>
      <c r="E42" s="561"/>
      <c r="F42" s="561"/>
      <c r="G42" s="560"/>
      <c r="H42" s="572"/>
      <c r="I42" s="561"/>
      <c r="J42" s="561"/>
      <c r="K42" s="560"/>
      <c r="L42" s="572"/>
      <c r="M42" s="583"/>
      <c r="N42" s="561"/>
      <c r="O42" s="560"/>
      <c r="P42" s="572"/>
      <c r="Q42" s="561"/>
      <c r="R42" s="561"/>
      <c r="S42" s="560"/>
      <c r="T42" s="572"/>
      <c r="U42" s="561"/>
      <c r="V42" s="561"/>
      <c r="W42" s="560"/>
      <c r="X42" s="572"/>
      <c r="Y42" s="561"/>
      <c r="Z42" s="561"/>
      <c r="AA42" s="560"/>
      <c r="AB42" s="572"/>
      <c r="AC42" s="583"/>
      <c r="AD42" s="561"/>
      <c r="AE42" s="560"/>
      <c r="AG42" s="561"/>
    </row>
    <row r="43" spans="1:33" ht="15" thickBot="1" x14ac:dyDescent="0.35">
      <c r="D43" s="574" t="s">
        <v>265</v>
      </c>
      <c r="E43" s="580"/>
      <c r="F43" s="549" t="s">
        <v>266</v>
      </c>
      <c r="G43" s="582"/>
      <c r="H43" s="574" t="s">
        <v>265</v>
      </c>
      <c r="I43" s="580"/>
      <c r="J43" s="549" t="s">
        <v>266</v>
      </c>
      <c r="K43" s="582"/>
      <c r="L43" s="574" t="s">
        <v>265</v>
      </c>
      <c r="M43" s="580"/>
      <c r="N43" s="549" t="s">
        <v>266</v>
      </c>
      <c r="O43" s="582"/>
      <c r="P43" s="574" t="s">
        <v>265</v>
      </c>
      <c r="Q43" s="580"/>
      <c r="R43" s="549" t="s">
        <v>266</v>
      </c>
      <c r="S43" s="582"/>
      <c r="T43" s="574" t="s">
        <v>265</v>
      </c>
      <c r="U43" s="580"/>
      <c r="V43" s="549" t="s">
        <v>266</v>
      </c>
      <c r="W43" s="582"/>
      <c r="X43" s="574" t="s">
        <v>265</v>
      </c>
      <c r="Y43" s="580"/>
      <c r="Z43" s="549" t="s">
        <v>266</v>
      </c>
      <c r="AA43" s="582"/>
      <c r="AB43" s="574" t="s">
        <v>265</v>
      </c>
      <c r="AC43" s="580"/>
      <c r="AD43" s="549" t="s">
        <v>266</v>
      </c>
      <c r="AE43" s="582"/>
    </row>
    <row r="44" spans="1:33" ht="15" thickBot="1" x14ac:dyDescent="0.35">
      <c r="D44" s="574" t="s">
        <v>268</v>
      </c>
      <c r="E44" s="555"/>
      <c r="F44" s="549" t="s">
        <v>268</v>
      </c>
      <c r="G44" s="579"/>
      <c r="H44" s="574" t="s">
        <v>268</v>
      </c>
      <c r="I44" s="555"/>
      <c r="J44" s="549" t="s">
        <v>268</v>
      </c>
      <c r="K44" s="579"/>
      <c r="L44" s="574" t="s">
        <v>268</v>
      </c>
      <c r="M44" s="555"/>
      <c r="N44" s="549" t="s">
        <v>268</v>
      </c>
      <c r="O44" s="579"/>
      <c r="P44" s="574" t="s">
        <v>268</v>
      </c>
      <c r="Q44" s="555"/>
      <c r="R44" s="549" t="s">
        <v>268</v>
      </c>
      <c r="S44" s="579"/>
      <c r="T44" s="574" t="s">
        <v>268</v>
      </c>
      <c r="U44" s="555"/>
      <c r="V44" s="549" t="s">
        <v>268</v>
      </c>
      <c r="W44" s="579"/>
      <c r="X44" s="574" t="s">
        <v>268</v>
      </c>
      <c r="Y44" s="555"/>
      <c r="Z44" s="549" t="s">
        <v>268</v>
      </c>
      <c r="AA44" s="579"/>
      <c r="AB44" s="574" t="s">
        <v>268</v>
      </c>
      <c r="AC44" s="555"/>
      <c r="AD44" s="549" t="s">
        <v>268</v>
      </c>
      <c r="AE44" s="579"/>
    </row>
    <row r="45" spans="1:33" ht="15" thickBot="1" x14ac:dyDescent="0.35">
      <c r="D45" s="574" t="s">
        <v>267</v>
      </c>
      <c r="E45" s="555"/>
      <c r="F45" s="549" t="s">
        <v>267</v>
      </c>
      <c r="G45" s="579"/>
      <c r="H45" s="574" t="s">
        <v>267</v>
      </c>
      <c r="I45" s="555"/>
      <c r="J45" s="549" t="s">
        <v>267</v>
      </c>
      <c r="K45" s="579"/>
      <c r="L45" s="574" t="s">
        <v>267</v>
      </c>
      <c r="M45" s="555"/>
      <c r="N45" s="549" t="s">
        <v>267</v>
      </c>
      <c r="O45" s="579"/>
      <c r="P45" s="574" t="s">
        <v>267</v>
      </c>
      <c r="Q45" s="555"/>
      <c r="R45" s="549" t="s">
        <v>267</v>
      </c>
      <c r="S45" s="579"/>
      <c r="T45" s="574" t="s">
        <v>267</v>
      </c>
      <c r="U45" s="555"/>
      <c r="V45" s="549" t="s">
        <v>267</v>
      </c>
      <c r="W45" s="579"/>
      <c r="X45" s="574" t="s">
        <v>267</v>
      </c>
      <c r="Y45" s="555"/>
      <c r="Z45" s="549" t="s">
        <v>267</v>
      </c>
      <c r="AA45" s="579"/>
      <c r="AB45" s="574" t="s">
        <v>267</v>
      </c>
      <c r="AC45" s="555"/>
      <c r="AD45" s="549" t="s">
        <v>267</v>
      </c>
      <c r="AE45" s="579"/>
    </row>
    <row r="46" spans="1:33" ht="15" thickBot="1" x14ac:dyDescent="0.35">
      <c r="D46" s="575"/>
      <c r="E46" s="555"/>
      <c r="F46" s="576"/>
      <c r="G46" s="579"/>
      <c r="H46" s="575"/>
      <c r="I46" s="555"/>
      <c r="J46" s="576"/>
      <c r="K46" s="579"/>
      <c r="L46" s="575"/>
      <c r="M46" s="555"/>
      <c r="N46" s="576"/>
      <c r="O46" s="579"/>
      <c r="P46" s="575"/>
      <c r="Q46" s="555"/>
      <c r="R46" s="576"/>
      <c r="S46" s="579"/>
      <c r="T46" s="575"/>
      <c r="U46" s="555"/>
      <c r="V46" s="576"/>
      <c r="W46" s="579"/>
      <c r="X46" s="575"/>
      <c r="Y46" s="555"/>
      <c r="Z46" s="576"/>
      <c r="AA46" s="579"/>
      <c r="AB46" s="575"/>
      <c r="AC46" s="555"/>
      <c r="AD46" s="576"/>
      <c r="AE46" s="579"/>
    </row>
  </sheetData>
  <mergeCells count="16">
    <mergeCell ref="AF9:AG9"/>
    <mergeCell ref="X1:AA1"/>
    <mergeCell ref="AB1:AE1"/>
    <mergeCell ref="B9:B10"/>
    <mergeCell ref="D9:G9"/>
    <mergeCell ref="H9:K9"/>
    <mergeCell ref="L9:O9"/>
    <mergeCell ref="P9:S9"/>
    <mergeCell ref="T9:W9"/>
    <mergeCell ref="X9:AA9"/>
    <mergeCell ref="AB9:AE9"/>
    <mergeCell ref="D1:G1"/>
    <mergeCell ref="H1:K1"/>
    <mergeCell ref="L1:O1"/>
    <mergeCell ref="P1:S1"/>
    <mergeCell ref="T1:W1"/>
  </mergeCells>
  <pageMargins left="0.51181102362204722" right="0.51181102362204722" top="0.55118110236220474" bottom="0.74803149606299213" header="0.31496062992125984" footer="0.31496062992125984"/>
  <pageSetup scale="25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F7CA1-E54B-4538-90DD-84E125F95E41}">
  <dimension ref="A1:BU140"/>
  <sheetViews>
    <sheetView zoomScale="70" zoomScaleNormal="70" workbookViewId="0">
      <selection activeCell="D18" sqref="D18"/>
    </sheetView>
  </sheetViews>
  <sheetFormatPr defaultRowHeight="14.4" x14ac:dyDescent="0.3"/>
  <cols>
    <col min="1" max="1" width="17.6640625" customWidth="1"/>
    <col min="2" max="2" width="18.109375" customWidth="1"/>
    <col min="3" max="3" width="17.88671875" customWidth="1"/>
    <col min="4" max="4" width="16.109375" customWidth="1"/>
    <col min="5" max="5" width="13.44140625" customWidth="1"/>
    <col min="6" max="6" width="14.109375" customWidth="1"/>
    <col min="7" max="7" width="13" customWidth="1"/>
    <col min="8" max="8" width="12.6640625" customWidth="1"/>
    <col min="9" max="10" width="18" customWidth="1"/>
    <col min="11" max="13" width="14.44140625" style="1192" customWidth="1"/>
    <col min="14" max="14" width="15.109375" style="1192" customWidth="1"/>
    <col min="15" max="17" width="14.44140625" style="1192" customWidth="1"/>
    <col min="18" max="18" width="12.44140625" style="1192" customWidth="1"/>
    <col min="19" max="25" width="14.6640625" style="1192" customWidth="1"/>
    <col min="26" max="26" width="19.44140625" style="1192" customWidth="1"/>
    <col min="27" max="27" width="13.33203125" style="1192" customWidth="1"/>
    <col min="28" max="28" width="15.5546875" style="1192" customWidth="1"/>
    <col min="29" max="29" width="12.6640625" style="1192" customWidth="1"/>
    <col min="30" max="30" width="18.44140625" style="1192" customWidth="1"/>
    <col min="31" max="31" width="15.109375" style="1192" customWidth="1"/>
    <col min="32" max="32" width="18.109375" style="1192" customWidth="1"/>
    <col min="33" max="33" width="15.88671875" style="1192" customWidth="1"/>
    <col min="34" max="34" width="16.33203125" style="1192" customWidth="1"/>
    <col min="35" max="36" width="15.5546875" style="1192" customWidth="1"/>
    <col min="37" max="37" width="14.109375" style="1192" customWidth="1"/>
    <col min="38" max="38" width="16.5546875" style="1192" customWidth="1"/>
    <col min="39" max="39" width="16.6640625" style="1192" customWidth="1"/>
    <col min="40" max="40" width="22" style="1192" customWidth="1"/>
    <col min="41" max="42" width="16" style="1192" customWidth="1"/>
    <col min="43" max="43" width="15.44140625" style="1192" customWidth="1"/>
    <col min="44" max="44" width="17.33203125" style="1192" customWidth="1"/>
    <col min="45" max="45" width="13.33203125" style="1192" customWidth="1"/>
    <col min="46" max="46" width="15.44140625" style="1192" customWidth="1"/>
    <col min="47" max="49" width="14.33203125" style="1192" customWidth="1"/>
    <col min="50" max="50" width="15.44140625" style="1192" customWidth="1"/>
    <col min="51" max="51" width="14.6640625" style="1192" customWidth="1"/>
    <col min="52" max="52" width="13.33203125" style="1192" customWidth="1"/>
    <col min="53" max="54" width="14.88671875" style="1192" customWidth="1"/>
    <col min="55" max="55" width="18" style="1192" customWidth="1"/>
    <col min="56" max="56" width="14.6640625" style="1192" customWidth="1"/>
    <col min="57" max="57" width="19.44140625" style="1192" customWidth="1"/>
    <col min="58" max="58" width="17.6640625" style="1192" customWidth="1"/>
    <col min="59" max="61" width="17.88671875" style="1192" customWidth="1"/>
    <col min="62" max="62" width="19.6640625" style="1192" customWidth="1"/>
    <col min="63" max="63" width="22.5546875" style="1192" customWidth="1"/>
    <col min="64" max="64" width="23.109375" style="1192" customWidth="1"/>
    <col min="65" max="66" width="15.109375" style="1192" customWidth="1"/>
    <col min="67" max="67" width="13.44140625" style="1192" customWidth="1"/>
    <col min="68" max="68" width="22.109375" style="1192" customWidth="1"/>
    <col min="69" max="69" width="17.109375" style="1192" customWidth="1"/>
    <col min="70" max="70" width="26.33203125" style="1192" customWidth="1"/>
  </cols>
  <sheetData>
    <row r="1" spans="1:73" ht="16.2" thickBot="1" x14ac:dyDescent="0.35">
      <c r="A1" s="2" t="s">
        <v>0</v>
      </c>
      <c r="B1" s="1874"/>
      <c r="C1" s="1875"/>
      <c r="D1" s="1876"/>
      <c r="E1" s="1"/>
      <c r="F1" s="1"/>
      <c r="G1" s="1"/>
      <c r="H1" s="1"/>
      <c r="I1" s="1"/>
      <c r="J1" s="1"/>
      <c r="K1" s="1081" t="s">
        <v>1</v>
      </c>
      <c r="L1" s="1082"/>
      <c r="M1" s="1083"/>
      <c r="N1" s="1084"/>
      <c r="O1" s="1085"/>
      <c r="P1" s="1085"/>
      <c r="Q1" s="1085"/>
      <c r="R1" s="1085"/>
      <c r="S1" s="1085"/>
      <c r="T1" s="1085"/>
      <c r="U1" s="1085"/>
      <c r="V1" s="1085"/>
      <c r="W1" s="1085"/>
      <c r="X1" s="1085"/>
      <c r="Y1" s="1085"/>
      <c r="Z1" s="1085"/>
      <c r="AA1" s="1085"/>
      <c r="AB1" s="1085"/>
      <c r="AC1" s="1085"/>
      <c r="AD1" s="1085"/>
      <c r="AE1" s="1085"/>
      <c r="AF1" s="1085"/>
      <c r="AG1" s="1085"/>
      <c r="AH1" s="1085"/>
      <c r="AI1" s="1085"/>
      <c r="AJ1" s="1085"/>
      <c r="AK1" s="1085"/>
      <c r="AL1" s="1085"/>
      <c r="AM1" s="1085"/>
      <c r="AN1" s="1085"/>
      <c r="AO1" s="1085"/>
      <c r="AP1" s="1085"/>
      <c r="AQ1" s="1085"/>
      <c r="AR1" s="1085"/>
      <c r="AS1" s="1085"/>
      <c r="AT1" s="1085"/>
      <c r="AU1" s="1085"/>
      <c r="AV1" s="1085"/>
      <c r="AW1" s="1085"/>
      <c r="AX1" s="1085"/>
      <c r="AY1" s="1085"/>
      <c r="AZ1" s="1085"/>
      <c r="BA1" s="1085"/>
      <c r="BB1" s="1085"/>
      <c r="BC1" s="1085"/>
      <c r="BD1" s="1085"/>
      <c r="BE1" s="1085"/>
      <c r="BF1" s="1085"/>
      <c r="BG1" s="1085"/>
      <c r="BH1" s="1085"/>
      <c r="BI1" s="1085"/>
      <c r="BJ1" s="1085"/>
      <c r="BK1" s="1085"/>
      <c r="BL1" s="1085"/>
      <c r="BM1" s="1085"/>
      <c r="BN1" s="1085"/>
      <c r="BO1" s="1085"/>
      <c r="BP1" s="1085"/>
      <c r="BQ1" s="1085"/>
      <c r="BR1" s="1085"/>
      <c r="BS1" s="1"/>
      <c r="BT1" s="7"/>
    </row>
    <row r="2" spans="1:73" ht="15" thickBot="1" x14ac:dyDescent="0.35">
      <c r="A2" s="1873" t="s">
        <v>2</v>
      </c>
      <c r="B2" s="1877" t="s">
        <v>9</v>
      </c>
      <c r="C2" s="10" t="s">
        <v>3</v>
      </c>
      <c r="D2" s="10" t="s">
        <v>4</v>
      </c>
      <c r="E2" s="10" t="s">
        <v>5</v>
      </c>
      <c r="F2" s="10" t="s">
        <v>6</v>
      </c>
      <c r="G2" s="10" t="s">
        <v>7</v>
      </c>
      <c r="H2" s="11" t="s">
        <v>8</v>
      </c>
      <c r="I2" s="11" t="s">
        <v>9</v>
      </c>
      <c r="J2" s="12"/>
      <c r="K2" s="1086" t="s">
        <v>2</v>
      </c>
      <c r="L2" s="1086" t="s">
        <v>9</v>
      </c>
      <c r="M2" s="1087" t="s">
        <v>3</v>
      </c>
      <c r="N2" s="1088" t="s">
        <v>4</v>
      </c>
      <c r="O2" s="1088" t="s">
        <v>5</v>
      </c>
      <c r="P2" s="1088" t="s">
        <v>6</v>
      </c>
      <c r="Q2" s="1088" t="s">
        <v>7</v>
      </c>
      <c r="R2" s="1089" t="s">
        <v>8</v>
      </c>
      <c r="S2" s="1090" t="s">
        <v>9</v>
      </c>
      <c r="T2" s="1832"/>
      <c r="U2" s="1832"/>
      <c r="V2" s="1832"/>
      <c r="W2" s="1832"/>
      <c r="X2" s="1832"/>
      <c r="Y2" s="1832"/>
      <c r="Z2" s="1085"/>
      <c r="AA2" s="1085"/>
      <c r="AB2" s="1085"/>
      <c r="AC2" s="1085"/>
      <c r="AD2" s="1085"/>
      <c r="AE2" s="1085"/>
      <c r="AF2" s="1085"/>
      <c r="AG2" s="1085"/>
      <c r="AH2" s="1085"/>
      <c r="AI2" s="1085"/>
      <c r="AJ2" s="1085"/>
      <c r="AK2" s="1085"/>
      <c r="AL2" s="1085"/>
      <c r="AM2" s="1085"/>
      <c r="AN2" s="1085"/>
      <c r="AO2" s="1085"/>
      <c r="AP2" s="1085"/>
      <c r="AQ2" s="1085"/>
      <c r="AR2" s="1085"/>
      <c r="AS2" s="1085"/>
      <c r="AT2" s="1085"/>
      <c r="AU2" s="1085"/>
      <c r="AV2" s="1085"/>
      <c r="AW2" s="1085"/>
      <c r="AX2" s="1085"/>
      <c r="AY2" s="1085"/>
      <c r="AZ2" s="1085"/>
      <c r="BA2" s="1085"/>
      <c r="BB2" s="1085"/>
      <c r="BC2" s="1085"/>
      <c r="BD2" s="1085"/>
      <c r="BE2" s="1085"/>
      <c r="BF2" s="1085"/>
      <c r="BG2" s="1085"/>
      <c r="BH2" s="1085"/>
      <c r="BI2" s="1085"/>
      <c r="BJ2" s="1085"/>
      <c r="BK2" s="1085"/>
      <c r="BL2" s="1085"/>
      <c r="BM2" s="1085"/>
      <c r="BN2" s="1085"/>
      <c r="BO2" s="1085"/>
      <c r="BP2" s="1085"/>
      <c r="BQ2" s="1085"/>
      <c r="BR2" s="1085"/>
      <c r="BS2" s="1085"/>
      <c r="BT2" s="1"/>
      <c r="BU2" s="7"/>
    </row>
    <row r="3" spans="1:73" x14ac:dyDescent="0.3">
      <c r="A3" s="16" t="s">
        <v>10</v>
      </c>
      <c r="B3" s="1878">
        <f>SUM(T85:T90)</f>
        <v>0</v>
      </c>
      <c r="C3" s="1091">
        <f>SUM(Z85:Z90)</f>
        <v>0</v>
      </c>
      <c r="D3" s="1091">
        <f>SUM(AF85:AF90)</f>
        <v>0</v>
      </c>
      <c r="E3" s="1091">
        <f>SUM(AL85:AL90)</f>
        <v>0</v>
      </c>
      <c r="F3" s="1092">
        <f>SUM(AR85:AR90)</f>
        <v>0</v>
      </c>
      <c r="G3" s="1093">
        <f>SUM(AX85:AX90)</f>
        <v>0</v>
      </c>
      <c r="H3" s="1093">
        <f>SUM(BJ85:BJ90)</f>
        <v>0</v>
      </c>
      <c r="I3" s="1093">
        <v>0</v>
      </c>
      <c r="J3" s="12"/>
      <c r="K3" s="1094" t="s">
        <v>11</v>
      </c>
      <c r="L3" s="1274">
        <f>SUM(T28:T41)</f>
        <v>0</v>
      </c>
      <c r="M3" s="1095">
        <f>SUM(Z28:Z41)</f>
        <v>0</v>
      </c>
      <c r="N3" s="1095">
        <f>SUM(AF28:AF41)</f>
        <v>0</v>
      </c>
      <c r="O3" s="1096">
        <f>SUM(AL28:AL41)</f>
        <v>0</v>
      </c>
      <c r="P3" s="1096">
        <f>SUM(AR28:AR41)</f>
        <v>9000</v>
      </c>
      <c r="Q3" s="1096">
        <f>SUM(AX28:AX41)</f>
        <v>0</v>
      </c>
      <c r="R3" s="1097">
        <f>SUM(BD28:BD41)</f>
        <v>0</v>
      </c>
      <c r="S3" s="1098">
        <f>SUM(BJ28:BJ41)</f>
        <v>0</v>
      </c>
      <c r="T3" s="1222"/>
      <c r="U3" s="1222"/>
      <c r="V3" s="1222"/>
      <c r="W3" s="1222"/>
      <c r="X3" s="1222"/>
      <c r="Y3" s="1222"/>
      <c r="Z3" s="1085"/>
      <c r="AA3" s="1085"/>
      <c r="AB3" s="1085"/>
      <c r="AC3" s="1085"/>
      <c r="AD3" s="1085"/>
      <c r="AE3" s="1085"/>
      <c r="AF3" s="1085"/>
      <c r="AG3" s="1085"/>
      <c r="AH3" s="1085"/>
      <c r="AI3" s="1085"/>
      <c r="AJ3" s="1085"/>
      <c r="AK3" s="1085"/>
      <c r="AL3" s="1085"/>
      <c r="AM3" s="1085"/>
      <c r="AN3" s="1085"/>
      <c r="AO3" s="1085"/>
      <c r="AP3" s="1085"/>
      <c r="AQ3" s="1085"/>
      <c r="AR3" s="1085"/>
      <c r="AS3" s="1085"/>
      <c r="AT3" s="1085"/>
      <c r="AU3" s="1085"/>
      <c r="AV3" s="1085"/>
      <c r="AW3" s="1085"/>
      <c r="AX3" s="1085"/>
      <c r="AY3" s="1085"/>
      <c r="AZ3" s="1085"/>
      <c r="BA3" s="1085"/>
      <c r="BB3" s="1085"/>
      <c r="BC3" s="1085"/>
      <c r="BD3" s="1085"/>
      <c r="BE3" s="1085"/>
      <c r="BF3" s="1085"/>
      <c r="BG3" s="1085"/>
      <c r="BH3" s="1085"/>
      <c r="BI3" s="1085"/>
      <c r="BJ3" s="1085"/>
      <c r="BK3" s="1085"/>
      <c r="BL3" s="1085"/>
      <c r="BM3" s="1085"/>
      <c r="BN3" s="1085"/>
      <c r="BO3" s="1085"/>
      <c r="BP3" s="1085"/>
      <c r="BQ3" s="1085"/>
      <c r="BR3" s="1085"/>
      <c r="BS3" s="1085"/>
      <c r="BT3" s="1"/>
      <c r="BU3" s="7"/>
    </row>
    <row r="4" spans="1:73" x14ac:dyDescent="0.3">
      <c r="A4" s="25" t="s">
        <v>12</v>
      </c>
      <c r="B4" s="1879">
        <f>SUM(U85:U90)</f>
        <v>0</v>
      </c>
      <c r="C4" s="1096">
        <f>SUM(AA85:AA90)</f>
        <v>0</v>
      </c>
      <c r="D4" s="1099">
        <f>SUM(AG85:AG90)</f>
        <v>0</v>
      </c>
      <c r="E4" s="1097">
        <f>SUM(AM85:AM90)</f>
        <v>0</v>
      </c>
      <c r="F4" s="1100">
        <f>SUM(AS85:AS90)</f>
        <v>0</v>
      </c>
      <c r="G4" s="1101">
        <f>SUM(AY85:AY90)</f>
        <v>0</v>
      </c>
      <c r="H4" s="1101">
        <v>0</v>
      </c>
      <c r="I4" s="1101">
        <f>BK85+BK86+BK87+BK88+BK89+BK90</f>
        <v>0</v>
      </c>
      <c r="J4" s="1"/>
      <c r="K4" s="1102" t="s">
        <v>13</v>
      </c>
      <c r="L4" s="1129">
        <f>SUM(V28:V41)</f>
        <v>0</v>
      </c>
      <c r="M4" s="1103">
        <f>AB34</f>
        <v>0</v>
      </c>
      <c r="N4" s="1099">
        <f>AH34</f>
        <v>0</v>
      </c>
      <c r="O4" s="1104">
        <f>AN34</f>
        <v>0</v>
      </c>
      <c r="P4" s="1099">
        <f>AT34</f>
        <v>0</v>
      </c>
      <c r="Q4" s="1099">
        <f>AZ34</f>
        <v>0</v>
      </c>
      <c r="R4" s="1105">
        <f>BF34</f>
        <v>0</v>
      </c>
      <c r="S4" s="1106">
        <f>BL34</f>
        <v>0</v>
      </c>
      <c r="T4" s="1833"/>
      <c r="U4" s="1833"/>
      <c r="V4" s="1833"/>
      <c r="W4" s="1833"/>
      <c r="X4" s="1833"/>
      <c r="Y4" s="1833"/>
      <c r="Z4" s="1085"/>
      <c r="AA4" s="1085"/>
      <c r="AB4" s="1085"/>
      <c r="AC4" s="1085"/>
      <c r="AD4" s="1085"/>
      <c r="AE4" s="1085"/>
      <c r="AF4" s="1085"/>
      <c r="AG4" s="1085"/>
      <c r="AH4" s="1085"/>
      <c r="AI4" s="1085"/>
      <c r="AJ4" s="1085"/>
      <c r="AK4" s="1085"/>
      <c r="AL4" s="1085"/>
      <c r="AM4" s="1085"/>
      <c r="AN4" s="1085"/>
      <c r="AO4" s="1085"/>
      <c r="AP4" s="1085"/>
      <c r="AQ4" s="1085"/>
      <c r="AR4" s="1085"/>
      <c r="AS4" s="1085"/>
      <c r="AT4" s="1085"/>
      <c r="AU4" s="1085"/>
      <c r="AV4" s="1085"/>
      <c r="AW4" s="1085"/>
      <c r="AX4" s="1085"/>
      <c r="AY4" s="1085"/>
      <c r="AZ4" s="1085"/>
      <c r="BA4" s="1085"/>
      <c r="BB4" s="1085"/>
      <c r="BC4" s="1085"/>
      <c r="BD4" s="1085"/>
      <c r="BE4" s="1085"/>
      <c r="BF4" s="1085"/>
      <c r="BG4" s="1085"/>
      <c r="BH4" s="1085"/>
      <c r="BI4" s="1085"/>
      <c r="BJ4" s="1085"/>
      <c r="BK4" s="1085"/>
      <c r="BL4" s="1085"/>
      <c r="BM4" s="1085"/>
      <c r="BN4" s="1085"/>
      <c r="BO4" s="1085"/>
      <c r="BP4" s="1085"/>
      <c r="BQ4" s="1085"/>
      <c r="BR4" s="1085"/>
      <c r="BS4" s="1085"/>
      <c r="BT4" s="1"/>
      <c r="BU4" s="7"/>
    </row>
    <row r="5" spans="1:73" x14ac:dyDescent="0.3">
      <c r="A5" s="35" t="s">
        <v>14</v>
      </c>
      <c r="B5" s="1880">
        <f>SUM(V85:V90)</f>
        <v>0</v>
      </c>
      <c r="C5" s="1104">
        <f>SUM(AB85:AB90)</f>
        <v>0</v>
      </c>
      <c r="D5" s="1099">
        <f>SUM(AH85:AH90)</f>
        <v>0</v>
      </c>
      <c r="E5" s="1105">
        <f>SUM(AN85:AN90)</f>
        <v>0</v>
      </c>
      <c r="F5" s="1106">
        <f>SUM(AT85:AT90)</f>
        <v>6000</v>
      </c>
      <c r="G5" s="1101">
        <f>SUM(AZ85:AZ90)</f>
        <v>0</v>
      </c>
      <c r="H5" s="1101">
        <f>SUM(BF85:BF90)</f>
        <v>0</v>
      </c>
      <c r="I5" s="1101">
        <f>BL85+BL86+BL87+BL88+BL89+BL90</f>
        <v>0</v>
      </c>
      <c r="J5" s="1"/>
      <c r="K5" s="1102" t="s">
        <v>15</v>
      </c>
      <c r="L5" s="1129">
        <f>SUM(U28:U41)</f>
        <v>0</v>
      </c>
      <c r="M5" s="1103">
        <f>SUM(AA28:AA41)</f>
        <v>0</v>
      </c>
      <c r="N5" s="1099">
        <f>SUM(AG28:AG41)</f>
        <v>0</v>
      </c>
      <c r="O5" s="1099">
        <f>SUM(AM28:AM41)</f>
        <v>0</v>
      </c>
      <c r="P5" s="1099">
        <f>SUM(AS28:AS41)</f>
        <v>0</v>
      </c>
      <c r="Q5" s="1099">
        <f>SUM(AY28:AY41)</f>
        <v>0</v>
      </c>
      <c r="R5" s="1105">
        <f>SUM(BE28:BE41)</f>
        <v>0</v>
      </c>
      <c r="S5" s="1106">
        <f>SUM(BK28:BK41)</f>
        <v>0</v>
      </c>
      <c r="T5" s="1833"/>
      <c r="U5" s="1833"/>
      <c r="V5" s="1833"/>
      <c r="W5" s="1833"/>
      <c r="X5" s="1833"/>
      <c r="Y5" s="1833"/>
      <c r="Z5" s="1085"/>
      <c r="AA5" s="1085"/>
      <c r="AB5" s="1085"/>
      <c r="AC5" s="1085"/>
      <c r="AD5" s="1085"/>
      <c r="AE5" s="1085"/>
      <c r="AF5" s="1085"/>
      <c r="AG5" s="1085"/>
      <c r="AH5" s="1085"/>
      <c r="AI5" s="1085"/>
      <c r="AJ5" s="1085"/>
      <c r="AK5" s="1085"/>
      <c r="AL5" s="1085"/>
      <c r="AM5" s="1085"/>
      <c r="AN5" s="1085"/>
      <c r="AO5" s="1085"/>
      <c r="AP5" s="1085"/>
      <c r="AQ5" s="1085"/>
      <c r="AR5" s="1085"/>
      <c r="AS5" s="1085"/>
      <c r="AT5" s="1085"/>
      <c r="AU5" s="1085"/>
      <c r="AV5" s="1085"/>
      <c r="AW5" s="1085"/>
      <c r="AX5" s="1085"/>
      <c r="AY5" s="1085"/>
      <c r="AZ5" s="1085"/>
      <c r="BA5" s="1085"/>
      <c r="BB5" s="1085"/>
      <c r="BC5" s="1085"/>
      <c r="BD5" s="1085"/>
      <c r="BE5" s="1085"/>
      <c r="BF5" s="1085"/>
      <c r="BG5" s="1085"/>
      <c r="BH5" s="1085"/>
      <c r="BI5" s="1085"/>
      <c r="BJ5" s="1085"/>
      <c r="BK5" s="1085"/>
      <c r="BL5" s="1085"/>
      <c r="BM5" s="1085"/>
      <c r="BN5" s="1085"/>
      <c r="BO5" s="1085"/>
      <c r="BP5" s="1085"/>
      <c r="BQ5" s="1085"/>
      <c r="BR5" s="1085"/>
      <c r="BS5" s="1085"/>
      <c r="BT5" s="1"/>
      <c r="BU5" s="7"/>
    </row>
    <row r="6" spans="1:73" ht="15" thickBot="1" x14ac:dyDescent="0.35">
      <c r="A6" s="36" t="s">
        <v>16</v>
      </c>
      <c r="B6" s="1881">
        <f>SUM(W85:W90)</f>
        <v>0</v>
      </c>
      <c r="C6" s="1107">
        <f>SUM(AC85:AC90)</f>
        <v>0</v>
      </c>
      <c r="D6" s="1107">
        <f>SUM(AI85:AI90)</f>
        <v>6000</v>
      </c>
      <c r="E6" s="1105">
        <f>SUM(AO85:AO90)</f>
        <v>0</v>
      </c>
      <c r="F6" s="1108">
        <f>SUM(AU85:AU90)</f>
        <v>3000</v>
      </c>
      <c r="G6" s="1109">
        <f>SUM(BA85:BA90)</f>
        <v>0</v>
      </c>
      <c r="H6" s="1109">
        <f>SUM(BG85:BG90)</f>
        <v>0</v>
      </c>
      <c r="I6" s="1109">
        <f>SUM(BM85:BM90)</f>
        <v>0</v>
      </c>
      <c r="J6" s="1"/>
      <c r="K6" s="1102" t="s">
        <v>17</v>
      </c>
      <c r="L6" s="1129">
        <f>SUM(T47:T62)</f>
        <v>0</v>
      </c>
      <c r="M6" s="1103">
        <f>SUM(Z47:Z62)</f>
        <v>0</v>
      </c>
      <c r="N6" s="1099">
        <f>SUM(AF47:AF62)</f>
        <v>0</v>
      </c>
      <c r="O6" s="1099">
        <f>SUM(AL47:AL62)</f>
        <v>0</v>
      </c>
      <c r="P6" s="1099">
        <f>SUM(AR47:AR62)</f>
        <v>0</v>
      </c>
      <c r="Q6" s="1099">
        <f>SUM(AX47:AX62)</f>
        <v>0</v>
      </c>
      <c r="R6" s="1105">
        <f>SUM(BD47:BD62)</f>
        <v>0</v>
      </c>
      <c r="S6" s="1106">
        <f>SUM(BJ47:BJ62)</f>
        <v>0</v>
      </c>
      <c r="T6" s="1833"/>
      <c r="U6" s="1833"/>
      <c r="V6" s="1833"/>
      <c r="W6" s="1833"/>
      <c r="X6" s="1833"/>
      <c r="Y6" s="1833"/>
      <c r="Z6" s="1085"/>
      <c r="AA6" s="1085"/>
      <c r="AB6" s="1085"/>
      <c r="AC6" s="1085"/>
      <c r="AD6" s="1085"/>
      <c r="AE6" s="1085"/>
      <c r="AF6" s="1085"/>
      <c r="AG6" s="1085"/>
      <c r="AH6" s="1085"/>
      <c r="AI6" s="1085"/>
      <c r="AJ6" s="1085"/>
      <c r="AK6" s="1085"/>
      <c r="AL6" s="1085"/>
      <c r="AM6" s="1085"/>
      <c r="AN6" s="1085"/>
      <c r="AO6" s="1085"/>
      <c r="AP6" s="1085"/>
      <c r="AQ6" s="1085"/>
      <c r="AR6" s="1085"/>
      <c r="AS6" s="1085"/>
      <c r="AT6" s="1085"/>
      <c r="AU6" s="1085"/>
      <c r="AV6" s="1085"/>
      <c r="AW6" s="1085"/>
      <c r="AX6" s="1085"/>
      <c r="AY6" s="1085"/>
      <c r="AZ6" s="1085"/>
      <c r="BA6" s="1085"/>
      <c r="BB6" s="1085"/>
      <c r="BC6" s="1085"/>
      <c r="BD6" s="1085"/>
      <c r="BE6" s="1085"/>
      <c r="BF6" s="1085"/>
      <c r="BG6" s="1085"/>
      <c r="BH6" s="1085"/>
      <c r="BI6" s="1085"/>
      <c r="BJ6" s="1085"/>
      <c r="BK6" s="1085"/>
      <c r="BL6" s="1085"/>
      <c r="BM6" s="1085"/>
      <c r="BN6" s="1085"/>
      <c r="BO6" s="1085"/>
      <c r="BP6" s="1085"/>
      <c r="BQ6" s="1085"/>
      <c r="BR6" s="1085"/>
      <c r="BS6" s="1085"/>
      <c r="BT6" s="1"/>
      <c r="BU6" s="7"/>
    </row>
    <row r="7" spans="1:73" ht="15" thickBot="1" x14ac:dyDescent="0.35">
      <c r="A7" s="42" t="s">
        <v>18</v>
      </c>
      <c r="B7" s="1110">
        <f t="shared" ref="B7:I7" si="0">SUM(B3:B6)</f>
        <v>0</v>
      </c>
      <c r="C7" s="1110">
        <f t="shared" si="0"/>
        <v>0</v>
      </c>
      <c r="D7" s="1111">
        <f t="shared" si="0"/>
        <v>6000</v>
      </c>
      <c r="E7" s="1111">
        <f t="shared" si="0"/>
        <v>0</v>
      </c>
      <c r="F7" s="1111">
        <f t="shared" si="0"/>
        <v>9000</v>
      </c>
      <c r="G7" s="1111">
        <f t="shared" si="0"/>
        <v>0</v>
      </c>
      <c r="H7" s="1111">
        <f t="shared" si="0"/>
        <v>0</v>
      </c>
      <c r="I7" s="1111">
        <f t="shared" si="0"/>
        <v>0</v>
      </c>
      <c r="J7" s="1"/>
      <c r="K7" s="1112" t="s">
        <v>19</v>
      </c>
      <c r="L7" s="1194">
        <f>SUM(V47:V62)</f>
        <v>0</v>
      </c>
      <c r="M7" s="1103">
        <f>SUM(AB47:AB62)</f>
        <v>0</v>
      </c>
      <c r="N7" s="1104">
        <f>SUM(AH47:AH62)</f>
        <v>0</v>
      </c>
      <c r="O7" s="1104">
        <f>SUM(AN47:AN62)</f>
        <v>0</v>
      </c>
      <c r="P7" s="1104">
        <f>SUM(AT47:AT62)</f>
        <v>0</v>
      </c>
      <c r="Q7" s="1099">
        <f>SUM(AZ47:AZ62)</f>
        <v>0</v>
      </c>
      <c r="R7" s="1105">
        <f>SUM(BF47:BF62)</f>
        <v>0</v>
      </c>
      <c r="S7" s="1106">
        <f>SUM(BL47:BL62)</f>
        <v>0</v>
      </c>
      <c r="T7" s="1833"/>
      <c r="U7" s="1833"/>
      <c r="V7" s="1833"/>
      <c r="W7" s="1833"/>
      <c r="X7" s="1833"/>
      <c r="Y7" s="1833"/>
      <c r="Z7" s="1085"/>
      <c r="AA7" s="1085"/>
      <c r="AB7" s="1085"/>
      <c r="AC7" s="1085"/>
      <c r="AD7" s="1085"/>
      <c r="AE7" s="1085"/>
      <c r="AF7" s="1085"/>
      <c r="AG7" s="1085"/>
      <c r="AH7" s="1085"/>
      <c r="AI7" s="1085"/>
      <c r="AJ7" s="1085"/>
      <c r="AK7" s="1085"/>
      <c r="AL7" s="1085"/>
      <c r="AM7" s="1085"/>
      <c r="AN7" s="1085"/>
      <c r="AO7" s="1085"/>
      <c r="AP7" s="1085"/>
      <c r="AQ7" s="1085"/>
      <c r="AR7" s="1085"/>
      <c r="AS7" s="1085"/>
      <c r="AT7" s="1085"/>
      <c r="AU7" s="1085"/>
      <c r="AV7" s="1085"/>
      <c r="AW7" s="1085"/>
      <c r="AX7" s="1085"/>
      <c r="AY7" s="1085"/>
      <c r="AZ7" s="1085"/>
      <c r="BA7" s="1085"/>
      <c r="BB7" s="1085"/>
      <c r="BC7" s="1085"/>
      <c r="BD7" s="1085"/>
      <c r="BE7" s="1085"/>
      <c r="BF7" s="1085"/>
      <c r="BG7" s="1085"/>
      <c r="BH7" s="1085"/>
      <c r="BI7" s="1085"/>
      <c r="BJ7" s="1085"/>
      <c r="BK7" s="1085"/>
      <c r="BL7" s="1085"/>
      <c r="BM7" s="1085"/>
      <c r="BN7" s="1085"/>
      <c r="BO7" s="1085"/>
      <c r="BP7" s="1085"/>
      <c r="BQ7" s="1085"/>
      <c r="BR7" s="1085"/>
      <c r="BS7" s="1085"/>
      <c r="BT7" s="1"/>
      <c r="BU7" s="7"/>
    </row>
    <row r="8" spans="1:73" ht="15" thickBot="1" x14ac:dyDescent="0.35">
      <c r="A8" s="47"/>
      <c r="B8" s="48"/>
      <c r="C8" s="48"/>
      <c r="D8" s="48"/>
      <c r="E8" s="48"/>
      <c r="F8" s="48"/>
      <c r="G8" s="1"/>
      <c r="H8" s="1"/>
      <c r="I8" s="1"/>
      <c r="J8" s="1"/>
      <c r="K8" s="1112" t="s">
        <v>20</v>
      </c>
      <c r="L8" s="1194">
        <f>SUM(U47:U62)</f>
        <v>0</v>
      </c>
      <c r="M8" s="1113">
        <f>SUM(AA47:AA62)</f>
        <v>0</v>
      </c>
      <c r="N8" s="1114">
        <f>SUM(AG47:AG62)</f>
        <v>0</v>
      </c>
      <c r="O8" s="1114">
        <f>SUM(AM47:AM62)</f>
        <v>0</v>
      </c>
      <c r="P8" s="1114">
        <f>SUM(AS47:AS62)</f>
        <v>0</v>
      </c>
      <c r="Q8" s="1114">
        <f>SUM(AY47:AY62)</f>
        <v>0</v>
      </c>
      <c r="R8" s="1115">
        <f>SUM(BE47:BE62)</f>
        <v>0</v>
      </c>
      <c r="S8" s="1116">
        <f>SUM(BK47:BK62)</f>
        <v>0</v>
      </c>
      <c r="T8" s="1222"/>
      <c r="U8" s="1222"/>
      <c r="V8" s="1222"/>
      <c r="W8" s="1222"/>
      <c r="X8" s="1222"/>
      <c r="Y8" s="1222"/>
      <c r="Z8" s="1085"/>
      <c r="AA8" s="1085"/>
      <c r="AB8" s="1085"/>
      <c r="AC8" s="1085"/>
      <c r="AD8" s="1085"/>
      <c r="AE8" s="1085"/>
      <c r="AF8" s="1085"/>
      <c r="AG8" s="1085"/>
      <c r="AH8" s="1085"/>
      <c r="AI8" s="1085"/>
      <c r="AJ8" s="1085"/>
      <c r="AK8" s="1085"/>
      <c r="AL8" s="1085"/>
      <c r="AM8" s="1085"/>
      <c r="AN8" s="1085"/>
      <c r="AO8" s="1085"/>
      <c r="AP8" s="1085"/>
      <c r="AQ8" s="1085"/>
      <c r="AR8" s="1085"/>
      <c r="AS8" s="1085"/>
      <c r="AT8" s="1085"/>
      <c r="AU8" s="1085"/>
      <c r="AV8" s="1085"/>
      <c r="AW8" s="1085"/>
      <c r="AX8" s="1085"/>
      <c r="AY8" s="1085"/>
      <c r="AZ8" s="1085"/>
      <c r="BA8" s="1085"/>
      <c r="BB8" s="1085"/>
      <c r="BC8" s="1085"/>
      <c r="BD8" s="1085"/>
      <c r="BE8" s="1085"/>
      <c r="BF8" s="1085"/>
      <c r="BG8" s="1085"/>
      <c r="BH8" s="1085"/>
      <c r="BI8" s="1085"/>
      <c r="BJ8" s="1085"/>
      <c r="BK8" s="1085"/>
      <c r="BL8" s="1085"/>
      <c r="BM8" s="1085"/>
      <c r="BN8" s="1085"/>
      <c r="BO8" s="1085"/>
      <c r="BP8" s="1085"/>
      <c r="BQ8" s="1085"/>
      <c r="BR8" s="1085"/>
      <c r="BS8" s="1085"/>
      <c r="BT8" s="1"/>
      <c r="BU8" s="7"/>
    </row>
    <row r="9" spans="1:73" ht="15" thickBot="1" x14ac:dyDescent="0.35">
      <c r="A9" s="2736" t="s">
        <v>21</v>
      </c>
      <c r="B9" s="2737"/>
      <c r="C9" s="2737"/>
      <c r="D9" s="2738"/>
      <c r="E9" s="53"/>
      <c r="F9" s="54"/>
      <c r="G9" s="55"/>
      <c r="H9" s="55"/>
      <c r="I9" s="1"/>
      <c r="J9" s="1"/>
      <c r="K9" s="1102" t="s">
        <v>309</v>
      </c>
      <c r="L9" s="1129">
        <f>SUM(W28:W41)</f>
        <v>0</v>
      </c>
      <c r="M9" s="1113">
        <f>SUM(AC28:AC41)</f>
        <v>0</v>
      </c>
      <c r="N9" s="1114">
        <f>SUM(AI28:AI41)</f>
        <v>0</v>
      </c>
      <c r="O9" s="1114">
        <v>0</v>
      </c>
      <c r="P9" s="1114">
        <f>SUM(AU28:AU41)</f>
        <v>0</v>
      </c>
      <c r="Q9" s="1114">
        <f>SUM(BA28:BA41)</f>
        <v>0</v>
      </c>
      <c r="R9" s="1115">
        <f>SUM(BG28:BG41)</f>
        <v>0</v>
      </c>
      <c r="S9" s="1117">
        <f>SUM(BM28:BM41)</f>
        <v>0</v>
      </c>
      <c r="Z9" s="1085"/>
      <c r="AA9" s="1085"/>
      <c r="AB9" s="1085"/>
      <c r="AC9" s="1085"/>
      <c r="AD9" s="1085"/>
      <c r="AE9" s="1085"/>
      <c r="AF9" s="1085"/>
      <c r="AG9" s="1085"/>
      <c r="AH9" s="1085"/>
      <c r="AI9" s="1085"/>
      <c r="AJ9" s="1085"/>
      <c r="AK9" s="1085"/>
      <c r="AL9" s="1085"/>
      <c r="AM9" s="1085"/>
      <c r="AN9" s="1085"/>
      <c r="AO9" s="1085"/>
      <c r="AP9" s="1085"/>
      <c r="AQ9" s="1085"/>
      <c r="AR9" s="1085"/>
      <c r="AS9" s="1085"/>
      <c r="AT9" s="1085"/>
      <c r="AU9" s="1085"/>
      <c r="AV9" s="1085"/>
      <c r="AW9" s="1085"/>
      <c r="AX9" s="1085"/>
      <c r="AY9" s="1085"/>
      <c r="AZ9" s="1085"/>
      <c r="BA9" s="1085"/>
      <c r="BB9" s="1085"/>
      <c r="BC9" s="1085"/>
      <c r="BD9" s="1085"/>
      <c r="BE9" s="1085"/>
      <c r="BF9" s="1085"/>
      <c r="BG9" s="1085"/>
      <c r="BH9" s="1085"/>
      <c r="BI9" s="1085"/>
      <c r="BJ9" s="1085"/>
      <c r="BK9" s="1085"/>
      <c r="BL9" s="1085"/>
      <c r="BM9" s="1085"/>
      <c r="BN9" s="1085"/>
      <c r="BO9" s="1085"/>
      <c r="BP9" s="1085"/>
      <c r="BQ9" s="1085"/>
      <c r="BR9" s="1085"/>
      <c r="BS9" s="1085"/>
      <c r="BT9" s="1"/>
      <c r="BU9" s="7"/>
    </row>
    <row r="10" spans="1:73" ht="15" thickBot="1" x14ac:dyDescent="0.35">
      <c r="A10" s="60" t="s">
        <v>2</v>
      </c>
      <c r="B10" s="61" t="s">
        <v>9</v>
      </c>
      <c r="C10" s="61" t="s">
        <v>3</v>
      </c>
      <c r="D10" s="61" t="s">
        <v>4</v>
      </c>
      <c r="E10" s="61" t="s">
        <v>5</v>
      </c>
      <c r="F10" s="62" t="s">
        <v>6</v>
      </c>
      <c r="G10" s="62" t="s">
        <v>7</v>
      </c>
      <c r="H10" s="63" t="s">
        <v>8</v>
      </c>
      <c r="I10" s="13" t="s">
        <v>9</v>
      </c>
      <c r="J10" s="1"/>
      <c r="K10" s="1102"/>
      <c r="L10" s="1129"/>
      <c r="M10" s="1113"/>
      <c r="N10" s="1118"/>
      <c r="O10" s="1118"/>
      <c r="P10" s="1118"/>
      <c r="Q10" s="1118"/>
      <c r="R10" s="1119"/>
      <c r="S10" s="1117"/>
      <c r="Z10" s="1085"/>
      <c r="AA10" s="1085"/>
      <c r="AB10" s="1085"/>
      <c r="AC10" s="1085"/>
      <c r="AD10" s="1085"/>
      <c r="AE10" s="1085"/>
      <c r="AF10" s="1085"/>
      <c r="AG10" s="1085"/>
      <c r="AH10" s="1085"/>
      <c r="AI10" s="1085"/>
      <c r="AJ10" s="1085"/>
      <c r="AK10" s="1085"/>
      <c r="AL10" s="1085"/>
      <c r="AM10" s="1085"/>
      <c r="AN10" s="1085"/>
      <c r="AO10" s="1085"/>
      <c r="AP10" s="1085"/>
      <c r="AQ10" s="1085"/>
      <c r="AR10" s="1085"/>
      <c r="AS10" s="1085"/>
      <c r="AT10" s="1085"/>
      <c r="AU10" s="1085"/>
      <c r="AV10" s="1085"/>
      <c r="AW10" s="1085"/>
      <c r="AX10" s="1085"/>
      <c r="AY10" s="1085"/>
      <c r="AZ10" s="1085"/>
      <c r="BA10" s="1085"/>
      <c r="BB10" s="1085"/>
      <c r="BC10" s="1085"/>
      <c r="BD10" s="1085"/>
      <c r="BE10" s="1085"/>
      <c r="BF10" s="1085"/>
      <c r="BG10" s="1085"/>
      <c r="BH10" s="1085"/>
      <c r="BI10" s="1085"/>
      <c r="BJ10" s="1085"/>
      <c r="BK10" s="1085"/>
      <c r="BL10" s="1085"/>
      <c r="BM10" s="1085"/>
      <c r="BN10" s="1085"/>
      <c r="BO10" s="1085"/>
      <c r="BP10" s="1085"/>
      <c r="BQ10" s="1085"/>
      <c r="BR10" s="1085"/>
      <c r="BS10" s="1085"/>
      <c r="BT10" s="1"/>
      <c r="BU10" s="7"/>
    </row>
    <row r="11" spans="1:73" ht="15" thickBot="1" x14ac:dyDescent="0.35">
      <c r="A11" s="64" t="s">
        <v>22</v>
      </c>
      <c r="B11" s="1882">
        <f>SUM(T94:T136)</f>
        <v>0</v>
      </c>
      <c r="C11" s="1120">
        <f>SUM(Z94:Z136)</f>
        <v>0</v>
      </c>
      <c r="D11" s="1121">
        <f>SUM(AF94:AF136)</f>
        <v>9000</v>
      </c>
      <c r="E11" s="1121">
        <f>SUM(AL94:AL136)</f>
        <v>0</v>
      </c>
      <c r="F11" s="1121">
        <f>SUM(AR94:AR136)</f>
        <v>6000</v>
      </c>
      <c r="G11" s="1122">
        <f>SUM(AX94:AX136)</f>
        <v>0</v>
      </c>
      <c r="H11" s="1122">
        <f>SUM(BD94:BD136)</f>
        <v>0</v>
      </c>
      <c r="I11" s="1122">
        <f>SUM(BJ94:BJ136)</f>
        <v>0</v>
      </c>
      <c r="J11" s="1"/>
      <c r="K11" s="1123"/>
      <c r="L11" s="1871"/>
      <c r="M11" s="1113"/>
      <c r="N11" s="1118"/>
      <c r="O11" s="1118"/>
      <c r="P11" s="1118"/>
      <c r="Q11" s="1118"/>
      <c r="R11" s="1124"/>
      <c r="S11" s="1125"/>
      <c r="Z11" s="1085"/>
      <c r="AA11" s="1085"/>
      <c r="AB11" s="1085"/>
      <c r="AC11" s="1085"/>
      <c r="AD11" s="1085"/>
      <c r="AE11" s="1085"/>
      <c r="AF11" s="1085"/>
      <c r="AG11" s="1085"/>
      <c r="AH11" s="1085"/>
      <c r="AI11" s="1085"/>
      <c r="AJ11" s="1085"/>
      <c r="AK11" s="1085"/>
      <c r="AL11" s="1085"/>
      <c r="AM11" s="1085"/>
      <c r="AN11" s="1085"/>
      <c r="AO11" s="1085"/>
      <c r="AP11" s="1085"/>
      <c r="AQ11" s="1085"/>
      <c r="AR11" s="1085"/>
      <c r="AS11" s="1085"/>
      <c r="AT11" s="1085"/>
      <c r="AU11" s="1085"/>
      <c r="AV11" s="1085"/>
      <c r="AW11" s="1085"/>
      <c r="AX11" s="1085"/>
      <c r="AY11" s="1085"/>
      <c r="AZ11" s="1085"/>
      <c r="BA11" s="1085"/>
      <c r="BB11" s="1085"/>
      <c r="BC11" s="1085"/>
      <c r="BD11" s="1085"/>
      <c r="BE11" s="1085"/>
      <c r="BF11" s="1085"/>
      <c r="BG11" s="1085"/>
      <c r="BH11" s="1085"/>
      <c r="BI11" s="1085"/>
      <c r="BJ11" s="1085"/>
      <c r="BK11" s="1085"/>
      <c r="BL11" s="1085"/>
      <c r="BM11" s="1085"/>
      <c r="BN11" s="1085"/>
      <c r="BO11" s="1085"/>
      <c r="BP11" s="1085"/>
      <c r="BQ11" s="1085"/>
      <c r="BR11" s="1085"/>
      <c r="BS11" s="1085"/>
      <c r="BT11" s="1"/>
      <c r="BU11" s="7"/>
    </row>
    <row r="12" spans="1:73" ht="15" thickBot="1" x14ac:dyDescent="0.35">
      <c r="A12" s="71" t="s">
        <v>23</v>
      </c>
      <c r="B12" s="1883">
        <f>SUM(U94:U136)</f>
        <v>0</v>
      </c>
      <c r="C12" s="1126">
        <f>SUM(AA94:AA136)</f>
        <v>0</v>
      </c>
      <c r="D12" s="1127">
        <f>SUM(AG94:AG136)</f>
        <v>12000</v>
      </c>
      <c r="E12" s="1128">
        <f>SUM(AM94:AM136)</f>
        <v>0</v>
      </c>
      <c r="F12" s="1128">
        <f>SUM(AS94:AS136)</f>
        <v>6000</v>
      </c>
      <c r="G12" s="1101">
        <f>SUM(AY94:AY136)</f>
        <v>0</v>
      </c>
      <c r="H12" s="1129">
        <f>SUM(BE94:BE136)</f>
        <v>0</v>
      </c>
      <c r="I12" s="1101">
        <f>SUM(BK94:BK136)</f>
        <v>0</v>
      </c>
      <c r="J12" s="1"/>
      <c r="K12" s="1130" t="s">
        <v>18</v>
      </c>
      <c r="L12" s="1110">
        <f t="shared" ref="L12:S12" si="1">SUM(L3:L9)</f>
        <v>0</v>
      </c>
      <c r="M12" s="1110">
        <f t="shared" si="1"/>
        <v>0</v>
      </c>
      <c r="N12" s="1110">
        <f t="shared" si="1"/>
        <v>0</v>
      </c>
      <c r="O12" s="1110">
        <f t="shared" si="1"/>
        <v>0</v>
      </c>
      <c r="P12" s="1110">
        <f t="shared" si="1"/>
        <v>9000</v>
      </c>
      <c r="Q12" s="1110">
        <f t="shared" si="1"/>
        <v>0</v>
      </c>
      <c r="R12" s="1110">
        <f t="shared" si="1"/>
        <v>0</v>
      </c>
      <c r="S12" s="1110">
        <f t="shared" si="1"/>
        <v>0</v>
      </c>
      <c r="T12" s="1222"/>
      <c r="U12" s="1222"/>
      <c r="V12" s="1222"/>
      <c r="W12" s="1222"/>
      <c r="X12" s="1222"/>
      <c r="Y12" s="1222"/>
      <c r="Z12" s="1085"/>
      <c r="AA12" s="1085"/>
      <c r="AB12" s="1085"/>
      <c r="AC12" s="1085"/>
      <c r="AD12" s="1085"/>
      <c r="AE12" s="1085"/>
      <c r="AF12" s="1085"/>
      <c r="AG12" s="1085"/>
      <c r="AH12" s="1085"/>
      <c r="AI12" s="1085"/>
      <c r="AJ12" s="1085"/>
      <c r="AK12" s="1085"/>
      <c r="AL12" s="1085"/>
      <c r="AM12" s="1085"/>
      <c r="AN12" s="1085"/>
      <c r="AO12" s="1085"/>
      <c r="AP12" s="1085"/>
      <c r="AQ12" s="1085"/>
      <c r="AR12" s="1085"/>
      <c r="AS12" s="1085"/>
      <c r="AT12" s="1085"/>
      <c r="AU12" s="1085"/>
      <c r="AV12" s="1085"/>
      <c r="AW12" s="1085"/>
      <c r="AX12" s="1085"/>
      <c r="AY12" s="1085"/>
      <c r="AZ12" s="1085"/>
      <c r="BA12" s="1085"/>
      <c r="BB12" s="1085"/>
      <c r="BC12" s="1085"/>
      <c r="BD12" s="1085"/>
      <c r="BE12" s="1085"/>
      <c r="BF12" s="1085"/>
      <c r="BG12" s="1085"/>
      <c r="BH12" s="1085"/>
      <c r="BI12" s="1085"/>
      <c r="BJ12" s="1085"/>
      <c r="BK12" s="1085"/>
      <c r="BL12" s="1085"/>
      <c r="BM12" s="1085"/>
      <c r="BN12" s="1085"/>
      <c r="BO12" s="1085"/>
      <c r="BP12" s="1085"/>
      <c r="BQ12" s="1085"/>
      <c r="BR12" s="1085"/>
      <c r="BS12" s="1085"/>
      <c r="BT12" s="1"/>
      <c r="BU12" s="7"/>
    </row>
    <row r="13" spans="1:73" ht="15" thickBot="1" x14ac:dyDescent="0.35">
      <c r="A13" s="76" t="s">
        <v>24</v>
      </c>
      <c r="B13" s="1884">
        <f>SUM(V94:V136)</f>
        <v>0</v>
      </c>
      <c r="C13" s="1131">
        <f>SUM(AB94:AB136)</f>
        <v>0</v>
      </c>
      <c r="D13" s="1132">
        <f>SUM(AH94:AH136)</f>
        <v>12000</v>
      </c>
      <c r="E13" s="1127">
        <f>SUM(AN94:AN136)</f>
        <v>0</v>
      </c>
      <c r="F13" s="1128">
        <f>SUM(AT94:AT136)</f>
        <v>6000</v>
      </c>
      <c r="G13" s="1101">
        <f>SUM(AZ94:AZ136)</f>
        <v>0</v>
      </c>
      <c r="H13" s="1101">
        <f>SUM(BF94:BF136)</f>
        <v>0</v>
      </c>
      <c r="I13" s="1101">
        <f>SUM(BL94:BL136)</f>
        <v>0</v>
      </c>
      <c r="J13" s="1"/>
      <c r="K13" s="1133"/>
      <c r="L13" s="1085"/>
      <c r="M13" s="1085"/>
      <c r="N13" s="1085"/>
      <c r="O13" s="1085"/>
      <c r="P13" s="1085"/>
      <c r="Q13" s="1133"/>
      <c r="R13" s="1085"/>
      <c r="S13" s="1085"/>
      <c r="Z13" s="1085"/>
      <c r="AA13" s="1085"/>
      <c r="AB13" s="1085"/>
      <c r="AC13" s="1085"/>
      <c r="AD13" s="1085"/>
      <c r="AE13" s="1085"/>
      <c r="AF13" s="1085"/>
      <c r="AG13" s="1085"/>
      <c r="AH13" s="1085"/>
      <c r="AI13" s="1085"/>
      <c r="AJ13" s="1085"/>
      <c r="AK13" s="1085"/>
      <c r="AL13" s="1085"/>
      <c r="AM13" s="1085"/>
      <c r="AN13" s="1085"/>
      <c r="AO13" s="1085"/>
      <c r="AP13" s="1085"/>
      <c r="AQ13" s="1085"/>
      <c r="AR13" s="1085"/>
      <c r="AS13" s="1085"/>
      <c r="AT13" s="1085"/>
      <c r="AU13" s="1085"/>
      <c r="AV13" s="1085"/>
      <c r="AW13" s="1085"/>
      <c r="AX13" s="1085"/>
      <c r="AY13" s="1085"/>
      <c r="AZ13" s="1085"/>
      <c r="BA13" s="1085"/>
      <c r="BB13" s="1085"/>
      <c r="BC13" s="1085"/>
      <c r="BD13" s="1085"/>
      <c r="BE13" s="1085"/>
      <c r="BF13" s="1085"/>
      <c r="BG13" s="1085"/>
      <c r="BH13" s="1085"/>
      <c r="BI13" s="1085"/>
      <c r="BJ13" s="1085"/>
      <c r="BK13" s="1085"/>
      <c r="BL13" s="1085"/>
      <c r="BM13" s="1085"/>
      <c r="BN13" s="1085"/>
      <c r="BO13" s="1085"/>
      <c r="BP13" s="1085"/>
      <c r="BQ13" s="1085"/>
      <c r="BR13" s="1085"/>
      <c r="BS13" s="1085"/>
      <c r="BT13" s="1"/>
      <c r="BU13" s="7"/>
    </row>
    <row r="14" spans="1:73" ht="16.2" thickBot="1" x14ac:dyDescent="0.35">
      <c r="A14" s="76" t="s">
        <v>25</v>
      </c>
      <c r="B14" s="1884">
        <f>SUM(W94:W136)</f>
        <v>0</v>
      </c>
      <c r="C14" s="1131">
        <f>SUM(AC94:AC136)</f>
        <v>0</v>
      </c>
      <c r="D14" s="1132">
        <f>SUM(AI94:AI136)</f>
        <v>6000</v>
      </c>
      <c r="E14" s="1128">
        <f>AO112+AO115</f>
        <v>0</v>
      </c>
      <c r="F14" s="1127">
        <f>SUM(AU94:AU136)</f>
        <v>9000</v>
      </c>
      <c r="G14" s="1101">
        <f>SUM(BA94:BA136)</f>
        <v>0</v>
      </c>
      <c r="H14" s="1101">
        <f>SUM(BG94:BG136)</f>
        <v>0</v>
      </c>
      <c r="I14" s="1101">
        <f>SUM(BM94:BM136)</f>
        <v>0</v>
      </c>
      <c r="J14" s="1"/>
      <c r="K14" s="1081" t="s">
        <v>292</v>
      </c>
      <c r="L14" s="1826"/>
      <c r="M14" s="1082"/>
      <c r="N14" s="1083"/>
      <c r="O14" s="1084"/>
      <c r="P14" s="1085"/>
      <c r="Q14" s="1085"/>
      <c r="R14" s="1085"/>
      <c r="S14" s="1085"/>
      <c r="Z14" s="1085"/>
      <c r="AA14" s="1085"/>
      <c r="AB14" s="1085"/>
      <c r="AC14" s="1085"/>
      <c r="AD14" s="1085"/>
      <c r="AE14" s="1085"/>
      <c r="AF14" s="1085"/>
      <c r="AG14" s="1085"/>
      <c r="AH14" s="1085"/>
      <c r="AI14" s="1085"/>
      <c r="AJ14" s="1085"/>
      <c r="AK14" s="1085"/>
      <c r="AL14" s="1085"/>
      <c r="AM14" s="1085"/>
      <c r="AN14" s="1085"/>
      <c r="AO14" s="1085"/>
      <c r="AP14" s="1085"/>
      <c r="AQ14" s="1085"/>
      <c r="AR14" s="1085"/>
      <c r="AS14" s="1085"/>
      <c r="AT14" s="1085"/>
      <c r="AU14" s="1085"/>
      <c r="AV14" s="1085"/>
      <c r="AW14" s="1085"/>
      <c r="AX14" s="1085"/>
      <c r="AY14" s="1085"/>
      <c r="AZ14" s="1085"/>
      <c r="BA14" s="1085"/>
      <c r="BB14" s="1085"/>
      <c r="BC14" s="1085"/>
      <c r="BD14" s="1085"/>
      <c r="BE14" s="1085"/>
      <c r="BF14" s="1085"/>
      <c r="BG14" s="1085"/>
      <c r="BH14" s="1085"/>
      <c r="BI14" s="1085"/>
      <c r="BJ14" s="1085"/>
      <c r="BK14" s="1085"/>
      <c r="BL14" s="1085"/>
      <c r="BM14" s="1085"/>
      <c r="BN14" s="1085"/>
      <c r="BO14" s="1085"/>
      <c r="BP14" s="1085"/>
      <c r="BQ14" s="1085"/>
      <c r="BR14" s="1085"/>
      <c r="BS14" s="1085"/>
      <c r="BT14" s="1"/>
    </row>
    <row r="15" spans="1:73" ht="15" thickBot="1" x14ac:dyDescent="0.35">
      <c r="A15" s="81" t="s">
        <v>27</v>
      </c>
      <c r="B15" s="1803">
        <f>SUM(X94:X136)</f>
        <v>0</v>
      </c>
      <c r="C15" s="1134">
        <f>SUM(AD94:AD136)</f>
        <v>0</v>
      </c>
      <c r="D15" s="1134">
        <f>SUM(AJ94:AJ136)</f>
        <v>15000</v>
      </c>
      <c r="E15" s="1134">
        <f>SUM(AP94:AP136)</f>
        <v>0</v>
      </c>
      <c r="F15" s="1135">
        <f>SUM(AV94:AV136)</f>
        <v>15000</v>
      </c>
      <c r="G15" s="1100">
        <f>SUM(BB94:BB136)</f>
        <v>0</v>
      </c>
      <c r="H15" s="1100">
        <f>SUM(BH94:BH136)</f>
        <v>0</v>
      </c>
      <c r="I15" s="1100">
        <f>SUM(BN94:BN136)</f>
        <v>0</v>
      </c>
      <c r="J15" s="1"/>
      <c r="K15" s="1086" t="s">
        <v>2</v>
      </c>
      <c r="L15" s="1086" t="s">
        <v>9</v>
      </c>
      <c r="M15" s="1087" t="s">
        <v>3</v>
      </c>
      <c r="N15" s="1088" t="s">
        <v>4</v>
      </c>
      <c r="O15" s="1088" t="s">
        <v>5</v>
      </c>
      <c r="P15" s="1088" t="s">
        <v>6</v>
      </c>
      <c r="Q15" s="1088" t="s">
        <v>7</v>
      </c>
      <c r="R15" s="1089" t="s">
        <v>8</v>
      </c>
      <c r="S15" s="1090" t="s">
        <v>9</v>
      </c>
      <c r="T15" s="1832"/>
      <c r="U15" s="1832"/>
      <c r="V15" s="1832"/>
      <c r="W15" s="1832"/>
      <c r="X15" s="1832"/>
      <c r="Y15" s="1832"/>
      <c r="Z15" s="1085"/>
      <c r="AA15" s="1085"/>
      <c r="AB15" s="1085"/>
      <c r="AC15" s="1085"/>
      <c r="AD15" s="1085"/>
      <c r="AE15" s="1085"/>
      <c r="AF15" s="1085"/>
      <c r="AG15" s="1085"/>
      <c r="AH15" s="1085"/>
      <c r="AI15" s="1085"/>
      <c r="AJ15" s="1085"/>
      <c r="AK15" s="1085"/>
      <c r="AL15" s="1085"/>
      <c r="AM15" s="1085"/>
      <c r="AN15" s="1085"/>
      <c r="AO15" s="1085"/>
      <c r="AP15" s="1085"/>
      <c r="AQ15" s="1085"/>
      <c r="AR15" s="1085"/>
      <c r="AS15" s="1085"/>
      <c r="AT15" s="1085"/>
      <c r="AU15" s="1085"/>
      <c r="AV15" s="1085"/>
      <c r="AW15" s="1085"/>
      <c r="AX15" s="1085"/>
      <c r="AY15" s="1085"/>
      <c r="AZ15" s="1085"/>
      <c r="BA15" s="1085"/>
      <c r="BB15" s="1085"/>
      <c r="BC15" s="1085"/>
      <c r="BD15" s="1085"/>
      <c r="BE15" s="1085"/>
      <c r="BF15" s="1085"/>
      <c r="BG15" s="1085"/>
      <c r="BH15" s="1085"/>
      <c r="BI15" s="1085"/>
      <c r="BJ15" s="1085"/>
      <c r="BK15" s="1085"/>
      <c r="BL15" s="1085"/>
      <c r="BM15" s="1085"/>
      <c r="BN15" s="1085"/>
      <c r="BO15" s="1085"/>
      <c r="BP15" s="1085"/>
      <c r="BQ15" s="1085"/>
      <c r="BR15" s="1085"/>
      <c r="BS15" s="1085"/>
      <c r="BT15" s="1"/>
      <c r="BU15" s="7"/>
    </row>
    <row r="16" spans="1:73" ht="15" thickBot="1" x14ac:dyDescent="0.35">
      <c r="A16" s="75" t="s">
        <v>18</v>
      </c>
      <c r="B16" s="1136">
        <f t="shared" ref="B16:I16" si="2">SUM(B11:B15)</f>
        <v>0</v>
      </c>
      <c r="C16" s="1136">
        <f t="shared" si="2"/>
        <v>0</v>
      </c>
      <c r="D16" s="1137">
        <f t="shared" si="2"/>
        <v>54000</v>
      </c>
      <c r="E16" s="1138">
        <f t="shared" si="2"/>
        <v>0</v>
      </c>
      <c r="F16" s="1138">
        <f t="shared" si="2"/>
        <v>42000</v>
      </c>
      <c r="G16" s="1111">
        <f t="shared" si="2"/>
        <v>0</v>
      </c>
      <c r="H16" s="1111">
        <f t="shared" si="2"/>
        <v>0</v>
      </c>
      <c r="I16" s="1111">
        <f t="shared" si="2"/>
        <v>0</v>
      </c>
      <c r="J16" s="1"/>
      <c r="K16" s="1094" t="s">
        <v>293</v>
      </c>
      <c r="L16" s="1274">
        <f>SUM(T66:T77)</f>
        <v>0</v>
      </c>
      <c r="M16" s="1095">
        <f>SUM(Z66:Z77)</f>
        <v>0</v>
      </c>
      <c r="N16" s="1095">
        <f>SUM(AF66:AF77)</f>
        <v>0</v>
      </c>
      <c r="O16" s="1096">
        <f>SUM(AL66:AL77)</f>
        <v>0</v>
      </c>
      <c r="P16" s="1096">
        <f>SUM(AR66:AR77)</f>
        <v>0</v>
      </c>
      <c r="Q16" s="1096">
        <f>SUM(AX66:AX77)</f>
        <v>0</v>
      </c>
      <c r="R16" s="1097">
        <f>SUM(BD66:BD77)</f>
        <v>0</v>
      </c>
      <c r="S16" s="1098">
        <f>SUM(BJ66:BJ77)</f>
        <v>0</v>
      </c>
      <c r="T16" s="1222"/>
      <c r="U16" s="1222"/>
      <c r="V16" s="1222"/>
      <c r="W16" s="1222"/>
      <c r="X16" s="1222"/>
      <c r="Y16" s="1222"/>
      <c r="Z16" s="1085"/>
      <c r="AA16" s="1085"/>
      <c r="AB16" s="1085"/>
      <c r="AC16" s="1085"/>
      <c r="AD16" s="1085"/>
      <c r="AE16" s="1085"/>
      <c r="AF16" s="1085"/>
      <c r="AG16" s="1085"/>
      <c r="AH16" s="1085"/>
      <c r="AI16" s="1085"/>
      <c r="AJ16" s="1085"/>
      <c r="AK16" s="1085"/>
      <c r="AL16" s="1085"/>
      <c r="AM16" s="1085"/>
      <c r="AN16" s="1085"/>
      <c r="AO16" s="1085"/>
      <c r="AP16" s="1085"/>
      <c r="AQ16" s="1085"/>
      <c r="AR16" s="1085"/>
      <c r="AS16" s="1085"/>
      <c r="AT16" s="1085"/>
      <c r="AU16" s="1085"/>
      <c r="AV16" s="1085"/>
      <c r="AW16" s="1085"/>
      <c r="AX16" s="1085"/>
      <c r="AY16" s="1085"/>
      <c r="AZ16" s="1085"/>
      <c r="BA16" s="1085"/>
      <c r="BB16" s="1085"/>
      <c r="BC16" s="1085"/>
      <c r="BD16" s="1085"/>
      <c r="BE16" s="1085"/>
      <c r="BF16" s="1085"/>
      <c r="BG16" s="1085"/>
      <c r="BH16" s="1085"/>
      <c r="BI16" s="1085"/>
      <c r="BJ16" s="1085"/>
      <c r="BK16" s="1085"/>
      <c r="BL16" s="1085"/>
      <c r="BM16" s="1085"/>
      <c r="BN16" s="1085"/>
      <c r="BO16" s="1085"/>
      <c r="BP16" s="1085"/>
      <c r="BQ16" s="1085"/>
      <c r="BR16" s="1085"/>
      <c r="BS16" s="1085"/>
      <c r="BT16" s="1"/>
      <c r="BU16" s="7"/>
    </row>
    <row r="17" spans="1:72" ht="15" thickBot="1" x14ac:dyDescent="0.35">
      <c r="A17" s="87"/>
      <c r="B17" s="87"/>
      <c r="C17" s="1139"/>
      <c r="D17" s="1139"/>
      <c r="E17" s="1139"/>
      <c r="F17" s="1139"/>
      <c r="G17" s="1140"/>
      <c r="H17" s="1085"/>
      <c r="I17" s="1085"/>
      <c r="J17" s="795" t="s">
        <v>281</v>
      </c>
      <c r="K17" s="1102" t="s">
        <v>294</v>
      </c>
      <c r="L17" s="1129">
        <f>SUM(U66:U77)</f>
        <v>0</v>
      </c>
      <c r="M17" s="1103">
        <f>SUM(AA66:AA77)</f>
        <v>0</v>
      </c>
      <c r="N17" s="1099">
        <f>SUM(AG66:AG77)</f>
        <v>0</v>
      </c>
      <c r="O17" s="1104">
        <f>SUM(AM66:AM77)</f>
        <v>0</v>
      </c>
      <c r="P17" s="1099">
        <f>SUM(AS66:AS77)</f>
        <v>0</v>
      </c>
      <c r="Q17" s="1096">
        <f>SUM(AY66:AY77)</f>
        <v>0</v>
      </c>
      <c r="R17" s="1097">
        <f>SUM(BE66:BE77)</f>
        <v>0</v>
      </c>
      <c r="S17" s="1098">
        <f>SUM(BK66:BK77)</f>
        <v>0</v>
      </c>
      <c r="T17" s="1222"/>
      <c r="U17" s="1222"/>
      <c r="V17" s="1222"/>
      <c r="W17" s="1222"/>
      <c r="X17" s="1222"/>
      <c r="Y17" s="1222"/>
      <c r="Z17" s="1085"/>
      <c r="AA17" s="1085"/>
      <c r="AB17" s="1085"/>
      <c r="AC17" s="1085"/>
      <c r="AD17" s="1085"/>
      <c r="AE17" s="1085"/>
      <c r="AF17" s="1085"/>
      <c r="AG17" s="1085"/>
      <c r="AH17" s="1085"/>
      <c r="AI17" s="1085"/>
      <c r="AJ17" s="1085"/>
      <c r="AK17" s="1085"/>
      <c r="AL17" s="1085"/>
      <c r="AM17" s="1085"/>
      <c r="AN17" s="1085"/>
      <c r="AO17" s="1085"/>
      <c r="AP17" s="1085"/>
      <c r="AQ17" s="1085"/>
      <c r="AR17" s="1085"/>
      <c r="AS17" s="1085"/>
      <c r="AT17" s="1085"/>
      <c r="AU17" s="1085"/>
      <c r="AV17" s="1085"/>
      <c r="AW17" s="1085"/>
      <c r="AX17" s="1085"/>
      <c r="AY17" s="1085"/>
      <c r="AZ17" s="1085"/>
      <c r="BA17" s="1085"/>
      <c r="BB17" s="1085"/>
      <c r="BC17" s="1085"/>
      <c r="BD17" s="1085"/>
      <c r="BE17" s="1085"/>
      <c r="BF17" s="1085"/>
      <c r="BG17" s="1085"/>
      <c r="BH17" s="1085"/>
      <c r="BI17" s="1085"/>
      <c r="BJ17" s="1085"/>
      <c r="BK17" s="1085"/>
      <c r="BL17" s="1085"/>
      <c r="BM17" s="1085"/>
      <c r="BN17" s="1085"/>
      <c r="BO17" s="1085"/>
      <c r="BP17" s="1085"/>
      <c r="BQ17" s="1085"/>
      <c r="BR17" s="1085"/>
      <c r="BS17" s="1085"/>
      <c r="BT17" s="1"/>
    </row>
    <row r="18" spans="1:72" ht="15.6" thickTop="1" thickBot="1" x14ac:dyDescent="0.35">
      <c r="A18" s="1025" t="s">
        <v>26</v>
      </c>
      <c r="B18" s="1141">
        <f>B7+B16+L12+L25</f>
        <v>0</v>
      </c>
      <c r="C18" s="1141">
        <f t="shared" ref="C18:I18" si="3">C7+C16+M12</f>
        <v>0</v>
      </c>
      <c r="D18" s="1141">
        <f t="shared" si="3"/>
        <v>60000</v>
      </c>
      <c r="E18" s="1141">
        <f t="shared" si="3"/>
        <v>0</v>
      </c>
      <c r="F18" s="1141">
        <f t="shared" si="3"/>
        <v>60000</v>
      </c>
      <c r="G18" s="1141">
        <f t="shared" si="3"/>
        <v>0</v>
      </c>
      <c r="H18" s="1141">
        <f t="shared" si="3"/>
        <v>0</v>
      </c>
      <c r="I18" s="1141">
        <f t="shared" si="3"/>
        <v>0</v>
      </c>
      <c r="J18" s="1027">
        <f>SUM(C18:I18)</f>
        <v>120000</v>
      </c>
      <c r="K18" s="1102" t="s">
        <v>295</v>
      </c>
      <c r="L18" s="1129">
        <f>SUM(V66:V77)</f>
        <v>0</v>
      </c>
      <c r="M18" s="1103">
        <f>SUM(AB66:AB77)</f>
        <v>0</v>
      </c>
      <c r="N18" s="1099">
        <f>SUM(AH66:AH77)</f>
        <v>0</v>
      </c>
      <c r="O18" s="1099">
        <f>SUM(AN66:AN77)</f>
        <v>0</v>
      </c>
      <c r="P18" s="1099">
        <f>SUM(AT66:AT77)</f>
        <v>0</v>
      </c>
      <c r="Q18" s="1096">
        <f>SUM(AZ66:AZ77)</f>
        <v>0</v>
      </c>
      <c r="R18" s="1105">
        <f>SUM(BF66:BF77)</f>
        <v>0</v>
      </c>
      <c r="S18" s="1098">
        <f>SUM(BL66:BL77)</f>
        <v>0</v>
      </c>
      <c r="T18" s="1222"/>
      <c r="U18" s="1222"/>
      <c r="V18" s="1222"/>
      <c r="W18" s="1222"/>
      <c r="X18" s="1222"/>
      <c r="Y18" s="1222"/>
      <c r="Z18" s="1085"/>
      <c r="AA18" s="1085"/>
      <c r="AB18" s="1085"/>
      <c r="AC18" s="1085"/>
      <c r="AD18" s="1085"/>
      <c r="AE18" s="1085"/>
      <c r="AF18" s="1085"/>
      <c r="AG18" s="1085"/>
      <c r="AH18" s="1085"/>
      <c r="AI18" s="1085"/>
      <c r="AJ18" s="1085"/>
      <c r="AK18" s="1085"/>
      <c r="AL18" s="1085"/>
      <c r="AM18" s="1085"/>
      <c r="AN18" s="1085"/>
      <c r="AO18" s="1085"/>
      <c r="AP18" s="1085"/>
      <c r="AQ18" s="1085"/>
      <c r="AR18" s="1085"/>
      <c r="AS18" s="1085"/>
      <c r="AT18" s="1085"/>
      <c r="AU18" s="1085"/>
      <c r="AV18" s="1085"/>
      <c r="AW18" s="1085"/>
      <c r="AX18" s="1085"/>
      <c r="AY18" s="1085"/>
      <c r="AZ18" s="1085"/>
      <c r="BA18" s="1085"/>
      <c r="BB18" s="1085"/>
      <c r="BC18" s="1085"/>
      <c r="BD18" s="1085"/>
      <c r="BE18" s="1085"/>
      <c r="BF18" s="1085"/>
      <c r="BG18" s="1085"/>
      <c r="BH18" s="1085"/>
      <c r="BI18" s="1085"/>
      <c r="BJ18" s="1085"/>
      <c r="BK18" s="1085"/>
      <c r="BL18" s="1085"/>
      <c r="BM18" s="1085"/>
      <c r="BN18" s="1085"/>
      <c r="BO18" s="1085"/>
      <c r="BP18" s="1085"/>
      <c r="BQ18" s="1085"/>
      <c r="BR18" s="1085"/>
      <c r="BS18" s="1085"/>
      <c r="BT18" s="1"/>
    </row>
    <row r="19" spans="1:72" ht="16.8" thickTop="1" thickBot="1" x14ac:dyDescent="0.35">
      <c r="A19" s="1026" t="s">
        <v>299</v>
      </c>
      <c r="B19" s="1142">
        <v>0</v>
      </c>
      <c r="C19" s="1142">
        <v>60000</v>
      </c>
      <c r="D19" s="1142"/>
      <c r="E19" s="1142"/>
      <c r="F19" s="1142">
        <v>60000</v>
      </c>
      <c r="G19" s="1142"/>
      <c r="H19" s="1142"/>
      <c r="I19" s="1142"/>
      <c r="J19" s="1027">
        <f>SUM(C19:I19)</f>
        <v>120000</v>
      </c>
      <c r="K19" s="1102" t="s">
        <v>296</v>
      </c>
      <c r="L19" s="1129">
        <f>SUM(W66:W77)</f>
        <v>0</v>
      </c>
      <c r="M19" s="1103">
        <f>SUM(AC66:AC77)</f>
        <v>0</v>
      </c>
      <c r="N19" s="1099">
        <f>SUM(AI66:AI77)</f>
        <v>0</v>
      </c>
      <c r="O19" s="1099">
        <f>SUM(AO66:AO77)</f>
        <v>0</v>
      </c>
      <c r="P19" s="1099">
        <f>SUM(AU66:AU77)</f>
        <v>0</v>
      </c>
      <c r="Q19" s="1096">
        <f>SUM(BA66:BA77)</f>
        <v>0</v>
      </c>
      <c r="R19" s="1105">
        <f>SUM(BG66:BG77)</f>
        <v>0</v>
      </c>
      <c r="S19" s="1098">
        <f>SUM(BM66:BM77)</f>
        <v>0</v>
      </c>
      <c r="T19" s="1222"/>
      <c r="U19" s="1222"/>
      <c r="V19" s="1222"/>
      <c r="W19" s="1222"/>
      <c r="X19" s="1222"/>
      <c r="Y19" s="1222"/>
      <c r="Z19" s="1085"/>
      <c r="AA19" s="1085"/>
      <c r="AB19" s="1085"/>
      <c r="AC19" s="1085"/>
      <c r="AD19" s="1085"/>
      <c r="AE19" s="1085"/>
      <c r="AF19" s="1085"/>
      <c r="AG19" s="1085"/>
      <c r="AH19" s="1085"/>
      <c r="AI19" s="1085"/>
      <c r="AJ19" s="1085"/>
      <c r="AK19" s="1085"/>
      <c r="AL19" s="1085"/>
      <c r="AM19" s="1085"/>
      <c r="AN19" s="1085"/>
      <c r="AO19" s="1085"/>
      <c r="AP19" s="1085"/>
      <c r="AQ19" s="1085"/>
      <c r="AR19" s="1085"/>
      <c r="AS19" s="1085"/>
      <c r="AT19" s="1085"/>
      <c r="AU19" s="1085"/>
      <c r="AV19" s="1085"/>
      <c r="AW19" s="1085"/>
      <c r="AX19" s="1085"/>
      <c r="AY19" s="1085"/>
      <c r="AZ19" s="1085"/>
      <c r="BA19" s="1085"/>
      <c r="BB19" s="1085"/>
      <c r="BC19" s="1085"/>
      <c r="BD19" s="1085"/>
      <c r="BE19" s="1085"/>
      <c r="BF19" s="1085"/>
      <c r="BG19" s="1085"/>
      <c r="BH19" s="1085"/>
      <c r="BI19" s="1085"/>
      <c r="BJ19" s="1085"/>
      <c r="BK19" s="1085"/>
      <c r="BL19" s="1085"/>
      <c r="BM19" s="1085"/>
      <c r="BN19" s="1085"/>
      <c r="BO19" s="1085"/>
      <c r="BP19" s="1085"/>
      <c r="BQ19" s="1085"/>
      <c r="BR19" s="1085"/>
      <c r="BS19" s="1085"/>
      <c r="BT19" s="1"/>
    </row>
    <row r="20" spans="1:72" ht="16.8" thickTop="1" thickBot="1" x14ac:dyDescent="0.35">
      <c r="A20" s="1026" t="s">
        <v>355</v>
      </c>
      <c r="B20" s="1870"/>
      <c r="C20" s="1143"/>
      <c r="D20" s="1143"/>
      <c r="E20" s="1143"/>
      <c r="F20" s="1143"/>
      <c r="G20" s="1143"/>
      <c r="H20" s="1144"/>
      <c r="I20" s="1144"/>
      <c r="J20" s="1027">
        <f>J18-J19</f>
        <v>0</v>
      </c>
      <c r="K20" s="1102" t="s">
        <v>298</v>
      </c>
      <c r="L20" s="1129">
        <f>SUM(X66:X77)</f>
        <v>0</v>
      </c>
      <c r="M20" s="1103">
        <f>SUM(AD66:AD77)</f>
        <v>0</v>
      </c>
      <c r="N20" s="1104">
        <f>SUM(AJ66:AJ77)</f>
        <v>0</v>
      </c>
      <c r="O20" s="1104">
        <f>SUM(AP66:AP77)</f>
        <v>0</v>
      </c>
      <c r="P20" s="1104">
        <f>SUM(AV66:AV77)</f>
        <v>0</v>
      </c>
      <c r="Q20" s="1096">
        <f>SUM(BB66:BB77)</f>
        <v>0</v>
      </c>
      <c r="R20" s="1105">
        <f>SUM(BH66:BH77)</f>
        <v>0</v>
      </c>
      <c r="S20" s="1098">
        <f>SUM(BN66:BN77)</f>
        <v>0</v>
      </c>
      <c r="T20" s="1222"/>
      <c r="U20" s="1222"/>
      <c r="V20" s="1222"/>
      <c r="W20" s="1222"/>
      <c r="X20" s="1222"/>
      <c r="Y20" s="1222"/>
      <c r="Z20" s="1085"/>
      <c r="AA20" s="1085"/>
      <c r="AB20" s="1085"/>
      <c r="AC20" s="1085"/>
      <c r="AD20" s="1085"/>
      <c r="AE20" s="1085"/>
      <c r="AF20" s="1085"/>
      <c r="AG20" s="1085"/>
      <c r="AH20" s="1085"/>
      <c r="AI20" s="1085"/>
      <c r="AJ20" s="1085"/>
      <c r="AK20" s="1085"/>
      <c r="AL20" s="1085"/>
      <c r="AM20" s="1085"/>
      <c r="AN20" s="1085"/>
      <c r="AO20" s="1085"/>
      <c r="AP20" s="1085"/>
      <c r="AQ20" s="1085"/>
      <c r="AR20" s="1085"/>
      <c r="AS20" s="1085"/>
      <c r="AT20" s="1085"/>
      <c r="AU20" s="1085"/>
      <c r="AV20" s="1085"/>
      <c r="AW20" s="1085"/>
      <c r="AX20" s="1085"/>
      <c r="AY20" s="1085"/>
      <c r="AZ20" s="1085"/>
      <c r="BA20" s="1085"/>
      <c r="BB20" s="1085"/>
      <c r="BC20" s="1085"/>
      <c r="BD20" s="1085"/>
      <c r="BE20" s="1085"/>
      <c r="BF20" s="1085"/>
      <c r="BG20" s="1085"/>
      <c r="BH20" s="1085"/>
      <c r="BI20" s="1085"/>
      <c r="BJ20" s="1085"/>
      <c r="BK20" s="1085"/>
      <c r="BL20" s="1085"/>
      <c r="BM20" s="1085"/>
      <c r="BN20" s="1085"/>
      <c r="BO20" s="1085"/>
      <c r="BP20" s="1085"/>
      <c r="BQ20" s="1085"/>
      <c r="BR20" s="1085"/>
      <c r="BS20" s="1085"/>
      <c r="BT20" s="1"/>
    </row>
    <row r="21" spans="1:72" ht="16.2" thickTop="1" x14ac:dyDescent="0.3">
      <c r="A21" s="930"/>
      <c r="B21" s="931"/>
      <c r="C21" s="931"/>
      <c r="D21" s="931"/>
      <c r="E21" s="931"/>
      <c r="F21" s="931"/>
      <c r="G21" s="932"/>
      <c r="H21" s="932"/>
      <c r="I21" s="93"/>
      <c r="J21" s="94"/>
      <c r="K21" s="1102" t="s">
        <v>297</v>
      </c>
      <c r="L21" s="1129">
        <f>SUM(Y66:Y77)</f>
        <v>0</v>
      </c>
      <c r="M21" s="1113">
        <f>SUM(AE66:AE77)</f>
        <v>0</v>
      </c>
      <c r="N21" s="1114">
        <f>SUM(AK66:AK77)</f>
        <v>0</v>
      </c>
      <c r="O21" s="1114">
        <f>SUM(AQ66:AQ77)</f>
        <v>0</v>
      </c>
      <c r="P21" s="1114">
        <f>SUM(AW66:AW77)</f>
        <v>0</v>
      </c>
      <c r="Q21" s="1096">
        <f>SUM(BC66:BC77)</f>
        <v>0</v>
      </c>
      <c r="R21" s="1105">
        <f>SUM(BI66:BI77)</f>
        <v>0</v>
      </c>
      <c r="S21" s="1098">
        <f>SUM(BO66:BO77)</f>
        <v>0</v>
      </c>
      <c r="T21" s="1222"/>
      <c r="U21" s="1222"/>
      <c r="V21" s="1222"/>
      <c r="W21" s="1222"/>
      <c r="X21" s="1222"/>
      <c r="Y21" s="1222"/>
      <c r="Z21" s="1085"/>
      <c r="AA21" s="1085"/>
      <c r="AB21" s="1085"/>
      <c r="AC21" s="1085"/>
      <c r="AD21" s="1085"/>
      <c r="AE21" s="1085"/>
      <c r="AF21" s="1085"/>
      <c r="AG21" s="1085"/>
      <c r="AH21" s="1085"/>
      <c r="AI21" s="1085"/>
      <c r="AJ21" s="1085"/>
      <c r="AK21" s="1085"/>
      <c r="AL21" s="1085"/>
      <c r="AM21" s="1085"/>
      <c r="AN21" s="1085"/>
      <c r="AO21" s="1085"/>
      <c r="AP21" s="1085"/>
      <c r="AQ21" s="1085"/>
      <c r="AR21" s="1085"/>
      <c r="AS21" s="1085"/>
      <c r="AT21" s="1085"/>
      <c r="AU21" s="1085"/>
      <c r="AV21" s="1085"/>
      <c r="AW21" s="1085"/>
      <c r="AX21" s="1085"/>
      <c r="AY21" s="1085"/>
      <c r="AZ21" s="1085"/>
      <c r="BA21" s="1085"/>
      <c r="BB21" s="1085"/>
      <c r="BC21" s="1085"/>
      <c r="BD21" s="1085"/>
      <c r="BE21" s="1085"/>
      <c r="BF21" s="1085"/>
      <c r="BG21" s="1085"/>
      <c r="BH21" s="1085"/>
      <c r="BI21" s="1085"/>
      <c r="BJ21" s="1085"/>
      <c r="BK21" s="1085"/>
      <c r="BL21" s="1085"/>
      <c r="BM21" s="1085"/>
      <c r="BN21" s="1085"/>
      <c r="BO21" s="1085"/>
      <c r="BP21" s="1085"/>
      <c r="BQ21" s="1085"/>
      <c r="BR21" s="1085"/>
      <c r="BS21" s="1085"/>
      <c r="BT21" s="1"/>
    </row>
    <row r="22" spans="1:72" ht="15.6" x14ac:dyDescent="0.3">
      <c r="A22" s="930"/>
      <c r="B22" s="931"/>
      <c r="C22" s="931"/>
      <c r="D22" s="931"/>
      <c r="E22" s="931"/>
      <c r="F22" s="931"/>
      <c r="G22" s="932"/>
      <c r="H22" s="932"/>
      <c r="I22" s="93"/>
      <c r="J22" s="94"/>
      <c r="K22" s="1102"/>
      <c r="L22" s="1129"/>
      <c r="M22" s="1113"/>
      <c r="N22" s="1118"/>
      <c r="O22" s="1118"/>
      <c r="P22" s="1118"/>
      <c r="Q22" s="1118"/>
      <c r="R22" s="1119"/>
      <c r="S22" s="1117"/>
      <c r="Z22" s="1085"/>
      <c r="AA22" s="1085"/>
      <c r="AB22" s="1085"/>
      <c r="AC22" s="1085"/>
      <c r="AD22" s="1085"/>
      <c r="AE22" s="1085"/>
      <c r="AF22" s="1085"/>
      <c r="AG22" s="1085"/>
      <c r="AH22" s="1085"/>
      <c r="AI22" s="1085"/>
      <c r="AJ22" s="1085"/>
      <c r="AK22" s="1085"/>
      <c r="AL22" s="1085"/>
      <c r="AM22" s="1085"/>
      <c r="AN22" s="1085"/>
      <c r="AO22" s="1085"/>
      <c r="AP22" s="1085"/>
      <c r="AQ22" s="1085"/>
      <c r="AR22" s="1085"/>
      <c r="AS22" s="1085"/>
      <c r="AT22" s="1085"/>
      <c r="AU22" s="1085"/>
      <c r="AV22" s="1085"/>
      <c r="AW22" s="1085"/>
      <c r="AX22" s="1085"/>
      <c r="AY22" s="1085"/>
      <c r="AZ22" s="1085"/>
      <c r="BA22" s="1085"/>
      <c r="BB22" s="1085"/>
      <c r="BC22" s="1085"/>
      <c r="BD22" s="1085"/>
      <c r="BE22" s="1085"/>
      <c r="BF22" s="1085"/>
      <c r="BG22" s="1085"/>
      <c r="BH22" s="1085"/>
      <c r="BI22" s="1085"/>
      <c r="BJ22" s="1085"/>
      <c r="BK22" s="1085"/>
      <c r="BL22" s="1085"/>
      <c r="BM22" s="1085"/>
      <c r="BN22" s="1085"/>
      <c r="BO22" s="1085"/>
      <c r="BP22" s="1085"/>
      <c r="BQ22" s="1085"/>
      <c r="BR22" s="1085"/>
      <c r="BS22" s="1085"/>
      <c r="BT22" s="1"/>
    </row>
    <row r="23" spans="1:72" x14ac:dyDescent="0.3">
      <c r="A23" s="1"/>
      <c r="B23" s="1"/>
      <c r="C23" s="93"/>
      <c r="D23" s="1"/>
      <c r="E23" s="1"/>
      <c r="F23" s="1"/>
      <c r="G23" s="1"/>
      <c r="H23" s="1"/>
      <c r="I23" s="1"/>
      <c r="J23" s="94"/>
      <c r="K23" s="1102"/>
      <c r="L23" s="1129"/>
      <c r="M23" s="1113"/>
      <c r="N23" s="1118"/>
      <c r="O23" s="1118"/>
      <c r="P23" s="1118"/>
      <c r="Q23" s="1118"/>
      <c r="R23" s="1119"/>
      <c r="S23" s="1117"/>
      <c r="Z23" s="1085"/>
      <c r="AA23" s="1085"/>
      <c r="AB23" s="1085"/>
      <c r="AC23" s="1085"/>
      <c r="AD23" s="1085"/>
      <c r="AE23" s="1085"/>
      <c r="AF23" s="1085"/>
      <c r="AG23" s="1085"/>
      <c r="AH23" s="1085"/>
      <c r="AI23" s="1085"/>
      <c r="AJ23" s="1085"/>
      <c r="AK23" s="1085"/>
      <c r="AL23" s="1085"/>
      <c r="AM23" s="1085"/>
      <c r="AN23" s="1085"/>
      <c r="AO23" s="1085"/>
      <c r="AP23" s="1085"/>
      <c r="AQ23" s="1085"/>
      <c r="AR23" s="1085"/>
      <c r="AS23" s="1085"/>
      <c r="AT23" s="1085"/>
      <c r="AU23" s="1085"/>
      <c r="AV23" s="1085"/>
      <c r="AW23" s="1085"/>
      <c r="AX23" s="1085"/>
      <c r="AY23" s="1085"/>
      <c r="AZ23" s="1085"/>
      <c r="BA23" s="1085"/>
      <c r="BB23" s="1085"/>
      <c r="BC23" s="1085"/>
      <c r="BD23" s="1085"/>
      <c r="BE23" s="1085"/>
      <c r="BF23" s="1085"/>
      <c r="BG23" s="1085"/>
      <c r="BH23" s="1085"/>
      <c r="BI23" s="1085"/>
      <c r="BJ23" s="1085"/>
      <c r="BK23" s="1085"/>
      <c r="BL23" s="1085"/>
      <c r="BM23" s="1085"/>
      <c r="BN23" s="1085"/>
      <c r="BO23" s="1085"/>
      <c r="BP23" s="1085"/>
      <c r="BQ23" s="1085"/>
      <c r="BR23" s="1085"/>
      <c r="BS23" s="1085"/>
      <c r="BT23" s="1"/>
    </row>
    <row r="24" spans="1:72" ht="15" thickBot="1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123"/>
      <c r="L24" s="1872"/>
      <c r="M24" s="1113"/>
      <c r="N24" s="1118"/>
      <c r="O24" s="1118"/>
      <c r="P24" s="1118"/>
      <c r="Q24" s="1118"/>
      <c r="R24" s="1124"/>
      <c r="S24" s="1125"/>
      <c r="Z24" s="1085"/>
      <c r="AA24" s="1085"/>
      <c r="AB24" s="1085"/>
      <c r="AC24" s="1085"/>
      <c r="AD24" s="1085"/>
      <c r="AE24" s="1085"/>
      <c r="AF24" s="1085"/>
      <c r="AG24" s="1085"/>
      <c r="AH24" s="1085"/>
      <c r="AI24" s="1085"/>
      <c r="AJ24" s="1085"/>
      <c r="AK24" s="1085"/>
      <c r="AL24" s="1085"/>
      <c r="AM24" s="1085"/>
      <c r="AN24" s="1085"/>
      <c r="AO24" s="1085"/>
      <c r="AP24" s="1085"/>
      <c r="AQ24" s="1085"/>
      <c r="AR24" s="1085"/>
      <c r="AS24" s="1085"/>
      <c r="AT24" s="1085"/>
      <c r="AU24" s="1085"/>
      <c r="AV24" s="1085"/>
      <c r="AW24" s="1085"/>
      <c r="AX24" s="1085"/>
      <c r="AY24" s="1085"/>
      <c r="AZ24" s="1085"/>
      <c r="BA24" s="1085"/>
      <c r="BB24" s="1085"/>
      <c r="BC24" s="1085"/>
      <c r="BD24" s="1085"/>
      <c r="BE24" s="1085"/>
      <c r="BF24" s="1085"/>
      <c r="BG24" s="1085"/>
      <c r="BH24" s="1085"/>
      <c r="BI24" s="1085"/>
      <c r="BJ24" s="1085"/>
      <c r="BK24" s="1085"/>
      <c r="BL24" s="1085"/>
      <c r="BM24" s="1085"/>
      <c r="BN24" s="1085"/>
      <c r="BO24" s="1085"/>
      <c r="BP24" s="1085"/>
      <c r="BQ24" s="1085"/>
      <c r="BR24" s="1085"/>
      <c r="BS24" s="1085"/>
      <c r="BT24" s="1"/>
    </row>
    <row r="25" spans="1:72" ht="18.600000000000001" thickBot="1" x14ac:dyDescent="0.4">
      <c r="A25" s="95"/>
      <c r="B25" s="95"/>
      <c r="C25" s="95"/>
      <c r="D25" s="95"/>
      <c r="E25" s="95"/>
      <c r="F25" s="1"/>
      <c r="G25" s="1"/>
      <c r="H25" s="1"/>
      <c r="I25" s="1"/>
      <c r="J25" s="1"/>
      <c r="K25" s="1130" t="s">
        <v>18</v>
      </c>
      <c r="L25" s="1111">
        <f>SUM(L16:L21)</f>
        <v>0</v>
      </c>
      <c r="M25" s="1111">
        <f>SUM(M16:M21)</f>
        <v>0</v>
      </c>
      <c r="N25" s="1111">
        <f t="shared" ref="N25:S25" si="4">SUM(N16:N24)</f>
        <v>0</v>
      </c>
      <c r="O25" s="1111">
        <f t="shared" si="4"/>
        <v>0</v>
      </c>
      <c r="P25" s="1111">
        <f t="shared" si="4"/>
        <v>0</v>
      </c>
      <c r="Q25" s="1111">
        <f t="shared" si="4"/>
        <v>0</v>
      </c>
      <c r="R25" s="1111">
        <f t="shared" si="4"/>
        <v>0</v>
      </c>
      <c r="S25" s="1111">
        <f t="shared" si="4"/>
        <v>0</v>
      </c>
      <c r="T25" s="1222"/>
      <c r="U25" s="1222"/>
      <c r="V25" s="1222"/>
      <c r="W25" s="1222"/>
      <c r="X25" s="1222"/>
      <c r="Y25" s="1222"/>
      <c r="Z25" s="1085"/>
      <c r="AA25" s="1085"/>
      <c r="AB25" s="1085"/>
      <c r="AC25" s="1085"/>
      <c r="AD25" s="1085"/>
      <c r="AE25" s="1085"/>
      <c r="AF25" s="1085"/>
      <c r="AG25" s="1085"/>
      <c r="AH25" s="1085"/>
      <c r="AI25" s="1085"/>
      <c r="AJ25" s="1085"/>
      <c r="AK25" s="1085"/>
      <c r="AL25" s="1085"/>
      <c r="AM25" s="1085"/>
      <c r="AN25" s="1085"/>
      <c r="AO25" s="1085"/>
      <c r="AP25" s="1085"/>
      <c r="AQ25" s="1085"/>
      <c r="AR25" s="1085"/>
      <c r="AS25" s="1085"/>
      <c r="AT25" s="1085"/>
      <c r="AU25" s="1085"/>
      <c r="AV25" s="1085"/>
      <c r="AW25" s="1085"/>
      <c r="AX25" s="1085"/>
      <c r="AY25" s="1085"/>
      <c r="AZ25" s="1085"/>
      <c r="BA25" s="1085"/>
      <c r="BB25" s="1085"/>
      <c r="BC25" s="1085"/>
      <c r="BD25" s="1085"/>
      <c r="BE25" s="1085"/>
      <c r="BF25" s="1085"/>
      <c r="BG25" s="1085"/>
      <c r="BH25" s="1085"/>
      <c r="BI25" s="1085"/>
      <c r="BJ25" s="1085"/>
      <c r="BK25" s="1085"/>
      <c r="BL25" s="1085"/>
      <c r="BM25" s="1085"/>
      <c r="BN25" s="1085"/>
      <c r="BO25" s="1085"/>
      <c r="BP25" s="1085"/>
      <c r="BQ25" s="1085"/>
      <c r="BR25" s="1085"/>
      <c r="BS25" s="1085"/>
      <c r="BT25" s="1"/>
    </row>
    <row r="26" spans="1:72" ht="16.2" thickBot="1" x14ac:dyDescent="0.35">
      <c r="A26" s="96" t="s">
        <v>28</v>
      </c>
      <c r="B26" s="4"/>
      <c r="C26" s="5"/>
      <c r="D26" s="1"/>
      <c r="E26" s="97"/>
      <c r="F26" s="98"/>
      <c r="G26" s="1"/>
      <c r="H26" s="1"/>
      <c r="I26" s="1"/>
      <c r="J26" s="1"/>
      <c r="K26" s="1085"/>
      <c r="L26" s="1085"/>
      <c r="M26" s="1085"/>
      <c r="N26" s="1085"/>
      <c r="O26" s="1085"/>
      <c r="P26" s="1085"/>
      <c r="Q26" s="1085"/>
      <c r="R26" s="1085"/>
      <c r="S26" s="1085"/>
      <c r="T26" s="1085"/>
      <c r="U26" s="1085"/>
      <c r="V26" s="1085"/>
      <c r="W26" s="1085"/>
      <c r="X26" s="1085"/>
      <c r="Y26" s="1085"/>
      <c r="Z26" s="1085"/>
      <c r="AA26" s="1133"/>
      <c r="AB26" s="1085"/>
      <c r="AC26" s="1085"/>
      <c r="AD26" s="1085"/>
      <c r="AE26" s="1133"/>
      <c r="AF26" s="1145"/>
      <c r="AG26" s="1085"/>
      <c r="AH26" s="1085"/>
      <c r="AI26" s="1085"/>
      <c r="AJ26" s="1085"/>
      <c r="AK26" s="1085"/>
      <c r="AL26" s="1085"/>
      <c r="AM26" s="1085"/>
      <c r="AN26" s="1133"/>
      <c r="AO26" s="1085"/>
      <c r="AP26" s="1085"/>
      <c r="AQ26" s="1085"/>
      <c r="AR26" s="1085"/>
      <c r="AS26" s="1085"/>
      <c r="AT26" s="1085"/>
      <c r="AU26" s="1085"/>
      <c r="AV26" s="1085"/>
      <c r="AW26" s="1085"/>
      <c r="AX26" s="1085"/>
      <c r="AY26" s="1085"/>
      <c r="AZ26" s="1085"/>
      <c r="BA26" s="1085"/>
      <c r="BB26" s="1085"/>
      <c r="BC26" s="1085"/>
      <c r="BD26" s="1085"/>
      <c r="BE26" s="1133"/>
      <c r="BF26" s="1133"/>
      <c r="BG26" s="1085"/>
      <c r="BH26" s="1085"/>
      <c r="BI26" s="1085"/>
      <c r="BJ26" s="1085"/>
      <c r="BK26" s="1085"/>
      <c r="BL26" s="1133"/>
      <c r="BM26" s="1085"/>
      <c r="BN26" s="1085"/>
      <c r="BO26" s="1085"/>
      <c r="BP26" s="1085"/>
      <c r="BQ26" s="1085"/>
      <c r="BR26" s="1085"/>
      <c r="BS26" s="1"/>
    </row>
    <row r="27" spans="1:72" ht="16.8" thickTop="1" thickBot="1" x14ac:dyDescent="0.35">
      <c r="A27" s="99" t="s">
        <v>29</v>
      </c>
      <c r="B27" s="100" t="s">
        <v>30</v>
      </c>
      <c r="C27" s="101" t="s">
        <v>31</v>
      </c>
      <c r="D27" s="102" t="s">
        <v>2</v>
      </c>
      <c r="E27" s="103" t="s">
        <v>32</v>
      </c>
      <c r="F27" s="104" t="s">
        <v>33</v>
      </c>
      <c r="G27" s="105" t="s">
        <v>34</v>
      </c>
      <c r="H27" s="827" t="s">
        <v>35</v>
      </c>
      <c r="I27" s="811" t="s">
        <v>36</v>
      </c>
      <c r="J27" s="811" t="s">
        <v>37</v>
      </c>
      <c r="K27" s="1146" t="s">
        <v>38</v>
      </c>
      <c r="L27" s="1147" t="s">
        <v>39</v>
      </c>
      <c r="M27" s="1147" t="s">
        <v>40</v>
      </c>
      <c r="N27" s="1147" t="s">
        <v>41</v>
      </c>
      <c r="O27" s="1147" t="s">
        <v>42</v>
      </c>
      <c r="P27" s="1147" t="s">
        <v>43</v>
      </c>
      <c r="Q27" s="1148" t="s">
        <v>44</v>
      </c>
      <c r="R27" s="1147" t="s">
        <v>38</v>
      </c>
      <c r="S27" s="1148" t="s">
        <v>45</v>
      </c>
      <c r="T27" s="1740" t="s">
        <v>67</v>
      </c>
      <c r="U27" s="1739" t="s">
        <v>68</v>
      </c>
      <c r="V27" s="1736" t="s">
        <v>69</v>
      </c>
      <c r="W27" s="1736" t="s">
        <v>456</v>
      </c>
      <c r="X27" s="1736" t="s">
        <v>9</v>
      </c>
      <c r="Y27" s="1737" t="s">
        <v>9</v>
      </c>
      <c r="Z27" s="1149" t="s">
        <v>46</v>
      </c>
      <c r="AA27" s="1149" t="s">
        <v>47</v>
      </c>
      <c r="AB27" s="1150" t="s">
        <v>48</v>
      </c>
      <c r="AC27" s="1150" t="s">
        <v>308</v>
      </c>
      <c r="AD27" s="1150" t="s">
        <v>3</v>
      </c>
      <c r="AE27" s="1151" t="s">
        <v>3</v>
      </c>
      <c r="AF27" s="1152" t="s">
        <v>49</v>
      </c>
      <c r="AG27" s="1153" t="s">
        <v>50</v>
      </c>
      <c r="AH27" s="1154" t="s">
        <v>282</v>
      </c>
      <c r="AI27" s="1152" t="s">
        <v>349</v>
      </c>
      <c r="AJ27" s="1155"/>
      <c r="AK27" s="1156" t="s">
        <v>51</v>
      </c>
      <c r="AL27" s="1157" t="s">
        <v>52</v>
      </c>
      <c r="AM27" s="1158" t="s">
        <v>53</v>
      </c>
      <c r="AN27" s="1159" t="s">
        <v>54</v>
      </c>
      <c r="AO27" s="1160" t="s">
        <v>350</v>
      </c>
      <c r="AP27" s="1152" t="s">
        <v>5</v>
      </c>
      <c r="AQ27" s="1161" t="s">
        <v>55</v>
      </c>
      <c r="AR27" s="1162" t="s">
        <v>56</v>
      </c>
      <c r="AS27" s="1153" t="s">
        <v>57</v>
      </c>
      <c r="AT27" s="1154" t="s">
        <v>58</v>
      </c>
      <c r="AU27" s="1152" t="s">
        <v>351</v>
      </c>
      <c r="AV27" s="1152" t="s">
        <v>59</v>
      </c>
      <c r="AW27" s="1152" t="s">
        <v>59</v>
      </c>
      <c r="AX27" s="1157" t="s">
        <v>60</v>
      </c>
      <c r="AY27" s="1152" t="s">
        <v>61</v>
      </c>
      <c r="AZ27" s="1154" t="s">
        <v>62</v>
      </c>
      <c r="BA27" s="1152" t="s">
        <v>352</v>
      </c>
      <c r="BB27" s="1156" t="s">
        <v>7</v>
      </c>
      <c r="BC27" s="1156" t="s">
        <v>7</v>
      </c>
      <c r="BD27" s="1157" t="s">
        <v>64</v>
      </c>
      <c r="BE27" s="1153" t="s">
        <v>65</v>
      </c>
      <c r="BF27" s="1154" t="s">
        <v>66</v>
      </c>
      <c r="BG27" s="1152" t="s">
        <v>353</v>
      </c>
      <c r="BH27" s="1163" t="s">
        <v>8</v>
      </c>
      <c r="BI27" s="1156" t="s">
        <v>8</v>
      </c>
      <c r="BJ27" s="1157" t="s">
        <v>67</v>
      </c>
      <c r="BK27" s="1152" t="s">
        <v>68</v>
      </c>
      <c r="BL27" s="1154" t="s">
        <v>69</v>
      </c>
      <c r="BM27" s="1152" t="s">
        <v>354</v>
      </c>
      <c r="BN27" s="1164" t="s">
        <v>9</v>
      </c>
      <c r="BO27" s="1164" t="s">
        <v>9</v>
      </c>
      <c r="BP27" s="1165" t="s">
        <v>70</v>
      </c>
      <c r="BQ27" s="1166" t="s">
        <v>71</v>
      </c>
      <c r="BR27" s="1156" t="s">
        <v>72</v>
      </c>
      <c r="BS27" s="1"/>
    </row>
    <row r="28" spans="1:72" x14ac:dyDescent="0.3">
      <c r="A28" s="112"/>
      <c r="B28" s="113" t="s">
        <v>73</v>
      </c>
      <c r="C28" s="114" t="s">
        <v>441</v>
      </c>
      <c r="D28" s="115" t="s">
        <v>11</v>
      </c>
      <c r="E28" s="116">
        <v>2.5</v>
      </c>
      <c r="F28" s="116" t="e">
        <f>(BR28/G28)/4</f>
        <v>#DIV/0!</v>
      </c>
      <c r="G28" s="19"/>
      <c r="H28" s="828">
        <f t="shared" ref="H28:H41" si="5">G28*E28</f>
        <v>0</v>
      </c>
      <c r="I28" s="848"/>
      <c r="J28" s="848"/>
      <c r="K28" s="1167">
        <f t="shared" ref="K28:S41" si="6">J28-$H28</f>
        <v>0</v>
      </c>
      <c r="L28" s="1168">
        <f t="shared" si="6"/>
        <v>0</v>
      </c>
      <c r="M28" s="1167">
        <f t="shared" si="6"/>
        <v>0</v>
      </c>
      <c r="N28" s="1167">
        <f t="shared" si="6"/>
        <v>0</v>
      </c>
      <c r="O28" s="1167">
        <f t="shared" si="6"/>
        <v>0</v>
      </c>
      <c r="P28" s="1169">
        <f t="shared" si="6"/>
        <v>0</v>
      </c>
      <c r="Q28" s="1167">
        <f t="shared" si="6"/>
        <v>0</v>
      </c>
      <c r="R28" s="1169">
        <f t="shared" si="6"/>
        <v>0</v>
      </c>
      <c r="S28" s="1170">
        <f t="shared" si="6"/>
        <v>0</v>
      </c>
      <c r="T28" s="1844"/>
      <c r="U28" s="1362"/>
      <c r="V28" s="1224"/>
      <c r="W28" s="1362"/>
      <c r="X28" s="1224"/>
      <c r="Y28" s="1899"/>
      <c r="Z28" s="1172"/>
      <c r="AA28" s="1172"/>
      <c r="AB28" s="1091"/>
      <c r="AC28" s="1173"/>
      <c r="AD28" s="1174"/>
      <c r="AE28" s="1175"/>
      <c r="AF28" s="1176"/>
      <c r="AG28" s="1177"/>
      <c r="AH28" s="1178"/>
      <c r="AI28" s="1179"/>
      <c r="AJ28" s="1180"/>
      <c r="AK28" s="1181"/>
      <c r="AL28" s="1182"/>
      <c r="AM28" s="1096"/>
      <c r="AN28" s="1097"/>
      <c r="AO28" s="1183"/>
      <c r="AP28" s="1184"/>
      <c r="AQ28" s="1185"/>
      <c r="AR28" s="1186"/>
      <c r="AS28" s="1177"/>
      <c r="AT28" s="1178"/>
      <c r="AU28" s="1179"/>
      <c r="AV28" s="1180"/>
      <c r="AW28" s="1180"/>
      <c r="AX28" s="1171"/>
      <c r="AY28" s="1095"/>
      <c r="AZ28" s="1098"/>
      <c r="BA28" s="1187"/>
      <c r="BB28" s="1184"/>
      <c r="BC28" s="1181"/>
      <c r="BD28" s="1188"/>
      <c r="BE28" s="1177"/>
      <c r="BF28" s="1189"/>
      <c r="BG28" s="1179"/>
      <c r="BH28" s="1180"/>
      <c r="BI28" s="1181"/>
      <c r="BJ28" s="1188"/>
      <c r="BK28" s="1176"/>
      <c r="BL28" s="1189"/>
      <c r="BM28" s="1179"/>
      <c r="BN28" s="1180"/>
      <c r="BO28" s="1190"/>
      <c r="BP28" s="1191"/>
      <c r="BQ28" s="1191"/>
      <c r="BR28" s="1191">
        <f>BP28-BQ28</f>
        <v>0</v>
      </c>
      <c r="BS28" s="1"/>
      <c r="BT28" s="1192">
        <f t="shared" ref="BT28:BT41" si="7">SUM(Z28:BO28)</f>
        <v>0</v>
      </c>
    </row>
    <row r="29" spans="1:72" x14ac:dyDescent="0.3">
      <c r="A29" s="132"/>
      <c r="B29" s="133" t="s">
        <v>74</v>
      </c>
      <c r="C29" s="134" t="s">
        <v>442</v>
      </c>
      <c r="D29" s="135" t="s">
        <v>11</v>
      </c>
      <c r="E29" s="136">
        <v>3</v>
      </c>
      <c r="F29" s="136">
        <f t="shared" ref="F29:F41" si="8">(BR29/G29)/7</f>
        <v>0.59411288144747498</v>
      </c>
      <c r="G29" s="137">
        <v>529</v>
      </c>
      <c r="H29" s="269">
        <f t="shared" si="5"/>
        <v>1587</v>
      </c>
      <c r="I29" s="375">
        <v>9000</v>
      </c>
      <c r="J29" s="375">
        <v>6800</v>
      </c>
      <c r="K29" s="1193">
        <f t="shared" si="6"/>
        <v>5213</v>
      </c>
      <c r="L29" s="1194">
        <f t="shared" si="6"/>
        <v>3626</v>
      </c>
      <c r="M29" s="1193">
        <f t="shared" si="6"/>
        <v>2039</v>
      </c>
      <c r="N29" s="1954">
        <v>9452</v>
      </c>
      <c r="O29" s="1193">
        <f t="shared" si="6"/>
        <v>7865</v>
      </c>
      <c r="P29" s="1194">
        <f t="shared" si="6"/>
        <v>6278</v>
      </c>
      <c r="Q29" s="1194">
        <f t="shared" si="6"/>
        <v>4691</v>
      </c>
      <c r="R29" s="1194">
        <f t="shared" si="6"/>
        <v>3104</v>
      </c>
      <c r="S29" s="1195">
        <f t="shared" si="6"/>
        <v>1517</v>
      </c>
      <c r="T29" s="1840"/>
      <c r="U29" s="1104"/>
      <c r="V29" s="1195"/>
      <c r="W29" s="1104"/>
      <c r="X29" s="1195"/>
      <c r="Y29" s="1897"/>
      <c r="Z29" s="1103"/>
      <c r="AA29" s="1103"/>
      <c r="AB29" s="1104"/>
      <c r="AC29" s="1114"/>
      <c r="AD29" s="1196"/>
      <c r="AE29" s="1197"/>
      <c r="AF29" s="1198"/>
      <c r="AG29" s="1199"/>
      <c r="AH29" s="1200"/>
      <c r="AI29" s="1201"/>
      <c r="AJ29" s="1202"/>
      <c r="AK29" s="1203"/>
      <c r="AL29" s="1204"/>
      <c r="AM29" s="1104"/>
      <c r="AN29" s="1205"/>
      <c r="AO29" s="1114"/>
      <c r="AP29" s="1206"/>
      <c r="AQ29" s="1207"/>
      <c r="AR29" s="1208">
        <v>9000</v>
      </c>
      <c r="AS29" s="1199"/>
      <c r="AT29" s="1200"/>
      <c r="AU29" s="1201"/>
      <c r="AV29" s="1202"/>
      <c r="AW29" s="1202"/>
      <c r="AX29" s="1909"/>
      <c r="AY29" s="1103"/>
      <c r="AZ29" s="1209"/>
      <c r="BA29" s="1113"/>
      <c r="BB29" s="1206"/>
      <c r="BC29" s="1203"/>
      <c r="BD29" s="1210"/>
      <c r="BE29" s="1199"/>
      <c r="BF29" s="1200"/>
      <c r="BG29" s="1201"/>
      <c r="BH29" s="1202"/>
      <c r="BI29" s="1203"/>
      <c r="BJ29" s="1210"/>
      <c r="BK29" s="1198"/>
      <c r="BL29" s="1200"/>
      <c r="BM29" s="1201"/>
      <c r="BN29" s="1202"/>
      <c r="BO29" s="1211"/>
      <c r="BP29" s="1212">
        <v>9000</v>
      </c>
      <c r="BQ29" s="1212">
        <f>J29</f>
        <v>6800</v>
      </c>
      <c r="BR29" s="1212">
        <f>BP29-BQ29</f>
        <v>2200</v>
      </c>
      <c r="BS29" s="1"/>
      <c r="BT29" s="1192">
        <f t="shared" si="7"/>
        <v>9000</v>
      </c>
    </row>
    <row r="30" spans="1:72" x14ac:dyDescent="0.3">
      <c r="A30" s="143" t="s">
        <v>75</v>
      </c>
      <c r="B30" s="153" t="s">
        <v>76</v>
      </c>
      <c r="C30" s="134" t="s">
        <v>443</v>
      </c>
      <c r="D30" s="135" t="s">
        <v>11</v>
      </c>
      <c r="E30" s="136">
        <v>2.8</v>
      </c>
      <c r="F30" s="136">
        <f t="shared" si="8"/>
        <v>-1.7142857142857142</v>
      </c>
      <c r="G30" s="137">
        <v>50</v>
      </c>
      <c r="H30" s="269">
        <f t="shared" si="5"/>
        <v>140</v>
      </c>
      <c r="I30" s="375">
        <v>4000</v>
      </c>
      <c r="J30" s="385">
        <v>3600</v>
      </c>
      <c r="K30" s="1193">
        <f t="shared" si="6"/>
        <v>3460</v>
      </c>
      <c r="L30" s="1193">
        <f t="shared" si="6"/>
        <v>3320</v>
      </c>
      <c r="M30" s="1193">
        <f t="shared" si="6"/>
        <v>3180</v>
      </c>
      <c r="N30" s="1194">
        <f t="shared" si="6"/>
        <v>3040</v>
      </c>
      <c r="O30" s="1193">
        <f t="shared" si="6"/>
        <v>2900</v>
      </c>
      <c r="P30" s="1194">
        <f t="shared" si="6"/>
        <v>2760</v>
      </c>
      <c r="Q30" s="1193">
        <f t="shared" si="6"/>
        <v>2620</v>
      </c>
      <c r="R30" s="1194">
        <f t="shared" si="6"/>
        <v>2480</v>
      </c>
      <c r="S30" s="1195">
        <f t="shared" si="6"/>
        <v>2340</v>
      </c>
      <c r="T30" s="1840"/>
      <c r="U30" s="1104"/>
      <c r="V30" s="1195"/>
      <c r="W30" s="1104"/>
      <c r="X30" s="1195"/>
      <c r="Y30" s="1897"/>
      <c r="Z30" s="1103"/>
      <c r="AA30" s="1103"/>
      <c r="AB30" s="1104"/>
      <c r="AC30" s="1114"/>
      <c r="AD30" s="1196"/>
      <c r="AE30" s="1197"/>
      <c r="AF30" s="1198"/>
      <c r="AG30" s="1199"/>
      <c r="AH30" s="1200"/>
      <c r="AI30" s="1201"/>
      <c r="AJ30" s="1202"/>
      <c r="AK30" s="1203"/>
      <c r="AL30" s="1204"/>
      <c r="AM30" s="1104"/>
      <c r="AN30" s="1205"/>
      <c r="AO30" s="1114"/>
      <c r="AP30" s="1206"/>
      <c r="AQ30" s="1207"/>
      <c r="AR30" s="1208"/>
      <c r="AS30" s="1199"/>
      <c r="AT30" s="1200"/>
      <c r="AU30" s="1201"/>
      <c r="AV30" s="1202"/>
      <c r="AW30" s="1202"/>
      <c r="AX30" s="1210"/>
      <c r="AY30" s="1103"/>
      <c r="AZ30" s="1209"/>
      <c r="BA30" s="1113"/>
      <c r="BB30" s="1206"/>
      <c r="BC30" s="1203"/>
      <c r="BD30" s="1210"/>
      <c r="BE30" s="1199"/>
      <c r="BF30" s="1200"/>
      <c r="BG30" s="1201"/>
      <c r="BH30" s="1202"/>
      <c r="BI30" s="1207"/>
      <c r="BJ30" s="1210"/>
      <c r="BK30" s="1198"/>
      <c r="BL30" s="1200"/>
      <c r="BM30" s="1201"/>
      <c r="BN30" s="1202"/>
      <c r="BO30" s="1211"/>
      <c r="BP30" s="1213">
        <v>3000</v>
      </c>
      <c r="BQ30" s="1213">
        <f>J30</f>
        <v>3600</v>
      </c>
      <c r="BR30" s="1213">
        <f>BP30-BQ30</f>
        <v>-600</v>
      </c>
      <c r="BS30" s="1"/>
      <c r="BT30" s="1192">
        <f t="shared" si="7"/>
        <v>0</v>
      </c>
    </row>
    <row r="31" spans="1:72" x14ac:dyDescent="0.3">
      <c r="A31" s="143"/>
      <c r="B31" s="862"/>
      <c r="C31" s="134"/>
      <c r="D31" s="138" t="s">
        <v>11</v>
      </c>
      <c r="E31" s="136">
        <v>2.5</v>
      </c>
      <c r="F31" s="155" t="e">
        <f t="shared" si="8"/>
        <v>#DIV/0!</v>
      </c>
      <c r="G31" s="156"/>
      <c r="H31" s="299">
        <f t="shared" si="5"/>
        <v>0</v>
      </c>
      <c r="I31" s="362"/>
      <c r="J31" s="375"/>
      <c r="K31" s="1193">
        <f t="shared" si="6"/>
        <v>0</v>
      </c>
      <c r="L31" s="1194">
        <f t="shared" si="6"/>
        <v>0</v>
      </c>
      <c r="M31" s="1193">
        <f t="shared" si="6"/>
        <v>0</v>
      </c>
      <c r="N31" s="1194">
        <f t="shared" si="6"/>
        <v>0</v>
      </c>
      <c r="O31" s="1193">
        <f t="shared" si="6"/>
        <v>0</v>
      </c>
      <c r="P31" s="1194">
        <f t="shared" si="6"/>
        <v>0</v>
      </c>
      <c r="Q31" s="1193">
        <f t="shared" si="6"/>
        <v>0</v>
      </c>
      <c r="R31" s="1194">
        <f t="shared" si="6"/>
        <v>0</v>
      </c>
      <c r="S31" s="1195">
        <f>(R31-$H31)+AO31</f>
        <v>0</v>
      </c>
      <c r="T31" s="1841"/>
      <c r="U31" s="1096"/>
      <c r="V31" s="1287"/>
      <c r="W31" s="1096"/>
      <c r="X31" s="1287"/>
      <c r="Y31" s="1898"/>
      <c r="Z31" s="1095"/>
      <c r="AA31" s="1095"/>
      <c r="AB31" s="1096"/>
      <c r="AC31" s="1183"/>
      <c r="AD31" s="1214"/>
      <c r="AE31" s="1215"/>
      <c r="AF31" s="1176"/>
      <c r="AG31" s="1177"/>
      <c r="AH31" s="1189"/>
      <c r="AI31" s="1179"/>
      <c r="AJ31" s="1180"/>
      <c r="AK31" s="1181"/>
      <c r="AL31" s="1216"/>
      <c r="AM31" s="1096"/>
      <c r="AN31" s="1097"/>
      <c r="AO31" s="1183"/>
      <c r="AP31" s="1184"/>
      <c r="AQ31" s="1185"/>
      <c r="AR31" s="1186"/>
      <c r="AS31" s="1177"/>
      <c r="AT31" s="1189"/>
      <c r="AU31" s="1179"/>
      <c r="AV31" s="1180"/>
      <c r="AW31" s="1180"/>
      <c r="AX31" s="1188"/>
      <c r="AY31" s="1095"/>
      <c r="AZ31" s="1098"/>
      <c r="BA31" s="1187"/>
      <c r="BB31" s="1184"/>
      <c r="BC31" s="1181"/>
      <c r="BD31" s="1188"/>
      <c r="BE31" s="1177"/>
      <c r="BF31" s="1189"/>
      <c r="BG31" s="1179"/>
      <c r="BH31" s="1180"/>
      <c r="BI31" s="1181"/>
      <c r="BJ31" s="1188"/>
      <c r="BK31" s="1176"/>
      <c r="BL31" s="1189"/>
      <c r="BM31" s="1179"/>
      <c r="BN31" s="1180"/>
      <c r="BO31" s="1190"/>
      <c r="BP31" s="1217"/>
      <c r="BQ31" s="1217"/>
      <c r="BR31" s="1217"/>
      <c r="BS31" s="1"/>
      <c r="BT31" s="1192">
        <f t="shared" si="7"/>
        <v>0</v>
      </c>
    </row>
    <row r="32" spans="1:72" x14ac:dyDescent="0.3">
      <c r="A32" s="130"/>
      <c r="B32" s="863"/>
      <c r="C32" s="161"/>
      <c r="D32" s="135" t="s">
        <v>11</v>
      </c>
      <c r="E32" s="136">
        <v>3</v>
      </c>
      <c r="F32" s="136" t="e">
        <f t="shared" si="8"/>
        <v>#DIV/0!</v>
      </c>
      <c r="G32" s="137"/>
      <c r="H32" s="269">
        <f t="shared" si="5"/>
        <v>0</v>
      </c>
      <c r="I32" s="375"/>
      <c r="J32" s="375"/>
      <c r="K32" s="1193">
        <f t="shared" si="6"/>
        <v>0</v>
      </c>
      <c r="L32" s="1194">
        <f t="shared" si="6"/>
        <v>0</v>
      </c>
      <c r="M32" s="1193">
        <f t="shared" si="6"/>
        <v>0</v>
      </c>
      <c r="N32" s="1194">
        <f t="shared" si="6"/>
        <v>0</v>
      </c>
      <c r="O32" s="1193">
        <f t="shared" si="6"/>
        <v>0</v>
      </c>
      <c r="P32" s="1194">
        <f t="shared" si="6"/>
        <v>0</v>
      </c>
      <c r="Q32" s="1193">
        <f t="shared" si="6"/>
        <v>0</v>
      </c>
      <c r="R32" s="1194">
        <f t="shared" si="6"/>
        <v>0</v>
      </c>
      <c r="S32" s="1195">
        <f>(R32-$H32)</f>
        <v>0</v>
      </c>
      <c r="T32" s="1843"/>
      <c r="U32" s="1219"/>
      <c r="V32" s="1281"/>
      <c r="W32" s="1219"/>
      <c r="X32" s="1281"/>
      <c r="Y32" s="1896"/>
      <c r="Z32" s="1218"/>
      <c r="AA32" s="1218"/>
      <c r="AB32" s="1219"/>
      <c r="AC32" s="1220"/>
      <c r="AD32" s="1221"/>
      <c r="AE32" s="1197"/>
      <c r="AF32" s="1198"/>
      <c r="AG32" s="1199"/>
      <c r="AH32" s="1200"/>
      <c r="AI32" s="1201"/>
      <c r="AJ32" s="1202"/>
      <c r="AK32" s="1203"/>
      <c r="AL32" s="1204"/>
      <c r="AM32" s="1104"/>
      <c r="AN32" s="1205"/>
      <c r="AO32" s="1114"/>
      <c r="AP32" s="1206"/>
      <c r="AQ32" s="1207"/>
      <c r="AR32" s="1208"/>
      <c r="AS32" s="1199"/>
      <c r="AT32" s="1200"/>
      <c r="AU32" s="1201"/>
      <c r="AV32" s="1202"/>
      <c r="AW32" s="1202"/>
      <c r="AX32" s="1210"/>
      <c r="AY32" s="1103"/>
      <c r="AZ32" s="1209"/>
      <c r="BA32" s="1113"/>
      <c r="BB32" s="1206"/>
      <c r="BC32" s="1203"/>
      <c r="BD32" s="1210"/>
      <c r="BE32" s="1199"/>
      <c r="BF32" s="1200"/>
      <c r="BG32" s="1201"/>
      <c r="BH32" s="1202"/>
      <c r="BI32" s="1207"/>
      <c r="BJ32" s="1210"/>
      <c r="BK32" s="1198"/>
      <c r="BL32" s="1200"/>
      <c r="BM32" s="1201"/>
      <c r="BN32" s="1202"/>
      <c r="BO32" s="1211"/>
      <c r="BP32" s="1217"/>
      <c r="BQ32" s="1217"/>
      <c r="BR32" s="1217"/>
      <c r="BS32" s="1"/>
      <c r="BT32" s="1192">
        <f t="shared" si="7"/>
        <v>0</v>
      </c>
    </row>
    <row r="33" spans="1:72" x14ac:dyDescent="0.3">
      <c r="A33" s="297"/>
      <c r="B33" s="621"/>
      <c r="C33" s="621"/>
      <c r="D33" s="237" t="s">
        <v>11</v>
      </c>
      <c r="E33" s="622">
        <v>3</v>
      </c>
      <c r="F33" s="622" t="e">
        <f t="shared" si="8"/>
        <v>#DIV/0!</v>
      </c>
      <c r="G33" s="192"/>
      <c r="H33" s="300">
        <f t="shared" si="5"/>
        <v>0</v>
      </c>
      <c r="I33" s="386"/>
      <c r="J33" s="386"/>
      <c r="K33" s="1222">
        <f t="shared" si="6"/>
        <v>0</v>
      </c>
      <c r="L33" s="1223">
        <f t="shared" si="6"/>
        <v>0</v>
      </c>
      <c r="M33" s="1222">
        <f t="shared" si="6"/>
        <v>0</v>
      </c>
      <c r="N33" s="1223">
        <f t="shared" si="6"/>
        <v>0</v>
      </c>
      <c r="O33" s="1222">
        <f t="shared" si="6"/>
        <v>0</v>
      </c>
      <c r="P33" s="1223">
        <f t="shared" si="6"/>
        <v>0</v>
      </c>
      <c r="Q33" s="1222">
        <f t="shared" si="6"/>
        <v>0</v>
      </c>
      <c r="R33" s="1223">
        <f t="shared" si="6"/>
        <v>0</v>
      </c>
      <c r="S33" s="1224">
        <f>(R33-$H33)</f>
        <v>0</v>
      </c>
      <c r="T33" s="1844"/>
      <c r="U33" s="1362"/>
      <c r="V33" s="1224"/>
      <c r="W33" s="1362"/>
      <c r="X33" s="1224"/>
      <c r="Y33" s="1899"/>
      <c r="Z33" s="1218"/>
      <c r="AA33" s="1218"/>
      <c r="AB33" s="1219"/>
      <c r="AC33" s="1220"/>
      <c r="AD33" s="1221"/>
      <c r="AE33" s="1225"/>
      <c r="AF33" s="1226"/>
      <c r="AG33" s="1227"/>
      <c r="AH33" s="1228"/>
      <c r="AI33" s="1229"/>
      <c r="AJ33" s="1230"/>
      <c r="AK33" s="1231"/>
      <c r="AL33" s="1232"/>
      <c r="AM33" s="1219"/>
      <c r="AN33" s="1233"/>
      <c r="AO33" s="1220"/>
      <c r="AP33" s="1234"/>
      <c r="AQ33" s="1235"/>
      <c r="AR33" s="1236"/>
      <c r="AS33" s="1227"/>
      <c r="AT33" s="1228"/>
      <c r="AU33" s="1229"/>
      <c r="AV33" s="1230"/>
      <c r="AW33" s="1230"/>
      <c r="AX33" s="1237"/>
      <c r="AY33" s="1218"/>
      <c r="AZ33" s="1238"/>
      <c r="BA33" s="1239"/>
      <c r="BB33" s="1234"/>
      <c r="BC33" s="1231"/>
      <c r="BD33" s="1237"/>
      <c r="BE33" s="1227"/>
      <c r="BF33" s="1228"/>
      <c r="BG33" s="1229"/>
      <c r="BH33" s="1230"/>
      <c r="BI33" s="1231"/>
      <c r="BJ33" s="1237"/>
      <c r="BK33" s="1226"/>
      <c r="BL33" s="1228"/>
      <c r="BM33" s="1229"/>
      <c r="BN33" s="1230"/>
      <c r="BO33" s="1240"/>
      <c r="BP33" s="1212"/>
      <c r="BQ33" s="1241"/>
      <c r="BR33" s="1212"/>
      <c r="BS33" s="1"/>
      <c r="BT33" s="1192">
        <f t="shared" si="7"/>
        <v>0</v>
      </c>
    </row>
    <row r="34" spans="1:72" s="7" customFormat="1" ht="18" hidden="1" x14ac:dyDescent="0.35">
      <c r="A34" s="923"/>
      <c r="B34" s="924" t="s">
        <v>77</v>
      </c>
      <c r="C34" s="926"/>
      <c r="D34" s="933" t="s">
        <v>78</v>
      </c>
      <c r="E34" s="928">
        <v>6</v>
      </c>
      <c r="F34" s="1015" t="e">
        <f t="shared" si="8"/>
        <v>#DIV/0!</v>
      </c>
      <c r="G34" s="254"/>
      <c r="H34" s="832">
        <f t="shared" si="5"/>
        <v>0</v>
      </c>
      <c r="I34" s="392"/>
      <c r="J34" s="392"/>
      <c r="K34" s="1242">
        <f t="shared" si="6"/>
        <v>0</v>
      </c>
      <c r="L34" s="1243">
        <f t="shared" si="6"/>
        <v>0</v>
      </c>
      <c r="M34" s="1243">
        <f t="shared" si="6"/>
        <v>0</v>
      </c>
      <c r="N34" s="1243">
        <f t="shared" si="6"/>
        <v>0</v>
      </c>
      <c r="O34" s="1242">
        <f t="shared" si="6"/>
        <v>0</v>
      </c>
      <c r="P34" s="1243">
        <f t="shared" si="6"/>
        <v>0</v>
      </c>
      <c r="Q34" s="1242">
        <f t="shared" si="6"/>
        <v>0</v>
      </c>
      <c r="R34" s="1243">
        <f t="shared" si="6"/>
        <v>0</v>
      </c>
      <c r="S34" s="1244">
        <f t="shared" si="6"/>
        <v>0</v>
      </c>
      <c r="T34" s="1845"/>
      <c r="U34" s="1376"/>
      <c r="V34" s="1244"/>
      <c r="W34" s="1376"/>
      <c r="X34" s="1244"/>
      <c r="Y34" s="1900"/>
      <c r="Z34" s="1245"/>
      <c r="AA34" s="1245"/>
      <c r="AB34" s="1245"/>
      <c r="AC34" s="1246"/>
      <c r="AD34" s="1247"/>
      <c r="AE34" s="1248"/>
      <c r="AF34" s="1245"/>
      <c r="AG34" s="1245"/>
      <c r="AH34" s="1249"/>
      <c r="AI34" s="1246"/>
      <c r="AJ34" s="1250"/>
      <c r="AK34" s="1251"/>
      <c r="AL34" s="1252"/>
      <c r="AM34" s="1245"/>
      <c r="AN34" s="1253"/>
      <c r="AO34" s="1246"/>
      <c r="AP34" s="1247"/>
      <c r="AQ34" s="1251"/>
      <c r="AR34" s="1252"/>
      <c r="AS34" s="1245"/>
      <c r="AT34" s="1249"/>
      <c r="AU34" s="1246"/>
      <c r="AV34" s="1250"/>
      <c r="AW34" s="1250"/>
      <c r="AX34" s="1252"/>
      <c r="AY34" s="1245"/>
      <c r="AZ34" s="1249"/>
      <c r="BA34" s="1246"/>
      <c r="BB34" s="1250"/>
      <c r="BC34" s="1251"/>
      <c r="BD34" s="1252"/>
      <c r="BE34" s="1254"/>
      <c r="BF34" s="1249"/>
      <c r="BG34" s="1246"/>
      <c r="BH34" s="1250"/>
      <c r="BI34" s="1251"/>
      <c r="BJ34" s="1252"/>
      <c r="BK34" s="1245"/>
      <c r="BL34" s="1249"/>
      <c r="BM34" s="1246"/>
      <c r="BN34" s="1250"/>
      <c r="BO34" s="1255"/>
      <c r="BP34" s="1256"/>
      <c r="BQ34" s="1256"/>
      <c r="BR34" s="1256">
        <f>BP34-BQ34</f>
        <v>0</v>
      </c>
      <c r="BS34" s="1"/>
      <c r="BT34" s="1192">
        <f t="shared" si="7"/>
        <v>0</v>
      </c>
    </row>
    <row r="35" spans="1:72" s="7" customFormat="1" ht="18.600000000000001" hidden="1" thickBot="1" x14ac:dyDescent="0.4">
      <c r="A35" s="922"/>
      <c r="B35" s="925" t="s">
        <v>77</v>
      </c>
      <c r="C35" s="921"/>
      <c r="D35" s="927" t="s">
        <v>78</v>
      </c>
      <c r="E35" s="1016">
        <v>6</v>
      </c>
      <c r="F35" s="929" t="e">
        <f t="shared" si="8"/>
        <v>#DIV/0!</v>
      </c>
      <c r="G35" s="274"/>
      <c r="H35" s="833">
        <f t="shared" si="5"/>
        <v>0</v>
      </c>
      <c r="I35" s="409"/>
      <c r="J35" s="409"/>
      <c r="K35" s="1257">
        <f t="shared" si="6"/>
        <v>0</v>
      </c>
      <c r="L35" s="1258">
        <f t="shared" si="6"/>
        <v>0</v>
      </c>
      <c r="M35" s="1257">
        <f t="shared" si="6"/>
        <v>0</v>
      </c>
      <c r="N35" s="1258">
        <f t="shared" si="6"/>
        <v>0</v>
      </c>
      <c r="O35" s="1257">
        <f t="shared" si="6"/>
        <v>0</v>
      </c>
      <c r="P35" s="1258">
        <f t="shared" si="6"/>
        <v>0</v>
      </c>
      <c r="Q35" s="1257">
        <f t="shared" si="6"/>
        <v>0</v>
      </c>
      <c r="R35" s="1258">
        <f t="shared" si="6"/>
        <v>0</v>
      </c>
      <c r="S35" s="1259">
        <f t="shared" si="6"/>
        <v>0</v>
      </c>
      <c r="T35" s="1846"/>
      <c r="U35" s="1421"/>
      <c r="V35" s="1259"/>
      <c r="W35" s="1421"/>
      <c r="X35" s="1259"/>
      <c r="Y35" s="1901"/>
      <c r="Z35" s="1260"/>
      <c r="AA35" s="1260"/>
      <c r="AB35" s="1260"/>
      <c r="AC35" s="1261"/>
      <c r="AD35" s="1262"/>
      <c r="AE35" s="1263"/>
      <c r="AF35" s="1260"/>
      <c r="AG35" s="1260"/>
      <c r="AH35" s="1264"/>
      <c r="AI35" s="1261"/>
      <c r="AJ35" s="1265"/>
      <c r="AK35" s="1266"/>
      <c r="AL35" s="1267"/>
      <c r="AM35" s="1260"/>
      <c r="AN35" s="1268"/>
      <c r="AO35" s="1261"/>
      <c r="AP35" s="1262"/>
      <c r="AQ35" s="1266"/>
      <c r="AR35" s="1267"/>
      <c r="AS35" s="1260"/>
      <c r="AT35" s="1264"/>
      <c r="AU35" s="1261"/>
      <c r="AV35" s="1265"/>
      <c r="AW35" s="1265"/>
      <c r="AX35" s="1267"/>
      <c r="AY35" s="1260"/>
      <c r="AZ35" s="1264"/>
      <c r="BA35" s="1261"/>
      <c r="BB35" s="1265"/>
      <c r="BC35" s="1266"/>
      <c r="BD35" s="1267"/>
      <c r="BE35" s="1269"/>
      <c r="BF35" s="1264"/>
      <c r="BG35" s="1261"/>
      <c r="BH35" s="1265"/>
      <c r="BI35" s="1266"/>
      <c r="BJ35" s="1267"/>
      <c r="BK35" s="1260"/>
      <c r="BL35" s="1264"/>
      <c r="BM35" s="1261"/>
      <c r="BN35" s="1265"/>
      <c r="BO35" s="1270"/>
      <c r="BP35" s="1271"/>
      <c r="BQ35" s="1271"/>
      <c r="BR35" s="1272"/>
      <c r="BS35" s="1"/>
      <c r="BT35" s="1192">
        <f t="shared" si="7"/>
        <v>0</v>
      </c>
    </row>
    <row r="36" spans="1:72" ht="18" hidden="1" x14ac:dyDescent="0.35">
      <c r="A36" s="630"/>
      <c r="B36" s="865" t="s">
        <v>79</v>
      </c>
      <c r="C36" s="181" t="s">
        <v>228</v>
      </c>
      <c r="D36" s="182" t="s">
        <v>80</v>
      </c>
      <c r="E36" s="183">
        <v>2.5</v>
      </c>
      <c r="F36" s="184" t="e">
        <f t="shared" si="8"/>
        <v>#DIV/0!</v>
      </c>
      <c r="G36" s="156"/>
      <c r="H36" s="299">
        <f t="shared" si="5"/>
        <v>0</v>
      </c>
      <c r="I36" s="362"/>
      <c r="J36" s="362"/>
      <c r="K36" s="1273">
        <f t="shared" si="6"/>
        <v>0</v>
      </c>
      <c r="L36" s="1274">
        <f t="shared" si="6"/>
        <v>0</v>
      </c>
      <c r="M36" s="1274">
        <f t="shared" si="6"/>
        <v>0</v>
      </c>
      <c r="N36" s="1274">
        <f t="shared" si="6"/>
        <v>0</v>
      </c>
      <c r="O36" s="1273">
        <f t="shared" si="6"/>
        <v>0</v>
      </c>
      <c r="P36" s="1274">
        <f t="shared" si="6"/>
        <v>0</v>
      </c>
      <c r="Q36" s="1273">
        <f t="shared" si="6"/>
        <v>0</v>
      </c>
      <c r="R36" s="1274">
        <f t="shared" si="6"/>
        <v>0</v>
      </c>
      <c r="S36" s="1273">
        <f t="shared" si="6"/>
        <v>0</v>
      </c>
      <c r="T36" s="1847"/>
      <c r="U36" s="1183"/>
      <c r="V36" s="1273"/>
      <c r="W36" s="1183"/>
      <c r="X36" s="1273"/>
      <c r="Y36" s="1902"/>
      <c r="Z36" s="1179"/>
      <c r="AA36" s="1179"/>
      <c r="AB36" s="1179"/>
      <c r="AC36" s="1179"/>
      <c r="AD36" s="1180"/>
      <c r="AE36" s="1275"/>
      <c r="AF36" s="1179"/>
      <c r="AG36" s="1179"/>
      <c r="AH36" s="1276"/>
      <c r="AI36" s="1179"/>
      <c r="AJ36" s="1180"/>
      <c r="AK36" s="1181"/>
      <c r="AL36" s="1277"/>
      <c r="AM36" s="1179"/>
      <c r="AN36" s="1278"/>
      <c r="AO36" s="1179"/>
      <c r="AP36" s="1180"/>
      <c r="AQ36" s="1181"/>
      <c r="AR36" s="1277"/>
      <c r="AS36" s="1179"/>
      <c r="AT36" s="1276"/>
      <c r="AU36" s="1179"/>
      <c r="AV36" s="1180"/>
      <c r="AW36" s="1180"/>
      <c r="AX36" s="1188"/>
      <c r="AY36" s="1176"/>
      <c r="AZ36" s="1189"/>
      <c r="BA36" s="1179"/>
      <c r="BB36" s="1180"/>
      <c r="BC36" s="1181"/>
      <c r="BD36" s="1188"/>
      <c r="BE36" s="1177"/>
      <c r="BF36" s="1189"/>
      <c r="BG36" s="1179"/>
      <c r="BH36" s="1180"/>
      <c r="BI36" s="1181"/>
      <c r="BJ36" s="1277"/>
      <c r="BK36" s="1179"/>
      <c r="BL36" s="1276"/>
      <c r="BM36" s="1179"/>
      <c r="BN36" s="1180"/>
      <c r="BO36" s="1190"/>
      <c r="BP36" s="1279"/>
      <c r="BQ36" s="1279"/>
      <c r="BR36" s="1217">
        <f>BP36-BQ36</f>
        <v>0</v>
      </c>
      <c r="BS36" s="1"/>
      <c r="BT36" s="1192">
        <f t="shared" si="7"/>
        <v>0</v>
      </c>
    </row>
    <row r="37" spans="1:72" ht="18" hidden="1" x14ac:dyDescent="0.35">
      <c r="A37" s="189"/>
      <c r="B37" s="153"/>
      <c r="C37" s="190"/>
      <c r="D37" s="135" t="s">
        <v>80</v>
      </c>
      <c r="E37" s="136">
        <v>2.5</v>
      </c>
      <c r="F37" s="136" t="e">
        <f t="shared" si="8"/>
        <v>#DIV/0!</v>
      </c>
      <c r="G37" s="137"/>
      <c r="H37" s="269">
        <f t="shared" si="5"/>
        <v>0</v>
      </c>
      <c r="I37" s="849"/>
      <c r="J37" s="385"/>
      <c r="K37" s="1273">
        <f t="shared" si="6"/>
        <v>0</v>
      </c>
      <c r="L37" s="1274">
        <f t="shared" si="6"/>
        <v>0</v>
      </c>
      <c r="M37" s="1273">
        <f t="shared" si="6"/>
        <v>0</v>
      </c>
      <c r="N37" s="1274">
        <f t="shared" si="6"/>
        <v>0</v>
      </c>
      <c r="O37" s="1273">
        <f t="shared" si="6"/>
        <v>0</v>
      </c>
      <c r="P37" s="1274">
        <f t="shared" si="6"/>
        <v>0</v>
      </c>
      <c r="Q37" s="1273">
        <f t="shared" si="6"/>
        <v>0</v>
      </c>
      <c r="R37" s="1280">
        <f t="shared" si="6"/>
        <v>0</v>
      </c>
      <c r="S37" s="1281">
        <f t="shared" si="6"/>
        <v>0</v>
      </c>
      <c r="T37" s="1843"/>
      <c r="U37" s="1219"/>
      <c r="V37" s="1281"/>
      <c r="W37" s="1104"/>
      <c r="X37" s="1281"/>
      <c r="Y37" s="1896"/>
      <c r="Z37" s="1201"/>
      <c r="AA37" s="1201"/>
      <c r="AB37" s="1201"/>
      <c r="AC37" s="1201"/>
      <c r="AD37" s="1202"/>
      <c r="AE37" s="1282"/>
      <c r="AF37" s="1201"/>
      <c r="AG37" s="1201"/>
      <c r="AH37" s="1117"/>
      <c r="AI37" s="1201"/>
      <c r="AJ37" s="1202"/>
      <c r="AK37" s="1203"/>
      <c r="AL37" s="1283"/>
      <c r="AM37" s="1201"/>
      <c r="AN37" s="1284"/>
      <c r="AO37" s="1201"/>
      <c r="AP37" s="1202"/>
      <c r="AQ37" s="1203"/>
      <c r="AR37" s="1283"/>
      <c r="AS37" s="1201"/>
      <c r="AT37" s="1117"/>
      <c r="AU37" s="1201"/>
      <c r="AV37" s="1202"/>
      <c r="AW37" s="1202"/>
      <c r="AX37" s="1204"/>
      <c r="AY37" s="1198"/>
      <c r="AZ37" s="1200"/>
      <c r="BA37" s="1201"/>
      <c r="BB37" s="1202"/>
      <c r="BC37" s="1203"/>
      <c r="BD37" s="1210"/>
      <c r="BE37" s="1199"/>
      <c r="BF37" s="1200"/>
      <c r="BG37" s="1201"/>
      <c r="BH37" s="1202"/>
      <c r="BI37" s="1203"/>
      <c r="BJ37" s="1283"/>
      <c r="BK37" s="1201"/>
      <c r="BL37" s="1117"/>
      <c r="BM37" s="1201"/>
      <c r="BN37" s="1202"/>
      <c r="BO37" s="1202"/>
      <c r="BP37" s="1285"/>
      <c r="BQ37" s="1285"/>
      <c r="BR37" s="1213"/>
      <c r="BS37" s="1"/>
      <c r="BT37" s="1192">
        <f t="shared" si="7"/>
        <v>0</v>
      </c>
    </row>
    <row r="38" spans="1:72" ht="18" hidden="1" x14ac:dyDescent="0.35">
      <c r="A38" s="197"/>
      <c r="B38" s="134"/>
      <c r="C38" s="190"/>
      <c r="D38" s="135" t="s">
        <v>80</v>
      </c>
      <c r="E38" s="136">
        <v>2.5</v>
      </c>
      <c r="F38" s="136" t="e">
        <f t="shared" si="8"/>
        <v>#DIV/0!</v>
      </c>
      <c r="G38" s="137"/>
      <c r="H38" s="269">
        <f t="shared" si="5"/>
        <v>0</v>
      </c>
      <c r="I38" s="849"/>
      <c r="J38" s="375"/>
      <c r="K38" s="1273">
        <f t="shared" si="6"/>
        <v>0</v>
      </c>
      <c r="L38" s="1274">
        <f t="shared" si="6"/>
        <v>0</v>
      </c>
      <c r="M38" s="1273">
        <f t="shared" si="6"/>
        <v>0</v>
      </c>
      <c r="N38" s="1274">
        <f t="shared" si="6"/>
        <v>0</v>
      </c>
      <c r="O38" s="1273">
        <f t="shared" si="6"/>
        <v>0</v>
      </c>
      <c r="P38" s="1274">
        <f t="shared" si="6"/>
        <v>0</v>
      </c>
      <c r="Q38" s="1273">
        <f t="shared" si="6"/>
        <v>0</v>
      </c>
      <c r="R38" s="1280">
        <f t="shared" si="6"/>
        <v>0</v>
      </c>
      <c r="S38" s="1281">
        <f t="shared" si="6"/>
        <v>0</v>
      </c>
      <c r="T38" s="1843"/>
      <c r="U38" s="1219"/>
      <c r="V38" s="1281"/>
      <c r="W38" s="1219"/>
      <c r="X38" s="1281"/>
      <c r="Y38" s="1896"/>
      <c r="Z38" s="1201"/>
      <c r="AA38" s="1201"/>
      <c r="AB38" s="1201"/>
      <c r="AC38" s="1201"/>
      <c r="AD38" s="1202"/>
      <c r="AE38" s="1282"/>
      <c r="AF38" s="1201"/>
      <c r="AG38" s="1201"/>
      <c r="AH38" s="1117"/>
      <c r="AI38" s="1201"/>
      <c r="AJ38" s="1202"/>
      <c r="AK38" s="1203"/>
      <c r="AL38" s="1283"/>
      <c r="AM38" s="1201"/>
      <c r="AN38" s="1284"/>
      <c r="AO38" s="1201"/>
      <c r="AP38" s="1202"/>
      <c r="AQ38" s="1203"/>
      <c r="AR38" s="1283"/>
      <c r="AS38" s="1201"/>
      <c r="AT38" s="1117"/>
      <c r="AU38" s="1201"/>
      <c r="AV38" s="1202"/>
      <c r="AW38" s="1202"/>
      <c r="AX38" s="1204"/>
      <c r="AY38" s="1198"/>
      <c r="AZ38" s="1200"/>
      <c r="BA38" s="1201"/>
      <c r="BB38" s="1202"/>
      <c r="BC38" s="1203"/>
      <c r="BD38" s="1210"/>
      <c r="BE38" s="1199"/>
      <c r="BF38" s="1200"/>
      <c r="BG38" s="1201"/>
      <c r="BH38" s="1202"/>
      <c r="BI38" s="1203"/>
      <c r="BJ38" s="1283"/>
      <c r="BK38" s="1201"/>
      <c r="BL38" s="1117"/>
      <c r="BM38" s="1201"/>
      <c r="BN38" s="1202"/>
      <c r="BO38" s="1202"/>
      <c r="BP38" s="1285"/>
      <c r="BQ38" s="1285"/>
      <c r="BR38" s="1213"/>
      <c r="BS38" s="1"/>
      <c r="BT38" s="1192">
        <f t="shared" si="7"/>
        <v>0</v>
      </c>
    </row>
    <row r="39" spans="1:72" ht="18" hidden="1" x14ac:dyDescent="0.35">
      <c r="A39" s="189"/>
      <c r="B39" s="181"/>
      <c r="C39" s="181"/>
      <c r="D39" s="182" t="s">
        <v>80</v>
      </c>
      <c r="E39" s="136">
        <v>2.5</v>
      </c>
      <c r="F39" s="136" t="e">
        <f t="shared" si="8"/>
        <v>#DIV/0!</v>
      </c>
      <c r="G39" s="137"/>
      <c r="H39" s="269">
        <f t="shared" si="5"/>
        <v>0</v>
      </c>
      <c r="I39" s="849"/>
      <c r="J39" s="375"/>
      <c r="K39" s="1273">
        <f t="shared" si="6"/>
        <v>0</v>
      </c>
      <c r="L39" s="1274">
        <f t="shared" si="6"/>
        <v>0</v>
      </c>
      <c r="M39" s="1273">
        <f t="shared" si="6"/>
        <v>0</v>
      </c>
      <c r="N39" s="1274">
        <f t="shared" si="6"/>
        <v>0</v>
      </c>
      <c r="O39" s="1273">
        <f t="shared" si="6"/>
        <v>0</v>
      </c>
      <c r="P39" s="1274">
        <f t="shared" si="6"/>
        <v>0</v>
      </c>
      <c r="Q39" s="1273">
        <f t="shared" si="6"/>
        <v>0</v>
      </c>
      <c r="R39" s="1194">
        <f t="shared" si="6"/>
        <v>0</v>
      </c>
      <c r="S39" s="1281">
        <f t="shared" si="6"/>
        <v>0</v>
      </c>
      <c r="T39" s="1843"/>
      <c r="U39" s="1219"/>
      <c r="V39" s="1281"/>
      <c r="W39" s="1219"/>
      <c r="X39" s="1281"/>
      <c r="Y39" s="1896"/>
      <c r="Z39" s="1201"/>
      <c r="AA39" s="1201"/>
      <c r="AB39" s="1201"/>
      <c r="AC39" s="1118"/>
      <c r="AD39" s="1211"/>
      <c r="AE39" s="1282"/>
      <c r="AF39" s="1201"/>
      <c r="AG39" s="1286"/>
      <c r="AH39" s="1117"/>
      <c r="AI39" s="1201"/>
      <c r="AJ39" s="1202"/>
      <c r="AK39" s="1203"/>
      <c r="AL39" s="1283"/>
      <c r="AM39" s="1201"/>
      <c r="AN39" s="1284"/>
      <c r="AO39" s="1201"/>
      <c r="AP39" s="1202"/>
      <c r="AQ39" s="1203"/>
      <c r="AR39" s="1283"/>
      <c r="AS39" s="1201"/>
      <c r="AT39" s="1117"/>
      <c r="AU39" s="1201"/>
      <c r="AV39" s="1202"/>
      <c r="AW39" s="1202"/>
      <c r="AX39" s="1204"/>
      <c r="AY39" s="1198"/>
      <c r="AZ39" s="1200"/>
      <c r="BA39" s="1201"/>
      <c r="BB39" s="1202"/>
      <c r="BC39" s="1203"/>
      <c r="BD39" s="1210"/>
      <c r="BE39" s="1199"/>
      <c r="BF39" s="1200"/>
      <c r="BG39" s="1201"/>
      <c r="BH39" s="1202"/>
      <c r="BI39" s="1203"/>
      <c r="BJ39" s="1283"/>
      <c r="BK39" s="1201"/>
      <c r="BL39" s="1117"/>
      <c r="BM39" s="1201"/>
      <c r="BN39" s="1202"/>
      <c r="BO39" s="1202"/>
      <c r="BP39" s="1285"/>
      <c r="BQ39" s="1285"/>
      <c r="BR39" s="1213"/>
      <c r="BS39" s="1"/>
      <c r="BT39" s="1192">
        <f t="shared" si="7"/>
        <v>0</v>
      </c>
    </row>
    <row r="40" spans="1:72" ht="18" hidden="1" x14ac:dyDescent="0.35">
      <c r="A40" s="197"/>
      <c r="B40" s="190"/>
      <c r="C40" s="190"/>
      <c r="D40" s="135" t="s">
        <v>80</v>
      </c>
      <c r="E40" s="136">
        <v>3</v>
      </c>
      <c r="F40" s="136" t="e">
        <f t="shared" si="8"/>
        <v>#DIV/0!</v>
      </c>
      <c r="G40" s="137"/>
      <c r="H40" s="269">
        <f t="shared" si="5"/>
        <v>0</v>
      </c>
      <c r="I40" s="849"/>
      <c r="J40" s="362"/>
      <c r="K40" s="1287">
        <f>(J40-$H40)+AY40</f>
        <v>0</v>
      </c>
      <c r="L40" s="1288">
        <f>(K40-$H40)+BE40</f>
        <v>0</v>
      </c>
      <c r="M40" s="1287">
        <f>(L40-$H40)+BK40</f>
        <v>0</v>
      </c>
      <c r="N40" s="1288">
        <f>(M40-$H40)+AA40</f>
        <v>0</v>
      </c>
      <c r="O40" s="1287">
        <f>(N40-$H40)+AG40</f>
        <v>0</v>
      </c>
      <c r="P40" s="1288">
        <f>(O40-$H40)+AM40</f>
        <v>0</v>
      </c>
      <c r="Q40" s="1287">
        <f>(P40-$H40)+AS40</f>
        <v>0</v>
      </c>
      <c r="R40" s="1289">
        <f>Q40-$H40</f>
        <v>0</v>
      </c>
      <c r="S40" s="1281">
        <f t="shared" si="6"/>
        <v>0</v>
      </c>
      <c r="T40" s="1843"/>
      <c r="U40" s="1219"/>
      <c r="V40" s="1281"/>
      <c r="W40" s="1219"/>
      <c r="X40" s="1281"/>
      <c r="Y40" s="1896"/>
      <c r="Z40" s="1201"/>
      <c r="AA40" s="1201"/>
      <c r="AB40" s="1201"/>
      <c r="AC40" s="1201"/>
      <c r="AD40" s="1202"/>
      <c r="AE40" s="1282"/>
      <c r="AF40" s="1201"/>
      <c r="AG40" s="1286"/>
      <c r="AH40" s="1117"/>
      <c r="AI40" s="1201"/>
      <c r="AJ40" s="1202"/>
      <c r="AK40" s="1203"/>
      <c r="AL40" s="1283"/>
      <c r="AM40" s="1201"/>
      <c r="AN40" s="1284"/>
      <c r="AO40" s="1201"/>
      <c r="AP40" s="1202"/>
      <c r="AQ40" s="1203"/>
      <c r="AR40" s="1283"/>
      <c r="AS40" s="1201"/>
      <c r="AT40" s="1117"/>
      <c r="AU40" s="1201"/>
      <c r="AV40" s="1202"/>
      <c r="AW40" s="1202"/>
      <c r="AX40" s="1204"/>
      <c r="AY40" s="1198"/>
      <c r="AZ40" s="1200"/>
      <c r="BA40" s="1201"/>
      <c r="BB40" s="1202"/>
      <c r="BC40" s="1203"/>
      <c r="BD40" s="1210"/>
      <c r="BE40" s="1199"/>
      <c r="BF40" s="1200"/>
      <c r="BG40" s="1201"/>
      <c r="BH40" s="1202"/>
      <c r="BI40" s="1203"/>
      <c r="BJ40" s="1283"/>
      <c r="BK40" s="1201"/>
      <c r="BL40" s="1117"/>
      <c r="BM40" s="1201"/>
      <c r="BN40" s="1202"/>
      <c r="BO40" s="1202"/>
      <c r="BP40" s="1285"/>
      <c r="BQ40" s="1285"/>
      <c r="BR40" s="1213"/>
      <c r="BS40" s="1"/>
      <c r="BT40" s="1192">
        <f t="shared" si="7"/>
        <v>0</v>
      </c>
    </row>
    <row r="41" spans="1:72" ht="15" hidden="1" thickBot="1" x14ac:dyDescent="0.35">
      <c r="A41" s="200"/>
      <c r="B41" s="201"/>
      <c r="C41" s="202"/>
      <c r="D41" s="203" t="s">
        <v>80</v>
      </c>
      <c r="E41" s="204">
        <v>3</v>
      </c>
      <c r="F41" s="205" t="e">
        <f t="shared" si="8"/>
        <v>#DIV/0!</v>
      </c>
      <c r="G41" s="206"/>
      <c r="H41" s="830">
        <f t="shared" si="5"/>
        <v>0</v>
      </c>
      <c r="I41" s="814"/>
      <c r="J41" s="814"/>
      <c r="K41" s="1290">
        <f>(J41-$H41)+AY41</f>
        <v>0</v>
      </c>
      <c r="L41" s="1291">
        <f>(K41-$H41)+BE41</f>
        <v>0</v>
      </c>
      <c r="M41" s="1290">
        <f>(L41-$H41)+BK41</f>
        <v>0</v>
      </c>
      <c r="N41" s="1291">
        <f>(M41-$H41)+AA41</f>
        <v>0</v>
      </c>
      <c r="O41" s="1290">
        <f>(N41-$H41)+AG41</f>
        <v>0</v>
      </c>
      <c r="P41" s="1291">
        <f>(O41-$H41)+AM41</f>
        <v>0</v>
      </c>
      <c r="Q41" s="1290">
        <f>(P41-$H41)+AS41</f>
        <v>0</v>
      </c>
      <c r="R41" s="1292">
        <f>Q41-$H41</f>
        <v>0</v>
      </c>
      <c r="S41" s="1293">
        <f t="shared" si="6"/>
        <v>0</v>
      </c>
      <c r="T41" s="1903"/>
      <c r="U41" s="1904"/>
      <c r="V41" s="1905"/>
      <c r="W41" s="1904"/>
      <c r="X41" s="1905"/>
      <c r="Y41" s="1906"/>
      <c r="Z41" s="1294"/>
      <c r="AA41" s="1294"/>
      <c r="AB41" s="1294"/>
      <c r="AC41" s="1295"/>
      <c r="AD41" s="1296"/>
      <c r="AE41" s="1297"/>
      <c r="AF41" s="1294"/>
      <c r="AG41" s="1295"/>
      <c r="AH41" s="1298"/>
      <c r="AI41" s="1294"/>
      <c r="AJ41" s="1296"/>
      <c r="AK41" s="1299"/>
      <c r="AL41" s="1300"/>
      <c r="AM41" s="1294"/>
      <c r="AN41" s="1301"/>
      <c r="AO41" s="1294"/>
      <c r="AP41" s="1296"/>
      <c r="AQ41" s="1299"/>
      <c r="AR41" s="1300"/>
      <c r="AS41" s="1294"/>
      <c r="AT41" s="1298"/>
      <c r="AU41" s="1294"/>
      <c r="AV41" s="1296"/>
      <c r="AW41" s="1296"/>
      <c r="AX41" s="1302"/>
      <c r="AY41" s="1303"/>
      <c r="AZ41" s="1304"/>
      <c r="BA41" s="1294"/>
      <c r="BB41" s="1296"/>
      <c r="BC41" s="1299"/>
      <c r="BD41" s="1302"/>
      <c r="BE41" s="1305"/>
      <c r="BF41" s="1304"/>
      <c r="BG41" s="1294"/>
      <c r="BH41" s="1296"/>
      <c r="BI41" s="1299"/>
      <c r="BJ41" s="1300"/>
      <c r="BK41" s="1294"/>
      <c r="BL41" s="1298"/>
      <c r="BM41" s="1294"/>
      <c r="BN41" s="1296"/>
      <c r="BO41" s="1296"/>
      <c r="BP41" s="1306"/>
      <c r="BQ41" s="1306"/>
      <c r="BR41" s="1307"/>
      <c r="BS41" s="1"/>
      <c r="BT41" s="1192">
        <f t="shared" si="7"/>
        <v>0</v>
      </c>
    </row>
    <row r="42" spans="1:72" ht="15" thickBot="1" x14ac:dyDescent="0.35">
      <c r="A42" s="1"/>
      <c r="B42" s="1"/>
      <c r="C42" s="1"/>
      <c r="D42" s="1"/>
      <c r="E42" s="1"/>
      <c r="F42" s="1"/>
      <c r="G42" s="1"/>
      <c r="H42" s="1"/>
      <c r="I42" s="815"/>
      <c r="J42" s="815"/>
      <c r="K42" s="1085"/>
      <c r="L42" s="1085"/>
      <c r="M42" s="1085"/>
      <c r="N42" s="1085"/>
      <c r="O42" s="1085"/>
      <c r="P42" s="1085"/>
      <c r="Q42" s="1085"/>
      <c r="R42" s="1085"/>
      <c r="S42" s="1085"/>
      <c r="T42" s="1310"/>
      <c r="U42" s="1085"/>
      <c r="V42" s="1085"/>
      <c r="W42" s="1085"/>
      <c r="X42" s="1085"/>
      <c r="Y42" s="1309"/>
      <c r="Z42" s="1085">
        <f t="shared" ref="Z42:BO42" si="9">SUM(Z28:Z41)</f>
        <v>0</v>
      </c>
      <c r="AA42" s="1085">
        <f t="shared" si="9"/>
        <v>0</v>
      </c>
      <c r="AB42" s="1085">
        <f t="shared" si="9"/>
        <v>0</v>
      </c>
      <c r="AC42" s="1085">
        <f t="shared" si="9"/>
        <v>0</v>
      </c>
      <c r="AD42" s="1085">
        <f t="shared" si="9"/>
        <v>0</v>
      </c>
      <c r="AE42" s="1308">
        <f t="shared" si="9"/>
        <v>0</v>
      </c>
      <c r="AF42" s="1085">
        <f t="shared" si="9"/>
        <v>0</v>
      </c>
      <c r="AG42" s="1085">
        <f t="shared" si="9"/>
        <v>0</v>
      </c>
      <c r="AH42" s="1085">
        <f t="shared" si="9"/>
        <v>0</v>
      </c>
      <c r="AI42" s="1085">
        <f t="shared" si="9"/>
        <v>0</v>
      </c>
      <c r="AJ42" s="1085">
        <f t="shared" si="9"/>
        <v>0</v>
      </c>
      <c r="AK42" s="1309">
        <f t="shared" si="9"/>
        <v>0</v>
      </c>
      <c r="AL42" s="1310">
        <f t="shared" si="9"/>
        <v>0</v>
      </c>
      <c r="AM42" s="1085">
        <f t="shared" si="9"/>
        <v>0</v>
      </c>
      <c r="AN42" s="1085">
        <f t="shared" si="9"/>
        <v>0</v>
      </c>
      <c r="AO42" s="1085">
        <f t="shared" si="9"/>
        <v>0</v>
      </c>
      <c r="AP42" s="1085">
        <f t="shared" si="9"/>
        <v>0</v>
      </c>
      <c r="AQ42" s="1309">
        <f t="shared" si="9"/>
        <v>0</v>
      </c>
      <c r="AR42" s="1310">
        <f t="shared" si="9"/>
        <v>9000</v>
      </c>
      <c r="AS42" s="1085">
        <f t="shared" si="9"/>
        <v>0</v>
      </c>
      <c r="AT42" s="1085">
        <f t="shared" si="9"/>
        <v>0</v>
      </c>
      <c r="AU42" s="1085">
        <f t="shared" si="9"/>
        <v>0</v>
      </c>
      <c r="AV42" s="1085">
        <f t="shared" si="9"/>
        <v>0</v>
      </c>
      <c r="AW42" s="1085">
        <f t="shared" si="9"/>
        <v>0</v>
      </c>
      <c r="AX42" s="1310">
        <f t="shared" si="9"/>
        <v>0</v>
      </c>
      <c r="AY42" s="1085">
        <f t="shared" si="9"/>
        <v>0</v>
      </c>
      <c r="AZ42" s="1085">
        <f t="shared" si="9"/>
        <v>0</v>
      </c>
      <c r="BA42" s="1085">
        <f t="shared" si="9"/>
        <v>0</v>
      </c>
      <c r="BB42" s="1085">
        <f t="shared" si="9"/>
        <v>0</v>
      </c>
      <c r="BC42" s="1309">
        <f t="shared" si="9"/>
        <v>0</v>
      </c>
      <c r="BD42" s="1310">
        <f t="shared" si="9"/>
        <v>0</v>
      </c>
      <c r="BE42" s="1085">
        <f t="shared" si="9"/>
        <v>0</v>
      </c>
      <c r="BF42" s="1085">
        <f t="shared" si="9"/>
        <v>0</v>
      </c>
      <c r="BG42" s="1085">
        <f t="shared" si="9"/>
        <v>0</v>
      </c>
      <c r="BH42" s="1085">
        <f t="shared" si="9"/>
        <v>0</v>
      </c>
      <c r="BI42" s="1309">
        <f t="shared" si="9"/>
        <v>0</v>
      </c>
      <c r="BJ42" s="1310">
        <f t="shared" si="9"/>
        <v>0</v>
      </c>
      <c r="BK42" s="1085">
        <f t="shared" si="9"/>
        <v>0</v>
      </c>
      <c r="BL42" s="1085">
        <f t="shared" si="9"/>
        <v>0</v>
      </c>
      <c r="BM42" s="1085">
        <f t="shared" si="9"/>
        <v>0</v>
      </c>
      <c r="BN42" s="1085">
        <f t="shared" si="9"/>
        <v>0</v>
      </c>
      <c r="BO42" s="1309">
        <f t="shared" si="9"/>
        <v>0</v>
      </c>
      <c r="BP42" s="1310"/>
      <c r="BQ42" s="1085"/>
      <c r="BR42" s="1309"/>
      <c r="BS42" s="1085">
        <f>SUM(Z42:BR42)</f>
        <v>9000</v>
      </c>
      <c r="BT42" s="1192">
        <f>SUM(BT28:BT41)</f>
        <v>9000</v>
      </c>
    </row>
    <row r="43" spans="1:72" ht="15" hidden="1" thickBot="1" x14ac:dyDescent="0.35">
      <c r="A43" s="1"/>
      <c r="B43" s="1"/>
      <c r="C43" s="1"/>
      <c r="D43" s="1"/>
      <c r="E43" s="1"/>
      <c r="F43" s="1"/>
      <c r="G43" s="1"/>
      <c r="H43" s="1"/>
      <c r="I43" s="815"/>
      <c r="J43" s="815"/>
      <c r="K43" s="1085"/>
      <c r="L43" s="1085"/>
      <c r="M43" s="1085"/>
      <c r="N43" s="1085"/>
      <c r="O43" s="1085"/>
      <c r="P43" s="1085"/>
      <c r="Q43" s="1085"/>
      <c r="R43" s="1085"/>
      <c r="S43" s="1085"/>
      <c r="T43" s="1310"/>
      <c r="U43" s="1085"/>
      <c r="V43" s="1085"/>
      <c r="W43" s="1085"/>
      <c r="X43" s="1085"/>
      <c r="Y43" s="1309"/>
      <c r="Z43" s="1085"/>
      <c r="AA43" s="1085"/>
      <c r="AB43" s="1085"/>
      <c r="AC43" s="1085"/>
      <c r="AD43" s="1085"/>
      <c r="AE43" s="1308"/>
      <c r="AF43" s="1085"/>
      <c r="AG43" s="1085"/>
      <c r="AH43" s="1085"/>
      <c r="AI43" s="1085"/>
      <c r="AJ43" s="1085"/>
      <c r="AK43" s="1309"/>
      <c r="AL43" s="1310"/>
      <c r="AM43" s="1085"/>
      <c r="AN43" s="1085"/>
      <c r="AO43" s="1085"/>
      <c r="AP43" s="1085"/>
      <c r="AQ43" s="1309"/>
      <c r="AR43" s="1310"/>
      <c r="AS43" s="1085"/>
      <c r="AT43" s="1085"/>
      <c r="AU43" s="1085"/>
      <c r="AV43" s="1085"/>
      <c r="AW43" s="1085"/>
      <c r="AX43" s="1310"/>
      <c r="AY43" s="1085"/>
      <c r="AZ43" s="1085"/>
      <c r="BA43" s="1085"/>
      <c r="BB43" s="1085"/>
      <c r="BC43" s="1309"/>
      <c r="BD43" s="1310"/>
      <c r="BE43" s="1085"/>
      <c r="BF43" s="1085"/>
      <c r="BG43" s="1085"/>
      <c r="BH43" s="1085"/>
      <c r="BI43" s="1309"/>
      <c r="BJ43" s="1310"/>
      <c r="BK43" s="1085"/>
      <c r="BL43" s="1085"/>
      <c r="BM43" s="1085"/>
      <c r="BN43" s="1085"/>
      <c r="BO43" s="1309"/>
      <c r="BP43" s="1310"/>
      <c r="BQ43" s="1085"/>
      <c r="BR43" s="1309"/>
      <c r="BS43" s="1"/>
    </row>
    <row r="44" spans="1:72" ht="15" hidden="1" thickBot="1" x14ac:dyDescent="0.35">
      <c r="A44" s="1"/>
      <c r="B44" s="1"/>
      <c r="C44" s="1"/>
      <c r="D44" s="1"/>
      <c r="E44" s="1"/>
      <c r="F44" s="1"/>
      <c r="G44" s="1"/>
      <c r="H44" s="1"/>
      <c r="I44" s="815"/>
      <c r="J44" s="815"/>
      <c r="K44" s="1085"/>
      <c r="L44" s="1085"/>
      <c r="M44" s="1085"/>
      <c r="N44" s="1085"/>
      <c r="O44" s="1085"/>
      <c r="P44" s="1085"/>
      <c r="Q44" s="1085"/>
      <c r="R44" s="1085"/>
      <c r="S44" s="1085"/>
      <c r="T44" s="1310"/>
      <c r="U44" s="1085"/>
      <c r="V44" s="1085"/>
      <c r="W44" s="1085"/>
      <c r="X44" s="1085"/>
      <c r="Y44" s="1309"/>
      <c r="Z44" s="1085"/>
      <c r="AA44" s="1085"/>
      <c r="AB44" s="1085"/>
      <c r="AC44" s="1085"/>
      <c r="AD44" s="1085"/>
      <c r="AE44" s="1308"/>
      <c r="AF44" s="1085"/>
      <c r="AG44" s="1085"/>
      <c r="AH44" s="1085"/>
      <c r="AI44" s="1085"/>
      <c r="AJ44" s="1085"/>
      <c r="AK44" s="1309"/>
      <c r="AL44" s="1310"/>
      <c r="AM44" s="1085"/>
      <c r="AN44" s="1085"/>
      <c r="AO44" s="1085"/>
      <c r="AP44" s="1085"/>
      <c r="AQ44" s="1309"/>
      <c r="AR44" s="1310"/>
      <c r="AS44" s="1085"/>
      <c r="AT44" s="1085"/>
      <c r="AU44" s="1085"/>
      <c r="AV44" s="1085"/>
      <c r="AW44" s="1085"/>
      <c r="AX44" s="1310"/>
      <c r="AY44" s="1085"/>
      <c r="AZ44" s="1085"/>
      <c r="BA44" s="1085"/>
      <c r="BB44" s="1085"/>
      <c r="BC44" s="1309"/>
      <c r="BD44" s="1310"/>
      <c r="BE44" s="1085"/>
      <c r="BF44" s="1085"/>
      <c r="BG44" s="1085"/>
      <c r="BH44" s="1085"/>
      <c r="BI44" s="1309"/>
      <c r="BJ44" s="1310"/>
      <c r="BK44" s="1085"/>
      <c r="BL44" s="1085"/>
      <c r="BM44" s="1085"/>
      <c r="BN44" s="1085"/>
      <c r="BO44" s="1309"/>
      <c r="BP44" s="1310"/>
      <c r="BQ44" s="1085"/>
      <c r="BR44" s="1309"/>
      <c r="BS44" s="1"/>
    </row>
    <row r="45" spans="1:72" ht="16.8" hidden="1" thickTop="1" thickBot="1" x14ac:dyDescent="0.35">
      <c r="A45" s="875" t="s">
        <v>28</v>
      </c>
      <c r="B45" s="876"/>
      <c r="C45" s="250"/>
      <c r="D45" s="1"/>
      <c r="E45" s="79"/>
      <c r="F45" s="712"/>
      <c r="G45" s="1"/>
      <c r="H45" s="1"/>
      <c r="I45" s="815"/>
      <c r="J45" s="815"/>
      <c r="K45" s="1085"/>
      <c r="L45" s="1085">
        <f>+L48+K48</f>
        <v>6992</v>
      </c>
      <c r="M45" s="1085">
        <f>+M48-L48</f>
        <v>-336</v>
      </c>
      <c r="N45" s="1085"/>
      <c r="O45" s="1085"/>
      <c r="P45" s="1085"/>
      <c r="Q45" s="1085"/>
      <c r="R45" s="1085"/>
      <c r="S45" s="1085"/>
      <c r="T45" s="1310"/>
      <c r="U45" s="1085"/>
      <c r="V45" s="1085"/>
      <c r="W45" s="1085"/>
      <c r="X45" s="1085"/>
      <c r="Y45" s="1309"/>
      <c r="Z45" s="1085"/>
      <c r="AA45" s="1133"/>
      <c r="AB45" s="1085"/>
      <c r="AC45" s="1085"/>
      <c r="AD45" s="1085"/>
      <c r="AE45" s="1308"/>
      <c r="AF45" s="1133"/>
      <c r="AG45" s="1085"/>
      <c r="AH45" s="1085"/>
      <c r="AI45" s="1085"/>
      <c r="AJ45" s="1085"/>
      <c r="AK45" s="1309"/>
      <c r="AL45" s="1310"/>
      <c r="AM45" s="1085"/>
      <c r="AN45" s="1133"/>
      <c r="AO45" s="1085"/>
      <c r="AP45" s="1085"/>
      <c r="AQ45" s="1309"/>
      <c r="AR45" s="1310"/>
      <c r="AS45" s="1085"/>
      <c r="AT45" s="1085"/>
      <c r="AU45" s="1311"/>
      <c r="AV45" s="1085"/>
      <c r="AW45" s="1085"/>
      <c r="AX45" s="1310"/>
      <c r="AY45" s="1085"/>
      <c r="AZ45" s="1085"/>
      <c r="BA45" s="1085"/>
      <c r="BB45" s="1085"/>
      <c r="BC45" s="1309"/>
      <c r="BD45" s="1310"/>
      <c r="BE45" s="1133"/>
      <c r="BF45" s="1133"/>
      <c r="BG45" s="1085"/>
      <c r="BH45" s="1085"/>
      <c r="BI45" s="1309"/>
      <c r="BJ45" s="1310"/>
      <c r="BK45" s="1085"/>
      <c r="BL45" s="1133"/>
      <c r="BM45" s="1085"/>
      <c r="BN45" s="1085"/>
      <c r="BO45" s="1309"/>
      <c r="BP45" s="1310"/>
      <c r="BQ45" s="1085"/>
      <c r="BR45" s="1309"/>
      <c r="BS45" s="1"/>
    </row>
    <row r="46" spans="1:72" ht="16.8" hidden="1" thickTop="1" thickBot="1" x14ac:dyDescent="0.35">
      <c r="A46" s="884" t="s">
        <v>29</v>
      </c>
      <c r="B46" s="885" t="s">
        <v>30</v>
      </c>
      <c r="C46" s="886" t="s">
        <v>31</v>
      </c>
      <c r="D46" s="887" t="s">
        <v>2</v>
      </c>
      <c r="E46" s="888" t="s">
        <v>32</v>
      </c>
      <c r="F46" s="888" t="s">
        <v>33</v>
      </c>
      <c r="G46" s="889" t="s">
        <v>34</v>
      </c>
      <c r="H46" s="890" t="s">
        <v>35</v>
      </c>
      <c r="I46" s="891" t="s">
        <v>36</v>
      </c>
      <c r="J46" s="811" t="s">
        <v>37</v>
      </c>
      <c r="K46" s="1312" t="s">
        <v>38</v>
      </c>
      <c r="L46" s="1313" t="s">
        <v>39</v>
      </c>
      <c r="M46" s="1313" t="s">
        <v>40</v>
      </c>
      <c r="N46" s="1313" t="s">
        <v>41</v>
      </c>
      <c r="O46" s="1313" t="s">
        <v>42</v>
      </c>
      <c r="P46" s="1313" t="s">
        <v>43</v>
      </c>
      <c r="Q46" s="1314" t="s">
        <v>44</v>
      </c>
      <c r="R46" s="1313" t="s">
        <v>38</v>
      </c>
      <c r="S46" s="1314" t="s">
        <v>45</v>
      </c>
      <c r="T46" s="1740" t="s">
        <v>99</v>
      </c>
      <c r="U46" s="1741" t="s">
        <v>100</v>
      </c>
      <c r="V46" s="1736" t="s">
        <v>101</v>
      </c>
      <c r="W46" s="1742" t="s">
        <v>9</v>
      </c>
      <c r="X46" s="1935" t="s">
        <v>9</v>
      </c>
      <c r="Y46" s="1743" t="s">
        <v>9</v>
      </c>
      <c r="Z46" s="1315" t="s">
        <v>81</v>
      </c>
      <c r="AA46" s="1315" t="s">
        <v>82</v>
      </c>
      <c r="AB46" s="1316" t="s">
        <v>83</v>
      </c>
      <c r="AC46" s="1317" t="s">
        <v>3</v>
      </c>
      <c r="AD46" s="1318" t="s">
        <v>3</v>
      </c>
      <c r="AE46" s="1319" t="s">
        <v>3</v>
      </c>
      <c r="AF46" s="1315" t="s">
        <v>84</v>
      </c>
      <c r="AG46" s="1315" t="s">
        <v>85</v>
      </c>
      <c r="AH46" s="1316" t="s">
        <v>86</v>
      </c>
      <c r="AI46" s="1317" t="s">
        <v>51</v>
      </c>
      <c r="AJ46" s="1320" t="s">
        <v>51</v>
      </c>
      <c r="AK46" s="1320" t="s">
        <v>51</v>
      </c>
      <c r="AL46" s="1321" t="s">
        <v>87</v>
      </c>
      <c r="AM46" s="1315" t="s">
        <v>88</v>
      </c>
      <c r="AN46" s="1316" t="s">
        <v>89</v>
      </c>
      <c r="AO46" s="1317" t="s">
        <v>5</v>
      </c>
      <c r="AP46" s="1320" t="s">
        <v>5</v>
      </c>
      <c r="AQ46" s="1320" t="s">
        <v>55</v>
      </c>
      <c r="AR46" s="1321" t="s">
        <v>90</v>
      </c>
      <c r="AS46" s="1315" t="s">
        <v>91</v>
      </c>
      <c r="AT46" s="1322" t="s">
        <v>92</v>
      </c>
      <c r="AU46" s="1323" t="s">
        <v>59</v>
      </c>
      <c r="AV46" s="1320" t="s">
        <v>59</v>
      </c>
      <c r="AW46" s="1320" t="s">
        <v>59</v>
      </c>
      <c r="AX46" s="1321" t="s">
        <v>93</v>
      </c>
      <c r="AY46" s="1315" t="s">
        <v>94</v>
      </c>
      <c r="AZ46" s="1322" t="s">
        <v>95</v>
      </c>
      <c r="BA46" s="1324" t="s">
        <v>63</v>
      </c>
      <c r="BB46" s="1325" t="s">
        <v>7</v>
      </c>
      <c r="BC46" s="1326" t="s">
        <v>7</v>
      </c>
      <c r="BD46" s="1321" t="s">
        <v>96</v>
      </c>
      <c r="BE46" s="1315" t="s">
        <v>97</v>
      </c>
      <c r="BF46" s="1316" t="s">
        <v>98</v>
      </c>
      <c r="BG46" s="1163" t="s">
        <v>8</v>
      </c>
      <c r="BH46" s="1163" t="s">
        <v>8</v>
      </c>
      <c r="BI46" s="1320" t="s">
        <v>8</v>
      </c>
      <c r="BJ46" s="1321" t="s">
        <v>99</v>
      </c>
      <c r="BK46" s="1315" t="s">
        <v>100</v>
      </c>
      <c r="BL46" s="1322" t="s">
        <v>101</v>
      </c>
      <c r="BM46" s="1323" t="s">
        <v>9</v>
      </c>
      <c r="BN46" s="1164" t="s">
        <v>9</v>
      </c>
      <c r="BO46" s="1320" t="s">
        <v>9</v>
      </c>
      <c r="BP46" s="1327" t="s">
        <v>70</v>
      </c>
      <c r="BQ46" s="1317" t="s">
        <v>71</v>
      </c>
      <c r="BR46" s="1328" t="s">
        <v>72</v>
      </c>
      <c r="BS46" s="1"/>
    </row>
    <row r="47" spans="1:72" ht="18.600000000000001" hidden="1" thickBot="1" x14ac:dyDescent="0.4">
      <c r="A47" s="2739"/>
      <c r="B47" s="866"/>
      <c r="C47" s="329"/>
      <c r="D47" s="290" t="s">
        <v>102</v>
      </c>
      <c r="E47" s="880"/>
      <c r="F47" s="291" t="e">
        <f t="shared" ref="F47:F62" si="10">(BR47/G47)/7</f>
        <v>#DIV/0!</v>
      </c>
      <c r="G47" s="157"/>
      <c r="H47" s="834">
        <f t="shared" ref="H47:H62" si="11">G47*E47</f>
        <v>0</v>
      </c>
      <c r="I47" s="362"/>
      <c r="J47" s="362"/>
      <c r="K47" s="1329">
        <f>J47-H47</f>
        <v>0</v>
      </c>
      <c r="L47" s="1288">
        <f t="shared" ref="L47:S59" si="12">K47-$H47</f>
        <v>0</v>
      </c>
      <c r="M47" s="1288">
        <f t="shared" si="12"/>
        <v>0</v>
      </c>
      <c r="N47" s="1288">
        <f t="shared" si="12"/>
        <v>0</v>
      </c>
      <c r="O47" s="1288">
        <f t="shared" si="12"/>
        <v>0</v>
      </c>
      <c r="P47" s="1288">
        <f t="shared" si="12"/>
        <v>0</v>
      </c>
      <c r="Q47" s="1287">
        <f t="shared" si="12"/>
        <v>0</v>
      </c>
      <c r="R47" s="1288">
        <f t="shared" si="12"/>
        <v>0</v>
      </c>
      <c r="S47" s="1287">
        <f t="shared" si="12"/>
        <v>0</v>
      </c>
      <c r="T47" s="1216"/>
      <c r="U47" s="1287"/>
      <c r="V47" s="1096"/>
      <c r="W47" s="1097"/>
      <c r="X47" s="1096"/>
      <c r="Y47" s="1842"/>
      <c r="Z47" s="1835"/>
      <c r="AA47" s="1096"/>
      <c r="AB47" s="1098"/>
      <c r="AC47" s="1184"/>
      <c r="AD47" s="1330"/>
      <c r="AE47" s="1331"/>
      <c r="AF47" s="1176"/>
      <c r="AG47" s="1177"/>
      <c r="AH47" s="1189"/>
      <c r="AI47" s="1180"/>
      <c r="AJ47" s="1180"/>
      <c r="AK47" s="1332"/>
      <c r="AL47" s="1216"/>
      <c r="AM47" s="1096"/>
      <c r="AN47" s="1098"/>
      <c r="AO47" s="1184"/>
      <c r="AP47" s="1184"/>
      <c r="AQ47" s="1332"/>
      <c r="AR47" s="1188"/>
      <c r="AS47" s="1177"/>
      <c r="AT47" s="1333"/>
      <c r="AU47" s="1334"/>
      <c r="AV47" s="1335"/>
      <c r="AW47" s="1335"/>
      <c r="AX47" s="1188"/>
      <c r="AY47" s="1096"/>
      <c r="AZ47" s="1097"/>
      <c r="BA47" s="1336"/>
      <c r="BB47" s="1337"/>
      <c r="BC47" s="1181"/>
      <c r="BD47" s="1188"/>
      <c r="BE47" s="1177"/>
      <c r="BF47" s="1189"/>
      <c r="BG47" s="1338"/>
      <c r="BH47" s="1180"/>
      <c r="BI47" s="1332"/>
      <c r="BJ47" s="1188"/>
      <c r="BK47" s="1177"/>
      <c r="BL47" s="1333"/>
      <c r="BM47" s="1334"/>
      <c r="BN47" s="1335"/>
      <c r="BO47" s="1332"/>
      <c r="BP47" s="1339"/>
      <c r="BQ47" s="1340"/>
      <c r="BR47" s="1341"/>
      <c r="BS47" s="1"/>
      <c r="BT47" s="1192">
        <f t="shared" ref="BT47:BT56" si="13">SUM(Z47:BO47)</f>
        <v>0</v>
      </c>
    </row>
    <row r="48" spans="1:72" ht="18.600000000000001" hidden="1" thickBot="1" x14ac:dyDescent="0.4">
      <c r="A48" s="2739"/>
      <c r="B48" s="867" t="s">
        <v>382</v>
      </c>
      <c r="C48" s="224" t="s">
        <v>493</v>
      </c>
      <c r="D48" s="225" t="s">
        <v>103</v>
      </c>
      <c r="E48" s="585">
        <v>6</v>
      </c>
      <c r="F48" s="226">
        <f t="shared" si="10"/>
        <v>0</v>
      </c>
      <c r="G48" s="139">
        <v>56</v>
      </c>
      <c r="H48" s="831">
        <f t="shared" si="11"/>
        <v>336</v>
      </c>
      <c r="I48" s="375">
        <v>4000</v>
      </c>
      <c r="J48" s="375">
        <v>4000</v>
      </c>
      <c r="K48" s="1194">
        <f t="shared" ref="K48:K56" si="14">J48-$H48</f>
        <v>3664</v>
      </c>
      <c r="L48" s="1194">
        <f t="shared" si="12"/>
        <v>3328</v>
      </c>
      <c r="M48" s="1194">
        <f t="shared" si="12"/>
        <v>2992</v>
      </c>
      <c r="N48" s="1194">
        <f t="shared" si="12"/>
        <v>2656</v>
      </c>
      <c r="O48" s="1194">
        <f t="shared" si="12"/>
        <v>2320</v>
      </c>
      <c r="P48" s="1194">
        <f t="shared" si="12"/>
        <v>1984</v>
      </c>
      <c r="Q48" s="1194">
        <f t="shared" si="12"/>
        <v>1648</v>
      </c>
      <c r="R48" s="1194">
        <f t="shared" si="12"/>
        <v>1312</v>
      </c>
      <c r="S48" s="1342">
        <f t="shared" si="12"/>
        <v>976</v>
      </c>
      <c r="T48" s="1907"/>
      <c r="U48" s="1222"/>
      <c r="V48" s="1885"/>
      <c r="W48" s="1889"/>
      <c r="X48" s="1885"/>
      <c r="Y48" s="1849"/>
      <c r="AA48" s="1104"/>
      <c r="AB48" s="1209"/>
      <c r="AC48" s="1206"/>
      <c r="AD48" s="1343"/>
      <c r="AE48" s="1344"/>
      <c r="AF48" s="1198"/>
      <c r="AG48" s="1199"/>
      <c r="AH48" s="1200"/>
      <c r="AI48" s="1202"/>
      <c r="AJ48" s="1202"/>
      <c r="AK48" s="1345"/>
      <c r="AL48" s="1204"/>
      <c r="AM48" s="1104"/>
      <c r="AN48" s="1209"/>
      <c r="AO48" s="1206"/>
      <c r="AP48" s="1206"/>
      <c r="AQ48" s="1345"/>
      <c r="AR48" s="1210"/>
      <c r="AS48" s="1199"/>
      <c r="AT48" s="1346"/>
      <c r="AU48" s="1347"/>
      <c r="AV48" s="1348"/>
      <c r="AW48" s="1348"/>
      <c r="AX48" s="1210"/>
      <c r="AY48" s="1104"/>
      <c r="AZ48" s="1205"/>
      <c r="BA48" s="1349"/>
      <c r="BB48" s="1350"/>
      <c r="BC48" s="1203"/>
      <c r="BD48" s="1210"/>
      <c r="BE48" s="1199"/>
      <c r="BF48" s="1200"/>
      <c r="BG48" s="1351"/>
      <c r="BH48" s="1202"/>
      <c r="BI48" s="1345"/>
      <c r="BJ48" s="1210"/>
      <c r="BK48" s="1199"/>
      <c r="BL48" s="1346"/>
      <c r="BM48" s="1334"/>
      <c r="BN48" s="1335"/>
      <c r="BO48" s="1332"/>
      <c r="BP48" s="1352"/>
      <c r="BQ48" s="1213"/>
      <c r="BR48" s="1353">
        <f t="shared" ref="BR48:BR55" si="15">BP48-BQ48</f>
        <v>0</v>
      </c>
      <c r="BS48" s="1"/>
      <c r="BT48" s="1192">
        <f t="shared" si="13"/>
        <v>0</v>
      </c>
    </row>
    <row r="49" spans="1:72" ht="18.600000000000001" hidden="1" thickBot="1" x14ac:dyDescent="0.4">
      <c r="A49" s="2739"/>
      <c r="B49" s="868"/>
      <c r="C49" s="233"/>
      <c r="D49" s="234" t="s">
        <v>104</v>
      </c>
      <c r="E49" s="586">
        <v>2.5</v>
      </c>
      <c r="F49" s="235" t="e">
        <f t="shared" si="10"/>
        <v>#DIV/0!</v>
      </c>
      <c r="G49" s="236"/>
      <c r="H49" s="234">
        <f t="shared" si="11"/>
        <v>0</v>
      </c>
      <c r="I49" s="386"/>
      <c r="J49" s="386"/>
      <c r="K49" s="1354">
        <f t="shared" si="14"/>
        <v>0</v>
      </c>
      <c r="L49" s="1280">
        <f t="shared" si="12"/>
        <v>0</v>
      </c>
      <c r="M49" s="1280">
        <f t="shared" si="12"/>
        <v>0</v>
      </c>
      <c r="N49" s="1280">
        <f t="shared" si="12"/>
        <v>0</v>
      </c>
      <c r="O49" s="1280">
        <f t="shared" si="12"/>
        <v>0</v>
      </c>
      <c r="P49" s="1280">
        <f t="shared" si="12"/>
        <v>0</v>
      </c>
      <c r="Q49" s="1280">
        <f t="shared" si="12"/>
        <v>0</v>
      </c>
      <c r="R49" s="1280">
        <f t="shared" si="12"/>
        <v>0</v>
      </c>
      <c r="S49" s="1355">
        <f t="shared" si="12"/>
        <v>0</v>
      </c>
      <c r="T49" s="1908"/>
      <c r="U49" s="1827"/>
      <c r="V49" s="1220"/>
      <c r="W49" s="1890"/>
      <c r="X49" s="1220"/>
      <c r="Y49" s="1851"/>
      <c r="Z49" s="1218"/>
      <c r="AA49" s="1219"/>
      <c r="AB49" s="1238"/>
      <c r="AC49" s="1234"/>
      <c r="AD49" s="1343"/>
      <c r="AE49" s="1344"/>
      <c r="AF49" s="1356"/>
      <c r="AG49" s="1357"/>
      <c r="AH49" s="1358"/>
      <c r="AI49" s="1359"/>
      <c r="AJ49" s="1359"/>
      <c r="AK49" s="1360"/>
      <c r="AL49" s="1361"/>
      <c r="AM49" s="1362"/>
      <c r="AN49" s="1363"/>
      <c r="AO49" s="1364"/>
      <c r="AP49" s="1364"/>
      <c r="AQ49" s="1360"/>
      <c r="AR49" s="1365"/>
      <c r="AS49" s="1357"/>
      <c r="AT49" s="1366"/>
      <c r="AU49" s="1367"/>
      <c r="AV49" s="1368"/>
      <c r="AW49" s="1368"/>
      <c r="AX49" s="1365"/>
      <c r="AY49" s="1362"/>
      <c r="AZ49" s="1369"/>
      <c r="BA49" s="1370"/>
      <c r="BB49" s="1371"/>
      <c r="BC49" s="1372"/>
      <c r="BD49" s="1365"/>
      <c r="BE49" s="1357"/>
      <c r="BF49" s="1358"/>
      <c r="BG49" s="1373"/>
      <c r="BH49" s="1359"/>
      <c r="BI49" s="1360"/>
      <c r="BJ49" s="1365"/>
      <c r="BK49" s="1357"/>
      <c r="BL49" s="1228"/>
      <c r="BM49" s="1373"/>
      <c r="BN49" s="1359"/>
      <c r="BO49" s="1360"/>
      <c r="BP49" s="1339"/>
      <c r="BQ49" s="1374"/>
      <c r="BR49" s="1353">
        <f t="shared" si="15"/>
        <v>0</v>
      </c>
      <c r="BS49" s="1"/>
      <c r="BT49" s="1192">
        <f t="shared" si="13"/>
        <v>0</v>
      </c>
    </row>
    <row r="50" spans="1:72" ht="18.600000000000001" hidden="1" thickBot="1" x14ac:dyDescent="0.4">
      <c r="A50" s="2740"/>
      <c r="B50" s="869"/>
      <c r="D50" s="251" t="s">
        <v>102</v>
      </c>
      <c r="E50" s="587"/>
      <c r="F50" s="252" t="e">
        <f t="shared" si="10"/>
        <v>#DIV/0!</v>
      </c>
      <c r="G50" s="253"/>
      <c r="H50" s="832">
        <f t="shared" si="11"/>
        <v>0</v>
      </c>
      <c r="I50" s="392"/>
      <c r="J50" s="392"/>
      <c r="K50" s="1375">
        <f t="shared" si="14"/>
        <v>0</v>
      </c>
      <c r="L50" s="1243">
        <f t="shared" si="12"/>
        <v>0</v>
      </c>
      <c r="M50" s="1243">
        <f t="shared" si="12"/>
        <v>0</v>
      </c>
      <c r="N50" s="1243">
        <f t="shared" si="12"/>
        <v>0</v>
      </c>
      <c r="O50" s="1243">
        <f t="shared" si="12"/>
        <v>0</v>
      </c>
      <c r="P50" s="1243">
        <f t="shared" si="12"/>
        <v>0</v>
      </c>
      <c r="Q50" s="1242">
        <f t="shared" si="12"/>
        <v>0</v>
      </c>
      <c r="R50" s="1243">
        <f t="shared" si="12"/>
        <v>0</v>
      </c>
      <c r="S50" s="1242">
        <f t="shared" si="12"/>
        <v>0</v>
      </c>
      <c r="T50" s="1791"/>
      <c r="U50" s="1242"/>
      <c r="V50" s="1790"/>
      <c r="W50" s="1628"/>
      <c r="X50" s="1790"/>
      <c r="Y50" s="1853"/>
      <c r="Z50" s="1760"/>
      <c r="AA50" s="1376"/>
      <c r="AB50" s="1377"/>
      <c r="AC50" s="1378"/>
      <c r="AD50" s="1379"/>
      <c r="AE50" s="1380"/>
      <c r="AF50" s="1245"/>
      <c r="AG50" s="1254"/>
      <c r="AH50" s="1249"/>
      <c r="AI50" s="1250"/>
      <c r="AJ50" s="1250"/>
      <c r="AK50" s="1381"/>
      <c r="AL50" s="1382"/>
      <c r="AM50" s="1376"/>
      <c r="AN50" s="1377"/>
      <c r="AO50" s="1378"/>
      <c r="AP50" s="1378"/>
      <c r="AQ50" s="1381"/>
      <c r="AR50" s="1252"/>
      <c r="AS50" s="1254"/>
      <c r="AT50" s="1383"/>
      <c r="AU50" s="1384"/>
      <c r="AV50" s="1385"/>
      <c r="AW50" s="1385"/>
      <c r="AX50" s="1252"/>
      <c r="AY50" s="1376"/>
      <c r="AZ50" s="1386"/>
      <c r="BA50" s="1387"/>
      <c r="BB50" s="1388"/>
      <c r="BC50" s="1251"/>
      <c r="BD50" s="1252"/>
      <c r="BE50" s="1254"/>
      <c r="BF50" s="1249"/>
      <c r="BG50" s="1389"/>
      <c r="BH50" s="1250"/>
      <c r="BI50" s="1381"/>
      <c r="BJ50" s="1252"/>
      <c r="BK50" s="1254"/>
      <c r="BL50" s="1249"/>
      <c r="BM50" s="1390"/>
      <c r="BN50" s="1391"/>
      <c r="BO50" s="1392"/>
      <c r="BP50" s="1393"/>
      <c r="BQ50" s="1394"/>
      <c r="BR50" s="1353">
        <f t="shared" si="15"/>
        <v>0</v>
      </c>
      <c r="BS50" s="1"/>
      <c r="BT50" s="1192">
        <f t="shared" si="13"/>
        <v>0</v>
      </c>
    </row>
    <row r="51" spans="1:72" ht="18.600000000000001" hidden="1" thickBot="1" x14ac:dyDescent="0.4">
      <c r="A51" s="2741"/>
      <c r="B51" s="867" t="s">
        <v>383</v>
      </c>
      <c r="C51" s="329" t="s">
        <v>494</v>
      </c>
      <c r="D51" s="269" t="s">
        <v>103</v>
      </c>
      <c r="E51" s="585">
        <v>11</v>
      </c>
      <c r="F51" s="226">
        <f t="shared" si="10"/>
        <v>0</v>
      </c>
      <c r="G51" s="139">
        <v>100</v>
      </c>
      <c r="H51" s="831">
        <f t="shared" si="11"/>
        <v>1100</v>
      </c>
      <c r="I51" s="375">
        <v>5000</v>
      </c>
      <c r="J51" s="950">
        <v>5000</v>
      </c>
      <c r="K51" s="1126">
        <f t="shared" si="14"/>
        <v>3900</v>
      </c>
      <c r="L51" s="1395">
        <f t="shared" si="12"/>
        <v>2800</v>
      </c>
      <c r="M51" s="1395">
        <f t="shared" si="12"/>
        <v>1700</v>
      </c>
      <c r="N51" s="1395">
        <f t="shared" si="12"/>
        <v>600</v>
      </c>
      <c r="O51" s="1395">
        <f t="shared" si="12"/>
        <v>-500</v>
      </c>
      <c r="P51" s="1395">
        <f t="shared" si="12"/>
        <v>-1600</v>
      </c>
      <c r="Q51" s="1395">
        <f t="shared" si="12"/>
        <v>-2700</v>
      </c>
      <c r="R51" s="1395">
        <f t="shared" si="12"/>
        <v>-3800</v>
      </c>
      <c r="S51" s="1193">
        <f t="shared" si="12"/>
        <v>-4900</v>
      </c>
      <c r="T51" s="1909"/>
      <c r="U51" s="1193"/>
      <c r="V51" s="1114"/>
      <c r="W51" s="1115"/>
      <c r="X51" s="1114"/>
      <c r="Y51" s="1855"/>
      <c r="Z51" s="1103"/>
      <c r="AA51" s="1104"/>
      <c r="AB51" s="1209"/>
      <c r="AC51" s="1206"/>
      <c r="AD51" s="1396"/>
      <c r="AE51" s="1397"/>
      <c r="AF51" s="1198"/>
      <c r="AG51" s="1199"/>
      <c r="AH51" s="1200"/>
      <c r="AI51" s="1202"/>
      <c r="AJ51" s="1202"/>
      <c r="AK51" s="1345"/>
      <c r="AL51" s="1204"/>
      <c r="AM51" s="1104"/>
      <c r="AN51" s="1209"/>
      <c r="AO51" s="1206"/>
      <c r="AP51" s="1206"/>
      <c r="AQ51" s="1345"/>
      <c r="AR51" s="1210"/>
      <c r="AS51" s="1199"/>
      <c r="AT51" s="1346"/>
      <c r="AU51" s="1347"/>
      <c r="AV51" s="1348"/>
      <c r="AW51" s="1348"/>
      <c r="AX51" s="1210"/>
      <c r="AY51" s="1114"/>
      <c r="AZ51" s="1205"/>
      <c r="BA51" s="1349"/>
      <c r="BB51" s="1350"/>
      <c r="BC51" s="1203"/>
      <c r="BD51" s="1210"/>
      <c r="BE51" s="1199"/>
      <c r="BF51" s="1200"/>
      <c r="BG51" s="1351"/>
      <c r="BH51" s="1202"/>
      <c r="BI51" s="1345"/>
      <c r="BJ51" s="1210"/>
      <c r="BK51" s="1199"/>
      <c r="BL51" s="1200"/>
      <c r="BM51" s="1347"/>
      <c r="BN51" s="1348"/>
      <c r="BO51" s="1345"/>
      <c r="BP51" s="1352"/>
      <c r="BQ51" s="1213"/>
      <c r="BR51" s="1353">
        <f t="shared" si="15"/>
        <v>0</v>
      </c>
      <c r="BS51" s="1"/>
      <c r="BT51" s="1192">
        <f t="shared" si="13"/>
        <v>0</v>
      </c>
    </row>
    <row r="52" spans="1:72" ht="18.600000000000001" hidden="1" thickBot="1" x14ac:dyDescent="0.4">
      <c r="A52" s="2741"/>
      <c r="B52" s="867"/>
      <c r="C52" s="233"/>
      <c r="D52" s="300" t="s">
        <v>104</v>
      </c>
      <c r="E52" s="586">
        <v>2.5</v>
      </c>
      <c r="F52" s="226" t="e">
        <f t="shared" si="10"/>
        <v>#DIV/0!</v>
      </c>
      <c r="G52" s="236"/>
      <c r="H52" s="934">
        <f t="shared" si="11"/>
        <v>0</v>
      </c>
      <c r="I52" s="385"/>
      <c r="J52" s="386"/>
      <c r="K52" s="1395">
        <f t="shared" si="14"/>
        <v>0</v>
      </c>
      <c r="L52" s="1395">
        <f t="shared" si="12"/>
        <v>0</v>
      </c>
      <c r="M52" s="1395">
        <f t="shared" si="12"/>
        <v>0</v>
      </c>
      <c r="N52" s="1395">
        <f t="shared" si="12"/>
        <v>0</v>
      </c>
      <c r="O52" s="1395">
        <f t="shared" si="12"/>
        <v>0</v>
      </c>
      <c r="P52" s="1395">
        <f t="shared" si="12"/>
        <v>0</v>
      </c>
      <c r="Q52" s="1395">
        <f t="shared" si="12"/>
        <v>0</v>
      </c>
      <c r="R52" s="1395">
        <f t="shared" si="12"/>
        <v>0</v>
      </c>
      <c r="S52" s="1193">
        <f t="shared" si="12"/>
        <v>0</v>
      </c>
      <c r="T52" s="1908"/>
      <c r="U52" s="1827"/>
      <c r="V52" s="1220"/>
      <c r="W52" s="1890"/>
      <c r="X52" s="1220"/>
      <c r="Y52" s="1851"/>
      <c r="Z52" s="1836"/>
      <c r="AA52" s="1398"/>
      <c r="AB52" s="1399"/>
      <c r="AC52" s="1400"/>
      <c r="AD52" s="1401"/>
      <c r="AE52" s="1402"/>
      <c r="AF52" s="1403"/>
      <c r="AG52" s="1404"/>
      <c r="AH52" s="1405"/>
      <c r="AI52" s="1406"/>
      <c r="AJ52" s="1406"/>
      <c r="AK52" s="1407"/>
      <c r="AL52" s="1408"/>
      <c r="AM52" s="1398"/>
      <c r="AN52" s="1399"/>
      <c r="AO52" s="1400"/>
      <c r="AP52" s="1400"/>
      <c r="AQ52" s="1407"/>
      <c r="AR52" s="1409"/>
      <c r="AS52" s="1404"/>
      <c r="AT52" s="1410"/>
      <c r="AU52" s="1411"/>
      <c r="AV52" s="1412"/>
      <c r="AW52" s="1412"/>
      <c r="AX52" s="1409"/>
      <c r="AY52" s="2028"/>
      <c r="AZ52" s="1413"/>
      <c r="BA52" s="1414"/>
      <c r="BB52" s="1415"/>
      <c r="BC52" s="1416"/>
      <c r="BD52" s="1409"/>
      <c r="BE52" s="1404"/>
      <c r="BF52" s="1405"/>
      <c r="BG52" s="1417"/>
      <c r="BH52" s="1406"/>
      <c r="BI52" s="1407"/>
      <c r="BJ52" s="1409"/>
      <c r="BK52" s="1404"/>
      <c r="BL52" s="1405"/>
      <c r="BM52" s="1417"/>
      <c r="BN52" s="1406"/>
      <c r="BO52" s="1407"/>
      <c r="BP52" s="1418"/>
      <c r="BQ52" s="1419"/>
      <c r="BR52" s="1353">
        <f t="shared" si="15"/>
        <v>0</v>
      </c>
      <c r="BS52" s="1"/>
      <c r="BT52" s="1192">
        <f t="shared" si="13"/>
        <v>0</v>
      </c>
    </row>
    <row r="53" spans="1:72" ht="18.600000000000001" hidden="1" thickBot="1" x14ac:dyDescent="0.4">
      <c r="A53" s="2742"/>
      <c r="B53" s="870"/>
      <c r="C53" s="270"/>
      <c r="D53" s="935" t="s">
        <v>104</v>
      </c>
      <c r="E53" s="588">
        <v>2.5</v>
      </c>
      <c r="F53" s="272" t="e">
        <f t="shared" si="10"/>
        <v>#DIV/0!</v>
      </c>
      <c r="G53" s="273"/>
      <c r="H53" s="936">
        <f t="shared" si="11"/>
        <v>0</v>
      </c>
      <c r="I53" s="937"/>
      <c r="J53" s="406"/>
      <c r="K53" s="1420">
        <f t="shared" si="14"/>
        <v>0</v>
      </c>
      <c r="L53" s="1258">
        <f t="shared" si="12"/>
        <v>0</v>
      </c>
      <c r="M53" s="1258">
        <f t="shared" si="12"/>
        <v>0</v>
      </c>
      <c r="N53" s="1258">
        <f t="shared" si="12"/>
        <v>0</v>
      </c>
      <c r="O53" s="1258">
        <f t="shared" si="12"/>
        <v>0</v>
      </c>
      <c r="P53" s="1258">
        <f t="shared" si="12"/>
        <v>0</v>
      </c>
      <c r="Q53" s="1257">
        <f t="shared" si="12"/>
        <v>0</v>
      </c>
      <c r="R53" s="1258">
        <f t="shared" si="12"/>
        <v>0</v>
      </c>
      <c r="S53" s="1257">
        <f t="shared" si="12"/>
        <v>0</v>
      </c>
      <c r="T53" s="1910"/>
      <c r="U53" s="1257"/>
      <c r="V53" s="1650"/>
      <c r="W53" s="1651"/>
      <c r="X53" s="1650"/>
      <c r="Y53" s="1857"/>
      <c r="Z53" s="1797"/>
      <c r="AA53" s="1421"/>
      <c r="AB53" s="1422"/>
      <c r="AC53" s="1423"/>
      <c r="AD53" s="1424"/>
      <c r="AE53" s="1425"/>
      <c r="AF53" s="1260"/>
      <c r="AG53" s="1269"/>
      <c r="AH53" s="1264"/>
      <c r="AI53" s="1265"/>
      <c r="AJ53" s="1265"/>
      <c r="AK53" s="1426"/>
      <c r="AL53" s="1427"/>
      <c r="AM53" s="1421"/>
      <c r="AN53" s="1422"/>
      <c r="AO53" s="1423"/>
      <c r="AP53" s="1423"/>
      <c r="AQ53" s="1426"/>
      <c r="AR53" s="1267"/>
      <c r="AS53" s="1269"/>
      <c r="AT53" s="1428"/>
      <c r="AU53" s="1429"/>
      <c r="AV53" s="1430"/>
      <c r="AW53" s="1430"/>
      <c r="AX53" s="1267"/>
      <c r="AY53" s="1650"/>
      <c r="AZ53" s="1431"/>
      <c r="BA53" s="1432"/>
      <c r="BB53" s="1433"/>
      <c r="BC53" s="1266"/>
      <c r="BD53" s="1267"/>
      <c r="BE53" s="1269"/>
      <c r="BF53" s="1264"/>
      <c r="BG53" s="1434"/>
      <c r="BH53" s="1265"/>
      <c r="BI53" s="1426"/>
      <c r="BJ53" s="1267"/>
      <c r="BK53" s="1269"/>
      <c r="BL53" s="1264"/>
      <c r="BM53" s="1434"/>
      <c r="BN53" s="1265"/>
      <c r="BO53" s="1426"/>
      <c r="BP53" s="1435"/>
      <c r="BQ53" s="1436"/>
      <c r="BR53" s="1353">
        <f t="shared" si="15"/>
        <v>0</v>
      </c>
      <c r="BS53" s="1"/>
      <c r="BT53" s="1192">
        <f t="shared" si="13"/>
        <v>0</v>
      </c>
    </row>
    <row r="54" spans="1:72" ht="18.600000000000001" hidden="1" thickBot="1" x14ac:dyDescent="0.4">
      <c r="A54" s="2743"/>
      <c r="B54" s="866"/>
      <c r="C54" s="289"/>
      <c r="D54" s="290" t="s">
        <v>102</v>
      </c>
      <c r="E54" s="589"/>
      <c r="F54" s="291" t="e">
        <f t="shared" si="10"/>
        <v>#DIV/0!</v>
      </c>
      <c r="G54" s="157"/>
      <c r="H54" s="834">
        <f t="shared" si="11"/>
        <v>0</v>
      </c>
      <c r="I54" s="850"/>
      <c r="J54" s="362"/>
      <c r="K54" s="1437">
        <f t="shared" si="14"/>
        <v>0</v>
      </c>
      <c r="L54" s="1223">
        <f t="shared" si="12"/>
        <v>0</v>
      </c>
      <c r="M54" s="1223">
        <f t="shared" si="12"/>
        <v>0</v>
      </c>
      <c r="N54" s="1223">
        <f t="shared" si="12"/>
        <v>0</v>
      </c>
      <c r="O54" s="1223">
        <f t="shared" si="12"/>
        <v>0</v>
      </c>
      <c r="P54" s="1223">
        <f t="shared" si="12"/>
        <v>0</v>
      </c>
      <c r="Q54" s="1223">
        <f t="shared" si="12"/>
        <v>0</v>
      </c>
      <c r="R54" s="1223">
        <f t="shared" si="12"/>
        <v>0</v>
      </c>
      <c r="S54" s="1438">
        <f t="shared" si="12"/>
        <v>0</v>
      </c>
      <c r="T54" s="1907"/>
      <c r="U54" s="1222"/>
      <c r="V54" s="1885"/>
      <c r="W54" s="1889"/>
      <c r="X54" s="1885"/>
      <c r="Y54" s="1849"/>
      <c r="Z54" s="1442"/>
      <c r="AA54" s="1439"/>
      <c r="AB54" s="1440"/>
      <c r="AC54" s="1359"/>
      <c r="AD54" s="1367"/>
      <c r="AE54" s="1441"/>
      <c r="AF54" s="1442"/>
      <c r="AG54" s="1439"/>
      <c r="AH54" s="1440"/>
      <c r="AI54" s="1359"/>
      <c r="AJ54" s="1359"/>
      <c r="AK54" s="1360"/>
      <c r="AL54" s="1443"/>
      <c r="AM54" s="1439"/>
      <c r="AN54" s="1440"/>
      <c r="AO54" s="1359"/>
      <c r="AP54" s="1359"/>
      <c r="AQ54" s="1360"/>
      <c r="AR54" s="1443"/>
      <c r="AS54" s="1439"/>
      <c r="AT54" s="1444"/>
      <c r="AU54" s="1367"/>
      <c r="AV54" s="1368"/>
      <c r="AW54" s="1368"/>
      <c r="AX54" s="1443"/>
      <c r="AY54" s="1439"/>
      <c r="AZ54" s="1444"/>
      <c r="BA54" s="1445"/>
      <c r="BB54" s="1359"/>
      <c r="BC54" s="1372"/>
      <c r="BD54" s="1365"/>
      <c r="BE54" s="1357"/>
      <c r="BF54" s="1358"/>
      <c r="BG54" s="1373"/>
      <c r="BH54" s="1359"/>
      <c r="BI54" s="1360"/>
      <c r="BJ54" s="1443"/>
      <c r="BK54" s="1439"/>
      <c r="BL54" s="1440"/>
      <c r="BM54" s="1373"/>
      <c r="BN54" s="1359"/>
      <c r="BO54" s="1360"/>
      <c r="BP54" s="1446"/>
      <c r="BR54" s="1353">
        <f t="shared" si="15"/>
        <v>0</v>
      </c>
      <c r="BS54" s="1"/>
      <c r="BT54" s="1192">
        <f t="shared" si="13"/>
        <v>0</v>
      </c>
    </row>
    <row r="55" spans="1:72" ht="18.600000000000001" hidden="1" thickBot="1" x14ac:dyDescent="0.4">
      <c r="A55" s="2743"/>
      <c r="B55" s="867" t="s">
        <v>384</v>
      </c>
      <c r="C55" s="2029" t="s">
        <v>495</v>
      </c>
      <c r="D55" s="488" t="s">
        <v>103</v>
      </c>
      <c r="E55" s="591">
        <v>8</v>
      </c>
      <c r="F55" s="235">
        <f t="shared" si="10"/>
        <v>0</v>
      </c>
      <c r="G55" s="236">
        <v>100</v>
      </c>
      <c r="H55" s="234">
        <f t="shared" si="11"/>
        <v>800</v>
      </c>
      <c r="I55" s="386">
        <v>5000</v>
      </c>
      <c r="J55" s="375">
        <v>5000</v>
      </c>
      <c r="K55" s="1116">
        <f t="shared" si="14"/>
        <v>4200</v>
      </c>
      <c r="L55" s="1116">
        <f t="shared" si="12"/>
        <v>3400</v>
      </c>
      <c r="M55" s="1116">
        <f t="shared" si="12"/>
        <v>2600</v>
      </c>
      <c r="N55" s="1116">
        <f t="shared" si="12"/>
        <v>1800</v>
      </c>
      <c r="O55" s="1116">
        <f t="shared" si="12"/>
        <v>1000</v>
      </c>
      <c r="P55" s="1116">
        <f t="shared" si="12"/>
        <v>200</v>
      </c>
      <c r="Q55" s="1116">
        <f t="shared" si="12"/>
        <v>-600</v>
      </c>
      <c r="R55" s="1116">
        <f t="shared" si="12"/>
        <v>-1400</v>
      </c>
      <c r="S55" s="1115">
        <f t="shared" si="12"/>
        <v>-2200</v>
      </c>
      <c r="T55" s="1909"/>
      <c r="U55" s="1193"/>
      <c r="V55" s="1114"/>
      <c r="W55" s="1115"/>
      <c r="X55" s="1114"/>
      <c r="Y55" s="1855"/>
      <c r="Z55" s="1201"/>
      <c r="AA55" s="1118"/>
      <c r="AB55" s="1117"/>
      <c r="AC55" s="1202"/>
      <c r="AD55" s="1347"/>
      <c r="AE55" s="1447"/>
      <c r="AF55" s="1201"/>
      <c r="AG55" s="1118"/>
      <c r="AH55" s="1117"/>
      <c r="AI55" s="1202"/>
      <c r="AJ55" s="1202"/>
      <c r="AK55" s="1345"/>
      <c r="AL55" s="1283"/>
      <c r="AM55" s="1118"/>
      <c r="AN55" s="1117"/>
      <c r="AO55" s="1202"/>
      <c r="AP55" s="1202"/>
      <c r="AQ55" s="1345"/>
      <c r="AR55" s="1283"/>
      <c r="AS55" s="1118"/>
      <c r="AT55" s="1119"/>
      <c r="AU55" s="1347"/>
      <c r="AV55" s="1348"/>
      <c r="AW55" s="1348"/>
      <c r="AX55" s="1283"/>
      <c r="AY55" s="1118"/>
      <c r="AZ55" s="1119"/>
      <c r="BA55" s="1448"/>
      <c r="BB55" s="1202"/>
      <c r="BC55" s="1203"/>
      <c r="BD55" s="1210"/>
      <c r="BE55" s="1199"/>
      <c r="BF55" s="1200"/>
      <c r="BG55" s="1351"/>
      <c r="BH55" s="1202"/>
      <c r="BI55" s="1345"/>
      <c r="BJ55" s="1283"/>
      <c r="BK55" s="1118"/>
      <c r="BL55" s="1117"/>
      <c r="BM55" s="1351"/>
      <c r="BN55" s="1202"/>
      <c r="BO55" s="1345"/>
      <c r="BP55" s="1449"/>
      <c r="BQ55" s="1450"/>
      <c r="BR55" s="1353">
        <f t="shared" si="15"/>
        <v>0</v>
      </c>
      <c r="BS55" s="1"/>
      <c r="BT55" s="1192">
        <f t="shared" si="13"/>
        <v>0</v>
      </c>
    </row>
    <row r="56" spans="1:72" ht="18.600000000000001" hidden="1" thickBot="1" x14ac:dyDescent="0.4">
      <c r="A56" s="2743"/>
      <c r="B56" s="868"/>
      <c r="C56" s="595"/>
      <c r="D56" s="300" t="s">
        <v>104</v>
      </c>
      <c r="E56" s="591"/>
      <c r="F56" s="235" t="e">
        <f t="shared" si="10"/>
        <v>#DIV/0!</v>
      </c>
      <c r="G56" s="236"/>
      <c r="H56" s="234">
        <f t="shared" si="11"/>
        <v>0</v>
      </c>
      <c r="I56" s="386"/>
      <c r="J56" s="386"/>
      <c r="K56" s="1437">
        <f t="shared" si="14"/>
        <v>0</v>
      </c>
      <c r="L56" s="1223">
        <f t="shared" si="12"/>
        <v>0</v>
      </c>
      <c r="M56" s="1223">
        <f t="shared" si="12"/>
        <v>0</v>
      </c>
      <c r="N56" s="1223">
        <f t="shared" si="12"/>
        <v>0</v>
      </c>
      <c r="O56" s="1223">
        <f t="shared" si="12"/>
        <v>0</v>
      </c>
      <c r="P56" s="1223">
        <f t="shared" si="12"/>
        <v>0</v>
      </c>
      <c r="Q56" s="1223">
        <f t="shared" si="12"/>
        <v>0</v>
      </c>
      <c r="R56" s="1223">
        <f t="shared" si="12"/>
        <v>0</v>
      </c>
      <c r="S56" s="1438">
        <f t="shared" si="12"/>
        <v>0</v>
      </c>
      <c r="T56" s="1907"/>
      <c r="U56" s="1222"/>
      <c r="V56" s="1885"/>
      <c r="W56" s="1889"/>
      <c r="X56" s="1885"/>
      <c r="Y56" s="1849"/>
      <c r="Z56" s="1442"/>
      <c r="AA56" s="1439"/>
      <c r="AB56" s="1440"/>
      <c r="AC56" s="1359"/>
      <c r="AD56" s="1367"/>
      <c r="AE56" s="1441"/>
      <c r="AF56" s="1442"/>
      <c r="AG56" s="1439"/>
      <c r="AH56" s="1440"/>
      <c r="AI56" s="1359"/>
      <c r="AJ56" s="1359"/>
      <c r="AK56" s="1360"/>
      <c r="AL56" s="1443"/>
      <c r="AM56" s="1439"/>
      <c r="AN56" s="1440"/>
      <c r="AO56" s="1359"/>
      <c r="AP56" s="1359"/>
      <c r="AQ56" s="1360"/>
      <c r="AR56" s="1443"/>
      <c r="AS56" s="1439"/>
      <c r="AT56" s="1451"/>
      <c r="AU56" s="1367"/>
      <c r="AV56" s="1368"/>
      <c r="AW56" s="1368"/>
      <c r="AX56" s="1443"/>
      <c r="AY56" s="1439"/>
      <c r="AZ56" s="1444"/>
      <c r="BA56" s="1445"/>
      <c r="BB56" s="1359"/>
      <c r="BC56" s="1231"/>
      <c r="BD56" s="1237"/>
      <c r="BE56" s="1227"/>
      <c r="BF56" s="1228"/>
      <c r="BG56" s="1452"/>
      <c r="BH56" s="1230"/>
      <c r="BI56" s="1453"/>
      <c r="BJ56" s="1443"/>
      <c r="BK56" s="1454"/>
      <c r="BL56" s="1455"/>
      <c r="BM56" s="1452"/>
      <c r="BN56" s="1230"/>
      <c r="BO56" s="1453"/>
      <c r="BP56" s="1456"/>
      <c r="BQ56" s="1457"/>
      <c r="BR56" s="1458"/>
      <c r="BS56" s="1"/>
      <c r="BT56" s="1192">
        <f t="shared" si="13"/>
        <v>0</v>
      </c>
    </row>
    <row r="57" spans="1:72" ht="18.600000000000001" hidden="1" thickBot="1" x14ac:dyDescent="0.4">
      <c r="A57" s="2727"/>
      <c r="B57" s="2730" t="s">
        <v>105</v>
      </c>
      <c r="C57" s="598"/>
      <c r="D57" s="599" t="s">
        <v>102</v>
      </c>
      <c r="E57" s="600"/>
      <c r="F57" s="601" t="e">
        <f t="shared" si="10"/>
        <v>#DIV/0!</v>
      </c>
      <c r="G57" s="602"/>
      <c r="H57" s="835">
        <f t="shared" si="11"/>
        <v>0</v>
      </c>
      <c r="I57" s="852"/>
      <c r="J57" s="816"/>
      <c r="K57" s="1459">
        <f>(J57-$H57)+Z57</f>
        <v>0</v>
      </c>
      <c r="L57" s="1460">
        <f t="shared" si="12"/>
        <v>0</v>
      </c>
      <c r="M57" s="1460">
        <f t="shared" si="12"/>
        <v>0</v>
      </c>
      <c r="N57" s="1460">
        <f t="shared" si="12"/>
        <v>0</v>
      </c>
      <c r="O57" s="1460">
        <f t="shared" si="12"/>
        <v>0</v>
      </c>
      <c r="P57" s="1460">
        <f t="shared" si="12"/>
        <v>0</v>
      </c>
      <c r="Q57" s="1461">
        <f t="shared" si="12"/>
        <v>0</v>
      </c>
      <c r="R57" s="1460">
        <f t="shared" si="12"/>
        <v>0</v>
      </c>
      <c r="S57" s="1461">
        <f t="shared" si="12"/>
        <v>0</v>
      </c>
      <c r="T57" s="1911"/>
      <c r="U57" s="1461"/>
      <c r="V57" s="1526"/>
      <c r="W57" s="1527"/>
      <c r="X57" s="1526"/>
      <c r="Y57" s="1858"/>
      <c r="Z57" s="1467"/>
      <c r="AA57" s="1462"/>
      <c r="AB57" s="1463"/>
      <c r="AC57" s="1464"/>
      <c r="AD57" s="1465"/>
      <c r="AE57" s="1466"/>
      <c r="AF57" s="1467"/>
      <c r="AG57" s="1462"/>
      <c r="AH57" s="1463"/>
      <c r="AI57" s="1464"/>
      <c r="AJ57" s="1464"/>
      <c r="AK57" s="1468"/>
      <c r="AL57" s="1469"/>
      <c r="AM57" s="1462"/>
      <c r="AN57" s="1463"/>
      <c r="AO57" s="1464"/>
      <c r="AP57" s="1464"/>
      <c r="AQ57" s="1468"/>
      <c r="AR57" s="1469"/>
      <c r="AS57" s="1462"/>
      <c r="AT57" s="1470"/>
      <c r="AU57" s="1465"/>
      <c r="AV57" s="1471"/>
      <c r="AW57" s="1471"/>
      <c r="AX57" s="1469"/>
      <c r="AY57" s="1462"/>
      <c r="AZ57" s="1472"/>
      <c r="BA57" s="1473"/>
      <c r="BB57" s="1464"/>
      <c r="BC57" s="1474"/>
      <c r="BD57" s="1469"/>
      <c r="BE57" s="1462"/>
      <c r="BF57" s="1463"/>
      <c r="BG57" s="1475"/>
      <c r="BH57" s="1464"/>
      <c r="BI57" s="1468"/>
      <c r="BJ57" s="1469"/>
      <c r="BK57" s="1462"/>
      <c r="BL57" s="1463"/>
      <c r="BM57" s="1476"/>
      <c r="BN57" s="1477"/>
      <c r="BO57" s="1468"/>
      <c r="BP57" s="1478"/>
      <c r="BQ57" s="1471"/>
      <c r="BR57" s="1468"/>
      <c r="BS57" s="1"/>
    </row>
    <row r="58" spans="1:72" ht="18.600000000000001" hidden="1" thickBot="1" x14ac:dyDescent="0.4">
      <c r="A58" s="2728"/>
      <c r="B58" s="2731"/>
      <c r="C58" s="493"/>
      <c r="D58" s="494" t="s">
        <v>103</v>
      </c>
      <c r="E58" s="592">
        <v>8</v>
      </c>
      <c r="F58" s="495" t="e">
        <f t="shared" si="10"/>
        <v>#DIV/0!</v>
      </c>
      <c r="G58" s="496"/>
      <c r="H58" s="836">
        <f t="shared" si="11"/>
        <v>0</v>
      </c>
      <c r="I58" s="853"/>
      <c r="J58" s="817"/>
      <c r="K58" s="1479">
        <f>J58-$H58</f>
        <v>0</v>
      </c>
      <c r="L58" s="1480">
        <f t="shared" si="12"/>
        <v>0</v>
      </c>
      <c r="M58" s="1480">
        <f>L58-H58</f>
        <v>0</v>
      </c>
      <c r="N58" s="1480">
        <f t="shared" si="12"/>
        <v>0</v>
      </c>
      <c r="O58" s="1480">
        <f t="shared" si="12"/>
        <v>0</v>
      </c>
      <c r="P58" s="1480">
        <f t="shared" si="12"/>
        <v>0</v>
      </c>
      <c r="Q58" s="1480">
        <f t="shared" si="12"/>
        <v>0</v>
      </c>
      <c r="R58" s="1480">
        <f t="shared" si="12"/>
        <v>0</v>
      </c>
      <c r="S58" s="1481">
        <f t="shared" si="12"/>
        <v>0</v>
      </c>
      <c r="T58" s="1912"/>
      <c r="U58" s="1828"/>
      <c r="V58" s="1886"/>
      <c r="W58" s="1891"/>
      <c r="X58" s="1886"/>
      <c r="Y58" s="1859"/>
      <c r="Z58" s="1837"/>
      <c r="AA58" s="1482"/>
      <c r="AB58" s="1483"/>
      <c r="AC58" s="1484"/>
      <c r="AD58" s="1485"/>
      <c r="AE58" s="1486"/>
      <c r="AF58" s="1487"/>
      <c r="AG58" s="1488"/>
      <c r="AH58" s="1489"/>
      <c r="AI58" s="1490"/>
      <c r="AJ58" s="1491"/>
      <c r="AK58" s="1492"/>
      <c r="AL58" s="1493"/>
      <c r="AM58" s="1482"/>
      <c r="AN58" s="1483"/>
      <c r="AO58" s="1484"/>
      <c r="AP58" s="1484"/>
      <c r="AQ58" s="1494"/>
      <c r="AR58" s="1493"/>
      <c r="AS58" s="1482"/>
      <c r="AT58" s="1495"/>
      <c r="AU58" s="1485"/>
      <c r="AV58" s="1496"/>
      <c r="AW58" s="1496"/>
      <c r="AX58" s="1493"/>
      <c r="AY58" s="1482"/>
      <c r="AZ58" s="1495"/>
      <c r="BA58" s="1497"/>
      <c r="BB58" s="1484"/>
      <c r="BC58" s="1498"/>
      <c r="BD58" s="1493"/>
      <c r="BE58" s="1482"/>
      <c r="BF58" s="1483"/>
      <c r="BG58" s="1499"/>
      <c r="BH58" s="1484"/>
      <c r="BI58" s="1494"/>
      <c r="BJ58" s="1493"/>
      <c r="BK58" s="1482"/>
      <c r="BL58" s="1483"/>
      <c r="BM58" s="1485"/>
      <c r="BN58" s="1500"/>
      <c r="BO58" s="1501"/>
      <c r="BP58" s="1502"/>
      <c r="BQ58" s="1503"/>
      <c r="BR58" s="1494"/>
      <c r="BS58" s="1"/>
    </row>
    <row r="59" spans="1:72" ht="18.600000000000001" hidden="1" thickBot="1" x14ac:dyDescent="0.4">
      <c r="A59" s="2729"/>
      <c r="B59" s="2732"/>
      <c r="C59" s="508"/>
      <c r="D59" s="509" t="s">
        <v>104</v>
      </c>
      <c r="E59" s="593">
        <v>2.5</v>
      </c>
      <c r="F59" s="510" t="e">
        <f t="shared" si="10"/>
        <v>#DIV/0!</v>
      </c>
      <c r="G59" s="511"/>
      <c r="H59" s="837">
        <f t="shared" si="11"/>
        <v>0</v>
      </c>
      <c r="I59" s="819"/>
      <c r="J59" s="818"/>
      <c r="K59" s="1504">
        <f>J59-$H59</f>
        <v>0</v>
      </c>
      <c r="L59" s="1505">
        <f t="shared" si="12"/>
        <v>0</v>
      </c>
      <c r="M59" s="1505">
        <f>L59-$H59</f>
        <v>0</v>
      </c>
      <c r="N59" s="1505">
        <f t="shared" si="12"/>
        <v>0</v>
      </c>
      <c r="O59" s="1505">
        <f t="shared" si="12"/>
        <v>0</v>
      </c>
      <c r="P59" s="1505">
        <f t="shared" si="12"/>
        <v>0</v>
      </c>
      <c r="Q59" s="1505">
        <f t="shared" si="12"/>
        <v>0</v>
      </c>
      <c r="R59" s="1505">
        <f t="shared" si="12"/>
        <v>0</v>
      </c>
      <c r="S59" s="1506">
        <f t="shared" si="12"/>
        <v>0</v>
      </c>
      <c r="T59" s="1913"/>
      <c r="U59" s="1829"/>
      <c r="V59" s="1887"/>
      <c r="W59" s="1892"/>
      <c r="X59" s="1887"/>
      <c r="Y59" s="1860"/>
      <c r="Z59" s="1544"/>
      <c r="AA59" s="1507"/>
      <c r="AB59" s="1508"/>
      <c r="AC59" s="1509"/>
      <c r="AD59" s="1510"/>
      <c r="AE59" s="1511"/>
      <c r="AF59" s="1512"/>
      <c r="AG59" s="1513"/>
      <c r="AH59" s="1514"/>
      <c r="AI59" s="1515"/>
      <c r="AJ59" s="1515"/>
      <c r="AK59" s="1516"/>
      <c r="AL59" s="1517"/>
      <c r="AM59" s="1507"/>
      <c r="AN59" s="1508"/>
      <c r="AO59" s="1510"/>
      <c r="AP59" s="1518"/>
      <c r="AQ59" s="1519"/>
      <c r="AR59" s="1517"/>
      <c r="AS59" s="1507"/>
      <c r="AT59" s="1508"/>
      <c r="AU59" s="1510"/>
      <c r="AV59" s="1518"/>
      <c r="AW59" s="1518"/>
      <c r="AX59" s="1517"/>
      <c r="AY59" s="1507"/>
      <c r="AZ59" s="1520"/>
      <c r="BA59" s="1521"/>
      <c r="BB59" s="1509"/>
      <c r="BC59" s="1522"/>
      <c r="BD59" s="1517"/>
      <c r="BE59" s="1507"/>
      <c r="BF59" s="1508"/>
      <c r="BG59" s="1523"/>
      <c r="BH59" s="1509"/>
      <c r="BI59" s="1519"/>
      <c r="BJ59" s="1517"/>
      <c r="BK59" s="1507"/>
      <c r="BL59" s="1508"/>
      <c r="BM59" s="1510"/>
      <c r="BN59" s="1524"/>
      <c r="BO59" s="1522"/>
      <c r="BP59" s="1525"/>
      <c r="BQ59" s="1510"/>
      <c r="BR59" s="1519"/>
      <c r="BS59" s="1"/>
    </row>
    <row r="60" spans="1:72" ht="15" hidden="1" thickBot="1" x14ac:dyDescent="0.35">
      <c r="A60" s="2733"/>
      <c r="B60" s="2730" t="s">
        <v>106</v>
      </c>
      <c r="C60" s="610"/>
      <c r="D60" s="599" t="s">
        <v>102</v>
      </c>
      <c r="E60" s="600">
        <v>8</v>
      </c>
      <c r="F60" s="601" t="e">
        <f t="shared" si="10"/>
        <v>#DIV/0!</v>
      </c>
      <c r="G60" s="602"/>
      <c r="H60" s="835">
        <f t="shared" si="11"/>
        <v>0</v>
      </c>
      <c r="I60" s="852"/>
      <c r="J60" s="816"/>
      <c r="K60" s="1470">
        <f>J60-H60</f>
        <v>0</v>
      </c>
      <c r="L60" s="1526">
        <f>(K60-$H60)+AA60</f>
        <v>0</v>
      </c>
      <c r="M60" s="1526">
        <f>L60-H60</f>
        <v>0</v>
      </c>
      <c r="N60" s="1526">
        <f>(M60-$H60)+AC60</f>
        <v>0</v>
      </c>
      <c r="O60" s="1526">
        <f>(N60-$H60)+AE60</f>
        <v>0</v>
      </c>
      <c r="P60" s="1526">
        <f>(O60-$H60)+AF60</f>
        <v>0</v>
      </c>
      <c r="Q60" s="1526">
        <f>(P60-$H60)+AG60</f>
        <v>0</v>
      </c>
      <c r="R60" s="1526">
        <f>(Q60-$H60)+AH60</f>
        <v>0</v>
      </c>
      <c r="S60" s="1527">
        <f>(R60-$H60)+AI60</f>
        <v>0</v>
      </c>
      <c r="T60" s="1911"/>
      <c r="U60" s="1461"/>
      <c r="V60" s="1526"/>
      <c r="W60" s="1527"/>
      <c r="X60" s="1526"/>
      <c r="Y60" s="1858"/>
      <c r="Z60" s="1467"/>
      <c r="AA60" s="1462"/>
      <c r="AB60" s="1463"/>
      <c r="AC60" s="1464"/>
      <c r="AD60" s="1465"/>
      <c r="AE60" s="1466"/>
      <c r="AF60" s="1467"/>
      <c r="AG60" s="1462"/>
      <c r="AH60" s="1463"/>
      <c r="AI60" s="1464"/>
      <c r="AJ60" s="1464"/>
      <c r="AK60" s="1468"/>
      <c r="AL60" s="1469"/>
      <c r="AM60" s="1462"/>
      <c r="AN60" s="1463"/>
      <c r="AO60" s="1464"/>
      <c r="AP60" s="1464"/>
      <c r="AQ60" s="1468"/>
      <c r="AR60" s="1469"/>
      <c r="AS60" s="1462"/>
      <c r="AT60" s="1463"/>
      <c r="AU60" s="1475"/>
      <c r="AV60" s="1464"/>
      <c r="AW60" s="1464"/>
      <c r="AX60" s="1469"/>
      <c r="AY60" s="1462"/>
      <c r="AZ60" s="1472"/>
      <c r="BA60" s="1473"/>
      <c r="BB60" s="1464"/>
      <c r="BC60" s="1474"/>
      <c r="BD60" s="1469"/>
      <c r="BE60" s="1462"/>
      <c r="BF60" s="1463"/>
      <c r="BG60" s="1475"/>
      <c r="BH60" s="1464"/>
      <c r="BI60" s="1468"/>
      <c r="BJ60" s="1469"/>
      <c r="BK60" s="1462"/>
      <c r="BL60" s="1463"/>
      <c r="BM60" s="1528"/>
      <c r="BN60" s="1529"/>
      <c r="BO60" s="1474"/>
      <c r="BP60" s="1478"/>
      <c r="BQ60" s="1465"/>
      <c r="BR60" s="1468"/>
      <c r="BS60" s="1"/>
    </row>
    <row r="61" spans="1:72" ht="15" hidden="1" thickBot="1" x14ac:dyDescent="0.35">
      <c r="A61" s="2734"/>
      <c r="B61" s="2731"/>
      <c r="C61" s="506"/>
      <c r="D61" s="522" t="s">
        <v>103</v>
      </c>
      <c r="E61" s="590">
        <v>8</v>
      </c>
      <c r="F61" s="523" t="e">
        <f t="shared" si="10"/>
        <v>#DIV/0!</v>
      </c>
      <c r="G61" s="524"/>
      <c r="H61" s="838">
        <f t="shared" si="11"/>
        <v>0</v>
      </c>
      <c r="I61" s="854"/>
      <c r="J61" s="817"/>
      <c r="K61" s="1530">
        <f t="shared" ref="K61:S62" si="16">J61-$H61</f>
        <v>0</v>
      </c>
      <c r="L61" s="1531">
        <f t="shared" si="16"/>
        <v>0</v>
      </c>
      <c r="M61" s="1531">
        <f t="shared" si="16"/>
        <v>0</v>
      </c>
      <c r="N61" s="1531">
        <f t="shared" si="16"/>
        <v>0</v>
      </c>
      <c r="O61" s="1531">
        <f t="shared" si="16"/>
        <v>0</v>
      </c>
      <c r="P61" s="1531">
        <f t="shared" si="16"/>
        <v>0</v>
      </c>
      <c r="Q61" s="1531">
        <f t="shared" si="16"/>
        <v>0</v>
      </c>
      <c r="R61" s="1531">
        <f t="shared" si="16"/>
        <v>0</v>
      </c>
      <c r="S61" s="1532">
        <f t="shared" si="16"/>
        <v>0</v>
      </c>
      <c r="T61" s="1914"/>
      <c r="U61" s="1830"/>
      <c r="V61" s="1888"/>
      <c r="W61" s="1893"/>
      <c r="X61" s="1888"/>
      <c r="Y61" s="1861"/>
      <c r="Z61" s="1487"/>
      <c r="AA61" s="1488"/>
      <c r="AB61" s="1489"/>
      <c r="AC61" s="1533"/>
      <c r="AD61" s="1485"/>
      <c r="AE61" s="1486"/>
      <c r="AF61" s="1487"/>
      <c r="AG61" s="1488"/>
      <c r="AH61" s="1489"/>
      <c r="AI61" s="1490"/>
      <c r="AJ61" s="1484"/>
      <c r="AK61" s="1498"/>
      <c r="AL61" s="1534"/>
      <c r="AM61" s="1488"/>
      <c r="AN61" s="1489"/>
      <c r="AO61" s="1484"/>
      <c r="AP61" s="1484"/>
      <c r="AQ61" s="1494"/>
      <c r="AR61" s="1535"/>
      <c r="AS61" s="1488"/>
      <c r="AT61" s="1489"/>
      <c r="AU61" s="1536"/>
      <c r="AV61" s="1533"/>
      <c r="AW61" s="1533"/>
      <c r="AX61" s="1534"/>
      <c r="AY61" s="1488"/>
      <c r="AZ61" s="1537"/>
      <c r="BA61" s="1538"/>
      <c r="BB61" s="1484"/>
      <c r="BC61" s="1498"/>
      <c r="BD61" s="1534"/>
      <c r="BE61" s="1488"/>
      <c r="BF61" s="1489"/>
      <c r="BG61" s="1536"/>
      <c r="BH61" s="1533"/>
      <c r="BI61" s="1492"/>
      <c r="BJ61" s="1534"/>
      <c r="BK61" s="1488"/>
      <c r="BL61" s="1489"/>
      <c r="BM61" s="1490"/>
      <c r="BN61" s="1539"/>
      <c r="BO61" s="1540"/>
      <c r="BP61" s="1541"/>
      <c r="BQ61" s="1542"/>
      <c r="BR61" s="1501"/>
      <c r="BS61" s="1"/>
    </row>
    <row r="62" spans="1:72" ht="15" hidden="1" thickBot="1" x14ac:dyDescent="0.35">
      <c r="A62" s="2735"/>
      <c r="B62" s="2732"/>
      <c r="C62" s="513"/>
      <c r="D62" s="512" t="s">
        <v>104</v>
      </c>
      <c r="E62" s="618">
        <v>2.5</v>
      </c>
      <c r="F62" s="510" t="e">
        <f t="shared" si="10"/>
        <v>#DIV/0!</v>
      </c>
      <c r="G62" s="619"/>
      <c r="H62" s="837">
        <f t="shared" si="11"/>
        <v>0</v>
      </c>
      <c r="I62" s="819"/>
      <c r="J62" s="819"/>
      <c r="K62" s="1504">
        <f t="shared" si="16"/>
        <v>0</v>
      </c>
      <c r="L62" s="1505">
        <f t="shared" si="16"/>
        <v>0</v>
      </c>
      <c r="M62" s="1505">
        <f t="shared" si="16"/>
        <v>0</v>
      </c>
      <c r="N62" s="1505">
        <f t="shared" si="16"/>
        <v>0</v>
      </c>
      <c r="O62" s="1505">
        <f t="shared" si="16"/>
        <v>0</v>
      </c>
      <c r="P62" s="1505">
        <f t="shared" si="16"/>
        <v>0</v>
      </c>
      <c r="Q62" s="1505">
        <f t="shared" si="16"/>
        <v>0</v>
      </c>
      <c r="R62" s="1505">
        <f t="shared" si="16"/>
        <v>0</v>
      </c>
      <c r="S62" s="1506">
        <f t="shared" si="16"/>
        <v>0</v>
      </c>
      <c r="T62" s="1915"/>
      <c r="U62" s="1916"/>
      <c r="V62" s="1917"/>
      <c r="W62" s="1918"/>
      <c r="X62" s="1917"/>
      <c r="Y62" s="1919"/>
      <c r="Z62" s="1509"/>
      <c r="AA62" s="1507"/>
      <c r="AB62" s="1508"/>
      <c r="AC62" s="1515"/>
      <c r="AD62" s="1543"/>
      <c r="AE62" s="1511"/>
      <c r="AF62" s="1544"/>
      <c r="AG62" s="1507"/>
      <c r="AH62" s="1508"/>
      <c r="AI62" s="1510"/>
      <c r="AJ62" s="1509"/>
      <c r="AK62" s="1522"/>
      <c r="AL62" s="1545"/>
      <c r="AM62" s="1513"/>
      <c r="AN62" s="1514"/>
      <c r="AO62" s="1510"/>
      <c r="AP62" s="1518"/>
      <c r="AQ62" s="1519"/>
      <c r="AR62" s="1545"/>
      <c r="AS62" s="1507"/>
      <c r="AT62" s="1508"/>
      <c r="AU62" s="1546"/>
      <c r="AV62" s="1515"/>
      <c r="AW62" s="1515"/>
      <c r="AX62" s="1545"/>
      <c r="AY62" s="1507"/>
      <c r="AZ62" s="1508"/>
      <c r="BA62" s="1547"/>
      <c r="BB62" s="1548"/>
      <c r="BC62" s="1519"/>
      <c r="BD62" s="1545"/>
      <c r="BE62" s="1507"/>
      <c r="BF62" s="1508"/>
      <c r="BG62" s="1546"/>
      <c r="BH62" s="1515"/>
      <c r="BI62" s="1516"/>
      <c r="BJ62" s="1545"/>
      <c r="BK62" s="1513"/>
      <c r="BL62" s="1514"/>
      <c r="BM62" s="1510"/>
      <c r="BN62" s="1549"/>
      <c r="BO62" s="1550"/>
      <c r="BP62" s="1551"/>
      <c r="BQ62" s="1510"/>
      <c r="BR62" s="1519"/>
      <c r="BS62" s="1"/>
    </row>
    <row r="63" spans="1:72" s="1" customFormat="1" ht="15" hidden="1" thickBot="1" x14ac:dyDescent="0.35">
      <c r="A63" s="48"/>
      <c r="B63" s="938"/>
      <c r="D63" s="939"/>
      <c r="E63" s="940"/>
      <c r="F63" s="941"/>
      <c r="G63" s="48"/>
      <c r="H63" s="939"/>
      <c r="I63" s="815"/>
      <c r="J63" s="815"/>
      <c r="K63" s="1552"/>
      <c r="L63" s="1552"/>
      <c r="M63" s="1552"/>
      <c r="N63" s="1552"/>
      <c r="O63" s="1552"/>
      <c r="P63" s="1552"/>
      <c r="Q63" s="1552"/>
      <c r="R63" s="1552"/>
      <c r="S63" s="1552"/>
      <c r="T63" s="1862"/>
      <c r="U63" s="1552"/>
      <c r="V63" s="1552"/>
      <c r="W63" s="1552"/>
      <c r="X63" s="1552"/>
      <c r="Y63" s="1863"/>
      <c r="Z63" s="1085">
        <f t="shared" ref="Z63:BO63" si="17">SUM(Z47:Z56)</f>
        <v>0</v>
      </c>
      <c r="AA63" s="1085">
        <f t="shared" si="17"/>
        <v>0</v>
      </c>
      <c r="AB63" s="1085">
        <f t="shared" si="17"/>
        <v>0</v>
      </c>
      <c r="AC63" s="1085">
        <f t="shared" si="17"/>
        <v>0</v>
      </c>
      <c r="AD63" s="1085">
        <f t="shared" si="17"/>
        <v>0</v>
      </c>
      <c r="AE63" s="1308">
        <f t="shared" si="17"/>
        <v>0</v>
      </c>
      <c r="AF63" s="1085">
        <f t="shared" si="17"/>
        <v>0</v>
      </c>
      <c r="AG63" s="1085">
        <f t="shared" si="17"/>
        <v>0</v>
      </c>
      <c r="AH63" s="1085">
        <f t="shared" si="17"/>
        <v>0</v>
      </c>
      <c r="AI63" s="1085">
        <f t="shared" si="17"/>
        <v>0</v>
      </c>
      <c r="AJ63" s="1085">
        <f t="shared" si="17"/>
        <v>0</v>
      </c>
      <c r="AK63" s="1309">
        <f t="shared" si="17"/>
        <v>0</v>
      </c>
      <c r="AL63" s="1310">
        <f t="shared" si="17"/>
        <v>0</v>
      </c>
      <c r="AM63" s="1085">
        <f t="shared" si="17"/>
        <v>0</v>
      </c>
      <c r="AN63" s="1085">
        <f t="shared" si="17"/>
        <v>0</v>
      </c>
      <c r="AO63" s="1085">
        <f t="shared" si="17"/>
        <v>0</v>
      </c>
      <c r="AP63" s="1085">
        <f t="shared" si="17"/>
        <v>0</v>
      </c>
      <c r="AQ63" s="1309">
        <f t="shared" si="17"/>
        <v>0</v>
      </c>
      <c r="AR63" s="1310">
        <f t="shared" si="17"/>
        <v>0</v>
      </c>
      <c r="AS63" s="1085">
        <f t="shared" si="17"/>
        <v>0</v>
      </c>
      <c r="AT63" s="1085">
        <f t="shared" si="17"/>
        <v>0</v>
      </c>
      <c r="AU63" s="1085">
        <f t="shared" si="17"/>
        <v>0</v>
      </c>
      <c r="AV63" s="1085">
        <f t="shared" si="17"/>
        <v>0</v>
      </c>
      <c r="AW63" s="1085">
        <f t="shared" si="17"/>
        <v>0</v>
      </c>
      <c r="AX63" s="1310">
        <f t="shared" si="17"/>
        <v>0</v>
      </c>
      <c r="AY63" s="1085">
        <f t="shared" si="17"/>
        <v>0</v>
      </c>
      <c r="AZ63" s="1085">
        <f t="shared" si="17"/>
        <v>0</v>
      </c>
      <c r="BA63" s="1085">
        <f t="shared" si="17"/>
        <v>0</v>
      </c>
      <c r="BB63" s="1085">
        <f t="shared" si="17"/>
        <v>0</v>
      </c>
      <c r="BC63" s="1309">
        <f t="shared" si="17"/>
        <v>0</v>
      </c>
      <c r="BD63" s="1310">
        <f t="shared" si="17"/>
        <v>0</v>
      </c>
      <c r="BE63" s="1085">
        <f t="shared" si="17"/>
        <v>0</v>
      </c>
      <c r="BF63" s="1085">
        <f t="shared" si="17"/>
        <v>0</v>
      </c>
      <c r="BG63" s="1085">
        <f t="shared" si="17"/>
        <v>0</v>
      </c>
      <c r="BH63" s="1085">
        <f t="shared" si="17"/>
        <v>0</v>
      </c>
      <c r="BI63" s="1309">
        <f t="shared" si="17"/>
        <v>0</v>
      </c>
      <c r="BJ63" s="1310">
        <f t="shared" si="17"/>
        <v>0</v>
      </c>
      <c r="BK63" s="1085">
        <f t="shared" si="17"/>
        <v>0</v>
      </c>
      <c r="BL63" s="1085">
        <f t="shared" si="17"/>
        <v>0</v>
      </c>
      <c r="BM63" s="1085">
        <f t="shared" si="17"/>
        <v>0</v>
      </c>
      <c r="BN63" s="1085">
        <f t="shared" si="17"/>
        <v>0</v>
      </c>
      <c r="BO63" s="1309">
        <f t="shared" si="17"/>
        <v>0</v>
      </c>
      <c r="BP63" s="1310"/>
      <c r="BQ63" s="1085"/>
      <c r="BR63" s="1309"/>
      <c r="BS63" s="1085">
        <f>SUM(Z63:BR63)</f>
        <v>0</v>
      </c>
      <c r="BT63" s="1192">
        <f>SUM(BT47:BT56)</f>
        <v>0</v>
      </c>
    </row>
    <row r="64" spans="1:72" s="1" customFormat="1" ht="16.8" hidden="1" thickTop="1" thickBot="1" x14ac:dyDescent="0.35">
      <c r="A64" s="875" t="s">
        <v>300</v>
      </c>
      <c r="B64" s="876"/>
      <c r="C64" s="877"/>
      <c r="E64" s="79"/>
      <c r="F64" s="712"/>
      <c r="I64" s="815"/>
      <c r="J64" s="815"/>
      <c r="K64" s="1085"/>
      <c r="L64" s="1085"/>
      <c r="M64" s="1085"/>
      <c r="N64" s="1085"/>
      <c r="O64" s="1085"/>
      <c r="P64" s="1085"/>
      <c r="Q64" s="1085"/>
      <c r="R64" s="1085"/>
      <c r="S64" s="1085"/>
      <c r="T64" s="1310"/>
      <c r="U64" s="1085"/>
      <c r="V64" s="1085"/>
      <c r="W64" s="1085"/>
      <c r="X64" s="1085"/>
      <c r="Y64" s="1309"/>
      <c r="Z64" s="1085"/>
      <c r="AA64" s="1133"/>
      <c r="AB64" s="1085"/>
      <c r="AC64" s="1085"/>
      <c r="AD64" s="1085"/>
      <c r="AE64" s="1308"/>
      <c r="AF64" s="1133"/>
      <c r="AG64" s="1085"/>
      <c r="AH64" s="1085"/>
      <c r="AI64" s="1085"/>
      <c r="AJ64" s="1085"/>
      <c r="AK64" s="1309"/>
      <c r="AL64" s="1310"/>
      <c r="AM64" s="1085"/>
      <c r="AN64" s="1133"/>
      <c r="AO64" s="1085"/>
      <c r="AP64" s="1085"/>
      <c r="AQ64" s="1309"/>
      <c r="AR64" s="1310"/>
      <c r="AS64" s="1085"/>
      <c r="AT64" s="1085"/>
      <c r="AU64" s="1311"/>
      <c r="AV64" s="1085"/>
      <c r="AW64" s="1085"/>
      <c r="AX64" s="1310"/>
      <c r="AY64" s="1085"/>
      <c r="AZ64" s="1085"/>
      <c r="BA64" s="1085"/>
      <c r="BB64" s="1085"/>
      <c r="BC64" s="1309"/>
      <c r="BD64" s="1310"/>
      <c r="BE64" s="1133"/>
      <c r="BF64" s="1133"/>
      <c r="BG64" s="1085"/>
      <c r="BH64" s="1085"/>
      <c r="BI64" s="1309"/>
      <c r="BJ64" s="1310"/>
      <c r="BK64" s="1085"/>
      <c r="BL64" s="1133"/>
      <c r="BM64" s="1085"/>
      <c r="BN64" s="1085"/>
      <c r="BO64" s="1309"/>
      <c r="BP64" s="1310"/>
      <c r="BQ64" s="1085"/>
      <c r="BR64" s="1309"/>
    </row>
    <row r="65" spans="1:71" s="1" customFormat="1" ht="16.8" hidden="1" thickTop="1" thickBot="1" x14ac:dyDescent="0.35">
      <c r="A65" s="1008" t="s">
        <v>29</v>
      </c>
      <c r="B65" s="885" t="s">
        <v>30</v>
      </c>
      <c r="C65" s="886" t="s">
        <v>31</v>
      </c>
      <c r="D65" s="887" t="s">
        <v>2</v>
      </c>
      <c r="E65" s="888" t="s">
        <v>32</v>
      </c>
      <c r="F65" s="888" t="s">
        <v>33</v>
      </c>
      <c r="G65" s="889" t="s">
        <v>34</v>
      </c>
      <c r="H65" s="890" t="s">
        <v>35</v>
      </c>
      <c r="I65" s="891" t="s">
        <v>36</v>
      </c>
      <c r="J65" s="811" t="s">
        <v>37</v>
      </c>
      <c r="K65" s="1312" t="s">
        <v>38</v>
      </c>
      <c r="L65" s="1313" t="s">
        <v>39</v>
      </c>
      <c r="M65" s="1313" t="s">
        <v>40</v>
      </c>
      <c r="N65" s="1313" t="s">
        <v>41</v>
      </c>
      <c r="O65" s="1313" t="s">
        <v>42</v>
      </c>
      <c r="P65" s="1313" t="s">
        <v>43</v>
      </c>
      <c r="Q65" s="1314" t="s">
        <v>44</v>
      </c>
      <c r="R65" s="1313" t="s">
        <v>38</v>
      </c>
      <c r="S65" s="1314" t="s">
        <v>45</v>
      </c>
      <c r="T65" s="1931" t="s">
        <v>457</v>
      </c>
      <c r="U65" s="1932" t="s">
        <v>458</v>
      </c>
      <c r="V65" s="1739" t="s">
        <v>345</v>
      </c>
      <c r="W65" s="1933" t="s">
        <v>459</v>
      </c>
      <c r="X65" s="1932" t="s">
        <v>460</v>
      </c>
      <c r="Y65" s="1934" t="s">
        <v>461</v>
      </c>
      <c r="Z65" s="1557" t="s">
        <v>301</v>
      </c>
      <c r="AA65" s="1318" t="s">
        <v>302</v>
      </c>
      <c r="AB65" s="1315" t="s">
        <v>303</v>
      </c>
      <c r="AC65" s="1553" t="s">
        <v>304</v>
      </c>
      <c r="AD65" s="1318" t="s">
        <v>306</v>
      </c>
      <c r="AE65" s="1554" t="s">
        <v>305</v>
      </c>
      <c r="AF65" s="1317" t="s">
        <v>310</v>
      </c>
      <c r="AG65" s="1318" t="s">
        <v>311</v>
      </c>
      <c r="AH65" s="1317" t="s">
        <v>312</v>
      </c>
      <c r="AI65" s="1318" t="s">
        <v>313</v>
      </c>
      <c r="AJ65" s="1317" t="s">
        <v>314</v>
      </c>
      <c r="AK65" s="1318" t="s">
        <v>315</v>
      </c>
      <c r="AL65" s="1318" t="s">
        <v>317</v>
      </c>
      <c r="AM65" s="1555" t="s">
        <v>318</v>
      </c>
      <c r="AN65" s="1318" t="s">
        <v>319</v>
      </c>
      <c r="AO65" s="1556" t="s">
        <v>320</v>
      </c>
      <c r="AP65" s="1318" t="s">
        <v>321</v>
      </c>
      <c r="AQ65" s="1556" t="s">
        <v>322</v>
      </c>
      <c r="AR65" s="1318" t="s">
        <v>324</v>
      </c>
      <c r="AS65" s="1555" t="s">
        <v>325</v>
      </c>
      <c r="AT65" s="1318" t="s">
        <v>326</v>
      </c>
      <c r="AU65" s="1556" t="s">
        <v>327</v>
      </c>
      <c r="AV65" s="1318" t="s">
        <v>328</v>
      </c>
      <c r="AW65" s="1557" t="s">
        <v>329</v>
      </c>
      <c r="AX65" s="1556" t="s">
        <v>331</v>
      </c>
      <c r="AY65" s="1318" t="s">
        <v>332</v>
      </c>
      <c r="AZ65" s="1557" t="s">
        <v>333</v>
      </c>
      <c r="BA65" s="1318" t="s">
        <v>334</v>
      </c>
      <c r="BB65" s="1556" t="s">
        <v>335</v>
      </c>
      <c r="BC65" s="1318" t="s">
        <v>336</v>
      </c>
      <c r="BD65" s="1556" t="s">
        <v>337</v>
      </c>
      <c r="BE65" s="1318" t="s">
        <v>338</v>
      </c>
      <c r="BF65" s="1557" t="s">
        <v>339</v>
      </c>
      <c r="BG65" s="1318" t="s">
        <v>340</v>
      </c>
      <c r="BH65" s="1556" t="s">
        <v>341</v>
      </c>
      <c r="BI65" s="1556" t="s">
        <v>342</v>
      </c>
      <c r="BJ65" s="1318" t="s">
        <v>343</v>
      </c>
      <c r="BK65" s="1558" t="s">
        <v>344</v>
      </c>
      <c r="BL65" s="1318" t="s">
        <v>345</v>
      </c>
      <c r="BM65" s="1318" t="s">
        <v>346</v>
      </c>
      <c r="BN65" s="1559" t="s">
        <v>347</v>
      </c>
      <c r="BO65" s="1326" t="s">
        <v>348</v>
      </c>
      <c r="BP65" s="1327" t="s">
        <v>70</v>
      </c>
      <c r="BQ65" s="1317" t="s">
        <v>71</v>
      </c>
      <c r="BR65" s="1328" t="s">
        <v>72</v>
      </c>
    </row>
    <row r="66" spans="1:71" s="1" customFormat="1" ht="18.600000000000001" hidden="1" thickBot="1" x14ac:dyDescent="0.4">
      <c r="A66" s="2753"/>
      <c r="B66" s="866"/>
      <c r="C66" s="942"/>
      <c r="D66" s="290" t="s">
        <v>293</v>
      </c>
      <c r="E66" s="943"/>
      <c r="F66" s="944" t="e">
        <f t="shared" ref="F66:F77" si="18">(BR66/G66)/7</f>
        <v>#DIV/0!</v>
      </c>
      <c r="G66" s="480"/>
      <c r="H66" s="945">
        <f t="shared" ref="H66:H77" si="19">G66*E66</f>
        <v>0</v>
      </c>
      <c r="I66" s="826"/>
      <c r="J66" s="826"/>
      <c r="K66" s="1560">
        <f>J66-H66</f>
        <v>0</v>
      </c>
      <c r="L66" s="1274">
        <f t="shared" ref="L66:S76" si="20">K66-$H66</f>
        <v>0</v>
      </c>
      <c r="M66" s="1274">
        <f t="shared" si="20"/>
        <v>0</v>
      </c>
      <c r="N66" s="1274">
        <f t="shared" si="20"/>
        <v>0</v>
      </c>
      <c r="O66" s="1274">
        <f t="shared" si="20"/>
        <v>0</v>
      </c>
      <c r="P66" s="1274">
        <f t="shared" si="20"/>
        <v>0</v>
      </c>
      <c r="Q66" s="1273">
        <f t="shared" si="20"/>
        <v>0</v>
      </c>
      <c r="R66" s="1274">
        <f t="shared" si="20"/>
        <v>0</v>
      </c>
      <c r="S66" s="1273">
        <f t="shared" si="20"/>
        <v>0</v>
      </c>
      <c r="T66" s="1848"/>
      <c r="U66" s="1885"/>
      <c r="V66" s="1222"/>
      <c r="W66" s="1885"/>
      <c r="X66" s="1222"/>
      <c r="Y66" s="1923"/>
      <c r="Z66" s="1622"/>
      <c r="AA66" s="1274"/>
      <c r="AB66" s="1560"/>
      <c r="AC66" s="1273"/>
      <c r="AD66" s="1274"/>
      <c r="AE66" s="1561"/>
      <c r="AF66" s="1562"/>
      <c r="AG66" s="1279"/>
      <c r="AH66" s="1562"/>
      <c r="AI66" s="1279"/>
      <c r="AJ66" s="1562"/>
      <c r="AK66" s="1279"/>
      <c r="AL66" s="1274"/>
      <c r="AM66" s="1273"/>
      <c r="AN66" s="1274"/>
      <c r="AO66" s="1273"/>
      <c r="AP66" s="1274"/>
      <c r="AQ66" s="1563"/>
      <c r="AR66" s="1279"/>
      <c r="AS66" s="1562"/>
      <c r="AT66" s="1279"/>
      <c r="AU66" s="1279"/>
      <c r="AV66" s="1279"/>
      <c r="AW66" s="1562"/>
      <c r="AX66" s="1564"/>
      <c r="AY66" s="1274"/>
      <c r="AZ66" s="1273"/>
      <c r="BA66" s="1274"/>
      <c r="BB66" s="1565"/>
      <c r="BC66" s="1279"/>
      <c r="BD66" s="1179"/>
      <c r="BE66" s="1566"/>
      <c r="BF66" s="1276"/>
      <c r="BG66" s="1278"/>
      <c r="BH66" s="1562"/>
      <c r="BI66" s="1563"/>
      <c r="BJ66" s="1279"/>
      <c r="BK66" s="1567"/>
      <c r="BL66" s="1279"/>
      <c r="BM66" s="1279"/>
      <c r="BN66" s="1279"/>
      <c r="BO66" s="1568"/>
      <c r="BP66" s="1446">
        <f>SUM('[3]Porta Wk 16'!T66:BI66)</f>
        <v>0</v>
      </c>
      <c r="BQ66" s="1569"/>
      <c r="BR66" s="1570"/>
    </row>
    <row r="67" spans="1:71" s="1" customFormat="1" ht="18.600000000000001" hidden="1" thickBot="1" x14ac:dyDescent="0.4">
      <c r="A67" s="2754"/>
      <c r="B67" s="867"/>
      <c r="C67" s="946"/>
      <c r="D67" s="290" t="s">
        <v>293</v>
      </c>
      <c r="E67" s="947"/>
      <c r="F67" s="948" t="e">
        <f t="shared" si="18"/>
        <v>#DIV/0!</v>
      </c>
      <c r="G67" s="482"/>
      <c r="H67" s="949">
        <f t="shared" si="19"/>
        <v>0</v>
      </c>
      <c r="I67" s="950"/>
      <c r="J67" s="950"/>
      <c r="K67" s="1395">
        <f>J67-$H67</f>
        <v>0</v>
      </c>
      <c r="L67" s="1194">
        <f t="shared" si="20"/>
        <v>0</v>
      </c>
      <c r="M67" s="1194">
        <f t="shared" si="20"/>
        <v>0</v>
      </c>
      <c r="N67" s="1194">
        <f t="shared" si="20"/>
        <v>0</v>
      </c>
      <c r="O67" s="1194">
        <f t="shared" si="20"/>
        <v>0</v>
      </c>
      <c r="P67" s="1194">
        <f t="shared" si="20"/>
        <v>0</v>
      </c>
      <c r="Q67" s="1194">
        <f t="shared" si="20"/>
        <v>0</v>
      </c>
      <c r="R67" s="1194">
        <f t="shared" si="20"/>
        <v>0</v>
      </c>
      <c r="S67" s="1342">
        <f t="shared" si="20"/>
        <v>0</v>
      </c>
      <c r="T67" s="1850"/>
      <c r="U67" s="1220"/>
      <c r="V67" s="1827"/>
      <c r="W67" s="1220"/>
      <c r="X67" s="1827"/>
      <c r="Y67" s="1920"/>
      <c r="Z67" s="1600"/>
      <c r="AA67" s="1194"/>
      <c r="AB67" s="1395"/>
      <c r="AC67" s="1193"/>
      <c r="AD67" s="1280"/>
      <c r="AE67" s="1571"/>
      <c r="AF67" s="1286"/>
      <c r="AG67" s="1285"/>
      <c r="AH67" s="1286"/>
      <c r="AI67" s="1285"/>
      <c r="AJ67" s="1286"/>
      <c r="AK67" s="1285"/>
      <c r="AL67" s="1194"/>
      <c r="AM67" s="1193"/>
      <c r="AN67" s="1194"/>
      <c r="AO67" s="1193"/>
      <c r="AP67" s="1194"/>
      <c r="AQ67" s="1450"/>
      <c r="AR67" s="1285"/>
      <c r="AS67" s="1286"/>
      <c r="AT67" s="1285"/>
      <c r="AU67" s="1285"/>
      <c r="AV67" s="1285"/>
      <c r="AW67" s="1286"/>
      <c r="AX67" s="1572"/>
      <c r="AY67" s="1194"/>
      <c r="AZ67" s="1193"/>
      <c r="BA67" s="1194"/>
      <c r="BB67" s="1342"/>
      <c r="BC67" s="1285"/>
      <c r="BD67" s="1201"/>
      <c r="BE67" s="1118"/>
      <c r="BF67" s="1117"/>
      <c r="BG67" s="1284"/>
      <c r="BH67" s="1286"/>
      <c r="BI67" s="1450"/>
      <c r="BJ67" s="1285"/>
      <c r="BK67" s="1286"/>
      <c r="BL67" s="1285"/>
      <c r="BM67" s="1279"/>
      <c r="BN67" s="1279"/>
      <c r="BO67" s="1568"/>
      <c r="BP67" s="1449">
        <f>SUM('[3]Porta Wk 16'!T67:BI67)</f>
        <v>0</v>
      </c>
      <c r="BQ67" s="1285"/>
      <c r="BR67" s="1573"/>
    </row>
    <row r="68" spans="1:71" s="1" customFormat="1" ht="18.600000000000001" hidden="1" thickBot="1" x14ac:dyDescent="0.4">
      <c r="A68" s="951"/>
      <c r="B68" s="869"/>
      <c r="C68" s="952"/>
      <c r="D68" s="953" t="s">
        <v>294</v>
      </c>
      <c r="E68" s="954"/>
      <c r="F68" s="955" t="e">
        <f t="shared" si="18"/>
        <v>#DIV/0!</v>
      </c>
      <c r="G68" s="956"/>
      <c r="H68" s="957">
        <f t="shared" si="19"/>
        <v>0</v>
      </c>
      <c r="I68" s="958"/>
      <c r="J68" s="958"/>
      <c r="K68" s="1375">
        <f>(J68-$H68)+Z68</f>
        <v>0</v>
      </c>
      <c r="L68" s="1243">
        <f t="shared" si="20"/>
        <v>0</v>
      </c>
      <c r="M68" s="1243">
        <f t="shared" si="20"/>
        <v>0</v>
      </c>
      <c r="N68" s="1243">
        <f t="shared" si="20"/>
        <v>0</v>
      </c>
      <c r="O68" s="1243">
        <f t="shared" si="20"/>
        <v>0</v>
      </c>
      <c r="P68" s="1243">
        <f t="shared" si="20"/>
        <v>0</v>
      </c>
      <c r="Q68" s="1242">
        <f t="shared" si="20"/>
        <v>0</v>
      </c>
      <c r="R68" s="1243">
        <f t="shared" si="20"/>
        <v>0</v>
      </c>
      <c r="S68" s="1242">
        <f t="shared" si="20"/>
        <v>0</v>
      </c>
      <c r="T68" s="1852"/>
      <c r="U68" s="1790"/>
      <c r="V68" s="1242"/>
      <c r="W68" s="1790"/>
      <c r="X68" s="1242"/>
      <c r="Y68" s="1921"/>
      <c r="Z68" s="1375"/>
      <c r="AA68" s="1243"/>
      <c r="AB68" s="1375"/>
      <c r="AC68" s="1242"/>
      <c r="AD68" s="1243"/>
      <c r="AE68" s="1574"/>
      <c r="AF68" s="1575"/>
      <c r="AG68" s="1576"/>
      <c r="AH68" s="1575"/>
      <c r="AI68" s="1576"/>
      <c r="AJ68" s="1575"/>
      <c r="AK68" s="1576"/>
      <c r="AL68" s="1243"/>
      <c r="AM68" s="1242"/>
      <c r="AN68" s="1243"/>
      <c r="AO68" s="1242"/>
      <c r="AP68" s="1243"/>
      <c r="AQ68" s="1577"/>
      <c r="AR68" s="1576"/>
      <c r="AS68" s="1575"/>
      <c r="AT68" s="1576"/>
      <c r="AU68" s="1576"/>
      <c r="AV68" s="1576"/>
      <c r="AW68" s="1575"/>
      <c r="AX68" s="1578"/>
      <c r="AY68" s="1243"/>
      <c r="AZ68" s="1242"/>
      <c r="BA68" s="1243"/>
      <c r="BB68" s="1579"/>
      <c r="BC68" s="1576"/>
      <c r="BD68" s="1246"/>
      <c r="BE68" s="1580"/>
      <c r="BF68" s="1581"/>
      <c r="BG68" s="1582"/>
      <c r="BH68" s="1575"/>
      <c r="BI68" s="1577"/>
      <c r="BJ68" s="1576"/>
      <c r="BK68" s="1575"/>
      <c r="BL68" s="1576"/>
      <c r="BM68" s="1583"/>
      <c r="BN68" s="1583"/>
      <c r="BO68" s="1584"/>
      <c r="BP68" s="1585">
        <f>SUM('[3]Porta Wk 16'!T68:BI68)</f>
        <v>0</v>
      </c>
      <c r="BQ68" s="1586"/>
      <c r="BR68" s="1587"/>
    </row>
    <row r="69" spans="1:71" s="1" customFormat="1" ht="18.600000000000001" hidden="1" thickBot="1" x14ac:dyDescent="0.4">
      <c r="A69" s="1007"/>
      <c r="B69" s="960"/>
      <c r="C69" s="961"/>
      <c r="D69" s="962" t="s">
        <v>294</v>
      </c>
      <c r="E69" s="963"/>
      <c r="F69" s="964" t="e">
        <f t="shared" si="18"/>
        <v>#DIV/0!</v>
      </c>
      <c r="G69" s="965"/>
      <c r="H69" s="966">
        <f t="shared" si="19"/>
        <v>0</v>
      </c>
      <c r="I69" s="967"/>
      <c r="J69" s="967"/>
      <c r="K69" s="1588">
        <f>J69-$H69</f>
        <v>0</v>
      </c>
      <c r="L69" s="1589">
        <f t="shared" si="20"/>
        <v>0</v>
      </c>
      <c r="M69" s="1589">
        <f t="shared" si="20"/>
        <v>0</v>
      </c>
      <c r="N69" s="1589">
        <f t="shared" si="20"/>
        <v>0</v>
      </c>
      <c r="O69" s="1589">
        <f t="shared" si="20"/>
        <v>0</v>
      </c>
      <c r="P69" s="1589">
        <f t="shared" si="20"/>
        <v>0</v>
      </c>
      <c r="Q69" s="1590">
        <f t="shared" si="20"/>
        <v>0</v>
      </c>
      <c r="R69" s="1589">
        <f t="shared" si="20"/>
        <v>0</v>
      </c>
      <c r="S69" s="1590">
        <f t="shared" si="20"/>
        <v>0</v>
      </c>
      <c r="T69" s="1864"/>
      <c r="U69" s="1894"/>
      <c r="V69" s="1590"/>
      <c r="W69" s="1894"/>
      <c r="X69" s="1590"/>
      <c r="Y69" s="1922"/>
      <c r="Z69" s="1588"/>
      <c r="AA69" s="1589"/>
      <c r="AB69" s="1588"/>
      <c r="AC69" s="1590"/>
      <c r="AD69" s="1589"/>
      <c r="AE69" s="1591"/>
      <c r="AF69" s="1592"/>
      <c r="AG69" s="1593"/>
      <c r="AH69" s="1592"/>
      <c r="AI69" s="1593"/>
      <c r="AJ69" s="1592"/>
      <c r="AK69" s="1593"/>
      <c r="AL69" s="1589"/>
      <c r="AM69" s="1590"/>
      <c r="AN69" s="1589"/>
      <c r="AO69" s="1590"/>
      <c r="AP69" s="1589"/>
      <c r="AQ69" s="1594"/>
      <c r="AR69" s="1593"/>
      <c r="AS69" s="1592"/>
      <c r="AT69" s="1593"/>
      <c r="AU69" s="1593"/>
      <c r="AV69" s="1593"/>
      <c r="AW69" s="1592"/>
      <c r="AX69" s="1595"/>
      <c r="AY69" s="1589"/>
      <c r="AZ69" s="1590"/>
      <c r="BA69" s="1589"/>
      <c r="BB69" s="1596"/>
      <c r="BC69" s="1593"/>
      <c r="BD69" s="1597"/>
      <c r="BE69" s="1598"/>
      <c r="BF69" s="1599"/>
      <c r="BG69" s="1600"/>
      <c r="BH69" s="1592"/>
      <c r="BI69" s="1594"/>
      <c r="BJ69" s="1593"/>
      <c r="BK69" s="1592"/>
      <c r="BL69" s="1593"/>
      <c r="BM69" s="1593"/>
      <c r="BN69" s="1593"/>
      <c r="BO69" s="1601"/>
      <c r="BP69" s="1602">
        <f>SUM('[3]Porta Wk 16'!T69:BI69)</f>
        <v>0</v>
      </c>
      <c r="BQ69" s="1593"/>
      <c r="BR69" s="1603"/>
    </row>
    <row r="70" spans="1:71" s="1" customFormat="1" ht="18.600000000000001" hidden="1" thickBot="1" x14ac:dyDescent="0.4">
      <c r="A70" s="968"/>
      <c r="B70" s="969"/>
      <c r="C70" s="970"/>
      <c r="D70" s="290" t="s">
        <v>295</v>
      </c>
      <c r="E70" s="971"/>
      <c r="F70" s="944" t="e">
        <f t="shared" si="18"/>
        <v>#DIV/0!</v>
      </c>
      <c r="G70" s="959"/>
      <c r="H70" s="973">
        <f t="shared" si="19"/>
        <v>0</v>
      </c>
      <c r="I70" s="974"/>
      <c r="J70" s="958"/>
      <c r="K70" s="1604">
        <f>J70-$H70</f>
        <v>0</v>
      </c>
      <c r="L70" s="1243">
        <f t="shared" si="20"/>
        <v>0</v>
      </c>
      <c r="M70" s="1243">
        <f t="shared" si="20"/>
        <v>0</v>
      </c>
      <c r="N70" s="1375">
        <f t="shared" si="20"/>
        <v>0</v>
      </c>
      <c r="O70" s="1375">
        <f t="shared" si="20"/>
        <v>0</v>
      </c>
      <c r="P70" s="1375">
        <f t="shared" si="20"/>
        <v>0</v>
      </c>
      <c r="Q70" s="1375">
        <f t="shared" si="20"/>
        <v>0</v>
      </c>
      <c r="R70" s="1375">
        <f t="shared" si="20"/>
        <v>0</v>
      </c>
      <c r="S70" s="1242">
        <f t="shared" si="20"/>
        <v>0</v>
      </c>
      <c r="T70" s="1852"/>
      <c r="U70" s="1790"/>
      <c r="V70" s="1242"/>
      <c r="W70" s="1790"/>
      <c r="X70" s="1242"/>
      <c r="Y70" s="1921"/>
      <c r="Z70" s="1375"/>
      <c r="AA70" s="1605"/>
      <c r="AB70" s="1606"/>
      <c r="AC70" s="1607"/>
      <c r="AD70" s="1605"/>
      <c r="AE70" s="1608"/>
      <c r="AF70" s="1609"/>
      <c r="AG70" s="1610"/>
      <c r="AH70" s="1609"/>
      <c r="AI70" s="1610"/>
      <c r="AJ70" s="1609"/>
      <c r="AK70" s="1610"/>
      <c r="AL70" s="1605"/>
      <c r="AM70" s="1607"/>
      <c r="AN70" s="1605"/>
      <c r="AO70" s="1607"/>
      <c r="AP70" s="1605"/>
      <c r="AQ70" s="1611"/>
      <c r="AR70" s="1610"/>
      <c r="AS70" s="1609"/>
      <c r="AT70" s="1610"/>
      <c r="AU70" s="1610"/>
      <c r="AV70" s="1610"/>
      <c r="AW70" s="1609"/>
      <c r="AX70" s="1612"/>
      <c r="AY70" s="1605"/>
      <c r="AZ70" s="1607"/>
      <c r="BA70" s="1605"/>
      <c r="BB70" s="1613"/>
      <c r="BC70" s="1610"/>
      <c r="BD70" s="1614"/>
      <c r="BE70" s="1615"/>
      <c r="BF70" s="1616"/>
      <c r="BG70" s="1617"/>
      <c r="BH70" s="1609"/>
      <c r="BI70" s="1611"/>
      <c r="BJ70" s="1610"/>
      <c r="BK70" s="1609"/>
      <c r="BL70" s="1610"/>
      <c r="BM70" s="1610"/>
      <c r="BN70" s="1610"/>
      <c r="BO70" s="1618"/>
      <c r="BP70" s="1619">
        <f>SUM('[3]Porta Wk 16'!T70:BI70)</f>
        <v>0</v>
      </c>
      <c r="BQ70" s="1609"/>
      <c r="BR70" s="1620"/>
    </row>
    <row r="71" spans="1:71" s="1" customFormat="1" ht="18.600000000000001" hidden="1" thickBot="1" x14ac:dyDescent="0.4">
      <c r="A71" s="1009"/>
      <c r="B71" s="870"/>
      <c r="C71" s="986"/>
      <c r="D71" s="975" t="s">
        <v>295</v>
      </c>
      <c r="E71" s="1012"/>
      <c r="F71" s="976" t="e">
        <f t="shared" si="18"/>
        <v>#DIV/0!</v>
      </c>
      <c r="G71" s="972"/>
      <c r="H71" s="1014">
        <f t="shared" si="19"/>
        <v>0</v>
      </c>
      <c r="I71" s="989"/>
      <c r="J71" s="974"/>
      <c r="K71" s="1437">
        <f>J71-H71</f>
        <v>0</v>
      </c>
      <c r="L71" s="1223">
        <f t="shared" si="20"/>
        <v>0</v>
      </c>
      <c r="M71" s="1223">
        <f>L71-H71</f>
        <v>0</v>
      </c>
      <c r="N71" s="1223">
        <f t="shared" si="20"/>
        <v>0</v>
      </c>
      <c r="O71" s="1223">
        <f t="shared" si="20"/>
        <v>0</v>
      </c>
      <c r="P71" s="1223">
        <f t="shared" si="20"/>
        <v>0</v>
      </c>
      <c r="Q71" s="1223">
        <f t="shared" si="20"/>
        <v>0</v>
      </c>
      <c r="R71" s="1223">
        <f t="shared" si="20"/>
        <v>0</v>
      </c>
      <c r="S71" s="1438">
        <f t="shared" si="20"/>
        <v>0</v>
      </c>
      <c r="T71" s="1848"/>
      <c r="U71" s="1885"/>
      <c r="V71" s="1222"/>
      <c r="W71" s="1885"/>
      <c r="X71" s="1222"/>
      <c r="Y71" s="1923"/>
      <c r="Z71" s="1622"/>
      <c r="AA71" s="1621"/>
      <c r="AB71" s="1622"/>
      <c r="AC71" s="1192"/>
      <c r="AD71" s="1621"/>
      <c r="AE71" s="1623"/>
      <c r="AF71" s="1192"/>
      <c r="AG71" s="1621"/>
      <c r="AH71" s="1192"/>
      <c r="AI71" s="1621"/>
      <c r="AJ71" s="1192"/>
      <c r="AK71" s="1621"/>
      <c r="AL71" s="1621"/>
      <c r="AM71" s="1192"/>
      <c r="AN71" s="1621"/>
      <c r="AO71" s="1192"/>
      <c r="AP71" s="1621"/>
      <c r="AQ71" s="1569"/>
      <c r="AR71" s="1621"/>
      <c r="AS71" s="1192"/>
      <c r="AT71" s="1621"/>
      <c r="AU71" s="1621"/>
      <c r="AV71" s="1621"/>
      <c r="AW71" s="1192"/>
      <c r="AX71" s="1624"/>
      <c r="AY71" s="1621"/>
      <c r="AZ71" s="1192"/>
      <c r="BA71" s="1621"/>
      <c r="BB71" s="1192"/>
      <c r="BC71" s="1621"/>
      <c r="BD71" s="1442"/>
      <c r="BE71" s="1439"/>
      <c r="BF71" s="1440"/>
      <c r="BG71" s="1622"/>
      <c r="BH71" s="1192"/>
      <c r="BI71" s="1569"/>
      <c r="BJ71" s="1621"/>
      <c r="BK71" s="1192"/>
      <c r="BL71" s="1621"/>
      <c r="BM71" s="1621"/>
      <c r="BN71" s="1621"/>
      <c r="BO71" s="1625"/>
      <c r="BP71" s="1446">
        <f>SUM('[3]Porta Wk 16'!T71:BI71)</f>
        <v>0</v>
      </c>
      <c r="BQ71" s="1192"/>
      <c r="BR71" s="1626"/>
    </row>
    <row r="72" spans="1:71" s="1" customFormat="1" ht="18.600000000000001" hidden="1" thickBot="1" x14ac:dyDescent="0.4">
      <c r="A72" s="1006"/>
      <c r="B72" s="978"/>
      <c r="C72" s="979"/>
      <c r="D72" s="953" t="s">
        <v>296</v>
      </c>
      <c r="E72" s="980"/>
      <c r="F72" s="981" t="e">
        <f t="shared" si="18"/>
        <v>#DIV/0!</v>
      </c>
      <c r="G72" s="982"/>
      <c r="H72" s="983">
        <f t="shared" si="19"/>
        <v>0</v>
      </c>
      <c r="I72" s="984"/>
      <c r="J72" s="958"/>
      <c r="K72" s="1375">
        <f>J72-$H72</f>
        <v>0</v>
      </c>
      <c r="L72" s="1627">
        <f t="shared" si="20"/>
        <v>0</v>
      </c>
      <c r="M72" s="1627">
        <f t="shared" si="20"/>
        <v>0</v>
      </c>
      <c r="N72" s="1627">
        <f t="shared" si="20"/>
        <v>0</v>
      </c>
      <c r="O72" s="1627">
        <f>N72-H72</f>
        <v>0</v>
      </c>
      <c r="P72" s="1627">
        <f>O72-$H72</f>
        <v>0</v>
      </c>
      <c r="Q72" s="1627">
        <f>P72-H72</f>
        <v>0</v>
      </c>
      <c r="R72" s="1627">
        <f t="shared" si="20"/>
        <v>0</v>
      </c>
      <c r="S72" s="1628">
        <f t="shared" si="20"/>
        <v>0</v>
      </c>
      <c r="T72" s="1852"/>
      <c r="U72" s="1790"/>
      <c r="V72" s="1242"/>
      <c r="W72" s="1790"/>
      <c r="X72" s="1242"/>
      <c r="Y72" s="1921"/>
      <c r="Z72" s="1582"/>
      <c r="AA72" s="1576"/>
      <c r="AB72" s="1582"/>
      <c r="AC72" s="1575"/>
      <c r="AD72" s="1576"/>
      <c r="AE72" s="1629"/>
      <c r="AF72" s="1575"/>
      <c r="AG72" s="1576"/>
      <c r="AH72" s="1575"/>
      <c r="AI72" s="1576"/>
      <c r="AJ72" s="1575"/>
      <c r="AK72" s="1576"/>
      <c r="AL72" s="1576"/>
      <c r="AM72" s="1575"/>
      <c r="AN72" s="1576"/>
      <c r="AO72" s="1575"/>
      <c r="AP72" s="1576"/>
      <c r="AQ72" s="1577"/>
      <c r="AR72" s="1576"/>
      <c r="AS72" s="1575"/>
      <c r="AT72" s="1576"/>
      <c r="AU72" s="1576"/>
      <c r="AV72" s="1576"/>
      <c r="AW72" s="1575"/>
      <c r="AX72" s="1578"/>
      <c r="AY72" s="1576"/>
      <c r="AZ72" s="1575"/>
      <c r="BA72" s="1576"/>
      <c r="BB72" s="1575"/>
      <c r="BC72" s="1576"/>
      <c r="BD72" s="1246"/>
      <c r="BE72" s="1580"/>
      <c r="BF72" s="1581"/>
      <c r="BG72" s="1582"/>
      <c r="BH72" s="1575"/>
      <c r="BI72" s="1577"/>
      <c r="BJ72" s="1576"/>
      <c r="BK72" s="1575"/>
      <c r="BL72" s="1576"/>
      <c r="BM72" s="1576"/>
      <c r="BN72" s="1576"/>
      <c r="BO72" s="1630"/>
      <c r="BP72" s="1631">
        <f>SUM('[3]Porta Wk 16'!T72:BI72)</f>
        <v>0</v>
      </c>
      <c r="BQ72" s="1577"/>
      <c r="BR72" s="1632"/>
    </row>
    <row r="73" spans="1:71" s="1" customFormat="1" ht="18.600000000000001" hidden="1" thickBot="1" x14ac:dyDescent="0.4">
      <c r="A73" s="985"/>
      <c r="B73" s="870"/>
      <c r="C73" s="986"/>
      <c r="D73" s="987" t="s">
        <v>296</v>
      </c>
      <c r="E73" s="988"/>
      <c r="F73" s="964" t="e">
        <f t="shared" si="18"/>
        <v>#DIV/0!</v>
      </c>
      <c r="G73" s="965"/>
      <c r="H73" s="966">
        <f t="shared" si="19"/>
        <v>0</v>
      </c>
      <c r="I73" s="989"/>
      <c r="J73" s="967"/>
      <c r="K73" s="1420">
        <f>J73-$H73</f>
        <v>0</v>
      </c>
      <c r="L73" s="1258">
        <f t="shared" si="20"/>
        <v>0</v>
      </c>
      <c r="M73" s="1258">
        <f t="shared" si="20"/>
        <v>0</v>
      </c>
      <c r="N73" s="1258">
        <f t="shared" si="20"/>
        <v>0</v>
      </c>
      <c r="O73" s="1258">
        <f>N73-$H73</f>
        <v>0</v>
      </c>
      <c r="P73" s="1258">
        <f>O73-$H73</f>
        <v>0</v>
      </c>
      <c r="Q73" s="1258">
        <f>P73-$H73</f>
        <v>0</v>
      </c>
      <c r="R73" s="1258">
        <f t="shared" si="20"/>
        <v>0</v>
      </c>
      <c r="S73" s="1633">
        <f t="shared" si="20"/>
        <v>0</v>
      </c>
      <c r="T73" s="1856"/>
      <c r="U73" s="1650"/>
      <c r="V73" s="1257"/>
      <c r="W73" s="1650"/>
      <c r="X73" s="1257"/>
      <c r="Y73" s="1924"/>
      <c r="Z73" s="1635"/>
      <c r="AA73" s="1634"/>
      <c r="AB73" s="1635"/>
      <c r="AC73" s="1636"/>
      <c r="AD73" s="1634"/>
      <c r="AE73" s="1637"/>
      <c r="AF73" s="1636"/>
      <c r="AG73" s="1634"/>
      <c r="AH73" s="1636"/>
      <c r="AI73" s="1634"/>
      <c r="AJ73" s="1636"/>
      <c r="AK73" s="1634"/>
      <c r="AL73" s="1634"/>
      <c r="AM73" s="1636"/>
      <c r="AN73" s="1634"/>
      <c r="AO73" s="1636"/>
      <c r="AP73" s="1634"/>
      <c r="AQ73" s="1638"/>
      <c r="AR73" s="1634"/>
      <c r="AS73" s="1636"/>
      <c r="AT73" s="1258"/>
      <c r="AU73" s="1634"/>
      <c r="AV73" s="1634"/>
      <c r="AW73" s="1636"/>
      <c r="AX73" s="1639"/>
      <c r="AY73" s="1634"/>
      <c r="AZ73" s="1636"/>
      <c r="BA73" s="1634"/>
      <c r="BB73" s="1636"/>
      <c r="BC73" s="1593"/>
      <c r="BD73" s="1597"/>
      <c r="BE73" s="1598"/>
      <c r="BF73" s="1599"/>
      <c r="BG73" s="1600"/>
      <c r="BH73" s="1592"/>
      <c r="BI73" s="1594"/>
      <c r="BJ73" s="1634"/>
      <c r="BK73" s="1592"/>
      <c r="BL73" s="1593"/>
      <c r="BM73" s="1593"/>
      <c r="BN73" s="1593"/>
      <c r="BO73" s="1601"/>
      <c r="BP73" s="1602">
        <f>SUM('[3]Porta Wk 16'!T73:BI73)</f>
        <v>0</v>
      </c>
      <c r="BQ73" s="1594"/>
      <c r="BR73" s="1603"/>
    </row>
    <row r="74" spans="1:71" s="1" customFormat="1" ht="18.600000000000001" hidden="1" thickBot="1" x14ac:dyDescent="0.4">
      <c r="A74" s="1006"/>
      <c r="B74" s="1010"/>
      <c r="C74" s="992"/>
      <c r="D74" s="1013" t="s">
        <v>298</v>
      </c>
      <c r="E74" s="993"/>
      <c r="F74" s="955" t="e">
        <f t="shared" si="18"/>
        <v>#DIV/0!</v>
      </c>
      <c r="G74" s="956"/>
      <c r="H74" s="957">
        <f t="shared" si="19"/>
        <v>0</v>
      </c>
      <c r="I74" s="994"/>
      <c r="J74" s="958"/>
      <c r="K74" s="1375">
        <f>(J74-$H74)+Z74</f>
        <v>0</v>
      </c>
      <c r="L74" s="1243">
        <f t="shared" si="20"/>
        <v>0</v>
      </c>
      <c r="M74" s="1243">
        <f t="shared" si="20"/>
        <v>0</v>
      </c>
      <c r="N74" s="1243">
        <f t="shared" si="20"/>
        <v>0</v>
      </c>
      <c r="O74" s="1243">
        <f>N74-$H74</f>
        <v>0</v>
      </c>
      <c r="P74" s="1243">
        <f>O74-$H74</f>
        <v>0</v>
      </c>
      <c r="Q74" s="1242">
        <f>P74-$H74</f>
        <v>0</v>
      </c>
      <c r="R74" s="1243">
        <f t="shared" si="20"/>
        <v>0</v>
      </c>
      <c r="S74" s="1242">
        <f t="shared" si="20"/>
        <v>0</v>
      </c>
      <c r="T74" s="1852"/>
      <c r="U74" s="1790"/>
      <c r="V74" s="1242"/>
      <c r="W74" s="1790"/>
      <c r="X74" s="1242"/>
      <c r="Y74" s="1921"/>
      <c r="Z74" s="1582"/>
      <c r="AA74" s="1576"/>
      <c r="AB74" s="1582"/>
      <c r="AC74" s="1575"/>
      <c r="AD74" s="1576"/>
      <c r="AE74" s="1629"/>
      <c r="AF74" s="1575"/>
      <c r="AG74" s="1576"/>
      <c r="AH74" s="1575"/>
      <c r="AI74" s="1576"/>
      <c r="AJ74" s="1575"/>
      <c r="AK74" s="1576"/>
      <c r="AL74" s="1576"/>
      <c r="AM74" s="1575"/>
      <c r="AN74" s="1576"/>
      <c r="AO74" s="1575"/>
      <c r="AP74" s="1576"/>
      <c r="AQ74" s="1577"/>
      <c r="AR74" s="1576"/>
      <c r="AS74" s="1575"/>
      <c r="AT74" s="1243"/>
      <c r="AU74" s="1576"/>
      <c r="AV74" s="1576"/>
      <c r="AW74" s="1575"/>
      <c r="AX74" s="1578"/>
      <c r="AY74" s="1576"/>
      <c r="AZ74" s="1575"/>
      <c r="BA74" s="1576"/>
      <c r="BB74" s="1575"/>
      <c r="BC74" s="1576"/>
      <c r="BD74" s="1246"/>
      <c r="BE74" s="1580"/>
      <c r="BF74" s="1581"/>
      <c r="BG74" s="1582"/>
      <c r="BH74" s="1575"/>
      <c r="BI74" s="1577"/>
      <c r="BJ74" s="1576"/>
      <c r="BK74" s="1575"/>
      <c r="BL74" s="1576"/>
      <c r="BM74" s="1583"/>
      <c r="BN74" s="1640"/>
      <c r="BO74" s="1630"/>
      <c r="BP74" s="1631">
        <f>SUM('[3]Porta Wk 16'!T74:BI74)</f>
        <v>0</v>
      </c>
      <c r="BQ74" s="1577"/>
      <c r="BR74" s="1632"/>
    </row>
    <row r="75" spans="1:71" s="1" customFormat="1" ht="18.600000000000001" hidden="1" thickBot="1" x14ac:dyDescent="0.4">
      <c r="A75" s="1022"/>
      <c r="B75" s="1023"/>
      <c r="C75" s="995"/>
      <c r="D75" s="1024" t="s">
        <v>298</v>
      </c>
      <c r="E75" s="988"/>
      <c r="F75" s="964" t="e">
        <f t="shared" si="18"/>
        <v>#DIV/0!</v>
      </c>
      <c r="G75" s="965"/>
      <c r="H75" s="966">
        <f t="shared" si="19"/>
        <v>0</v>
      </c>
      <c r="I75" s="989"/>
      <c r="J75" s="967"/>
      <c r="K75" s="1588">
        <f>J75-$H75</f>
        <v>0</v>
      </c>
      <c r="L75" s="1589">
        <f t="shared" si="20"/>
        <v>0</v>
      </c>
      <c r="M75" s="1589">
        <f>L75-H75</f>
        <v>0</v>
      </c>
      <c r="N75" s="1589">
        <f>M75-$H75</f>
        <v>0</v>
      </c>
      <c r="O75" s="1589">
        <f>N75-$H75</f>
        <v>0</v>
      </c>
      <c r="P75" s="1589">
        <f>O75-$H75</f>
        <v>0</v>
      </c>
      <c r="Q75" s="1589">
        <f>P75-$H75</f>
        <v>0</v>
      </c>
      <c r="R75" s="1589">
        <f t="shared" si="20"/>
        <v>0</v>
      </c>
      <c r="S75" s="1596">
        <f t="shared" si="20"/>
        <v>0</v>
      </c>
      <c r="T75" s="1864"/>
      <c r="U75" s="1894"/>
      <c r="V75" s="1590"/>
      <c r="W75" s="1894"/>
      <c r="X75" s="1590"/>
      <c r="Y75" s="1922"/>
      <c r="Z75" s="1600"/>
      <c r="AA75" s="1593"/>
      <c r="AB75" s="1600"/>
      <c r="AC75" s="1592"/>
      <c r="AD75" s="1593"/>
      <c r="AE75" s="1641"/>
      <c r="AF75" s="1592"/>
      <c r="AG75" s="1593"/>
      <c r="AH75" s="1592"/>
      <c r="AI75" s="1593"/>
      <c r="AJ75" s="1593"/>
      <c r="AK75" s="1593"/>
      <c r="AL75" s="1593"/>
      <c r="AM75" s="1592"/>
      <c r="AN75" s="1593"/>
      <c r="AO75" s="1592"/>
      <c r="AP75" s="1593"/>
      <c r="AQ75" s="1594"/>
      <c r="AR75" s="1593"/>
      <c r="AS75" s="1592"/>
      <c r="AT75" s="1593"/>
      <c r="AU75" s="1593"/>
      <c r="AV75" s="1593"/>
      <c r="AW75" s="1592"/>
      <c r="AX75" s="1595"/>
      <c r="AY75" s="1593"/>
      <c r="AZ75" s="1592"/>
      <c r="BA75" s="1593"/>
      <c r="BB75" s="1592"/>
      <c r="BC75" s="1593"/>
      <c r="BD75" s="1597"/>
      <c r="BE75" s="1598"/>
      <c r="BF75" s="1599"/>
      <c r="BG75" s="1600"/>
      <c r="BH75" s="1592"/>
      <c r="BI75" s="1594"/>
      <c r="BJ75" s="1593"/>
      <c r="BK75" s="1594"/>
      <c r="BL75" s="1593"/>
      <c r="BM75" s="1593"/>
      <c r="BN75" s="1634"/>
      <c r="BO75" s="1642"/>
      <c r="BP75" s="1643">
        <f>SUM('[3]Porta Wk 16'!T75:BI75)</f>
        <v>0</v>
      </c>
      <c r="BQ75" s="1638"/>
      <c r="BR75" s="1603"/>
    </row>
    <row r="76" spans="1:71" s="1" customFormat="1" ht="18.600000000000001" hidden="1" thickBot="1" x14ac:dyDescent="0.4">
      <c r="A76" s="1017"/>
      <c r="B76" s="1018"/>
      <c r="C76" s="1019"/>
      <c r="D76" s="290" t="s">
        <v>297</v>
      </c>
      <c r="E76" s="1020"/>
      <c r="F76" s="944" t="e">
        <f t="shared" si="18"/>
        <v>#DIV/0!</v>
      </c>
      <c r="G76" s="480"/>
      <c r="H76" s="945">
        <f t="shared" si="19"/>
        <v>0</v>
      </c>
      <c r="I76" s="1021"/>
      <c r="J76" s="826"/>
      <c r="K76" s="1644">
        <f>J76-$H76</f>
        <v>0</v>
      </c>
      <c r="L76" s="1274">
        <f t="shared" si="20"/>
        <v>0</v>
      </c>
      <c r="M76" s="1274">
        <f>L76-$H76</f>
        <v>0</v>
      </c>
      <c r="N76" s="1274">
        <f>M76-$H76</f>
        <v>0</v>
      </c>
      <c r="O76" s="1565">
        <f>N76-$H76</f>
        <v>0</v>
      </c>
      <c r="P76" s="1645">
        <f>O76-$H76</f>
        <v>0</v>
      </c>
      <c r="Q76" s="1274">
        <f>P76-$H76</f>
        <v>0</v>
      </c>
      <c r="R76" s="1274">
        <f t="shared" si="20"/>
        <v>0</v>
      </c>
      <c r="S76" s="1565">
        <f t="shared" si="20"/>
        <v>0</v>
      </c>
      <c r="T76" s="1847"/>
      <c r="U76" s="1183"/>
      <c r="V76" s="1273"/>
      <c r="W76" s="1183"/>
      <c r="X76" s="1273"/>
      <c r="Y76" s="1902"/>
      <c r="Z76" s="1278"/>
      <c r="AA76" s="1279"/>
      <c r="AB76" s="1278"/>
      <c r="AC76" s="1562"/>
      <c r="AD76" s="1279"/>
      <c r="AE76" s="1646"/>
      <c r="AF76" s="1562"/>
      <c r="AG76" s="1279"/>
      <c r="AH76" s="1562"/>
      <c r="AI76" s="1279"/>
      <c r="AJ76" s="1562"/>
      <c r="AK76" s="1576"/>
      <c r="AL76" s="1576"/>
      <c r="AM76" s="1575"/>
      <c r="AN76" s="1576"/>
      <c r="AO76" s="1577"/>
      <c r="AP76" s="1576"/>
      <c r="AQ76" s="1577"/>
      <c r="AR76" s="1576"/>
      <c r="AS76" s="1575"/>
      <c r="AT76" s="1576"/>
      <c r="AU76" s="1576"/>
      <c r="AV76" s="1576"/>
      <c r="AW76" s="1575"/>
      <c r="AX76" s="1578"/>
      <c r="AY76" s="1576"/>
      <c r="AZ76" s="1582"/>
      <c r="BA76" s="1576"/>
      <c r="BB76" s="1575"/>
      <c r="BC76" s="1576"/>
      <c r="BD76" s="1246"/>
      <c r="BE76" s="1580"/>
      <c r="BF76" s="1581"/>
      <c r="BG76" s="1582"/>
      <c r="BH76" s="1575"/>
      <c r="BI76" s="1577"/>
      <c r="BJ76" s="1576"/>
      <c r="BK76" s="1562"/>
      <c r="BL76" s="1279"/>
      <c r="BM76" s="1279"/>
      <c r="BN76" s="1279"/>
      <c r="BO76" s="1568"/>
      <c r="BP76" s="1647">
        <f>SUM('[3]Porta Wk 16'!T76:BI76)</f>
        <v>0</v>
      </c>
      <c r="BQ76" s="1279"/>
      <c r="BR76" s="1648"/>
    </row>
    <row r="77" spans="1:71" s="1" customFormat="1" ht="15" hidden="1" thickBot="1" x14ac:dyDescent="0.35">
      <c r="A77" s="1011"/>
      <c r="B77" s="997"/>
      <c r="C77" s="991"/>
      <c r="D77" s="996" t="s">
        <v>297</v>
      </c>
      <c r="E77" s="998"/>
      <c r="F77" s="999" t="e">
        <f t="shared" si="18"/>
        <v>#DIV/0!</v>
      </c>
      <c r="G77" s="990"/>
      <c r="H77" s="1000">
        <f t="shared" si="19"/>
        <v>0</v>
      </c>
      <c r="I77" s="1001"/>
      <c r="J77" s="1002"/>
      <c r="K77" s="1649">
        <f>J77-H77</f>
        <v>0</v>
      </c>
      <c r="L77" s="1650">
        <f>(K77-$H77)+AA77</f>
        <v>0</v>
      </c>
      <c r="M77" s="1650">
        <f>L77-H77</f>
        <v>0</v>
      </c>
      <c r="N77" s="1650">
        <f>(M77-$H77)+AC77</f>
        <v>0</v>
      </c>
      <c r="O77" s="1650">
        <f>(N77-$H77)+AE77</f>
        <v>0</v>
      </c>
      <c r="P77" s="1650">
        <f>(O77-$H77)+AF77</f>
        <v>0</v>
      </c>
      <c r="Q77" s="1650">
        <f>(P77-$H77)+AG77</f>
        <v>0</v>
      </c>
      <c r="R77" s="1650">
        <f>(Q77-$H77)+AH77</f>
        <v>0</v>
      </c>
      <c r="S77" s="1651">
        <f>(R77-$H77)+AI77</f>
        <v>0</v>
      </c>
      <c r="T77" s="1869"/>
      <c r="U77" s="1925"/>
      <c r="V77" s="1804"/>
      <c r="W77" s="1925"/>
      <c r="X77" s="1804"/>
      <c r="Y77" s="1926"/>
      <c r="Z77" s="1301"/>
      <c r="AA77" s="1306"/>
      <c r="AB77" s="1635"/>
      <c r="AC77" s="1638"/>
      <c r="AD77" s="1306"/>
      <c r="AE77" s="1652"/>
      <c r="AF77" s="1636"/>
      <c r="AG77" s="1306"/>
      <c r="AH77" s="1636"/>
      <c r="AI77" s="1306"/>
      <c r="AJ77" s="1636"/>
      <c r="AK77" s="1306"/>
      <c r="AL77" s="1306"/>
      <c r="AM77" s="1636"/>
      <c r="AN77" s="1306"/>
      <c r="AO77" s="1636"/>
      <c r="AP77" s="1306"/>
      <c r="AQ77" s="1638"/>
      <c r="AR77" s="1306"/>
      <c r="AS77" s="1636"/>
      <c r="AT77" s="1306"/>
      <c r="AU77" s="1635"/>
      <c r="AV77" s="1306"/>
      <c r="AW77" s="1636"/>
      <c r="AX77" s="1639"/>
      <c r="AY77" s="1306"/>
      <c r="AZ77" s="1636"/>
      <c r="BA77" s="1306"/>
      <c r="BB77" s="1636"/>
      <c r="BC77" s="1306"/>
      <c r="BD77" s="1261"/>
      <c r="BE77" s="1653"/>
      <c r="BF77" s="1654"/>
      <c r="BG77" s="1635"/>
      <c r="BH77" s="1636"/>
      <c r="BI77" s="1638"/>
      <c r="BJ77" s="1306"/>
      <c r="BK77" s="1295"/>
      <c r="BL77" s="1306"/>
      <c r="BM77" s="1306"/>
      <c r="BN77" s="1306"/>
      <c r="BO77" s="1642"/>
      <c r="BP77" s="1643">
        <f>SUM('[3]Porta Wk 16'!T77:BI77)</f>
        <v>0</v>
      </c>
      <c r="BQ77" s="1634"/>
      <c r="BR77" s="1655"/>
    </row>
    <row r="78" spans="1:71" ht="15" hidden="1" thickBot="1" x14ac:dyDescent="0.35">
      <c r="A78" s="972"/>
      <c r="B78" s="1003"/>
      <c r="D78" s="975"/>
      <c r="E78" s="1004"/>
      <c r="F78" s="1005"/>
      <c r="G78" s="972"/>
      <c r="H78" s="973"/>
      <c r="I78" s="977"/>
      <c r="J78" s="977"/>
      <c r="K78" s="1222"/>
      <c r="L78" s="1222"/>
      <c r="M78" s="1222"/>
      <c r="N78" s="1222"/>
      <c r="O78" s="1222"/>
      <c r="P78" s="1222"/>
      <c r="Q78" s="1222"/>
      <c r="R78" s="1222"/>
      <c r="S78" s="1222"/>
      <c r="T78" s="1848"/>
      <c r="U78" s="1222"/>
      <c r="V78" s="1222"/>
      <c r="W78" s="1222"/>
      <c r="X78" s="1222"/>
      <c r="Y78" s="1849"/>
      <c r="AE78" s="1656"/>
      <c r="AK78" s="1625"/>
      <c r="AL78" s="1624"/>
      <c r="AQ78" s="1625"/>
      <c r="AR78" s="1624"/>
      <c r="AX78" s="1624"/>
      <c r="BC78" s="1625"/>
      <c r="BD78" s="1624"/>
      <c r="BI78" s="1625"/>
      <c r="BJ78" s="1624"/>
      <c r="BO78" s="1625"/>
      <c r="BP78" s="1624"/>
      <c r="BR78" s="1625"/>
      <c r="BS78" s="1"/>
    </row>
    <row r="79" spans="1:71" ht="15" hidden="1" thickBot="1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085"/>
      <c r="S79" s="1657"/>
      <c r="T79" s="1865"/>
      <c r="U79" s="1657"/>
      <c r="V79" s="1657"/>
      <c r="W79" s="1657"/>
      <c r="X79" s="1657"/>
      <c r="Y79" s="1866"/>
      <c r="Z79" s="1085"/>
      <c r="AA79" s="1085"/>
      <c r="AB79" s="1085"/>
      <c r="AC79" s="1085"/>
      <c r="AD79" s="1085"/>
      <c r="AE79" s="1308"/>
      <c r="AF79" s="1085"/>
      <c r="AG79" s="1085"/>
      <c r="AH79" s="1085"/>
      <c r="AI79" s="1085"/>
      <c r="AJ79" s="1085"/>
      <c r="AK79" s="1309"/>
      <c r="AL79" s="1310"/>
      <c r="AM79" s="1085"/>
      <c r="AN79" s="1085"/>
      <c r="AO79" s="1085"/>
      <c r="AP79" s="1085"/>
      <c r="AQ79" s="1309"/>
      <c r="AR79" s="1310"/>
      <c r="AS79" s="1085"/>
      <c r="AT79" s="1085"/>
      <c r="AU79" s="1085"/>
      <c r="AV79" s="1085"/>
      <c r="AW79" s="1085"/>
      <c r="AX79" s="1310"/>
      <c r="AY79" s="1085"/>
      <c r="AZ79" s="1085"/>
      <c r="BA79" s="1085"/>
      <c r="BB79" s="1085"/>
      <c r="BC79" s="1309"/>
      <c r="BD79" s="1310"/>
      <c r="BE79" s="1085"/>
      <c r="BF79" s="1085"/>
      <c r="BG79" s="1085"/>
      <c r="BH79" s="1085"/>
      <c r="BI79" s="1309"/>
      <c r="BJ79" s="1310"/>
      <c r="BK79" s="1085"/>
      <c r="BL79" s="1085"/>
      <c r="BM79" s="1085"/>
      <c r="BN79" s="1085"/>
      <c r="BO79" s="1309"/>
      <c r="BP79" s="1310"/>
      <c r="BQ79" s="1085"/>
      <c r="BR79" s="1309"/>
      <c r="BS79" s="1"/>
    </row>
    <row r="80" spans="1:71" ht="15" hidden="1" thickBot="1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085"/>
      <c r="S80" s="1085"/>
      <c r="T80" s="1310"/>
      <c r="U80" s="1085"/>
      <c r="V80" s="1085"/>
      <c r="W80" s="1085"/>
      <c r="X80" s="1085"/>
      <c r="Y80" s="1309"/>
      <c r="Z80" s="1085"/>
      <c r="AA80" s="1085"/>
      <c r="AB80" s="1085"/>
      <c r="AC80" s="1085"/>
      <c r="AD80" s="1085"/>
      <c r="AE80" s="1308"/>
      <c r="AF80" s="1085"/>
      <c r="AG80" s="1085"/>
      <c r="AH80" s="1085"/>
      <c r="AI80" s="1085"/>
      <c r="AJ80" s="1085"/>
      <c r="AK80" s="1309"/>
      <c r="AL80" s="1310"/>
      <c r="AM80" s="1085"/>
      <c r="AN80" s="1085"/>
      <c r="AO80" s="1085"/>
      <c r="AP80" s="1085"/>
      <c r="AQ80" s="1309"/>
      <c r="AR80" s="1310"/>
      <c r="AS80" s="1085"/>
      <c r="AT80" s="1085"/>
      <c r="AU80" s="1085"/>
      <c r="AV80" s="1085"/>
      <c r="AW80" s="1085"/>
      <c r="AX80" s="1310"/>
      <c r="AY80" s="1085"/>
      <c r="AZ80" s="1085"/>
      <c r="BA80" s="1085"/>
      <c r="BB80" s="1085"/>
      <c r="BC80" s="1309"/>
      <c r="BD80" s="1310"/>
      <c r="BE80" s="1085"/>
      <c r="BF80" s="1085"/>
      <c r="BG80" s="1085"/>
      <c r="BH80" s="1085"/>
      <c r="BI80" s="1309"/>
      <c r="BJ80" s="1310"/>
      <c r="BK80" s="1085"/>
      <c r="BL80" s="1085"/>
      <c r="BM80" s="1085"/>
      <c r="BN80" s="1085"/>
      <c r="BO80" s="1309"/>
      <c r="BP80" s="1310"/>
      <c r="BQ80" s="1085"/>
      <c r="BR80" s="1309"/>
      <c r="BS80" s="1"/>
    </row>
    <row r="81" spans="1:72" ht="15" hidden="1" thickBot="1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085"/>
      <c r="S81" s="1085"/>
      <c r="T81" s="1310"/>
      <c r="U81" s="1085"/>
      <c r="V81" s="1085"/>
      <c r="W81" s="1085"/>
      <c r="X81" s="1085"/>
      <c r="Y81" s="1309"/>
      <c r="Z81" s="1085"/>
      <c r="AA81" s="1085"/>
      <c r="AB81" s="1085"/>
      <c r="AC81" s="1085"/>
      <c r="AD81" s="1085"/>
      <c r="AE81" s="1308"/>
      <c r="AF81" s="1085"/>
      <c r="AG81" s="1085"/>
      <c r="AH81" s="1085"/>
      <c r="AI81" s="1085"/>
      <c r="AJ81" s="1085"/>
      <c r="AK81" s="1309"/>
      <c r="AL81" s="1310"/>
      <c r="AM81" s="1085"/>
      <c r="AN81" s="1085"/>
      <c r="AO81" s="1085"/>
      <c r="AP81" s="1085"/>
      <c r="AQ81" s="1309"/>
      <c r="AR81" s="1310"/>
      <c r="AS81" s="1085"/>
      <c r="AT81" s="1085"/>
      <c r="AU81" s="1085"/>
      <c r="AV81" s="1085"/>
      <c r="AW81" s="1085"/>
      <c r="AX81" s="1310"/>
      <c r="AY81" s="1085"/>
      <c r="AZ81" s="1085"/>
      <c r="BA81" s="1085"/>
      <c r="BB81" s="1085"/>
      <c r="BC81" s="1309"/>
      <c r="BD81" s="1310"/>
      <c r="BE81" s="1085"/>
      <c r="BF81" s="1085"/>
      <c r="BG81" s="1085"/>
      <c r="BH81" s="1085"/>
      <c r="BI81" s="1309"/>
      <c r="BJ81" s="1310"/>
      <c r="BK81" s="1085"/>
      <c r="BL81" s="1085"/>
      <c r="BM81" s="1085"/>
      <c r="BN81" s="1085"/>
      <c r="BO81" s="1309"/>
      <c r="BP81" s="1310"/>
      <c r="BQ81" s="1085"/>
      <c r="BR81" s="1309"/>
      <c r="BS81" s="1"/>
    </row>
    <row r="82" spans="1:72" ht="15" hidden="1" thickBot="1" x14ac:dyDescent="0.35">
      <c r="A82" s="12"/>
      <c r="B82" s="48"/>
      <c r="C82" s="48"/>
      <c r="D82" s="48"/>
      <c r="E82" s="321"/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1085"/>
      <c r="S82" s="1085"/>
      <c r="T82" s="1310"/>
      <c r="U82" s="1085"/>
      <c r="V82" s="1085"/>
      <c r="W82" s="1085"/>
      <c r="X82" s="1085"/>
      <c r="Y82" s="1309"/>
      <c r="Z82" s="1085"/>
      <c r="AA82" s="1085"/>
      <c r="AB82" s="1085"/>
      <c r="AC82" s="1085"/>
      <c r="AD82" s="1085"/>
      <c r="AE82" s="1308"/>
      <c r="AF82" s="1085"/>
      <c r="AG82" s="1085"/>
      <c r="AH82" s="1085"/>
      <c r="AI82" s="1085"/>
      <c r="AJ82" s="1085"/>
      <c r="AK82" s="1309"/>
      <c r="AL82" s="1310"/>
      <c r="AM82" s="1085"/>
      <c r="AN82" s="1085"/>
      <c r="AO82" s="1085"/>
      <c r="AP82" s="1085"/>
      <c r="AQ82" s="1309"/>
      <c r="AR82" s="1310"/>
      <c r="AS82" s="1085"/>
      <c r="AT82" s="1085"/>
      <c r="AU82" s="1085"/>
      <c r="AV82" s="1085"/>
      <c r="AW82" s="1085"/>
      <c r="AX82" s="1310"/>
      <c r="AY82" s="1085"/>
      <c r="AZ82" s="1085"/>
      <c r="BA82" s="1085"/>
      <c r="BB82" s="1085"/>
      <c r="BC82" s="1309"/>
      <c r="BD82" s="1310"/>
      <c r="BE82" s="1085"/>
      <c r="BF82" s="1085"/>
      <c r="BG82" s="1085"/>
      <c r="BH82" s="1085"/>
      <c r="BI82" s="1309"/>
      <c r="BJ82" s="1310"/>
      <c r="BK82" s="1085"/>
      <c r="BL82" s="1085"/>
      <c r="BM82" s="1085"/>
      <c r="BN82" s="1085"/>
      <c r="BO82" s="1309"/>
      <c r="BP82" s="1310"/>
      <c r="BQ82" s="1085"/>
      <c r="BR82" s="1309"/>
      <c r="BS82" s="1"/>
    </row>
    <row r="83" spans="1:72" ht="16.2" thickBot="1" x14ac:dyDescent="0.35">
      <c r="A83" s="96" t="s">
        <v>107</v>
      </c>
      <c r="B83" s="4"/>
      <c r="C83" s="5"/>
      <c r="D83" s="1" t="s">
        <v>12</v>
      </c>
      <c r="E83" s="97"/>
      <c r="F83" s="98"/>
      <c r="G83" s="98"/>
      <c r="H83" s="98"/>
      <c r="I83" s="98"/>
      <c r="J83" s="98"/>
      <c r="K83" s="98"/>
      <c r="L83" s="98"/>
      <c r="M83" s="98"/>
      <c r="N83" s="98"/>
      <c r="O83" s="98"/>
      <c r="P83" s="98"/>
      <c r="Q83" s="98"/>
      <c r="R83" s="1085"/>
      <c r="S83" s="1085"/>
      <c r="T83" s="1310"/>
      <c r="U83" s="1085"/>
      <c r="V83" s="1085"/>
      <c r="W83" s="1085"/>
      <c r="X83" s="1085"/>
      <c r="Y83" s="1309"/>
      <c r="Z83" s="1085"/>
      <c r="AA83" s="1658"/>
      <c r="AB83" s="1085"/>
      <c r="AC83" s="1085"/>
      <c r="AD83" s="1085"/>
      <c r="AE83" s="1659"/>
      <c r="AF83" s="1658"/>
      <c r="AG83" s="1085"/>
      <c r="AH83" s="1085"/>
      <c r="AI83" s="1085"/>
      <c r="AJ83" s="1085"/>
      <c r="AK83" s="1309"/>
      <c r="AL83" s="1310"/>
      <c r="AM83" s="1085"/>
      <c r="AN83" s="1658"/>
      <c r="AO83" s="1085"/>
      <c r="AP83" s="1085"/>
      <c r="AQ83" s="1309"/>
      <c r="AR83" s="1310"/>
      <c r="AS83" s="1085"/>
      <c r="AT83" s="1085"/>
      <c r="AU83" s="1660"/>
      <c r="AV83" s="1085"/>
      <c r="AW83" s="1085"/>
      <c r="AX83" s="1310"/>
      <c r="AY83" s="1085"/>
      <c r="AZ83" s="1085"/>
      <c r="BA83" s="1085"/>
      <c r="BB83" s="1085"/>
      <c r="BC83" s="1309"/>
      <c r="BD83" s="1310"/>
      <c r="BE83" s="1658"/>
      <c r="BF83" s="1658"/>
      <c r="BG83" s="1085"/>
      <c r="BH83" s="1085"/>
      <c r="BI83" s="1661"/>
      <c r="BJ83" s="1310"/>
      <c r="BK83" s="1085"/>
      <c r="BL83" s="1133"/>
      <c r="BM83" s="1085"/>
      <c r="BN83" s="1085"/>
      <c r="BO83" s="1309"/>
      <c r="BP83" s="1310"/>
      <c r="BQ83" s="1085"/>
      <c r="BR83" s="1309"/>
      <c r="BS83" s="1"/>
    </row>
    <row r="84" spans="1:72" ht="16.8" thickTop="1" thickBot="1" x14ac:dyDescent="0.35">
      <c r="A84" s="99" t="s">
        <v>29</v>
      </c>
      <c r="B84" s="1662" t="s">
        <v>30</v>
      </c>
      <c r="C84" s="222" t="s">
        <v>108</v>
      </c>
      <c r="D84" s="324" t="s">
        <v>2</v>
      </c>
      <c r="E84" s="103" t="s">
        <v>32</v>
      </c>
      <c r="F84" s="104" t="s">
        <v>33</v>
      </c>
      <c r="G84" s="104" t="s">
        <v>34</v>
      </c>
      <c r="H84" s="827" t="s">
        <v>35</v>
      </c>
      <c r="I84" s="824" t="s">
        <v>36</v>
      </c>
      <c r="J84" s="811" t="s">
        <v>37</v>
      </c>
      <c r="K84" s="1663" t="s">
        <v>38</v>
      </c>
      <c r="L84" s="1664" t="s">
        <v>39</v>
      </c>
      <c r="M84" s="1665" t="s">
        <v>40</v>
      </c>
      <c r="N84" s="1664" t="s">
        <v>41</v>
      </c>
      <c r="O84" s="1665" t="s">
        <v>42</v>
      </c>
      <c r="P84" s="1664" t="s">
        <v>43</v>
      </c>
      <c r="Q84" s="1665" t="s">
        <v>44</v>
      </c>
      <c r="R84" s="1664" t="s">
        <v>38</v>
      </c>
      <c r="S84" s="1665" t="s">
        <v>45</v>
      </c>
      <c r="T84" s="1740" t="s">
        <v>462</v>
      </c>
      <c r="U84" s="1739" t="s">
        <v>463</v>
      </c>
      <c r="V84" s="1736" t="s">
        <v>464</v>
      </c>
      <c r="W84" s="1736" t="s">
        <v>465</v>
      </c>
      <c r="X84" s="1737" t="s">
        <v>9</v>
      </c>
      <c r="Y84" s="1737" t="s">
        <v>9</v>
      </c>
      <c r="Z84" s="1666" t="s">
        <v>109</v>
      </c>
      <c r="AA84" s="1666" t="s">
        <v>110</v>
      </c>
      <c r="AB84" s="1667" t="s">
        <v>111</v>
      </c>
      <c r="AC84" s="1667" t="s">
        <v>112</v>
      </c>
      <c r="AD84" s="1668" t="s">
        <v>3</v>
      </c>
      <c r="AE84" s="1669" t="s">
        <v>3</v>
      </c>
      <c r="AF84" s="1666" t="s">
        <v>113</v>
      </c>
      <c r="AG84" s="1667" t="s">
        <v>114</v>
      </c>
      <c r="AH84" s="1666" t="s">
        <v>115</v>
      </c>
      <c r="AI84" s="1667" t="s">
        <v>116</v>
      </c>
      <c r="AJ84" s="1670" t="s">
        <v>51</v>
      </c>
      <c r="AK84" s="1670" t="s">
        <v>51</v>
      </c>
      <c r="AL84" s="1671" t="s">
        <v>117</v>
      </c>
      <c r="AM84" s="1672" t="s">
        <v>118</v>
      </c>
      <c r="AN84" s="1672" t="s">
        <v>119</v>
      </c>
      <c r="AO84" s="1672" t="s">
        <v>120</v>
      </c>
      <c r="AP84" s="1673" t="s">
        <v>55</v>
      </c>
      <c r="AQ84" s="1673" t="s">
        <v>55</v>
      </c>
      <c r="AR84" s="1674" t="s">
        <v>121</v>
      </c>
      <c r="AS84" s="1667" t="s">
        <v>122</v>
      </c>
      <c r="AT84" s="1666" t="s">
        <v>123</v>
      </c>
      <c r="AU84" s="1666" t="s">
        <v>124</v>
      </c>
      <c r="AV84" s="1320" t="s">
        <v>59</v>
      </c>
      <c r="AW84" s="1320" t="s">
        <v>59</v>
      </c>
      <c r="AX84" s="1671" t="s">
        <v>125</v>
      </c>
      <c r="AY84" s="1666" t="s">
        <v>126</v>
      </c>
      <c r="AZ84" s="1667" t="s">
        <v>127</v>
      </c>
      <c r="BA84" s="1675" t="s">
        <v>128</v>
      </c>
      <c r="BB84" s="1673" t="s">
        <v>7</v>
      </c>
      <c r="BC84" s="1676" t="s">
        <v>7</v>
      </c>
      <c r="BD84" s="1666" t="s">
        <v>129</v>
      </c>
      <c r="BE84" s="1667" t="s">
        <v>130</v>
      </c>
      <c r="BF84" s="1667" t="s">
        <v>131</v>
      </c>
      <c r="BG84" s="1677" t="s">
        <v>132</v>
      </c>
      <c r="BH84" s="1318" t="s">
        <v>8</v>
      </c>
      <c r="BI84" s="1678" t="s">
        <v>8</v>
      </c>
      <c r="BJ84" s="1671" t="s">
        <v>133</v>
      </c>
      <c r="BK84" s="1666" t="s">
        <v>134</v>
      </c>
      <c r="BL84" s="1667" t="s">
        <v>135</v>
      </c>
      <c r="BM84" s="1667" t="s">
        <v>136</v>
      </c>
      <c r="BN84" s="1164" t="s">
        <v>9</v>
      </c>
      <c r="BO84" s="1668" t="s">
        <v>9</v>
      </c>
      <c r="BP84" s="1679" t="s">
        <v>70</v>
      </c>
      <c r="BQ84" s="1559" t="s">
        <v>71</v>
      </c>
      <c r="BR84" s="1670" t="s">
        <v>72</v>
      </c>
      <c r="BS84" s="1"/>
    </row>
    <row r="85" spans="1:72" x14ac:dyDescent="0.3">
      <c r="A85" s="1680">
        <v>2627</v>
      </c>
      <c r="B85" s="2030" t="s">
        <v>496</v>
      </c>
      <c r="C85" s="114">
        <v>4</v>
      </c>
      <c r="D85" s="19" t="s">
        <v>12</v>
      </c>
      <c r="E85" s="116">
        <v>0.48</v>
      </c>
      <c r="F85" s="116">
        <f>(BR85/G85)/4</f>
        <v>0</v>
      </c>
      <c r="G85" s="19">
        <v>564</v>
      </c>
      <c r="H85" s="327">
        <f t="shared" ref="H85:H90" si="21">G85*E85</f>
        <v>270.71999999999997</v>
      </c>
      <c r="I85" s="19">
        <v>5000</v>
      </c>
      <c r="J85" s="642"/>
      <c r="K85" s="1682">
        <v>0</v>
      </c>
      <c r="L85" s="1683">
        <f t="shared" ref="L85:S90" si="22">K85-$H85</f>
        <v>-270.71999999999997</v>
      </c>
      <c r="M85" s="1683">
        <f t="shared" si="22"/>
        <v>-541.43999999999994</v>
      </c>
      <c r="N85" s="1168">
        <f t="shared" si="22"/>
        <v>-812.15999999999985</v>
      </c>
      <c r="O85" s="1683">
        <f t="shared" si="22"/>
        <v>-1082.8799999999999</v>
      </c>
      <c r="P85" s="1168">
        <f t="shared" si="22"/>
        <v>-1353.6</v>
      </c>
      <c r="Q85" s="1683">
        <f t="shared" si="22"/>
        <v>-1624.32</v>
      </c>
      <c r="R85" s="1093">
        <f t="shared" si="22"/>
        <v>-1895.04</v>
      </c>
      <c r="S85" s="1834">
        <f t="shared" si="22"/>
        <v>-2165.7599999999998</v>
      </c>
      <c r="T85" s="1841"/>
      <c r="U85" s="1096"/>
      <c r="V85" s="1287"/>
      <c r="W85" s="1096"/>
      <c r="X85" s="1287"/>
      <c r="Y85" s="1898"/>
      <c r="Z85" s="1095"/>
      <c r="AA85" s="1095"/>
      <c r="AB85" s="1096"/>
      <c r="AC85" s="1096"/>
      <c r="AD85" s="1214"/>
      <c r="AE85" s="1215"/>
      <c r="AF85" s="1176"/>
      <c r="AG85" s="1177"/>
      <c r="AH85" s="1684"/>
      <c r="AI85" s="1176"/>
      <c r="AJ85" s="1181"/>
      <c r="AK85" s="1181"/>
      <c r="AL85" s="1182"/>
      <c r="AM85" s="1096"/>
      <c r="AN85" s="1096"/>
      <c r="AO85" s="1097"/>
      <c r="AP85" s="1214"/>
      <c r="AQ85" s="1185"/>
      <c r="AR85" s="1186"/>
      <c r="AS85" s="1177"/>
      <c r="AT85" s="1684"/>
      <c r="AU85" s="1176"/>
      <c r="AV85" s="1180"/>
      <c r="AW85" s="1180"/>
      <c r="AX85" s="1188"/>
      <c r="AY85" s="1095"/>
      <c r="AZ85" s="1096"/>
      <c r="BA85" s="1096"/>
      <c r="BB85" s="1184"/>
      <c r="BC85" s="1181"/>
      <c r="BD85" s="1188"/>
      <c r="BE85" s="1177"/>
      <c r="BF85" s="1177"/>
      <c r="BG85" s="1685"/>
      <c r="BH85" s="1334"/>
      <c r="BI85" s="1181"/>
      <c r="BJ85" s="1188"/>
      <c r="BK85" s="1176"/>
      <c r="BL85" s="1177"/>
      <c r="BM85" s="1177"/>
      <c r="BN85" s="1190"/>
      <c r="BO85" s="1185"/>
      <c r="BP85" s="1686"/>
      <c r="BQ85" s="1687">
        <f>+J85</f>
        <v>0</v>
      </c>
      <c r="BR85" s="1688">
        <f t="shared" ref="BR85:BR90" si="23">(J85+BP85)-BQ85</f>
        <v>0</v>
      </c>
      <c r="BS85" s="1"/>
      <c r="BT85" s="1192">
        <f t="shared" ref="BT85:BT91" si="24">SUM(Z85:BO85)</f>
        <v>0</v>
      </c>
    </row>
    <row r="86" spans="1:72" x14ac:dyDescent="0.3">
      <c r="A86" s="1689">
        <v>2626</v>
      </c>
      <c r="B86" s="2031" t="s">
        <v>497</v>
      </c>
      <c r="C86" s="329">
        <v>5</v>
      </c>
      <c r="D86" s="137" t="s">
        <v>12</v>
      </c>
      <c r="E86" s="136">
        <v>0.94</v>
      </c>
      <c r="F86" s="136">
        <f>(BR86/G86)/7</f>
        <v>0</v>
      </c>
      <c r="G86" s="137">
        <v>560</v>
      </c>
      <c r="H86" s="423">
        <f t="shared" si="21"/>
        <v>526.4</v>
      </c>
      <c r="I86" s="419">
        <v>4000</v>
      </c>
      <c r="J86" s="139"/>
      <c r="K86" s="1342">
        <v>0</v>
      </c>
      <c r="L86" s="1194">
        <f t="shared" si="22"/>
        <v>-526.4</v>
      </c>
      <c r="M86" s="1194">
        <f t="shared" si="22"/>
        <v>-1052.8</v>
      </c>
      <c r="N86" s="1194">
        <f t="shared" si="22"/>
        <v>-1579.1999999999998</v>
      </c>
      <c r="O86" s="1193">
        <f t="shared" si="22"/>
        <v>-2105.6</v>
      </c>
      <c r="P86" s="1194">
        <f t="shared" si="22"/>
        <v>-2632</v>
      </c>
      <c r="Q86" s="1193">
        <f t="shared" si="22"/>
        <v>-3158.4</v>
      </c>
      <c r="R86" s="1691">
        <f t="shared" si="22"/>
        <v>-3684.8</v>
      </c>
      <c r="S86" s="1195">
        <f t="shared" si="22"/>
        <v>-4211.2</v>
      </c>
      <c r="T86" s="1840"/>
      <c r="U86" s="1104"/>
      <c r="V86" s="1195"/>
      <c r="W86" s="1104"/>
      <c r="X86" s="1195"/>
      <c r="Y86" s="1897"/>
      <c r="Z86" s="1103"/>
      <c r="AA86" s="1103"/>
      <c r="AB86" s="1104"/>
      <c r="AC86" s="1104"/>
      <c r="AD86" s="1196"/>
      <c r="AE86" s="1197"/>
      <c r="AF86" s="1198"/>
      <c r="AG86" s="1199"/>
      <c r="AH86" s="1198"/>
      <c r="AI86" s="1198"/>
      <c r="AJ86" s="1203"/>
      <c r="AK86" s="1203"/>
      <c r="AL86" s="1204"/>
      <c r="AM86" s="1104"/>
      <c r="AN86" s="1104"/>
      <c r="AO86" s="1205"/>
      <c r="AP86" s="1196"/>
      <c r="AQ86" s="1207"/>
      <c r="AR86" s="1208"/>
      <c r="AS86" s="1199"/>
      <c r="AT86" s="1198"/>
      <c r="AU86" s="1198"/>
      <c r="AV86" s="1202"/>
      <c r="AW86" s="1202"/>
      <c r="AX86" s="1210"/>
      <c r="AY86" s="1103"/>
      <c r="AZ86" s="1104"/>
      <c r="BA86" s="1104"/>
      <c r="BB86" s="1206"/>
      <c r="BC86" s="1203"/>
      <c r="BD86" s="1210"/>
      <c r="BE86" s="1199"/>
      <c r="BF86" s="1199"/>
      <c r="BG86" s="1692"/>
      <c r="BH86" s="1347"/>
      <c r="BI86" s="1203"/>
      <c r="BJ86" s="1210"/>
      <c r="BK86" s="1198"/>
      <c r="BL86" s="1199"/>
      <c r="BM86" s="1199"/>
      <c r="BN86" s="1211"/>
      <c r="BO86" s="1207"/>
      <c r="BP86" s="1686"/>
      <c r="BQ86" s="1687"/>
      <c r="BR86" s="1688">
        <f t="shared" si="23"/>
        <v>0</v>
      </c>
      <c r="BS86" s="1"/>
      <c r="BT86" s="1192">
        <f t="shared" si="24"/>
        <v>0</v>
      </c>
    </row>
    <row r="87" spans="1:72" x14ac:dyDescent="0.3">
      <c r="A87" s="330">
        <v>2625</v>
      </c>
      <c r="B87" s="1690" t="s">
        <v>498</v>
      </c>
      <c r="C87" s="224">
        <v>6</v>
      </c>
      <c r="D87" s="137" t="s">
        <v>139</v>
      </c>
      <c r="E87" s="136">
        <v>0.94</v>
      </c>
      <c r="F87" s="136">
        <f>(BR87/G87)/7</f>
        <v>0.65692307692307694</v>
      </c>
      <c r="G87" s="156">
        <v>650</v>
      </c>
      <c r="H87" s="423">
        <f t="shared" si="21"/>
        <v>611</v>
      </c>
      <c r="I87" s="419">
        <v>5000</v>
      </c>
      <c r="J87" s="139">
        <v>2989</v>
      </c>
      <c r="K87" s="1342">
        <f>J87-$H87</f>
        <v>2378</v>
      </c>
      <c r="L87" s="1194">
        <f t="shared" si="22"/>
        <v>1767</v>
      </c>
      <c r="M87" s="1193">
        <f t="shared" si="22"/>
        <v>1156</v>
      </c>
      <c r="N87" s="1954">
        <v>3545</v>
      </c>
      <c r="O87" s="1193">
        <f t="shared" si="22"/>
        <v>2934</v>
      </c>
      <c r="P87" s="1194">
        <f t="shared" si="22"/>
        <v>2323</v>
      </c>
      <c r="Q87" s="1194">
        <f t="shared" si="22"/>
        <v>1712</v>
      </c>
      <c r="R87" s="1691">
        <f t="shared" si="22"/>
        <v>1101</v>
      </c>
      <c r="S87" s="1195">
        <f t="shared" si="22"/>
        <v>490</v>
      </c>
      <c r="T87" s="1840"/>
      <c r="U87" s="1104"/>
      <c r="V87" s="1195"/>
      <c r="W87" s="1104"/>
      <c r="X87" s="1195"/>
      <c r="Y87" s="1897"/>
      <c r="Z87" s="1103"/>
      <c r="AA87" s="1103"/>
      <c r="AB87" s="1104"/>
      <c r="AC87" s="1104"/>
      <c r="AD87" s="1196"/>
      <c r="AE87" s="1197"/>
      <c r="AF87" s="1198"/>
      <c r="AG87" s="1199"/>
      <c r="AH87" s="1198"/>
      <c r="AI87" s="1198"/>
      <c r="AJ87" s="1203"/>
      <c r="AK87" s="1203"/>
      <c r="AL87" s="1204"/>
      <c r="AM87" s="1104"/>
      <c r="AN87" s="1104"/>
      <c r="AO87" s="1205"/>
      <c r="AP87" s="1196"/>
      <c r="AQ87" s="1207"/>
      <c r="AR87" s="1208"/>
      <c r="AS87" s="1199"/>
      <c r="AT87" s="1198">
        <v>3000</v>
      </c>
      <c r="AU87" s="1198"/>
      <c r="AV87" s="1202"/>
      <c r="AW87" s="1202"/>
      <c r="AX87" s="1210"/>
      <c r="AY87" s="1103"/>
      <c r="AZ87" s="1104"/>
      <c r="BA87" s="1104"/>
      <c r="BB87" s="1206"/>
      <c r="BC87" s="1203"/>
      <c r="BD87" s="1210"/>
      <c r="BE87" s="1199"/>
      <c r="BF87" s="1199"/>
      <c r="BG87" s="1692"/>
      <c r="BH87" s="1347"/>
      <c r="BI87" s="1203"/>
      <c r="BJ87" s="1210"/>
      <c r="BK87" s="1198"/>
      <c r="BL87" s="1199"/>
      <c r="BM87" s="1199"/>
      <c r="BN87" s="1211"/>
      <c r="BO87" s="1207"/>
      <c r="BP87" s="1686"/>
      <c r="BQ87" s="1687"/>
      <c r="BR87" s="1688">
        <f t="shared" si="23"/>
        <v>2989</v>
      </c>
      <c r="BS87" s="1"/>
      <c r="BT87" s="1192">
        <f t="shared" si="24"/>
        <v>3000</v>
      </c>
    </row>
    <row r="88" spans="1:72" x14ac:dyDescent="0.3">
      <c r="A88" s="330">
        <v>2624</v>
      </c>
      <c r="B88" s="1693" t="s">
        <v>499</v>
      </c>
      <c r="C88" s="224">
        <v>7</v>
      </c>
      <c r="D88" s="137" t="s">
        <v>139</v>
      </c>
      <c r="E88" s="136">
        <v>1</v>
      </c>
      <c r="F88" s="331">
        <f>(BR88/G88)/7</f>
        <v>0.64835164835164838</v>
      </c>
      <c r="G88" s="156">
        <v>650</v>
      </c>
      <c r="H88" s="139">
        <f t="shared" si="21"/>
        <v>650</v>
      </c>
      <c r="I88" s="137">
        <v>5000</v>
      </c>
      <c r="J88" s="139">
        <v>2950</v>
      </c>
      <c r="K88" s="1342">
        <f>J88-$H88</f>
        <v>2300</v>
      </c>
      <c r="L88" s="1194">
        <f t="shared" si="22"/>
        <v>1650</v>
      </c>
      <c r="M88" s="1193">
        <f t="shared" si="22"/>
        <v>1000</v>
      </c>
      <c r="N88" s="1955">
        <v>3350</v>
      </c>
      <c r="O88" s="1193">
        <f t="shared" si="22"/>
        <v>2700</v>
      </c>
      <c r="P88" s="1194">
        <f t="shared" si="22"/>
        <v>2050</v>
      </c>
      <c r="Q88" s="1193">
        <f t="shared" si="22"/>
        <v>1400</v>
      </c>
      <c r="R88" s="1691">
        <f t="shared" si="22"/>
        <v>750</v>
      </c>
      <c r="S88" s="1195">
        <f t="shared" si="22"/>
        <v>100</v>
      </c>
      <c r="T88" s="1840"/>
      <c r="U88" s="1104"/>
      <c r="V88" s="1195"/>
      <c r="W88" s="1104"/>
      <c r="X88" s="1195"/>
      <c r="Y88" s="1897"/>
      <c r="Z88" s="1103"/>
      <c r="AA88" s="1103"/>
      <c r="AB88" s="1104"/>
      <c r="AC88" s="1104"/>
      <c r="AD88" s="1196"/>
      <c r="AE88" s="1197"/>
      <c r="AF88" s="1198"/>
      <c r="AG88" s="1199"/>
      <c r="AH88" s="1198"/>
      <c r="AI88" s="1198"/>
      <c r="AJ88" s="1203"/>
      <c r="AK88" s="1203"/>
      <c r="AL88" s="1204"/>
      <c r="AM88" s="1104"/>
      <c r="AN88" s="1104"/>
      <c r="AO88" s="1205"/>
      <c r="AP88" s="1196"/>
      <c r="AQ88" s="1207"/>
      <c r="AR88" s="1208"/>
      <c r="AS88" s="1199"/>
      <c r="AT88" s="1198">
        <v>3000</v>
      </c>
      <c r="AU88" s="1198"/>
      <c r="AV88" s="1202"/>
      <c r="AW88" s="1202"/>
      <c r="AX88" s="1210"/>
      <c r="AY88" s="1103"/>
      <c r="AZ88" s="1104"/>
      <c r="BA88" s="1104"/>
      <c r="BB88" s="1206"/>
      <c r="BC88" s="1203"/>
      <c r="BD88" s="1210"/>
      <c r="BE88" s="1199"/>
      <c r="BF88" s="1199"/>
      <c r="BG88" s="1692"/>
      <c r="BH88" s="1347"/>
      <c r="BI88" s="1203"/>
      <c r="BJ88" s="1210"/>
      <c r="BK88" s="1198"/>
      <c r="BL88" s="1199"/>
      <c r="BM88" s="1199"/>
      <c r="BN88" s="1211"/>
      <c r="BO88" s="1207"/>
      <c r="BP88" s="1686"/>
      <c r="BQ88" s="1687"/>
      <c r="BR88" s="1688">
        <f t="shared" si="23"/>
        <v>2950</v>
      </c>
      <c r="BS88" s="1"/>
      <c r="BT88" s="1192">
        <f t="shared" si="24"/>
        <v>3000</v>
      </c>
    </row>
    <row r="89" spans="1:72" x14ac:dyDescent="0.3">
      <c r="A89" s="330">
        <v>2623</v>
      </c>
      <c r="B89" s="199" t="s">
        <v>500</v>
      </c>
      <c r="C89" s="224">
        <v>8</v>
      </c>
      <c r="D89" s="137" t="s">
        <v>22</v>
      </c>
      <c r="E89" s="136">
        <v>1.1000000000000001</v>
      </c>
      <c r="F89" s="136">
        <f>(BR89/G89)/7</f>
        <v>0.50219780219780219</v>
      </c>
      <c r="G89" s="156">
        <v>650</v>
      </c>
      <c r="H89" s="139">
        <f t="shared" si="21"/>
        <v>715.00000000000011</v>
      </c>
      <c r="I89" s="137">
        <v>5000</v>
      </c>
      <c r="J89" s="139">
        <v>2285</v>
      </c>
      <c r="K89" s="1194">
        <f>J89-$H89</f>
        <v>1570</v>
      </c>
      <c r="L89" s="1954">
        <v>3855</v>
      </c>
      <c r="M89" s="1193">
        <f t="shared" si="22"/>
        <v>3140</v>
      </c>
      <c r="N89" s="1954">
        <v>3425</v>
      </c>
      <c r="O89" s="1194">
        <f t="shared" si="22"/>
        <v>2710</v>
      </c>
      <c r="P89" s="1194">
        <f t="shared" si="22"/>
        <v>1995</v>
      </c>
      <c r="Q89" s="1193">
        <f t="shared" si="22"/>
        <v>1280</v>
      </c>
      <c r="R89" s="1691">
        <f t="shared" si="22"/>
        <v>564.99999999999989</v>
      </c>
      <c r="S89" s="1195">
        <f t="shared" si="22"/>
        <v>-150.00000000000023</v>
      </c>
      <c r="T89" s="1840"/>
      <c r="U89" s="1104"/>
      <c r="V89" s="1195"/>
      <c r="W89" s="1104"/>
      <c r="X89" s="1195"/>
      <c r="Y89" s="1897"/>
      <c r="Z89" s="1103"/>
      <c r="AA89" s="1103"/>
      <c r="AB89" s="1104"/>
      <c r="AC89" s="1104"/>
      <c r="AD89" s="1196"/>
      <c r="AE89" s="1197"/>
      <c r="AF89" s="1198"/>
      <c r="AG89" s="1199"/>
      <c r="AH89" s="1198"/>
      <c r="AI89" s="1198">
        <v>3000</v>
      </c>
      <c r="AJ89" s="1203"/>
      <c r="AK89" s="1203"/>
      <c r="AL89" s="1204"/>
      <c r="AM89" s="1104"/>
      <c r="AN89" s="1104"/>
      <c r="AO89" s="1205"/>
      <c r="AP89" s="1196"/>
      <c r="AQ89" s="1207"/>
      <c r="AR89" s="1208"/>
      <c r="AS89" s="1199"/>
      <c r="AT89" s="1198"/>
      <c r="AU89" s="1198">
        <v>1000</v>
      </c>
      <c r="AV89" s="1202"/>
      <c r="AW89" s="1202"/>
      <c r="AX89" s="1210"/>
      <c r="AY89" s="1103"/>
      <c r="AZ89" s="1104"/>
      <c r="BA89" s="1104"/>
      <c r="BB89" s="1206"/>
      <c r="BC89" s="1203"/>
      <c r="BD89" s="1210"/>
      <c r="BE89" s="1199"/>
      <c r="BF89" s="1199"/>
      <c r="BG89" s="1692"/>
      <c r="BH89" s="1347"/>
      <c r="BI89" s="1203"/>
      <c r="BJ89" s="1210"/>
      <c r="BK89" s="1198"/>
      <c r="BL89" s="1199"/>
      <c r="BM89" s="1199"/>
      <c r="BN89" s="1211"/>
      <c r="BO89" s="1207"/>
      <c r="BP89" s="1686"/>
      <c r="BQ89" s="1687"/>
      <c r="BR89" s="1688">
        <f t="shared" si="23"/>
        <v>2285</v>
      </c>
      <c r="BS89" s="1"/>
      <c r="BT89" s="1192">
        <f t="shared" si="24"/>
        <v>4000</v>
      </c>
    </row>
    <row r="90" spans="1:72" ht="15" thickBot="1" x14ac:dyDescent="0.35">
      <c r="A90" s="211">
        <v>2622</v>
      </c>
      <c r="B90" s="2032" t="s">
        <v>501</v>
      </c>
      <c r="C90" s="1695">
        <v>9</v>
      </c>
      <c r="D90" s="210" t="s">
        <v>22</v>
      </c>
      <c r="E90" s="204">
        <v>1.2</v>
      </c>
      <c r="F90" s="204">
        <f>(BR90/G90)/7</f>
        <v>0.4879120879120879</v>
      </c>
      <c r="G90" s="156">
        <v>650</v>
      </c>
      <c r="H90" s="839">
        <f t="shared" si="21"/>
        <v>780</v>
      </c>
      <c r="I90" s="210">
        <v>4000</v>
      </c>
      <c r="J90" s="1696">
        <v>2220</v>
      </c>
      <c r="K90" s="1697">
        <f>J90-$H90</f>
        <v>1440</v>
      </c>
      <c r="L90" s="1956">
        <v>3660</v>
      </c>
      <c r="M90" s="1699">
        <f t="shared" si="22"/>
        <v>2880</v>
      </c>
      <c r="N90" s="1956">
        <v>4100</v>
      </c>
      <c r="O90" s="1699">
        <f t="shared" si="22"/>
        <v>3320</v>
      </c>
      <c r="P90" s="1699">
        <f t="shared" si="22"/>
        <v>2540</v>
      </c>
      <c r="Q90" s="1699">
        <f t="shared" si="22"/>
        <v>1760</v>
      </c>
      <c r="R90" s="1292">
        <f t="shared" si="22"/>
        <v>980</v>
      </c>
      <c r="S90" s="1293">
        <f t="shared" si="22"/>
        <v>200</v>
      </c>
      <c r="T90" s="1927"/>
      <c r="U90" s="1812"/>
      <c r="V90" s="1816"/>
      <c r="W90" s="1812"/>
      <c r="X90" s="1816"/>
      <c r="Y90" s="1928"/>
      <c r="Z90" s="1700"/>
      <c r="AA90" s="1700"/>
      <c r="AB90" s="1107"/>
      <c r="AC90" s="1107"/>
      <c r="AD90" s="1701"/>
      <c r="AE90" s="1702"/>
      <c r="AF90" s="1703"/>
      <c r="AG90" s="1704"/>
      <c r="AH90" s="1703"/>
      <c r="AI90" s="1703">
        <v>3000</v>
      </c>
      <c r="AJ90" s="1705"/>
      <c r="AK90" s="1705"/>
      <c r="AL90" s="1706"/>
      <c r="AM90" s="1107"/>
      <c r="AN90" s="1107"/>
      <c r="AO90" s="1707"/>
      <c r="AP90" s="1701"/>
      <c r="AQ90" s="1708"/>
      <c r="AR90" s="1709"/>
      <c r="AS90" s="1704"/>
      <c r="AT90" s="1703"/>
      <c r="AU90" s="1703">
        <v>2000</v>
      </c>
      <c r="AV90" s="1710"/>
      <c r="AW90" s="1710"/>
      <c r="AX90" s="1711"/>
      <c r="AY90" s="1700"/>
      <c r="AZ90" s="1107"/>
      <c r="BA90" s="1107"/>
      <c r="BB90" s="1712"/>
      <c r="BC90" s="1705"/>
      <c r="BD90" s="1711"/>
      <c r="BE90" s="1704"/>
      <c r="BF90" s="1704"/>
      <c r="BG90" s="1713"/>
      <c r="BH90" s="1714"/>
      <c r="BI90" s="1231"/>
      <c r="BJ90" s="1711"/>
      <c r="BK90" s="1703"/>
      <c r="BL90" s="1704"/>
      <c r="BM90" s="1704"/>
      <c r="BN90" s="1715"/>
      <c r="BO90" s="1708"/>
      <c r="BP90" s="1716"/>
      <c r="BQ90" s="1307"/>
      <c r="BR90" s="1717">
        <f t="shared" si="23"/>
        <v>2220</v>
      </c>
      <c r="BS90" s="1"/>
      <c r="BT90" s="1192">
        <f t="shared" si="24"/>
        <v>5000</v>
      </c>
    </row>
    <row r="91" spans="1:72" ht="15" thickBot="1" x14ac:dyDescent="0.35">
      <c r="A91" s="308"/>
      <c r="B91" s="308"/>
      <c r="C91" s="337"/>
      <c r="D91" s="338"/>
      <c r="E91" s="339"/>
      <c r="F91" s="339"/>
      <c r="G91" s="339"/>
      <c r="H91" s="339"/>
      <c r="I91" s="339"/>
      <c r="J91" s="339"/>
      <c r="K91" s="339"/>
      <c r="L91" s="1718"/>
      <c r="M91" s="1718"/>
      <c r="N91" s="1718"/>
      <c r="O91" s="1718"/>
      <c r="P91" s="1718"/>
      <c r="Q91" s="1718"/>
      <c r="R91" s="1719"/>
      <c r="S91" s="1719"/>
      <c r="T91" s="1723"/>
      <c r="U91" s="1719"/>
      <c r="V91" s="1719"/>
      <c r="W91" s="1719"/>
      <c r="X91" s="1719"/>
      <c r="Y91" s="1867"/>
      <c r="Z91" s="1719">
        <f t="shared" ref="Z91:BQ91" si="25">SUM(Z85:Z90)</f>
        <v>0</v>
      </c>
      <c r="AA91" s="1719">
        <f t="shared" si="25"/>
        <v>0</v>
      </c>
      <c r="AB91" s="1719">
        <f t="shared" si="25"/>
        <v>0</v>
      </c>
      <c r="AC91" s="1719">
        <f t="shared" si="25"/>
        <v>0</v>
      </c>
      <c r="AD91" s="1719">
        <f t="shared" si="25"/>
        <v>0</v>
      </c>
      <c r="AE91" s="1720">
        <f t="shared" si="25"/>
        <v>0</v>
      </c>
      <c r="AF91" s="1721">
        <f t="shared" si="25"/>
        <v>0</v>
      </c>
      <c r="AG91" s="1721">
        <f t="shared" si="25"/>
        <v>0</v>
      </c>
      <c r="AH91" s="1721">
        <f t="shared" si="25"/>
        <v>0</v>
      </c>
      <c r="AI91" s="1721">
        <f t="shared" si="25"/>
        <v>6000</v>
      </c>
      <c r="AJ91" s="1721">
        <f t="shared" si="25"/>
        <v>0</v>
      </c>
      <c r="AK91" s="1722">
        <f t="shared" si="25"/>
        <v>0</v>
      </c>
      <c r="AL91" s="1723">
        <f t="shared" si="25"/>
        <v>0</v>
      </c>
      <c r="AM91" s="1719">
        <f t="shared" si="25"/>
        <v>0</v>
      </c>
      <c r="AN91" s="1719">
        <f t="shared" si="25"/>
        <v>0</v>
      </c>
      <c r="AO91" s="1719">
        <f t="shared" si="25"/>
        <v>0</v>
      </c>
      <c r="AP91" s="1719">
        <f t="shared" si="25"/>
        <v>0</v>
      </c>
      <c r="AQ91" s="1722">
        <f t="shared" si="25"/>
        <v>0</v>
      </c>
      <c r="AR91" s="1724">
        <f t="shared" si="25"/>
        <v>0</v>
      </c>
      <c r="AS91" s="1725">
        <f t="shared" si="25"/>
        <v>0</v>
      </c>
      <c r="AT91" s="1721">
        <f t="shared" si="25"/>
        <v>6000</v>
      </c>
      <c r="AU91" s="1721">
        <f t="shared" si="25"/>
        <v>3000</v>
      </c>
      <c r="AV91" s="1721">
        <f t="shared" si="25"/>
        <v>0</v>
      </c>
      <c r="AW91" s="1721">
        <f t="shared" si="25"/>
        <v>0</v>
      </c>
      <c r="AX91" s="1724">
        <f t="shared" si="25"/>
        <v>0</v>
      </c>
      <c r="AY91" s="1719">
        <f t="shared" si="25"/>
        <v>0</v>
      </c>
      <c r="AZ91" s="1719">
        <f t="shared" si="25"/>
        <v>0</v>
      </c>
      <c r="BA91" s="1719">
        <f t="shared" si="25"/>
        <v>0</v>
      </c>
      <c r="BB91" s="1719">
        <f t="shared" si="25"/>
        <v>0</v>
      </c>
      <c r="BC91" s="1722">
        <f t="shared" si="25"/>
        <v>0</v>
      </c>
      <c r="BD91" s="1724">
        <f t="shared" si="25"/>
        <v>0</v>
      </c>
      <c r="BE91" s="1721">
        <f t="shared" si="25"/>
        <v>0</v>
      </c>
      <c r="BF91" s="1721">
        <f t="shared" si="25"/>
        <v>0</v>
      </c>
      <c r="BG91" s="1721">
        <f t="shared" si="25"/>
        <v>0</v>
      </c>
      <c r="BH91" s="1721">
        <f t="shared" si="25"/>
        <v>0</v>
      </c>
      <c r="BI91" s="1726">
        <f t="shared" si="25"/>
        <v>0</v>
      </c>
      <c r="BJ91" s="1724">
        <f t="shared" si="25"/>
        <v>0</v>
      </c>
      <c r="BK91" s="1721">
        <f t="shared" si="25"/>
        <v>0</v>
      </c>
      <c r="BL91" s="1721">
        <f t="shared" si="25"/>
        <v>0</v>
      </c>
      <c r="BM91" s="1721">
        <f t="shared" si="25"/>
        <v>0</v>
      </c>
      <c r="BN91" s="1721">
        <f t="shared" si="25"/>
        <v>0</v>
      </c>
      <c r="BO91" s="1722">
        <f t="shared" si="25"/>
        <v>0</v>
      </c>
      <c r="BP91" s="1724">
        <f t="shared" si="25"/>
        <v>0</v>
      </c>
      <c r="BQ91" s="1721">
        <f t="shared" si="25"/>
        <v>0</v>
      </c>
      <c r="BR91" s="1722"/>
      <c r="BS91" s="1085">
        <f>SUM(Z91:BR91)</f>
        <v>15000</v>
      </c>
      <c r="BT91" s="1192">
        <f t="shared" si="24"/>
        <v>15000</v>
      </c>
    </row>
    <row r="92" spans="1:72" ht="16.8" thickTop="1" thickBot="1" x14ac:dyDescent="0.35">
      <c r="A92" s="340" t="s">
        <v>143</v>
      </c>
      <c r="B92" s="341"/>
      <c r="C92" s="342"/>
      <c r="D92" s="308"/>
      <c r="E92" s="308"/>
      <c r="F92" s="308"/>
      <c r="G92" s="308"/>
      <c r="H92" s="308"/>
      <c r="I92" s="308"/>
      <c r="J92" s="308"/>
      <c r="K92" s="308"/>
      <c r="L92" s="1721"/>
      <c r="M92" s="1721"/>
      <c r="N92" s="1721"/>
      <c r="O92" s="1721"/>
      <c r="P92" s="1721"/>
      <c r="Q92" s="1721"/>
      <c r="R92" s="1721"/>
      <c r="S92" s="1721"/>
      <c r="T92" s="1724"/>
      <c r="U92" s="1721"/>
      <c r="V92" s="1721"/>
      <c r="W92" s="1721"/>
      <c r="X92" s="1721"/>
      <c r="Y92" s="1722"/>
      <c r="Z92" s="1721"/>
      <c r="AA92" s="1721"/>
      <c r="AB92" s="1721"/>
      <c r="AC92" s="1721"/>
      <c r="AD92" s="1721"/>
      <c r="AE92" s="1727"/>
      <c r="AF92" s="1721"/>
      <c r="AG92" s="1721"/>
      <c r="AH92" s="1721"/>
      <c r="AI92" s="1721"/>
      <c r="AJ92" s="1721"/>
      <c r="AK92" s="1722"/>
      <c r="AL92" s="1724"/>
      <c r="AM92" s="1721"/>
      <c r="AN92" s="1721"/>
      <c r="AO92" s="1728"/>
      <c r="AP92" s="1721"/>
      <c r="AQ92" s="1722"/>
      <c r="AR92" s="1724"/>
      <c r="AS92" s="1728"/>
      <c r="AT92" s="1721"/>
      <c r="AU92" s="1721"/>
      <c r="AV92" s="1721"/>
      <c r="AW92" s="1721"/>
      <c r="AX92" s="1724"/>
      <c r="AY92" s="1721"/>
      <c r="AZ92" s="1721"/>
      <c r="BA92" s="1721"/>
      <c r="BB92" s="1721"/>
      <c r="BC92" s="1722"/>
      <c r="BD92" s="1724"/>
      <c r="BE92" s="1721"/>
      <c r="BF92" s="1721"/>
      <c r="BG92" s="1721"/>
      <c r="BH92" s="1721"/>
      <c r="BI92" s="1722"/>
      <c r="BJ92" s="1724"/>
      <c r="BK92" s="1729"/>
      <c r="BL92" s="1730"/>
      <c r="BM92" s="1729"/>
      <c r="BN92" s="1731"/>
      <c r="BO92" s="1732"/>
      <c r="BP92" s="1724"/>
      <c r="BQ92" s="1721"/>
      <c r="BR92" s="1722"/>
      <c r="BS92" s="1"/>
    </row>
    <row r="93" spans="1:72" ht="16.8" thickTop="1" thickBot="1" x14ac:dyDescent="0.35">
      <c r="A93" s="347" t="s">
        <v>29</v>
      </c>
      <c r="B93" s="348" t="s">
        <v>30</v>
      </c>
      <c r="C93" s="349" t="s">
        <v>144</v>
      </c>
      <c r="D93" s="349" t="s">
        <v>2</v>
      </c>
      <c r="E93" s="350" t="s">
        <v>32</v>
      </c>
      <c r="F93" s="350" t="s">
        <v>33</v>
      </c>
      <c r="G93" s="349" t="s">
        <v>34</v>
      </c>
      <c r="H93" s="796" t="s">
        <v>35</v>
      </c>
      <c r="I93" s="349" t="s">
        <v>36</v>
      </c>
      <c r="J93" s="811" t="s">
        <v>37</v>
      </c>
      <c r="K93" s="2033" t="s">
        <v>38</v>
      </c>
      <c r="L93" s="1734" t="s">
        <v>39</v>
      </c>
      <c r="M93" s="1734" t="s">
        <v>40</v>
      </c>
      <c r="N93" s="1734" t="s">
        <v>41</v>
      </c>
      <c r="O93" s="1734" t="s">
        <v>42</v>
      </c>
      <c r="P93" s="1734" t="s">
        <v>43</v>
      </c>
      <c r="Q93" s="1735" t="s">
        <v>44</v>
      </c>
      <c r="R93" s="1734" t="s">
        <v>38</v>
      </c>
      <c r="S93" s="1735" t="s">
        <v>45</v>
      </c>
      <c r="T93" s="1740" t="s">
        <v>136</v>
      </c>
      <c r="U93" s="1736" t="s">
        <v>466</v>
      </c>
      <c r="V93" s="1736" t="s">
        <v>467</v>
      </c>
      <c r="W93" s="1736" t="s">
        <v>468</v>
      </c>
      <c r="X93" s="1737" t="s">
        <v>469</v>
      </c>
      <c r="Y93" s="1737" t="s">
        <v>9</v>
      </c>
      <c r="Z93" s="1739" t="s">
        <v>145</v>
      </c>
      <c r="AA93" s="1736" t="s">
        <v>146</v>
      </c>
      <c r="AB93" s="1736" t="s">
        <v>147</v>
      </c>
      <c r="AC93" s="1736" t="s">
        <v>148</v>
      </c>
      <c r="AD93" s="1737" t="s">
        <v>149</v>
      </c>
      <c r="AE93" s="1738" t="s">
        <v>307</v>
      </c>
      <c r="AF93" s="1739" t="s">
        <v>150</v>
      </c>
      <c r="AG93" s="1736" t="s">
        <v>151</v>
      </c>
      <c r="AH93" s="1736" t="s">
        <v>152</v>
      </c>
      <c r="AI93" s="1736" t="s">
        <v>153</v>
      </c>
      <c r="AJ93" s="1737" t="s">
        <v>154</v>
      </c>
      <c r="AK93" s="1737" t="s">
        <v>316</v>
      </c>
      <c r="AL93" s="1740" t="s">
        <v>155</v>
      </c>
      <c r="AM93" s="1741" t="s">
        <v>156</v>
      </c>
      <c r="AN93" s="1742" t="s">
        <v>157</v>
      </c>
      <c r="AO93" s="1736" t="s">
        <v>158</v>
      </c>
      <c r="AP93" s="1743" t="s">
        <v>159</v>
      </c>
      <c r="AQ93" s="1743" t="s">
        <v>5</v>
      </c>
      <c r="AR93" s="1740" t="s">
        <v>124</v>
      </c>
      <c r="AS93" s="1739" t="s">
        <v>160</v>
      </c>
      <c r="AT93" s="1736" t="s">
        <v>161</v>
      </c>
      <c r="AU93" s="1736" t="s">
        <v>162</v>
      </c>
      <c r="AV93" s="1320" t="s">
        <v>323</v>
      </c>
      <c r="AW93" s="1320" t="s">
        <v>59</v>
      </c>
      <c r="AX93" s="1740" t="s">
        <v>164</v>
      </c>
      <c r="AY93" s="1739" t="s">
        <v>165</v>
      </c>
      <c r="AZ93" s="1736" t="s">
        <v>166</v>
      </c>
      <c r="BA93" s="1742" t="s">
        <v>167</v>
      </c>
      <c r="BB93" s="1559" t="s">
        <v>330</v>
      </c>
      <c r="BC93" s="1743" t="s">
        <v>63</v>
      </c>
      <c r="BD93" s="1740" t="s">
        <v>132</v>
      </c>
      <c r="BE93" s="1736" t="s">
        <v>169</v>
      </c>
      <c r="BF93" s="1736" t="s">
        <v>170</v>
      </c>
      <c r="BG93" s="1736" t="s">
        <v>171</v>
      </c>
      <c r="BH93" s="1737" t="s">
        <v>172</v>
      </c>
      <c r="BI93" s="1737" t="s">
        <v>8</v>
      </c>
      <c r="BJ93" s="1740" t="s">
        <v>136</v>
      </c>
      <c r="BK93" s="1739" t="s">
        <v>173</v>
      </c>
      <c r="BL93" s="1739" t="s">
        <v>174</v>
      </c>
      <c r="BM93" s="1739" t="s">
        <v>175</v>
      </c>
      <c r="BN93" s="1164" t="s">
        <v>176</v>
      </c>
      <c r="BO93" s="1743" t="s">
        <v>9</v>
      </c>
      <c r="BP93" s="1740" t="s">
        <v>70</v>
      </c>
      <c r="BQ93" s="1736" t="s">
        <v>71</v>
      </c>
      <c r="BR93" s="1737" t="s">
        <v>72</v>
      </c>
      <c r="BS93" s="1"/>
    </row>
    <row r="94" spans="1:72" ht="16.2" thickTop="1" x14ac:dyDescent="0.3">
      <c r="A94" s="159">
        <v>2624</v>
      </c>
      <c r="B94" s="360" t="s">
        <v>370</v>
      </c>
      <c r="C94" s="361" t="s">
        <v>177</v>
      </c>
      <c r="D94" s="362" t="s">
        <v>22</v>
      </c>
      <c r="E94" s="363">
        <v>1.6</v>
      </c>
      <c r="F94" s="364">
        <f>(BR94/G94)/7</f>
        <v>0.50029154518950436</v>
      </c>
      <c r="G94" s="362">
        <v>392</v>
      </c>
      <c r="H94" s="840">
        <f t="shared" ref="H94:H136" si="26">G94*E94</f>
        <v>627.20000000000005</v>
      </c>
      <c r="I94" s="362">
        <v>7000</v>
      </c>
      <c r="J94" s="2034">
        <v>1372.8</v>
      </c>
      <c r="K94" s="1168">
        <f t="shared" ref="K94:R133" si="27">J94-$H94</f>
        <v>745.59999999999991</v>
      </c>
      <c r="L94" s="1957">
        <v>3118</v>
      </c>
      <c r="M94" s="1168">
        <f t="shared" ref="L94:S109" si="28">L94-$H94</f>
        <v>2490.8000000000002</v>
      </c>
      <c r="N94" s="1957">
        <v>6864</v>
      </c>
      <c r="O94" s="1168">
        <f>N94-$H94</f>
        <v>6236.8</v>
      </c>
      <c r="P94" s="1168">
        <f>O94-$H94</f>
        <v>5609.6</v>
      </c>
      <c r="Q94" s="1168">
        <f>P94-$H94</f>
        <v>4982.4000000000005</v>
      </c>
      <c r="R94" s="1168">
        <f>Q94-$H94</f>
        <v>4355.2000000000007</v>
      </c>
      <c r="S94" s="1682">
        <f>R94-$H94</f>
        <v>3728.0000000000009</v>
      </c>
      <c r="T94" s="1847"/>
      <c r="U94" s="1183"/>
      <c r="V94" s="1273"/>
      <c r="W94" s="1183"/>
      <c r="X94" s="1273"/>
      <c r="Y94" s="1902"/>
      <c r="Z94" s="1095"/>
      <c r="AA94" s="1177"/>
      <c r="AB94" s="1177"/>
      <c r="AC94" s="1096"/>
      <c r="AD94" s="1097"/>
      <c r="AE94" s="1215"/>
      <c r="AF94" s="1187">
        <v>3000</v>
      </c>
      <c r="AG94" s="1183"/>
      <c r="AH94" s="1183"/>
      <c r="AI94" s="1183"/>
      <c r="AJ94" s="1744"/>
      <c r="AK94" s="1745"/>
      <c r="AL94" s="1746"/>
      <c r="AM94" s="1747"/>
      <c r="AN94" s="1747"/>
      <c r="AO94" s="1187"/>
      <c r="AP94" s="1273"/>
      <c r="AQ94" s="1748"/>
      <c r="AR94" s="1746">
        <v>5000</v>
      </c>
      <c r="AS94" s="1187"/>
      <c r="AT94" s="1183"/>
      <c r="AU94" s="1183"/>
      <c r="AV94" s="1744"/>
      <c r="AW94" s="1214"/>
      <c r="AX94" s="1746"/>
      <c r="AY94" s="1747"/>
      <c r="AZ94" s="1747"/>
      <c r="BA94" s="1187"/>
      <c r="BB94" s="1273"/>
      <c r="BC94" s="1745"/>
      <c r="BD94" s="1746"/>
      <c r="BE94" s="1183"/>
      <c r="BF94" s="1183"/>
      <c r="BG94" s="1183"/>
      <c r="BH94" s="1273"/>
      <c r="BI94" s="1748"/>
      <c r="BJ94" s="1746"/>
      <c r="BK94" s="1183"/>
      <c r="BL94" s="1183"/>
      <c r="BM94" s="1744"/>
      <c r="BN94" s="1744"/>
      <c r="BO94" s="1745"/>
      <c r="BP94" s="1749"/>
      <c r="BQ94" s="1750"/>
      <c r="BR94" s="1751">
        <f t="shared" ref="BR94:BR136" si="29">(J94+BP94)-BQ94</f>
        <v>1372.8</v>
      </c>
      <c r="BT94" s="1192">
        <f t="shared" ref="BT94:BT136" si="30">SUM(Z94:BO94)</f>
        <v>8000</v>
      </c>
    </row>
    <row r="95" spans="1:72" ht="15.6" x14ac:dyDescent="0.3">
      <c r="A95" s="129"/>
      <c r="B95" s="360" t="s">
        <v>376</v>
      </c>
      <c r="C95" s="361" t="s">
        <v>178</v>
      </c>
      <c r="D95" s="362" t="s">
        <v>22</v>
      </c>
      <c r="E95" s="363">
        <v>1.6</v>
      </c>
      <c r="F95" s="364"/>
      <c r="G95" s="362">
        <v>258</v>
      </c>
      <c r="H95" s="840">
        <f t="shared" si="26"/>
        <v>412.8</v>
      </c>
      <c r="I95" s="375">
        <v>5000</v>
      </c>
      <c r="J95" s="2034">
        <v>1587.2</v>
      </c>
      <c r="K95" s="1560">
        <f t="shared" si="27"/>
        <v>1174.4000000000001</v>
      </c>
      <c r="L95" s="2018">
        <v>3762</v>
      </c>
      <c r="M95" s="1274">
        <f t="shared" si="28"/>
        <v>3349.2</v>
      </c>
      <c r="N95" s="2018">
        <v>3936</v>
      </c>
      <c r="O95" s="1274">
        <f t="shared" si="28"/>
        <v>3523.2</v>
      </c>
      <c r="P95" s="1273">
        <f t="shared" si="28"/>
        <v>3110.3999999999996</v>
      </c>
      <c r="Q95" s="1274">
        <f t="shared" si="28"/>
        <v>2697.5999999999995</v>
      </c>
      <c r="R95" s="1273">
        <f t="shared" si="28"/>
        <v>2284.7999999999993</v>
      </c>
      <c r="S95" s="1565">
        <f>(R95-$H95)+BG95</f>
        <v>1871.9999999999993</v>
      </c>
      <c r="T95" s="1847"/>
      <c r="U95" s="1183"/>
      <c r="V95" s="1273"/>
      <c r="W95" s="1183"/>
      <c r="X95" s="1273"/>
      <c r="Y95" s="1902"/>
      <c r="Z95" s="1095"/>
      <c r="AA95" s="1176"/>
      <c r="AB95" s="1176"/>
      <c r="AC95" s="1095"/>
      <c r="AD95" s="1287"/>
      <c r="AE95" s="1215"/>
      <c r="AF95" s="1095">
        <v>3000</v>
      </c>
      <c r="AG95" s="1095"/>
      <c r="AH95" s="1095"/>
      <c r="AI95" s="1095"/>
      <c r="AJ95" s="1287"/>
      <c r="AK95" s="1745"/>
      <c r="AL95" s="1216"/>
      <c r="AM95" s="1095"/>
      <c r="AN95" s="1095"/>
      <c r="AO95" s="1095"/>
      <c r="AP95" s="1287"/>
      <c r="AQ95" s="1748"/>
      <c r="AR95" s="1216">
        <v>1000</v>
      </c>
      <c r="AS95" s="1095"/>
      <c r="AT95" s="1096"/>
      <c r="AU95" s="1096"/>
      <c r="AV95" s="1097"/>
      <c r="AW95" s="1214"/>
      <c r="AX95" s="1746"/>
      <c r="AY95" s="1187"/>
      <c r="AZ95" s="1187"/>
      <c r="BA95" s="1187"/>
      <c r="BB95" s="1273"/>
      <c r="BC95" s="1745"/>
      <c r="BD95" s="1216"/>
      <c r="BE95" s="1096"/>
      <c r="BF95" s="1096"/>
      <c r="BG95" s="1096"/>
      <c r="BH95" s="1287"/>
      <c r="BI95" s="1748"/>
      <c r="BJ95" s="1216"/>
      <c r="BK95" s="1096"/>
      <c r="BL95" s="1096"/>
      <c r="BM95" s="1097"/>
      <c r="BN95" s="1097"/>
      <c r="BO95" s="1745"/>
      <c r="BP95" s="1752"/>
      <c r="BQ95" s="1753"/>
      <c r="BR95" s="1754">
        <f t="shared" si="29"/>
        <v>1587.2</v>
      </c>
      <c r="BS95" s="1"/>
      <c r="BT95" s="1192">
        <f t="shared" si="30"/>
        <v>4000</v>
      </c>
    </row>
    <row r="96" spans="1:72" ht="16.2" thickBot="1" x14ac:dyDescent="0.35">
      <c r="A96" s="380"/>
      <c r="B96" s="381"/>
      <c r="C96" s="382" t="s">
        <v>179</v>
      </c>
      <c r="D96" s="362" t="s">
        <v>22</v>
      </c>
      <c r="E96" s="383">
        <v>1.6</v>
      </c>
      <c r="F96" s="384"/>
      <c r="G96" s="385"/>
      <c r="H96" s="840">
        <f t="shared" si="26"/>
        <v>0</v>
      </c>
      <c r="I96" s="406"/>
      <c r="J96" s="385"/>
      <c r="K96" s="1588">
        <f t="shared" si="27"/>
        <v>0</v>
      </c>
      <c r="L96" s="1590">
        <f t="shared" si="28"/>
        <v>0</v>
      </c>
      <c r="M96" s="1589">
        <f t="shared" si="28"/>
        <v>0</v>
      </c>
      <c r="N96" s="1590">
        <f t="shared" si="28"/>
        <v>0</v>
      </c>
      <c r="O96" s="1589">
        <f t="shared" si="28"/>
        <v>0</v>
      </c>
      <c r="P96" s="1590">
        <f t="shared" si="28"/>
        <v>0</v>
      </c>
      <c r="Q96" s="1589">
        <f t="shared" si="28"/>
        <v>0</v>
      </c>
      <c r="R96" s="1590">
        <f t="shared" si="28"/>
        <v>0</v>
      </c>
      <c r="S96" s="1596">
        <f>(R96-$H96)+BG96</f>
        <v>0</v>
      </c>
      <c r="T96" s="1848"/>
      <c r="U96" s="1885"/>
      <c r="V96" s="1222"/>
      <c r="W96" s="1885"/>
      <c r="X96" s="1222"/>
      <c r="Y96" s="1923"/>
      <c r="Z96" s="1451"/>
      <c r="AA96" s="1356"/>
      <c r="AB96" s="1356"/>
      <c r="AC96" s="1451"/>
      <c r="AD96" s="1224"/>
      <c r="AE96" s="1755"/>
      <c r="AF96" s="1451"/>
      <c r="AG96" s="1451"/>
      <c r="AH96" s="1451"/>
      <c r="AI96" s="1451"/>
      <c r="AJ96" s="1224"/>
      <c r="AK96" s="1756"/>
      <c r="AL96" s="1361"/>
      <c r="AM96" s="1451"/>
      <c r="AN96" s="1451"/>
      <c r="AO96" s="1451"/>
      <c r="AP96" s="1224"/>
      <c r="AQ96" s="1757"/>
      <c r="AR96" s="1361"/>
      <c r="AS96" s="1451"/>
      <c r="AT96" s="1362"/>
      <c r="AU96" s="1362"/>
      <c r="AV96" s="1369"/>
      <c r="AW96" s="1758"/>
      <c r="AX96" s="1907"/>
      <c r="AY96" s="2035"/>
      <c r="AZ96" s="2035"/>
      <c r="BA96" s="2035"/>
      <c r="BB96" s="1222"/>
      <c r="BC96" s="1756"/>
      <c r="BD96" s="1361"/>
      <c r="BE96" s="1362"/>
      <c r="BF96" s="1362"/>
      <c r="BG96" s="1362"/>
      <c r="BH96" s="1224"/>
      <c r="BI96" s="1757"/>
      <c r="BJ96" s="1361"/>
      <c r="BK96" s="1362"/>
      <c r="BL96" s="1362"/>
      <c r="BM96" s="1369"/>
      <c r="BN96" s="1369"/>
      <c r="BO96" s="1756"/>
      <c r="BP96" s="1365"/>
      <c r="BQ96" s="1357"/>
      <c r="BR96" s="1759">
        <f t="shared" si="29"/>
        <v>0</v>
      </c>
      <c r="BS96" s="1"/>
      <c r="BT96" s="1192">
        <f t="shared" si="30"/>
        <v>0</v>
      </c>
    </row>
    <row r="97" spans="1:72" ht="15.6" x14ac:dyDescent="0.3">
      <c r="A97" s="19">
        <v>2623</v>
      </c>
      <c r="B97" s="390" t="s">
        <v>502</v>
      </c>
      <c r="C97" s="391" t="s">
        <v>180</v>
      </c>
      <c r="D97" s="392" t="s">
        <v>22</v>
      </c>
      <c r="E97" s="393">
        <v>1.7</v>
      </c>
      <c r="F97" s="364">
        <f>(BR97/G97)/7</f>
        <v>2.9154518950437316</v>
      </c>
      <c r="G97" s="392">
        <v>392</v>
      </c>
      <c r="H97" s="841">
        <f t="shared" si="26"/>
        <v>666.4</v>
      </c>
      <c r="I97" s="362">
        <v>7000</v>
      </c>
      <c r="J97" s="392">
        <v>3033.6</v>
      </c>
      <c r="K97" s="1560">
        <f t="shared" si="27"/>
        <v>2367.1999999999998</v>
      </c>
      <c r="L97" s="1963">
        <v>4701</v>
      </c>
      <c r="M97" s="1274">
        <f t="shared" si="28"/>
        <v>4034.6</v>
      </c>
      <c r="N97" s="1963">
        <v>4368</v>
      </c>
      <c r="O97" s="1274">
        <f>N97-$H97</f>
        <v>3701.6</v>
      </c>
      <c r="P97" s="1274">
        <f>O97-$H97</f>
        <v>3035.2</v>
      </c>
      <c r="Q97" s="1274">
        <f>P97-$H97</f>
        <v>2368.7999999999997</v>
      </c>
      <c r="R97" s="1274">
        <f>Q97-$H97</f>
        <v>1702.3999999999996</v>
      </c>
      <c r="S97" s="1565">
        <f>R97-$H97</f>
        <v>1035.9999999999995</v>
      </c>
      <c r="T97" s="1847"/>
      <c r="U97" s="1183"/>
      <c r="V97" s="1273"/>
      <c r="W97" s="1183"/>
      <c r="X97" s="1273"/>
      <c r="Y97" s="1902"/>
      <c r="Z97" s="1760"/>
      <c r="AA97" s="1760"/>
      <c r="AB97" s="1760"/>
      <c r="AC97" s="1760"/>
      <c r="AD97" s="1244"/>
      <c r="AE97" s="1761"/>
      <c r="AF97" s="1760">
        <v>3000</v>
      </c>
      <c r="AG97" s="1760"/>
      <c r="AH97" s="1760"/>
      <c r="AI97" s="1760"/>
      <c r="AJ97" s="1244"/>
      <c r="AK97" s="1762"/>
      <c r="AL97" s="1382"/>
      <c r="AM97" s="1760"/>
      <c r="AN97" s="1760"/>
      <c r="AO97" s="1760"/>
      <c r="AP97" s="1244"/>
      <c r="AQ97" s="1763"/>
      <c r="AR97" s="1382"/>
      <c r="AS97" s="1760">
        <v>1000</v>
      </c>
      <c r="AT97" s="1376"/>
      <c r="AU97" s="1376"/>
      <c r="AV97" s="1386"/>
      <c r="AW97" s="1764"/>
      <c r="AX97" s="1791"/>
      <c r="AY97" s="1789"/>
      <c r="AZ97" s="1789"/>
      <c r="BA97" s="1789"/>
      <c r="BB97" s="1242"/>
      <c r="BC97" s="1762"/>
      <c r="BD97" s="1382"/>
      <c r="BE97" s="1376"/>
      <c r="BF97" s="1376"/>
      <c r="BG97" s="1376"/>
      <c r="BH97" s="1244"/>
      <c r="BI97" s="1763"/>
      <c r="BJ97" s="1382"/>
      <c r="BK97" s="1376"/>
      <c r="BL97" s="1376"/>
      <c r="BM97" s="1386"/>
      <c r="BN97" s="1386"/>
      <c r="BO97" s="1762"/>
      <c r="BP97" s="1765">
        <v>8000</v>
      </c>
      <c r="BQ97" s="1766">
        <f>J97</f>
        <v>3033.6</v>
      </c>
      <c r="BR97" s="1767">
        <f t="shared" si="29"/>
        <v>8000</v>
      </c>
      <c r="BS97" s="1"/>
      <c r="BT97" s="1192">
        <f t="shared" si="30"/>
        <v>4000</v>
      </c>
    </row>
    <row r="98" spans="1:72" ht="15.6" x14ac:dyDescent="0.3">
      <c r="A98" s="165"/>
      <c r="B98" s="377" t="s">
        <v>377</v>
      </c>
      <c r="C98" s="398" t="s">
        <v>181</v>
      </c>
      <c r="D98" s="375" t="s">
        <v>22</v>
      </c>
      <c r="E98" s="399">
        <v>1.7</v>
      </c>
      <c r="F98" s="400"/>
      <c r="G98" s="362">
        <v>258</v>
      </c>
      <c r="H98" s="842">
        <f t="shared" si="26"/>
        <v>438.59999999999997</v>
      </c>
      <c r="I98" s="375">
        <v>5000</v>
      </c>
      <c r="J98" s="362">
        <v>3061.4</v>
      </c>
      <c r="K98" s="1560">
        <f t="shared" si="27"/>
        <v>2622.8</v>
      </c>
      <c r="L98" s="1273">
        <f t="shared" si="28"/>
        <v>2184.2000000000003</v>
      </c>
      <c r="M98" s="1274">
        <f t="shared" si="28"/>
        <v>1745.6000000000004</v>
      </c>
      <c r="N98" s="2018">
        <v>3307</v>
      </c>
      <c r="O98" s="1274">
        <f t="shared" si="28"/>
        <v>2868.4</v>
      </c>
      <c r="P98" s="1273">
        <f t="shared" si="28"/>
        <v>2429.8000000000002</v>
      </c>
      <c r="Q98" s="1274">
        <f t="shared" si="28"/>
        <v>1991.2000000000003</v>
      </c>
      <c r="R98" s="1273">
        <f t="shared" si="28"/>
        <v>1552.6000000000004</v>
      </c>
      <c r="S98" s="1565">
        <f>(R98-$H98)+BG98</f>
        <v>1114.0000000000005</v>
      </c>
      <c r="T98" s="1847"/>
      <c r="U98" s="1183"/>
      <c r="V98" s="1273"/>
      <c r="W98" s="1183"/>
      <c r="X98" s="1273"/>
      <c r="Y98" s="1902"/>
      <c r="Z98" s="1103"/>
      <c r="AA98" s="1103"/>
      <c r="AB98" s="1103"/>
      <c r="AC98" s="1103"/>
      <c r="AD98" s="1195"/>
      <c r="AE98" s="1197"/>
      <c r="AF98" s="1103"/>
      <c r="AG98" s="1103"/>
      <c r="AH98" s="1103"/>
      <c r="AI98" s="1103"/>
      <c r="AJ98" s="1195"/>
      <c r="AK98" s="1768"/>
      <c r="AL98" s="1204"/>
      <c r="AM98" s="1103"/>
      <c r="AN98" s="1103"/>
      <c r="AO98" s="1103"/>
      <c r="AP98" s="1195"/>
      <c r="AQ98" s="1769"/>
      <c r="AR98" s="1204"/>
      <c r="AS98" s="1103">
        <v>2000</v>
      </c>
      <c r="AT98" s="1104"/>
      <c r="AU98" s="1104"/>
      <c r="AV98" s="1205"/>
      <c r="AW98" s="1196"/>
      <c r="AX98" s="1909"/>
      <c r="AY98" s="1113"/>
      <c r="AZ98" s="1113"/>
      <c r="BA98" s="1113"/>
      <c r="BB98" s="1193"/>
      <c r="BC98" s="1768"/>
      <c r="BD98" s="1204"/>
      <c r="BE98" s="1104"/>
      <c r="BF98" s="1104"/>
      <c r="BG98" s="1104"/>
      <c r="BH98" s="1195"/>
      <c r="BI98" s="1769"/>
      <c r="BJ98" s="1204"/>
      <c r="BK98" s="1104"/>
      <c r="BL98" s="1104"/>
      <c r="BM98" s="1205"/>
      <c r="BN98" s="1205"/>
      <c r="BO98" s="1768"/>
      <c r="BP98" s="1752">
        <v>4000</v>
      </c>
      <c r="BQ98" s="1753">
        <f>J98</f>
        <v>3061.4</v>
      </c>
      <c r="BR98" s="1754">
        <f t="shared" si="29"/>
        <v>3999.9999999999995</v>
      </c>
      <c r="BS98" s="1"/>
      <c r="BT98" s="1192">
        <f t="shared" si="30"/>
        <v>2000</v>
      </c>
    </row>
    <row r="99" spans="1:72" ht="16.2" thickBot="1" x14ac:dyDescent="0.35">
      <c r="A99" s="221"/>
      <c r="B99" s="404"/>
      <c r="C99" s="405" t="s">
        <v>182</v>
      </c>
      <c r="D99" s="406" t="s">
        <v>22</v>
      </c>
      <c r="E99" s="407">
        <v>1.7</v>
      </c>
      <c r="F99" s="408"/>
      <c r="G99" s="409"/>
      <c r="H99" s="843">
        <f t="shared" si="26"/>
        <v>0</v>
      </c>
      <c r="I99" s="406"/>
      <c r="J99" s="385"/>
      <c r="K99" s="1437">
        <f t="shared" si="27"/>
        <v>0</v>
      </c>
      <c r="L99" s="1273">
        <f t="shared" si="28"/>
        <v>0</v>
      </c>
      <c r="M99" s="1589"/>
      <c r="N99" s="1590">
        <f t="shared" si="28"/>
        <v>0</v>
      </c>
      <c r="O99" s="1589"/>
      <c r="P99" s="1590"/>
      <c r="Q99" s="1589"/>
      <c r="R99" s="1590"/>
      <c r="S99" s="1596"/>
      <c r="T99" s="1864"/>
      <c r="U99" s="1894"/>
      <c r="V99" s="1590"/>
      <c r="W99" s="1894"/>
      <c r="X99" s="1590"/>
      <c r="Y99" s="1922"/>
      <c r="Z99" s="1770"/>
      <c r="AA99" s="1770"/>
      <c r="AB99" s="1770"/>
      <c r="AC99" s="1770"/>
      <c r="AD99" s="1771"/>
      <c r="AE99" s="1772"/>
      <c r="AF99" s="1770"/>
      <c r="AG99" s="1770"/>
      <c r="AH99" s="1770"/>
      <c r="AI99" s="1770"/>
      <c r="AJ99" s="1771"/>
      <c r="AK99" s="1773"/>
      <c r="AL99" s="1774"/>
      <c r="AM99" s="1770"/>
      <c r="AN99" s="1770"/>
      <c r="AO99" s="1770"/>
      <c r="AP99" s="1771"/>
      <c r="AQ99" s="1775"/>
      <c r="AR99" s="1774"/>
      <c r="AS99" s="1770"/>
      <c r="AT99" s="1776"/>
      <c r="AU99" s="1776"/>
      <c r="AV99" s="1777"/>
      <c r="AW99" s="1778"/>
      <c r="AX99" s="1987"/>
      <c r="AY99" s="2036"/>
      <c r="AZ99" s="2036"/>
      <c r="BA99" s="2036"/>
      <c r="BB99" s="1590"/>
      <c r="BC99" s="1773"/>
      <c r="BD99" s="1774"/>
      <c r="BE99" s="1776"/>
      <c r="BF99" s="1776"/>
      <c r="BG99" s="1776"/>
      <c r="BH99" s="1771"/>
      <c r="BI99" s="1775"/>
      <c r="BJ99" s="1774"/>
      <c r="BK99" s="1776"/>
      <c r="BL99" s="1776"/>
      <c r="BM99" s="1777"/>
      <c r="BN99" s="1777"/>
      <c r="BO99" s="1773"/>
      <c r="BP99" s="1267"/>
      <c r="BQ99" s="1269"/>
      <c r="BR99" s="1754">
        <f t="shared" si="29"/>
        <v>0</v>
      </c>
      <c r="BS99" s="1"/>
      <c r="BT99" s="1192">
        <f t="shared" si="30"/>
        <v>0</v>
      </c>
    </row>
    <row r="100" spans="1:72" ht="15.6" x14ac:dyDescent="0.3">
      <c r="A100" s="416">
        <v>2622</v>
      </c>
      <c r="B100" s="360" t="s">
        <v>371</v>
      </c>
      <c r="C100" s="361" t="s">
        <v>184</v>
      </c>
      <c r="D100" s="362" t="s">
        <v>185</v>
      </c>
      <c r="E100" s="363">
        <v>2.2000000000000002</v>
      </c>
      <c r="F100" s="364">
        <f>(BR100/G100)/7</f>
        <v>2.2263450834879408</v>
      </c>
      <c r="G100" s="362">
        <v>385</v>
      </c>
      <c r="H100" s="840">
        <f t="shared" si="26"/>
        <v>847.00000000000011</v>
      </c>
      <c r="I100" s="362">
        <v>7000</v>
      </c>
      <c r="J100" s="392">
        <v>552.99999999999989</v>
      </c>
      <c r="K100" s="1243">
        <f t="shared" si="27"/>
        <v>-294.00000000000023</v>
      </c>
      <c r="L100" s="1958">
        <v>3000</v>
      </c>
      <c r="M100" s="1243">
        <f t="shared" si="28"/>
        <v>2153</v>
      </c>
      <c r="N100" s="1958">
        <v>4306</v>
      </c>
      <c r="O100" s="1243">
        <f t="shared" si="28"/>
        <v>3459</v>
      </c>
      <c r="P100" s="1243">
        <f t="shared" si="28"/>
        <v>2612</v>
      </c>
      <c r="Q100" s="1243">
        <f t="shared" si="28"/>
        <v>1765</v>
      </c>
      <c r="R100" s="1243">
        <f t="shared" si="28"/>
        <v>917.99999999999989</v>
      </c>
      <c r="S100" s="1579">
        <f t="shared" si="28"/>
        <v>70.999999999999773</v>
      </c>
      <c r="T100" s="1847"/>
      <c r="U100" s="1183"/>
      <c r="V100" s="1273"/>
      <c r="W100" s="1183"/>
      <c r="X100" s="1273"/>
      <c r="Y100" s="1902"/>
      <c r="Z100" s="1176"/>
      <c r="AA100" s="1096"/>
      <c r="AB100" s="1177"/>
      <c r="AC100" s="1096"/>
      <c r="AD100" s="1097"/>
      <c r="AE100" s="1215"/>
      <c r="AF100" s="1095"/>
      <c r="AG100" s="1096">
        <v>3000</v>
      </c>
      <c r="AH100" s="1096"/>
      <c r="AI100" s="1096"/>
      <c r="AJ100" s="1097"/>
      <c r="AK100" s="1745"/>
      <c r="AL100" s="1216"/>
      <c r="AM100" s="1095"/>
      <c r="AN100" s="1095"/>
      <c r="AO100" s="1095"/>
      <c r="AP100" s="1287"/>
      <c r="AQ100" s="1748"/>
      <c r="AR100" s="2037"/>
      <c r="AS100" s="1095">
        <v>3000</v>
      </c>
      <c r="AT100" s="1096"/>
      <c r="AU100" s="1096"/>
      <c r="AV100" s="1097"/>
      <c r="AW100" s="1214"/>
      <c r="AX100" s="1746"/>
      <c r="AY100" s="1187"/>
      <c r="AZ100" s="1187"/>
      <c r="BA100" s="1187"/>
      <c r="BB100" s="1273"/>
      <c r="BC100" s="1745"/>
      <c r="BD100" s="1216"/>
      <c r="BE100" s="1096"/>
      <c r="BF100" s="1096"/>
      <c r="BG100" s="1096"/>
      <c r="BH100" s="1287"/>
      <c r="BI100" s="1748"/>
      <c r="BJ100" s="1216"/>
      <c r="BK100" s="1096"/>
      <c r="BL100" s="1096"/>
      <c r="BM100" s="1097"/>
      <c r="BN100" s="1097"/>
      <c r="BO100" s="1745"/>
      <c r="BP100" s="1365">
        <v>6000</v>
      </c>
      <c r="BQ100" s="1357">
        <f t="shared" ref="BQ100:BQ132" si="31">J100</f>
        <v>552.99999999999989</v>
      </c>
      <c r="BR100" s="1767">
        <f t="shared" si="29"/>
        <v>6000</v>
      </c>
      <c r="BS100" s="1"/>
      <c r="BT100" s="1192">
        <f t="shared" si="30"/>
        <v>6000</v>
      </c>
    </row>
    <row r="101" spans="1:72" ht="15.6" x14ac:dyDescent="0.3">
      <c r="A101" s="418"/>
      <c r="B101" s="360" t="s">
        <v>503</v>
      </c>
      <c r="C101" s="398" t="s">
        <v>186</v>
      </c>
      <c r="D101" s="375" t="s">
        <v>185</v>
      </c>
      <c r="E101" s="399">
        <v>2.2000000000000002</v>
      </c>
      <c r="F101" s="400"/>
      <c r="G101" s="362">
        <v>197</v>
      </c>
      <c r="H101" s="842">
        <f t="shared" si="26"/>
        <v>433.40000000000003</v>
      </c>
      <c r="I101" s="375">
        <v>5000</v>
      </c>
      <c r="J101" s="362">
        <v>1066.5999999999999</v>
      </c>
      <c r="K101" s="1437">
        <f t="shared" si="27"/>
        <v>633.19999999999982</v>
      </c>
      <c r="L101" s="2018">
        <v>3200</v>
      </c>
      <c r="M101" s="1194">
        <f t="shared" si="28"/>
        <v>2766.6</v>
      </c>
      <c r="N101" s="1273">
        <f t="shared" si="28"/>
        <v>2333.1999999999998</v>
      </c>
      <c r="O101" s="1274">
        <f>N101-$H101</f>
        <v>1899.7999999999997</v>
      </c>
      <c r="P101" s="1273">
        <f t="shared" si="28"/>
        <v>1466.3999999999996</v>
      </c>
      <c r="Q101" s="1194">
        <f t="shared" si="28"/>
        <v>1032.9999999999995</v>
      </c>
      <c r="R101" s="1273">
        <f t="shared" si="28"/>
        <v>599.59999999999945</v>
      </c>
      <c r="S101" s="1565">
        <f t="shared" si="28"/>
        <v>166.19999999999942</v>
      </c>
      <c r="T101" s="1847"/>
      <c r="U101" s="1183"/>
      <c r="V101" s="1273"/>
      <c r="W101" s="1183"/>
      <c r="X101" s="1273"/>
      <c r="Y101" s="1902"/>
      <c r="Z101" s="1198"/>
      <c r="AA101" s="1104"/>
      <c r="AB101" s="1199"/>
      <c r="AC101" s="1104"/>
      <c r="AD101" s="1205"/>
      <c r="AE101" s="1197"/>
      <c r="AF101" s="1103"/>
      <c r="AG101" s="1104">
        <v>3000</v>
      </c>
      <c r="AH101" s="1104"/>
      <c r="AI101" s="1104"/>
      <c r="AJ101" s="1205"/>
      <c r="AK101" s="1768"/>
      <c r="AL101" s="1204"/>
      <c r="AM101" s="1103"/>
      <c r="AN101" s="1103"/>
      <c r="AO101" s="1103"/>
      <c r="AP101" s="1195"/>
      <c r="AQ101" s="1769"/>
      <c r="AR101" s="2038"/>
      <c r="AS101" s="1103"/>
      <c r="AT101" s="1104"/>
      <c r="AU101" s="1104"/>
      <c r="AV101" s="1205"/>
      <c r="AW101" s="1196"/>
      <c r="AX101" s="1909"/>
      <c r="AY101" s="1113"/>
      <c r="AZ101" s="1113"/>
      <c r="BA101" s="1113"/>
      <c r="BB101" s="1193"/>
      <c r="BC101" s="1768"/>
      <c r="BD101" s="1204"/>
      <c r="BE101" s="1104"/>
      <c r="BF101" s="1104"/>
      <c r="BG101" s="1104"/>
      <c r="BH101" s="1195"/>
      <c r="BI101" s="1769"/>
      <c r="BJ101" s="1204"/>
      <c r="BK101" s="1104"/>
      <c r="BL101" s="1104"/>
      <c r="BM101" s="1205"/>
      <c r="BN101" s="1205"/>
      <c r="BO101" s="1768"/>
      <c r="BP101" s="1365">
        <v>4000</v>
      </c>
      <c r="BQ101" s="1357">
        <f t="shared" si="31"/>
        <v>1066.5999999999999</v>
      </c>
      <c r="BR101" s="1754">
        <f t="shared" si="29"/>
        <v>4000.0000000000005</v>
      </c>
      <c r="BS101" s="1"/>
      <c r="BT101" s="1192">
        <f t="shared" si="30"/>
        <v>3000</v>
      </c>
    </row>
    <row r="102" spans="1:72" ht="16.2" thickBot="1" x14ac:dyDescent="0.35">
      <c r="A102" s="420"/>
      <c r="B102" s="421"/>
      <c r="C102" s="405" t="s">
        <v>187</v>
      </c>
      <c r="D102" s="406" t="s">
        <v>185</v>
      </c>
      <c r="E102" s="407">
        <v>2.2000000000000002</v>
      </c>
      <c r="F102" s="408"/>
      <c r="G102" s="409"/>
      <c r="H102" s="843">
        <f t="shared" si="26"/>
        <v>0</v>
      </c>
      <c r="I102" s="406"/>
      <c r="J102" s="406"/>
      <c r="K102" s="1588">
        <f t="shared" si="27"/>
        <v>0</v>
      </c>
      <c r="L102" s="1222">
        <f t="shared" si="28"/>
        <v>0</v>
      </c>
      <c r="M102" s="1589"/>
      <c r="N102" s="1257">
        <f t="shared" si="28"/>
        <v>0</v>
      </c>
      <c r="O102" s="1258">
        <f t="shared" si="28"/>
        <v>0</v>
      </c>
      <c r="P102" s="1257"/>
      <c r="Q102" s="1258"/>
      <c r="R102" s="1590"/>
      <c r="S102" s="1596"/>
      <c r="T102" s="1864"/>
      <c r="U102" s="1894"/>
      <c r="V102" s="1590"/>
      <c r="W102" s="1894"/>
      <c r="X102" s="1590"/>
      <c r="Y102" s="1922"/>
      <c r="Z102" s="1838"/>
      <c r="AA102" s="1776"/>
      <c r="AB102" s="1779"/>
      <c r="AC102" s="1776"/>
      <c r="AD102" s="1777"/>
      <c r="AE102" s="1772"/>
      <c r="AF102" s="1770"/>
      <c r="AG102" s="1776"/>
      <c r="AH102" s="1776"/>
      <c r="AI102" s="1776"/>
      <c r="AJ102" s="1777"/>
      <c r="AK102" s="1773"/>
      <c r="AL102" s="1774"/>
      <c r="AM102" s="1770"/>
      <c r="AN102" s="1770"/>
      <c r="AO102" s="1770"/>
      <c r="AP102" s="1771"/>
      <c r="AQ102" s="1775"/>
      <c r="AR102" s="1774"/>
      <c r="AS102" s="1770"/>
      <c r="AT102" s="1776"/>
      <c r="AU102" s="1776"/>
      <c r="AV102" s="1777"/>
      <c r="AW102" s="1778"/>
      <c r="AX102" s="1987"/>
      <c r="AY102" s="2036"/>
      <c r="AZ102" s="2036"/>
      <c r="BA102" s="2036"/>
      <c r="BB102" s="1590"/>
      <c r="BC102" s="1773"/>
      <c r="BD102" s="1774"/>
      <c r="BE102" s="1776"/>
      <c r="BF102" s="1776"/>
      <c r="BG102" s="1776"/>
      <c r="BH102" s="1771"/>
      <c r="BI102" s="1775"/>
      <c r="BJ102" s="1774"/>
      <c r="BK102" s="1776"/>
      <c r="BL102" s="1776"/>
      <c r="BM102" s="1777"/>
      <c r="BN102" s="1777"/>
      <c r="BO102" s="1773"/>
      <c r="BP102" s="1267"/>
      <c r="BQ102" s="1269"/>
      <c r="BR102" s="1754">
        <f t="shared" si="29"/>
        <v>0</v>
      </c>
      <c r="BS102" s="1"/>
      <c r="BT102" s="1192">
        <f t="shared" si="30"/>
        <v>0</v>
      </c>
    </row>
    <row r="103" spans="1:72" ht="15.6" x14ac:dyDescent="0.3">
      <c r="A103" s="159">
        <v>2621</v>
      </c>
      <c r="B103" s="360" t="s">
        <v>371</v>
      </c>
      <c r="C103" s="361" t="s">
        <v>188</v>
      </c>
      <c r="D103" s="362" t="s">
        <v>185</v>
      </c>
      <c r="E103" s="363">
        <v>2.2999999999999998</v>
      </c>
      <c r="F103" s="364">
        <f>(BR103/G103)/7</f>
        <v>3.8623906705539355</v>
      </c>
      <c r="G103" s="362">
        <v>392</v>
      </c>
      <c r="H103" s="840">
        <f t="shared" si="26"/>
        <v>901.59999999999991</v>
      </c>
      <c r="I103" s="362">
        <v>7000</v>
      </c>
      <c r="J103" s="2039">
        <v>2598.4</v>
      </c>
      <c r="K103" s="1780">
        <f t="shared" si="27"/>
        <v>1696.8000000000002</v>
      </c>
      <c r="L103" s="1961">
        <v>3795</v>
      </c>
      <c r="M103" s="1780">
        <f t="shared" si="28"/>
        <v>2893.4</v>
      </c>
      <c r="N103" s="1961">
        <v>4992</v>
      </c>
      <c r="O103" s="1780">
        <f t="shared" si="28"/>
        <v>4090.4</v>
      </c>
      <c r="P103" s="1780">
        <f>O103-$H103</f>
        <v>3188.8</v>
      </c>
      <c r="Q103" s="1780">
        <f>P103-$H103</f>
        <v>2287.2000000000003</v>
      </c>
      <c r="R103" s="1243">
        <f>Q103-$H103</f>
        <v>1385.6000000000004</v>
      </c>
      <c r="S103" s="1579">
        <f>R103-$H103</f>
        <v>484.00000000000045</v>
      </c>
      <c r="T103" s="1847"/>
      <c r="U103" s="1183"/>
      <c r="V103" s="1273"/>
      <c r="W103" s="1183"/>
      <c r="X103" s="1273"/>
      <c r="Y103" s="1902"/>
      <c r="Z103" s="1176"/>
      <c r="AA103" s="1096"/>
      <c r="AB103" s="1177"/>
      <c r="AC103" s="1096"/>
      <c r="AD103" s="1097"/>
      <c r="AE103" s="1215"/>
      <c r="AF103" s="1095"/>
      <c r="AG103" s="1096">
        <v>3000</v>
      </c>
      <c r="AH103" s="1096"/>
      <c r="AI103" s="1096"/>
      <c r="AJ103" s="1097"/>
      <c r="AK103" s="1745"/>
      <c r="AL103" s="1216"/>
      <c r="AM103" s="1095"/>
      <c r="AN103" s="1095"/>
      <c r="AO103" s="1095"/>
      <c r="AP103" s="1287"/>
      <c r="AQ103" s="1748"/>
      <c r="AR103" s="1216"/>
      <c r="AS103" s="1095"/>
      <c r="AT103" s="1096">
        <v>3000</v>
      </c>
      <c r="AU103" s="1096"/>
      <c r="AV103" s="1097"/>
      <c r="AW103" s="1214"/>
      <c r="AX103" s="1746"/>
      <c r="AY103" s="1187"/>
      <c r="AZ103" s="1187"/>
      <c r="BA103" s="1187"/>
      <c r="BB103" s="1273"/>
      <c r="BC103" s="1745"/>
      <c r="BD103" s="1216"/>
      <c r="BE103" s="1096"/>
      <c r="BF103" s="1096"/>
      <c r="BG103" s="1096"/>
      <c r="BH103" s="1287"/>
      <c r="BI103" s="1748"/>
      <c r="BJ103" s="1216"/>
      <c r="BK103" s="1096"/>
      <c r="BL103" s="1096"/>
      <c r="BM103" s="1097"/>
      <c r="BN103" s="1097"/>
      <c r="BO103" s="1745"/>
      <c r="BP103" s="1765">
        <v>8000</v>
      </c>
      <c r="BQ103" s="1357"/>
      <c r="BR103" s="1767">
        <f t="shared" si="29"/>
        <v>10598.4</v>
      </c>
      <c r="BS103" s="1"/>
      <c r="BT103" s="1192">
        <f t="shared" si="30"/>
        <v>6000</v>
      </c>
    </row>
    <row r="104" spans="1:72" ht="15.6" x14ac:dyDescent="0.3">
      <c r="A104" s="150"/>
      <c r="B104" s="594" t="s">
        <v>378</v>
      </c>
      <c r="C104" s="398" t="s">
        <v>189</v>
      </c>
      <c r="D104" s="375" t="s">
        <v>185</v>
      </c>
      <c r="E104" s="399">
        <v>2.2999999999999998</v>
      </c>
      <c r="F104" s="400"/>
      <c r="G104" s="362">
        <v>249</v>
      </c>
      <c r="H104" s="842">
        <f t="shared" si="26"/>
        <v>572.69999999999993</v>
      </c>
      <c r="I104" s="375">
        <v>5000</v>
      </c>
      <c r="J104" s="2034">
        <v>3427.3</v>
      </c>
      <c r="K104" s="1395">
        <f t="shared" si="27"/>
        <v>2854.6000000000004</v>
      </c>
      <c r="L104" s="1955">
        <v>5282</v>
      </c>
      <c r="M104" s="1274">
        <f t="shared" si="28"/>
        <v>4709.3</v>
      </c>
      <c r="N104" s="1273">
        <f t="shared" si="28"/>
        <v>4136.6000000000004</v>
      </c>
      <c r="O104" s="1274">
        <f t="shared" si="28"/>
        <v>3563.9000000000005</v>
      </c>
      <c r="P104" s="1273">
        <f t="shared" si="28"/>
        <v>2991.2000000000007</v>
      </c>
      <c r="Q104" s="1274">
        <f t="shared" si="28"/>
        <v>2418.5000000000009</v>
      </c>
      <c r="R104" s="1273">
        <f t="shared" si="28"/>
        <v>1845.8000000000011</v>
      </c>
      <c r="S104" s="1565">
        <f>(R104-$H104)+BI104</f>
        <v>1273.1000000000013</v>
      </c>
      <c r="T104" s="1847"/>
      <c r="U104" s="1183"/>
      <c r="V104" s="1273"/>
      <c r="W104" s="1183"/>
      <c r="X104" s="1273"/>
      <c r="Y104" s="1902"/>
      <c r="Z104" s="1198"/>
      <c r="AA104" s="1104"/>
      <c r="AB104" s="1199"/>
      <c r="AC104" s="1104"/>
      <c r="AD104" s="1205"/>
      <c r="AE104" s="1197"/>
      <c r="AF104" s="1103"/>
      <c r="AG104" s="1104">
        <v>3000</v>
      </c>
      <c r="AH104" s="1104"/>
      <c r="AI104" s="1104"/>
      <c r="AJ104" s="1205"/>
      <c r="AK104" s="1768"/>
      <c r="AL104" s="1204"/>
      <c r="AM104" s="1103"/>
      <c r="AN104" s="1103"/>
      <c r="AO104" s="1103"/>
      <c r="AP104" s="1195"/>
      <c r="AQ104" s="1769"/>
      <c r="AR104" s="1204"/>
      <c r="AS104" s="1103"/>
      <c r="AT104" s="1104"/>
      <c r="AU104" s="1104"/>
      <c r="AV104" s="1205"/>
      <c r="AW104" s="1196"/>
      <c r="AX104" s="1909"/>
      <c r="AY104" s="1113"/>
      <c r="AZ104" s="1113"/>
      <c r="BA104" s="1113"/>
      <c r="BB104" s="1193"/>
      <c r="BC104" s="1768"/>
      <c r="BD104" s="1204"/>
      <c r="BE104" s="1104"/>
      <c r="BF104" s="1104"/>
      <c r="BG104" s="1104"/>
      <c r="BH104" s="1195"/>
      <c r="BI104" s="1769"/>
      <c r="BJ104" s="1204"/>
      <c r="BK104" s="1104"/>
      <c r="BL104" s="1104"/>
      <c r="BM104" s="1205"/>
      <c r="BN104" s="1205"/>
      <c r="BO104" s="1768"/>
      <c r="BP104" s="1752">
        <v>3000</v>
      </c>
      <c r="BQ104" s="1357"/>
      <c r="BR104" s="1754">
        <f t="shared" si="29"/>
        <v>6427.3</v>
      </c>
      <c r="BS104" s="1"/>
      <c r="BT104" s="1192">
        <f t="shared" si="30"/>
        <v>3000</v>
      </c>
    </row>
    <row r="105" spans="1:72" ht="16.2" thickBot="1" x14ac:dyDescent="0.35">
      <c r="A105" s="169"/>
      <c r="B105" s="421"/>
      <c r="C105" s="405" t="s">
        <v>190</v>
      </c>
      <c r="D105" s="406" t="s">
        <v>185</v>
      </c>
      <c r="E105" s="407">
        <v>2.2999999999999998</v>
      </c>
      <c r="F105" s="424"/>
      <c r="G105" s="409"/>
      <c r="H105" s="843">
        <f t="shared" si="26"/>
        <v>0</v>
      </c>
      <c r="I105" s="406"/>
      <c r="J105" s="2040"/>
      <c r="K105" s="1560">
        <f t="shared" si="27"/>
        <v>0</v>
      </c>
      <c r="L105" s="1273">
        <f t="shared" si="28"/>
        <v>0</v>
      </c>
      <c r="M105" s="1274"/>
      <c r="N105" s="1273">
        <f t="shared" si="28"/>
        <v>0</v>
      </c>
      <c r="O105" s="1274">
        <f t="shared" si="28"/>
        <v>0</v>
      </c>
      <c r="P105" s="1273"/>
      <c r="Q105" s="1274"/>
      <c r="R105" s="1590"/>
      <c r="S105" s="1596"/>
      <c r="T105" s="1864"/>
      <c r="U105" s="1894"/>
      <c r="V105" s="1590"/>
      <c r="W105" s="1894"/>
      <c r="X105" s="1590"/>
      <c r="Y105" s="1922"/>
      <c r="Z105" s="1838"/>
      <c r="AA105" s="1776"/>
      <c r="AB105" s="1779"/>
      <c r="AC105" s="1776"/>
      <c r="AD105" s="1777"/>
      <c r="AE105" s="1772"/>
      <c r="AF105" s="1770"/>
      <c r="AG105" s="1776"/>
      <c r="AH105" s="1776"/>
      <c r="AI105" s="1776"/>
      <c r="AJ105" s="1777"/>
      <c r="AK105" s="1773"/>
      <c r="AL105" s="1774"/>
      <c r="AM105" s="1770"/>
      <c r="AN105" s="1770"/>
      <c r="AO105" s="1770"/>
      <c r="AP105" s="1771"/>
      <c r="AQ105" s="1775"/>
      <c r="AR105" s="1774"/>
      <c r="AS105" s="1770"/>
      <c r="AT105" s="1776"/>
      <c r="AU105" s="1776"/>
      <c r="AV105" s="1777"/>
      <c r="AW105" s="1778"/>
      <c r="AX105" s="1987"/>
      <c r="AY105" s="2036"/>
      <c r="AZ105" s="2036"/>
      <c r="BA105" s="2036"/>
      <c r="BB105" s="1590"/>
      <c r="BC105" s="1773"/>
      <c r="BD105" s="1774"/>
      <c r="BE105" s="1776"/>
      <c r="BF105" s="1776"/>
      <c r="BG105" s="1776"/>
      <c r="BH105" s="1771"/>
      <c r="BI105" s="1775"/>
      <c r="BJ105" s="1774"/>
      <c r="BK105" s="1776"/>
      <c r="BL105" s="1776"/>
      <c r="BM105" s="1777"/>
      <c r="BN105" s="1777"/>
      <c r="BO105" s="1773"/>
      <c r="BP105" s="1267"/>
      <c r="BQ105" s="1269"/>
      <c r="BR105" s="1754">
        <f t="shared" si="29"/>
        <v>0</v>
      </c>
      <c r="BS105" s="1"/>
      <c r="BT105" s="1192">
        <f t="shared" si="30"/>
        <v>0</v>
      </c>
    </row>
    <row r="106" spans="1:72" ht="15.6" x14ac:dyDescent="0.3">
      <c r="A106" s="425">
        <v>2620</v>
      </c>
      <c r="B106" s="360" t="s">
        <v>504</v>
      </c>
      <c r="C106" s="361" t="s">
        <v>192</v>
      </c>
      <c r="D106" s="362" t="s">
        <v>193</v>
      </c>
      <c r="E106" s="363">
        <v>2.4</v>
      </c>
      <c r="F106" s="364">
        <f>(BR106/G106)/7</f>
        <v>1.8221574344023328</v>
      </c>
      <c r="G106" s="362">
        <v>392</v>
      </c>
      <c r="H106" s="840">
        <f t="shared" si="26"/>
        <v>940.8</v>
      </c>
      <c r="I106" s="362">
        <v>7000</v>
      </c>
      <c r="J106" s="2041">
        <v>4059.2</v>
      </c>
      <c r="K106" s="1781">
        <f t="shared" si="27"/>
        <v>3118.3999999999996</v>
      </c>
      <c r="L106" s="1962">
        <v>5178</v>
      </c>
      <c r="M106" s="2042">
        <f t="shared" si="28"/>
        <v>4237.2</v>
      </c>
      <c r="N106" s="1962">
        <v>6296</v>
      </c>
      <c r="O106" s="1781">
        <f t="shared" si="28"/>
        <v>5355.2</v>
      </c>
      <c r="P106" s="1781">
        <f>O106-$H106</f>
        <v>4414.3999999999996</v>
      </c>
      <c r="Q106" s="1781">
        <f>P106-$H106</f>
        <v>3473.5999999999995</v>
      </c>
      <c r="R106" s="1781">
        <f>Q106-$H106</f>
        <v>2532.7999999999993</v>
      </c>
      <c r="S106" s="1781">
        <f>R106-$H106</f>
        <v>1591.9999999999993</v>
      </c>
      <c r="T106" s="1848"/>
      <c r="U106" s="1885"/>
      <c r="V106" s="1222"/>
      <c r="W106" s="1885"/>
      <c r="X106" s="1222"/>
      <c r="Y106" s="1923"/>
      <c r="Z106" s="1176"/>
      <c r="AA106" s="1177"/>
      <c r="AB106" s="1096"/>
      <c r="AC106" s="1096"/>
      <c r="AD106" s="1097"/>
      <c r="AE106" s="1215"/>
      <c r="AF106" s="1187"/>
      <c r="AG106" s="1183"/>
      <c r="AH106" s="1183">
        <v>3000</v>
      </c>
      <c r="AI106" s="1183"/>
      <c r="AJ106" s="1744"/>
      <c r="AK106" s="1745"/>
      <c r="AL106" s="1746"/>
      <c r="AM106" s="1187"/>
      <c r="AN106" s="1187"/>
      <c r="AO106" s="1187"/>
      <c r="AP106" s="1273"/>
      <c r="AQ106" s="1748"/>
      <c r="AR106" s="1746"/>
      <c r="AS106" s="1187"/>
      <c r="AT106" s="1183">
        <v>3000</v>
      </c>
      <c r="AU106" s="1183"/>
      <c r="AV106" s="1744"/>
      <c r="AW106" s="1214"/>
      <c r="AX106" s="1746"/>
      <c r="AY106" s="1187"/>
      <c r="AZ106" s="1187"/>
      <c r="BA106" s="1187"/>
      <c r="BB106" s="1273"/>
      <c r="BC106" s="1745"/>
      <c r="BD106" s="1746"/>
      <c r="BE106" s="1183"/>
      <c r="BF106" s="1183"/>
      <c r="BG106" s="1183"/>
      <c r="BH106" s="1273"/>
      <c r="BI106" s="1748"/>
      <c r="BJ106" s="1746"/>
      <c r="BK106" s="1183"/>
      <c r="BL106" s="1183"/>
      <c r="BM106" s="1744"/>
      <c r="BN106" s="1744"/>
      <c r="BO106" s="1745"/>
      <c r="BP106" s="1783">
        <v>5000</v>
      </c>
      <c r="BQ106" s="1784">
        <f t="shared" si="31"/>
        <v>4059.2</v>
      </c>
      <c r="BR106" s="1785">
        <f t="shared" si="29"/>
        <v>5000.0000000000009</v>
      </c>
      <c r="BT106" s="1192">
        <f t="shared" si="30"/>
        <v>6000</v>
      </c>
    </row>
    <row r="107" spans="1:72" ht="15.6" x14ac:dyDescent="0.3">
      <c r="A107" s="428"/>
      <c r="B107" s="360" t="s">
        <v>505</v>
      </c>
      <c r="C107" s="398" t="s">
        <v>194</v>
      </c>
      <c r="D107" s="375" t="s">
        <v>193</v>
      </c>
      <c r="E107" s="399">
        <v>2.4</v>
      </c>
      <c r="F107" s="400"/>
      <c r="G107" s="362">
        <v>250</v>
      </c>
      <c r="H107" s="842">
        <f t="shared" si="26"/>
        <v>600</v>
      </c>
      <c r="I107" s="375">
        <v>5000</v>
      </c>
      <c r="J107" s="362">
        <v>3400</v>
      </c>
      <c r="K107" s="1395">
        <f t="shared" si="27"/>
        <v>2800</v>
      </c>
      <c r="L107" s="1955">
        <v>5200</v>
      </c>
      <c r="M107" s="1194">
        <f t="shared" si="28"/>
        <v>4600</v>
      </c>
      <c r="N107" s="1193">
        <f t="shared" si="28"/>
        <v>4000</v>
      </c>
      <c r="O107" s="1194">
        <f t="shared" si="28"/>
        <v>3400</v>
      </c>
      <c r="P107" s="1193">
        <f t="shared" si="28"/>
        <v>2800</v>
      </c>
      <c r="Q107" s="1194">
        <f t="shared" si="28"/>
        <v>2200</v>
      </c>
      <c r="R107" s="1273">
        <f t="shared" si="28"/>
        <v>1600</v>
      </c>
      <c r="S107" s="1565">
        <f>(R107-$H107)+BJ107</f>
        <v>1000</v>
      </c>
      <c r="T107" s="1847"/>
      <c r="U107" s="1183"/>
      <c r="V107" s="1273"/>
      <c r="W107" s="1183"/>
      <c r="X107" s="1273"/>
      <c r="Y107" s="1902"/>
      <c r="Z107" s="1198"/>
      <c r="AA107" s="1199"/>
      <c r="AB107" s="1104"/>
      <c r="AC107" s="1104"/>
      <c r="AD107" s="1205"/>
      <c r="AE107" s="1197"/>
      <c r="AF107" s="1103"/>
      <c r="AG107" s="1104"/>
      <c r="AH107" s="1104">
        <v>3000</v>
      </c>
      <c r="AI107" s="1104"/>
      <c r="AJ107" s="1205"/>
      <c r="AK107" s="1768"/>
      <c r="AL107" s="1204"/>
      <c r="AM107" s="1103"/>
      <c r="AN107" s="1103"/>
      <c r="AO107" s="1103"/>
      <c r="AP107" s="1195"/>
      <c r="AQ107" s="1769"/>
      <c r="AR107" s="1204"/>
      <c r="AS107" s="1103"/>
      <c r="AT107" s="1104"/>
      <c r="AU107" s="1104"/>
      <c r="AV107" s="1205"/>
      <c r="AW107" s="1196"/>
      <c r="AX107" s="1909"/>
      <c r="AY107" s="1113"/>
      <c r="AZ107" s="1113"/>
      <c r="BA107" s="1113"/>
      <c r="BB107" s="1193"/>
      <c r="BC107" s="1768"/>
      <c r="BD107" s="1204"/>
      <c r="BE107" s="1104"/>
      <c r="BF107" s="1104"/>
      <c r="BG107" s="1104"/>
      <c r="BH107" s="1195"/>
      <c r="BI107" s="1769"/>
      <c r="BJ107" s="1204"/>
      <c r="BK107" s="1104"/>
      <c r="BL107" s="1104"/>
      <c r="BM107" s="1205"/>
      <c r="BN107" s="1205"/>
      <c r="BO107" s="1768"/>
      <c r="BP107" s="1786">
        <v>3000</v>
      </c>
      <c r="BQ107" s="1753"/>
      <c r="BR107" s="1754">
        <f t="shared" si="29"/>
        <v>6400</v>
      </c>
      <c r="BS107" s="1"/>
      <c r="BT107" s="1192">
        <f t="shared" si="30"/>
        <v>3000</v>
      </c>
    </row>
    <row r="108" spans="1:72" ht="16.2" thickBot="1" x14ac:dyDescent="0.35">
      <c r="A108" s="430"/>
      <c r="B108" s="421"/>
      <c r="C108" s="405" t="s">
        <v>195</v>
      </c>
      <c r="D108" s="406" t="s">
        <v>193</v>
      </c>
      <c r="E108" s="407">
        <v>2.4</v>
      </c>
      <c r="F108" s="424"/>
      <c r="G108" s="409"/>
      <c r="H108" s="843">
        <f t="shared" si="26"/>
        <v>0</v>
      </c>
      <c r="I108" s="406"/>
      <c r="J108" s="406"/>
      <c r="K108" s="1560">
        <f t="shared" si="27"/>
        <v>0</v>
      </c>
      <c r="L108" s="1273">
        <f t="shared" si="28"/>
        <v>0</v>
      </c>
      <c r="M108" s="1274"/>
      <c r="N108" s="1273">
        <f t="shared" si="28"/>
        <v>0</v>
      </c>
      <c r="O108" s="1274">
        <f t="shared" si="28"/>
        <v>0</v>
      </c>
      <c r="P108" s="1273"/>
      <c r="Q108" s="1274"/>
      <c r="R108" s="1590"/>
      <c r="S108" s="1596"/>
      <c r="T108" s="1864"/>
      <c r="U108" s="1894"/>
      <c r="V108" s="1590"/>
      <c r="W108" s="1894"/>
      <c r="X108" s="1590"/>
      <c r="Y108" s="1922"/>
      <c r="Z108" s="1838"/>
      <c r="AA108" s="1779"/>
      <c r="AB108" s="1776"/>
      <c r="AC108" s="1776"/>
      <c r="AD108" s="1777"/>
      <c r="AE108" s="1772"/>
      <c r="AF108" s="1770"/>
      <c r="AG108" s="1776"/>
      <c r="AH108" s="1776"/>
      <c r="AI108" s="1776"/>
      <c r="AJ108" s="1777"/>
      <c r="AK108" s="1773"/>
      <c r="AL108" s="1774"/>
      <c r="AM108" s="1770"/>
      <c r="AN108" s="1770"/>
      <c r="AO108" s="1770"/>
      <c r="AP108" s="1771"/>
      <c r="AQ108" s="1775"/>
      <c r="AR108" s="1774"/>
      <c r="AS108" s="1770"/>
      <c r="AT108" s="1776"/>
      <c r="AU108" s="1776"/>
      <c r="AV108" s="1777"/>
      <c r="AW108" s="1778"/>
      <c r="AX108" s="1987"/>
      <c r="AY108" s="2036"/>
      <c r="AZ108" s="2036"/>
      <c r="BA108" s="2036"/>
      <c r="BB108" s="1590"/>
      <c r="BC108" s="1773"/>
      <c r="BD108" s="1774"/>
      <c r="BE108" s="1776"/>
      <c r="BF108" s="1776"/>
      <c r="BG108" s="1776"/>
      <c r="BH108" s="1771"/>
      <c r="BI108" s="1775"/>
      <c r="BJ108" s="1774"/>
      <c r="BK108" s="1776"/>
      <c r="BL108" s="1776"/>
      <c r="BM108" s="1777"/>
      <c r="BN108" s="1777"/>
      <c r="BO108" s="1773"/>
      <c r="BP108" s="1267"/>
      <c r="BQ108" s="1269"/>
      <c r="BR108" s="1759">
        <f t="shared" si="29"/>
        <v>0</v>
      </c>
      <c r="BS108" s="1"/>
      <c r="BT108" s="1192">
        <f t="shared" si="30"/>
        <v>0</v>
      </c>
    </row>
    <row r="109" spans="1:72" ht="15.6" x14ac:dyDescent="0.3">
      <c r="A109" s="425">
        <v>2619</v>
      </c>
      <c r="B109" s="360" t="s">
        <v>504</v>
      </c>
      <c r="C109" s="361" t="s">
        <v>196</v>
      </c>
      <c r="D109" s="362" t="s">
        <v>193</v>
      </c>
      <c r="E109" s="363">
        <v>2.5</v>
      </c>
      <c r="F109" s="364">
        <f>(BR109/G109)/7</f>
        <v>2.5510204081632653</v>
      </c>
      <c r="G109" s="362">
        <v>392</v>
      </c>
      <c r="H109" s="840">
        <f t="shared" si="26"/>
        <v>980</v>
      </c>
      <c r="I109" s="362">
        <v>7000</v>
      </c>
      <c r="J109" s="2034">
        <v>2520</v>
      </c>
      <c r="K109" s="1781">
        <f t="shared" si="27"/>
        <v>1540</v>
      </c>
      <c r="L109" s="1962">
        <v>3560</v>
      </c>
      <c r="M109" s="2042">
        <f t="shared" si="28"/>
        <v>2580</v>
      </c>
      <c r="N109" s="1962">
        <v>4600</v>
      </c>
      <c r="O109" s="1781">
        <f t="shared" si="28"/>
        <v>3620</v>
      </c>
      <c r="P109" s="1781">
        <f t="shared" si="28"/>
        <v>2640</v>
      </c>
      <c r="Q109" s="1781">
        <f t="shared" si="28"/>
        <v>1660</v>
      </c>
      <c r="R109" s="1781">
        <f t="shared" si="28"/>
        <v>680</v>
      </c>
      <c r="S109" s="1782">
        <f>R109-$H109</f>
        <v>-300</v>
      </c>
      <c r="T109" s="1848"/>
      <c r="U109" s="1885"/>
      <c r="V109" s="1222"/>
      <c r="W109" s="1885"/>
      <c r="X109" s="1222"/>
      <c r="Y109" s="1923"/>
      <c r="Z109" s="1176"/>
      <c r="AA109" s="1177"/>
      <c r="AB109" s="1096"/>
      <c r="AC109" s="1096"/>
      <c r="AD109" s="1097"/>
      <c r="AE109" s="1215"/>
      <c r="AF109" s="1187"/>
      <c r="AG109" s="1183"/>
      <c r="AH109" s="1183">
        <v>3000</v>
      </c>
      <c r="AI109" s="1183"/>
      <c r="AJ109" s="1744"/>
      <c r="AK109" s="1745"/>
      <c r="AL109" s="1746"/>
      <c r="AM109" s="1187"/>
      <c r="AN109" s="1187"/>
      <c r="AO109" s="1187"/>
      <c r="AP109" s="1273"/>
      <c r="AQ109" s="1748"/>
      <c r="AR109" s="1746"/>
      <c r="AS109" s="1187"/>
      <c r="AT109" s="1183"/>
      <c r="AU109" s="1183">
        <v>3000</v>
      </c>
      <c r="AV109" s="1744"/>
      <c r="AW109" s="1214"/>
      <c r="AX109" s="1746"/>
      <c r="AY109" s="1187"/>
      <c r="AZ109" s="1187"/>
      <c r="BA109" s="1187"/>
      <c r="BB109" s="1273"/>
      <c r="BC109" s="1745"/>
      <c r="BD109" s="1746"/>
      <c r="BE109" s="1183"/>
      <c r="BF109" s="1183"/>
      <c r="BG109" s="1183"/>
      <c r="BH109" s="1273"/>
      <c r="BI109" s="1748"/>
      <c r="BJ109" s="1746"/>
      <c r="BK109" s="1183"/>
      <c r="BL109" s="1183"/>
      <c r="BM109" s="1744"/>
      <c r="BN109" s="1744"/>
      <c r="BO109" s="1745"/>
      <c r="BP109" s="1783">
        <v>7000</v>
      </c>
      <c r="BQ109" s="1784">
        <f t="shared" si="31"/>
        <v>2520</v>
      </c>
      <c r="BR109" s="1785">
        <f t="shared" si="29"/>
        <v>7000</v>
      </c>
      <c r="BT109" s="1192">
        <f t="shared" si="30"/>
        <v>6000</v>
      </c>
    </row>
    <row r="110" spans="1:72" ht="15.6" x14ac:dyDescent="0.3">
      <c r="A110" s="428"/>
      <c r="B110" s="360" t="s">
        <v>379</v>
      </c>
      <c r="C110" s="398" t="s">
        <v>197</v>
      </c>
      <c r="D110" s="375" t="s">
        <v>193</v>
      </c>
      <c r="E110" s="399">
        <f>+E109</f>
        <v>2.5</v>
      </c>
      <c r="F110" s="400"/>
      <c r="G110" s="375">
        <v>250</v>
      </c>
      <c r="H110" s="842">
        <f t="shared" si="26"/>
        <v>625</v>
      </c>
      <c r="I110" s="375">
        <v>5000</v>
      </c>
      <c r="J110" s="362">
        <v>2875</v>
      </c>
      <c r="K110" s="1395">
        <f t="shared" si="27"/>
        <v>2250</v>
      </c>
      <c r="L110" s="1955">
        <v>4625</v>
      </c>
      <c r="M110" s="1194">
        <f t="shared" si="27"/>
        <v>4000</v>
      </c>
      <c r="N110" s="1193">
        <f t="shared" si="27"/>
        <v>3375</v>
      </c>
      <c r="O110" s="1194">
        <f t="shared" si="27"/>
        <v>2750</v>
      </c>
      <c r="P110" s="1193">
        <f t="shared" si="27"/>
        <v>2125</v>
      </c>
      <c r="Q110" s="1194">
        <f t="shared" si="27"/>
        <v>1500</v>
      </c>
      <c r="R110" s="1193">
        <f t="shared" si="27"/>
        <v>875</v>
      </c>
      <c r="S110" s="1342">
        <f>(R110-$H110)+BJ110</f>
        <v>250</v>
      </c>
      <c r="T110" s="1854"/>
      <c r="U110" s="1114"/>
      <c r="V110" s="1193"/>
      <c r="W110" s="1114"/>
      <c r="X110" s="1193"/>
      <c r="Y110" s="1929"/>
      <c r="Z110" s="1198"/>
      <c r="AA110" s="1199"/>
      <c r="AB110" s="1104"/>
      <c r="AC110" s="1104"/>
      <c r="AD110" s="1205"/>
      <c r="AE110" s="1197"/>
      <c r="AF110" s="1103"/>
      <c r="AG110" s="1104"/>
      <c r="AH110" s="1104">
        <v>3000</v>
      </c>
      <c r="AI110" s="1104"/>
      <c r="AJ110" s="1205"/>
      <c r="AK110" s="1768"/>
      <c r="AL110" s="1204"/>
      <c r="AM110" s="1103"/>
      <c r="AN110" s="1103"/>
      <c r="AO110" s="1103"/>
      <c r="AP110" s="1195"/>
      <c r="AQ110" s="1769"/>
      <c r="AR110" s="1204"/>
      <c r="AS110" s="1103"/>
      <c r="AT110" s="1104"/>
      <c r="AU110" s="1104"/>
      <c r="AV110" s="1205"/>
      <c r="AW110" s="1196"/>
      <c r="AX110" s="1909"/>
      <c r="AY110" s="1113"/>
      <c r="AZ110" s="1113"/>
      <c r="BA110" s="1113"/>
      <c r="BB110" s="1193"/>
      <c r="BC110" s="1768"/>
      <c r="BD110" s="1204"/>
      <c r="BE110" s="1104"/>
      <c r="BF110" s="1104"/>
      <c r="BG110" s="1104"/>
      <c r="BH110" s="1195"/>
      <c r="BI110" s="1769"/>
      <c r="BJ110" s="1204"/>
      <c r="BK110" s="1104"/>
      <c r="BL110" s="1104"/>
      <c r="BM110" s="1205"/>
      <c r="BN110" s="1205"/>
      <c r="BO110" s="1768"/>
      <c r="BP110" s="1786">
        <v>3000</v>
      </c>
      <c r="BQ110" s="1753"/>
      <c r="BR110" s="1754">
        <f t="shared" si="29"/>
        <v>5875</v>
      </c>
      <c r="BS110" s="1"/>
      <c r="BT110" s="1192">
        <f t="shared" si="30"/>
        <v>3000</v>
      </c>
    </row>
    <row r="111" spans="1:72" ht="16.2" thickBot="1" x14ac:dyDescent="0.35">
      <c r="A111" s="430"/>
      <c r="B111" s="421"/>
      <c r="C111" s="432" t="s">
        <v>198</v>
      </c>
      <c r="D111" s="386" t="s">
        <v>193</v>
      </c>
      <c r="E111" s="433">
        <f>+E110</f>
        <v>2.5</v>
      </c>
      <c r="F111" s="424"/>
      <c r="G111" s="386"/>
      <c r="H111" s="844">
        <f t="shared" si="26"/>
        <v>0</v>
      </c>
      <c r="I111" s="406"/>
      <c r="J111" s="385"/>
      <c r="K111" s="1560">
        <f t="shared" si="27"/>
        <v>0</v>
      </c>
      <c r="L111" s="1273">
        <f t="shared" si="27"/>
        <v>0</v>
      </c>
      <c r="M111" s="1274"/>
      <c r="N111" s="1273">
        <f t="shared" si="27"/>
        <v>0</v>
      </c>
      <c r="O111" s="1274">
        <f t="shared" si="27"/>
        <v>0</v>
      </c>
      <c r="P111" s="1273"/>
      <c r="Q111" s="1223"/>
      <c r="R111" s="1273"/>
      <c r="S111" s="1565"/>
      <c r="T111" s="1848"/>
      <c r="U111" s="1885"/>
      <c r="V111" s="1222"/>
      <c r="W111" s="1885"/>
      <c r="X111" s="1222"/>
      <c r="Y111" s="1923"/>
      <c r="Z111" s="1226"/>
      <c r="AA111" s="1227"/>
      <c r="AB111" s="1219"/>
      <c r="AC111" s="1219"/>
      <c r="AD111" s="1233"/>
      <c r="AE111" s="1225"/>
      <c r="AF111" s="1218"/>
      <c r="AG111" s="1219"/>
      <c r="AH111" s="1219"/>
      <c r="AI111" s="1219"/>
      <c r="AJ111" s="1233"/>
      <c r="AK111" s="1787"/>
      <c r="AL111" s="1232"/>
      <c r="AM111" s="1218"/>
      <c r="AN111" s="1218"/>
      <c r="AO111" s="1218"/>
      <c r="AP111" s="1281"/>
      <c r="AQ111" s="1788"/>
      <c r="AR111" s="1232"/>
      <c r="AS111" s="1218"/>
      <c r="AT111" s="1219"/>
      <c r="AU111" s="1219"/>
      <c r="AV111" s="1233"/>
      <c r="AW111" s="1221"/>
      <c r="AX111" s="1908"/>
      <c r="AY111" s="1239"/>
      <c r="AZ111" s="1239"/>
      <c r="BA111" s="1239"/>
      <c r="BB111" s="1827"/>
      <c r="BC111" s="1787"/>
      <c r="BD111" s="1232"/>
      <c r="BE111" s="1219"/>
      <c r="BF111" s="1219"/>
      <c r="BG111" s="1219"/>
      <c r="BH111" s="1281"/>
      <c r="BI111" s="1788"/>
      <c r="BJ111" s="1232"/>
      <c r="BK111" s="1219"/>
      <c r="BL111" s="1219"/>
      <c r="BM111" s="1233"/>
      <c r="BN111" s="1233"/>
      <c r="BO111" s="1787"/>
      <c r="BP111" s="1365"/>
      <c r="BQ111" s="1357"/>
      <c r="BR111" s="1759">
        <f t="shared" si="29"/>
        <v>0</v>
      </c>
      <c r="BS111" s="1"/>
      <c r="BT111" s="1192">
        <f t="shared" si="30"/>
        <v>0</v>
      </c>
    </row>
    <row r="112" spans="1:72" ht="15.6" x14ac:dyDescent="0.3">
      <c r="A112" s="159">
        <v>2618</v>
      </c>
      <c r="B112" s="360" t="s">
        <v>373</v>
      </c>
      <c r="C112" s="391" t="s">
        <v>199</v>
      </c>
      <c r="D112" s="392" t="s">
        <v>191</v>
      </c>
      <c r="E112" s="393">
        <v>2.9</v>
      </c>
      <c r="F112" s="364">
        <f>(BR112/G112)/7</f>
        <v>0</v>
      </c>
      <c r="G112" s="392">
        <v>383</v>
      </c>
      <c r="H112" s="841">
        <f t="shared" si="26"/>
        <v>1110.7</v>
      </c>
      <c r="I112" s="362">
        <v>7000</v>
      </c>
      <c r="J112" s="2041">
        <v>2289.3000000000002</v>
      </c>
      <c r="K112" s="1780">
        <f t="shared" si="27"/>
        <v>1178.6000000000001</v>
      </c>
      <c r="L112" s="1962">
        <v>3068</v>
      </c>
      <c r="M112" s="2042">
        <f t="shared" si="27"/>
        <v>1957.3</v>
      </c>
      <c r="N112" s="1962">
        <v>5847</v>
      </c>
      <c r="O112" s="1781">
        <f t="shared" si="27"/>
        <v>4736.3</v>
      </c>
      <c r="P112" s="1781">
        <f t="shared" si="27"/>
        <v>3625.6000000000004</v>
      </c>
      <c r="Q112" s="1781">
        <f t="shared" si="27"/>
        <v>2514.9000000000005</v>
      </c>
      <c r="R112" s="1781">
        <f t="shared" si="27"/>
        <v>1404.2000000000005</v>
      </c>
      <c r="S112" s="1782">
        <f>R112-$H112</f>
        <v>293.50000000000045</v>
      </c>
      <c r="T112" s="1868"/>
      <c r="U112" s="1895"/>
      <c r="V112" s="1831"/>
      <c r="W112" s="1895"/>
      <c r="X112" s="1831"/>
      <c r="Y112" s="1930"/>
      <c r="Z112" s="1245"/>
      <c r="AA112" s="1254"/>
      <c r="AB112" s="1254"/>
      <c r="AC112" s="1376"/>
      <c r="AD112" s="1386"/>
      <c r="AE112" s="1761"/>
      <c r="AF112" s="1789"/>
      <c r="AG112" s="1790"/>
      <c r="AH112" s="1790"/>
      <c r="AI112" s="1790">
        <v>3000</v>
      </c>
      <c r="AJ112" s="1628"/>
      <c r="AK112" s="1762"/>
      <c r="AL112" s="1791"/>
      <c r="AM112" s="1789"/>
      <c r="AN112" s="1789"/>
      <c r="AO112" s="1789"/>
      <c r="AP112" s="1242"/>
      <c r="AQ112" s="1763"/>
      <c r="AR112" s="1791"/>
      <c r="AS112" s="1789"/>
      <c r="AT112" s="1790"/>
      <c r="AU112" s="1790">
        <v>5000</v>
      </c>
      <c r="AV112" s="1628"/>
      <c r="AW112" s="1764"/>
      <c r="AX112" s="1791"/>
      <c r="AY112" s="1789"/>
      <c r="AZ112" s="1789"/>
      <c r="BA112" s="1789"/>
      <c r="BB112" s="1242"/>
      <c r="BC112" s="1762"/>
      <c r="BD112" s="1791"/>
      <c r="BE112" s="1790"/>
      <c r="BF112" s="1790"/>
      <c r="BG112" s="1790"/>
      <c r="BH112" s="1242"/>
      <c r="BI112" s="1763"/>
      <c r="BJ112" s="1791"/>
      <c r="BK112" s="1790"/>
      <c r="BL112" s="1790"/>
      <c r="BM112" s="1628"/>
      <c r="BN112" s="1628"/>
      <c r="BO112" s="1762"/>
      <c r="BP112" s="1783"/>
      <c r="BQ112" s="1792">
        <f t="shared" si="31"/>
        <v>2289.3000000000002</v>
      </c>
      <c r="BR112" s="1785">
        <f t="shared" si="29"/>
        <v>0</v>
      </c>
      <c r="BT112" s="1192">
        <f t="shared" si="30"/>
        <v>8000</v>
      </c>
    </row>
    <row r="113" spans="1:72" ht="15.6" x14ac:dyDescent="0.3">
      <c r="A113" s="150"/>
      <c r="B113" s="401" t="s">
        <v>379</v>
      </c>
      <c r="C113" s="398" t="s">
        <v>200</v>
      </c>
      <c r="D113" s="375" t="s">
        <v>191</v>
      </c>
      <c r="E113" s="399">
        <f>+E112</f>
        <v>2.9</v>
      </c>
      <c r="F113" s="400"/>
      <c r="G113" s="375">
        <v>228</v>
      </c>
      <c r="H113" s="842">
        <f t="shared" si="26"/>
        <v>661.19999999999993</v>
      </c>
      <c r="I113" s="375">
        <v>5000</v>
      </c>
      <c r="J113" s="2034">
        <v>2338.8000000000002</v>
      </c>
      <c r="K113" s="1395">
        <f t="shared" si="27"/>
        <v>1677.6000000000004</v>
      </c>
      <c r="L113" s="1955">
        <v>4016</v>
      </c>
      <c r="M113" s="1194">
        <f t="shared" si="27"/>
        <v>3354.8</v>
      </c>
      <c r="N113" s="1955">
        <v>3694</v>
      </c>
      <c r="O113" s="1194">
        <f t="shared" si="27"/>
        <v>3032.8</v>
      </c>
      <c r="P113" s="1193">
        <f t="shared" si="27"/>
        <v>2371.6000000000004</v>
      </c>
      <c r="Q113" s="1194">
        <f t="shared" si="27"/>
        <v>1710.4000000000005</v>
      </c>
      <c r="R113" s="1193">
        <f t="shared" si="27"/>
        <v>1049.2000000000007</v>
      </c>
      <c r="S113" s="1342">
        <f>R113-$H113+BK113</f>
        <v>388.0000000000008</v>
      </c>
      <c r="T113" s="1854"/>
      <c r="U113" s="1114"/>
      <c r="V113" s="1193"/>
      <c r="W113" s="1114"/>
      <c r="X113" s="1193"/>
      <c r="Y113" s="1929"/>
      <c r="Z113" s="1198"/>
      <c r="AA113" s="1199"/>
      <c r="AB113" s="1199"/>
      <c r="AC113" s="1104"/>
      <c r="AD113" s="1205"/>
      <c r="AE113" s="1197"/>
      <c r="AF113" s="1103"/>
      <c r="AG113" s="1104"/>
      <c r="AH113" s="1104"/>
      <c r="AI113" s="1104">
        <v>3000</v>
      </c>
      <c r="AJ113" s="1205"/>
      <c r="AK113" s="1768"/>
      <c r="AL113" s="1204"/>
      <c r="AM113" s="1103"/>
      <c r="AN113" s="1103"/>
      <c r="AO113" s="1103"/>
      <c r="AP113" s="1195"/>
      <c r="AQ113" s="1769"/>
      <c r="AR113" s="1204"/>
      <c r="AS113" s="1103"/>
      <c r="AT113" s="1104"/>
      <c r="AU113" s="1104">
        <v>1000</v>
      </c>
      <c r="AV113" s="1205"/>
      <c r="AW113" s="1196"/>
      <c r="AX113" s="1909"/>
      <c r="AY113" s="1113"/>
      <c r="AZ113" s="1113"/>
      <c r="BA113" s="1113"/>
      <c r="BB113" s="1193"/>
      <c r="BC113" s="1768"/>
      <c r="BD113" s="1204"/>
      <c r="BE113" s="1104"/>
      <c r="BF113" s="1104"/>
      <c r="BG113" s="1104"/>
      <c r="BH113" s="1195"/>
      <c r="BI113" s="1769"/>
      <c r="BJ113" s="1204"/>
      <c r="BK113" s="1104"/>
      <c r="BL113" s="1104"/>
      <c r="BM113" s="1205"/>
      <c r="BN113" s="1205"/>
      <c r="BO113" s="1768"/>
      <c r="BP113" s="1786"/>
      <c r="BQ113" s="1357"/>
      <c r="BR113" s="1754">
        <f t="shared" si="29"/>
        <v>2338.8000000000002</v>
      </c>
      <c r="BS113" s="1"/>
      <c r="BT113" s="1192">
        <f t="shared" si="30"/>
        <v>4000</v>
      </c>
    </row>
    <row r="114" spans="1:72" ht="16.2" thickBot="1" x14ac:dyDescent="0.35">
      <c r="A114" s="169"/>
      <c r="B114" s="431"/>
      <c r="C114" s="405" t="s">
        <v>201</v>
      </c>
      <c r="D114" s="406" t="s">
        <v>191</v>
      </c>
      <c r="E114" s="407">
        <f>+E113</f>
        <v>2.9</v>
      </c>
      <c r="F114" s="424"/>
      <c r="G114" s="406"/>
      <c r="H114" s="843">
        <f t="shared" si="26"/>
        <v>0</v>
      </c>
      <c r="I114" s="406"/>
      <c r="J114" s="406"/>
      <c r="K114" s="1560">
        <f t="shared" si="27"/>
        <v>0</v>
      </c>
      <c r="L114" s="1273">
        <f t="shared" si="27"/>
        <v>0</v>
      </c>
      <c r="M114" s="1274">
        <f t="shared" si="27"/>
        <v>0</v>
      </c>
      <c r="N114" s="1273">
        <f t="shared" si="27"/>
        <v>0</v>
      </c>
      <c r="O114" s="1274">
        <f t="shared" si="27"/>
        <v>0</v>
      </c>
      <c r="P114" s="1273">
        <f t="shared" si="27"/>
        <v>0</v>
      </c>
      <c r="Q114" s="1223">
        <f t="shared" si="27"/>
        <v>0</v>
      </c>
      <c r="R114" s="1273">
        <f t="shared" si="27"/>
        <v>0</v>
      </c>
      <c r="S114" s="1565">
        <f>R114-$H114+BK114</f>
        <v>0</v>
      </c>
      <c r="T114" s="1848"/>
      <c r="U114" s="1885"/>
      <c r="V114" s="1222"/>
      <c r="W114" s="1885"/>
      <c r="X114" s="1222"/>
      <c r="Y114" s="1923"/>
      <c r="Z114" s="1838"/>
      <c r="AA114" s="1779"/>
      <c r="AB114" s="1779"/>
      <c r="AC114" s="1776"/>
      <c r="AD114" s="1777"/>
      <c r="AE114" s="1772"/>
      <c r="AF114" s="1770"/>
      <c r="AG114" s="1776"/>
      <c r="AH114" s="1776"/>
      <c r="AI114" s="1776"/>
      <c r="AJ114" s="1777"/>
      <c r="AK114" s="1773"/>
      <c r="AL114" s="1774"/>
      <c r="AM114" s="1770"/>
      <c r="AN114" s="1770"/>
      <c r="AO114" s="1770"/>
      <c r="AP114" s="1771"/>
      <c r="AQ114" s="1775"/>
      <c r="AR114" s="1774"/>
      <c r="AS114" s="1770"/>
      <c r="AT114" s="1776"/>
      <c r="AU114" s="1776"/>
      <c r="AV114" s="1777"/>
      <c r="AW114" s="1778"/>
      <c r="AX114" s="1987"/>
      <c r="AY114" s="2036"/>
      <c r="AZ114" s="2036"/>
      <c r="BA114" s="2036"/>
      <c r="BB114" s="1590"/>
      <c r="BC114" s="1773"/>
      <c r="BD114" s="1774"/>
      <c r="BE114" s="1776"/>
      <c r="BF114" s="1776"/>
      <c r="BG114" s="1776"/>
      <c r="BH114" s="1771"/>
      <c r="BI114" s="1775"/>
      <c r="BJ114" s="1774"/>
      <c r="BK114" s="1776"/>
      <c r="BL114" s="1776"/>
      <c r="BM114" s="1777"/>
      <c r="BN114" s="1777"/>
      <c r="BO114" s="1773"/>
      <c r="BP114" s="1267"/>
      <c r="BQ114" s="1269"/>
      <c r="BR114" s="1793">
        <f t="shared" si="29"/>
        <v>0</v>
      </c>
      <c r="BS114" s="1"/>
      <c r="BT114" s="1192">
        <f t="shared" si="30"/>
        <v>0</v>
      </c>
    </row>
    <row r="115" spans="1:72" ht="15.6" x14ac:dyDescent="0.3">
      <c r="A115" s="425">
        <v>2617</v>
      </c>
      <c r="B115" s="394"/>
      <c r="C115" s="361" t="s">
        <v>202</v>
      </c>
      <c r="D115" s="362" t="s">
        <v>191</v>
      </c>
      <c r="E115" s="363">
        <v>2.9</v>
      </c>
      <c r="F115" s="364" t="e">
        <f>(BR115/G115)/7</f>
        <v>#DIV/0!</v>
      </c>
      <c r="G115" s="362"/>
      <c r="H115" s="840">
        <f t="shared" si="26"/>
        <v>0</v>
      </c>
      <c r="I115" s="362"/>
      <c r="J115" s="2034"/>
      <c r="K115" s="1781">
        <f t="shared" si="27"/>
        <v>0</v>
      </c>
      <c r="L115" s="1781">
        <f t="shared" si="27"/>
        <v>0</v>
      </c>
      <c r="M115" s="2042">
        <f t="shared" si="27"/>
        <v>0</v>
      </c>
      <c r="N115" s="1781">
        <f t="shared" si="27"/>
        <v>0</v>
      </c>
      <c r="O115" s="1781">
        <f t="shared" si="27"/>
        <v>0</v>
      </c>
      <c r="P115" s="1781">
        <f t="shared" si="27"/>
        <v>0</v>
      </c>
      <c r="Q115" s="1781">
        <f t="shared" si="27"/>
        <v>0</v>
      </c>
      <c r="R115" s="1781">
        <f t="shared" si="27"/>
        <v>0</v>
      </c>
      <c r="S115" s="1782">
        <f>R115-$H115</f>
        <v>0</v>
      </c>
      <c r="T115" s="1848"/>
      <c r="U115" s="1885"/>
      <c r="V115" s="1222"/>
      <c r="W115" s="1885"/>
      <c r="X115" s="1222"/>
      <c r="Y115" s="1923"/>
      <c r="Z115" s="1176"/>
      <c r="AA115" s="1177"/>
      <c r="AB115" s="1177"/>
      <c r="AC115" s="1096"/>
      <c r="AD115" s="1097"/>
      <c r="AE115" s="1215"/>
      <c r="AF115" s="1187"/>
      <c r="AG115" s="1183"/>
      <c r="AH115" s="1183"/>
      <c r="AI115" s="1183"/>
      <c r="AJ115" s="1744"/>
      <c r="AK115" s="1745"/>
      <c r="AL115" s="1746"/>
      <c r="AM115" s="1187"/>
      <c r="AN115" s="1187"/>
      <c r="AO115" s="1187"/>
      <c r="AP115" s="1273"/>
      <c r="AQ115" s="1748"/>
      <c r="AR115" s="1746"/>
      <c r="AS115" s="1187"/>
      <c r="AT115" s="1183"/>
      <c r="AU115" s="1183"/>
      <c r="AV115" s="1744"/>
      <c r="AW115" s="1214"/>
      <c r="AX115" s="1746"/>
      <c r="AY115" s="1187"/>
      <c r="AZ115" s="1187"/>
      <c r="BA115" s="1187"/>
      <c r="BB115" s="1273"/>
      <c r="BC115" s="1745"/>
      <c r="BD115" s="1746"/>
      <c r="BE115" s="1183"/>
      <c r="BF115" s="1183"/>
      <c r="BG115" s="1183"/>
      <c r="BH115" s="1273"/>
      <c r="BI115" s="1748"/>
      <c r="BJ115" s="1746"/>
      <c r="BK115" s="1183"/>
      <c r="BL115" s="1183"/>
      <c r="BM115" s="1744"/>
      <c r="BN115" s="1744"/>
      <c r="BO115" s="1745"/>
      <c r="BP115" s="1783">
        <v>9000</v>
      </c>
      <c r="BQ115" s="1784">
        <f t="shared" si="31"/>
        <v>0</v>
      </c>
      <c r="BR115" s="1785">
        <f t="shared" si="29"/>
        <v>9000</v>
      </c>
      <c r="BT115" s="1192">
        <f t="shared" si="30"/>
        <v>0</v>
      </c>
    </row>
    <row r="116" spans="1:72" ht="15.6" x14ac:dyDescent="0.3">
      <c r="A116" s="428"/>
      <c r="B116" s="401"/>
      <c r="C116" s="398" t="s">
        <v>203</v>
      </c>
      <c r="D116" s="375" t="s">
        <v>191</v>
      </c>
      <c r="E116" s="399">
        <f>+E115</f>
        <v>2.9</v>
      </c>
      <c r="F116" s="400"/>
      <c r="G116" s="375"/>
      <c r="H116" s="842">
        <f t="shared" si="26"/>
        <v>0</v>
      </c>
      <c r="I116" s="375"/>
      <c r="J116" s="2034"/>
      <c r="K116" s="1395">
        <f t="shared" si="27"/>
        <v>0</v>
      </c>
      <c r="L116" s="1193">
        <f t="shared" si="27"/>
        <v>0</v>
      </c>
      <c r="M116" s="1194">
        <f t="shared" si="27"/>
        <v>0</v>
      </c>
      <c r="N116" s="1193">
        <f t="shared" si="27"/>
        <v>0</v>
      </c>
      <c r="O116" s="1194">
        <f t="shared" si="27"/>
        <v>0</v>
      </c>
      <c r="P116" s="1193">
        <f t="shared" si="27"/>
        <v>0</v>
      </c>
      <c r="Q116" s="1194">
        <f t="shared" si="27"/>
        <v>0</v>
      </c>
      <c r="R116" s="1193">
        <f t="shared" si="27"/>
        <v>0</v>
      </c>
      <c r="S116" s="1342">
        <f>R116-$H116+BK116</f>
        <v>0</v>
      </c>
      <c r="T116" s="1854"/>
      <c r="U116" s="1114"/>
      <c r="V116" s="1193"/>
      <c r="W116" s="1114"/>
      <c r="X116" s="1193"/>
      <c r="Y116" s="1929"/>
      <c r="Z116" s="1198"/>
      <c r="AA116" s="1199"/>
      <c r="AB116" s="1199"/>
      <c r="AC116" s="1104"/>
      <c r="AD116" s="1205"/>
      <c r="AE116" s="1197"/>
      <c r="AF116" s="1103"/>
      <c r="AG116" s="1104"/>
      <c r="AH116" s="1104"/>
      <c r="AI116" s="1104"/>
      <c r="AJ116" s="1205"/>
      <c r="AK116" s="1768"/>
      <c r="AL116" s="1204"/>
      <c r="AM116" s="1103"/>
      <c r="AN116" s="1103"/>
      <c r="AO116" s="1103"/>
      <c r="AP116" s="1195"/>
      <c r="AQ116" s="1769"/>
      <c r="AR116" s="1204"/>
      <c r="AS116" s="1103"/>
      <c r="AT116" s="1104"/>
      <c r="AU116" s="1104"/>
      <c r="AV116" s="1205"/>
      <c r="AW116" s="1196"/>
      <c r="AX116" s="1909"/>
      <c r="AY116" s="1113"/>
      <c r="AZ116" s="1113"/>
      <c r="BA116" s="1113"/>
      <c r="BB116" s="1193"/>
      <c r="BC116" s="1768"/>
      <c r="BD116" s="1204"/>
      <c r="BE116" s="1104"/>
      <c r="BF116" s="1104"/>
      <c r="BG116" s="1104"/>
      <c r="BH116" s="1195"/>
      <c r="BI116" s="1769"/>
      <c r="BJ116" s="1204"/>
      <c r="BK116" s="1104"/>
      <c r="BL116" s="1104"/>
      <c r="BM116" s="1205"/>
      <c r="BN116" s="1205"/>
      <c r="BO116" s="1768"/>
      <c r="BP116" s="1752"/>
      <c r="BQ116" s="1753"/>
      <c r="BR116" s="1754">
        <f t="shared" si="29"/>
        <v>0</v>
      </c>
      <c r="BS116" s="1"/>
      <c r="BT116" s="1192">
        <f t="shared" si="30"/>
        <v>0</v>
      </c>
    </row>
    <row r="117" spans="1:72" ht="16.2" thickBot="1" x14ac:dyDescent="0.35">
      <c r="A117" s="444"/>
      <c r="B117" s="411" t="s">
        <v>506</v>
      </c>
      <c r="C117" s="432" t="s">
        <v>204</v>
      </c>
      <c r="D117" s="386" t="s">
        <v>191</v>
      </c>
      <c r="E117" s="433">
        <f>+E116</f>
        <v>2.9</v>
      </c>
      <c r="F117" s="424"/>
      <c r="G117" s="386">
        <v>615</v>
      </c>
      <c r="H117" s="844">
        <f t="shared" si="26"/>
        <v>1783.5</v>
      </c>
      <c r="I117" s="406"/>
      <c r="J117" s="406"/>
      <c r="K117" s="1560">
        <f t="shared" si="27"/>
        <v>-1783.5</v>
      </c>
      <c r="L117" s="1273">
        <f t="shared" si="27"/>
        <v>-3567</v>
      </c>
      <c r="M117" s="1274">
        <f t="shared" si="27"/>
        <v>-5350.5</v>
      </c>
      <c r="N117" s="1273">
        <f t="shared" si="27"/>
        <v>-7134</v>
      </c>
      <c r="O117" s="1274">
        <f t="shared" si="27"/>
        <v>-8917.5</v>
      </c>
      <c r="P117" s="1273">
        <f t="shared" si="27"/>
        <v>-10701</v>
      </c>
      <c r="Q117" s="1223">
        <f t="shared" si="27"/>
        <v>-12484.5</v>
      </c>
      <c r="R117" s="1273">
        <f t="shared" si="27"/>
        <v>-14268</v>
      </c>
      <c r="S117" s="1565">
        <f>R117-$H117+BK117</f>
        <v>-16051.5</v>
      </c>
      <c r="T117" s="1848"/>
      <c r="U117" s="1885"/>
      <c r="V117" s="1222"/>
      <c r="W117" s="1885"/>
      <c r="X117" s="1222"/>
      <c r="Y117" s="1923"/>
      <c r="Z117" s="1226"/>
      <c r="AA117" s="1227"/>
      <c r="AB117" s="1227"/>
      <c r="AC117" s="1219"/>
      <c r="AD117" s="1233"/>
      <c r="AE117" s="1225"/>
      <c r="AF117" s="1218"/>
      <c r="AG117" s="1219"/>
      <c r="AH117" s="1219"/>
      <c r="AI117" s="1219"/>
      <c r="AJ117" s="1233"/>
      <c r="AK117" s="1787"/>
      <c r="AL117" s="1232"/>
      <c r="AM117" s="1218"/>
      <c r="AN117" s="1218"/>
      <c r="AO117" s="1218"/>
      <c r="AP117" s="1281"/>
      <c r="AQ117" s="1788"/>
      <c r="AR117" s="1232"/>
      <c r="AS117" s="1218"/>
      <c r="AT117" s="1219"/>
      <c r="AU117" s="1219"/>
      <c r="AV117" s="1233"/>
      <c r="AW117" s="1221"/>
      <c r="AX117" s="1908"/>
      <c r="AY117" s="1239"/>
      <c r="AZ117" s="1239"/>
      <c r="BA117" s="1239"/>
      <c r="BB117" s="1827"/>
      <c r="BC117" s="1787"/>
      <c r="BD117" s="1232"/>
      <c r="BE117" s="1219"/>
      <c r="BF117" s="1219"/>
      <c r="BG117" s="1219"/>
      <c r="BH117" s="1281"/>
      <c r="BI117" s="1788"/>
      <c r="BJ117" s="1232"/>
      <c r="BK117" s="1219"/>
      <c r="BL117" s="1219"/>
      <c r="BM117" s="1233"/>
      <c r="BN117" s="1233"/>
      <c r="BO117" s="1787"/>
      <c r="BP117" s="1365"/>
      <c r="BQ117" s="1357"/>
      <c r="BR117" s="1793">
        <f t="shared" si="29"/>
        <v>0</v>
      </c>
      <c r="BS117" s="1"/>
      <c r="BT117" s="1192">
        <f t="shared" si="30"/>
        <v>0</v>
      </c>
    </row>
    <row r="118" spans="1:72" ht="15.6" x14ac:dyDescent="0.3">
      <c r="A118" s="445">
        <v>2616</v>
      </c>
      <c r="B118" s="360" t="s">
        <v>373</v>
      </c>
      <c r="C118" s="391" t="s">
        <v>205</v>
      </c>
      <c r="D118" s="392" t="s">
        <v>209</v>
      </c>
      <c r="E118" s="393">
        <v>3.1</v>
      </c>
      <c r="F118" s="364">
        <v>3.1</v>
      </c>
      <c r="G118" s="392">
        <v>384</v>
      </c>
      <c r="H118" s="841">
        <f t="shared" si="26"/>
        <v>1190.4000000000001</v>
      </c>
      <c r="I118" s="362">
        <v>7000</v>
      </c>
      <c r="J118" s="2034">
        <v>3009.6</v>
      </c>
      <c r="K118" s="1243">
        <f t="shared" si="27"/>
        <v>1819.1999999999998</v>
      </c>
      <c r="L118" s="1958">
        <v>6629</v>
      </c>
      <c r="M118" s="1960">
        <f t="shared" si="27"/>
        <v>5438.6</v>
      </c>
      <c r="N118" s="1958">
        <v>7248</v>
      </c>
      <c r="O118" s="1243">
        <f t="shared" si="27"/>
        <v>6057.6</v>
      </c>
      <c r="P118" s="1243">
        <f t="shared" si="27"/>
        <v>4867.2000000000007</v>
      </c>
      <c r="Q118" s="1243">
        <f t="shared" si="27"/>
        <v>3676.8000000000006</v>
      </c>
      <c r="R118" s="1243">
        <f t="shared" si="27"/>
        <v>2486.4000000000005</v>
      </c>
      <c r="S118" s="1579">
        <f>R118-$H118</f>
        <v>1296.0000000000005</v>
      </c>
      <c r="T118" s="1852"/>
      <c r="U118" s="1790"/>
      <c r="V118" s="1242"/>
      <c r="W118" s="1790"/>
      <c r="X118" s="1242"/>
      <c r="Y118" s="1921"/>
      <c r="Z118" s="1245"/>
      <c r="AA118" s="1254"/>
      <c r="AB118" s="1254"/>
      <c r="AC118" s="1376"/>
      <c r="AD118" s="1386"/>
      <c r="AE118" s="1761"/>
      <c r="AF118" s="1760"/>
      <c r="AG118" s="1376"/>
      <c r="AH118" s="1376"/>
      <c r="AI118" s="1376"/>
      <c r="AJ118" s="1386">
        <v>6000</v>
      </c>
      <c r="AK118" s="1762"/>
      <c r="AL118" s="1382"/>
      <c r="AM118" s="1760"/>
      <c r="AN118" s="1760"/>
      <c r="AO118" s="1760"/>
      <c r="AP118" s="1244"/>
      <c r="AQ118" s="1763"/>
      <c r="AR118" s="1382"/>
      <c r="AS118" s="1760"/>
      <c r="AT118" s="1376"/>
      <c r="AU118" s="1376"/>
      <c r="AV118" s="1386">
        <v>3000</v>
      </c>
      <c r="AW118" s="1764"/>
      <c r="AX118" s="1791"/>
      <c r="AY118" s="1789"/>
      <c r="AZ118" s="1789"/>
      <c r="BA118" s="1789"/>
      <c r="BB118" s="1242"/>
      <c r="BC118" s="1762"/>
      <c r="BD118" s="1382"/>
      <c r="BE118" s="1376"/>
      <c r="BF118" s="1376"/>
      <c r="BG118" s="1376"/>
      <c r="BH118" s="1244"/>
      <c r="BI118" s="1763"/>
      <c r="BJ118" s="1382"/>
      <c r="BK118" s="1376"/>
      <c r="BL118" s="1376"/>
      <c r="BM118" s="1386"/>
      <c r="BN118" s="1386"/>
      <c r="BO118" s="1762"/>
      <c r="BP118" s="1765">
        <v>8000</v>
      </c>
      <c r="BQ118" s="1766">
        <f t="shared" si="31"/>
        <v>3009.6</v>
      </c>
      <c r="BR118" s="1767">
        <f t="shared" si="29"/>
        <v>8000</v>
      </c>
      <c r="BS118" s="1"/>
      <c r="BT118" s="1192">
        <f t="shared" si="30"/>
        <v>9000</v>
      </c>
    </row>
    <row r="119" spans="1:72" ht="15.6" x14ac:dyDescent="0.3">
      <c r="A119" s="418"/>
      <c r="B119" s="401"/>
      <c r="C119" s="632" t="s">
        <v>206</v>
      </c>
      <c r="D119" s="375" t="s">
        <v>209</v>
      </c>
      <c r="E119" s="399">
        <v>3.1</v>
      </c>
      <c r="F119" s="400"/>
      <c r="G119" s="375"/>
      <c r="H119" s="842">
        <f t="shared" si="26"/>
        <v>0</v>
      </c>
      <c r="I119" s="375"/>
      <c r="J119" s="2034"/>
      <c r="K119" s="1437">
        <f t="shared" si="27"/>
        <v>0</v>
      </c>
      <c r="L119" s="1222">
        <f t="shared" si="27"/>
        <v>0</v>
      </c>
      <c r="M119" s="1223">
        <f t="shared" si="27"/>
        <v>0</v>
      </c>
      <c r="N119" s="1222">
        <f t="shared" si="27"/>
        <v>0</v>
      </c>
      <c r="O119" s="1223">
        <f t="shared" si="27"/>
        <v>0</v>
      </c>
      <c r="P119" s="1222">
        <f t="shared" si="27"/>
        <v>0</v>
      </c>
      <c r="Q119" s="1223">
        <f t="shared" si="27"/>
        <v>0</v>
      </c>
      <c r="R119" s="1222">
        <f t="shared" si="27"/>
        <v>0</v>
      </c>
      <c r="S119" s="1438">
        <f>R119-$H119+BK119</f>
        <v>0</v>
      </c>
      <c r="T119" s="1848"/>
      <c r="U119" s="1885"/>
      <c r="V119" s="1222"/>
      <c r="W119" s="1885"/>
      <c r="X119" s="1222"/>
      <c r="Y119" s="1923"/>
      <c r="Z119" s="1198"/>
      <c r="AA119" s="1199"/>
      <c r="AB119" s="1199"/>
      <c r="AC119" s="1104"/>
      <c r="AD119" s="1205"/>
      <c r="AE119" s="1197"/>
      <c r="AF119" s="1103"/>
      <c r="AG119" s="1104"/>
      <c r="AH119" s="1104"/>
      <c r="AI119" s="1104"/>
      <c r="AJ119" s="1205"/>
      <c r="AK119" s="1768"/>
      <c r="AL119" s="1204"/>
      <c r="AM119" s="1103"/>
      <c r="AN119" s="1103"/>
      <c r="AO119" s="1103"/>
      <c r="AP119" s="1195"/>
      <c r="AQ119" s="1769"/>
      <c r="AR119" s="1204"/>
      <c r="AS119" s="1103"/>
      <c r="AT119" s="1104"/>
      <c r="AU119" s="1104"/>
      <c r="AV119" s="1205"/>
      <c r="AW119" s="1196"/>
      <c r="AX119" s="1909"/>
      <c r="AY119" s="1113"/>
      <c r="AZ119" s="1113"/>
      <c r="BA119" s="1113"/>
      <c r="BB119" s="1193"/>
      <c r="BC119" s="1768"/>
      <c r="BD119" s="1204"/>
      <c r="BE119" s="1104"/>
      <c r="BF119" s="1104"/>
      <c r="BG119" s="1104"/>
      <c r="BH119" s="1195"/>
      <c r="BI119" s="1769"/>
      <c r="BJ119" s="1204"/>
      <c r="BK119" s="1104"/>
      <c r="BL119" s="1104"/>
      <c r="BM119" s="1205"/>
      <c r="BN119" s="1205"/>
      <c r="BO119" s="1768"/>
      <c r="BP119" s="1786"/>
      <c r="BQ119" s="1753">
        <f t="shared" si="31"/>
        <v>0</v>
      </c>
      <c r="BR119" s="1754">
        <f t="shared" si="29"/>
        <v>0</v>
      </c>
      <c r="BS119" s="1"/>
      <c r="BT119" s="1192">
        <f t="shared" si="30"/>
        <v>0</v>
      </c>
    </row>
    <row r="120" spans="1:72" ht="15.6" x14ac:dyDescent="0.3">
      <c r="A120" s="447"/>
      <c r="B120" s="431" t="s">
        <v>507</v>
      </c>
      <c r="C120" s="398" t="s">
        <v>207</v>
      </c>
      <c r="D120" s="375" t="s">
        <v>209</v>
      </c>
      <c r="E120" s="399">
        <f>+E119</f>
        <v>3.1</v>
      </c>
      <c r="F120" s="637"/>
      <c r="G120" s="375">
        <v>192</v>
      </c>
      <c r="H120" s="842">
        <f t="shared" si="26"/>
        <v>595.20000000000005</v>
      </c>
      <c r="I120" s="375"/>
      <c r="J120" s="375"/>
      <c r="K120" s="1193">
        <f t="shared" si="27"/>
        <v>-595.20000000000005</v>
      </c>
      <c r="L120" s="1115">
        <f t="shared" si="27"/>
        <v>-1190.4000000000001</v>
      </c>
      <c r="M120" s="1194">
        <f t="shared" si="27"/>
        <v>-1785.6000000000001</v>
      </c>
      <c r="N120" s="1193">
        <f t="shared" si="27"/>
        <v>-2380.8000000000002</v>
      </c>
      <c r="O120" s="1794">
        <f t="shared" si="27"/>
        <v>-2976</v>
      </c>
      <c r="P120" s="1115">
        <f t="shared" si="27"/>
        <v>-3571.2</v>
      </c>
      <c r="Q120" s="1194">
        <f t="shared" si="27"/>
        <v>-4166.3999999999996</v>
      </c>
      <c r="R120" s="1193">
        <f t="shared" si="27"/>
        <v>-4761.5999999999995</v>
      </c>
      <c r="S120" s="1342">
        <f>R120-$H120+BK120</f>
        <v>-5356.7999999999993</v>
      </c>
      <c r="T120" s="1854"/>
      <c r="U120" s="1114"/>
      <c r="V120" s="1193"/>
      <c r="W120" s="1114"/>
      <c r="X120" s="1193"/>
      <c r="Y120" s="1929"/>
      <c r="Z120" s="1198"/>
      <c r="AA120" s="1199"/>
      <c r="AB120" s="1199"/>
      <c r="AC120" s="1104"/>
      <c r="AD120" s="1205"/>
      <c r="AE120" s="1197"/>
      <c r="AF120" s="1103"/>
      <c r="AG120" s="1104"/>
      <c r="AH120" s="1104"/>
      <c r="AI120" s="1104"/>
      <c r="AJ120" s="1205"/>
      <c r="AK120" s="1768"/>
      <c r="AL120" s="1204"/>
      <c r="AM120" s="1104"/>
      <c r="AN120" s="1103"/>
      <c r="AO120" s="1103"/>
      <c r="AP120" s="1195"/>
      <c r="AQ120" s="1769"/>
      <c r="AR120" s="1204"/>
      <c r="AS120" s="1103"/>
      <c r="AT120" s="1104"/>
      <c r="AU120" s="1104"/>
      <c r="AV120" s="1205"/>
      <c r="AW120" s="1196"/>
      <c r="AX120" s="1909"/>
      <c r="AY120" s="1113"/>
      <c r="AZ120" s="1113"/>
      <c r="BA120" s="1113"/>
      <c r="BB120" s="1193"/>
      <c r="BC120" s="1768"/>
      <c r="BD120" s="1204"/>
      <c r="BE120" s="1104"/>
      <c r="BF120" s="1104"/>
      <c r="BG120" s="1104"/>
      <c r="BH120" s="1195"/>
      <c r="BI120" s="1769"/>
      <c r="BJ120" s="1204"/>
      <c r="BK120" s="1104"/>
      <c r="BL120" s="1104"/>
      <c r="BM120" s="1205"/>
      <c r="BN120" s="1205"/>
      <c r="BO120" s="1768"/>
      <c r="BP120" s="1188"/>
      <c r="BQ120" s="1177"/>
      <c r="BR120" s="1795">
        <f t="shared" si="29"/>
        <v>0</v>
      </c>
      <c r="BS120" s="1"/>
      <c r="BT120" s="1192">
        <f t="shared" si="30"/>
        <v>0</v>
      </c>
    </row>
    <row r="121" spans="1:72" ht="16.2" thickBot="1" x14ac:dyDescent="0.35">
      <c r="A121" s="420">
        <v>2615</v>
      </c>
      <c r="B121" s="431" t="s">
        <v>372</v>
      </c>
      <c r="C121" s="634" t="s">
        <v>207</v>
      </c>
      <c r="D121" s="409" t="s">
        <v>209</v>
      </c>
      <c r="E121" s="635">
        <f>+E120</f>
        <v>3.1</v>
      </c>
      <c r="F121" s="636"/>
      <c r="G121" s="409"/>
      <c r="H121" s="845">
        <f t="shared" si="26"/>
        <v>0</v>
      </c>
      <c r="I121" s="409"/>
      <c r="J121" s="2043"/>
      <c r="K121" s="1420">
        <f t="shared" si="27"/>
        <v>0</v>
      </c>
      <c r="L121" s="1257">
        <f t="shared" si="27"/>
        <v>0</v>
      </c>
      <c r="M121" s="1258">
        <f t="shared" si="27"/>
        <v>0</v>
      </c>
      <c r="N121" s="1257">
        <f t="shared" si="27"/>
        <v>0</v>
      </c>
      <c r="O121" s="1258">
        <f t="shared" si="27"/>
        <v>0</v>
      </c>
      <c r="P121" s="1257">
        <f t="shared" si="27"/>
        <v>0</v>
      </c>
      <c r="Q121" s="1258">
        <f t="shared" si="27"/>
        <v>0</v>
      </c>
      <c r="R121" s="1257">
        <f t="shared" si="27"/>
        <v>0</v>
      </c>
      <c r="S121" s="1633">
        <f>R121-$H121+BK121</f>
        <v>0</v>
      </c>
      <c r="T121" s="1856"/>
      <c r="U121" s="1650"/>
      <c r="V121" s="1257"/>
      <c r="W121" s="1650"/>
      <c r="X121" s="1257"/>
      <c r="Y121" s="1924"/>
      <c r="Z121" s="1260"/>
      <c r="AA121" s="1269"/>
      <c r="AB121" s="1269"/>
      <c r="AC121" s="1421"/>
      <c r="AD121" s="1431"/>
      <c r="AE121" s="1796"/>
      <c r="AF121" s="1797"/>
      <c r="AG121" s="1421"/>
      <c r="AH121" s="1421"/>
      <c r="AI121" s="1421"/>
      <c r="AJ121" s="1431"/>
      <c r="AK121" s="1798"/>
      <c r="AL121" s="1427"/>
      <c r="AM121" s="1797"/>
      <c r="AN121" s="1797"/>
      <c r="AO121" s="1797"/>
      <c r="AP121" s="1259"/>
      <c r="AQ121" s="1799"/>
      <c r="AR121" s="1427"/>
      <c r="AS121" s="1797"/>
      <c r="AT121" s="1421"/>
      <c r="AU121" s="1421"/>
      <c r="AV121" s="1431"/>
      <c r="AW121" s="1800"/>
      <c r="AX121" s="1910"/>
      <c r="AY121" s="1649"/>
      <c r="AZ121" s="1649"/>
      <c r="BA121" s="1649"/>
      <c r="BB121" s="1257"/>
      <c r="BC121" s="1798"/>
      <c r="BD121" s="1427"/>
      <c r="BE121" s="1421"/>
      <c r="BF121" s="1421"/>
      <c r="BG121" s="1421"/>
      <c r="BH121" s="1259"/>
      <c r="BI121" s="1799"/>
      <c r="BJ121" s="1427"/>
      <c r="BK121" s="1421"/>
      <c r="BL121" s="1421"/>
      <c r="BM121" s="1431"/>
      <c r="BN121" s="1431"/>
      <c r="BO121" s="1798"/>
      <c r="BP121" s="1267"/>
      <c r="BQ121" s="1779"/>
      <c r="BR121" s="1759">
        <f t="shared" si="29"/>
        <v>0</v>
      </c>
      <c r="BS121" s="1"/>
      <c r="BT121" s="1192">
        <f t="shared" si="30"/>
        <v>0</v>
      </c>
    </row>
    <row r="122" spans="1:72" ht="15.6" x14ac:dyDescent="0.3">
      <c r="A122" s="425"/>
      <c r="B122" s="394"/>
      <c r="C122" s="361" t="s">
        <v>208</v>
      </c>
      <c r="D122" s="362" t="s">
        <v>209</v>
      </c>
      <c r="E122" s="363">
        <v>3.1</v>
      </c>
      <c r="F122" s="364">
        <f>(BR122/G122)/7</f>
        <v>3.356956359567326</v>
      </c>
      <c r="G122" s="362">
        <v>383</v>
      </c>
      <c r="H122" s="840">
        <f t="shared" si="26"/>
        <v>1187.3</v>
      </c>
      <c r="I122" s="362">
        <v>7000</v>
      </c>
      <c r="J122" s="2034">
        <v>4412.7</v>
      </c>
      <c r="K122" s="1274">
        <f t="shared" si="27"/>
        <v>3225.3999999999996</v>
      </c>
      <c r="L122" s="1963">
        <v>5038</v>
      </c>
      <c r="M122" s="1274">
        <f t="shared" si="27"/>
        <v>3850.7</v>
      </c>
      <c r="N122" s="1963">
        <v>6663</v>
      </c>
      <c r="O122" s="1274">
        <f t="shared" si="27"/>
        <v>5475.7</v>
      </c>
      <c r="P122" s="1274">
        <f t="shared" si="27"/>
        <v>4288.3999999999996</v>
      </c>
      <c r="Q122" s="1274">
        <f t="shared" si="27"/>
        <v>3101.0999999999995</v>
      </c>
      <c r="R122" s="1274">
        <f t="shared" si="27"/>
        <v>1913.7999999999995</v>
      </c>
      <c r="S122" s="1565">
        <f>R122-$H122</f>
        <v>726.49999999999955</v>
      </c>
      <c r="T122" s="1847"/>
      <c r="U122" s="1183"/>
      <c r="V122" s="1273"/>
      <c r="W122" s="1183"/>
      <c r="X122" s="1273"/>
      <c r="Y122" s="1902"/>
      <c r="Z122" s="1176"/>
      <c r="AA122" s="1177"/>
      <c r="AB122" s="1177"/>
      <c r="AC122" s="1096"/>
      <c r="AD122" s="1097"/>
      <c r="AE122" s="1215"/>
      <c r="AF122" s="1095"/>
      <c r="AG122" s="1096"/>
      <c r="AH122" s="1096"/>
      <c r="AI122" s="1096"/>
      <c r="AJ122" s="1097">
        <v>3000</v>
      </c>
      <c r="AK122" s="1745"/>
      <c r="AL122" s="1216"/>
      <c r="AM122" s="1095"/>
      <c r="AN122" s="1095"/>
      <c r="AO122" s="1095"/>
      <c r="AP122" s="1287"/>
      <c r="AQ122" s="1748"/>
      <c r="AR122" s="1216"/>
      <c r="AS122" s="1095"/>
      <c r="AT122" s="1096"/>
      <c r="AU122" s="1096"/>
      <c r="AV122" s="1097">
        <v>4000</v>
      </c>
      <c r="AW122" s="1214"/>
      <c r="AX122" s="1746"/>
      <c r="AY122" s="1187"/>
      <c r="AZ122" s="1187"/>
      <c r="BA122" s="1187"/>
      <c r="BB122" s="1273"/>
      <c r="BC122" s="1745"/>
      <c r="BD122" s="1216"/>
      <c r="BE122" s="1096"/>
      <c r="BF122" s="1096"/>
      <c r="BG122" s="1096"/>
      <c r="BH122" s="1287"/>
      <c r="BI122" s="1748"/>
      <c r="BJ122" s="1216"/>
      <c r="BK122" s="1096"/>
      <c r="BL122" s="1096"/>
      <c r="BM122" s="1097"/>
      <c r="BN122" s="1097"/>
      <c r="BO122" s="1745"/>
      <c r="BP122" s="1765">
        <v>9000</v>
      </c>
      <c r="BQ122" s="1766">
        <f t="shared" si="31"/>
        <v>4412.7</v>
      </c>
      <c r="BR122" s="1767">
        <f t="shared" si="29"/>
        <v>9000</v>
      </c>
      <c r="BS122" s="1"/>
      <c r="BT122" s="1192">
        <f t="shared" si="30"/>
        <v>7000</v>
      </c>
    </row>
    <row r="123" spans="1:72" ht="15.6" x14ac:dyDescent="0.3">
      <c r="A123" s="633"/>
      <c r="B123" s="401" t="s">
        <v>507</v>
      </c>
      <c r="C123" s="398" t="s">
        <v>210</v>
      </c>
      <c r="D123" s="362" t="s">
        <v>209</v>
      </c>
      <c r="E123" s="399">
        <f>+E122</f>
        <v>3.1</v>
      </c>
      <c r="F123" s="400"/>
      <c r="G123" s="375"/>
      <c r="H123" s="842">
        <f t="shared" si="26"/>
        <v>0</v>
      </c>
      <c r="I123" s="375"/>
      <c r="J123" s="362"/>
      <c r="K123" s="1560">
        <f t="shared" si="27"/>
        <v>0</v>
      </c>
      <c r="L123" s="1273">
        <f t="shared" si="27"/>
        <v>0</v>
      </c>
      <c r="M123" s="1274">
        <f t="shared" si="27"/>
        <v>0</v>
      </c>
      <c r="N123" s="1273">
        <f t="shared" si="27"/>
        <v>0</v>
      </c>
      <c r="O123" s="1274">
        <f t="shared" si="27"/>
        <v>0</v>
      </c>
      <c r="P123" s="1273">
        <f t="shared" si="27"/>
        <v>0</v>
      </c>
      <c r="Q123" s="1274">
        <f t="shared" si="27"/>
        <v>0</v>
      </c>
      <c r="R123" s="1273">
        <f t="shared" si="27"/>
        <v>0</v>
      </c>
      <c r="S123" s="1565">
        <f>(R123-$H123)+BL123</f>
        <v>0</v>
      </c>
      <c r="T123" s="1847"/>
      <c r="U123" s="1183"/>
      <c r="V123" s="1273"/>
      <c r="W123" s="1183"/>
      <c r="X123" s="1273"/>
      <c r="Y123" s="1902"/>
      <c r="Z123" s="1198"/>
      <c r="AA123" s="1199"/>
      <c r="AB123" s="1199"/>
      <c r="AC123" s="1104"/>
      <c r="AD123" s="1205"/>
      <c r="AE123" s="1197"/>
      <c r="AF123" s="1103"/>
      <c r="AG123" s="1104"/>
      <c r="AH123" s="1104"/>
      <c r="AI123" s="1104"/>
      <c r="AJ123" s="1205"/>
      <c r="AK123" s="1768"/>
      <c r="AL123" s="1204"/>
      <c r="AM123" s="1103"/>
      <c r="AN123" s="1103"/>
      <c r="AO123" s="1103"/>
      <c r="AP123" s="1195"/>
      <c r="AQ123" s="1769"/>
      <c r="AR123" s="1204"/>
      <c r="AS123" s="1103"/>
      <c r="AT123" s="1104"/>
      <c r="AU123" s="1104"/>
      <c r="AV123" s="1205"/>
      <c r="AW123" s="1196"/>
      <c r="AX123" s="1909"/>
      <c r="AY123" s="1113"/>
      <c r="AZ123" s="1113"/>
      <c r="BA123" s="1113"/>
      <c r="BB123" s="1193"/>
      <c r="BC123" s="1768"/>
      <c r="BD123" s="1204"/>
      <c r="BE123" s="1104"/>
      <c r="BF123" s="1104"/>
      <c r="BG123" s="1104"/>
      <c r="BH123" s="1195"/>
      <c r="BI123" s="1769"/>
      <c r="BJ123" s="1204"/>
      <c r="BK123" s="1104"/>
      <c r="BL123" s="1104"/>
      <c r="BM123" s="1205"/>
      <c r="BN123" s="1205"/>
      <c r="BO123" s="1768"/>
      <c r="BP123" s="1786"/>
      <c r="BQ123" s="1753">
        <f t="shared" si="31"/>
        <v>0</v>
      </c>
      <c r="BR123" s="1754">
        <f t="shared" si="29"/>
        <v>0</v>
      </c>
      <c r="BS123" s="1"/>
      <c r="BT123" s="1192">
        <f t="shared" si="30"/>
        <v>0</v>
      </c>
    </row>
    <row r="124" spans="1:72" ht="16.2" thickBot="1" x14ac:dyDescent="0.35">
      <c r="A124" s="444"/>
      <c r="B124" s="421"/>
      <c r="C124" s="432" t="s">
        <v>211</v>
      </c>
      <c r="D124" s="362" t="s">
        <v>209</v>
      </c>
      <c r="E124" s="433">
        <f>+E123</f>
        <v>3.1</v>
      </c>
      <c r="F124" s="424"/>
      <c r="G124" s="386">
        <v>201</v>
      </c>
      <c r="H124" s="844">
        <f t="shared" si="26"/>
        <v>623.1</v>
      </c>
      <c r="I124" s="406"/>
      <c r="J124" s="385"/>
      <c r="K124" s="1437">
        <f t="shared" si="27"/>
        <v>-623.1</v>
      </c>
      <c r="L124" s="1222">
        <f t="shared" si="27"/>
        <v>-1246.2</v>
      </c>
      <c r="M124" s="1223">
        <f t="shared" si="27"/>
        <v>-1869.3000000000002</v>
      </c>
      <c r="N124" s="1222">
        <f t="shared" si="27"/>
        <v>-2492.4</v>
      </c>
      <c r="O124" s="1223">
        <f t="shared" si="27"/>
        <v>-3115.5</v>
      </c>
      <c r="P124" s="1222">
        <f t="shared" si="27"/>
        <v>-3738.6</v>
      </c>
      <c r="Q124" s="1223">
        <f t="shared" si="27"/>
        <v>-4361.7</v>
      </c>
      <c r="R124" s="1222">
        <f t="shared" si="27"/>
        <v>-4984.8</v>
      </c>
      <c r="S124" s="1438">
        <f>(R124-$H124)+BL124</f>
        <v>-5607.9000000000005</v>
      </c>
      <c r="T124" s="1848"/>
      <c r="U124" s="1885"/>
      <c r="V124" s="1222"/>
      <c r="W124" s="1885"/>
      <c r="X124" s="1222"/>
      <c r="Y124" s="1923"/>
      <c r="Z124" s="1226"/>
      <c r="AA124" s="1227"/>
      <c r="AB124" s="1227"/>
      <c r="AC124" s="1219"/>
      <c r="AD124" s="1233"/>
      <c r="AE124" s="1225"/>
      <c r="AF124" s="1218"/>
      <c r="AG124" s="1219"/>
      <c r="AH124" s="1219"/>
      <c r="AI124" s="1219"/>
      <c r="AJ124" s="1233"/>
      <c r="AK124" s="1787"/>
      <c r="AL124" s="1232"/>
      <c r="AM124" s="1218"/>
      <c r="AN124" s="1218"/>
      <c r="AO124" s="1218"/>
      <c r="AP124" s="1281"/>
      <c r="AQ124" s="1788"/>
      <c r="AR124" s="1232"/>
      <c r="AS124" s="1218"/>
      <c r="AT124" s="1219"/>
      <c r="AU124" s="1219"/>
      <c r="AV124" s="1233"/>
      <c r="AW124" s="1221"/>
      <c r="AX124" s="1908"/>
      <c r="AY124" s="1239"/>
      <c r="AZ124" s="1239"/>
      <c r="BA124" s="1239"/>
      <c r="BB124" s="1827"/>
      <c r="BC124" s="1787"/>
      <c r="BD124" s="1232"/>
      <c r="BE124" s="1219"/>
      <c r="BF124" s="1219"/>
      <c r="BG124" s="1219"/>
      <c r="BH124" s="1281"/>
      <c r="BI124" s="1788"/>
      <c r="BJ124" s="1232"/>
      <c r="BK124" s="1219"/>
      <c r="BL124" s="1219"/>
      <c r="BM124" s="1233"/>
      <c r="BN124" s="1233"/>
      <c r="BO124" s="1787"/>
      <c r="BP124" s="1365"/>
      <c r="BQ124" s="1357"/>
      <c r="BR124" s="1793">
        <f t="shared" si="29"/>
        <v>0</v>
      </c>
      <c r="BS124" s="1"/>
      <c r="BT124" s="1192">
        <f t="shared" si="30"/>
        <v>0</v>
      </c>
    </row>
    <row r="125" spans="1:72" ht="15.6" x14ac:dyDescent="0.3">
      <c r="A125" s="445">
        <v>2614</v>
      </c>
      <c r="B125" s="360" t="s">
        <v>372</v>
      </c>
      <c r="C125" s="391" t="s">
        <v>212</v>
      </c>
      <c r="D125" s="392" t="s">
        <v>209</v>
      </c>
      <c r="E125" s="393">
        <v>3.2</v>
      </c>
      <c r="F125" s="364">
        <f>(BR125/G125)/7</f>
        <v>3.6115569823434988</v>
      </c>
      <c r="G125" s="392">
        <v>356</v>
      </c>
      <c r="H125" s="841">
        <f t="shared" si="26"/>
        <v>1139.2</v>
      </c>
      <c r="I125" s="362">
        <v>7000</v>
      </c>
      <c r="J125" s="392">
        <v>4360.8</v>
      </c>
      <c r="K125" s="1243">
        <f t="shared" si="27"/>
        <v>3221.6000000000004</v>
      </c>
      <c r="L125" s="1958">
        <v>5082</v>
      </c>
      <c r="M125" s="1243">
        <f t="shared" si="27"/>
        <v>3942.8</v>
      </c>
      <c r="N125" s="1958">
        <v>5804</v>
      </c>
      <c r="O125" s="1243">
        <f t="shared" si="27"/>
        <v>4664.8</v>
      </c>
      <c r="P125" s="1243">
        <f t="shared" si="27"/>
        <v>3525.6000000000004</v>
      </c>
      <c r="Q125" s="1243">
        <f t="shared" si="27"/>
        <v>2386.4000000000005</v>
      </c>
      <c r="R125" s="1243">
        <f t="shared" si="27"/>
        <v>1247.2000000000005</v>
      </c>
      <c r="S125" s="1579">
        <f>R125-$H125</f>
        <v>108.00000000000045</v>
      </c>
      <c r="T125" s="1852"/>
      <c r="U125" s="1790"/>
      <c r="V125" s="1242"/>
      <c r="W125" s="1790"/>
      <c r="X125" s="1242"/>
      <c r="Y125" s="1921"/>
      <c r="Z125" s="1245"/>
      <c r="AA125" s="1254"/>
      <c r="AB125" s="1254"/>
      <c r="AC125" s="1376"/>
      <c r="AD125" s="1386"/>
      <c r="AE125" s="1761"/>
      <c r="AF125" s="1789"/>
      <c r="AG125" s="1790"/>
      <c r="AH125" s="1790"/>
      <c r="AI125" s="1790"/>
      <c r="AJ125" s="1628">
        <v>3000</v>
      </c>
      <c r="AK125" s="1762"/>
      <c r="AL125" s="1791"/>
      <c r="AM125" s="1789"/>
      <c r="AN125" s="1789"/>
      <c r="AO125" s="1789"/>
      <c r="AP125" s="1242"/>
      <c r="AQ125" s="1763"/>
      <c r="AR125" s="1791"/>
      <c r="AS125" s="1789"/>
      <c r="AT125" s="1790"/>
      <c r="AU125" s="1790"/>
      <c r="AV125" s="1628">
        <v>3000</v>
      </c>
      <c r="AW125" s="1764"/>
      <c r="AX125" s="1791"/>
      <c r="AY125" s="1789"/>
      <c r="AZ125" s="1789"/>
      <c r="BA125" s="1789"/>
      <c r="BB125" s="1242"/>
      <c r="BC125" s="1762"/>
      <c r="BD125" s="1791"/>
      <c r="BE125" s="1790"/>
      <c r="BF125" s="1790"/>
      <c r="BG125" s="1790"/>
      <c r="BH125" s="1242"/>
      <c r="BI125" s="1763"/>
      <c r="BJ125" s="1791"/>
      <c r="BK125" s="1790"/>
      <c r="BL125" s="1790"/>
      <c r="BM125" s="1628"/>
      <c r="BN125" s="1628"/>
      <c r="BO125" s="1762"/>
      <c r="BP125" s="1783">
        <v>9000</v>
      </c>
      <c r="BQ125" s="1784">
        <f t="shared" si="31"/>
        <v>4360.8</v>
      </c>
      <c r="BR125" s="1785">
        <f t="shared" si="29"/>
        <v>9000</v>
      </c>
      <c r="BT125" s="1192">
        <f t="shared" si="30"/>
        <v>6000</v>
      </c>
    </row>
    <row r="126" spans="1:72" ht="15.6" x14ac:dyDescent="0.3">
      <c r="A126" s="418"/>
      <c r="B126" s="401"/>
      <c r="C126" s="398" t="s">
        <v>213</v>
      </c>
      <c r="D126" s="375" t="s">
        <v>209</v>
      </c>
      <c r="E126" s="399">
        <f>+E125</f>
        <v>3.2</v>
      </c>
      <c r="F126" s="400"/>
      <c r="G126" s="375"/>
      <c r="H126" s="842">
        <f t="shared" si="26"/>
        <v>0</v>
      </c>
      <c r="I126" s="375"/>
      <c r="J126" s="362"/>
      <c r="K126" s="1560">
        <f t="shared" si="27"/>
        <v>0</v>
      </c>
      <c r="L126" s="1273">
        <f t="shared" si="27"/>
        <v>0</v>
      </c>
      <c r="M126" s="1274">
        <f t="shared" si="27"/>
        <v>0</v>
      </c>
      <c r="N126" s="1273">
        <f t="shared" si="27"/>
        <v>0</v>
      </c>
      <c r="O126" s="1274">
        <f t="shared" si="27"/>
        <v>0</v>
      </c>
      <c r="P126" s="1273">
        <f t="shared" si="27"/>
        <v>0</v>
      </c>
      <c r="Q126" s="1274">
        <f t="shared" si="27"/>
        <v>0</v>
      </c>
      <c r="R126" s="1273">
        <f t="shared" si="27"/>
        <v>0</v>
      </c>
      <c r="S126" s="1565">
        <f>(R126-$H126)+BL126</f>
        <v>0</v>
      </c>
      <c r="T126" s="1847"/>
      <c r="U126" s="1183"/>
      <c r="V126" s="1273"/>
      <c r="W126" s="1183"/>
      <c r="X126" s="1273"/>
      <c r="Y126" s="1902"/>
      <c r="Z126" s="1198"/>
      <c r="AA126" s="1199"/>
      <c r="AB126" s="1199"/>
      <c r="AC126" s="1104"/>
      <c r="AD126" s="1205"/>
      <c r="AE126" s="1197"/>
      <c r="AF126" s="1103"/>
      <c r="AG126" s="1104"/>
      <c r="AH126" s="1104"/>
      <c r="AI126" s="1104"/>
      <c r="AJ126" s="1205"/>
      <c r="AK126" s="1768"/>
      <c r="AL126" s="1204"/>
      <c r="AM126" s="1103"/>
      <c r="AN126" s="1103"/>
      <c r="AO126" s="1103"/>
      <c r="AP126" s="1195"/>
      <c r="AQ126" s="1769"/>
      <c r="AR126" s="1204"/>
      <c r="AS126" s="1103"/>
      <c r="AT126" s="1104"/>
      <c r="AU126" s="1104"/>
      <c r="AV126" s="1205"/>
      <c r="AW126" s="1196"/>
      <c r="AX126" s="1909"/>
      <c r="AY126" s="1113"/>
      <c r="AZ126" s="1113"/>
      <c r="BA126" s="1113"/>
      <c r="BB126" s="1193"/>
      <c r="BC126" s="1768"/>
      <c r="BD126" s="1204"/>
      <c r="BE126" s="1104"/>
      <c r="BF126" s="1104"/>
      <c r="BG126" s="1104"/>
      <c r="BH126" s="1195"/>
      <c r="BI126" s="1769"/>
      <c r="BJ126" s="1204"/>
      <c r="BK126" s="1104"/>
      <c r="BL126" s="1104"/>
      <c r="BM126" s="1205"/>
      <c r="BN126" s="1205"/>
      <c r="BO126" s="1768"/>
      <c r="BP126" s="1786"/>
      <c r="BQ126" s="1753">
        <f t="shared" si="31"/>
        <v>0</v>
      </c>
      <c r="BR126" s="1754">
        <f t="shared" si="29"/>
        <v>0</v>
      </c>
      <c r="BS126" s="1"/>
      <c r="BT126" s="1192">
        <f t="shared" si="30"/>
        <v>0</v>
      </c>
    </row>
    <row r="127" spans="1:72" ht="16.2" thickBot="1" x14ac:dyDescent="0.35">
      <c r="A127" s="420"/>
      <c r="B127" s="431" t="s">
        <v>508</v>
      </c>
      <c r="C127" s="405" t="s">
        <v>214</v>
      </c>
      <c r="D127" s="406" t="s">
        <v>209</v>
      </c>
      <c r="E127" s="407">
        <f>+E126</f>
        <v>3.2</v>
      </c>
      <c r="F127" s="424"/>
      <c r="G127" s="406">
        <v>235</v>
      </c>
      <c r="H127" s="843">
        <f t="shared" si="26"/>
        <v>752</v>
      </c>
      <c r="I127" s="406"/>
      <c r="J127" s="385"/>
      <c r="K127" s="1437">
        <f t="shared" si="27"/>
        <v>-752</v>
      </c>
      <c r="L127" s="1222">
        <f t="shared" si="27"/>
        <v>-1504</v>
      </c>
      <c r="M127" s="1223">
        <f t="shared" si="27"/>
        <v>-2256</v>
      </c>
      <c r="N127" s="1222">
        <f t="shared" si="27"/>
        <v>-3008</v>
      </c>
      <c r="O127" s="1223">
        <f t="shared" si="27"/>
        <v>-3760</v>
      </c>
      <c r="P127" s="1222">
        <f t="shared" si="27"/>
        <v>-4512</v>
      </c>
      <c r="Q127" s="1223">
        <f t="shared" si="27"/>
        <v>-5264</v>
      </c>
      <c r="R127" s="1222">
        <f t="shared" si="27"/>
        <v>-6016</v>
      </c>
      <c r="S127" s="1438">
        <f>(R127-$H127)+BL127</f>
        <v>-6768</v>
      </c>
      <c r="T127" s="1848"/>
      <c r="U127" s="1885"/>
      <c r="V127" s="1222"/>
      <c r="W127" s="1885"/>
      <c r="X127" s="1222"/>
      <c r="Y127" s="1923"/>
      <c r="Z127" s="1838"/>
      <c r="AA127" s="1779"/>
      <c r="AB127" s="1779"/>
      <c r="AC127" s="1776"/>
      <c r="AD127" s="1777"/>
      <c r="AE127" s="1772"/>
      <c r="AF127" s="1770"/>
      <c r="AG127" s="1776"/>
      <c r="AH127" s="1776"/>
      <c r="AI127" s="1776"/>
      <c r="AJ127" s="1777"/>
      <c r="AK127" s="1773"/>
      <c r="AL127" s="1774"/>
      <c r="AM127" s="1770"/>
      <c r="AN127" s="1770"/>
      <c r="AO127" s="1770"/>
      <c r="AP127" s="1771"/>
      <c r="AQ127" s="1775"/>
      <c r="AR127" s="1774"/>
      <c r="AS127" s="1770"/>
      <c r="AT127" s="1776"/>
      <c r="AU127" s="1776"/>
      <c r="AV127" s="1777"/>
      <c r="AW127" s="1778"/>
      <c r="AX127" s="1987"/>
      <c r="AY127" s="2036"/>
      <c r="AZ127" s="2036"/>
      <c r="BA127" s="2036"/>
      <c r="BB127" s="1590"/>
      <c r="BC127" s="1773"/>
      <c r="BD127" s="1774"/>
      <c r="BE127" s="1776"/>
      <c r="BF127" s="1776"/>
      <c r="BG127" s="1776"/>
      <c r="BH127" s="1771"/>
      <c r="BI127" s="1775"/>
      <c r="BJ127" s="1774"/>
      <c r="BK127" s="1776"/>
      <c r="BL127" s="1776"/>
      <c r="BM127" s="1777"/>
      <c r="BN127" s="1777"/>
      <c r="BO127" s="1773"/>
      <c r="BP127" s="1267"/>
      <c r="BQ127" s="1269"/>
      <c r="BR127" s="1759">
        <f t="shared" si="29"/>
        <v>0</v>
      </c>
      <c r="BS127" s="1"/>
      <c r="BT127" s="1192">
        <f t="shared" si="30"/>
        <v>0</v>
      </c>
    </row>
    <row r="128" spans="1:72" ht="15.6" x14ac:dyDescent="0.3">
      <c r="A128" s="425">
        <v>2613</v>
      </c>
      <c r="B128" s="394" t="s">
        <v>369</v>
      </c>
      <c r="C128" s="361" t="s">
        <v>215</v>
      </c>
      <c r="D128" s="362" t="s">
        <v>209</v>
      </c>
      <c r="E128" s="363">
        <v>3.3</v>
      </c>
      <c r="F128" s="364">
        <v>3.5</v>
      </c>
      <c r="G128" s="362">
        <v>377</v>
      </c>
      <c r="H128" s="840">
        <f t="shared" si="26"/>
        <v>1244.0999999999999</v>
      </c>
      <c r="I128" s="362">
        <v>7000</v>
      </c>
      <c r="J128" s="2041">
        <v>3855.9</v>
      </c>
      <c r="K128" s="1243">
        <f t="shared" si="27"/>
        <v>2611.8000000000002</v>
      </c>
      <c r="L128" s="1958">
        <v>4368</v>
      </c>
      <c r="M128" s="1243">
        <f t="shared" si="27"/>
        <v>3123.9</v>
      </c>
      <c r="N128" s="1958">
        <v>6880</v>
      </c>
      <c r="O128" s="1243">
        <f t="shared" si="27"/>
        <v>5635.9</v>
      </c>
      <c r="P128" s="1243">
        <f t="shared" si="27"/>
        <v>4391.7999999999993</v>
      </c>
      <c r="Q128" s="1243">
        <f t="shared" si="27"/>
        <v>3147.6999999999994</v>
      </c>
      <c r="R128" s="1243">
        <f t="shared" si="27"/>
        <v>1903.5999999999995</v>
      </c>
      <c r="S128" s="1579">
        <f>R128-$H128</f>
        <v>659.49999999999955</v>
      </c>
      <c r="T128" s="1847"/>
      <c r="U128" s="1183"/>
      <c r="V128" s="1273"/>
      <c r="W128" s="1183"/>
      <c r="X128" s="1273"/>
      <c r="Y128" s="1902"/>
      <c r="Z128" s="1176"/>
      <c r="AA128" s="1177"/>
      <c r="AB128" s="1177"/>
      <c r="AC128" s="1096"/>
      <c r="AD128" s="1097"/>
      <c r="AE128" s="1215"/>
      <c r="AF128" s="1187"/>
      <c r="AG128" s="1183"/>
      <c r="AH128" s="1183"/>
      <c r="AI128" s="1183"/>
      <c r="AJ128" s="1744">
        <v>3000</v>
      </c>
      <c r="AK128" s="1745"/>
      <c r="AL128" s="1746"/>
      <c r="AM128" s="1187"/>
      <c r="AN128" s="1187"/>
      <c r="AO128" s="1187"/>
      <c r="AP128" s="1273"/>
      <c r="AQ128" s="1748"/>
      <c r="AR128" s="1746"/>
      <c r="AS128" s="1187"/>
      <c r="AT128" s="1183"/>
      <c r="AU128" s="1183"/>
      <c r="AV128" s="1744">
        <v>5000</v>
      </c>
      <c r="AW128" s="1214"/>
      <c r="AX128" s="1746"/>
      <c r="AY128" s="1187"/>
      <c r="AZ128" s="1187"/>
      <c r="BA128" s="1187"/>
      <c r="BB128" s="1273"/>
      <c r="BC128" s="1745"/>
      <c r="BD128" s="1746"/>
      <c r="BE128" s="1183"/>
      <c r="BF128" s="1183"/>
      <c r="BG128" s="1183"/>
      <c r="BH128" s="1273"/>
      <c r="BI128" s="1748"/>
      <c r="BJ128" s="1746"/>
      <c r="BK128" s="1183"/>
      <c r="BL128" s="1183"/>
      <c r="BM128" s="1744"/>
      <c r="BN128" s="1744"/>
      <c r="BO128" s="1745"/>
      <c r="BP128" s="1783">
        <v>9000</v>
      </c>
      <c r="BQ128" s="1784">
        <f t="shared" si="31"/>
        <v>3855.9</v>
      </c>
      <c r="BR128" s="1785">
        <f t="shared" si="29"/>
        <v>9000</v>
      </c>
      <c r="BT128" s="1192">
        <f t="shared" si="30"/>
        <v>8000</v>
      </c>
    </row>
    <row r="129" spans="1:72" ht="15.6" x14ac:dyDescent="0.3">
      <c r="A129" s="428"/>
      <c r="B129" s="401"/>
      <c r="C129" s="398" t="s">
        <v>216</v>
      </c>
      <c r="D129" s="375" t="s">
        <v>209</v>
      </c>
      <c r="E129" s="399">
        <f>+E128</f>
        <v>3.3</v>
      </c>
      <c r="F129" s="400"/>
      <c r="G129" s="375"/>
      <c r="H129" s="842">
        <f t="shared" si="26"/>
        <v>0</v>
      </c>
      <c r="I129" s="375"/>
      <c r="J129" s="2034"/>
      <c r="K129" s="1395">
        <f t="shared" si="27"/>
        <v>0</v>
      </c>
      <c r="L129" s="1193">
        <f t="shared" si="27"/>
        <v>0</v>
      </c>
      <c r="M129" s="1194">
        <f t="shared" si="27"/>
        <v>0</v>
      </c>
      <c r="N129" s="1193">
        <f t="shared" si="27"/>
        <v>0</v>
      </c>
      <c r="O129" s="1194">
        <f t="shared" si="27"/>
        <v>0</v>
      </c>
      <c r="P129" s="1193">
        <f t="shared" si="27"/>
        <v>0</v>
      </c>
      <c r="Q129" s="1194">
        <f t="shared" si="27"/>
        <v>0</v>
      </c>
      <c r="R129" s="1193">
        <f t="shared" si="27"/>
        <v>0</v>
      </c>
      <c r="S129" s="1342">
        <f>(R129-$H129)+BL129</f>
        <v>0</v>
      </c>
      <c r="T129" s="1854"/>
      <c r="U129" s="1114"/>
      <c r="V129" s="1193"/>
      <c r="W129" s="1114"/>
      <c r="X129" s="1193"/>
      <c r="Y129" s="1929"/>
      <c r="Z129" s="1198"/>
      <c r="AA129" s="1199"/>
      <c r="AB129" s="1199"/>
      <c r="AC129" s="1104"/>
      <c r="AD129" s="1205"/>
      <c r="AE129" s="1197"/>
      <c r="AF129" s="1103"/>
      <c r="AG129" s="1104"/>
      <c r="AH129" s="1104"/>
      <c r="AI129" s="1104"/>
      <c r="AJ129" s="1205"/>
      <c r="AK129" s="1768"/>
      <c r="AL129" s="1204"/>
      <c r="AM129" s="1103"/>
      <c r="AN129" s="1103"/>
      <c r="AO129" s="1103"/>
      <c r="AP129" s="1195"/>
      <c r="AQ129" s="1769"/>
      <c r="AR129" s="1204"/>
      <c r="AS129" s="1103"/>
      <c r="AT129" s="1104"/>
      <c r="AU129" s="1104"/>
      <c r="AV129" s="1205"/>
      <c r="AW129" s="1196"/>
      <c r="AX129" s="1909"/>
      <c r="AY129" s="1113"/>
      <c r="AZ129" s="1113"/>
      <c r="BA129" s="1113"/>
      <c r="BB129" s="1193"/>
      <c r="BC129" s="1768"/>
      <c r="BD129" s="1204"/>
      <c r="BE129" s="1104"/>
      <c r="BF129" s="1104"/>
      <c r="BG129" s="1104"/>
      <c r="BH129" s="1195"/>
      <c r="BI129" s="1769"/>
      <c r="BJ129" s="1204"/>
      <c r="BK129" s="1104"/>
      <c r="BL129" s="1104"/>
      <c r="BM129" s="1205"/>
      <c r="BN129" s="1205"/>
      <c r="BO129" s="1768"/>
      <c r="BP129" s="1786">
        <v>6000</v>
      </c>
      <c r="BQ129" s="1753">
        <f t="shared" si="31"/>
        <v>0</v>
      </c>
      <c r="BR129" s="1754">
        <f t="shared" si="29"/>
        <v>6000</v>
      </c>
      <c r="BS129" s="1"/>
      <c r="BT129" s="1192">
        <f t="shared" si="30"/>
        <v>0</v>
      </c>
    </row>
    <row r="130" spans="1:72" ht="16.2" thickBot="1" x14ac:dyDescent="0.35">
      <c r="A130" s="444"/>
      <c r="B130" s="411" t="s">
        <v>509</v>
      </c>
      <c r="C130" s="432" t="s">
        <v>217</v>
      </c>
      <c r="D130" s="386" t="s">
        <v>209</v>
      </c>
      <c r="E130" s="433">
        <f>+E129</f>
        <v>3.3</v>
      </c>
      <c r="F130" s="424"/>
      <c r="G130" s="386">
        <v>260</v>
      </c>
      <c r="H130" s="844">
        <f t="shared" si="26"/>
        <v>858</v>
      </c>
      <c r="I130" s="406"/>
      <c r="J130" s="385"/>
      <c r="K130" s="1437">
        <f t="shared" si="27"/>
        <v>-858</v>
      </c>
      <c r="L130" s="1222">
        <f t="shared" si="27"/>
        <v>-1716</v>
      </c>
      <c r="M130" s="1223">
        <f t="shared" si="27"/>
        <v>-2574</v>
      </c>
      <c r="N130" s="1222">
        <f t="shared" si="27"/>
        <v>-3432</v>
      </c>
      <c r="O130" s="1223">
        <f t="shared" si="27"/>
        <v>-4290</v>
      </c>
      <c r="P130" s="1222">
        <f t="shared" si="27"/>
        <v>-5148</v>
      </c>
      <c r="Q130" s="1223">
        <f t="shared" si="27"/>
        <v>-6006</v>
      </c>
      <c r="R130" s="1222">
        <f t="shared" si="27"/>
        <v>-6864</v>
      </c>
      <c r="S130" s="1438">
        <f>(R130-$H130)+BL130</f>
        <v>-7722</v>
      </c>
      <c r="T130" s="1848"/>
      <c r="U130" s="1885"/>
      <c r="V130" s="1222"/>
      <c r="W130" s="1885"/>
      <c r="X130" s="1222"/>
      <c r="Y130" s="1923"/>
      <c r="Z130" s="1226"/>
      <c r="AA130" s="1227"/>
      <c r="AB130" s="1227"/>
      <c r="AC130" s="1219"/>
      <c r="AD130" s="1233"/>
      <c r="AE130" s="1225"/>
      <c r="AF130" s="1218"/>
      <c r="AG130" s="1219"/>
      <c r="AH130" s="1219"/>
      <c r="AI130" s="1219"/>
      <c r="AJ130" s="1233"/>
      <c r="AK130" s="1787"/>
      <c r="AL130" s="1232"/>
      <c r="AM130" s="1218"/>
      <c r="AN130" s="1218"/>
      <c r="AO130" s="1218"/>
      <c r="AP130" s="1281"/>
      <c r="AQ130" s="1788"/>
      <c r="AR130" s="1232"/>
      <c r="AS130" s="1218"/>
      <c r="AT130" s="1219"/>
      <c r="AU130" s="1219"/>
      <c r="AV130" s="1233"/>
      <c r="AW130" s="1221"/>
      <c r="AX130" s="1908"/>
      <c r="AY130" s="1239"/>
      <c r="AZ130" s="1239"/>
      <c r="BA130" s="1239"/>
      <c r="BB130" s="1827"/>
      <c r="BC130" s="1787"/>
      <c r="BD130" s="1232"/>
      <c r="BE130" s="1219"/>
      <c r="BF130" s="1219"/>
      <c r="BG130" s="1219"/>
      <c r="BH130" s="1281"/>
      <c r="BI130" s="1788"/>
      <c r="BJ130" s="1232"/>
      <c r="BK130" s="1219"/>
      <c r="BL130" s="1219"/>
      <c r="BM130" s="1233"/>
      <c r="BN130" s="1233"/>
      <c r="BO130" s="1787"/>
      <c r="BP130" s="1365"/>
      <c r="BQ130" s="1357"/>
      <c r="BR130" s="1759">
        <f t="shared" si="29"/>
        <v>0</v>
      </c>
      <c r="BS130" s="1"/>
      <c r="BT130" s="1192">
        <f t="shared" si="30"/>
        <v>0</v>
      </c>
    </row>
    <row r="131" spans="1:72" ht="15.6" x14ac:dyDescent="0.3">
      <c r="A131" s="445">
        <v>2612</v>
      </c>
      <c r="B131" s="360" t="s">
        <v>369</v>
      </c>
      <c r="C131" s="391" t="s">
        <v>218</v>
      </c>
      <c r="D131" s="392" t="s">
        <v>209</v>
      </c>
      <c r="E131" s="446">
        <v>3.3</v>
      </c>
      <c r="F131" s="364">
        <v>3.5</v>
      </c>
      <c r="G131" s="392">
        <v>389</v>
      </c>
      <c r="H131" s="841">
        <f t="shared" si="26"/>
        <v>1283.6999999999998</v>
      </c>
      <c r="I131" s="362">
        <v>7000</v>
      </c>
      <c r="J131" s="2041">
        <v>2216.3000000000002</v>
      </c>
      <c r="K131" s="1243">
        <f t="shared" si="27"/>
        <v>932.60000000000036</v>
      </c>
      <c r="L131" s="1243">
        <f t="shared" si="27"/>
        <v>-351.09999999999945</v>
      </c>
      <c r="M131" s="1243">
        <f t="shared" si="27"/>
        <v>-1634.7999999999993</v>
      </c>
      <c r="N131" s="1243">
        <f t="shared" si="27"/>
        <v>-2918.4999999999991</v>
      </c>
      <c r="O131" s="1243">
        <f t="shared" si="27"/>
        <v>-4202.1999999999989</v>
      </c>
      <c r="P131" s="1243">
        <f t="shared" si="27"/>
        <v>-5485.8999999999987</v>
      </c>
      <c r="Q131" s="1243">
        <f t="shared" si="27"/>
        <v>-6769.5999999999985</v>
      </c>
      <c r="R131" s="1243">
        <f t="shared" si="27"/>
        <v>-8053.2999999999984</v>
      </c>
      <c r="S131" s="1579">
        <f>R131-$H131</f>
        <v>-9336.9999999999982</v>
      </c>
      <c r="T131" s="1852"/>
      <c r="U131" s="1790"/>
      <c r="V131" s="1242"/>
      <c r="W131" s="1790"/>
      <c r="X131" s="1242"/>
      <c r="Y131" s="1921"/>
      <c r="Z131" s="1245"/>
      <c r="AA131" s="1254"/>
      <c r="AB131" s="1254"/>
      <c r="AC131" s="1376"/>
      <c r="AD131" s="1386"/>
      <c r="AE131" s="1761"/>
      <c r="AF131" s="1760"/>
      <c r="AG131" s="1376"/>
      <c r="AH131" s="1376"/>
      <c r="AI131" s="1376"/>
      <c r="AJ131" s="1386"/>
      <c r="AK131" s="1762"/>
      <c r="AL131" s="1382"/>
      <c r="AM131" s="1760"/>
      <c r="AN131" s="1760"/>
      <c r="AO131" s="1760"/>
      <c r="AP131" s="1244"/>
      <c r="AQ131" s="1763"/>
      <c r="AR131" s="1382"/>
      <c r="AS131" s="1760"/>
      <c r="AT131" s="1376"/>
      <c r="AU131" s="1376"/>
      <c r="AV131" s="1386"/>
      <c r="AW131" s="1764"/>
      <c r="AX131" s="1791"/>
      <c r="AY131" s="1789"/>
      <c r="AZ131" s="1789"/>
      <c r="BA131" s="1789"/>
      <c r="BB131" s="1242"/>
      <c r="BC131" s="1762"/>
      <c r="BD131" s="1382"/>
      <c r="BE131" s="1376"/>
      <c r="BF131" s="1376"/>
      <c r="BG131" s="1376"/>
      <c r="BH131" s="1244"/>
      <c r="BI131" s="1763"/>
      <c r="BJ131" s="1382"/>
      <c r="BK131" s="1376"/>
      <c r="BL131" s="1376"/>
      <c r="BM131" s="1386"/>
      <c r="BN131" s="1386"/>
      <c r="BO131" s="1762"/>
      <c r="BP131" s="1765">
        <v>7000</v>
      </c>
      <c r="BQ131" s="1766">
        <f t="shared" si="31"/>
        <v>2216.3000000000002</v>
      </c>
      <c r="BR131" s="1767">
        <f t="shared" si="29"/>
        <v>6999.9999999999991</v>
      </c>
      <c r="BS131" s="1"/>
      <c r="BT131" s="1192">
        <f t="shared" si="30"/>
        <v>0</v>
      </c>
    </row>
    <row r="132" spans="1:72" ht="15.6" x14ac:dyDescent="0.3">
      <c r="A132" s="418"/>
      <c r="B132" s="401" t="s">
        <v>376</v>
      </c>
      <c r="C132" s="432" t="s">
        <v>219</v>
      </c>
      <c r="D132" s="386" t="s">
        <v>209</v>
      </c>
      <c r="E132" s="448">
        <f>+E131</f>
        <v>3.3</v>
      </c>
      <c r="F132" s="449"/>
      <c r="G132" s="375">
        <v>250</v>
      </c>
      <c r="H132" s="844">
        <f t="shared" si="26"/>
        <v>825</v>
      </c>
      <c r="I132" s="386">
        <v>5000</v>
      </c>
      <c r="J132" s="2034">
        <v>1675</v>
      </c>
      <c r="K132" s="1560">
        <f t="shared" si="27"/>
        <v>850</v>
      </c>
      <c r="L132" s="1273">
        <f t="shared" si="27"/>
        <v>25</v>
      </c>
      <c r="M132" s="1274">
        <f t="shared" si="27"/>
        <v>-800</v>
      </c>
      <c r="N132" s="1273">
        <f t="shared" si="27"/>
        <v>-1625</v>
      </c>
      <c r="O132" s="1274">
        <f t="shared" si="27"/>
        <v>-2450</v>
      </c>
      <c r="P132" s="1273">
        <f t="shared" si="27"/>
        <v>-3275</v>
      </c>
      <c r="Q132" s="1274">
        <f t="shared" si="27"/>
        <v>-4100</v>
      </c>
      <c r="R132" s="1273">
        <f t="shared" si="27"/>
        <v>-4925</v>
      </c>
      <c r="S132" s="1565">
        <f>(R132-$H132)+BL132</f>
        <v>-5750</v>
      </c>
      <c r="T132" s="1847"/>
      <c r="U132" s="1183"/>
      <c r="V132" s="1273"/>
      <c r="W132" s="1183"/>
      <c r="X132" s="1273"/>
      <c r="Y132" s="1902"/>
      <c r="Z132" s="1198"/>
      <c r="AA132" s="1227"/>
      <c r="AB132" s="1227"/>
      <c r="AC132" s="1219"/>
      <c r="AD132" s="1233"/>
      <c r="AE132" s="1225"/>
      <c r="AF132" s="1218"/>
      <c r="AG132" s="1219"/>
      <c r="AH132" s="1219"/>
      <c r="AI132" s="1219"/>
      <c r="AJ132" s="1233"/>
      <c r="AK132" s="1787"/>
      <c r="AL132" s="1232"/>
      <c r="AM132" s="1218"/>
      <c r="AN132" s="1218"/>
      <c r="AO132" s="1218"/>
      <c r="AP132" s="1281"/>
      <c r="AQ132" s="1788"/>
      <c r="AR132" s="1232"/>
      <c r="AS132" s="1218"/>
      <c r="AT132" s="1219"/>
      <c r="AU132" s="1219"/>
      <c r="AV132" s="1233"/>
      <c r="AW132" s="1221"/>
      <c r="AX132" s="1908"/>
      <c r="AY132" s="1239"/>
      <c r="AZ132" s="1239"/>
      <c r="BA132" s="1239"/>
      <c r="BB132" s="1827"/>
      <c r="BC132" s="1787"/>
      <c r="BD132" s="1232"/>
      <c r="BE132" s="1219"/>
      <c r="BF132" s="1219"/>
      <c r="BG132" s="1219"/>
      <c r="BH132" s="1281"/>
      <c r="BI132" s="1788"/>
      <c r="BJ132" s="1232"/>
      <c r="BK132" s="1219"/>
      <c r="BL132" s="1219"/>
      <c r="BM132" s="1233"/>
      <c r="BN132" s="1233"/>
      <c r="BO132" s="1787"/>
      <c r="BP132" s="1786">
        <v>6000</v>
      </c>
      <c r="BQ132" s="1753">
        <f t="shared" si="31"/>
        <v>1675</v>
      </c>
      <c r="BR132" s="1754">
        <f t="shared" si="29"/>
        <v>6000</v>
      </c>
      <c r="BS132" s="1"/>
      <c r="BT132" s="1192">
        <f t="shared" si="30"/>
        <v>0</v>
      </c>
    </row>
    <row r="133" spans="1:72" ht="16.2" thickBot="1" x14ac:dyDescent="0.35">
      <c r="A133" s="420"/>
      <c r="B133" s="431"/>
      <c r="C133" s="405" t="s">
        <v>220</v>
      </c>
      <c r="D133" s="406" t="s">
        <v>209</v>
      </c>
      <c r="E133" s="452">
        <f>+E132</f>
        <v>3.3</v>
      </c>
      <c r="F133" s="424"/>
      <c r="G133" s="406"/>
      <c r="H133" s="843">
        <f t="shared" si="26"/>
        <v>0</v>
      </c>
      <c r="I133" s="406"/>
      <c r="J133" s="385"/>
      <c r="K133" s="1801">
        <f t="shared" si="27"/>
        <v>0</v>
      </c>
      <c r="L133" s="1590">
        <f t="shared" si="27"/>
        <v>0</v>
      </c>
      <c r="M133" s="1589">
        <f t="shared" si="27"/>
        <v>0</v>
      </c>
      <c r="N133" s="1590">
        <f t="shared" si="27"/>
        <v>0</v>
      </c>
      <c r="O133" s="1589">
        <f t="shared" si="27"/>
        <v>0</v>
      </c>
      <c r="P133" s="1590">
        <f t="shared" si="27"/>
        <v>0</v>
      </c>
      <c r="Q133" s="1589">
        <f t="shared" si="27"/>
        <v>0</v>
      </c>
      <c r="R133" s="1590">
        <f t="shared" si="27"/>
        <v>0</v>
      </c>
      <c r="S133" s="1596">
        <f>(R133-$H133)+BL133</f>
        <v>0</v>
      </c>
      <c r="T133" s="1864"/>
      <c r="U133" s="1894"/>
      <c r="V133" s="1590"/>
      <c r="W133" s="1894"/>
      <c r="X133" s="1590"/>
      <c r="Y133" s="1922"/>
      <c r="Z133" s="1838"/>
      <c r="AA133" s="1779"/>
      <c r="AB133" s="1779"/>
      <c r="AC133" s="1776"/>
      <c r="AD133" s="1777"/>
      <c r="AE133" s="1772"/>
      <c r="AF133" s="1770"/>
      <c r="AG133" s="1776"/>
      <c r="AH133" s="1776"/>
      <c r="AI133" s="1776"/>
      <c r="AJ133" s="1777"/>
      <c r="AK133" s="1773"/>
      <c r="AL133" s="1774"/>
      <c r="AM133" s="1770"/>
      <c r="AN133" s="1770"/>
      <c r="AO133" s="1770"/>
      <c r="AP133" s="1771"/>
      <c r="AQ133" s="1775"/>
      <c r="AR133" s="1774"/>
      <c r="AS133" s="1770"/>
      <c r="AT133" s="1776"/>
      <c r="AU133" s="1776"/>
      <c r="AV133" s="1777"/>
      <c r="AW133" s="1778"/>
      <c r="AX133" s="1987"/>
      <c r="AY133" s="2036"/>
      <c r="AZ133" s="2036"/>
      <c r="BA133" s="2036"/>
      <c r="BB133" s="1590"/>
      <c r="BC133" s="1773"/>
      <c r="BD133" s="1774"/>
      <c r="BE133" s="1776"/>
      <c r="BF133" s="1776"/>
      <c r="BG133" s="1776"/>
      <c r="BH133" s="1771"/>
      <c r="BI133" s="1775"/>
      <c r="BJ133" s="1774"/>
      <c r="BK133" s="1776"/>
      <c r="BL133" s="1776"/>
      <c r="BM133" s="1777"/>
      <c r="BN133" s="1777"/>
      <c r="BO133" s="1773"/>
      <c r="BP133" s="1267"/>
      <c r="BQ133" s="1269"/>
      <c r="BR133" s="1759">
        <f t="shared" si="29"/>
        <v>0</v>
      </c>
      <c r="BS133" s="1"/>
      <c r="BT133" s="1192">
        <f t="shared" si="30"/>
        <v>0</v>
      </c>
    </row>
    <row r="134" spans="1:72" ht="15.6" x14ac:dyDescent="0.3">
      <c r="A134" s="425"/>
      <c r="B134" s="394"/>
      <c r="C134" s="533" t="s">
        <v>221</v>
      </c>
      <c r="D134" s="534" t="s">
        <v>446</v>
      </c>
      <c r="E134" s="535">
        <v>2.2000000000000002</v>
      </c>
      <c r="F134" s="536" t="e">
        <f>(BR134/G134)/7</f>
        <v>#DIV/0!</v>
      </c>
      <c r="G134" s="385"/>
      <c r="H134" s="846">
        <f t="shared" si="26"/>
        <v>0</v>
      </c>
      <c r="I134" s="362"/>
      <c r="J134" s="392"/>
      <c r="K134" s="1243">
        <f t="shared" ref="K134:R136" si="32">J134-$H134</f>
        <v>0</v>
      </c>
      <c r="L134" s="1243">
        <f t="shared" si="32"/>
        <v>0</v>
      </c>
      <c r="M134" s="1243">
        <f t="shared" si="32"/>
        <v>0</v>
      </c>
      <c r="N134" s="1243">
        <f t="shared" si="32"/>
        <v>0</v>
      </c>
      <c r="O134" s="1243">
        <f t="shared" si="32"/>
        <v>0</v>
      </c>
      <c r="P134" s="1274">
        <f t="shared" si="32"/>
        <v>0</v>
      </c>
      <c r="Q134" s="1274">
        <f t="shared" si="32"/>
        <v>0</v>
      </c>
      <c r="R134" s="1273">
        <f t="shared" si="32"/>
        <v>0</v>
      </c>
      <c r="S134" s="1438">
        <f>R134-$H134</f>
        <v>0</v>
      </c>
      <c r="T134" s="1848"/>
      <c r="U134" s="1885"/>
      <c r="V134" s="1222"/>
      <c r="W134" s="1885"/>
      <c r="X134" s="1222"/>
      <c r="Y134" s="1923"/>
      <c r="Z134" s="1356"/>
      <c r="AA134" s="1357"/>
      <c r="AB134" s="1357"/>
      <c r="AC134" s="1362"/>
      <c r="AD134" s="1369"/>
      <c r="AE134" s="1755"/>
      <c r="AF134" s="1451"/>
      <c r="AG134" s="1362"/>
      <c r="AH134" s="1362"/>
      <c r="AI134" s="1362"/>
      <c r="AJ134" s="1369"/>
      <c r="AK134" s="1756"/>
      <c r="AL134" s="1361"/>
      <c r="AM134" s="1451"/>
      <c r="AN134" s="1451"/>
      <c r="AO134" s="1451"/>
      <c r="AP134" s="1224"/>
      <c r="AQ134" s="1757"/>
      <c r="AR134" s="1361"/>
      <c r="AS134" s="1451"/>
      <c r="AT134" s="1362"/>
      <c r="AU134" s="1362"/>
      <c r="AV134" s="1369"/>
      <c r="AW134" s="1758"/>
      <c r="AX134" s="1907"/>
      <c r="AY134" s="2035"/>
      <c r="AZ134" s="2035"/>
      <c r="BA134" s="2035"/>
      <c r="BB134" s="1222"/>
      <c r="BC134" s="1756"/>
      <c r="BD134" s="1361"/>
      <c r="BE134" s="1362"/>
      <c r="BF134" s="1362"/>
      <c r="BG134" s="1362"/>
      <c r="BH134" s="1224"/>
      <c r="BI134" s="1757"/>
      <c r="BJ134" s="1361"/>
      <c r="BK134" s="1362"/>
      <c r="BL134" s="1362"/>
      <c r="BM134" s="1369"/>
      <c r="BN134" s="1369"/>
      <c r="BO134" s="1756"/>
      <c r="BP134" s="1765"/>
      <c r="BQ134" s="1766"/>
      <c r="BR134" s="1767">
        <f t="shared" si="29"/>
        <v>0</v>
      </c>
      <c r="BS134" s="1"/>
      <c r="BT134" s="1192">
        <f t="shared" si="30"/>
        <v>0</v>
      </c>
    </row>
    <row r="135" spans="1:72" ht="15.6" x14ac:dyDescent="0.3">
      <c r="A135" s="447"/>
      <c r="B135" s="401"/>
      <c r="C135" s="539" t="s">
        <v>222</v>
      </c>
      <c r="D135" s="540" t="s">
        <v>209</v>
      </c>
      <c r="E135" s="535">
        <f>+E134</f>
        <v>2.2000000000000002</v>
      </c>
      <c r="F135" s="541"/>
      <c r="G135" s="375"/>
      <c r="H135" s="842">
        <f t="shared" si="26"/>
        <v>0</v>
      </c>
      <c r="I135" s="375"/>
      <c r="J135" s="362"/>
      <c r="K135" s="1395">
        <f t="shared" si="32"/>
        <v>0</v>
      </c>
      <c r="L135" s="1222">
        <f t="shared" si="32"/>
        <v>0</v>
      </c>
      <c r="M135" s="1194">
        <f t="shared" si="32"/>
        <v>0</v>
      </c>
      <c r="N135" s="1273">
        <f t="shared" si="32"/>
        <v>0</v>
      </c>
      <c r="O135" s="1194">
        <f t="shared" si="32"/>
        <v>0</v>
      </c>
      <c r="P135" s="1273">
        <f t="shared" si="32"/>
        <v>0</v>
      </c>
      <c r="Q135" s="1194">
        <f t="shared" si="32"/>
        <v>0</v>
      </c>
      <c r="R135" s="1193">
        <f t="shared" si="32"/>
        <v>0</v>
      </c>
      <c r="S135" s="1342">
        <f>(R135-$H135)+AN135</f>
        <v>0</v>
      </c>
      <c r="T135" s="1854"/>
      <c r="U135" s="1114"/>
      <c r="V135" s="1193"/>
      <c r="W135" s="1114"/>
      <c r="X135" s="1193"/>
      <c r="Y135" s="1929"/>
      <c r="Z135" s="1198"/>
      <c r="AA135" s="1199"/>
      <c r="AB135" s="1199"/>
      <c r="AC135" s="1104"/>
      <c r="AD135" s="1205"/>
      <c r="AE135" s="1197"/>
      <c r="AF135" s="1103"/>
      <c r="AG135" s="1104"/>
      <c r="AH135" s="1104"/>
      <c r="AI135" s="1104"/>
      <c r="AJ135" s="1205"/>
      <c r="AK135" s="1768"/>
      <c r="AL135" s="1204"/>
      <c r="AM135" s="1103"/>
      <c r="AN135" s="1103"/>
      <c r="AO135" s="1103"/>
      <c r="AP135" s="1195"/>
      <c r="AQ135" s="1769"/>
      <c r="AR135" s="1204"/>
      <c r="AS135" s="1103"/>
      <c r="AT135" s="1104"/>
      <c r="AU135" s="1104"/>
      <c r="AV135" s="1205"/>
      <c r="AW135" s="1196"/>
      <c r="AX135" s="1909"/>
      <c r="AY135" s="1113"/>
      <c r="AZ135" s="1113"/>
      <c r="BA135" s="1113"/>
      <c r="BB135" s="1193"/>
      <c r="BC135" s="1768"/>
      <c r="BD135" s="1204"/>
      <c r="BE135" s="1104"/>
      <c r="BF135" s="1104"/>
      <c r="BG135" s="1104"/>
      <c r="BH135" s="1195"/>
      <c r="BI135" s="1769"/>
      <c r="BJ135" s="1204"/>
      <c r="BK135" s="1104"/>
      <c r="BL135" s="1104"/>
      <c r="BM135" s="1205"/>
      <c r="BN135" s="1205"/>
      <c r="BO135" s="1768"/>
      <c r="BP135" s="1786"/>
      <c r="BQ135" s="1802"/>
      <c r="BR135" s="1754">
        <f t="shared" si="29"/>
        <v>0</v>
      </c>
      <c r="BS135" s="1"/>
      <c r="BT135" s="1192">
        <f t="shared" si="30"/>
        <v>0</v>
      </c>
    </row>
    <row r="136" spans="1:72" ht="16.2" thickBot="1" x14ac:dyDescent="0.35">
      <c r="A136" s="420"/>
      <c r="B136" s="411"/>
      <c r="C136" s="544" t="s">
        <v>223</v>
      </c>
      <c r="D136" s="545" t="s">
        <v>209</v>
      </c>
      <c r="E136" s="546">
        <f>+E135</f>
        <v>2.2000000000000002</v>
      </c>
      <c r="F136" s="547"/>
      <c r="G136" s="458"/>
      <c r="H136" s="847">
        <f t="shared" si="26"/>
        <v>0</v>
      </c>
      <c r="I136" s="458"/>
      <c r="J136" s="459"/>
      <c r="K136" s="1803">
        <f t="shared" si="32"/>
        <v>0</v>
      </c>
      <c r="L136" s="1804">
        <f t="shared" si="32"/>
        <v>0</v>
      </c>
      <c r="M136" s="1805">
        <f t="shared" si="32"/>
        <v>0</v>
      </c>
      <c r="N136" s="1806">
        <f t="shared" si="32"/>
        <v>0</v>
      </c>
      <c r="O136" s="1698">
        <f t="shared" si="32"/>
        <v>0</v>
      </c>
      <c r="P136" s="1806">
        <f t="shared" si="32"/>
        <v>0</v>
      </c>
      <c r="Q136" s="1698">
        <f t="shared" si="32"/>
        <v>0</v>
      </c>
      <c r="R136" s="1804">
        <f t="shared" si="32"/>
        <v>0</v>
      </c>
      <c r="S136" s="1697">
        <f>(R136-$H136)+AN136</f>
        <v>0</v>
      </c>
      <c r="T136" s="1869"/>
      <c r="U136" s="1925"/>
      <c r="V136" s="1804"/>
      <c r="W136" s="1925"/>
      <c r="X136" s="1804"/>
      <c r="Y136" s="1926"/>
      <c r="Z136" s="1839"/>
      <c r="AA136" s="1807"/>
      <c r="AB136" s="1807"/>
      <c r="AC136" s="1808"/>
      <c r="AD136" s="1809"/>
      <c r="AE136" s="1810"/>
      <c r="AF136" s="1811"/>
      <c r="AG136" s="1812"/>
      <c r="AH136" s="1812"/>
      <c r="AI136" s="1812"/>
      <c r="AJ136" s="1813"/>
      <c r="AK136" s="1814"/>
      <c r="AL136" s="1815"/>
      <c r="AM136" s="1811"/>
      <c r="AN136" s="1811"/>
      <c r="AO136" s="1811"/>
      <c r="AP136" s="1816"/>
      <c r="AQ136" s="1817"/>
      <c r="AR136" s="1815"/>
      <c r="AS136" s="1811"/>
      <c r="AT136" s="1812"/>
      <c r="AU136" s="1812"/>
      <c r="AV136" s="1813"/>
      <c r="AW136" s="1818"/>
      <c r="AX136" s="2008"/>
      <c r="AY136" s="2044"/>
      <c r="AZ136" s="2044"/>
      <c r="BA136" s="2044"/>
      <c r="BB136" s="1804"/>
      <c r="BC136" s="1814"/>
      <c r="BD136" s="1815"/>
      <c r="BE136" s="1812"/>
      <c r="BF136" s="1812"/>
      <c r="BG136" s="1812"/>
      <c r="BH136" s="1816"/>
      <c r="BI136" s="1817"/>
      <c r="BJ136" s="1815"/>
      <c r="BK136" s="1812"/>
      <c r="BL136" s="1812"/>
      <c r="BM136" s="1813"/>
      <c r="BN136" s="1813"/>
      <c r="BO136" s="1814"/>
      <c r="BP136" s="1819"/>
      <c r="BQ136" s="1820"/>
      <c r="BR136" s="1821">
        <f t="shared" si="29"/>
        <v>0</v>
      </c>
      <c r="BS136" s="1"/>
      <c r="BT136" s="1192">
        <f t="shared" si="30"/>
        <v>0</v>
      </c>
    </row>
    <row r="137" spans="1:72" ht="15" thickTop="1" x14ac:dyDescent="0.3">
      <c r="A137" s="1"/>
      <c r="B137" s="1"/>
      <c r="C137" s="1"/>
      <c r="D137" s="1"/>
      <c r="E137" s="1"/>
      <c r="F137" s="1"/>
      <c r="G137" s="1"/>
      <c r="H137" s="1"/>
      <c r="I137" s="857"/>
      <c r="J137" s="1"/>
      <c r="K137" s="1085"/>
      <c r="L137" s="1085"/>
      <c r="M137" s="1822"/>
      <c r="N137" s="1823"/>
      <c r="O137" s="1085"/>
      <c r="P137" s="1085"/>
      <c r="Q137" s="1085"/>
      <c r="R137" s="1085"/>
      <c r="S137" s="1085"/>
      <c r="T137" s="1936"/>
      <c r="U137" s="1085"/>
      <c r="V137" s="1085"/>
      <c r="W137" s="1085"/>
      <c r="X137" s="1085"/>
      <c r="Y137" s="1085"/>
      <c r="Z137" s="1085"/>
      <c r="AA137" s="1085"/>
      <c r="AB137" s="1085"/>
      <c r="AC137" s="1824"/>
      <c r="AD137" s="1085"/>
      <c r="AE137" s="1085"/>
      <c r="AF137" s="1085"/>
      <c r="AG137" s="1085"/>
      <c r="AH137" s="1085"/>
      <c r="AI137" s="1085"/>
      <c r="AJ137" s="1085"/>
      <c r="AK137" s="1085"/>
      <c r="AL137" s="1085"/>
      <c r="AM137" s="1085"/>
      <c r="AN137" s="1085"/>
      <c r="AO137" s="1085"/>
      <c r="AP137" s="1085"/>
      <c r="AQ137" s="1085"/>
      <c r="AR137" s="1085"/>
      <c r="AS137" s="1085"/>
      <c r="AT137" s="1085"/>
      <c r="AU137" s="1085"/>
      <c r="AV137" s="1085"/>
      <c r="AW137" s="1085"/>
      <c r="BC137" s="1085"/>
      <c r="BD137" s="1085"/>
      <c r="BE137" s="1085"/>
      <c r="BF137" s="1085"/>
      <c r="BG137" s="1085"/>
      <c r="BH137" s="1085"/>
      <c r="BI137" s="1085"/>
      <c r="BJ137" s="1085"/>
      <c r="BK137" s="1085"/>
      <c r="BL137" s="1085"/>
      <c r="BM137" s="1085"/>
      <c r="BN137" s="1085"/>
      <c r="BO137" s="1085"/>
      <c r="BP137" s="1085"/>
      <c r="BQ137" s="1085"/>
      <c r="BR137" s="1085"/>
      <c r="BS137" s="1"/>
    </row>
    <row r="138" spans="1:72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085"/>
      <c r="L138" s="1085"/>
      <c r="M138" s="1085"/>
      <c r="N138" s="1085"/>
      <c r="O138" s="1085"/>
      <c r="P138" s="1085"/>
      <c r="Q138" s="1085"/>
      <c r="R138" s="1085"/>
      <c r="S138" s="1085"/>
      <c r="T138" s="1085"/>
      <c r="U138" s="1085"/>
      <c r="V138" s="1085"/>
      <c r="W138" s="1085"/>
      <c r="X138" s="1085"/>
      <c r="Y138" s="1085"/>
      <c r="Z138" s="1552"/>
      <c r="AA138" s="1552"/>
      <c r="AB138" s="1552"/>
      <c r="AC138" s="1552"/>
      <c r="AD138" s="1552"/>
      <c r="AE138" s="1552"/>
      <c r="AF138" s="1552"/>
      <c r="AG138" s="1552"/>
      <c r="AH138" s="1552"/>
      <c r="AI138" s="1552"/>
      <c r="AJ138" s="1552"/>
      <c r="AK138" s="1552"/>
      <c r="AL138" s="1552"/>
      <c r="AM138" s="1552"/>
      <c r="AN138" s="1552"/>
      <c r="AO138" s="1552"/>
      <c r="AP138" s="1552"/>
      <c r="AQ138" s="1552"/>
      <c r="AR138" s="1552"/>
      <c r="AS138" s="1552"/>
      <c r="AT138" s="1552"/>
      <c r="AU138" s="1552"/>
      <c r="AV138" s="1552"/>
      <c r="AW138" s="1552"/>
      <c r="AX138" s="1552"/>
      <c r="AY138" s="1552"/>
      <c r="AZ138" s="1552"/>
      <c r="BA138" s="1552"/>
      <c r="BB138" s="1552"/>
      <c r="BC138" s="1552"/>
      <c r="BD138" s="1552"/>
      <c r="BE138" s="1552"/>
      <c r="BF138" s="1552"/>
      <c r="BG138" s="1552"/>
      <c r="BH138" s="1552"/>
      <c r="BI138" s="1552"/>
      <c r="BJ138" s="1552"/>
      <c r="BK138" s="1552"/>
      <c r="BL138" s="1552"/>
      <c r="BM138" s="1552"/>
      <c r="BN138" s="1552"/>
      <c r="BO138" s="1552"/>
      <c r="BP138" s="1552"/>
      <c r="BQ138" s="1552"/>
      <c r="BR138" s="1552"/>
      <c r="BS138" s="1085"/>
      <c r="BT138" s="1192"/>
    </row>
    <row r="139" spans="1:72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085"/>
      <c r="L139" s="1085"/>
      <c r="M139" s="1085"/>
      <c r="N139" s="1085"/>
      <c r="O139" s="1085"/>
      <c r="P139" s="1085"/>
      <c r="Q139" s="1085"/>
      <c r="R139" s="1085"/>
      <c r="S139" s="1085"/>
      <c r="T139" s="1085"/>
      <c r="U139" s="1085"/>
      <c r="V139" s="1085"/>
      <c r="W139" s="1085"/>
      <c r="X139" s="1085"/>
      <c r="Y139" s="1085"/>
      <c r="Z139" s="1085"/>
      <c r="AA139" s="1085"/>
      <c r="AB139" s="1085"/>
      <c r="AC139" s="1085"/>
      <c r="AD139" s="1085"/>
      <c r="AE139" s="1085"/>
      <c r="AF139" s="1085"/>
      <c r="AG139" s="1085"/>
      <c r="AH139" s="1085"/>
      <c r="AI139" s="1085"/>
      <c r="AJ139" s="1085"/>
      <c r="AK139" s="1085"/>
      <c r="AL139" s="1085"/>
      <c r="AM139" s="1085"/>
      <c r="AN139" s="1085"/>
      <c r="AO139" s="1085"/>
      <c r="AP139" s="1085"/>
      <c r="AQ139" s="1085"/>
      <c r="AR139" s="1085"/>
      <c r="AS139" s="1085"/>
      <c r="AT139" s="1085"/>
      <c r="AU139" s="1085"/>
      <c r="AV139" s="1085"/>
      <c r="AW139" s="1085"/>
      <c r="AX139" s="1085"/>
      <c r="AY139" s="1085"/>
      <c r="AZ139" s="1085"/>
      <c r="BA139" s="1085"/>
      <c r="BB139" s="1085"/>
      <c r="BC139" s="1085"/>
      <c r="BD139" s="1085"/>
      <c r="BE139" s="1085"/>
      <c r="BF139" s="1085"/>
      <c r="BG139" s="1085"/>
      <c r="BH139" s="1085"/>
      <c r="BI139" s="1085"/>
      <c r="BJ139" s="1085"/>
      <c r="BK139" s="1085"/>
      <c r="BL139" s="1085"/>
      <c r="BM139" s="1085"/>
      <c r="BN139" s="1085"/>
      <c r="BO139" s="1085"/>
      <c r="BP139" s="1085"/>
      <c r="BQ139" s="1085"/>
      <c r="BR139" s="1085"/>
      <c r="BS139" s="1"/>
    </row>
    <row r="140" spans="1:72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085"/>
      <c r="L140" s="1085"/>
      <c r="M140" s="1085"/>
      <c r="N140" s="1085"/>
      <c r="O140" s="1085"/>
      <c r="P140" s="1085"/>
      <c r="Q140" s="1085"/>
      <c r="R140" s="1085"/>
      <c r="S140" s="1085"/>
      <c r="T140" s="1085"/>
      <c r="U140" s="1085"/>
      <c r="V140" s="1085"/>
      <c r="W140" s="1085"/>
      <c r="X140" s="1085"/>
      <c r="Y140" s="1085"/>
      <c r="Z140" s="1552"/>
      <c r="AA140" s="1552"/>
      <c r="AB140" s="1552"/>
      <c r="AC140" s="1552"/>
      <c r="AD140" s="1552"/>
      <c r="AE140" s="1552"/>
      <c r="AF140" s="1552"/>
      <c r="AG140" s="1552"/>
      <c r="AH140" s="1552"/>
      <c r="AI140" s="1552"/>
      <c r="AJ140" s="1552"/>
      <c r="AK140" s="1552"/>
      <c r="AL140" s="1552"/>
      <c r="AM140" s="1552"/>
      <c r="AN140" s="1552"/>
      <c r="AO140" s="1552"/>
      <c r="AP140" s="1552"/>
      <c r="AQ140" s="1552"/>
      <c r="AR140" s="1552"/>
      <c r="AS140" s="1552"/>
      <c r="AT140" s="1552"/>
      <c r="AU140" s="1552"/>
      <c r="AV140" s="1552"/>
      <c r="AW140" s="1552"/>
      <c r="AX140" s="1552"/>
      <c r="AY140" s="1552"/>
      <c r="AZ140" s="1552"/>
      <c r="BA140" s="1552"/>
      <c r="BB140" s="1552"/>
      <c r="BC140" s="1552"/>
      <c r="BD140" s="1552"/>
      <c r="BE140" s="1552"/>
      <c r="BF140" s="1552"/>
      <c r="BG140" s="1552"/>
      <c r="BH140" s="1552"/>
      <c r="BI140" s="1552"/>
      <c r="BJ140" s="1552"/>
      <c r="BK140" s="1552"/>
      <c r="BL140" s="1552"/>
      <c r="BM140" s="1552"/>
      <c r="BN140" s="1552"/>
      <c r="BO140" s="1552"/>
      <c r="BP140" s="1085"/>
      <c r="BQ140" s="1085"/>
      <c r="BR140" s="1085"/>
      <c r="BS140" s="1085"/>
      <c r="BT140" s="1192"/>
    </row>
  </sheetData>
  <mergeCells count="9">
    <mergeCell ref="A66:A67"/>
    <mergeCell ref="A9:D9"/>
    <mergeCell ref="A47:A49"/>
    <mergeCell ref="A50:A53"/>
    <mergeCell ref="A54:A56"/>
    <mergeCell ref="A57:A59"/>
    <mergeCell ref="B57:B59"/>
    <mergeCell ref="A60:A62"/>
    <mergeCell ref="B60:B62"/>
  </mergeCells>
  <pageMargins left="0.7" right="0.7" top="0.75" bottom="0.75" header="0.3" footer="0.3"/>
  <pageSetup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D59C8-E57A-4CDB-8072-647A5ECBDD78}">
  <sheetPr>
    <pageSetUpPr fitToPage="1"/>
  </sheetPr>
  <dimension ref="A1:AF47"/>
  <sheetViews>
    <sheetView zoomScaleNormal="100" workbookViewId="0">
      <pane xSplit="1" topLeftCell="B1" activePane="topRight" state="frozen"/>
      <selection pane="topRight" activeCell="I11" sqref="I11"/>
    </sheetView>
  </sheetViews>
  <sheetFormatPr defaultColWidth="9.109375" defaultRowHeight="14.4" x14ac:dyDescent="0.3"/>
  <cols>
    <col min="1" max="1" width="41.5546875" style="549" bestFit="1" customWidth="1"/>
    <col min="2" max="2" width="4.88671875" style="549" customWidth="1"/>
    <col min="3" max="3" width="20.6640625" style="549" hidden="1" customWidth="1"/>
    <col min="4" max="4" width="23" style="549" hidden="1" customWidth="1"/>
    <col min="5" max="5" width="19.33203125" style="549" hidden="1" customWidth="1"/>
    <col min="6" max="6" width="16.33203125" style="549" hidden="1" customWidth="1"/>
    <col min="7" max="7" width="20.6640625" style="549" customWidth="1"/>
    <col min="8" max="8" width="11.33203125" style="549" customWidth="1"/>
    <col min="9" max="9" width="23" style="549" customWidth="1"/>
    <col min="10" max="10" width="16.33203125" style="549" customWidth="1"/>
    <col min="11" max="11" width="20.6640625" style="549" hidden="1" customWidth="1"/>
    <col min="12" max="12" width="11.33203125" style="549" hidden="1" customWidth="1"/>
    <col min="13" max="13" width="23" style="549" hidden="1" customWidth="1"/>
    <col min="14" max="14" width="16.33203125" style="549" hidden="1" customWidth="1"/>
    <col min="15" max="15" width="20.6640625" style="549" customWidth="1"/>
    <col min="16" max="16" width="11.33203125" style="549" customWidth="1"/>
    <col min="17" max="17" width="23" style="549" customWidth="1"/>
    <col min="18" max="18" width="16.33203125" style="549" customWidth="1"/>
    <col min="19" max="19" width="20.6640625" style="549" hidden="1" customWidth="1"/>
    <col min="20" max="20" width="11.33203125" style="550" hidden="1" customWidth="1"/>
    <col min="21" max="21" width="23" style="549" hidden="1" customWidth="1"/>
    <col min="22" max="22" width="16.33203125" style="549" hidden="1" customWidth="1"/>
    <col min="23" max="23" width="20.6640625" style="549" hidden="1" customWidth="1"/>
    <col min="24" max="24" width="11.33203125" style="549" hidden="1" customWidth="1"/>
    <col min="25" max="25" width="23" style="549" hidden="1" customWidth="1"/>
    <col min="26" max="26" width="16.33203125" style="549" hidden="1" customWidth="1"/>
    <col min="27" max="27" width="20.6640625" style="549" hidden="1" customWidth="1"/>
    <col min="28" max="28" width="11.33203125" style="549" hidden="1" customWidth="1"/>
    <col min="29" max="29" width="23" style="549" hidden="1" customWidth="1"/>
    <col min="30" max="30" width="16.33203125" style="549" hidden="1" customWidth="1"/>
    <col min="31" max="32" width="11.33203125" style="549" bestFit="1" customWidth="1"/>
    <col min="33" max="16384" width="9.109375" style="549"/>
  </cols>
  <sheetData>
    <row r="1" spans="1:32" ht="15" thickBot="1" x14ac:dyDescent="0.35">
      <c r="C1" s="2724" t="s">
        <v>277</v>
      </c>
      <c r="D1" s="2725"/>
      <c r="E1" s="2725"/>
      <c r="F1" s="2726"/>
      <c r="G1" s="2724" t="s">
        <v>277</v>
      </c>
      <c r="H1" s="2725"/>
      <c r="I1" s="2725"/>
      <c r="J1" s="2726"/>
      <c r="K1" s="2724" t="s">
        <v>277</v>
      </c>
      <c r="L1" s="2725"/>
      <c r="M1" s="2725"/>
      <c r="N1" s="2726"/>
      <c r="O1" s="2724" t="s">
        <v>277</v>
      </c>
      <c r="P1" s="2725"/>
      <c r="Q1" s="2725"/>
      <c r="R1" s="2726"/>
      <c r="S1" s="2724" t="s">
        <v>277</v>
      </c>
      <c r="T1" s="2725"/>
      <c r="U1" s="2725"/>
      <c r="V1" s="2726"/>
      <c r="W1" s="2724" t="s">
        <v>277</v>
      </c>
      <c r="X1" s="2725"/>
      <c r="Y1" s="2725"/>
      <c r="Z1" s="2726"/>
      <c r="AA1" s="2724" t="s">
        <v>277</v>
      </c>
      <c r="AB1" s="2725"/>
      <c r="AC1" s="2725"/>
      <c r="AD1" s="2726"/>
    </row>
    <row r="2" spans="1:32" s="550" customFormat="1" ht="15" thickBot="1" x14ac:dyDescent="0.35">
      <c r="C2" s="572" t="s">
        <v>263</v>
      </c>
      <c r="D2" s="873" t="s">
        <v>285</v>
      </c>
      <c r="E2" s="550" t="s">
        <v>270</v>
      </c>
      <c r="F2" s="573"/>
      <c r="G2" s="572" t="s">
        <v>263</v>
      </c>
      <c r="H2" s="555" t="s">
        <v>455</v>
      </c>
      <c r="I2" s="550" t="s">
        <v>270</v>
      </c>
      <c r="J2" s="573"/>
      <c r="K2" s="572" t="s">
        <v>263</v>
      </c>
      <c r="L2" s="555"/>
      <c r="M2" s="550" t="s">
        <v>270</v>
      </c>
      <c r="N2" s="573"/>
      <c r="O2" s="572" t="s">
        <v>263</v>
      </c>
      <c r="P2" s="555" t="s">
        <v>455</v>
      </c>
      <c r="Q2" s="550" t="s">
        <v>270</v>
      </c>
      <c r="R2" s="573"/>
      <c r="S2" s="572" t="s">
        <v>263</v>
      </c>
      <c r="T2" s="555" t="s">
        <v>455</v>
      </c>
      <c r="U2" s="550" t="s">
        <v>270</v>
      </c>
      <c r="V2" s="573"/>
      <c r="W2" s="572" t="s">
        <v>263</v>
      </c>
      <c r="X2" s="555"/>
      <c r="Y2" s="550" t="s">
        <v>270</v>
      </c>
      <c r="Z2" s="573"/>
      <c r="AA2" s="572" t="s">
        <v>263</v>
      </c>
      <c r="AB2" s="555"/>
      <c r="AC2" s="550" t="s">
        <v>270</v>
      </c>
      <c r="AD2" s="573"/>
    </row>
    <row r="3" spans="1:32" ht="15" thickBot="1" x14ac:dyDescent="0.35">
      <c r="C3" s="572" t="s">
        <v>276</v>
      </c>
      <c r="D3" s="873"/>
      <c r="E3" s="550" t="s">
        <v>271</v>
      </c>
      <c r="F3" s="579"/>
      <c r="G3" s="572" t="s">
        <v>276</v>
      </c>
      <c r="H3" s="2019">
        <v>34</v>
      </c>
      <c r="I3" s="550" t="s">
        <v>271</v>
      </c>
      <c r="J3" s="579"/>
      <c r="K3" s="572" t="s">
        <v>276</v>
      </c>
      <c r="L3" s="555"/>
      <c r="M3" s="550" t="s">
        <v>271</v>
      </c>
      <c r="N3" s="579"/>
      <c r="O3" s="572" t="s">
        <v>276</v>
      </c>
      <c r="P3" s="2019">
        <v>34</v>
      </c>
      <c r="Q3" s="550" t="s">
        <v>271</v>
      </c>
      <c r="R3" s="579"/>
      <c r="S3" s="572" t="s">
        <v>276</v>
      </c>
      <c r="T3" s="2019"/>
      <c r="U3" s="550" t="s">
        <v>271</v>
      </c>
      <c r="V3" s="579"/>
      <c r="W3" s="572" t="s">
        <v>276</v>
      </c>
      <c r="X3" s="555"/>
      <c r="Y3" s="550" t="s">
        <v>271</v>
      </c>
      <c r="Z3" s="579"/>
      <c r="AA3" s="572" t="s">
        <v>276</v>
      </c>
      <c r="AB3" s="555"/>
      <c r="AC3" s="550" t="s">
        <v>271</v>
      </c>
      <c r="AD3" s="579"/>
    </row>
    <row r="4" spans="1:32" s="550" customFormat="1" ht="15" thickBot="1" x14ac:dyDescent="0.35">
      <c r="C4" s="572" t="s">
        <v>269</v>
      </c>
      <c r="D4" s="874"/>
      <c r="E4" s="550" t="s">
        <v>272</v>
      </c>
      <c r="F4" s="579"/>
      <c r="G4" s="572" t="s">
        <v>269</v>
      </c>
      <c r="H4" s="1825">
        <v>46250</v>
      </c>
      <c r="I4" s="550" t="s">
        <v>272</v>
      </c>
      <c r="J4" s="579"/>
      <c r="K4" s="572" t="s">
        <v>269</v>
      </c>
      <c r="L4" s="1825"/>
      <c r="M4" s="550" t="s">
        <v>272</v>
      </c>
      <c r="N4" s="579"/>
      <c r="O4" s="572" t="s">
        <v>269</v>
      </c>
      <c r="P4" s="1825">
        <v>46254</v>
      </c>
      <c r="Q4" s="550" t="s">
        <v>272</v>
      </c>
      <c r="R4" s="579"/>
      <c r="S4" s="572" t="s">
        <v>269</v>
      </c>
      <c r="T4" s="1825"/>
      <c r="U4" s="550" t="s">
        <v>272</v>
      </c>
      <c r="V4" s="579"/>
      <c r="W4" s="572" t="s">
        <v>269</v>
      </c>
      <c r="X4" s="555"/>
      <c r="Y4" s="550" t="s">
        <v>272</v>
      </c>
      <c r="Z4" s="579"/>
      <c r="AA4" s="572" t="s">
        <v>269</v>
      </c>
      <c r="AB4" s="555"/>
      <c r="AC4" s="550" t="s">
        <v>272</v>
      </c>
      <c r="AD4" s="579"/>
    </row>
    <row r="5" spans="1:32" ht="15" thickBot="1" x14ac:dyDescent="0.35">
      <c r="C5" s="572" t="s">
        <v>275</v>
      </c>
      <c r="D5" s="555"/>
      <c r="E5" s="550" t="s">
        <v>278</v>
      </c>
      <c r="F5" s="579"/>
      <c r="G5" s="572" t="s">
        <v>275</v>
      </c>
      <c r="H5" s="555"/>
      <c r="I5" s="550" t="s">
        <v>278</v>
      </c>
      <c r="J5" s="579"/>
      <c r="K5" s="572" t="s">
        <v>275</v>
      </c>
      <c r="L5" s="555"/>
      <c r="M5" s="550" t="s">
        <v>278</v>
      </c>
      <c r="N5" s="579"/>
      <c r="O5" s="572" t="s">
        <v>275</v>
      </c>
      <c r="P5" s="555"/>
      <c r="Q5" s="550" t="s">
        <v>278</v>
      </c>
      <c r="R5" s="579"/>
      <c r="S5" s="572" t="s">
        <v>275</v>
      </c>
      <c r="T5" s="555"/>
      <c r="U5" s="550" t="s">
        <v>278</v>
      </c>
      <c r="V5" s="579"/>
      <c r="W5" s="572" t="s">
        <v>275</v>
      </c>
      <c r="X5" s="555"/>
      <c r="Y5" s="550" t="s">
        <v>278</v>
      </c>
      <c r="Z5" s="579"/>
      <c r="AA5" s="572" t="s">
        <v>275</v>
      </c>
      <c r="AB5" s="555"/>
      <c r="AC5" s="550" t="s">
        <v>278</v>
      </c>
      <c r="AD5" s="579"/>
    </row>
    <row r="6" spans="1:32" ht="15" thickBot="1" x14ac:dyDescent="0.35">
      <c r="A6" s="550"/>
      <c r="C6" s="572" t="s">
        <v>274</v>
      </c>
      <c r="D6" s="555"/>
      <c r="E6" s="550" t="s">
        <v>273</v>
      </c>
      <c r="F6" s="579"/>
      <c r="G6" s="572" t="s">
        <v>274</v>
      </c>
      <c r="H6" s="555"/>
      <c r="I6" s="550" t="s">
        <v>273</v>
      </c>
      <c r="J6" s="579"/>
      <c r="K6" s="572" t="s">
        <v>274</v>
      </c>
      <c r="L6" s="555"/>
      <c r="M6" s="550" t="s">
        <v>273</v>
      </c>
      <c r="N6" s="579"/>
      <c r="O6" s="572" t="s">
        <v>274</v>
      </c>
      <c r="P6" s="555"/>
      <c r="Q6" s="550" t="s">
        <v>273</v>
      </c>
      <c r="R6" s="579"/>
      <c r="S6" s="572" t="s">
        <v>274</v>
      </c>
      <c r="T6" s="555"/>
      <c r="U6" s="550" t="s">
        <v>273</v>
      </c>
      <c r="V6" s="579"/>
      <c r="W6" s="572" t="s">
        <v>274</v>
      </c>
      <c r="X6" s="555"/>
      <c r="Y6" s="550" t="s">
        <v>273</v>
      </c>
      <c r="Z6" s="579"/>
      <c r="AA6" s="572" t="s">
        <v>274</v>
      </c>
      <c r="AB6" s="555"/>
      <c r="AC6" s="550" t="s">
        <v>273</v>
      </c>
      <c r="AD6" s="579"/>
    </row>
    <row r="7" spans="1:32" ht="15" thickBot="1" x14ac:dyDescent="0.35">
      <c r="A7" s="581"/>
      <c r="C7" s="572" t="s">
        <v>279</v>
      </c>
      <c r="D7" s="555"/>
      <c r="E7" s="550" t="s">
        <v>280</v>
      </c>
      <c r="F7" s="579"/>
      <c r="G7" s="572" t="s">
        <v>279</v>
      </c>
      <c r="H7" s="555"/>
      <c r="I7" s="550" t="s">
        <v>280</v>
      </c>
      <c r="J7" s="579"/>
      <c r="K7" s="572" t="s">
        <v>279</v>
      </c>
      <c r="L7" s="555"/>
      <c r="M7" s="550" t="s">
        <v>280</v>
      </c>
      <c r="N7" s="579"/>
      <c r="O7" s="572" t="s">
        <v>279</v>
      </c>
      <c r="P7" s="555"/>
      <c r="Q7" s="550" t="s">
        <v>280</v>
      </c>
      <c r="R7" s="579"/>
      <c r="S7" s="572" t="s">
        <v>279</v>
      </c>
      <c r="T7" s="555"/>
      <c r="U7" s="550" t="s">
        <v>280</v>
      </c>
      <c r="V7" s="579"/>
      <c r="W7" s="572" t="s">
        <v>279</v>
      </c>
      <c r="X7" s="555"/>
      <c r="Y7" s="550" t="s">
        <v>280</v>
      </c>
      <c r="Z7" s="579"/>
      <c r="AA7" s="572" t="s">
        <v>279</v>
      </c>
      <c r="AB7" s="555"/>
      <c r="AC7" s="550" t="s">
        <v>280</v>
      </c>
      <c r="AD7" s="579"/>
    </row>
    <row r="8" spans="1:32" ht="15" thickBot="1" x14ac:dyDescent="0.35">
      <c r="A8" s="574"/>
      <c r="C8" s="575"/>
      <c r="D8" s="576"/>
      <c r="E8" s="576"/>
      <c r="F8" s="577"/>
      <c r="G8" s="575"/>
      <c r="H8" s="576"/>
      <c r="I8" s="576"/>
      <c r="J8" s="577"/>
      <c r="K8" s="575"/>
      <c r="L8" s="576"/>
      <c r="M8" s="576"/>
      <c r="N8" s="577"/>
      <c r="O8" s="575"/>
      <c r="P8" s="576"/>
      <c r="Q8" s="576"/>
      <c r="R8" s="577"/>
      <c r="S8" s="575"/>
      <c r="T8" s="576"/>
      <c r="U8" s="576"/>
      <c r="V8" s="577"/>
      <c r="W8" s="575"/>
      <c r="X8" s="576"/>
      <c r="Y8" s="576"/>
      <c r="Z8" s="577"/>
      <c r="AA8" s="575"/>
      <c r="AB8" s="576"/>
      <c r="AC8" s="576"/>
      <c r="AD8" s="577"/>
    </row>
    <row r="9" spans="1:32" s="550" customFormat="1" ht="15" thickBot="1" x14ac:dyDescent="0.35">
      <c r="A9" s="2722" t="s">
        <v>30</v>
      </c>
      <c r="B9" s="561"/>
      <c r="C9" s="2724" t="s">
        <v>38</v>
      </c>
      <c r="D9" s="2725"/>
      <c r="E9" s="2725"/>
      <c r="F9" s="2726"/>
      <c r="G9" s="2724" t="s">
        <v>44</v>
      </c>
      <c r="H9" s="2725"/>
      <c r="I9" s="2725"/>
      <c r="J9" s="2726"/>
      <c r="K9" s="2724" t="s">
        <v>40</v>
      </c>
      <c r="L9" s="2725"/>
      <c r="M9" s="2725"/>
      <c r="N9" s="2726"/>
      <c r="O9" s="2724" t="s">
        <v>41</v>
      </c>
      <c r="P9" s="2725"/>
      <c r="Q9" s="2725"/>
      <c r="R9" s="2726"/>
      <c r="S9" s="2724" t="s">
        <v>41</v>
      </c>
      <c r="T9" s="2725"/>
      <c r="U9" s="2725"/>
      <c r="V9" s="2726"/>
      <c r="W9" s="2724" t="s">
        <v>43</v>
      </c>
      <c r="X9" s="2725"/>
      <c r="Y9" s="2725"/>
      <c r="Z9" s="2726"/>
      <c r="AA9" s="2724" t="s">
        <v>44</v>
      </c>
      <c r="AB9" s="2725"/>
      <c r="AC9" s="2725"/>
      <c r="AD9" s="2726"/>
      <c r="AE9" s="2725" t="s">
        <v>261</v>
      </c>
      <c r="AF9" s="2726"/>
    </row>
    <row r="10" spans="1:32" s="550" customFormat="1" ht="15" thickBot="1" x14ac:dyDescent="0.35">
      <c r="A10" s="2723"/>
      <c r="B10" s="561"/>
      <c r="C10" s="569" t="s">
        <v>224</v>
      </c>
      <c r="D10" s="570" t="s">
        <v>264</v>
      </c>
      <c r="E10" s="570" t="s">
        <v>259</v>
      </c>
      <c r="F10" s="563" t="s">
        <v>260</v>
      </c>
      <c r="G10" s="569" t="s">
        <v>224</v>
      </c>
      <c r="H10" s="570" t="s">
        <v>264</v>
      </c>
      <c r="I10" s="570" t="s">
        <v>259</v>
      </c>
      <c r="J10" s="563" t="s">
        <v>260</v>
      </c>
      <c r="K10" s="569" t="s">
        <v>224</v>
      </c>
      <c r="L10" s="570" t="s">
        <v>264</v>
      </c>
      <c r="M10" s="570" t="s">
        <v>259</v>
      </c>
      <c r="N10" s="563" t="s">
        <v>260</v>
      </c>
      <c r="O10" s="569" t="s">
        <v>224</v>
      </c>
      <c r="P10" s="570" t="s">
        <v>264</v>
      </c>
      <c r="Q10" s="570" t="s">
        <v>259</v>
      </c>
      <c r="R10" s="563" t="s">
        <v>260</v>
      </c>
      <c r="S10" s="569" t="s">
        <v>224</v>
      </c>
      <c r="T10" s="570" t="s">
        <v>264</v>
      </c>
      <c r="U10" s="570" t="s">
        <v>259</v>
      </c>
      <c r="V10" s="563" t="s">
        <v>260</v>
      </c>
      <c r="W10" s="569" t="s">
        <v>224</v>
      </c>
      <c r="X10" s="570" t="s">
        <v>264</v>
      </c>
      <c r="Y10" s="570" t="s">
        <v>259</v>
      </c>
      <c r="Z10" s="563" t="s">
        <v>260</v>
      </c>
      <c r="AA10" s="569" t="s">
        <v>224</v>
      </c>
      <c r="AB10" s="570" t="s">
        <v>264</v>
      </c>
      <c r="AC10" s="570" t="s">
        <v>259</v>
      </c>
      <c r="AD10" s="563" t="s">
        <v>260</v>
      </c>
      <c r="AE10" s="571" t="s">
        <v>264</v>
      </c>
      <c r="AF10" s="563" t="s">
        <v>262</v>
      </c>
    </row>
    <row r="11" spans="1:32" x14ac:dyDescent="0.3">
      <c r="A11" s="859" t="s">
        <v>369</v>
      </c>
      <c r="C11" s="551"/>
      <c r="D11" s="1075"/>
      <c r="E11" s="858"/>
      <c r="F11" s="552"/>
      <c r="G11" s="551" t="s">
        <v>209</v>
      </c>
      <c r="H11" s="562">
        <v>3000</v>
      </c>
      <c r="I11" s="562"/>
      <c r="J11" s="552"/>
      <c r="K11" s="551"/>
      <c r="L11" s="562"/>
      <c r="M11" s="562"/>
      <c r="N11" s="552"/>
      <c r="O11" s="551" t="s">
        <v>209</v>
      </c>
      <c r="P11" s="562">
        <v>5000</v>
      </c>
      <c r="Q11" s="562"/>
      <c r="R11" s="552"/>
      <c r="S11" s="551"/>
      <c r="T11" s="562"/>
      <c r="U11" s="562"/>
      <c r="V11" s="552"/>
      <c r="W11" s="551"/>
      <c r="X11" s="562"/>
      <c r="Y11" s="562"/>
      <c r="Z11" s="552"/>
      <c r="AA11" s="551"/>
      <c r="AB11" s="562"/>
      <c r="AC11" s="562"/>
      <c r="AD11" s="552"/>
      <c r="AE11" s="578">
        <f>SUM(D11,H11,L11,P11,T11,X11,AB11)</f>
        <v>8000</v>
      </c>
      <c r="AF11" s="567">
        <f>SUM(E11,I11,M11,Q11,U11,Y11,AC11)</f>
        <v>0</v>
      </c>
    </row>
    <row r="12" spans="1:32" x14ac:dyDescent="0.3">
      <c r="A12" s="860" t="s">
        <v>369</v>
      </c>
      <c r="C12" s="553"/>
      <c r="D12" s="556"/>
      <c r="E12" s="556"/>
      <c r="F12" s="554"/>
      <c r="G12" s="553"/>
      <c r="H12" s="556"/>
      <c r="I12" s="556"/>
      <c r="J12" s="554"/>
      <c r="K12" s="553"/>
      <c r="L12" s="556"/>
      <c r="M12" s="556"/>
      <c r="N12" s="554"/>
      <c r="O12" s="553"/>
      <c r="P12" s="556"/>
      <c r="Q12" s="556"/>
      <c r="R12" s="554"/>
      <c r="S12" s="553"/>
      <c r="T12" s="556"/>
      <c r="U12" s="556"/>
      <c r="V12" s="554"/>
      <c r="W12" s="553"/>
      <c r="X12" s="556"/>
      <c r="Y12" s="556"/>
      <c r="Z12" s="554"/>
      <c r="AA12" s="553"/>
      <c r="AB12" s="556"/>
      <c r="AC12" s="556"/>
      <c r="AD12" s="554"/>
      <c r="AE12" s="578">
        <f t="shared" ref="AE12:AF27" si="0">SUM(D12,H12,L12,P12,T12,X12,AB12)</f>
        <v>0</v>
      </c>
      <c r="AF12" s="567">
        <f t="shared" si="0"/>
        <v>0</v>
      </c>
    </row>
    <row r="13" spans="1:32" x14ac:dyDescent="0.3">
      <c r="A13" s="860" t="s">
        <v>370</v>
      </c>
      <c r="C13" s="553"/>
      <c r="D13" s="556"/>
      <c r="E13" s="556"/>
      <c r="F13" s="554"/>
      <c r="G13" s="553" t="s">
        <v>510</v>
      </c>
      <c r="H13" s="556">
        <v>3000</v>
      </c>
      <c r="I13" s="556"/>
      <c r="J13" s="554"/>
      <c r="K13" s="553"/>
      <c r="L13" s="556"/>
      <c r="M13" s="556"/>
      <c r="N13" s="554"/>
      <c r="O13" s="553" t="s">
        <v>510</v>
      </c>
      <c r="P13" s="556">
        <v>5000</v>
      </c>
      <c r="Q13" s="556"/>
      <c r="R13" s="554"/>
      <c r="S13" s="553"/>
      <c r="T13" s="556"/>
      <c r="U13" s="556"/>
      <c r="V13" s="554"/>
      <c r="W13" s="553"/>
      <c r="X13" s="556"/>
      <c r="Y13" s="556"/>
      <c r="Z13" s="554"/>
      <c r="AA13" s="553"/>
      <c r="AB13" s="556"/>
      <c r="AC13" s="556"/>
      <c r="AD13" s="554"/>
      <c r="AE13" s="578">
        <f t="shared" si="0"/>
        <v>8000</v>
      </c>
      <c r="AF13" s="567">
        <f t="shared" si="0"/>
        <v>0</v>
      </c>
    </row>
    <row r="14" spans="1:32" x14ac:dyDescent="0.3">
      <c r="A14" s="860" t="s">
        <v>370</v>
      </c>
      <c r="C14" s="553"/>
      <c r="D14" s="556"/>
      <c r="E14" s="556"/>
      <c r="F14" s="554"/>
      <c r="G14" s="553" t="s">
        <v>510</v>
      </c>
      <c r="H14" s="556">
        <v>3000</v>
      </c>
      <c r="I14" s="556"/>
      <c r="J14" s="554"/>
      <c r="K14" s="553"/>
      <c r="L14" s="556"/>
      <c r="M14" s="556"/>
      <c r="N14" s="554"/>
      <c r="O14" s="553" t="s">
        <v>446</v>
      </c>
      <c r="P14" s="556">
        <v>1000</v>
      </c>
      <c r="Q14" s="556"/>
      <c r="R14" s="554"/>
      <c r="S14" s="553"/>
      <c r="T14" s="556"/>
      <c r="U14" s="556"/>
      <c r="V14" s="554"/>
      <c r="W14" s="553"/>
      <c r="X14" s="556"/>
      <c r="Y14" s="556"/>
      <c r="Z14" s="554"/>
      <c r="AA14" s="553"/>
      <c r="AB14" s="556"/>
      <c r="AC14" s="556"/>
      <c r="AD14" s="554"/>
      <c r="AE14" s="578">
        <f t="shared" si="0"/>
        <v>4000</v>
      </c>
      <c r="AF14" s="567">
        <f t="shared" si="0"/>
        <v>0</v>
      </c>
    </row>
    <row r="15" spans="1:32" x14ac:dyDescent="0.3">
      <c r="A15" s="860" t="s">
        <v>371</v>
      </c>
      <c r="C15" s="553"/>
      <c r="D15" s="556"/>
      <c r="E15" s="556"/>
      <c r="F15" s="554"/>
      <c r="G15" s="553" t="s">
        <v>446</v>
      </c>
      <c r="H15" s="556">
        <v>3000</v>
      </c>
      <c r="I15" s="556"/>
      <c r="J15" s="554"/>
      <c r="K15" s="553"/>
      <c r="L15" s="556"/>
      <c r="M15" s="556"/>
      <c r="N15" s="554"/>
      <c r="O15" s="553" t="s">
        <v>446</v>
      </c>
      <c r="P15" s="556">
        <v>3000</v>
      </c>
      <c r="Q15" s="556"/>
      <c r="R15" s="554"/>
      <c r="S15" s="553"/>
      <c r="T15" s="556"/>
      <c r="U15" s="556"/>
      <c r="V15" s="554"/>
      <c r="W15" s="553"/>
      <c r="X15" s="556"/>
      <c r="Y15" s="556"/>
      <c r="Z15" s="554"/>
      <c r="AA15" s="553"/>
      <c r="AB15" s="556"/>
      <c r="AC15" s="556"/>
      <c r="AD15" s="554"/>
      <c r="AE15" s="578">
        <f t="shared" si="0"/>
        <v>6000</v>
      </c>
      <c r="AF15" s="567">
        <f t="shared" si="0"/>
        <v>0</v>
      </c>
    </row>
    <row r="16" spans="1:32" x14ac:dyDescent="0.3">
      <c r="A16" s="860" t="s">
        <v>371</v>
      </c>
      <c r="C16" s="553"/>
      <c r="D16" s="556"/>
      <c r="E16" s="556"/>
      <c r="F16" s="554"/>
      <c r="G16" s="553" t="s">
        <v>446</v>
      </c>
      <c r="H16" s="556">
        <v>3000</v>
      </c>
      <c r="I16" s="556"/>
      <c r="J16" s="554"/>
      <c r="K16" s="553"/>
      <c r="L16" s="556"/>
      <c r="M16" s="556"/>
      <c r="N16" s="554"/>
      <c r="O16" s="553" t="s">
        <v>511</v>
      </c>
      <c r="P16" s="556">
        <v>3000</v>
      </c>
      <c r="Q16" s="556"/>
      <c r="R16" s="554"/>
      <c r="S16" s="553"/>
      <c r="T16" s="556"/>
      <c r="U16" s="556"/>
      <c r="V16" s="554"/>
      <c r="W16" s="553"/>
      <c r="X16" s="556"/>
      <c r="Y16" s="556"/>
      <c r="Z16" s="554"/>
      <c r="AA16" s="553"/>
      <c r="AB16" s="556"/>
      <c r="AC16" s="556"/>
      <c r="AD16" s="554"/>
      <c r="AE16" s="578">
        <f t="shared" si="0"/>
        <v>6000</v>
      </c>
      <c r="AF16" s="567">
        <f t="shared" si="0"/>
        <v>0</v>
      </c>
    </row>
    <row r="17" spans="1:32" x14ac:dyDescent="0.3">
      <c r="A17" s="860" t="s">
        <v>372</v>
      </c>
      <c r="C17" s="553"/>
      <c r="D17" s="556"/>
      <c r="E17" s="556"/>
      <c r="F17" s="554"/>
      <c r="G17" s="553" t="s">
        <v>209</v>
      </c>
      <c r="H17" s="556">
        <v>3000</v>
      </c>
      <c r="I17" s="556"/>
      <c r="J17" s="554"/>
      <c r="K17" s="553"/>
      <c r="L17" s="556"/>
      <c r="M17" s="556"/>
      <c r="N17" s="554"/>
      <c r="O17" s="553" t="s">
        <v>209</v>
      </c>
      <c r="P17" s="556">
        <v>4000</v>
      </c>
      <c r="Q17" s="556"/>
      <c r="R17" s="554"/>
      <c r="S17" s="553"/>
      <c r="T17" s="556"/>
      <c r="U17" s="556"/>
      <c r="V17" s="554"/>
      <c r="W17" s="553"/>
      <c r="X17" s="556"/>
      <c r="Y17" s="556"/>
      <c r="Z17" s="554"/>
      <c r="AA17" s="553"/>
      <c r="AB17" s="556"/>
      <c r="AC17" s="556"/>
      <c r="AD17" s="554"/>
      <c r="AE17" s="578">
        <f t="shared" si="0"/>
        <v>7000</v>
      </c>
      <c r="AF17" s="567">
        <f t="shared" si="0"/>
        <v>0</v>
      </c>
    </row>
    <row r="18" spans="1:32" x14ac:dyDescent="0.3">
      <c r="A18" s="860" t="s">
        <v>372</v>
      </c>
      <c r="C18" s="553"/>
      <c r="D18" s="556"/>
      <c r="E18" s="556"/>
      <c r="F18" s="554"/>
      <c r="G18" s="553" t="s">
        <v>209</v>
      </c>
      <c r="H18" s="556">
        <v>3000</v>
      </c>
      <c r="I18" s="556"/>
      <c r="J18" s="554"/>
      <c r="K18" s="553"/>
      <c r="L18" s="556"/>
      <c r="M18" s="556"/>
      <c r="N18" s="554"/>
      <c r="O18" s="553" t="s">
        <v>209</v>
      </c>
      <c r="P18" s="556">
        <v>3000</v>
      </c>
      <c r="Q18" s="556"/>
      <c r="R18" s="554"/>
      <c r="S18" s="553"/>
      <c r="T18" s="556"/>
      <c r="U18" s="556"/>
      <c r="V18" s="554"/>
      <c r="W18" s="553"/>
      <c r="X18" s="556"/>
      <c r="Y18" s="556"/>
      <c r="Z18" s="554"/>
      <c r="AA18" s="553"/>
      <c r="AB18" s="556"/>
      <c r="AC18" s="556"/>
      <c r="AD18" s="554"/>
      <c r="AE18" s="578">
        <f t="shared" si="0"/>
        <v>6000</v>
      </c>
      <c r="AF18" s="567">
        <f t="shared" si="0"/>
        <v>0</v>
      </c>
    </row>
    <row r="19" spans="1:32" x14ac:dyDescent="0.3">
      <c r="A19" s="860" t="s">
        <v>373</v>
      </c>
      <c r="C19" s="553"/>
      <c r="D19" s="556"/>
      <c r="E19" s="556"/>
      <c r="F19" s="554"/>
      <c r="G19" s="553" t="s">
        <v>512</v>
      </c>
      <c r="H19" s="556">
        <v>3000</v>
      </c>
      <c r="I19" s="556"/>
      <c r="J19" s="554"/>
      <c r="K19" s="553"/>
      <c r="L19" s="556"/>
      <c r="M19" s="556"/>
      <c r="N19" s="554"/>
      <c r="O19" s="553" t="s">
        <v>512</v>
      </c>
      <c r="P19" s="556">
        <v>5000</v>
      </c>
      <c r="Q19" s="556"/>
      <c r="R19" s="554"/>
      <c r="S19" s="553"/>
      <c r="T19" s="556"/>
      <c r="U19" s="556"/>
      <c r="V19" s="554"/>
      <c r="W19" s="553"/>
      <c r="X19" s="556"/>
      <c r="Y19" s="556"/>
      <c r="Z19" s="554"/>
      <c r="AA19" s="553"/>
      <c r="AB19" s="556"/>
      <c r="AC19" s="556"/>
      <c r="AD19" s="554"/>
      <c r="AE19" s="578">
        <f t="shared" si="0"/>
        <v>8000</v>
      </c>
      <c r="AF19" s="567">
        <f t="shared" si="0"/>
        <v>0</v>
      </c>
    </row>
    <row r="20" spans="1:32" x14ac:dyDescent="0.3">
      <c r="A20" s="860" t="s">
        <v>373</v>
      </c>
      <c r="C20" s="553"/>
      <c r="D20" s="556"/>
      <c r="E20" s="556"/>
      <c r="F20" s="554"/>
      <c r="G20" s="553" t="s">
        <v>209</v>
      </c>
      <c r="H20" s="556">
        <v>6000</v>
      </c>
      <c r="I20" s="556"/>
      <c r="J20" s="554"/>
      <c r="K20" s="553"/>
      <c r="L20" s="556"/>
      <c r="M20" s="556"/>
      <c r="N20" s="554"/>
      <c r="O20" s="553" t="s">
        <v>209</v>
      </c>
      <c r="P20" s="556">
        <v>3000</v>
      </c>
      <c r="Q20" s="556"/>
      <c r="R20" s="554"/>
      <c r="S20" s="553"/>
      <c r="T20" s="556"/>
      <c r="U20" s="556"/>
      <c r="V20" s="554"/>
      <c r="W20" s="553"/>
      <c r="X20" s="556"/>
      <c r="Y20" s="556"/>
      <c r="Z20" s="554"/>
      <c r="AA20" s="553"/>
      <c r="AB20" s="556"/>
      <c r="AC20" s="556"/>
      <c r="AD20" s="554"/>
      <c r="AE20" s="578">
        <f t="shared" si="0"/>
        <v>9000</v>
      </c>
      <c r="AF20" s="567">
        <f t="shared" si="0"/>
        <v>0</v>
      </c>
    </row>
    <row r="21" spans="1:32" x14ac:dyDescent="0.3">
      <c r="A21" s="860" t="s">
        <v>375</v>
      </c>
      <c r="C21" s="553"/>
      <c r="D21" s="556"/>
      <c r="E21" s="556"/>
      <c r="F21" s="554"/>
      <c r="G21" s="553" t="s">
        <v>511</v>
      </c>
      <c r="H21" s="556">
        <v>3000</v>
      </c>
      <c r="I21" s="556"/>
      <c r="J21" s="554"/>
      <c r="K21" s="553"/>
      <c r="L21" s="556"/>
      <c r="M21" s="556"/>
      <c r="N21" s="554"/>
      <c r="O21" s="553" t="s">
        <v>511</v>
      </c>
      <c r="P21" s="556">
        <v>3000</v>
      </c>
      <c r="Q21" s="556"/>
      <c r="R21" s="554"/>
      <c r="S21" s="553"/>
      <c r="T21" s="556"/>
      <c r="U21" s="556"/>
      <c r="V21" s="554"/>
      <c r="W21" s="553"/>
      <c r="X21" s="556"/>
      <c r="Y21" s="556"/>
      <c r="Z21" s="554"/>
      <c r="AA21" s="553"/>
      <c r="AB21" s="556"/>
      <c r="AC21" s="556"/>
      <c r="AD21" s="554"/>
      <c r="AE21" s="578">
        <f t="shared" si="0"/>
        <v>6000</v>
      </c>
      <c r="AF21" s="567">
        <f t="shared" si="0"/>
        <v>0</v>
      </c>
    </row>
    <row r="22" spans="1:32" x14ac:dyDescent="0.3">
      <c r="A22" s="860" t="s">
        <v>375</v>
      </c>
      <c r="C22" s="553"/>
      <c r="D22" s="556"/>
      <c r="E22" s="556"/>
      <c r="F22" s="554"/>
      <c r="G22" s="553" t="s">
        <v>511</v>
      </c>
      <c r="H22" s="556">
        <v>3000</v>
      </c>
      <c r="I22" s="556"/>
      <c r="J22" s="554"/>
      <c r="K22" s="553"/>
      <c r="L22" s="556"/>
      <c r="M22" s="556"/>
      <c r="N22" s="554"/>
      <c r="O22" s="553" t="s">
        <v>512</v>
      </c>
      <c r="P22" s="556">
        <v>3000</v>
      </c>
      <c r="Q22" s="556"/>
      <c r="R22" s="554"/>
      <c r="S22" s="553"/>
      <c r="T22" s="556"/>
      <c r="U22" s="556"/>
      <c r="V22" s="554"/>
      <c r="W22" s="553"/>
      <c r="X22" s="556"/>
      <c r="Y22" s="556"/>
      <c r="Z22" s="554"/>
      <c r="AA22" s="553"/>
      <c r="AB22" s="556"/>
      <c r="AC22" s="556"/>
      <c r="AD22" s="554"/>
      <c r="AE22" s="578">
        <f t="shared" si="0"/>
        <v>6000</v>
      </c>
      <c r="AF22" s="567">
        <f t="shared" si="0"/>
        <v>0</v>
      </c>
    </row>
    <row r="23" spans="1:32" x14ac:dyDescent="0.3">
      <c r="A23" s="860" t="s">
        <v>376</v>
      </c>
      <c r="C23" s="553"/>
      <c r="D23" s="556"/>
      <c r="E23" s="556"/>
      <c r="F23" s="554"/>
      <c r="G23" s="553" t="s">
        <v>510</v>
      </c>
      <c r="H23" s="562">
        <v>3000</v>
      </c>
      <c r="I23" s="556"/>
      <c r="J23" s="554"/>
      <c r="K23" s="553"/>
      <c r="L23" s="556"/>
      <c r="M23" s="556"/>
      <c r="N23" s="554"/>
      <c r="O23" s="553" t="s">
        <v>510</v>
      </c>
      <c r="P23" s="556">
        <v>1000</v>
      </c>
      <c r="Q23" s="556"/>
      <c r="R23" s="554"/>
      <c r="S23" s="553"/>
      <c r="T23" s="556"/>
      <c r="U23" s="556"/>
      <c r="V23" s="554"/>
      <c r="W23" s="553"/>
      <c r="X23" s="556"/>
      <c r="Y23" s="556"/>
      <c r="Z23" s="554"/>
      <c r="AA23" s="553"/>
      <c r="AB23" s="556"/>
      <c r="AC23" s="556"/>
      <c r="AD23" s="554"/>
      <c r="AE23" s="578">
        <f t="shared" si="0"/>
        <v>4000</v>
      </c>
      <c r="AF23" s="567">
        <f t="shared" si="0"/>
        <v>0</v>
      </c>
    </row>
    <row r="24" spans="1:32" x14ac:dyDescent="0.3">
      <c r="A24" s="860" t="s">
        <v>376</v>
      </c>
      <c r="C24" s="553"/>
      <c r="D24" s="556"/>
      <c r="E24" s="556"/>
      <c r="F24" s="554"/>
      <c r="G24" s="553"/>
      <c r="H24" s="556"/>
      <c r="I24" s="556"/>
      <c r="J24" s="554"/>
      <c r="K24" s="553"/>
      <c r="L24" s="556"/>
      <c r="M24" s="556"/>
      <c r="N24" s="554"/>
      <c r="O24" s="553"/>
      <c r="P24" s="556"/>
      <c r="Q24" s="556"/>
      <c r="R24" s="554"/>
      <c r="S24" s="553"/>
      <c r="T24" s="556"/>
      <c r="U24" s="556"/>
      <c r="V24" s="554"/>
      <c r="W24" s="553"/>
      <c r="X24" s="556"/>
      <c r="Y24" s="556"/>
      <c r="Z24" s="554"/>
      <c r="AA24" s="553"/>
      <c r="AB24" s="556"/>
      <c r="AC24" s="556"/>
      <c r="AD24" s="554"/>
      <c r="AE24" s="578">
        <f t="shared" si="0"/>
        <v>0</v>
      </c>
      <c r="AF24" s="567">
        <f t="shared" si="0"/>
        <v>0</v>
      </c>
    </row>
    <row r="25" spans="1:32" x14ac:dyDescent="0.3">
      <c r="A25" s="860" t="s">
        <v>377</v>
      </c>
      <c r="C25" s="553"/>
      <c r="D25" s="556"/>
      <c r="E25" s="556"/>
      <c r="F25" s="554"/>
      <c r="G25" s="553"/>
      <c r="H25" s="556"/>
      <c r="I25" s="556"/>
      <c r="J25" s="554"/>
      <c r="K25" s="553"/>
      <c r="L25" s="556"/>
      <c r="M25" s="556"/>
      <c r="N25" s="554"/>
      <c r="O25" s="553" t="s">
        <v>446</v>
      </c>
      <c r="P25" s="556">
        <v>2000</v>
      </c>
      <c r="Q25" s="556"/>
      <c r="R25" s="554"/>
      <c r="S25" s="553"/>
      <c r="T25" s="556"/>
      <c r="U25" s="556"/>
      <c r="V25" s="554"/>
      <c r="W25" s="553"/>
      <c r="X25" s="556"/>
      <c r="Y25" s="556"/>
      <c r="Z25" s="554"/>
      <c r="AA25" s="553"/>
      <c r="AB25" s="556"/>
      <c r="AC25" s="556"/>
      <c r="AD25" s="554"/>
      <c r="AE25" s="578">
        <f t="shared" si="0"/>
        <v>2000</v>
      </c>
      <c r="AF25" s="567">
        <f t="shared" si="0"/>
        <v>0</v>
      </c>
    </row>
    <row r="26" spans="1:32" x14ac:dyDescent="0.3">
      <c r="A26" s="860" t="s">
        <v>377</v>
      </c>
      <c r="C26" s="553"/>
      <c r="D26" s="556"/>
      <c r="E26" s="556"/>
      <c r="F26" s="554"/>
      <c r="G26" s="553" t="s">
        <v>446</v>
      </c>
      <c r="H26" s="556">
        <v>3000</v>
      </c>
      <c r="I26" s="556"/>
      <c r="J26" s="554"/>
      <c r="K26" s="553"/>
      <c r="L26" s="556"/>
      <c r="M26" s="556"/>
      <c r="N26" s="554"/>
      <c r="O26" s="553"/>
      <c r="P26" s="556"/>
      <c r="Q26" s="556"/>
      <c r="R26" s="554"/>
      <c r="S26" s="553"/>
      <c r="T26" s="556"/>
      <c r="U26" s="556"/>
      <c r="V26" s="554"/>
      <c r="W26" s="553"/>
      <c r="X26" s="556"/>
      <c r="Y26" s="556"/>
      <c r="Z26" s="554"/>
      <c r="AA26" s="553"/>
      <c r="AB26" s="556"/>
      <c r="AC26" s="556"/>
      <c r="AD26" s="554"/>
      <c r="AE26" s="578">
        <f t="shared" si="0"/>
        <v>3000</v>
      </c>
      <c r="AF26" s="567">
        <f t="shared" si="0"/>
        <v>0</v>
      </c>
    </row>
    <row r="27" spans="1:32" x14ac:dyDescent="0.3">
      <c r="A27" s="860" t="s">
        <v>378</v>
      </c>
      <c r="C27" s="553"/>
      <c r="D27" s="556"/>
      <c r="E27" s="556"/>
      <c r="F27" s="554"/>
      <c r="G27" s="553" t="s">
        <v>446</v>
      </c>
      <c r="H27" s="556">
        <v>3000</v>
      </c>
      <c r="I27" s="556"/>
      <c r="J27" s="554"/>
      <c r="K27" s="553"/>
      <c r="L27" s="556"/>
      <c r="M27" s="556"/>
      <c r="N27" s="554"/>
      <c r="O27" s="553"/>
      <c r="P27" s="556"/>
      <c r="Q27" s="556"/>
      <c r="R27" s="554"/>
      <c r="S27" s="553"/>
      <c r="T27" s="556"/>
      <c r="U27" s="556"/>
      <c r="V27" s="554"/>
      <c r="W27" s="553"/>
      <c r="X27" s="556"/>
      <c r="Y27" s="556"/>
      <c r="Z27" s="554"/>
      <c r="AA27" s="553"/>
      <c r="AB27" s="556"/>
      <c r="AC27" s="556"/>
      <c r="AD27" s="554"/>
      <c r="AE27" s="578">
        <f t="shared" si="0"/>
        <v>3000</v>
      </c>
      <c r="AF27" s="567">
        <f t="shared" si="0"/>
        <v>0</v>
      </c>
    </row>
    <row r="28" spans="1:32" x14ac:dyDescent="0.3">
      <c r="A28" s="860" t="s">
        <v>378</v>
      </c>
      <c r="C28" s="553"/>
      <c r="D28" s="556"/>
      <c r="E28" s="556"/>
      <c r="F28" s="554"/>
      <c r="G28" s="553" t="s">
        <v>511</v>
      </c>
      <c r="H28" s="556">
        <v>3000</v>
      </c>
      <c r="I28" s="556"/>
      <c r="J28" s="554"/>
      <c r="K28" s="553"/>
      <c r="L28" s="556"/>
      <c r="M28" s="556"/>
      <c r="N28" s="554"/>
      <c r="O28" s="553"/>
      <c r="P28" s="556"/>
      <c r="Q28" s="556"/>
      <c r="R28" s="554"/>
      <c r="S28" s="553"/>
      <c r="T28" s="556"/>
      <c r="U28" s="556"/>
      <c r="V28" s="554"/>
      <c r="W28" s="553"/>
      <c r="X28" s="556"/>
      <c r="Y28" s="556"/>
      <c r="Z28" s="554"/>
      <c r="AA28" s="553"/>
      <c r="AB28" s="556"/>
      <c r="AC28" s="556"/>
      <c r="AD28" s="554"/>
      <c r="AE28" s="578">
        <f t="shared" ref="AE28:AF40" si="1">SUM(D28,H28,L28,P28,T28,X28,AB28)</f>
        <v>3000</v>
      </c>
      <c r="AF28" s="567">
        <f t="shared" si="1"/>
        <v>0</v>
      </c>
    </row>
    <row r="29" spans="1:32" x14ac:dyDescent="0.3">
      <c r="A29" s="860" t="s">
        <v>379</v>
      </c>
      <c r="C29" s="553"/>
      <c r="D29" s="556"/>
      <c r="E29" s="556"/>
      <c r="F29" s="554"/>
      <c r="G29" s="553" t="s">
        <v>511</v>
      </c>
      <c r="H29" s="556">
        <v>3000</v>
      </c>
      <c r="I29" s="556"/>
      <c r="J29" s="554"/>
      <c r="K29" s="553"/>
      <c r="L29" s="556"/>
      <c r="M29" s="556"/>
      <c r="N29" s="554"/>
      <c r="O29" s="553"/>
      <c r="P29" s="556"/>
      <c r="Q29" s="556"/>
      <c r="R29" s="554"/>
      <c r="S29" s="553"/>
      <c r="T29" s="556"/>
      <c r="U29" s="556"/>
      <c r="V29" s="554"/>
      <c r="W29" s="553"/>
      <c r="X29" s="556"/>
      <c r="Y29" s="556"/>
      <c r="Z29" s="554"/>
      <c r="AA29" s="553"/>
      <c r="AB29" s="556"/>
      <c r="AC29" s="556"/>
      <c r="AD29" s="554"/>
      <c r="AE29" s="578">
        <f t="shared" si="1"/>
        <v>3000</v>
      </c>
      <c r="AF29" s="567">
        <f t="shared" si="1"/>
        <v>0</v>
      </c>
    </row>
    <row r="30" spans="1:32" x14ac:dyDescent="0.3">
      <c r="A30" s="860" t="s">
        <v>379</v>
      </c>
      <c r="C30" s="553"/>
      <c r="D30" s="556"/>
      <c r="E30" s="556"/>
      <c r="F30" s="554"/>
      <c r="G30" s="553" t="s">
        <v>512</v>
      </c>
      <c r="H30" s="556">
        <v>3000</v>
      </c>
      <c r="I30" s="556"/>
      <c r="J30" s="554"/>
      <c r="K30" s="553"/>
      <c r="L30" s="556"/>
      <c r="M30" s="556"/>
      <c r="N30" s="554"/>
      <c r="O30" s="553" t="s">
        <v>512</v>
      </c>
      <c r="P30" s="556">
        <v>1000</v>
      </c>
      <c r="Q30" s="556"/>
      <c r="R30" s="554"/>
      <c r="S30" s="553"/>
      <c r="T30" s="556"/>
      <c r="U30" s="556"/>
      <c r="V30" s="554"/>
      <c r="W30" s="553"/>
      <c r="X30" s="556"/>
      <c r="Y30" s="556"/>
      <c r="Z30" s="554"/>
      <c r="AA30" s="553"/>
      <c r="AB30" s="556"/>
      <c r="AC30" s="556"/>
      <c r="AD30" s="554"/>
      <c r="AE30" s="578">
        <f t="shared" si="1"/>
        <v>4000</v>
      </c>
      <c r="AF30" s="567">
        <f t="shared" si="1"/>
        <v>0</v>
      </c>
    </row>
    <row r="31" spans="1:32" x14ac:dyDescent="0.3">
      <c r="A31" s="860" t="s">
        <v>380</v>
      </c>
      <c r="C31" s="553"/>
      <c r="D31" s="556"/>
      <c r="E31" s="556"/>
      <c r="F31" s="554"/>
      <c r="G31" s="553"/>
      <c r="H31" s="556"/>
      <c r="I31" s="556"/>
      <c r="J31" s="554"/>
      <c r="K31" s="553"/>
      <c r="L31" s="556"/>
      <c r="M31" s="556"/>
      <c r="N31" s="554"/>
      <c r="O31" s="553" t="s">
        <v>513</v>
      </c>
      <c r="P31" s="556">
        <v>4000</v>
      </c>
      <c r="Q31" s="556"/>
      <c r="R31" s="554"/>
      <c r="S31" s="553"/>
      <c r="T31" s="556"/>
      <c r="U31" s="556"/>
      <c r="V31" s="554"/>
      <c r="W31" s="553"/>
      <c r="X31" s="556"/>
      <c r="Y31" s="556"/>
      <c r="Z31" s="554"/>
      <c r="AA31" s="553"/>
      <c r="AB31" s="556"/>
      <c r="AC31" s="556"/>
      <c r="AD31" s="554"/>
      <c r="AE31" s="578">
        <f t="shared" si="1"/>
        <v>4000</v>
      </c>
      <c r="AF31" s="567">
        <f t="shared" si="1"/>
        <v>0</v>
      </c>
    </row>
    <row r="32" spans="1:32" x14ac:dyDescent="0.3">
      <c r="A32" s="860" t="s">
        <v>381</v>
      </c>
      <c r="C32" s="553"/>
      <c r="D32" s="556"/>
      <c r="E32" s="556"/>
      <c r="F32" s="554"/>
      <c r="G32" s="553"/>
      <c r="H32" s="556"/>
      <c r="I32" s="556"/>
      <c r="J32" s="554"/>
      <c r="K32" s="553"/>
      <c r="L32" s="556"/>
      <c r="M32" s="556"/>
      <c r="N32" s="554"/>
      <c r="O32" s="553" t="s">
        <v>513</v>
      </c>
      <c r="P32" s="556">
        <v>5000</v>
      </c>
      <c r="Q32" s="556"/>
      <c r="R32" s="554"/>
      <c r="S32" s="553"/>
      <c r="T32" s="556"/>
      <c r="U32" s="556"/>
      <c r="V32" s="554"/>
      <c r="W32" s="553"/>
      <c r="X32" s="556"/>
      <c r="Y32" s="556"/>
      <c r="Z32" s="554"/>
      <c r="AA32" s="553"/>
      <c r="AB32" s="556"/>
      <c r="AC32" s="556"/>
      <c r="AD32" s="554"/>
      <c r="AE32" s="578">
        <f t="shared" si="1"/>
        <v>5000</v>
      </c>
      <c r="AF32" s="567">
        <f t="shared" si="1"/>
        <v>0</v>
      </c>
    </row>
    <row r="33" spans="1:32" x14ac:dyDescent="0.3">
      <c r="A33" s="860" t="s">
        <v>382</v>
      </c>
      <c r="C33" s="553"/>
      <c r="D33" s="556"/>
      <c r="E33" s="556"/>
      <c r="F33" s="554"/>
      <c r="G33" s="553"/>
      <c r="H33" s="556"/>
      <c r="I33" s="556"/>
      <c r="J33" s="554"/>
      <c r="K33" s="553"/>
      <c r="L33" s="556"/>
      <c r="M33" s="556"/>
      <c r="N33" s="554"/>
      <c r="O33" s="553"/>
      <c r="P33" s="556"/>
      <c r="Q33" s="556"/>
      <c r="R33" s="554"/>
      <c r="S33" s="553"/>
      <c r="T33" s="556"/>
      <c r="U33" s="556"/>
      <c r="V33" s="554"/>
      <c r="W33" s="553"/>
      <c r="X33" s="556"/>
      <c r="Y33" s="556"/>
      <c r="Z33" s="554"/>
      <c r="AA33" s="553"/>
      <c r="AB33" s="556"/>
      <c r="AC33" s="556"/>
      <c r="AD33" s="554"/>
      <c r="AE33" s="578">
        <f t="shared" si="1"/>
        <v>0</v>
      </c>
      <c r="AF33" s="567">
        <f t="shared" si="1"/>
        <v>0</v>
      </c>
    </row>
    <row r="34" spans="1:32" x14ac:dyDescent="0.3">
      <c r="A34" s="860" t="s">
        <v>383</v>
      </c>
      <c r="C34" s="553"/>
      <c r="D34" s="556"/>
      <c r="E34" s="556"/>
      <c r="F34" s="554"/>
      <c r="G34" s="553"/>
      <c r="H34" s="556"/>
      <c r="I34" s="556"/>
      <c r="J34" s="554"/>
      <c r="K34" s="553"/>
      <c r="L34" s="556"/>
      <c r="M34" s="556"/>
      <c r="N34" s="554"/>
      <c r="O34" s="553"/>
      <c r="P34" s="556"/>
      <c r="Q34" s="556"/>
      <c r="R34" s="554"/>
      <c r="S34" s="553"/>
      <c r="T34" s="556"/>
      <c r="U34" s="556"/>
      <c r="V34" s="554"/>
      <c r="W34" s="553"/>
      <c r="X34" s="556"/>
      <c r="Y34" s="556"/>
      <c r="Z34" s="554"/>
      <c r="AA34" s="553"/>
      <c r="AB34" s="556"/>
      <c r="AC34" s="556"/>
      <c r="AD34" s="554"/>
      <c r="AE34" s="578">
        <f t="shared" si="1"/>
        <v>0</v>
      </c>
      <c r="AF34" s="567">
        <f t="shared" si="1"/>
        <v>0</v>
      </c>
    </row>
    <row r="35" spans="1:32" x14ac:dyDescent="0.3">
      <c r="A35" s="860" t="s">
        <v>384</v>
      </c>
      <c r="C35" s="553"/>
      <c r="D35" s="556"/>
      <c r="E35" s="556"/>
      <c r="F35" s="554"/>
      <c r="G35" s="553"/>
      <c r="H35" s="556"/>
      <c r="I35" s="556"/>
      <c r="J35" s="554"/>
      <c r="K35" s="553"/>
      <c r="L35" s="556"/>
      <c r="M35" s="556"/>
      <c r="N35" s="554"/>
      <c r="O35" s="553"/>
      <c r="P35" s="556"/>
      <c r="Q35" s="556"/>
      <c r="R35" s="554"/>
      <c r="S35" s="553"/>
      <c r="T35" s="556"/>
      <c r="U35" s="556"/>
      <c r="V35" s="554"/>
      <c r="W35" s="553"/>
      <c r="X35" s="556"/>
      <c r="Y35" s="556"/>
      <c r="Z35" s="554"/>
      <c r="AA35" s="553"/>
      <c r="AB35" s="556"/>
      <c r="AC35" s="556"/>
      <c r="AD35" s="554"/>
      <c r="AE35" s="578">
        <f t="shared" si="1"/>
        <v>0</v>
      </c>
      <c r="AF35" s="567">
        <f t="shared" si="1"/>
        <v>0</v>
      </c>
    </row>
    <row r="36" spans="1:32" x14ac:dyDescent="0.3">
      <c r="A36" s="860" t="s">
        <v>415</v>
      </c>
      <c r="C36" s="553"/>
      <c r="D36" s="556"/>
      <c r="E36" s="556"/>
      <c r="F36" s="554"/>
      <c r="G36" s="553"/>
      <c r="H36" s="556"/>
      <c r="I36" s="556"/>
      <c r="J36" s="554"/>
      <c r="K36" s="553"/>
      <c r="L36" s="556"/>
      <c r="M36" s="556"/>
      <c r="N36" s="554"/>
      <c r="O36" s="553" t="s">
        <v>14</v>
      </c>
      <c r="P36" s="556">
        <v>3000</v>
      </c>
      <c r="Q36" s="556"/>
      <c r="R36" s="554"/>
      <c r="S36" s="553"/>
      <c r="T36" s="556"/>
      <c r="U36" s="556"/>
      <c r="V36" s="554"/>
      <c r="W36" s="553"/>
      <c r="X36" s="556"/>
      <c r="Y36" s="556"/>
      <c r="Z36" s="554"/>
      <c r="AA36" s="553"/>
      <c r="AB36" s="556"/>
      <c r="AC36" s="556"/>
      <c r="AD36" s="554"/>
      <c r="AE36" s="578">
        <f t="shared" si="1"/>
        <v>3000</v>
      </c>
      <c r="AF36" s="567">
        <f t="shared" si="1"/>
        <v>0</v>
      </c>
    </row>
    <row r="37" spans="1:32" x14ac:dyDescent="0.3">
      <c r="A37" s="860" t="s">
        <v>416</v>
      </c>
      <c r="C37" s="553"/>
      <c r="D37" s="556"/>
      <c r="E37" s="556"/>
      <c r="F37" s="554"/>
      <c r="G37" s="553"/>
      <c r="H37" s="556"/>
      <c r="I37" s="556"/>
      <c r="J37" s="554"/>
      <c r="K37" s="553"/>
      <c r="L37" s="556"/>
      <c r="M37" s="556"/>
      <c r="N37" s="554"/>
      <c r="O37" s="553" t="s">
        <v>14</v>
      </c>
      <c r="P37" s="556">
        <v>3000</v>
      </c>
      <c r="Q37" s="556"/>
      <c r="R37" s="554"/>
      <c r="S37" s="553"/>
      <c r="T37" s="556"/>
      <c r="U37" s="556"/>
      <c r="V37" s="554"/>
      <c r="W37" s="553"/>
      <c r="X37" s="556"/>
      <c r="Y37" s="556"/>
      <c r="Z37" s="554"/>
      <c r="AA37" s="553"/>
      <c r="AB37" s="556"/>
      <c r="AC37" s="556"/>
      <c r="AD37" s="554"/>
      <c r="AE37" s="578">
        <f t="shared" si="1"/>
        <v>3000</v>
      </c>
      <c r="AF37" s="567">
        <f t="shared" si="1"/>
        <v>0</v>
      </c>
    </row>
    <row r="38" spans="1:32" x14ac:dyDescent="0.3">
      <c r="A38" s="860" t="s">
        <v>418</v>
      </c>
      <c r="C38" s="553"/>
      <c r="D38" s="556"/>
      <c r="E38" s="556"/>
      <c r="F38" s="554"/>
      <c r="G38" s="553"/>
      <c r="H38" s="556"/>
      <c r="I38" s="556"/>
      <c r="J38" s="554"/>
      <c r="K38" s="553"/>
      <c r="L38" s="556"/>
      <c r="M38" s="556"/>
      <c r="N38" s="554"/>
      <c r="O38" s="553"/>
      <c r="P38" s="556"/>
      <c r="Q38" s="556"/>
      <c r="R38" s="554"/>
      <c r="S38" s="553"/>
      <c r="T38" s="556"/>
      <c r="U38" s="556"/>
      <c r="V38" s="554"/>
      <c r="W38" s="553"/>
      <c r="X38" s="556"/>
      <c r="Y38" s="556"/>
      <c r="Z38" s="554"/>
      <c r="AA38" s="553"/>
      <c r="AB38" s="556"/>
      <c r="AC38" s="556"/>
      <c r="AD38" s="554"/>
      <c r="AE38" s="578">
        <f t="shared" si="1"/>
        <v>0</v>
      </c>
      <c r="AF38" s="567">
        <f t="shared" si="1"/>
        <v>0</v>
      </c>
    </row>
    <row r="39" spans="1:32" x14ac:dyDescent="0.3">
      <c r="A39" s="860" t="s">
        <v>419</v>
      </c>
      <c r="C39" s="553"/>
      <c r="D39" s="556"/>
      <c r="E39" s="556"/>
      <c r="F39" s="554"/>
      <c r="G39" s="553"/>
      <c r="H39" s="556"/>
      <c r="I39" s="556"/>
      <c r="J39" s="554"/>
      <c r="K39" s="553"/>
      <c r="L39" s="556"/>
      <c r="M39" s="556"/>
      <c r="N39" s="554"/>
      <c r="O39" s="553" t="s">
        <v>514</v>
      </c>
      <c r="P39" s="556">
        <v>1000</v>
      </c>
      <c r="Q39" s="556"/>
      <c r="R39" s="554"/>
      <c r="S39" s="553"/>
      <c r="T39" s="556"/>
      <c r="U39" s="556"/>
      <c r="V39" s="554"/>
      <c r="W39" s="553"/>
      <c r="X39" s="556"/>
      <c r="Y39" s="556"/>
      <c r="Z39" s="554"/>
      <c r="AA39" s="553"/>
      <c r="AB39" s="556"/>
      <c r="AC39" s="556"/>
      <c r="AD39" s="554"/>
      <c r="AE39" s="578">
        <f t="shared" si="1"/>
        <v>1000</v>
      </c>
      <c r="AF39" s="567">
        <f t="shared" si="1"/>
        <v>0</v>
      </c>
    </row>
    <row r="40" spans="1:32" ht="15" thickBot="1" x14ac:dyDescent="0.35">
      <c r="A40" s="861" t="s">
        <v>433</v>
      </c>
      <c r="C40" s="557"/>
      <c r="D40" s="558"/>
      <c r="E40" s="558"/>
      <c r="F40" s="559"/>
      <c r="G40" s="557" t="s">
        <v>514</v>
      </c>
      <c r="H40" s="558">
        <v>3000</v>
      </c>
      <c r="I40" s="558"/>
      <c r="J40" s="559"/>
      <c r="K40" s="557"/>
      <c r="L40" s="558"/>
      <c r="M40" s="558"/>
      <c r="N40" s="559"/>
      <c r="O40" s="557" t="s">
        <v>514</v>
      </c>
      <c r="P40" s="558">
        <v>2000</v>
      </c>
      <c r="Q40" s="558"/>
      <c r="R40" s="559"/>
      <c r="S40" s="557"/>
      <c r="T40" s="558"/>
      <c r="U40" s="558"/>
      <c r="V40" s="559"/>
      <c r="W40" s="557"/>
      <c r="X40" s="558"/>
      <c r="Y40" s="558"/>
      <c r="Z40" s="559"/>
      <c r="AA40" s="557"/>
      <c r="AB40" s="558"/>
      <c r="AC40" s="558"/>
      <c r="AD40" s="559"/>
      <c r="AE40" s="578">
        <f t="shared" si="1"/>
        <v>5000</v>
      </c>
      <c r="AF40" s="567">
        <f t="shared" si="1"/>
        <v>0</v>
      </c>
    </row>
    <row r="41" spans="1:32" ht="15" thickBot="1" x14ac:dyDescent="0.35">
      <c r="A41" s="2045" t="s">
        <v>432</v>
      </c>
      <c r="C41" s="1076"/>
      <c r="D41" s="1077"/>
      <c r="E41" s="1077"/>
      <c r="F41" s="1078"/>
      <c r="G41" s="1076" t="s">
        <v>514</v>
      </c>
      <c r="H41" s="1077">
        <v>3000</v>
      </c>
      <c r="I41" s="1077"/>
      <c r="J41" s="1078"/>
      <c r="K41" s="1076"/>
      <c r="L41" s="1077"/>
      <c r="M41" s="1077"/>
      <c r="N41" s="1078"/>
      <c r="O41" s="1076"/>
      <c r="P41" s="1077"/>
      <c r="Q41" s="1077"/>
      <c r="R41" s="1078"/>
      <c r="S41" s="1076"/>
      <c r="T41" s="1077"/>
      <c r="U41" s="1077"/>
      <c r="V41" s="1078"/>
      <c r="W41" s="1076"/>
      <c r="X41" s="1077"/>
      <c r="Y41" s="1077"/>
      <c r="Z41" s="1078"/>
      <c r="AA41" s="1076"/>
      <c r="AB41" s="1077"/>
      <c r="AC41" s="1077"/>
      <c r="AD41" s="1078"/>
      <c r="AE41" s="1079"/>
      <c r="AF41" s="1080"/>
    </row>
    <row r="42" spans="1:32" s="550" customFormat="1" ht="15" thickBot="1" x14ac:dyDescent="0.35">
      <c r="A42" s="581" t="s">
        <v>258</v>
      </c>
      <c r="C42" s="564"/>
      <c r="D42" s="872">
        <f>SUM(D11:D40)</f>
        <v>0</v>
      </c>
      <c r="E42" s="565"/>
      <c r="F42" s="566"/>
      <c r="G42" s="564"/>
      <c r="H42" s="872">
        <f>SUM(H11:H41)</f>
        <v>60000</v>
      </c>
      <c r="I42" s="565"/>
      <c r="J42" s="566"/>
      <c r="K42" s="564"/>
      <c r="L42" s="872">
        <f>SUM(L11:L40)</f>
        <v>0</v>
      </c>
      <c r="M42" s="565"/>
      <c r="N42" s="566"/>
      <c r="O42" s="564"/>
      <c r="P42" s="872">
        <f>SUM(P11:P41)</f>
        <v>60000</v>
      </c>
      <c r="Q42" s="565"/>
      <c r="R42" s="566"/>
      <c r="S42" s="564"/>
      <c r="T42" s="872">
        <f>SUM(T11:T40)</f>
        <v>0</v>
      </c>
      <c r="U42" s="565"/>
      <c r="V42" s="566"/>
      <c r="W42" s="564"/>
      <c r="X42" s="872">
        <f>SUM(X11:X40)</f>
        <v>0</v>
      </c>
      <c r="Y42" s="565"/>
      <c r="Z42" s="566"/>
      <c r="AA42" s="564"/>
      <c r="AB42" s="872">
        <f>SUM(AB11:AB40)</f>
        <v>0</v>
      </c>
      <c r="AC42" s="565"/>
      <c r="AD42" s="566"/>
      <c r="AE42" s="568">
        <f>SUM(AE11:AE40)</f>
        <v>117000</v>
      </c>
      <c r="AF42" s="564">
        <f>SUM(AF11:AF40)</f>
        <v>0</v>
      </c>
    </row>
    <row r="43" spans="1:32" s="550" customFormat="1" x14ac:dyDescent="0.3">
      <c r="A43" s="572"/>
      <c r="C43" s="572"/>
      <c r="D43" s="561"/>
      <c r="E43" s="561"/>
      <c r="F43" s="560"/>
      <c r="G43" s="572"/>
      <c r="H43" s="561"/>
      <c r="I43" s="561"/>
      <c r="J43" s="560"/>
      <c r="K43" s="572"/>
      <c r="L43" s="583"/>
      <c r="M43" s="561"/>
      <c r="N43" s="560"/>
      <c r="O43" s="572"/>
      <c r="P43" s="561"/>
      <c r="Q43" s="561"/>
      <c r="R43" s="560"/>
      <c r="S43" s="572"/>
      <c r="T43" s="561"/>
      <c r="U43" s="561"/>
      <c r="V43" s="560"/>
      <c r="W43" s="572"/>
      <c r="X43" s="561"/>
      <c r="Y43" s="561"/>
      <c r="Z43" s="560"/>
      <c r="AA43" s="572"/>
      <c r="AB43" s="583"/>
      <c r="AC43" s="561"/>
      <c r="AD43" s="560"/>
      <c r="AF43" s="561"/>
    </row>
    <row r="44" spans="1:32" ht="15" thickBot="1" x14ac:dyDescent="0.35">
      <c r="C44" s="574" t="s">
        <v>265</v>
      </c>
      <c r="D44" s="580"/>
      <c r="E44" s="549" t="s">
        <v>266</v>
      </c>
      <c r="F44" s="582"/>
      <c r="G44" s="574" t="s">
        <v>265</v>
      </c>
      <c r="H44" s="580"/>
      <c r="I44" s="549" t="s">
        <v>266</v>
      </c>
      <c r="J44" s="582"/>
      <c r="K44" s="574" t="s">
        <v>265</v>
      </c>
      <c r="L44" s="580"/>
      <c r="M44" s="549" t="s">
        <v>266</v>
      </c>
      <c r="N44" s="582"/>
      <c r="O44" s="574" t="s">
        <v>265</v>
      </c>
      <c r="P44" s="580"/>
      <c r="Q44" s="549" t="s">
        <v>266</v>
      </c>
      <c r="R44" s="582"/>
      <c r="S44" s="574" t="s">
        <v>265</v>
      </c>
      <c r="T44" s="580"/>
      <c r="U44" s="549" t="s">
        <v>266</v>
      </c>
      <c r="V44" s="582"/>
      <c r="W44" s="574" t="s">
        <v>265</v>
      </c>
      <c r="X44" s="580"/>
      <c r="Y44" s="549" t="s">
        <v>266</v>
      </c>
      <c r="Z44" s="582"/>
      <c r="AA44" s="574" t="s">
        <v>265</v>
      </c>
      <c r="AB44" s="580"/>
      <c r="AC44" s="549" t="s">
        <v>266</v>
      </c>
      <c r="AD44" s="582"/>
    </row>
    <row r="45" spans="1:32" ht="15" thickBot="1" x14ac:dyDescent="0.35">
      <c r="C45" s="574" t="s">
        <v>268</v>
      </c>
      <c r="D45" s="555"/>
      <c r="E45" s="549" t="s">
        <v>268</v>
      </c>
      <c r="F45" s="579"/>
      <c r="G45" s="574" t="s">
        <v>268</v>
      </c>
      <c r="H45" s="555"/>
      <c r="I45" s="549" t="s">
        <v>268</v>
      </c>
      <c r="J45" s="579"/>
      <c r="K45" s="574" t="s">
        <v>268</v>
      </c>
      <c r="L45" s="555"/>
      <c r="M45" s="549" t="s">
        <v>268</v>
      </c>
      <c r="N45" s="579"/>
      <c r="O45" s="574" t="s">
        <v>268</v>
      </c>
      <c r="P45" s="555"/>
      <c r="Q45" s="549" t="s">
        <v>268</v>
      </c>
      <c r="R45" s="579"/>
      <c r="S45" s="574" t="s">
        <v>268</v>
      </c>
      <c r="T45" s="555"/>
      <c r="U45" s="549" t="s">
        <v>268</v>
      </c>
      <c r="V45" s="579"/>
      <c r="W45" s="574" t="s">
        <v>268</v>
      </c>
      <c r="X45" s="555"/>
      <c r="Y45" s="549" t="s">
        <v>268</v>
      </c>
      <c r="Z45" s="579"/>
      <c r="AA45" s="574" t="s">
        <v>268</v>
      </c>
      <c r="AB45" s="555"/>
      <c r="AC45" s="549" t="s">
        <v>268</v>
      </c>
      <c r="AD45" s="579"/>
    </row>
    <row r="46" spans="1:32" ht="15" thickBot="1" x14ac:dyDescent="0.35">
      <c r="C46" s="574" t="s">
        <v>267</v>
      </c>
      <c r="D46" s="555"/>
      <c r="E46" s="549" t="s">
        <v>267</v>
      </c>
      <c r="F46" s="579"/>
      <c r="G46" s="574" t="s">
        <v>267</v>
      </c>
      <c r="H46" s="555"/>
      <c r="I46" s="549" t="s">
        <v>267</v>
      </c>
      <c r="J46" s="579"/>
      <c r="K46" s="574" t="s">
        <v>267</v>
      </c>
      <c r="L46" s="555"/>
      <c r="M46" s="549" t="s">
        <v>267</v>
      </c>
      <c r="N46" s="579"/>
      <c r="O46" s="574" t="s">
        <v>267</v>
      </c>
      <c r="P46" s="555"/>
      <c r="Q46" s="549" t="s">
        <v>267</v>
      </c>
      <c r="R46" s="579"/>
      <c r="S46" s="574" t="s">
        <v>267</v>
      </c>
      <c r="T46" s="555"/>
      <c r="U46" s="549" t="s">
        <v>267</v>
      </c>
      <c r="V46" s="579"/>
      <c r="W46" s="574" t="s">
        <v>267</v>
      </c>
      <c r="X46" s="555"/>
      <c r="Y46" s="549" t="s">
        <v>267</v>
      </c>
      <c r="Z46" s="579"/>
      <c r="AA46" s="574" t="s">
        <v>267</v>
      </c>
      <c r="AB46" s="555"/>
      <c r="AC46" s="549" t="s">
        <v>267</v>
      </c>
      <c r="AD46" s="579"/>
    </row>
    <row r="47" spans="1:32" ht="15" thickBot="1" x14ac:dyDescent="0.35">
      <c r="C47" s="575"/>
      <c r="D47" s="555"/>
      <c r="E47" s="576"/>
      <c r="F47" s="579"/>
      <c r="G47" s="575"/>
      <c r="H47" s="555"/>
      <c r="I47" s="576"/>
      <c r="J47" s="579"/>
      <c r="K47" s="575"/>
      <c r="L47" s="555"/>
      <c r="M47" s="576"/>
      <c r="N47" s="579"/>
      <c r="O47" s="575"/>
      <c r="P47" s="555"/>
      <c r="Q47" s="576"/>
      <c r="R47" s="579"/>
      <c r="S47" s="575"/>
      <c r="T47" s="555"/>
      <c r="U47" s="576"/>
      <c r="V47" s="579"/>
      <c r="W47" s="575"/>
      <c r="X47" s="555"/>
      <c r="Y47" s="576"/>
      <c r="Z47" s="579"/>
      <c r="AA47" s="575"/>
      <c r="AB47" s="555"/>
      <c r="AC47" s="576"/>
      <c r="AD47" s="579"/>
    </row>
  </sheetData>
  <mergeCells count="16">
    <mergeCell ref="AE9:AF9"/>
    <mergeCell ref="AA1:AD1"/>
    <mergeCell ref="A9:A10"/>
    <mergeCell ref="C9:F9"/>
    <mergeCell ref="G9:J9"/>
    <mergeCell ref="K9:N9"/>
    <mergeCell ref="O9:R9"/>
    <mergeCell ref="S9:V9"/>
    <mergeCell ref="W9:Z9"/>
    <mergeCell ref="AA9:AD9"/>
    <mergeCell ref="C1:F1"/>
    <mergeCell ref="G1:J1"/>
    <mergeCell ref="K1:N1"/>
    <mergeCell ref="O1:R1"/>
    <mergeCell ref="S1:V1"/>
    <mergeCell ref="W1:Z1"/>
  </mergeCells>
  <pageMargins left="0.51181102362204722" right="0.51181102362204722" top="0.55118110236220474" bottom="0.74803149606299213" header="0.31496062992125984" footer="0.31496062992125984"/>
  <pageSetup scale="46" orientation="landscape" r:id="rId1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64A60-5E42-4883-8DB1-75C3CAB203B1}">
  <dimension ref="A1:BU140"/>
  <sheetViews>
    <sheetView zoomScale="80" zoomScaleNormal="80" workbookViewId="0">
      <selection activeCell="H22" sqref="H22"/>
    </sheetView>
  </sheetViews>
  <sheetFormatPr defaultRowHeight="14.4" x14ac:dyDescent="0.3"/>
  <cols>
    <col min="1" max="1" width="17.6640625" customWidth="1"/>
    <col min="2" max="2" width="18.109375" customWidth="1"/>
    <col min="3" max="3" width="30.109375" bestFit="1" customWidth="1"/>
    <col min="4" max="4" width="17.5546875" bestFit="1" customWidth="1"/>
    <col min="5" max="5" width="13.44140625" bestFit="1" customWidth="1"/>
    <col min="6" max="6" width="14.109375" bestFit="1" customWidth="1"/>
    <col min="7" max="7" width="13" customWidth="1"/>
    <col min="8" max="8" width="12.6640625" bestFit="1" customWidth="1"/>
    <col min="9" max="9" width="18" bestFit="1" customWidth="1"/>
    <col min="10" max="10" width="27" bestFit="1" customWidth="1"/>
    <col min="11" max="17" width="14.44140625" style="1192" customWidth="1"/>
    <col min="18" max="18" width="12.44140625" style="1192" customWidth="1"/>
    <col min="19" max="25" width="14.6640625" style="1192" customWidth="1"/>
    <col min="26" max="26" width="19.44140625" style="1192" customWidth="1"/>
    <col min="27" max="27" width="13.33203125" style="1192" bestFit="1" customWidth="1"/>
    <col min="28" max="28" width="15.5546875" style="1192" bestFit="1" customWidth="1"/>
    <col min="29" max="29" width="12.6640625" style="1192" bestFit="1" customWidth="1"/>
    <col min="30" max="30" width="18.44140625" style="1192" customWidth="1"/>
    <col min="31" max="31" width="15.109375" style="1192" customWidth="1"/>
    <col min="32" max="32" width="18.109375" style="1192" customWidth="1"/>
    <col min="33" max="33" width="15.88671875" style="1192" customWidth="1"/>
    <col min="34" max="34" width="16.33203125" style="1192" customWidth="1"/>
    <col min="35" max="36" width="15.5546875" style="1192" customWidth="1"/>
    <col min="37" max="37" width="14.109375" style="1192" customWidth="1"/>
    <col min="38" max="38" width="16.5546875" style="1192" customWidth="1"/>
    <col min="39" max="39" width="16.6640625" style="1192" customWidth="1"/>
    <col min="40" max="40" width="22" style="1192" customWidth="1"/>
    <col min="41" max="42" width="16" style="1192" customWidth="1"/>
    <col min="43" max="43" width="15.44140625" style="1192" customWidth="1"/>
    <col min="44" max="44" width="17.33203125" style="1192" customWidth="1"/>
    <col min="45" max="45" width="13.33203125" style="1192" bestFit="1" customWidth="1"/>
    <col min="46" max="46" width="15.44140625" style="1192" bestFit="1" customWidth="1"/>
    <col min="47" max="49" width="14.33203125" style="1192" customWidth="1"/>
    <col min="50" max="50" width="15.44140625" style="1192" bestFit="1" customWidth="1"/>
    <col min="51" max="51" width="14.6640625" style="1192" bestFit="1" customWidth="1"/>
    <col min="52" max="52" width="13.33203125" style="1192" bestFit="1" customWidth="1"/>
    <col min="53" max="54" width="14.88671875" style="1192" customWidth="1"/>
    <col min="55" max="55" width="18" style="1192" customWidth="1"/>
    <col min="56" max="56" width="14.6640625" style="1192" customWidth="1"/>
    <col min="57" max="57" width="19.44140625" style="1192" customWidth="1"/>
    <col min="58" max="58" width="17.6640625" style="1192" customWidth="1"/>
    <col min="59" max="60" width="17.88671875" style="1192" customWidth="1"/>
    <col min="61" max="61" width="17.88671875" style="1192" bestFit="1" customWidth="1"/>
    <col min="62" max="62" width="19.6640625" style="1192" customWidth="1"/>
    <col min="63" max="63" width="22.5546875" style="1192" customWidth="1"/>
    <col min="64" max="64" width="23.109375" style="1192" customWidth="1"/>
    <col min="65" max="66" width="15.109375" style="1192" customWidth="1"/>
    <col min="67" max="67" width="13.44140625" style="1192" customWidth="1"/>
    <col min="68" max="68" width="22.109375" style="1192" customWidth="1"/>
    <col min="69" max="69" width="17.109375" style="1192" customWidth="1"/>
    <col min="70" max="70" width="26.33203125" style="1192" customWidth="1"/>
  </cols>
  <sheetData>
    <row r="1" spans="1:73" ht="16.2" thickBot="1" x14ac:dyDescent="0.35">
      <c r="A1" s="2" t="s">
        <v>0</v>
      </c>
      <c r="B1" s="1874"/>
      <c r="C1" s="1875"/>
      <c r="D1" s="1876"/>
      <c r="E1" s="1"/>
      <c r="F1" s="1"/>
      <c r="G1" s="1"/>
      <c r="H1" s="1"/>
      <c r="I1" s="1"/>
      <c r="J1" s="1"/>
      <c r="K1" s="1081" t="s">
        <v>1</v>
      </c>
      <c r="L1" s="1082"/>
      <c r="M1" s="1083"/>
      <c r="N1" s="1084"/>
      <c r="O1" s="1085"/>
      <c r="P1" s="1085"/>
      <c r="Q1" s="1085"/>
      <c r="R1" s="1085"/>
      <c r="S1" s="1085"/>
      <c r="T1" s="1085"/>
      <c r="U1" s="1085"/>
      <c r="V1" s="1085"/>
      <c r="W1" s="1085"/>
      <c r="X1" s="1085"/>
      <c r="Y1" s="1085"/>
      <c r="Z1" s="1085"/>
      <c r="AA1" s="1085"/>
      <c r="AB1" s="1085"/>
      <c r="AC1" s="1085"/>
      <c r="AD1" s="1085"/>
      <c r="AE1" s="1085"/>
      <c r="AF1" s="1085"/>
      <c r="AG1" s="1085"/>
      <c r="AH1" s="1085"/>
      <c r="AI1" s="1085"/>
      <c r="AJ1" s="1085"/>
      <c r="AK1" s="1085"/>
      <c r="AL1" s="1085"/>
      <c r="AM1" s="1085"/>
      <c r="AN1" s="1085"/>
      <c r="AO1" s="1085"/>
      <c r="AP1" s="1085"/>
      <c r="AQ1" s="1085"/>
      <c r="AR1" s="1085"/>
      <c r="AS1" s="1085"/>
      <c r="AT1" s="1085"/>
      <c r="AU1" s="1085"/>
      <c r="AV1" s="1085"/>
      <c r="AW1" s="1085"/>
      <c r="AX1" s="1085"/>
      <c r="AY1" s="1085"/>
      <c r="AZ1" s="1085"/>
      <c r="BA1" s="1085"/>
      <c r="BB1" s="1085"/>
      <c r="BC1" s="1085"/>
      <c r="BD1" s="1085"/>
      <c r="BE1" s="1085"/>
      <c r="BF1" s="1085"/>
      <c r="BG1" s="1085"/>
      <c r="BH1" s="1085"/>
      <c r="BI1" s="1085"/>
      <c r="BJ1" s="1085"/>
      <c r="BK1" s="1085"/>
      <c r="BL1" s="1085"/>
      <c r="BM1" s="1085"/>
      <c r="BN1" s="1085"/>
      <c r="BO1" s="1085"/>
      <c r="BP1" s="1085"/>
      <c r="BQ1" s="1085"/>
      <c r="BR1" s="1085"/>
      <c r="BS1" s="1"/>
      <c r="BT1" s="7"/>
    </row>
    <row r="2" spans="1:73" ht="15" thickBot="1" x14ac:dyDescent="0.35">
      <c r="A2" s="1873" t="s">
        <v>2</v>
      </c>
      <c r="B2" s="1877" t="s">
        <v>9</v>
      </c>
      <c r="C2" s="10" t="s">
        <v>3</v>
      </c>
      <c r="D2" s="10" t="s">
        <v>4</v>
      </c>
      <c r="E2" s="10" t="s">
        <v>5</v>
      </c>
      <c r="F2" s="10" t="s">
        <v>6</v>
      </c>
      <c r="G2" s="10" t="s">
        <v>7</v>
      </c>
      <c r="H2" s="11" t="s">
        <v>8</v>
      </c>
      <c r="I2" s="11" t="s">
        <v>9</v>
      </c>
      <c r="J2" s="12"/>
      <c r="K2" s="1086" t="s">
        <v>2</v>
      </c>
      <c r="L2" s="1086" t="s">
        <v>9</v>
      </c>
      <c r="M2" s="1087" t="s">
        <v>3</v>
      </c>
      <c r="N2" s="1088" t="s">
        <v>4</v>
      </c>
      <c r="O2" s="1088" t="s">
        <v>5</v>
      </c>
      <c r="P2" s="1088" t="s">
        <v>6</v>
      </c>
      <c r="Q2" s="1088" t="s">
        <v>7</v>
      </c>
      <c r="R2" s="1089" t="s">
        <v>8</v>
      </c>
      <c r="S2" s="1090" t="s">
        <v>9</v>
      </c>
      <c r="T2" s="1832"/>
      <c r="U2" s="1832"/>
      <c r="V2" s="1832"/>
      <c r="W2" s="1832"/>
      <c r="X2" s="1832"/>
      <c r="Y2" s="1832"/>
      <c r="Z2" s="1085"/>
      <c r="AA2" s="1085"/>
      <c r="AB2" s="1085"/>
      <c r="AC2" s="1085"/>
      <c r="AD2" s="1085"/>
      <c r="AE2" s="1085"/>
      <c r="AF2" s="1085"/>
      <c r="AG2" s="1085"/>
      <c r="AH2" s="1085"/>
      <c r="AI2" s="1085"/>
      <c r="AJ2" s="1085"/>
      <c r="AK2" s="1085"/>
      <c r="AL2" s="1085"/>
      <c r="AM2" s="1085"/>
      <c r="AN2" s="1085"/>
      <c r="AO2" s="1085"/>
      <c r="AP2" s="1085"/>
      <c r="AQ2" s="1085"/>
      <c r="AR2" s="1085"/>
      <c r="AS2" s="1085"/>
      <c r="AT2" s="1085"/>
      <c r="AU2" s="1085"/>
      <c r="AV2" s="1085"/>
      <c r="AW2" s="1085"/>
      <c r="AX2" s="1085"/>
      <c r="AY2" s="1085"/>
      <c r="AZ2" s="1085"/>
      <c r="BA2" s="1085"/>
      <c r="BB2" s="1085"/>
      <c r="BC2" s="1085"/>
      <c r="BD2" s="1085"/>
      <c r="BE2" s="1085"/>
      <c r="BF2" s="1085"/>
      <c r="BG2" s="1085"/>
      <c r="BH2" s="1085"/>
      <c r="BI2" s="1085"/>
      <c r="BJ2" s="1085"/>
      <c r="BK2" s="1085"/>
      <c r="BL2" s="1085"/>
      <c r="BM2" s="1085"/>
      <c r="BN2" s="1085"/>
      <c r="BO2" s="1085"/>
      <c r="BP2" s="1085"/>
      <c r="BQ2" s="1085"/>
      <c r="BR2" s="1085"/>
      <c r="BS2" s="1085"/>
      <c r="BT2" s="1"/>
      <c r="BU2" s="7"/>
    </row>
    <row r="3" spans="1:73" x14ac:dyDescent="0.3">
      <c r="A3" s="16" t="s">
        <v>10</v>
      </c>
      <c r="B3" s="1878">
        <f>SUM(T85:T90)</f>
        <v>0</v>
      </c>
      <c r="C3" s="1091">
        <f>SUM(Z85:Z90)</f>
        <v>0</v>
      </c>
      <c r="D3" s="1091">
        <f>SUM(AF85:AF90)</f>
        <v>0</v>
      </c>
      <c r="E3" s="1091">
        <f>SUM(AL85:AL90)</f>
        <v>0</v>
      </c>
      <c r="F3" s="1092">
        <f>SUM(AR85:AR90)</f>
        <v>0</v>
      </c>
      <c r="G3" s="1093">
        <f>SUM(AX85:AX90)</f>
        <v>0</v>
      </c>
      <c r="H3" s="1093">
        <f>SUM(BJ85:BJ90)</f>
        <v>0</v>
      </c>
      <c r="I3" s="1093">
        <v>0</v>
      </c>
      <c r="J3" s="12"/>
      <c r="K3" s="1094" t="s">
        <v>11</v>
      </c>
      <c r="L3" s="1274">
        <f>SUM(T28:T41)</f>
        <v>14000</v>
      </c>
      <c r="M3" s="1095">
        <f>SUM(Z28:Z41)</f>
        <v>7000</v>
      </c>
      <c r="N3" s="1095">
        <f>SUM(AF28:AF41)</f>
        <v>0</v>
      </c>
      <c r="O3" s="1096">
        <f>SUM(AL28:AL41)</f>
        <v>0</v>
      </c>
      <c r="P3" s="1096">
        <f>SUM(AR28:AR41)</f>
        <v>0</v>
      </c>
      <c r="Q3" s="1096">
        <f>SUM(AX28:AX41)</f>
        <v>0</v>
      </c>
      <c r="R3" s="1097">
        <f>SUM(BD28:BD41)</f>
        <v>0</v>
      </c>
      <c r="S3" s="1098">
        <f>SUM(BJ28:BJ41)</f>
        <v>0</v>
      </c>
      <c r="T3" s="1222"/>
      <c r="U3" s="1222"/>
      <c r="V3" s="1222"/>
      <c r="W3" s="1222"/>
      <c r="X3" s="1222"/>
      <c r="Y3" s="1222"/>
      <c r="Z3" s="1085"/>
      <c r="AA3" s="1085"/>
      <c r="AB3" s="1085"/>
      <c r="AC3" s="1085"/>
      <c r="AD3" s="1085"/>
      <c r="AE3" s="1085"/>
      <c r="AF3" s="1085"/>
      <c r="AG3" s="1085"/>
      <c r="AH3" s="1085"/>
      <c r="AI3" s="1085"/>
      <c r="AJ3" s="1085"/>
      <c r="AK3" s="1085"/>
      <c r="AL3" s="1085"/>
      <c r="AM3" s="1085"/>
      <c r="AN3" s="1085"/>
      <c r="AO3" s="1085"/>
      <c r="AP3" s="1085"/>
      <c r="AQ3" s="1085"/>
      <c r="AR3" s="1085"/>
      <c r="AS3" s="1085"/>
      <c r="AT3" s="1085"/>
      <c r="AU3" s="1085"/>
      <c r="AV3" s="1085"/>
      <c r="AW3" s="1085"/>
      <c r="AX3" s="1085"/>
      <c r="AY3" s="1085"/>
      <c r="AZ3" s="1085"/>
      <c r="BA3" s="1085"/>
      <c r="BB3" s="1085"/>
      <c r="BC3" s="1085"/>
      <c r="BD3" s="1085"/>
      <c r="BE3" s="1085"/>
      <c r="BF3" s="1085"/>
      <c r="BG3" s="1085"/>
      <c r="BH3" s="1085"/>
      <c r="BI3" s="1085"/>
      <c r="BJ3" s="1085"/>
      <c r="BK3" s="1085"/>
      <c r="BL3" s="1085"/>
      <c r="BM3" s="1085"/>
      <c r="BN3" s="1085"/>
      <c r="BO3" s="1085"/>
      <c r="BP3" s="1085"/>
      <c r="BQ3" s="1085"/>
      <c r="BR3" s="1085"/>
      <c r="BS3" s="1085"/>
      <c r="BT3" s="1"/>
      <c r="BU3" s="7"/>
    </row>
    <row r="4" spans="1:73" x14ac:dyDescent="0.3">
      <c r="A4" s="25" t="s">
        <v>12</v>
      </c>
      <c r="B4" s="1879">
        <f>SUM(U85:U90)</f>
        <v>0</v>
      </c>
      <c r="C4" s="1096">
        <f>SUM(AA85:AA90)</f>
        <v>0</v>
      </c>
      <c r="D4" s="1099">
        <f>SUM(AG85:AG90)</f>
        <v>5000</v>
      </c>
      <c r="E4" s="1097">
        <f>SUM(AM85:AM90)</f>
        <v>0</v>
      </c>
      <c r="F4" s="1100">
        <f>SUM(AS85:AS90)</f>
        <v>0</v>
      </c>
      <c r="G4" s="1101">
        <f>SUM(AY85:AY90)</f>
        <v>0</v>
      </c>
      <c r="H4" s="1101">
        <v>0</v>
      </c>
      <c r="I4" s="1101">
        <f>BK85+BK86+BK87+BK88+BK89+BK90</f>
        <v>0</v>
      </c>
      <c r="J4" s="1"/>
      <c r="K4" s="1102" t="s">
        <v>13</v>
      </c>
      <c r="L4" s="1129">
        <f>SUM(V28:V41)</f>
        <v>2000</v>
      </c>
      <c r="M4" s="1103">
        <f>AB34</f>
        <v>0</v>
      </c>
      <c r="N4" s="1099">
        <f>AH34</f>
        <v>0</v>
      </c>
      <c r="O4" s="1104">
        <f>AN34</f>
        <v>0</v>
      </c>
      <c r="P4" s="1099">
        <f>AT35</f>
        <v>2000</v>
      </c>
      <c r="Q4" s="1099">
        <f>AZ34</f>
        <v>0</v>
      </c>
      <c r="R4" s="1105">
        <f>BF34</f>
        <v>0</v>
      </c>
      <c r="S4" s="1106">
        <f>BL34</f>
        <v>0</v>
      </c>
      <c r="T4" s="1833"/>
      <c r="U4" s="1833"/>
      <c r="V4" s="1833"/>
      <c r="W4" s="1833"/>
      <c r="X4" s="1833"/>
      <c r="Y4" s="1833"/>
      <c r="Z4" s="1085"/>
      <c r="AA4" s="1085"/>
      <c r="AB4" s="1085"/>
      <c r="AC4" s="1085"/>
      <c r="AD4" s="1085"/>
      <c r="AE4" s="1085"/>
      <c r="AF4" s="1085"/>
      <c r="AG4" s="1085"/>
      <c r="AH4" s="1085"/>
      <c r="AI4" s="1085"/>
      <c r="AJ4" s="1085"/>
      <c r="AK4" s="1085"/>
      <c r="AL4" s="1085"/>
      <c r="AM4" s="1085"/>
      <c r="AN4" s="1085"/>
      <c r="AO4" s="1085"/>
      <c r="AP4" s="1085"/>
      <c r="AQ4" s="1085"/>
      <c r="AR4" s="1085"/>
      <c r="AS4" s="1085"/>
      <c r="AT4" s="1085"/>
      <c r="AU4" s="1085"/>
      <c r="AV4" s="1085"/>
      <c r="AW4" s="1085"/>
      <c r="AX4" s="1085"/>
      <c r="AY4" s="1085"/>
      <c r="AZ4" s="1085"/>
      <c r="BA4" s="1085"/>
      <c r="BB4" s="1085"/>
      <c r="BC4" s="1085"/>
      <c r="BD4" s="1085"/>
      <c r="BE4" s="1085"/>
      <c r="BF4" s="1085"/>
      <c r="BG4" s="1085"/>
      <c r="BH4" s="1085"/>
      <c r="BI4" s="1085"/>
      <c r="BJ4" s="1085"/>
      <c r="BK4" s="1085"/>
      <c r="BL4" s="1085"/>
      <c r="BM4" s="1085"/>
      <c r="BN4" s="1085"/>
      <c r="BO4" s="1085"/>
      <c r="BP4" s="1085"/>
      <c r="BQ4" s="1085"/>
      <c r="BR4" s="1085"/>
      <c r="BS4" s="1085"/>
      <c r="BT4" s="1"/>
      <c r="BU4" s="7"/>
    </row>
    <row r="5" spans="1:73" x14ac:dyDescent="0.3">
      <c r="A5" s="35" t="s">
        <v>14</v>
      </c>
      <c r="B5" s="1880">
        <f>SUM(V85:V90)</f>
        <v>0</v>
      </c>
      <c r="C5" s="1104">
        <f>SUM(AB85:AB90)</f>
        <v>0</v>
      </c>
      <c r="D5" s="1099">
        <f>SUM(AH85:AH90)</f>
        <v>13000</v>
      </c>
      <c r="E5" s="1105">
        <f>SUM(AN85:AN90)</f>
        <v>0</v>
      </c>
      <c r="F5" s="1106">
        <f>SUM(AT85:AT90)</f>
        <v>0</v>
      </c>
      <c r="G5" s="1101">
        <f>SUM(AZ85:AZ90)</f>
        <v>0</v>
      </c>
      <c r="H5" s="1101">
        <f>SUM(BF85:BF90)</f>
        <v>0</v>
      </c>
      <c r="I5" s="1101">
        <f>BL85+BL86+BL87+BL88+BL89+BL90</f>
        <v>0</v>
      </c>
      <c r="J5" s="1"/>
      <c r="K5" s="1102" t="s">
        <v>15</v>
      </c>
      <c r="L5" s="1129">
        <f>SUM(U28:U41)</f>
        <v>0</v>
      </c>
      <c r="M5" s="1103">
        <f>SUM(AA28:AA41)</f>
        <v>0</v>
      </c>
      <c r="N5" s="1099">
        <f>SUM(AG28:AG41)</f>
        <v>0</v>
      </c>
      <c r="O5" s="1099">
        <f>SUM(AM28:AM41)</f>
        <v>0</v>
      </c>
      <c r="P5" s="1099">
        <f>SUM(AS28:AS41)</f>
        <v>0</v>
      </c>
      <c r="Q5" s="1099">
        <f>SUM(AY28:AY41)</f>
        <v>0</v>
      </c>
      <c r="R5" s="1105">
        <f>SUM(BE28:BE41)</f>
        <v>0</v>
      </c>
      <c r="S5" s="1106">
        <f>SUM(BK28:BK41)</f>
        <v>0</v>
      </c>
      <c r="T5" s="1833"/>
      <c r="U5" s="1833"/>
      <c r="V5" s="1833"/>
      <c r="W5" s="1833"/>
      <c r="X5" s="1833"/>
      <c r="Y5" s="1833"/>
      <c r="Z5" s="1085"/>
      <c r="AA5" s="1085"/>
      <c r="AB5" s="1085"/>
      <c r="AC5" s="1085"/>
      <c r="AD5" s="1085"/>
      <c r="AE5" s="1085"/>
      <c r="AF5" s="1085"/>
      <c r="AG5" s="1085"/>
      <c r="AH5" s="1085"/>
      <c r="AI5" s="1085"/>
      <c r="AJ5" s="1085"/>
      <c r="AK5" s="1085"/>
      <c r="AL5" s="1085"/>
      <c r="AM5" s="1085"/>
      <c r="AN5" s="1085"/>
      <c r="AO5" s="1085"/>
      <c r="AP5" s="1085"/>
      <c r="AQ5" s="1085"/>
      <c r="AR5" s="1085"/>
      <c r="AS5" s="1085"/>
      <c r="AT5" s="1085"/>
      <c r="AU5" s="1085"/>
      <c r="AV5" s="1085"/>
      <c r="AW5" s="1085"/>
      <c r="AX5" s="1085"/>
      <c r="AY5" s="1085"/>
      <c r="AZ5" s="1085"/>
      <c r="BA5" s="1085"/>
      <c r="BB5" s="1085"/>
      <c r="BC5" s="1085"/>
      <c r="BD5" s="1085"/>
      <c r="BE5" s="1085"/>
      <c r="BF5" s="1085"/>
      <c r="BG5" s="1085"/>
      <c r="BH5" s="1085"/>
      <c r="BI5" s="1085"/>
      <c r="BJ5" s="1085"/>
      <c r="BK5" s="1085"/>
      <c r="BL5" s="1085"/>
      <c r="BM5" s="1085"/>
      <c r="BN5" s="1085"/>
      <c r="BO5" s="1085"/>
      <c r="BP5" s="1085"/>
      <c r="BQ5" s="1085"/>
      <c r="BR5" s="1085"/>
      <c r="BS5" s="1085"/>
      <c r="BT5" s="1"/>
      <c r="BU5" s="7"/>
    </row>
    <row r="6" spans="1:73" ht="15" thickBot="1" x14ac:dyDescent="0.35">
      <c r="A6" s="36" t="s">
        <v>16</v>
      </c>
      <c r="B6" s="1881">
        <f>SUM(W85:W90)</f>
        <v>0</v>
      </c>
      <c r="C6" s="1107">
        <f>SUM(AC85:AC90)</f>
        <v>0</v>
      </c>
      <c r="D6" s="1107">
        <f>SUM(AI85:AI90)</f>
        <v>15000</v>
      </c>
      <c r="E6" s="1105">
        <f>SUM(AO85:AO90)</f>
        <v>0</v>
      </c>
      <c r="F6" s="1108">
        <f>SUM(AU85:AU90)</f>
        <v>0</v>
      </c>
      <c r="G6" s="1109">
        <f>SUM(BA85:BA90)</f>
        <v>0</v>
      </c>
      <c r="H6" s="1109">
        <f>SUM(BG85:BG90)</f>
        <v>0</v>
      </c>
      <c r="I6" s="1109">
        <f>SUM(BM85:BM90)</f>
        <v>0</v>
      </c>
      <c r="J6" s="1"/>
      <c r="K6" s="1102" t="s">
        <v>17</v>
      </c>
      <c r="L6" s="1129">
        <f>SUM(T47:T62)</f>
        <v>0</v>
      </c>
      <c r="M6" s="1103">
        <f>SUM(Z47:Z62)</f>
        <v>12000</v>
      </c>
      <c r="N6" s="1099">
        <f>SUM(AF47:AF62)</f>
        <v>0</v>
      </c>
      <c r="O6" s="1099">
        <f>SUM(AL47:AL62)</f>
        <v>0</v>
      </c>
      <c r="P6" s="1099">
        <f>SUM(AR47:AR62)</f>
        <v>0</v>
      </c>
      <c r="Q6" s="1099">
        <f>SUM(AX47:AX62)</f>
        <v>0</v>
      </c>
      <c r="R6" s="1105">
        <f>SUM(BD47:BD62)</f>
        <v>0</v>
      </c>
      <c r="S6" s="1106">
        <f>SUM(BJ47:BJ62)</f>
        <v>0</v>
      </c>
      <c r="T6" s="1833"/>
      <c r="U6" s="1833"/>
      <c r="V6" s="1833"/>
      <c r="W6" s="1833"/>
      <c r="X6" s="1833"/>
      <c r="Y6" s="1833"/>
      <c r="Z6" s="1085"/>
      <c r="AA6" s="1085"/>
      <c r="AB6" s="1085"/>
      <c r="AC6" s="1085"/>
      <c r="AD6" s="1085"/>
      <c r="AE6" s="1085"/>
      <c r="AF6" s="1085"/>
      <c r="AG6" s="1085"/>
      <c r="AH6" s="1085"/>
      <c r="AI6" s="1085"/>
      <c r="AJ6" s="1085"/>
      <c r="AK6" s="1085"/>
      <c r="AL6" s="1085"/>
      <c r="AM6" s="1085"/>
      <c r="AN6" s="1085"/>
      <c r="AO6" s="1085"/>
      <c r="AP6" s="1085"/>
      <c r="AQ6" s="1085"/>
      <c r="AR6" s="1085"/>
      <c r="AS6" s="1085"/>
      <c r="AT6" s="1085"/>
      <c r="AU6" s="1085"/>
      <c r="AV6" s="1085"/>
      <c r="AW6" s="1085"/>
      <c r="AX6" s="1085"/>
      <c r="AY6" s="1085"/>
      <c r="AZ6" s="1085"/>
      <c r="BA6" s="1085"/>
      <c r="BB6" s="1085"/>
      <c r="BC6" s="1085"/>
      <c r="BD6" s="1085"/>
      <c r="BE6" s="1085"/>
      <c r="BF6" s="1085"/>
      <c r="BG6" s="1085"/>
      <c r="BH6" s="1085"/>
      <c r="BI6" s="1085"/>
      <c r="BJ6" s="1085"/>
      <c r="BK6" s="1085"/>
      <c r="BL6" s="1085"/>
      <c r="BM6" s="1085"/>
      <c r="BN6" s="1085"/>
      <c r="BO6" s="1085"/>
      <c r="BP6" s="1085"/>
      <c r="BQ6" s="1085"/>
      <c r="BR6" s="1085"/>
      <c r="BS6" s="1085"/>
      <c r="BT6" s="1"/>
      <c r="BU6" s="7"/>
    </row>
    <row r="7" spans="1:73" ht="15" thickBot="1" x14ac:dyDescent="0.35">
      <c r="A7" s="42" t="s">
        <v>18</v>
      </c>
      <c r="B7" s="1110">
        <f t="shared" ref="B7:I7" si="0">SUM(B3:B6)</f>
        <v>0</v>
      </c>
      <c r="C7" s="1110">
        <f t="shared" si="0"/>
        <v>0</v>
      </c>
      <c r="D7" s="1111">
        <f t="shared" si="0"/>
        <v>33000</v>
      </c>
      <c r="E7" s="1111">
        <f t="shared" si="0"/>
        <v>0</v>
      </c>
      <c r="F7" s="1111">
        <f t="shared" si="0"/>
        <v>0</v>
      </c>
      <c r="G7" s="1111">
        <f t="shared" si="0"/>
        <v>0</v>
      </c>
      <c r="H7" s="1111">
        <f t="shared" si="0"/>
        <v>0</v>
      </c>
      <c r="I7" s="1111">
        <f t="shared" si="0"/>
        <v>0</v>
      </c>
      <c r="J7" s="1"/>
      <c r="K7" s="1112" t="s">
        <v>19</v>
      </c>
      <c r="L7" s="1194">
        <f>SUM(V47:V62)</f>
        <v>0</v>
      </c>
      <c r="M7" s="1103">
        <f>SUM(AB47:AB62)</f>
        <v>0</v>
      </c>
      <c r="N7" s="1104">
        <f>SUM(AH47:AH62)</f>
        <v>0</v>
      </c>
      <c r="O7" s="1104">
        <f>SUM(AN47:AN62)</f>
        <v>0</v>
      </c>
      <c r="P7" s="1104">
        <f>SUM(AT47:AT62)</f>
        <v>0</v>
      </c>
      <c r="Q7" s="1099">
        <f>SUM(AZ47:AZ62)</f>
        <v>4000</v>
      </c>
      <c r="R7" s="1105">
        <f>SUM(BF47:BF62)</f>
        <v>0</v>
      </c>
      <c r="S7" s="1106">
        <f>SUM(BL47:BL62)</f>
        <v>0</v>
      </c>
      <c r="T7" s="1833"/>
      <c r="U7" s="1833"/>
      <c r="V7" s="1833"/>
      <c r="W7" s="1833"/>
      <c r="X7" s="1833"/>
      <c r="Y7" s="1833"/>
      <c r="Z7" s="1085"/>
      <c r="AA7" s="1085"/>
      <c r="AB7" s="1085"/>
      <c r="AC7" s="1085"/>
      <c r="AD7" s="1085"/>
      <c r="AE7" s="1085"/>
      <c r="AF7" s="1085"/>
      <c r="AG7" s="1085"/>
      <c r="AH7" s="1085"/>
      <c r="AI7" s="1085"/>
      <c r="AJ7" s="1085"/>
      <c r="AK7" s="1085"/>
      <c r="AL7" s="1085"/>
      <c r="AM7" s="1085"/>
      <c r="AN7" s="1085"/>
      <c r="AO7" s="1085"/>
      <c r="AP7" s="1085"/>
      <c r="AQ7" s="1085"/>
      <c r="AR7" s="1085"/>
      <c r="AS7" s="1085"/>
      <c r="AT7" s="1085"/>
      <c r="AU7" s="1085"/>
      <c r="AV7" s="1085"/>
      <c r="AW7" s="1085"/>
      <c r="AX7" s="1085"/>
      <c r="AY7" s="1085"/>
      <c r="AZ7" s="1085"/>
      <c r="BA7" s="1085"/>
      <c r="BB7" s="1085"/>
      <c r="BC7" s="1085"/>
      <c r="BD7" s="1085"/>
      <c r="BE7" s="1085"/>
      <c r="BF7" s="1085"/>
      <c r="BG7" s="1085"/>
      <c r="BH7" s="1085"/>
      <c r="BI7" s="1085"/>
      <c r="BJ7" s="1085"/>
      <c r="BK7" s="1085"/>
      <c r="BL7" s="1085"/>
      <c r="BM7" s="1085"/>
      <c r="BN7" s="1085"/>
      <c r="BO7" s="1085"/>
      <c r="BP7" s="1085"/>
      <c r="BQ7" s="1085"/>
      <c r="BR7" s="1085"/>
      <c r="BS7" s="1085"/>
      <c r="BT7" s="1"/>
      <c r="BU7" s="7"/>
    </row>
    <row r="8" spans="1:73" ht="15" thickBot="1" x14ac:dyDescent="0.35">
      <c r="A8" s="47"/>
      <c r="B8" s="48"/>
      <c r="C8" s="48"/>
      <c r="D8" s="48"/>
      <c r="E8" s="48"/>
      <c r="F8" s="48"/>
      <c r="G8" s="1"/>
      <c r="H8" s="1"/>
      <c r="I8" s="1"/>
      <c r="J8" s="1"/>
      <c r="K8" s="1112" t="s">
        <v>20</v>
      </c>
      <c r="L8" s="1194">
        <f>SUM(U47:U62)</f>
        <v>1000</v>
      </c>
      <c r="M8" s="1113">
        <f>SUM(AA47:AA62)</f>
        <v>1000</v>
      </c>
      <c r="N8" s="1114">
        <f>SUM(AG47:AG62)</f>
        <v>0</v>
      </c>
      <c r="O8" s="1114">
        <f>SUM(AM47:AM62)</f>
        <v>1000</v>
      </c>
      <c r="P8" s="1114">
        <f>SUM(AS47:AS62)</f>
        <v>0</v>
      </c>
      <c r="Q8" s="1114">
        <f>SUM(AY47:AY62)</f>
        <v>0</v>
      </c>
      <c r="R8" s="1115">
        <f>SUM(BE47:BE62)</f>
        <v>0</v>
      </c>
      <c r="S8" s="1116">
        <f>SUM(BK47:BK62)</f>
        <v>0</v>
      </c>
      <c r="T8" s="1222"/>
      <c r="U8" s="1222"/>
      <c r="V8" s="1222"/>
      <c r="W8" s="1222"/>
      <c r="X8" s="1222"/>
      <c r="Y8" s="1222"/>
      <c r="Z8" s="1085"/>
      <c r="AA8" s="1085"/>
      <c r="AB8" s="1085"/>
      <c r="AC8" s="1085"/>
      <c r="AD8" s="1085"/>
      <c r="AE8" s="1085"/>
      <c r="AF8" s="1085"/>
      <c r="AG8" s="1085"/>
      <c r="AH8" s="1085"/>
      <c r="AI8" s="1085"/>
      <c r="AJ8" s="1085"/>
      <c r="AK8" s="1085"/>
      <c r="AL8" s="1085"/>
      <c r="AM8" s="1085"/>
      <c r="AN8" s="1085"/>
      <c r="AO8" s="1085"/>
      <c r="AP8" s="1085"/>
      <c r="AQ8" s="1085"/>
      <c r="AR8" s="1085"/>
      <c r="AS8" s="1085"/>
      <c r="AT8" s="1085"/>
      <c r="AU8" s="1085"/>
      <c r="AV8" s="1085"/>
      <c r="AW8" s="1085"/>
      <c r="AX8" s="1085"/>
      <c r="AY8" s="1085"/>
      <c r="AZ8" s="1085"/>
      <c r="BA8" s="1085"/>
      <c r="BB8" s="1085"/>
      <c r="BC8" s="1085"/>
      <c r="BD8" s="1085"/>
      <c r="BE8" s="1085"/>
      <c r="BF8" s="1085"/>
      <c r="BG8" s="1085"/>
      <c r="BH8" s="1085"/>
      <c r="BI8" s="1085"/>
      <c r="BJ8" s="1085"/>
      <c r="BK8" s="1085"/>
      <c r="BL8" s="1085"/>
      <c r="BM8" s="1085"/>
      <c r="BN8" s="1085"/>
      <c r="BO8" s="1085"/>
      <c r="BP8" s="1085"/>
      <c r="BQ8" s="1085"/>
      <c r="BR8" s="1085"/>
      <c r="BS8" s="1085"/>
      <c r="BT8" s="1"/>
      <c r="BU8" s="7"/>
    </row>
    <row r="9" spans="1:73" ht="15" thickBot="1" x14ac:dyDescent="0.35">
      <c r="A9" s="2736" t="s">
        <v>21</v>
      </c>
      <c r="B9" s="2737"/>
      <c r="C9" s="2737"/>
      <c r="D9" s="2738"/>
      <c r="E9" s="53"/>
      <c r="F9" s="54"/>
      <c r="G9" s="55"/>
      <c r="H9" s="55"/>
      <c r="I9" s="1"/>
      <c r="J9" s="1"/>
      <c r="K9" s="1102" t="s">
        <v>309</v>
      </c>
      <c r="L9" s="1129">
        <f>SUM(W28:W41)</f>
        <v>8000</v>
      </c>
      <c r="M9" s="1113">
        <f>SUM(AC28:AC41)</f>
        <v>0</v>
      </c>
      <c r="N9" s="1114">
        <f>SUM(AI28:AI41)</f>
        <v>0</v>
      </c>
      <c r="O9" s="1114">
        <v>0</v>
      </c>
      <c r="P9" s="1114">
        <f>SUM(AU28:AU41)</f>
        <v>0</v>
      </c>
      <c r="Q9" s="1114">
        <f>SUM(BA28:BA41)</f>
        <v>0</v>
      </c>
      <c r="R9" s="1115">
        <f>SUM(BG28:BG41)</f>
        <v>0</v>
      </c>
      <c r="S9" s="1116">
        <f>SUM(BM28:BM41)</f>
        <v>0</v>
      </c>
      <c r="Z9" s="1085"/>
      <c r="AA9" s="1085"/>
      <c r="AB9" s="1085"/>
      <c r="AC9" s="1085"/>
      <c r="AD9" s="1085"/>
      <c r="AE9" s="1085"/>
      <c r="AF9" s="1085"/>
      <c r="AG9" s="1085"/>
      <c r="AH9" s="1085"/>
      <c r="AI9" s="1085"/>
      <c r="AJ9" s="1085"/>
      <c r="AK9" s="1085"/>
      <c r="AL9" s="1085"/>
      <c r="AM9" s="1085"/>
      <c r="AN9" s="1085"/>
      <c r="AO9" s="1085"/>
      <c r="AP9" s="1085"/>
      <c r="AQ9" s="1085"/>
      <c r="AR9" s="1085"/>
      <c r="AS9" s="1085"/>
      <c r="AT9" s="1085"/>
      <c r="AU9" s="1085"/>
      <c r="AV9" s="1085"/>
      <c r="AW9" s="1085"/>
      <c r="AX9" s="1085"/>
      <c r="AY9" s="1085"/>
      <c r="AZ9" s="1085"/>
      <c r="BA9" s="1085"/>
      <c r="BB9" s="1085"/>
      <c r="BC9" s="1085"/>
      <c r="BD9" s="1085"/>
      <c r="BE9" s="1085"/>
      <c r="BF9" s="1085"/>
      <c r="BG9" s="1085"/>
      <c r="BH9" s="1085"/>
      <c r="BI9" s="1085"/>
      <c r="BJ9" s="1085"/>
      <c r="BK9" s="1085"/>
      <c r="BL9" s="1085"/>
      <c r="BM9" s="1085"/>
      <c r="BN9" s="1085"/>
      <c r="BO9" s="1085"/>
      <c r="BP9" s="1085"/>
      <c r="BQ9" s="1085"/>
      <c r="BR9" s="1085"/>
      <c r="BS9" s="1085"/>
      <c r="BT9" s="1"/>
      <c r="BU9" s="7"/>
    </row>
    <row r="10" spans="1:73" ht="15" thickBot="1" x14ac:dyDescent="0.35">
      <c r="A10" s="60" t="s">
        <v>2</v>
      </c>
      <c r="B10" s="61" t="s">
        <v>9</v>
      </c>
      <c r="C10" s="61" t="s">
        <v>3</v>
      </c>
      <c r="D10" s="61" t="s">
        <v>4</v>
      </c>
      <c r="E10" s="61" t="s">
        <v>5</v>
      </c>
      <c r="F10" s="62" t="s">
        <v>6</v>
      </c>
      <c r="G10" s="62" t="s">
        <v>7</v>
      </c>
      <c r="H10" s="63" t="s">
        <v>8</v>
      </c>
      <c r="I10" s="13" t="s">
        <v>9</v>
      </c>
      <c r="J10" s="1"/>
      <c r="K10" s="1102"/>
      <c r="L10" s="1129"/>
      <c r="M10" s="1113"/>
      <c r="N10" s="1118"/>
      <c r="O10" s="1118"/>
      <c r="P10" s="1118"/>
      <c r="Q10" s="1118"/>
      <c r="R10" s="1119"/>
      <c r="S10" s="1117"/>
      <c r="Z10" s="1085"/>
      <c r="AA10" s="1085"/>
      <c r="AB10" s="1085"/>
      <c r="AC10" s="1085"/>
      <c r="AD10" s="1085"/>
      <c r="AE10" s="1085"/>
      <c r="AF10" s="1085"/>
      <c r="AG10" s="1085"/>
      <c r="AH10" s="1085"/>
      <c r="AI10" s="1085"/>
      <c r="AJ10" s="1085"/>
      <c r="AK10" s="1085"/>
      <c r="AL10" s="1085"/>
      <c r="AM10" s="1085"/>
      <c r="AN10" s="1085"/>
      <c r="AO10" s="1085"/>
      <c r="AP10" s="1085"/>
      <c r="AQ10" s="1085"/>
      <c r="AR10" s="1085"/>
      <c r="AS10" s="1085"/>
      <c r="AT10" s="1085"/>
      <c r="AU10" s="1085"/>
      <c r="AV10" s="1085"/>
      <c r="AW10" s="1085"/>
      <c r="AX10" s="1085"/>
      <c r="AY10" s="1085"/>
      <c r="AZ10" s="1085"/>
      <c r="BA10" s="1085"/>
      <c r="BB10" s="1085"/>
      <c r="BC10" s="1085"/>
      <c r="BD10" s="1085"/>
      <c r="BE10" s="1085"/>
      <c r="BF10" s="1085"/>
      <c r="BG10" s="1085"/>
      <c r="BH10" s="1085"/>
      <c r="BI10" s="1085"/>
      <c r="BJ10" s="1085"/>
      <c r="BK10" s="1085"/>
      <c r="BL10" s="1085"/>
      <c r="BM10" s="1085"/>
      <c r="BN10" s="1085"/>
      <c r="BO10" s="1085"/>
      <c r="BP10" s="1085"/>
      <c r="BQ10" s="1085"/>
      <c r="BR10" s="1085"/>
      <c r="BS10" s="1085"/>
      <c r="BT10" s="1"/>
      <c r="BU10" s="7"/>
    </row>
    <row r="11" spans="1:73" ht="15" thickBot="1" x14ac:dyDescent="0.35">
      <c r="A11" s="64" t="s">
        <v>22</v>
      </c>
      <c r="B11" s="1882">
        <f>SUM(T94:T136)</f>
        <v>3000</v>
      </c>
      <c r="C11" s="1120">
        <f>SUM(Z94:Z136)</f>
        <v>12000</v>
      </c>
      <c r="D11" s="1121">
        <f>SUM(AF94:AF136)</f>
        <v>0</v>
      </c>
      <c r="E11" s="1121">
        <f>SUM(AL94:AL136)</f>
        <v>3000</v>
      </c>
      <c r="F11" s="1121">
        <f>SUM(AR94:AR136)</f>
        <v>14000</v>
      </c>
      <c r="G11" s="1122">
        <f>SUM(AX94:AX136)</f>
        <v>0</v>
      </c>
      <c r="H11" s="1122">
        <f>SUM(BD94:BD136)</f>
        <v>0</v>
      </c>
      <c r="I11" s="1122">
        <f>SUM(BJ94:BJ136)</f>
        <v>0</v>
      </c>
      <c r="J11" s="1"/>
      <c r="K11" s="1123"/>
      <c r="L11" s="1871"/>
      <c r="M11" s="1113"/>
      <c r="N11" s="1118"/>
      <c r="O11" s="1118"/>
      <c r="P11" s="1118"/>
      <c r="Q11" s="1118"/>
      <c r="R11" s="1124"/>
      <c r="S11" s="1125"/>
      <c r="Z11" s="1085"/>
      <c r="AA11" s="1085"/>
      <c r="AB11" s="1085"/>
      <c r="AC11" s="1085"/>
      <c r="AD11" s="1085"/>
      <c r="AE11" s="1085"/>
      <c r="AF11" s="1085"/>
      <c r="AG11" s="1085"/>
      <c r="AH11" s="1085"/>
      <c r="AI11" s="1085"/>
      <c r="AJ11" s="1085"/>
      <c r="AK11" s="1085"/>
      <c r="AL11" s="1085"/>
      <c r="AM11" s="1085"/>
      <c r="AN11" s="1085"/>
      <c r="AO11" s="1085"/>
      <c r="AP11" s="1085"/>
      <c r="AQ11" s="1085"/>
      <c r="AR11" s="1085"/>
      <c r="AS11" s="1085"/>
      <c r="AT11" s="1085"/>
      <c r="AU11" s="1085"/>
      <c r="AV11" s="1085"/>
      <c r="AW11" s="1085"/>
      <c r="AX11" s="1085"/>
      <c r="AY11" s="1085"/>
      <c r="AZ11" s="1085"/>
      <c r="BA11" s="1085"/>
      <c r="BB11" s="1085"/>
      <c r="BC11" s="1085"/>
      <c r="BD11" s="1085"/>
      <c r="BE11" s="1085"/>
      <c r="BF11" s="1085"/>
      <c r="BG11" s="1085"/>
      <c r="BH11" s="1085"/>
      <c r="BI11" s="1085"/>
      <c r="BJ11" s="1085"/>
      <c r="BK11" s="1085"/>
      <c r="BL11" s="1085"/>
      <c r="BM11" s="1085"/>
      <c r="BN11" s="1085"/>
      <c r="BO11" s="1085"/>
      <c r="BP11" s="1085"/>
      <c r="BQ11" s="1085"/>
      <c r="BR11" s="1085"/>
      <c r="BS11" s="1085"/>
      <c r="BT11" s="1"/>
      <c r="BU11" s="7"/>
    </row>
    <row r="12" spans="1:73" ht="15" thickBot="1" x14ac:dyDescent="0.35">
      <c r="A12" s="71" t="s">
        <v>23</v>
      </c>
      <c r="B12" s="1883">
        <f>SUM(U94:U136)</f>
        <v>12000</v>
      </c>
      <c r="C12" s="1126">
        <f>SUM(AA94:AA136)</f>
        <v>9000</v>
      </c>
      <c r="D12" s="1127">
        <f>SUM(AG94:AG136)</f>
        <v>0</v>
      </c>
      <c r="E12" s="1128">
        <f>SUM(AM94:AM136)</f>
        <v>9000</v>
      </c>
      <c r="F12" s="1128">
        <f>SUM(AS94:AS136)</f>
        <v>7000</v>
      </c>
      <c r="G12" s="1101">
        <f>SUM(AY94:AY136)</f>
        <v>0</v>
      </c>
      <c r="H12" s="1129">
        <f>SUM(BE94:BE136)</f>
        <v>0</v>
      </c>
      <c r="I12" s="1101">
        <f>SUM(BK94:BK136)</f>
        <v>0</v>
      </c>
      <c r="J12" s="1"/>
      <c r="K12" s="1130" t="s">
        <v>18</v>
      </c>
      <c r="L12" s="1110">
        <f>SUM(L3:L9)</f>
        <v>25000</v>
      </c>
      <c r="M12" s="1110">
        <f t="shared" ref="M12:S12" si="1">SUM(M3:M9)</f>
        <v>20000</v>
      </c>
      <c r="N12" s="1110">
        <f t="shared" si="1"/>
        <v>0</v>
      </c>
      <c r="O12" s="1110">
        <f t="shared" si="1"/>
        <v>1000</v>
      </c>
      <c r="P12" s="1110">
        <f t="shared" si="1"/>
        <v>2000</v>
      </c>
      <c r="Q12" s="1110">
        <f t="shared" si="1"/>
        <v>4000</v>
      </c>
      <c r="R12" s="1110">
        <f t="shared" si="1"/>
        <v>0</v>
      </c>
      <c r="S12" s="1110">
        <f t="shared" si="1"/>
        <v>0</v>
      </c>
      <c r="T12" s="1222"/>
      <c r="U12" s="1222"/>
      <c r="V12" s="1222"/>
      <c r="W12" s="1222"/>
      <c r="X12" s="1222"/>
      <c r="Y12" s="1222"/>
      <c r="Z12" s="1085"/>
      <c r="AA12" s="1085"/>
      <c r="AB12" s="1085"/>
      <c r="AC12" s="1085"/>
      <c r="AD12" s="1085"/>
      <c r="AE12" s="1085"/>
      <c r="AF12" s="1085"/>
      <c r="AG12" s="1085"/>
      <c r="AH12" s="1085"/>
      <c r="AI12" s="1085"/>
      <c r="AJ12" s="1085"/>
      <c r="AK12" s="1085"/>
      <c r="AL12" s="1085"/>
      <c r="AM12" s="1085"/>
      <c r="AN12" s="1085"/>
      <c r="AO12" s="1085"/>
      <c r="AP12" s="1085"/>
      <c r="AQ12" s="1085"/>
      <c r="AR12" s="1085"/>
      <c r="AS12" s="1085"/>
      <c r="AT12" s="1085"/>
      <c r="AU12" s="1085"/>
      <c r="AV12" s="1085"/>
      <c r="AW12" s="1085"/>
      <c r="AX12" s="1085"/>
      <c r="AY12" s="1085"/>
      <c r="AZ12" s="1085"/>
      <c r="BA12" s="1085"/>
      <c r="BB12" s="1085"/>
      <c r="BC12" s="1085"/>
      <c r="BD12" s="1085"/>
      <c r="BE12" s="1085"/>
      <c r="BF12" s="1085"/>
      <c r="BG12" s="1085"/>
      <c r="BH12" s="1085"/>
      <c r="BI12" s="1085"/>
      <c r="BJ12" s="1085"/>
      <c r="BK12" s="1085"/>
      <c r="BL12" s="1085"/>
      <c r="BM12" s="1085"/>
      <c r="BN12" s="1085"/>
      <c r="BO12" s="1085"/>
      <c r="BP12" s="1085"/>
      <c r="BQ12" s="1085"/>
      <c r="BR12" s="1085"/>
      <c r="BS12" s="1085"/>
      <c r="BT12" s="1"/>
      <c r="BU12" s="7"/>
    </row>
    <row r="13" spans="1:73" ht="15" thickBot="1" x14ac:dyDescent="0.35">
      <c r="A13" s="76" t="s">
        <v>24</v>
      </c>
      <c r="B13" s="1884">
        <f>SUM(V94:V136)</f>
        <v>6000</v>
      </c>
      <c r="C13" s="1131">
        <f>SUM(AB94:AB136)</f>
        <v>9000</v>
      </c>
      <c r="D13" s="1132">
        <f>SUM(AH94:AH136)</f>
        <v>0</v>
      </c>
      <c r="E13" s="1127">
        <f>SUM(AN94:AN136)</f>
        <v>9000</v>
      </c>
      <c r="F13" s="1128">
        <f>SUM(AT94:AT136)</f>
        <v>9000</v>
      </c>
      <c r="G13" s="1101">
        <f>SUM(AZ94:AZ136)</f>
        <v>0</v>
      </c>
      <c r="H13" s="1101">
        <f>SUM(BF94:BF136)</f>
        <v>0</v>
      </c>
      <c r="I13" s="1101">
        <f>SUM(BL94:BL136)</f>
        <v>0</v>
      </c>
      <c r="J13" s="1"/>
      <c r="K13" s="1133"/>
      <c r="L13" s="1085"/>
      <c r="M13" s="1085"/>
      <c r="N13" s="1085"/>
      <c r="O13" s="1085"/>
      <c r="P13" s="1085"/>
      <c r="Q13" s="1133"/>
      <c r="R13" s="1085"/>
      <c r="S13" s="1085"/>
      <c r="Z13" s="1085"/>
      <c r="AA13" s="1085"/>
      <c r="AB13" s="1085"/>
      <c r="AC13" s="1085"/>
      <c r="AD13" s="1085"/>
      <c r="AE13" s="1085"/>
      <c r="AF13" s="1085"/>
      <c r="AG13" s="1085"/>
      <c r="AH13" s="1085"/>
      <c r="AI13" s="1085"/>
      <c r="AJ13" s="1085"/>
      <c r="AK13" s="1085"/>
      <c r="AL13" s="1085"/>
      <c r="AM13" s="1085"/>
      <c r="AN13" s="1085"/>
      <c r="AO13" s="1085"/>
      <c r="AP13" s="1085"/>
      <c r="AQ13" s="1085"/>
      <c r="AR13" s="1085"/>
      <c r="AS13" s="1085"/>
      <c r="AT13" s="1085"/>
      <c r="AU13" s="1085"/>
      <c r="AV13" s="1085"/>
      <c r="AW13" s="1085"/>
      <c r="AX13" s="1085"/>
      <c r="AY13" s="1085"/>
      <c r="AZ13" s="1085"/>
      <c r="BA13" s="1085"/>
      <c r="BB13" s="1085"/>
      <c r="BC13" s="1085"/>
      <c r="BD13" s="1085"/>
      <c r="BE13" s="1085"/>
      <c r="BF13" s="1085"/>
      <c r="BG13" s="1085"/>
      <c r="BH13" s="1085"/>
      <c r="BI13" s="1085"/>
      <c r="BJ13" s="1085"/>
      <c r="BK13" s="1085"/>
      <c r="BL13" s="1085"/>
      <c r="BM13" s="1085"/>
      <c r="BN13" s="1085"/>
      <c r="BO13" s="1085"/>
      <c r="BP13" s="1085"/>
      <c r="BQ13" s="1085"/>
      <c r="BR13" s="1085"/>
      <c r="BS13" s="1085"/>
      <c r="BT13" s="1"/>
      <c r="BU13" s="7"/>
    </row>
    <row r="14" spans="1:73" ht="16.2" thickBot="1" x14ac:dyDescent="0.35">
      <c r="A14" s="76" t="s">
        <v>25</v>
      </c>
      <c r="B14" s="1884">
        <f>SUM(W94:W136)</f>
        <v>15000</v>
      </c>
      <c r="C14" s="1131">
        <f>SUM(AC94:AC136)</f>
        <v>9000</v>
      </c>
      <c r="D14" s="1132">
        <f>SUM(AI94:AI136)</f>
        <v>0</v>
      </c>
      <c r="E14" s="1128">
        <f>AO112+AO115</f>
        <v>9000</v>
      </c>
      <c r="F14" s="1127">
        <f>SUM(AU94:AU136)</f>
        <v>12000</v>
      </c>
      <c r="G14" s="1101">
        <f>SUM(BA94:BA136)</f>
        <v>0</v>
      </c>
      <c r="H14" s="1101">
        <f>SUM(BG94:BG136)</f>
        <v>0</v>
      </c>
      <c r="I14" s="1101">
        <f>SUM(BM94:BM136)</f>
        <v>0</v>
      </c>
      <c r="J14" s="1"/>
      <c r="K14" s="1081" t="s">
        <v>292</v>
      </c>
      <c r="L14" s="1826"/>
      <c r="M14" s="1082"/>
      <c r="N14" s="1083"/>
      <c r="O14" s="1084"/>
      <c r="P14" s="1085"/>
      <c r="Q14" s="1085"/>
      <c r="R14" s="1085"/>
      <c r="S14" s="1085"/>
      <c r="Z14" s="1085"/>
      <c r="AA14" s="1085"/>
      <c r="AB14" s="1085"/>
      <c r="AC14" s="1085"/>
      <c r="AD14" s="1085"/>
      <c r="AE14" s="1085"/>
      <c r="AF14" s="1085"/>
      <c r="AG14" s="1085"/>
      <c r="AH14" s="1085"/>
      <c r="AI14" s="1085"/>
      <c r="AJ14" s="1085"/>
      <c r="AK14" s="1085"/>
      <c r="AL14" s="1085"/>
      <c r="AM14" s="1085"/>
      <c r="AN14" s="1085"/>
      <c r="AO14" s="1085"/>
      <c r="AP14" s="1085"/>
      <c r="AQ14" s="1085"/>
      <c r="AR14" s="1085"/>
      <c r="AS14" s="1085"/>
      <c r="AT14" s="1085"/>
      <c r="AU14" s="1085"/>
      <c r="AV14" s="1085"/>
      <c r="AW14" s="1085"/>
      <c r="AX14" s="1085"/>
      <c r="AY14" s="1085"/>
      <c r="AZ14" s="1085"/>
      <c r="BA14" s="1085"/>
      <c r="BB14" s="1085"/>
      <c r="BC14" s="1085"/>
      <c r="BD14" s="1085"/>
      <c r="BE14" s="1085"/>
      <c r="BF14" s="1085"/>
      <c r="BG14" s="1085"/>
      <c r="BH14" s="1085"/>
      <c r="BI14" s="1085"/>
      <c r="BJ14" s="1085"/>
      <c r="BK14" s="1085"/>
      <c r="BL14" s="1085"/>
      <c r="BM14" s="1085"/>
      <c r="BN14" s="1085"/>
      <c r="BO14" s="1085"/>
      <c r="BP14" s="1085"/>
      <c r="BQ14" s="1085"/>
      <c r="BR14" s="1085"/>
      <c r="BS14" s="1085"/>
      <c r="BT14" s="1"/>
    </row>
    <row r="15" spans="1:73" ht="15" thickBot="1" x14ac:dyDescent="0.35">
      <c r="A15" s="81" t="s">
        <v>27</v>
      </c>
      <c r="B15" s="1803">
        <f>SUM(X94:X136)</f>
        <v>24000</v>
      </c>
      <c r="C15" s="1134">
        <f>SUM(AD94:AD136)</f>
        <v>12000</v>
      </c>
      <c r="D15" s="1134">
        <f>SUM(AJ94:AJ136)</f>
        <v>0</v>
      </c>
      <c r="E15" s="1134">
        <f>SUM(AP94:AP136)</f>
        <v>24000</v>
      </c>
      <c r="F15" s="1135">
        <f>SUM(AV94:AV136)</f>
        <v>17000</v>
      </c>
      <c r="G15" s="1100">
        <f>SUM(BB94:BB136)</f>
        <v>0</v>
      </c>
      <c r="H15" s="1100">
        <f>SUM(BH94:BH136)</f>
        <v>0</v>
      </c>
      <c r="I15" s="1100">
        <f>SUM(BN94:BN136)</f>
        <v>0</v>
      </c>
      <c r="J15" s="1"/>
      <c r="K15" s="1086" t="s">
        <v>2</v>
      </c>
      <c r="L15" s="1086" t="s">
        <v>9</v>
      </c>
      <c r="M15" s="1087" t="s">
        <v>3</v>
      </c>
      <c r="N15" s="1088" t="s">
        <v>4</v>
      </c>
      <c r="O15" s="1088" t="s">
        <v>5</v>
      </c>
      <c r="P15" s="1088" t="s">
        <v>6</v>
      </c>
      <c r="Q15" s="1088" t="s">
        <v>7</v>
      </c>
      <c r="R15" s="1089" t="s">
        <v>8</v>
      </c>
      <c r="S15" s="1090" t="s">
        <v>9</v>
      </c>
      <c r="T15" s="1832"/>
      <c r="U15" s="1832"/>
      <c r="V15" s="1832"/>
      <c r="W15" s="1832"/>
      <c r="X15" s="1832"/>
      <c r="Y15" s="1832"/>
      <c r="Z15" s="1085"/>
      <c r="AA15" s="1085"/>
      <c r="AB15" s="1085"/>
      <c r="AC15" s="1085"/>
      <c r="AD15" s="1085"/>
      <c r="AE15" s="1085"/>
      <c r="AF15" s="1085"/>
      <c r="AG15" s="1085"/>
      <c r="AH15" s="1085"/>
      <c r="AI15" s="1085"/>
      <c r="AJ15" s="1085"/>
      <c r="AK15" s="1085"/>
      <c r="AL15" s="1085"/>
      <c r="AM15" s="1085"/>
      <c r="AN15" s="1085"/>
      <c r="AO15" s="1085"/>
      <c r="AP15" s="1085"/>
      <c r="AQ15" s="1085"/>
      <c r="AR15" s="1085"/>
      <c r="AS15" s="1085"/>
      <c r="AT15" s="1085"/>
      <c r="AU15" s="1085"/>
      <c r="AV15" s="1085"/>
      <c r="AW15" s="1085"/>
      <c r="AX15" s="1085"/>
      <c r="AY15" s="1085"/>
      <c r="AZ15" s="1085"/>
      <c r="BA15" s="1085"/>
      <c r="BB15" s="1085"/>
      <c r="BC15" s="1085"/>
      <c r="BD15" s="1085"/>
      <c r="BE15" s="1085"/>
      <c r="BF15" s="1085"/>
      <c r="BG15" s="1085"/>
      <c r="BH15" s="1085"/>
      <c r="BI15" s="1085"/>
      <c r="BJ15" s="1085"/>
      <c r="BK15" s="1085"/>
      <c r="BL15" s="1085"/>
      <c r="BM15" s="1085"/>
      <c r="BN15" s="1085"/>
      <c r="BO15" s="1085"/>
      <c r="BP15" s="1085"/>
      <c r="BQ15" s="1085"/>
      <c r="BR15" s="1085"/>
      <c r="BS15" s="1085"/>
      <c r="BT15" s="1"/>
      <c r="BU15" s="7"/>
    </row>
    <row r="16" spans="1:73" ht="15" thickBot="1" x14ac:dyDescent="0.35">
      <c r="A16" s="75" t="s">
        <v>18</v>
      </c>
      <c r="B16" s="1136">
        <f>SUM(B11:B15)</f>
        <v>60000</v>
      </c>
      <c r="C16" s="1136">
        <f t="shared" ref="C16:I16" si="2">SUM(C11:C15)</f>
        <v>51000</v>
      </c>
      <c r="D16" s="1137">
        <f>SUM(D11:D15)</f>
        <v>0</v>
      </c>
      <c r="E16" s="1138">
        <f t="shared" si="2"/>
        <v>54000</v>
      </c>
      <c r="F16" s="1138">
        <f t="shared" si="2"/>
        <v>59000</v>
      </c>
      <c r="G16" s="1111">
        <f t="shared" si="2"/>
        <v>0</v>
      </c>
      <c r="H16" s="1111">
        <f t="shared" si="2"/>
        <v>0</v>
      </c>
      <c r="I16" s="1111">
        <f t="shared" si="2"/>
        <v>0</v>
      </c>
      <c r="J16" s="1"/>
      <c r="K16" s="1094" t="s">
        <v>293</v>
      </c>
      <c r="L16" s="1274">
        <f>SUM(T66:T77)</f>
        <v>0</v>
      </c>
      <c r="M16" s="1095">
        <f>SUM(Z66:Z77)</f>
        <v>0</v>
      </c>
      <c r="N16" s="1095">
        <f>SUM(AF66:AF77)</f>
        <v>2000</v>
      </c>
      <c r="O16" s="1096">
        <f>SUM(AL66:AL77)</f>
        <v>0</v>
      </c>
      <c r="P16" s="1096">
        <f>SUM(AR66:AR77)</f>
        <v>0</v>
      </c>
      <c r="Q16" s="1096">
        <f>SUM(AX66:AX77)</f>
        <v>0</v>
      </c>
      <c r="R16" s="1097">
        <f>SUM(BD66:BD77)</f>
        <v>0</v>
      </c>
      <c r="S16" s="1098">
        <f>SUM(BJ66:BJ77)</f>
        <v>0</v>
      </c>
      <c r="T16" s="1222"/>
      <c r="U16" s="1222"/>
      <c r="V16" s="1222"/>
      <c r="W16" s="1222"/>
      <c r="X16" s="1222"/>
      <c r="Y16" s="1222"/>
      <c r="Z16" s="1085"/>
      <c r="AA16" s="1085"/>
      <c r="AB16" s="1085"/>
      <c r="AC16" s="1085"/>
      <c r="AD16" s="1085"/>
      <c r="AE16" s="1085"/>
      <c r="AF16" s="1085"/>
      <c r="AG16" s="1085"/>
      <c r="AH16" s="1085"/>
      <c r="AI16" s="1085"/>
      <c r="AJ16" s="1085"/>
      <c r="AK16" s="1085"/>
      <c r="AL16" s="1085"/>
      <c r="AM16" s="1085"/>
      <c r="AN16" s="1085"/>
      <c r="AO16" s="1085"/>
      <c r="AP16" s="1085"/>
      <c r="AQ16" s="1085"/>
      <c r="AR16" s="1085"/>
      <c r="AS16" s="1085"/>
      <c r="AT16" s="1085"/>
      <c r="AU16" s="1085"/>
      <c r="AV16" s="1085"/>
      <c r="AW16" s="1085"/>
      <c r="AX16" s="1085"/>
      <c r="AY16" s="1085"/>
      <c r="AZ16" s="1085"/>
      <c r="BA16" s="1085"/>
      <c r="BB16" s="1085"/>
      <c r="BC16" s="1085"/>
      <c r="BD16" s="1085"/>
      <c r="BE16" s="1085"/>
      <c r="BF16" s="1085"/>
      <c r="BG16" s="1085"/>
      <c r="BH16" s="1085"/>
      <c r="BI16" s="1085"/>
      <c r="BJ16" s="1085"/>
      <c r="BK16" s="1085"/>
      <c r="BL16" s="1085"/>
      <c r="BM16" s="1085"/>
      <c r="BN16" s="1085"/>
      <c r="BO16" s="1085"/>
      <c r="BP16" s="1085"/>
      <c r="BQ16" s="1085"/>
      <c r="BR16" s="1085"/>
      <c r="BS16" s="1085"/>
      <c r="BT16" s="1"/>
      <c r="BU16" s="7"/>
    </row>
    <row r="17" spans="1:72" ht="15" thickBot="1" x14ac:dyDescent="0.35">
      <c r="A17" s="87"/>
      <c r="B17" s="87"/>
      <c r="C17" s="1139"/>
      <c r="D17" s="1139"/>
      <c r="E17" s="1139"/>
      <c r="F17" s="1139"/>
      <c r="G17" s="1140"/>
      <c r="H17" s="1085"/>
      <c r="I17" s="1085"/>
      <c r="J17" s="795" t="s">
        <v>281</v>
      </c>
      <c r="K17" s="1102" t="s">
        <v>294</v>
      </c>
      <c r="L17" s="1129">
        <f>SUM(U66:U77)</f>
        <v>0</v>
      </c>
      <c r="M17" s="1103">
        <f>SUM(AA66:AA77)</f>
        <v>0</v>
      </c>
      <c r="N17" s="1099">
        <f>SUM(AG66:AG77)</f>
        <v>0</v>
      </c>
      <c r="O17" s="1104">
        <f>SUM(AM66:AM77)</f>
        <v>0</v>
      </c>
      <c r="P17" s="1099">
        <f>SUM(AS66:AS77)</f>
        <v>0</v>
      </c>
      <c r="Q17" s="1096">
        <f>SUM(AY66:AY77)</f>
        <v>0</v>
      </c>
      <c r="R17" s="1097">
        <f>SUM(BE66:BE77)</f>
        <v>0</v>
      </c>
      <c r="S17" s="1098">
        <f>SUM(BK66:BK77)</f>
        <v>0</v>
      </c>
      <c r="T17" s="1222"/>
      <c r="U17" s="1222"/>
      <c r="V17" s="1222"/>
      <c r="W17" s="1222"/>
      <c r="X17" s="1222"/>
      <c r="Y17" s="1222"/>
      <c r="Z17" s="1085"/>
      <c r="AA17" s="1085"/>
      <c r="AB17" s="1085"/>
      <c r="AC17" s="1085"/>
      <c r="AD17" s="1085"/>
      <c r="AE17" s="1085"/>
      <c r="AF17" s="1085"/>
      <c r="AG17" s="1085"/>
      <c r="AH17" s="1085"/>
      <c r="AI17" s="1085"/>
      <c r="AJ17" s="1085"/>
      <c r="AK17" s="1085"/>
      <c r="AL17" s="1085"/>
      <c r="AM17" s="1085"/>
      <c r="AN17" s="1085"/>
      <c r="AO17" s="1085"/>
      <c r="AP17" s="1085"/>
      <c r="AQ17" s="1085"/>
      <c r="AR17" s="1085"/>
      <c r="AS17" s="1085"/>
      <c r="AT17" s="1085"/>
      <c r="AU17" s="1085"/>
      <c r="AV17" s="1085"/>
      <c r="AW17" s="1085"/>
      <c r="AX17" s="1085"/>
      <c r="AY17" s="1085"/>
      <c r="AZ17" s="1085"/>
      <c r="BA17" s="1085"/>
      <c r="BB17" s="1085"/>
      <c r="BC17" s="1085"/>
      <c r="BD17" s="1085"/>
      <c r="BE17" s="1085"/>
      <c r="BF17" s="1085"/>
      <c r="BG17" s="1085"/>
      <c r="BH17" s="1085"/>
      <c r="BI17" s="1085"/>
      <c r="BJ17" s="1085"/>
      <c r="BK17" s="1085"/>
      <c r="BL17" s="1085"/>
      <c r="BM17" s="1085"/>
      <c r="BN17" s="1085"/>
      <c r="BO17" s="1085"/>
      <c r="BP17" s="1085"/>
      <c r="BQ17" s="1085"/>
      <c r="BR17" s="1085"/>
      <c r="BS17" s="1085"/>
      <c r="BT17" s="1"/>
    </row>
    <row r="18" spans="1:72" ht="15.6" thickTop="1" thickBot="1" x14ac:dyDescent="0.35">
      <c r="A18" s="1025" t="s">
        <v>26</v>
      </c>
      <c r="B18" s="1141">
        <f>B7+B16+L12+L25</f>
        <v>85000</v>
      </c>
      <c r="C18" s="1141">
        <f>C7+C16+M12+M25</f>
        <v>71000</v>
      </c>
      <c r="D18" s="1141">
        <f>D7+D16+N12+N25</f>
        <v>35000</v>
      </c>
      <c r="E18" s="1141">
        <f t="shared" ref="E18:I18" si="3">E7+E16+O12+O25</f>
        <v>55000</v>
      </c>
      <c r="F18" s="1141">
        <f t="shared" si="3"/>
        <v>61000</v>
      </c>
      <c r="G18" s="1141">
        <f t="shared" si="3"/>
        <v>4000</v>
      </c>
      <c r="H18" s="1141">
        <f t="shared" si="3"/>
        <v>0</v>
      </c>
      <c r="I18" s="1141">
        <f t="shared" si="3"/>
        <v>0</v>
      </c>
      <c r="J18" s="1027">
        <f>SUM(B18:I18)</f>
        <v>311000</v>
      </c>
      <c r="K18" s="1102" t="s">
        <v>295</v>
      </c>
      <c r="L18" s="1129">
        <f>SUM(V66:V77)</f>
        <v>0</v>
      </c>
      <c r="M18" s="1103">
        <f>SUM(AB66:AB77)</f>
        <v>0</v>
      </c>
      <c r="N18" s="1099">
        <f>SUM(AH66:AH77)</f>
        <v>0</v>
      </c>
      <c r="O18" s="1099">
        <f>SUM(AN66:AN77)</f>
        <v>0</v>
      </c>
      <c r="P18" s="1099">
        <f>SUM(AT66:AT77)</f>
        <v>0</v>
      </c>
      <c r="Q18" s="1096">
        <f>SUM(AZ66:AZ77)</f>
        <v>0</v>
      </c>
      <c r="R18" s="1105">
        <f>SUM(BF66:BF77)</f>
        <v>0</v>
      </c>
      <c r="S18" s="1098">
        <f>SUM(BL66:BL77)</f>
        <v>0</v>
      </c>
      <c r="T18" s="1222"/>
      <c r="U18" s="1222"/>
      <c r="V18" s="1222"/>
      <c r="W18" s="1222"/>
      <c r="X18" s="1222"/>
      <c r="Y18" s="1222"/>
      <c r="Z18" s="1085"/>
      <c r="AA18" s="1085"/>
      <c r="AB18" s="1085"/>
      <c r="AC18" s="1085"/>
      <c r="AD18" s="1085"/>
      <c r="AE18" s="1085"/>
      <c r="AF18" s="1085"/>
      <c r="AG18" s="1085"/>
      <c r="AH18" s="1085"/>
      <c r="AI18" s="1085"/>
      <c r="AJ18" s="1085"/>
      <c r="AK18" s="1085"/>
      <c r="AL18" s="1085"/>
      <c r="AM18" s="1085"/>
      <c r="AN18" s="1085"/>
      <c r="AO18" s="1085"/>
      <c r="AP18" s="1085"/>
      <c r="AQ18" s="1085"/>
      <c r="AR18" s="1085"/>
      <c r="AS18" s="1085"/>
      <c r="AT18" s="1085"/>
      <c r="AU18" s="1085"/>
      <c r="AV18" s="1085"/>
      <c r="AW18" s="1085"/>
      <c r="AX18" s="1085"/>
      <c r="AY18" s="1085"/>
      <c r="AZ18" s="1085"/>
      <c r="BA18" s="1085"/>
      <c r="BB18" s="1085"/>
      <c r="BC18" s="1085"/>
      <c r="BD18" s="1085"/>
      <c r="BE18" s="1085"/>
      <c r="BF18" s="1085"/>
      <c r="BG18" s="1085"/>
      <c r="BH18" s="1085"/>
      <c r="BI18" s="1085"/>
      <c r="BJ18" s="1085"/>
      <c r="BK18" s="1085"/>
      <c r="BL18" s="1085"/>
      <c r="BM18" s="1085"/>
      <c r="BN18" s="1085"/>
      <c r="BO18" s="1085"/>
      <c r="BP18" s="1085"/>
      <c r="BQ18" s="1085"/>
      <c r="BR18" s="1085"/>
      <c r="BS18" s="1085"/>
      <c r="BT18" s="1"/>
    </row>
    <row r="19" spans="1:72" ht="16.8" thickTop="1" thickBot="1" x14ac:dyDescent="0.35">
      <c r="A19" s="1026" t="s">
        <v>299</v>
      </c>
      <c r="B19" s="1142">
        <v>60000</v>
      </c>
      <c r="C19" s="1142">
        <v>90000</v>
      </c>
      <c r="D19" s="1142">
        <v>70000</v>
      </c>
      <c r="E19" s="1142">
        <v>80000</v>
      </c>
      <c r="F19" s="1142">
        <v>70000</v>
      </c>
      <c r="G19" s="1142"/>
      <c r="H19" s="1142"/>
      <c r="I19" s="1142"/>
      <c r="J19" s="1027">
        <f>SUM(C19:I19)</f>
        <v>310000</v>
      </c>
      <c r="K19" s="1102" t="s">
        <v>296</v>
      </c>
      <c r="L19" s="1129">
        <f>SUM(W66:W77)</f>
        <v>0</v>
      </c>
      <c r="M19" s="1103">
        <f>SUM(AC66:AC77)</f>
        <v>0</v>
      </c>
      <c r="N19" s="1099">
        <f>SUM(AI66:AI77)</f>
        <v>0</v>
      </c>
      <c r="O19" s="1099">
        <f>SUM(AO66:AO77)</f>
        <v>0</v>
      </c>
      <c r="P19" s="1099">
        <f>SUM(AU66:AU77)</f>
        <v>0</v>
      </c>
      <c r="Q19" s="1096">
        <f>SUM(BA66:BA77)</f>
        <v>0</v>
      </c>
      <c r="R19" s="1105">
        <f>SUM(BG66:BG77)</f>
        <v>0</v>
      </c>
      <c r="S19" s="1098">
        <f>SUM(BM66:BM77)</f>
        <v>0</v>
      </c>
      <c r="T19" s="1222"/>
      <c r="U19" s="1222"/>
      <c r="V19" s="1222"/>
      <c r="W19" s="1222"/>
      <c r="X19" s="1222"/>
      <c r="Y19" s="1222"/>
      <c r="Z19" s="1085"/>
      <c r="AA19" s="1085"/>
      <c r="AB19" s="1085"/>
      <c r="AC19" s="1085"/>
      <c r="AD19" s="1085"/>
      <c r="AE19" s="1085"/>
      <c r="AF19" s="1085"/>
      <c r="AG19" s="1085"/>
      <c r="AH19" s="1085"/>
      <c r="AI19" s="1085"/>
      <c r="AJ19" s="1085"/>
      <c r="AK19" s="1085"/>
      <c r="AL19" s="1085"/>
      <c r="AM19" s="1085"/>
      <c r="AN19" s="1085"/>
      <c r="AO19" s="1085"/>
      <c r="AP19" s="1085"/>
      <c r="AQ19" s="1085"/>
      <c r="AR19" s="1085"/>
      <c r="AS19" s="1085"/>
      <c r="AT19" s="1085"/>
      <c r="AU19" s="1085"/>
      <c r="AV19" s="1085"/>
      <c r="AW19" s="1085"/>
      <c r="AX19" s="1085"/>
      <c r="AY19" s="1085"/>
      <c r="AZ19" s="1085"/>
      <c r="BA19" s="1085"/>
      <c r="BB19" s="1085"/>
      <c r="BC19" s="1085"/>
      <c r="BD19" s="1085"/>
      <c r="BE19" s="1085"/>
      <c r="BF19" s="1085"/>
      <c r="BG19" s="1085"/>
      <c r="BH19" s="1085"/>
      <c r="BI19" s="1085"/>
      <c r="BJ19" s="1085"/>
      <c r="BK19" s="1085"/>
      <c r="BL19" s="1085"/>
      <c r="BM19" s="1085"/>
      <c r="BN19" s="1085"/>
      <c r="BO19" s="1085"/>
      <c r="BP19" s="1085"/>
      <c r="BQ19" s="1085"/>
      <c r="BR19" s="1085"/>
      <c r="BS19" s="1085"/>
      <c r="BT19" s="1"/>
    </row>
    <row r="20" spans="1:72" ht="16.8" thickTop="1" thickBot="1" x14ac:dyDescent="0.35">
      <c r="A20" s="1026" t="s">
        <v>355</v>
      </c>
      <c r="B20" s="1870"/>
      <c r="C20" s="1143"/>
      <c r="D20" s="1143"/>
      <c r="E20" s="1143"/>
      <c r="F20" s="1143"/>
      <c r="G20" s="1143"/>
      <c r="H20" s="1144"/>
      <c r="I20" s="1144"/>
      <c r="J20" s="1027">
        <f>J18-J19</f>
        <v>1000</v>
      </c>
      <c r="K20" s="1102" t="s">
        <v>298</v>
      </c>
      <c r="L20" s="1129">
        <f>SUM(X66:X77)</f>
        <v>0</v>
      </c>
      <c r="M20" s="1103">
        <f>SUM(AD66:AD77)</f>
        <v>0</v>
      </c>
      <c r="N20" s="1104">
        <f>SUM(AJ66:AJ77)</f>
        <v>0</v>
      </c>
      <c r="O20" s="1104">
        <f>SUM(AP66:AP77)</f>
        <v>0</v>
      </c>
      <c r="P20" s="1104">
        <f>SUM(AV66:AV77)</f>
        <v>0</v>
      </c>
      <c r="Q20" s="1096">
        <f>SUM(BB66:BB77)</f>
        <v>0</v>
      </c>
      <c r="R20" s="1105">
        <f>SUM(BH66:BH77)</f>
        <v>0</v>
      </c>
      <c r="S20" s="1098">
        <f>SUM(BN66:BN77)</f>
        <v>0</v>
      </c>
      <c r="T20" s="1222"/>
      <c r="U20" s="1222"/>
      <c r="V20" s="1222"/>
      <c r="W20" s="1222"/>
      <c r="X20" s="1222"/>
      <c r="Y20" s="1222"/>
      <c r="Z20" s="1085"/>
      <c r="AA20" s="1085"/>
      <c r="AB20" s="1085"/>
      <c r="AC20" s="1085"/>
      <c r="AD20" s="1085"/>
      <c r="AE20" s="1085"/>
      <c r="AF20" s="1085"/>
      <c r="AG20" s="1085"/>
      <c r="AH20" s="1085"/>
      <c r="AI20" s="1085"/>
      <c r="AJ20" s="1085"/>
      <c r="AK20" s="1085"/>
      <c r="AL20" s="1085"/>
      <c r="AM20" s="1085"/>
      <c r="AN20" s="1085"/>
      <c r="AO20" s="1085"/>
      <c r="AP20" s="1085"/>
      <c r="AQ20" s="1085"/>
      <c r="AR20" s="1085"/>
      <c r="AS20" s="1085"/>
      <c r="AT20" s="1085"/>
      <c r="AU20" s="1085"/>
      <c r="AV20" s="1085"/>
      <c r="AW20" s="1085"/>
      <c r="AX20" s="1085"/>
      <c r="AY20" s="1085"/>
      <c r="AZ20" s="1085"/>
      <c r="BA20" s="1085"/>
      <c r="BB20" s="1085"/>
      <c r="BC20" s="1085"/>
      <c r="BD20" s="1085"/>
      <c r="BE20" s="1085"/>
      <c r="BF20" s="1085"/>
      <c r="BG20" s="1085"/>
      <c r="BH20" s="1085"/>
      <c r="BI20" s="1085"/>
      <c r="BJ20" s="1085"/>
      <c r="BK20" s="1085"/>
      <c r="BL20" s="1085"/>
      <c r="BM20" s="1085"/>
      <c r="BN20" s="1085"/>
      <c r="BO20" s="1085"/>
      <c r="BP20" s="1085"/>
      <c r="BQ20" s="1085"/>
      <c r="BR20" s="1085"/>
      <c r="BS20" s="1085"/>
      <c r="BT20" s="1"/>
    </row>
    <row r="21" spans="1:72" ht="16.2" thickTop="1" x14ac:dyDescent="0.3">
      <c r="A21" s="930"/>
      <c r="B21" s="931"/>
      <c r="C21" s="931"/>
      <c r="D21" s="931"/>
      <c r="E21" s="931"/>
      <c r="F21" s="931"/>
      <c r="G21" s="932"/>
      <c r="H21" s="932"/>
      <c r="I21" s="93"/>
      <c r="J21" s="94"/>
      <c r="K21" s="1102" t="s">
        <v>297</v>
      </c>
      <c r="L21" s="1129">
        <f>SUM(Y66:Y77)</f>
        <v>0</v>
      </c>
      <c r="M21" s="1113">
        <f>SUM(AE66:AE77)</f>
        <v>0</v>
      </c>
      <c r="N21" s="1114">
        <f>SUM(AK66:AK77)</f>
        <v>0</v>
      </c>
      <c r="O21" s="1114">
        <f>SUM(AQ66:AQ77)</f>
        <v>0</v>
      </c>
      <c r="P21" s="1114">
        <f>SUM(AW66:AW77)</f>
        <v>0</v>
      </c>
      <c r="Q21" s="1096">
        <f>SUM(BC66:BC77)</f>
        <v>0</v>
      </c>
      <c r="R21" s="1105">
        <f>SUM(BI66:BI77)</f>
        <v>0</v>
      </c>
      <c r="S21" s="1098">
        <f>SUM(BO66:BO77)</f>
        <v>0</v>
      </c>
      <c r="T21" s="1222"/>
      <c r="U21" s="1222"/>
      <c r="V21" s="1222"/>
      <c r="W21" s="1222"/>
      <c r="X21" s="1222"/>
      <c r="Y21" s="1222"/>
      <c r="Z21" s="1085"/>
      <c r="AA21" s="1085"/>
      <c r="AB21" s="1085"/>
      <c r="AC21" s="1085"/>
      <c r="AD21" s="1085"/>
      <c r="AE21" s="1085"/>
      <c r="AF21" s="1085"/>
      <c r="AG21" s="1085"/>
      <c r="AH21" s="1085"/>
      <c r="AI21" s="1085"/>
      <c r="AJ21" s="1085"/>
      <c r="AK21" s="1085"/>
      <c r="AL21" s="1085"/>
      <c r="AM21" s="1085"/>
      <c r="AN21" s="1085"/>
      <c r="AO21" s="1085"/>
      <c r="AP21" s="1085"/>
      <c r="AQ21" s="1085"/>
      <c r="AR21" s="1085"/>
      <c r="AS21" s="1085"/>
      <c r="AT21" s="1085"/>
      <c r="AU21" s="1085"/>
      <c r="AV21" s="1085"/>
      <c r="AW21" s="1085"/>
      <c r="AX21" s="1085"/>
      <c r="AY21" s="1085"/>
      <c r="AZ21" s="1085"/>
      <c r="BA21" s="1085"/>
      <c r="BB21" s="1085"/>
      <c r="BC21" s="1085"/>
      <c r="BD21" s="1085"/>
      <c r="BE21" s="1085"/>
      <c r="BF21" s="1085"/>
      <c r="BG21" s="1085"/>
      <c r="BH21" s="1085"/>
      <c r="BI21" s="1085"/>
      <c r="BJ21" s="1085"/>
      <c r="BK21" s="1085"/>
      <c r="BL21" s="1085"/>
      <c r="BM21" s="1085"/>
      <c r="BN21" s="1085"/>
      <c r="BO21" s="1085"/>
      <c r="BP21" s="1085"/>
      <c r="BQ21" s="1085"/>
      <c r="BR21" s="1085"/>
      <c r="BS21" s="1085"/>
      <c r="BT21" s="1"/>
    </row>
    <row r="22" spans="1:72" ht="15.6" x14ac:dyDescent="0.3">
      <c r="A22" s="930"/>
      <c r="B22" s="931"/>
      <c r="C22" s="931"/>
      <c r="D22" s="931"/>
      <c r="E22" s="931"/>
      <c r="F22" s="931"/>
      <c r="G22" s="932"/>
      <c r="H22" s="932"/>
      <c r="I22" s="93"/>
      <c r="J22" s="94"/>
      <c r="K22" s="1102"/>
      <c r="L22" s="1129"/>
      <c r="M22" s="1113"/>
      <c r="N22" s="1118"/>
      <c r="O22" s="1118"/>
      <c r="P22" s="1118"/>
      <c r="Q22" s="1118"/>
      <c r="R22" s="1119"/>
      <c r="S22" s="1117"/>
      <c r="Z22" s="1085"/>
      <c r="AA22" s="1085"/>
      <c r="AB22" s="1085"/>
      <c r="AC22" s="1085"/>
      <c r="AD22" s="1085"/>
      <c r="AE22" s="1085"/>
      <c r="AF22" s="1085"/>
      <c r="AG22" s="1085"/>
      <c r="AH22" s="1085"/>
      <c r="AI22" s="1085"/>
      <c r="AJ22" s="1085"/>
      <c r="AK22" s="1085"/>
      <c r="AL22" s="1085"/>
      <c r="AM22" s="1085"/>
      <c r="AN22" s="1085"/>
      <c r="AO22" s="1085"/>
      <c r="AP22" s="1085"/>
      <c r="AQ22" s="1085"/>
      <c r="AR22" s="1085"/>
      <c r="AS22" s="1085"/>
      <c r="AT22" s="1085"/>
      <c r="AU22" s="1085"/>
      <c r="AV22" s="1085"/>
      <c r="AW22" s="1085"/>
      <c r="AX22" s="1085"/>
      <c r="AY22" s="1085"/>
      <c r="AZ22" s="1085"/>
      <c r="BA22" s="1085"/>
      <c r="BB22" s="1085"/>
      <c r="BC22" s="1085"/>
      <c r="BD22" s="1085"/>
      <c r="BE22" s="1085"/>
      <c r="BF22" s="1085"/>
      <c r="BG22" s="1085"/>
      <c r="BH22" s="1085"/>
      <c r="BI22" s="1085"/>
      <c r="BJ22" s="1085"/>
      <c r="BK22" s="1085"/>
      <c r="BL22" s="1085"/>
      <c r="BM22" s="1085"/>
      <c r="BN22" s="1085"/>
      <c r="BO22" s="1085"/>
      <c r="BP22" s="1085"/>
      <c r="BQ22" s="1085"/>
      <c r="BR22" s="1085"/>
      <c r="BS22" s="1085"/>
      <c r="BT22" s="1"/>
    </row>
    <row r="23" spans="1:72" x14ac:dyDescent="0.3">
      <c r="A23" s="1"/>
      <c r="B23" s="1"/>
      <c r="C23" s="93"/>
      <c r="D23" s="1085"/>
      <c r="E23" s="1"/>
      <c r="F23" s="1"/>
      <c r="G23" s="1"/>
      <c r="H23" s="1"/>
      <c r="I23" s="1"/>
      <c r="J23" s="94"/>
      <c r="K23" s="1102"/>
      <c r="L23" s="1129"/>
      <c r="M23" s="1113"/>
      <c r="N23" s="1118"/>
      <c r="O23" s="1118"/>
      <c r="P23" s="1118"/>
      <c r="Q23" s="1118"/>
      <c r="R23" s="1119"/>
      <c r="S23" s="1117"/>
      <c r="Z23" s="1085"/>
      <c r="AA23" s="1085"/>
      <c r="AB23" s="1085"/>
      <c r="AC23" s="1085"/>
      <c r="AD23" s="1085"/>
      <c r="AE23" s="1085"/>
      <c r="AF23" s="1085"/>
      <c r="AG23" s="1085"/>
      <c r="AH23" s="1085"/>
      <c r="AI23" s="1085"/>
      <c r="AJ23" s="1085"/>
      <c r="AK23" s="1085"/>
      <c r="AL23" s="1085"/>
      <c r="AM23" s="1085"/>
      <c r="AN23" s="1085"/>
      <c r="AO23" s="1085"/>
      <c r="AP23" s="1085"/>
      <c r="AQ23" s="1085"/>
      <c r="AR23" s="1085"/>
      <c r="AS23" s="1085"/>
      <c r="AT23" s="1085"/>
      <c r="AU23" s="1085"/>
      <c r="AV23" s="1085"/>
      <c r="AW23" s="1085"/>
      <c r="AX23" s="1085"/>
      <c r="AY23" s="1085"/>
      <c r="AZ23" s="1085"/>
      <c r="BA23" s="1085"/>
      <c r="BB23" s="1085"/>
      <c r="BC23" s="1085"/>
      <c r="BD23" s="1085"/>
      <c r="BE23" s="1085"/>
      <c r="BF23" s="1085"/>
      <c r="BG23" s="1085"/>
      <c r="BH23" s="1085"/>
      <c r="BI23" s="1085"/>
      <c r="BJ23" s="1085"/>
      <c r="BK23" s="1085"/>
      <c r="BL23" s="1085"/>
      <c r="BM23" s="1085"/>
      <c r="BN23" s="1085"/>
      <c r="BO23" s="1085"/>
      <c r="BP23" s="1085"/>
      <c r="BQ23" s="1085"/>
      <c r="BR23" s="1085"/>
      <c r="BS23" s="1085"/>
      <c r="BT23" s="1"/>
    </row>
    <row r="24" spans="1:72" ht="15" thickBot="1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123"/>
      <c r="L24" s="1872"/>
      <c r="M24" s="1113"/>
      <c r="N24" s="1118"/>
      <c r="O24" s="1118"/>
      <c r="P24" s="1118"/>
      <c r="Q24" s="1118"/>
      <c r="R24" s="1124"/>
      <c r="S24" s="1125"/>
      <c r="Z24" s="1085"/>
      <c r="AA24" s="1085"/>
      <c r="AB24" s="1085"/>
      <c r="AC24" s="1085"/>
      <c r="AD24" s="1085"/>
      <c r="AE24" s="1085"/>
      <c r="AF24" s="1085"/>
      <c r="AG24" s="1085"/>
      <c r="AH24" s="1085"/>
      <c r="AI24" s="1085"/>
      <c r="AJ24" s="1085"/>
      <c r="AK24" s="1085"/>
      <c r="AL24" s="1085"/>
      <c r="AM24" s="1085"/>
      <c r="AN24" s="1085"/>
      <c r="AO24" s="1085"/>
      <c r="AP24" s="1085"/>
      <c r="AQ24" s="1085"/>
      <c r="AR24" s="1085"/>
      <c r="AS24" s="1085"/>
      <c r="AT24" s="1085"/>
      <c r="AU24" s="1085"/>
      <c r="AV24" s="1085"/>
      <c r="AW24" s="1085"/>
      <c r="AX24" s="1085"/>
      <c r="AY24" s="1085"/>
      <c r="AZ24" s="1085"/>
      <c r="BA24" s="1085"/>
      <c r="BB24" s="1085"/>
      <c r="BC24" s="1085"/>
      <c r="BD24" s="1085"/>
      <c r="BE24" s="1085"/>
      <c r="BF24" s="1085"/>
      <c r="BG24" s="1085"/>
      <c r="BH24" s="1085"/>
      <c r="BI24" s="1085"/>
      <c r="BJ24" s="1085"/>
      <c r="BK24" s="1085"/>
      <c r="BL24" s="1085"/>
      <c r="BM24" s="1085"/>
      <c r="BN24" s="1085"/>
      <c r="BO24" s="1085"/>
      <c r="BP24" s="1085"/>
      <c r="BQ24" s="1085"/>
      <c r="BR24" s="1085"/>
      <c r="BS24" s="1085"/>
      <c r="BT24" s="1"/>
    </row>
    <row r="25" spans="1:72" ht="18.600000000000001" thickBot="1" x14ac:dyDescent="0.4">
      <c r="A25" s="95"/>
      <c r="B25" s="95"/>
      <c r="C25" s="95"/>
      <c r="D25" s="95"/>
      <c r="E25" s="95"/>
      <c r="F25" s="1"/>
      <c r="G25" s="1"/>
      <c r="H25" s="1"/>
      <c r="I25" s="1"/>
      <c r="J25" s="1"/>
      <c r="K25" s="1130" t="s">
        <v>18</v>
      </c>
      <c r="L25" s="1111">
        <f>SUM(L16:L21)</f>
        <v>0</v>
      </c>
      <c r="M25" s="1111">
        <f>SUM(M16:M21)</f>
        <v>0</v>
      </c>
      <c r="N25" s="1111">
        <f t="shared" ref="N25:S25" si="4">SUM(N16:N24)</f>
        <v>2000</v>
      </c>
      <c r="O25" s="1111">
        <f t="shared" si="4"/>
        <v>0</v>
      </c>
      <c r="P25" s="1111">
        <f t="shared" si="4"/>
        <v>0</v>
      </c>
      <c r="Q25" s="1111">
        <f t="shared" si="4"/>
        <v>0</v>
      </c>
      <c r="R25" s="1111">
        <f t="shared" si="4"/>
        <v>0</v>
      </c>
      <c r="S25" s="1111">
        <f t="shared" si="4"/>
        <v>0</v>
      </c>
      <c r="T25" s="1222"/>
      <c r="U25" s="1222"/>
      <c r="V25" s="1222"/>
      <c r="W25" s="1222"/>
      <c r="X25" s="1222"/>
      <c r="Y25" s="1222"/>
      <c r="Z25" s="1085"/>
      <c r="AA25" s="1085"/>
      <c r="AB25" s="1085"/>
      <c r="AC25" s="1085"/>
      <c r="AD25" s="1085"/>
      <c r="AE25" s="1085"/>
      <c r="AF25" s="1085"/>
      <c r="AG25" s="1085"/>
      <c r="AH25" s="1085"/>
      <c r="AI25" s="1085"/>
      <c r="AJ25" s="1085"/>
      <c r="AK25" s="1085"/>
      <c r="AL25" s="1085"/>
      <c r="AM25" s="1085"/>
      <c r="AN25" s="1085"/>
      <c r="AO25" s="1085"/>
      <c r="AP25" s="1085"/>
      <c r="AQ25" s="1085"/>
      <c r="AR25" s="1085"/>
      <c r="AS25" s="1085"/>
      <c r="AT25" s="1085"/>
      <c r="AU25" s="1085"/>
      <c r="AV25" s="1085"/>
      <c r="AW25" s="1085"/>
      <c r="AX25" s="1085"/>
      <c r="AY25" s="1085"/>
      <c r="AZ25" s="1085"/>
      <c r="BA25" s="1085"/>
      <c r="BB25" s="1085"/>
      <c r="BC25" s="1085"/>
      <c r="BD25" s="1085"/>
      <c r="BE25" s="1085"/>
      <c r="BF25" s="1085"/>
      <c r="BG25" s="1085"/>
      <c r="BH25" s="1085"/>
      <c r="BI25" s="1085"/>
      <c r="BJ25" s="1085"/>
      <c r="BK25" s="1085"/>
      <c r="BL25" s="1085"/>
      <c r="BM25" s="1085"/>
      <c r="BN25" s="1085"/>
      <c r="BO25" s="1085"/>
      <c r="BP25" s="1085"/>
      <c r="BQ25" s="1085"/>
      <c r="BR25" s="1085"/>
      <c r="BS25" s="1085"/>
      <c r="BT25" s="1"/>
    </row>
    <row r="26" spans="1:72" ht="16.2" thickBot="1" x14ac:dyDescent="0.35">
      <c r="A26" s="96" t="s">
        <v>28</v>
      </c>
      <c r="B26" s="4"/>
      <c r="C26" s="5"/>
      <c r="D26" s="1"/>
      <c r="E26" s="97"/>
      <c r="F26" s="98"/>
      <c r="G26" s="1"/>
      <c r="H26" s="1"/>
      <c r="I26" s="1"/>
      <c r="J26" s="1"/>
      <c r="K26" s="1085"/>
      <c r="L26" s="1085"/>
      <c r="M26" s="1085"/>
      <c r="N26" s="1085"/>
      <c r="O26" s="1085"/>
      <c r="P26" s="1085"/>
      <c r="Q26" s="1085"/>
      <c r="R26" s="1085"/>
      <c r="S26" s="1085"/>
      <c r="T26" s="1085"/>
      <c r="U26" s="1085"/>
      <c r="V26" s="1085"/>
      <c r="W26" s="1085"/>
      <c r="X26" s="1085"/>
      <c r="Y26" s="1085"/>
      <c r="Z26" s="1085"/>
      <c r="AA26" s="1133"/>
      <c r="AB26" s="1085"/>
      <c r="AC26" s="1085"/>
      <c r="AD26" s="1085"/>
      <c r="AE26" s="1133"/>
      <c r="AF26" s="1145"/>
      <c r="AG26" s="1085"/>
      <c r="AH26" s="1085"/>
      <c r="AI26" s="1085"/>
      <c r="AJ26" s="1085"/>
      <c r="AK26" s="1085"/>
      <c r="AL26" s="1085"/>
      <c r="AM26" s="1085"/>
      <c r="AN26" s="1133"/>
      <c r="AO26" s="1085"/>
      <c r="AP26" s="1085"/>
      <c r="AQ26" s="1085"/>
      <c r="AR26" s="1085"/>
      <c r="AS26" s="1085"/>
      <c r="AT26" s="1085"/>
      <c r="AU26" s="1085"/>
      <c r="AV26" s="1085"/>
      <c r="AW26" s="1085"/>
      <c r="AX26" s="1085"/>
      <c r="AY26" s="1085"/>
      <c r="AZ26" s="1085"/>
      <c r="BA26" s="1085"/>
      <c r="BB26" s="1085"/>
      <c r="BC26" s="1085"/>
      <c r="BD26" s="1085"/>
      <c r="BE26" s="1133"/>
      <c r="BF26" s="1133"/>
      <c r="BG26" s="1085"/>
      <c r="BH26" s="1085"/>
      <c r="BI26" s="1085"/>
      <c r="BJ26" s="1085"/>
      <c r="BK26" s="1085"/>
      <c r="BL26" s="1133"/>
      <c r="BM26" s="1085"/>
      <c r="BN26" s="1085"/>
      <c r="BO26" s="1085"/>
      <c r="BP26" s="1085"/>
      <c r="BQ26" s="1085"/>
      <c r="BR26" s="1085"/>
      <c r="BS26" s="1"/>
    </row>
    <row r="27" spans="1:72" ht="16.8" thickTop="1" thickBot="1" x14ac:dyDescent="0.35">
      <c r="A27" s="99" t="s">
        <v>29</v>
      </c>
      <c r="B27" s="100" t="s">
        <v>30</v>
      </c>
      <c r="C27" s="101" t="s">
        <v>31</v>
      </c>
      <c r="D27" s="102" t="s">
        <v>2</v>
      </c>
      <c r="E27" s="103" t="s">
        <v>32</v>
      </c>
      <c r="F27" s="104" t="s">
        <v>33</v>
      </c>
      <c r="G27" s="105" t="s">
        <v>34</v>
      </c>
      <c r="H27" s="827" t="s">
        <v>35</v>
      </c>
      <c r="I27" s="811" t="s">
        <v>36</v>
      </c>
      <c r="J27" s="811" t="s">
        <v>37</v>
      </c>
      <c r="K27" s="1146" t="s">
        <v>38</v>
      </c>
      <c r="L27" s="1147" t="s">
        <v>39</v>
      </c>
      <c r="M27" s="1147" t="s">
        <v>40</v>
      </c>
      <c r="N27" s="1147" t="s">
        <v>41</v>
      </c>
      <c r="O27" s="1147" t="s">
        <v>42</v>
      </c>
      <c r="P27" s="1147" t="s">
        <v>43</v>
      </c>
      <c r="Q27" s="1148" t="s">
        <v>44</v>
      </c>
      <c r="R27" s="1147" t="s">
        <v>38</v>
      </c>
      <c r="S27" s="1148" t="s">
        <v>45</v>
      </c>
      <c r="T27" s="1740" t="s">
        <v>67</v>
      </c>
      <c r="U27" s="1739" t="s">
        <v>68</v>
      </c>
      <c r="V27" s="1736" t="s">
        <v>69</v>
      </c>
      <c r="W27" s="1736" t="s">
        <v>456</v>
      </c>
      <c r="X27" s="1736" t="s">
        <v>9</v>
      </c>
      <c r="Y27" s="1737" t="s">
        <v>9</v>
      </c>
      <c r="Z27" s="1149" t="s">
        <v>46</v>
      </c>
      <c r="AA27" s="1149" t="s">
        <v>47</v>
      </c>
      <c r="AB27" s="1150" t="s">
        <v>48</v>
      </c>
      <c r="AC27" s="1150" t="s">
        <v>308</v>
      </c>
      <c r="AD27" s="1150" t="s">
        <v>3</v>
      </c>
      <c r="AE27" s="1151" t="s">
        <v>3</v>
      </c>
      <c r="AF27" s="1152" t="s">
        <v>49</v>
      </c>
      <c r="AG27" s="1153" t="s">
        <v>50</v>
      </c>
      <c r="AH27" s="1154" t="s">
        <v>282</v>
      </c>
      <c r="AI27" s="1152" t="s">
        <v>349</v>
      </c>
      <c r="AJ27" s="1155"/>
      <c r="AK27" s="1156" t="s">
        <v>51</v>
      </c>
      <c r="AL27" s="1157" t="s">
        <v>52</v>
      </c>
      <c r="AM27" s="1158" t="s">
        <v>53</v>
      </c>
      <c r="AN27" s="1159" t="s">
        <v>54</v>
      </c>
      <c r="AO27" s="1160" t="s">
        <v>350</v>
      </c>
      <c r="AP27" s="1152" t="s">
        <v>5</v>
      </c>
      <c r="AQ27" s="1161" t="s">
        <v>55</v>
      </c>
      <c r="AR27" s="1162" t="s">
        <v>56</v>
      </c>
      <c r="AS27" s="1153" t="s">
        <v>57</v>
      </c>
      <c r="AT27" s="1154" t="s">
        <v>58</v>
      </c>
      <c r="AU27" s="1152" t="s">
        <v>351</v>
      </c>
      <c r="AV27" s="1152" t="s">
        <v>59</v>
      </c>
      <c r="AW27" s="1152" t="s">
        <v>59</v>
      </c>
      <c r="AX27" s="1157" t="s">
        <v>60</v>
      </c>
      <c r="AY27" s="1152" t="s">
        <v>61</v>
      </c>
      <c r="AZ27" s="1154" t="s">
        <v>62</v>
      </c>
      <c r="BA27" s="1152" t="s">
        <v>352</v>
      </c>
      <c r="BB27" s="1156" t="s">
        <v>7</v>
      </c>
      <c r="BC27" s="1156" t="s">
        <v>7</v>
      </c>
      <c r="BD27" s="1157" t="s">
        <v>64</v>
      </c>
      <c r="BE27" s="1153" t="s">
        <v>65</v>
      </c>
      <c r="BF27" s="1154" t="s">
        <v>66</v>
      </c>
      <c r="BG27" s="1152" t="s">
        <v>353</v>
      </c>
      <c r="BH27" s="1163" t="s">
        <v>8</v>
      </c>
      <c r="BI27" s="1156" t="s">
        <v>8</v>
      </c>
      <c r="BJ27" s="1157" t="s">
        <v>67</v>
      </c>
      <c r="BK27" s="1152" t="s">
        <v>68</v>
      </c>
      <c r="BL27" s="1154" t="s">
        <v>69</v>
      </c>
      <c r="BM27" s="1152" t="s">
        <v>354</v>
      </c>
      <c r="BN27" s="1164" t="s">
        <v>9</v>
      </c>
      <c r="BO27" s="1164" t="s">
        <v>9</v>
      </c>
      <c r="BP27" s="1165" t="s">
        <v>70</v>
      </c>
      <c r="BQ27" s="1166" t="s">
        <v>71</v>
      </c>
      <c r="BR27" s="1156" t="s">
        <v>72</v>
      </c>
      <c r="BS27" s="1"/>
    </row>
    <row r="28" spans="1:72" x14ac:dyDescent="0.3">
      <c r="A28" s="112"/>
      <c r="B28" s="113" t="s">
        <v>73</v>
      </c>
      <c r="C28" s="114" t="s">
        <v>441</v>
      </c>
      <c r="D28" s="115" t="s">
        <v>11</v>
      </c>
      <c r="E28" s="116">
        <v>2.5</v>
      </c>
      <c r="F28" s="116">
        <f>(BR28/G28)/4</f>
        <v>0</v>
      </c>
      <c r="G28" s="19">
        <v>194</v>
      </c>
      <c r="H28" s="828">
        <f>G28*E28</f>
        <v>485</v>
      </c>
      <c r="I28" s="848">
        <v>8000</v>
      </c>
      <c r="J28" s="848">
        <v>2000</v>
      </c>
      <c r="K28" s="1964">
        <v>4515</v>
      </c>
      <c r="L28" s="1168">
        <f t="shared" ref="K28:S41" si="5">K28-$H28</f>
        <v>4030</v>
      </c>
      <c r="M28" s="1167">
        <f t="shared" si="5"/>
        <v>3545</v>
      </c>
      <c r="N28" s="1167">
        <f t="shared" si="5"/>
        <v>3060</v>
      </c>
      <c r="O28" s="1167">
        <f t="shared" si="5"/>
        <v>2575</v>
      </c>
      <c r="P28" s="1169">
        <f t="shared" si="5"/>
        <v>2090</v>
      </c>
      <c r="Q28" s="1167">
        <f t="shared" si="5"/>
        <v>1605</v>
      </c>
      <c r="R28" s="1169">
        <f t="shared" si="5"/>
        <v>1120</v>
      </c>
      <c r="S28" s="1170">
        <f t="shared" si="5"/>
        <v>635</v>
      </c>
      <c r="T28" s="1844">
        <v>3000</v>
      </c>
      <c r="U28" s="1362"/>
      <c r="V28" s="1224"/>
      <c r="W28" s="1362"/>
      <c r="X28" s="1224"/>
      <c r="Y28" s="1899"/>
      <c r="Z28" s="1172"/>
      <c r="AA28" s="1172"/>
      <c r="AB28" s="1091"/>
      <c r="AC28" s="1173"/>
      <c r="AD28" s="1174"/>
      <c r="AE28" s="1175"/>
      <c r="AF28" s="1176"/>
      <c r="AG28" s="1177"/>
      <c r="AH28" s="1178"/>
      <c r="AI28" s="1179"/>
      <c r="AJ28" s="1180"/>
      <c r="AK28" s="1181"/>
      <c r="AL28" s="1182"/>
      <c r="AM28" s="1096"/>
      <c r="AN28" s="1097"/>
      <c r="AO28" s="1183"/>
      <c r="AP28" s="1184"/>
      <c r="AQ28" s="1185"/>
      <c r="AR28" s="1186"/>
      <c r="AS28" s="1177"/>
      <c r="AT28" s="1178"/>
      <c r="AU28" s="1179"/>
      <c r="AV28" s="1180"/>
      <c r="AW28" s="1180"/>
      <c r="AX28" s="1171"/>
      <c r="AY28" s="1095"/>
      <c r="AZ28" s="1098"/>
      <c r="BA28" s="1187"/>
      <c r="BB28" s="1184"/>
      <c r="BC28" s="1181"/>
      <c r="BD28" s="1188"/>
      <c r="BE28" s="1177"/>
      <c r="BF28" s="1189"/>
      <c r="BG28" s="1179"/>
      <c r="BH28" s="1180"/>
      <c r="BI28" s="1181"/>
      <c r="BJ28" s="1188"/>
      <c r="BK28" s="1176"/>
      <c r="BL28" s="1189"/>
      <c r="BM28" s="1179"/>
      <c r="BN28" s="1180"/>
      <c r="BO28" s="1190"/>
      <c r="BP28" s="1191"/>
      <c r="BQ28" s="1191"/>
      <c r="BR28" s="1191">
        <f>BP28-BQ28</f>
        <v>0</v>
      </c>
      <c r="BS28" s="1"/>
      <c r="BT28" s="1192">
        <f t="shared" ref="BT28:BT41" si="6">SUM(Z28:BO28)</f>
        <v>0</v>
      </c>
    </row>
    <row r="29" spans="1:72" x14ac:dyDescent="0.3">
      <c r="A29" s="132"/>
      <c r="B29" s="133" t="s">
        <v>74</v>
      </c>
      <c r="C29" s="134" t="s">
        <v>442</v>
      </c>
      <c r="D29" s="135" t="s">
        <v>11</v>
      </c>
      <c r="E29" s="136">
        <v>3</v>
      </c>
      <c r="F29" s="136">
        <f t="shared" ref="F29:F41" si="7">(BR29/G29)/7</f>
        <v>0</v>
      </c>
      <c r="G29" s="137">
        <v>281</v>
      </c>
      <c r="H29" s="269">
        <f t="shared" ref="H29:H41" si="8">G29*E29</f>
        <v>843</v>
      </c>
      <c r="I29" s="375">
        <v>8000</v>
      </c>
      <c r="J29" s="375">
        <v>3500</v>
      </c>
      <c r="K29" s="1955">
        <v>6657</v>
      </c>
      <c r="L29" s="1194">
        <f t="shared" si="5"/>
        <v>5814</v>
      </c>
      <c r="M29" s="1193">
        <f t="shared" si="5"/>
        <v>4971</v>
      </c>
      <c r="N29" s="1194">
        <f t="shared" si="5"/>
        <v>4128</v>
      </c>
      <c r="O29" s="1193">
        <f t="shared" si="5"/>
        <v>3285</v>
      </c>
      <c r="P29" s="1194">
        <f t="shared" si="5"/>
        <v>2442</v>
      </c>
      <c r="Q29" s="1194">
        <f t="shared" si="5"/>
        <v>1599</v>
      </c>
      <c r="R29" s="1194">
        <f t="shared" si="5"/>
        <v>756</v>
      </c>
      <c r="S29" s="1195">
        <f t="shared" si="5"/>
        <v>-87</v>
      </c>
      <c r="T29" s="1840">
        <v>4000</v>
      </c>
      <c r="U29" s="1104"/>
      <c r="V29" s="1195"/>
      <c r="W29" s="1104"/>
      <c r="X29" s="1195"/>
      <c r="Y29" s="1897"/>
      <c r="Z29" s="1103"/>
      <c r="AA29" s="1103"/>
      <c r="AB29" s="1104"/>
      <c r="AC29" s="1114"/>
      <c r="AD29" s="1196"/>
      <c r="AE29" s="1197"/>
      <c r="AF29" s="1198"/>
      <c r="AG29" s="1199"/>
      <c r="AH29" s="1200"/>
      <c r="AI29" s="1201"/>
      <c r="AJ29" s="1202"/>
      <c r="AK29" s="1203"/>
      <c r="AL29" s="1204"/>
      <c r="AM29" s="1104"/>
      <c r="AN29" s="1205"/>
      <c r="AO29" s="1114"/>
      <c r="AP29" s="1206"/>
      <c r="AQ29" s="1207"/>
      <c r="AR29" s="1208"/>
      <c r="AS29" s="1199"/>
      <c r="AT29" s="1200"/>
      <c r="AU29" s="1201"/>
      <c r="AV29" s="1202"/>
      <c r="AW29" s="1202"/>
      <c r="AX29" s="1204"/>
      <c r="AY29" s="1103"/>
      <c r="AZ29" s="1209"/>
      <c r="BA29" s="1113"/>
      <c r="BB29" s="1206"/>
      <c r="BC29" s="1203"/>
      <c r="BD29" s="1210"/>
      <c r="BE29" s="1199"/>
      <c r="BF29" s="1200"/>
      <c r="BG29" s="1201"/>
      <c r="BH29" s="1202"/>
      <c r="BI29" s="1203"/>
      <c r="BJ29" s="1210"/>
      <c r="BK29" s="1198"/>
      <c r="BL29" s="1200"/>
      <c r="BM29" s="1201"/>
      <c r="BN29" s="1202"/>
      <c r="BO29" s="1211"/>
      <c r="BP29" s="1212"/>
      <c r="BQ29" s="1212"/>
      <c r="BR29" s="1212">
        <f>BP29-BQ29</f>
        <v>0</v>
      </c>
      <c r="BS29" s="1"/>
      <c r="BT29" s="1192">
        <f t="shared" si="6"/>
        <v>0</v>
      </c>
    </row>
    <row r="30" spans="1:72" x14ac:dyDescent="0.3">
      <c r="A30" s="143" t="s">
        <v>75</v>
      </c>
      <c r="B30" s="153" t="s">
        <v>76</v>
      </c>
      <c r="C30" s="134" t="s">
        <v>443</v>
      </c>
      <c r="D30" s="135" t="s">
        <v>11</v>
      </c>
      <c r="E30" s="136">
        <v>2.8</v>
      </c>
      <c r="F30" s="136">
        <f t="shared" si="7"/>
        <v>0</v>
      </c>
      <c r="G30" s="137">
        <v>377</v>
      </c>
      <c r="H30" s="269">
        <f t="shared" si="8"/>
        <v>1055.5999999999999</v>
      </c>
      <c r="I30" s="375">
        <v>8000</v>
      </c>
      <c r="J30" s="385">
        <v>3000</v>
      </c>
      <c r="K30" s="1955">
        <v>8944</v>
      </c>
      <c r="L30" s="1193">
        <f t="shared" si="5"/>
        <v>7888.4</v>
      </c>
      <c r="M30" s="1193">
        <f t="shared" si="5"/>
        <v>6832.7999999999993</v>
      </c>
      <c r="N30" s="1194">
        <f t="shared" si="5"/>
        <v>5777.1999999999989</v>
      </c>
      <c r="O30" s="1193">
        <f t="shared" si="5"/>
        <v>4721.5999999999985</v>
      </c>
      <c r="P30" s="1194">
        <f t="shared" si="5"/>
        <v>3665.9999999999986</v>
      </c>
      <c r="Q30" s="1193">
        <f t="shared" si="5"/>
        <v>2610.3999999999987</v>
      </c>
      <c r="R30" s="1194">
        <f t="shared" si="5"/>
        <v>1554.7999999999988</v>
      </c>
      <c r="S30" s="1195">
        <f t="shared" si="5"/>
        <v>499.19999999999891</v>
      </c>
      <c r="T30" s="1840">
        <v>7000</v>
      </c>
      <c r="U30" s="1104"/>
      <c r="V30" s="1195"/>
      <c r="W30" s="1104"/>
      <c r="X30" s="1195"/>
      <c r="Y30" s="1897"/>
      <c r="Z30" s="1103"/>
      <c r="AA30" s="1103"/>
      <c r="AB30" s="1104"/>
      <c r="AC30" s="1114"/>
      <c r="AD30" s="1196"/>
      <c r="AE30" s="1197"/>
      <c r="AF30" s="1198"/>
      <c r="AG30" s="1199"/>
      <c r="AH30" s="1200"/>
      <c r="AI30" s="1201"/>
      <c r="AJ30" s="1202"/>
      <c r="AK30" s="1203"/>
      <c r="AL30" s="1204"/>
      <c r="AM30" s="1104"/>
      <c r="AN30" s="1205"/>
      <c r="AO30" s="1114"/>
      <c r="AP30" s="1206"/>
      <c r="AQ30" s="1207"/>
      <c r="AR30" s="1208"/>
      <c r="AS30" s="1199"/>
      <c r="AT30" s="1200"/>
      <c r="AU30" s="1201"/>
      <c r="AV30" s="1202"/>
      <c r="AW30" s="1202"/>
      <c r="AX30" s="1210"/>
      <c r="AY30" s="1103"/>
      <c r="AZ30" s="1209"/>
      <c r="BA30" s="1113"/>
      <c r="BB30" s="1206"/>
      <c r="BC30" s="1203"/>
      <c r="BD30" s="1210"/>
      <c r="BE30" s="1199"/>
      <c r="BF30" s="1200"/>
      <c r="BG30" s="1201"/>
      <c r="BH30" s="1202"/>
      <c r="BI30" s="1207"/>
      <c r="BJ30" s="1210"/>
      <c r="BK30" s="1198"/>
      <c r="BL30" s="1200"/>
      <c r="BM30" s="1201"/>
      <c r="BN30" s="1202"/>
      <c r="BO30" s="1211"/>
      <c r="BP30" s="1213"/>
      <c r="BQ30" s="1213"/>
      <c r="BR30" s="1213">
        <f>BP30-BQ30</f>
        <v>0</v>
      </c>
      <c r="BS30" s="1"/>
      <c r="BT30" s="1192">
        <f t="shared" si="6"/>
        <v>0</v>
      </c>
    </row>
    <row r="31" spans="1:72" x14ac:dyDescent="0.3">
      <c r="A31" s="143"/>
      <c r="B31" s="862" t="s">
        <v>479</v>
      </c>
      <c r="C31" s="134"/>
      <c r="D31" s="138" t="s">
        <v>11</v>
      </c>
      <c r="E31" s="136">
        <v>2.5</v>
      </c>
      <c r="F31" s="155">
        <f t="shared" si="7"/>
        <v>0</v>
      </c>
      <c r="G31" s="156">
        <v>385</v>
      </c>
      <c r="H31" s="299">
        <f t="shared" si="8"/>
        <v>962.5</v>
      </c>
      <c r="I31" s="362">
        <v>8000</v>
      </c>
      <c r="J31" s="375">
        <v>3000</v>
      </c>
      <c r="K31" s="1193">
        <f t="shared" si="5"/>
        <v>2037.5</v>
      </c>
      <c r="L31" s="1194">
        <f t="shared" si="5"/>
        <v>1075</v>
      </c>
      <c r="M31" s="1193">
        <f t="shared" si="5"/>
        <v>112.5</v>
      </c>
      <c r="N31" s="1954">
        <v>7000</v>
      </c>
      <c r="O31" s="1193">
        <f t="shared" si="5"/>
        <v>6037.5</v>
      </c>
      <c r="P31" s="1194">
        <f t="shared" si="5"/>
        <v>5075</v>
      </c>
      <c r="Q31" s="1193">
        <f t="shared" si="5"/>
        <v>4112.5</v>
      </c>
      <c r="R31" s="1194">
        <f t="shared" si="5"/>
        <v>3150</v>
      </c>
      <c r="S31" s="1195">
        <f>(R31-$H31)+AO31</f>
        <v>2187.5</v>
      </c>
      <c r="T31" s="1841"/>
      <c r="U31" s="1096"/>
      <c r="V31" s="1287"/>
      <c r="W31" s="1096"/>
      <c r="X31" s="1287"/>
      <c r="Y31" s="1898"/>
      <c r="Z31" s="1095">
        <v>7000</v>
      </c>
      <c r="AA31" s="1095"/>
      <c r="AB31" s="1096"/>
      <c r="AC31" s="1183"/>
      <c r="AD31" s="1214"/>
      <c r="AE31" s="1215"/>
      <c r="AF31" s="1176"/>
      <c r="AG31" s="1177"/>
      <c r="AH31" s="1189"/>
      <c r="AI31" s="1179"/>
      <c r="AJ31" s="1180"/>
      <c r="AK31" s="1181"/>
      <c r="AL31" s="1216"/>
      <c r="AM31" s="1096"/>
      <c r="AN31" s="1097"/>
      <c r="AO31" s="1183"/>
      <c r="AP31" s="1184"/>
      <c r="AQ31" s="1185"/>
      <c r="AR31" s="1186"/>
      <c r="AS31" s="1177"/>
      <c r="AT31" s="1189"/>
      <c r="AU31" s="1179"/>
      <c r="AV31" s="1180"/>
      <c r="AW31" s="1180"/>
      <c r="AX31" s="1188"/>
      <c r="AY31" s="1095"/>
      <c r="AZ31" s="1098"/>
      <c r="BA31" s="1187"/>
      <c r="BB31" s="1184"/>
      <c r="BC31" s="1181"/>
      <c r="BD31" s="1188"/>
      <c r="BE31" s="1177"/>
      <c r="BF31" s="1189"/>
      <c r="BG31" s="1179"/>
      <c r="BH31" s="1180"/>
      <c r="BI31" s="1181"/>
      <c r="BJ31" s="1188"/>
      <c r="BK31" s="1176"/>
      <c r="BL31" s="1189"/>
      <c r="BM31" s="1179"/>
      <c r="BN31" s="1180"/>
      <c r="BO31" s="1190"/>
      <c r="BP31" s="1217"/>
      <c r="BQ31" s="1217"/>
      <c r="BR31" s="1217"/>
      <c r="BS31" s="1"/>
      <c r="BT31" s="1192">
        <f t="shared" si="6"/>
        <v>7000</v>
      </c>
    </row>
    <row r="32" spans="1:72" x14ac:dyDescent="0.3">
      <c r="A32" s="130"/>
      <c r="B32" s="863"/>
      <c r="C32" s="161"/>
      <c r="D32" s="135" t="s">
        <v>11</v>
      </c>
      <c r="E32" s="136">
        <v>3</v>
      </c>
      <c r="F32" s="136" t="e">
        <f t="shared" si="7"/>
        <v>#DIV/0!</v>
      </c>
      <c r="G32" s="137"/>
      <c r="H32" s="269">
        <f t="shared" si="8"/>
        <v>0</v>
      </c>
      <c r="I32" s="375"/>
      <c r="J32" s="375"/>
      <c r="K32" s="1193">
        <f t="shared" si="5"/>
        <v>0</v>
      </c>
      <c r="L32" s="1194">
        <f t="shared" si="5"/>
        <v>0</v>
      </c>
      <c r="M32" s="1193">
        <f t="shared" si="5"/>
        <v>0</v>
      </c>
      <c r="N32" s="1194">
        <f t="shared" si="5"/>
        <v>0</v>
      </c>
      <c r="O32" s="1193">
        <f t="shared" si="5"/>
        <v>0</v>
      </c>
      <c r="P32" s="1194">
        <f t="shared" si="5"/>
        <v>0</v>
      </c>
      <c r="Q32" s="1193">
        <f t="shared" si="5"/>
        <v>0</v>
      </c>
      <c r="R32" s="1194">
        <f t="shared" si="5"/>
        <v>0</v>
      </c>
      <c r="S32" s="1195">
        <f>(R32-$H32)</f>
        <v>0</v>
      </c>
      <c r="T32" s="1843"/>
      <c r="U32" s="1219"/>
      <c r="V32" s="1281"/>
      <c r="W32" s="1219"/>
      <c r="X32" s="1281"/>
      <c r="Y32" s="1896"/>
      <c r="Z32" s="1218"/>
      <c r="AA32" s="1218"/>
      <c r="AB32" s="1219"/>
      <c r="AC32" s="1220"/>
      <c r="AD32" s="1221"/>
      <c r="AE32" s="1197"/>
      <c r="AF32" s="1198"/>
      <c r="AG32" s="1199"/>
      <c r="AH32" s="1200"/>
      <c r="AI32" s="1201"/>
      <c r="AJ32" s="1202"/>
      <c r="AK32" s="1203"/>
      <c r="AL32" s="1204"/>
      <c r="AM32" s="1104"/>
      <c r="AN32" s="1205"/>
      <c r="AO32" s="1114"/>
      <c r="AP32" s="1206"/>
      <c r="AQ32" s="1207"/>
      <c r="AR32" s="1208"/>
      <c r="AS32" s="1199"/>
      <c r="AT32" s="1200"/>
      <c r="AU32" s="1201"/>
      <c r="AV32" s="1202"/>
      <c r="AW32" s="1202"/>
      <c r="AX32" s="1210"/>
      <c r="AY32" s="1103"/>
      <c r="AZ32" s="1209"/>
      <c r="BA32" s="1113"/>
      <c r="BB32" s="1206"/>
      <c r="BC32" s="1203"/>
      <c r="BD32" s="1210"/>
      <c r="BE32" s="1199"/>
      <c r="BF32" s="1200"/>
      <c r="BG32" s="1201"/>
      <c r="BH32" s="1202"/>
      <c r="BI32" s="1207"/>
      <c r="BJ32" s="1210"/>
      <c r="BK32" s="1198"/>
      <c r="BL32" s="1200"/>
      <c r="BM32" s="1201"/>
      <c r="BN32" s="1202"/>
      <c r="BO32" s="1211"/>
      <c r="BP32" s="1217"/>
      <c r="BQ32" s="1217"/>
      <c r="BR32" s="1217"/>
      <c r="BS32" s="1"/>
      <c r="BT32" s="1192">
        <f t="shared" si="6"/>
        <v>0</v>
      </c>
    </row>
    <row r="33" spans="1:72" ht="15" thickBot="1" x14ac:dyDescent="0.35">
      <c r="A33" s="297"/>
      <c r="B33" s="621"/>
      <c r="C33" s="621"/>
      <c r="D33" s="237" t="s">
        <v>11</v>
      </c>
      <c r="E33" s="622">
        <v>3</v>
      </c>
      <c r="F33" s="622" t="e">
        <f t="shared" si="7"/>
        <v>#DIV/0!</v>
      </c>
      <c r="G33" s="192"/>
      <c r="H33" s="300">
        <f t="shared" si="8"/>
        <v>0</v>
      </c>
      <c r="I33" s="386"/>
      <c r="J33" s="386"/>
      <c r="K33" s="1222">
        <f t="shared" si="5"/>
        <v>0</v>
      </c>
      <c r="L33" s="1223">
        <f t="shared" si="5"/>
        <v>0</v>
      </c>
      <c r="M33" s="1222">
        <f t="shared" si="5"/>
        <v>0</v>
      </c>
      <c r="N33" s="1223">
        <f t="shared" si="5"/>
        <v>0</v>
      </c>
      <c r="O33" s="1222">
        <f t="shared" si="5"/>
        <v>0</v>
      </c>
      <c r="P33" s="1223">
        <f t="shared" si="5"/>
        <v>0</v>
      </c>
      <c r="Q33" s="1222">
        <f t="shared" si="5"/>
        <v>0</v>
      </c>
      <c r="R33" s="1223">
        <f t="shared" si="5"/>
        <v>0</v>
      </c>
      <c r="S33" s="1224">
        <f>(R33-$H33)</f>
        <v>0</v>
      </c>
      <c r="T33" s="1844"/>
      <c r="U33" s="1362"/>
      <c r="V33" s="1224"/>
      <c r="W33" s="1362"/>
      <c r="X33" s="1224"/>
      <c r="Y33" s="1899"/>
      <c r="Z33" s="1218"/>
      <c r="AA33" s="1218"/>
      <c r="AB33" s="1219"/>
      <c r="AC33" s="1220"/>
      <c r="AD33" s="1221"/>
      <c r="AE33" s="1225"/>
      <c r="AF33" s="1226"/>
      <c r="AG33" s="1227"/>
      <c r="AH33" s="1228"/>
      <c r="AI33" s="1229"/>
      <c r="AJ33" s="1230"/>
      <c r="AK33" s="1231"/>
      <c r="AL33" s="1232"/>
      <c r="AM33" s="1219"/>
      <c r="AN33" s="1233"/>
      <c r="AO33" s="1220"/>
      <c r="AP33" s="1234"/>
      <c r="AQ33" s="1235"/>
      <c r="AR33" s="1236"/>
      <c r="AS33" s="1227"/>
      <c r="AT33" s="1228"/>
      <c r="AU33" s="1229"/>
      <c r="AV33" s="1230"/>
      <c r="AW33" s="1230"/>
      <c r="AX33" s="1237"/>
      <c r="AY33" s="1218"/>
      <c r="AZ33" s="1238"/>
      <c r="BA33" s="1239"/>
      <c r="BB33" s="1234"/>
      <c r="BC33" s="1231"/>
      <c r="BD33" s="1237"/>
      <c r="BE33" s="1227"/>
      <c r="BF33" s="1228"/>
      <c r="BG33" s="1229"/>
      <c r="BH33" s="1230"/>
      <c r="BI33" s="1231"/>
      <c r="BJ33" s="1237"/>
      <c r="BK33" s="1226"/>
      <c r="BL33" s="1228"/>
      <c r="BM33" s="1229"/>
      <c r="BN33" s="1230"/>
      <c r="BO33" s="1240"/>
      <c r="BP33" s="1212"/>
      <c r="BQ33" s="1241"/>
      <c r="BR33" s="1212"/>
      <c r="BS33" s="1"/>
      <c r="BT33" s="1192">
        <f t="shared" si="6"/>
        <v>0</v>
      </c>
    </row>
    <row r="34" spans="1:72" s="7" customFormat="1" ht="18" x14ac:dyDescent="0.35">
      <c r="A34" s="923"/>
      <c r="B34" s="924" t="s">
        <v>77</v>
      </c>
      <c r="C34" s="926"/>
      <c r="D34" s="933" t="s">
        <v>78</v>
      </c>
      <c r="E34" s="928">
        <v>6</v>
      </c>
      <c r="F34" s="1015">
        <f t="shared" si="7"/>
        <v>0</v>
      </c>
      <c r="G34" s="254">
        <v>96</v>
      </c>
      <c r="H34" s="832">
        <f t="shared" si="8"/>
        <v>576</v>
      </c>
      <c r="I34" s="392">
        <v>2000</v>
      </c>
      <c r="J34" s="392">
        <v>1500</v>
      </c>
      <c r="K34" s="2017">
        <v>2924</v>
      </c>
      <c r="L34" s="1243">
        <f t="shared" si="5"/>
        <v>2348</v>
      </c>
      <c r="M34" s="1243">
        <f t="shared" si="5"/>
        <v>1772</v>
      </c>
      <c r="N34" s="1243">
        <f t="shared" si="5"/>
        <v>1196</v>
      </c>
      <c r="O34" s="1242">
        <f t="shared" si="5"/>
        <v>620</v>
      </c>
      <c r="P34" s="1243">
        <f t="shared" si="5"/>
        <v>44</v>
      </c>
      <c r="Q34" s="1242">
        <f t="shared" si="5"/>
        <v>-532</v>
      </c>
      <c r="R34" s="1243">
        <f t="shared" si="5"/>
        <v>-1108</v>
      </c>
      <c r="S34" s="1244">
        <f t="shared" si="5"/>
        <v>-1684</v>
      </c>
      <c r="T34" s="1845"/>
      <c r="U34" s="1376"/>
      <c r="V34" s="1244">
        <v>2000</v>
      </c>
      <c r="W34" s="1376"/>
      <c r="X34" s="1244"/>
      <c r="Y34" s="1900"/>
      <c r="Z34" s="1245"/>
      <c r="AA34" s="1245"/>
      <c r="AB34" s="1245"/>
      <c r="AC34" s="1246"/>
      <c r="AD34" s="1247"/>
      <c r="AE34" s="1248"/>
      <c r="AF34" s="1245"/>
      <c r="AG34" s="1245"/>
      <c r="AH34" s="1249"/>
      <c r="AI34" s="1246"/>
      <c r="AJ34" s="1250"/>
      <c r="AK34" s="1251"/>
      <c r="AL34" s="1252"/>
      <c r="AM34" s="1245"/>
      <c r="AN34" s="1253"/>
      <c r="AO34" s="1246"/>
      <c r="AP34" s="1247"/>
      <c r="AQ34" s="1251"/>
      <c r="AR34" s="1252"/>
      <c r="AS34" s="1245"/>
      <c r="AT34" s="1249"/>
      <c r="AU34" s="1246"/>
      <c r="AV34" s="1250"/>
      <c r="AW34" s="1250"/>
      <c r="AX34" s="1252"/>
      <c r="AY34" s="1245"/>
      <c r="AZ34" s="1249"/>
      <c r="BA34" s="1246"/>
      <c r="BB34" s="1250"/>
      <c r="BC34" s="1251"/>
      <c r="BD34" s="1252"/>
      <c r="BE34" s="1254"/>
      <c r="BF34" s="1249"/>
      <c r="BG34" s="1246"/>
      <c r="BH34" s="1250"/>
      <c r="BI34" s="1251"/>
      <c r="BJ34" s="1252"/>
      <c r="BK34" s="1245"/>
      <c r="BL34" s="1249"/>
      <c r="BM34" s="1246"/>
      <c r="BN34" s="1250"/>
      <c r="BO34" s="1255"/>
      <c r="BP34" s="1256"/>
      <c r="BQ34" s="1256"/>
      <c r="BR34" s="1256">
        <f>BP34-BQ34</f>
        <v>0</v>
      </c>
      <c r="BS34" s="1"/>
      <c r="BT34" s="1192">
        <f t="shared" si="6"/>
        <v>0</v>
      </c>
    </row>
    <row r="35" spans="1:72" s="7" customFormat="1" ht="18.600000000000001" thickBot="1" x14ac:dyDescent="0.4">
      <c r="A35" s="922"/>
      <c r="B35" s="925" t="s">
        <v>77</v>
      </c>
      <c r="C35" s="921"/>
      <c r="D35" s="927" t="s">
        <v>78</v>
      </c>
      <c r="E35" s="1016">
        <v>6</v>
      </c>
      <c r="F35" s="929">
        <f t="shared" si="7"/>
        <v>0</v>
      </c>
      <c r="G35" s="274">
        <v>68</v>
      </c>
      <c r="H35" s="833">
        <f t="shared" si="8"/>
        <v>408</v>
      </c>
      <c r="I35" s="409">
        <v>2000</v>
      </c>
      <c r="J35" s="409">
        <v>1000</v>
      </c>
      <c r="K35" s="1257">
        <f t="shared" si="5"/>
        <v>592</v>
      </c>
      <c r="L35" s="1258">
        <f t="shared" si="5"/>
        <v>184</v>
      </c>
      <c r="M35" s="1257">
        <f t="shared" si="5"/>
        <v>-224</v>
      </c>
      <c r="N35" s="2012">
        <v>2000</v>
      </c>
      <c r="O35" s="1257">
        <f t="shared" si="5"/>
        <v>1592</v>
      </c>
      <c r="P35" s="1258">
        <f t="shared" si="5"/>
        <v>1184</v>
      </c>
      <c r="Q35" s="1257">
        <f t="shared" si="5"/>
        <v>776</v>
      </c>
      <c r="R35" s="1258">
        <f t="shared" si="5"/>
        <v>368</v>
      </c>
      <c r="S35" s="1259">
        <f t="shared" si="5"/>
        <v>-40</v>
      </c>
      <c r="T35" s="1846"/>
      <c r="U35" s="1421"/>
      <c r="V35" s="1259"/>
      <c r="W35" s="1421"/>
      <c r="X35" s="1259"/>
      <c r="Y35" s="1901"/>
      <c r="Z35" s="1260"/>
      <c r="AA35" s="1260"/>
      <c r="AB35" s="1260"/>
      <c r="AC35" s="1261"/>
      <c r="AD35" s="1262"/>
      <c r="AE35" s="1263"/>
      <c r="AF35" s="1260"/>
      <c r="AG35" s="1260"/>
      <c r="AH35" s="1264"/>
      <c r="AI35" s="1261"/>
      <c r="AJ35" s="1265"/>
      <c r="AK35" s="1266"/>
      <c r="AL35" s="1267"/>
      <c r="AM35" s="1260"/>
      <c r="AN35" s="1268"/>
      <c r="AO35" s="1261"/>
      <c r="AP35" s="1262"/>
      <c r="AQ35" s="1266"/>
      <c r="AR35" s="1267"/>
      <c r="AS35" s="1260"/>
      <c r="AT35" s="1264">
        <v>2000</v>
      </c>
      <c r="AU35" s="1261"/>
      <c r="AV35" s="1265"/>
      <c r="AW35" s="1265"/>
      <c r="AX35" s="1267"/>
      <c r="AY35" s="1260"/>
      <c r="AZ35" s="1264"/>
      <c r="BA35" s="1261"/>
      <c r="BB35" s="1265"/>
      <c r="BC35" s="1266"/>
      <c r="BD35" s="1267"/>
      <c r="BE35" s="1269"/>
      <c r="BF35" s="1264"/>
      <c r="BG35" s="1261"/>
      <c r="BH35" s="1265"/>
      <c r="BI35" s="1266"/>
      <c r="BJ35" s="1267"/>
      <c r="BK35" s="1260"/>
      <c r="BL35" s="1264"/>
      <c r="BM35" s="1261"/>
      <c r="BN35" s="1265"/>
      <c r="BO35" s="1270"/>
      <c r="BP35" s="1271"/>
      <c r="BQ35" s="1271"/>
      <c r="BR35" s="1272"/>
      <c r="BS35" s="1"/>
      <c r="BT35" s="1192">
        <f t="shared" si="6"/>
        <v>2000</v>
      </c>
    </row>
    <row r="36" spans="1:72" ht="18" x14ac:dyDescent="0.35">
      <c r="A36" s="630"/>
      <c r="B36" s="865" t="s">
        <v>79</v>
      </c>
      <c r="C36" s="181" t="s">
        <v>228</v>
      </c>
      <c r="D36" s="182" t="s">
        <v>480</v>
      </c>
      <c r="E36" s="183">
        <v>2.5</v>
      </c>
      <c r="F36" s="184">
        <f t="shared" si="7"/>
        <v>0</v>
      </c>
      <c r="G36" s="156">
        <v>299</v>
      </c>
      <c r="H36" s="299">
        <f t="shared" si="8"/>
        <v>747.5</v>
      </c>
      <c r="I36" s="362">
        <v>8000</v>
      </c>
      <c r="J36" s="362">
        <v>2500</v>
      </c>
      <c r="K36" s="2018">
        <v>9753</v>
      </c>
      <c r="L36" s="1274">
        <f t="shared" si="5"/>
        <v>9005.5</v>
      </c>
      <c r="M36" s="1274">
        <f t="shared" si="5"/>
        <v>8258</v>
      </c>
      <c r="N36" s="1274">
        <f t="shared" si="5"/>
        <v>7510.5</v>
      </c>
      <c r="O36" s="1273">
        <f t="shared" si="5"/>
        <v>6763</v>
      </c>
      <c r="P36" s="1274">
        <f t="shared" si="5"/>
        <v>6015.5</v>
      </c>
      <c r="Q36" s="1273">
        <f t="shared" si="5"/>
        <v>5268</v>
      </c>
      <c r="R36" s="1274">
        <f t="shared" si="5"/>
        <v>4520.5</v>
      </c>
      <c r="S36" s="1273">
        <f t="shared" si="5"/>
        <v>3773</v>
      </c>
      <c r="T36" s="1847"/>
      <c r="U36" s="1183"/>
      <c r="V36" s="1273"/>
      <c r="W36" s="1183">
        <v>8000</v>
      </c>
      <c r="X36" s="1273"/>
      <c r="Y36" s="1902"/>
      <c r="Z36" s="1179"/>
      <c r="AA36" s="1179"/>
      <c r="AB36" s="1179"/>
      <c r="AC36" s="1179"/>
      <c r="AD36" s="1180"/>
      <c r="AE36" s="1275"/>
      <c r="AF36" s="1179"/>
      <c r="AG36" s="1179"/>
      <c r="AH36" s="1276"/>
      <c r="AI36" s="1179"/>
      <c r="AJ36" s="1180"/>
      <c r="AK36" s="1181"/>
      <c r="AL36" s="1277"/>
      <c r="AM36" s="1179"/>
      <c r="AN36" s="1278"/>
      <c r="AO36" s="1179"/>
      <c r="AP36" s="1180"/>
      <c r="AQ36" s="1181"/>
      <c r="AR36" s="1277"/>
      <c r="AS36" s="1179"/>
      <c r="AT36" s="1276"/>
      <c r="AU36" s="1179"/>
      <c r="AV36" s="1180"/>
      <c r="AW36" s="1180"/>
      <c r="AX36" s="1188"/>
      <c r="AY36" s="1176"/>
      <c r="AZ36" s="1189"/>
      <c r="BA36" s="1179"/>
      <c r="BB36" s="1180"/>
      <c r="BC36" s="1181"/>
      <c r="BD36" s="1188"/>
      <c r="BE36" s="1177"/>
      <c r="BF36" s="1189"/>
      <c r="BG36" s="1179"/>
      <c r="BH36" s="1180"/>
      <c r="BI36" s="1181"/>
      <c r="BJ36" s="1277"/>
      <c r="BK36" s="1179"/>
      <c r="BL36" s="1276"/>
      <c r="BM36" s="1179"/>
      <c r="BN36" s="1180"/>
      <c r="BO36" s="1190"/>
      <c r="BP36" s="1279"/>
      <c r="BQ36" s="1279"/>
      <c r="BR36" s="1217">
        <f>BP36-BQ36</f>
        <v>0</v>
      </c>
      <c r="BS36" s="1"/>
      <c r="BT36" s="1192">
        <f t="shared" si="6"/>
        <v>0</v>
      </c>
    </row>
    <row r="37" spans="1:72" ht="18" x14ac:dyDescent="0.35">
      <c r="A37" s="189"/>
      <c r="B37" s="153"/>
      <c r="C37" s="190"/>
      <c r="D37" s="135" t="s">
        <v>80</v>
      </c>
      <c r="E37" s="136">
        <v>2.5</v>
      </c>
      <c r="F37" s="136" t="e">
        <f t="shared" si="7"/>
        <v>#DIV/0!</v>
      </c>
      <c r="G37" s="137"/>
      <c r="H37" s="269">
        <f t="shared" si="8"/>
        <v>0</v>
      </c>
      <c r="I37" s="849"/>
      <c r="J37" s="385"/>
      <c r="K37" s="1273">
        <f t="shared" si="5"/>
        <v>0</v>
      </c>
      <c r="L37" s="1274">
        <f t="shared" si="5"/>
        <v>0</v>
      </c>
      <c r="M37" s="1273">
        <f t="shared" si="5"/>
        <v>0</v>
      </c>
      <c r="N37" s="1274">
        <f t="shared" si="5"/>
        <v>0</v>
      </c>
      <c r="O37" s="1273">
        <f t="shared" si="5"/>
        <v>0</v>
      </c>
      <c r="P37" s="1274">
        <f t="shared" si="5"/>
        <v>0</v>
      </c>
      <c r="Q37" s="1273">
        <f t="shared" si="5"/>
        <v>0</v>
      </c>
      <c r="R37" s="1280">
        <f t="shared" si="5"/>
        <v>0</v>
      </c>
      <c r="S37" s="1281">
        <f t="shared" si="5"/>
        <v>0</v>
      </c>
      <c r="T37" s="1843"/>
      <c r="U37" s="1219"/>
      <c r="V37" s="1281"/>
      <c r="W37" s="1104"/>
      <c r="X37" s="1281"/>
      <c r="Y37" s="1896"/>
      <c r="Z37" s="1201"/>
      <c r="AA37" s="1201"/>
      <c r="AB37" s="1201"/>
      <c r="AC37" s="1201"/>
      <c r="AD37" s="1202"/>
      <c r="AE37" s="1282"/>
      <c r="AF37" s="1201"/>
      <c r="AG37" s="1201"/>
      <c r="AH37" s="1117"/>
      <c r="AI37" s="1201"/>
      <c r="AJ37" s="1202"/>
      <c r="AK37" s="1203"/>
      <c r="AL37" s="1283"/>
      <c r="AM37" s="1201"/>
      <c r="AN37" s="1284"/>
      <c r="AO37" s="1201"/>
      <c r="AP37" s="1202"/>
      <c r="AQ37" s="1203"/>
      <c r="AR37" s="1283"/>
      <c r="AS37" s="1201"/>
      <c r="AT37" s="1117"/>
      <c r="AU37" s="1201"/>
      <c r="AV37" s="1202"/>
      <c r="AW37" s="1202"/>
      <c r="AX37" s="1204"/>
      <c r="AY37" s="1198"/>
      <c r="AZ37" s="1200"/>
      <c r="BA37" s="1201"/>
      <c r="BB37" s="1202"/>
      <c r="BC37" s="1203"/>
      <c r="BD37" s="1210"/>
      <c r="BE37" s="1199"/>
      <c r="BF37" s="1200"/>
      <c r="BG37" s="1201"/>
      <c r="BH37" s="1202"/>
      <c r="BI37" s="1203"/>
      <c r="BJ37" s="1283"/>
      <c r="BK37" s="1201"/>
      <c r="BL37" s="1117"/>
      <c r="BM37" s="1201"/>
      <c r="BN37" s="1202"/>
      <c r="BO37" s="1202"/>
      <c r="BP37" s="1285"/>
      <c r="BQ37" s="1285"/>
      <c r="BR37" s="1213"/>
      <c r="BS37" s="1"/>
      <c r="BT37" s="1192">
        <f t="shared" si="6"/>
        <v>0</v>
      </c>
    </row>
    <row r="38" spans="1:72" ht="18" x14ac:dyDescent="0.35">
      <c r="A38" s="197"/>
      <c r="B38" s="134"/>
      <c r="C38" s="190"/>
      <c r="D38" s="135" t="s">
        <v>80</v>
      </c>
      <c r="E38" s="136">
        <v>2.5</v>
      </c>
      <c r="F38" s="136" t="e">
        <f t="shared" si="7"/>
        <v>#DIV/0!</v>
      </c>
      <c r="G38" s="137"/>
      <c r="H38" s="269">
        <f t="shared" si="8"/>
        <v>0</v>
      </c>
      <c r="I38" s="849"/>
      <c r="J38" s="375"/>
      <c r="K38" s="1273">
        <f t="shared" si="5"/>
        <v>0</v>
      </c>
      <c r="L38" s="1274">
        <f t="shared" si="5"/>
        <v>0</v>
      </c>
      <c r="M38" s="1273">
        <f t="shared" si="5"/>
        <v>0</v>
      </c>
      <c r="N38" s="1274">
        <f t="shared" si="5"/>
        <v>0</v>
      </c>
      <c r="O38" s="1273">
        <f t="shared" si="5"/>
        <v>0</v>
      </c>
      <c r="P38" s="1274">
        <f t="shared" si="5"/>
        <v>0</v>
      </c>
      <c r="Q38" s="1273">
        <f t="shared" si="5"/>
        <v>0</v>
      </c>
      <c r="R38" s="1280">
        <f t="shared" si="5"/>
        <v>0</v>
      </c>
      <c r="S38" s="1281">
        <f t="shared" si="5"/>
        <v>0</v>
      </c>
      <c r="T38" s="1843"/>
      <c r="U38" s="1219"/>
      <c r="V38" s="1281"/>
      <c r="W38" s="1219"/>
      <c r="X38" s="1281"/>
      <c r="Y38" s="1896"/>
      <c r="Z38" s="1201"/>
      <c r="AA38" s="1201"/>
      <c r="AB38" s="1201"/>
      <c r="AC38" s="1201"/>
      <c r="AD38" s="1202"/>
      <c r="AE38" s="1282"/>
      <c r="AF38" s="1201"/>
      <c r="AG38" s="1201"/>
      <c r="AH38" s="1117"/>
      <c r="AI38" s="1201"/>
      <c r="AJ38" s="1202"/>
      <c r="AK38" s="1203"/>
      <c r="AL38" s="1283"/>
      <c r="AM38" s="1201"/>
      <c r="AN38" s="1284"/>
      <c r="AO38" s="1201"/>
      <c r="AP38" s="1202"/>
      <c r="AQ38" s="1203"/>
      <c r="AR38" s="1283"/>
      <c r="AS38" s="1201"/>
      <c r="AT38" s="1117"/>
      <c r="AU38" s="1201"/>
      <c r="AV38" s="1202"/>
      <c r="AW38" s="1202"/>
      <c r="AX38" s="1204"/>
      <c r="AY38" s="1198"/>
      <c r="AZ38" s="1200"/>
      <c r="BA38" s="1201"/>
      <c r="BB38" s="1202"/>
      <c r="BC38" s="1203"/>
      <c r="BD38" s="1210"/>
      <c r="BE38" s="1199"/>
      <c r="BF38" s="1200"/>
      <c r="BG38" s="1201"/>
      <c r="BH38" s="1202"/>
      <c r="BI38" s="1203"/>
      <c r="BJ38" s="1283"/>
      <c r="BK38" s="1201"/>
      <c r="BL38" s="1117"/>
      <c r="BM38" s="1201"/>
      <c r="BN38" s="1202"/>
      <c r="BO38" s="1202"/>
      <c r="BP38" s="1285"/>
      <c r="BQ38" s="1285"/>
      <c r="BR38" s="1213"/>
      <c r="BS38" s="1"/>
      <c r="BT38" s="1192">
        <f t="shared" si="6"/>
        <v>0</v>
      </c>
    </row>
    <row r="39" spans="1:72" ht="18" x14ac:dyDescent="0.35">
      <c r="A39" s="189"/>
      <c r="B39" s="181"/>
      <c r="C39" s="181"/>
      <c r="D39" s="182" t="s">
        <v>80</v>
      </c>
      <c r="E39" s="136">
        <v>2.5</v>
      </c>
      <c r="F39" s="136" t="e">
        <f t="shared" si="7"/>
        <v>#DIV/0!</v>
      </c>
      <c r="G39" s="137"/>
      <c r="H39" s="269">
        <f t="shared" si="8"/>
        <v>0</v>
      </c>
      <c r="I39" s="849"/>
      <c r="J39" s="375"/>
      <c r="K39" s="1273">
        <f t="shared" si="5"/>
        <v>0</v>
      </c>
      <c r="L39" s="1274">
        <f t="shared" si="5"/>
        <v>0</v>
      </c>
      <c r="M39" s="1273">
        <f t="shared" si="5"/>
        <v>0</v>
      </c>
      <c r="N39" s="1274">
        <f t="shared" si="5"/>
        <v>0</v>
      </c>
      <c r="O39" s="1273">
        <f t="shared" si="5"/>
        <v>0</v>
      </c>
      <c r="P39" s="1274">
        <f t="shared" si="5"/>
        <v>0</v>
      </c>
      <c r="Q39" s="1273">
        <f t="shared" si="5"/>
        <v>0</v>
      </c>
      <c r="R39" s="1194">
        <f t="shared" si="5"/>
        <v>0</v>
      </c>
      <c r="S39" s="1281">
        <f t="shared" si="5"/>
        <v>0</v>
      </c>
      <c r="T39" s="1843"/>
      <c r="U39" s="1219"/>
      <c r="V39" s="1281"/>
      <c r="W39" s="1219"/>
      <c r="X39" s="1281"/>
      <c r="Y39" s="1896"/>
      <c r="Z39" s="1201"/>
      <c r="AA39" s="1201"/>
      <c r="AB39" s="1201"/>
      <c r="AC39" s="1118"/>
      <c r="AD39" s="1211"/>
      <c r="AE39" s="1282"/>
      <c r="AF39" s="1201"/>
      <c r="AG39" s="1286"/>
      <c r="AH39" s="1117"/>
      <c r="AI39" s="1201"/>
      <c r="AJ39" s="1202"/>
      <c r="AK39" s="1203"/>
      <c r="AL39" s="1283"/>
      <c r="AM39" s="1201"/>
      <c r="AN39" s="1284"/>
      <c r="AO39" s="1201"/>
      <c r="AP39" s="1202"/>
      <c r="AQ39" s="1203"/>
      <c r="AR39" s="1283"/>
      <c r="AS39" s="1201"/>
      <c r="AT39" s="1117"/>
      <c r="AU39" s="1201"/>
      <c r="AV39" s="1202"/>
      <c r="AW39" s="1202"/>
      <c r="AX39" s="1204"/>
      <c r="AY39" s="1198"/>
      <c r="AZ39" s="1200"/>
      <c r="BA39" s="1201"/>
      <c r="BB39" s="1202"/>
      <c r="BC39" s="1203"/>
      <c r="BD39" s="1210"/>
      <c r="BE39" s="1199"/>
      <c r="BF39" s="1200"/>
      <c r="BG39" s="1201"/>
      <c r="BH39" s="1202"/>
      <c r="BI39" s="1203"/>
      <c r="BJ39" s="1283"/>
      <c r="BK39" s="1201"/>
      <c r="BL39" s="1117"/>
      <c r="BM39" s="1201"/>
      <c r="BN39" s="1202"/>
      <c r="BO39" s="1202"/>
      <c r="BP39" s="1285"/>
      <c r="BQ39" s="1285"/>
      <c r="BR39" s="1213"/>
      <c r="BS39" s="1"/>
      <c r="BT39" s="1192">
        <f t="shared" si="6"/>
        <v>0</v>
      </c>
    </row>
    <row r="40" spans="1:72" ht="18" x14ac:dyDescent="0.35">
      <c r="A40" s="197"/>
      <c r="B40" s="190"/>
      <c r="C40" s="190"/>
      <c r="D40" s="135" t="s">
        <v>80</v>
      </c>
      <c r="E40" s="136">
        <v>3</v>
      </c>
      <c r="F40" s="136" t="e">
        <f t="shared" si="7"/>
        <v>#DIV/0!</v>
      </c>
      <c r="G40" s="137"/>
      <c r="H40" s="269">
        <f t="shared" si="8"/>
        <v>0</v>
      </c>
      <c r="I40" s="849"/>
      <c r="J40" s="362"/>
      <c r="K40" s="1287">
        <f>(J40-$H40)+AY40</f>
        <v>0</v>
      </c>
      <c r="L40" s="1288">
        <f>(K40-$H40)+BE40</f>
        <v>0</v>
      </c>
      <c r="M40" s="1287">
        <f>(L40-$H40)+BK40</f>
        <v>0</v>
      </c>
      <c r="N40" s="1288">
        <f>(M40-$H40)+AA40</f>
        <v>0</v>
      </c>
      <c r="O40" s="1287">
        <f>(N40-$H40)+AG40</f>
        <v>0</v>
      </c>
      <c r="P40" s="1288">
        <f>(O40-$H40)+AM40</f>
        <v>0</v>
      </c>
      <c r="Q40" s="1287">
        <f>(P40-$H40)+AS40</f>
        <v>0</v>
      </c>
      <c r="R40" s="1289">
        <f t="shared" si="5"/>
        <v>0</v>
      </c>
      <c r="S40" s="1281">
        <f t="shared" si="5"/>
        <v>0</v>
      </c>
      <c r="T40" s="1843"/>
      <c r="U40" s="1219"/>
      <c r="V40" s="1281"/>
      <c r="W40" s="1219"/>
      <c r="X40" s="1281"/>
      <c r="Y40" s="1896"/>
      <c r="Z40" s="1201"/>
      <c r="AA40" s="1201"/>
      <c r="AB40" s="1201"/>
      <c r="AC40" s="1201"/>
      <c r="AD40" s="1202"/>
      <c r="AE40" s="1282"/>
      <c r="AF40" s="1201"/>
      <c r="AG40" s="1286"/>
      <c r="AH40" s="1117"/>
      <c r="AI40" s="1201"/>
      <c r="AJ40" s="1202"/>
      <c r="AK40" s="1203"/>
      <c r="AL40" s="1283"/>
      <c r="AM40" s="1201"/>
      <c r="AN40" s="1284"/>
      <c r="AO40" s="1201"/>
      <c r="AP40" s="1202"/>
      <c r="AQ40" s="1203"/>
      <c r="AR40" s="1283"/>
      <c r="AS40" s="1201"/>
      <c r="AT40" s="1117"/>
      <c r="AU40" s="1201"/>
      <c r="AV40" s="1202"/>
      <c r="AW40" s="1202"/>
      <c r="AX40" s="1204"/>
      <c r="AY40" s="1198"/>
      <c r="AZ40" s="1200"/>
      <c r="BA40" s="1201"/>
      <c r="BB40" s="1202"/>
      <c r="BC40" s="1203"/>
      <c r="BD40" s="1210"/>
      <c r="BE40" s="1199"/>
      <c r="BF40" s="1200"/>
      <c r="BG40" s="1201"/>
      <c r="BH40" s="1202"/>
      <c r="BI40" s="1203"/>
      <c r="BJ40" s="1283"/>
      <c r="BK40" s="1201"/>
      <c r="BL40" s="1117"/>
      <c r="BM40" s="1201"/>
      <c r="BN40" s="1202"/>
      <c r="BO40" s="1202"/>
      <c r="BP40" s="1285"/>
      <c r="BQ40" s="1285"/>
      <c r="BR40" s="1213"/>
      <c r="BS40" s="1"/>
      <c r="BT40" s="1192">
        <f t="shared" si="6"/>
        <v>0</v>
      </c>
    </row>
    <row r="41" spans="1:72" ht="15" thickBot="1" x14ac:dyDescent="0.35">
      <c r="A41" s="200"/>
      <c r="B41" s="201"/>
      <c r="C41" s="202"/>
      <c r="D41" s="203" t="s">
        <v>80</v>
      </c>
      <c r="E41" s="204">
        <v>3</v>
      </c>
      <c r="F41" s="205" t="e">
        <f t="shared" si="7"/>
        <v>#DIV/0!</v>
      </c>
      <c r="G41" s="206"/>
      <c r="H41" s="830">
        <f t="shared" si="8"/>
        <v>0</v>
      </c>
      <c r="I41" s="814"/>
      <c r="J41" s="814"/>
      <c r="K41" s="1290">
        <f>(J41-$H41)+AY41</f>
        <v>0</v>
      </c>
      <c r="L41" s="1291">
        <f>(K41-$H41)+BE41</f>
        <v>0</v>
      </c>
      <c r="M41" s="1290">
        <f>(L41-$H41)+BK41</f>
        <v>0</v>
      </c>
      <c r="N41" s="1291">
        <f>(M41-$H41)+AA41</f>
        <v>0</v>
      </c>
      <c r="O41" s="1290">
        <f>(N41-$H41)+AG41</f>
        <v>0</v>
      </c>
      <c r="P41" s="1291">
        <f>(O41-$H41)+AM41</f>
        <v>0</v>
      </c>
      <c r="Q41" s="1290">
        <f>(P41-$H41)+AS41</f>
        <v>0</v>
      </c>
      <c r="R41" s="1292">
        <f t="shared" si="5"/>
        <v>0</v>
      </c>
      <c r="S41" s="1293">
        <f t="shared" si="5"/>
        <v>0</v>
      </c>
      <c r="T41" s="1903"/>
      <c r="U41" s="1904"/>
      <c r="V41" s="1905"/>
      <c r="W41" s="1904"/>
      <c r="X41" s="1905"/>
      <c r="Y41" s="1906"/>
      <c r="Z41" s="1294"/>
      <c r="AA41" s="1294"/>
      <c r="AB41" s="1294"/>
      <c r="AC41" s="1295"/>
      <c r="AD41" s="1296"/>
      <c r="AE41" s="1297"/>
      <c r="AF41" s="1294"/>
      <c r="AG41" s="1295"/>
      <c r="AH41" s="1298"/>
      <c r="AI41" s="1294"/>
      <c r="AJ41" s="1296"/>
      <c r="AK41" s="1299"/>
      <c r="AL41" s="1300"/>
      <c r="AM41" s="1294"/>
      <c r="AN41" s="1301"/>
      <c r="AO41" s="1294"/>
      <c r="AP41" s="1296"/>
      <c r="AQ41" s="1299"/>
      <c r="AR41" s="1300"/>
      <c r="AS41" s="1294"/>
      <c r="AT41" s="1298"/>
      <c r="AU41" s="1294"/>
      <c r="AV41" s="1296"/>
      <c r="AW41" s="1296"/>
      <c r="AX41" s="1302"/>
      <c r="AY41" s="1303"/>
      <c r="AZ41" s="1304"/>
      <c r="BA41" s="1294"/>
      <c r="BB41" s="1296"/>
      <c r="BC41" s="1299"/>
      <c r="BD41" s="1302"/>
      <c r="BE41" s="1305"/>
      <c r="BF41" s="1304"/>
      <c r="BG41" s="1294"/>
      <c r="BH41" s="1296"/>
      <c r="BI41" s="1299"/>
      <c r="BJ41" s="1300"/>
      <c r="BK41" s="1294"/>
      <c r="BL41" s="1298"/>
      <c r="BM41" s="1294"/>
      <c r="BN41" s="1296"/>
      <c r="BO41" s="1296"/>
      <c r="BP41" s="1306"/>
      <c r="BQ41" s="1306"/>
      <c r="BR41" s="1307"/>
      <c r="BS41" s="1"/>
      <c r="BT41" s="1192">
        <f t="shared" si="6"/>
        <v>0</v>
      </c>
    </row>
    <row r="42" spans="1:72" x14ac:dyDescent="0.3">
      <c r="A42" s="1"/>
      <c r="B42" s="1"/>
      <c r="C42" s="1"/>
      <c r="D42" s="1"/>
      <c r="E42" s="1"/>
      <c r="F42" s="1"/>
      <c r="G42" s="1"/>
      <c r="H42" s="1"/>
      <c r="I42" s="815"/>
      <c r="J42" s="815"/>
      <c r="K42" s="1085"/>
      <c r="L42" s="1085"/>
      <c r="M42" s="1085"/>
      <c r="N42" s="1085"/>
      <c r="O42" s="1085"/>
      <c r="P42" s="1085"/>
      <c r="Q42" s="1085"/>
      <c r="R42" s="1085"/>
      <c r="S42" s="1085"/>
      <c r="T42" s="1310"/>
      <c r="U42" s="1085"/>
      <c r="V42" s="1085"/>
      <c r="W42" s="1085"/>
      <c r="X42" s="1085"/>
      <c r="Y42" s="1309"/>
      <c r="Z42" s="1085">
        <f>SUM(Z28:Z41)</f>
        <v>7000</v>
      </c>
      <c r="AA42" s="1085">
        <f t="shared" ref="AA42:BO42" si="9">SUM(AA28:AA41)</f>
        <v>0</v>
      </c>
      <c r="AB42" s="1085">
        <f t="shared" si="9"/>
        <v>0</v>
      </c>
      <c r="AC42" s="1085">
        <f t="shared" si="9"/>
        <v>0</v>
      </c>
      <c r="AD42" s="1085">
        <f t="shared" si="9"/>
        <v>0</v>
      </c>
      <c r="AE42" s="1308">
        <f t="shared" si="9"/>
        <v>0</v>
      </c>
      <c r="AF42" s="1085">
        <f t="shared" si="9"/>
        <v>0</v>
      </c>
      <c r="AG42" s="1085">
        <f t="shared" si="9"/>
        <v>0</v>
      </c>
      <c r="AH42" s="1085">
        <f t="shared" si="9"/>
        <v>0</v>
      </c>
      <c r="AI42" s="1085">
        <f t="shared" si="9"/>
        <v>0</v>
      </c>
      <c r="AJ42" s="1085">
        <f t="shared" si="9"/>
        <v>0</v>
      </c>
      <c r="AK42" s="1309">
        <f t="shared" si="9"/>
        <v>0</v>
      </c>
      <c r="AL42" s="1310">
        <f t="shared" si="9"/>
        <v>0</v>
      </c>
      <c r="AM42" s="1085">
        <f t="shared" si="9"/>
        <v>0</v>
      </c>
      <c r="AN42" s="1085">
        <f t="shared" si="9"/>
        <v>0</v>
      </c>
      <c r="AO42" s="1085">
        <f t="shared" si="9"/>
        <v>0</v>
      </c>
      <c r="AP42" s="1085">
        <f t="shared" si="9"/>
        <v>0</v>
      </c>
      <c r="AQ42" s="1309">
        <f t="shared" si="9"/>
        <v>0</v>
      </c>
      <c r="AR42" s="1310">
        <f t="shared" si="9"/>
        <v>0</v>
      </c>
      <c r="AS42" s="1085">
        <f t="shared" si="9"/>
        <v>0</v>
      </c>
      <c r="AT42" s="1085">
        <f t="shared" si="9"/>
        <v>2000</v>
      </c>
      <c r="AU42" s="1085">
        <f t="shared" si="9"/>
        <v>0</v>
      </c>
      <c r="AV42" s="1085">
        <f t="shared" si="9"/>
        <v>0</v>
      </c>
      <c r="AW42" s="1085">
        <f t="shared" si="9"/>
        <v>0</v>
      </c>
      <c r="AX42" s="1310">
        <f t="shared" si="9"/>
        <v>0</v>
      </c>
      <c r="AY42" s="1085">
        <f t="shared" si="9"/>
        <v>0</v>
      </c>
      <c r="AZ42" s="1085">
        <f t="shared" si="9"/>
        <v>0</v>
      </c>
      <c r="BA42" s="1085">
        <f t="shared" si="9"/>
        <v>0</v>
      </c>
      <c r="BB42" s="1085">
        <f t="shared" si="9"/>
        <v>0</v>
      </c>
      <c r="BC42" s="1309">
        <f t="shared" si="9"/>
        <v>0</v>
      </c>
      <c r="BD42" s="1310">
        <f t="shared" si="9"/>
        <v>0</v>
      </c>
      <c r="BE42" s="1085">
        <f t="shared" si="9"/>
        <v>0</v>
      </c>
      <c r="BF42" s="1085">
        <f t="shared" si="9"/>
        <v>0</v>
      </c>
      <c r="BG42" s="1085">
        <f t="shared" si="9"/>
        <v>0</v>
      </c>
      <c r="BH42" s="1085">
        <f t="shared" si="9"/>
        <v>0</v>
      </c>
      <c r="BI42" s="1309">
        <f t="shared" si="9"/>
        <v>0</v>
      </c>
      <c r="BJ42" s="1310">
        <f t="shared" si="9"/>
        <v>0</v>
      </c>
      <c r="BK42" s="1085">
        <f t="shared" si="9"/>
        <v>0</v>
      </c>
      <c r="BL42" s="1085">
        <f t="shared" si="9"/>
        <v>0</v>
      </c>
      <c r="BM42" s="1085">
        <f t="shared" si="9"/>
        <v>0</v>
      </c>
      <c r="BN42" s="1085">
        <f t="shared" si="9"/>
        <v>0</v>
      </c>
      <c r="BO42" s="1309">
        <f t="shared" si="9"/>
        <v>0</v>
      </c>
      <c r="BP42" s="1310"/>
      <c r="BQ42" s="1085"/>
      <c r="BR42" s="1309"/>
      <c r="BS42" s="1085">
        <f>SUM(Z42:BR42)</f>
        <v>9000</v>
      </c>
      <c r="BT42" s="1192">
        <f>SUM(BT28:BT41)</f>
        <v>9000</v>
      </c>
    </row>
    <row r="43" spans="1:72" x14ac:dyDescent="0.3">
      <c r="A43" s="1"/>
      <c r="B43" s="1"/>
      <c r="C43" s="1"/>
      <c r="D43" s="1"/>
      <c r="E43" s="1"/>
      <c r="F43" s="1"/>
      <c r="G43" s="1"/>
      <c r="H43" s="1"/>
      <c r="I43" s="815"/>
      <c r="J43" s="815"/>
      <c r="K43" s="1085"/>
      <c r="L43" s="1085"/>
      <c r="M43" s="1085"/>
      <c r="N43" s="1085"/>
      <c r="O43" s="1085"/>
      <c r="P43" s="1085"/>
      <c r="Q43" s="1085"/>
      <c r="R43" s="1085"/>
      <c r="S43" s="1085"/>
      <c r="T43" s="1310"/>
      <c r="U43" s="1085"/>
      <c r="V43" s="1085"/>
      <c r="W43" s="1085"/>
      <c r="X43" s="1085"/>
      <c r="Y43" s="1309"/>
      <c r="Z43" s="1085"/>
      <c r="AA43" s="1085"/>
      <c r="AB43" s="1085"/>
      <c r="AC43" s="1085"/>
      <c r="AD43" s="1085"/>
      <c r="AE43" s="1308"/>
      <c r="AF43" s="1085"/>
      <c r="AG43" s="1085"/>
      <c r="AH43" s="1085"/>
      <c r="AI43" s="1085"/>
      <c r="AJ43" s="1085"/>
      <c r="AK43" s="1309"/>
      <c r="AL43" s="1310"/>
      <c r="AM43" s="1085"/>
      <c r="AN43" s="1085"/>
      <c r="AO43" s="1085"/>
      <c r="AP43" s="1085"/>
      <c r="AQ43" s="1309"/>
      <c r="AR43" s="1310"/>
      <c r="AS43" s="1085"/>
      <c r="AT43" s="1085"/>
      <c r="AU43" s="1085"/>
      <c r="AV43" s="1085"/>
      <c r="AW43" s="1085"/>
      <c r="AX43" s="1310"/>
      <c r="AY43" s="1085"/>
      <c r="AZ43" s="1085"/>
      <c r="BA43" s="1085"/>
      <c r="BB43" s="1085"/>
      <c r="BC43" s="1309"/>
      <c r="BD43" s="1310"/>
      <c r="BE43" s="1085"/>
      <c r="BF43" s="1085"/>
      <c r="BG43" s="1085"/>
      <c r="BH43" s="1085"/>
      <c r="BI43" s="1309"/>
      <c r="BJ43" s="1310"/>
      <c r="BK43" s="1085"/>
      <c r="BL43" s="1085"/>
      <c r="BM43" s="1085"/>
      <c r="BN43" s="1085"/>
      <c r="BO43" s="1309"/>
      <c r="BP43" s="1310"/>
      <c r="BQ43" s="1085"/>
      <c r="BR43" s="1309"/>
      <c r="BS43" s="1"/>
    </row>
    <row r="44" spans="1:72" ht="15" thickBot="1" x14ac:dyDescent="0.35">
      <c r="A44" s="1"/>
      <c r="B44" s="1"/>
      <c r="C44" s="1"/>
      <c r="D44" s="1"/>
      <c r="E44" s="1"/>
      <c r="F44" s="1"/>
      <c r="G44" s="1"/>
      <c r="H44" s="1"/>
      <c r="I44" s="815"/>
      <c r="J44" s="815"/>
      <c r="K44" s="1085"/>
      <c r="L44" s="1085"/>
      <c r="M44" s="1085"/>
      <c r="N44" s="1085"/>
      <c r="O44" s="1085"/>
      <c r="P44" s="1085"/>
      <c r="Q44" s="1085"/>
      <c r="R44" s="1085"/>
      <c r="S44" s="1085"/>
      <c r="T44" s="1310"/>
      <c r="U44" s="1085"/>
      <c r="V44" s="1085"/>
      <c r="W44" s="1085"/>
      <c r="X44" s="1085"/>
      <c r="Y44" s="1309"/>
      <c r="Z44" s="1085"/>
      <c r="AA44" s="1085"/>
      <c r="AB44" s="1085"/>
      <c r="AC44" s="1085"/>
      <c r="AD44" s="1085"/>
      <c r="AE44" s="1308"/>
      <c r="AF44" s="1085"/>
      <c r="AG44" s="1085"/>
      <c r="AH44" s="1085"/>
      <c r="AI44" s="1085"/>
      <c r="AJ44" s="1085"/>
      <c r="AK44" s="1309"/>
      <c r="AL44" s="1310"/>
      <c r="AM44" s="1085"/>
      <c r="AN44" s="1085"/>
      <c r="AO44" s="1085"/>
      <c r="AP44" s="1085"/>
      <c r="AQ44" s="1309"/>
      <c r="AR44" s="1310"/>
      <c r="AS44" s="1085"/>
      <c r="AT44" s="1085"/>
      <c r="AU44" s="1085"/>
      <c r="AV44" s="1085"/>
      <c r="AW44" s="1085"/>
      <c r="AX44" s="1310"/>
      <c r="AY44" s="1085"/>
      <c r="AZ44" s="1085"/>
      <c r="BA44" s="1085"/>
      <c r="BB44" s="1085"/>
      <c r="BC44" s="1309"/>
      <c r="BD44" s="1310"/>
      <c r="BE44" s="1085"/>
      <c r="BF44" s="1085"/>
      <c r="BG44" s="1085"/>
      <c r="BH44" s="1085"/>
      <c r="BI44" s="1309"/>
      <c r="BJ44" s="1310"/>
      <c r="BK44" s="1085"/>
      <c r="BL44" s="1085"/>
      <c r="BM44" s="1085"/>
      <c r="BN44" s="1085"/>
      <c r="BO44" s="1309"/>
      <c r="BP44" s="1310"/>
      <c r="BQ44" s="1085"/>
      <c r="BR44" s="1309"/>
      <c r="BS44" s="1"/>
    </row>
    <row r="45" spans="1:72" ht="16.8" thickTop="1" thickBot="1" x14ac:dyDescent="0.35">
      <c r="A45" s="875" t="s">
        <v>28</v>
      </c>
      <c r="B45" s="876"/>
      <c r="C45" s="250"/>
      <c r="D45" s="1"/>
      <c r="E45" s="79"/>
      <c r="F45" s="712"/>
      <c r="G45" s="1"/>
      <c r="H45" s="1"/>
      <c r="I45" s="815"/>
      <c r="J45" s="815"/>
      <c r="K45" s="1085"/>
      <c r="L45" s="1085">
        <f>+L48+K48</f>
        <v>0</v>
      </c>
      <c r="M45" s="1085">
        <f>+M48-L48</f>
        <v>0</v>
      </c>
      <c r="N45" s="1085"/>
      <c r="O45" s="1085"/>
      <c r="P45" s="1085"/>
      <c r="Q45" s="1085"/>
      <c r="R45" s="1085"/>
      <c r="S45" s="1085"/>
      <c r="T45" s="1310"/>
      <c r="U45" s="1085"/>
      <c r="V45" s="1085"/>
      <c r="W45" s="1085"/>
      <c r="X45" s="1085"/>
      <c r="Y45" s="1309"/>
      <c r="Z45" s="1085"/>
      <c r="AA45" s="1133"/>
      <c r="AB45" s="1085"/>
      <c r="AC45" s="1085"/>
      <c r="AD45" s="1085"/>
      <c r="AE45" s="1308"/>
      <c r="AF45" s="1133"/>
      <c r="AG45" s="1085"/>
      <c r="AH45" s="1085"/>
      <c r="AI45" s="1085"/>
      <c r="AJ45" s="1085"/>
      <c r="AK45" s="1309"/>
      <c r="AL45" s="1310"/>
      <c r="AM45" s="1085"/>
      <c r="AN45" s="1133"/>
      <c r="AO45" s="1085"/>
      <c r="AP45" s="1085"/>
      <c r="AQ45" s="1309"/>
      <c r="AR45" s="1310"/>
      <c r="AS45" s="1085"/>
      <c r="AT45" s="1085"/>
      <c r="AU45" s="1311"/>
      <c r="AV45" s="1085"/>
      <c r="AW45" s="1085"/>
      <c r="AX45" s="1310"/>
      <c r="AY45" s="1085"/>
      <c r="AZ45" s="1085"/>
      <c r="BA45" s="1085"/>
      <c r="BB45" s="1085"/>
      <c r="BC45" s="1309"/>
      <c r="BD45" s="1310"/>
      <c r="BE45" s="1133"/>
      <c r="BF45" s="1133"/>
      <c r="BG45" s="1085"/>
      <c r="BH45" s="1085"/>
      <c r="BI45" s="1309"/>
      <c r="BJ45" s="1310"/>
      <c r="BK45" s="1085"/>
      <c r="BL45" s="1133"/>
      <c r="BM45" s="1085"/>
      <c r="BN45" s="1085"/>
      <c r="BO45" s="1309"/>
      <c r="BP45" s="1310"/>
      <c r="BQ45" s="1085"/>
      <c r="BR45" s="1309"/>
      <c r="BS45" s="1"/>
    </row>
    <row r="46" spans="1:72" ht="16.8" thickTop="1" thickBot="1" x14ac:dyDescent="0.35">
      <c r="A46" s="884" t="s">
        <v>29</v>
      </c>
      <c r="B46" s="885" t="s">
        <v>30</v>
      </c>
      <c r="C46" s="886" t="s">
        <v>31</v>
      </c>
      <c r="D46" s="887" t="s">
        <v>2</v>
      </c>
      <c r="E46" s="888" t="s">
        <v>32</v>
      </c>
      <c r="F46" s="888" t="s">
        <v>33</v>
      </c>
      <c r="G46" s="889" t="s">
        <v>34</v>
      </c>
      <c r="H46" s="890" t="s">
        <v>35</v>
      </c>
      <c r="I46" s="891" t="s">
        <v>36</v>
      </c>
      <c r="J46" s="811" t="s">
        <v>37</v>
      </c>
      <c r="K46" s="1312" t="s">
        <v>38</v>
      </c>
      <c r="L46" s="1313" t="s">
        <v>39</v>
      </c>
      <c r="M46" s="1313" t="s">
        <v>40</v>
      </c>
      <c r="N46" s="1313" t="s">
        <v>41</v>
      </c>
      <c r="O46" s="1313" t="s">
        <v>42</v>
      </c>
      <c r="P46" s="1313" t="s">
        <v>43</v>
      </c>
      <c r="Q46" s="1314" t="s">
        <v>44</v>
      </c>
      <c r="R46" s="1313" t="s">
        <v>38</v>
      </c>
      <c r="S46" s="1314" t="s">
        <v>45</v>
      </c>
      <c r="T46" s="1740" t="s">
        <v>99</v>
      </c>
      <c r="U46" s="1741" t="s">
        <v>100</v>
      </c>
      <c r="V46" s="1736" t="s">
        <v>101</v>
      </c>
      <c r="W46" s="1742" t="s">
        <v>9</v>
      </c>
      <c r="X46" s="1935" t="s">
        <v>9</v>
      </c>
      <c r="Y46" s="1743" t="s">
        <v>9</v>
      </c>
      <c r="Z46" s="1315" t="s">
        <v>81</v>
      </c>
      <c r="AA46" s="1315" t="s">
        <v>82</v>
      </c>
      <c r="AB46" s="1316" t="s">
        <v>83</v>
      </c>
      <c r="AC46" s="1317" t="s">
        <v>3</v>
      </c>
      <c r="AD46" s="1318" t="s">
        <v>3</v>
      </c>
      <c r="AE46" s="1319" t="s">
        <v>3</v>
      </c>
      <c r="AF46" s="1315" t="s">
        <v>84</v>
      </c>
      <c r="AG46" s="1315" t="s">
        <v>85</v>
      </c>
      <c r="AH46" s="1316" t="s">
        <v>86</v>
      </c>
      <c r="AI46" s="1317" t="s">
        <v>51</v>
      </c>
      <c r="AJ46" s="1320" t="s">
        <v>51</v>
      </c>
      <c r="AK46" s="1320" t="s">
        <v>51</v>
      </c>
      <c r="AL46" s="1321" t="s">
        <v>87</v>
      </c>
      <c r="AM46" s="1315" t="s">
        <v>88</v>
      </c>
      <c r="AN46" s="1316" t="s">
        <v>89</v>
      </c>
      <c r="AO46" s="1317" t="s">
        <v>5</v>
      </c>
      <c r="AP46" s="1320" t="s">
        <v>5</v>
      </c>
      <c r="AQ46" s="1320" t="s">
        <v>55</v>
      </c>
      <c r="AR46" s="1321" t="s">
        <v>90</v>
      </c>
      <c r="AS46" s="1315" t="s">
        <v>91</v>
      </c>
      <c r="AT46" s="1322" t="s">
        <v>92</v>
      </c>
      <c r="AU46" s="1323" t="s">
        <v>59</v>
      </c>
      <c r="AV46" s="1320" t="s">
        <v>59</v>
      </c>
      <c r="AW46" s="1320" t="s">
        <v>59</v>
      </c>
      <c r="AX46" s="1321" t="s">
        <v>93</v>
      </c>
      <c r="AY46" s="1315" t="s">
        <v>94</v>
      </c>
      <c r="AZ46" s="1322" t="s">
        <v>95</v>
      </c>
      <c r="BA46" s="1324" t="s">
        <v>63</v>
      </c>
      <c r="BB46" s="1325" t="s">
        <v>7</v>
      </c>
      <c r="BC46" s="1326" t="s">
        <v>7</v>
      </c>
      <c r="BD46" s="1321" t="s">
        <v>96</v>
      </c>
      <c r="BE46" s="1315" t="s">
        <v>97</v>
      </c>
      <c r="BF46" s="1316" t="s">
        <v>98</v>
      </c>
      <c r="BG46" s="1163" t="s">
        <v>8</v>
      </c>
      <c r="BH46" s="1163" t="s">
        <v>8</v>
      </c>
      <c r="BI46" s="1320" t="s">
        <v>8</v>
      </c>
      <c r="BJ46" s="1321" t="s">
        <v>99</v>
      </c>
      <c r="BK46" s="1315" t="s">
        <v>100</v>
      </c>
      <c r="BL46" s="1322" t="s">
        <v>101</v>
      </c>
      <c r="BM46" s="1323" t="s">
        <v>9</v>
      </c>
      <c r="BN46" s="1164" t="s">
        <v>9</v>
      </c>
      <c r="BO46" s="1320" t="s">
        <v>9</v>
      </c>
      <c r="BP46" s="1327" t="s">
        <v>70</v>
      </c>
      <c r="BQ46" s="1317" t="s">
        <v>71</v>
      </c>
      <c r="BR46" s="1328" t="s">
        <v>72</v>
      </c>
      <c r="BS46" s="1"/>
    </row>
    <row r="47" spans="1:72" ht="18" x14ac:dyDescent="0.35">
      <c r="A47" s="2739"/>
      <c r="B47" s="866"/>
      <c r="C47" s="329" t="s">
        <v>444</v>
      </c>
      <c r="D47" s="290" t="s">
        <v>102</v>
      </c>
      <c r="E47" s="880"/>
      <c r="F47" s="291" t="e">
        <f t="shared" ref="F47:F62" si="10">(BR47/G47)/7</f>
        <v>#DIV/0!</v>
      </c>
      <c r="G47" s="157"/>
      <c r="H47" s="834">
        <f>G47*E47</f>
        <v>0</v>
      </c>
      <c r="I47" s="362"/>
      <c r="J47" s="362"/>
      <c r="K47" s="1329">
        <f>J47-H47</f>
        <v>0</v>
      </c>
      <c r="L47" s="1288">
        <f t="shared" ref="K47:S62" si="11">K47-$H47</f>
        <v>0</v>
      </c>
      <c r="M47" s="1288">
        <f t="shared" si="11"/>
        <v>0</v>
      </c>
      <c r="N47" s="1288">
        <f t="shared" si="11"/>
        <v>0</v>
      </c>
      <c r="O47" s="1288">
        <f t="shared" si="11"/>
        <v>0</v>
      </c>
      <c r="P47" s="1288">
        <f t="shared" si="11"/>
        <v>0</v>
      </c>
      <c r="Q47" s="1287">
        <f t="shared" si="11"/>
        <v>0</v>
      </c>
      <c r="R47" s="1288">
        <f t="shared" si="11"/>
        <v>0</v>
      </c>
      <c r="S47" s="1287">
        <f t="shared" si="11"/>
        <v>0</v>
      </c>
      <c r="T47" s="1216"/>
      <c r="U47" s="1287"/>
      <c r="V47" s="1096"/>
      <c r="W47" s="1097"/>
      <c r="X47" s="1096"/>
      <c r="Y47" s="1842"/>
      <c r="Z47" s="1835"/>
      <c r="AA47" s="1096"/>
      <c r="AB47" s="1098"/>
      <c r="AC47" s="1184"/>
      <c r="AD47" s="1330"/>
      <c r="AE47" s="1331"/>
      <c r="AF47" s="1176"/>
      <c r="AG47" s="1177"/>
      <c r="AH47" s="1189"/>
      <c r="AI47" s="1180"/>
      <c r="AJ47" s="1180"/>
      <c r="AK47" s="1332"/>
      <c r="AL47" s="1216"/>
      <c r="AM47" s="1096"/>
      <c r="AN47" s="1098"/>
      <c r="AO47" s="1184"/>
      <c r="AP47" s="1184"/>
      <c r="AQ47" s="1332"/>
      <c r="AR47" s="1188"/>
      <c r="AS47" s="1177"/>
      <c r="AT47" s="1333"/>
      <c r="AU47" s="1334"/>
      <c r="AV47" s="1335"/>
      <c r="AW47" s="1335"/>
      <c r="AX47" s="1188"/>
      <c r="AY47" s="1096"/>
      <c r="AZ47" s="1097"/>
      <c r="BA47" s="1336"/>
      <c r="BB47" s="1337"/>
      <c r="BC47" s="1181"/>
      <c r="BD47" s="1188"/>
      <c r="BE47" s="1177"/>
      <c r="BF47" s="1189"/>
      <c r="BG47" s="1338"/>
      <c r="BH47" s="1180"/>
      <c r="BI47" s="1332"/>
      <c r="BJ47" s="1188"/>
      <c r="BK47" s="1177"/>
      <c r="BL47" s="1333"/>
      <c r="BM47" s="1334"/>
      <c r="BN47" s="1335"/>
      <c r="BO47" s="1332"/>
      <c r="BP47" s="1339"/>
      <c r="BQ47" s="1340"/>
      <c r="BR47" s="1341"/>
      <c r="BS47" s="1"/>
      <c r="BT47" s="1192">
        <f t="shared" ref="BT47:BT56" si="12">SUM(Z47:BO47)</f>
        <v>0</v>
      </c>
    </row>
    <row r="48" spans="1:72" ht="18" x14ac:dyDescent="0.35">
      <c r="A48" s="2739"/>
      <c r="B48" s="867" t="s">
        <v>472</v>
      </c>
      <c r="C48" s="224" t="s">
        <v>230</v>
      </c>
      <c r="D48" s="225" t="s">
        <v>103</v>
      </c>
      <c r="E48" s="585"/>
      <c r="F48" s="226" t="e">
        <f t="shared" si="10"/>
        <v>#DIV/0!</v>
      </c>
      <c r="G48" s="139"/>
      <c r="H48" s="831">
        <f>G48*E48</f>
        <v>0</v>
      </c>
      <c r="I48" s="375"/>
      <c r="J48" s="375"/>
      <c r="K48" s="1194">
        <f t="shared" si="11"/>
        <v>0</v>
      </c>
      <c r="L48" s="1194">
        <f t="shared" si="11"/>
        <v>0</v>
      </c>
      <c r="M48" s="1194">
        <f t="shared" si="11"/>
        <v>0</v>
      </c>
      <c r="N48" s="1194">
        <f t="shared" si="11"/>
        <v>0</v>
      </c>
      <c r="O48" s="1194">
        <f t="shared" si="11"/>
        <v>0</v>
      </c>
      <c r="P48" s="1194">
        <f t="shared" si="11"/>
        <v>0</v>
      </c>
      <c r="Q48" s="1194">
        <f t="shared" si="11"/>
        <v>0</v>
      </c>
      <c r="R48" s="1194">
        <f t="shared" si="11"/>
        <v>0</v>
      </c>
      <c r="S48" s="1342">
        <f t="shared" si="11"/>
        <v>0</v>
      </c>
      <c r="T48" s="1907"/>
      <c r="U48" s="1222"/>
      <c r="V48" s="1885"/>
      <c r="W48" s="1889"/>
      <c r="X48" s="1885"/>
      <c r="Y48" s="1849"/>
      <c r="AA48" s="1104"/>
      <c r="AB48" s="1209"/>
      <c r="AC48" s="1206"/>
      <c r="AD48" s="1343"/>
      <c r="AE48" s="1344"/>
      <c r="AF48" s="1198"/>
      <c r="AG48" s="1199"/>
      <c r="AH48" s="1200"/>
      <c r="AI48" s="1202"/>
      <c r="AJ48" s="1202"/>
      <c r="AK48" s="1345"/>
      <c r="AL48" s="1204"/>
      <c r="AM48" s="1104"/>
      <c r="AN48" s="1209"/>
      <c r="AO48" s="1206"/>
      <c r="AP48" s="1206"/>
      <c r="AQ48" s="1345"/>
      <c r="AR48" s="1210"/>
      <c r="AS48" s="1199"/>
      <c r="AT48" s="1346"/>
      <c r="AU48" s="1347"/>
      <c r="AV48" s="1348"/>
      <c r="AW48" s="1348"/>
      <c r="AX48" s="1210"/>
      <c r="AY48" s="1104"/>
      <c r="AZ48" s="1205"/>
      <c r="BA48" s="1349"/>
      <c r="BB48" s="1350"/>
      <c r="BC48" s="1203"/>
      <c r="BD48" s="1210"/>
      <c r="BE48" s="1199"/>
      <c r="BF48" s="1200"/>
      <c r="BG48" s="1351"/>
      <c r="BH48" s="1202"/>
      <c r="BI48" s="1345"/>
      <c r="BJ48" s="1210"/>
      <c r="BK48" s="1199"/>
      <c r="BL48" s="1346"/>
      <c r="BM48" s="1334"/>
      <c r="BN48" s="1335"/>
      <c r="BO48" s="1332"/>
      <c r="BP48" s="1352"/>
      <c r="BQ48" s="1213"/>
      <c r="BR48" s="1353">
        <f>BP48-BQ48</f>
        <v>0</v>
      </c>
      <c r="BS48" s="1"/>
      <c r="BT48" s="1192">
        <f t="shared" si="12"/>
        <v>0</v>
      </c>
    </row>
    <row r="49" spans="1:72" ht="18.600000000000001" thickBot="1" x14ac:dyDescent="0.4">
      <c r="A49" s="2739"/>
      <c r="B49" s="868"/>
      <c r="C49" s="233"/>
      <c r="D49" s="234" t="s">
        <v>104</v>
      </c>
      <c r="E49" s="586">
        <v>2.5</v>
      </c>
      <c r="F49" s="235">
        <f t="shared" si="10"/>
        <v>0</v>
      </c>
      <c r="G49" s="236">
        <v>100</v>
      </c>
      <c r="H49" s="234">
        <f>G49*E49</f>
        <v>250</v>
      </c>
      <c r="I49" s="386">
        <v>1000</v>
      </c>
      <c r="J49" s="386">
        <v>4000</v>
      </c>
      <c r="K49" s="1354">
        <f t="shared" si="11"/>
        <v>3750</v>
      </c>
      <c r="L49" s="1280">
        <f t="shared" si="11"/>
        <v>3500</v>
      </c>
      <c r="M49" s="1280">
        <f t="shared" si="11"/>
        <v>3250</v>
      </c>
      <c r="N49" s="1280">
        <f t="shared" si="11"/>
        <v>3000</v>
      </c>
      <c r="O49" s="1280">
        <f t="shared" si="11"/>
        <v>2750</v>
      </c>
      <c r="P49" s="1280">
        <f t="shared" si="11"/>
        <v>2500</v>
      </c>
      <c r="Q49" s="1280">
        <f t="shared" si="11"/>
        <v>2250</v>
      </c>
      <c r="R49" s="1280">
        <f t="shared" si="11"/>
        <v>2000</v>
      </c>
      <c r="S49" s="1355">
        <f t="shared" si="11"/>
        <v>1750</v>
      </c>
      <c r="T49" s="1908"/>
      <c r="U49" s="1827"/>
      <c r="V49" s="1220"/>
      <c r="W49" s="1890"/>
      <c r="X49" s="1220"/>
      <c r="Y49" s="1851"/>
      <c r="Z49" s="1218"/>
      <c r="AA49" s="1219"/>
      <c r="AB49" s="1238"/>
      <c r="AC49" s="1234"/>
      <c r="AD49" s="1343"/>
      <c r="AE49" s="1344"/>
      <c r="AF49" s="1356"/>
      <c r="AG49" s="1357"/>
      <c r="AH49" s="1358"/>
      <c r="AI49" s="1359"/>
      <c r="AJ49" s="1359"/>
      <c r="AK49" s="1360"/>
      <c r="AL49" s="1361"/>
      <c r="AM49" s="1362"/>
      <c r="AN49" s="1363"/>
      <c r="AO49" s="1364"/>
      <c r="AP49" s="1364"/>
      <c r="AQ49" s="1360"/>
      <c r="AR49" s="1365"/>
      <c r="AS49" s="1357"/>
      <c r="AT49" s="1366"/>
      <c r="AU49" s="1367"/>
      <c r="AV49" s="1368"/>
      <c r="AW49" s="1368"/>
      <c r="AX49" s="1365"/>
      <c r="AY49" s="1362"/>
      <c r="AZ49" s="1369"/>
      <c r="BA49" s="1370"/>
      <c r="BB49" s="1371"/>
      <c r="BC49" s="1372"/>
      <c r="BD49" s="1365"/>
      <c r="BE49" s="1357"/>
      <c r="BF49" s="1358"/>
      <c r="BG49" s="1373"/>
      <c r="BH49" s="1359"/>
      <c r="BI49" s="1360"/>
      <c r="BJ49" s="1365"/>
      <c r="BK49" s="1357"/>
      <c r="BL49" s="1228"/>
      <c r="BM49" s="1373"/>
      <c r="BN49" s="1359"/>
      <c r="BO49" s="1360"/>
      <c r="BP49" s="1339"/>
      <c r="BQ49" s="1374"/>
      <c r="BR49" s="1353">
        <f t="shared" ref="BR49:BR55" si="13">BP49-BQ49</f>
        <v>0</v>
      </c>
      <c r="BS49" s="1"/>
      <c r="BT49" s="1192">
        <f t="shared" si="12"/>
        <v>0</v>
      </c>
    </row>
    <row r="50" spans="1:72" ht="18" x14ac:dyDescent="0.35">
      <c r="A50" s="2740"/>
      <c r="B50" s="869"/>
      <c r="C50" s="329" t="s">
        <v>229</v>
      </c>
      <c r="D50" s="251" t="s">
        <v>102</v>
      </c>
      <c r="E50" s="587">
        <v>12</v>
      </c>
      <c r="F50" s="252">
        <f t="shared" si="10"/>
        <v>0</v>
      </c>
      <c r="G50" s="253">
        <v>75</v>
      </c>
      <c r="H50" s="832">
        <f t="shared" ref="H50:H62" si="14">G50*E50</f>
        <v>900</v>
      </c>
      <c r="I50" s="392">
        <v>8000</v>
      </c>
      <c r="J50" s="392">
        <v>5000</v>
      </c>
      <c r="K50" s="1375">
        <f t="shared" si="11"/>
        <v>4100</v>
      </c>
      <c r="L50" s="1243">
        <f t="shared" si="11"/>
        <v>3200</v>
      </c>
      <c r="M50" s="1243">
        <f t="shared" si="11"/>
        <v>2300</v>
      </c>
      <c r="N50" s="1243">
        <f t="shared" si="11"/>
        <v>1400</v>
      </c>
      <c r="O50" s="1243">
        <f t="shared" si="11"/>
        <v>500</v>
      </c>
      <c r="P50" s="1243">
        <f t="shared" si="11"/>
        <v>-400</v>
      </c>
      <c r="Q50" s="1242">
        <f t="shared" si="11"/>
        <v>-1300</v>
      </c>
      <c r="R50" s="1243">
        <f t="shared" si="11"/>
        <v>-2200</v>
      </c>
      <c r="S50" s="1242">
        <f t="shared" si="11"/>
        <v>-3100</v>
      </c>
      <c r="T50" s="1791"/>
      <c r="U50" s="1242"/>
      <c r="V50" s="1790"/>
      <c r="W50" s="1628"/>
      <c r="X50" s="1790"/>
      <c r="Y50" s="1853"/>
      <c r="Z50" s="1760"/>
      <c r="AA50" s="1376"/>
      <c r="AB50" s="1377"/>
      <c r="AC50" s="1378"/>
      <c r="AD50" s="1379"/>
      <c r="AE50" s="1380"/>
      <c r="AF50" s="1245"/>
      <c r="AG50" s="1254"/>
      <c r="AH50" s="1249"/>
      <c r="AI50" s="1250"/>
      <c r="AJ50" s="1250"/>
      <c r="AK50" s="1381"/>
      <c r="AL50" s="1382"/>
      <c r="AM50" s="1376"/>
      <c r="AN50" s="1377"/>
      <c r="AO50" s="1378"/>
      <c r="AP50" s="1378"/>
      <c r="AQ50" s="1381"/>
      <c r="AR50" s="1252"/>
      <c r="AS50" s="1254"/>
      <c r="AT50" s="1383"/>
      <c r="AU50" s="1384"/>
      <c r="AV50" s="1385"/>
      <c r="AW50" s="1385"/>
      <c r="AX50" s="1252"/>
      <c r="AY50" s="1376"/>
      <c r="AZ50" s="1386"/>
      <c r="BA50" s="1387"/>
      <c r="BB50" s="1388"/>
      <c r="BC50" s="1251"/>
      <c r="BD50" s="1252"/>
      <c r="BE50" s="1254"/>
      <c r="BF50" s="1249"/>
      <c r="BG50" s="1389"/>
      <c r="BH50" s="1250"/>
      <c r="BI50" s="1381"/>
      <c r="BJ50" s="1252"/>
      <c r="BK50" s="1254"/>
      <c r="BL50" s="1249"/>
      <c r="BM50" s="1390"/>
      <c r="BN50" s="1391"/>
      <c r="BO50" s="1392"/>
      <c r="BP50" s="1393"/>
      <c r="BQ50" s="1394"/>
      <c r="BR50" s="1353">
        <f t="shared" si="13"/>
        <v>0</v>
      </c>
      <c r="BS50" s="1"/>
      <c r="BT50" s="1192">
        <f t="shared" si="12"/>
        <v>0</v>
      </c>
    </row>
    <row r="51" spans="1:72" ht="18" x14ac:dyDescent="0.35">
      <c r="A51" s="2741"/>
      <c r="B51" s="867" t="s">
        <v>473</v>
      </c>
      <c r="C51" s="224" t="s">
        <v>232</v>
      </c>
      <c r="D51" s="269" t="s">
        <v>103</v>
      </c>
      <c r="E51" s="585">
        <v>11</v>
      </c>
      <c r="F51" s="226">
        <f t="shared" si="10"/>
        <v>0</v>
      </c>
      <c r="G51" s="139">
        <v>25</v>
      </c>
      <c r="H51" s="831">
        <f t="shared" si="14"/>
        <v>275</v>
      </c>
      <c r="I51" s="375">
        <v>2000</v>
      </c>
      <c r="J51" s="375">
        <v>1000</v>
      </c>
      <c r="K51" s="1395">
        <f t="shared" si="11"/>
        <v>725</v>
      </c>
      <c r="L51" s="1395">
        <f t="shared" si="11"/>
        <v>450</v>
      </c>
      <c r="M51" s="1395">
        <f t="shared" si="11"/>
        <v>175</v>
      </c>
      <c r="N51" s="1395">
        <f t="shared" si="11"/>
        <v>-100</v>
      </c>
      <c r="O51" s="1395">
        <f t="shared" si="11"/>
        <v>-375</v>
      </c>
      <c r="P51" s="1395">
        <f t="shared" si="11"/>
        <v>-650</v>
      </c>
      <c r="Q51" s="1395">
        <f t="shared" si="11"/>
        <v>-925</v>
      </c>
      <c r="R51" s="1395">
        <f t="shared" si="11"/>
        <v>-1200</v>
      </c>
      <c r="S51" s="1193">
        <f t="shared" si="11"/>
        <v>-1475</v>
      </c>
      <c r="T51" s="1909"/>
      <c r="U51" s="1193"/>
      <c r="V51" s="1114"/>
      <c r="W51" s="1115"/>
      <c r="X51" s="1114"/>
      <c r="Y51" s="1855"/>
      <c r="Z51" s="1103"/>
      <c r="AA51" s="1104"/>
      <c r="AB51" s="1209"/>
      <c r="AC51" s="1206"/>
      <c r="AD51" s="1396"/>
      <c r="AE51" s="1397"/>
      <c r="AF51" s="1198"/>
      <c r="AG51" s="1199"/>
      <c r="AH51" s="1200"/>
      <c r="AI51" s="1202"/>
      <c r="AJ51" s="1202"/>
      <c r="AK51" s="1345"/>
      <c r="AL51" s="1204"/>
      <c r="AM51" s="1104"/>
      <c r="AN51" s="1209"/>
      <c r="AO51" s="1206"/>
      <c r="AP51" s="1206"/>
      <c r="AQ51" s="1345"/>
      <c r="AR51" s="1210"/>
      <c r="AS51" s="1199"/>
      <c r="AT51" s="1346"/>
      <c r="AU51" s="1347"/>
      <c r="AV51" s="1348"/>
      <c r="AW51" s="1348"/>
      <c r="AX51" s="1210"/>
      <c r="AY51" s="1104"/>
      <c r="AZ51" s="1205"/>
      <c r="BA51" s="1349"/>
      <c r="BB51" s="1350"/>
      <c r="BC51" s="1203"/>
      <c r="BD51" s="1210"/>
      <c r="BE51" s="1199"/>
      <c r="BF51" s="1200"/>
      <c r="BG51" s="1351"/>
      <c r="BH51" s="1202"/>
      <c r="BI51" s="1345"/>
      <c r="BJ51" s="1210"/>
      <c r="BK51" s="1199"/>
      <c r="BL51" s="1200"/>
      <c r="BM51" s="1347"/>
      <c r="BN51" s="1348"/>
      <c r="BO51" s="1345"/>
      <c r="BP51" s="1352"/>
      <c r="BQ51" s="1213"/>
      <c r="BR51" s="1353">
        <f t="shared" si="13"/>
        <v>0</v>
      </c>
      <c r="BS51" s="1"/>
      <c r="BT51" s="1192">
        <f t="shared" si="12"/>
        <v>0</v>
      </c>
    </row>
    <row r="52" spans="1:72" ht="18" x14ac:dyDescent="0.35">
      <c r="A52" s="2741"/>
      <c r="B52" s="867"/>
      <c r="C52" s="233"/>
      <c r="D52" s="300" t="s">
        <v>104</v>
      </c>
      <c r="E52" s="586">
        <v>2.5</v>
      </c>
      <c r="F52" s="226" t="e">
        <f t="shared" si="10"/>
        <v>#DIV/0!</v>
      </c>
      <c r="G52" s="236"/>
      <c r="H52" s="934">
        <f t="shared" si="14"/>
        <v>0</v>
      </c>
      <c r="I52" s="385"/>
      <c r="J52" s="386"/>
      <c r="K52" s="1395">
        <f t="shared" si="11"/>
        <v>0</v>
      </c>
      <c r="L52" s="1395">
        <f t="shared" si="11"/>
        <v>0</v>
      </c>
      <c r="M52" s="1395">
        <f t="shared" si="11"/>
        <v>0</v>
      </c>
      <c r="N52" s="1395">
        <f t="shared" si="11"/>
        <v>0</v>
      </c>
      <c r="O52" s="1395">
        <f t="shared" si="11"/>
        <v>0</v>
      </c>
      <c r="P52" s="1395">
        <f t="shared" si="11"/>
        <v>0</v>
      </c>
      <c r="Q52" s="1395">
        <f t="shared" si="11"/>
        <v>0</v>
      </c>
      <c r="R52" s="1395">
        <f t="shared" si="11"/>
        <v>0</v>
      </c>
      <c r="S52" s="1193">
        <f t="shared" si="11"/>
        <v>0</v>
      </c>
      <c r="T52" s="1908"/>
      <c r="U52" s="1827"/>
      <c r="V52" s="1220"/>
      <c r="W52" s="1890"/>
      <c r="X52" s="1220"/>
      <c r="Y52" s="1851"/>
      <c r="Z52" s="1836"/>
      <c r="AA52" s="1398"/>
      <c r="AB52" s="1399"/>
      <c r="AC52" s="1400"/>
      <c r="AD52" s="1401"/>
      <c r="AE52" s="1402"/>
      <c r="AF52" s="1403"/>
      <c r="AG52" s="1404"/>
      <c r="AH52" s="1405"/>
      <c r="AI52" s="1406"/>
      <c r="AJ52" s="1406"/>
      <c r="AK52" s="1407"/>
      <c r="AL52" s="1408"/>
      <c r="AM52" s="1398"/>
      <c r="AN52" s="1399"/>
      <c r="AO52" s="1400"/>
      <c r="AP52" s="1400"/>
      <c r="AQ52" s="1407"/>
      <c r="AR52" s="1409"/>
      <c r="AS52" s="1404"/>
      <c r="AT52" s="1410"/>
      <c r="AU52" s="1411"/>
      <c r="AV52" s="1412"/>
      <c r="AW52" s="1412"/>
      <c r="AX52" s="1409"/>
      <c r="AY52" s="1398"/>
      <c r="AZ52" s="1413"/>
      <c r="BA52" s="1414"/>
      <c r="BB52" s="1415"/>
      <c r="BC52" s="1416"/>
      <c r="BD52" s="1409"/>
      <c r="BE52" s="1404"/>
      <c r="BF52" s="1405"/>
      <c r="BG52" s="1417"/>
      <c r="BH52" s="1406"/>
      <c r="BI52" s="1407"/>
      <c r="BJ52" s="1409"/>
      <c r="BK52" s="1404"/>
      <c r="BL52" s="1405"/>
      <c r="BM52" s="1417"/>
      <c r="BN52" s="1406"/>
      <c r="BO52" s="1407"/>
      <c r="BP52" s="1418"/>
      <c r="BQ52" s="1419"/>
      <c r="BR52" s="1353">
        <f t="shared" si="13"/>
        <v>0</v>
      </c>
      <c r="BS52" s="1"/>
      <c r="BT52" s="1192">
        <f t="shared" si="12"/>
        <v>0</v>
      </c>
    </row>
    <row r="53" spans="1:72" ht="18.600000000000001" thickBot="1" x14ac:dyDescent="0.4">
      <c r="A53" s="2742"/>
      <c r="B53" s="870"/>
      <c r="C53" s="270"/>
      <c r="D53" s="935" t="s">
        <v>104</v>
      </c>
      <c r="E53" s="588">
        <v>2.5</v>
      </c>
      <c r="F53" s="272">
        <f t="shared" si="10"/>
        <v>0</v>
      </c>
      <c r="G53" s="273">
        <v>100</v>
      </c>
      <c r="H53" s="936">
        <f t="shared" si="14"/>
        <v>250</v>
      </c>
      <c r="I53" s="937">
        <v>1000</v>
      </c>
      <c r="J53" s="406"/>
      <c r="K53" s="1420">
        <f t="shared" si="11"/>
        <v>-250</v>
      </c>
      <c r="L53" s="1258">
        <f t="shared" si="11"/>
        <v>-500</v>
      </c>
      <c r="M53" s="1258">
        <f t="shared" si="11"/>
        <v>-750</v>
      </c>
      <c r="N53" s="1258">
        <f t="shared" si="11"/>
        <v>-1000</v>
      </c>
      <c r="O53" s="2012">
        <v>4000</v>
      </c>
      <c r="P53" s="1258">
        <f t="shared" si="11"/>
        <v>3750</v>
      </c>
      <c r="Q53" s="1257">
        <f t="shared" si="11"/>
        <v>3500</v>
      </c>
      <c r="R53" s="1258">
        <f t="shared" si="11"/>
        <v>3250</v>
      </c>
      <c r="S53" s="1257">
        <f t="shared" si="11"/>
        <v>3000</v>
      </c>
      <c r="T53" s="1910"/>
      <c r="U53" s="1257"/>
      <c r="V53" s="1650"/>
      <c r="W53" s="1651"/>
      <c r="X53" s="1650"/>
      <c r="Y53" s="1857"/>
      <c r="Z53" s="1797"/>
      <c r="AA53" s="1421"/>
      <c r="AB53" s="1422"/>
      <c r="AC53" s="1423"/>
      <c r="AD53" s="1424"/>
      <c r="AE53" s="1425"/>
      <c r="AF53" s="1260"/>
      <c r="AG53" s="1269"/>
      <c r="AH53" s="1264"/>
      <c r="AI53" s="1265"/>
      <c r="AJ53" s="1265"/>
      <c r="AK53" s="1426"/>
      <c r="AL53" s="1427"/>
      <c r="AM53" s="1421"/>
      <c r="AN53" s="1422"/>
      <c r="AO53" s="1423"/>
      <c r="AP53" s="1423"/>
      <c r="AQ53" s="1426"/>
      <c r="AR53" s="1267"/>
      <c r="AS53" s="1269"/>
      <c r="AT53" s="1428"/>
      <c r="AU53" s="1429"/>
      <c r="AV53" s="1430"/>
      <c r="AW53" s="1430"/>
      <c r="AX53" s="1267"/>
      <c r="AY53" s="1421"/>
      <c r="AZ53" s="1431">
        <v>4000</v>
      </c>
      <c r="BA53" s="1432"/>
      <c r="BB53" s="1433"/>
      <c r="BC53" s="1266"/>
      <c r="BD53" s="1267"/>
      <c r="BE53" s="1269"/>
      <c r="BF53" s="1264"/>
      <c r="BG53" s="1434"/>
      <c r="BH53" s="1265"/>
      <c r="BI53" s="1426"/>
      <c r="BJ53" s="1267"/>
      <c r="BK53" s="1269"/>
      <c r="BL53" s="1264"/>
      <c r="BM53" s="1434"/>
      <c r="BN53" s="1265"/>
      <c r="BO53" s="1426"/>
      <c r="BP53" s="1435"/>
      <c r="BQ53" s="1436"/>
      <c r="BR53" s="1353">
        <f t="shared" si="13"/>
        <v>0</v>
      </c>
      <c r="BS53" s="1"/>
      <c r="BT53" s="1192">
        <f t="shared" si="12"/>
        <v>4000</v>
      </c>
    </row>
    <row r="54" spans="1:72" ht="18" x14ac:dyDescent="0.35">
      <c r="A54" s="2743"/>
      <c r="B54" s="866"/>
      <c r="C54" s="289"/>
      <c r="D54" s="290" t="s">
        <v>102</v>
      </c>
      <c r="E54" s="589">
        <v>11</v>
      </c>
      <c r="F54" s="291">
        <f t="shared" si="10"/>
        <v>0</v>
      </c>
      <c r="G54" s="157">
        <v>75</v>
      </c>
      <c r="H54" s="834">
        <f t="shared" si="14"/>
        <v>825</v>
      </c>
      <c r="I54" s="850">
        <v>8000</v>
      </c>
      <c r="J54" s="362">
        <v>3000</v>
      </c>
      <c r="K54" s="1437">
        <f t="shared" si="11"/>
        <v>2175</v>
      </c>
      <c r="L54" s="2013">
        <v>5350</v>
      </c>
      <c r="M54" s="1223">
        <f t="shared" si="11"/>
        <v>4525</v>
      </c>
      <c r="N54" s="1223">
        <f t="shared" si="11"/>
        <v>3700</v>
      </c>
      <c r="O54" s="1223">
        <f t="shared" si="11"/>
        <v>2875</v>
      </c>
      <c r="P54" s="1223">
        <f t="shared" si="11"/>
        <v>2050</v>
      </c>
      <c r="Q54" s="1223">
        <f t="shared" si="11"/>
        <v>1225</v>
      </c>
      <c r="R54" s="1223">
        <f t="shared" si="11"/>
        <v>400</v>
      </c>
      <c r="S54" s="1438">
        <f t="shared" si="11"/>
        <v>-425</v>
      </c>
      <c r="T54" s="1907"/>
      <c r="U54" s="1222"/>
      <c r="V54" s="1885"/>
      <c r="W54" s="1889"/>
      <c r="X54" s="1885"/>
      <c r="Y54" s="1849"/>
      <c r="Z54" s="1442">
        <v>4000</v>
      </c>
      <c r="AA54" s="1439"/>
      <c r="AB54" s="1440"/>
      <c r="AC54" s="1359"/>
      <c r="AD54" s="1367"/>
      <c r="AE54" s="1441"/>
      <c r="AF54" s="1442"/>
      <c r="AG54" s="1439"/>
      <c r="AH54" s="1440"/>
      <c r="AI54" s="1359"/>
      <c r="AJ54" s="1359"/>
      <c r="AK54" s="1360"/>
      <c r="AL54" s="1443"/>
      <c r="AM54" s="1439"/>
      <c r="AN54" s="1440"/>
      <c r="AO54" s="1359"/>
      <c r="AP54" s="1359"/>
      <c r="AQ54" s="1360"/>
      <c r="AR54" s="1443"/>
      <c r="AS54" s="1439"/>
      <c r="AT54" s="1444"/>
      <c r="AU54" s="1367"/>
      <c r="AV54" s="1368"/>
      <c r="AW54" s="1368"/>
      <c r="AX54" s="1443"/>
      <c r="AY54" s="1439"/>
      <c r="AZ54" s="1444"/>
      <c r="BA54" s="1445"/>
      <c r="BB54" s="1359"/>
      <c r="BC54" s="1372"/>
      <c r="BD54" s="1365"/>
      <c r="BE54" s="1357"/>
      <c r="BF54" s="1358"/>
      <c r="BG54" s="1373"/>
      <c r="BH54" s="1359"/>
      <c r="BI54" s="1360"/>
      <c r="BJ54" s="1443"/>
      <c r="BK54" s="1439"/>
      <c r="BL54" s="1440"/>
      <c r="BM54" s="1373"/>
      <c r="BN54" s="1359"/>
      <c r="BO54" s="1360"/>
      <c r="BP54" s="1446"/>
      <c r="BR54" s="1353">
        <f t="shared" si="13"/>
        <v>0</v>
      </c>
      <c r="BS54" s="1"/>
      <c r="BT54" s="1192">
        <f t="shared" si="12"/>
        <v>4000</v>
      </c>
    </row>
    <row r="55" spans="1:72" ht="18" x14ac:dyDescent="0.35">
      <c r="A55" s="2743"/>
      <c r="B55" s="867" t="s">
        <v>474</v>
      </c>
      <c r="C55" s="296" t="s">
        <v>445</v>
      </c>
      <c r="D55" s="488" t="s">
        <v>103</v>
      </c>
      <c r="E55" s="591">
        <v>10</v>
      </c>
      <c r="F55" s="235">
        <f t="shared" si="10"/>
        <v>0</v>
      </c>
      <c r="G55" s="236">
        <v>25</v>
      </c>
      <c r="H55" s="234">
        <f t="shared" si="14"/>
        <v>250</v>
      </c>
      <c r="I55" s="386">
        <v>2000</v>
      </c>
      <c r="J55" s="375">
        <v>500</v>
      </c>
      <c r="K55" s="2014">
        <v>1250</v>
      </c>
      <c r="L55" s="1116">
        <f t="shared" si="11"/>
        <v>1000</v>
      </c>
      <c r="M55" s="1116">
        <f t="shared" si="11"/>
        <v>750</v>
      </c>
      <c r="N55" s="1116">
        <f t="shared" si="11"/>
        <v>500</v>
      </c>
      <c r="O55" s="1116">
        <f t="shared" si="11"/>
        <v>250</v>
      </c>
      <c r="P55" s="1116">
        <f t="shared" si="11"/>
        <v>0</v>
      </c>
      <c r="Q55" s="1116">
        <f t="shared" si="11"/>
        <v>-250</v>
      </c>
      <c r="R55" s="1116">
        <f t="shared" si="11"/>
        <v>-500</v>
      </c>
      <c r="S55" s="1115">
        <f t="shared" si="11"/>
        <v>-750</v>
      </c>
      <c r="T55" s="1909"/>
      <c r="U55" s="1193">
        <v>1000</v>
      </c>
      <c r="V55" s="1114"/>
      <c r="W55" s="1115"/>
      <c r="X55" s="1114"/>
      <c r="Y55" s="1855"/>
      <c r="Z55" s="1201"/>
      <c r="AA55" s="1118"/>
      <c r="AB55" s="1117"/>
      <c r="AC55" s="1202"/>
      <c r="AD55" s="1347"/>
      <c r="AE55" s="1447"/>
      <c r="AF55" s="1201"/>
      <c r="AG55" s="1118"/>
      <c r="AH55" s="1117"/>
      <c r="AI55" s="1202"/>
      <c r="AJ55" s="1202"/>
      <c r="AK55" s="1345"/>
      <c r="AL55" s="1283"/>
      <c r="AM55" s="1118"/>
      <c r="AN55" s="1117"/>
      <c r="AO55" s="1202"/>
      <c r="AP55" s="1202"/>
      <c r="AQ55" s="1345"/>
      <c r="AR55" s="1283"/>
      <c r="AS55" s="1118"/>
      <c r="AT55" s="1119"/>
      <c r="AU55" s="1347"/>
      <c r="AV55" s="1348"/>
      <c r="AW55" s="1348"/>
      <c r="AX55" s="1283"/>
      <c r="AY55" s="1118"/>
      <c r="AZ55" s="1119"/>
      <c r="BA55" s="1448"/>
      <c r="BB55" s="1202"/>
      <c r="BC55" s="1203"/>
      <c r="BD55" s="1210"/>
      <c r="BE55" s="1199"/>
      <c r="BF55" s="1200"/>
      <c r="BG55" s="1351"/>
      <c r="BH55" s="1202"/>
      <c r="BI55" s="1345"/>
      <c r="BJ55" s="1283"/>
      <c r="BK55" s="1118"/>
      <c r="BL55" s="1117"/>
      <c r="BM55" s="1351"/>
      <c r="BN55" s="1202"/>
      <c r="BO55" s="1345"/>
      <c r="BP55" s="1449"/>
      <c r="BQ55" s="1450"/>
      <c r="BR55" s="1353">
        <f t="shared" si="13"/>
        <v>0</v>
      </c>
      <c r="BS55" s="1"/>
      <c r="BT55" s="1192">
        <f t="shared" si="12"/>
        <v>0</v>
      </c>
    </row>
    <row r="56" spans="1:72" ht="18.600000000000001" thickBot="1" x14ac:dyDescent="0.4">
      <c r="A56" s="2743"/>
      <c r="B56" s="868"/>
      <c r="C56" s="595" t="s">
        <v>240</v>
      </c>
      <c r="D56" s="300" t="s">
        <v>104</v>
      </c>
      <c r="E56" s="591"/>
      <c r="F56" s="235" t="e">
        <f t="shared" si="10"/>
        <v>#DIV/0!</v>
      </c>
      <c r="G56" s="236"/>
      <c r="H56" s="234">
        <f t="shared" si="14"/>
        <v>0</v>
      </c>
      <c r="I56" s="386"/>
      <c r="J56" s="386"/>
      <c r="K56" s="1437">
        <f t="shared" si="11"/>
        <v>0</v>
      </c>
      <c r="L56" s="1223">
        <f t="shared" si="11"/>
        <v>0</v>
      </c>
      <c r="M56" s="1223">
        <f t="shared" si="11"/>
        <v>0</v>
      </c>
      <c r="N56" s="1223">
        <f t="shared" si="11"/>
        <v>0</v>
      </c>
      <c r="O56" s="1223">
        <f t="shared" si="11"/>
        <v>0</v>
      </c>
      <c r="P56" s="1223">
        <f t="shared" si="11"/>
        <v>0</v>
      </c>
      <c r="Q56" s="1223">
        <f t="shared" si="11"/>
        <v>0</v>
      </c>
      <c r="R56" s="1223">
        <f t="shared" si="11"/>
        <v>0</v>
      </c>
      <c r="S56" s="1438">
        <f t="shared" si="11"/>
        <v>0</v>
      </c>
      <c r="T56" s="1907"/>
      <c r="U56" s="1222"/>
      <c r="V56" s="1885"/>
      <c r="W56" s="1889"/>
      <c r="X56" s="1885"/>
      <c r="Y56" s="1849"/>
      <c r="Z56" s="1442"/>
      <c r="AA56" s="1439"/>
      <c r="AB56" s="1440"/>
      <c r="AC56" s="1359"/>
      <c r="AD56" s="1367"/>
      <c r="AE56" s="1441"/>
      <c r="AF56" s="1442"/>
      <c r="AG56" s="1439"/>
      <c r="AH56" s="1440"/>
      <c r="AI56" s="1359"/>
      <c r="AJ56" s="1359"/>
      <c r="AK56" s="1360"/>
      <c r="AL56" s="1443"/>
      <c r="AM56" s="1439"/>
      <c r="AN56" s="1440"/>
      <c r="AO56" s="1359"/>
      <c r="AP56" s="1359"/>
      <c r="AQ56" s="1360"/>
      <c r="AR56" s="1443"/>
      <c r="AS56" s="1439"/>
      <c r="AT56" s="1451"/>
      <c r="AU56" s="1367"/>
      <c r="AV56" s="1368"/>
      <c r="AW56" s="1368"/>
      <c r="AX56" s="1443"/>
      <c r="AY56" s="1439"/>
      <c r="AZ56" s="1444"/>
      <c r="BA56" s="1445"/>
      <c r="BB56" s="1359"/>
      <c r="BC56" s="1231"/>
      <c r="BD56" s="1237"/>
      <c r="BE56" s="1227"/>
      <c r="BF56" s="1228"/>
      <c r="BG56" s="1452"/>
      <c r="BH56" s="1230"/>
      <c r="BI56" s="1453"/>
      <c r="BJ56" s="1443"/>
      <c r="BK56" s="1454"/>
      <c r="BL56" s="1455"/>
      <c r="BM56" s="1452"/>
      <c r="BN56" s="1230"/>
      <c r="BO56" s="1453"/>
      <c r="BP56" s="1456"/>
      <c r="BQ56" s="1457"/>
      <c r="BR56" s="1458"/>
      <c r="BS56" s="1"/>
      <c r="BT56" s="1192">
        <f t="shared" si="12"/>
        <v>0</v>
      </c>
    </row>
    <row r="57" spans="1:72" ht="18" x14ac:dyDescent="0.35">
      <c r="A57" s="2761"/>
      <c r="B57" s="2758" t="s">
        <v>105</v>
      </c>
      <c r="C57" s="992"/>
      <c r="D57" s="953" t="s">
        <v>102</v>
      </c>
      <c r="E57" s="993">
        <v>10</v>
      </c>
      <c r="F57" s="955">
        <f t="shared" si="10"/>
        <v>0</v>
      </c>
      <c r="G57" s="956">
        <v>75</v>
      </c>
      <c r="H57" s="957">
        <f t="shared" si="14"/>
        <v>750</v>
      </c>
      <c r="I57" s="994">
        <v>8000</v>
      </c>
      <c r="J57" s="958">
        <v>3500</v>
      </c>
      <c r="K57" s="1375">
        <f>(J57-$H57)+Z57</f>
        <v>6750</v>
      </c>
      <c r="L57" s="1958">
        <v>6000</v>
      </c>
      <c r="M57" s="1243">
        <f t="shared" si="11"/>
        <v>5250</v>
      </c>
      <c r="N57" s="1243">
        <f t="shared" si="11"/>
        <v>4500</v>
      </c>
      <c r="O57" s="1243">
        <f t="shared" si="11"/>
        <v>3750</v>
      </c>
      <c r="P57" s="1243">
        <f t="shared" si="11"/>
        <v>3000</v>
      </c>
      <c r="Q57" s="1242">
        <f t="shared" si="11"/>
        <v>2250</v>
      </c>
      <c r="R57" s="1243">
        <f t="shared" si="11"/>
        <v>1500</v>
      </c>
      <c r="S57" s="1242">
        <f t="shared" si="11"/>
        <v>750</v>
      </c>
      <c r="T57" s="1791"/>
      <c r="U57" s="1242"/>
      <c r="V57" s="1790"/>
      <c r="W57" s="1628"/>
      <c r="X57" s="1790"/>
      <c r="Y57" s="1853"/>
      <c r="Z57" s="1246">
        <v>4000</v>
      </c>
      <c r="AA57" s="1580"/>
      <c r="AB57" s="1581"/>
      <c r="AC57" s="1575"/>
      <c r="AD57" s="1576"/>
      <c r="AE57" s="1966"/>
      <c r="AF57" s="1246"/>
      <c r="AG57" s="1580"/>
      <c r="AH57" s="1581"/>
      <c r="AI57" s="1575"/>
      <c r="AJ57" s="1575"/>
      <c r="AK57" s="1967"/>
      <c r="AL57" s="1968"/>
      <c r="AM57" s="1580"/>
      <c r="AN57" s="1581"/>
      <c r="AO57" s="1575"/>
      <c r="AP57" s="1575"/>
      <c r="AQ57" s="1967"/>
      <c r="AR57" s="1968"/>
      <c r="AS57" s="1580"/>
      <c r="AT57" s="1789"/>
      <c r="AU57" s="1576"/>
      <c r="AV57" s="1577"/>
      <c r="AW57" s="1577"/>
      <c r="AX57" s="1968"/>
      <c r="AY57" s="1580"/>
      <c r="AZ57" s="1969"/>
      <c r="BA57" s="1970"/>
      <c r="BB57" s="1575"/>
      <c r="BC57" s="1630"/>
      <c r="BD57" s="1968"/>
      <c r="BE57" s="1580"/>
      <c r="BF57" s="1581"/>
      <c r="BG57" s="1582"/>
      <c r="BH57" s="1575"/>
      <c r="BI57" s="1967"/>
      <c r="BJ57" s="1968"/>
      <c r="BK57" s="1580"/>
      <c r="BL57" s="1581"/>
      <c r="BM57" s="1971"/>
      <c r="BN57" s="1640"/>
      <c r="BO57" s="1967"/>
      <c r="BP57" s="1631"/>
      <c r="BQ57" s="1577"/>
      <c r="BR57" s="1967"/>
    </row>
    <row r="58" spans="1:72" ht="18" x14ac:dyDescent="0.35">
      <c r="A58" s="2762"/>
      <c r="B58" s="2759"/>
      <c r="C58" s="296"/>
      <c r="D58" s="488" t="s">
        <v>103</v>
      </c>
      <c r="E58" s="1972">
        <v>8</v>
      </c>
      <c r="F58" s="1973">
        <f t="shared" si="10"/>
        <v>0</v>
      </c>
      <c r="G58" s="1974">
        <v>25</v>
      </c>
      <c r="H58" s="1975">
        <f t="shared" si="14"/>
        <v>200</v>
      </c>
      <c r="I58" s="1976">
        <v>2000</v>
      </c>
      <c r="J58" s="950">
        <v>1500</v>
      </c>
      <c r="K58" s="1354">
        <f>J58-$H58</f>
        <v>1300</v>
      </c>
      <c r="L58" s="2015">
        <v>2100</v>
      </c>
      <c r="M58" s="1280">
        <f>L58-H58</f>
        <v>1900</v>
      </c>
      <c r="N58" s="1280">
        <f t="shared" si="11"/>
        <v>1700</v>
      </c>
      <c r="O58" s="1280">
        <f t="shared" si="11"/>
        <v>1500</v>
      </c>
      <c r="P58" s="1280">
        <f t="shared" si="11"/>
        <v>1300</v>
      </c>
      <c r="Q58" s="1280">
        <f t="shared" si="11"/>
        <v>1100</v>
      </c>
      <c r="R58" s="1280">
        <f t="shared" si="11"/>
        <v>900</v>
      </c>
      <c r="S58" s="1355">
        <f t="shared" si="11"/>
        <v>700</v>
      </c>
      <c r="T58" s="1908"/>
      <c r="U58" s="1827"/>
      <c r="V58" s="1220"/>
      <c r="W58" s="1890"/>
      <c r="X58" s="1220"/>
      <c r="Y58" s="1851"/>
      <c r="Z58" s="1229"/>
      <c r="AA58" s="1454">
        <v>1000</v>
      </c>
      <c r="AB58" s="1455"/>
      <c r="AC58" s="1977"/>
      <c r="AD58" s="1978"/>
      <c r="AE58" s="1979"/>
      <c r="AF58" s="1201"/>
      <c r="AG58" s="1118"/>
      <c r="AH58" s="1117"/>
      <c r="AI58" s="1285"/>
      <c r="AJ58" s="1450"/>
      <c r="AK58" s="1573"/>
      <c r="AL58" s="1980"/>
      <c r="AM58" s="1454"/>
      <c r="AN58" s="1455"/>
      <c r="AO58" s="1977"/>
      <c r="AP58" s="1977"/>
      <c r="AQ58" s="1981"/>
      <c r="AR58" s="1980"/>
      <c r="AS58" s="1454"/>
      <c r="AT58" s="1124"/>
      <c r="AU58" s="1978"/>
      <c r="AV58" s="1457"/>
      <c r="AW58" s="1457"/>
      <c r="AX58" s="1980"/>
      <c r="AY58" s="1454"/>
      <c r="AZ58" s="1124"/>
      <c r="BA58" s="1982"/>
      <c r="BB58" s="1977"/>
      <c r="BC58" s="1983"/>
      <c r="BD58" s="1980"/>
      <c r="BE58" s="1454"/>
      <c r="BF58" s="1455"/>
      <c r="BG58" s="1984"/>
      <c r="BH58" s="1977"/>
      <c r="BI58" s="1981"/>
      <c r="BJ58" s="1980"/>
      <c r="BK58" s="1454"/>
      <c r="BL58" s="1455"/>
      <c r="BM58" s="1978"/>
      <c r="BN58" s="1985"/>
      <c r="BO58" s="1625"/>
      <c r="BP58" s="1446"/>
      <c r="BQ58" s="1569"/>
      <c r="BR58" s="1981"/>
    </row>
    <row r="59" spans="1:72" ht="18.600000000000001" thickBot="1" x14ac:dyDescent="0.4">
      <c r="A59" s="2763"/>
      <c r="B59" s="2760"/>
      <c r="C59" s="986"/>
      <c r="D59" s="1986" t="s">
        <v>104</v>
      </c>
      <c r="E59" s="988">
        <v>2.5</v>
      </c>
      <c r="F59" s="964" t="e">
        <f t="shared" si="10"/>
        <v>#DIV/0!</v>
      </c>
      <c r="G59" s="965"/>
      <c r="H59" s="966">
        <f t="shared" si="14"/>
        <v>0</v>
      </c>
      <c r="I59" s="989"/>
      <c r="J59" s="967"/>
      <c r="K59" s="1588">
        <f>J59-$H59</f>
        <v>0</v>
      </c>
      <c r="L59" s="1589">
        <f t="shared" si="11"/>
        <v>0</v>
      </c>
      <c r="M59" s="1589">
        <f t="shared" si="11"/>
        <v>0</v>
      </c>
      <c r="N59" s="1589">
        <f t="shared" si="11"/>
        <v>0</v>
      </c>
      <c r="O59" s="1589">
        <f t="shared" si="11"/>
        <v>0</v>
      </c>
      <c r="P59" s="1589">
        <f t="shared" si="11"/>
        <v>0</v>
      </c>
      <c r="Q59" s="1589">
        <f t="shared" si="11"/>
        <v>0</v>
      </c>
      <c r="R59" s="1589">
        <f t="shared" si="11"/>
        <v>0</v>
      </c>
      <c r="S59" s="1596">
        <f t="shared" si="11"/>
        <v>0</v>
      </c>
      <c r="T59" s="1987"/>
      <c r="U59" s="1590"/>
      <c r="V59" s="1894"/>
      <c r="W59" s="1988"/>
      <c r="X59" s="1894"/>
      <c r="Y59" s="1989"/>
      <c r="Z59" s="1597"/>
      <c r="AA59" s="1598"/>
      <c r="AB59" s="1599"/>
      <c r="AC59" s="1592"/>
      <c r="AD59" s="1593"/>
      <c r="AE59" s="1990"/>
      <c r="AF59" s="1261"/>
      <c r="AG59" s="1653"/>
      <c r="AH59" s="1654"/>
      <c r="AI59" s="1636"/>
      <c r="AJ59" s="1636"/>
      <c r="AK59" s="1991"/>
      <c r="AL59" s="1992"/>
      <c r="AM59" s="1598"/>
      <c r="AN59" s="1599"/>
      <c r="AO59" s="1593"/>
      <c r="AP59" s="1594"/>
      <c r="AQ59" s="1993"/>
      <c r="AR59" s="1992"/>
      <c r="AS59" s="1598"/>
      <c r="AT59" s="1599"/>
      <c r="AU59" s="1593"/>
      <c r="AV59" s="1594"/>
      <c r="AW59" s="1594"/>
      <c r="AX59" s="1992"/>
      <c r="AY59" s="1598"/>
      <c r="AZ59" s="1994"/>
      <c r="BA59" s="1995"/>
      <c r="BB59" s="1592"/>
      <c r="BC59" s="1601"/>
      <c r="BD59" s="1992"/>
      <c r="BE59" s="1598"/>
      <c r="BF59" s="1599"/>
      <c r="BG59" s="1600"/>
      <c r="BH59" s="1592"/>
      <c r="BI59" s="1993"/>
      <c r="BJ59" s="1992"/>
      <c r="BK59" s="1598"/>
      <c r="BL59" s="1599"/>
      <c r="BM59" s="1593"/>
      <c r="BN59" s="1996"/>
      <c r="BO59" s="1601"/>
      <c r="BP59" s="1602"/>
      <c r="BQ59" s="1593"/>
      <c r="BR59" s="1993"/>
    </row>
    <row r="60" spans="1:72" ht="18" customHeight="1" x14ac:dyDescent="0.3">
      <c r="A60" s="2755"/>
      <c r="B60" s="2758" t="s">
        <v>106</v>
      </c>
      <c r="C60" s="1997"/>
      <c r="D60" s="953" t="s">
        <v>102</v>
      </c>
      <c r="E60" s="993">
        <v>8.1999999999999993</v>
      </c>
      <c r="F60" s="955">
        <f t="shared" si="10"/>
        <v>0</v>
      </c>
      <c r="G60" s="956">
        <v>75</v>
      </c>
      <c r="H60" s="957">
        <f t="shared" si="14"/>
        <v>615</v>
      </c>
      <c r="I60" s="994">
        <v>8000</v>
      </c>
      <c r="J60" s="958"/>
      <c r="K60" s="1789">
        <f>J60-H60</f>
        <v>-615</v>
      </c>
      <c r="L60" s="1790">
        <f>(K60-$H60)+AA60</f>
        <v>-1230</v>
      </c>
      <c r="M60" s="2016">
        <v>4000</v>
      </c>
      <c r="N60" s="1790">
        <f>(M60-$H60)+AC60</f>
        <v>3385</v>
      </c>
      <c r="O60" s="1790">
        <f>(N60-$H60)+AE60</f>
        <v>2770</v>
      </c>
      <c r="P60" s="1790">
        <f>(O60-$H60)+AF60</f>
        <v>2155</v>
      </c>
      <c r="Q60" s="1790">
        <f>(P60-$H60)+AG60</f>
        <v>1540</v>
      </c>
      <c r="R60" s="1790">
        <f>(Q60-$H60)+AH60</f>
        <v>925</v>
      </c>
      <c r="S60" s="1628">
        <f>(R60-$H60)+AI60</f>
        <v>310</v>
      </c>
      <c r="T60" s="1791"/>
      <c r="U60" s="1242"/>
      <c r="V60" s="1790"/>
      <c r="W60" s="1628"/>
      <c r="X60" s="1790"/>
      <c r="Y60" s="1853"/>
      <c r="Z60" s="1246">
        <v>4000</v>
      </c>
      <c r="AA60" s="1580"/>
      <c r="AB60" s="1581"/>
      <c r="AC60" s="1575"/>
      <c r="AD60" s="1576"/>
      <c r="AE60" s="1966"/>
      <c r="AF60" s="1246"/>
      <c r="AG60" s="1580"/>
      <c r="AH60" s="1581"/>
      <c r="AI60" s="1575"/>
      <c r="AJ60" s="1575"/>
      <c r="AK60" s="1967"/>
      <c r="AL60" s="1968"/>
      <c r="AM60" s="1580"/>
      <c r="AN60" s="1581"/>
      <c r="AO60" s="1575"/>
      <c r="AP60" s="1575"/>
      <c r="AQ60" s="1967"/>
      <c r="AR60" s="1968"/>
      <c r="AS60" s="1580"/>
      <c r="AT60" s="1581"/>
      <c r="AU60" s="1582"/>
      <c r="AV60" s="1575"/>
      <c r="AW60" s="1575"/>
      <c r="AX60" s="1968"/>
      <c r="AY60" s="1580"/>
      <c r="AZ60" s="1969"/>
      <c r="BA60" s="1970"/>
      <c r="BB60" s="1575"/>
      <c r="BC60" s="1630"/>
      <c r="BD60" s="1968"/>
      <c r="BE60" s="1580"/>
      <c r="BF60" s="1581"/>
      <c r="BG60" s="1582"/>
      <c r="BH60" s="1575"/>
      <c r="BI60" s="1967"/>
      <c r="BJ60" s="1968"/>
      <c r="BK60" s="1580"/>
      <c r="BL60" s="1581"/>
      <c r="BM60" s="1583"/>
      <c r="BN60" s="1998"/>
      <c r="BO60" s="1630"/>
      <c r="BP60" s="1631"/>
      <c r="BQ60" s="1576"/>
      <c r="BR60" s="1967"/>
    </row>
    <row r="61" spans="1:72" ht="18.600000000000001" customHeight="1" x14ac:dyDescent="0.3">
      <c r="A61" s="2756"/>
      <c r="B61" s="2759"/>
      <c r="C61" s="1999"/>
      <c r="D61" s="225" t="s">
        <v>103</v>
      </c>
      <c r="E61" s="2000">
        <v>7</v>
      </c>
      <c r="F61" s="948">
        <f t="shared" si="10"/>
        <v>0</v>
      </c>
      <c r="G61" s="482">
        <v>25</v>
      </c>
      <c r="H61" s="949">
        <f t="shared" si="14"/>
        <v>175</v>
      </c>
      <c r="I61" s="2001">
        <v>2000</v>
      </c>
      <c r="J61" s="950"/>
      <c r="K61" s="1560">
        <f>J61-$H61</f>
        <v>-175</v>
      </c>
      <c r="L61" s="1274">
        <f t="shared" ref="L61:S62" si="15">K61-$H61</f>
        <v>-350</v>
      </c>
      <c r="M61" s="1963">
        <v>1000</v>
      </c>
      <c r="N61" s="1274">
        <f t="shared" si="15"/>
        <v>825</v>
      </c>
      <c r="O61" s="1274">
        <f t="shared" si="15"/>
        <v>650</v>
      </c>
      <c r="P61" s="1274">
        <f t="shared" si="15"/>
        <v>475</v>
      </c>
      <c r="Q61" s="1274">
        <f t="shared" si="15"/>
        <v>300</v>
      </c>
      <c r="R61" s="1274">
        <f t="shared" si="15"/>
        <v>125</v>
      </c>
      <c r="S61" s="1565">
        <f t="shared" si="15"/>
        <v>-50</v>
      </c>
      <c r="T61" s="1746"/>
      <c r="U61" s="1273"/>
      <c r="V61" s="1183"/>
      <c r="W61" s="1744"/>
      <c r="X61" s="1183"/>
      <c r="Y61" s="2002"/>
      <c r="Z61" s="1201"/>
      <c r="AA61" s="1118"/>
      <c r="AB61" s="1117"/>
      <c r="AC61" s="1286"/>
      <c r="AD61" s="1978"/>
      <c r="AE61" s="1979"/>
      <c r="AF61" s="1201"/>
      <c r="AG61" s="1118"/>
      <c r="AH61" s="1117"/>
      <c r="AI61" s="1285"/>
      <c r="AJ61" s="1977"/>
      <c r="AK61" s="1983"/>
      <c r="AL61" s="1283"/>
      <c r="AM61" s="1118">
        <v>1000</v>
      </c>
      <c r="AN61" s="1117"/>
      <c r="AO61" s="1977"/>
      <c r="AP61" s="1977"/>
      <c r="AQ61" s="1981"/>
      <c r="AR61" s="1572"/>
      <c r="AS61" s="1118"/>
      <c r="AT61" s="1117"/>
      <c r="AU61" s="1284"/>
      <c r="AV61" s="1286"/>
      <c r="AW61" s="1286"/>
      <c r="AX61" s="1283"/>
      <c r="AY61" s="1118"/>
      <c r="AZ61" s="1119"/>
      <c r="BA61" s="2003"/>
      <c r="BB61" s="1977"/>
      <c r="BC61" s="1983"/>
      <c r="BD61" s="1283"/>
      <c r="BE61" s="1118"/>
      <c r="BF61" s="1117"/>
      <c r="BG61" s="1284"/>
      <c r="BH61" s="1286"/>
      <c r="BI61" s="1573"/>
      <c r="BJ61" s="1283"/>
      <c r="BK61" s="1118"/>
      <c r="BL61" s="1117"/>
      <c r="BM61" s="1285"/>
      <c r="BN61" s="2004"/>
      <c r="BO61" s="1568"/>
      <c r="BP61" s="1647"/>
      <c r="BQ61" s="1279"/>
      <c r="BR61" s="1625"/>
    </row>
    <row r="62" spans="1:72" ht="21" customHeight="1" thickBot="1" x14ac:dyDescent="0.35">
      <c r="A62" s="2757"/>
      <c r="B62" s="2760"/>
      <c r="C62" s="2005"/>
      <c r="D62" s="1024" t="s">
        <v>104</v>
      </c>
      <c r="E62" s="2006">
        <v>2.5</v>
      </c>
      <c r="F62" s="964" t="e">
        <f t="shared" si="10"/>
        <v>#DIV/0!</v>
      </c>
      <c r="G62" s="2007"/>
      <c r="H62" s="966">
        <f t="shared" si="14"/>
        <v>0</v>
      </c>
      <c r="I62" s="989"/>
      <c r="J62" s="989"/>
      <c r="K62" s="1588">
        <f>J62-$H62</f>
        <v>0</v>
      </c>
      <c r="L62" s="1589">
        <f t="shared" si="11"/>
        <v>0</v>
      </c>
      <c r="M62" s="1589">
        <f t="shared" si="15"/>
        <v>0</v>
      </c>
      <c r="N62" s="1589">
        <f t="shared" si="15"/>
        <v>0</v>
      </c>
      <c r="O62" s="1589">
        <f t="shared" si="15"/>
        <v>0</v>
      </c>
      <c r="P62" s="1589">
        <f t="shared" si="15"/>
        <v>0</v>
      </c>
      <c r="Q62" s="1589">
        <f t="shared" si="15"/>
        <v>0</v>
      </c>
      <c r="R62" s="1589">
        <f t="shared" si="15"/>
        <v>0</v>
      </c>
      <c r="S62" s="1596">
        <f t="shared" si="15"/>
        <v>0</v>
      </c>
      <c r="T62" s="2008"/>
      <c r="U62" s="1804"/>
      <c r="V62" s="1925"/>
      <c r="W62" s="2009"/>
      <c r="X62" s="1925"/>
      <c r="Y62" s="2010"/>
      <c r="Z62" s="1592"/>
      <c r="AA62" s="1598"/>
      <c r="AB62" s="1599"/>
      <c r="AC62" s="1636"/>
      <c r="AD62" s="1306"/>
      <c r="AE62" s="1990"/>
      <c r="AF62" s="1597"/>
      <c r="AG62" s="1598"/>
      <c r="AH62" s="1599"/>
      <c r="AI62" s="1593"/>
      <c r="AJ62" s="1592"/>
      <c r="AK62" s="1601"/>
      <c r="AL62" s="1639"/>
      <c r="AM62" s="1653"/>
      <c r="AN62" s="1654"/>
      <c r="AO62" s="1593"/>
      <c r="AP62" s="1594"/>
      <c r="AQ62" s="1993"/>
      <c r="AR62" s="1639"/>
      <c r="AS62" s="1598"/>
      <c r="AT62" s="1599"/>
      <c r="AU62" s="1635"/>
      <c r="AV62" s="1636"/>
      <c r="AW62" s="1636"/>
      <c r="AX62" s="1639"/>
      <c r="AY62" s="1598"/>
      <c r="AZ62" s="1599"/>
      <c r="BA62" s="1634"/>
      <c r="BB62" s="1638"/>
      <c r="BC62" s="1993"/>
      <c r="BD62" s="1639"/>
      <c r="BE62" s="1598"/>
      <c r="BF62" s="1599"/>
      <c r="BG62" s="1635"/>
      <c r="BH62" s="1636"/>
      <c r="BI62" s="1991"/>
      <c r="BJ62" s="1639"/>
      <c r="BK62" s="1653"/>
      <c r="BL62" s="1654"/>
      <c r="BM62" s="1593"/>
      <c r="BN62" s="2011"/>
      <c r="BO62" s="1642"/>
      <c r="BP62" s="1643"/>
      <c r="BQ62" s="1593"/>
      <c r="BR62" s="1993"/>
    </row>
    <row r="63" spans="1:72" s="1" customFormat="1" ht="21" customHeight="1" thickBot="1" x14ac:dyDescent="0.35">
      <c r="A63" s="48"/>
      <c r="B63" s="938"/>
      <c r="D63" s="939"/>
      <c r="E63" s="940"/>
      <c r="F63" s="941"/>
      <c r="G63" s="48"/>
      <c r="H63" s="939"/>
      <c r="I63" s="815"/>
      <c r="J63" s="815"/>
      <c r="K63" s="1552"/>
      <c r="L63" s="1552"/>
      <c r="M63" s="1552"/>
      <c r="N63" s="1552"/>
      <c r="O63" s="1552"/>
      <c r="P63" s="1552"/>
      <c r="Q63" s="1552"/>
      <c r="R63" s="1552"/>
      <c r="S63" s="1552"/>
      <c r="T63" s="1862"/>
      <c r="U63" s="1552"/>
      <c r="V63" s="1552"/>
      <c r="W63" s="1552"/>
      <c r="X63" s="1552"/>
      <c r="Y63" s="1863"/>
      <c r="Z63" s="1085">
        <f>SUM(Z47:Z56)</f>
        <v>4000</v>
      </c>
      <c r="AA63" s="1085">
        <f t="shared" ref="AA63:BO63" si="16">SUM(AA47:AA56)</f>
        <v>0</v>
      </c>
      <c r="AB63" s="1085">
        <f t="shared" si="16"/>
        <v>0</v>
      </c>
      <c r="AC63" s="1085">
        <f t="shared" si="16"/>
        <v>0</v>
      </c>
      <c r="AD63" s="1085">
        <f t="shared" si="16"/>
        <v>0</v>
      </c>
      <c r="AE63" s="1308">
        <f t="shared" si="16"/>
        <v>0</v>
      </c>
      <c r="AF63" s="1085">
        <f t="shared" si="16"/>
        <v>0</v>
      </c>
      <c r="AG63" s="1085">
        <f t="shared" si="16"/>
        <v>0</v>
      </c>
      <c r="AH63" s="1085">
        <f t="shared" si="16"/>
        <v>0</v>
      </c>
      <c r="AI63" s="1085">
        <f t="shared" si="16"/>
        <v>0</v>
      </c>
      <c r="AJ63" s="1085">
        <f t="shared" si="16"/>
        <v>0</v>
      </c>
      <c r="AK63" s="1309">
        <f t="shared" si="16"/>
        <v>0</v>
      </c>
      <c r="AL63" s="1310">
        <f t="shared" si="16"/>
        <v>0</v>
      </c>
      <c r="AM63" s="1085">
        <f t="shared" si="16"/>
        <v>0</v>
      </c>
      <c r="AN63" s="1085">
        <f t="shared" si="16"/>
        <v>0</v>
      </c>
      <c r="AO63" s="1085">
        <f t="shared" si="16"/>
        <v>0</v>
      </c>
      <c r="AP63" s="1085">
        <f t="shared" si="16"/>
        <v>0</v>
      </c>
      <c r="AQ63" s="1309">
        <f t="shared" si="16"/>
        <v>0</v>
      </c>
      <c r="AR63" s="1310">
        <f t="shared" si="16"/>
        <v>0</v>
      </c>
      <c r="AS63" s="1085">
        <f t="shared" si="16"/>
        <v>0</v>
      </c>
      <c r="AT63" s="1085">
        <f t="shared" si="16"/>
        <v>0</v>
      </c>
      <c r="AU63" s="1085">
        <f t="shared" si="16"/>
        <v>0</v>
      </c>
      <c r="AV63" s="1085">
        <f t="shared" si="16"/>
        <v>0</v>
      </c>
      <c r="AW63" s="1085">
        <f t="shared" si="16"/>
        <v>0</v>
      </c>
      <c r="AX63" s="1310">
        <f t="shared" si="16"/>
        <v>0</v>
      </c>
      <c r="AY63" s="1085">
        <f t="shared" si="16"/>
        <v>0</v>
      </c>
      <c r="AZ63" s="1085">
        <f t="shared" si="16"/>
        <v>4000</v>
      </c>
      <c r="BA63" s="1085">
        <f t="shared" si="16"/>
        <v>0</v>
      </c>
      <c r="BB63" s="1085">
        <f t="shared" si="16"/>
        <v>0</v>
      </c>
      <c r="BC63" s="1309">
        <f t="shared" si="16"/>
        <v>0</v>
      </c>
      <c r="BD63" s="1310">
        <f t="shared" si="16"/>
        <v>0</v>
      </c>
      <c r="BE63" s="1085">
        <f t="shared" si="16"/>
        <v>0</v>
      </c>
      <c r="BF63" s="1085">
        <f t="shared" si="16"/>
        <v>0</v>
      </c>
      <c r="BG63" s="1085">
        <f t="shared" si="16"/>
        <v>0</v>
      </c>
      <c r="BH63" s="1085">
        <f t="shared" si="16"/>
        <v>0</v>
      </c>
      <c r="BI63" s="1309">
        <f t="shared" si="16"/>
        <v>0</v>
      </c>
      <c r="BJ63" s="1310">
        <f t="shared" si="16"/>
        <v>0</v>
      </c>
      <c r="BK63" s="1085">
        <f t="shared" si="16"/>
        <v>0</v>
      </c>
      <c r="BL63" s="1085">
        <f t="shared" si="16"/>
        <v>0</v>
      </c>
      <c r="BM63" s="1085">
        <f t="shared" si="16"/>
        <v>0</v>
      </c>
      <c r="BN63" s="1085">
        <f t="shared" si="16"/>
        <v>0</v>
      </c>
      <c r="BO63" s="1309">
        <f t="shared" si="16"/>
        <v>0</v>
      </c>
      <c r="BP63" s="1310"/>
      <c r="BQ63" s="1085"/>
      <c r="BR63" s="1309"/>
      <c r="BS63" s="1085">
        <f>SUM(Z63:BR63)</f>
        <v>8000</v>
      </c>
      <c r="BT63" s="1192">
        <f>SUM(BT47:BT56)</f>
        <v>8000</v>
      </c>
    </row>
    <row r="64" spans="1:72" s="1" customFormat="1" ht="21" customHeight="1" thickTop="1" thickBot="1" x14ac:dyDescent="0.35">
      <c r="A64" s="875" t="s">
        <v>300</v>
      </c>
      <c r="B64" s="876"/>
      <c r="C64" s="877"/>
      <c r="E64" s="79"/>
      <c r="F64" s="712"/>
      <c r="I64" s="815"/>
      <c r="J64" s="815"/>
      <c r="K64" s="1085"/>
      <c r="L64" s="1085"/>
      <c r="M64" s="1085"/>
      <c r="N64" s="1085"/>
      <c r="O64" s="1085"/>
      <c r="P64" s="1085"/>
      <c r="Q64" s="1085"/>
      <c r="R64" s="1085"/>
      <c r="S64" s="1085"/>
      <c r="T64" s="1310"/>
      <c r="U64" s="1085"/>
      <c r="V64" s="1085"/>
      <c r="W64" s="1085"/>
      <c r="X64" s="1085"/>
      <c r="Y64" s="1309"/>
      <c r="Z64" s="1085"/>
      <c r="AA64" s="1133"/>
      <c r="AB64" s="1085"/>
      <c r="AC64" s="1085"/>
      <c r="AD64" s="1085"/>
      <c r="AE64" s="1308"/>
      <c r="AF64" s="1133"/>
      <c r="AG64" s="1085"/>
      <c r="AH64" s="1085"/>
      <c r="AI64" s="1085"/>
      <c r="AJ64" s="1085"/>
      <c r="AK64" s="1309"/>
      <c r="AL64" s="1310"/>
      <c r="AM64" s="1085"/>
      <c r="AN64" s="1133"/>
      <c r="AO64" s="1085"/>
      <c r="AP64" s="1085"/>
      <c r="AQ64" s="1309"/>
      <c r="AR64" s="1310"/>
      <c r="AS64" s="1085"/>
      <c r="AT64" s="1085"/>
      <c r="AU64" s="1311"/>
      <c r="AV64" s="1085"/>
      <c r="AW64" s="1085"/>
      <c r="AX64" s="1310"/>
      <c r="AY64" s="1085"/>
      <c r="AZ64" s="1085"/>
      <c r="BA64" s="1085"/>
      <c r="BB64" s="1085"/>
      <c r="BC64" s="1309"/>
      <c r="BD64" s="1310"/>
      <c r="BE64" s="1133"/>
      <c r="BF64" s="1133"/>
      <c r="BG64" s="1085"/>
      <c r="BH64" s="1085"/>
      <c r="BI64" s="1309"/>
      <c r="BJ64" s="1310"/>
      <c r="BK64" s="1085"/>
      <c r="BL64" s="1133"/>
      <c r="BM64" s="1085"/>
      <c r="BN64" s="1085"/>
      <c r="BO64" s="1309"/>
      <c r="BP64" s="1310"/>
      <c r="BQ64" s="1085"/>
      <c r="BR64" s="1309"/>
    </row>
    <row r="65" spans="1:71" s="1" customFormat="1" ht="21" customHeight="1" thickTop="1" thickBot="1" x14ac:dyDescent="0.35">
      <c r="A65" s="1008" t="s">
        <v>29</v>
      </c>
      <c r="B65" s="885" t="s">
        <v>30</v>
      </c>
      <c r="C65" s="886" t="s">
        <v>31</v>
      </c>
      <c r="D65" s="887" t="s">
        <v>2</v>
      </c>
      <c r="E65" s="888" t="s">
        <v>32</v>
      </c>
      <c r="F65" s="888" t="s">
        <v>33</v>
      </c>
      <c r="G65" s="889" t="s">
        <v>34</v>
      </c>
      <c r="H65" s="890" t="s">
        <v>35</v>
      </c>
      <c r="I65" s="891" t="s">
        <v>36</v>
      </c>
      <c r="J65" s="811" t="s">
        <v>37</v>
      </c>
      <c r="K65" s="1312" t="s">
        <v>38</v>
      </c>
      <c r="L65" s="1313" t="s">
        <v>39</v>
      </c>
      <c r="M65" s="1313" t="s">
        <v>40</v>
      </c>
      <c r="N65" s="1313" t="s">
        <v>41</v>
      </c>
      <c r="O65" s="1313" t="s">
        <v>42</v>
      </c>
      <c r="P65" s="1313" t="s">
        <v>43</v>
      </c>
      <c r="Q65" s="1314" t="s">
        <v>44</v>
      </c>
      <c r="R65" s="1313" t="s">
        <v>38</v>
      </c>
      <c r="S65" s="1314" t="s">
        <v>45</v>
      </c>
      <c r="T65" s="1931" t="s">
        <v>457</v>
      </c>
      <c r="U65" s="1932" t="s">
        <v>458</v>
      </c>
      <c r="V65" s="1739" t="s">
        <v>345</v>
      </c>
      <c r="W65" s="1933" t="s">
        <v>459</v>
      </c>
      <c r="X65" s="1932" t="s">
        <v>460</v>
      </c>
      <c r="Y65" s="1934" t="s">
        <v>461</v>
      </c>
      <c r="Z65" s="1557" t="s">
        <v>301</v>
      </c>
      <c r="AA65" s="1318" t="s">
        <v>302</v>
      </c>
      <c r="AB65" s="1315" t="s">
        <v>303</v>
      </c>
      <c r="AC65" s="1553" t="s">
        <v>304</v>
      </c>
      <c r="AD65" s="1318" t="s">
        <v>306</v>
      </c>
      <c r="AE65" s="1554" t="s">
        <v>305</v>
      </c>
      <c r="AF65" s="1317" t="s">
        <v>310</v>
      </c>
      <c r="AG65" s="1318" t="s">
        <v>311</v>
      </c>
      <c r="AH65" s="1317" t="s">
        <v>312</v>
      </c>
      <c r="AI65" s="1318" t="s">
        <v>313</v>
      </c>
      <c r="AJ65" s="1317" t="s">
        <v>314</v>
      </c>
      <c r="AK65" s="1318" t="s">
        <v>315</v>
      </c>
      <c r="AL65" s="1318" t="s">
        <v>317</v>
      </c>
      <c r="AM65" s="1555" t="s">
        <v>318</v>
      </c>
      <c r="AN65" s="1318" t="s">
        <v>319</v>
      </c>
      <c r="AO65" s="1556" t="s">
        <v>320</v>
      </c>
      <c r="AP65" s="1318" t="s">
        <v>321</v>
      </c>
      <c r="AQ65" s="1556" t="s">
        <v>322</v>
      </c>
      <c r="AR65" s="1318" t="s">
        <v>324</v>
      </c>
      <c r="AS65" s="1555" t="s">
        <v>325</v>
      </c>
      <c r="AT65" s="1318" t="s">
        <v>326</v>
      </c>
      <c r="AU65" s="1556" t="s">
        <v>327</v>
      </c>
      <c r="AV65" s="1318" t="s">
        <v>328</v>
      </c>
      <c r="AW65" s="1557" t="s">
        <v>329</v>
      </c>
      <c r="AX65" s="1556" t="s">
        <v>331</v>
      </c>
      <c r="AY65" s="1318" t="s">
        <v>332</v>
      </c>
      <c r="AZ65" s="1557" t="s">
        <v>333</v>
      </c>
      <c r="BA65" s="1318" t="s">
        <v>334</v>
      </c>
      <c r="BB65" s="1556" t="s">
        <v>335</v>
      </c>
      <c r="BC65" s="1318" t="s">
        <v>336</v>
      </c>
      <c r="BD65" s="1556" t="s">
        <v>337</v>
      </c>
      <c r="BE65" s="1318" t="s">
        <v>338</v>
      </c>
      <c r="BF65" s="1557" t="s">
        <v>339</v>
      </c>
      <c r="BG65" s="1318" t="s">
        <v>340</v>
      </c>
      <c r="BH65" s="1556" t="s">
        <v>341</v>
      </c>
      <c r="BI65" s="1556" t="s">
        <v>342</v>
      </c>
      <c r="BJ65" s="1318" t="s">
        <v>343</v>
      </c>
      <c r="BK65" s="1558" t="s">
        <v>344</v>
      </c>
      <c r="BL65" s="1318" t="s">
        <v>345</v>
      </c>
      <c r="BM65" s="1318" t="s">
        <v>346</v>
      </c>
      <c r="BN65" s="1559" t="s">
        <v>347</v>
      </c>
      <c r="BO65" s="1326" t="s">
        <v>348</v>
      </c>
      <c r="BP65" s="1327" t="s">
        <v>70</v>
      </c>
      <c r="BQ65" s="1317" t="s">
        <v>71</v>
      </c>
      <c r="BR65" s="1328" t="s">
        <v>72</v>
      </c>
    </row>
    <row r="66" spans="1:71" s="1" customFormat="1" ht="21" customHeight="1" x14ac:dyDescent="0.35">
      <c r="A66" s="2753"/>
      <c r="B66" s="866"/>
      <c r="C66" s="942"/>
      <c r="D66" s="290" t="s">
        <v>293</v>
      </c>
      <c r="E66" s="943"/>
      <c r="F66" s="944" t="e">
        <f t="shared" ref="F66:F77" si="17">(BR66/G66)/7</f>
        <v>#DIV/0!</v>
      </c>
      <c r="G66" s="480"/>
      <c r="H66" s="945">
        <f>G66*E66</f>
        <v>0</v>
      </c>
      <c r="I66" s="826"/>
      <c r="J66" s="826"/>
      <c r="K66" s="1560">
        <f>J66-H66</f>
        <v>0</v>
      </c>
      <c r="L66" s="1963">
        <v>2000</v>
      </c>
      <c r="M66" s="1274">
        <f t="shared" ref="M66:S76" si="18">L66-$H66</f>
        <v>2000</v>
      </c>
      <c r="N66" s="1274">
        <f t="shared" si="18"/>
        <v>2000</v>
      </c>
      <c r="O66" s="1274">
        <f t="shared" si="18"/>
        <v>2000</v>
      </c>
      <c r="P66" s="1274">
        <f t="shared" si="18"/>
        <v>2000</v>
      </c>
      <c r="Q66" s="1273">
        <f t="shared" si="18"/>
        <v>2000</v>
      </c>
      <c r="R66" s="1274">
        <f t="shared" si="18"/>
        <v>2000</v>
      </c>
      <c r="S66" s="1273">
        <f t="shared" si="18"/>
        <v>2000</v>
      </c>
      <c r="T66" s="1848"/>
      <c r="U66" s="1885"/>
      <c r="V66" s="1222"/>
      <c r="W66" s="1885"/>
      <c r="X66" s="1222"/>
      <c r="Y66" s="1923"/>
      <c r="Z66" s="1622"/>
      <c r="AA66" s="1274"/>
      <c r="AB66" s="1560"/>
      <c r="AC66" s="1273"/>
      <c r="AD66" s="1274"/>
      <c r="AE66" s="1561"/>
      <c r="AF66" s="1562">
        <v>2000</v>
      </c>
      <c r="AG66" s="1279"/>
      <c r="AH66" s="1562"/>
      <c r="AI66" s="1279"/>
      <c r="AJ66" s="1562"/>
      <c r="AK66" s="1279"/>
      <c r="AL66" s="1274"/>
      <c r="AM66" s="1273"/>
      <c r="AN66" s="1274"/>
      <c r="AO66" s="1273"/>
      <c r="AP66" s="1274"/>
      <c r="AQ66" s="1563"/>
      <c r="AR66" s="1279"/>
      <c r="AS66" s="1562"/>
      <c r="AT66" s="1279"/>
      <c r="AU66" s="1279"/>
      <c r="AV66" s="1279"/>
      <c r="AW66" s="1562"/>
      <c r="AX66" s="1564"/>
      <c r="AY66" s="1274"/>
      <c r="AZ66" s="1273"/>
      <c r="BA66" s="1274"/>
      <c r="BB66" s="1565"/>
      <c r="BC66" s="1279"/>
      <c r="BD66" s="1179"/>
      <c r="BE66" s="1566"/>
      <c r="BF66" s="1276"/>
      <c r="BG66" s="1278"/>
      <c r="BH66" s="1562"/>
      <c r="BI66" s="1563"/>
      <c r="BJ66" s="1279"/>
      <c r="BK66" s="1567"/>
      <c r="BL66" s="1279"/>
      <c r="BM66" s="1279"/>
      <c r="BN66" s="1279"/>
      <c r="BO66" s="1568"/>
      <c r="BP66" s="1446">
        <f>SUM('[3]Porta Wk 16'!T66:BI66)</f>
        <v>0</v>
      </c>
      <c r="BQ66" s="1569"/>
      <c r="BR66" s="1570"/>
    </row>
    <row r="67" spans="1:71" s="1" customFormat="1" ht="18.600000000000001" thickBot="1" x14ac:dyDescent="0.4">
      <c r="A67" s="2754"/>
      <c r="B67" s="867"/>
      <c r="C67" s="946"/>
      <c r="D67" s="290" t="s">
        <v>293</v>
      </c>
      <c r="E67" s="947"/>
      <c r="F67" s="948" t="e">
        <f t="shared" si="17"/>
        <v>#DIV/0!</v>
      </c>
      <c r="G67" s="482"/>
      <c r="H67" s="949">
        <f>G67*E67</f>
        <v>0</v>
      </c>
      <c r="I67" s="950"/>
      <c r="J67" s="950"/>
      <c r="K67" s="1395">
        <f>J67-$H67</f>
        <v>0</v>
      </c>
      <c r="L67" s="1194">
        <f>K67-$H67</f>
        <v>0</v>
      </c>
      <c r="M67" s="1194">
        <f t="shared" si="18"/>
        <v>0</v>
      </c>
      <c r="N67" s="1194">
        <f t="shared" si="18"/>
        <v>0</v>
      </c>
      <c r="O67" s="1194">
        <f t="shared" si="18"/>
        <v>0</v>
      </c>
      <c r="P67" s="1194">
        <f t="shared" si="18"/>
        <v>0</v>
      </c>
      <c r="Q67" s="1194">
        <f t="shared" si="18"/>
        <v>0</v>
      </c>
      <c r="R67" s="1194">
        <f t="shared" si="18"/>
        <v>0</v>
      </c>
      <c r="S67" s="1342">
        <f t="shared" si="18"/>
        <v>0</v>
      </c>
      <c r="T67" s="1850"/>
      <c r="U67" s="1220"/>
      <c r="V67" s="1827"/>
      <c r="W67" s="1220"/>
      <c r="X67" s="1827"/>
      <c r="Y67" s="1920"/>
      <c r="Z67" s="1600"/>
      <c r="AA67" s="1194"/>
      <c r="AB67" s="1395"/>
      <c r="AC67" s="1193"/>
      <c r="AD67" s="1280"/>
      <c r="AE67" s="1571"/>
      <c r="AF67" s="1286"/>
      <c r="AG67" s="1285"/>
      <c r="AH67" s="1286"/>
      <c r="AI67" s="1285"/>
      <c r="AJ67" s="1286"/>
      <c r="AK67" s="1285"/>
      <c r="AL67" s="1194"/>
      <c r="AM67" s="1193"/>
      <c r="AN67" s="1194"/>
      <c r="AO67" s="1193"/>
      <c r="AP67" s="1194"/>
      <c r="AQ67" s="1450"/>
      <c r="AR67" s="1285"/>
      <c r="AS67" s="1286"/>
      <c r="AT67" s="1285"/>
      <c r="AU67" s="1285"/>
      <c r="AV67" s="1285"/>
      <c r="AW67" s="1286"/>
      <c r="AX67" s="1572"/>
      <c r="AY67" s="1194"/>
      <c r="AZ67" s="1193"/>
      <c r="BA67" s="1194"/>
      <c r="BB67" s="1342"/>
      <c r="BC67" s="1285"/>
      <c r="BD67" s="1201"/>
      <c r="BE67" s="1118"/>
      <c r="BF67" s="1117"/>
      <c r="BG67" s="1284"/>
      <c r="BH67" s="1286"/>
      <c r="BI67" s="1450"/>
      <c r="BJ67" s="1285"/>
      <c r="BK67" s="1286"/>
      <c r="BL67" s="1285"/>
      <c r="BM67" s="1279"/>
      <c r="BN67" s="1279"/>
      <c r="BO67" s="1568"/>
      <c r="BP67" s="1449">
        <f>SUM('[3]Porta Wk 16'!T67:BI67)</f>
        <v>0</v>
      </c>
      <c r="BQ67" s="1285"/>
      <c r="BR67" s="1573"/>
    </row>
    <row r="68" spans="1:71" s="1" customFormat="1" ht="18" x14ac:dyDescent="0.35">
      <c r="A68" s="951"/>
      <c r="B68" s="869"/>
      <c r="C68" s="952"/>
      <c r="D68" s="953" t="s">
        <v>294</v>
      </c>
      <c r="E68" s="954"/>
      <c r="F68" s="955" t="e">
        <f t="shared" si="17"/>
        <v>#DIV/0!</v>
      </c>
      <c r="G68" s="956"/>
      <c r="H68" s="957">
        <f t="shared" ref="H68:H77" si="19">G68*E68</f>
        <v>0</v>
      </c>
      <c r="I68" s="958"/>
      <c r="J68" s="958"/>
      <c r="K68" s="1375">
        <f>(J68-$H68)+Z68</f>
        <v>0</v>
      </c>
      <c r="L68" s="1243">
        <f t="shared" ref="L68:L71" si="20">K68-$H68</f>
        <v>0</v>
      </c>
      <c r="M68" s="1243">
        <f t="shared" si="18"/>
        <v>0</v>
      </c>
      <c r="N68" s="1243">
        <f t="shared" si="18"/>
        <v>0</v>
      </c>
      <c r="O68" s="1243">
        <f t="shared" si="18"/>
        <v>0</v>
      </c>
      <c r="P68" s="1243">
        <f t="shared" si="18"/>
        <v>0</v>
      </c>
      <c r="Q68" s="1242">
        <f t="shared" si="18"/>
        <v>0</v>
      </c>
      <c r="R68" s="1243">
        <f t="shared" si="18"/>
        <v>0</v>
      </c>
      <c r="S68" s="1242">
        <f t="shared" si="18"/>
        <v>0</v>
      </c>
      <c r="T68" s="1852"/>
      <c r="U68" s="1790"/>
      <c r="V68" s="1242"/>
      <c r="W68" s="1790"/>
      <c r="X68" s="1242"/>
      <c r="Y68" s="1921"/>
      <c r="Z68" s="1375"/>
      <c r="AA68" s="1243"/>
      <c r="AB68" s="1375"/>
      <c r="AC68" s="1242"/>
      <c r="AD68" s="1243"/>
      <c r="AE68" s="1574"/>
      <c r="AF68" s="1575"/>
      <c r="AG68" s="1576"/>
      <c r="AH68" s="1575"/>
      <c r="AI68" s="1576"/>
      <c r="AJ68" s="1575"/>
      <c r="AK68" s="1576"/>
      <c r="AL68" s="1243"/>
      <c r="AM68" s="1242"/>
      <c r="AN68" s="1243"/>
      <c r="AO68" s="1242"/>
      <c r="AP68" s="1243"/>
      <c r="AQ68" s="1577"/>
      <c r="AR68" s="1576"/>
      <c r="AS68" s="1575"/>
      <c r="AT68" s="1576"/>
      <c r="AU68" s="1576"/>
      <c r="AV68" s="1576"/>
      <c r="AW68" s="1575"/>
      <c r="AX68" s="1578"/>
      <c r="AY68" s="1243"/>
      <c r="AZ68" s="1242"/>
      <c r="BA68" s="1243"/>
      <c r="BB68" s="1579"/>
      <c r="BC68" s="1576"/>
      <c r="BD68" s="1246"/>
      <c r="BE68" s="1580"/>
      <c r="BF68" s="1581"/>
      <c r="BG68" s="1582"/>
      <c r="BH68" s="1575"/>
      <c r="BI68" s="1577"/>
      <c r="BJ68" s="1576"/>
      <c r="BK68" s="1575"/>
      <c r="BL68" s="1576"/>
      <c r="BM68" s="1583"/>
      <c r="BN68" s="1583"/>
      <c r="BO68" s="1584"/>
      <c r="BP68" s="1585">
        <f>SUM('[3]Porta Wk 16'!T68:BI68)</f>
        <v>0</v>
      </c>
      <c r="BQ68" s="1586"/>
      <c r="BR68" s="1587"/>
    </row>
    <row r="69" spans="1:71" s="1" customFormat="1" ht="18.600000000000001" thickBot="1" x14ac:dyDescent="0.4">
      <c r="A69" s="1007"/>
      <c r="B69" s="960"/>
      <c r="C69" s="961"/>
      <c r="D69" s="962" t="s">
        <v>294</v>
      </c>
      <c r="E69" s="963"/>
      <c r="F69" s="964" t="e">
        <f t="shared" si="17"/>
        <v>#DIV/0!</v>
      </c>
      <c r="G69" s="965"/>
      <c r="H69" s="966">
        <f t="shared" si="19"/>
        <v>0</v>
      </c>
      <c r="I69" s="967"/>
      <c r="J69" s="967"/>
      <c r="K69" s="1588">
        <f t="shared" ref="K69:K70" si="21">J69-$H69</f>
        <v>0</v>
      </c>
      <c r="L69" s="1589">
        <f t="shared" si="20"/>
        <v>0</v>
      </c>
      <c r="M69" s="1589">
        <f t="shared" si="18"/>
        <v>0</v>
      </c>
      <c r="N69" s="1589">
        <f t="shared" si="18"/>
        <v>0</v>
      </c>
      <c r="O69" s="1589">
        <f t="shared" si="18"/>
        <v>0</v>
      </c>
      <c r="P69" s="1589">
        <f t="shared" si="18"/>
        <v>0</v>
      </c>
      <c r="Q69" s="1590">
        <f t="shared" si="18"/>
        <v>0</v>
      </c>
      <c r="R69" s="1589">
        <f t="shared" si="18"/>
        <v>0</v>
      </c>
      <c r="S69" s="1590">
        <f t="shared" si="18"/>
        <v>0</v>
      </c>
      <c r="T69" s="1864"/>
      <c r="U69" s="1894"/>
      <c r="V69" s="1590"/>
      <c r="W69" s="1894"/>
      <c r="X69" s="1590"/>
      <c r="Y69" s="1922"/>
      <c r="Z69" s="1588"/>
      <c r="AA69" s="1589"/>
      <c r="AB69" s="1588"/>
      <c r="AC69" s="1590"/>
      <c r="AD69" s="1589"/>
      <c r="AE69" s="1591"/>
      <c r="AF69" s="1592"/>
      <c r="AG69" s="1593"/>
      <c r="AH69" s="1592"/>
      <c r="AI69" s="1593"/>
      <c r="AJ69" s="1592"/>
      <c r="AK69" s="1593"/>
      <c r="AL69" s="1589"/>
      <c r="AM69" s="1590"/>
      <c r="AN69" s="1589"/>
      <c r="AO69" s="1590"/>
      <c r="AP69" s="1589"/>
      <c r="AQ69" s="1594"/>
      <c r="AR69" s="1593"/>
      <c r="AS69" s="1592"/>
      <c r="AT69" s="1593"/>
      <c r="AU69" s="1593"/>
      <c r="AV69" s="1593"/>
      <c r="AW69" s="1592"/>
      <c r="AX69" s="1595"/>
      <c r="AY69" s="1589"/>
      <c r="AZ69" s="1590"/>
      <c r="BA69" s="1589"/>
      <c r="BB69" s="1596"/>
      <c r="BC69" s="1593"/>
      <c r="BD69" s="1597"/>
      <c r="BE69" s="1598"/>
      <c r="BF69" s="1599"/>
      <c r="BG69" s="1600"/>
      <c r="BH69" s="1592"/>
      <c r="BI69" s="1594"/>
      <c r="BJ69" s="1593"/>
      <c r="BK69" s="1592"/>
      <c r="BL69" s="1593"/>
      <c r="BM69" s="1593"/>
      <c r="BN69" s="1593"/>
      <c r="BO69" s="1601"/>
      <c r="BP69" s="1602">
        <f>SUM('[3]Porta Wk 16'!T69:BI69)</f>
        <v>0</v>
      </c>
      <c r="BQ69" s="1593"/>
      <c r="BR69" s="1603"/>
    </row>
    <row r="70" spans="1:71" s="1" customFormat="1" ht="18" x14ac:dyDescent="0.35">
      <c r="A70" s="968"/>
      <c r="B70" s="969"/>
      <c r="C70" s="970"/>
      <c r="D70" s="290" t="s">
        <v>295</v>
      </c>
      <c r="E70" s="971"/>
      <c r="F70" s="944" t="e">
        <f t="shared" si="17"/>
        <v>#DIV/0!</v>
      </c>
      <c r="G70" s="959"/>
      <c r="H70" s="973">
        <f t="shared" si="19"/>
        <v>0</v>
      </c>
      <c r="I70" s="974"/>
      <c r="J70" s="958"/>
      <c r="K70" s="1604">
        <f t="shared" si="21"/>
        <v>0</v>
      </c>
      <c r="L70" s="1243">
        <f t="shared" si="20"/>
        <v>0</v>
      </c>
      <c r="M70" s="1243">
        <f t="shared" si="18"/>
        <v>0</v>
      </c>
      <c r="N70" s="1375">
        <f t="shared" si="18"/>
        <v>0</v>
      </c>
      <c r="O70" s="1375">
        <f t="shared" si="18"/>
        <v>0</v>
      </c>
      <c r="P70" s="1375">
        <f t="shared" si="18"/>
        <v>0</v>
      </c>
      <c r="Q70" s="1375">
        <f t="shared" si="18"/>
        <v>0</v>
      </c>
      <c r="R70" s="1375">
        <f t="shared" si="18"/>
        <v>0</v>
      </c>
      <c r="S70" s="1242">
        <f t="shared" si="18"/>
        <v>0</v>
      </c>
      <c r="T70" s="1852"/>
      <c r="U70" s="1790"/>
      <c r="V70" s="1242"/>
      <c r="W70" s="1790"/>
      <c r="X70" s="1242"/>
      <c r="Y70" s="1921"/>
      <c r="Z70" s="1375"/>
      <c r="AA70" s="1605"/>
      <c r="AB70" s="1606"/>
      <c r="AC70" s="1607"/>
      <c r="AD70" s="1605"/>
      <c r="AE70" s="1608"/>
      <c r="AF70" s="1609"/>
      <c r="AG70" s="1610"/>
      <c r="AH70" s="1609"/>
      <c r="AI70" s="1610"/>
      <c r="AJ70" s="1609"/>
      <c r="AK70" s="1610"/>
      <c r="AL70" s="1605"/>
      <c r="AM70" s="1607"/>
      <c r="AN70" s="1605"/>
      <c r="AO70" s="1607"/>
      <c r="AP70" s="1605"/>
      <c r="AQ70" s="1611"/>
      <c r="AR70" s="1610"/>
      <c r="AS70" s="1609"/>
      <c r="AT70" s="1610"/>
      <c r="AU70" s="1610"/>
      <c r="AV70" s="1610"/>
      <c r="AW70" s="1609"/>
      <c r="AX70" s="1612"/>
      <c r="AY70" s="1605"/>
      <c r="AZ70" s="1607"/>
      <c r="BA70" s="1605"/>
      <c r="BB70" s="1613"/>
      <c r="BC70" s="1610"/>
      <c r="BD70" s="1614"/>
      <c r="BE70" s="1615"/>
      <c r="BF70" s="1616"/>
      <c r="BG70" s="1617"/>
      <c r="BH70" s="1609"/>
      <c r="BI70" s="1611"/>
      <c r="BJ70" s="1610"/>
      <c r="BK70" s="1609"/>
      <c r="BL70" s="1610"/>
      <c r="BM70" s="1610"/>
      <c r="BN70" s="1610"/>
      <c r="BO70" s="1618"/>
      <c r="BP70" s="1619">
        <f>SUM('[3]Porta Wk 16'!T70:BI70)</f>
        <v>0</v>
      </c>
      <c r="BQ70" s="1609"/>
      <c r="BR70" s="1620"/>
    </row>
    <row r="71" spans="1:71" s="1" customFormat="1" ht="18.600000000000001" thickBot="1" x14ac:dyDescent="0.4">
      <c r="A71" s="1009"/>
      <c r="B71" s="870"/>
      <c r="C71" s="986"/>
      <c r="D71" s="975" t="s">
        <v>295</v>
      </c>
      <c r="E71" s="1012"/>
      <c r="F71" s="976" t="e">
        <f t="shared" si="17"/>
        <v>#DIV/0!</v>
      </c>
      <c r="G71" s="972"/>
      <c r="H71" s="1014">
        <f t="shared" si="19"/>
        <v>0</v>
      </c>
      <c r="I71" s="989"/>
      <c r="J71" s="974"/>
      <c r="K71" s="1437">
        <f>J71-H71</f>
        <v>0</v>
      </c>
      <c r="L71" s="1223">
        <f t="shared" si="20"/>
        <v>0</v>
      </c>
      <c r="M71" s="1223">
        <f>L71-H71</f>
        <v>0</v>
      </c>
      <c r="N71" s="1223">
        <f t="shared" si="18"/>
        <v>0</v>
      </c>
      <c r="O71" s="1223">
        <f t="shared" si="18"/>
        <v>0</v>
      </c>
      <c r="P71" s="1223">
        <f t="shared" si="18"/>
        <v>0</v>
      </c>
      <c r="Q71" s="1223">
        <f t="shared" si="18"/>
        <v>0</v>
      </c>
      <c r="R71" s="1223">
        <f t="shared" si="18"/>
        <v>0</v>
      </c>
      <c r="S71" s="1438">
        <f t="shared" si="18"/>
        <v>0</v>
      </c>
      <c r="T71" s="1848"/>
      <c r="U71" s="1885"/>
      <c r="V71" s="1222"/>
      <c r="W71" s="1885"/>
      <c r="X71" s="1222"/>
      <c r="Y71" s="1923"/>
      <c r="Z71" s="1622"/>
      <c r="AA71" s="1621"/>
      <c r="AB71" s="1622"/>
      <c r="AC71" s="1192"/>
      <c r="AD71" s="1621"/>
      <c r="AE71" s="1623"/>
      <c r="AF71" s="1192"/>
      <c r="AG71" s="1621"/>
      <c r="AH71" s="1192"/>
      <c r="AI71" s="1621"/>
      <c r="AJ71" s="1192"/>
      <c r="AK71" s="1621"/>
      <c r="AL71" s="1621"/>
      <c r="AM71" s="1192"/>
      <c r="AN71" s="1621"/>
      <c r="AO71" s="1192"/>
      <c r="AP71" s="1621"/>
      <c r="AQ71" s="1569"/>
      <c r="AR71" s="1621"/>
      <c r="AS71" s="1192"/>
      <c r="AT71" s="1621"/>
      <c r="AU71" s="1621"/>
      <c r="AV71" s="1621"/>
      <c r="AW71" s="1192"/>
      <c r="AX71" s="1624"/>
      <c r="AY71" s="1621"/>
      <c r="AZ71" s="1192"/>
      <c r="BA71" s="1621"/>
      <c r="BB71" s="1192"/>
      <c r="BC71" s="1621"/>
      <c r="BD71" s="1442"/>
      <c r="BE71" s="1439"/>
      <c r="BF71" s="1440"/>
      <c r="BG71" s="1622"/>
      <c r="BH71" s="1192"/>
      <c r="BI71" s="1569"/>
      <c r="BJ71" s="1621"/>
      <c r="BK71" s="1192"/>
      <c r="BL71" s="1621"/>
      <c r="BM71" s="1621"/>
      <c r="BN71" s="1621"/>
      <c r="BO71" s="1625"/>
      <c r="BP71" s="1446">
        <f>SUM('[3]Porta Wk 16'!T71:BI71)</f>
        <v>0</v>
      </c>
      <c r="BQ71" s="1192"/>
      <c r="BR71" s="1626"/>
    </row>
    <row r="72" spans="1:71" s="1" customFormat="1" ht="18" x14ac:dyDescent="0.35">
      <c r="A72" s="1006"/>
      <c r="B72" s="978"/>
      <c r="C72" s="979"/>
      <c r="D72" s="953" t="s">
        <v>296</v>
      </c>
      <c r="E72" s="980"/>
      <c r="F72" s="981" t="e">
        <f t="shared" si="17"/>
        <v>#DIV/0!</v>
      </c>
      <c r="G72" s="982"/>
      <c r="H72" s="983">
        <f t="shared" si="19"/>
        <v>0</v>
      </c>
      <c r="I72" s="984"/>
      <c r="J72" s="958"/>
      <c r="K72" s="1375">
        <f>J72-$H72</f>
        <v>0</v>
      </c>
      <c r="L72" s="1627">
        <f>K72-$H72</f>
        <v>0</v>
      </c>
      <c r="M72" s="1627">
        <f>L72-$H72</f>
        <v>0</v>
      </c>
      <c r="N72" s="1627">
        <f t="shared" si="18"/>
        <v>0</v>
      </c>
      <c r="O72" s="1627">
        <f>N72-H72</f>
        <v>0</v>
      </c>
      <c r="P72" s="1627">
        <f t="shared" si="18"/>
        <v>0</v>
      </c>
      <c r="Q72" s="1627">
        <f>P72-H72</f>
        <v>0</v>
      </c>
      <c r="R72" s="1627">
        <f t="shared" si="18"/>
        <v>0</v>
      </c>
      <c r="S72" s="1628">
        <f t="shared" si="18"/>
        <v>0</v>
      </c>
      <c r="T72" s="1852"/>
      <c r="U72" s="1790"/>
      <c r="V72" s="1242"/>
      <c r="W72" s="1790"/>
      <c r="X72" s="1242"/>
      <c r="Y72" s="1921"/>
      <c r="Z72" s="1582"/>
      <c r="AA72" s="1576"/>
      <c r="AB72" s="1582"/>
      <c r="AC72" s="1575"/>
      <c r="AD72" s="1576"/>
      <c r="AE72" s="1629"/>
      <c r="AF72" s="1575"/>
      <c r="AG72" s="1576"/>
      <c r="AH72" s="1575"/>
      <c r="AI72" s="1576"/>
      <c r="AJ72" s="1575"/>
      <c r="AK72" s="1576"/>
      <c r="AL72" s="1576"/>
      <c r="AM72" s="1575"/>
      <c r="AN72" s="1576"/>
      <c r="AO72" s="1575"/>
      <c r="AP72" s="1576"/>
      <c r="AQ72" s="1577"/>
      <c r="AR72" s="1576"/>
      <c r="AS72" s="1575"/>
      <c r="AT72" s="1576"/>
      <c r="AU72" s="1576"/>
      <c r="AV72" s="1576"/>
      <c r="AW72" s="1575"/>
      <c r="AX72" s="1578"/>
      <c r="AY72" s="1576"/>
      <c r="AZ72" s="1575"/>
      <c r="BA72" s="1576"/>
      <c r="BB72" s="1575"/>
      <c r="BC72" s="1576"/>
      <c r="BD72" s="1246"/>
      <c r="BE72" s="1580"/>
      <c r="BF72" s="1581"/>
      <c r="BG72" s="1582"/>
      <c r="BH72" s="1575"/>
      <c r="BI72" s="1577"/>
      <c r="BJ72" s="1576"/>
      <c r="BK72" s="1575"/>
      <c r="BL72" s="1576"/>
      <c r="BM72" s="1576"/>
      <c r="BN72" s="1576"/>
      <c r="BO72" s="1630"/>
      <c r="BP72" s="1631">
        <f>SUM('[3]Porta Wk 16'!T72:BI72)</f>
        <v>0</v>
      </c>
      <c r="BQ72" s="1577"/>
      <c r="BR72" s="1632"/>
    </row>
    <row r="73" spans="1:71" s="1" customFormat="1" ht="18.600000000000001" thickBot="1" x14ac:dyDescent="0.4">
      <c r="A73" s="985"/>
      <c r="B73" s="870"/>
      <c r="C73" s="986"/>
      <c r="D73" s="987" t="s">
        <v>296</v>
      </c>
      <c r="E73" s="988"/>
      <c r="F73" s="964" t="e">
        <f t="shared" si="17"/>
        <v>#DIV/0!</v>
      </c>
      <c r="G73" s="965"/>
      <c r="H73" s="966">
        <f t="shared" si="19"/>
        <v>0</v>
      </c>
      <c r="I73" s="989"/>
      <c r="J73" s="967"/>
      <c r="K73" s="1420">
        <f>J73-$H73</f>
        <v>0</v>
      </c>
      <c r="L73" s="1258">
        <f t="shared" ref="L73:M76" si="22">K73-$H73</f>
        <v>0</v>
      </c>
      <c r="M73" s="1258">
        <f t="shared" si="22"/>
        <v>0</v>
      </c>
      <c r="N73" s="1258">
        <f t="shared" si="18"/>
        <v>0</v>
      </c>
      <c r="O73" s="1258">
        <f t="shared" si="18"/>
        <v>0</v>
      </c>
      <c r="P73" s="1258">
        <f t="shared" si="18"/>
        <v>0</v>
      </c>
      <c r="Q73" s="1258">
        <f t="shared" si="18"/>
        <v>0</v>
      </c>
      <c r="R73" s="1258">
        <f t="shared" si="18"/>
        <v>0</v>
      </c>
      <c r="S73" s="1633">
        <f t="shared" si="18"/>
        <v>0</v>
      </c>
      <c r="T73" s="1856"/>
      <c r="U73" s="1650"/>
      <c r="V73" s="1257"/>
      <c r="W73" s="1650"/>
      <c r="X73" s="1257"/>
      <c r="Y73" s="1924"/>
      <c r="Z73" s="1635"/>
      <c r="AA73" s="1634"/>
      <c r="AB73" s="1635"/>
      <c r="AC73" s="1636"/>
      <c r="AD73" s="1634"/>
      <c r="AE73" s="1637"/>
      <c r="AF73" s="1636"/>
      <c r="AG73" s="1634"/>
      <c r="AH73" s="1636"/>
      <c r="AI73" s="1634"/>
      <c r="AJ73" s="1636"/>
      <c r="AK73" s="1634"/>
      <c r="AL73" s="1634"/>
      <c r="AM73" s="1636"/>
      <c r="AN73" s="1634"/>
      <c r="AO73" s="1636"/>
      <c r="AP73" s="1634"/>
      <c r="AQ73" s="1638"/>
      <c r="AR73" s="1634"/>
      <c r="AS73" s="1636"/>
      <c r="AT73" s="1258"/>
      <c r="AU73" s="1634"/>
      <c r="AV73" s="1634"/>
      <c r="AW73" s="1636"/>
      <c r="AX73" s="1639"/>
      <c r="AY73" s="1634"/>
      <c r="AZ73" s="1636"/>
      <c r="BA73" s="1634"/>
      <c r="BB73" s="1636"/>
      <c r="BC73" s="1593"/>
      <c r="BD73" s="1597"/>
      <c r="BE73" s="1598"/>
      <c r="BF73" s="1599"/>
      <c r="BG73" s="1600"/>
      <c r="BH73" s="1592"/>
      <c r="BI73" s="1594"/>
      <c r="BJ73" s="1634"/>
      <c r="BK73" s="1592"/>
      <c r="BL73" s="1593"/>
      <c r="BM73" s="1593"/>
      <c r="BN73" s="1593"/>
      <c r="BO73" s="1601"/>
      <c r="BP73" s="1602">
        <f>SUM('[3]Porta Wk 16'!T73:BI73)</f>
        <v>0</v>
      </c>
      <c r="BQ73" s="1594"/>
      <c r="BR73" s="1603"/>
    </row>
    <row r="74" spans="1:71" s="1" customFormat="1" ht="18" x14ac:dyDescent="0.35">
      <c r="A74" s="1006"/>
      <c r="B74" s="1010"/>
      <c r="C74" s="992"/>
      <c r="D74" s="1013" t="s">
        <v>298</v>
      </c>
      <c r="E74" s="993"/>
      <c r="F74" s="955" t="e">
        <f t="shared" si="17"/>
        <v>#DIV/0!</v>
      </c>
      <c r="G74" s="956"/>
      <c r="H74" s="957">
        <f t="shared" si="19"/>
        <v>0</v>
      </c>
      <c r="I74" s="994"/>
      <c r="J74" s="958"/>
      <c r="K74" s="1375">
        <f>(J74-$H74)+Z74</f>
        <v>0</v>
      </c>
      <c r="L74" s="1243">
        <f t="shared" si="22"/>
        <v>0</v>
      </c>
      <c r="M74" s="1243">
        <f t="shared" si="22"/>
        <v>0</v>
      </c>
      <c r="N74" s="1243">
        <f t="shared" si="18"/>
        <v>0</v>
      </c>
      <c r="O74" s="1243">
        <f t="shared" si="18"/>
        <v>0</v>
      </c>
      <c r="P74" s="1243">
        <f t="shared" si="18"/>
        <v>0</v>
      </c>
      <c r="Q74" s="1242">
        <f t="shared" si="18"/>
        <v>0</v>
      </c>
      <c r="R74" s="1243">
        <f t="shared" si="18"/>
        <v>0</v>
      </c>
      <c r="S74" s="1242">
        <f t="shared" si="18"/>
        <v>0</v>
      </c>
      <c r="T74" s="1852"/>
      <c r="U74" s="1790"/>
      <c r="V74" s="1242"/>
      <c r="W74" s="1790"/>
      <c r="X74" s="1242"/>
      <c r="Y74" s="1921"/>
      <c r="Z74" s="1582"/>
      <c r="AA74" s="1576"/>
      <c r="AB74" s="1582"/>
      <c r="AC74" s="1575"/>
      <c r="AD74" s="1576"/>
      <c r="AE74" s="1629"/>
      <c r="AF74" s="1575"/>
      <c r="AG74" s="1576"/>
      <c r="AH74" s="1575"/>
      <c r="AI74" s="1576"/>
      <c r="AJ74" s="1575"/>
      <c r="AK74" s="1576"/>
      <c r="AL74" s="1576"/>
      <c r="AM74" s="1575"/>
      <c r="AN74" s="1576"/>
      <c r="AO74" s="1575"/>
      <c r="AP74" s="1576"/>
      <c r="AQ74" s="1577"/>
      <c r="AR74" s="1576"/>
      <c r="AS74" s="1575"/>
      <c r="AT74" s="1243"/>
      <c r="AU74" s="1576"/>
      <c r="AV74" s="1576"/>
      <c r="AW74" s="1575"/>
      <c r="AX74" s="1578"/>
      <c r="AY74" s="1576"/>
      <c r="AZ74" s="1575"/>
      <c r="BA74" s="1576"/>
      <c r="BB74" s="1575"/>
      <c r="BC74" s="1576"/>
      <c r="BD74" s="1246"/>
      <c r="BE74" s="1580"/>
      <c r="BF74" s="1581"/>
      <c r="BG74" s="1582"/>
      <c r="BH74" s="1575"/>
      <c r="BI74" s="1577"/>
      <c r="BJ74" s="1576"/>
      <c r="BK74" s="1575"/>
      <c r="BL74" s="1576"/>
      <c r="BM74" s="1583"/>
      <c r="BN74" s="1640"/>
      <c r="BO74" s="1630"/>
      <c r="BP74" s="1631">
        <f>SUM('[3]Porta Wk 16'!T74:BI74)</f>
        <v>0</v>
      </c>
      <c r="BQ74" s="1577"/>
      <c r="BR74" s="1632"/>
    </row>
    <row r="75" spans="1:71" s="1" customFormat="1" ht="18.600000000000001" thickBot="1" x14ac:dyDescent="0.4">
      <c r="A75" s="1022"/>
      <c r="B75" s="1023"/>
      <c r="C75" s="995"/>
      <c r="D75" s="1024" t="s">
        <v>298</v>
      </c>
      <c r="E75" s="988"/>
      <c r="F75" s="964" t="e">
        <f t="shared" si="17"/>
        <v>#DIV/0!</v>
      </c>
      <c r="G75" s="965"/>
      <c r="H75" s="966">
        <f t="shared" si="19"/>
        <v>0</v>
      </c>
      <c r="I75" s="989"/>
      <c r="J75" s="967"/>
      <c r="K75" s="1588">
        <f>J75-$H75</f>
        <v>0</v>
      </c>
      <c r="L75" s="1589">
        <f t="shared" si="22"/>
        <v>0</v>
      </c>
      <c r="M75" s="1589">
        <f>L75-H75</f>
        <v>0</v>
      </c>
      <c r="N75" s="1589">
        <f t="shared" si="18"/>
        <v>0</v>
      </c>
      <c r="O75" s="1589">
        <f t="shared" si="18"/>
        <v>0</v>
      </c>
      <c r="P75" s="1589">
        <f t="shared" si="18"/>
        <v>0</v>
      </c>
      <c r="Q75" s="1589">
        <f t="shared" si="18"/>
        <v>0</v>
      </c>
      <c r="R75" s="1589">
        <f t="shared" si="18"/>
        <v>0</v>
      </c>
      <c r="S75" s="1596">
        <f t="shared" si="18"/>
        <v>0</v>
      </c>
      <c r="T75" s="1864"/>
      <c r="U75" s="1894"/>
      <c r="V75" s="1590"/>
      <c r="W75" s="1894"/>
      <c r="X75" s="1590"/>
      <c r="Y75" s="1922"/>
      <c r="Z75" s="1600"/>
      <c r="AA75" s="1593"/>
      <c r="AB75" s="1600"/>
      <c r="AC75" s="1592"/>
      <c r="AD75" s="1593"/>
      <c r="AE75" s="1641"/>
      <c r="AF75" s="1592"/>
      <c r="AG75" s="1593"/>
      <c r="AH75" s="1592"/>
      <c r="AI75" s="1593"/>
      <c r="AJ75" s="1593"/>
      <c r="AK75" s="1593"/>
      <c r="AL75" s="1593"/>
      <c r="AM75" s="1592"/>
      <c r="AN75" s="1593"/>
      <c r="AO75" s="1592"/>
      <c r="AP75" s="1593"/>
      <c r="AQ75" s="1594"/>
      <c r="AR75" s="1593"/>
      <c r="AS75" s="1592"/>
      <c r="AT75" s="1593"/>
      <c r="AU75" s="1593"/>
      <c r="AV75" s="1593"/>
      <c r="AW75" s="1592"/>
      <c r="AX75" s="1595"/>
      <c r="AY75" s="1593"/>
      <c r="AZ75" s="1592"/>
      <c r="BA75" s="1593"/>
      <c r="BB75" s="1592"/>
      <c r="BC75" s="1593"/>
      <c r="BD75" s="1597"/>
      <c r="BE75" s="1598"/>
      <c r="BF75" s="1599"/>
      <c r="BG75" s="1600"/>
      <c r="BH75" s="1592"/>
      <c r="BI75" s="1594"/>
      <c r="BJ75" s="1593"/>
      <c r="BK75" s="1594"/>
      <c r="BL75" s="1593"/>
      <c r="BM75" s="1593"/>
      <c r="BN75" s="1634"/>
      <c r="BO75" s="1642"/>
      <c r="BP75" s="1643">
        <f>SUM('[3]Porta Wk 16'!T75:BI75)</f>
        <v>0</v>
      </c>
      <c r="BQ75" s="1638"/>
      <c r="BR75" s="1603"/>
    </row>
    <row r="76" spans="1:71" s="1" customFormat="1" ht="18" x14ac:dyDescent="0.35">
      <c r="A76" s="1017"/>
      <c r="B76" s="1018"/>
      <c r="C76" s="1019"/>
      <c r="D76" s="290" t="s">
        <v>297</v>
      </c>
      <c r="E76" s="1020"/>
      <c r="F76" s="944" t="e">
        <f t="shared" si="17"/>
        <v>#DIV/0!</v>
      </c>
      <c r="G76" s="480"/>
      <c r="H76" s="945">
        <f t="shared" si="19"/>
        <v>0</v>
      </c>
      <c r="I76" s="1021"/>
      <c r="J76" s="826"/>
      <c r="K76" s="1644">
        <f>J76-$H76</f>
        <v>0</v>
      </c>
      <c r="L76" s="1274">
        <f t="shared" si="22"/>
        <v>0</v>
      </c>
      <c r="M76" s="1274">
        <f t="shared" si="22"/>
        <v>0</v>
      </c>
      <c r="N76" s="1274">
        <f t="shared" si="18"/>
        <v>0</v>
      </c>
      <c r="O76" s="1565">
        <f t="shared" si="18"/>
        <v>0</v>
      </c>
      <c r="P76" s="1645">
        <f t="shared" si="18"/>
        <v>0</v>
      </c>
      <c r="Q76" s="1274">
        <f t="shared" si="18"/>
        <v>0</v>
      </c>
      <c r="R76" s="1274">
        <f t="shared" si="18"/>
        <v>0</v>
      </c>
      <c r="S76" s="1565">
        <f t="shared" si="18"/>
        <v>0</v>
      </c>
      <c r="T76" s="1847"/>
      <c r="U76" s="1183"/>
      <c r="V76" s="1273"/>
      <c r="W76" s="1183"/>
      <c r="X76" s="1273"/>
      <c r="Y76" s="1902"/>
      <c r="Z76" s="1278"/>
      <c r="AA76" s="1279"/>
      <c r="AB76" s="1278"/>
      <c r="AC76" s="1562"/>
      <c r="AD76" s="1279"/>
      <c r="AE76" s="1646"/>
      <c r="AF76" s="1562"/>
      <c r="AG76" s="1279"/>
      <c r="AH76" s="1562"/>
      <c r="AI76" s="1279"/>
      <c r="AJ76" s="1562"/>
      <c r="AK76" s="1576"/>
      <c r="AL76" s="1576"/>
      <c r="AM76" s="1575"/>
      <c r="AN76" s="1576"/>
      <c r="AO76" s="1577"/>
      <c r="AP76" s="1576"/>
      <c r="AQ76" s="1577"/>
      <c r="AR76" s="1576"/>
      <c r="AS76" s="1575"/>
      <c r="AT76" s="1576"/>
      <c r="AU76" s="1576"/>
      <c r="AV76" s="1576"/>
      <c r="AW76" s="1575"/>
      <c r="AX76" s="1578"/>
      <c r="AY76" s="1576"/>
      <c r="AZ76" s="1582"/>
      <c r="BA76" s="1576"/>
      <c r="BB76" s="1575"/>
      <c r="BC76" s="1576"/>
      <c r="BD76" s="1246"/>
      <c r="BE76" s="1580"/>
      <c r="BF76" s="1581"/>
      <c r="BG76" s="1582"/>
      <c r="BH76" s="1575"/>
      <c r="BI76" s="1577"/>
      <c r="BJ76" s="1576"/>
      <c r="BK76" s="1562"/>
      <c r="BL76" s="1279"/>
      <c r="BM76" s="1279"/>
      <c r="BN76" s="1279"/>
      <c r="BO76" s="1568"/>
      <c r="BP76" s="1647">
        <f>SUM('[3]Porta Wk 16'!T76:BI76)</f>
        <v>0</v>
      </c>
      <c r="BQ76" s="1279"/>
      <c r="BR76" s="1648"/>
    </row>
    <row r="77" spans="1:71" s="1" customFormat="1" ht="15" thickBot="1" x14ac:dyDescent="0.35">
      <c r="A77" s="1011"/>
      <c r="B77" s="997"/>
      <c r="C77" s="991"/>
      <c r="D77" s="996" t="s">
        <v>297</v>
      </c>
      <c r="E77" s="998"/>
      <c r="F77" s="999" t="e">
        <f t="shared" si="17"/>
        <v>#DIV/0!</v>
      </c>
      <c r="G77" s="990"/>
      <c r="H77" s="1000">
        <f t="shared" si="19"/>
        <v>0</v>
      </c>
      <c r="I77" s="1001"/>
      <c r="J77" s="1002"/>
      <c r="K77" s="1649">
        <f>J77-H77</f>
        <v>0</v>
      </c>
      <c r="L77" s="1650">
        <f>(K77-$H77)+AA77</f>
        <v>0</v>
      </c>
      <c r="M77" s="1650">
        <f>L77-H77</f>
        <v>0</v>
      </c>
      <c r="N77" s="1650">
        <f>(M77-$H77)+AC77</f>
        <v>0</v>
      </c>
      <c r="O77" s="1650">
        <f>(N77-$H77)+AE77</f>
        <v>0</v>
      </c>
      <c r="P77" s="1650">
        <f>(O77-$H77)+AF77</f>
        <v>0</v>
      </c>
      <c r="Q77" s="1650">
        <f>(P77-$H77)+AG77</f>
        <v>0</v>
      </c>
      <c r="R77" s="1650">
        <f>(Q77-$H77)+AH77</f>
        <v>0</v>
      </c>
      <c r="S77" s="1651">
        <f>(R77-$H77)+AI77</f>
        <v>0</v>
      </c>
      <c r="T77" s="1869"/>
      <c r="U77" s="1925"/>
      <c r="V77" s="1804"/>
      <c r="W77" s="1925"/>
      <c r="X77" s="1804"/>
      <c r="Y77" s="1926"/>
      <c r="Z77" s="1301"/>
      <c r="AA77" s="1306"/>
      <c r="AB77" s="1635"/>
      <c r="AC77" s="1638"/>
      <c r="AD77" s="1306"/>
      <c r="AE77" s="1652"/>
      <c r="AF77" s="1636"/>
      <c r="AG77" s="1306"/>
      <c r="AH77" s="1636"/>
      <c r="AI77" s="1306"/>
      <c r="AJ77" s="1636"/>
      <c r="AK77" s="1306"/>
      <c r="AL77" s="1306"/>
      <c r="AM77" s="1636"/>
      <c r="AN77" s="1306"/>
      <c r="AO77" s="1636"/>
      <c r="AP77" s="1306"/>
      <c r="AQ77" s="1638"/>
      <c r="AR77" s="1306"/>
      <c r="AS77" s="1636"/>
      <c r="AT77" s="1306"/>
      <c r="AU77" s="1635"/>
      <c r="AV77" s="1306"/>
      <c r="AW77" s="1636"/>
      <c r="AX77" s="1639"/>
      <c r="AY77" s="1306"/>
      <c r="AZ77" s="1636"/>
      <c r="BA77" s="1306"/>
      <c r="BB77" s="1636"/>
      <c r="BC77" s="1306"/>
      <c r="BD77" s="1261"/>
      <c r="BE77" s="1653"/>
      <c r="BF77" s="1654"/>
      <c r="BG77" s="1635"/>
      <c r="BH77" s="1636"/>
      <c r="BI77" s="1638"/>
      <c r="BJ77" s="1306"/>
      <c r="BK77" s="1295"/>
      <c r="BL77" s="1306"/>
      <c r="BM77" s="1306"/>
      <c r="BN77" s="1306"/>
      <c r="BO77" s="1642"/>
      <c r="BP77" s="1643">
        <f>SUM('[3]Porta Wk 16'!T77:BI77)</f>
        <v>0</v>
      </c>
      <c r="BQ77" s="1634"/>
      <c r="BR77" s="1655"/>
    </row>
    <row r="78" spans="1:71" x14ac:dyDescent="0.3">
      <c r="A78" s="972"/>
      <c r="B78" s="1003"/>
      <c r="D78" s="975"/>
      <c r="E78" s="1004"/>
      <c r="F78" s="1005"/>
      <c r="G78" s="972"/>
      <c r="H78" s="973"/>
      <c r="I78" s="977"/>
      <c r="J78" s="977"/>
      <c r="K78" s="1222"/>
      <c r="L78" s="1222"/>
      <c r="M78" s="1222"/>
      <c r="N78" s="1222"/>
      <c r="O78" s="1222"/>
      <c r="P78" s="1222"/>
      <c r="Q78" s="1222"/>
      <c r="R78" s="1222"/>
      <c r="S78" s="1222"/>
      <c r="T78" s="1848"/>
      <c r="U78" s="1222"/>
      <c r="V78" s="1222"/>
      <c r="W78" s="1222"/>
      <c r="X78" s="1222"/>
      <c r="Y78" s="1849"/>
      <c r="AE78" s="1656"/>
      <c r="AK78" s="1625"/>
      <c r="AL78" s="1624"/>
      <c r="AQ78" s="1625"/>
      <c r="AR78" s="1624"/>
      <c r="AX78" s="1624"/>
      <c r="BC78" s="1625"/>
      <c r="BD78" s="1624"/>
      <c r="BI78" s="1625"/>
      <c r="BJ78" s="1624"/>
      <c r="BO78" s="1625"/>
      <c r="BP78" s="1624"/>
      <c r="BR78" s="1625"/>
      <c r="BS78" s="1"/>
    </row>
    <row r="79" spans="1:7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085"/>
      <c r="S79" s="1657"/>
      <c r="T79" s="1865"/>
      <c r="U79" s="1657"/>
      <c r="V79" s="1657"/>
      <c r="W79" s="1657"/>
      <c r="X79" s="1657"/>
      <c r="Y79" s="1866"/>
      <c r="Z79" s="1085"/>
      <c r="AA79" s="1085"/>
      <c r="AB79" s="1085"/>
      <c r="AC79" s="1085"/>
      <c r="AD79" s="1085"/>
      <c r="AE79" s="1308"/>
      <c r="AF79" s="1085"/>
      <c r="AG79" s="1085"/>
      <c r="AH79" s="1085"/>
      <c r="AI79" s="1085"/>
      <c r="AJ79" s="1085"/>
      <c r="AK79" s="1309"/>
      <c r="AL79" s="1310"/>
      <c r="AM79" s="1085"/>
      <c r="AN79" s="1085"/>
      <c r="AO79" s="1085"/>
      <c r="AP79" s="1085"/>
      <c r="AQ79" s="1309"/>
      <c r="AR79" s="1310"/>
      <c r="AS79" s="1085"/>
      <c r="AT79" s="1085"/>
      <c r="AU79" s="1085"/>
      <c r="AV79" s="1085"/>
      <c r="AW79" s="1085"/>
      <c r="AX79" s="1310"/>
      <c r="AY79" s="1085"/>
      <c r="AZ79" s="1085"/>
      <c r="BA79" s="1085"/>
      <c r="BB79" s="1085"/>
      <c r="BC79" s="1309"/>
      <c r="BD79" s="1310"/>
      <c r="BE79" s="1085"/>
      <c r="BF79" s="1085"/>
      <c r="BG79" s="1085"/>
      <c r="BH79" s="1085"/>
      <c r="BI79" s="1309"/>
      <c r="BJ79" s="1310"/>
      <c r="BK79" s="1085"/>
      <c r="BL79" s="1085"/>
      <c r="BM79" s="1085"/>
      <c r="BN79" s="1085"/>
      <c r="BO79" s="1309"/>
      <c r="BP79" s="1310"/>
      <c r="BQ79" s="1085"/>
      <c r="BR79" s="1309"/>
      <c r="BS79" s="1"/>
    </row>
    <row r="80" spans="1:7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085"/>
      <c r="S80" s="1085"/>
      <c r="T80" s="1310"/>
      <c r="U80" s="1085"/>
      <c r="V80" s="1085"/>
      <c r="W80" s="1085"/>
      <c r="X80" s="1085"/>
      <c r="Y80" s="1309"/>
      <c r="Z80" s="1085"/>
      <c r="AA80" s="1085"/>
      <c r="AB80" s="1085"/>
      <c r="AC80" s="1085"/>
      <c r="AD80" s="1085"/>
      <c r="AE80" s="1308"/>
      <c r="AF80" s="1085"/>
      <c r="AG80" s="1085"/>
      <c r="AH80" s="1085"/>
      <c r="AI80" s="1085"/>
      <c r="AJ80" s="1085"/>
      <c r="AK80" s="1309"/>
      <c r="AL80" s="1310"/>
      <c r="AM80" s="1085"/>
      <c r="AN80" s="1085"/>
      <c r="AO80" s="1085"/>
      <c r="AP80" s="1085"/>
      <c r="AQ80" s="1309"/>
      <c r="AR80" s="1310"/>
      <c r="AS80" s="1085"/>
      <c r="AT80" s="1085"/>
      <c r="AU80" s="1085"/>
      <c r="AV80" s="1085"/>
      <c r="AW80" s="1085"/>
      <c r="AX80" s="1310"/>
      <c r="AY80" s="1085"/>
      <c r="AZ80" s="1085"/>
      <c r="BA80" s="1085"/>
      <c r="BB80" s="1085"/>
      <c r="BC80" s="1309"/>
      <c r="BD80" s="1310"/>
      <c r="BE80" s="1085"/>
      <c r="BF80" s="1085"/>
      <c r="BG80" s="1085"/>
      <c r="BH80" s="1085"/>
      <c r="BI80" s="1309"/>
      <c r="BJ80" s="1310"/>
      <c r="BK80" s="1085"/>
      <c r="BL80" s="1085"/>
      <c r="BM80" s="1085"/>
      <c r="BN80" s="1085"/>
      <c r="BO80" s="1309"/>
      <c r="BP80" s="1310"/>
      <c r="BQ80" s="1085"/>
      <c r="BR80" s="1309"/>
      <c r="BS80" s="1"/>
    </row>
    <row r="81" spans="1:72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085"/>
      <c r="S81" s="1085"/>
      <c r="T81" s="1310"/>
      <c r="U81" s="1085"/>
      <c r="V81" s="1085"/>
      <c r="W81" s="1085"/>
      <c r="X81" s="1085"/>
      <c r="Y81" s="1309"/>
      <c r="Z81" s="1085"/>
      <c r="AA81" s="1085"/>
      <c r="AB81" s="1085"/>
      <c r="AC81" s="1085"/>
      <c r="AD81" s="1085"/>
      <c r="AE81" s="1308"/>
      <c r="AF81" s="1085"/>
      <c r="AG81" s="1085"/>
      <c r="AH81" s="1085"/>
      <c r="AI81" s="1085"/>
      <c r="AJ81" s="1085"/>
      <c r="AK81" s="1309"/>
      <c r="AL81" s="1310"/>
      <c r="AM81" s="1085"/>
      <c r="AN81" s="1085"/>
      <c r="AO81" s="1085"/>
      <c r="AP81" s="1085"/>
      <c r="AQ81" s="1309"/>
      <c r="AR81" s="1310"/>
      <c r="AS81" s="1085"/>
      <c r="AT81" s="1085"/>
      <c r="AU81" s="1085"/>
      <c r="AV81" s="1085"/>
      <c r="AW81" s="1085"/>
      <c r="AX81" s="1310"/>
      <c r="AY81" s="1085"/>
      <c r="AZ81" s="1085"/>
      <c r="BA81" s="1085"/>
      <c r="BB81" s="1085"/>
      <c r="BC81" s="1309"/>
      <c r="BD81" s="1310"/>
      <c r="BE81" s="1085"/>
      <c r="BF81" s="1085"/>
      <c r="BG81" s="1085"/>
      <c r="BH81" s="1085"/>
      <c r="BI81" s="1309"/>
      <c r="BJ81" s="1310"/>
      <c r="BK81" s="1085"/>
      <c r="BL81" s="1085"/>
      <c r="BM81" s="1085"/>
      <c r="BN81" s="1085"/>
      <c r="BO81" s="1309"/>
      <c r="BP81" s="1310"/>
      <c r="BQ81" s="1085"/>
      <c r="BR81" s="1309"/>
      <c r="BS81" s="1"/>
    </row>
    <row r="82" spans="1:72" ht="15" thickBot="1" x14ac:dyDescent="0.35">
      <c r="A82" s="12"/>
      <c r="B82" s="48"/>
      <c r="C82" s="48"/>
      <c r="D82" s="48"/>
      <c r="E82" s="321"/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1085"/>
      <c r="S82" s="1085"/>
      <c r="T82" s="1310"/>
      <c r="U82" s="1085"/>
      <c r="V82" s="1085"/>
      <c r="W82" s="1085"/>
      <c r="X82" s="1085"/>
      <c r="Y82" s="1309"/>
      <c r="Z82" s="1085"/>
      <c r="AA82" s="1085"/>
      <c r="AB82" s="1085"/>
      <c r="AC82" s="1085"/>
      <c r="AD82" s="1085"/>
      <c r="AE82" s="1308"/>
      <c r="AF82" s="1085"/>
      <c r="AG82" s="1085"/>
      <c r="AH82" s="1085"/>
      <c r="AI82" s="1085"/>
      <c r="AJ82" s="1085"/>
      <c r="AK82" s="1309"/>
      <c r="AL82" s="1310"/>
      <c r="AM82" s="1085"/>
      <c r="AN82" s="1085"/>
      <c r="AO82" s="1085"/>
      <c r="AP82" s="1085"/>
      <c r="AQ82" s="1309"/>
      <c r="AR82" s="1310"/>
      <c r="AS82" s="1085"/>
      <c r="AT82" s="1085"/>
      <c r="AU82" s="1085"/>
      <c r="AV82" s="1085"/>
      <c r="AW82" s="1085"/>
      <c r="AX82" s="1310"/>
      <c r="AY82" s="1085"/>
      <c r="AZ82" s="1085"/>
      <c r="BA82" s="1085"/>
      <c r="BB82" s="1085"/>
      <c r="BC82" s="1309"/>
      <c r="BD82" s="1310"/>
      <c r="BE82" s="1085"/>
      <c r="BF82" s="1085"/>
      <c r="BG82" s="1085"/>
      <c r="BH82" s="1085"/>
      <c r="BI82" s="1309"/>
      <c r="BJ82" s="1310"/>
      <c r="BK82" s="1085"/>
      <c r="BL82" s="1085"/>
      <c r="BM82" s="1085"/>
      <c r="BN82" s="1085"/>
      <c r="BO82" s="1309"/>
      <c r="BP82" s="1310"/>
      <c r="BQ82" s="1085"/>
      <c r="BR82" s="1309"/>
      <c r="BS82" s="1"/>
    </row>
    <row r="83" spans="1:72" ht="16.2" thickBot="1" x14ac:dyDescent="0.35">
      <c r="A83" s="96" t="s">
        <v>107</v>
      </c>
      <c r="B83" s="4"/>
      <c r="C83" s="5"/>
      <c r="D83" s="1" t="s">
        <v>12</v>
      </c>
      <c r="E83" s="97"/>
      <c r="F83" s="98"/>
      <c r="G83" s="98"/>
      <c r="H83" s="98"/>
      <c r="I83" s="98"/>
      <c r="J83" s="98"/>
      <c r="K83" s="98"/>
      <c r="L83" s="98"/>
      <c r="M83" s="98"/>
      <c r="N83" s="98"/>
      <c r="O83" s="98"/>
      <c r="P83" s="98"/>
      <c r="Q83" s="98"/>
      <c r="R83" s="1085"/>
      <c r="S83" s="1085"/>
      <c r="T83" s="1310"/>
      <c r="U83" s="1085"/>
      <c r="V83" s="1085"/>
      <c r="W83" s="1085"/>
      <c r="X83" s="1085"/>
      <c r="Y83" s="1309"/>
      <c r="Z83" s="1085"/>
      <c r="AA83" s="1658"/>
      <c r="AB83" s="1085"/>
      <c r="AC83" s="1085"/>
      <c r="AD83" s="1085"/>
      <c r="AE83" s="1659"/>
      <c r="AF83" s="1658"/>
      <c r="AG83" s="1085"/>
      <c r="AH83" s="1085"/>
      <c r="AI83" s="1085"/>
      <c r="AJ83" s="1085"/>
      <c r="AK83" s="1309"/>
      <c r="AL83" s="1310"/>
      <c r="AM83" s="1085"/>
      <c r="AN83" s="1658"/>
      <c r="AO83" s="1085"/>
      <c r="AP83" s="1085"/>
      <c r="AQ83" s="1309"/>
      <c r="AR83" s="1310"/>
      <c r="AS83" s="1085"/>
      <c r="AT83" s="1085"/>
      <c r="AU83" s="1660"/>
      <c r="AV83" s="1085"/>
      <c r="AW83" s="1085"/>
      <c r="AX83" s="1310"/>
      <c r="AY83" s="1085"/>
      <c r="AZ83" s="1085"/>
      <c r="BA83" s="1085"/>
      <c r="BB83" s="1085"/>
      <c r="BC83" s="1309"/>
      <c r="BD83" s="1310"/>
      <c r="BE83" s="1658"/>
      <c r="BF83" s="1658"/>
      <c r="BG83" s="1085"/>
      <c r="BH83" s="1085"/>
      <c r="BI83" s="1661"/>
      <c r="BJ83" s="1310"/>
      <c r="BK83" s="1085"/>
      <c r="BL83" s="1133"/>
      <c r="BM83" s="1085"/>
      <c r="BN83" s="1085"/>
      <c r="BO83" s="1309"/>
      <c r="BP83" s="1310"/>
      <c r="BQ83" s="1085"/>
      <c r="BR83" s="1309"/>
      <c r="BS83" s="1"/>
    </row>
    <row r="84" spans="1:72" ht="16.8" thickTop="1" thickBot="1" x14ac:dyDescent="0.35">
      <c r="A84" s="99" t="s">
        <v>29</v>
      </c>
      <c r="B84" s="1662" t="s">
        <v>30</v>
      </c>
      <c r="C84" s="222" t="s">
        <v>108</v>
      </c>
      <c r="D84" s="324" t="s">
        <v>2</v>
      </c>
      <c r="E84" s="103" t="s">
        <v>32</v>
      </c>
      <c r="F84" s="104" t="s">
        <v>33</v>
      </c>
      <c r="G84" s="104" t="s">
        <v>34</v>
      </c>
      <c r="H84" s="827" t="s">
        <v>35</v>
      </c>
      <c r="I84" s="824" t="s">
        <v>36</v>
      </c>
      <c r="J84" s="811" t="s">
        <v>37</v>
      </c>
      <c r="K84" s="1663" t="s">
        <v>38</v>
      </c>
      <c r="L84" s="1664" t="s">
        <v>39</v>
      </c>
      <c r="M84" s="1665" t="s">
        <v>40</v>
      </c>
      <c r="N84" s="1664" t="s">
        <v>41</v>
      </c>
      <c r="O84" s="1665" t="s">
        <v>42</v>
      </c>
      <c r="P84" s="1664" t="s">
        <v>43</v>
      </c>
      <c r="Q84" s="1665" t="s">
        <v>44</v>
      </c>
      <c r="R84" s="1664" t="s">
        <v>38</v>
      </c>
      <c r="S84" s="1665" t="s">
        <v>45</v>
      </c>
      <c r="T84" s="1740" t="s">
        <v>462</v>
      </c>
      <c r="U84" s="1739" t="s">
        <v>463</v>
      </c>
      <c r="V84" s="1736" t="s">
        <v>464</v>
      </c>
      <c r="W84" s="1736" t="s">
        <v>465</v>
      </c>
      <c r="X84" s="1737" t="s">
        <v>9</v>
      </c>
      <c r="Y84" s="1737" t="s">
        <v>9</v>
      </c>
      <c r="Z84" s="1666" t="s">
        <v>109</v>
      </c>
      <c r="AA84" s="1666" t="s">
        <v>110</v>
      </c>
      <c r="AB84" s="1667" t="s">
        <v>111</v>
      </c>
      <c r="AC84" s="1667" t="s">
        <v>112</v>
      </c>
      <c r="AD84" s="1668" t="s">
        <v>3</v>
      </c>
      <c r="AE84" s="1669" t="s">
        <v>3</v>
      </c>
      <c r="AF84" s="1666" t="s">
        <v>113</v>
      </c>
      <c r="AG84" s="1667" t="s">
        <v>114</v>
      </c>
      <c r="AH84" s="1666" t="s">
        <v>115</v>
      </c>
      <c r="AI84" s="1667" t="s">
        <v>116</v>
      </c>
      <c r="AJ84" s="1670" t="s">
        <v>51</v>
      </c>
      <c r="AK84" s="1670" t="s">
        <v>51</v>
      </c>
      <c r="AL84" s="1671" t="s">
        <v>117</v>
      </c>
      <c r="AM84" s="1672" t="s">
        <v>118</v>
      </c>
      <c r="AN84" s="1672" t="s">
        <v>119</v>
      </c>
      <c r="AO84" s="1672" t="s">
        <v>120</v>
      </c>
      <c r="AP84" s="1673" t="s">
        <v>55</v>
      </c>
      <c r="AQ84" s="1673" t="s">
        <v>55</v>
      </c>
      <c r="AR84" s="1674" t="s">
        <v>121</v>
      </c>
      <c r="AS84" s="1667" t="s">
        <v>122</v>
      </c>
      <c r="AT84" s="1666" t="s">
        <v>123</v>
      </c>
      <c r="AU84" s="1666" t="s">
        <v>124</v>
      </c>
      <c r="AV84" s="1320" t="s">
        <v>59</v>
      </c>
      <c r="AW84" s="1320" t="s">
        <v>59</v>
      </c>
      <c r="AX84" s="1671" t="s">
        <v>125</v>
      </c>
      <c r="AY84" s="1666" t="s">
        <v>126</v>
      </c>
      <c r="AZ84" s="1667" t="s">
        <v>127</v>
      </c>
      <c r="BA84" s="1675" t="s">
        <v>128</v>
      </c>
      <c r="BB84" s="1673" t="s">
        <v>7</v>
      </c>
      <c r="BC84" s="1676" t="s">
        <v>7</v>
      </c>
      <c r="BD84" s="1666" t="s">
        <v>129</v>
      </c>
      <c r="BE84" s="1667" t="s">
        <v>130</v>
      </c>
      <c r="BF84" s="1667" t="s">
        <v>131</v>
      </c>
      <c r="BG84" s="1677" t="s">
        <v>132</v>
      </c>
      <c r="BH84" s="1318" t="s">
        <v>8</v>
      </c>
      <c r="BI84" s="1678" t="s">
        <v>8</v>
      </c>
      <c r="BJ84" s="1671" t="s">
        <v>133</v>
      </c>
      <c r="BK84" s="1666" t="s">
        <v>134</v>
      </c>
      <c r="BL84" s="1667" t="s">
        <v>135</v>
      </c>
      <c r="BM84" s="1667" t="s">
        <v>136</v>
      </c>
      <c r="BN84" s="1164" t="s">
        <v>9</v>
      </c>
      <c r="BO84" s="1668" t="s">
        <v>9</v>
      </c>
      <c r="BP84" s="1679" t="s">
        <v>70</v>
      </c>
      <c r="BQ84" s="1559" t="s">
        <v>71</v>
      </c>
      <c r="BR84" s="1670" t="s">
        <v>72</v>
      </c>
      <c r="BS84" s="1"/>
    </row>
    <row r="85" spans="1:72" x14ac:dyDescent="0.3">
      <c r="A85" s="1680">
        <v>2614</v>
      </c>
      <c r="B85" s="1681" t="s">
        <v>138</v>
      </c>
      <c r="C85" s="114">
        <v>4</v>
      </c>
      <c r="D85" s="19" t="s">
        <v>12</v>
      </c>
      <c r="E85" s="116">
        <v>0.48</v>
      </c>
      <c r="F85" s="116" t="e">
        <f>(BR85/G85)/4</f>
        <v>#DIV/0!</v>
      </c>
      <c r="G85" s="19">
        <v>0</v>
      </c>
      <c r="H85" s="327">
        <f t="shared" ref="H85:H90" si="23">G85*E85</f>
        <v>0</v>
      </c>
      <c r="I85" s="19">
        <v>9000</v>
      </c>
      <c r="J85" s="642">
        <v>0</v>
      </c>
      <c r="K85" s="1682">
        <v>0</v>
      </c>
      <c r="L85" s="1965">
        <v>5000</v>
      </c>
      <c r="M85" s="1683">
        <f t="shared" ref="M85:S90" si="24">L85-$H85</f>
        <v>5000</v>
      </c>
      <c r="N85" s="1168">
        <f t="shared" si="24"/>
        <v>5000</v>
      </c>
      <c r="O85" s="1683">
        <f t="shared" si="24"/>
        <v>5000</v>
      </c>
      <c r="P85" s="1168">
        <f t="shared" si="24"/>
        <v>5000</v>
      </c>
      <c r="Q85" s="1683">
        <f t="shared" si="24"/>
        <v>5000</v>
      </c>
      <c r="R85" s="1093">
        <f t="shared" si="24"/>
        <v>5000</v>
      </c>
      <c r="S85" s="1834">
        <f t="shared" si="24"/>
        <v>5000</v>
      </c>
      <c r="T85" s="1841"/>
      <c r="U85" s="1096"/>
      <c r="V85" s="1287"/>
      <c r="W85" s="1096"/>
      <c r="X85" s="1287"/>
      <c r="Y85" s="1898"/>
      <c r="Z85" s="1095"/>
      <c r="AA85" s="1095"/>
      <c r="AB85" s="1096"/>
      <c r="AC85" s="1096"/>
      <c r="AD85" s="1214"/>
      <c r="AE85" s="1215"/>
      <c r="AF85" s="1176"/>
      <c r="AG85" s="1177">
        <v>5000</v>
      </c>
      <c r="AH85" s="1684"/>
      <c r="AI85" s="1176"/>
      <c r="AJ85" s="1181"/>
      <c r="AK85" s="1181"/>
      <c r="AL85" s="1182"/>
      <c r="AM85" s="1096"/>
      <c r="AN85" s="1096"/>
      <c r="AO85" s="1097"/>
      <c r="AP85" s="1214"/>
      <c r="AQ85" s="1185"/>
      <c r="AR85" s="1186"/>
      <c r="AS85" s="1177"/>
      <c r="AT85" s="1684"/>
      <c r="AU85" s="1176"/>
      <c r="AV85" s="1180"/>
      <c r="AW85" s="1180"/>
      <c r="AX85" s="1188"/>
      <c r="AY85" s="1095"/>
      <c r="AZ85" s="1096"/>
      <c r="BA85" s="1096"/>
      <c r="BB85" s="1184"/>
      <c r="BC85" s="1181"/>
      <c r="BD85" s="1188"/>
      <c r="BE85" s="1177"/>
      <c r="BF85" s="1177"/>
      <c r="BG85" s="1685"/>
      <c r="BH85" s="1334"/>
      <c r="BI85" s="1181"/>
      <c r="BJ85" s="1188"/>
      <c r="BK85" s="1176"/>
      <c r="BL85" s="1177"/>
      <c r="BM85" s="1177"/>
      <c r="BN85" s="1190"/>
      <c r="BO85" s="1185"/>
      <c r="BP85" s="1686"/>
      <c r="BQ85" s="1687">
        <f>+J85</f>
        <v>0</v>
      </c>
      <c r="BR85" s="1688">
        <f t="shared" ref="BR85:BR90" si="25">(J85+BP85)-BQ85</f>
        <v>0</v>
      </c>
      <c r="BS85" s="1"/>
      <c r="BT85" s="1192">
        <f>SUM(Z85:BO85)</f>
        <v>5000</v>
      </c>
    </row>
    <row r="86" spans="1:72" x14ac:dyDescent="0.3">
      <c r="A86" s="1689">
        <v>2613</v>
      </c>
      <c r="B86" s="1690" t="s">
        <v>137</v>
      </c>
      <c r="C86" s="329">
        <v>5</v>
      </c>
      <c r="D86" s="137" t="s">
        <v>139</v>
      </c>
      <c r="E86" s="136">
        <v>0.94</v>
      </c>
      <c r="F86" s="136">
        <f>(BR86/G86)/7</f>
        <v>0.41806020066889632</v>
      </c>
      <c r="G86" s="137">
        <v>1196</v>
      </c>
      <c r="H86" s="423">
        <f>G86*E86</f>
        <v>1124.24</v>
      </c>
      <c r="I86" s="419">
        <v>9000</v>
      </c>
      <c r="J86" s="139">
        <v>3500</v>
      </c>
      <c r="K86" s="1342">
        <f t="shared" ref="K86:M90" si="26">J86-$H86</f>
        <v>2375.7600000000002</v>
      </c>
      <c r="L86" s="1954">
        <v>7252</v>
      </c>
      <c r="M86" s="1194">
        <f t="shared" si="26"/>
        <v>6127.76</v>
      </c>
      <c r="N86" s="1194">
        <f t="shared" si="24"/>
        <v>5003.5200000000004</v>
      </c>
      <c r="O86" s="1193">
        <f t="shared" si="24"/>
        <v>3879.2800000000007</v>
      </c>
      <c r="P86" s="1194">
        <f t="shared" si="24"/>
        <v>2755.0400000000009</v>
      </c>
      <c r="Q86" s="1193">
        <f t="shared" si="24"/>
        <v>1630.8000000000009</v>
      </c>
      <c r="R86" s="1691">
        <f t="shared" si="24"/>
        <v>506.56000000000085</v>
      </c>
      <c r="S86" s="1195">
        <f t="shared" si="24"/>
        <v>-617.67999999999915</v>
      </c>
      <c r="T86" s="1840"/>
      <c r="U86" s="1104"/>
      <c r="V86" s="1195"/>
      <c r="W86" s="1104"/>
      <c r="X86" s="1195"/>
      <c r="Y86" s="1897"/>
      <c r="Z86" s="1103"/>
      <c r="AA86" s="1103"/>
      <c r="AB86" s="1104"/>
      <c r="AC86" s="1104"/>
      <c r="AD86" s="1196"/>
      <c r="AE86" s="1197"/>
      <c r="AF86" s="1198"/>
      <c r="AG86" s="1199"/>
      <c r="AH86" s="1198">
        <v>6000</v>
      </c>
      <c r="AI86" s="1198"/>
      <c r="AJ86" s="1203"/>
      <c r="AK86" s="1203"/>
      <c r="AL86" s="1204"/>
      <c r="AM86" s="1104"/>
      <c r="AN86" s="1104"/>
      <c r="AO86" s="1205"/>
      <c r="AP86" s="1196"/>
      <c r="AQ86" s="1207"/>
      <c r="AR86" s="1208"/>
      <c r="AS86" s="1199"/>
      <c r="AT86" s="1198"/>
      <c r="AU86" s="1198"/>
      <c r="AV86" s="1202"/>
      <c r="AW86" s="1202"/>
      <c r="AX86" s="1210"/>
      <c r="AY86" s="1103"/>
      <c r="AZ86" s="1104"/>
      <c r="BA86" s="1104"/>
      <c r="BB86" s="1206"/>
      <c r="BC86" s="1203"/>
      <c r="BD86" s="1210"/>
      <c r="BE86" s="1199"/>
      <c r="BF86" s="1199"/>
      <c r="BG86" s="1692"/>
      <c r="BH86" s="1347"/>
      <c r="BI86" s="1203"/>
      <c r="BJ86" s="1210"/>
      <c r="BK86" s="1198"/>
      <c r="BL86" s="1199"/>
      <c r="BM86" s="1199"/>
      <c r="BN86" s="1211"/>
      <c r="BO86" s="1207"/>
      <c r="BP86" s="1686"/>
      <c r="BQ86" s="1687"/>
      <c r="BR86" s="1688">
        <f t="shared" si="25"/>
        <v>3500</v>
      </c>
      <c r="BS86" s="1"/>
      <c r="BT86" s="1192">
        <f t="shared" ref="BT86:BT91" si="27">SUM(Z86:BO86)</f>
        <v>6000</v>
      </c>
    </row>
    <row r="87" spans="1:72" x14ac:dyDescent="0.3">
      <c r="A87" s="330">
        <v>2612</v>
      </c>
      <c r="B87" s="1690" t="s">
        <v>140</v>
      </c>
      <c r="C87" s="224">
        <v>6</v>
      </c>
      <c r="D87" s="137" t="s">
        <v>139</v>
      </c>
      <c r="E87" s="136">
        <v>0.94</v>
      </c>
      <c r="F87" s="136">
        <f>(BR87/G87)/7</f>
        <v>0.54163845633039942</v>
      </c>
      <c r="G87" s="156">
        <v>1055</v>
      </c>
      <c r="H87" s="423">
        <f t="shared" si="23"/>
        <v>991.69999999999993</v>
      </c>
      <c r="I87" s="419">
        <v>6000</v>
      </c>
      <c r="J87" s="139">
        <v>4000</v>
      </c>
      <c r="K87" s="1342">
        <f t="shared" si="26"/>
        <v>3008.3</v>
      </c>
      <c r="L87" s="1954">
        <v>9017</v>
      </c>
      <c r="M87" s="1193">
        <f t="shared" si="24"/>
        <v>8025.3</v>
      </c>
      <c r="N87" s="1194">
        <f t="shared" si="24"/>
        <v>7033.6</v>
      </c>
      <c r="O87" s="1193">
        <f t="shared" si="24"/>
        <v>6041.9000000000005</v>
      </c>
      <c r="P87" s="1194">
        <f t="shared" si="24"/>
        <v>5050.2000000000007</v>
      </c>
      <c r="Q87" s="1194">
        <f t="shared" si="24"/>
        <v>4058.5000000000009</v>
      </c>
      <c r="R87" s="1691">
        <f t="shared" si="24"/>
        <v>3066.8000000000011</v>
      </c>
      <c r="S87" s="1195">
        <f t="shared" si="24"/>
        <v>2075.1000000000013</v>
      </c>
      <c r="T87" s="1840"/>
      <c r="U87" s="1104"/>
      <c r="V87" s="1195"/>
      <c r="W87" s="1104"/>
      <c r="X87" s="1195"/>
      <c r="Y87" s="1897"/>
      <c r="Z87" s="1103"/>
      <c r="AA87" s="1103"/>
      <c r="AB87" s="1104"/>
      <c r="AC87" s="1104"/>
      <c r="AD87" s="1196"/>
      <c r="AE87" s="1197"/>
      <c r="AF87" s="1198"/>
      <c r="AG87" s="1199"/>
      <c r="AH87" s="1198">
        <v>7000</v>
      </c>
      <c r="AI87" s="1198"/>
      <c r="AJ87" s="1203"/>
      <c r="AK87" s="1203"/>
      <c r="AL87" s="1204"/>
      <c r="AM87" s="1104"/>
      <c r="AN87" s="1104"/>
      <c r="AO87" s="1205"/>
      <c r="AP87" s="1196"/>
      <c r="AQ87" s="1207"/>
      <c r="AR87" s="1208"/>
      <c r="AS87" s="1199"/>
      <c r="AT87" s="1198"/>
      <c r="AU87" s="1198"/>
      <c r="AV87" s="1202"/>
      <c r="AW87" s="1202"/>
      <c r="AX87" s="1210"/>
      <c r="AY87" s="1103"/>
      <c r="AZ87" s="1104"/>
      <c r="BA87" s="1104"/>
      <c r="BB87" s="1206"/>
      <c r="BC87" s="1203"/>
      <c r="BD87" s="1210"/>
      <c r="BE87" s="1199"/>
      <c r="BF87" s="1199"/>
      <c r="BG87" s="1692"/>
      <c r="BH87" s="1347"/>
      <c r="BI87" s="1203"/>
      <c r="BJ87" s="1210"/>
      <c r="BK87" s="1198"/>
      <c r="BL87" s="1199"/>
      <c r="BM87" s="1199"/>
      <c r="BN87" s="1211"/>
      <c r="BO87" s="1207"/>
      <c r="BP87" s="1686"/>
      <c r="BQ87" s="1687"/>
      <c r="BR87" s="1688">
        <f t="shared" si="25"/>
        <v>4000</v>
      </c>
      <c r="BS87" s="1"/>
      <c r="BT87" s="1192">
        <f t="shared" si="27"/>
        <v>7000</v>
      </c>
    </row>
    <row r="88" spans="1:72" x14ac:dyDescent="0.3">
      <c r="A88" s="330">
        <v>2611</v>
      </c>
      <c r="B88" s="1693" t="s">
        <v>142</v>
      </c>
      <c r="C88" s="224">
        <v>7</v>
      </c>
      <c r="D88" s="137" t="s">
        <v>22</v>
      </c>
      <c r="E88" s="136">
        <v>1</v>
      </c>
      <c r="F88" s="331">
        <f>(BR88/G88)/7</f>
        <v>0.589236611234778</v>
      </c>
      <c r="G88" s="137">
        <v>1091</v>
      </c>
      <c r="H88" s="139">
        <f>G88*E88</f>
        <v>1091</v>
      </c>
      <c r="I88" s="137">
        <v>6000</v>
      </c>
      <c r="J88" s="139">
        <v>4500</v>
      </c>
      <c r="K88" s="1342">
        <f t="shared" si="26"/>
        <v>3409</v>
      </c>
      <c r="L88" s="1954">
        <v>6318</v>
      </c>
      <c r="M88" s="1193">
        <f t="shared" si="24"/>
        <v>5227</v>
      </c>
      <c r="N88" s="1193">
        <f t="shared" si="24"/>
        <v>4136</v>
      </c>
      <c r="O88" s="1193">
        <f t="shared" si="24"/>
        <v>3045</v>
      </c>
      <c r="P88" s="1194">
        <f t="shared" si="24"/>
        <v>1954</v>
      </c>
      <c r="Q88" s="1193">
        <f t="shared" si="24"/>
        <v>863</v>
      </c>
      <c r="R88" s="1691">
        <f t="shared" si="24"/>
        <v>-228</v>
      </c>
      <c r="S88" s="1195">
        <f t="shared" si="24"/>
        <v>-1319</v>
      </c>
      <c r="T88" s="1840"/>
      <c r="U88" s="1104"/>
      <c r="V88" s="1195"/>
      <c r="W88" s="1104"/>
      <c r="X88" s="1195"/>
      <c r="Y88" s="1897"/>
      <c r="Z88" s="1103"/>
      <c r="AA88" s="1103"/>
      <c r="AB88" s="1104"/>
      <c r="AC88" s="1104"/>
      <c r="AD88" s="1196"/>
      <c r="AE88" s="1197"/>
      <c r="AF88" s="1198"/>
      <c r="AG88" s="1199"/>
      <c r="AH88" s="1198"/>
      <c r="AI88" s="1198">
        <v>4000</v>
      </c>
      <c r="AJ88" s="1203"/>
      <c r="AK88" s="1203"/>
      <c r="AL88" s="1204"/>
      <c r="AM88" s="1104"/>
      <c r="AN88" s="1104"/>
      <c r="AO88" s="1205"/>
      <c r="AP88" s="1196"/>
      <c r="AQ88" s="1207"/>
      <c r="AR88" s="1208"/>
      <c r="AS88" s="1199"/>
      <c r="AT88" s="1198"/>
      <c r="AU88" s="1198"/>
      <c r="AV88" s="1202"/>
      <c r="AW88" s="1202"/>
      <c r="AX88" s="1210"/>
      <c r="AY88" s="1103"/>
      <c r="AZ88" s="1104"/>
      <c r="BA88" s="1104"/>
      <c r="BB88" s="1206"/>
      <c r="BC88" s="1203"/>
      <c r="BD88" s="1210"/>
      <c r="BE88" s="1199"/>
      <c r="BF88" s="1199"/>
      <c r="BG88" s="1692"/>
      <c r="BH88" s="1347"/>
      <c r="BI88" s="1203"/>
      <c r="BJ88" s="1210"/>
      <c r="BK88" s="1198"/>
      <c r="BL88" s="1199"/>
      <c r="BM88" s="1199"/>
      <c r="BN88" s="1211"/>
      <c r="BO88" s="1207"/>
      <c r="BP88" s="1686"/>
      <c r="BQ88" s="1687"/>
      <c r="BR88" s="1688">
        <f t="shared" si="25"/>
        <v>4500</v>
      </c>
      <c r="BS88" s="1"/>
      <c r="BT88" s="1192">
        <f t="shared" si="27"/>
        <v>4000</v>
      </c>
    </row>
    <row r="89" spans="1:72" x14ac:dyDescent="0.3">
      <c r="A89" s="330">
        <v>2610</v>
      </c>
      <c r="B89" s="199" t="s">
        <v>22</v>
      </c>
      <c r="C89" s="224">
        <v>8</v>
      </c>
      <c r="D89" s="137" t="s">
        <v>22</v>
      </c>
      <c r="E89" s="136">
        <v>1.1000000000000001</v>
      </c>
      <c r="F89" s="136">
        <f>(BR89/G89)/7</f>
        <v>0.49689440993788819</v>
      </c>
      <c r="G89" s="137">
        <v>1150</v>
      </c>
      <c r="H89" s="139">
        <f t="shared" si="23"/>
        <v>1265</v>
      </c>
      <c r="I89" s="137">
        <v>9000</v>
      </c>
      <c r="J89" s="139">
        <v>4000</v>
      </c>
      <c r="K89" s="1194">
        <f t="shared" si="26"/>
        <v>2735</v>
      </c>
      <c r="L89" s="1954">
        <v>7735</v>
      </c>
      <c r="M89" s="1193">
        <f t="shared" si="24"/>
        <v>6470</v>
      </c>
      <c r="N89" s="1194">
        <f t="shared" si="24"/>
        <v>5205</v>
      </c>
      <c r="O89" s="1194">
        <f t="shared" si="24"/>
        <v>3940</v>
      </c>
      <c r="P89" s="1194">
        <f t="shared" si="24"/>
        <v>2675</v>
      </c>
      <c r="Q89" s="1193">
        <f t="shared" si="24"/>
        <v>1410</v>
      </c>
      <c r="R89" s="1691">
        <f t="shared" si="24"/>
        <v>145</v>
      </c>
      <c r="S89" s="1195">
        <f t="shared" si="24"/>
        <v>-1120</v>
      </c>
      <c r="T89" s="1840"/>
      <c r="U89" s="1104"/>
      <c r="V89" s="1195"/>
      <c r="W89" s="1104"/>
      <c r="X89" s="1195"/>
      <c r="Y89" s="1897"/>
      <c r="Z89" s="1103"/>
      <c r="AA89" s="1103"/>
      <c r="AB89" s="1104"/>
      <c r="AC89" s="1104"/>
      <c r="AD89" s="1196"/>
      <c r="AE89" s="1197"/>
      <c r="AF89" s="1198"/>
      <c r="AG89" s="1199"/>
      <c r="AH89" s="1198"/>
      <c r="AI89" s="1198">
        <v>5000</v>
      </c>
      <c r="AJ89" s="1203"/>
      <c r="AK89" s="1203"/>
      <c r="AL89" s="1204"/>
      <c r="AM89" s="1104"/>
      <c r="AN89" s="1104"/>
      <c r="AO89" s="1205"/>
      <c r="AP89" s="1196"/>
      <c r="AQ89" s="1207"/>
      <c r="AR89" s="1208"/>
      <c r="AS89" s="1199"/>
      <c r="AT89" s="1198"/>
      <c r="AU89" s="1198"/>
      <c r="AV89" s="1202"/>
      <c r="AW89" s="1202"/>
      <c r="AX89" s="1210"/>
      <c r="AY89" s="1103"/>
      <c r="AZ89" s="1104"/>
      <c r="BA89" s="1104"/>
      <c r="BB89" s="1206"/>
      <c r="BC89" s="1203"/>
      <c r="BD89" s="1210"/>
      <c r="BE89" s="1199"/>
      <c r="BF89" s="1199"/>
      <c r="BG89" s="1692"/>
      <c r="BH89" s="1347"/>
      <c r="BI89" s="1203"/>
      <c r="BJ89" s="1210"/>
      <c r="BK89" s="1198"/>
      <c r="BL89" s="1199"/>
      <c r="BM89" s="1199"/>
      <c r="BN89" s="1211"/>
      <c r="BO89" s="1207"/>
      <c r="BP89" s="1686"/>
      <c r="BQ89" s="1687"/>
      <c r="BR89" s="1688">
        <f t="shared" si="25"/>
        <v>4000</v>
      </c>
      <c r="BS89" s="1"/>
      <c r="BT89" s="1192">
        <f t="shared" si="27"/>
        <v>5000</v>
      </c>
    </row>
    <row r="90" spans="1:72" ht="15" thickBot="1" x14ac:dyDescent="0.35">
      <c r="A90" s="211">
        <v>2609</v>
      </c>
      <c r="B90" s="1694" t="s">
        <v>141</v>
      </c>
      <c r="C90" s="1695">
        <v>9</v>
      </c>
      <c r="D90" s="210" t="s">
        <v>22</v>
      </c>
      <c r="E90" s="204">
        <v>1.2</v>
      </c>
      <c r="F90" s="204">
        <f>(BR90/G90)/7</f>
        <v>0.45787545787545791</v>
      </c>
      <c r="G90" s="210">
        <v>1092</v>
      </c>
      <c r="H90" s="839">
        <f t="shared" si="23"/>
        <v>1310.3999999999999</v>
      </c>
      <c r="I90" s="210">
        <v>9000</v>
      </c>
      <c r="J90" s="1696">
        <v>3500</v>
      </c>
      <c r="K90" s="1697">
        <f t="shared" si="26"/>
        <v>2189.6000000000004</v>
      </c>
      <c r="L90" s="1956">
        <v>6879</v>
      </c>
      <c r="M90" s="1699">
        <f t="shared" si="24"/>
        <v>5568.6</v>
      </c>
      <c r="N90" s="1698">
        <f t="shared" si="24"/>
        <v>4258.2000000000007</v>
      </c>
      <c r="O90" s="1699">
        <f t="shared" si="24"/>
        <v>2947.8000000000011</v>
      </c>
      <c r="P90" s="1699">
        <f t="shared" si="24"/>
        <v>1637.4000000000012</v>
      </c>
      <c r="Q90" s="1699">
        <f t="shared" si="24"/>
        <v>327.00000000000136</v>
      </c>
      <c r="R90" s="1292">
        <f t="shared" si="24"/>
        <v>-983.3999999999985</v>
      </c>
      <c r="S90" s="1293">
        <f t="shared" si="24"/>
        <v>-2293.7999999999984</v>
      </c>
      <c r="T90" s="1927"/>
      <c r="U90" s="1812"/>
      <c r="V90" s="1816"/>
      <c r="W90" s="1812"/>
      <c r="X90" s="1816"/>
      <c r="Y90" s="1928"/>
      <c r="Z90" s="1700"/>
      <c r="AA90" s="1700"/>
      <c r="AB90" s="1107"/>
      <c r="AC90" s="1107"/>
      <c r="AD90" s="1701"/>
      <c r="AE90" s="1702"/>
      <c r="AF90" s="1703"/>
      <c r="AG90" s="1704"/>
      <c r="AH90" s="1703"/>
      <c r="AI90" s="1703">
        <v>6000</v>
      </c>
      <c r="AJ90" s="1705"/>
      <c r="AK90" s="1705"/>
      <c r="AL90" s="1706"/>
      <c r="AM90" s="1107"/>
      <c r="AN90" s="1107"/>
      <c r="AO90" s="1707"/>
      <c r="AP90" s="1701"/>
      <c r="AQ90" s="1708"/>
      <c r="AR90" s="1709"/>
      <c r="AS90" s="1704"/>
      <c r="AT90" s="1703"/>
      <c r="AU90" s="1703"/>
      <c r="AV90" s="1710"/>
      <c r="AW90" s="1710"/>
      <c r="AX90" s="1711"/>
      <c r="AY90" s="1700"/>
      <c r="AZ90" s="1107"/>
      <c r="BA90" s="1107"/>
      <c r="BB90" s="1712"/>
      <c r="BC90" s="1705"/>
      <c r="BD90" s="1711"/>
      <c r="BE90" s="1704"/>
      <c r="BF90" s="1704"/>
      <c r="BG90" s="1713"/>
      <c r="BH90" s="1714"/>
      <c r="BI90" s="1231"/>
      <c r="BJ90" s="1711"/>
      <c r="BK90" s="1703"/>
      <c r="BL90" s="1704"/>
      <c r="BM90" s="1704"/>
      <c r="BN90" s="1715"/>
      <c r="BO90" s="1708"/>
      <c r="BP90" s="1716"/>
      <c r="BQ90" s="1307"/>
      <c r="BR90" s="1717">
        <f t="shared" si="25"/>
        <v>3500</v>
      </c>
      <c r="BS90" s="1"/>
      <c r="BT90" s="1192">
        <f t="shared" si="27"/>
        <v>6000</v>
      </c>
    </row>
    <row r="91" spans="1:72" ht="15" thickBot="1" x14ac:dyDescent="0.35">
      <c r="A91" s="308"/>
      <c r="B91" s="308"/>
      <c r="C91" s="337"/>
      <c r="D91" s="338"/>
      <c r="E91" s="339"/>
      <c r="F91" s="339"/>
      <c r="G91" s="339"/>
      <c r="H91" s="339"/>
      <c r="I91" s="339"/>
      <c r="J91" s="339"/>
      <c r="K91" s="339"/>
      <c r="L91" s="1718"/>
      <c r="M91" s="1718"/>
      <c r="N91" s="1718"/>
      <c r="O91" s="1718"/>
      <c r="P91" s="1718"/>
      <c r="Q91" s="1718"/>
      <c r="R91" s="1719"/>
      <c r="S91" s="1719"/>
      <c r="T91" s="1723"/>
      <c r="U91" s="1719"/>
      <c r="V91" s="1719"/>
      <c r="W91" s="1719"/>
      <c r="X91" s="1719"/>
      <c r="Y91" s="1867"/>
      <c r="Z91" s="1719">
        <f>SUM(Z85:Z90)</f>
        <v>0</v>
      </c>
      <c r="AA91" s="1719">
        <f t="shared" ref="AA91:BQ91" si="28">SUM(AA85:AA90)</f>
        <v>0</v>
      </c>
      <c r="AB91" s="1719">
        <f t="shared" si="28"/>
        <v>0</v>
      </c>
      <c r="AC91" s="1719">
        <f t="shared" si="28"/>
        <v>0</v>
      </c>
      <c r="AD91" s="1719">
        <f t="shared" si="28"/>
        <v>0</v>
      </c>
      <c r="AE91" s="1720">
        <f t="shared" si="28"/>
        <v>0</v>
      </c>
      <c r="AF91" s="1721">
        <f t="shared" si="28"/>
        <v>0</v>
      </c>
      <c r="AG91" s="1721">
        <f t="shared" si="28"/>
        <v>5000</v>
      </c>
      <c r="AH91" s="1721">
        <f t="shared" si="28"/>
        <v>13000</v>
      </c>
      <c r="AI91" s="1721">
        <f t="shared" si="28"/>
        <v>15000</v>
      </c>
      <c r="AJ91" s="1721">
        <f t="shared" si="28"/>
        <v>0</v>
      </c>
      <c r="AK91" s="1722">
        <f t="shared" si="28"/>
        <v>0</v>
      </c>
      <c r="AL91" s="1723">
        <f t="shared" si="28"/>
        <v>0</v>
      </c>
      <c r="AM91" s="1719">
        <f t="shared" si="28"/>
        <v>0</v>
      </c>
      <c r="AN91" s="1719">
        <f t="shared" si="28"/>
        <v>0</v>
      </c>
      <c r="AO91" s="1719">
        <f t="shared" si="28"/>
        <v>0</v>
      </c>
      <c r="AP91" s="1719">
        <f t="shared" si="28"/>
        <v>0</v>
      </c>
      <c r="AQ91" s="1722">
        <f t="shared" si="28"/>
        <v>0</v>
      </c>
      <c r="AR91" s="1724">
        <f t="shared" si="28"/>
        <v>0</v>
      </c>
      <c r="AS91" s="1725">
        <f t="shared" si="28"/>
        <v>0</v>
      </c>
      <c r="AT91" s="1721">
        <f t="shared" si="28"/>
        <v>0</v>
      </c>
      <c r="AU91" s="1721">
        <f t="shared" si="28"/>
        <v>0</v>
      </c>
      <c r="AV91" s="1721">
        <f t="shared" si="28"/>
        <v>0</v>
      </c>
      <c r="AW91" s="1721">
        <f t="shared" si="28"/>
        <v>0</v>
      </c>
      <c r="AX91" s="1724">
        <f t="shared" si="28"/>
        <v>0</v>
      </c>
      <c r="AY91" s="1719">
        <f t="shared" si="28"/>
        <v>0</v>
      </c>
      <c r="AZ91" s="1719">
        <f t="shared" si="28"/>
        <v>0</v>
      </c>
      <c r="BA91" s="1719">
        <f t="shared" si="28"/>
        <v>0</v>
      </c>
      <c r="BB91" s="1719">
        <f t="shared" si="28"/>
        <v>0</v>
      </c>
      <c r="BC91" s="1722">
        <f t="shared" si="28"/>
        <v>0</v>
      </c>
      <c r="BD91" s="1724">
        <f t="shared" si="28"/>
        <v>0</v>
      </c>
      <c r="BE91" s="1721">
        <f t="shared" si="28"/>
        <v>0</v>
      </c>
      <c r="BF91" s="1721">
        <f t="shared" si="28"/>
        <v>0</v>
      </c>
      <c r="BG91" s="1721">
        <f t="shared" si="28"/>
        <v>0</v>
      </c>
      <c r="BH91" s="1721">
        <f t="shared" si="28"/>
        <v>0</v>
      </c>
      <c r="BI91" s="1726">
        <f t="shared" si="28"/>
        <v>0</v>
      </c>
      <c r="BJ91" s="1724">
        <f t="shared" si="28"/>
        <v>0</v>
      </c>
      <c r="BK91" s="1721">
        <f t="shared" si="28"/>
        <v>0</v>
      </c>
      <c r="BL91" s="1721">
        <f t="shared" si="28"/>
        <v>0</v>
      </c>
      <c r="BM91" s="1721">
        <f t="shared" si="28"/>
        <v>0</v>
      </c>
      <c r="BN91" s="1721">
        <f t="shared" si="28"/>
        <v>0</v>
      </c>
      <c r="BO91" s="1722">
        <f t="shared" si="28"/>
        <v>0</v>
      </c>
      <c r="BP91" s="1724">
        <f t="shared" si="28"/>
        <v>0</v>
      </c>
      <c r="BQ91" s="1721">
        <f t="shared" si="28"/>
        <v>0</v>
      </c>
      <c r="BR91" s="1722"/>
      <c r="BS91" s="1085">
        <f>SUM(Z91:BR91)</f>
        <v>33000</v>
      </c>
      <c r="BT91" s="1192">
        <f t="shared" si="27"/>
        <v>33000</v>
      </c>
    </row>
    <row r="92" spans="1:72" ht="16.8" thickTop="1" thickBot="1" x14ac:dyDescent="0.35">
      <c r="A92" s="340" t="s">
        <v>143</v>
      </c>
      <c r="B92" s="341"/>
      <c r="C92" s="342"/>
      <c r="D92" s="308"/>
      <c r="E92" s="308"/>
      <c r="F92" s="308"/>
      <c r="G92" s="308"/>
      <c r="H92" s="308"/>
      <c r="I92" s="308"/>
      <c r="J92" s="308"/>
      <c r="K92" s="308"/>
      <c r="L92" s="1721"/>
      <c r="M92" s="1721"/>
      <c r="N92" s="1721"/>
      <c r="O92" s="1721"/>
      <c r="P92" s="1721"/>
      <c r="Q92" s="1721"/>
      <c r="R92" s="1721"/>
      <c r="S92" s="1721"/>
      <c r="T92" s="1724"/>
      <c r="U92" s="1721"/>
      <c r="V92" s="1721"/>
      <c r="W92" s="1721"/>
      <c r="X92" s="1721"/>
      <c r="Y92" s="1722"/>
      <c r="Z92" s="1721"/>
      <c r="AA92" s="1721"/>
      <c r="AB92" s="1721"/>
      <c r="AC92" s="1721"/>
      <c r="AD92" s="1721"/>
      <c r="AE92" s="1727"/>
      <c r="AF92" s="1721"/>
      <c r="AG92" s="1721"/>
      <c r="AH92" s="1721"/>
      <c r="AI92" s="1721"/>
      <c r="AJ92" s="1721"/>
      <c r="AK92" s="1722"/>
      <c r="AL92" s="1724"/>
      <c r="AM92" s="1721"/>
      <c r="AN92" s="1721"/>
      <c r="AO92" s="1728"/>
      <c r="AP92" s="1721"/>
      <c r="AQ92" s="1722"/>
      <c r="AR92" s="1724"/>
      <c r="AS92" s="1728"/>
      <c r="AT92" s="1721"/>
      <c r="AU92" s="1721"/>
      <c r="AV92" s="1721"/>
      <c r="AW92" s="1721"/>
      <c r="AX92" s="1724"/>
      <c r="AY92" s="1721"/>
      <c r="AZ92" s="1721"/>
      <c r="BA92" s="1721"/>
      <c r="BB92" s="1721"/>
      <c r="BC92" s="1722"/>
      <c r="BD92" s="1724"/>
      <c r="BE92" s="1721"/>
      <c r="BF92" s="1721"/>
      <c r="BG92" s="1721"/>
      <c r="BH92" s="1721"/>
      <c r="BI92" s="1722"/>
      <c r="BJ92" s="1724"/>
      <c r="BK92" s="1729"/>
      <c r="BL92" s="1730"/>
      <c r="BM92" s="1729"/>
      <c r="BN92" s="1731"/>
      <c r="BO92" s="1732"/>
      <c r="BP92" s="1724"/>
      <c r="BQ92" s="1721"/>
      <c r="BR92" s="1722"/>
      <c r="BS92" s="1"/>
    </row>
    <row r="93" spans="1:72" ht="16.8" thickTop="1" thickBot="1" x14ac:dyDescent="0.35">
      <c r="A93" s="347" t="s">
        <v>29</v>
      </c>
      <c r="B93" s="348" t="s">
        <v>30</v>
      </c>
      <c r="C93" s="349" t="s">
        <v>144</v>
      </c>
      <c r="D93" s="349" t="s">
        <v>2</v>
      </c>
      <c r="E93" s="350" t="s">
        <v>32</v>
      </c>
      <c r="F93" s="350" t="s">
        <v>33</v>
      </c>
      <c r="G93" s="349" t="s">
        <v>34</v>
      </c>
      <c r="H93" s="796" t="s">
        <v>35</v>
      </c>
      <c r="I93" s="349" t="s">
        <v>36</v>
      </c>
      <c r="J93" s="811" t="s">
        <v>37</v>
      </c>
      <c r="K93" s="1733" t="s">
        <v>38</v>
      </c>
      <c r="L93" s="1734" t="s">
        <v>39</v>
      </c>
      <c r="M93" s="1734" t="s">
        <v>40</v>
      </c>
      <c r="N93" s="1734" t="s">
        <v>41</v>
      </c>
      <c r="O93" s="1734" t="s">
        <v>42</v>
      </c>
      <c r="P93" s="1734" t="s">
        <v>43</v>
      </c>
      <c r="Q93" s="1735" t="s">
        <v>44</v>
      </c>
      <c r="R93" s="1734" t="s">
        <v>38</v>
      </c>
      <c r="S93" s="1735" t="s">
        <v>45</v>
      </c>
      <c r="T93" s="1740" t="s">
        <v>136</v>
      </c>
      <c r="U93" s="1736" t="s">
        <v>466</v>
      </c>
      <c r="V93" s="1736" t="s">
        <v>467</v>
      </c>
      <c r="W93" s="1736" t="s">
        <v>468</v>
      </c>
      <c r="X93" s="1737" t="s">
        <v>469</v>
      </c>
      <c r="Y93" s="1737" t="s">
        <v>9</v>
      </c>
      <c r="Z93" s="1739" t="s">
        <v>145</v>
      </c>
      <c r="AA93" s="1736" t="s">
        <v>146</v>
      </c>
      <c r="AB93" s="1736" t="s">
        <v>147</v>
      </c>
      <c r="AC93" s="1736" t="s">
        <v>148</v>
      </c>
      <c r="AD93" s="1737" t="s">
        <v>149</v>
      </c>
      <c r="AE93" s="1738" t="s">
        <v>307</v>
      </c>
      <c r="AF93" s="1739" t="s">
        <v>150</v>
      </c>
      <c r="AG93" s="1736" t="s">
        <v>151</v>
      </c>
      <c r="AH93" s="1736" t="s">
        <v>152</v>
      </c>
      <c r="AI93" s="1736" t="s">
        <v>153</v>
      </c>
      <c r="AJ93" s="1737" t="s">
        <v>154</v>
      </c>
      <c r="AK93" s="1737" t="s">
        <v>316</v>
      </c>
      <c r="AL93" s="1740" t="s">
        <v>155</v>
      </c>
      <c r="AM93" s="1741" t="s">
        <v>156</v>
      </c>
      <c r="AN93" s="1742" t="s">
        <v>157</v>
      </c>
      <c r="AO93" s="1736" t="s">
        <v>158</v>
      </c>
      <c r="AP93" s="1743" t="s">
        <v>159</v>
      </c>
      <c r="AQ93" s="1743" t="s">
        <v>5</v>
      </c>
      <c r="AR93" s="1740" t="s">
        <v>124</v>
      </c>
      <c r="AS93" s="1739" t="s">
        <v>160</v>
      </c>
      <c r="AT93" s="1736" t="s">
        <v>161</v>
      </c>
      <c r="AU93" s="1736" t="s">
        <v>162</v>
      </c>
      <c r="AV93" s="1320" t="s">
        <v>323</v>
      </c>
      <c r="AW93" s="1320" t="s">
        <v>59</v>
      </c>
      <c r="AX93" s="1740" t="s">
        <v>164</v>
      </c>
      <c r="AY93" s="1739" t="s">
        <v>165</v>
      </c>
      <c r="AZ93" s="1736" t="s">
        <v>166</v>
      </c>
      <c r="BA93" s="1742" t="s">
        <v>167</v>
      </c>
      <c r="BB93" s="1559" t="s">
        <v>330</v>
      </c>
      <c r="BC93" s="1743" t="s">
        <v>63</v>
      </c>
      <c r="BD93" s="1740" t="s">
        <v>132</v>
      </c>
      <c r="BE93" s="1736" t="s">
        <v>169</v>
      </c>
      <c r="BF93" s="1736" t="s">
        <v>170</v>
      </c>
      <c r="BG93" s="1736" t="s">
        <v>171</v>
      </c>
      <c r="BH93" s="1737" t="s">
        <v>172</v>
      </c>
      <c r="BI93" s="1737" t="s">
        <v>8</v>
      </c>
      <c r="BJ93" s="1740" t="s">
        <v>136</v>
      </c>
      <c r="BK93" s="1739" t="s">
        <v>173</v>
      </c>
      <c r="BL93" s="1739" t="s">
        <v>174</v>
      </c>
      <c r="BM93" s="1739" t="s">
        <v>175</v>
      </c>
      <c r="BN93" s="1164" t="s">
        <v>176</v>
      </c>
      <c r="BO93" s="1743" t="s">
        <v>9</v>
      </c>
      <c r="BP93" s="1740" t="s">
        <v>70</v>
      </c>
      <c r="BQ93" s="1736" t="s">
        <v>71</v>
      </c>
      <c r="BR93" s="1737" t="s">
        <v>72</v>
      </c>
      <c r="BS93" s="1"/>
    </row>
    <row r="94" spans="1:72" ht="16.2" thickTop="1" x14ac:dyDescent="0.3">
      <c r="A94" s="159">
        <v>2608</v>
      </c>
      <c r="B94" s="360" t="s">
        <v>405</v>
      </c>
      <c r="C94" s="361" t="s">
        <v>177</v>
      </c>
      <c r="D94" s="362" t="s">
        <v>22</v>
      </c>
      <c r="E94" s="363">
        <v>1.6</v>
      </c>
      <c r="F94" s="364" t="e">
        <f>(BR94/G94)/7</f>
        <v>#DIV/0!</v>
      </c>
      <c r="G94" s="362"/>
      <c r="H94" s="840">
        <f t="shared" ref="H94:H136" si="29">G94*E94</f>
        <v>0</v>
      </c>
      <c r="I94" s="362"/>
      <c r="J94" s="362"/>
      <c r="K94" s="1168">
        <f t="shared" ref="K94:S124" si="30">J94-$H94</f>
        <v>0</v>
      </c>
      <c r="L94" s="1168">
        <f t="shared" si="30"/>
        <v>0</v>
      </c>
      <c r="M94" s="1168">
        <f t="shared" si="30"/>
        <v>0</v>
      </c>
      <c r="N94" s="1168">
        <f t="shared" si="30"/>
        <v>0</v>
      </c>
      <c r="O94" s="1168">
        <f t="shared" si="30"/>
        <v>0</v>
      </c>
      <c r="P94" s="1168">
        <f t="shared" si="30"/>
        <v>0</v>
      </c>
      <c r="Q94" s="1168">
        <f t="shared" si="30"/>
        <v>0</v>
      </c>
      <c r="R94" s="1168">
        <f t="shared" si="30"/>
        <v>0</v>
      </c>
      <c r="S94" s="1682">
        <f t="shared" si="30"/>
        <v>0</v>
      </c>
      <c r="T94" s="1847">
        <v>3000</v>
      </c>
      <c r="U94" s="1183"/>
      <c r="V94" s="1273"/>
      <c r="W94" s="1183"/>
      <c r="X94" s="1273"/>
      <c r="Y94" s="1902"/>
      <c r="Z94" s="1095">
        <v>6000</v>
      </c>
      <c r="AA94" s="1177"/>
      <c r="AB94" s="1177"/>
      <c r="AC94" s="1096"/>
      <c r="AD94" s="1097"/>
      <c r="AE94" s="1215"/>
      <c r="AF94" s="1187"/>
      <c r="AG94" s="1183"/>
      <c r="AH94" s="1183"/>
      <c r="AI94" s="1183"/>
      <c r="AJ94" s="1744"/>
      <c r="AK94" s="1745"/>
      <c r="AL94" s="1746"/>
      <c r="AM94" s="1747"/>
      <c r="AN94" s="1747"/>
      <c r="AO94" s="1187"/>
      <c r="AP94" s="1273"/>
      <c r="AQ94" s="1748"/>
      <c r="AR94" s="1746">
        <v>4000</v>
      </c>
      <c r="AS94" s="1187"/>
      <c r="AT94" s="1183"/>
      <c r="AU94" s="1183"/>
      <c r="AV94" s="1744"/>
      <c r="AW94" s="1214"/>
      <c r="AX94" s="1746"/>
      <c r="AY94" s="1747"/>
      <c r="AZ94" s="1747"/>
      <c r="BA94" s="1187"/>
      <c r="BB94" s="1273"/>
      <c r="BC94" s="1745"/>
      <c r="BD94" s="1746"/>
      <c r="BE94" s="1183"/>
      <c r="BF94" s="1183"/>
      <c r="BG94" s="1183"/>
      <c r="BH94" s="1273"/>
      <c r="BI94" s="1748"/>
      <c r="BJ94" s="1746"/>
      <c r="BK94" s="1183"/>
      <c r="BL94" s="1183"/>
      <c r="BM94" s="1744"/>
      <c r="BN94" s="1744"/>
      <c r="BO94" s="1745"/>
      <c r="BP94" s="1749"/>
      <c r="BQ94" s="1750"/>
      <c r="BR94" s="1751">
        <f t="shared" ref="BR94:BR136" si="31">(J94+BP94)-BQ94</f>
        <v>0</v>
      </c>
      <c r="BT94" s="1192">
        <f t="shared" ref="BT94:BT136" si="32">SUM(Z94:BO94)</f>
        <v>10000</v>
      </c>
    </row>
    <row r="95" spans="1:72" ht="15.6" x14ac:dyDescent="0.3">
      <c r="A95" s="129"/>
      <c r="B95" s="360"/>
      <c r="C95" s="361" t="s">
        <v>178</v>
      </c>
      <c r="D95" s="362" t="s">
        <v>22</v>
      </c>
      <c r="E95" s="363">
        <v>1.6</v>
      </c>
      <c r="F95" s="364"/>
      <c r="G95" s="362"/>
      <c r="H95" s="840">
        <f t="shared" si="29"/>
        <v>0</v>
      </c>
      <c r="I95" s="375"/>
      <c r="J95" s="362"/>
      <c r="K95" s="1560">
        <f t="shared" si="30"/>
        <v>0</v>
      </c>
      <c r="L95" s="1273">
        <f t="shared" si="30"/>
        <v>0</v>
      </c>
      <c r="M95" s="1274">
        <f t="shared" si="30"/>
        <v>0</v>
      </c>
      <c r="N95" s="1273">
        <f t="shared" si="30"/>
        <v>0</v>
      </c>
      <c r="O95" s="1274">
        <f t="shared" si="30"/>
        <v>0</v>
      </c>
      <c r="P95" s="1273">
        <f t="shared" si="30"/>
        <v>0</v>
      </c>
      <c r="Q95" s="1274">
        <f t="shared" si="30"/>
        <v>0</v>
      </c>
      <c r="R95" s="1273">
        <f t="shared" si="30"/>
        <v>0</v>
      </c>
      <c r="S95" s="1565">
        <f>(R95-$H95)+BG95</f>
        <v>0</v>
      </c>
      <c r="T95" s="1847"/>
      <c r="U95" s="1183"/>
      <c r="V95" s="1273"/>
      <c r="W95" s="1183"/>
      <c r="X95" s="1273"/>
      <c r="Y95" s="1902"/>
      <c r="Z95" s="1095"/>
      <c r="AA95" s="1176"/>
      <c r="AB95" s="1176"/>
      <c r="AC95" s="1095"/>
      <c r="AD95" s="1287"/>
      <c r="AE95" s="1215"/>
      <c r="AF95" s="1095"/>
      <c r="AG95" s="1095"/>
      <c r="AH95" s="1095"/>
      <c r="AI95" s="1095"/>
      <c r="AJ95" s="1287"/>
      <c r="AK95" s="1745"/>
      <c r="AL95" s="1216"/>
      <c r="AM95" s="1095"/>
      <c r="AN95" s="1095"/>
      <c r="AO95" s="1095"/>
      <c r="AP95" s="1287"/>
      <c r="AQ95" s="1748"/>
      <c r="AR95" s="1216"/>
      <c r="AS95" s="1095"/>
      <c r="AT95" s="1096"/>
      <c r="AU95" s="1096"/>
      <c r="AV95" s="1097"/>
      <c r="AW95" s="1214"/>
      <c r="AX95" s="1216"/>
      <c r="AY95" s="1095"/>
      <c r="AZ95" s="1095"/>
      <c r="BA95" s="1095"/>
      <c r="BB95" s="1287"/>
      <c r="BC95" s="1745"/>
      <c r="BD95" s="1216"/>
      <c r="BE95" s="1096"/>
      <c r="BF95" s="1096"/>
      <c r="BG95" s="1096"/>
      <c r="BH95" s="1287"/>
      <c r="BI95" s="1748"/>
      <c r="BJ95" s="1216"/>
      <c r="BK95" s="1096"/>
      <c r="BL95" s="1096"/>
      <c r="BM95" s="1097"/>
      <c r="BN95" s="1097"/>
      <c r="BO95" s="1745"/>
      <c r="BP95" s="1752"/>
      <c r="BQ95" s="1753"/>
      <c r="BR95" s="1754">
        <f t="shared" si="31"/>
        <v>0</v>
      </c>
      <c r="BS95" s="1"/>
      <c r="BT95" s="1192">
        <f t="shared" si="32"/>
        <v>0</v>
      </c>
    </row>
    <row r="96" spans="1:72" ht="16.2" thickBot="1" x14ac:dyDescent="0.35">
      <c r="A96" s="380"/>
      <c r="B96" s="381"/>
      <c r="C96" s="382" t="s">
        <v>179</v>
      </c>
      <c r="D96" s="362" t="s">
        <v>22</v>
      </c>
      <c r="E96" s="383">
        <v>1.6</v>
      </c>
      <c r="F96" s="384"/>
      <c r="G96" s="385"/>
      <c r="H96" s="840">
        <f t="shared" si="29"/>
        <v>0</v>
      </c>
      <c r="I96" s="406"/>
      <c r="J96" s="385"/>
      <c r="K96" s="1588">
        <f t="shared" si="30"/>
        <v>0</v>
      </c>
      <c r="L96" s="1590">
        <f t="shared" si="30"/>
        <v>0</v>
      </c>
      <c r="M96" s="1589">
        <f t="shared" si="30"/>
        <v>0</v>
      </c>
      <c r="N96" s="1590">
        <f t="shared" si="30"/>
        <v>0</v>
      </c>
      <c r="O96" s="1589">
        <f t="shared" si="30"/>
        <v>0</v>
      </c>
      <c r="P96" s="1590">
        <f t="shared" si="30"/>
        <v>0</v>
      </c>
      <c r="Q96" s="1589">
        <f t="shared" si="30"/>
        <v>0</v>
      </c>
      <c r="R96" s="1590">
        <f t="shared" si="30"/>
        <v>0</v>
      </c>
      <c r="S96" s="1596">
        <f>(R96-$H96)+BG96</f>
        <v>0</v>
      </c>
      <c r="T96" s="1848"/>
      <c r="U96" s="1885"/>
      <c r="V96" s="1222"/>
      <c r="W96" s="1885"/>
      <c r="X96" s="1222"/>
      <c r="Y96" s="1923"/>
      <c r="Z96" s="1451"/>
      <c r="AA96" s="1356"/>
      <c r="AB96" s="1356"/>
      <c r="AC96" s="1451"/>
      <c r="AD96" s="1224"/>
      <c r="AE96" s="1755"/>
      <c r="AF96" s="1451"/>
      <c r="AG96" s="1451"/>
      <c r="AH96" s="1451"/>
      <c r="AI96" s="1451"/>
      <c r="AJ96" s="1224"/>
      <c r="AK96" s="1756"/>
      <c r="AL96" s="1361"/>
      <c r="AM96" s="1451"/>
      <c r="AN96" s="1451"/>
      <c r="AO96" s="1451"/>
      <c r="AP96" s="1224"/>
      <c r="AQ96" s="1757"/>
      <c r="AR96" s="1361"/>
      <c r="AS96" s="1451"/>
      <c r="AT96" s="1362"/>
      <c r="AU96" s="1362"/>
      <c r="AV96" s="1369"/>
      <c r="AW96" s="1758"/>
      <c r="AX96" s="1361"/>
      <c r="AY96" s="1451"/>
      <c r="AZ96" s="1451"/>
      <c r="BA96" s="1451"/>
      <c r="BB96" s="1224"/>
      <c r="BC96" s="1756"/>
      <c r="BD96" s="1361"/>
      <c r="BE96" s="1362"/>
      <c r="BF96" s="1362"/>
      <c r="BG96" s="1362"/>
      <c r="BH96" s="1224"/>
      <c r="BI96" s="1757"/>
      <c r="BJ96" s="1361"/>
      <c r="BK96" s="1362"/>
      <c r="BL96" s="1362"/>
      <c r="BM96" s="1369"/>
      <c r="BN96" s="1369"/>
      <c r="BO96" s="1756"/>
      <c r="BP96" s="1365"/>
      <c r="BQ96" s="1357"/>
      <c r="BR96" s="1759">
        <f t="shared" si="31"/>
        <v>0</v>
      </c>
      <c r="BS96" s="1"/>
      <c r="BT96" s="1192">
        <f t="shared" si="32"/>
        <v>0</v>
      </c>
    </row>
    <row r="97" spans="1:72" ht="18.75" customHeight="1" x14ac:dyDescent="0.3">
      <c r="A97" s="19">
        <v>2607</v>
      </c>
      <c r="B97" s="390" t="s">
        <v>361</v>
      </c>
      <c r="C97" s="391" t="s">
        <v>180</v>
      </c>
      <c r="D97" s="392" t="s">
        <v>22</v>
      </c>
      <c r="E97" s="393">
        <v>1.7</v>
      </c>
      <c r="F97" s="364" t="e">
        <f>(BR97/G97)/7</f>
        <v>#DIV/0!</v>
      </c>
      <c r="G97" s="392"/>
      <c r="H97" s="841">
        <f t="shared" si="29"/>
        <v>0</v>
      </c>
      <c r="I97" s="362"/>
      <c r="J97" s="392"/>
      <c r="K97" s="1560">
        <f t="shared" si="30"/>
        <v>0</v>
      </c>
      <c r="L97" s="1274">
        <f t="shared" si="30"/>
        <v>0</v>
      </c>
      <c r="M97" s="1274">
        <f t="shared" si="30"/>
        <v>0</v>
      </c>
      <c r="N97" s="1274">
        <f t="shared" si="30"/>
        <v>0</v>
      </c>
      <c r="O97" s="1274">
        <f t="shared" si="30"/>
        <v>0</v>
      </c>
      <c r="P97" s="1274">
        <f t="shared" si="30"/>
        <v>0</v>
      </c>
      <c r="Q97" s="1274">
        <f t="shared" si="30"/>
        <v>0</v>
      </c>
      <c r="R97" s="1274">
        <f t="shared" si="30"/>
        <v>0</v>
      </c>
      <c r="S97" s="1565">
        <f t="shared" si="30"/>
        <v>0</v>
      </c>
      <c r="T97" s="1847"/>
      <c r="U97" s="1183"/>
      <c r="V97" s="1273"/>
      <c r="W97" s="1183"/>
      <c r="X97" s="1273"/>
      <c r="Y97" s="1902"/>
      <c r="Z97" s="1760">
        <v>6000</v>
      </c>
      <c r="AA97" s="1760"/>
      <c r="AB97" s="1760"/>
      <c r="AC97" s="1760"/>
      <c r="AD97" s="1244"/>
      <c r="AE97" s="1761"/>
      <c r="AF97" s="1760"/>
      <c r="AG97" s="1760"/>
      <c r="AH97" s="1760"/>
      <c r="AI97" s="1760"/>
      <c r="AJ97" s="1244"/>
      <c r="AK97" s="1762"/>
      <c r="AL97" s="1382">
        <v>3000</v>
      </c>
      <c r="AM97" s="1760"/>
      <c r="AN97" s="1760"/>
      <c r="AO97" s="1760"/>
      <c r="AP97" s="1244"/>
      <c r="AQ97" s="1763"/>
      <c r="AR97" s="1382">
        <v>4000</v>
      </c>
      <c r="AS97" s="1760"/>
      <c r="AT97" s="1376"/>
      <c r="AU97" s="1376"/>
      <c r="AV97" s="1386"/>
      <c r="AW97" s="1764"/>
      <c r="AX97" s="1382"/>
      <c r="AY97" s="1760"/>
      <c r="AZ97" s="1760"/>
      <c r="BA97" s="1760"/>
      <c r="BB97" s="1244"/>
      <c r="BC97" s="1762"/>
      <c r="BD97" s="1382"/>
      <c r="BE97" s="1376"/>
      <c r="BF97" s="1376"/>
      <c r="BG97" s="1376"/>
      <c r="BH97" s="1244"/>
      <c r="BI97" s="1763"/>
      <c r="BJ97" s="1382"/>
      <c r="BK97" s="1376"/>
      <c r="BL97" s="1376"/>
      <c r="BM97" s="1386"/>
      <c r="BN97" s="1386"/>
      <c r="BO97" s="1762"/>
      <c r="BP97" s="1765"/>
      <c r="BQ97" s="1766"/>
      <c r="BR97" s="1767">
        <f t="shared" si="31"/>
        <v>0</v>
      </c>
      <c r="BS97" s="1"/>
      <c r="BT97" s="1192">
        <f t="shared" si="32"/>
        <v>13000</v>
      </c>
    </row>
    <row r="98" spans="1:72" ht="18.75" customHeight="1" x14ac:dyDescent="0.3">
      <c r="A98" s="165"/>
      <c r="B98" s="377"/>
      <c r="C98" s="398" t="s">
        <v>181</v>
      </c>
      <c r="D98" s="375" t="s">
        <v>22</v>
      </c>
      <c r="E98" s="399">
        <v>1.7</v>
      </c>
      <c r="F98" s="400"/>
      <c r="G98" s="362"/>
      <c r="H98" s="842">
        <f t="shared" si="29"/>
        <v>0</v>
      </c>
      <c r="I98" s="375"/>
      <c r="J98" s="362"/>
      <c r="K98" s="1560">
        <f t="shared" si="30"/>
        <v>0</v>
      </c>
      <c r="L98" s="1273">
        <f t="shared" si="30"/>
        <v>0</v>
      </c>
      <c r="M98" s="1274">
        <f t="shared" si="30"/>
        <v>0</v>
      </c>
      <c r="N98" s="1273">
        <f t="shared" si="30"/>
        <v>0</v>
      </c>
      <c r="O98" s="1274">
        <f t="shared" si="30"/>
        <v>0</v>
      </c>
      <c r="P98" s="1273">
        <f t="shared" si="30"/>
        <v>0</v>
      </c>
      <c r="Q98" s="1274">
        <f t="shared" si="30"/>
        <v>0</v>
      </c>
      <c r="R98" s="1273">
        <f t="shared" si="30"/>
        <v>0</v>
      </c>
      <c r="S98" s="1565">
        <f>(R98-$H98)+BG98</f>
        <v>0</v>
      </c>
      <c r="T98" s="1847"/>
      <c r="U98" s="1183"/>
      <c r="V98" s="1273"/>
      <c r="W98" s="1183"/>
      <c r="X98" s="1273"/>
      <c r="Y98" s="1902"/>
      <c r="Z98" s="1103"/>
      <c r="AA98" s="1103"/>
      <c r="AB98" s="1103"/>
      <c r="AC98" s="1103"/>
      <c r="AD98" s="1195"/>
      <c r="AE98" s="1197"/>
      <c r="AF98" s="1103"/>
      <c r="AG98" s="1103"/>
      <c r="AH98" s="1103"/>
      <c r="AI98" s="1103"/>
      <c r="AJ98" s="1195"/>
      <c r="AK98" s="1768"/>
      <c r="AL98" s="1204"/>
      <c r="AM98" s="1103"/>
      <c r="AN98" s="1103"/>
      <c r="AO98" s="1103"/>
      <c r="AP98" s="1195"/>
      <c r="AQ98" s="1769"/>
      <c r="AR98" s="1204"/>
      <c r="AS98" s="1103"/>
      <c r="AT98" s="1104"/>
      <c r="AU98" s="1104"/>
      <c r="AV98" s="1205"/>
      <c r="AW98" s="1196"/>
      <c r="AX98" s="1204"/>
      <c r="AY98" s="1103"/>
      <c r="AZ98" s="1103"/>
      <c r="BA98" s="1103"/>
      <c r="BB98" s="1195"/>
      <c r="BC98" s="1768"/>
      <c r="BD98" s="1204"/>
      <c r="BE98" s="1104"/>
      <c r="BF98" s="1104"/>
      <c r="BG98" s="1104"/>
      <c r="BH98" s="1195"/>
      <c r="BI98" s="1769"/>
      <c r="BJ98" s="1204"/>
      <c r="BK98" s="1104"/>
      <c r="BL98" s="1104"/>
      <c r="BM98" s="1205"/>
      <c r="BN98" s="1205"/>
      <c r="BO98" s="1768"/>
      <c r="BP98" s="1752"/>
      <c r="BQ98" s="1753"/>
      <c r="BR98" s="1754">
        <f t="shared" si="31"/>
        <v>0</v>
      </c>
      <c r="BS98" s="1"/>
      <c r="BT98" s="1192">
        <f t="shared" si="32"/>
        <v>0</v>
      </c>
    </row>
    <row r="99" spans="1:72" ht="16.2" thickBot="1" x14ac:dyDescent="0.35">
      <c r="A99" s="221"/>
      <c r="B99" s="404"/>
      <c r="C99" s="405" t="s">
        <v>182</v>
      </c>
      <c r="D99" s="406" t="s">
        <v>22</v>
      </c>
      <c r="E99" s="407">
        <v>1.7</v>
      </c>
      <c r="F99" s="408"/>
      <c r="G99" s="409"/>
      <c r="H99" s="843">
        <f t="shared" si="29"/>
        <v>0</v>
      </c>
      <c r="I99" s="406"/>
      <c r="J99" s="385"/>
      <c r="K99" s="1437">
        <f t="shared" si="30"/>
        <v>0</v>
      </c>
      <c r="L99" s="1273">
        <f t="shared" si="30"/>
        <v>0</v>
      </c>
      <c r="M99" s="1589">
        <f t="shared" si="30"/>
        <v>0</v>
      </c>
      <c r="N99" s="1590">
        <f t="shared" si="30"/>
        <v>0</v>
      </c>
      <c r="O99" s="1589">
        <f t="shared" si="30"/>
        <v>0</v>
      </c>
      <c r="P99" s="1590">
        <f t="shared" si="30"/>
        <v>0</v>
      </c>
      <c r="Q99" s="1589">
        <f t="shared" si="30"/>
        <v>0</v>
      </c>
      <c r="R99" s="1590">
        <f t="shared" si="30"/>
        <v>0</v>
      </c>
      <c r="S99" s="1596">
        <f>(R99-$H99)+BG99</f>
        <v>0</v>
      </c>
      <c r="T99" s="1864"/>
      <c r="U99" s="1894"/>
      <c r="V99" s="1590"/>
      <c r="W99" s="1894"/>
      <c r="X99" s="1590"/>
      <c r="Y99" s="1922"/>
      <c r="Z99" s="1770"/>
      <c r="AA99" s="1770"/>
      <c r="AB99" s="1770"/>
      <c r="AC99" s="1770"/>
      <c r="AD99" s="1771"/>
      <c r="AE99" s="1772"/>
      <c r="AF99" s="1770"/>
      <c r="AG99" s="1770"/>
      <c r="AH99" s="1770"/>
      <c r="AI99" s="1770"/>
      <c r="AJ99" s="1771"/>
      <c r="AK99" s="1773"/>
      <c r="AL99" s="1774"/>
      <c r="AM99" s="1770"/>
      <c r="AN99" s="1770"/>
      <c r="AO99" s="1770"/>
      <c r="AP99" s="1771"/>
      <c r="AQ99" s="1775"/>
      <c r="AR99" s="1774"/>
      <c r="AS99" s="1770"/>
      <c r="AT99" s="1776"/>
      <c r="AU99" s="1776"/>
      <c r="AV99" s="1777"/>
      <c r="AW99" s="1778"/>
      <c r="AX99" s="1774"/>
      <c r="AY99" s="1770"/>
      <c r="AZ99" s="1770"/>
      <c r="BA99" s="1770"/>
      <c r="BB99" s="1771"/>
      <c r="BC99" s="1773"/>
      <c r="BD99" s="1774"/>
      <c r="BE99" s="1776"/>
      <c r="BF99" s="1776"/>
      <c r="BG99" s="1776"/>
      <c r="BH99" s="1771"/>
      <c r="BI99" s="1775"/>
      <c r="BJ99" s="1774"/>
      <c r="BK99" s="1776"/>
      <c r="BL99" s="1776"/>
      <c r="BM99" s="1777"/>
      <c r="BN99" s="1777"/>
      <c r="BO99" s="1773"/>
      <c r="BP99" s="1267"/>
      <c r="BQ99" s="1269"/>
      <c r="BR99" s="1754">
        <f t="shared" si="31"/>
        <v>0</v>
      </c>
      <c r="BS99" s="1"/>
      <c r="BT99" s="1192">
        <f t="shared" si="32"/>
        <v>0</v>
      </c>
    </row>
    <row r="100" spans="1:72" ht="22.5" customHeight="1" x14ac:dyDescent="0.3">
      <c r="A100" s="416">
        <v>2606</v>
      </c>
      <c r="B100" s="360" t="s">
        <v>183</v>
      </c>
      <c r="C100" s="361" t="s">
        <v>184</v>
      </c>
      <c r="D100" s="362" t="s">
        <v>185</v>
      </c>
      <c r="E100" s="363">
        <v>2.2000000000000002</v>
      </c>
      <c r="F100" s="364" t="e">
        <f>(BR100/G100)/7</f>
        <v>#DIV/0!</v>
      </c>
      <c r="G100" s="362"/>
      <c r="H100" s="840">
        <f t="shared" si="29"/>
        <v>0</v>
      </c>
      <c r="I100" s="362"/>
      <c r="J100" s="392"/>
      <c r="K100" s="1243">
        <f t="shared" si="30"/>
        <v>0</v>
      </c>
      <c r="L100" s="1243">
        <f t="shared" si="30"/>
        <v>0</v>
      </c>
      <c r="M100" s="1243">
        <f t="shared" si="30"/>
        <v>0</v>
      </c>
      <c r="N100" s="1243">
        <f t="shared" si="30"/>
        <v>0</v>
      </c>
      <c r="O100" s="1243">
        <f t="shared" si="30"/>
        <v>0</v>
      </c>
      <c r="P100" s="1243">
        <f t="shared" si="30"/>
        <v>0</v>
      </c>
      <c r="Q100" s="1243">
        <f t="shared" si="30"/>
        <v>0</v>
      </c>
      <c r="R100" s="1243">
        <f t="shared" si="30"/>
        <v>0</v>
      </c>
      <c r="S100" s="1579">
        <f t="shared" si="30"/>
        <v>0</v>
      </c>
      <c r="T100" s="1847"/>
      <c r="U100" s="1183">
        <v>6000</v>
      </c>
      <c r="V100" s="1273"/>
      <c r="W100" s="1183"/>
      <c r="X100" s="1273"/>
      <c r="Y100" s="1902"/>
      <c r="Z100" s="1176"/>
      <c r="AA100" s="1096">
        <v>6000</v>
      </c>
      <c r="AB100" s="1177"/>
      <c r="AC100" s="1096"/>
      <c r="AD100" s="1097"/>
      <c r="AE100" s="1215"/>
      <c r="AF100" s="1095"/>
      <c r="AG100" s="1096"/>
      <c r="AH100" s="1096"/>
      <c r="AI100" s="1096"/>
      <c r="AJ100" s="1097"/>
      <c r="AK100" s="1745"/>
      <c r="AL100" s="1216"/>
      <c r="AM100" s="1095">
        <v>6000</v>
      </c>
      <c r="AN100" s="1095"/>
      <c r="AO100" s="1095"/>
      <c r="AP100" s="1287"/>
      <c r="AQ100" s="1748"/>
      <c r="AR100" s="1216"/>
      <c r="AS100" s="1095">
        <v>3000</v>
      </c>
      <c r="AT100" s="1096"/>
      <c r="AU100" s="1096"/>
      <c r="AV100" s="1097"/>
      <c r="AW100" s="1214"/>
      <c r="AX100" s="1216"/>
      <c r="AY100" s="1095"/>
      <c r="AZ100" s="1095"/>
      <c r="BA100" s="1095"/>
      <c r="BB100" s="1287"/>
      <c r="BC100" s="1745"/>
      <c r="BD100" s="1216"/>
      <c r="BE100" s="1096"/>
      <c r="BF100" s="1096"/>
      <c r="BG100" s="1096"/>
      <c r="BH100" s="1287"/>
      <c r="BI100" s="1748"/>
      <c r="BJ100" s="1216"/>
      <c r="BK100" s="1096"/>
      <c r="BL100" s="1096"/>
      <c r="BM100" s="1097"/>
      <c r="BN100" s="1097"/>
      <c r="BO100" s="1745"/>
      <c r="BP100" s="1365"/>
      <c r="BQ100" s="1357"/>
      <c r="BR100" s="1767">
        <f t="shared" si="31"/>
        <v>0</v>
      </c>
      <c r="BS100" s="1"/>
      <c r="BT100" s="1192">
        <f t="shared" si="32"/>
        <v>15000</v>
      </c>
    </row>
    <row r="101" spans="1:72" ht="15.6" x14ac:dyDescent="0.3">
      <c r="A101" s="418"/>
      <c r="B101" s="360"/>
      <c r="C101" s="398" t="s">
        <v>186</v>
      </c>
      <c r="D101" s="375" t="s">
        <v>185</v>
      </c>
      <c r="E101" s="399">
        <v>2.2000000000000002</v>
      </c>
      <c r="F101" s="400"/>
      <c r="G101" s="362"/>
      <c r="H101" s="842">
        <f t="shared" si="29"/>
        <v>0</v>
      </c>
      <c r="I101" s="375"/>
      <c r="J101" s="362"/>
      <c r="K101" s="1437">
        <f t="shared" si="30"/>
        <v>0</v>
      </c>
      <c r="L101" s="1273">
        <f t="shared" si="30"/>
        <v>0</v>
      </c>
      <c r="M101" s="1194">
        <f t="shared" si="30"/>
        <v>0</v>
      </c>
      <c r="N101" s="1273">
        <f t="shared" si="30"/>
        <v>0</v>
      </c>
      <c r="O101" s="1274">
        <f t="shared" si="30"/>
        <v>0</v>
      </c>
      <c r="P101" s="1273">
        <f t="shared" si="30"/>
        <v>0</v>
      </c>
      <c r="Q101" s="1194">
        <f t="shared" si="30"/>
        <v>0</v>
      </c>
      <c r="R101" s="1273">
        <f t="shared" si="30"/>
        <v>0</v>
      </c>
      <c r="S101" s="1565">
        <f t="shared" ref="S101" si="33">R101-P101</f>
        <v>0</v>
      </c>
      <c r="T101" s="1847"/>
      <c r="U101" s="1183"/>
      <c r="V101" s="1273"/>
      <c r="W101" s="1183"/>
      <c r="X101" s="1273"/>
      <c r="Y101" s="1902"/>
      <c r="Z101" s="1198"/>
      <c r="AA101" s="1104"/>
      <c r="AB101" s="1199"/>
      <c r="AC101" s="1104"/>
      <c r="AD101" s="1205"/>
      <c r="AE101" s="1197"/>
      <c r="AF101" s="1103"/>
      <c r="AG101" s="1104"/>
      <c r="AH101" s="1104"/>
      <c r="AI101" s="1104"/>
      <c r="AJ101" s="1205"/>
      <c r="AK101" s="1768"/>
      <c r="AL101" s="1204"/>
      <c r="AM101" s="1103"/>
      <c r="AN101" s="1103"/>
      <c r="AO101" s="1103"/>
      <c r="AP101" s="1195"/>
      <c r="AQ101" s="1769"/>
      <c r="AR101" s="1204"/>
      <c r="AS101" s="1103"/>
      <c r="AT101" s="1104"/>
      <c r="AU101" s="1104"/>
      <c r="AV101" s="1205"/>
      <c r="AW101" s="1196"/>
      <c r="AX101" s="1204"/>
      <c r="AY101" s="1103"/>
      <c r="AZ101" s="1103"/>
      <c r="BA101" s="1103"/>
      <c r="BB101" s="1195"/>
      <c r="BC101" s="1768"/>
      <c r="BD101" s="1204"/>
      <c r="BE101" s="1104"/>
      <c r="BF101" s="1104"/>
      <c r="BG101" s="1104"/>
      <c r="BH101" s="1195"/>
      <c r="BI101" s="1769"/>
      <c r="BJ101" s="1204"/>
      <c r="BK101" s="1104"/>
      <c r="BL101" s="1104"/>
      <c r="BM101" s="1205"/>
      <c r="BN101" s="1205"/>
      <c r="BO101" s="1768"/>
      <c r="BP101" s="1365"/>
      <c r="BQ101" s="1357"/>
      <c r="BR101" s="1754">
        <f t="shared" si="31"/>
        <v>0</v>
      </c>
      <c r="BS101" s="1"/>
      <c r="BT101" s="1192">
        <f t="shared" si="32"/>
        <v>0</v>
      </c>
    </row>
    <row r="102" spans="1:72" ht="16.2" thickBot="1" x14ac:dyDescent="0.35">
      <c r="A102" s="420"/>
      <c r="B102" s="421"/>
      <c r="C102" s="405" t="s">
        <v>187</v>
      </c>
      <c r="D102" s="406" t="s">
        <v>185</v>
      </c>
      <c r="E102" s="407">
        <v>2.2000000000000002</v>
      </c>
      <c r="F102" s="408"/>
      <c r="G102" s="409"/>
      <c r="H102" s="843">
        <f t="shared" si="29"/>
        <v>0</v>
      </c>
      <c r="I102" s="406"/>
      <c r="J102" s="406"/>
      <c r="K102" s="1588">
        <f t="shared" si="30"/>
        <v>0</v>
      </c>
      <c r="L102" s="1222">
        <f t="shared" si="30"/>
        <v>0</v>
      </c>
      <c r="M102" s="1589">
        <f t="shared" si="30"/>
        <v>0</v>
      </c>
      <c r="N102" s="1257">
        <f t="shared" si="30"/>
        <v>0</v>
      </c>
      <c r="O102" s="1258">
        <f t="shared" si="30"/>
        <v>0</v>
      </c>
      <c r="P102" s="1257">
        <f t="shared" si="30"/>
        <v>0</v>
      </c>
      <c r="Q102" s="1258">
        <f t="shared" si="30"/>
        <v>0</v>
      </c>
      <c r="R102" s="1590">
        <f t="shared" si="30"/>
        <v>0</v>
      </c>
      <c r="S102" s="1596">
        <f>(R102-$H102)+BI102</f>
        <v>0</v>
      </c>
      <c r="T102" s="1864"/>
      <c r="U102" s="1894"/>
      <c r="V102" s="1590"/>
      <c r="W102" s="1894"/>
      <c r="X102" s="1590"/>
      <c r="Y102" s="1922"/>
      <c r="Z102" s="1838"/>
      <c r="AA102" s="1776"/>
      <c r="AB102" s="1779"/>
      <c r="AC102" s="1776"/>
      <c r="AD102" s="1777"/>
      <c r="AE102" s="1772"/>
      <c r="AF102" s="1770"/>
      <c r="AG102" s="1776"/>
      <c r="AH102" s="1776"/>
      <c r="AI102" s="1776"/>
      <c r="AJ102" s="1777"/>
      <c r="AK102" s="1773"/>
      <c r="AL102" s="1774"/>
      <c r="AM102" s="1770"/>
      <c r="AN102" s="1770"/>
      <c r="AO102" s="1770"/>
      <c r="AP102" s="1771"/>
      <c r="AQ102" s="1775"/>
      <c r="AR102" s="1774"/>
      <c r="AS102" s="1770"/>
      <c r="AT102" s="1776"/>
      <c r="AU102" s="1776"/>
      <c r="AV102" s="1777"/>
      <c r="AW102" s="1778"/>
      <c r="AX102" s="1774"/>
      <c r="AY102" s="1770"/>
      <c r="AZ102" s="1770"/>
      <c r="BA102" s="1770"/>
      <c r="BB102" s="1771"/>
      <c r="BC102" s="1773"/>
      <c r="BD102" s="1774"/>
      <c r="BE102" s="1776"/>
      <c r="BF102" s="1776"/>
      <c r="BG102" s="1776"/>
      <c r="BH102" s="1771"/>
      <c r="BI102" s="1775"/>
      <c r="BJ102" s="1774"/>
      <c r="BK102" s="1776"/>
      <c r="BL102" s="1776"/>
      <c r="BM102" s="1777"/>
      <c r="BN102" s="1777"/>
      <c r="BO102" s="1773"/>
      <c r="BP102" s="1267"/>
      <c r="BQ102" s="1269"/>
      <c r="BR102" s="1754">
        <f t="shared" si="31"/>
        <v>0</v>
      </c>
      <c r="BS102" s="1"/>
      <c r="BT102" s="1192">
        <f t="shared" si="32"/>
        <v>0</v>
      </c>
    </row>
    <row r="103" spans="1:72" ht="15.6" x14ac:dyDescent="0.3">
      <c r="A103" s="159">
        <v>2605</v>
      </c>
      <c r="B103" s="360" t="s">
        <v>241</v>
      </c>
      <c r="C103" s="361" t="s">
        <v>188</v>
      </c>
      <c r="D103" s="362" t="s">
        <v>185</v>
      </c>
      <c r="E103" s="363">
        <v>2.2999999999999998</v>
      </c>
      <c r="F103" s="364" t="e">
        <f>(BR103/G103)/7</f>
        <v>#DIV/0!</v>
      </c>
      <c r="G103" s="362"/>
      <c r="H103" s="840">
        <f t="shared" si="29"/>
        <v>0</v>
      </c>
      <c r="I103" s="362"/>
      <c r="J103" s="826"/>
      <c r="K103" s="1780">
        <f t="shared" si="30"/>
        <v>0</v>
      </c>
      <c r="L103" s="1780">
        <f t="shared" si="30"/>
        <v>0</v>
      </c>
      <c r="M103" s="1780">
        <f t="shared" si="30"/>
        <v>0</v>
      </c>
      <c r="N103" s="1780">
        <f t="shared" si="30"/>
        <v>0</v>
      </c>
      <c r="O103" s="1780">
        <f t="shared" si="30"/>
        <v>0</v>
      </c>
      <c r="P103" s="1780">
        <f t="shared" si="30"/>
        <v>0</v>
      </c>
      <c r="Q103" s="1780">
        <f t="shared" si="30"/>
        <v>0</v>
      </c>
      <c r="R103" s="1243">
        <f t="shared" si="30"/>
        <v>0</v>
      </c>
      <c r="S103" s="1579">
        <f t="shared" si="30"/>
        <v>0</v>
      </c>
      <c r="T103" s="1847"/>
      <c r="U103" s="1183">
        <v>6000</v>
      </c>
      <c r="V103" s="1273"/>
      <c r="W103" s="1183"/>
      <c r="X103" s="1273"/>
      <c r="Y103" s="1902"/>
      <c r="Z103" s="1176"/>
      <c r="AA103" s="1096">
        <v>3000</v>
      </c>
      <c r="AB103" s="1177"/>
      <c r="AC103" s="1096"/>
      <c r="AD103" s="1097"/>
      <c r="AE103" s="1215"/>
      <c r="AF103" s="1095"/>
      <c r="AG103" s="1096"/>
      <c r="AH103" s="1096"/>
      <c r="AI103" s="1096"/>
      <c r="AJ103" s="1097"/>
      <c r="AK103" s="1745"/>
      <c r="AL103" s="1216"/>
      <c r="AM103" s="1095">
        <v>3000</v>
      </c>
      <c r="AN103" s="1095"/>
      <c r="AO103" s="1095"/>
      <c r="AP103" s="1287"/>
      <c r="AQ103" s="1748"/>
      <c r="AR103" s="1216"/>
      <c r="AS103" s="1095">
        <v>4000</v>
      </c>
      <c r="AT103" s="1096"/>
      <c r="AU103" s="1096"/>
      <c r="AV103" s="1097"/>
      <c r="AW103" s="1214"/>
      <c r="AX103" s="1216"/>
      <c r="AY103" s="1095"/>
      <c r="AZ103" s="1095"/>
      <c r="BA103" s="1095"/>
      <c r="BB103" s="1287"/>
      <c r="BC103" s="1745"/>
      <c r="BD103" s="1216"/>
      <c r="BE103" s="1096"/>
      <c r="BF103" s="1096"/>
      <c r="BG103" s="1096"/>
      <c r="BH103" s="1287"/>
      <c r="BI103" s="1748"/>
      <c r="BJ103" s="1216"/>
      <c r="BK103" s="1096"/>
      <c r="BL103" s="1096"/>
      <c r="BM103" s="1097"/>
      <c r="BN103" s="1097"/>
      <c r="BO103" s="1745"/>
      <c r="BP103" s="1765"/>
      <c r="BQ103" s="1357"/>
      <c r="BR103" s="1767">
        <f t="shared" si="31"/>
        <v>0</v>
      </c>
      <c r="BS103" s="1"/>
      <c r="BT103" s="1192">
        <f t="shared" si="32"/>
        <v>10000</v>
      </c>
    </row>
    <row r="104" spans="1:72" ht="15.6" x14ac:dyDescent="0.3">
      <c r="A104" s="150"/>
      <c r="B104" s="594"/>
      <c r="C104" s="398" t="s">
        <v>189</v>
      </c>
      <c r="D104" s="375" t="s">
        <v>185</v>
      </c>
      <c r="E104" s="399">
        <v>2.2999999999999998</v>
      </c>
      <c r="F104" s="400"/>
      <c r="G104" s="362"/>
      <c r="H104" s="842">
        <f t="shared" si="29"/>
        <v>0</v>
      </c>
      <c r="I104" s="375"/>
      <c r="J104" s="362"/>
      <c r="K104" s="1395">
        <f t="shared" si="30"/>
        <v>0</v>
      </c>
      <c r="L104" s="1193">
        <f t="shared" si="30"/>
        <v>0</v>
      </c>
      <c r="M104" s="1274">
        <f t="shared" si="30"/>
        <v>0</v>
      </c>
      <c r="N104" s="1273">
        <f t="shared" si="30"/>
        <v>0</v>
      </c>
      <c r="O104" s="1274">
        <f t="shared" si="30"/>
        <v>0</v>
      </c>
      <c r="P104" s="1273">
        <f t="shared" si="30"/>
        <v>0</v>
      </c>
      <c r="Q104" s="1274">
        <f t="shared" si="30"/>
        <v>0</v>
      </c>
      <c r="R104" s="1273">
        <f t="shared" si="30"/>
        <v>0</v>
      </c>
      <c r="S104" s="1565">
        <f>(R104-$H104)+BI104</f>
        <v>0</v>
      </c>
      <c r="T104" s="1847"/>
      <c r="U104" s="1183"/>
      <c r="V104" s="1273"/>
      <c r="W104" s="1183"/>
      <c r="X104" s="1273"/>
      <c r="Y104" s="1902"/>
      <c r="Z104" s="1198"/>
      <c r="AA104" s="1104"/>
      <c r="AB104" s="1199"/>
      <c r="AC104" s="1104"/>
      <c r="AD104" s="1205"/>
      <c r="AE104" s="1197"/>
      <c r="AF104" s="1103"/>
      <c r="AG104" s="1104"/>
      <c r="AH104" s="1104"/>
      <c r="AI104" s="1104"/>
      <c r="AJ104" s="1205"/>
      <c r="AK104" s="1768"/>
      <c r="AL104" s="1204"/>
      <c r="AM104" s="1103"/>
      <c r="AN104" s="1103"/>
      <c r="AO104" s="1103"/>
      <c r="AP104" s="1195"/>
      <c r="AQ104" s="1769"/>
      <c r="AR104" s="1204"/>
      <c r="AS104" s="1103"/>
      <c r="AT104" s="1104"/>
      <c r="AU104" s="1104"/>
      <c r="AV104" s="1205"/>
      <c r="AW104" s="1196"/>
      <c r="AX104" s="1204"/>
      <c r="AY104" s="1103"/>
      <c r="AZ104" s="1103"/>
      <c r="BA104" s="1103"/>
      <c r="BB104" s="1195"/>
      <c r="BC104" s="1768"/>
      <c r="BD104" s="1204"/>
      <c r="BE104" s="1104"/>
      <c r="BF104" s="1104"/>
      <c r="BG104" s="1104"/>
      <c r="BH104" s="1195"/>
      <c r="BI104" s="1769"/>
      <c r="BJ104" s="1204"/>
      <c r="BK104" s="1104"/>
      <c r="BL104" s="1104"/>
      <c r="BM104" s="1205"/>
      <c r="BN104" s="1205"/>
      <c r="BO104" s="1768"/>
      <c r="BP104" s="1752"/>
      <c r="BQ104" s="1357"/>
      <c r="BR104" s="1754">
        <f t="shared" si="31"/>
        <v>0</v>
      </c>
      <c r="BS104" s="1"/>
      <c r="BT104" s="1192">
        <f t="shared" si="32"/>
        <v>0</v>
      </c>
    </row>
    <row r="105" spans="1:72" ht="16.2" thickBot="1" x14ac:dyDescent="0.35">
      <c r="A105" s="169"/>
      <c r="B105" s="421"/>
      <c r="C105" s="405" t="s">
        <v>190</v>
      </c>
      <c r="D105" s="406" t="s">
        <v>185</v>
      </c>
      <c r="E105" s="407">
        <v>2.2999999999999998</v>
      </c>
      <c r="F105" s="424"/>
      <c r="G105" s="409"/>
      <c r="H105" s="843">
        <f t="shared" si="29"/>
        <v>0</v>
      </c>
      <c r="I105" s="406"/>
      <c r="J105" s="385"/>
      <c r="K105" s="1560">
        <f t="shared" si="30"/>
        <v>0</v>
      </c>
      <c r="L105" s="1273">
        <f t="shared" si="30"/>
        <v>0</v>
      </c>
      <c r="M105" s="1274">
        <f t="shared" si="30"/>
        <v>0</v>
      </c>
      <c r="N105" s="1273">
        <f t="shared" si="30"/>
        <v>0</v>
      </c>
      <c r="O105" s="1274">
        <f t="shared" si="30"/>
        <v>0</v>
      </c>
      <c r="P105" s="1273">
        <f t="shared" si="30"/>
        <v>0</v>
      </c>
      <c r="Q105" s="1274">
        <f t="shared" si="30"/>
        <v>0</v>
      </c>
      <c r="R105" s="1590">
        <f t="shared" si="30"/>
        <v>0</v>
      </c>
      <c r="S105" s="1596">
        <f>(R105-$H105)+BI105</f>
        <v>0</v>
      </c>
      <c r="T105" s="1864"/>
      <c r="U105" s="1894"/>
      <c r="V105" s="1590"/>
      <c r="W105" s="1894"/>
      <c r="X105" s="1590"/>
      <c r="Y105" s="1922"/>
      <c r="Z105" s="1838"/>
      <c r="AA105" s="1776"/>
      <c r="AB105" s="1779"/>
      <c r="AC105" s="1776"/>
      <c r="AD105" s="1777"/>
      <c r="AE105" s="1772"/>
      <c r="AF105" s="1770"/>
      <c r="AG105" s="1776"/>
      <c r="AH105" s="1776"/>
      <c r="AI105" s="1776"/>
      <c r="AJ105" s="1777"/>
      <c r="AK105" s="1773"/>
      <c r="AL105" s="1774"/>
      <c r="AM105" s="1770"/>
      <c r="AN105" s="1770"/>
      <c r="AO105" s="1770"/>
      <c r="AP105" s="1771"/>
      <c r="AQ105" s="1775"/>
      <c r="AR105" s="1774"/>
      <c r="AS105" s="1770"/>
      <c r="AT105" s="1776"/>
      <c r="AU105" s="1776"/>
      <c r="AV105" s="1777"/>
      <c r="AW105" s="1778"/>
      <c r="AX105" s="1774"/>
      <c r="AY105" s="1770"/>
      <c r="AZ105" s="1770"/>
      <c r="BA105" s="1770"/>
      <c r="BB105" s="1771"/>
      <c r="BC105" s="1773"/>
      <c r="BD105" s="1774"/>
      <c r="BE105" s="1776"/>
      <c r="BF105" s="1776"/>
      <c r="BG105" s="1776"/>
      <c r="BH105" s="1771"/>
      <c r="BI105" s="1775"/>
      <c r="BJ105" s="1774"/>
      <c r="BK105" s="1776"/>
      <c r="BL105" s="1776"/>
      <c r="BM105" s="1777"/>
      <c r="BN105" s="1777"/>
      <c r="BO105" s="1773"/>
      <c r="BP105" s="1267"/>
      <c r="BQ105" s="1269"/>
      <c r="BR105" s="1754">
        <f t="shared" si="31"/>
        <v>0</v>
      </c>
      <c r="BS105" s="1"/>
      <c r="BT105" s="1192">
        <f t="shared" si="32"/>
        <v>0</v>
      </c>
    </row>
    <row r="106" spans="1:72" ht="15.6" x14ac:dyDescent="0.3">
      <c r="A106" s="425">
        <v>2604</v>
      </c>
      <c r="B106" s="360" t="s">
        <v>185</v>
      </c>
      <c r="C106" s="361" t="s">
        <v>192</v>
      </c>
      <c r="D106" s="362" t="s">
        <v>193</v>
      </c>
      <c r="E106" s="363">
        <v>2.4</v>
      </c>
      <c r="F106" s="364" t="e">
        <f>(BR106/G106)/7</f>
        <v>#DIV/0!</v>
      </c>
      <c r="G106" s="362"/>
      <c r="H106" s="840">
        <f t="shared" si="29"/>
        <v>0</v>
      </c>
      <c r="I106" s="362"/>
      <c r="J106" s="392"/>
      <c r="K106" s="1781">
        <f t="shared" si="30"/>
        <v>0</v>
      </c>
      <c r="L106" s="1781">
        <f t="shared" si="30"/>
        <v>0</v>
      </c>
      <c r="M106" s="1781">
        <f t="shared" si="30"/>
        <v>0</v>
      </c>
      <c r="N106" s="1781">
        <f t="shared" si="30"/>
        <v>0</v>
      </c>
      <c r="O106" s="1781">
        <f t="shared" si="30"/>
        <v>0</v>
      </c>
      <c r="P106" s="1781">
        <f t="shared" si="30"/>
        <v>0</v>
      </c>
      <c r="Q106" s="1781">
        <f t="shared" si="30"/>
        <v>0</v>
      </c>
      <c r="R106" s="1781">
        <f t="shared" si="30"/>
        <v>0</v>
      </c>
      <c r="S106" s="1781">
        <f t="shared" si="30"/>
        <v>0</v>
      </c>
      <c r="T106" s="1848"/>
      <c r="U106" s="1885"/>
      <c r="V106" s="1222"/>
      <c r="W106" s="1885"/>
      <c r="X106" s="1222"/>
      <c r="Y106" s="1923"/>
      <c r="Z106" s="1176"/>
      <c r="AA106" s="1177"/>
      <c r="AB106" s="1096">
        <v>6000</v>
      </c>
      <c r="AC106" s="1096"/>
      <c r="AD106" s="1097"/>
      <c r="AE106" s="1215"/>
      <c r="AF106" s="1187"/>
      <c r="AG106" s="1183"/>
      <c r="AH106" s="1183"/>
      <c r="AI106" s="1183"/>
      <c r="AJ106" s="1744"/>
      <c r="AK106" s="1745"/>
      <c r="AL106" s="1746"/>
      <c r="AM106" s="1187"/>
      <c r="AN106" s="1187">
        <v>3000</v>
      </c>
      <c r="AO106" s="1187"/>
      <c r="AP106" s="1273"/>
      <c r="AQ106" s="1748"/>
      <c r="AR106" s="1746"/>
      <c r="AS106" s="1187"/>
      <c r="AT106" s="1183">
        <v>6000</v>
      </c>
      <c r="AU106" s="1183"/>
      <c r="AV106" s="1744"/>
      <c r="AW106" s="1214"/>
      <c r="AX106" s="1746"/>
      <c r="AY106" s="1187"/>
      <c r="AZ106" s="1187"/>
      <c r="BA106" s="1187"/>
      <c r="BB106" s="1273"/>
      <c r="BC106" s="1745"/>
      <c r="BD106" s="1746"/>
      <c r="BE106" s="1183"/>
      <c r="BF106" s="1183"/>
      <c r="BG106" s="1183"/>
      <c r="BH106" s="1273"/>
      <c r="BI106" s="1748"/>
      <c r="BJ106" s="1746"/>
      <c r="BK106" s="1183"/>
      <c r="BL106" s="1183"/>
      <c r="BM106" s="1744"/>
      <c r="BN106" s="1744"/>
      <c r="BO106" s="1745"/>
      <c r="BP106" s="1783"/>
      <c r="BQ106" s="1784"/>
      <c r="BR106" s="1785">
        <f t="shared" si="31"/>
        <v>0</v>
      </c>
      <c r="BT106" s="1192">
        <f t="shared" si="32"/>
        <v>15000</v>
      </c>
    </row>
    <row r="107" spans="1:72" ht="15.6" x14ac:dyDescent="0.3">
      <c r="A107" s="428"/>
      <c r="B107" s="360"/>
      <c r="C107" s="398" t="s">
        <v>194</v>
      </c>
      <c r="D107" s="375" t="s">
        <v>193</v>
      </c>
      <c r="E107" s="399">
        <v>2.4</v>
      </c>
      <c r="F107" s="400"/>
      <c r="G107" s="362"/>
      <c r="H107" s="842">
        <f t="shared" si="29"/>
        <v>0</v>
      </c>
      <c r="I107" s="375"/>
      <c r="J107" s="362"/>
      <c r="K107" s="1395">
        <f t="shared" si="30"/>
        <v>0</v>
      </c>
      <c r="L107" s="1193">
        <f t="shared" si="30"/>
        <v>0</v>
      </c>
      <c r="M107" s="1194">
        <f t="shared" si="30"/>
        <v>0</v>
      </c>
      <c r="N107" s="1193">
        <f t="shared" si="30"/>
        <v>0</v>
      </c>
      <c r="O107" s="1194">
        <f t="shared" si="30"/>
        <v>0</v>
      </c>
      <c r="P107" s="1193">
        <f t="shared" si="30"/>
        <v>0</v>
      </c>
      <c r="Q107" s="1194">
        <f t="shared" si="30"/>
        <v>0</v>
      </c>
      <c r="R107" s="1273">
        <f t="shared" si="30"/>
        <v>0</v>
      </c>
      <c r="S107" s="1565">
        <f>(R107-$H107)+BJ107</f>
        <v>0</v>
      </c>
      <c r="T107" s="1847"/>
      <c r="U107" s="1183"/>
      <c r="V107" s="1273"/>
      <c r="W107" s="1183"/>
      <c r="X107" s="1273"/>
      <c r="Y107" s="1902"/>
      <c r="Z107" s="1198"/>
      <c r="AA107" s="1199"/>
      <c r="AB107" s="1104"/>
      <c r="AC107" s="1104"/>
      <c r="AD107" s="1205"/>
      <c r="AE107" s="1197"/>
      <c r="AF107" s="1103"/>
      <c r="AG107" s="1104"/>
      <c r="AH107" s="1104"/>
      <c r="AI107" s="1104"/>
      <c r="AJ107" s="1205"/>
      <c r="AK107" s="1768"/>
      <c r="AL107" s="1204"/>
      <c r="AM107" s="1103"/>
      <c r="AN107" s="1103"/>
      <c r="AO107" s="1103"/>
      <c r="AP107" s="1195"/>
      <c r="AQ107" s="1769"/>
      <c r="AR107" s="1204"/>
      <c r="AS107" s="1103"/>
      <c r="AT107" s="1104"/>
      <c r="AU107" s="1104"/>
      <c r="AV107" s="1205"/>
      <c r="AW107" s="1196"/>
      <c r="AX107" s="1204"/>
      <c r="AY107" s="1103"/>
      <c r="AZ107" s="1103"/>
      <c r="BA107" s="1103"/>
      <c r="BB107" s="1195"/>
      <c r="BC107" s="1768"/>
      <c r="BD107" s="1204"/>
      <c r="BE107" s="1104"/>
      <c r="BF107" s="1104"/>
      <c r="BG107" s="1104"/>
      <c r="BH107" s="1195"/>
      <c r="BI107" s="1769"/>
      <c r="BJ107" s="1204"/>
      <c r="BK107" s="1104"/>
      <c r="BL107" s="1104"/>
      <c r="BM107" s="1205"/>
      <c r="BN107" s="1205"/>
      <c r="BO107" s="1768"/>
      <c r="BP107" s="1786"/>
      <c r="BQ107" s="1753"/>
      <c r="BR107" s="1754">
        <f t="shared" si="31"/>
        <v>0</v>
      </c>
      <c r="BS107" s="1"/>
      <c r="BT107" s="1192">
        <f t="shared" si="32"/>
        <v>0</v>
      </c>
    </row>
    <row r="108" spans="1:72" ht="16.2" thickBot="1" x14ac:dyDescent="0.35">
      <c r="A108" s="430"/>
      <c r="B108" s="421"/>
      <c r="C108" s="405" t="s">
        <v>195</v>
      </c>
      <c r="D108" s="406" t="s">
        <v>193</v>
      </c>
      <c r="E108" s="407">
        <v>2.4</v>
      </c>
      <c r="F108" s="424"/>
      <c r="G108" s="409"/>
      <c r="H108" s="843">
        <f t="shared" si="29"/>
        <v>0</v>
      </c>
      <c r="I108" s="406"/>
      <c r="J108" s="406"/>
      <c r="K108" s="1560">
        <f t="shared" si="30"/>
        <v>0</v>
      </c>
      <c r="L108" s="1273">
        <f t="shared" si="30"/>
        <v>0</v>
      </c>
      <c r="M108" s="1274">
        <f t="shared" si="30"/>
        <v>0</v>
      </c>
      <c r="N108" s="1273">
        <f t="shared" si="30"/>
        <v>0</v>
      </c>
      <c r="O108" s="1274">
        <f t="shared" si="30"/>
        <v>0</v>
      </c>
      <c r="P108" s="1273">
        <f t="shared" si="30"/>
        <v>0</v>
      </c>
      <c r="Q108" s="1274">
        <f t="shared" si="30"/>
        <v>0</v>
      </c>
      <c r="R108" s="1590">
        <f t="shared" si="30"/>
        <v>0</v>
      </c>
      <c r="S108" s="1596">
        <f>(R108-$H108)+BJ108</f>
        <v>0</v>
      </c>
      <c r="T108" s="1864"/>
      <c r="U108" s="1894"/>
      <c r="V108" s="1590"/>
      <c r="W108" s="1894"/>
      <c r="X108" s="1590"/>
      <c r="Y108" s="1922"/>
      <c r="Z108" s="1838"/>
      <c r="AA108" s="1779"/>
      <c r="AB108" s="1776"/>
      <c r="AC108" s="1776"/>
      <c r="AD108" s="1777"/>
      <c r="AE108" s="1772"/>
      <c r="AF108" s="1770"/>
      <c r="AG108" s="1776"/>
      <c r="AH108" s="1776"/>
      <c r="AI108" s="1776"/>
      <c r="AJ108" s="1777"/>
      <c r="AK108" s="1773"/>
      <c r="AL108" s="1774"/>
      <c r="AM108" s="1770"/>
      <c r="AN108" s="1770"/>
      <c r="AO108" s="1770"/>
      <c r="AP108" s="1771"/>
      <c r="AQ108" s="1775"/>
      <c r="AR108" s="1774"/>
      <c r="AS108" s="1770"/>
      <c r="AT108" s="1776"/>
      <c r="AU108" s="1776"/>
      <c r="AV108" s="1777"/>
      <c r="AW108" s="1778"/>
      <c r="AX108" s="1774"/>
      <c r="AY108" s="1770"/>
      <c r="AZ108" s="1770"/>
      <c r="BA108" s="1770"/>
      <c r="BB108" s="1771"/>
      <c r="BC108" s="1773"/>
      <c r="BD108" s="1774"/>
      <c r="BE108" s="1776"/>
      <c r="BF108" s="1776"/>
      <c r="BG108" s="1776"/>
      <c r="BH108" s="1771"/>
      <c r="BI108" s="1775"/>
      <c r="BJ108" s="1774"/>
      <c r="BK108" s="1776"/>
      <c r="BL108" s="1776"/>
      <c r="BM108" s="1777"/>
      <c r="BN108" s="1777"/>
      <c r="BO108" s="1773"/>
      <c r="BP108" s="1267"/>
      <c r="BQ108" s="1269"/>
      <c r="BR108" s="1759">
        <f t="shared" si="31"/>
        <v>0</v>
      </c>
      <c r="BS108" s="1"/>
      <c r="BT108" s="1192">
        <f t="shared" si="32"/>
        <v>0</v>
      </c>
    </row>
    <row r="109" spans="1:72" ht="15.6" x14ac:dyDescent="0.3">
      <c r="A109" s="425">
        <v>2603</v>
      </c>
      <c r="B109" s="360" t="s">
        <v>368</v>
      </c>
      <c r="C109" s="361" t="s">
        <v>196</v>
      </c>
      <c r="D109" s="362" t="s">
        <v>193</v>
      </c>
      <c r="E109" s="363">
        <v>2.5</v>
      </c>
      <c r="F109" s="364" t="e">
        <f>(BR109/G109)/7</f>
        <v>#DIV/0!</v>
      </c>
      <c r="G109" s="362"/>
      <c r="H109" s="840">
        <f t="shared" si="29"/>
        <v>0</v>
      </c>
      <c r="I109" s="362"/>
      <c r="J109" s="362"/>
      <c r="K109" s="1781">
        <f t="shared" si="30"/>
        <v>0</v>
      </c>
      <c r="L109" s="1781">
        <f t="shared" si="30"/>
        <v>0</v>
      </c>
      <c r="M109" s="1781">
        <f t="shared" si="30"/>
        <v>0</v>
      </c>
      <c r="N109" s="1781">
        <f t="shared" si="30"/>
        <v>0</v>
      </c>
      <c r="O109" s="1781">
        <f t="shared" si="30"/>
        <v>0</v>
      </c>
      <c r="P109" s="1781">
        <f t="shared" si="30"/>
        <v>0</v>
      </c>
      <c r="Q109" s="1781">
        <f t="shared" si="30"/>
        <v>0</v>
      </c>
      <c r="R109" s="1781">
        <f t="shared" si="30"/>
        <v>0</v>
      </c>
      <c r="S109" s="1782">
        <f t="shared" si="30"/>
        <v>0</v>
      </c>
      <c r="T109" s="1848"/>
      <c r="U109" s="1885"/>
      <c r="V109" s="1222">
        <v>6000</v>
      </c>
      <c r="W109" s="1885"/>
      <c r="X109" s="1222"/>
      <c r="Y109" s="1923"/>
      <c r="Z109" s="1176"/>
      <c r="AA109" s="1177"/>
      <c r="AB109" s="1096">
        <v>3000</v>
      </c>
      <c r="AC109" s="1096"/>
      <c r="AD109" s="1097"/>
      <c r="AE109" s="1215"/>
      <c r="AF109" s="1187"/>
      <c r="AG109" s="1183"/>
      <c r="AH109" s="1183"/>
      <c r="AI109" s="1183"/>
      <c r="AJ109" s="1744"/>
      <c r="AK109" s="1745"/>
      <c r="AL109" s="1746"/>
      <c r="AM109" s="1187"/>
      <c r="AN109" s="1187">
        <v>6000</v>
      </c>
      <c r="AO109" s="1187"/>
      <c r="AP109" s="1273"/>
      <c r="AQ109" s="1748"/>
      <c r="AR109" s="1746"/>
      <c r="AS109" s="1187"/>
      <c r="AT109" s="1183">
        <v>3000</v>
      </c>
      <c r="AU109" s="1183"/>
      <c r="AV109" s="1744"/>
      <c r="AW109" s="1214"/>
      <c r="AX109" s="1746"/>
      <c r="AY109" s="1187"/>
      <c r="AZ109" s="1187"/>
      <c r="BA109" s="1187"/>
      <c r="BB109" s="1273"/>
      <c r="BC109" s="1745"/>
      <c r="BD109" s="1746"/>
      <c r="BE109" s="1183"/>
      <c r="BF109" s="1183"/>
      <c r="BG109" s="1183"/>
      <c r="BH109" s="1273"/>
      <c r="BI109" s="1748"/>
      <c r="BJ109" s="1746"/>
      <c r="BK109" s="1183"/>
      <c r="BL109" s="1183"/>
      <c r="BM109" s="1744"/>
      <c r="BN109" s="1744"/>
      <c r="BO109" s="1745"/>
      <c r="BP109" s="1783"/>
      <c r="BQ109" s="1784"/>
      <c r="BR109" s="1785">
        <f t="shared" si="31"/>
        <v>0</v>
      </c>
      <c r="BT109" s="1192">
        <f t="shared" si="32"/>
        <v>12000</v>
      </c>
    </row>
    <row r="110" spans="1:72" ht="15.6" x14ac:dyDescent="0.3">
      <c r="A110" s="428"/>
      <c r="B110" s="360"/>
      <c r="C110" s="398" t="s">
        <v>197</v>
      </c>
      <c r="D110" s="375" t="s">
        <v>193</v>
      </c>
      <c r="E110" s="399">
        <f>+E109</f>
        <v>2.5</v>
      </c>
      <c r="F110" s="400"/>
      <c r="G110" s="375"/>
      <c r="H110" s="842">
        <f t="shared" si="29"/>
        <v>0</v>
      </c>
      <c r="I110" s="375"/>
      <c r="J110" s="362"/>
      <c r="K110" s="1395">
        <f t="shared" si="30"/>
        <v>0</v>
      </c>
      <c r="L110" s="1193">
        <f t="shared" si="30"/>
        <v>0</v>
      </c>
      <c r="M110" s="1194">
        <f t="shared" si="30"/>
        <v>0</v>
      </c>
      <c r="N110" s="1193">
        <f t="shared" si="30"/>
        <v>0</v>
      </c>
      <c r="O110" s="1194">
        <f t="shared" si="30"/>
        <v>0</v>
      </c>
      <c r="P110" s="1193">
        <f t="shared" si="30"/>
        <v>0</v>
      </c>
      <c r="Q110" s="1194">
        <f t="shared" si="30"/>
        <v>0</v>
      </c>
      <c r="R110" s="1193">
        <f t="shared" si="30"/>
        <v>0</v>
      </c>
      <c r="S110" s="1342">
        <f>(R110-$H110)+BJ110</f>
        <v>0</v>
      </c>
      <c r="T110" s="1854"/>
      <c r="U110" s="1114"/>
      <c r="V110" s="1193"/>
      <c r="W110" s="1114"/>
      <c r="X110" s="1193"/>
      <c r="Y110" s="1929"/>
      <c r="Z110" s="1198"/>
      <c r="AA110" s="1199"/>
      <c r="AB110" s="1104"/>
      <c r="AC110" s="1104"/>
      <c r="AD110" s="1205"/>
      <c r="AE110" s="1197"/>
      <c r="AF110" s="1103"/>
      <c r="AG110" s="1104"/>
      <c r="AH110" s="1104"/>
      <c r="AI110" s="1104"/>
      <c r="AJ110" s="1205"/>
      <c r="AK110" s="1768"/>
      <c r="AL110" s="1204"/>
      <c r="AM110" s="1103"/>
      <c r="AN110" s="1103"/>
      <c r="AO110" s="1103"/>
      <c r="AP110" s="1195"/>
      <c r="AQ110" s="1769"/>
      <c r="AR110" s="1204"/>
      <c r="AS110" s="1103"/>
      <c r="AT110" s="1104"/>
      <c r="AU110" s="1104"/>
      <c r="AV110" s="1205"/>
      <c r="AW110" s="1196"/>
      <c r="AX110" s="1204"/>
      <c r="AY110" s="1103"/>
      <c r="AZ110" s="1103"/>
      <c r="BA110" s="1103"/>
      <c r="BB110" s="1195"/>
      <c r="BC110" s="1768"/>
      <c r="BD110" s="1204"/>
      <c r="BE110" s="1104"/>
      <c r="BF110" s="1104"/>
      <c r="BG110" s="1104"/>
      <c r="BH110" s="1195"/>
      <c r="BI110" s="1769"/>
      <c r="BJ110" s="1204"/>
      <c r="BK110" s="1104"/>
      <c r="BL110" s="1104"/>
      <c r="BM110" s="1205"/>
      <c r="BN110" s="1205"/>
      <c r="BO110" s="1768"/>
      <c r="BP110" s="1786"/>
      <c r="BQ110" s="1753"/>
      <c r="BR110" s="1754">
        <f t="shared" si="31"/>
        <v>0</v>
      </c>
      <c r="BS110" s="1"/>
      <c r="BT110" s="1192">
        <f t="shared" si="32"/>
        <v>0</v>
      </c>
    </row>
    <row r="111" spans="1:72" ht="18" customHeight="1" thickBot="1" x14ac:dyDescent="0.35">
      <c r="A111" s="430"/>
      <c r="B111" s="421"/>
      <c r="C111" s="432" t="s">
        <v>198</v>
      </c>
      <c r="D111" s="386" t="s">
        <v>193</v>
      </c>
      <c r="E111" s="433">
        <f>+E110</f>
        <v>2.5</v>
      </c>
      <c r="F111" s="424"/>
      <c r="G111" s="386"/>
      <c r="H111" s="844">
        <f t="shared" si="29"/>
        <v>0</v>
      </c>
      <c r="I111" s="406"/>
      <c r="J111" s="385"/>
      <c r="K111" s="1560">
        <f t="shared" si="30"/>
        <v>0</v>
      </c>
      <c r="L111" s="1273">
        <f t="shared" si="30"/>
        <v>0</v>
      </c>
      <c r="M111" s="1274">
        <f t="shared" si="30"/>
        <v>0</v>
      </c>
      <c r="N111" s="1273">
        <f t="shared" si="30"/>
        <v>0</v>
      </c>
      <c r="O111" s="1274">
        <f t="shared" si="30"/>
        <v>0</v>
      </c>
      <c r="P111" s="1273">
        <f t="shared" si="30"/>
        <v>0</v>
      </c>
      <c r="Q111" s="1223">
        <f t="shared" si="30"/>
        <v>0</v>
      </c>
      <c r="R111" s="1273">
        <f t="shared" si="30"/>
        <v>0</v>
      </c>
      <c r="S111" s="1565">
        <f>(R111-$H111)+BJ111</f>
        <v>0</v>
      </c>
      <c r="T111" s="1848"/>
      <c r="U111" s="1885"/>
      <c r="V111" s="1222"/>
      <c r="W111" s="1885"/>
      <c r="X111" s="1222"/>
      <c r="Y111" s="1923"/>
      <c r="Z111" s="1226"/>
      <c r="AA111" s="1227"/>
      <c r="AB111" s="1219"/>
      <c r="AC111" s="1219"/>
      <c r="AD111" s="1233"/>
      <c r="AE111" s="1225"/>
      <c r="AF111" s="1218"/>
      <c r="AG111" s="1219"/>
      <c r="AH111" s="1219"/>
      <c r="AI111" s="1219"/>
      <c r="AJ111" s="1233"/>
      <c r="AK111" s="1787"/>
      <c r="AL111" s="1232"/>
      <c r="AM111" s="1218"/>
      <c r="AN111" s="1218"/>
      <c r="AO111" s="1218"/>
      <c r="AP111" s="1281"/>
      <c r="AQ111" s="1788"/>
      <c r="AR111" s="1232"/>
      <c r="AS111" s="1218"/>
      <c r="AT111" s="1219"/>
      <c r="AU111" s="1219"/>
      <c r="AV111" s="1233"/>
      <c r="AW111" s="1221"/>
      <c r="AX111" s="1232"/>
      <c r="AY111" s="1218"/>
      <c r="AZ111" s="1218"/>
      <c r="BA111" s="1218"/>
      <c r="BB111" s="1281"/>
      <c r="BC111" s="1787"/>
      <c r="BD111" s="1232"/>
      <c r="BE111" s="1219"/>
      <c r="BF111" s="1219"/>
      <c r="BG111" s="1219"/>
      <c r="BH111" s="1281"/>
      <c r="BI111" s="1788"/>
      <c r="BJ111" s="1232"/>
      <c r="BK111" s="1219"/>
      <c r="BL111" s="1219"/>
      <c r="BM111" s="1233"/>
      <c r="BN111" s="1233"/>
      <c r="BO111" s="1787"/>
      <c r="BP111" s="1365"/>
      <c r="BQ111" s="1357"/>
      <c r="BR111" s="1759">
        <f t="shared" si="31"/>
        <v>0</v>
      </c>
      <c r="BS111" s="1"/>
      <c r="BT111" s="1192">
        <f t="shared" si="32"/>
        <v>0</v>
      </c>
    </row>
    <row r="112" spans="1:72" ht="15.6" x14ac:dyDescent="0.3">
      <c r="A112" s="159">
        <v>2602</v>
      </c>
      <c r="B112" s="360" t="s">
        <v>367</v>
      </c>
      <c r="C112" s="391" t="s">
        <v>199</v>
      </c>
      <c r="D112" s="392" t="s">
        <v>191</v>
      </c>
      <c r="E112" s="393">
        <v>2.5</v>
      </c>
      <c r="F112" s="364" t="e">
        <f>(BR112/G112)/7</f>
        <v>#DIV/0!</v>
      </c>
      <c r="G112" s="392"/>
      <c r="H112" s="841">
        <f t="shared" si="29"/>
        <v>0</v>
      </c>
      <c r="I112" s="362"/>
      <c r="J112" s="392"/>
      <c r="K112" s="1780">
        <f t="shared" si="30"/>
        <v>0</v>
      </c>
      <c r="L112" s="1781">
        <f t="shared" si="30"/>
        <v>0</v>
      </c>
      <c r="M112" s="1781">
        <f t="shared" si="30"/>
        <v>0</v>
      </c>
      <c r="N112" s="1781">
        <f t="shared" si="30"/>
        <v>0</v>
      </c>
      <c r="O112" s="1781">
        <f t="shared" si="30"/>
        <v>0</v>
      </c>
      <c r="P112" s="1781">
        <f t="shared" si="30"/>
        <v>0</v>
      </c>
      <c r="Q112" s="1781">
        <f t="shared" si="30"/>
        <v>0</v>
      </c>
      <c r="R112" s="1781">
        <f t="shared" si="30"/>
        <v>0</v>
      </c>
      <c r="S112" s="1782">
        <f t="shared" si="30"/>
        <v>0</v>
      </c>
      <c r="T112" s="1868"/>
      <c r="U112" s="1895"/>
      <c r="V112" s="1831"/>
      <c r="W112" s="1895">
        <v>6000</v>
      </c>
      <c r="X112" s="1831"/>
      <c r="Y112" s="1930"/>
      <c r="Z112" s="1245"/>
      <c r="AA112" s="1254"/>
      <c r="AB112" s="1254"/>
      <c r="AC112" s="1376">
        <v>3000</v>
      </c>
      <c r="AD112" s="1386"/>
      <c r="AE112" s="1761"/>
      <c r="AF112" s="1789"/>
      <c r="AG112" s="1790"/>
      <c r="AH112" s="1790"/>
      <c r="AI112" s="1790"/>
      <c r="AJ112" s="1628"/>
      <c r="AK112" s="1762"/>
      <c r="AL112" s="1791"/>
      <c r="AM112" s="1789"/>
      <c r="AN112" s="1789"/>
      <c r="AO112" s="1789">
        <v>3000</v>
      </c>
      <c r="AP112" s="1242"/>
      <c r="AQ112" s="1763"/>
      <c r="AR112" s="1791"/>
      <c r="AS112" s="1789"/>
      <c r="AT112" s="1790"/>
      <c r="AU112" s="1790">
        <v>6000</v>
      </c>
      <c r="AV112" s="1628"/>
      <c r="AW112" s="1764"/>
      <c r="AX112" s="1791"/>
      <c r="AY112" s="1789"/>
      <c r="AZ112" s="1789"/>
      <c r="BA112" s="1789"/>
      <c r="BB112" s="1242"/>
      <c r="BC112" s="1762"/>
      <c r="BD112" s="1791"/>
      <c r="BE112" s="1790"/>
      <c r="BF112" s="1790"/>
      <c r="BG112" s="1790"/>
      <c r="BH112" s="1242"/>
      <c r="BI112" s="1763"/>
      <c r="BJ112" s="1791"/>
      <c r="BK112" s="1790"/>
      <c r="BL112" s="1790"/>
      <c r="BM112" s="1628"/>
      <c r="BN112" s="1628"/>
      <c r="BO112" s="1762"/>
      <c r="BP112" s="1783"/>
      <c r="BQ112" s="1792"/>
      <c r="BR112" s="1785">
        <f t="shared" si="31"/>
        <v>0</v>
      </c>
      <c r="BT112" s="1192">
        <f t="shared" si="32"/>
        <v>12000</v>
      </c>
    </row>
    <row r="113" spans="1:72" ht="15.6" x14ac:dyDescent="0.3">
      <c r="A113" s="150"/>
      <c r="B113" s="401"/>
      <c r="C113" s="398" t="s">
        <v>200</v>
      </c>
      <c r="D113" s="375" t="s">
        <v>191</v>
      </c>
      <c r="E113" s="399">
        <f>+E112</f>
        <v>2.5</v>
      </c>
      <c r="F113" s="400"/>
      <c r="G113" s="375"/>
      <c r="H113" s="842">
        <f t="shared" si="29"/>
        <v>0</v>
      </c>
      <c r="I113" s="375"/>
      <c r="J113" s="362"/>
      <c r="K113" s="1395">
        <f t="shared" si="30"/>
        <v>0</v>
      </c>
      <c r="L113" s="1193">
        <f t="shared" si="30"/>
        <v>0</v>
      </c>
      <c r="M113" s="1194">
        <f t="shared" si="30"/>
        <v>0</v>
      </c>
      <c r="N113" s="1193">
        <f t="shared" si="30"/>
        <v>0</v>
      </c>
      <c r="O113" s="1194">
        <f t="shared" si="30"/>
        <v>0</v>
      </c>
      <c r="P113" s="1193">
        <f t="shared" si="30"/>
        <v>0</v>
      </c>
      <c r="Q113" s="1194">
        <f t="shared" si="30"/>
        <v>0</v>
      </c>
      <c r="R113" s="1193">
        <f t="shared" si="30"/>
        <v>0</v>
      </c>
      <c r="S113" s="1342">
        <f>R113-$H113+BK113</f>
        <v>0</v>
      </c>
      <c r="T113" s="1854"/>
      <c r="U113" s="1114"/>
      <c r="V113" s="1193"/>
      <c r="W113" s="1114"/>
      <c r="X113" s="1193"/>
      <c r="Y113" s="1929"/>
      <c r="Z113" s="1198"/>
      <c r="AA113" s="1199"/>
      <c r="AB113" s="1199"/>
      <c r="AC113" s="1104"/>
      <c r="AD113" s="1205"/>
      <c r="AE113" s="1197"/>
      <c r="AF113" s="1103"/>
      <c r="AG113" s="1104"/>
      <c r="AH113" s="1104"/>
      <c r="AI113" s="1104"/>
      <c r="AJ113" s="1205"/>
      <c r="AK113" s="1768"/>
      <c r="AL113" s="1204"/>
      <c r="AM113" s="1103"/>
      <c r="AN113" s="1103"/>
      <c r="AO113" s="1103"/>
      <c r="AP113" s="1195"/>
      <c r="AQ113" s="1769"/>
      <c r="AR113" s="1204"/>
      <c r="AS113" s="1103"/>
      <c r="AT113" s="1104"/>
      <c r="AU113" s="1104"/>
      <c r="AV113" s="1205"/>
      <c r="AW113" s="1196"/>
      <c r="AX113" s="1204"/>
      <c r="AY113" s="1103"/>
      <c r="AZ113" s="1103"/>
      <c r="BA113" s="1103"/>
      <c r="BB113" s="1195"/>
      <c r="BC113" s="1768"/>
      <c r="BD113" s="1204"/>
      <c r="BE113" s="1104"/>
      <c r="BF113" s="1104"/>
      <c r="BG113" s="1104"/>
      <c r="BH113" s="1195"/>
      <c r="BI113" s="1769"/>
      <c r="BJ113" s="1204"/>
      <c r="BK113" s="1104"/>
      <c r="BL113" s="1104"/>
      <c r="BM113" s="1205"/>
      <c r="BN113" s="1205"/>
      <c r="BO113" s="1768"/>
      <c r="BP113" s="1786"/>
      <c r="BQ113" s="1357"/>
      <c r="BR113" s="1754">
        <f t="shared" si="31"/>
        <v>0</v>
      </c>
      <c r="BS113" s="1"/>
      <c r="BT113" s="1192">
        <f t="shared" si="32"/>
        <v>0</v>
      </c>
    </row>
    <row r="114" spans="1:72" ht="16.2" thickBot="1" x14ac:dyDescent="0.35">
      <c r="A114" s="169"/>
      <c r="B114" s="431"/>
      <c r="C114" s="405" t="s">
        <v>201</v>
      </c>
      <c r="D114" s="406" t="s">
        <v>191</v>
      </c>
      <c r="E114" s="407">
        <f>+E113</f>
        <v>2.5</v>
      </c>
      <c r="F114" s="424"/>
      <c r="G114" s="406"/>
      <c r="H114" s="843">
        <f t="shared" si="29"/>
        <v>0</v>
      </c>
      <c r="I114" s="406"/>
      <c r="J114" s="406"/>
      <c r="K114" s="1560">
        <f t="shared" si="30"/>
        <v>0</v>
      </c>
      <c r="L114" s="1273">
        <f t="shared" si="30"/>
        <v>0</v>
      </c>
      <c r="M114" s="1274">
        <f t="shared" si="30"/>
        <v>0</v>
      </c>
      <c r="N114" s="1273">
        <f t="shared" si="30"/>
        <v>0</v>
      </c>
      <c r="O114" s="1274">
        <f t="shared" si="30"/>
        <v>0</v>
      </c>
      <c r="P114" s="1273">
        <f t="shared" si="30"/>
        <v>0</v>
      </c>
      <c r="Q114" s="1223">
        <f t="shared" si="30"/>
        <v>0</v>
      </c>
      <c r="R114" s="1273">
        <f t="shared" si="30"/>
        <v>0</v>
      </c>
      <c r="S114" s="1565">
        <f>R114-$H114+BK114</f>
        <v>0</v>
      </c>
      <c r="T114" s="1848"/>
      <c r="U114" s="1885"/>
      <c r="V114" s="1222"/>
      <c r="W114" s="1885"/>
      <c r="X114" s="1222"/>
      <c r="Y114" s="1923"/>
      <c r="Z114" s="1838"/>
      <c r="AA114" s="1779"/>
      <c r="AB114" s="1779"/>
      <c r="AC114" s="1776"/>
      <c r="AD114" s="1777"/>
      <c r="AE114" s="1772"/>
      <c r="AF114" s="1770"/>
      <c r="AG114" s="1776"/>
      <c r="AH114" s="1776"/>
      <c r="AI114" s="1776"/>
      <c r="AJ114" s="1777"/>
      <c r="AK114" s="1773"/>
      <c r="AL114" s="1774"/>
      <c r="AM114" s="1770"/>
      <c r="AN114" s="1770"/>
      <c r="AO114" s="1770"/>
      <c r="AP114" s="1771"/>
      <c r="AQ114" s="1775"/>
      <c r="AR114" s="1774"/>
      <c r="AS114" s="1770"/>
      <c r="AT114" s="1776"/>
      <c r="AU114" s="1776"/>
      <c r="AV114" s="1777"/>
      <c r="AW114" s="1778"/>
      <c r="AX114" s="1774"/>
      <c r="AY114" s="1770"/>
      <c r="AZ114" s="1770"/>
      <c r="BA114" s="1770"/>
      <c r="BB114" s="1771"/>
      <c r="BC114" s="1773"/>
      <c r="BD114" s="1774"/>
      <c r="BE114" s="1776"/>
      <c r="BF114" s="1776"/>
      <c r="BG114" s="1776"/>
      <c r="BH114" s="1771"/>
      <c r="BI114" s="1775"/>
      <c r="BJ114" s="1774"/>
      <c r="BK114" s="1776"/>
      <c r="BL114" s="1776"/>
      <c r="BM114" s="1777"/>
      <c r="BN114" s="1777"/>
      <c r="BO114" s="1773"/>
      <c r="BP114" s="1267"/>
      <c r="BQ114" s="1269"/>
      <c r="BR114" s="1793">
        <f t="shared" si="31"/>
        <v>0</v>
      </c>
      <c r="BS114" s="1"/>
      <c r="BT114" s="1192">
        <f t="shared" si="32"/>
        <v>0</v>
      </c>
    </row>
    <row r="115" spans="1:72" ht="15.6" x14ac:dyDescent="0.3">
      <c r="A115" s="425">
        <v>2601</v>
      </c>
      <c r="B115" s="394" t="s">
        <v>366</v>
      </c>
      <c r="C115" s="361" t="s">
        <v>202</v>
      </c>
      <c r="D115" s="362" t="s">
        <v>191</v>
      </c>
      <c r="E115" s="363">
        <v>2.6</v>
      </c>
      <c r="F115" s="364" t="e">
        <f>(BR115/G115)/7</f>
        <v>#DIV/0!</v>
      </c>
      <c r="G115" s="362"/>
      <c r="H115" s="840">
        <f t="shared" si="29"/>
        <v>0</v>
      </c>
      <c r="I115" s="362"/>
      <c r="J115" s="362"/>
      <c r="K115" s="1781">
        <f t="shared" si="30"/>
        <v>0</v>
      </c>
      <c r="L115" s="1781">
        <f t="shared" si="30"/>
        <v>0</v>
      </c>
      <c r="M115" s="1781">
        <f t="shared" si="30"/>
        <v>0</v>
      </c>
      <c r="N115" s="1781">
        <f t="shared" si="30"/>
        <v>0</v>
      </c>
      <c r="O115" s="1781">
        <f t="shared" si="30"/>
        <v>0</v>
      </c>
      <c r="P115" s="1781">
        <f t="shared" si="30"/>
        <v>0</v>
      </c>
      <c r="Q115" s="1781">
        <f t="shared" si="30"/>
        <v>0</v>
      </c>
      <c r="R115" s="1781">
        <f t="shared" si="30"/>
        <v>0</v>
      </c>
      <c r="S115" s="1782">
        <f t="shared" si="30"/>
        <v>0</v>
      </c>
      <c r="T115" s="1848"/>
      <c r="U115" s="1885"/>
      <c r="V115" s="1222"/>
      <c r="W115" s="1885">
        <v>6000</v>
      </c>
      <c r="X115" s="1222"/>
      <c r="Y115" s="1923"/>
      <c r="Z115" s="1176"/>
      <c r="AA115" s="1177"/>
      <c r="AB115" s="1177"/>
      <c r="AC115" s="1096">
        <v>3000</v>
      </c>
      <c r="AD115" s="1097"/>
      <c r="AE115" s="1215"/>
      <c r="AF115" s="1187"/>
      <c r="AG115" s="1183"/>
      <c r="AH115" s="1183"/>
      <c r="AI115" s="1183"/>
      <c r="AJ115" s="1744"/>
      <c r="AK115" s="1745"/>
      <c r="AL115" s="1746"/>
      <c r="AM115" s="1187"/>
      <c r="AN115" s="1187"/>
      <c r="AO115" s="1187">
        <v>6000</v>
      </c>
      <c r="AP115" s="1273"/>
      <c r="AQ115" s="1748"/>
      <c r="AR115" s="1746"/>
      <c r="AS115" s="1187"/>
      <c r="AT115" s="1183"/>
      <c r="AU115" s="1183">
        <v>3000</v>
      </c>
      <c r="AV115" s="1744"/>
      <c r="AW115" s="1214"/>
      <c r="AX115" s="1746"/>
      <c r="AY115" s="1187"/>
      <c r="AZ115" s="1187"/>
      <c r="BA115" s="1187"/>
      <c r="BB115" s="1273"/>
      <c r="BC115" s="1745"/>
      <c r="BD115" s="1746"/>
      <c r="BE115" s="1183"/>
      <c r="BF115" s="1183"/>
      <c r="BG115" s="1183"/>
      <c r="BH115" s="1273"/>
      <c r="BI115" s="1748"/>
      <c r="BJ115" s="1746"/>
      <c r="BK115" s="1183"/>
      <c r="BL115" s="1183"/>
      <c r="BM115" s="1744"/>
      <c r="BN115" s="1744"/>
      <c r="BO115" s="1745"/>
      <c r="BP115" s="1783"/>
      <c r="BQ115" s="1784"/>
      <c r="BR115" s="1785">
        <f t="shared" si="31"/>
        <v>0</v>
      </c>
      <c r="BT115" s="1192">
        <f t="shared" si="32"/>
        <v>12000</v>
      </c>
    </row>
    <row r="116" spans="1:72" ht="15.6" x14ac:dyDescent="0.3">
      <c r="A116" s="428"/>
      <c r="B116" s="401"/>
      <c r="C116" s="398" t="s">
        <v>203</v>
      </c>
      <c r="D116" s="375" t="s">
        <v>191</v>
      </c>
      <c r="E116" s="399">
        <f t="shared" ref="E116:E121" si="34">+E115</f>
        <v>2.6</v>
      </c>
      <c r="F116" s="400"/>
      <c r="G116" s="375"/>
      <c r="H116" s="842">
        <f t="shared" si="29"/>
        <v>0</v>
      </c>
      <c r="I116" s="375"/>
      <c r="J116" s="362"/>
      <c r="K116" s="1395">
        <f t="shared" si="30"/>
        <v>0</v>
      </c>
      <c r="L116" s="1193">
        <f t="shared" si="30"/>
        <v>0</v>
      </c>
      <c r="M116" s="1194">
        <f t="shared" si="30"/>
        <v>0</v>
      </c>
      <c r="N116" s="1193">
        <f t="shared" si="30"/>
        <v>0</v>
      </c>
      <c r="O116" s="1194">
        <f t="shared" si="30"/>
        <v>0</v>
      </c>
      <c r="P116" s="1193">
        <f t="shared" si="30"/>
        <v>0</v>
      </c>
      <c r="Q116" s="1194">
        <f t="shared" si="30"/>
        <v>0</v>
      </c>
      <c r="R116" s="1193">
        <f t="shared" si="30"/>
        <v>0</v>
      </c>
      <c r="S116" s="1342">
        <f>R116-$H116+BK116</f>
        <v>0</v>
      </c>
      <c r="T116" s="1854"/>
      <c r="U116" s="1114"/>
      <c r="V116" s="1193"/>
      <c r="W116" s="1114"/>
      <c r="X116" s="1193"/>
      <c r="Y116" s="1929"/>
      <c r="Z116" s="1198"/>
      <c r="AA116" s="1199"/>
      <c r="AB116" s="1199"/>
      <c r="AC116" s="1104"/>
      <c r="AD116" s="1205"/>
      <c r="AE116" s="1197"/>
      <c r="AF116" s="1103"/>
      <c r="AG116" s="1104"/>
      <c r="AH116" s="1104"/>
      <c r="AI116" s="1104"/>
      <c r="AJ116" s="1205"/>
      <c r="AK116" s="1768"/>
      <c r="AL116" s="1204"/>
      <c r="AM116" s="1103"/>
      <c r="AN116" s="1103"/>
      <c r="AO116" s="1103"/>
      <c r="AP116" s="1195"/>
      <c r="AQ116" s="1769"/>
      <c r="AR116" s="1204"/>
      <c r="AS116" s="1103"/>
      <c r="AT116" s="1104"/>
      <c r="AU116" s="1104"/>
      <c r="AV116" s="1205"/>
      <c r="AW116" s="1196"/>
      <c r="AX116" s="1204"/>
      <c r="AY116" s="1103"/>
      <c r="AZ116" s="1103"/>
      <c r="BA116" s="1103"/>
      <c r="BB116" s="1195"/>
      <c r="BC116" s="1768"/>
      <c r="BD116" s="1204"/>
      <c r="BE116" s="1104"/>
      <c r="BF116" s="1104"/>
      <c r="BG116" s="1104"/>
      <c r="BH116" s="1195"/>
      <c r="BI116" s="1769"/>
      <c r="BJ116" s="1204"/>
      <c r="BK116" s="1104"/>
      <c r="BL116" s="1104"/>
      <c r="BM116" s="1205"/>
      <c r="BN116" s="1205"/>
      <c r="BO116" s="1768"/>
      <c r="BP116" s="1752"/>
      <c r="BQ116" s="1753"/>
      <c r="BR116" s="1754">
        <f t="shared" si="31"/>
        <v>0</v>
      </c>
      <c r="BS116" s="1"/>
      <c r="BT116" s="1192">
        <f t="shared" si="32"/>
        <v>0</v>
      </c>
    </row>
    <row r="117" spans="1:72" ht="16.2" thickBot="1" x14ac:dyDescent="0.35">
      <c r="A117" s="444"/>
      <c r="B117" s="411"/>
      <c r="C117" s="432" t="s">
        <v>204</v>
      </c>
      <c r="D117" s="386" t="s">
        <v>191</v>
      </c>
      <c r="E117" s="433">
        <f t="shared" si="34"/>
        <v>2.6</v>
      </c>
      <c r="F117" s="424"/>
      <c r="G117" s="386"/>
      <c r="H117" s="844">
        <f t="shared" si="29"/>
        <v>0</v>
      </c>
      <c r="I117" s="406"/>
      <c r="J117" s="406"/>
      <c r="K117" s="1560">
        <f t="shared" si="30"/>
        <v>0</v>
      </c>
      <c r="L117" s="1273">
        <f t="shared" si="30"/>
        <v>0</v>
      </c>
      <c r="M117" s="1274">
        <f t="shared" si="30"/>
        <v>0</v>
      </c>
      <c r="N117" s="1273">
        <f t="shared" si="30"/>
        <v>0</v>
      </c>
      <c r="O117" s="1274">
        <f t="shared" si="30"/>
        <v>0</v>
      </c>
      <c r="P117" s="1273">
        <f t="shared" si="30"/>
        <v>0</v>
      </c>
      <c r="Q117" s="1223">
        <f t="shared" si="30"/>
        <v>0</v>
      </c>
      <c r="R117" s="1273">
        <f t="shared" si="30"/>
        <v>0</v>
      </c>
      <c r="S117" s="1565">
        <f>R117-$H117+BK117</f>
        <v>0</v>
      </c>
      <c r="T117" s="1848"/>
      <c r="U117" s="1885"/>
      <c r="V117" s="1222"/>
      <c r="W117" s="1885"/>
      <c r="X117" s="1222"/>
      <c r="Y117" s="1923"/>
      <c r="Z117" s="1226"/>
      <c r="AA117" s="1227"/>
      <c r="AB117" s="1227"/>
      <c r="AC117" s="1219"/>
      <c r="AD117" s="1233"/>
      <c r="AE117" s="1225"/>
      <c r="AF117" s="1218"/>
      <c r="AG117" s="1219"/>
      <c r="AH117" s="1219"/>
      <c r="AI117" s="1219"/>
      <c r="AJ117" s="1233"/>
      <c r="AK117" s="1787"/>
      <c r="AL117" s="1232"/>
      <c r="AM117" s="1218"/>
      <c r="AN117" s="1218"/>
      <c r="AO117" s="1218"/>
      <c r="AP117" s="1281"/>
      <c r="AQ117" s="1788"/>
      <c r="AR117" s="1232"/>
      <c r="AS117" s="1218"/>
      <c r="AT117" s="1219"/>
      <c r="AU117" s="1219"/>
      <c r="AV117" s="1233"/>
      <c r="AW117" s="1221"/>
      <c r="AX117" s="1232"/>
      <c r="AY117" s="1218"/>
      <c r="AZ117" s="1218"/>
      <c r="BA117" s="1218"/>
      <c r="BB117" s="1281"/>
      <c r="BC117" s="1787"/>
      <c r="BD117" s="1232"/>
      <c r="BE117" s="1219"/>
      <c r="BF117" s="1219"/>
      <c r="BG117" s="1219"/>
      <c r="BH117" s="1281"/>
      <c r="BI117" s="1788"/>
      <c r="BJ117" s="1232"/>
      <c r="BK117" s="1219"/>
      <c r="BL117" s="1219"/>
      <c r="BM117" s="1233"/>
      <c r="BN117" s="1233"/>
      <c r="BO117" s="1787"/>
      <c r="BP117" s="1365"/>
      <c r="BQ117" s="1357"/>
      <c r="BR117" s="1793">
        <f t="shared" si="31"/>
        <v>0</v>
      </c>
      <c r="BS117" s="1"/>
      <c r="BT117" s="1192">
        <f t="shared" si="32"/>
        <v>0</v>
      </c>
    </row>
    <row r="118" spans="1:72" ht="15.6" x14ac:dyDescent="0.3">
      <c r="A118" s="445">
        <v>2552</v>
      </c>
      <c r="B118" s="360" t="s">
        <v>365</v>
      </c>
      <c r="C118" s="391" t="s">
        <v>205</v>
      </c>
      <c r="D118" s="392" t="s">
        <v>191</v>
      </c>
      <c r="E118" s="393">
        <f t="shared" si="34"/>
        <v>2.6</v>
      </c>
      <c r="F118" s="364" t="e">
        <f>(BR118/G118)/7</f>
        <v>#DIV/0!</v>
      </c>
      <c r="G118" s="392"/>
      <c r="H118" s="841">
        <f t="shared" si="29"/>
        <v>0</v>
      </c>
      <c r="I118" s="362"/>
      <c r="J118" s="362"/>
      <c r="K118" s="1243">
        <f t="shared" si="30"/>
        <v>0</v>
      </c>
      <c r="L118" s="1243">
        <f t="shared" si="30"/>
        <v>0</v>
      </c>
      <c r="M118" s="1243">
        <f t="shared" si="30"/>
        <v>0</v>
      </c>
      <c r="N118" s="1243">
        <f t="shared" si="30"/>
        <v>0</v>
      </c>
      <c r="O118" s="1243">
        <f t="shared" si="30"/>
        <v>0</v>
      </c>
      <c r="P118" s="1243">
        <f t="shared" si="30"/>
        <v>0</v>
      </c>
      <c r="Q118" s="1243">
        <f t="shared" si="30"/>
        <v>0</v>
      </c>
      <c r="R118" s="1243">
        <f t="shared" si="30"/>
        <v>0</v>
      </c>
      <c r="S118" s="1579">
        <f t="shared" si="30"/>
        <v>0</v>
      </c>
      <c r="T118" s="1852"/>
      <c r="U118" s="1790"/>
      <c r="V118" s="1242"/>
      <c r="W118" s="1790">
        <v>3000</v>
      </c>
      <c r="X118" s="1242"/>
      <c r="Y118" s="1921"/>
      <c r="Z118" s="1245"/>
      <c r="AA118" s="1254"/>
      <c r="AB118" s="1254"/>
      <c r="AC118" s="1376">
        <v>3000</v>
      </c>
      <c r="AD118" s="1386"/>
      <c r="AE118" s="1761"/>
      <c r="AF118" s="1760"/>
      <c r="AG118" s="1376"/>
      <c r="AH118" s="1376"/>
      <c r="AI118" s="1376"/>
      <c r="AJ118" s="1386"/>
      <c r="AK118" s="1762"/>
      <c r="AL118" s="1382"/>
      <c r="AM118" s="1760"/>
      <c r="AN118" s="1760"/>
      <c r="AO118" s="1760">
        <v>6000</v>
      </c>
      <c r="AP118" s="1244"/>
      <c r="AQ118" s="1763"/>
      <c r="AR118" s="1382"/>
      <c r="AS118" s="1760"/>
      <c r="AT118" s="1376"/>
      <c r="AU118" s="1376">
        <v>3000</v>
      </c>
      <c r="AV118" s="1386"/>
      <c r="AW118" s="1764"/>
      <c r="AX118" s="1382"/>
      <c r="AY118" s="1760"/>
      <c r="AZ118" s="1760"/>
      <c r="BA118" s="1760"/>
      <c r="BB118" s="1244"/>
      <c r="BC118" s="1762"/>
      <c r="BD118" s="1382"/>
      <c r="BE118" s="1376"/>
      <c r="BF118" s="1376"/>
      <c r="BG118" s="1376"/>
      <c r="BH118" s="1244"/>
      <c r="BI118" s="1763"/>
      <c r="BJ118" s="1382"/>
      <c r="BK118" s="1376"/>
      <c r="BL118" s="1376"/>
      <c r="BM118" s="1386"/>
      <c r="BN118" s="1386"/>
      <c r="BO118" s="1762"/>
      <c r="BP118" s="1765"/>
      <c r="BQ118" s="1766"/>
      <c r="BR118" s="1767">
        <f t="shared" si="31"/>
        <v>0</v>
      </c>
      <c r="BS118" s="1"/>
      <c r="BT118" s="1192">
        <f t="shared" si="32"/>
        <v>12000</v>
      </c>
    </row>
    <row r="119" spans="1:72" ht="15.6" x14ac:dyDescent="0.3">
      <c r="A119" s="418"/>
      <c r="B119" s="401"/>
      <c r="C119" s="632" t="s">
        <v>206</v>
      </c>
      <c r="D119" s="375" t="s">
        <v>191</v>
      </c>
      <c r="E119" s="399">
        <f t="shared" si="34"/>
        <v>2.6</v>
      </c>
      <c r="F119" s="400"/>
      <c r="G119" s="375"/>
      <c r="H119" s="842">
        <f t="shared" si="29"/>
        <v>0</v>
      </c>
      <c r="I119" s="375"/>
      <c r="J119" s="362"/>
      <c r="K119" s="1437">
        <f t="shared" si="30"/>
        <v>0</v>
      </c>
      <c r="L119" s="1222">
        <f t="shared" si="30"/>
        <v>0</v>
      </c>
      <c r="M119" s="1223">
        <f t="shared" si="30"/>
        <v>0</v>
      </c>
      <c r="N119" s="1222">
        <f t="shared" si="30"/>
        <v>0</v>
      </c>
      <c r="O119" s="1223">
        <f t="shared" si="30"/>
        <v>0</v>
      </c>
      <c r="P119" s="1222">
        <f t="shared" si="30"/>
        <v>0</v>
      </c>
      <c r="Q119" s="1223">
        <f t="shared" si="30"/>
        <v>0</v>
      </c>
      <c r="R119" s="1222">
        <f t="shared" si="30"/>
        <v>0</v>
      </c>
      <c r="S119" s="1438">
        <f>R119-$H119+BK119</f>
        <v>0</v>
      </c>
      <c r="T119" s="1848"/>
      <c r="U119" s="1885"/>
      <c r="V119" s="1222"/>
      <c r="W119" s="1885"/>
      <c r="X119" s="1222"/>
      <c r="Y119" s="1923"/>
      <c r="Z119" s="1198"/>
      <c r="AA119" s="1199"/>
      <c r="AB119" s="1199"/>
      <c r="AC119" s="1104"/>
      <c r="AD119" s="1205"/>
      <c r="AE119" s="1197"/>
      <c r="AF119" s="1103"/>
      <c r="AG119" s="1104"/>
      <c r="AH119" s="1104"/>
      <c r="AI119" s="1104"/>
      <c r="AJ119" s="1205"/>
      <c r="AK119" s="1768"/>
      <c r="AL119" s="1204"/>
      <c r="AM119" s="1103"/>
      <c r="AN119" s="1103"/>
      <c r="AO119" s="1103"/>
      <c r="AP119" s="1195"/>
      <c r="AQ119" s="1769"/>
      <c r="AR119" s="1204"/>
      <c r="AS119" s="1103"/>
      <c r="AT119" s="1104"/>
      <c r="AU119" s="1104"/>
      <c r="AV119" s="1205"/>
      <c r="AW119" s="1196"/>
      <c r="AX119" s="1204"/>
      <c r="AY119" s="1103"/>
      <c r="AZ119" s="1103"/>
      <c r="BA119" s="1103"/>
      <c r="BB119" s="1195"/>
      <c r="BC119" s="1768"/>
      <c r="BD119" s="1204"/>
      <c r="BE119" s="1104"/>
      <c r="BF119" s="1104"/>
      <c r="BG119" s="1104"/>
      <c r="BH119" s="1195"/>
      <c r="BI119" s="1769"/>
      <c r="BJ119" s="1204"/>
      <c r="BK119" s="1104"/>
      <c r="BL119" s="1104"/>
      <c r="BM119" s="1205"/>
      <c r="BN119" s="1205"/>
      <c r="BO119" s="1768"/>
      <c r="BP119" s="1786"/>
      <c r="BQ119" s="1753"/>
      <c r="BR119" s="1754">
        <f t="shared" si="31"/>
        <v>0</v>
      </c>
      <c r="BS119" s="1"/>
      <c r="BT119" s="1192">
        <f t="shared" si="32"/>
        <v>0</v>
      </c>
    </row>
    <row r="120" spans="1:72" ht="15.6" x14ac:dyDescent="0.3">
      <c r="A120" s="447"/>
      <c r="B120" s="431"/>
      <c r="C120" s="398" t="s">
        <v>207</v>
      </c>
      <c r="D120" s="375" t="s">
        <v>191</v>
      </c>
      <c r="E120" s="399">
        <f t="shared" si="34"/>
        <v>2.6</v>
      </c>
      <c r="F120" s="637"/>
      <c r="G120" s="375"/>
      <c r="H120" s="842">
        <f t="shared" si="29"/>
        <v>0</v>
      </c>
      <c r="I120" s="375"/>
      <c r="J120" s="375"/>
      <c r="K120" s="1193">
        <f t="shared" si="30"/>
        <v>0</v>
      </c>
      <c r="L120" s="1115">
        <f t="shared" si="30"/>
        <v>0</v>
      </c>
      <c r="M120" s="1194">
        <f t="shared" si="30"/>
        <v>0</v>
      </c>
      <c r="N120" s="1193">
        <f t="shared" si="30"/>
        <v>0</v>
      </c>
      <c r="O120" s="1794">
        <f t="shared" si="30"/>
        <v>0</v>
      </c>
      <c r="P120" s="1115">
        <f t="shared" si="30"/>
        <v>0</v>
      </c>
      <c r="Q120" s="1194">
        <f t="shared" si="30"/>
        <v>0</v>
      </c>
      <c r="R120" s="1193">
        <f t="shared" si="30"/>
        <v>0</v>
      </c>
      <c r="S120" s="1342">
        <f>R120-$H120+BK120</f>
        <v>0</v>
      </c>
      <c r="T120" s="1854"/>
      <c r="U120" s="1114"/>
      <c r="V120" s="1193"/>
      <c r="W120" s="1114"/>
      <c r="X120" s="1193"/>
      <c r="Y120" s="1929"/>
      <c r="Z120" s="1198"/>
      <c r="AA120" s="1199"/>
      <c r="AB120" s="1199"/>
      <c r="AC120" s="1104"/>
      <c r="AD120" s="1205"/>
      <c r="AE120" s="1197"/>
      <c r="AF120" s="1103"/>
      <c r="AG120" s="1104"/>
      <c r="AH120" s="1104"/>
      <c r="AI120" s="1104"/>
      <c r="AJ120" s="1205"/>
      <c r="AK120" s="1768"/>
      <c r="AL120" s="1204"/>
      <c r="AM120" s="1104"/>
      <c r="AN120" s="1103"/>
      <c r="AO120" s="1103"/>
      <c r="AP120" s="1195"/>
      <c r="AQ120" s="1769"/>
      <c r="AR120" s="1204"/>
      <c r="AS120" s="1103"/>
      <c r="AT120" s="1104"/>
      <c r="AU120" s="1104"/>
      <c r="AV120" s="1205"/>
      <c r="AW120" s="1196"/>
      <c r="AX120" s="1204"/>
      <c r="AY120" s="1103"/>
      <c r="AZ120" s="1103"/>
      <c r="BA120" s="1103"/>
      <c r="BB120" s="1195"/>
      <c r="BC120" s="1768"/>
      <c r="BD120" s="1204"/>
      <c r="BE120" s="1104"/>
      <c r="BF120" s="1104"/>
      <c r="BG120" s="1104"/>
      <c r="BH120" s="1195"/>
      <c r="BI120" s="1769"/>
      <c r="BJ120" s="1204"/>
      <c r="BK120" s="1104"/>
      <c r="BL120" s="1104"/>
      <c r="BM120" s="1205"/>
      <c r="BN120" s="1205"/>
      <c r="BO120" s="1768"/>
      <c r="BP120" s="1188"/>
      <c r="BQ120" s="1177"/>
      <c r="BR120" s="1795">
        <f t="shared" si="31"/>
        <v>0</v>
      </c>
      <c r="BS120" s="1"/>
      <c r="BT120" s="1192">
        <f t="shared" si="32"/>
        <v>0</v>
      </c>
    </row>
    <row r="121" spans="1:72" ht="16.2" thickBot="1" x14ac:dyDescent="0.35">
      <c r="A121" s="420"/>
      <c r="B121" s="431"/>
      <c r="C121" s="634" t="s">
        <v>207</v>
      </c>
      <c r="D121" s="409" t="s">
        <v>209</v>
      </c>
      <c r="E121" s="635">
        <f t="shared" si="34"/>
        <v>2.6</v>
      </c>
      <c r="F121" s="636"/>
      <c r="G121" s="409"/>
      <c r="H121" s="845">
        <f t="shared" si="29"/>
        <v>0</v>
      </c>
      <c r="I121" s="409"/>
      <c r="J121" s="406"/>
      <c r="K121" s="1420">
        <f t="shared" si="30"/>
        <v>0</v>
      </c>
      <c r="L121" s="1257">
        <f t="shared" si="30"/>
        <v>0</v>
      </c>
      <c r="M121" s="1258">
        <f t="shared" si="30"/>
        <v>0</v>
      </c>
      <c r="N121" s="1257">
        <f t="shared" si="30"/>
        <v>0</v>
      </c>
      <c r="O121" s="1258">
        <f t="shared" si="30"/>
        <v>0</v>
      </c>
      <c r="P121" s="1257">
        <f t="shared" si="30"/>
        <v>0</v>
      </c>
      <c r="Q121" s="1258">
        <f t="shared" si="30"/>
        <v>0</v>
      </c>
      <c r="R121" s="1257">
        <f t="shared" si="30"/>
        <v>0</v>
      </c>
      <c r="S121" s="1633">
        <f>R121-$H121+BK121</f>
        <v>0</v>
      </c>
      <c r="T121" s="1856"/>
      <c r="U121" s="1650"/>
      <c r="V121" s="1257"/>
      <c r="W121" s="1650"/>
      <c r="X121" s="1257"/>
      <c r="Y121" s="1924"/>
      <c r="Z121" s="1260"/>
      <c r="AA121" s="1269"/>
      <c r="AB121" s="1269"/>
      <c r="AC121" s="1421"/>
      <c r="AD121" s="1431"/>
      <c r="AE121" s="1796"/>
      <c r="AF121" s="1797"/>
      <c r="AG121" s="1421"/>
      <c r="AH121" s="1421"/>
      <c r="AI121" s="1421"/>
      <c r="AJ121" s="1431"/>
      <c r="AK121" s="1798"/>
      <c r="AL121" s="1427"/>
      <c r="AM121" s="1797"/>
      <c r="AN121" s="1797"/>
      <c r="AO121" s="1797"/>
      <c r="AP121" s="1259"/>
      <c r="AQ121" s="1799"/>
      <c r="AR121" s="1427"/>
      <c r="AS121" s="1797"/>
      <c r="AT121" s="1421"/>
      <c r="AU121" s="1421"/>
      <c r="AV121" s="1431"/>
      <c r="AW121" s="1800"/>
      <c r="AX121" s="1427"/>
      <c r="AY121" s="1797"/>
      <c r="AZ121" s="1797"/>
      <c r="BA121" s="1797"/>
      <c r="BB121" s="1259"/>
      <c r="BC121" s="1798"/>
      <c r="BD121" s="1427"/>
      <c r="BE121" s="1421"/>
      <c r="BF121" s="1421"/>
      <c r="BG121" s="1421"/>
      <c r="BH121" s="1259"/>
      <c r="BI121" s="1799"/>
      <c r="BJ121" s="1427"/>
      <c r="BK121" s="1421"/>
      <c r="BL121" s="1421"/>
      <c r="BM121" s="1431"/>
      <c r="BN121" s="1431"/>
      <c r="BO121" s="1798"/>
      <c r="BP121" s="1267"/>
      <c r="BQ121" s="1779"/>
      <c r="BR121" s="1759">
        <f t="shared" si="31"/>
        <v>0</v>
      </c>
      <c r="BS121" s="1"/>
      <c r="BT121" s="1192">
        <f t="shared" si="32"/>
        <v>0</v>
      </c>
    </row>
    <row r="122" spans="1:72" ht="15.6" x14ac:dyDescent="0.3">
      <c r="A122" s="425">
        <v>2551</v>
      </c>
      <c r="B122" s="394" t="s">
        <v>364</v>
      </c>
      <c r="C122" s="361" t="s">
        <v>208</v>
      </c>
      <c r="D122" s="362" t="s">
        <v>209</v>
      </c>
      <c r="E122" s="363">
        <v>2.7</v>
      </c>
      <c r="F122" s="364" t="e">
        <f>(BR122/G122)/7</f>
        <v>#DIV/0!</v>
      </c>
      <c r="G122" s="362"/>
      <c r="H122" s="840">
        <f t="shared" si="29"/>
        <v>0</v>
      </c>
      <c r="I122" s="362"/>
      <c r="J122" s="362"/>
      <c r="K122" s="1274">
        <f t="shared" si="30"/>
        <v>0</v>
      </c>
      <c r="L122" s="1274">
        <f t="shared" si="30"/>
        <v>0</v>
      </c>
      <c r="M122" s="1274">
        <f t="shared" si="30"/>
        <v>0</v>
      </c>
      <c r="N122" s="1274">
        <f t="shared" si="30"/>
        <v>0</v>
      </c>
      <c r="O122" s="1274">
        <f t="shared" si="30"/>
        <v>0</v>
      </c>
      <c r="P122" s="1274">
        <f t="shared" si="30"/>
        <v>0</v>
      </c>
      <c r="Q122" s="1274">
        <f t="shared" si="30"/>
        <v>0</v>
      </c>
      <c r="R122" s="1274">
        <f t="shared" si="30"/>
        <v>0</v>
      </c>
      <c r="S122" s="1565">
        <f t="shared" si="30"/>
        <v>0</v>
      </c>
      <c r="T122" s="1847"/>
      <c r="U122" s="1183"/>
      <c r="V122" s="1273"/>
      <c r="W122" s="1183"/>
      <c r="X122" s="1273">
        <v>6000</v>
      </c>
      <c r="Y122" s="1902"/>
      <c r="Z122" s="1176"/>
      <c r="AA122" s="1177"/>
      <c r="AB122" s="1177"/>
      <c r="AC122" s="1096"/>
      <c r="AD122" s="1097">
        <v>3000</v>
      </c>
      <c r="AE122" s="1215"/>
      <c r="AF122" s="1095"/>
      <c r="AG122" s="1096"/>
      <c r="AH122" s="1096"/>
      <c r="AI122" s="1096"/>
      <c r="AJ122" s="1097"/>
      <c r="AK122" s="1745"/>
      <c r="AL122" s="1216"/>
      <c r="AM122" s="1095"/>
      <c r="AN122" s="1095"/>
      <c r="AO122" s="1095"/>
      <c r="AP122" s="1287">
        <v>6000</v>
      </c>
      <c r="AQ122" s="1748"/>
      <c r="AR122" s="1216"/>
      <c r="AS122" s="1095"/>
      <c r="AT122" s="1096"/>
      <c r="AU122" s="1096"/>
      <c r="AV122" s="1097">
        <v>3000</v>
      </c>
      <c r="AW122" s="1214"/>
      <c r="AX122" s="1216"/>
      <c r="AY122" s="1095"/>
      <c r="AZ122" s="1095"/>
      <c r="BA122" s="1095"/>
      <c r="BB122" s="1287"/>
      <c r="BC122" s="1745"/>
      <c r="BD122" s="1216"/>
      <c r="BE122" s="1096"/>
      <c r="BF122" s="1096"/>
      <c r="BG122" s="1096"/>
      <c r="BH122" s="1287"/>
      <c r="BI122" s="1748"/>
      <c r="BJ122" s="1216"/>
      <c r="BK122" s="1096"/>
      <c r="BL122" s="1096"/>
      <c r="BM122" s="1097"/>
      <c r="BN122" s="1097"/>
      <c r="BO122" s="1745"/>
      <c r="BP122" s="1765"/>
      <c r="BQ122" s="1766"/>
      <c r="BR122" s="1767">
        <f t="shared" si="31"/>
        <v>0</v>
      </c>
      <c r="BS122" s="1"/>
      <c r="BT122" s="1192">
        <f t="shared" si="32"/>
        <v>12000</v>
      </c>
    </row>
    <row r="123" spans="1:72" ht="15.6" x14ac:dyDescent="0.3">
      <c r="A123" s="633"/>
      <c r="B123" s="401"/>
      <c r="C123" s="398" t="s">
        <v>210</v>
      </c>
      <c r="D123" s="362" t="s">
        <v>209</v>
      </c>
      <c r="E123" s="399">
        <f>+E122</f>
        <v>2.7</v>
      </c>
      <c r="F123" s="400"/>
      <c r="G123" s="375"/>
      <c r="H123" s="842">
        <f t="shared" si="29"/>
        <v>0</v>
      </c>
      <c r="I123" s="375"/>
      <c r="J123" s="362"/>
      <c r="K123" s="1560">
        <f t="shared" si="30"/>
        <v>0</v>
      </c>
      <c r="L123" s="1273">
        <f t="shared" si="30"/>
        <v>0</v>
      </c>
      <c r="M123" s="1274">
        <f t="shared" si="30"/>
        <v>0</v>
      </c>
      <c r="N123" s="1273">
        <f t="shared" si="30"/>
        <v>0</v>
      </c>
      <c r="O123" s="1274">
        <f t="shared" si="30"/>
        <v>0</v>
      </c>
      <c r="P123" s="1273">
        <f t="shared" si="30"/>
        <v>0</v>
      </c>
      <c r="Q123" s="1274">
        <f t="shared" si="30"/>
        <v>0</v>
      </c>
      <c r="R123" s="1273">
        <f t="shared" si="30"/>
        <v>0</v>
      </c>
      <c r="S123" s="1565">
        <f>(R123-$H123)+BL123</f>
        <v>0</v>
      </c>
      <c r="T123" s="1847"/>
      <c r="U123" s="1183"/>
      <c r="V123" s="1273"/>
      <c r="W123" s="1183"/>
      <c r="X123" s="1273"/>
      <c r="Y123" s="1902"/>
      <c r="Z123" s="1198"/>
      <c r="AA123" s="1199"/>
      <c r="AB123" s="1199"/>
      <c r="AC123" s="1104"/>
      <c r="AD123" s="1205"/>
      <c r="AE123" s="1197"/>
      <c r="AF123" s="1103"/>
      <c r="AG123" s="1104"/>
      <c r="AH123" s="1104"/>
      <c r="AI123" s="1104"/>
      <c r="AJ123" s="1205"/>
      <c r="AK123" s="1768"/>
      <c r="AL123" s="1204"/>
      <c r="AM123" s="1103"/>
      <c r="AN123" s="1103"/>
      <c r="AO123" s="1103"/>
      <c r="AP123" s="1195"/>
      <c r="AQ123" s="1769"/>
      <c r="AR123" s="1204"/>
      <c r="AS123" s="1103"/>
      <c r="AT123" s="1104"/>
      <c r="AU123" s="1104"/>
      <c r="AV123" s="1205"/>
      <c r="AW123" s="1196"/>
      <c r="AX123" s="1204"/>
      <c r="AY123" s="1103"/>
      <c r="AZ123" s="1103"/>
      <c r="BA123" s="1103"/>
      <c r="BB123" s="1195"/>
      <c r="BC123" s="1768"/>
      <c r="BD123" s="1204"/>
      <c r="BE123" s="1104"/>
      <c r="BF123" s="1104"/>
      <c r="BG123" s="1104"/>
      <c r="BH123" s="1195"/>
      <c r="BI123" s="1769"/>
      <c r="BJ123" s="1204"/>
      <c r="BK123" s="1104"/>
      <c r="BL123" s="1104"/>
      <c r="BM123" s="1205"/>
      <c r="BN123" s="1205"/>
      <c r="BO123" s="1768"/>
      <c r="BP123" s="1786"/>
      <c r="BQ123" s="1753"/>
      <c r="BR123" s="1754">
        <f t="shared" si="31"/>
        <v>0</v>
      </c>
      <c r="BS123" s="1"/>
      <c r="BT123" s="1192">
        <f t="shared" si="32"/>
        <v>0</v>
      </c>
    </row>
    <row r="124" spans="1:72" ht="16.2" thickBot="1" x14ac:dyDescent="0.35">
      <c r="A124" s="444"/>
      <c r="B124" s="421"/>
      <c r="C124" s="432" t="s">
        <v>211</v>
      </c>
      <c r="D124" s="362" t="s">
        <v>209</v>
      </c>
      <c r="E124" s="433">
        <f>+E123</f>
        <v>2.7</v>
      </c>
      <c r="F124" s="424"/>
      <c r="G124" s="386"/>
      <c r="H124" s="844">
        <f t="shared" si="29"/>
        <v>0</v>
      </c>
      <c r="I124" s="406"/>
      <c r="J124" s="385"/>
      <c r="K124" s="1437">
        <f t="shared" si="30"/>
        <v>0</v>
      </c>
      <c r="L124" s="1222">
        <f t="shared" si="30"/>
        <v>0</v>
      </c>
      <c r="M124" s="1223">
        <f t="shared" si="30"/>
        <v>0</v>
      </c>
      <c r="N124" s="1222">
        <f t="shared" si="30"/>
        <v>0</v>
      </c>
      <c r="O124" s="1223">
        <f t="shared" si="30"/>
        <v>0</v>
      </c>
      <c r="P124" s="1222">
        <f t="shared" ref="P124:S136" si="35">O124-$H124</f>
        <v>0</v>
      </c>
      <c r="Q124" s="1223">
        <f t="shared" si="35"/>
        <v>0</v>
      </c>
      <c r="R124" s="1222">
        <f t="shared" si="35"/>
        <v>0</v>
      </c>
      <c r="S124" s="1438">
        <f>(R124-$H124)+BL124</f>
        <v>0</v>
      </c>
      <c r="T124" s="1848"/>
      <c r="U124" s="1885"/>
      <c r="V124" s="1222"/>
      <c r="W124" s="1885"/>
      <c r="X124" s="1222"/>
      <c r="Y124" s="1923"/>
      <c r="Z124" s="1226"/>
      <c r="AA124" s="1227"/>
      <c r="AB124" s="1227"/>
      <c r="AC124" s="1219"/>
      <c r="AD124" s="1233"/>
      <c r="AE124" s="1225"/>
      <c r="AF124" s="1218"/>
      <c r="AG124" s="1219"/>
      <c r="AH124" s="1219"/>
      <c r="AI124" s="1219"/>
      <c r="AJ124" s="1233"/>
      <c r="AK124" s="1787"/>
      <c r="AL124" s="1232"/>
      <c r="AM124" s="1218"/>
      <c r="AN124" s="1218"/>
      <c r="AO124" s="1218"/>
      <c r="AP124" s="1281"/>
      <c r="AQ124" s="1788"/>
      <c r="AR124" s="1232"/>
      <c r="AS124" s="1218"/>
      <c r="AT124" s="1219"/>
      <c r="AU124" s="1219"/>
      <c r="AV124" s="1233"/>
      <c r="AW124" s="1221"/>
      <c r="AX124" s="1232"/>
      <c r="AY124" s="1218"/>
      <c r="AZ124" s="1218"/>
      <c r="BA124" s="1218"/>
      <c r="BB124" s="1281"/>
      <c r="BC124" s="1787"/>
      <c r="BD124" s="1232"/>
      <c r="BE124" s="1219"/>
      <c r="BF124" s="1219"/>
      <c r="BG124" s="1219"/>
      <c r="BH124" s="1281"/>
      <c r="BI124" s="1788"/>
      <c r="BJ124" s="1232"/>
      <c r="BK124" s="1219"/>
      <c r="BL124" s="1219"/>
      <c r="BM124" s="1233"/>
      <c r="BN124" s="1233"/>
      <c r="BO124" s="1787"/>
      <c r="BP124" s="1365"/>
      <c r="BQ124" s="1357"/>
      <c r="BR124" s="1793">
        <f t="shared" si="31"/>
        <v>0</v>
      </c>
      <c r="BS124" s="1"/>
      <c r="BT124" s="1192">
        <f t="shared" si="32"/>
        <v>0</v>
      </c>
    </row>
    <row r="125" spans="1:72" ht="15.6" x14ac:dyDescent="0.3">
      <c r="A125" s="445">
        <v>2550</v>
      </c>
      <c r="B125" s="360" t="s">
        <v>363</v>
      </c>
      <c r="C125" s="391" t="s">
        <v>212</v>
      </c>
      <c r="D125" s="392" t="s">
        <v>209</v>
      </c>
      <c r="E125" s="393">
        <v>2.8</v>
      </c>
      <c r="F125" s="364" t="e">
        <f>(BR125/G125)/7</f>
        <v>#DIV/0!</v>
      </c>
      <c r="G125" s="392"/>
      <c r="H125" s="841">
        <f t="shared" si="29"/>
        <v>0</v>
      </c>
      <c r="I125" s="362"/>
      <c r="J125" s="392"/>
      <c r="K125" s="1243">
        <f t="shared" ref="K125:O136" si="36">J125-$H125</f>
        <v>0</v>
      </c>
      <c r="L125" s="1243">
        <f t="shared" si="36"/>
        <v>0</v>
      </c>
      <c r="M125" s="1243">
        <f t="shared" si="36"/>
        <v>0</v>
      </c>
      <c r="N125" s="1243">
        <f t="shared" si="36"/>
        <v>0</v>
      </c>
      <c r="O125" s="1243">
        <f t="shared" si="36"/>
        <v>0</v>
      </c>
      <c r="P125" s="1243">
        <f t="shared" si="35"/>
        <v>0</v>
      </c>
      <c r="Q125" s="1243">
        <f t="shared" si="35"/>
        <v>0</v>
      </c>
      <c r="R125" s="1243">
        <f t="shared" si="35"/>
        <v>0</v>
      </c>
      <c r="S125" s="1579">
        <f t="shared" si="35"/>
        <v>0</v>
      </c>
      <c r="T125" s="1852"/>
      <c r="U125" s="1790"/>
      <c r="V125" s="1242"/>
      <c r="W125" s="1790"/>
      <c r="X125" s="1242">
        <v>9000</v>
      </c>
      <c r="Y125" s="1921"/>
      <c r="Z125" s="1245"/>
      <c r="AA125" s="1254"/>
      <c r="AB125" s="1254"/>
      <c r="AC125" s="1376"/>
      <c r="AD125" s="1386">
        <v>3000</v>
      </c>
      <c r="AE125" s="1761"/>
      <c r="AF125" s="1789"/>
      <c r="AG125" s="1790"/>
      <c r="AH125" s="1790"/>
      <c r="AI125" s="1790"/>
      <c r="AJ125" s="1628"/>
      <c r="AK125" s="1762"/>
      <c r="AL125" s="1791"/>
      <c r="AM125" s="1789"/>
      <c r="AN125" s="1789"/>
      <c r="AO125" s="1789"/>
      <c r="AP125" s="1242">
        <v>6000</v>
      </c>
      <c r="AQ125" s="1763"/>
      <c r="AR125" s="1791"/>
      <c r="AS125" s="1789"/>
      <c r="AT125" s="1790"/>
      <c r="AU125" s="1790"/>
      <c r="AV125" s="1628">
        <v>4000</v>
      </c>
      <c r="AW125" s="1764"/>
      <c r="AX125" s="1791"/>
      <c r="AY125" s="1789"/>
      <c r="AZ125" s="1789"/>
      <c r="BA125" s="1789"/>
      <c r="BB125" s="1242"/>
      <c r="BC125" s="1762"/>
      <c r="BD125" s="1791"/>
      <c r="BE125" s="1790"/>
      <c r="BF125" s="1790"/>
      <c r="BG125" s="1790"/>
      <c r="BH125" s="1242"/>
      <c r="BI125" s="1763"/>
      <c r="BJ125" s="1791"/>
      <c r="BK125" s="1790"/>
      <c r="BL125" s="1790"/>
      <c r="BM125" s="1628"/>
      <c r="BN125" s="1628"/>
      <c r="BO125" s="1762"/>
      <c r="BP125" s="1783"/>
      <c r="BQ125" s="1784"/>
      <c r="BR125" s="1785">
        <f t="shared" si="31"/>
        <v>0</v>
      </c>
      <c r="BT125" s="1192">
        <f t="shared" si="32"/>
        <v>13000</v>
      </c>
    </row>
    <row r="126" spans="1:72" ht="15.6" x14ac:dyDescent="0.3">
      <c r="A126" s="418"/>
      <c r="B126" s="401"/>
      <c r="C126" s="398" t="s">
        <v>213</v>
      </c>
      <c r="D126" s="375" t="s">
        <v>209</v>
      </c>
      <c r="E126" s="399">
        <f>+E125</f>
        <v>2.8</v>
      </c>
      <c r="F126" s="400"/>
      <c r="G126" s="375"/>
      <c r="H126" s="842">
        <f t="shared" si="29"/>
        <v>0</v>
      </c>
      <c r="I126" s="375"/>
      <c r="J126" s="362"/>
      <c r="K126" s="1560">
        <f t="shared" si="36"/>
        <v>0</v>
      </c>
      <c r="L126" s="1273">
        <f t="shared" si="36"/>
        <v>0</v>
      </c>
      <c r="M126" s="1274">
        <f t="shared" si="36"/>
        <v>0</v>
      </c>
      <c r="N126" s="1273">
        <f t="shared" si="36"/>
        <v>0</v>
      </c>
      <c r="O126" s="1274">
        <f t="shared" si="36"/>
        <v>0</v>
      </c>
      <c r="P126" s="1273">
        <f t="shared" si="35"/>
        <v>0</v>
      </c>
      <c r="Q126" s="1274">
        <f t="shared" si="35"/>
        <v>0</v>
      </c>
      <c r="R126" s="1273">
        <f t="shared" si="35"/>
        <v>0</v>
      </c>
      <c r="S126" s="1565">
        <f>(R126-$H126)+BL126</f>
        <v>0</v>
      </c>
      <c r="T126" s="1847"/>
      <c r="U126" s="1183"/>
      <c r="V126" s="1273"/>
      <c r="W126" s="1183"/>
      <c r="X126" s="1273"/>
      <c r="Y126" s="1902"/>
      <c r="Z126" s="1198"/>
      <c r="AA126" s="1199"/>
      <c r="AB126" s="1199"/>
      <c r="AC126" s="1104"/>
      <c r="AD126" s="1205"/>
      <c r="AE126" s="1197"/>
      <c r="AF126" s="1103"/>
      <c r="AG126" s="1104"/>
      <c r="AH126" s="1104"/>
      <c r="AI126" s="1104"/>
      <c r="AJ126" s="1205"/>
      <c r="AK126" s="1768"/>
      <c r="AL126" s="1204"/>
      <c r="AM126" s="1103"/>
      <c r="AN126" s="1103"/>
      <c r="AO126" s="1103"/>
      <c r="AP126" s="1195"/>
      <c r="AQ126" s="1769"/>
      <c r="AR126" s="1204"/>
      <c r="AS126" s="1103"/>
      <c r="AT126" s="1104"/>
      <c r="AU126" s="1104"/>
      <c r="AV126" s="1205"/>
      <c r="AW126" s="1196"/>
      <c r="AX126" s="1204"/>
      <c r="AY126" s="1103"/>
      <c r="AZ126" s="1103"/>
      <c r="BA126" s="1103"/>
      <c r="BB126" s="1195"/>
      <c r="BC126" s="1768"/>
      <c r="BD126" s="1204"/>
      <c r="BE126" s="1104"/>
      <c r="BF126" s="1104"/>
      <c r="BG126" s="1104"/>
      <c r="BH126" s="1195"/>
      <c r="BI126" s="1769"/>
      <c r="BJ126" s="1204"/>
      <c r="BK126" s="1104"/>
      <c r="BL126" s="1104"/>
      <c r="BM126" s="1205"/>
      <c r="BN126" s="1205"/>
      <c r="BO126" s="1768"/>
      <c r="BP126" s="1786"/>
      <c r="BQ126" s="1753"/>
      <c r="BR126" s="1754">
        <f t="shared" si="31"/>
        <v>0</v>
      </c>
      <c r="BS126" s="1"/>
      <c r="BT126" s="1192">
        <f t="shared" si="32"/>
        <v>0</v>
      </c>
    </row>
    <row r="127" spans="1:72" ht="16.2" thickBot="1" x14ac:dyDescent="0.35">
      <c r="A127" s="420"/>
      <c r="B127" s="431"/>
      <c r="C127" s="405" t="s">
        <v>214</v>
      </c>
      <c r="D127" s="406" t="s">
        <v>209</v>
      </c>
      <c r="E127" s="407">
        <f>+E126</f>
        <v>2.8</v>
      </c>
      <c r="F127" s="424"/>
      <c r="G127" s="406"/>
      <c r="H127" s="843">
        <f t="shared" si="29"/>
        <v>0</v>
      </c>
      <c r="I127" s="406"/>
      <c r="J127" s="385"/>
      <c r="K127" s="1437">
        <f t="shared" si="36"/>
        <v>0</v>
      </c>
      <c r="L127" s="1222">
        <f t="shared" si="36"/>
        <v>0</v>
      </c>
      <c r="M127" s="1223">
        <f t="shared" si="36"/>
        <v>0</v>
      </c>
      <c r="N127" s="1222">
        <f t="shared" si="36"/>
        <v>0</v>
      </c>
      <c r="O127" s="1223">
        <f t="shared" si="36"/>
        <v>0</v>
      </c>
      <c r="P127" s="1222">
        <f t="shared" si="35"/>
        <v>0</v>
      </c>
      <c r="Q127" s="1223">
        <f t="shared" si="35"/>
        <v>0</v>
      </c>
      <c r="R127" s="1222">
        <f t="shared" si="35"/>
        <v>0</v>
      </c>
      <c r="S127" s="1438">
        <f>(R127-$H127)+BL127</f>
        <v>0</v>
      </c>
      <c r="T127" s="1848"/>
      <c r="U127" s="1885"/>
      <c r="V127" s="1222"/>
      <c r="W127" s="1885"/>
      <c r="X127" s="1222"/>
      <c r="Y127" s="1923"/>
      <c r="Z127" s="1838"/>
      <c r="AA127" s="1779"/>
      <c r="AB127" s="1779"/>
      <c r="AC127" s="1776"/>
      <c r="AD127" s="1777"/>
      <c r="AE127" s="1772"/>
      <c r="AF127" s="1770"/>
      <c r="AG127" s="1776"/>
      <c r="AH127" s="1776"/>
      <c r="AI127" s="1776"/>
      <c r="AJ127" s="1777"/>
      <c r="AK127" s="1773"/>
      <c r="AL127" s="1774"/>
      <c r="AM127" s="1770"/>
      <c r="AN127" s="1770"/>
      <c r="AO127" s="1770"/>
      <c r="AP127" s="1771"/>
      <c r="AQ127" s="1775"/>
      <c r="AR127" s="1774"/>
      <c r="AS127" s="1770"/>
      <c r="AT127" s="1776"/>
      <c r="AU127" s="1776"/>
      <c r="AV127" s="1777"/>
      <c r="AW127" s="1778"/>
      <c r="AX127" s="1774"/>
      <c r="AY127" s="1770"/>
      <c r="AZ127" s="1770"/>
      <c r="BA127" s="1770"/>
      <c r="BB127" s="1771"/>
      <c r="BC127" s="1773"/>
      <c r="BD127" s="1774"/>
      <c r="BE127" s="1776"/>
      <c r="BF127" s="1776"/>
      <c r="BG127" s="1776"/>
      <c r="BH127" s="1771"/>
      <c r="BI127" s="1775"/>
      <c r="BJ127" s="1774"/>
      <c r="BK127" s="1776"/>
      <c r="BL127" s="1776"/>
      <c r="BM127" s="1777"/>
      <c r="BN127" s="1777"/>
      <c r="BO127" s="1773"/>
      <c r="BP127" s="1267"/>
      <c r="BQ127" s="1269"/>
      <c r="BR127" s="1759">
        <f t="shared" si="31"/>
        <v>0</v>
      </c>
      <c r="BS127" s="1"/>
      <c r="BT127" s="1192">
        <f t="shared" si="32"/>
        <v>0</v>
      </c>
    </row>
    <row r="128" spans="1:72" ht="15.6" x14ac:dyDescent="0.3">
      <c r="A128" s="425">
        <v>2549</v>
      </c>
      <c r="B128" s="394" t="s">
        <v>362</v>
      </c>
      <c r="C128" s="361" t="s">
        <v>215</v>
      </c>
      <c r="D128" s="362" t="s">
        <v>209</v>
      </c>
      <c r="E128" s="363">
        <v>2.9</v>
      </c>
      <c r="F128" s="364" t="e">
        <f>(BR128/G128)/7</f>
        <v>#DIV/0!</v>
      </c>
      <c r="G128" s="362"/>
      <c r="H128" s="840">
        <f>G128*E128</f>
        <v>0</v>
      </c>
      <c r="I128" s="362"/>
      <c r="J128" s="392"/>
      <c r="K128" s="1243">
        <f t="shared" si="36"/>
        <v>0</v>
      </c>
      <c r="L128" s="1243">
        <f t="shared" si="36"/>
        <v>0</v>
      </c>
      <c r="M128" s="1243">
        <f t="shared" si="36"/>
        <v>0</v>
      </c>
      <c r="N128" s="1243">
        <f t="shared" si="36"/>
        <v>0</v>
      </c>
      <c r="O128" s="1243">
        <f t="shared" si="36"/>
        <v>0</v>
      </c>
      <c r="P128" s="1243">
        <f t="shared" si="35"/>
        <v>0</v>
      </c>
      <c r="Q128" s="1243">
        <f t="shared" si="35"/>
        <v>0</v>
      </c>
      <c r="R128" s="1243">
        <f t="shared" si="35"/>
        <v>0</v>
      </c>
      <c r="S128" s="1579">
        <f t="shared" si="35"/>
        <v>0</v>
      </c>
      <c r="T128" s="1847"/>
      <c r="U128" s="1183"/>
      <c r="V128" s="1273"/>
      <c r="W128" s="1183"/>
      <c r="X128" s="1273">
        <v>3000</v>
      </c>
      <c r="Y128" s="1902"/>
      <c r="Z128" s="1176"/>
      <c r="AA128" s="1177"/>
      <c r="AB128" s="1177"/>
      <c r="AC128" s="1096"/>
      <c r="AD128" s="1097">
        <v>3000</v>
      </c>
      <c r="AE128" s="1215"/>
      <c r="AF128" s="1187"/>
      <c r="AG128" s="1183"/>
      <c r="AH128" s="1183"/>
      <c r="AI128" s="1183"/>
      <c r="AJ128" s="1744"/>
      <c r="AK128" s="1745"/>
      <c r="AL128" s="1746"/>
      <c r="AM128" s="1187"/>
      <c r="AN128" s="1187"/>
      <c r="AO128" s="1187"/>
      <c r="AP128" s="1273">
        <v>6000</v>
      </c>
      <c r="AQ128" s="1748"/>
      <c r="AR128" s="1746"/>
      <c r="AS128" s="1187"/>
      <c r="AT128" s="1183"/>
      <c r="AU128" s="1183"/>
      <c r="AV128" s="1744">
        <v>6000</v>
      </c>
      <c r="AW128" s="1214"/>
      <c r="AX128" s="1746"/>
      <c r="AY128" s="1187"/>
      <c r="AZ128" s="1187"/>
      <c r="BA128" s="1187"/>
      <c r="BB128" s="1273"/>
      <c r="BC128" s="1745"/>
      <c r="BD128" s="1746"/>
      <c r="BE128" s="1183"/>
      <c r="BF128" s="1183"/>
      <c r="BG128" s="1183"/>
      <c r="BH128" s="1273"/>
      <c r="BI128" s="1748"/>
      <c r="BJ128" s="1746"/>
      <c r="BK128" s="1183"/>
      <c r="BL128" s="1183"/>
      <c r="BM128" s="1744"/>
      <c r="BN128" s="1744"/>
      <c r="BO128" s="1745"/>
      <c r="BP128" s="1783"/>
      <c r="BQ128" s="1784"/>
      <c r="BR128" s="1785">
        <f t="shared" si="31"/>
        <v>0</v>
      </c>
      <c r="BT128" s="1192">
        <f t="shared" si="32"/>
        <v>15000</v>
      </c>
    </row>
    <row r="129" spans="1:72" ht="15.6" x14ac:dyDescent="0.3">
      <c r="A129" s="428"/>
      <c r="B129" s="401"/>
      <c r="C129" s="398" t="s">
        <v>216</v>
      </c>
      <c r="D129" s="375" t="s">
        <v>209</v>
      </c>
      <c r="E129" s="399">
        <f>+E128</f>
        <v>2.9</v>
      </c>
      <c r="F129" s="400"/>
      <c r="G129" s="375"/>
      <c r="H129" s="842">
        <f t="shared" si="29"/>
        <v>0</v>
      </c>
      <c r="I129" s="375"/>
      <c r="J129" s="362"/>
      <c r="K129" s="1395">
        <f t="shared" si="36"/>
        <v>0</v>
      </c>
      <c r="L129" s="1193">
        <f t="shared" si="36"/>
        <v>0</v>
      </c>
      <c r="M129" s="1194">
        <f t="shared" si="36"/>
        <v>0</v>
      </c>
      <c r="N129" s="1193">
        <f t="shared" si="36"/>
        <v>0</v>
      </c>
      <c r="O129" s="1194">
        <f t="shared" si="36"/>
        <v>0</v>
      </c>
      <c r="P129" s="1193">
        <f t="shared" si="35"/>
        <v>0</v>
      </c>
      <c r="Q129" s="1194">
        <f t="shared" si="35"/>
        <v>0</v>
      </c>
      <c r="R129" s="1193">
        <f t="shared" si="35"/>
        <v>0</v>
      </c>
      <c r="S129" s="1342">
        <f>(R129-$H129)+BL129</f>
        <v>0</v>
      </c>
      <c r="T129" s="1854"/>
      <c r="U129" s="1114"/>
      <c r="V129" s="1193"/>
      <c r="W129" s="1114"/>
      <c r="X129" s="1193"/>
      <c r="Y129" s="1929"/>
      <c r="Z129" s="1198"/>
      <c r="AA129" s="1199"/>
      <c r="AB129" s="1199"/>
      <c r="AC129" s="1104"/>
      <c r="AD129" s="1205"/>
      <c r="AE129" s="1197"/>
      <c r="AF129" s="1103"/>
      <c r="AG129" s="1104"/>
      <c r="AH129" s="1104"/>
      <c r="AI129" s="1104"/>
      <c r="AJ129" s="1205"/>
      <c r="AK129" s="1768"/>
      <c r="AL129" s="1204"/>
      <c r="AM129" s="1103"/>
      <c r="AN129" s="1103"/>
      <c r="AO129" s="1103"/>
      <c r="AP129" s="1195"/>
      <c r="AQ129" s="1769"/>
      <c r="AR129" s="1204"/>
      <c r="AS129" s="1103"/>
      <c r="AT129" s="1104"/>
      <c r="AU129" s="1104"/>
      <c r="AV129" s="1205"/>
      <c r="AW129" s="1196"/>
      <c r="AX129" s="1204"/>
      <c r="AY129" s="1103"/>
      <c r="AZ129" s="1103"/>
      <c r="BA129" s="1103"/>
      <c r="BB129" s="1195"/>
      <c r="BC129" s="1768"/>
      <c r="BD129" s="1204"/>
      <c r="BE129" s="1104"/>
      <c r="BF129" s="1104"/>
      <c r="BG129" s="1104"/>
      <c r="BH129" s="1195"/>
      <c r="BI129" s="1769"/>
      <c r="BJ129" s="1204"/>
      <c r="BK129" s="1104"/>
      <c r="BL129" s="1104"/>
      <c r="BM129" s="1205"/>
      <c r="BN129" s="1205"/>
      <c r="BO129" s="1768"/>
      <c r="BP129" s="1786"/>
      <c r="BQ129" s="1753"/>
      <c r="BR129" s="1754">
        <f t="shared" si="31"/>
        <v>0</v>
      </c>
      <c r="BS129" s="1"/>
      <c r="BT129" s="1192">
        <f t="shared" si="32"/>
        <v>0</v>
      </c>
    </row>
    <row r="130" spans="1:72" ht="16.2" thickBot="1" x14ac:dyDescent="0.35">
      <c r="A130" s="444"/>
      <c r="B130" s="411"/>
      <c r="C130" s="432" t="s">
        <v>217</v>
      </c>
      <c r="D130" s="386" t="s">
        <v>209</v>
      </c>
      <c r="E130" s="433">
        <f>+E129</f>
        <v>2.9</v>
      </c>
      <c r="F130" s="424"/>
      <c r="G130" s="386"/>
      <c r="H130" s="844">
        <f t="shared" si="29"/>
        <v>0</v>
      </c>
      <c r="I130" s="406"/>
      <c r="J130" s="385"/>
      <c r="K130" s="1437">
        <f t="shared" si="36"/>
        <v>0</v>
      </c>
      <c r="L130" s="1222">
        <f t="shared" si="36"/>
        <v>0</v>
      </c>
      <c r="M130" s="1223">
        <f t="shared" si="36"/>
        <v>0</v>
      </c>
      <c r="N130" s="1222">
        <f t="shared" si="36"/>
        <v>0</v>
      </c>
      <c r="O130" s="1223">
        <f t="shared" si="36"/>
        <v>0</v>
      </c>
      <c r="P130" s="1222">
        <f t="shared" si="35"/>
        <v>0</v>
      </c>
      <c r="Q130" s="1223">
        <f t="shared" si="35"/>
        <v>0</v>
      </c>
      <c r="R130" s="1222">
        <f t="shared" si="35"/>
        <v>0</v>
      </c>
      <c r="S130" s="1438">
        <f>(R130-$H130)+BL130</f>
        <v>0</v>
      </c>
      <c r="T130" s="1848"/>
      <c r="U130" s="1885"/>
      <c r="V130" s="1222"/>
      <c r="W130" s="1885"/>
      <c r="X130" s="1222"/>
      <c r="Y130" s="1923"/>
      <c r="Z130" s="1226"/>
      <c r="AA130" s="1227"/>
      <c r="AB130" s="1227"/>
      <c r="AC130" s="1219"/>
      <c r="AD130" s="1233"/>
      <c r="AE130" s="1225"/>
      <c r="AF130" s="1218"/>
      <c r="AG130" s="1219"/>
      <c r="AH130" s="1219"/>
      <c r="AI130" s="1219"/>
      <c r="AJ130" s="1233"/>
      <c r="AK130" s="1787"/>
      <c r="AL130" s="1232"/>
      <c r="AM130" s="1218"/>
      <c r="AN130" s="1218"/>
      <c r="AO130" s="1218"/>
      <c r="AP130" s="1281"/>
      <c r="AQ130" s="1788"/>
      <c r="AR130" s="1232"/>
      <c r="AS130" s="1218"/>
      <c r="AT130" s="1219"/>
      <c r="AU130" s="1219"/>
      <c r="AV130" s="1233"/>
      <c r="AW130" s="1221"/>
      <c r="AX130" s="1232"/>
      <c r="AY130" s="1218"/>
      <c r="AZ130" s="1218"/>
      <c r="BA130" s="1218"/>
      <c r="BB130" s="1281"/>
      <c r="BC130" s="1787"/>
      <c r="BD130" s="1232"/>
      <c r="BE130" s="1219"/>
      <c r="BF130" s="1219"/>
      <c r="BG130" s="1219"/>
      <c r="BH130" s="1281"/>
      <c r="BI130" s="1788"/>
      <c r="BJ130" s="1232"/>
      <c r="BK130" s="1219"/>
      <c r="BL130" s="1219"/>
      <c r="BM130" s="1233"/>
      <c r="BN130" s="1233"/>
      <c r="BO130" s="1787"/>
      <c r="BP130" s="1365"/>
      <c r="BQ130" s="1357"/>
      <c r="BR130" s="1759">
        <f t="shared" si="31"/>
        <v>0</v>
      </c>
      <c r="BS130" s="1"/>
      <c r="BT130" s="1192">
        <f t="shared" si="32"/>
        <v>0</v>
      </c>
    </row>
    <row r="131" spans="1:72" ht="15.6" x14ac:dyDescent="0.3">
      <c r="A131" s="445">
        <v>2548</v>
      </c>
      <c r="B131" s="360" t="s">
        <v>191</v>
      </c>
      <c r="C131" s="391" t="s">
        <v>218</v>
      </c>
      <c r="D131" s="392" t="s">
        <v>209</v>
      </c>
      <c r="E131" s="446">
        <v>3</v>
      </c>
      <c r="F131" s="364" t="e">
        <f>(BR131/G131)/7</f>
        <v>#DIV/0!</v>
      </c>
      <c r="G131" s="392"/>
      <c r="H131" s="841">
        <f t="shared" si="29"/>
        <v>0</v>
      </c>
      <c r="I131" s="362"/>
      <c r="J131" s="392"/>
      <c r="K131" s="1243">
        <f t="shared" si="36"/>
        <v>0</v>
      </c>
      <c r="L131" s="1243">
        <f t="shared" si="36"/>
        <v>0</v>
      </c>
      <c r="M131" s="1243">
        <f t="shared" si="36"/>
        <v>0</v>
      </c>
      <c r="N131" s="1243">
        <f t="shared" si="36"/>
        <v>0</v>
      </c>
      <c r="O131" s="1243">
        <f t="shared" si="36"/>
        <v>0</v>
      </c>
      <c r="P131" s="1243">
        <f t="shared" si="35"/>
        <v>0</v>
      </c>
      <c r="Q131" s="1243">
        <f t="shared" si="35"/>
        <v>0</v>
      </c>
      <c r="R131" s="1243">
        <f t="shared" si="35"/>
        <v>0</v>
      </c>
      <c r="S131" s="1579">
        <f t="shared" si="35"/>
        <v>0</v>
      </c>
      <c r="T131" s="1852"/>
      <c r="U131" s="1790"/>
      <c r="V131" s="1242"/>
      <c r="W131" s="1790"/>
      <c r="X131" s="1242">
        <v>6000</v>
      </c>
      <c r="Y131" s="1921"/>
      <c r="Z131" s="1245"/>
      <c r="AA131" s="1254"/>
      <c r="AB131" s="1254"/>
      <c r="AC131" s="1376"/>
      <c r="AD131" s="1386">
        <v>3000</v>
      </c>
      <c r="AE131" s="1761"/>
      <c r="AF131" s="1760"/>
      <c r="AG131" s="1376"/>
      <c r="AH131" s="1376"/>
      <c r="AI131" s="1376"/>
      <c r="AJ131" s="1386"/>
      <c r="AK131" s="1762"/>
      <c r="AL131" s="1382"/>
      <c r="AM131" s="1760"/>
      <c r="AN131" s="1760"/>
      <c r="AO131" s="1760"/>
      <c r="AP131" s="1244">
        <v>6000</v>
      </c>
      <c r="AQ131" s="1763"/>
      <c r="AR131" s="1382"/>
      <c r="AS131" s="1760"/>
      <c r="AT131" s="1376"/>
      <c r="AU131" s="1376"/>
      <c r="AV131" s="1386">
        <v>4000</v>
      </c>
      <c r="AW131" s="1764"/>
      <c r="AX131" s="1382"/>
      <c r="AY131" s="1760"/>
      <c r="AZ131" s="1760"/>
      <c r="BA131" s="1760"/>
      <c r="BB131" s="1244"/>
      <c r="BC131" s="1762"/>
      <c r="BD131" s="1382"/>
      <c r="BE131" s="1376"/>
      <c r="BF131" s="1376"/>
      <c r="BG131" s="1376"/>
      <c r="BH131" s="1244"/>
      <c r="BI131" s="1763"/>
      <c r="BJ131" s="1382"/>
      <c r="BK131" s="1376"/>
      <c r="BL131" s="1376"/>
      <c r="BM131" s="1386"/>
      <c r="BN131" s="1386"/>
      <c r="BO131" s="1762"/>
      <c r="BP131" s="1765"/>
      <c r="BQ131" s="1766"/>
      <c r="BR131" s="1767">
        <f t="shared" si="31"/>
        <v>0</v>
      </c>
      <c r="BS131" s="1"/>
      <c r="BT131" s="1192">
        <f t="shared" si="32"/>
        <v>13000</v>
      </c>
    </row>
    <row r="132" spans="1:72" ht="15.6" x14ac:dyDescent="0.3">
      <c r="A132" s="418"/>
      <c r="B132" s="401"/>
      <c r="C132" s="432" t="s">
        <v>219</v>
      </c>
      <c r="D132" s="386" t="s">
        <v>209</v>
      </c>
      <c r="E132" s="448">
        <f>+E131</f>
        <v>3</v>
      </c>
      <c r="F132" s="449"/>
      <c r="G132" s="375"/>
      <c r="H132" s="844">
        <f t="shared" si="29"/>
        <v>0</v>
      </c>
      <c r="I132" s="386"/>
      <c r="J132" s="362"/>
      <c r="K132" s="1560">
        <f t="shared" si="36"/>
        <v>0</v>
      </c>
      <c r="L132" s="1273">
        <f t="shared" si="36"/>
        <v>0</v>
      </c>
      <c r="M132" s="1274">
        <f t="shared" si="36"/>
        <v>0</v>
      </c>
      <c r="N132" s="1273">
        <f t="shared" si="36"/>
        <v>0</v>
      </c>
      <c r="O132" s="1274">
        <f t="shared" si="36"/>
        <v>0</v>
      </c>
      <c r="P132" s="1273">
        <f t="shared" si="35"/>
        <v>0</v>
      </c>
      <c r="Q132" s="1274">
        <f t="shared" si="35"/>
        <v>0</v>
      </c>
      <c r="R132" s="1273">
        <f t="shared" si="35"/>
        <v>0</v>
      </c>
      <c r="S132" s="1565">
        <f>(R132-$H132)+BL132</f>
        <v>0</v>
      </c>
      <c r="T132" s="1847"/>
      <c r="U132" s="1183"/>
      <c r="V132" s="1273"/>
      <c r="W132" s="1183"/>
      <c r="X132" s="1273"/>
      <c r="Y132" s="1902"/>
      <c r="Z132" s="1198"/>
      <c r="AA132" s="1227"/>
      <c r="AB132" s="1227"/>
      <c r="AC132" s="1219"/>
      <c r="AD132" s="1233"/>
      <c r="AE132" s="1225"/>
      <c r="AF132" s="1218"/>
      <c r="AG132" s="1219"/>
      <c r="AH132" s="1219"/>
      <c r="AI132" s="1219"/>
      <c r="AJ132" s="1233"/>
      <c r="AK132" s="1787"/>
      <c r="AL132" s="1232"/>
      <c r="AM132" s="1218"/>
      <c r="AN132" s="1218"/>
      <c r="AO132" s="1218"/>
      <c r="AP132" s="1281"/>
      <c r="AQ132" s="1788"/>
      <c r="AR132" s="1232"/>
      <c r="AS132" s="1218"/>
      <c r="AT132" s="1219"/>
      <c r="AU132" s="1219"/>
      <c r="AV132" s="1233"/>
      <c r="AW132" s="1221"/>
      <c r="AX132" s="1232"/>
      <c r="AY132" s="1218"/>
      <c r="AZ132" s="1218"/>
      <c r="BA132" s="1218"/>
      <c r="BB132" s="1281"/>
      <c r="BC132" s="1787"/>
      <c r="BD132" s="1232"/>
      <c r="BE132" s="1219"/>
      <c r="BF132" s="1219"/>
      <c r="BG132" s="1219"/>
      <c r="BH132" s="1281"/>
      <c r="BI132" s="1788"/>
      <c r="BJ132" s="1232"/>
      <c r="BK132" s="1219"/>
      <c r="BL132" s="1219"/>
      <c r="BM132" s="1233"/>
      <c r="BN132" s="1233"/>
      <c r="BO132" s="1787"/>
      <c r="BP132" s="1786"/>
      <c r="BQ132" s="1753"/>
      <c r="BR132" s="1754">
        <f t="shared" si="31"/>
        <v>0</v>
      </c>
      <c r="BS132" s="1"/>
      <c r="BT132" s="1192">
        <f t="shared" si="32"/>
        <v>0</v>
      </c>
    </row>
    <row r="133" spans="1:72" ht="16.2" thickBot="1" x14ac:dyDescent="0.35">
      <c r="A133" s="420"/>
      <c r="B133" s="431"/>
      <c r="C133" s="405" t="s">
        <v>220</v>
      </c>
      <c r="D133" s="406" t="s">
        <v>209</v>
      </c>
      <c r="E133" s="452">
        <f>+E132</f>
        <v>3</v>
      </c>
      <c r="F133" s="424"/>
      <c r="G133" s="406"/>
      <c r="H133" s="843">
        <f t="shared" si="29"/>
        <v>0</v>
      </c>
      <c r="I133" s="406"/>
      <c r="J133" s="385"/>
      <c r="K133" s="1801">
        <f t="shared" si="36"/>
        <v>0</v>
      </c>
      <c r="L133" s="1590">
        <f t="shared" si="36"/>
        <v>0</v>
      </c>
      <c r="M133" s="1589">
        <f t="shared" si="36"/>
        <v>0</v>
      </c>
      <c r="N133" s="1590">
        <f t="shared" si="36"/>
        <v>0</v>
      </c>
      <c r="O133" s="1589">
        <f t="shared" si="36"/>
        <v>0</v>
      </c>
      <c r="P133" s="1590">
        <f t="shared" si="35"/>
        <v>0</v>
      </c>
      <c r="Q133" s="1589">
        <f t="shared" si="35"/>
        <v>0</v>
      </c>
      <c r="R133" s="1590">
        <f t="shared" si="35"/>
        <v>0</v>
      </c>
      <c r="S133" s="1596">
        <f>(R133-$H133)+BL133</f>
        <v>0</v>
      </c>
      <c r="T133" s="1864"/>
      <c r="U133" s="1894"/>
      <c r="V133" s="1590"/>
      <c r="W133" s="1894"/>
      <c r="X133" s="1590"/>
      <c r="Y133" s="1922"/>
      <c r="Z133" s="1838"/>
      <c r="AA133" s="1779"/>
      <c r="AB133" s="1779"/>
      <c r="AC133" s="1776"/>
      <c r="AD133" s="1777"/>
      <c r="AE133" s="1772"/>
      <c r="AF133" s="1770"/>
      <c r="AG133" s="1776"/>
      <c r="AH133" s="1776"/>
      <c r="AI133" s="1776"/>
      <c r="AJ133" s="1777"/>
      <c r="AK133" s="1773"/>
      <c r="AL133" s="1774"/>
      <c r="AM133" s="1770"/>
      <c r="AN133" s="1770"/>
      <c r="AO133" s="1770"/>
      <c r="AP133" s="1771"/>
      <c r="AQ133" s="1775"/>
      <c r="AR133" s="1774"/>
      <c r="AS133" s="1770"/>
      <c r="AT133" s="1776"/>
      <c r="AU133" s="1776"/>
      <c r="AV133" s="1777"/>
      <c r="AW133" s="1778"/>
      <c r="AX133" s="1774"/>
      <c r="AY133" s="1770"/>
      <c r="AZ133" s="1770"/>
      <c r="BA133" s="1770"/>
      <c r="BB133" s="1771"/>
      <c r="BC133" s="1773"/>
      <c r="BD133" s="1774"/>
      <c r="BE133" s="1776"/>
      <c r="BF133" s="1776"/>
      <c r="BG133" s="1776"/>
      <c r="BH133" s="1771"/>
      <c r="BI133" s="1775"/>
      <c r="BJ133" s="1774"/>
      <c r="BK133" s="1776"/>
      <c r="BL133" s="1776"/>
      <c r="BM133" s="1777"/>
      <c r="BN133" s="1777"/>
      <c r="BO133" s="1773"/>
      <c r="BP133" s="1267"/>
      <c r="BQ133" s="1269"/>
      <c r="BR133" s="1759">
        <f t="shared" si="31"/>
        <v>0</v>
      </c>
      <c r="BS133" s="1"/>
      <c r="BT133" s="1192">
        <f t="shared" si="32"/>
        <v>0</v>
      </c>
    </row>
    <row r="134" spans="1:72" ht="15.6" x14ac:dyDescent="0.3">
      <c r="A134" s="425">
        <v>2547</v>
      </c>
      <c r="B134" s="394" t="s">
        <v>193</v>
      </c>
      <c r="C134" s="533" t="s">
        <v>221</v>
      </c>
      <c r="D134" s="534" t="s">
        <v>446</v>
      </c>
      <c r="E134" s="535">
        <v>2.2000000000000002</v>
      </c>
      <c r="F134" s="536" t="e">
        <f>(BR134/G134)/7</f>
        <v>#DIV/0!</v>
      </c>
      <c r="G134" s="385"/>
      <c r="H134" s="846">
        <f t="shared" si="29"/>
        <v>0</v>
      </c>
      <c r="I134" s="362"/>
      <c r="J134" s="392"/>
      <c r="K134" s="1243">
        <f t="shared" si="36"/>
        <v>0</v>
      </c>
      <c r="L134" s="1243">
        <f t="shared" si="36"/>
        <v>0</v>
      </c>
      <c r="M134" s="1243">
        <f t="shared" si="36"/>
        <v>0</v>
      </c>
      <c r="N134" s="1243">
        <f t="shared" si="36"/>
        <v>0</v>
      </c>
      <c r="O134" s="1243">
        <f t="shared" si="36"/>
        <v>0</v>
      </c>
      <c r="P134" s="1274">
        <f t="shared" si="35"/>
        <v>0</v>
      </c>
      <c r="Q134" s="1274">
        <f t="shared" si="35"/>
        <v>0</v>
      </c>
      <c r="R134" s="1273">
        <f t="shared" si="35"/>
        <v>0</v>
      </c>
      <c r="S134" s="1438">
        <f t="shared" si="35"/>
        <v>0</v>
      </c>
      <c r="T134" s="1848"/>
      <c r="U134" s="1885"/>
      <c r="V134" s="1222"/>
      <c r="W134" s="1885"/>
      <c r="X134" s="1222"/>
      <c r="Y134" s="1923"/>
      <c r="Z134" s="1356"/>
      <c r="AA134" s="1357"/>
      <c r="AB134" s="1357"/>
      <c r="AC134" s="1362"/>
      <c r="AD134" s="1369"/>
      <c r="AE134" s="1755"/>
      <c r="AF134" s="1451"/>
      <c r="AG134" s="1362"/>
      <c r="AH134" s="1362"/>
      <c r="AI134" s="1362"/>
      <c r="AJ134" s="1369"/>
      <c r="AK134" s="1756"/>
      <c r="AL134" s="1361"/>
      <c r="AM134" s="1451"/>
      <c r="AN134" s="1451"/>
      <c r="AO134" s="1451"/>
      <c r="AP134" s="1224"/>
      <c r="AQ134" s="1757"/>
      <c r="AR134" s="1361">
        <v>6000</v>
      </c>
      <c r="AS134" s="1451"/>
      <c r="AT134" s="1362"/>
      <c r="AU134" s="1362"/>
      <c r="AV134" s="1369"/>
      <c r="AW134" s="1758"/>
      <c r="AX134" s="1361"/>
      <c r="AY134" s="1451"/>
      <c r="AZ134" s="1451"/>
      <c r="BA134" s="1451"/>
      <c r="BB134" s="1224"/>
      <c r="BC134" s="1756"/>
      <c r="BD134" s="1361"/>
      <c r="BE134" s="1362"/>
      <c r="BF134" s="1362"/>
      <c r="BG134" s="1362"/>
      <c r="BH134" s="1224"/>
      <c r="BI134" s="1757"/>
      <c r="BJ134" s="1361"/>
      <c r="BK134" s="1362"/>
      <c r="BL134" s="1362"/>
      <c r="BM134" s="1369"/>
      <c r="BN134" s="1369"/>
      <c r="BO134" s="1756"/>
      <c r="BP134" s="1765"/>
      <c r="BQ134" s="1766"/>
      <c r="BR134" s="1767">
        <f t="shared" si="31"/>
        <v>0</v>
      </c>
      <c r="BS134" s="1"/>
      <c r="BT134" s="1192">
        <f t="shared" si="32"/>
        <v>6000</v>
      </c>
    </row>
    <row r="135" spans="1:72" ht="15.6" x14ac:dyDescent="0.3">
      <c r="A135" s="447"/>
      <c r="B135" s="401"/>
      <c r="C135" s="539" t="s">
        <v>222</v>
      </c>
      <c r="D135" s="540" t="s">
        <v>209</v>
      </c>
      <c r="E135" s="535">
        <f>+E134</f>
        <v>2.2000000000000002</v>
      </c>
      <c r="F135" s="541"/>
      <c r="G135" s="375"/>
      <c r="H135" s="842">
        <f t="shared" si="29"/>
        <v>0</v>
      </c>
      <c r="I135" s="375"/>
      <c r="J135" s="362"/>
      <c r="K135" s="1395">
        <f t="shared" si="36"/>
        <v>0</v>
      </c>
      <c r="L135" s="1222">
        <f t="shared" si="36"/>
        <v>0</v>
      </c>
      <c r="M135" s="1194">
        <f t="shared" si="36"/>
        <v>0</v>
      </c>
      <c r="N135" s="1273">
        <f t="shared" si="36"/>
        <v>0</v>
      </c>
      <c r="O135" s="1194">
        <f t="shared" si="36"/>
        <v>0</v>
      </c>
      <c r="P135" s="1273">
        <f t="shared" si="35"/>
        <v>0</v>
      </c>
      <c r="Q135" s="1194">
        <f t="shared" si="35"/>
        <v>0</v>
      </c>
      <c r="R135" s="1193">
        <f t="shared" si="35"/>
        <v>0</v>
      </c>
      <c r="S135" s="1342">
        <f>(R135-$H135)+AN135</f>
        <v>0</v>
      </c>
      <c r="T135" s="1854"/>
      <c r="U135" s="1114"/>
      <c r="V135" s="1193"/>
      <c r="W135" s="1114"/>
      <c r="X135" s="1193"/>
      <c r="Y135" s="1929"/>
      <c r="Z135" s="1198"/>
      <c r="AA135" s="1199"/>
      <c r="AB135" s="1199"/>
      <c r="AC135" s="1104"/>
      <c r="AD135" s="1205"/>
      <c r="AE135" s="1197"/>
      <c r="AF135" s="1103"/>
      <c r="AG135" s="1104"/>
      <c r="AH135" s="1104"/>
      <c r="AI135" s="1104"/>
      <c r="AJ135" s="1205"/>
      <c r="AK135" s="1768"/>
      <c r="AL135" s="1204"/>
      <c r="AM135" s="1103"/>
      <c r="AN135" s="1103"/>
      <c r="AO135" s="1103"/>
      <c r="AP135" s="1195"/>
      <c r="AQ135" s="1769"/>
      <c r="AR135" s="1204"/>
      <c r="AS135" s="1103"/>
      <c r="AT135" s="1104"/>
      <c r="AU135" s="1104"/>
      <c r="AV135" s="1205"/>
      <c r="AW135" s="1196"/>
      <c r="AX135" s="1204"/>
      <c r="AY135" s="1103"/>
      <c r="AZ135" s="1103"/>
      <c r="BA135" s="1103"/>
      <c r="BB135" s="1195"/>
      <c r="BC135" s="1768"/>
      <c r="BD135" s="1204"/>
      <c r="BE135" s="1104"/>
      <c r="BF135" s="1104"/>
      <c r="BG135" s="1104"/>
      <c r="BH135" s="1195"/>
      <c r="BI135" s="1769"/>
      <c r="BJ135" s="1204"/>
      <c r="BK135" s="1104"/>
      <c r="BL135" s="1104"/>
      <c r="BM135" s="1205"/>
      <c r="BN135" s="1205"/>
      <c r="BO135" s="1768"/>
      <c r="BP135" s="1786"/>
      <c r="BQ135" s="1802"/>
      <c r="BR135" s="1754">
        <f t="shared" si="31"/>
        <v>0</v>
      </c>
      <c r="BS135" s="1"/>
      <c r="BT135" s="1192">
        <f t="shared" si="32"/>
        <v>0</v>
      </c>
    </row>
    <row r="136" spans="1:72" ht="16.2" thickBot="1" x14ac:dyDescent="0.35">
      <c r="A136" s="420"/>
      <c r="B136" s="411"/>
      <c r="C136" s="544" t="s">
        <v>223</v>
      </c>
      <c r="D136" s="545" t="s">
        <v>209</v>
      </c>
      <c r="E136" s="546">
        <f>+E135</f>
        <v>2.2000000000000002</v>
      </c>
      <c r="F136" s="547"/>
      <c r="G136" s="458"/>
      <c r="H136" s="847">
        <f t="shared" si="29"/>
        <v>0</v>
      </c>
      <c r="I136" s="458"/>
      <c r="J136" s="459"/>
      <c r="K136" s="1803">
        <f t="shared" si="36"/>
        <v>0</v>
      </c>
      <c r="L136" s="1804">
        <f t="shared" si="36"/>
        <v>0</v>
      </c>
      <c r="M136" s="1805">
        <f t="shared" si="36"/>
        <v>0</v>
      </c>
      <c r="N136" s="1806">
        <f t="shared" si="36"/>
        <v>0</v>
      </c>
      <c r="O136" s="1698">
        <f t="shared" si="36"/>
        <v>0</v>
      </c>
      <c r="P136" s="1806">
        <f t="shared" si="35"/>
        <v>0</v>
      </c>
      <c r="Q136" s="1698">
        <f t="shared" si="35"/>
        <v>0</v>
      </c>
      <c r="R136" s="1804">
        <f t="shared" si="35"/>
        <v>0</v>
      </c>
      <c r="S136" s="1697">
        <f>(R136-$H136)+AN136</f>
        <v>0</v>
      </c>
      <c r="T136" s="1869"/>
      <c r="U136" s="1925"/>
      <c r="V136" s="1804"/>
      <c r="W136" s="1925"/>
      <c r="X136" s="1804"/>
      <c r="Y136" s="1926"/>
      <c r="Z136" s="1839"/>
      <c r="AA136" s="1807"/>
      <c r="AB136" s="1807"/>
      <c r="AC136" s="1808"/>
      <c r="AD136" s="1809"/>
      <c r="AE136" s="1810"/>
      <c r="AF136" s="1811"/>
      <c r="AG136" s="1812"/>
      <c r="AH136" s="1812"/>
      <c r="AI136" s="1812"/>
      <c r="AJ136" s="1813"/>
      <c r="AK136" s="1814"/>
      <c r="AL136" s="1815"/>
      <c r="AM136" s="1811"/>
      <c r="AN136" s="1811"/>
      <c r="AO136" s="1811"/>
      <c r="AP136" s="1816"/>
      <c r="AQ136" s="1817"/>
      <c r="AR136" s="1815"/>
      <c r="AS136" s="1811"/>
      <c r="AT136" s="1812"/>
      <c r="AU136" s="1812"/>
      <c r="AV136" s="1813"/>
      <c r="AW136" s="1818"/>
      <c r="AX136" s="1815"/>
      <c r="AY136" s="1811"/>
      <c r="AZ136" s="1811"/>
      <c r="BA136" s="1811"/>
      <c r="BB136" s="1816"/>
      <c r="BC136" s="1814"/>
      <c r="BD136" s="1815"/>
      <c r="BE136" s="1812"/>
      <c r="BF136" s="1812"/>
      <c r="BG136" s="1812"/>
      <c r="BH136" s="1816"/>
      <c r="BI136" s="1817"/>
      <c r="BJ136" s="1815"/>
      <c r="BK136" s="1812"/>
      <c r="BL136" s="1812"/>
      <c r="BM136" s="1813"/>
      <c r="BN136" s="1813"/>
      <c r="BO136" s="1814"/>
      <c r="BP136" s="1819"/>
      <c r="BQ136" s="1820"/>
      <c r="BR136" s="1821">
        <f t="shared" si="31"/>
        <v>0</v>
      </c>
      <c r="BS136" s="1"/>
      <c r="BT136" s="1192">
        <f t="shared" si="32"/>
        <v>0</v>
      </c>
    </row>
    <row r="137" spans="1:72" ht="15" thickTop="1" x14ac:dyDescent="0.3">
      <c r="A137" s="1"/>
      <c r="B137" s="1"/>
      <c r="C137" s="1"/>
      <c r="D137" s="1"/>
      <c r="E137" s="1"/>
      <c r="F137" s="1"/>
      <c r="G137" s="1"/>
      <c r="H137" s="1"/>
      <c r="I137" s="857"/>
      <c r="J137" s="1"/>
      <c r="K137" s="1085"/>
      <c r="L137" s="1085"/>
      <c r="M137" s="1822"/>
      <c r="N137" s="1823"/>
      <c r="O137" s="1085"/>
      <c r="P137" s="1085"/>
      <c r="Q137" s="1085"/>
      <c r="R137" s="1085"/>
      <c r="S137" s="1085"/>
      <c r="T137" s="1936"/>
      <c r="U137" s="1085"/>
      <c r="V137" s="1085"/>
      <c r="W137" s="1085"/>
      <c r="X137" s="1085"/>
      <c r="Y137" s="1085"/>
      <c r="Z137" s="1085"/>
      <c r="AA137" s="1085"/>
      <c r="AB137" s="1085"/>
      <c r="AC137" s="1824"/>
      <c r="AD137" s="1085"/>
      <c r="AE137" s="1085"/>
      <c r="AF137" s="1085"/>
      <c r="AG137" s="1085"/>
      <c r="AH137" s="1085"/>
      <c r="AI137" s="1085"/>
      <c r="AJ137" s="1085"/>
      <c r="AK137" s="1085"/>
      <c r="AL137" s="1085"/>
      <c r="AM137" s="1085"/>
      <c r="AN137" s="1085"/>
      <c r="AO137" s="1085"/>
      <c r="AP137" s="1085"/>
      <c r="AQ137" s="1085"/>
      <c r="AR137" s="1085"/>
      <c r="AS137" s="1085"/>
      <c r="AT137" s="1085"/>
      <c r="AU137" s="1085"/>
      <c r="AV137" s="1085"/>
      <c r="AW137" s="1085"/>
      <c r="AX137" s="1085"/>
      <c r="AY137" s="1085"/>
      <c r="AZ137" s="1085"/>
      <c r="BA137" s="1085"/>
      <c r="BB137" s="1085"/>
      <c r="BC137" s="1085"/>
      <c r="BD137" s="1085"/>
      <c r="BE137" s="1085"/>
      <c r="BF137" s="1085"/>
      <c r="BG137" s="1085"/>
      <c r="BH137" s="1085"/>
      <c r="BI137" s="1085"/>
      <c r="BJ137" s="1085"/>
      <c r="BK137" s="1085"/>
      <c r="BL137" s="1085"/>
      <c r="BM137" s="1085"/>
      <c r="BN137" s="1085"/>
      <c r="BO137" s="1085"/>
      <c r="BP137" s="1085"/>
      <c r="BQ137" s="1085"/>
      <c r="BR137" s="1085"/>
      <c r="BS137" s="1"/>
    </row>
    <row r="138" spans="1:72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085"/>
      <c r="L138" s="1085"/>
      <c r="M138" s="1085"/>
      <c r="N138" s="1085"/>
      <c r="O138" s="1085"/>
      <c r="P138" s="1085"/>
      <c r="Q138" s="1085"/>
      <c r="R138" s="1085"/>
      <c r="S138" s="1085"/>
      <c r="T138" s="1085"/>
      <c r="U138" s="1085"/>
      <c r="V138" s="1085"/>
      <c r="W138" s="1085"/>
      <c r="X138" s="1085"/>
      <c r="Y138" s="1085"/>
      <c r="Z138" s="1552"/>
      <c r="AA138" s="1552"/>
      <c r="AB138" s="1552"/>
      <c r="AC138" s="1552"/>
      <c r="AD138" s="1552"/>
      <c r="AE138" s="1552"/>
      <c r="AF138" s="1552"/>
      <c r="AG138" s="1552"/>
      <c r="AH138" s="1552"/>
      <c r="AI138" s="1552"/>
      <c r="AJ138" s="1552"/>
      <c r="AK138" s="1552"/>
      <c r="AL138" s="1552"/>
      <c r="AM138" s="1552"/>
      <c r="AN138" s="1552"/>
      <c r="AO138" s="1552"/>
      <c r="AP138" s="1552"/>
      <c r="AQ138" s="1552"/>
      <c r="AR138" s="1552"/>
      <c r="AS138" s="1552"/>
      <c r="AT138" s="1552"/>
      <c r="AU138" s="1552"/>
      <c r="AV138" s="1552"/>
      <c r="AW138" s="1552"/>
      <c r="AX138" s="1552"/>
      <c r="AY138" s="1552"/>
      <c r="AZ138" s="1552"/>
      <c r="BA138" s="1552"/>
      <c r="BB138" s="1552"/>
      <c r="BC138" s="1552"/>
      <c r="BD138" s="1552"/>
      <c r="BE138" s="1552"/>
      <c r="BF138" s="1552"/>
      <c r="BG138" s="1552"/>
      <c r="BH138" s="1552"/>
      <c r="BI138" s="1552"/>
      <c r="BJ138" s="1552"/>
      <c r="BK138" s="1552"/>
      <c r="BL138" s="1552"/>
      <c r="BM138" s="1552"/>
      <c r="BN138" s="1552"/>
      <c r="BO138" s="1552"/>
      <c r="BP138" s="1552"/>
      <c r="BQ138" s="1552"/>
      <c r="BR138" s="1552"/>
      <c r="BS138" s="1085"/>
      <c r="BT138" s="1192"/>
    </row>
    <row r="139" spans="1:72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085"/>
      <c r="L139" s="1085"/>
      <c r="M139" s="1085"/>
      <c r="N139" s="1085"/>
      <c r="O139" s="1085"/>
      <c r="P139" s="1085"/>
      <c r="Q139" s="1085"/>
      <c r="R139" s="1085"/>
      <c r="S139" s="1085"/>
      <c r="T139" s="1085"/>
      <c r="U139" s="1085"/>
      <c r="V139" s="1085"/>
      <c r="W139" s="1085"/>
      <c r="X139" s="1085"/>
      <c r="Y139" s="1085"/>
      <c r="Z139" s="1085"/>
      <c r="AA139" s="1085"/>
      <c r="AB139" s="1085"/>
      <c r="AC139" s="1085"/>
      <c r="AD139" s="1085"/>
      <c r="AE139" s="1085"/>
      <c r="AF139" s="1085"/>
      <c r="AG139" s="1085"/>
      <c r="AH139" s="1085"/>
      <c r="AI139" s="1085"/>
      <c r="AJ139" s="1085"/>
      <c r="AK139" s="1085"/>
      <c r="AL139" s="1085"/>
      <c r="AM139" s="1085"/>
      <c r="AN139" s="1085"/>
      <c r="AO139" s="1085"/>
      <c r="AP139" s="1085"/>
      <c r="AQ139" s="1085"/>
      <c r="AR139" s="1085"/>
      <c r="AS139" s="1085"/>
      <c r="AT139" s="1085"/>
      <c r="AU139" s="1085"/>
      <c r="AV139" s="1085"/>
      <c r="AW139" s="1085"/>
      <c r="AX139" s="1085"/>
      <c r="AY139" s="1085"/>
      <c r="AZ139" s="1085"/>
      <c r="BA139" s="1085"/>
      <c r="BB139" s="1085"/>
      <c r="BC139" s="1085"/>
      <c r="BD139" s="1085"/>
      <c r="BE139" s="1085"/>
      <c r="BF139" s="1085"/>
      <c r="BG139" s="1085"/>
      <c r="BH139" s="1085"/>
      <c r="BI139" s="1085"/>
      <c r="BJ139" s="1085"/>
      <c r="BK139" s="1085"/>
      <c r="BL139" s="1085"/>
      <c r="BM139" s="1085"/>
      <c r="BN139" s="1085"/>
      <c r="BO139" s="1085"/>
      <c r="BP139" s="1085"/>
      <c r="BQ139" s="1085"/>
      <c r="BR139" s="1085"/>
      <c r="BS139" s="1"/>
    </row>
    <row r="140" spans="1:72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085"/>
      <c r="L140" s="1085"/>
      <c r="M140" s="1085"/>
      <c r="N140" s="1085"/>
      <c r="O140" s="1085"/>
      <c r="P140" s="1085"/>
      <c r="Q140" s="1085"/>
      <c r="R140" s="1085"/>
      <c r="S140" s="1085"/>
      <c r="T140" s="1085"/>
      <c r="U140" s="1085"/>
      <c r="V140" s="1085"/>
      <c r="W140" s="1085"/>
      <c r="X140" s="1085"/>
      <c r="Y140" s="1085"/>
      <c r="Z140" s="1552"/>
      <c r="AA140" s="1552"/>
      <c r="AB140" s="1552"/>
      <c r="AC140" s="1552"/>
      <c r="AD140" s="1552"/>
      <c r="AE140" s="1552"/>
      <c r="AF140" s="1552"/>
      <c r="AG140" s="1552"/>
      <c r="AH140" s="1552"/>
      <c r="AI140" s="1552"/>
      <c r="AJ140" s="1552"/>
      <c r="AK140" s="1552"/>
      <c r="AL140" s="1552"/>
      <c r="AM140" s="1552"/>
      <c r="AN140" s="1552"/>
      <c r="AO140" s="1552"/>
      <c r="AP140" s="1552"/>
      <c r="AQ140" s="1552"/>
      <c r="AR140" s="1552"/>
      <c r="AS140" s="1552"/>
      <c r="AT140" s="1552"/>
      <c r="AU140" s="1552"/>
      <c r="AV140" s="1552"/>
      <c r="AW140" s="1552"/>
      <c r="AX140" s="1552"/>
      <c r="AY140" s="1552"/>
      <c r="AZ140" s="1552"/>
      <c r="BA140" s="1552"/>
      <c r="BB140" s="1552"/>
      <c r="BC140" s="1552"/>
      <c r="BD140" s="1552"/>
      <c r="BE140" s="1552"/>
      <c r="BF140" s="1552"/>
      <c r="BG140" s="1552"/>
      <c r="BH140" s="1552"/>
      <c r="BI140" s="1552"/>
      <c r="BJ140" s="1552"/>
      <c r="BK140" s="1552"/>
      <c r="BL140" s="1552"/>
      <c r="BM140" s="1552"/>
      <c r="BN140" s="1552"/>
      <c r="BO140" s="1552"/>
      <c r="BP140" s="1085"/>
      <c r="BQ140" s="1085"/>
      <c r="BR140" s="1085"/>
      <c r="BS140" s="1085"/>
      <c r="BT140" s="1192"/>
    </row>
  </sheetData>
  <mergeCells count="9">
    <mergeCell ref="A66:A67"/>
    <mergeCell ref="A60:A62"/>
    <mergeCell ref="B60:B62"/>
    <mergeCell ref="A9:D9"/>
    <mergeCell ref="A47:A49"/>
    <mergeCell ref="A50:A53"/>
    <mergeCell ref="A54:A56"/>
    <mergeCell ref="A57:A59"/>
    <mergeCell ref="B57:B59"/>
  </mergeCells>
  <phoneticPr fontId="15" type="noConversion"/>
  <pageMargins left="0.7" right="0.7" top="0.75" bottom="0.75" header="0.3" footer="0.3"/>
  <pageSetup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6FA34-F02C-42A1-8505-5728297A84CC}">
  <sheetPr>
    <pageSetUpPr fitToPage="1"/>
  </sheetPr>
  <dimension ref="A1:AF58"/>
  <sheetViews>
    <sheetView topLeftCell="A22" zoomScaleNormal="100" workbookViewId="0">
      <pane xSplit="1" topLeftCell="D1" activePane="topRight" state="frozen"/>
      <selection pane="topRight" activeCell="I39" sqref="I39"/>
    </sheetView>
  </sheetViews>
  <sheetFormatPr defaultColWidth="9.109375" defaultRowHeight="14.4" x14ac:dyDescent="0.3"/>
  <cols>
    <col min="1" max="1" width="41.5546875" style="549" bestFit="1" customWidth="1"/>
    <col min="2" max="2" width="4.88671875" style="549" customWidth="1"/>
    <col min="3" max="3" width="20.6640625" style="549" bestFit="1" customWidth="1"/>
    <col min="4" max="4" width="23" style="549" bestFit="1" customWidth="1"/>
    <col min="5" max="5" width="19.33203125" style="549" bestFit="1" customWidth="1"/>
    <col min="6" max="6" width="16.33203125" style="549" bestFit="1" customWidth="1"/>
    <col min="7" max="7" width="20.6640625" style="549" bestFit="1" customWidth="1"/>
    <col min="8" max="8" width="11.33203125" style="549" bestFit="1" customWidth="1"/>
    <col min="9" max="9" width="23" style="549" bestFit="1" customWidth="1"/>
    <col min="10" max="10" width="16.33203125" style="549" bestFit="1" customWidth="1"/>
    <col min="11" max="11" width="20.6640625" style="549" bestFit="1" customWidth="1"/>
    <col min="12" max="12" width="11.33203125" style="549" bestFit="1" customWidth="1"/>
    <col min="13" max="13" width="23" style="549" bestFit="1" customWidth="1"/>
    <col min="14" max="14" width="16.33203125" style="549" customWidth="1"/>
    <col min="15" max="15" width="20.6640625" style="549" bestFit="1" customWidth="1"/>
    <col min="16" max="16" width="11.33203125" style="549" bestFit="1" customWidth="1"/>
    <col min="17" max="17" width="23" style="549" bestFit="1" customWidth="1"/>
    <col min="18" max="18" width="16.33203125" style="549" customWidth="1"/>
    <col min="19" max="19" width="20.6640625" style="549" bestFit="1" customWidth="1"/>
    <col min="20" max="20" width="11.33203125" style="550" bestFit="1" customWidth="1"/>
    <col min="21" max="21" width="23" style="549" bestFit="1" customWidth="1"/>
    <col min="22" max="22" width="16.33203125" style="549" bestFit="1" customWidth="1"/>
    <col min="23" max="23" width="20.6640625" style="549" bestFit="1" customWidth="1"/>
    <col min="24" max="24" width="11.33203125" style="549" bestFit="1" customWidth="1"/>
    <col min="25" max="25" width="23" style="549" bestFit="1" customWidth="1"/>
    <col min="26" max="26" width="16.33203125" style="549" bestFit="1" customWidth="1"/>
    <col min="27" max="27" width="20.6640625" style="549" bestFit="1" customWidth="1"/>
    <col min="28" max="28" width="11.33203125" style="549" bestFit="1" customWidth="1"/>
    <col min="29" max="29" width="23" style="549" bestFit="1" customWidth="1"/>
    <col min="30" max="30" width="16.33203125" style="549" bestFit="1" customWidth="1"/>
    <col min="31" max="32" width="11.33203125" style="549" bestFit="1" customWidth="1"/>
    <col min="33" max="16384" width="9.109375" style="549"/>
  </cols>
  <sheetData>
    <row r="1" spans="1:32" ht="15" thickBot="1" x14ac:dyDescent="0.35">
      <c r="C1" s="2724" t="s">
        <v>277</v>
      </c>
      <c r="D1" s="2725"/>
      <c r="E1" s="2725"/>
      <c r="F1" s="2726"/>
      <c r="G1" s="2724" t="s">
        <v>277</v>
      </c>
      <c r="H1" s="2725"/>
      <c r="I1" s="2725"/>
      <c r="J1" s="2726"/>
      <c r="K1" s="2724" t="s">
        <v>277</v>
      </c>
      <c r="L1" s="2725"/>
      <c r="M1" s="2725"/>
      <c r="N1" s="2726"/>
      <c r="O1" s="2724" t="s">
        <v>277</v>
      </c>
      <c r="P1" s="2725"/>
      <c r="Q1" s="2725"/>
      <c r="R1" s="2726"/>
      <c r="S1" s="2724" t="s">
        <v>277</v>
      </c>
      <c r="T1" s="2725"/>
      <c r="U1" s="2725"/>
      <c r="V1" s="2726"/>
      <c r="W1" s="2724" t="s">
        <v>277</v>
      </c>
      <c r="X1" s="2725"/>
      <c r="Y1" s="2725"/>
      <c r="Z1" s="2726"/>
      <c r="AA1" s="2724" t="s">
        <v>277</v>
      </c>
      <c r="AB1" s="2725"/>
      <c r="AC1" s="2725"/>
      <c r="AD1" s="2726"/>
    </row>
    <row r="2" spans="1:32" s="550" customFormat="1" ht="15" thickBot="1" x14ac:dyDescent="0.35">
      <c r="C2" s="572" t="s">
        <v>263</v>
      </c>
      <c r="D2" s="873"/>
      <c r="E2" s="550" t="s">
        <v>270</v>
      </c>
      <c r="F2" s="573"/>
      <c r="G2" s="572" t="s">
        <v>263</v>
      </c>
      <c r="H2" s="555"/>
      <c r="I2" s="550" t="s">
        <v>270</v>
      </c>
      <c r="J2" s="573"/>
      <c r="K2" s="572" t="s">
        <v>263</v>
      </c>
      <c r="L2" s="555"/>
      <c r="M2" s="550" t="s">
        <v>270</v>
      </c>
      <c r="N2" s="573"/>
      <c r="O2" s="572" t="s">
        <v>263</v>
      </c>
      <c r="P2" s="555"/>
      <c r="Q2" s="550" t="s">
        <v>270</v>
      </c>
      <c r="R2" s="573"/>
      <c r="S2" s="572" t="s">
        <v>263</v>
      </c>
      <c r="T2" s="555"/>
      <c r="U2" s="550" t="s">
        <v>270</v>
      </c>
      <c r="V2" s="573"/>
      <c r="W2" s="572" t="s">
        <v>263</v>
      </c>
      <c r="X2" s="555"/>
      <c r="Y2" s="550" t="s">
        <v>270</v>
      </c>
      <c r="Z2" s="573"/>
      <c r="AA2" s="572" t="s">
        <v>263</v>
      </c>
      <c r="AB2" s="555"/>
      <c r="AC2" s="550" t="s">
        <v>270</v>
      </c>
      <c r="AD2" s="573"/>
    </row>
    <row r="3" spans="1:32" ht="15" thickBot="1" x14ac:dyDescent="0.35">
      <c r="C3" s="572" t="s">
        <v>276</v>
      </c>
      <c r="D3" s="873"/>
      <c r="E3" s="550" t="s">
        <v>271</v>
      </c>
      <c r="F3" s="579"/>
      <c r="G3" s="572" t="s">
        <v>276</v>
      </c>
      <c r="H3" s="555"/>
      <c r="I3" s="550" t="s">
        <v>271</v>
      </c>
      <c r="J3" s="579"/>
      <c r="K3" s="572" t="s">
        <v>276</v>
      </c>
      <c r="L3" s="555"/>
      <c r="M3" s="550" t="s">
        <v>271</v>
      </c>
      <c r="N3" s="579"/>
      <c r="O3" s="572" t="s">
        <v>276</v>
      </c>
      <c r="P3" s="555"/>
      <c r="Q3" s="550" t="s">
        <v>271</v>
      </c>
      <c r="R3" s="579"/>
      <c r="S3" s="572" t="s">
        <v>276</v>
      </c>
      <c r="T3" s="555"/>
      <c r="U3" s="550" t="s">
        <v>271</v>
      </c>
      <c r="V3" s="579"/>
      <c r="W3" s="572" t="s">
        <v>276</v>
      </c>
      <c r="X3" s="555"/>
      <c r="Y3" s="550" t="s">
        <v>271</v>
      </c>
      <c r="Z3" s="579"/>
      <c r="AA3" s="572" t="s">
        <v>276</v>
      </c>
      <c r="AB3" s="555"/>
      <c r="AC3" s="550" t="s">
        <v>271</v>
      </c>
      <c r="AD3" s="579"/>
    </row>
    <row r="4" spans="1:32" s="550" customFormat="1" ht="15" thickBot="1" x14ac:dyDescent="0.35">
      <c r="C4" s="572" t="s">
        <v>269</v>
      </c>
      <c r="D4" s="874"/>
      <c r="E4" s="550" t="s">
        <v>272</v>
      </c>
      <c r="F4" s="579"/>
      <c r="G4" s="572" t="s">
        <v>269</v>
      </c>
      <c r="H4" s="555"/>
      <c r="I4" s="550" t="s">
        <v>272</v>
      </c>
      <c r="J4" s="579"/>
      <c r="K4" s="572" t="s">
        <v>269</v>
      </c>
      <c r="L4" s="555"/>
      <c r="M4" s="550" t="s">
        <v>272</v>
      </c>
      <c r="N4" s="579"/>
      <c r="O4" s="572" t="s">
        <v>269</v>
      </c>
      <c r="P4" s="555"/>
      <c r="Q4" s="550" t="s">
        <v>272</v>
      </c>
      <c r="R4" s="579"/>
      <c r="S4" s="572" t="s">
        <v>269</v>
      </c>
      <c r="T4" s="555"/>
      <c r="U4" s="550" t="s">
        <v>272</v>
      </c>
      <c r="V4" s="579"/>
      <c r="W4" s="572" t="s">
        <v>269</v>
      </c>
      <c r="X4" s="555"/>
      <c r="Y4" s="550" t="s">
        <v>272</v>
      </c>
      <c r="Z4" s="579"/>
      <c r="AA4" s="572" t="s">
        <v>269</v>
      </c>
      <c r="AB4" s="555"/>
      <c r="AC4" s="550" t="s">
        <v>272</v>
      </c>
      <c r="AD4" s="579"/>
    </row>
    <row r="5" spans="1:32" ht="15" thickBot="1" x14ac:dyDescent="0.35">
      <c r="C5" s="572" t="s">
        <v>275</v>
      </c>
      <c r="D5" s="555"/>
      <c r="E5" s="550" t="s">
        <v>278</v>
      </c>
      <c r="F5" s="579"/>
      <c r="G5" s="572" t="s">
        <v>275</v>
      </c>
      <c r="H5" s="555"/>
      <c r="I5" s="550" t="s">
        <v>278</v>
      </c>
      <c r="J5" s="579"/>
      <c r="K5" s="572" t="s">
        <v>275</v>
      </c>
      <c r="L5" s="555"/>
      <c r="M5" s="550" t="s">
        <v>278</v>
      </c>
      <c r="N5" s="579"/>
      <c r="O5" s="572" t="s">
        <v>275</v>
      </c>
      <c r="P5" s="555"/>
      <c r="Q5" s="550" t="s">
        <v>278</v>
      </c>
      <c r="R5" s="579"/>
      <c r="S5" s="572" t="s">
        <v>275</v>
      </c>
      <c r="T5" s="555"/>
      <c r="U5" s="550" t="s">
        <v>278</v>
      </c>
      <c r="V5" s="579"/>
      <c r="W5" s="572" t="s">
        <v>275</v>
      </c>
      <c r="X5" s="555"/>
      <c r="Y5" s="550" t="s">
        <v>278</v>
      </c>
      <c r="Z5" s="579"/>
      <c r="AA5" s="572" t="s">
        <v>275</v>
      </c>
      <c r="AB5" s="555"/>
      <c r="AC5" s="550" t="s">
        <v>278</v>
      </c>
      <c r="AD5" s="579"/>
    </row>
    <row r="6" spans="1:32" ht="15" thickBot="1" x14ac:dyDescent="0.35">
      <c r="A6" s="550"/>
      <c r="C6" s="572" t="s">
        <v>274</v>
      </c>
      <c r="D6" s="555"/>
      <c r="E6" s="550" t="s">
        <v>273</v>
      </c>
      <c r="F6" s="579"/>
      <c r="G6" s="572" t="s">
        <v>274</v>
      </c>
      <c r="H6" s="555"/>
      <c r="I6" s="550" t="s">
        <v>273</v>
      </c>
      <c r="J6" s="579"/>
      <c r="K6" s="572" t="s">
        <v>274</v>
      </c>
      <c r="L6" s="555"/>
      <c r="M6" s="550" t="s">
        <v>273</v>
      </c>
      <c r="N6" s="579"/>
      <c r="O6" s="572" t="s">
        <v>274</v>
      </c>
      <c r="P6" s="555"/>
      <c r="Q6" s="550" t="s">
        <v>273</v>
      </c>
      <c r="R6" s="579"/>
      <c r="S6" s="572" t="s">
        <v>274</v>
      </c>
      <c r="T6" s="555"/>
      <c r="U6" s="550" t="s">
        <v>273</v>
      </c>
      <c r="V6" s="579"/>
      <c r="W6" s="572" t="s">
        <v>274</v>
      </c>
      <c r="X6" s="555"/>
      <c r="Y6" s="550" t="s">
        <v>273</v>
      </c>
      <c r="Z6" s="579"/>
      <c r="AA6" s="572" t="s">
        <v>274</v>
      </c>
      <c r="AB6" s="555"/>
      <c r="AC6" s="550" t="s">
        <v>273</v>
      </c>
      <c r="AD6" s="579"/>
    </row>
    <row r="7" spans="1:32" ht="15" thickBot="1" x14ac:dyDescent="0.35">
      <c r="A7" s="581"/>
      <c r="C7" s="572" t="s">
        <v>279</v>
      </c>
      <c r="D7" s="555"/>
      <c r="E7" s="550" t="s">
        <v>280</v>
      </c>
      <c r="F7" s="579"/>
      <c r="G7" s="572" t="s">
        <v>279</v>
      </c>
      <c r="H7" s="555"/>
      <c r="I7" s="550" t="s">
        <v>280</v>
      </c>
      <c r="J7" s="579"/>
      <c r="K7" s="572" t="s">
        <v>279</v>
      </c>
      <c r="L7" s="555"/>
      <c r="M7" s="550" t="s">
        <v>280</v>
      </c>
      <c r="N7" s="579"/>
      <c r="O7" s="572" t="s">
        <v>279</v>
      </c>
      <c r="P7" s="555"/>
      <c r="Q7" s="550" t="s">
        <v>280</v>
      </c>
      <c r="R7" s="579"/>
      <c r="S7" s="572" t="s">
        <v>279</v>
      </c>
      <c r="T7" s="555"/>
      <c r="U7" s="550" t="s">
        <v>280</v>
      </c>
      <c r="V7" s="579"/>
      <c r="W7" s="572" t="s">
        <v>279</v>
      </c>
      <c r="X7" s="555"/>
      <c r="Y7" s="550" t="s">
        <v>280</v>
      </c>
      <c r="Z7" s="579"/>
      <c r="AA7" s="572" t="s">
        <v>279</v>
      </c>
      <c r="AB7" s="555"/>
      <c r="AC7" s="550" t="s">
        <v>280</v>
      </c>
      <c r="AD7" s="579"/>
    </row>
    <row r="8" spans="1:32" ht="15" thickBot="1" x14ac:dyDescent="0.35">
      <c r="A8" s="574"/>
      <c r="C8" s="575"/>
      <c r="D8" s="576"/>
      <c r="E8" s="576"/>
      <c r="F8" s="577"/>
      <c r="G8" s="575"/>
      <c r="H8" s="576"/>
      <c r="I8" s="576"/>
      <c r="J8" s="577"/>
      <c r="K8" s="575"/>
      <c r="L8" s="576"/>
      <c r="M8" s="576"/>
      <c r="N8" s="577"/>
      <c r="O8" s="575"/>
      <c r="P8" s="576"/>
      <c r="Q8" s="576"/>
      <c r="R8" s="577"/>
      <c r="S8" s="575"/>
      <c r="T8" s="576"/>
      <c r="U8" s="576"/>
      <c r="V8" s="577"/>
      <c r="W8" s="575"/>
      <c r="X8" s="576"/>
      <c r="Y8" s="576"/>
      <c r="Z8" s="577"/>
      <c r="AA8" s="575"/>
      <c r="AB8" s="576"/>
      <c r="AC8" s="576"/>
      <c r="AD8" s="577"/>
    </row>
    <row r="9" spans="1:32" s="550" customFormat="1" ht="14.4" customHeight="1" thickBot="1" x14ac:dyDescent="0.35">
      <c r="A9" s="2722" t="s">
        <v>30</v>
      </c>
      <c r="B9" s="561"/>
      <c r="C9" s="2724" t="s">
        <v>44</v>
      </c>
      <c r="D9" s="2725"/>
      <c r="E9" s="2725"/>
      <c r="F9" s="2726"/>
      <c r="G9" s="2724" t="s">
        <v>38</v>
      </c>
      <c r="H9" s="2725"/>
      <c r="I9" s="2725"/>
      <c r="J9" s="2726"/>
      <c r="K9" s="2724" t="s">
        <v>45</v>
      </c>
      <c r="L9" s="2725"/>
      <c r="M9" s="2725"/>
      <c r="N9" s="2726"/>
      <c r="O9" s="2724" t="s">
        <v>40</v>
      </c>
      <c r="P9" s="2725"/>
      <c r="Q9" s="2725"/>
      <c r="R9" s="2726"/>
      <c r="S9" s="2724" t="s">
        <v>41</v>
      </c>
      <c r="T9" s="2725"/>
      <c r="U9" s="2725"/>
      <c r="V9" s="2726"/>
      <c r="W9" s="2724" t="s">
        <v>42</v>
      </c>
      <c r="X9" s="2725"/>
      <c r="Y9" s="2725"/>
      <c r="Z9" s="2726"/>
      <c r="AA9" s="2724" t="s">
        <v>43</v>
      </c>
      <c r="AB9" s="2725"/>
      <c r="AC9" s="2725"/>
      <c r="AD9" s="2726"/>
      <c r="AE9" s="2725" t="s">
        <v>261</v>
      </c>
      <c r="AF9" s="2726"/>
    </row>
    <row r="10" spans="1:32" s="550" customFormat="1" ht="15" thickBot="1" x14ac:dyDescent="0.35">
      <c r="A10" s="2723"/>
      <c r="B10" s="561"/>
      <c r="C10" s="569" t="s">
        <v>224</v>
      </c>
      <c r="D10" s="570" t="s">
        <v>264</v>
      </c>
      <c r="E10" s="570" t="s">
        <v>259</v>
      </c>
      <c r="F10" s="563" t="s">
        <v>260</v>
      </c>
      <c r="G10" s="569" t="s">
        <v>224</v>
      </c>
      <c r="H10" s="570" t="s">
        <v>264</v>
      </c>
      <c r="I10" s="570" t="s">
        <v>259</v>
      </c>
      <c r="J10" s="563" t="s">
        <v>260</v>
      </c>
      <c r="K10" s="569" t="s">
        <v>224</v>
      </c>
      <c r="L10" s="570" t="s">
        <v>264</v>
      </c>
      <c r="M10" s="570" t="s">
        <v>259</v>
      </c>
      <c r="N10" s="563" t="s">
        <v>260</v>
      </c>
      <c r="O10" s="569" t="s">
        <v>224</v>
      </c>
      <c r="P10" s="570" t="s">
        <v>264</v>
      </c>
      <c r="Q10" s="570" t="s">
        <v>259</v>
      </c>
      <c r="R10" s="563" t="s">
        <v>260</v>
      </c>
      <c r="S10" s="569" t="s">
        <v>224</v>
      </c>
      <c r="T10" s="570" t="s">
        <v>264</v>
      </c>
      <c r="U10" s="570" t="s">
        <v>259</v>
      </c>
      <c r="V10" s="563" t="s">
        <v>260</v>
      </c>
      <c r="W10" s="569" t="s">
        <v>224</v>
      </c>
      <c r="X10" s="570" t="s">
        <v>264</v>
      </c>
      <c r="Y10" s="570" t="s">
        <v>259</v>
      </c>
      <c r="Z10" s="563" t="s">
        <v>260</v>
      </c>
      <c r="AA10" s="569" t="s">
        <v>224</v>
      </c>
      <c r="AB10" s="570" t="s">
        <v>264</v>
      </c>
      <c r="AC10" s="570" t="s">
        <v>259</v>
      </c>
      <c r="AD10" s="563" t="s">
        <v>260</v>
      </c>
      <c r="AE10" s="571" t="s">
        <v>264</v>
      </c>
      <c r="AF10" s="563" t="s">
        <v>262</v>
      </c>
    </row>
    <row r="11" spans="1:32" s="550" customFormat="1" ht="15" thickBot="1" x14ac:dyDescent="0.35">
      <c r="A11" s="2020">
        <v>8</v>
      </c>
      <c r="C11" s="569" t="s">
        <v>490</v>
      </c>
      <c r="D11" s="2023">
        <v>3000</v>
      </c>
      <c r="E11" s="2021"/>
      <c r="F11" s="2022"/>
      <c r="G11" s="569" t="s">
        <v>490</v>
      </c>
      <c r="H11" s="2023">
        <v>6000</v>
      </c>
      <c r="I11" s="2023"/>
      <c r="J11" s="2022"/>
      <c r="K11" s="567"/>
      <c r="L11" s="2023"/>
      <c r="M11" s="2023"/>
      <c r="N11" s="2022"/>
      <c r="O11" s="569" t="s">
        <v>490</v>
      </c>
      <c r="P11" s="2023"/>
      <c r="Q11" s="2023"/>
      <c r="R11" s="2022"/>
      <c r="S11" s="569" t="s">
        <v>490</v>
      </c>
      <c r="T11" s="2023">
        <v>4000</v>
      </c>
      <c r="V11" s="2022"/>
      <c r="W11" s="569"/>
      <c r="X11" s="2023"/>
      <c r="Y11" s="2023"/>
      <c r="Z11" s="2022"/>
      <c r="AA11" s="567"/>
      <c r="AB11" s="2023"/>
      <c r="AC11" s="2023"/>
      <c r="AD11" s="2022"/>
      <c r="AE11" s="578" t="e">
        <f>SUM(D11,H11,L11,P11,#REF!,X11,AB11)</f>
        <v>#REF!</v>
      </c>
      <c r="AF11" s="567">
        <f>SUM(E11,I11,M11,Q11,T11,Y11,AC11)</f>
        <v>4000</v>
      </c>
    </row>
    <row r="12" spans="1:32" s="550" customFormat="1" x14ac:dyDescent="0.3">
      <c r="A12" s="2024">
        <v>6</v>
      </c>
      <c r="C12" s="567" t="s">
        <v>490</v>
      </c>
      <c r="D12" s="2025"/>
      <c r="E12" s="2025"/>
      <c r="F12" s="2026"/>
      <c r="G12" s="567" t="s">
        <v>490</v>
      </c>
      <c r="H12" s="2025">
        <v>6000</v>
      </c>
      <c r="I12" s="2025"/>
      <c r="J12" s="2026"/>
      <c r="K12" s="2027"/>
      <c r="L12" s="2025"/>
      <c r="M12" s="2025"/>
      <c r="N12" s="2026"/>
      <c r="O12" s="567" t="s">
        <v>490</v>
      </c>
      <c r="P12" s="2025">
        <v>3000</v>
      </c>
      <c r="Q12" s="2025"/>
      <c r="R12" s="2026"/>
      <c r="S12" s="567" t="s">
        <v>490</v>
      </c>
      <c r="T12" s="2025">
        <v>4000</v>
      </c>
      <c r="V12" s="2026"/>
      <c r="W12" s="567"/>
      <c r="X12" s="2025"/>
      <c r="Y12" s="2025"/>
      <c r="Z12" s="2026"/>
      <c r="AA12" s="2027"/>
      <c r="AB12" s="2025"/>
      <c r="AC12" s="2025"/>
      <c r="AD12" s="2026"/>
      <c r="AE12" s="578" t="e">
        <f>SUM(D12,H12,L12,P12,#REF!,X12,AB12)</f>
        <v>#REF!</v>
      </c>
      <c r="AF12" s="567">
        <f>SUM(E12,I12,M12,Q12,T12,Y12,AC12)</f>
        <v>4000</v>
      </c>
    </row>
    <row r="13" spans="1:32" s="550" customFormat="1" x14ac:dyDescent="0.3">
      <c r="A13" s="2024">
        <v>4</v>
      </c>
      <c r="C13" s="2027" t="s">
        <v>374</v>
      </c>
      <c r="D13" s="2025">
        <v>6000</v>
      </c>
      <c r="E13" s="2025"/>
      <c r="F13" s="2026"/>
      <c r="G13" s="2027" t="s">
        <v>374</v>
      </c>
      <c r="H13" s="2025">
        <v>6000</v>
      </c>
      <c r="I13" s="2025"/>
      <c r="J13" s="2026"/>
      <c r="K13" s="2027"/>
      <c r="L13" s="2025"/>
      <c r="M13" s="2025"/>
      <c r="N13" s="2026"/>
      <c r="O13" s="2027" t="s">
        <v>374</v>
      </c>
      <c r="P13" s="2025">
        <v>6000</v>
      </c>
      <c r="Q13" s="2025"/>
      <c r="R13" s="2026"/>
      <c r="S13" s="2027" t="s">
        <v>374</v>
      </c>
      <c r="T13" s="2025">
        <v>3000</v>
      </c>
      <c r="V13" s="2026"/>
      <c r="W13" s="2027"/>
      <c r="X13" s="2025"/>
      <c r="Y13" s="2025"/>
      <c r="Z13" s="2026"/>
      <c r="AA13" s="2027"/>
      <c r="AB13" s="2025"/>
      <c r="AC13" s="2025"/>
      <c r="AD13" s="2026"/>
      <c r="AE13" s="578" t="e">
        <f>SUM(D13,H13,L13,P13,#REF!,X13,AB13)</f>
        <v>#REF!</v>
      </c>
      <c r="AF13" s="567">
        <f>SUM(E13,I13,M13,Q13,T13,Y13,AC13)</f>
        <v>3000</v>
      </c>
    </row>
    <row r="14" spans="1:32" s="550" customFormat="1" x14ac:dyDescent="0.3">
      <c r="A14" s="2024">
        <v>2</v>
      </c>
      <c r="C14" s="2027" t="s">
        <v>374</v>
      </c>
      <c r="D14" s="2025">
        <v>6000</v>
      </c>
      <c r="E14" s="2025"/>
      <c r="F14" s="2026"/>
      <c r="G14" s="2027" t="s">
        <v>374</v>
      </c>
      <c r="H14" s="2025">
        <v>3000</v>
      </c>
      <c r="I14" s="2025"/>
      <c r="J14" s="2026"/>
      <c r="K14" s="2027"/>
      <c r="L14" s="2025"/>
      <c r="M14" s="2025"/>
      <c r="N14" s="2026"/>
      <c r="O14" s="2027" t="s">
        <v>374</v>
      </c>
      <c r="P14" s="2025">
        <v>3000</v>
      </c>
      <c r="Q14" s="2025"/>
      <c r="R14" s="2026"/>
      <c r="S14" s="2027" t="s">
        <v>374</v>
      </c>
      <c r="T14" s="2025">
        <v>4000</v>
      </c>
      <c r="V14" s="2026"/>
      <c r="W14" s="2027"/>
      <c r="X14" s="2025"/>
      <c r="Y14" s="2025"/>
      <c r="Z14" s="2026"/>
      <c r="AA14" s="2027"/>
      <c r="AB14" s="2025"/>
      <c r="AC14" s="2025"/>
      <c r="AD14" s="2026"/>
      <c r="AE14" s="578" t="e">
        <f>SUM(D14,H14,L14,P14,#REF!,X14,AB14)</f>
        <v>#REF!</v>
      </c>
      <c r="AF14" s="567">
        <f>SUM(E14,I14,M14,Q14,T14,Y14,AC14)</f>
        <v>4000</v>
      </c>
    </row>
    <row r="15" spans="1:32" s="550" customFormat="1" x14ac:dyDescent="0.3">
      <c r="A15" s="2024">
        <v>1</v>
      </c>
      <c r="C15" s="2027" t="s">
        <v>491</v>
      </c>
      <c r="D15" s="2025"/>
      <c r="E15" s="2025"/>
      <c r="F15" s="2026"/>
      <c r="G15" s="2027" t="s">
        <v>491</v>
      </c>
      <c r="H15" s="2025">
        <v>6000</v>
      </c>
      <c r="I15" s="2025"/>
      <c r="J15" s="2026"/>
      <c r="K15" s="2027"/>
      <c r="L15" s="2025"/>
      <c r="M15" s="2025"/>
      <c r="N15" s="2026"/>
      <c r="O15" s="2027" t="s">
        <v>491</v>
      </c>
      <c r="P15" s="2025">
        <v>3000</v>
      </c>
      <c r="R15" s="2026"/>
      <c r="S15" s="2027" t="s">
        <v>491</v>
      </c>
      <c r="T15" s="2025">
        <v>6000</v>
      </c>
      <c r="V15" s="2026"/>
      <c r="W15" s="2027"/>
      <c r="X15" s="2025"/>
      <c r="Y15" s="2025"/>
      <c r="Z15" s="2026"/>
      <c r="AA15" s="2027"/>
      <c r="AB15" s="2025"/>
      <c r="AC15" s="2025"/>
      <c r="AD15" s="2026"/>
      <c r="AE15" s="578" t="e">
        <f>SUM(#REF!,H15,L15,D15,#REF!,X15,AB15)</f>
        <v>#REF!</v>
      </c>
      <c r="AF15" s="567">
        <f t="shared" ref="AF15:AF23" si="0">SUM(E15,I15,M15,P15,T15,Y15,AC15)</f>
        <v>9000</v>
      </c>
    </row>
    <row r="16" spans="1:32" s="550" customFormat="1" x14ac:dyDescent="0.3">
      <c r="A16" s="2024">
        <v>3</v>
      </c>
      <c r="C16" s="2027" t="s">
        <v>491</v>
      </c>
      <c r="D16" s="2025">
        <v>6000</v>
      </c>
      <c r="E16" s="2025"/>
      <c r="F16" s="2026"/>
      <c r="G16" s="2027" t="s">
        <v>491</v>
      </c>
      <c r="H16" s="2025">
        <v>3000</v>
      </c>
      <c r="I16" s="2025"/>
      <c r="J16" s="2026"/>
      <c r="K16" s="2027"/>
      <c r="L16" s="2025"/>
      <c r="M16" s="2025"/>
      <c r="N16" s="2026"/>
      <c r="O16" s="2027" t="s">
        <v>491</v>
      </c>
      <c r="P16" s="2025">
        <v>6000</v>
      </c>
      <c r="R16" s="2026"/>
      <c r="S16" s="2027" t="s">
        <v>491</v>
      </c>
      <c r="T16" s="2025">
        <v>3000</v>
      </c>
      <c r="V16" s="2026"/>
      <c r="W16" s="2027"/>
      <c r="X16" s="2025"/>
      <c r="Y16" s="2025"/>
      <c r="Z16" s="2026"/>
      <c r="AA16" s="2027"/>
      <c r="AB16" s="2025"/>
      <c r="AC16" s="2025"/>
      <c r="AD16" s="2026"/>
      <c r="AE16" s="578" t="e">
        <f>SUM(#REF!,H16,L16,D16,#REF!,X16,AB16)</f>
        <v>#REF!</v>
      </c>
      <c r="AF16" s="567">
        <f t="shared" si="0"/>
        <v>9000</v>
      </c>
    </row>
    <row r="17" spans="1:32" s="550" customFormat="1" x14ac:dyDescent="0.3">
      <c r="A17" s="2024">
        <v>5</v>
      </c>
      <c r="C17" s="2027" t="s">
        <v>245</v>
      </c>
      <c r="D17" s="2025">
        <v>6000</v>
      </c>
      <c r="E17" s="2025"/>
      <c r="F17" s="2026"/>
      <c r="G17" s="2027" t="s">
        <v>245</v>
      </c>
      <c r="H17" s="2025">
        <v>3000</v>
      </c>
      <c r="I17" s="2025"/>
      <c r="J17" s="2026"/>
      <c r="K17" s="2027"/>
      <c r="L17" s="2025"/>
      <c r="M17" s="2025"/>
      <c r="N17" s="2026"/>
      <c r="O17" s="2027" t="s">
        <v>245</v>
      </c>
      <c r="P17" s="2025">
        <v>3000</v>
      </c>
      <c r="R17" s="2026"/>
      <c r="S17" s="2027" t="s">
        <v>245</v>
      </c>
      <c r="T17" s="2025">
        <v>6000</v>
      </c>
      <c r="V17" s="2026"/>
      <c r="W17" s="2027"/>
      <c r="X17" s="2025"/>
      <c r="Y17" s="2025"/>
      <c r="Z17" s="2026"/>
      <c r="AA17" s="2027"/>
      <c r="AB17" s="2025"/>
      <c r="AC17" s="2025"/>
      <c r="AD17" s="2026"/>
      <c r="AE17" s="578" t="e">
        <f>SUM(#REF!,H17,L17,D17,#REF!,X17,AB17)</f>
        <v>#REF!</v>
      </c>
      <c r="AF17" s="567">
        <f t="shared" si="0"/>
        <v>9000</v>
      </c>
    </row>
    <row r="18" spans="1:32" s="550" customFormat="1" x14ac:dyDescent="0.3">
      <c r="A18" s="2024">
        <v>7</v>
      </c>
      <c r="C18" s="2027" t="s">
        <v>245</v>
      </c>
      <c r="D18" s="2025">
        <v>6000</v>
      </c>
      <c r="E18" s="2025"/>
      <c r="F18" s="2026"/>
      <c r="G18" s="2027" t="s">
        <v>245</v>
      </c>
      <c r="H18" s="2025">
        <v>3000</v>
      </c>
      <c r="I18" s="2025"/>
      <c r="J18" s="2026"/>
      <c r="K18" s="2027"/>
      <c r="L18" s="2025"/>
      <c r="M18" s="2025"/>
      <c r="N18" s="2026"/>
      <c r="O18" s="2027" t="s">
        <v>245</v>
      </c>
      <c r="P18" s="2025">
        <v>6000</v>
      </c>
      <c r="R18" s="2026"/>
      <c r="S18" s="2027" t="s">
        <v>245</v>
      </c>
      <c r="T18" s="2025">
        <v>3000</v>
      </c>
      <c r="V18" s="2026"/>
      <c r="W18" s="2027"/>
      <c r="X18" s="2025"/>
      <c r="Y18" s="2025"/>
      <c r="Z18" s="2026"/>
      <c r="AA18" s="2027"/>
      <c r="AB18" s="2025"/>
      <c r="AC18" s="2025"/>
      <c r="AD18" s="2026"/>
      <c r="AE18" s="578" t="e">
        <f>SUM(#REF!,H18,L18,D18,#REF!,X18,AB18)</f>
        <v>#REF!</v>
      </c>
      <c r="AF18" s="567">
        <f t="shared" si="0"/>
        <v>9000</v>
      </c>
    </row>
    <row r="19" spans="1:32" s="550" customFormat="1" x14ac:dyDescent="0.3">
      <c r="A19" s="2024">
        <v>9</v>
      </c>
      <c r="C19" s="2027" t="s">
        <v>245</v>
      </c>
      <c r="D19" s="2025">
        <v>3000</v>
      </c>
      <c r="E19" s="2025"/>
      <c r="F19" s="2026"/>
      <c r="G19" s="2027" t="s">
        <v>245</v>
      </c>
      <c r="H19" s="2025">
        <v>3000</v>
      </c>
      <c r="I19" s="2025"/>
      <c r="J19" s="2026"/>
      <c r="K19" s="2027"/>
      <c r="L19" s="2025"/>
      <c r="M19" s="2025"/>
      <c r="N19" s="2026"/>
      <c r="O19" s="2027" t="s">
        <v>245</v>
      </c>
      <c r="P19" s="2025">
        <v>6000</v>
      </c>
      <c r="R19" s="2026"/>
      <c r="S19" s="2027" t="s">
        <v>245</v>
      </c>
      <c r="T19" s="2025">
        <v>3000</v>
      </c>
      <c r="V19" s="2026"/>
      <c r="W19" s="2027"/>
      <c r="X19" s="2025"/>
      <c r="Y19" s="2025"/>
      <c r="Z19" s="2026"/>
      <c r="AA19" s="2027"/>
      <c r="AB19" s="2025"/>
      <c r="AC19" s="2025"/>
      <c r="AD19" s="2026"/>
      <c r="AE19" s="578" t="e">
        <f>SUM(#REF!,H19,L19,D19,#REF!,X19,AB19)</f>
        <v>#REF!</v>
      </c>
      <c r="AF19" s="567">
        <f t="shared" si="0"/>
        <v>9000</v>
      </c>
    </row>
    <row r="20" spans="1:32" s="550" customFormat="1" x14ac:dyDescent="0.3">
      <c r="A20" s="2024">
        <v>11</v>
      </c>
      <c r="C20" s="2027" t="s">
        <v>492</v>
      </c>
      <c r="D20" s="2025">
        <v>6000</v>
      </c>
      <c r="E20" s="2025"/>
      <c r="F20" s="2026"/>
      <c r="G20" s="2027" t="s">
        <v>492</v>
      </c>
      <c r="H20" s="2025">
        <v>3000</v>
      </c>
      <c r="I20" s="2025"/>
      <c r="J20" s="2026"/>
      <c r="K20" s="2027"/>
      <c r="L20" s="2025"/>
      <c r="M20" s="2025"/>
      <c r="N20" s="2026"/>
      <c r="O20" s="2027" t="s">
        <v>492</v>
      </c>
      <c r="P20" s="2025">
        <v>6000</v>
      </c>
      <c r="R20" s="2026"/>
      <c r="S20" s="2027" t="s">
        <v>492</v>
      </c>
      <c r="T20" s="2025">
        <v>3000</v>
      </c>
      <c r="V20" s="2026"/>
      <c r="W20" s="2027"/>
      <c r="X20" s="2025"/>
      <c r="Y20" s="2025"/>
      <c r="Z20" s="2026"/>
      <c r="AA20" s="2027"/>
      <c r="AB20" s="2025"/>
      <c r="AC20" s="2025"/>
      <c r="AD20" s="2026"/>
      <c r="AE20" s="578" t="e">
        <f>SUM(#REF!,H20,L20,D20,#REF!,X20,AB20)</f>
        <v>#REF!</v>
      </c>
      <c r="AF20" s="567">
        <f t="shared" si="0"/>
        <v>9000</v>
      </c>
    </row>
    <row r="21" spans="1:32" s="550" customFormat="1" x14ac:dyDescent="0.3">
      <c r="A21" s="2024">
        <v>13</v>
      </c>
      <c r="C21" s="2027" t="s">
        <v>492</v>
      </c>
      <c r="D21" s="2025">
        <v>9000</v>
      </c>
      <c r="E21" s="2025"/>
      <c r="F21" s="2026"/>
      <c r="G21" s="2027" t="s">
        <v>492</v>
      </c>
      <c r="H21" s="2025">
        <v>3000</v>
      </c>
      <c r="I21" s="2025"/>
      <c r="J21" s="2026"/>
      <c r="K21" s="2027"/>
      <c r="L21" s="2025"/>
      <c r="M21" s="2025"/>
      <c r="N21" s="2026"/>
      <c r="O21" s="2027" t="s">
        <v>492</v>
      </c>
      <c r="P21" s="2025">
        <v>6000</v>
      </c>
      <c r="R21" s="2026"/>
      <c r="S21" s="2027" t="s">
        <v>492</v>
      </c>
      <c r="T21" s="2025">
        <v>4000</v>
      </c>
      <c r="V21" s="2026"/>
      <c r="W21" s="2027"/>
      <c r="X21" s="2025"/>
      <c r="Y21" s="2025"/>
      <c r="Z21" s="2026"/>
      <c r="AA21" s="2027"/>
      <c r="AB21" s="2025"/>
      <c r="AC21" s="2025"/>
      <c r="AD21" s="2026"/>
      <c r="AE21" s="578" t="e">
        <f>SUM(#REF!,H21,L21,D21,#REF!,X21,AB21)</f>
        <v>#REF!</v>
      </c>
      <c r="AF21" s="567">
        <f t="shared" si="0"/>
        <v>10000</v>
      </c>
    </row>
    <row r="22" spans="1:32" s="550" customFormat="1" x14ac:dyDescent="0.3">
      <c r="A22" s="2024">
        <v>14</v>
      </c>
      <c r="C22" s="2027" t="s">
        <v>492</v>
      </c>
      <c r="D22" s="2025">
        <v>3000</v>
      </c>
      <c r="E22" s="2025"/>
      <c r="F22" s="2026"/>
      <c r="G22" s="2027" t="s">
        <v>492</v>
      </c>
      <c r="H22" s="2025">
        <v>3000</v>
      </c>
      <c r="I22" s="2025"/>
      <c r="J22" s="2026"/>
      <c r="K22" s="2027"/>
      <c r="L22" s="2025"/>
      <c r="M22" s="2025"/>
      <c r="N22" s="2026"/>
      <c r="O22" s="2027" t="s">
        <v>492</v>
      </c>
      <c r="P22" s="2025">
        <v>6000</v>
      </c>
      <c r="R22" s="2026"/>
      <c r="S22" s="2027" t="s">
        <v>492</v>
      </c>
      <c r="T22" s="2025">
        <v>6000</v>
      </c>
      <c r="V22" s="2026"/>
      <c r="W22" s="2027"/>
      <c r="X22" s="2025"/>
      <c r="Y22" s="2025"/>
      <c r="Z22" s="2026"/>
      <c r="AA22" s="2027"/>
      <c r="AB22" s="2025"/>
      <c r="AC22" s="2025"/>
      <c r="AD22" s="2026"/>
      <c r="AE22" s="578" t="e">
        <f>SUM(#REF!,H22,L22,D22,#REF!,X22,AB22)</f>
        <v>#REF!</v>
      </c>
      <c r="AF22" s="567">
        <f t="shared" si="0"/>
        <v>12000</v>
      </c>
    </row>
    <row r="23" spans="1:32" s="550" customFormat="1" x14ac:dyDescent="0.3">
      <c r="A23" s="2024">
        <v>12</v>
      </c>
      <c r="C23" s="2027" t="s">
        <v>492</v>
      </c>
      <c r="D23" s="2025">
        <v>6000</v>
      </c>
      <c r="E23" s="2025"/>
      <c r="F23" s="2026"/>
      <c r="G23" s="2027" t="s">
        <v>492</v>
      </c>
      <c r="H23" s="2025">
        <v>3000</v>
      </c>
      <c r="I23" s="2025"/>
      <c r="J23" s="2026"/>
      <c r="K23" s="2027"/>
      <c r="L23" s="2025"/>
      <c r="M23" s="2025"/>
      <c r="N23" s="2026"/>
      <c r="O23" s="2027" t="s">
        <v>492</v>
      </c>
      <c r="P23" s="2025">
        <v>6000</v>
      </c>
      <c r="R23" s="2026"/>
      <c r="S23" s="2027" t="s">
        <v>492</v>
      </c>
      <c r="T23" s="2025">
        <v>4000</v>
      </c>
      <c r="V23" s="2026"/>
      <c r="W23" s="2027"/>
      <c r="X23" s="2025"/>
      <c r="Y23" s="2025"/>
      <c r="Z23" s="2026"/>
      <c r="AA23" s="2027"/>
      <c r="AB23" s="2025"/>
      <c r="AC23" s="2025"/>
      <c r="AD23" s="2026"/>
      <c r="AE23" s="578" t="e">
        <f>SUM(#REF!,H23,L23,D23,#REF!,X23,AB23)</f>
        <v>#REF!</v>
      </c>
      <c r="AF23" s="567">
        <f t="shared" si="0"/>
        <v>10000</v>
      </c>
    </row>
    <row r="24" spans="1:32" s="550" customFormat="1" x14ac:dyDescent="0.3">
      <c r="A24" s="2024">
        <v>10</v>
      </c>
      <c r="C24" s="2027" t="s">
        <v>490</v>
      </c>
      <c r="D24" s="2025"/>
      <c r="E24" s="2025"/>
      <c r="F24" s="2026"/>
      <c r="G24" s="2027" t="s">
        <v>490</v>
      </c>
      <c r="H24" s="2025"/>
      <c r="I24" s="2025"/>
      <c r="J24" s="2026"/>
      <c r="K24" s="2027"/>
      <c r="L24" s="2025"/>
      <c r="M24" s="2025"/>
      <c r="N24" s="2026"/>
      <c r="O24" s="2027" t="s">
        <v>490</v>
      </c>
      <c r="P24" s="2025"/>
      <c r="Q24" s="2025"/>
      <c r="R24" s="2026"/>
      <c r="S24" s="2027" t="s">
        <v>490</v>
      </c>
      <c r="T24" s="2025">
        <v>6000</v>
      </c>
      <c r="U24" s="2025"/>
      <c r="V24" s="2026"/>
      <c r="W24" s="2027"/>
      <c r="X24" s="2025"/>
      <c r="Y24" s="2025"/>
      <c r="Z24" s="2026"/>
      <c r="AA24" s="2027"/>
      <c r="AB24" s="2025"/>
      <c r="AC24" s="2025"/>
      <c r="AD24" s="2026"/>
      <c r="AE24" s="578">
        <f t="shared" ref="AE24:AF24" si="1">SUM(D24,H24,L24,P24,T24,X24,AB24)</f>
        <v>6000</v>
      </c>
      <c r="AF24" s="567">
        <f t="shared" si="1"/>
        <v>0</v>
      </c>
    </row>
    <row r="25" spans="1:32" x14ac:dyDescent="0.3">
      <c r="A25" s="860"/>
      <c r="C25" s="553"/>
      <c r="D25" s="556"/>
      <c r="E25" s="556"/>
      <c r="F25" s="554"/>
      <c r="G25" s="553"/>
      <c r="H25" s="556"/>
      <c r="I25" s="556"/>
      <c r="J25" s="554"/>
      <c r="K25" s="553"/>
      <c r="L25" s="556"/>
      <c r="M25" s="556"/>
      <c r="N25" s="554"/>
      <c r="O25" s="553"/>
      <c r="P25" s="556"/>
      <c r="Q25" s="556"/>
      <c r="R25" s="554"/>
      <c r="S25" s="553"/>
      <c r="T25" s="556"/>
      <c r="U25" s="556"/>
      <c r="V25" s="554"/>
      <c r="W25" s="551"/>
      <c r="X25" s="556"/>
      <c r="Y25" s="556"/>
      <c r="Z25" s="554"/>
      <c r="AA25" s="553"/>
      <c r="AB25" s="556"/>
      <c r="AC25" s="556"/>
      <c r="AD25" s="554"/>
      <c r="AE25" s="578">
        <f t="shared" ref="AE25:AF52" si="2">SUM(D25,H25,L25,P25,T25,X25,AB25)</f>
        <v>0</v>
      </c>
      <c r="AF25" s="567">
        <f t="shared" si="2"/>
        <v>0</v>
      </c>
    </row>
    <row r="26" spans="1:32" x14ac:dyDescent="0.3">
      <c r="A26" s="860" t="s">
        <v>138</v>
      </c>
      <c r="C26" s="553"/>
      <c r="D26" s="556"/>
      <c r="E26" s="556"/>
      <c r="F26" s="554"/>
      <c r="G26" s="553"/>
      <c r="H26" s="556"/>
      <c r="I26" s="556"/>
      <c r="J26" s="554"/>
      <c r="K26" s="553" t="s">
        <v>470</v>
      </c>
      <c r="L26" s="556">
        <v>5000</v>
      </c>
      <c r="M26" s="556"/>
      <c r="N26" s="554"/>
      <c r="O26" s="553"/>
      <c r="P26" s="556"/>
      <c r="Q26" s="556"/>
      <c r="R26" s="554"/>
      <c r="S26" s="553"/>
      <c r="T26" s="556"/>
      <c r="U26" s="556"/>
      <c r="V26" s="554"/>
      <c r="W26" s="553"/>
      <c r="X26" s="556"/>
      <c r="Y26" s="556"/>
      <c r="Z26" s="554"/>
      <c r="AA26" s="553"/>
      <c r="AB26" s="556"/>
      <c r="AC26" s="556"/>
      <c r="AD26" s="554"/>
      <c r="AE26" s="578">
        <v>5000</v>
      </c>
      <c r="AF26" s="567">
        <v>0</v>
      </c>
    </row>
    <row r="27" spans="1:32" x14ac:dyDescent="0.3">
      <c r="A27" s="860" t="s">
        <v>137</v>
      </c>
      <c r="C27" s="553"/>
      <c r="D27" s="556"/>
      <c r="E27" s="556"/>
      <c r="F27" s="554"/>
      <c r="G27" s="553"/>
      <c r="H27" s="556"/>
      <c r="I27" s="556"/>
      <c r="J27" s="554"/>
      <c r="K27" s="553" t="s">
        <v>14</v>
      </c>
      <c r="L27" s="556">
        <v>6000</v>
      </c>
      <c r="M27" s="556"/>
      <c r="N27" s="554"/>
      <c r="O27" s="553"/>
      <c r="P27" s="556"/>
      <c r="Q27" s="556"/>
      <c r="R27" s="554"/>
      <c r="S27" s="553"/>
      <c r="T27" s="556"/>
      <c r="U27" s="556"/>
      <c r="V27" s="554"/>
      <c r="W27" s="553"/>
      <c r="X27" s="556"/>
      <c r="Y27" s="556"/>
      <c r="Z27" s="554"/>
      <c r="AA27" s="553"/>
      <c r="AB27" s="556"/>
      <c r="AC27" s="556"/>
      <c r="AD27" s="554"/>
      <c r="AE27" s="578">
        <v>6000</v>
      </c>
      <c r="AF27" s="567">
        <v>0</v>
      </c>
    </row>
    <row r="28" spans="1:32" x14ac:dyDescent="0.3">
      <c r="A28" s="860" t="s">
        <v>140</v>
      </c>
      <c r="C28" s="553"/>
      <c r="D28" s="556"/>
      <c r="E28" s="556"/>
      <c r="F28" s="554"/>
      <c r="G28" s="553"/>
      <c r="H28" s="556"/>
      <c r="I28" s="556"/>
      <c r="J28" s="554"/>
      <c r="K28" s="553" t="s">
        <v>14</v>
      </c>
      <c r="L28" s="556">
        <v>7000</v>
      </c>
      <c r="M28" s="556"/>
      <c r="N28" s="554"/>
      <c r="O28" s="553"/>
      <c r="P28" s="556"/>
      <c r="Q28" s="556"/>
      <c r="R28" s="554"/>
      <c r="S28" s="553"/>
      <c r="T28" s="556"/>
      <c r="U28" s="556"/>
      <c r="V28" s="554"/>
      <c r="W28" s="553"/>
      <c r="X28" s="556"/>
      <c r="Y28" s="556"/>
      <c r="Z28" s="554"/>
      <c r="AA28" s="553"/>
      <c r="AB28" s="556"/>
      <c r="AC28" s="556"/>
      <c r="AD28" s="554"/>
      <c r="AE28" s="578">
        <v>7000</v>
      </c>
      <c r="AF28" s="567">
        <v>0</v>
      </c>
    </row>
    <row r="29" spans="1:32" x14ac:dyDescent="0.3">
      <c r="A29" s="860" t="s">
        <v>142</v>
      </c>
      <c r="C29" s="553"/>
      <c r="D29" s="556"/>
      <c r="E29" s="556"/>
      <c r="F29" s="554"/>
      <c r="G29" s="553"/>
      <c r="H29" s="556"/>
      <c r="I29" s="556"/>
      <c r="J29" s="554"/>
      <c r="K29" s="553" t="s">
        <v>471</v>
      </c>
      <c r="L29" s="556">
        <v>4000</v>
      </c>
      <c r="M29" s="556"/>
      <c r="N29" s="554"/>
      <c r="O29" s="553"/>
      <c r="P29" s="556"/>
      <c r="Q29" s="556"/>
      <c r="R29" s="554"/>
      <c r="S29" s="553"/>
      <c r="T29" s="556"/>
      <c r="U29" s="556"/>
      <c r="V29" s="554"/>
      <c r="W29" s="553"/>
      <c r="X29" s="556"/>
      <c r="Y29" s="556"/>
      <c r="Z29" s="554"/>
      <c r="AA29" s="553"/>
      <c r="AB29" s="556"/>
      <c r="AC29" s="556"/>
      <c r="AD29" s="554"/>
      <c r="AE29" s="578">
        <v>6000</v>
      </c>
      <c r="AF29" s="567">
        <v>0</v>
      </c>
    </row>
    <row r="30" spans="1:32" x14ac:dyDescent="0.3">
      <c r="A30" s="860" t="s">
        <v>22</v>
      </c>
      <c r="C30" s="553"/>
      <c r="D30" s="556"/>
      <c r="E30" s="556"/>
      <c r="F30" s="554"/>
      <c r="G30" s="553"/>
      <c r="H30" s="556"/>
      <c r="I30" s="556"/>
      <c r="J30" s="554"/>
      <c r="K30" s="553" t="s">
        <v>471</v>
      </c>
      <c r="L30" s="556">
        <v>5000</v>
      </c>
      <c r="M30" s="556"/>
      <c r="N30" s="554"/>
      <c r="O30" s="553"/>
      <c r="P30" s="556"/>
      <c r="Q30" s="556"/>
      <c r="R30" s="554"/>
      <c r="S30" s="553"/>
      <c r="T30" s="556"/>
      <c r="U30" s="556"/>
      <c r="V30" s="554"/>
      <c r="W30" s="553"/>
      <c r="X30" s="556"/>
      <c r="Y30" s="556"/>
      <c r="Z30" s="554"/>
      <c r="AA30" s="553"/>
      <c r="AB30" s="556"/>
      <c r="AC30" s="556"/>
      <c r="AD30" s="554"/>
      <c r="AE30" s="578">
        <v>6000</v>
      </c>
      <c r="AF30" s="567">
        <v>0</v>
      </c>
    </row>
    <row r="31" spans="1:32" x14ac:dyDescent="0.3">
      <c r="A31" s="860" t="s">
        <v>141</v>
      </c>
      <c r="C31" s="553"/>
      <c r="D31" s="556"/>
      <c r="E31" s="556"/>
      <c r="F31" s="554"/>
      <c r="G31" s="553"/>
      <c r="H31" s="556"/>
      <c r="I31" s="556"/>
      <c r="J31" s="554"/>
      <c r="K31" s="553" t="s">
        <v>471</v>
      </c>
      <c r="L31" s="556">
        <v>6000</v>
      </c>
      <c r="M31" s="556"/>
      <c r="N31" s="554"/>
      <c r="O31" s="553"/>
      <c r="P31" s="556"/>
      <c r="Q31" s="556"/>
      <c r="R31" s="554"/>
      <c r="S31" s="553"/>
      <c r="T31" s="556"/>
      <c r="U31" s="556"/>
      <c r="V31" s="554"/>
      <c r="W31" s="553"/>
      <c r="X31" s="556"/>
      <c r="Y31" s="556"/>
      <c r="Z31" s="554"/>
      <c r="AA31" s="553"/>
      <c r="AB31" s="556"/>
      <c r="AC31" s="556"/>
      <c r="AD31" s="554"/>
      <c r="AE31" s="578">
        <v>6000</v>
      </c>
      <c r="AF31" s="567">
        <v>0</v>
      </c>
    </row>
    <row r="32" spans="1:32" x14ac:dyDescent="0.3">
      <c r="A32" s="860" t="s">
        <v>440</v>
      </c>
      <c r="C32" s="553"/>
      <c r="D32" s="556"/>
      <c r="E32" s="556"/>
      <c r="F32" s="554"/>
      <c r="G32" s="553"/>
      <c r="H32" s="556"/>
      <c r="I32" s="556"/>
      <c r="J32" s="554"/>
      <c r="K32" s="1067"/>
      <c r="M32" s="556"/>
      <c r="N32" s="554"/>
      <c r="O32" s="553"/>
      <c r="P32" s="556"/>
      <c r="Q32" s="556"/>
      <c r="R32" s="554"/>
      <c r="S32" s="553"/>
      <c r="T32" s="556"/>
      <c r="U32" s="556"/>
      <c r="V32" s="554"/>
      <c r="W32" s="553"/>
      <c r="X32" s="556"/>
      <c r="Y32" s="556"/>
      <c r="Z32" s="554"/>
      <c r="AA32" s="553"/>
      <c r="AB32" s="556"/>
      <c r="AC32" s="556"/>
      <c r="AD32" s="554"/>
      <c r="AE32" s="578">
        <f>SUM(D32,H32,D34,P32,T32,X32,AB32)</f>
        <v>0</v>
      </c>
      <c r="AF32" s="567">
        <f t="shared" si="2"/>
        <v>0</v>
      </c>
    </row>
    <row r="33" spans="1:32" x14ac:dyDescent="0.3">
      <c r="A33" s="1067" t="s">
        <v>385</v>
      </c>
      <c r="C33" s="553"/>
      <c r="D33" s="556"/>
      <c r="E33" s="556"/>
      <c r="F33" s="554"/>
      <c r="G33" s="553"/>
      <c r="H33" s="556"/>
      <c r="I33" s="556"/>
      <c r="J33" s="554"/>
      <c r="M33" s="556"/>
      <c r="N33" s="554"/>
      <c r="O33" s="553"/>
      <c r="P33" s="556"/>
      <c r="Q33" s="556"/>
      <c r="R33" s="554"/>
      <c r="S33" s="553"/>
      <c r="T33" s="556"/>
      <c r="U33" s="556"/>
      <c r="V33" s="554"/>
      <c r="W33" s="553"/>
      <c r="X33" s="556"/>
      <c r="Y33" s="556"/>
      <c r="Z33" s="554"/>
      <c r="AA33" s="553"/>
      <c r="AB33" s="556"/>
      <c r="AC33" s="556"/>
      <c r="AD33" s="554"/>
      <c r="AE33" s="578" t="e">
        <f>SUM(D33,H33,#REF!,P33,T33,X33,AB33)</f>
        <v>#REF!</v>
      </c>
      <c r="AF33" s="567">
        <f t="shared" si="2"/>
        <v>0</v>
      </c>
    </row>
    <row r="34" spans="1:32" x14ac:dyDescent="0.3">
      <c r="A34" s="860" t="s">
        <v>386</v>
      </c>
      <c r="C34" s="553"/>
      <c r="D34" s="556"/>
      <c r="E34" s="556"/>
      <c r="F34" s="554"/>
      <c r="G34" s="553"/>
      <c r="H34" s="556"/>
      <c r="I34" s="556"/>
      <c r="J34" s="554"/>
      <c r="M34" s="556"/>
      <c r="N34" s="554"/>
      <c r="O34" s="553"/>
      <c r="P34" s="556"/>
      <c r="Q34" s="556"/>
      <c r="R34" s="554"/>
      <c r="S34" s="553"/>
      <c r="T34" s="556"/>
      <c r="U34" s="556"/>
      <c r="V34" s="554"/>
      <c r="W34" s="553" t="s">
        <v>478</v>
      </c>
      <c r="X34" s="556">
        <v>4000</v>
      </c>
      <c r="Y34" s="556"/>
      <c r="Z34" s="554"/>
      <c r="AA34" s="553"/>
      <c r="AB34" s="556"/>
      <c r="AC34" s="556"/>
      <c r="AD34" s="554"/>
      <c r="AE34" s="578" t="e">
        <f>SUM(#REF!,H34,#REF!,P34,T34,X34,AB34)</f>
        <v>#REF!</v>
      </c>
      <c r="AF34" s="567">
        <f t="shared" si="2"/>
        <v>0</v>
      </c>
    </row>
    <row r="35" spans="1:32" x14ac:dyDescent="0.3">
      <c r="A35" s="860" t="s">
        <v>387</v>
      </c>
      <c r="C35" s="553"/>
      <c r="D35" s="556"/>
      <c r="E35" s="556"/>
      <c r="F35" s="554"/>
      <c r="G35" s="553" t="s">
        <v>475</v>
      </c>
      <c r="H35" s="556">
        <v>4000</v>
      </c>
      <c r="I35" s="556"/>
      <c r="J35" s="554"/>
      <c r="M35" s="556"/>
      <c r="N35" s="554"/>
      <c r="O35" s="553"/>
      <c r="P35" s="556"/>
      <c r="Q35" s="556"/>
      <c r="R35" s="554"/>
      <c r="S35" s="553"/>
      <c r="T35" s="556"/>
      <c r="U35" s="556"/>
      <c r="V35" s="554"/>
      <c r="W35" s="553"/>
      <c r="X35" s="556"/>
      <c r="Y35" s="556"/>
      <c r="Z35" s="554"/>
      <c r="AA35" s="553"/>
      <c r="AB35" s="556"/>
      <c r="AC35" s="556"/>
      <c r="AD35" s="554"/>
      <c r="AE35" s="578" t="e">
        <f>SUM(#REF!,H35,D35,P35,T35,X35,AB35)</f>
        <v>#REF!</v>
      </c>
      <c r="AF35" s="567">
        <f t="shared" si="2"/>
        <v>0</v>
      </c>
    </row>
    <row r="36" spans="1:32" x14ac:dyDescent="0.3">
      <c r="A36" s="860" t="s">
        <v>474</v>
      </c>
      <c r="C36" s="553" t="s">
        <v>476</v>
      </c>
      <c r="D36" s="556">
        <v>1000</v>
      </c>
      <c r="E36" s="556"/>
      <c r="F36" s="554"/>
      <c r="G36" s="553"/>
      <c r="H36" s="556"/>
      <c r="I36" s="556"/>
      <c r="J36" s="554"/>
      <c r="M36" s="556"/>
      <c r="N36" s="554"/>
      <c r="O36" s="553"/>
      <c r="P36" s="556"/>
      <c r="Q36" s="556"/>
      <c r="R36" s="554"/>
      <c r="S36" s="553"/>
      <c r="T36" s="556"/>
      <c r="U36" s="556"/>
      <c r="V36" s="554"/>
      <c r="W36" s="553"/>
      <c r="X36" s="556"/>
      <c r="Y36" s="556"/>
      <c r="Z36" s="554"/>
      <c r="AA36" s="553"/>
      <c r="AB36" s="556"/>
      <c r="AC36" s="556"/>
      <c r="AD36" s="554"/>
      <c r="AE36" s="578"/>
      <c r="AF36" s="567"/>
    </row>
    <row r="37" spans="1:32" x14ac:dyDescent="0.3">
      <c r="A37" s="860" t="s">
        <v>105</v>
      </c>
      <c r="C37" s="553"/>
      <c r="D37" s="556"/>
      <c r="E37" s="556"/>
      <c r="F37" s="554"/>
      <c r="G37" s="553" t="s">
        <v>475</v>
      </c>
      <c r="H37" s="556">
        <v>4000</v>
      </c>
      <c r="I37" s="556"/>
      <c r="J37" s="554"/>
      <c r="K37" s="553"/>
      <c r="L37" s="556"/>
      <c r="M37" s="556"/>
      <c r="N37" s="554"/>
      <c r="O37" s="553"/>
      <c r="P37" s="556"/>
      <c r="Q37" s="556"/>
      <c r="R37" s="554"/>
      <c r="S37" s="553"/>
      <c r="T37" s="556"/>
      <c r="U37" s="556"/>
      <c r="V37" s="554"/>
      <c r="W37" s="553"/>
      <c r="X37" s="556"/>
      <c r="Y37" s="556"/>
      <c r="Z37" s="554"/>
      <c r="AA37" s="553"/>
      <c r="AB37" s="556"/>
      <c r="AC37" s="556"/>
      <c r="AD37" s="554"/>
      <c r="AE37" s="578">
        <f t="shared" si="2"/>
        <v>4000</v>
      </c>
      <c r="AF37" s="567">
        <f t="shared" si="2"/>
        <v>0</v>
      </c>
    </row>
    <row r="38" spans="1:32" x14ac:dyDescent="0.3">
      <c r="A38" s="860" t="s">
        <v>477</v>
      </c>
      <c r="C38" s="553"/>
      <c r="D38" s="556"/>
      <c r="E38" s="556"/>
      <c r="F38" s="554"/>
      <c r="G38" s="553" t="s">
        <v>476</v>
      </c>
      <c r="H38" s="556">
        <v>1000</v>
      </c>
      <c r="I38" s="556"/>
      <c r="J38" s="554"/>
      <c r="K38" s="553"/>
      <c r="L38" s="556"/>
      <c r="M38" s="556"/>
      <c r="N38" s="554"/>
      <c r="O38" s="553"/>
      <c r="P38" s="556"/>
      <c r="Q38" s="556"/>
      <c r="R38" s="554"/>
      <c r="S38" s="553"/>
      <c r="T38" s="556"/>
      <c r="U38" s="556"/>
      <c r="V38" s="554"/>
      <c r="W38" s="553"/>
      <c r="X38" s="556"/>
      <c r="Y38" s="556"/>
      <c r="Z38" s="554"/>
      <c r="AA38" s="553"/>
      <c r="AB38" s="556"/>
      <c r="AC38" s="556"/>
      <c r="AD38" s="554"/>
      <c r="AE38" s="578"/>
      <c r="AF38" s="567"/>
    </row>
    <row r="39" spans="1:32" x14ac:dyDescent="0.3">
      <c r="A39" s="860" t="s">
        <v>106</v>
      </c>
      <c r="C39" s="553"/>
      <c r="D39" s="556"/>
      <c r="E39" s="556"/>
      <c r="F39" s="554"/>
      <c r="G39" s="553" t="s">
        <v>475</v>
      </c>
      <c r="H39" s="556">
        <v>4000</v>
      </c>
      <c r="I39" s="556"/>
      <c r="J39" s="554"/>
      <c r="K39" s="553"/>
      <c r="L39" s="556"/>
      <c r="M39" s="556"/>
      <c r="N39" s="554"/>
      <c r="O39" s="553"/>
      <c r="P39" s="556"/>
      <c r="Q39" s="556"/>
      <c r="R39" s="554"/>
      <c r="S39" s="553"/>
      <c r="T39" s="556"/>
      <c r="U39" s="556"/>
      <c r="V39" s="554"/>
      <c r="W39" s="553"/>
      <c r="X39" s="556"/>
      <c r="Y39" s="556"/>
      <c r="Z39" s="554"/>
      <c r="AA39" s="553"/>
      <c r="AB39" s="556"/>
      <c r="AC39" s="556"/>
      <c r="AD39" s="554"/>
      <c r="AE39" s="578">
        <f t="shared" si="2"/>
        <v>4000</v>
      </c>
      <c r="AF39" s="567">
        <f t="shared" si="2"/>
        <v>0</v>
      </c>
    </row>
    <row r="40" spans="1:32" x14ac:dyDescent="0.3">
      <c r="A40" s="860" t="s">
        <v>106</v>
      </c>
      <c r="C40" s="553"/>
      <c r="D40" s="556"/>
      <c r="E40" s="556"/>
      <c r="F40" s="554"/>
      <c r="G40" s="553"/>
      <c r="H40" s="556"/>
      <c r="I40" s="556"/>
      <c r="J40" s="554"/>
      <c r="K40" s="553"/>
      <c r="L40" s="556"/>
      <c r="M40" s="556"/>
      <c r="N40" s="554"/>
      <c r="O40" s="553" t="s">
        <v>476</v>
      </c>
      <c r="P40" s="556">
        <v>1000</v>
      </c>
      <c r="Q40" s="556"/>
      <c r="R40" s="554"/>
      <c r="S40" s="553"/>
      <c r="T40" s="556"/>
      <c r="U40" s="556"/>
      <c r="V40" s="554"/>
      <c r="W40" s="553"/>
      <c r="X40" s="556"/>
      <c r="Y40" s="556"/>
      <c r="Z40" s="554"/>
      <c r="AA40" s="553"/>
      <c r="AB40" s="556"/>
      <c r="AC40" s="556"/>
      <c r="AD40" s="554"/>
      <c r="AE40" s="578">
        <f t="shared" si="2"/>
        <v>1000</v>
      </c>
      <c r="AF40" s="567">
        <f t="shared" si="2"/>
        <v>0</v>
      </c>
    </row>
    <row r="41" spans="1:32" x14ac:dyDescent="0.3">
      <c r="A41" s="860" t="s">
        <v>73</v>
      </c>
      <c r="C41" s="553" t="s">
        <v>481</v>
      </c>
      <c r="D41" s="556">
        <v>3000</v>
      </c>
      <c r="E41" s="556"/>
      <c r="F41" s="554"/>
      <c r="G41" s="553"/>
      <c r="H41" s="556"/>
      <c r="I41" s="556"/>
      <c r="J41" s="554"/>
      <c r="K41" s="553"/>
      <c r="L41" s="556"/>
      <c r="M41" s="556"/>
      <c r="N41" s="554"/>
      <c r="O41" s="553"/>
      <c r="P41" s="556"/>
      <c r="Q41" s="556"/>
      <c r="R41" s="554"/>
      <c r="S41" s="553"/>
      <c r="T41" s="556"/>
      <c r="U41" s="556"/>
      <c r="V41" s="554"/>
      <c r="W41" s="553"/>
      <c r="X41" s="556"/>
      <c r="Y41" s="556"/>
      <c r="Z41" s="554"/>
      <c r="AA41" s="553"/>
      <c r="AB41" s="556"/>
      <c r="AC41" s="556"/>
      <c r="AD41" s="554"/>
      <c r="AE41" s="578"/>
      <c r="AF41" s="567"/>
    </row>
    <row r="42" spans="1:32" x14ac:dyDescent="0.3">
      <c r="A42" s="860" t="s">
        <v>388</v>
      </c>
      <c r="C42" s="553" t="s">
        <v>482</v>
      </c>
      <c r="D42" s="556">
        <v>2000</v>
      </c>
      <c r="E42" s="556"/>
      <c r="F42" s="554"/>
      <c r="G42" s="553"/>
      <c r="H42" s="556"/>
      <c r="I42" s="556"/>
      <c r="J42" s="554"/>
      <c r="K42" s="553"/>
      <c r="L42" s="556"/>
      <c r="M42" s="556"/>
      <c r="N42" s="554"/>
      <c r="O42" s="553"/>
      <c r="P42" s="556"/>
      <c r="Q42" s="556"/>
      <c r="R42" s="554"/>
      <c r="S42" s="553"/>
      <c r="T42" s="556"/>
      <c r="U42" s="556"/>
      <c r="V42" s="554"/>
      <c r="W42" s="553"/>
      <c r="X42" s="556"/>
      <c r="Y42" s="556"/>
      <c r="Z42" s="554"/>
      <c r="AA42" s="553"/>
      <c r="AB42" s="556"/>
      <c r="AC42" s="556"/>
      <c r="AD42" s="554"/>
      <c r="AE42" s="578"/>
      <c r="AF42" s="567"/>
    </row>
    <row r="43" spans="1:32" x14ac:dyDescent="0.3">
      <c r="A43" s="860" t="s">
        <v>389</v>
      </c>
      <c r="C43" s="553"/>
      <c r="D43" s="556"/>
      <c r="E43" s="556"/>
      <c r="F43" s="554"/>
      <c r="G43" s="553"/>
      <c r="H43" s="556"/>
      <c r="I43" s="556"/>
      <c r="J43" s="554"/>
      <c r="K43" s="553"/>
      <c r="L43" s="556"/>
      <c r="M43" s="556"/>
      <c r="N43" s="554"/>
      <c r="O43" s="553"/>
      <c r="P43" s="556"/>
      <c r="Q43" s="556"/>
      <c r="R43" s="554"/>
      <c r="S43" s="553" t="s">
        <v>483</v>
      </c>
      <c r="T43" s="556">
        <v>2000</v>
      </c>
      <c r="U43" s="556"/>
      <c r="V43" s="554"/>
      <c r="W43" s="553"/>
      <c r="X43" s="556"/>
      <c r="Y43" s="556"/>
      <c r="Z43" s="554"/>
      <c r="AA43" s="553"/>
      <c r="AB43" s="556"/>
      <c r="AC43" s="556"/>
      <c r="AD43" s="554"/>
      <c r="AE43" s="578"/>
      <c r="AF43" s="567"/>
    </row>
    <row r="44" spans="1:32" x14ac:dyDescent="0.3">
      <c r="A44" s="860" t="s">
        <v>74</v>
      </c>
      <c r="C44" s="553" t="s">
        <v>481</v>
      </c>
      <c r="D44" s="556">
        <v>4000</v>
      </c>
      <c r="E44" s="556"/>
      <c r="F44" s="554"/>
      <c r="G44" s="553"/>
      <c r="H44" s="556"/>
      <c r="I44" s="556"/>
      <c r="J44" s="554"/>
      <c r="K44" s="553"/>
      <c r="L44" s="556"/>
      <c r="M44" s="556"/>
      <c r="N44" s="554"/>
      <c r="O44" s="553"/>
      <c r="P44" s="556"/>
      <c r="Q44" s="556"/>
      <c r="R44" s="554"/>
      <c r="S44" s="553"/>
      <c r="T44" s="556"/>
      <c r="U44" s="556"/>
      <c r="V44" s="554"/>
      <c r="W44" s="553" t="s">
        <v>484</v>
      </c>
      <c r="X44" s="556">
        <v>3000</v>
      </c>
      <c r="Y44" s="556"/>
      <c r="Z44" s="554"/>
      <c r="AA44" s="553"/>
      <c r="AB44" s="556"/>
      <c r="AC44" s="556"/>
      <c r="AD44" s="554"/>
      <c r="AE44" s="578"/>
      <c r="AF44" s="567"/>
    </row>
    <row r="45" spans="1:32" x14ac:dyDescent="0.3">
      <c r="A45" s="860" t="s">
        <v>79</v>
      </c>
      <c r="C45" s="553" t="s">
        <v>309</v>
      </c>
      <c r="D45" s="556">
        <v>8000</v>
      </c>
      <c r="E45" s="556"/>
      <c r="F45" s="554"/>
      <c r="G45" s="553"/>
      <c r="H45" s="556"/>
      <c r="I45" s="556"/>
      <c r="J45" s="554"/>
      <c r="K45" s="553"/>
      <c r="L45" s="556"/>
      <c r="M45" s="556"/>
      <c r="N45" s="554"/>
      <c r="O45" s="553"/>
      <c r="P45" s="556"/>
      <c r="Q45" s="556"/>
      <c r="R45" s="554"/>
      <c r="S45" s="553"/>
      <c r="T45" s="556"/>
      <c r="U45" s="556"/>
      <c r="V45" s="554"/>
      <c r="W45" s="553"/>
      <c r="X45" s="556"/>
      <c r="Y45" s="556"/>
      <c r="Z45" s="554"/>
      <c r="AA45" s="553"/>
      <c r="AB45" s="556"/>
      <c r="AC45" s="556"/>
      <c r="AD45" s="554"/>
      <c r="AE45" s="578"/>
      <c r="AF45" s="567"/>
    </row>
    <row r="46" spans="1:32" x14ac:dyDescent="0.3">
      <c r="A46" s="860" t="s">
        <v>76</v>
      </c>
      <c r="C46" s="553" t="s">
        <v>481</v>
      </c>
      <c r="D46" s="556">
        <v>7000</v>
      </c>
      <c r="E46" s="556"/>
      <c r="F46" s="554"/>
      <c r="G46" s="553"/>
      <c r="H46" s="556"/>
      <c r="I46" s="556"/>
      <c r="J46" s="554"/>
      <c r="K46" s="553"/>
      <c r="L46" s="556"/>
      <c r="M46" s="556"/>
      <c r="N46" s="554"/>
      <c r="O46" s="553"/>
      <c r="P46" s="556"/>
      <c r="Q46" s="556"/>
      <c r="R46" s="554"/>
      <c r="S46" s="553"/>
      <c r="T46" s="556"/>
      <c r="U46" s="556"/>
      <c r="V46" s="554"/>
      <c r="W46" s="553"/>
      <c r="X46" s="556"/>
      <c r="Y46" s="556"/>
      <c r="Z46" s="554"/>
      <c r="AA46" s="553"/>
      <c r="AB46" s="556"/>
      <c r="AC46" s="556"/>
      <c r="AD46" s="554"/>
      <c r="AE46" s="578"/>
      <c r="AF46" s="567"/>
    </row>
    <row r="47" spans="1:32" x14ac:dyDescent="0.3">
      <c r="A47" s="860" t="s">
        <v>390</v>
      </c>
      <c r="C47" s="553"/>
      <c r="D47" s="556"/>
      <c r="E47" s="556"/>
      <c r="F47" s="554"/>
      <c r="G47" s="553" t="s">
        <v>481</v>
      </c>
      <c r="H47" s="556">
        <v>7000</v>
      </c>
      <c r="I47" s="556"/>
      <c r="J47" s="554"/>
      <c r="K47" s="553"/>
      <c r="L47" s="556"/>
      <c r="M47" s="556"/>
      <c r="N47" s="554"/>
      <c r="O47" s="553"/>
      <c r="P47" s="556"/>
      <c r="Q47" s="556"/>
      <c r="R47" s="554"/>
      <c r="S47" s="553"/>
      <c r="T47" s="556"/>
      <c r="U47" s="556"/>
      <c r="V47" s="554"/>
      <c r="W47" s="553"/>
      <c r="X47" s="556"/>
      <c r="Y47" s="556"/>
      <c r="Z47" s="554"/>
      <c r="AA47" s="553"/>
      <c r="AB47" s="556"/>
      <c r="AC47" s="556"/>
      <c r="AD47" s="554"/>
      <c r="AE47" s="578">
        <f t="shared" si="2"/>
        <v>7000</v>
      </c>
      <c r="AF47" s="567">
        <f t="shared" si="2"/>
        <v>0</v>
      </c>
    </row>
    <row r="48" spans="1:32" x14ac:dyDescent="0.3">
      <c r="A48" s="1068" t="s">
        <v>391</v>
      </c>
      <c r="C48" s="1069"/>
      <c r="D48" s="1070"/>
      <c r="E48" s="1070"/>
      <c r="F48" s="1071"/>
      <c r="G48" s="1069"/>
      <c r="H48" s="1070"/>
      <c r="I48" s="1070"/>
      <c r="J48" s="1071"/>
      <c r="K48" s="1069"/>
      <c r="L48" s="1070"/>
      <c r="M48" s="1070"/>
      <c r="N48" s="1071"/>
      <c r="O48" s="1069"/>
      <c r="P48" s="1070"/>
      <c r="Q48" s="1070"/>
      <c r="R48" s="1071"/>
      <c r="S48" s="1069"/>
      <c r="T48" s="1070"/>
      <c r="U48" s="1070"/>
      <c r="V48" s="1071"/>
      <c r="W48" s="1069" t="s">
        <v>485</v>
      </c>
      <c r="X48" s="1070">
        <v>2000</v>
      </c>
      <c r="Y48" s="1070"/>
      <c r="Z48" s="1071"/>
      <c r="AA48" s="1069"/>
      <c r="AB48" s="1070"/>
      <c r="AC48" s="1070"/>
      <c r="AD48" s="1071"/>
      <c r="AE48" s="578"/>
      <c r="AF48" s="567"/>
    </row>
    <row r="49" spans="1:32" x14ac:dyDescent="0.3">
      <c r="A49" s="1068" t="s">
        <v>392</v>
      </c>
      <c r="C49" s="1069"/>
      <c r="D49" s="1070"/>
      <c r="E49" s="1070"/>
      <c r="F49" s="1071"/>
      <c r="G49" s="1069"/>
      <c r="H49" s="1070"/>
      <c r="I49" s="1070"/>
      <c r="J49" s="1071"/>
      <c r="K49" s="1069"/>
      <c r="L49" s="1070"/>
      <c r="M49" s="1070"/>
      <c r="N49" s="1071"/>
      <c r="O49" s="1069"/>
      <c r="P49" s="1070"/>
      <c r="Q49" s="1070"/>
      <c r="R49" s="1071"/>
      <c r="S49" s="1069"/>
      <c r="T49" s="1070"/>
      <c r="U49" s="1070"/>
      <c r="V49" s="1071"/>
      <c r="W49" s="1069" t="s">
        <v>486</v>
      </c>
      <c r="X49" s="1070">
        <v>500</v>
      </c>
      <c r="Y49" s="1070"/>
      <c r="Z49" s="1071"/>
      <c r="AA49" s="1069"/>
      <c r="AB49" s="1070"/>
      <c r="AC49" s="1070"/>
      <c r="AD49" s="1071"/>
      <c r="AE49" s="578"/>
      <c r="AF49" s="567"/>
    </row>
    <row r="50" spans="1:32" x14ac:dyDescent="0.3">
      <c r="A50" s="1068" t="s">
        <v>392</v>
      </c>
      <c r="C50" s="1069"/>
      <c r="D50" s="1070"/>
      <c r="E50" s="1070"/>
      <c r="F50" s="1071"/>
      <c r="G50" s="1069"/>
      <c r="H50" s="1070"/>
      <c r="I50" s="1070"/>
      <c r="J50" s="1071"/>
      <c r="K50" s="1069"/>
      <c r="L50" s="1070"/>
      <c r="M50" s="1070"/>
      <c r="N50" s="1071"/>
      <c r="O50" s="1069"/>
      <c r="P50" s="1070"/>
      <c r="Q50" s="1070"/>
      <c r="R50" s="1071"/>
      <c r="S50" s="1069"/>
      <c r="T50" s="1070"/>
      <c r="U50" s="1070"/>
      <c r="V50" s="1071"/>
      <c r="W50" s="1069" t="s">
        <v>488</v>
      </c>
      <c r="X50" s="1070">
        <v>500</v>
      </c>
      <c r="Y50" s="1070"/>
      <c r="Z50" s="1071"/>
      <c r="AA50" s="1069"/>
      <c r="AB50" s="1070"/>
      <c r="AC50" s="1070"/>
      <c r="AD50" s="1071"/>
      <c r="AE50" s="578"/>
      <c r="AF50" s="567"/>
    </row>
    <row r="51" spans="1:32" x14ac:dyDescent="0.3">
      <c r="A51" s="1068" t="s">
        <v>392</v>
      </c>
      <c r="C51" s="1069"/>
      <c r="D51" s="1070"/>
      <c r="E51" s="1070"/>
      <c r="F51" s="1071"/>
      <c r="G51" s="1069"/>
      <c r="H51" s="1070"/>
      <c r="I51" s="1070"/>
      <c r="J51" s="1071"/>
      <c r="K51" s="1069"/>
      <c r="L51" s="1070"/>
      <c r="M51" s="1070"/>
      <c r="N51" s="1071"/>
      <c r="O51" s="1069"/>
      <c r="P51" s="1070"/>
      <c r="Q51" s="1070"/>
      <c r="R51" s="1071"/>
      <c r="S51" s="1069"/>
      <c r="T51" s="1070"/>
      <c r="U51" s="1070"/>
      <c r="V51" s="1071"/>
      <c r="W51" s="1069" t="s">
        <v>489</v>
      </c>
      <c r="X51" s="1070">
        <v>1000</v>
      </c>
      <c r="Y51" s="1070"/>
      <c r="Z51" s="1071"/>
      <c r="AA51" s="1069"/>
      <c r="AB51" s="1070"/>
      <c r="AC51" s="1070"/>
      <c r="AD51" s="1071"/>
      <c r="AE51" s="578"/>
      <c r="AF51" s="567"/>
    </row>
    <row r="52" spans="1:32" ht="15" thickBot="1" x14ac:dyDescent="0.35">
      <c r="A52" s="1068" t="s">
        <v>392</v>
      </c>
      <c r="C52" s="557"/>
      <c r="D52" s="558"/>
      <c r="E52" s="558"/>
      <c r="F52" s="559"/>
      <c r="G52" s="557"/>
      <c r="H52" s="558"/>
      <c r="I52" s="558"/>
      <c r="J52" s="559"/>
      <c r="K52" s="557"/>
      <c r="L52" s="558"/>
      <c r="M52" s="558"/>
      <c r="N52" s="559"/>
      <c r="O52" s="557"/>
      <c r="P52" s="558"/>
      <c r="Q52" s="558"/>
      <c r="R52" s="559"/>
      <c r="S52" s="557"/>
      <c r="T52" s="558"/>
      <c r="U52" s="558"/>
      <c r="V52" s="559"/>
      <c r="W52" s="557" t="s">
        <v>487</v>
      </c>
      <c r="X52" s="558">
        <v>1000</v>
      </c>
      <c r="Y52" s="558"/>
      <c r="Z52" s="559"/>
      <c r="AA52" s="557"/>
      <c r="AB52" s="558"/>
      <c r="AC52" s="558"/>
      <c r="AD52" s="559"/>
      <c r="AE52" s="578">
        <f t="shared" si="2"/>
        <v>1000</v>
      </c>
      <c r="AF52" s="567">
        <f t="shared" si="2"/>
        <v>0</v>
      </c>
    </row>
    <row r="53" spans="1:32" s="550" customFormat="1" ht="15" thickBot="1" x14ac:dyDescent="0.35">
      <c r="A53" s="581" t="s">
        <v>258</v>
      </c>
      <c r="C53" s="564"/>
      <c r="D53" s="872">
        <f>SUM(D11:D52)</f>
        <v>85000</v>
      </c>
      <c r="E53" s="565"/>
      <c r="F53" s="566"/>
      <c r="G53" s="564"/>
      <c r="H53" s="872">
        <f>SUM(H11:H52)</f>
        <v>71000</v>
      </c>
      <c r="I53" s="565"/>
      <c r="J53" s="566"/>
      <c r="K53" s="564"/>
      <c r="L53" s="872">
        <f>SUM(L11:L52)</f>
        <v>33000</v>
      </c>
      <c r="M53" s="565"/>
      <c r="N53" s="566"/>
      <c r="O53" s="564"/>
      <c r="P53" s="872">
        <f>SUM(P11:P52)</f>
        <v>61000</v>
      </c>
      <c r="Q53" s="565"/>
      <c r="R53" s="566"/>
      <c r="S53" s="564"/>
      <c r="T53" s="872">
        <f>SUM(T11:T52)</f>
        <v>61000</v>
      </c>
      <c r="U53" s="565"/>
      <c r="V53" s="566"/>
      <c r="W53" s="564"/>
      <c r="X53" s="872">
        <f>SUM(X11:X52)</f>
        <v>12000</v>
      </c>
      <c r="Y53" s="565"/>
      <c r="Z53" s="566"/>
      <c r="AA53" s="564"/>
      <c r="AB53" s="872">
        <f>SUM(AB11:AB52)</f>
        <v>0</v>
      </c>
      <c r="AC53" s="565"/>
      <c r="AD53" s="566"/>
      <c r="AE53" s="568" t="e">
        <f>SUM(AE11:AE52)</f>
        <v>#REF!</v>
      </c>
      <c r="AF53" s="564">
        <f>SUM(AF11:AF52)</f>
        <v>101000</v>
      </c>
    </row>
    <row r="54" spans="1:32" s="550" customFormat="1" x14ac:dyDescent="0.3">
      <c r="A54" s="572"/>
      <c r="C54" s="572"/>
      <c r="D54" s="561"/>
      <c r="E54" s="561"/>
      <c r="F54" s="560"/>
      <c r="G54" s="572"/>
      <c r="H54" s="561"/>
      <c r="I54" s="561"/>
      <c r="J54" s="560"/>
      <c r="K54" s="572"/>
      <c r="L54" s="583"/>
      <c r="M54" s="561"/>
      <c r="N54" s="560"/>
      <c r="O54" s="572"/>
      <c r="P54" s="561"/>
      <c r="Q54" s="561"/>
      <c r="R54" s="560"/>
      <c r="S54" s="572"/>
      <c r="T54" s="561"/>
      <c r="U54" s="561"/>
      <c r="V54" s="560"/>
      <c r="W54" s="572"/>
      <c r="X54" s="561"/>
      <c r="Y54" s="561"/>
      <c r="Z54" s="560"/>
      <c r="AA54" s="572"/>
      <c r="AB54" s="583"/>
      <c r="AC54" s="561"/>
      <c r="AD54" s="560"/>
      <c r="AF54" s="561"/>
    </row>
    <row r="55" spans="1:32" ht="15" thickBot="1" x14ac:dyDescent="0.35">
      <c r="C55" s="574" t="s">
        <v>265</v>
      </c>
      <c r="D55" s="580"/>
      <c r="E55" s="549" t="s">
        <v>266</v>
      </c>
      <c r="F55" s="582"/>
      <c r="G55" s="574" t="s">
        <v>265</v>
      </c>
      <c r="H55" s="580"/>
      <c r="I55" s="549" t="s">
        <v>266</v>
      </c>
      <c r="J55" s="582"/>
      <c r="K55" s="574" t="s">
        <v>265</v>
      </c>
      <c r="L55" s="580"/>
      <c r="M55" s="549" t="s">
        <v>266</v>
      </c>
      <c r="N55" s="582"/>
      <c r="O55" s="574" t="s">
        <v>265</v>
      </c>
      <c r="P55" s="580"/>
      <c r="Q55" s="549" t="s">
        <v>266</v>
      </c>
      <c r="R55" s="582"/>
      <c r="S55" s="574" t="s">
        <v>265</v>
      </c>
      <c r="T55" s="580"/>
      <c r="U55" s="549" t="s">
        <v>266</v>
      </c>
      <c r="V55" s="582"/>
      <c r="W55" s="574" t="s">
        <v>265</v>
      </c>
      <c r="X55" s="580"/>
      <c r="Y55" s="549" t="s">
        <v>266</v>
      </c>
      <c r="Z55" s="582"/>
      <c r="AA55" s="574" t="s">
        <v>265</v>
      </c>
      <c r="AB55" s="580"/>
      <c r="AC55" s="549" t="s">
        <v>266</v>
      </c>
      <c r="AD55" s="582"/>
    </row>
    <row r="56" spans="1:32" ht="15" thickBot="1" x14ac:dyDescent="0.35">
      <c r="C56" s="574" t="s">
        <v>268</v>
      </c>
      <c r="D56" s="555"/>
      <c r="E56" s="549" t="s">
        <v>268</v>
      </c>
      <c r="F56" s="579"/>
      <c r="G56" s="574" t="s">
        <v>268</v>
      </c>
      <c r="H56" s="555"/>
      <c r="I56" s="549" t="s">
        <v>268</v>
      </c>
      <c r="J56" s="579"/>
      <c r="K56" s="574" t="s">
        <v>268</v>
      </c>
      <c r="L56" s="555"/>
      <c r="M56" s="549" t="s">
        <v>268</v>
      </c>
      <c r="N56" s="579"/>
      <c r="O56" s="574" t="s">
        <v>268</v>
      </c>
      <c r="P56" s="555"/>
      <c r="Q56" s="549" t="s">
        <v>268</v>
      </c>
      <c r="R56" s="579"/>
      <c r="S56" s="574" t="s">
        <v>268</v>
      </c>
      <c r="T56" s="555"/>
      <c r="U56" s="549" t="s">
        <v>268</v>
      </c>
      <c r="V56" s="579"/>
      <c r="W56" s="574" t="s">
        <v>268</v>
      </c>
      <c r="X56" s="555"/>
      <c r="Y56" s="549" t="s">
        <v>268</v>
      </c>
      <c r="Z56" s="579"/>
      <c r="AA56" s="574" t="s">
        <v>268</v>
      </c>
      <c r="AB56" s="555"/>
      <c r="AC56" s="549" t="s">
        <v>268</v>
      </c>
      <c r="AD56" s="579"/>
    </row>
    <row r="57" spans="1:32" ht="15" thickBot="1" x14ac:dyDescent="0.35">
      <c r="C57" s="574" t="s">
        <v>267</v>
      </c>
      <c r="D57" s="555"/>
      <c r="E57" s="549" t="s">
        <v>267</v>
      </c>
      <c r="F57" s="579"/>
      <c r="G57" s="574" t="s">
        <v>267</v>
      </c>
      <c r="H57" s="555"/>
      <c r="I57" s="549" t="s">
        <v>267</v>
      </c>
      <c r="J57" s="579"/>
      <c r="K57" s="574" t="s">
        <v>267</v>
      </c>
      <c r="L57" s="555"/>
      <c r="M57" s="549" t="s">
        <v>267</v>
      </c>
      <c r="N57" s="579"/>
      <c r="O57" s="574" t="s">
        <v>267</v>
      </c>
      <c r="P57" s="555"/>
      <c r="Q57" s="549" t="s">
        <v>267</v>
      </c>
      <c r="R57" s="579"/>
      <c r="S57" s="574" t="s">
        <v>267</v>
      </c>
      <c r="T57" s="555"/>
      <c r="U57" s="549" t="s">
        <v>267</v>
      </c>
      <c r="V57" s="579"/>
      <c r="W57" s="574" t="s">
        <v>267</v>
      </c>
      <c r="X57" s="555"/>
      <c r="Y57" s="549" t="s">
        <v>267</v>
      </c>
      <c r="Z57" s="579"/>
      <c r="AA57" s="574" t="s">
        <v>267</v>
      </c>
      <c r="AB57" s="555"/>
      <c r="AC57" s="549" t="s">
        <v>267</v>
      </c>
      <c r="AD57" s="579"/>
    </row>
    <row r="58" spans="1:32" ht="15" thickBot="1" x14ac:dyDescent="0.35">
      <c r="C58" s="575"/>
      <c r="D58" s="555"/>
      <c r="E58" s="576"/>
      <c r="F58" s="579"/>
      <c r="G58" s="575"/>
      <c r="H58" s="555"/>
      <c r="I58" s="576"/>
      <c r="J58" s="579"/>
      <c r="K58" s="575"/>
      <c r="L58" s="555"/>
      <c r="M58" s="576"/>
      <c r="N58" s="579"/>
      <c r="O58" s="575"/>
      <c r="P58" s="555"/>
      <c r="Q58" s="576"/>
      <c r="R58" s="579"/>
      <c r="S58" s="575"/>
      <c r="T58" s="555"/>
      <c r="U58" s="576"/>
      <c r="V58" s="579"/>
      <c r="W58" s="575"/>
      <c r="X58" s="555"/>
      <c r="Y58" s="576"/>
      <c r="Z58" s="579"/>
      <c r="AA58" s="575"/>
      <c r="AB58" s="555"/>
      <c r="AC58" s="576"/>
      <c r="AD58" s="579"/>
    </row>
  </sheetData>
  <mergeCells count="16">
    <mergeCell ref="AE9:AF9"/>
    <mergeCell ref="AA1:AD1"/>
    <mergeCell ref="A9:A10"/>
    <mergeCell ref="C9:F9"/>
    <mergeCell ref="G9:J9"/>
    <mergeCell ref="K9:N9"/>
    <mergeCell ref="O9:R9"/>
    <mergeCell ref="S9:V9"/>
    <mergeCell ref="W9:Z9"/>
    <mergeCell ref="AA9:AD9"/>
    <mergeCell ref="C1:F1"/>
    <mergeCell ref="G1:J1"/>
    <mergeCell ref="K1:N1"/>
    <mergeCell ref="O1:R1"/>
    <mergeCell ref="S1:V1"/>
    <mergeCell ref="W1:Z1"/>
  </mergeCells>
  <pageMargins left="0.51181102362204722" right="0.51181102362204722" top="0.55118110236220474" bottom="0.74803149606299213" header="0.31496062992125984" footer="0.31496062992125984"/>
  <pageSetup scale="25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8D770-2FD0-49A6-B9BE-82029AAE0503}">
  <dimension ref="A1:BU140"/>
  <sheetViews>
    <sheetView zoomScale="70" zoomScaleNormal="70" workbookViewId="0">
      <selection activeCell="G25" sqref="G25"/>
    </sheetView>
  </sheetViews>
  <sheetFormatPr defaultRowHeight="14.4" x14ac:dyDescent="0.3"/>
  <cols>
    <col min="1" max="1" width="17.6640625" customWidth="1"/>
    <col min="2" max="2" width="18.109375" customWidth="1"/>
    <col min="3" max="3" width="30.109375" bestFit="1" customWidth="1"/>
    <col min="4" max="4" width="16.109375" bestFit="1" customWidth="1"/>
    <col min="5" max="5" width="13.44140625" bestFit="1" customWidth="1"/>
    <col min="6" max="6" width="14.109375" bestFit="1" customWidth="1"/>
    <col min="7" max="7" width="13" customWidth="1"/>
    <col min="8" max="8" width="12.6640625" bestFit="1" customWidth="1"/>
    <col min="9" max="10" width="18" bestFit="1" customWidth="1"/>
    <col min="11" max="17" width="14.44140625" style="1192" customWidth="1"/>
    <col min="18" max="18" width="12.44140625" style="1192" customWidth="1"/>
    <col min="19" max="25" width="14.6640625" style="1192" customWidth="1"/>
    <col min="26" max="26" width="19.44140625" style="1192" customWidth="1"/>
    <col min="27" max="27" width="13.33203125" style="1192" bestFit="1" customWidth="1"/>
    <col min="28" max="28" width="15.5546875" style="1192" bestFit="1" customWidth="1"/>
    <col min="29" max="29" width="12.6640625" style="1192" bestFit="1" customWidth="1"/>
    <col min="30" max="30" width="18.44140625" style="1192" customWidth="1"/>
    <col min="31" max="31" width="15.109375" style="1192" customWidth="1"/>
    <col min="32" max="32" width="18.109375" style="1192" customWidth="1"/>
    <col min="33" max="33" width="15.88671875" style="1192" customWidth="1"/>
    <col min="34" max="34" width="16.33203125" style="1192" customWidth="1"/>
    <col min="35" max="36" width="15.5546875" style="1192" customWidth="1"/>
    <col min="37" max="37" width="14.109375" style="1192" customWidth="1"/>
    <col min="38" max="38" width="16.5546875" style="1192" customWidth="1"/>
    <col min="39" max="39" width="16.6640625" style="1192" customWidth="1"/>
    <col min="40" max="40" width="22" style="1192" customWidth="1"/>
    <col min="41" max="42" width="16" style="1192" customWidth="1"/>
    <col min="43" max="43" width="15.44140625" style="1192" customWidth="1"/>
    <col min="44" max="44" width="17.33203125" style="1192" customWidth="1"/>
    <col min="45" max="45" width="13.33203125" style="1192" bestFit="1" customWidth="1"/>
    <col min="46" max="46" width="15.44140625" style="1192" bestFit="1" customWidth="1"/>
    <col min="47" max="49" width="14.33203125" style="1192" customWidth="1"/>
    <col min="50" max="50" width="15.44140625" style="1192" bestFit="1" customWidth="1"/>
    <col min="51" max="51" width="14.6640625" style="1192" bestFit="1" customWidth="1"/>
    <col min="52" max="52" width="13.33203125" style="1192" bestFit="1" customWidth="1"/>
    <col min="53" max="54" width="14.88671875" style="1192" customWidth="1"/>
    <col min="55" max="55" width="18" style="1192" customWidth="1"/>
    <col min="56" max="56" width="14.6640625" style="1192" customWidth="1"/>
    <col min="57" max="57" width="19.44140625" style="1192" customWidth="1"/>
    <col min="58" max="58" width="17.6640625" style="1192" customWidth="1"/>
    <col min="59" max="60" width="17.88671875" style="1192" customWidth="1"/>
    <col min="61" max="61" width="17.88671875" style="1192" bestFit="1" customWidth="1"/>
    <col min="62" max="62" width="19.6640625" style="1192" customWidth="1"/>
    <col min="63" max="63" width="22.5546875" style="1192" customWidth="1"/>
    <col min="64" max="64" width="23.109375" style="1192" customWidth="1"/>
    <col min="65" max="66" width="15.109375" style="1192" customWidth="1"/>
    <col min="67" max="67" width="13.44140625" style="1192" customWidth="1"/>
    <col min="68" max="68" width="22.109375" style="1192" customWidth="1"/>
    <col min="69" max="69" width="17.109375" style="1192" customWidth="1"/>
    <col min="70" max="70" width="26.33203125" style="1192" customWidth="1"/>
  </cols>
  <sheetData>
    <row r="1" spans="1:73" ht="16.2" thickBot="1" x14ac:dyDescent="0.35">
      <c r="A1" s="2" t="s">
        <v>0</v>
      </c>
      <c r="B1" s="1874"/>
      <c r="C1" s="1875"/>
      <c r="D1" s="1876"/>
      <c r="E1" s="1"/>
      <c r="F1" s="1"/>
      <c r="G1" s="1"/>
      <c r="H1" s="1"/>
      <c r="I1" s="1"/>
      <c r="J1" s="1"/>
      <c r="K1" s="1081" t="s">
        <v>1</v>
      </c>
      <c r="L1" s="1082"/>
      <c r="M1" s="1083"/>
      <c r="N1" s="1084"/>
      <c r="O1" s="1085"/>
      <c r="P1" s="1085"/>
      <c r="Q1" s="1085"/>
      <c r="R1" s="1085"/>
      <c r="S1" s="1085"/>
      <c r="T1" s="1085"/>
      <c r="U1" s="1085"/>
      <c r="V1" s="1085"/>
      <c r="W1" s="1085"/>
      <c r="X1" s="1085"/>
      <c r="Y1" s="1085"/>
      <c r="Z1" s="1085"/>
      <c r="AA1" s="1085"/>
      <c r="AB1" s="1085"/>
      <c r="AC1" s="1085"/>
      <c r="AD1" s="1085"/>
      <c r="AE1" s="1085"/>
      <c r="AF1" s="1085"/>
      <c r="AG1" s="1085"/>
      <c r="AH1" s="1085"/>
      <c r="AI1" s="1085"/>
      <c r="AJ1" s="1085"/>
      <c r="AK1" s="1085"/>
      <c r="AL1" s="1085"/>
      <c r="AM1" s="1085"/>
      <c r="AN1" s="1085"/>
      <c r="AO1" s="1085"/>
      <c r="AP1" s="1085"/>
      <c r="AQ1" s="1085"/>
      <c r="AR1" s="1085"/>
      <c r="AS1" s="1085"/>
      <c r="AT1" s="1085"/>
      <c r="AU1" s="1085"/>
      <c r="AV1" s="1085"/>
      <c r="AW1" s="1085"/>
      <c r="AX1" s="1085"/>
      <c r="AY1" s="1085"/>
      <c r="AZ1" s="1085"/>
      <c r="BA1" s="1085"/>
      <c r="BB1" s="1085"/>
      <c r="BC1" s="1085"/>
      <c r="BD1" s="1085"/>
      <c r="BE1" s="1085"/>
      <c r="BF1" s="1085"/>
      <c r="BG1" s="1085"/>
      <c r="BH1" s="1085"/>
      <c r="BI1" s="1085"/>
      <c r="BJ1" s="1085"/>
      <c r="BK1" s="1085"/>
      <c r="BL1" s="1085"/>
      <c r="BM1" s="1085"/>
      <c r="BN1" s="1085"/>
      <c r="BO1" s="1085"/>
      <c r="BP1" s="1085"/>
      <c r="BQ1" s="1085"/>
      <c r="BR1" s="1085"/>
      <c r="BS1" s="1"/>
      <c r="BT1" s="7"/>
    </row>
    <row r="2" spans="1:73" ht="15" thickBot="1" x14ac:dyDescent="0.35">
      <c r="A2" s="1873" t="s">
        <v>2</v>
      </c>
      <c r="B2" s="1877" t="s">
        <v>9</v>
      </c>
      <c r="C2" s="10" t="s">
        <v>3</v>
      </c>
      <c r="D2" s="10" t="s">
        <v>4</v>
      </c>
      <c r="E2" s="10" t="s">
        <v>5</v>
      </c>
      <c r="F2" s="10" t="s">
        <v>6</v>
      </c>
      <c r="G2" s="10" t="s">
        <v>7</v>
      </c>
      <c r="H2" s="11" t="s">
        <v>8</v>
      </c>
      <c r="I2" s="11" t="s">
        <v>9</v>
      </c>
      <c r="J2" s="12"/>
      <c r="K2" s="1086" t="s">
        <v>2</v>
      </c>
      <c r="L2" s="1086" t="s">
        <v>9</v>
      </c>
      <c r="M2" s="1087" t="s">
        <v>3</v>
      </c>
      <c r="N2" s="1088" t="s">
        <v>4</v>
      </c>
      <c r="O2" s="1088" t="s">
        <v>5</v>
      </c>
      <c r="P2" s="1088" t="s">
        <v>6</v>
      </c>
      <c r="Q2" s="1088" t="s">
        <v>7</v>
      </c>
      <c r="R2" s="1089" t="s">
        <v>8</v>
      </c>
      <c r="S2" s="1090" t="s">
        <v>9</v>
      </c>
      <c r="T2" s="1832"/>
      <c r="U2" s="1832"/>
      <c r="V2" s="1832"/>
      <c r="W2" s="1832"/>
      <c r="X2" s="1832"/>
      <c r="Y2" s="1832"/>
      <c r="Z2" s="1085"/>
      <c r="AA2" s="1085"/>
      <c r="AB2" s="1085"/>
      <c r="AC2" s="1085"/>
      <c r="AD2" s="1085"/>
      <c r="AE2" s="1085"/>
      <c r="AF2" s="1085"/>
      <c r="AG2" s="1085"/>
      <c r="AH2" s="1085"/>
      <c r="AI2" s="1085"/>
      <c r="AJ2" s="1085"/>
      <c r="AK2" s="1085"/>
      <c r="AL2" s="1085"/>
      <c r="AM2" s="1085"/>
      <c r="AN2" s="1085"/>
      <c r="AO2" s="1085"/>
      <c r="AP2" s="1085"/>
      <c r="AQ2" s="1085"/>
      <c r="AR2" s="1085"/>
      <c r="AS2" s="1085"/>
      <c r="AT2" s="1085"/>
      <c r="AU2" s="1085"/>
      <c r="AV2" s="1085"/>
      <c r="AW2" s="1085"/>
      <c r="AX2" s="1085"/>
      <c r="AY2" s="1085"/>
      <c r="AZ2" s="1085"/>
      <c r="BA2" s="1085"/>
      <c r="BB2" s="1085"/>
      <c r="BC2" s="1085"/>
      <c r="BD2" s="1085"/>
      <c r="BE2" s="1085"/>
      <c r="BF2" s="1085"/>
      <c r="BG2" s="1085"/>
      <c r="BH2" s="1085"/>
      <c r="BI2" s="1085"/>
      <c r="BJ2" s="1085"/>
      <c r="BK2" s="1085"/>
      <c r="BL2" s="1085"/>
      <c r="BM2" s="1085"/>
      <c r="BN2" s="1085"/>
      <c r="BO2" s="1085"/>
      <c r="BP2" s="1085"/>
      <c r="BQ2" s="1085"/>
      <c r="BR2" s="1085"/>
      <c r="BS2" s="1085"/>
      <c r="BT2" s="1"/>
      <c r="BU2" s="7"/>
    </row>
    <row r="3" spans="1:73" x14ac:dyDescent="0.3">
      <c r="A3" s="16" t="s">
        <v>10</v>
      </c>
      <c r="B3" s="1878">
        <f>SUM(T85:T90)</f>
        <v>0</v>
      </c>
      <c r="C3" s="1091">
        <f>SUM(Z85:Z90)</f>
        <v>0</v>
      </c>
      <c r="D3" s="1091">
        <f>SUM(AF85:AF90)</f>
        <v>0</v>
      </c>
      <c r="E3" s="1091">
        <f>SUM(AL85:AL90)</f>
        <v>0</v>
      </c>
      <c r="F3" s="1092">
        <f>SUM(AR85:AR90)</f>
        <v>0</v>
      </c>
      <c r="G3" s="1093">
        <f>SUM(AX85:AX90)</f>
        <v>0</v>
      </c>
      <c r="H3" s="1093">
        <f>SUM(BJ85:BJ90)</f>
        <v>0</v>
      </c>
      <c r="I3" s="1093">
        <v>0</v>
      </c>
      <c r="J3" s="12"/>
      <c r="K3" s="1094" t="s">
        <v>11</v>
      </c>
      <c r="L3" s="1274">
        <f>SUM(T28:T41)</f>
        <v>0</v>
      </c>
      <c r="M3" s="1095">
        <f>SUM(Z28:Z41)</f>
        <v>0</v>
      </c>
      <c r="N3" s="1095">
        <f>SUM(AF28:AF41)</f>
        <v>0</v>
      </c>
      <c r="O3" s="1096">
        <f>SUM(AL28:AL41)</f>
        <v>0</v>
      </c>
      <c r="P3" s="1096">
        <f>SUM(AR28:AR41)</f>
        <v>0</v>
      </c>
      <c r="Q3" s="1096">
        <f>SUM(AX28:AX41)</f>
        <v>0</v>
      </c>
      <c r="R3" s="1097">
        <f>SUM(BD28:BD41)</f>
        <v>0</v>
      </c>
      <c r="S3" s="1098">
        <f>SUM(BJ28:BJ41)</f>
        <v>0</v>
      </c>
      <c r="T3" s="1222"/>
      <c r="U3" s="1222"/>
      <c r="V3" s="1222"/>
      <c r="W3" s="1222"/>
      <c r="X3" s="1222"/>
      <c r="Y3" s="1222"/>
      <c r="Z3" s="1085"/>
      <c r="AA3" s="1085"/>
      <c r="AB3" s="1085"/>
      <c r="AC3" s="1085"/>
      <c r="AD3" s="1085"/>
      <c r="AE3" s="1085"/>
      <c r="AF3" s="1085"/>
      <c r="AG3" s="1085"/>
      <c r="AH3" s="1085"/>
      <c r="AI3" s="1085"/>
      <c r="AJ3" s="1085"/>
      <c r="AK3" s="1085"/>
      <c r="AL3" s="1085"/>
      <c r="AM3" s="1085"/>
      <c r="AN3" s="1085"/>
      <c r="AO3" s="1085"/>
      <c r="AP3" s="1085"/>
      <c r="AQ3" s="1085"/>
      <c r="AR3" s="1085"/>
      <c r="AS3" s="1085"/>
      <c r="AT3" s="1085"/>
      <c r="AU3" s="1085"/>
      <c r="AV3" s="1085"/>
      <c r="AW3" s="1085"/>
      <c r="AX3" s="1085"/>
      <c r="AY3" s="1085"/>
      <c r="AZ3" s="1085"/>
      <c r="BA3" s="1085"/>
      <c r="BB3" s="1085"/>
      <c r="BC3" s="1085"/>
      <c r="BD3" s="1085"/>
      <c r="BE3" s="1085"/>
      <c r="BF3" s="1085"/>
      <c r="BG3" s="1085"/>
      <c r="BH3" s="1085"/>
      <c r="BI3" s="1085"/>
      <c r="BJ3" s="1085"/>
      <c r="BK3" s="1085"/>
      <c r="BL3" s="1085"/>
      <c r="BM3" s="1085"/>
      <c r="BN3" s="1085"/>
      <c r="BO3" s="1085"/>
      <c r="BP3" s="1085"/>
      <c r="BQ3" s="1085"/>
      <c r="BR3" s="1085"/>
      <c r="BS3" s="1085"/>
      <c r="BT3" s="1"/>
      <c r="BU3" s="7"/>
    </row>
    <row r="4" spans="1:73" x14ac:dyDescent="0.3">
      <c r="A4" s="25" t="s">
        <v>12</v>
      </c>
      <c r="B4" s="1879">
        <f>SUM(U85:U90)</f>
        <v>0</v>
      </c>
      <c r="C4" s="1096">
        <f>SUM(AA85:AA90)</f>
        <v>0</v>
      </c>
      <c r="D4" s="1099">
        <f>SUM(AG85:AG90)</f>
        <v>1000</v>
      </c>
      <c r="E4" s="1097">
        <f>SUM(AM85:AM90)</f>
        <v>0</v>
      </c>
      <c r="F4" s="1100">
        <f>SUM(AS85:AS90)</f>
        <v>0</v>
      </c>
      <c r="G4" s="1101">
        <f>SUM(AY85:AY90)</f>
        <v>0</v>
      </c>
      <c r="H4" s="1101">
        <v>0</v>
      </c>
      <c r="I4" s="1101">
        <f>BK85+BK86+BK87+BK88+BK89+BK90</f>
        <v>0</v>
      </c>
      <c r="J4" s="1"/>
      <c r="K4" s="1102" t="s">
        <v>13</v>
      </c>
      <c r="L4" s="1129">
        <f>SUM(V28:V41)</f>
        <v>0</v>
      </c>
      <c r="M4" s="1103">
        <f>AB34</f>
        <v>0</v>
      </c>
      <c r="N4" s="1099">
        <f>AH34</f>
        <v>0</v>
      </c>
      <c r="O4" s="1104">
        <v>2000</v>
      </c>
      <c r="P4" s="1099">
        <f>AT34</f>
        <v>0</v>
      </c>
      <c r="Q4" s="1099">
        <f>AZ34</f>
        <v>0</v>
      </c>
      <c r="R4" s="1105">
        <f>BF34</f>
        <v>0</v>
      </c>
      <c r="S4" s="1106">
        <f>BL34</f>
        <v>0</v>
      </c>
      <c r="T4" s="1833"/>
      <c r="U4" s="1833"/>
      <c r="V4" s="1833"/>
      <c r="W4" s="1833"/>
      <c r="X4" s="1833"/>
      <c r="Y4" s="1833"/>
      <c r="Z4" s="1085"/>
      <c r="AA4" s="1085"/>
      <c r="AB4" s="1085"/>
      <c r="AC4" s="1085"/>
      <c r="AD4" s="1085"/>
      <c r="AE4" s="1085"/>
      <c r="AF4" s="1085"/>
      <c r="AG4" s="1085"/>
      <c r="AH4" s="1085"/>
      <c r="AI4" s="1085"/>
      <c r="AJ4" s="1085"/>
      <c r="AK4" s="1085"/>
      <c r="AL4" s="1085"/>
      <c r="AM4" s="1085"/>
      <c r="AN4" s="1085"/>
      <c r="AO4" s="1085"/>
      <c r="AP4" s="1085"/>
      <c r="AQ4" s="1085"/>
      <c r="AR4" s="1085"/>
      <c r="AS4" s="1085"/>
      <c r="AT4" s="1085"/>
      <c r="AU4" s="1085"/>
      <c r="AV4" s="1085"/>
      <c r="AW4" s="1085"/>
      <c r="AX4" s="1085"/>
      <c r="AY4" s="1085"/>
      <c r="AZ4" s="1085"/>
      <c r="BA4" s="1085"/>
      <c r="BB4" s="1085"/>
      <c r="BC4" s="1085"/>
      <c r="BD4" s="1085"/>
      <c r="BE4" s="1085"/>
      <c r="BF4" s="1085"/>
      <c r="BG4" s="1085"/>
      <c r="BH4" s="1085"/>
      <c r="BI4" s="1085"/>
      <c r="BJ4" s="1085"/>
      <c r="BK4" s="1085"/>
      <c r="BL4" s="1085"/>
      <c r="BM4" s="1085"/>
      <c r="BN4" s="1085"/>
      <c r="BO4" s="1085"/>
      <c r="BP4" s="1085"/>
      <c r="BQ4" s="1085"/>
      <c r="BR4" s="1085"/>
      <c r="BS4" s="1085"/>
      <c r="BT4" s="1"/>
      <c r="BU4" s="7"/>
    </row>
    <row r="5" spans="1:73" x14ac:dyDescent="0.3">
      <c r="A5" s="35" t="s">
        <v>14</v>
      </c>
      <c r="B5" s="1880">
        <f>SUM(V85:V90)</f>
        <v>4000</v>
      </c>
      <c r="C5" s="1104">
        <f>SUM(AB85:AB90)</f>
        <v>0</v>
      </c>
      <c r="D5" s="1099">
        <f>SUM(AH85:AH90)</f>
        <v>0</v>
      </c>
      <c r="E5" s="1105">
        <f>SUM(AN85:AN90)</f>
        <v>0</v>
      </c>
      <c r="F5" s="1106">
        <f>SUM(AT85:AT90)</f>
        <v>0</v>
      </c>
      <c r="G5" s="1101">
        <f>SUM(AZ85:AZ90)</f>
        <v>0</v>
      </c>
      <c r="H5" s="1101">
        <f>SUM(BF85:BF90)</f>
        <v>0</v>
      </c>
      <c r="I5" s="1101">
        <f>BL85+BL86+BL87+BL88+BL89+BL90</f>
        <v>0</v>
      </c>
      <c r="J5" s="1"/>
      <c r="K5" s="1102" t="s">
        <v>15</v>
      </c>
      <c r="L5" s="1129">
        <f>SUM(U28:U41)</f>
        <v>0</v>
      </c>
      <c r="M5" s="1103">
        <f>SUM(AA28:AA41)</f>
        <v>1000</v>
      </c>
      <c r="N5" s="1099">
        <f>SUM(AG28:AG41)</f>
        <v>4000</v>
      </c>
      <c r="O5" s="1099">
        <f>SUM(AM28:AM41)</f>
        <v>0</v>
      </c>
      <c r="P5" s="1099">
        <f>SUM(AS28:AS41)</f>
        <v>0</v>
      </c>
      <c r="Q5" s="1099">
        <f>SUM(AY28:AY41)</f>
        <v>0</v>
      </c>
      <c r="R5" s="1105">
        <f>SUM(BE28:BE41)</f>
        <v>0</v>
      </c>
      <c r="S5" s="1106">
        <f>SUM(BK28:BK41)</f>
        <v>0</v>
      </c>
      <c r="T5" s="1833"/>
      <c r="U5" s="1833"/>
      <c r="V5" s="1833"/>
      <c r="W5" s="1833"/>
      <c r="X5" s="1833"/>
      <c r="Y5" s="1833"/>
      <c r="Z5" s="1085"/>
      <c r="AA5" s="1085"/>
      <c r="AB5" s="1085"/>
      <c r="AC5" s="1085"/>
      <c r="AD5" s="1085"/>
      <c r="AE5" s="1085"/>
      <c r="AF5" s="1085"/>
      <c r="AG5" s="1085"/>
      <c r="AH5" s="1085"/>
      <c r="AI5" s="1085"/>
      <c r="AJ5" s="1085"/>
      <c r="AK5" s="1085"/>
      <c r="AL5" s="1085"/>
      <c r="AM5" s="1085"/>
      <c r="AN5" s="1085"/>
      <c r="AO5" s="1085"/>
      <c r="AP5" s="1085"/>
      <c r="AQ5" s="1085"/>
      <c r="AR5" s="1085"/>
      <c r="AS5" s="1085"/>
      <c r="AT5" s="1085"/>
      <c r="AU5" s="1085"/>
      <c r="AV5" s="1085"/>
      <c r="AW5" s="1085"/>
      <c r="AX5" s="1085"/>
      <c r="AY5" s="1085"/>
      <c r="AZ5" s="1085"/>
      <c r="BA5" s="1085"/>
      <c r="BB5" s="1085"/>
      <c r="BC5" s="1085"/>
      <c r="BD5" s="1085"/>
      <c r="BE5" s="1085"/>
      <c r="BF5" s="1085"/>
      <c r="BG5" s="1085"/>
      <c r="BH5" s="1085"/>
      <c r="BI5" s="1085"/>
      <c r="BJ5" s="1085"/>
      <c r="BK5" s="1085"/>
      <c r="BL5" s="1085"/>
      <c r="BM5" s="1085"/>
      <c r="BN5" s="1085"/>
      <c r="BO5" s="1085"/>
      <c r="BP5" s="1085"/>
      <c r="BQ5" s="1085"/>
      <c r="BR5" s="1085"/>
      <c r="BS5" s="1085"/>
      <c r="BT5" s="1"/>
      <c r="BU5" s="7"/>
    </row>
    <row r="6" spans="1:73" ht="15" thickBot="1" x14ac:dyDescent="0.35">
      <c r="A6" s="36" t="s">
        <v>16</v>
      </c>
      <c r="B6" s="1881">
        <f>SUM(W85:W90)</f>
        <v>0</v>
      </c>
      <c r="C6" s="1107">
        <f>SUM(AC85:AC90)</f>
        <v>4000</v>
      </c>
      <c r="D6" s="1107">
        <f>SUM(AI85:AI90)</f>
        <v>0</v>
      </c>
      <c r="E6" s="1105">
        <f>SUM(AO85:AO90)</f>
        <v>1000</v>
      </c>
      <c r="F6" s="1108">
        <f>SUM(AU85:AU90)</f>
        <v>0</v>
      </c>
      <c r="G6" s="1109">
        <f>SUM(BA85:BA90)</f>
        <v>0</v>
      </c>
      <c r="H6" s="1109">
        <f>SUM(BG85:BG90)</f>
        <v>0</v>
      </c>
      <c r="I6" s="1109">
        <f>SUM(BM85:BM90)</f>
        <v>0</v>
      </c>
      <c r="J6" s="1"/>
      <c r="K6" s="1102" t="s">
        <v>17</v>
      </c>
      <c r="L6" s="1129">
        <f>SUM(T47:T62)</f>
        <v>0</v>
      </c>
      <c r="M6" s="1103">
        <f>SUM(Z47:Z62)</f>
        <v>0</v>
      </c>
      <c r="N6" s="1099">
        <f>SUM(AF47:AF62)</f>
        <v>0</v>
      </c>
      <c r="O6" s="1099">
        <f>SUM(AL47:AL62)</f>
        <v>0</v>
      </c>
      <c r="P6" s="1099">
        <f>SUM(AR47:AR62)</f>
        <v>0</v>
      </c>
      <c r="Q6" s="1099">
        <f>SUM(AX47:AX62)</f>
        <v>0</v>
      </c>
      <c r="R6" s="1105">
        <f>SUM(BD47:BD62)</f>
        <v>0</v>
      </c>
      <c r="S6" s="1106">
        <f>SUM(BJ47:BJ62)</f>
        <v>0</v>
      </c>
      <c r="T6" s="1833"/>
      <c r="U6" s="1833"/>
      <c r="V6" s="1833"/>
      <c r="W6" s="1833"/>
      <c r="X6" s="1833"/>
      <c r="Y6" s="1833"/>
      <c r="Z6" s="1085"/>
      <c r="AA6" s="1085"/>
      <c r="AB6" s="1085"/>
      <c r="AC6" s="1085"/>
      <c r="AD6" s="1085"/>
      <c r="AE6" s="1085"/>
      <c r="AF6" s="1085"/>
      <c r="AG6" s="1085"/>
      <c r="AH6" s="1085"/>
      <c r="AI6" s="1085"/>
      <c r="AJ6" s="1085"/>
      <c r="AK6" s="1085"/>
      <c r="AL6" s="1085"/>
      <c r="AM6" s="1085"/>
      <c r="AN6" s="1085"/>
      <c r="AO6" s="1085"/>
      <c r="AP6" s="1085"/>
      <c r="AQ6" s="1085"/>
      <c r="AR6" s="1085"/>
      <c r="AS6" s="1085"/>
      <c r="AT6" s="1085"/>
      <c r="AU6" s="1085"/>
      <c r="AV6" s="1085"/>
      <c r="AW6" s="1085"/>
      <c r="AX6" s="1085"/>
      <c r="AY6" s="1085"/>
      <c r="AZ6" s="1085"/>
      <c r="BA6" s="1085"/>
      <c r="BB6" s="1085"/>
      <c r="BC6" s="1085"/>
      <c r="BD6" s="1085"/>
      <c r="BE6" s="1085"/>
      <c r="BF6" s="1085"/>
      <c r="BG6" s="1085"/>
      <c r="BH6" s="1085"/>
      <c r="BI6" s="1085"/>
      <c r="BJ6" s="1085"/>
      <c r="BK6" s="1085"/>
      <c r="BL6" s="1085"/>
      <c r="BM6" s="1085"/>
      <c r="BN6" s="1085"/>
      <c r="BO6" s="1085"/>
      <c r="BP6" s="1085"/>
      <c r="BQ6" s="1085"/>
      <c r="BR6" s="1085"/>
      <c r="BS6" s="1085"/>
      <c r="BT6" s="1"/>
      <c r="BU6" s="7"/>
    </row>
    <row r="7" spans="1:73" ht="15" thickBot="1" x14ac:dyDescent="0.35">
      <c r="A7" s="42" t="s">
        <v>18</v>
      </c>
      <c r="B7" s="1110">
        <f t="shared" ref="B7:I7" si="0">SUM(B3:B6)</f>
        <v>4000</v>
      </c>
      <c r="C7" s="1110">
        <f t="shared" si="0"/>
        <v>4000</v>
      </c>
      <c r="D7" s="1111">
        <f t="shared" si="0"/>
        <v>1000</v>
      </c>
      <c r="E7" s="1111">
        <f t="shared" si="0"/>
        <v>1000</v>
      </c>
      <c r="F7" s="1111">
        <f t="shared" si="0"/>
        <v>0</v>
      </c>
      <c r="G7" s="1111">
        <f t="shared" si="0"/>
        <v>0</v>
      </c>
      <c r="H7" s="1111">
        <f t="shared" si="0"/>
        <v>0</v>
      </c>
      <c r="I7" s="1111">
        <f t="shared" si="0"/>
        <v>0</v>
      </c>
      <c r="J7" s="1"/>
      <c r="K7" s="1112" t="s">
        <v>19</v>
      </c>
      <c r="L7" s="1194">
        <f>SUM(V47:V62)</f>
        <v>0</v>
      </c>
      <c r="M7" s="1103">
        <f>SUM(AB47:AB62)</f>
        <v>0</v>
      </c>
      <c r="N7" s="1104">
        <f>SUM(AH47:AH62)</f>
        <v>0</v>
      </c>
      <c r="O7" s="1104">
        <f>SUM(AN47:AN62)</f>
        <v>0</v>
      </c>
      <c r="P7" s="1104">
        <f>SUM(AT47:AT62)</f>
        <v>0</v>
      </c>
      <c r="Q7" s="1099">
        <f>SUM(AZ47:AZ62)</f>
        <v>0</v>
      </c>
      <c r="R7" s="1105">
        <f>SUM(BF47:BF62)</f>
        <v>0</v>
      </c>
      <c r="S7" s="1106">
        <f>SUM(BL47:BL62)</f>
        <v>0</v>
      </c>
      <c r="T7" s="1833"/>
      <c r="U7" s="1833"/>
      <c r="V7" s="1833"/>
      <c r="W7" s="1833"/>
      <c r="X7" s="1833"/>
      <c r="Y7" s="1833"/>
      <c r="Z7" s="1085"/>
      <c r="AA7" s="1085"/>
      <c r="AB7" s="1085"/>
      <c r="AC7" s="1085"/>
      <c r="AD7" s="1085"/>
      <c r="AE7" s="1085"/>
      <c r="AF7" s="1085"/>
      <c r="AG7" s="1085"/>
      <c r="AH7" s="1085"/>
      <c r="AI7" s="1085"/>
      <c r="AJ7" s="1085"/>
      <c r="AK7" s="1085"/>
      <c r="AL7" s="1085"/>
      <c r="AM7" s="1085"/>
      <c r="AN7" s="1085"/>
      <c r="AO7" s="1085"/>
      <c r="AP7" s="1085"/>
      <c r="AQ7" s="1085"/>
      <c r="AR7" s="1085"/>
      <c r="AS7" s="1085"/>
      <c r="AT7" s="1085"/>
      <c r="AU7" s="1085"/>
      <c r="AV7" s="1085"/>
      <c r="AW7" s="1085"/>
      <c r="AX7" s="1085"/>
      <c r="AY7" s="1085"/>
      <c r="AZ7" s="1085"/>
      <c r="BA7" s="1085"/>
      <c r="BB7" s="1085"/>
      <c r="BC7" s="1085"/>
      <c r="BD7" s="1085"/>
      <c r="BE7" s="1085"/>
      <c r="BF7" s="1085"/>
      <c r="BG7" s="1085"/>
      <c r="BH7" s="1085"/>
      <c r="BI7" s="1085"/>
      <c r="BJ7" s="1085"/>
      <c r="BK7" s="1085"/>
      <c r="BL7" s="1085"/>
      <c r="BM7" s="1085"/>
      <c r="BN7" s="1085"/>
      <c r="BO7" s="1085"/>
      <c r="BP7" s="1085"/>
      <c r="BQ7" s="1085"/>
      <c r="BR7" s="1085"/>
      <c r="BS7" s="1085"/>
      <c r="BT7" s="1"/>
      <c r="BU7" s="7"/>
    </row>
    <row r="8" spans="1:73" ht="15" thickBot="1" x14ac:dyDescent="0.35">
      <c r="A8" s="47"/>
      <c r="B8" s="48"/>
      <c r="C8" s="48"/>
      <c r="D8" s="48"/>
      <c r="E8" s="48"/>
      <c r="F8" s="48"/>
      <c r="G8" s="1"/>
      <c r="H8" s="1"/>
      <c r="I8" s="1"/>
      <c r="J8" s="1"/>
      <c r="K8" s="1112" t="s">
        <v>20</v>
      </c>
      <c r="L8" s="1194">
        <f>SUM(U47:U62)</f>
        <v>0</v>
      </c>
      <c r="M8" s="1113">
        <f>SUM(AA47:AA62)</f>
        <v>0</v>
      </c>
      <c r="N8" s="1114">
        <f>SUM(AG47:AG62)</f>
        <v>0</v>
      </c>
      <c r="O8" s="1114">
        <f>SUM(AM47:AM62)</f>
        <v>0</v>
      </c>
      <c r="P8" s="1114">
        <f>SUM(AS47:AS62)</f>
        <v>0</v>
      </c>
      <c r="Q8" s="1114">
        <f>SUM(AY47:AY62)</f>
        <v>0</v>
      </c>
      <c r="R8" s="1115">
        <f>SUM(BE47:BE62)</f>
        <v>0</v>
      </c>
      <c r="S8" s="1116">
        <f>SUM(BK47:BK62)</f>
        <v>0</v>
      </c>
      <c r="T8" s="1222"/>
      <c r="U8" s="1222"/>
      <c r="V8" s="1222"/>
      <c r="W8" s="1222"/>
      <c r="X8" s="1222"/>
      <c r="Y8" s="1222"/>
      <c r="Z8" s="1085"/>
      <c r="AA8" s="1085"/>
      <c r="AB8" s="1085"/>
      <c r="AC8" s="1085"/>
      <c r="AD8" s="1085"/>
      <c r="AE8" s="1085"/>
      <c r="AF8" s="1085"/>
      <c r="AG8" s="1085"/>
      <c r="AH8" s="1085"/>
      <c r="AI8" s="1085"/>
      <c r="AJ8" s="1085"/>
      <c r="AK8" s="1085"/>
      <c r="AL8" s="1085"/>
      <c r="AM8" s="1085"/>
      <c r="AN8" s="1085"/>
      <c r="AO8" s="1085"/>
      <c r="AP8" s="1085"/>
      <c r="AQ8" s="1085"/>
      <c r="AR8" s="1085"/>
      <c r="AS8" s="1085"/>
      <c r="AT8" s="1085"/>
      <c r="AU8" s="1085"/>
      <c r="AV8" s="1085"/>
      <c r="AW8" s="1085"/>
      <c r="AX8" s="1085"/>
      <c r="AY8" s="1085"/>
      <c r="AZ8" s="1085"/>
      <c r="BA8" s="1085"/>
      <c r="BB8" s="1085"/>
      <c r="BC8" s="1085"/>
      <c r="BD8" s="1085"/>
      <c r="BE8" s="1085"/>
      <c r="BF8" s="1085"/>
      <c r="BG8" s="1085"/>
      <c r="BH8" s="1085"/>
      <c r="BI8" s="1085"/>
      <c r="BJ8" s="1085"/>
      <c r="BK8" s="1085"/>
      <c r="BL8" s="1085"/>
      <c r="BM8" s="1085"/>
      <c r="BN8" s="1085"/>
      <c r="BO8" s="1085"/>
      <c r="BP8" s="1085"/>
      <c r="BQ8" s="1085"/>
      <c r="BR8" s="1085"/>
      <c r="BS8" s="1085"/>
      <c r="BT8" s="1"/>
      <c r="BU8" s="7"/>
    </row>
    <row r="9" spans="1:73" ht="15" thickBot="1" x14ac:dyDescent="0.35">
      <c r="A9" s="2736" t="s">
        <v>21</v>
      </c>
      <c r="B9" s="2737"/>
      <c r="C9" s="2737"/>
      <c r="D9" s="2738"/>
      <c r="E9" s="53"/>
      <c r="F9" s="54"/>
      <c r="G9" s="55"/>
      <c r="H9" s="55"/>
      <c r="I9" s="1"/>
      <c r="J9" s="1"/>
      <c r="K9" s="1102" t="s">
        <v>309</v>
      </c>
      <c r="L9" s="1129">
        <f>SUM(W28:W41)</f>
        <v>0</v>
      </c>
      <c r="M9" s="1113">
        <f>SUM(AC28:AC41)</f>
        <v>0</v>
      </c>
      <c r="N9" s="1114">
        <f>SUM(AI28:AI41)</f>
        <v>0</v>
      </c>
      <c r="O9" s="1114">
        <v>0</v>
      </c>
      <c r="P9" s="1114">
        <f>SUM(AU28:AU41)</f>
        <v>0</v>
      </c>
      <c r="Q9" s="1114">
        <f>SUM(BA28:BA41)</f>
        <v>0</v>
      </c>
      <c r="R9" s="1115">
        <f>SUM(BG28:BG41)</f>
        <v>0</v>
      </c>
      <c r="S9" s="1117">
        <f>SUM(BM28:BM41)</f>
        <v>0</v>
      </c>
      <c r="Z9" s="1085"/>
      <c r="AA9" s="1085"/>
      <c r="AB9" s="1085"/>
      <c r="AC9" s="1085"/>
      <c r="AD9" s="1085"/>
      <c r="AE9" s="1085"/>
      <c r="AF9" s="1085"/>
      <c r="AG9" s="1085"/>
      <c r="AH9" s="1085"/>
      <c r="AI9" s="1085"/>
      <c r="AJ9" s="1085"/>
      <c r="AK9" s="1085"/>
      <c r="AL9" s="1085"/>
      <c r="AM9" s="1085"/>
      <c r="AN9" s="1085"/>
      <c r="AO9" s="1085"/>
      <c r="AP9" s="1085"/>
      <c r="AQ9" s="1085"/>
      <c r="AR9" s="1085"/>
      <c r="AS9" s="1085"/>
      <c r="AT9" s="1085"/>
      <c r="AU9" s="1085"/>
      <c r="AV9" s="1085"/>
      <c r="AW9" s="1085"/>
      <c r="AX9" s="1085"/>
      <c r="AY9" s="1085"/>
      <c r="AZ9" s="1085"/>
      <c r="BA9" s="1085"/>
      <c r="BB9" s="1085"/>
      <c r="BC9" s="1085"/>
      <c r="BD9" s="1085"/>
      <c r="BE9" s="1085"/>
      <c r="BF9" s="1085"/>
      <c r="BG9" s="1085"/>
      <c r="BH9" s="1085"/>
      <c r="BI9" s="1085"/>
      <c r="BJ9" s="1085"/>
      <c r="BK9" s="1085"/>
      <c r="BL9" s="1085"/>
      <c r="BM9" s="1085"/>
      <c r="BN9" s="1085"/>
      <c r="BO9" s="1085"/>
      <c r="BP9" s="1085"/>
      <c r="BQ9" s="1085"/>
      <c r="BR9" s="1085"/>
      <c r="BS9" s="1085"/>
      <c r="BT9" s="1"/>
      <c r="BU9" s="7"/>
    </row>
    <row r="10" spans="1:73" ht="15" thickBot="1" x14ac:dyDescent="0.35">
      <c r="A10" s="60" t="s">
        <v>2</v>
      </c>
      <c r="B10" s="61" t="s">
        <v>9</v>
      </c>
      <c r="C10" s="61" t="s">
        <v>3</v>
      </c>
      <c r="D10" s="61" t="s">
        <v>4</v>
      </c>
      <c r="E10" s="61" t="s">
        <v>5</v>
      </c>
      <c r="F10" s="62" t="s">
        <v>6</v>
      </c>
      <c r="G10" s="62" t="s">
        <v>7</v>
      </c>
      <c r="H10" s="63" t="s">
        <v>8</v>
      </c>
      <c r="I10" s="13" t="s">
        <v>9</v>
      </c>
      <c r="J10" s="1"/>
      <c r="K10" s="1102"/>
      <c r="L10" s="1129"/>
      <c r="M10" s="1113"/>
      <c r="N10" s="1118"/>
      <c r="O10" s="1118"/>
      <c r="P10" s="1118"/>
      <c r="Q10" s="1118"/>
      <c r="R10" s="1119"/>
      <c r="S10" s="1117"/>
      <c r="Z10" s="1085"/>
      <c r="AA10" s="1085"/>
      <c r="AB10" s="1085"/>
      <c r="AC10" s="1085"/>
      <c r="AD10" s="1085"/>
      <c r="AE10" s="1085"/>
      <c r="AF10" s="1085"/>
      <c r="AG10" s="1085"/>
      <c r="AH10" s="1085"/>
      <c r="AI10" s="1085"/>
      <c r="AJ10" s="1085"/>
      <c r="AK10" s="1085"/>
      <c r="AL10" s="1085"/>
      <c r="AM10" s="1085"/>
      <c r="AN10" s="1085"/>
      <c r="AO10" s="1085"/>
      <c r="AP10" s="1085"/>
      <c r="AQ10" s="1085"/>
      <c r="AR10" s="1085"/>
      <c r="AS10" s="1085"/>
      <c r="AT10" s="1085"/>
      <c r="AU10" s="1085"/>
      <c r="AV10" s="1085"/>
      <c r="AW10" s="1085"/>
      <c r="AX10" s="1085"/>
      <c r="AY10" s="1085"/>
      <c r="AZ10" s="1085"/>
      <c r="BA10" s="1085"/>
      <c r="BB10" s="1085"/>
      <c r="BC10" s="1085"/>
      <c r="BD10" s="1085"/>
      <c r="BE10" s="1085"/>
      <c r="BF10" s="1085"/>
      <c r="BG10" s="1085"/>
      <c r="BH10" s="1085"/>
      <c r="BI10" s="1085"/>
      <c r="BJ10" s="1085"/>
      <c r="BK10" s="1085"/>
      <c r="BL10" s="1085"/>
      <c r="BM10" s="1085"/>
      <c r="BN10" s="1085"/>
      <c r="BO10" s="1085"/>
      <c r="BP10" s="1085"/>
      <c r="BQ10" s="1085"/>
      <c r="BR10" s="1085"/>
      <c r="BS10" s="1085"/>
      <c r="BT10" s="1"/>
      <c r="BU10" s="7"/>
    </row>
    <row r="11" spans="1:73" ht="15" thickBot="1" x14ac:dyDescent="0.35">
      <c r="A11" s="64" t="s">
        <v>22</v>
      </c>
      <c r="B11" s="1882">
        <f>SUM(T94:T136)</f>
        <v>0</v>
      </c>
      <c r="C11" s="1120">
        <f>SUM(Z94:Z136)</f>
        <v>0</v>
      </c>
      <c r="D11" s="1121">
        <f>SUM(AF94:AF136)</f>
        <v>4000</v>
      </c>
      <c r="E11" s="1121">
        <f>SUM(AL94:AL136)</f>
        <v>0</v>
      </c>
      <c r="F11" s="1121">
        <f>SUM(AR94:AR136)</f>
        <v>0</v>
      </c>
      <c r="G11" s="1122">
        <f>SUM(AX94:AX136)</f>
        <v>0</v>
      </c>
      <c r="H11" s="1122">
        <f>SUM(BD94:BD136)</f>
        <v>4000</v>
      </c>
      <c r="I11" s="1122">
        <f>SUM(BJ94:BJ136)</f>
        <v>0</v>
      </c>
      <c r="J11" s="1"/>
      <c r="K11" s="1123"/>
      <c r="L11" s="1871"/>
      <c r="M11" s="1113"/>
      <c r="N11" s="1118"/>
      <c r="O11" s="1118"/>
      <c r="P11" s="1118"/>
      <c r="Q11" s="1118"/>
      <c r="R11" s="1124"/>
      <c r="S11" s="1125"/>
      <c r="Z11" s="1085"/>
      <c r="AA11" s="1085"/>
      <c r="AB11" s="1085"/>
      <c r="AC11" s="1085"/>
      <c r="AD11" s="1085"/>
      <c r="AE11" s="1085"/>
      <c r="AF11" s="1085"/>
      <c r="AG11" s="1085"/>
      <c r="AH11" s="1085"/>
      <c r="AI11" s="1085"/>
      <c r="AJ11" s="1085"/>
      <c r="AK11" s="1085"/>
      <c r="AL11" s="1085"/>
      <c r="AM11" s="1085"/>
      <c r="AN11" s="1085"/>
      <c r="AO11" s="1085"/>
      <c r="AP11" s="1085"/>
      <c r="AQ11" s="1085"/>
      <c r="AR11" s="1085"/>
      <c r="AS11" s="1085"/>
      <c r="AT11" s="1085"/>
      <c r="AU11" s="1085"/>
      <c r="AV11" s="1085"/>
      <c r="AW11" s="1085"/>
      <c r="AX11" s="1085"/>
      <c r="AY11" s="1085"/>
      <c r="AZ11" s="1085"/>
      <c r="BA11" s="1085"/>
      <c r="BB11" s="1085"/>
      <c r="BC11" s="1085"/>
      <c r="BD11" s="1085"/>
      <c r="BE11" s="1085"/>
      <c r="BF11" s="1085"/>
      <c r="BG11" s="1085"/>
      <c r="BH11" s="1085"/>
      <c r="BI11" s="1085"/>
      <c r="BJ11" s="1085"/>
      <c r="BK11" s="1085"/>
      <c r="BL11" s="1085"/>
      <c r="BM11" s="1085"/>
      <c r="BN11" s="1085"/>
      <c r="BO11" s="1085"/>
      <c r="BP11" s="1085"/>
      <c r="BQ11" s="1085"/>
      <c r="BR11" s="1085"/>
      <c r="BS11" s="1085"/>
      <c r="BT11" s="1"/>
      <c r="BU11" s="7"/>
    </row>
    <row r="12" spans="1:73" ht="15" thickBot="1" x14ac:dyDescent="0.35">
      <c r="A12" s="71" t="s">
        <v>23</v>
      </c>
      <c r="B12" s="1883">
        <f>SUM(U94:U136)</f>
        <v>0</v>
      </c>
      <c r="C12" s="1126">
        <f>SUM(AA94:AA136)</f>
        <v>0</v>
      </c>
      <c r="D12" s="1127">
        <f>SUM(AG94:AG136)</f>
        <v>4000</v>
      </c>
      <c r="E12" s="1128">
        <f>SUM(AM94:AM136)</f>
        <v>0</v>
      </c>
      <c r="F12" s="1128">
        <f>SUM(AS94:AS136)</f>
        <v>0</v>
      </c>
      <c r="G12" s="1101">
        <f>SUM(AY94:AY136)</f>
        <v>0</v>
      </c>
      <c r="H12" s="1129">
        <f>SUM(BE94:BE136)</f>
        <v>0</v>
      </c>
      <c r="I12" s="1101">
        <f>SUM(BK94:BK136)</f>
        <v>0</v>
      </c>
      <c r="J12" s="1"/>
      <c r="K12" s="1130" t="s">
        <v>18</v>
      </c>
      <c r="L12" s="1110">
        <f>SUM(L3:L9)</f>
        <v>0</v>
      </c>
      <c r="M12" s="1110">
        <f t="shared" ref="M12:S12" si="1">SUM(M3:M9)</f>
        <v>1000</v>
      </c>
      <c r="N12" s="1110">
        <f t="shared" si="1"/>
        <v>4000</v>
      </c>
      <c r="O12" s="1110">
        <f t="shared" si="1"/>
        <v>2000</v>
      </c>
      <c r="P12" s="1110">
        <f t="shared" si="1"/>
        <v>0</v>
      </c>
      <c r="Q12" s="1110">
        <f t="shared" si="1"/>
        <v>0</v>
      </c>
      <c r="R12" s="1110">
        <f t="shared" si="1"/>
        <v>0</v>
      </c>
      <c r="S12" s="1110">
        <f t="shared" si="1"/>
        <v>0</v>
      </c>
      <c r="T12" s="1222"/>
      <c r="U12" s="1222"/>
      <c r="V12" s="1222"/>
      <c r="W12" s="1222"/>
      <c r="X12" s="1222"/>
      <c r="Y12" s="1222"/>
      <c r="Z12" s="1085"/>
      <c r="AA12" s="1085"/>
      <c r="AB12" s="1085"/>
      <c r="AC12" s="1085"/>
      <c r="AD12" s="1085"/>
      <c r="AE12" s="1085"/>
      <c r="AF12" s="1085"/>
      <c r="AG12" s="1085"/>
      <c r="AH12" s="1085"/>
      <c r="AI12" s="1085"/>
      <c r="AJ12" s="1085"/>
      <c r="AK12" s="1085"/>
      <c r="AL12" s="1085"/>
      <c r="AM12" s="1085"/>
      <c r="AN12" s="1085"/>
      <c r="AO12" s="1085"/>
      <c r="AP12" s="1085"/>
      <c r="AQ12" s="1085"/>
      <c r="AR12" s="1085"/>
      <c r="AS12" s="1085"/>
      <c r="AT12" s="1085"/>
      <c r="AU12" s="1085"/>
      <c r="AV12" s="1085"/>
      <c r="AW12" s="1085"/>
      <c r="AX12" s="1085"/>
      <c r="AY12" s="1085"/>
      <c r="AZ12" s="1085"/>
      <c r="BA12" s="1085"/>
      <c r="BB12" s="1085"/>
      <c r="BC12" s="1085"/>
      <c r="BD12" s="1085"/>
      <c r="BE12" s="1085"/>
      <c r="BF12" s="1085"/>
      <c r="BG12" s="1085"/>
      <c r="BH12" s="1085"/>
      <c r="BI12" s="1085"/>
      <c r="BJ12" s="1085"/>
      <c r="BK12" s="1085"/>
      <c r="BL12" s="1085"/>
      <c r="BM12" s="1085"/>
      <c r="BN12" s="1085"/>
      <c r="BO12" s="1085"/>
      <c r="BP12" s="1085"/>
      <c r="BQ12" s="1085"/>
      <c r="BR12" s="1085"/>
      <c r="BS12" s="1085"/>
      <c r="BT12" s="1"/>
      <c r="BU12" s="7"/>
    </row>
    <row r="13" spans="1:73" ht="15" thickBot="1" x14ac:dyDescent="0.35">
      <c r="A13" s="76" t="s">
        <v>24</v>
      </c>
      <c r="B13" s="1884">
        <f>SUM(V94:V136)</f>
        <v>0</v>
      </c>
      <c r="C13" s="1131">
        <f>SUM(AB94:AB136)</f>
        <v>0</v>
      </c>
      <c r="D13" s="1132">
        <f>SUM(AH94:AH136)</f>
        <v>3000</v>
      </c>
      <c r="E13" s="1127">
        <f>SUM(AN94:AN136)</f>
        <v>4000</v>
      </c>
      <c r="F13" s="1128">
        <f>SUM(AT94:AT136)</f>
        <v>0</v>
      </c>
      <c r="G13" s="1101">
        <f>SUM(AZ94:AZ136)</f>
        <v>0</v>
      </c>
      <c r="H13" s="1101">
        <f>SUM(BF94:BF136)</f>
        <v>2000</v>
      </c>
      <c r="I13" s="1101">
        <f>SUM(BL94:BL136)</f>
        <v>0</v>
      </c>
      <c r="J13" s="1"/>
      <c r="K13" s="1133"/>
      <c r="L13" s="1085"/>
      <c r="M13" s="1085"/>
      <c r="N13" s="1085"/>
      <c r="O13" s="1085"/>
      <c r="P13" s="1085"/>
      <c r="Q13" s="1133"/>
      <c r="R13" s="1085"/>
      <c r="S13" s="1085"/>
      <c r="Z13" s="1085"/>
      <c r="AA13" s="1085"/>
      <c r="AB13" s="1085"/>
      <c r="AC13" s="1085"/>
      <c r="AD13" s="1085"/>
      <c r="AE13" s="1085"/>
      <c r="AF13" s="1085"/>
      <c r="AG13" s="1085"/>
      <c r="AH13" s="1085"/>
      <c r="AI13" s="1085"/>
      <c r="AJ13" s="1085"/>
      <c r="AK13" s="1085"/>
      <c r="AL13" s="1085"/>
      <c r="AM13" s="1085"/>
      <c r="AN13" s="1085"/>
      <c r="AO13" s="1085"/>
      <c r="AP13" s="1085"/>
      <c r="AQ13" s="1085"/>
      <c r="AR13" s="1085"/>
      <c r="AS13" s="1085"/>
      <c r="AT13" s="1085"/>
      <c r="AU13" s="1085"/>
      <c r="AV13" s="1085"/>
      <c r="AW13" s="1085"/>
      <c r="AX13" s="1085"/>
      <c r="AY13" s="1085"/>
      <c r="AZ13" s="1085"/>
      <c r="BA13" s="1085"/>
      <c r="BB13" s="1085"/>
      <c r="BC13" s="1085"/>
      <c r="BD13" s="1085"/>
      <c r="BE13" s="1085"/>
      <c r="BF13" s="1085"/>
      <c r="BG13" s="1085"/>
      <c r="BH13" s="1085"/>
      <c r="BI13" s="1085"/>
      <c r="BJ13" s="1085"/>
      <c r="BK13" s="1085"/>
      <c r="BL13" s="1085"/>
      <c r="BM13" s="1085"/>
      <c r="BN13" s="1085"/>
      <c r="BO13" s="1085"/>
      <c r="BP13" s="1085"/>
      <c r="BQ13" s="1085"/>
      <c r="BR13" s="1085"/>
      <c r="BS13" s="1085"/>
      <c r="BT13" s="1"/>
      <c r="BU13" s="7"/>
    </row>
    <row r="14" spans="1:73" ht="16.2" thickBot="1" x14ac:dyDescent="0.35">
      <c r="A14" s="76" t="s">
        <v>25</v>
      </c>
      <c r="B14" s="1884">
        <f>SUM(W94:W136)</f>
        <v>0</v>
      </c>
      <c r="C14" s="1131">
        <f>SUM(AC94:AC136)</f>
        <v>6000</v>
      </c>
      <c r="D14" s="1132">
        <f>SUM(AI94:AI136)</f>
        <v>0</v>
      </c>
      <c r="E14" s="1128">
        <f>AO112+AO115</f>
        <v>0</v>
      </c>
      <c r="F14" s="1127">
        <f>SUM(AU94:AU136)</f>
        <v>3000</v>
      </c>
      <c r="G14" s="1101">
        <f>SUM(BA94:BA136)</f>
        <v>0</v>
      </c>
      <c r="H14" s="1101">
        <f>SUM(BG94:BG136)</f>
        <v>3000</v>
      </c>
      <c r="I14" s="1101">
        <f>SUM(BM94:BM136)</f>
        <v>0</v>
      </c>
      <c r="J14" s="1"/>
      <c r="K14" s="1081" t="s">
        <v>292</v>
      </c>
      <c r="L14" s="1826"/>
      <c r="M14" s="1082"/>
      <c r="N14" s="1083"/>
      <c r="O14" s="1084"/>
      <c r="P14" s="1085"/>
      <c r="Q14" s="1085"/>
      <c r="R14" s="1085"/>
      <c r="S14" s="1085"/>
      <c r="Z14" s="1085"/>
      <c r="AA14" s="1085"/>
      <c r="AB14" s="1085"/>
      <c r="AC14" s="1085"/>
      <c r="AD14" s="1085"/>
      <c r="AE14" s="1085"/>
      <c r="AF14" s="1085"/>
      <c r="AG14" s="1085"/>
      <c r="AH14" s="1085"/>
      <c r="AI14" s="1085"/>
      <c r="AJ14" s="1085"/>
      <c r="AK14" s="1085"/>
      <c r="AL14" s="1085"/>
      <c r="AM14" s="1085"/>
      <c r="AN14" s="1085"/>
      <c r="AO14" s="1085"/>
      <c r="AP14" s="1085"/>
      <c r="AQ14" s="1085"/>
      <c r="AR14" s="1085"/>
      <c r="AS14" s="1085"/>
      <c r="AT14" s="1085"/>
      <c r="AU14" s="1085"/>
      <c r="AV14" s="1085"/>
      <c r="AW14" s="1085"/>
      <c r="AX14" s="1085"/>
      <c r="AY14" s="1085"/>
      <c r="AZ14" s="1085"/>
      <c r="BA14" s="1085"/>
      <c r="BB14" s="1085"/>
      <c r="BC14" s="1085"/>
      <c r="BD14" s="1085"/>
      <c r="BE14" s="1085"/>
      <c r="BF14" s="1085"/>
      <c r="BG14" s="1085"/>
      <c r="BH14" s="1085"/>
      <c r="BI14" s="1085"/>
      <c r="BJ14" s="1085"/>
      <c r="BK14" s="1085"/>
      <c r="BL14" s="1085"/>
      <c r="BM14" s="1085"/>
      <c r="BN14" s="1085"/>
      <c r="BO14" s="1085"/>
      <c r="BP14" s="1085"/>
      <c r="BQ14" s="1085"/>
      <c r="BR14" s="1085"/>
      <c r="BS14" s="1085"/>
      <c r="BT14" s="1"/>
    </row>
    <row r="15" spans="1:73" ht="15" thickBot="1" x14ac:dyDescent="0.35">
      <c r="A15" s="81" t="s">
        <v>27</v>
      </c>
      <c r="B15" s="1803">
        <f>SUM(X94:X136)</f>
        <v>9000</v>
      </c>
      <c r="C15" s="1134">
        <f>SUM(AD94:AD136)</f>
        <v>2000</v>
      </c>
      <c r="D15" s="1134">
        <f>SUM(AJ94:AJ136)</f>
        <v>0</v>
      </c>
      <c r="E15" s="1134">
        <f>SUM(AP94:AP136)</f>
        <v>6000</v>
      </c>
      <c r="F15" s="1135">
        <f>SUM(AV94:AV136)</f>
        <v>7000</v>
      </c>
      <c r="G15" s="1100">
        <f>SUM(BB94:BB136)</f>
        <v>0</v>
      </c>
      <c r="H15" s="1100">
        <f>SUM(BH94:BH136)</f>
        <v>2000</v>
      </c>
      <c r="I15" s="1100">
        <f>SUM(BN94:BN136)</f>
        <v>0</v>
      </c>
      <c r="J15" s="1"/>
      <c r="K15" s="1086" t="s">
        <v>2</v>
      </c>
      <c r="L15" s="1086" t="s">
        <v>9</v>
      </c>
      <c r="M15" s="1087" t="s">
        <v>3</v>
      </c>
      <c r="N15" s="1088" t="s">
        <v>4</v>
      </c>
      <c r="O15" s="1088" t="s">
        <v>5</v>
      </c>
      <c r="P15" s="1088" t="s">
        <v>6</v>
      </c>
      <c r="Q15" s="1088" t="s">
        <v>7</v>
      </c>
      <c r="R15" s="1089" t="s">
        <v>8</v>
      </c>
      <c r="S15" s="1090" t="s">
        <v>9</v>
      </c>
      <c r="T15" s="1832"/>
      <c r="U15" s="1832"/>
      <c r="V15" s="1832"/>
      <c r="W15" s="1832"/>
      <c r="X15" s="1832"/>
      <c r="Y15" s="1832"/>
      <c r="Z15" s="1085"/>
      <c r="AA15" s="1085"/>
      <c r="AB15" s="1085"/>
      <c r="AC15" s="1085"/>
      <c r="AD15" s="1085"/>
      <c r="AE15" s="1085"/>
      <c r="AF15" s="1085"/>
      <c r="AG15" s="1085"/>
      <c r="AH15" s="1085"/>
      <c r="AI15" s="1085"/>
      <c r="AJ15" s="1085"/>
      <c r="AK15" s="1085"/>
      <c r="AL15" s="1085"/>
      <c r="AM15" s="1085"/>
      <c r="AN15" s="1085"/>
      <c r="AO15" s="1085"/>
      <c r="AP15" s="1085"/>
      <c r="AQ15" s="1085"/>
      <c r="AR15" s="1085"/>
      <c r="AS15" s="1085"/>
      <c r="AT15" s="1085"/>
      <c r="AU15" s="1085"/>
      <c r="AV15" s="1085"/>
      <c r="AW15" s="1085"/>
      <c r="AX15" s="1085"/>
      <c r="AY15" s="1085"/>
      <c r="AZ15" s="1085"/>
      <c r="BA15" s="1085"/>
      <c r="BB15" s="1085"/>
      <c r="BC15" s="1085"/>
      <c r="BD15" s="1085"/>
      <c r="BE15" s="1085"/>
      <c r="BF15" s="1085"/>
      <c r="BG15" s="1085"/>
      <c r="BH15" s="1085"/>
      <c r="BI15" s="1085"/>
      <c r="BJ15" s="1085"/>
      <c r="BK15" s="1085"/>
      <c r="BL15" s="1085"/>
      <c r="BM15" s="1085"/>
      <c r="BN15" s="1085"/>
      <c r="BO15" s="1085"/>
      <c r="BP15" s="1085"/>
      <c r="BQ15" s="1085"/>
      <c r="BR15" s="1085"/>
      <c r="BS15" s="1085"/>
      <c r="BT15" s="1"/>
      <c r="BU15" s="7"/>
    </row>
    <row r="16" spans="1:73" ht="15" thickBot="1" x14ac:dyDescent="0.35">
      <c r="A16" s="75" t="s">
        <v>18</v>
      </c>
      <c r="B16" s="1136">
        <f t="shared" ref="B16:I16" si="2">SUM(B11:B15)</f>
        <v>9000</v>
      </c>
      <c r="C16" s="1136">
        <f t="shared" si="2"/>
        <v>8000</v>
      </c>
      <c r="D16" s="1137">
        <f t="shared" si="2"/>
        <v>11000</v>
      </c>
      <c r="E16" s="1138">
        <f t="shared" si="2"/>
        <v>10000</v>
      </c>
      <c r="F16" s="1138">
        <f t="shared" si="2"/>
        <v>10000</v>
      </c>
      <c r="G16" s="1111">
        <f t="shared" si="2"/>
        <v>0</v>
      </c>
      <c r="H16" s="1111">
        <f t="shared" si="2"/>
        <v>11000</v>
      </c>
      <c r="I16" s="1111">
        <f t="shared" si="2"/>
        <v>0</v>
      </c>
      <c r="J16" s="1"/>
      <c r="K16" s="1094" t="s">
        <v>293</v>
      </c>
      <c r="L16" s="1274">
        <f>SUM(T66:T77)</f>
        <v>0</v>
      </c>
      <c r="M16" s="1095">
        <f>SUM(Z66:Z77)</f>
        <v>0</v>
      </c>
      <c r="N16" s="1095">
        <f>SUM(AF66:AF77)</f>
        <v>0</v>
      </c>
      <c r="O16" s="1096">
        <f>SUM(AL66:AL77)</f>
        <v>0</v>
      </c>
      <c r="P16" s="1096">
        <f>SUM(AR66:AR77)</f>
        <v>0</v>
      </c>
      <c r="Q16" s="1096">
        <f>SUM(AX66:AX77)</f>
        <v>0</v>
      </c>
      <c r="R16" s="1097">
        <f>SUM(BD66:BD77)</f>
        <v>0</v>
      </c>
      <c r="S16" s="1098">
        <f>SUM(BJ66:BJ77)</f>
        <v>0</v>
      </c>
      <c r="T16" s="1222"/>
      <c r="U16" s="1222"/>
      <c r="V16" s="1222"/>
      <c r="W16" s="1222"/>
      <c r="X16" s="1222"/>
      <c r="Y16" s="1222"/>
      <c r="Z16" s="1085"/>
      <c r="AA16" s="1085"/>
      <c r="AB16" s="1085"/>
      <c r="AC16" s="1085"/>
      <c r="AD16" s="1085"/>
      <c r="AE16" s="1085"/>
      <c r="AF16" s="1085"/>
      <c r="AG16" s="1085"/>
      <c r="AH16" s="1085"/>
      <c r="AI16" s="1085"/>
      <c r="AJ16" s="1085"/>
      <c r="AK16" s="1085"/>
      <c r="AL16" s="1085"/>
      <c r="AM16" s="1085"/>
      <c r="AN16" s="1085"/>
      <c r="AO16" s="1085"/>
      <c r="AP16" s="1085"/>
      <c r="AQ16" s="1085"/>
      <c r="AR16" s="1085"/>
      <c r="AS16" s="1085"/>
      <c r="AT16" s="1085"/>
      <c r="AU16" s="1085"/>
      <c r="AV16" s="1085"/>
      <c r="AW16" s="1085"/>
      <c r="AX16" s="1085"/>
      <c r="AY16" s="1085"/>
      <c r="AZ16" s="1085"/>
      <c r="BA16" s="1085"/>
      <c r="BB16" s="1085"/>
      <c r="BC16" s="1085"/>
      <c r="BD16" s="1085"/>
      <c r="BE16" s="1085"/>
      <c r="BF16" s="1085"/>
      <c r="BG16" s="1085"/>
      <c r="BH16" s="1085"/>
      <c r="BI16" s="1085"/>
      <c r="BJ16" s="1085"/>
      <c r="BK16" s="1085"/>
      <c r="BL16" s="1085"/>
      <c r="BM16" s="1085"/>
      <c r="BN16" s="1085"/>
      <c r="BO16" s="1085"/>
      <c r="BP16" s="1085"/>
      <c r="BQ16" s="1085"/>
      <c r="BR16" s="1085"/>
      <c r="BS16" s="1085"/>
      <c r="BT16" s="1"/>
      <c r="BU16" s="7"/>
    </row>
    <row r="17" spans="1:72" ht="15" thickBot="1" x14ac:dyDescent="0.35">
      <c r="A17" s="87"/>
      <c r="B17" s="87"/>
      <c r="C17" s="1139"/>
      <c r="D17" s="1139"/>
      <c r="E17" s="1139"/>
      <c r="F17" s="1139"/>
      <c r="G17" s="1140"/>
      <c r="H17" s="1085"/>
      <c r="I17" s="1085"/>
      <c r="J17" s="795" t="s">
        <v>281</v>
      </c>
      <c r="K17" s="1102" t="s">
        <v>294</v>
      </c>
      <c r="L17" s="1129">
        <f>SUM(U66:U77)</f>
        <v>0</v>
      </c>
      <c r="M17" s="1103">
        <f>SUM(AA66:AA77)</f>
        <v>0</v>
      </c>
      <c r="N17" s="1099">
        <f>SUM(AG66:AG77)</f>
        <v>0</v>
      </c>
      <c r="O17" s="1104">
        <f>SUM(AM66:AM77)</f>
        <v>0</v>
      </c>
      <c r="P17" s="1099">
        <f>SUM(AS66:AS77)</f>
        <v>0</v>
      </c>
      <c r="Q17" s="1096">
        <f>SUM(AY66:AY77)</f>
        <v>0</v>
      </c>
      <c r="R17" s="1097">
        <f>SUM(BE66:BE77)</f>
        <v>0</v>
      </c>
      <c r="S17" s="1098">
        <f>SUM(BK66:BK77)</f>
        <v>0</v>
      </c>
      <c r="T17" s="1222"/>
      <c r="U17" s="1222"/>
      <c r="V17" s="1222"/>
      <c r="W17" s="1222"/>
      <c r="X17" s="1222"/>
      <c r="Y17" s="1222"/>
      <c r="Z17" s="1085"/>
      <c r="AA17" s="1085"/>
      <c r="AB17" s="1085"/>
      <c r="AC17" s="1085"/>
      <c r="AD17" s="1085"/>
      <c r="AE17" s="1085"/>
      <c r="AF17" s="1085"/>
      <c r="AG17" s="1085"/>
      <c r="AH17" s="1085"/>
      <c r="AI17" s="1085"/>
      <c r="AJ17" s="1085"/>
      <c r="AK17" s="1085"/>
      <c r="AL17" s="1085"/>
      <c r="AM17" s="1085"/>
      <c r="AN17" s="1085"/>
      <c r="AO17" s="1085"/>
      <c r="AP17" s="1085"/>
      <c r="AQ17" s="1085"/>
      <c r="AR17" s="1085"/>
      <c r="AS17" s="1085"/>
      <c r="AT17" s="1085"/>
      <c r="AU17" s="1085"/>
      <c r="AV17" s="1085"/>
      <c r="AW17" s="1085"/>
      <c r="AX17" s="1085"/>
      <c r="AY17" s="1085"/>
      <c r="AZ17" s="1085"/>
      <c r="BA17" s="1085"/>
      <c r="BB17" s="1085"/>
      <c r="BC17" s="1085"/>
      <c r="BD17" s="1085"/>
      <c r="BE17" s="1085"/>
      <c r="BF17" s="1085"/>
      <c r="BG17" s="1085"/>
      <c r="BH17" s="1085"/>
      <c r="BI17" s="1085"/>
      <c r="BJ17" s="1085"/>
      <c r="BK17" s="1085"/>
      <c r="BL17" s="1085"/>
      <c r="BM17" s="1085"/>
      <c r="BN17" s="1085"/>
      <c r="BO17" s="1085"/>
      <c r="BP17" s="1085"/>
      <c r="BQ17" s="1085"/>
      <c r="BR17" s="1085"/>
      <c r="BS17" s="1085"/>
      <c r="BT17" s="1"/>
    </row>
    <row r="18" spans="1:72" ht="15.6" thickTop="1" thickBot="1" x14ac:dyDescent="0.35">
      <c r="A18" s="1025" t="s">
        <v>26</v>
      </c>
      <c r="B18" s="1141">
        <f>B7+B16+L12+L25</f>
        <v>13000</v>
      </c>
      <c r="C18" s="1141">
        <f t="shared" ref="C18:I18" si="3">C7+C16+M12</f>
        <v>13000</v>
      </c>
      <c r="D18" s="1141">
        <f t="shared" si="3"/>
        <v>16000</v>
      </c>
      <c r="E18" s="1141">
        <f t="shared" si="3"/>
        <v>13000</v>
      </c>
      <c r="F18" s="1141">
        <f t="shared" si="3"/>
        <v>10000</v>
      </c>
      <c r="G18" s="1141">
        <f t="shared" si="3"/>
        <v>0</v>
      </c>
      <c r="H18" s="1141">
        <f t="shared" si="3"/>
        <v>11000</v>
      </c>
      <c r="I18" s="1141">
        <f t="shared" si="3"/>
        <v>0</v>
      </c>
      <c r="J18" s="1027">
        <v>76000</v>
      </c>
      <c r="K18" s="1102" t="s">
        <v>295</v>
      </c>
      <c r="L18" s="1129">
        <f>SUM(V66:V77)</f>
        <v>0</v>
      </c>
      <c r="M18" s="1103">
        <f>SUM(AB66:AB77)</f>
        <v>0</v>
      </c>
      <c r="N18" s="1099">
        <f>SUM(AH66:AH77)</f>
        <v>0</v>
      </c>
      <c r="O18" s="1099">
        <f>SUM(AN66:AN77)</f>
        <v>0</v>
      </c>
      <c r="P18" s="1099">
        <f>SUM(AT66:AT77)</f>
        <v>0</v>
      </c>
      <c r="Q18" s="1096">
        <f>SUM(AZ66:AZ77)</f>
        <v>0</v>
      </c>
      <c r="R18" s="1105">
        <f>SUM(BF66:BF77)</f>
        <v>0</v>
      </c>
      <c r="S18" s="1098">
        <f>SUM(BL66:BL77)</f>
        <v>0</v>
      </c>
      <c r="T18" s="1222"/>
      <c r="U18" s="1222"/>
      <c r="V18" s="1222"/>
      <c r="W18" s="1222"/>
      <c r="X18" s="1222"/>
      <c r="Y18" s="1222"/>
      <c r="Z18" s="1085"/>
      <c r="AA18" s="1085"/>
      <c r="AB18" s="1085"/>
      <c r="AC18" s="1085"/>
      <c r="AD18" s="1085"/>
      <c r="AE18" s="1085"/>
      <c r="AF18" s="1085"/>
      <c r="AG18" s="1085"/>
      <c r="AH18" s="1085"/>
      <c r="AI18" s="1085"/>
      <c r="AJ18" s="1085"/>
      <c r="AK18" s="1085"/>
      <c r="AL18" s="1085"/>
      <c r="AM18" s="1085"/>
      <c r="AN18" s="1085"/>
      <c r="AO18" s="1085"/>
      <c r="AP18" s="1085"/>
      <c r="AQ18" s="1085"/>
      <c r="AR18" s="1085"/>
      <c r="AS18" s="1085"/>
      <c r="AT18" s="1085"/>
      <c r="AU18" s="1085"/>
      <c r="AV18" s="1085"/>
      <c r="AW18" s="1085"/>
      <c r="AX18" s="1085"/>
      <c r="AY18" s="1085"/>
      <c r="AZ18" s="1085"/>
      <c r="BA18" s="1085"/>
      <c r="BB18" s="1085"/>
      <c r="BC18" s="1085"/>
      <c r="BD18" s="1085"/>
      <c r="BE18" s="1085"/>
      <c r="BF18" s="1085"/>
      <c r="BG18" s="1085"/>
      <c r="BH18" s="1085"/>
      <c r="BI18" s="1085"/>
      <c r="BJ18" s="1085"/>
      <c r="BK18" s="1085"/>
      <c r="BL18" s="1085"/>
      <c r="BM18" s="1085"/>
      <c r="BN18" s="1085"/>
      <c r="BO18" s="1085"/>
      <c r="BP18" s="1085"/>
      <c r="BQ18" s="1085"/>
      <c r="BR18" s="1085"/>
      <c r="BS18" s="1085"/>
      <c r="BT18" s="1"/>
    </row>
    <row r="19" spans="1:72" ht="16.8" thickTop="1" thickBot="1" x14ac:dyDescent="0.35">
      <c r="A19" s="1026" t="s">
        <v>299</v>
      </c>
      <c r="B19" s="1142">
        <v>10000</v>
      </c>
      <c r="C19" s="1142">
        <v>10000</v>
      </c>
      <c r="D19" s="1142">
        <v>10000</v>
      </c>
      <c r="E19" s="1142">
        <v>10000</v>
      </c>
      <c r="F19" s="1142">
        <v>10000</v>
      </c>
      <c r="G19" s="1142"/>
      <c r="H19" s="1142">
        <v>10000</v>
      </c>
      <c r="I19" s="1142">
        <v>10000</v>
      </c>
      <c r="J19" s="1027">
        <f>SUM(C19:I19)</f>
        <v>60000</v>
      </c>
      <c r="K19" s="1102" t="s">
        <v>296</v>
      </c>
      <c r="L19" s="1129">
        <f>SUM(W66:W77)</f>
        <v>0</v>
      </c>
      <c r="M19" s="1103">
        <f>SUM(AC66:AC77)</f>
        <v>0</v>
      </c>
      <c r="N19" s="1099">
        <f>SUM(AI66:AI77)</f>
        <v>0</v>
      </c>
      <c r="O19" s="1099">
        <f>SUM(AO66:AO77)</f>
        <v>0</v>
      </c>
      <c r="P19" s="1099">
        <f>SUM(AU66:AU77)</f>
        <v>0</v>
      </c>
      <c r="Q19" s="1096">
        <f>SUM(BA66:BA77)</f>
        <v>0</v>
      </c>
      <c r="R19" s="1105">
        <f>SUM(BG66:BG77)</f>
        <v>0</v>
      </c>
      <c r="S19" s="1098">
        <f>SUM(BM66:BM77)</f>
        <v>0</v>
      </c>
      <c r="T19" s="1222"/>
      <c r="U19" s="1222"/>
      <c r="V19" s="1222"/>
      <c r="W19" s="1222"/>
      <c r="X19" s="1222"/>
      <c r="Y19" s="1222"/>
      <c r="Z19" s="1085"/>
      <c r="AA19" s="1085"/>
      <c r="AB19" s="1085"/>
      <c r="AC19" s="1085"/>
      <c r="AD19" s="1085"/>
      <c r="AE19" s="1085"/>
      <c r="AF19" s="1085"/>
      <c r="AG19" s="1085"/>
      <c r="AH19" s="1085"/>
      <c r="AI19" s="1085"/>
      <c r="AJ19" s="1085"/>
      <c r="AK19" s="1085"/>
      <c r="AL19" s="1085"/>
      <c r="AM19" s="1085"/>
      <c r="AN19" s="1085"/>
      <c r="AO19" s="1085"/>
      <c r="AP19" s="1085"/>
      <c r="AQ19" s="1085"/>
      <c r="AR19" s="1085"/>
      <c r="AS19" s="1085"/>
      <c r="AT19" s="1085"/>
      <c r="AU19" s="1085"/>
      <c r="AV19" s="1085"/>
      <c r="AW19" s="1085"/>
      <c r="AX19" s="1085"/>
      <c r="AY19" s="1085"/>
      <c r="AZ19" s="1085"/>
      <c r="BA19" s="1085"/>
      <c r="BB19" s="1085"/>
      <c r="BC19" s="1085"/>
      <c r="BD19" s="1085"/>
      <c r="BE19" s="1085"/>
      <c r="BF19" s="1085"/>
      <c r="BG19" s="1085"/>
      <c r="BH19" s="1085"/>
      <c r="BI19" s="1085"/>
      <c r="BJ19" s="1085"/>
      <c r="BK19" s="1085"/>
      <c r="BL19" s="1085"/>
      <c r="BM19" s="1085"/>
      <c r="BN19" s="1085"/>
      <c r="BO19" s="1085"/>
      <c r="BP19" s="1085"/>
      <c r="BQ19" s="1085"/>
      <c r="BR19" s="1085"/>
      <c r="BS19" s="1085"/>
      <c r="BT19" s="1"/>
    </row>
    <row r="20" spans="1:72" ht="16.8" thickTop="1" thickBot="1" x14ac:dyDescent="0.35">
      <c r="A20" s="1026" t="s">
        <v>355</v>
      </c>
      <c r="B20" s="1870"/>
      <c r="C20" s="1143"/>
      <c r="D20" s="1143"/>
      <c r="E20" s="1143"/>
      <c r="F20" s="1143"/>
      <c r="G20" s="1143"/>
      <c r="H20" s="1144"/>
      <c r="I20" s="1144"/>
      <c r="J20" s="1027">
        <f>J18-J19</f>
        <v>16000</v>
      </c>
      <c r="K20" s="1102" t="s">
        <v>298</v>
      </c>
      <c r="L20" s="1129">
        <f>SUM(X66:X77)</f>
        <v>0</v>
      </c>
      <c r="M20" s="1103">
        <f>SUM(AD66:AD77)</f>
        <v>0</v>
      </c>
      <c r="N20" s="1104">
        <f>SUM(AJ66:AJ77)</f>
        <v>0</v>
      </c>
      <c r="O20" s="1104">
        <f>SUM(AP66:AP77)</f>
        <v>0</v>
      </c>
      <c r="P20" s="1104">
        <f>SUM(AV66:AV77)</f>
        <v>0</v>
      </c>
      <c r="Q20" s="1096">
        <f>SUM(BB66:BB77)</f>
        <v>0</v>
      </c>
      <c r="R20" s="1105">
        <f>SUM(BH66:BH77)</f>
        <v>0</v>
      </c>
      <c r="S20" s="1098">
        <f>SUM(BN66:BN77)</f>
        <v>0</v>
      </c>
      <c r="T20" s="1222"/>
      <c r="U20" s="1222"/>
      <c r="V20" s="1222"/>
      <c r="W20" s="1222"/>
      <c r="X20" s="1222"/>
      <c r="Y20" s="1222"/>
      <c r="Z20" s="1085"/>
      <c r="AA20" s="1085"/>
      <c r="AB20" s="1085"/>
      <c r="AC20" s="1085"/>
      <c r="AD20" s="1085"/>
      <c r="AE20" s="1085"/>
      <c r="AF20" s="1085"/>
      <c r="AG20" s="1085"/>
      <c r="AH20" s="1085"/>
      <c r="AI20" s="1085"/>
      <c r="AJ20" s="1085"/>
      <c r="AK20" s="1085"/>
      <c r="AL20" s="1085"/>
      <c r="AM20" s="1085"/>
      <c r="AN20" s="1085"/>
      <c r="AO20" s="1085"/>
      <c r="AP20" s="1085"/>
      <c r="AQ20" s="1085"/>
      <c r="AR20" s="1085"/>
      <c r="AS20" s="1085"/>
      <c r="AT20" s="1085"/>
      <c r="AU20" s="1085"/>
      <c r="AV20" s="1085"/>
      <c r="AW20" s="1085"/>
      <c r="AX20" s="1085"/>
      <c r="AY20" s="1085"/>
      <c r="AZ20" s="1085"/>
      <c r="BA20" s="1085"/>
      <c r="BB20" s="1085"/>
      <c r="BC20" s="1085"/>
      <c r="BD20" s="1085"/>
      <c r="BE20" s="1085"/>
      <c r="BF20" s="1085"/>
      <c r="BG20" s="1085"/>
      <c r="BH20" s="1085"/>
      <c r="BI20" s="1085"/>
      <c r="BJ20" s="1085"/>
      <c r="BK20" s="1085"/>
      <c r="BL20" s="1085"/>
      <c r="BM20" s="1085"/>
      <c r="BN20" s="1085"/>
      <c r="BO20" s="1085"/>
      <c r="BP20" s="1085"/>
      <c r="BQ20" s="1085"/>
      <c r="BR20" s="1085"/>
      <c r="BS20" s="1085"/>
      <c r="BT20" s="1"/>
    </row>
    <row r="21" spans="1:72" ht="16.2" thickTop="1" x14ac:dyDescent="0.3">
      <c r="A21" s="930"/>
      <c r="B21" s="931"/>
      <c r="C21" s="931"/>
      <c r="D21" s="931"/>
      <c r="E21" s="931"/>
      <c r="F21" s="931"/>
      <c r="G21" s="932"/>
      <c r="H21" s="932"/>
      <c r="I21" s="93"/>
      <c r="J21" s="94"/>
      <c r="K21" s="1102" t="s">
        <v>297</v>
      </c>
      <c r="L21" s="1129">
        <f>SUM(Y66:Y77)</f>
        <v>0</v>
      </c>
      <c r="M21" s="1113">
        <f>SUM(AE66:AE77)</f>
        <v>0</v>
      </c>
      <c r="N21" s="1114">
        <f>SUM(AK66:AK77)</f>
        <v>0</v>
      </c>
      <c r="O21" s="1114">
        <f>SUM(AQ66:AQ77)</f>
        <v>0</v>
      </c>
      <c r="P21" s="1114">
        <f>SUM(AW66:AW77)</f>
        <v>0</v>
      </c>
      <c r="Q21" s="1096">
        <f>SUM(BC66:BC77)</f>
        <v>0</v>
      </c>
      <c r="R21" s="1105">
        <f>SUM(BI66:BI77)</f>
        <v>0</v>
      </c>
      <c r="S21" s="1098">
        <f>SUM(BO66:BO77)</f>
        <v>0</v>
      </c>
      <c r="T21" s="1222"/>
      <c r="U21" s="1222"/>
      <c r="V21" s="1222"/>
      <c r="W21" s="1222"/>
      <c r="X21" s="1222"/>
      <c r="Y21" s="1222"/>
      <c r="Z21" s="1085"/>
      <c r="AA21" s="1085"/>
      <c r="AB21" s="1085"/>
      <c r="AC21" s="1085"/>
      <c r="AD21" s="1085"/>
      <c r="AE21" s="1085"/>
      <c r="AF21" s="1085"/>
      <c r="AG21" s="1085"/>
      <c r="AH21" s="1085"/>
      <c r="AI21" s="1085"/>
      <c r="AJ21" s="1085"/>
      <c r="AK21" s="1085"/>
      <c r="AL21" s="1085"/>
      <c r="AM21" s="1085"/>
      <c r="AN21" s="1085"/>
      <c r="AO21" s="1085"/>
      <c r="AP21" s="1085"/>
      <c r="AQ21" s="1085"/>
      <c r="AR21" s="1085"/>
      <c r="AS21" s="1085"/>
      <c r="AT21" s="1085"/>
      <c r="AU21" s="1085"/>
      <c r="AV21" s="1085"/>
      <c r="AW21" s="1085"/>
      <c r="AX21" s="1085"/>
      <c r="AY21" s="1085"/>
      <c r="AZ21" s="1085"/>
      <c r="BA21" s="1085"/>
      <c r="BB21" s="1085"/>
      <c r="BC21" s="1085"/>
      <c r="BD21" s="1085"/>
      <c r="BE21" s="1085"/>
      <c r="BF21" s="1085"/>
      <c r="BG21" s="1085"/>
      <c r="BH21" s="1085"/>
      <c r="BI21" s="1085"/>
      <c r="BJ21" s="1085"/>
      <c r="BK21" s="1085"/>
      <c r="BL21" s="1085"/>
      <c r="BM21" s="1085"/>
      <c r="BN21" s="1085"/>
      <c r="BO21" s="1085"/>
      <c r="BP21" s="1085"/>
      <c r="BQ21" s="1085"/>
      <c r="BR21" s="1085"/>
      <c r="BS21" s="1085"/>
      <c r="BT21" s="1"/>
    </row>
    <row r="22" spans="1:72" ht="15.6" x14ac:dyDescent="0.3">
      <c r="A22" s="930"/>
      <c r="B22" s="931"/>
      <c r="C22" s="931"/>
      <c r="D22" s="931"/>
      <c r="E22" s="931"/>
      <c r="F22" s="931"/>
      <c r="G22" s="932"/>
      <c r="H22" s="932"/>
      <c r="I22" s="93"/>
      <c r="J22" s="94"/>
      <c r="K22" s="1102"/>
      <c r="L22" s="1129"/>
      <c r="M22" s="1113"/>
      <c r="N22" s="1118"/>
      <c r="O22" s="1118"/>
      <c r="P22" s="1118"/>
      <c r="Q22" s="1118"/>
      <c r="R22" s="1119"/>
      <c r="S22" s="1117"/>
      <c r="Z22" s="1085"/>
      <c r="AA22" s="1085"/>
      <c r="AB22" s="1085"/>
      <c r="AC22" s="1085"/>
      <c r="AD22" s="1085"/>
      <c r="AE22" s="1085"/>
      <c r="AF22" s="1085"/>
      <c r="AG22" s="1085"/>
      <c r="AH22" s="1085"/>
      <c r="AI22" s="1085"/>
      <c r="AJ22" s="1085"/>
      <c r="AK22" s="1085"/>
      <c r="AL22" s="1085"/>
      <c r="AM22" s="1085"/>
      <c r="AN22" s="1085"/>
      <c r="AO22" s="1085"/>
      <c r="AP22" s="1085"/>
      <c r="AQ22" s="1085"/>
      <c r="AR22" s="1085"/>
      <c r="AS22" s="1085"/>
      <c r="AT22" s="1085"/>
      <c r="AU22" s="1085"/>
      <c r="AV22" s="1085"/>
      <c r="AW22" s="1085"/>
      <c r="AX22" s="1085"/>
      <c r="AY22" s="1085"/>
      <c r="AZ22" s="1085"/>
      <c r="BA22" s="1085"/>
      <c r="BB22" s="1085"/>
      <c r="BC22" s="1085"/>
      <c r="BD22" s="1085"/>
      <c r="BE22" s="1085"/>
      <c r="BF22" s="1085"/>
      <c r="BG22" s="1085"/>
      <c r="BH22" s="1085"/>
      <c r="BI22" s="1085"/>
      <c r="BJ22" s="1085"/>
      <c r="BK22" s="1085"/>
      <c r="BL22" s="1085"/>
      <c r="BM22" s="1085"/>
      <c r="BN22" s="1085"/>
      <c r="BO22" s="1085"/>
      <c r="BP22" s="1085"/>
      <c r="BQ22" s="1085"/>
      <c r="BR22" s="1085"/>
      <c r="BS22" s="1085"/>
      <c r="BT22" s="1"/>
    </row>
    <row r="23" spans="1:72" x14ac:dyDescent="0.3">
      <c r="A23" s="1"/>
      <c r="B23" s="1"/>
      <c r="C23" s="93"/>
      <c r="D23" s="1"/>
      <c r="E23" s="1"/>
      <c r="F23" s="1"/>
      <c r="G23" s="1"/>
      <c r="H23" s="1"/>
      <c r="I23" s="1"/>
      <c r="J23" s="94"/>
      <c r="K23" s="1102"/>
      <c r="L23" s="1129"/>
      <c r="M23" s="1113"/>
      <c r="N23" s="1118"/>
      <c r="O23" s="1118"/>
      <c r="P23" s="1118"/>
      <c r="Q23" s="1118"/>
      <c r="R23" s="1119"/>
      <c r="S23" s="1117"/>
      <c r="Z23" s="1085"/>
      <c r="AA23" s="1085"/>
      <c r="AB23" s="1085"/>
      <c r="AC23" s="1085"/>
      <c r="AD23" s="1085"/>
      <c r="AE23" s="1085"/>
      <c r="AF23" s="1085"/>
      <c r="AG23" s="1085"/>
      <c r="AH23" s="1085"/>
      <c r="AI23" s="1085"/>
      <c r="AJ23" s="1085"/>
      <c r="AK23" s="1085"/>
      <c r="AL23" s="1085"/>
      <c r="AM23" s="1085"/>
      <c r="AN23" s="1085"/>
      <c r="AO23" s="1085"/>
      <c r="AP23" s="1085"/>
      <c r="AQ23" s="1085"/>
      <c r="AR23" s="1085"/>
      <c r="AS23" s="1085"/>
      <c r="AT23" s="1085"/>
      <c r="AU23" s="1085"/>
      <c r="AV23" s="1085"/>
      <c r="AW23" s="1085"/>
      <c r="AX23" s="1085"/>
      <c r="AY23" s="1085"/>
      <c r="AZ23" s="1085"/>
      <c r="BA23" s="1085"/>
      <c r="BB23" s="1085"/>
      <c r="BC23" s="1085"/>
      <c r="BD23" s="1085"/>
      <c r="BE23" s="1085"/>
      <c r="BF23" s="1085"/>
      <c r="BG23" s="1085"/>
      <c r="BH23" s="1085"/>
      <c r="BI23" s="1085"/>
      <c r="BJ23" s="1085"/>
      <c r="BK23" s="1085"/>
      <c r="BL23" s="1085"/>
      <c r="BM23" s="1085"/>
      <c r="BN23" s="1085"/>
      <c r="BO23" s="1085"/>
      <c r="BP23" s="1085"/>
      <c r="BQ23" s="1085"/>
      <c r="BR23" s="1085"/>
      <c r="BS23" s="1085"/>
      <c r="BT23" s="1"/>
    </row>
    <row r="24" spans="1:72" ht="15" thickBot="1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123"/>
      <c r="L24" s="1872"/>
      <c r="M24" s="1113"/>
      <c r="N24" s="1118"/>
      <c r="O24" s="1118"/>
      <c r="P24" s="1118"/>
      <c r="Q24" s="1118"/>
      <c r="R24" s="1124"/>
      <c r="S24" s="1125"/>
      <c r="Z24" s="1085"/>
      <c r="AA24" s="1085"/>
      <c r="AB24" s="1085"/>
      <c r="AC24" s="1085"/>
      <c r="AD24" s="1085"/>
      <c r="AE24" s="1085"/>
      <c r="AF24" s="1085"/>
      <c r="AG24" s="1085"/>
      <c r="AH24" s="1085"/>
      <c r="AI24" s="1085"/>
      <c r="AJ24" s="1085"/>
      <c r="AK24" s="1085"/>
      <c r="AL24" s="1085"/>
      <c r="AM24" s="1085"/>
      <c r="AN24" s="1085"/>
      <c r="AO24" s="1085"/>
      <c r="AP24" s="1085"/>
      <c r="AQ24" s="1085"/>
      <c r="AR24" s="1085"/>
      <c r="AS24" s="1085"/>
      <c r="AT24" s="1085"/>
      <c r="AU24" s="1085"/>
      <c r="AV24" s="1085"/>
      <c r="AW24" s="1085"/>
      <c r="AX24" s="1085"/>
      <c r="AY24" s="1085"/>
      <c r="AZ24" s="1085"/>
      <c r="BA24" s="1085"/>
      <c r="BB24" s="1085"/>
      <c r="BC24" s="1085"/>
      <c r="BD24" s="1085"/>
      <c r="BE24" s="1085"/>
      <c r="BF24" s="1085"/>
      <c r="BG24" s="1085"/>
      <c r="BH24" s="1085"/>
      <c r="BI24" s="1085"/>
      <c r="BJ24" s="1085"/>
      <c r="BK24" s="1085"/>
      <c r="BL24" s="1085"/>
      <c r="BM24" s="1085"/>
      <c r="BN24" s="1085"/>
      <c r="BO24" s="1085"/>
      <c r="BP24" s="1085"/>
      <c r="BQ24" s="1085"/>
      <c r="BR24" s="1085"/>
      <c r="BS24" s="1085"/>
      <c r="BT24" s="1"/>
    </row>
    <row r="25" spans="1:72" ht="18.600000000000001" thickBot="1" x14ac:dyDescent="0.4">
      <c r="A25" s="95"/>
      <c r="B25" s="95"/>
      <c r="C25" s="95"/>
      <c r="D25" s="95"/>
      <c r="E25" s="95"/>
      <c r="F25" s="1"/>
      <c r="G25" s="1"/>
      <c r="H25" s="1"/>
      <c r="I25" s="1"/>
      <c r="J25" s="1"/>
      <c r="K25" s="1130" t="s">
        <v>18</v>
      </c>
      <c r="L25" s="1111">
        <f>SUM(L16:L21)</f>
        <v>0</v>
      </c>
      <c r="M25" s="1111">
        <f>SUM(M16:M21)</f>
        <v>0</v>
      </c>
      <c r="N25" s="1111">
        <f t="shared" ref="N25:S25" si="4">SUM(N16:N24)</f>
        <v>0</v>
      </c>
      <c r="O25" s="1111">
        <f t="shared" si="4"/>
        <v>0</v>
      </c>
      <c r="P25" s="1111">
        <f t="shared" si="4"/>
        <v>0</v>
      </c>
      <c r="Q25" s="1111">
        <f t="shared" si="4"/>
        <v>0</v>
      </c>
      <c r="R25" s="1111">
        <f t="shared" si="4"/>
        <v>0</v>
      </c>
      <c r="S25" s="1111">
        <f t="shared" si="4"/>
        <v>0</v>
      </c>
      <c r="T25" s="1222"/>
      <c r="U25" s="1222"/>
      <c r="V25" s="1222"/>
      <c r="W25" s="1222"/>
      <c r="X25" s="1222"/>
      <c r="Y25" s="1222"/>
      <c r="Z25" s="1085"/>
      <c r="AA25" s="1085"/>
      <c r="AB25" s="1085"/>
      <c r="AC25" s="1085"/>
      <c r="AD25" s="1085"/>
      <c r="AE25" s="1085"/>
      <c r="AF25" s="1085"/>
      <c r="AG25" s="1085"/>
      <c r="AH25" s="1085"/>
      <c r="AI25" s="1085"/>
      <c r="AJ25" s="1085"/>
      <c r="AK25" s="1085"/>
      <c r="AL25" s="1085"/>
      <c r="AM25" s="1085"/>
      <c r="AN25" s="1085"/>
      <c r="AO25" s="1085"/>
      <c r="AP25" s="1085"/>
      <c r="AQ25" s="1085"/>
      <c r="AR25" s="1085"/>
      <c r="AS25" s="1085"/>
      <c r="AT25" s="1085"/>
      <c r="AU25" s="1085"/>
      <c r="AV25" s="1085"/>
      <c r="AW25" s="1085"/>
      <c r="AX25" s="1085"/>
      <c r="AY25" s="1085"/>
      <c r="AZ25" s="1085"/>
      <c r="BA25" s="1085"/>
      <c r="BB25" s="1085"/>
      <c r="BC25" s="1085"/>
      <c r="BD25" s="1085"/>
      <c r="BE25" s="1085"/>
      <c r="BF25" s="1085"/>
      <c r="BG25" s="1085"/>
      <c r="BH25" s="1085"/>
      <c r="BI25" s="1085"/>
      <c r="BJ25" s="1085"/>
      <c r="BK25" s="1085"/>
      <c r="BL25" s="1085"/>
      <c r="BM25" s="1085"/>
      <c r="BN25" s="1085"/>
      <c r="BO25" s="1085"/>
      <c r="BP25" s="1085"/>
      <c r="BQ25" s="1085"/>
      <c r="BR25" s="1085"/>
      <c r="BS25" s="1085"/>
      <c r="BT25" s="1"/>
    </row>
    <row r="26" spans="1:72" ht="16.2" thickBot="1" x14ac:dyDescent="0.35">
      <c r="A26" s="96" t="s">
        <v>28</v>
      </c>
      <c r="B26" s="4"/>
      <c r="C26" s="5"/>
      <c r="D26" s="1"/>
      <c r="E26" s="97"/>
      <c r="F26" s="98"/>
      <c r="G26" s="1"/>
      <c r="H26" s="1"/>
      <c r="I26" s="1"/>
      <c r="J26" s="1"/>
      <c r="K26" s="1085"/>
      <c r="L26" s="1085"/>
      <c r="M26" s="1085"/>
      <c r="N26" s="1085"/>
      <c r="O26" s="1085"/>
      <c r="P26" s="1085"/>
      <c r="Q26" s="1085"/>
      <c r="R26" s="1085"/>
      <c r="S26" s="1085"/>
      <c r="T26" s="1085"/>
      <c r="U26" s="1085"/>
      <c r="V26" s="1085"/>
      <c r="W26" s="1085"/>
      <c r="X26" s="1085"/>
      <c r="Y26" s="1085"/>
      <c r="Z26" s="1085"/>
      <c r="AA26" s="1133"/>
      <c r="AB26" s="1085"/>
      <c r="AC26" s="1085"/>
      <c r="AD26" s="1085"/>
      <c r="AE26" s="1133"/>
      <c r="AF26" s="1145"/>
      <c r="AG26" s="1085"/>
      <c r="AH26" s="1085"/>
      <c r="AI26" s="1085"/>
      <c r="AJ26" s="1085"/>
      <c r="AK26" s="1085"/>
      <c r="AL26" s="1085"/>
      <c r="AM26" s="1085"/>
      <c r="AN26" s="1133"/>
      <c r="AO26" s="1085"/>
      <c r="AP26" s="1085"/>
      <c r="AQ26" s="1085"/>
      <c r="AR26" s="1085"/>
      <c r="AS26" s="1085"/>
      <c r="AT26" s="1085"/>
      <c r="AU26" s="1085"/>
      <c r="AV26" s="1085"/>
      <c r="AW26" s="1085"/>
      <c r="AX26" s="1085"/>
      <c r="AY26" s="1085"/>
      <c r="AZ26" s="1085"/>
      <c r="BA26" s="1085"/>
      <c r="BB26" s="1085"/>
      <c r="BC26" s="1085"/>
      <c r="BD26" s="1085"/>
      <c r="BE26" s="1133"/>
      <c r="BF26" s="1133"/>
      <c r="BG26" s="1085"/>
      <c r="BH26" s="1085"/>
      <c r="BI26" s="1085"/>
      <c r="BJ26" s="1085"/>
      <c r="BK26" s="1085"/>
      <c r="BL26" s="1133"/>
      <c r="BM26" s="1085"/>
      <c r="BN26" s="1085"/>
      <c r="BO26" s="1085"/>
      <c r="BP26" s="1085"/>
      <c r="BQ26" s="1085"/>
      <c r="BR26" s="1085"/>
      <c r="BS26" s="1"/>
    </row>
    <row r="27" spans="1:72" ht="16.8" thickTop="1" thickBot="1" x14ac:dyDescent="0.35">
      <c r="A27" s="99" t="s">
        <v>29</v>
      </c>
      <c r="B27" s="100" t="s">
        <v>30</v>
      </c>
      <c r="C27" s="101" t="s">
        <v>31</v>
      </c>
      <c r="D27" s="102" t="s">
        <v>2</v>
      </c>
      <c r="E27" s="103" t="s">
        <v>32</v>
      </c>
      <c r="F27" s="104" t="s">
        <v>33</v>
      </c>
      <c r="G27" s="105" t="s">
        <v>34</v>
      </c>
      <c r="H27" s="827" t="s">
        <v>35</v>
      </c>
      <c r="I27" s="811" t="s">
        <v>36</v>
      </c>
      <c r="J27" s="811" t="s">
        <v>37</v>
      </c>
      <c r="K27" s="1146" t="s">
        <v>38</v>
      </c>
      <c r="L27" s="1147" t="s">
        <v>39</v>
      </c>
      <c r="M27" s="1147" t="s">
        <v>40</v>
      </c>
      <c r="N27" s="1147" t="s">
        <v>41</v>
      </c>
      <c r="O27" s="1147" t="s">
        <v>42</v>
      </c>
      <c r="P27" s="1147" t="s">
        <v>43</v>
      </c>
      <c r="Q27" s="1148" t="s">
        <v>44</v>
      </c>
      <c r="R27" s="1147" t="s">
        <v>38</v>
      </c>
      <c r="S27" s="1148" t="s">
        <v>45</v>
      </c>
      <c r="T27" s="1740" t="s">
        <v>67</v>
      </c>
      <c r="U27" s="1739" t="s">
        <v>68</v>
      </c>
      <c r="V27" s="1736" t="s">
        <v>69</v>
      </c>
      <c r="W27" s="1736" t="s">
        <v>456</v>
      </c>
      <c r="X27" s="1736" t="s">
        <v>9</v>
      </c>
      <c r="Y27" s="1737" t="s">
        <v>9</v>
      </c>
      <c r="Z27" s="1149" t="s">
        <v>46</v>
      </c>
      <c r="AA27" s="1149" t="s">
        <v>47</v>
      </c>
      <c r="AB27" s="1150" t="s">
        <v>48</v>
      </c>
      <c r="AC27" s="1150" t="s">
        <v>308</v>
      </c>
      <c r="AD27" s="1150" t="s">
        <v>3</v>
      </c>
      <c r="AE27" s="1151" t="s">
        <v>3</v>
      </c>
      <c r="AF27" s="1152" t="s">
        <v>49</v>
      </c>
      <c r="AG27" s="1153" t="s">
        <v>50</v>
      </c>
      <c r="AH27" s="1154" t="s">
        <v>282</v>
      </c>
      <c r="AI27" s="1152" t="s">
        <v>349</v>
      </c>
      <c r="AJ27" s="1155"/>
      <c r="AK27" s="1156" t="s">
        <v>51</v>
      </c>
      <c r="AL27" s="1157" t="s">
        <v>52</v>
      </c>
      <c r="AM27" s="1158" t="s">
        <v>53</v>
      </c>
      <c r="AN27" s="1159" t="s">
        <v>54</v>
      </c>
      <c r="AO27" s="1160" t="s">
        <v>350</v>
      </c>
      <c r="AP27" s="1152" t="s">
        <v>5</v>
      </c>
      <c r="AQ27" s="1161" t="s">
        <v>55</v>
      </c>
      <c r="AR27" s="1162" t="s">
        <v>56</v>
      </c>
      <c r="AS27" s="1153" t="s">
        <v>57</v>
      </c>
      <c r="AT27" s="1154" t="s">
        <v>58</v>
      </c>
      <c r="AU27" s="1152" t="s">
        <v>351</v>
      </c>
      <c r="AV27" s="1152" t="s">
        <v>59</v>
      </c>
      <c r="AW27" s="1152" t="s">
        <v>59</v>
      </c>
      <c r="AX27" s="1157" t="s">
        <v>60</v>
      </c>
      <c r="AY27" s="1152" t="s">
        <v>61</v>
      </c>
      <c r="AZ27" s="1154" t="s">
        <v>62</v>
      </c>
      <c r="BA27" s="1152" t="s">
        <v>352</v>
      </c>
      <c r="BB27" s="1156" t="s">
        <v>7</v>
      </c>
      <c r="BC27" s="1156" t="s">
        <v>7</v>
      </c>
      <c r="BD27" s="1157" t="s">
        <v>64</v>
      </c>
      <c r="BE27" s="1153" t="s">
        <v>65</v>
      </c>
      <c r="BF27" s="1154" t="s">
        <v>66</v>
      </c>
      <c r="BG27" s="1152" t="s">
        <v>353</v>
      </c>
      <c r="BH27" s="1163" t="s">
        <v>8</v>
      </c>
      <c r="BI27" s="1156" t="s">
        <v>8</v>
      </c>
      <c r="BJ27" s="1157" t="s">
        <v>67</v>
      </c>
      <c r="BK27" s="1152" t="s">
        <v>68</v>
      </c>
      <c r="BL27" s="1154" t="s">
        <v>69</v>
      </c>
      <c r="BM27" s="1152" t="s">
        <v>354</v>
      </c>
      <c r="BN27" s="1164" t="s">
        <v>9</v>
      </c>
      <c r="BO27" s="1164" t="s">
        <v>9</v>
      </c>
      <c r="BP27" s="1165" t="s">
        <v>70</v>
      </c>
      <c r="BQ27" s="1166" t="s">
        <v>71</v>
      </c>
      <c r="BR27" s="1156" t="s">
        <v>72</v>
      </c>
      <c r="BS27" s="1"/>
    </row>
    <row r="28" spans="1:72" x14ac:dyDescent="0.3">
      <c r="A28" s="112"/>
      <c r="B28" s="113" t="s">
        <v>73</v>
      </c>
      <c r="C28" s="114" t="s">
        <v>441</v>
      </c>
      <c r="D28" s="115" t="s">
        <v>11</v>
      </c>
      <c r="E28" s="116">
        <v>2.5</v>
      </c>
      <c r="F28" s="116" t="e">
        <f>(BR28/G28)/4</f>
        <v>#DIV/0!</v>
      </c>
      <c r="G28" s="19"/>
      <c r="H28" s="828">
        <f>G28*E28</f>
        <v>0</v>
      </c>
      <c r="I28" s="848"/>
      <c r="J28" s="848"/>
      <c r="K28" s="1167">
        <f t="shared" ref="K28:S41" si="5">J28-$H28</f>
        <v>0</v>
      </c>
      <c r="L28" s="1168">
        <f t="shared" si="5"/>
        <v>0</v>
      </c>
      <c r="M28" s="1167">
        <f t="shared" si="5"/>
        <v>0</v>
      </c>
      <c r="N28" s="1167">
        <f t="shared" si="5"/>
        <v>0</v>
      </c>
      <c r="O28" s="1167">
        <f t="shared" si="5"/>
        <v>0</v>
      </c>
      <c r="P28" s="1169">
        <f t="shared" si="5"/>
        <v>0</v>
      </c>
      <c r="Q28" s="1167">
        <f t="shared" si="5"/>
        <v>0</v>
      </c>
      <c r="R28" s="1169">
        <f t="shared" si="5"/>
        <v>0</v>
      </c>
      <c r="S28" s="1170">
        <f t="shared" si="5"/>
        <v>0</v>
      </c>
      <c r="T28" s="1844"/>
      <c r="U28" s="1362"/>
      <c r="V28" s="1224"/>
      <c r="W28" s="1362"/>
      <c r="X28" s="1224"/>
      <c r="Y28" s="1899"/>
      <c r="Z28" s="1172"/>
      <c r="AA28" s="1172"/>
      <c r="AB28" s="1091"/>
      <c r="AC28" s="1173"/>
      <c r="AD28" s="1174"/>
      <c r="AE28" s="1175"/>
      <c r="AF28" s="1176"/>
      <c r="AG28" s="1177"/>
      <c r="AH28" s="1178"/>
      <c r="AI28" s="1179"/>
      <c r="AJ28" s="1180"/>
      <c r="AK28" s="1181"/>
      <c r="AL28" s="1182"/>
      <c r="AM28" s="1096"/>
      <c r="AN28" s="1097"/>
      <c r="AO28" s="1183"/>
      <c r="AP28" s="1184"/>
      <c r="AQ28" s="1185"/>
      <c r="AR28" s="1186"/>
      <c r="AS28" s="1177"/>
      <c r="AT28" s="1178"/>
      <c r="AU28" s="1179"/>
      <c r="AV28" s="1180"/>
      <c r="AW28" s="1180"/>
      <c r="AX28" s="1171"/>
      <c r="AY28" s="1095"/>
      <c r="AZ28" s="1098"/>
      <c r="BA28" s="1187"/>
      <c r="BB28" s="1184"/>
      <c r="BC28" s="1181"/>
      <c r="BD28" s="1188"/>
      <c r="BE28" s="1177"/>
      <c r="BF28" s="1189"/>
      <c r="BG28" s="1179"/>
      <c r="BH28" s="1180"/>
      <c r="BI28" s="1181"/>
      <c r="BJ28" s="1188"/>
      <c r="BK28" s="1176"/>
      <c r="BL28" s="1189"/>
      <c r="BM28" s="1179"/>
      <c r="BN28" s="1180"/>
      <c r="BO28" s="1190"/>
      <c r="BP28" s="1191"/>
      <c r="BQ28" s="1191"/>
      <c r="BR28" s="1191">
        <f>BP28-BQ28</f>
        <v>0</v>
      </c>
      <c r="BS28" s="1"/>
      <c r="BT28" s="1192">
        <f t="shared" ref="BT28:BT41" si="6">SUM(Z28:BO28)</f>
        <v>0</v>
      </c>
    </row>
    <row r="29" spans="1:72" x14ac:dyDescent="0.3">
      <c r="A29" s="132"/>
      <c r="B29" s="133" t="s">
        <v>74</v>
      </c>
      <c r="C29" s="134" t="s">
        <v>442</v>
      </c>
      <c r="D29" s="135" t="s">
        <v>11</v>
      </c>
      <c r="E29" s="136">
        <v>3</v>
      </c>
      <c r="F29" s="136" t="e">
        <f t="shared" ref="F29:F41" si="7">(BR29/G29)/7</f>
        <v>#DIV/0!</v>
      </c>
      <c r="G29" s="137"/>
      <c r="H29" s="269">
        <f t="shared" ref="H29:H41" si="8">G29*E29</f>
        <v>0</v>
      </c>
      <c r="I29" s="375"/>
      <c r="J29" s="375"/>
      <c r="K29" s="1193">
        <f t="shared" si="5"/>
        <v>0</v>
      </c>
      <c r="L29" s="1194">
        <f t="shared" si="5"/>
        <v>0</v>
      </c>
      <c r="M29" s="1193">
        <f t="shared" si="5"/>
        <v>0</v>
      </c>
      <c r="N29" s="1194">
        <f t="shared" si="5"/>
        <v>0</v>
      </c>
      <c r="O29" s="1193">
        <f t="shared" si="5"/>
        <v>0</v>
      </c>
      <c r="P29" s="1194">
        <f t="shared" si="5"/>
        <v>0</v>
      </c>
      <c r="Q29" s="1194">
        <f t="shared" si="5"/>
        <v>0</v>
      </c>
      <c r="R29" s="1194">
        <f t="shared" si="5"/>
        <v>0</v>
      </c>
      <c r="S29" s="1195">
        <f t="shared" si="5"/>
        <v>0</v>
      </c>
      <c r="T29" s="1840"/>
      <c r="U29" s="1104"/>
      <c r="V29" s="1195"/>
      <c r="W29" s="1104"/>
      <c r="X29" s="1195"/>
      <c r="Y29" s="1897"/>
      <c r="Z29" s="1103"/>
      <c r="AA29" s="1103"/>
      <c r="AB29" s="1104"/>
      <c r="AC29" s="1114"/>
      <c r="AD29" s="1196"/>
      <c r="AE29" s="1197"/>
      <c r="AF29" s="1198"/>
      <c r="AG29" s="1199"/>
      <c r="AH29" s="1200"/>
      <c r="AI29" s="1201"/>
      <c r="AJ29" s="1202"/>
      <c r="AK29" s="1203"/>
      <c r="AL29" s="1204"/>
      <c r="AM29" s="1104"/>
      <c r="AN29" s="1205"/>
      <c r="AO29" s="1114"/>
      <c r="AP29" s="1206"/>
      <c r="AQ29" s="1207"/>
      <c r="AR29" s="1208"/>
      <c r="AS29" s="1199"/>
      <c r="AT29" s="1200"/>
      <c r="AU29" s="1201"/>
      <c r="AV29" s="1202"/>
      <c r="AW29" s="1202"/>
      <c r="AX29" s="1204"/>
      <c r="AY29" s="1103"/>
      <c r="AZ29" s="1209"/>
      <c r="BA29" s="1113"/>
      <c r="BB29" s="1206"/>
      <c r="BC29" s="1203"/>
      <c r="BD29" s="1210"/>
      <c r="BE29" s="1199"/>
      <c r="BF29" s="1200"/>
      <c r="BG29" s="1201"/>
      <c r="BH29" s="1202"/>
      <c r="BI29" s="1203"/>
      <c r="BJ29" s="1210"/>
      <c r="BK29" s="1198"/>
      <c r="BL29" s="1200"/>
      <c r="BM29" s="1201"/>
      <c r="BN29" s="1202"/>
      <c r="BO29" s="1211"/>
      <c r="BP29" s="1212"/>
      <c r="BQ29" s="1212"/>
      <c r="BR29" s="1212">
        <f>BP29-BQ29</f>
        <v>0</v>
      </c>
      <c r="BS29" s="1"/>
      <c r="BT29" s="1192">
        <f t="shared" si="6"/>
        <v>0</v>
      </c>
    </row>
    <row r="30" spans="1:72" x14ac:dyDescent="0.3">
      <c r="A30" s="143" t="s">
        <v>75</v>
      </c>
      <c r="B30" s="153" t="s">
        <v>76</v>
      </c>
      <c r="C30" s="134" t="s">
        <v>443</v>
      </c>
      <c r="D30" s="135" t="s">
        <v>11</v>
      </c>
      <c r="E30" s="136">
        <v>2.8</v>
      </c>
      <c r="F30" s="136" t="e">
        <f t="shared" si="7"/>
        <v>#DIV/0!</v>
      </c>
      <c r="G30" s="137"/>
      <c r="H30" s="269">
        <f t="shared" si="8"/>
        <v>0</v>
      </c>
      <c r="I30" s="375"/>
      <c r="J30" s="385"/>
      <c r="K30" s="1193">
        <f t="shared" si="5"/>
        <v>0</v>
      </c>
      <c r="L30" s="1193">
        <f t="shared" si="5"/>
        <v>0</v>
      </c>
      <c r="M30" s="1193">
        <f t="shared" si="5"/>
        <v>0</v>
      </c>
      <c r="N30" s="1194">
        <f t="shared" si="5"/>
        <v>0</v>
      </c>
      <c r="O30" s="1193">
        <f t="shared" si="5"/>
        <v>0</v>
      </c>
      <c r="P30" s="1194">
        <f t="shared" si="5"/>
        <v>0</v>
      </c>
      <c r="Q30" s="1193">
        <f t="shared" si="5"/>
        <v>0</v>
      </c>
      <c r="R30" s="1194">
        <f t="shared" si="5"/>
        <v>0</v>
      </c>
      <c r="S30" s="1195">
        <f t="shared" si="5"/>
        <v>0</v>
      </c>
      <c r="T30" s="1840"/>
      <c r="U30" s="1104"/>
      <c r="V30" s="1195"/>
      <c r="W30" s="1104"/>
      <c r="X30" s="1195"/>
      <c r="Y30" s="1897"/>
      <c r="Z30" s="1103"/>
      <c r="AA30" s="1103"/>
      <c r="AB30" s="1104"/>
      <c r="AC30" s="1114"/>
      <c r="AD30" s="1196"/>
      <c r="AE30" s="1197"/>
      <c r="AF30" s="1198"/>
      <c r="AG30" s="1199"/>
      <c r="AH30" s="1200"/>
      <c r="AI30" s="1201"/>
      <c r="AJ30" s="1202"/>
      <c r="AK30" s="1203"/>
      <c r="AL30" s="1204"/>
      <c r="AM30" s="1104"/>
      <c r="AN30" s="1205"/>
      <c r="AO30" s="1114"/>
      <c r="AP30" s="1206"/>
      <c r="AQ30" s="1207"/>
      <c r="AR30" s="1208"/>
      <c r="AS30" s="1199"/>
      <c r="AT30" s="1200"/>
      <c r="AU30" s="1201"/>
      <c r="AV30" s="1202"/>
      <c r="AW30" s="1202"/>
      <c r="AX30" s="1210"/>
      <c r="AY30" s="1103"/>
      <c r="AZ30" s="1209"/>
      <c r="BA30" s="1113"/>
      <c r="BB30" s="1206"/>
      <c r="BC30" s="1203"/>
      <c r="BD30" s="1210"/>
      <c r="BE30" s="1199"/>
      <c r="BF30" s="1200"/>
      <c r="BG30" s="1201"/>
      <c r="BH30" s="1202"/>
      <c r="BI30" s="1207"/>
      <c r="BJ30" s="1210"/>
      <c r="BK30" s="1198"/>
      <c r="BL30" s="1200"/>
      <c r="BM30" s="1201"/>
      <c r="BN30" s="1202"/>
      <c r="BO30" s="1211"/>
      <c r="BP30" s="1213"/>
      <c r="BQ30" s="1213"/>
      <c r="BR30" s="1213">
        <f>BP30-BQ30</f>
        <v>0</v>
      </c>
      <c r="BS30" s="1"/>
      <c r="BT30" s="1192">
        <f t="shared" si="6"/>
        <v>0</v>
      </c>
    </row>
    <row r="31" spans="1:72" x14ac:dyDescent="0.3">
      <c r="A31" s="143"/>
      <c r="B31" s="862"/>
      <c r="C31" s="134"/>
      <c r="D31" s="138" t="s">
        <v>11</v>
      </c>
      <c r="E31" s="136">
        <v>2.5</v>
      </c>
      <c r="F31" s="155" t="e">
        <f t="shared" si="7"/>
        <v>#DIV/0!</v>
      </c>
      <c r="G31" s="156"/>
      <c r="H31" s="299">
        <f t="shared" si="8"/>
        <v>0</v>
      </c>
      <c r="I31" s="362"/>
      <c r="J31" s="375"/>
      <c r="K31" s="1193">
        <f t="shared" si="5"/>
        <v>0</v>
      </c>
      <c r="L31" s="1194">
        <f t="shared" si="5"/>
        <v>0</v>
      </c>
      <c r="M31" s="1193">
        <f t="shared" si="5"/>
        <v>0</v>
      </c>
      <c r="N31" s="1194">
        <f t="shared" si="5"/>
        <v>0</v>
      </c>
      <c r="O31" s="1193">
        <f t="shared" si="5"/>
        <v>0</v>
      </c>
      <c r="P31" s="1194">
        <f t="shared" si="5"/>
        <v>0</v>
      </c>
      <c r="Q31" s="1193">
        <f t="shared" si="5"/>
        <v>0</v>
      </c>
      <c r="R31" s="1194">
        <f t="shared" si="5"/>
        <v>0</v>
      </c>
      <c r="S31" s="1195">
        <f>(R31-$H31)+AO31</f>
        <v>0</v>
      </c>
      <c r="T31" s="1841"/>
      <c r="U31" s="1096"/>
      <c r="V31" s="1287"/>
      <c r="W31" s="1096"/>
      <c r="X31" s="1287"/>
      <c r="Y31" s="1898"/>
      <c r="Z31" s="1095"/>
      <c r="AA31" s="1095"/>
      <c r="AB31" s="1096"/>
      <c r="AC31" s="1183"/>
      <c r="AD31" s="1214"/>
      <c r="AE31" s="1215"/>
      <c r="AF31" s="1176"/>
      <c r="AG31" s="1177"/>
      <c r="AH31" s="1189"/>
      <c r="AI31" s="1179"/>
      <c r="AJ31" s="1180"/>
      <c r="AK31" s="1181"/>
      <c r="AL31" s="1216"/>
      <c r="AM31" s="1096"/>
      <c r="AN31" s="1097"/>
      <c r="AO31" s="1183"/>
      <c r="AP31" s="1184"/>
      <c r="AQ31" s="1185"/>
      <c r="AR31" s="1186"/>
      <c r="AS31" s="1177"/>
      <c r="AT31" s="1189"/>
      <c r="AU31" s="1179"/>
      <c r="AV31" s="1180"/>
      <c r="AW31" s="1180"/>
      <c r="AX31" s="1188"/>
      <c r="AY31" s="1095"/>
      <c r="AZ31" s="1098"/>
      <c r="BA31" s="1187"/>
      <c r="BB31" s="1184"/>
      <c r="BC31" s="1181"/>
      <c r="BD31" s="1188"/>
      <c r="BE31" s="1177"/>
      <c r="BF31" s="1189"/>
      <c r="BG31" s="1179"/>
      <c r="BH31" s="1180"/>
      <c r="BI31" s="1181"/>
      <c r="BJ31" s="1188"/>
      <c r="BK31" s="1176"/>
      <c r="BL31" s="1189"/>
      <c r="BM31" s="1179"/>
      <c r="BN31" s="1180"/>
      <c r="BO31" s="1190"/>
      <c r="BP31" s="1217"/>
      <c r="BQ31" s="1217"/>
      <c r="BR31" s="1217"/>
      <c r="BS31" s="1"/>
      <c r="BT31" s="1192">
        <f t="shared" si="6"/>
        <v>0</v>
      </c>
    </row>
    <row r="32" spans="1:72" x14ac:dyDescent="0.3">
      <c r="A32" s="130"/>
      <c r="B32" s="863"/>
      <c r="C32" s="161"/>
      <c r="D32" s="135" t="s">
        <v>11</v>
      </c>
      <c r="E32" s="136">
        <v>3</v>
      </c>
      <c r="F32" s="136" t="e">
        <f t="shared" si="7"/>
        <v>#DIV/0!</v>
      </c>
      <c r="G32" s="137"/>
      <c r="H32" s="269">
        <f t="shared" si="8"/>
        <v>0</v>
      </c>
      <c r="I32" s="375"/>
      <c r="J32" s="375"/>
      <c r="K32" s="1193">
        <f t="shared" si="5"/>
        <v>0</v>
      </c>
      <c r="L32" s="1194">
        <f t="shared" si="5"/>
        <v>0</v>
      </c>
      <c r="M32" s="1193">
        <f t="shared" si="5"/>
        <v>0</v>
      </c>
      <c r="N32" s="1194">
        <f t="shared" si="5"/>
        <v>0</v>
      </c>
      <c r="O32" s="1193">
        <f t="shared" si="5"/>
        <v>0</v>
      </c>
      <c r="P32" s="1194">
        <f t="shared" si="5"/>
        <v>0</v>
      </c>
      <c r="Q32" s="1193">
        <f t="shared" si="5"/>
        <v>0</v>
      </c>
      <c r="R32" s="1194">
        <f t="shared" si="5"/>
        <v>0</v>
      </c>
      <c r="S32" s="1195">
        <f>(R32-$H32)</f>
        <v>0</v>
      </c>
      <c r="T32" s="1843"/>
      <c r="U32" s="1219"/>
      <c r="V32" s="1281"/>
      <c r="W32" s="1219"/>
      <c r="X32" s="1281"/>
      <c r="Y32" s="1896"/>
      <c r="Z32" s="1218"/>
      <c r="AA32" s="1218"/>
      <c r="AB32" s="1219"/>
      <c r="AC32" s="1220"/>
      <c r="AD32" s="1221"/>
      <c r="AE32" s="1197"/>
      <c r="AF32" s="1198"/>
      <c r="AG32" s="1199"/>
      <c r="AH32" s="1200"/>
      <c r="AI32" s="1201"/>
      <c r="AJ32" s="1202"/>
      <c r="AK32" s="1203"/>
      <c r="AL32" s="1204"/>
      <c r="AM32" s="1104"/>
      <c r="AN32" s="1205"/>
      <c r="AO32" s="1114"/>
      <c r="AP32" s="1206"/>
      <c r="AQ32" s="1207"/>
      <c r="AR32" s="1208"/>
      <c r="AS32" s="1199"/>
      <c r="AT32" s="1200"/>
      <c r="AU32" s="1201"/>
      <c r="AV32" s="1202"/>
      <c r="AW32" s="1202"/>
      <c r="AX32" s="1210"/>
      <c r="AY32" s="1103"/>
      <c r="AZ32" s="1209"/>
      <c r="BA32" s="1113"/>
      <c r="BB32" s="1206"/>
      <c r="BC32" s="1203"/>
      <c r="BD32" s="1210"/>
      <c r="BE32" s="1199"/>
      <c r="BF32" s="1200"/>
      <c r="BG32" s="1201"/>
      <c r="BH32" s="1202"/>
      <c r="BI32" s="1207"/>
      <c r="BJ32" s="1210"/>
      <c r="BK32" s="1198"/>
      <c r="BL32" s="1200"/>
      <c r="BM32" s="1201"/>
      <c r="BN32" s="1202"/>
      <c r="BO32" s="1211"/>
      <c r="BP32" s="1217"/>
      <c r="BQ32" s="1217"/>
      <c r="BR32" s="1217"/>
      <c r="BS32" s="1"/>
      <c r="BT32" s="1192">
        <f t="shared" si="6"/>
        <v>0</v>
      </c>
    </row>
    <row r="33" spans="1:72" ht="15" thickBot="1" x14ac:dyDescent="0.35">
      <c r="A33" s="297"/>
      <c r="B33" s="621"/>
      <c r="C33" s="621"/>
      <c r="D33" s="237" t="s">
        <v>11</v>
      </c>
      <c r="E33" s="622">
        <v>3</v>
      </c>
      <c r="F33" s="622" t="e">
        <f t="shared" si="7"/>
        <v>#DIV/0!</v>
      </c>
      <c r="G33" s="192"/>
      <c r="H33" s="300">
        <f t="shared" si="8"/>
        <v>0</v>
      </c>
      <c r="I33" s="386"/>
      <c r="J33" s="386"/>
      <c r="K33" s="1222">
        <f t="shared" si="5"/>
        <v>0</v>
      </c>
      <c r="L33" s="1223">
        <f t="shared" si="5"/>
        <v>0</v>
      </c>
      <c r="M33" s="1222">
        <f t="shared" si="5"/>
        <v>0</v>
      </c>
      <c r="N33" s="1223">
        <f t="shared" si="5"/>
        <v>0</v>
      </c>
      <c r="O33" s="1222">
        <f t="shared" si="5"/>
        <v>0</v>
      </c>
      <c r="P33" s="1223">
        <f t="shared" si="5"/>
        <v>0</v>
      </c>
      <c r="Q33" s="1222">
        <f t="shared" si="5"/>
        <v>0</v>
      </c>
      <c r="R33" s="1223">
        <f t="shared" si="5"/>
        <v>0</v>
      </c>
      <c r="S33" s="1224">
        <f>(R33-$H33)</f>
        <v>0</v>
      </c>
      <c r="T33" s="1844"/>
      <c r="U33" s="1362"/>
      <c r="V33" s="1224"/>
      <c r="W33" s="1362"/>
      <c r="X33" s="1224"/>
      <c r="Y33" s="1899"/>
      <c r="Z33" s="1218"/>
      <c r="AA33" s="1218"/>
      <c r="AB33" s="1219"/>
      <c r="AC33" s="1220"/>
      <c r="AD33" s="1221"/>
      <c r="AE33" s="1225"/>
      <c r="AF33" s="1226"/>
      <c r="AG33" s="1227"/>
      <c r="AH33" s="1228"/>
      <c r="AI33" s="1229"/>
      <c r="AJ33" s="1230"/>
      <c r="AK33" s="1231"/>
      <c r="AL33" s="1232"/>
      <c r="AM33" s="1219"/>
      <c r="AN33" s="1233"/>
      <c r="AO33" s="1220"/>
      <c r="AP33" s="1234"/>
      <c r="AQ33" s="1235"/>
      <c r="AR33" s="1236"/>
      <c r="AS33" s="1227"/>
      <c r="AT33" s="1228"/>
      <c r="AU33" s="1229"/>
      <c r="AV33" s="1230"/>
      <c r="AW33" s="1230"/>
      <c r="AX33" s="1237"/>
      <c r="AY33" s="1218"/>
      <c r="AZ33" s="1238"/>
      <c r="BA33" s="1239"/>
      <c r="BB33" s="1234"/>
      <c r="BC33" s="1231"/>
      <c r="BD33" s="1237"/>
      <c r="BE33" s="1227"/>
      <c r="BF33" s="1228"/>
      <c r="BG33" s="1229"/>
      <c r="BH33" s="1230"/>
      <c r="BI33" s="1231"/>
      <c r="BJ33" s="1237"/>
      <c r="BK33" s="1226"/>
      <c r="BL33" s="1228"/>
      <c r="BM33" s="1229"/>
      <c r="BN33" s="1230"/>
      <c r="BO33" s="1240"/>
      <c r="BP33" s="1212"/>
      <c r="BQ33" s="1241"/>
      <c r="BR33" s="1212"/>
      <c r="BS33" s="1"/>
      <c r="BT33" s="1192">
        <f t="shared" si="6"/>
        <v>0</v>
      </c>
    </row>
    <row r="34" spans="1:72" s="7" customFormat="1" ht="18" x14ac:dyDescent="0.35">
      <c r="A34" s="923"/>
      <c r="B34" s="924" t="s">
        <v>77</v>
      </c>
      <c r="C34" s="926"/>
      <c r="D34" s="933" t="s">
        <v>78</v>
      </c>
      <c r="E34" s="928">
        <v>6</v>
      </c>
      <c r="F34" s="1015" t="e">
        <f t="shared" si="7"/>
        <v>#DIV/0!</v>
      </c>
      <c r="G34" s="254"/>
      <c r="H34" s="832">
        <f t="shared" si="8"/>
        <v>0</v>
      </c>
      <c r="I34" s="392"/>
      <c r="J34" s="392"/>
      <c r="K34" s="1242">
        <f t="shared" si="5"/>
        <v>0</v>
      </c>
      <c r="L34" s="1243">
        <f t="shared" si="5"/>
        <v>0</v>
      </c>
      <c r="M34" s="1243">
        <f t="shared" si="5"/>
        <v>0</v>
      </c>
      <c r="N34" s="1243">
        <f t="shared" si="5"/>
        <v>0</v>
      </c>
      <c r="O34" s="1242">
        <f t="shared" si="5"/>
        <v>0</v>
      </c>
      <c r="P34" s="1243">
        <f t="shared" si="5"/>
        <v>0</v>
      </c>
      <c r="Q34" s="1242">
        <f t="shared" si="5"/>
        <v>0</v>
      </c>
      <c r="R34" s="1243">
        <f t="shared" si="5"/>
        <v>0</v>
      </c>
      <c r="S34" s="1244">
        <f t="shared" si="5"/>
        <v>0</v>
      </c>
      <c r="T34" s="1845"/>
      <c r="U34" s="1376"/>
      <c r="V34" s="1244"/>
      <c r="W34" s="1376"/>
      <c r="X34" s="1244"/>
      <c r="Y34" s="1900"/>
      <c r="Z34" s="1245"/>
      <c r="AA34" s="1245"/>
      <c r="AB34" s="1245"/>
      <c r="AC34" s="1246"/>
      <c r="AD34" s="1247"/>
      <c r="AE34" s="1248"/>
      <c r="AF34" s="1245"/>
      <c r="AG34" s="1245"/>
      <c r="AH34" s="1249"/>
      <c r="AI34" s="1246"/>
      <c r="AJ34" s="1250"/>
      <c r="AK34" s="1251"/>
      <c r="AL34" s="1252"/>
      <c r="AM34" s="1245"/>
      <c r="AN34" s="1253"/>
      <c r="AO34" s="1246"/>
      <c r="AP34" s="1247"/>
      <c r="AQ34" s="1251"/>
      <c r="AR34" s="1252"/>
      <c r="AS34" s="1245"/>
      <c r="AT34" s="1249"/>
      <c r="AU34" s="1246"/>
      <c r="AV34" s="1250"/>
      <c r="AW34" s="1250"/>
      <c r="AX34" s="1252"/>
      <c r="AY34" s="1245"/>
      <c r="AZ34" s="1249"/>
      <c r="BA34" s="1246"/>
      <c r="BB34" s="1250"/>
      <c r="BC34" s="1251"/>
      <c r="BD34" s="1252"/>
      <c r="BE34" s="1254"/>
      <c r="BF34" s="1249"/>
      <c r="BG34" s="1246"/>
      <c r="BH34" s="1250"/>
      <c r="BI34" s="1251"/>
      <c r="BJ34" s="1252"/>
      <c r="BK34" s="1245"/>
      <c r="BL34" s="1249"/>
      <c r="BM34" s="1246"/>
      <c r="BN34" s="1250"/>
      <c r="BO34" s="1255"/>
      <c r="BP34" s="1256"/>
      <c r="BQ34" s="1256"/>
      <c r="BR34" s="1256">
        <f>BP34-BQ34</f>
        <v>0</v>
      </c>
      <c r="BS34" s="1"/>
      <c r="BT34" s="1192">
        <f t="shared" si="6"/>
        <v>0</v>
      </c>
    </row>
    <row r="35" spans="1:72" s="7" customFormat="1" ht="18.600000000000001" thickBot="1" x14ac:dyDescent="0.4">
      <c r="A35" s="922"/>
      <c r="B35" s="925" t="s">
        <v>77</v>
      </c>
      <c r="C35" s="921"/>
      <c r="D35" s="927" t="s">
        <v>78</v>
      </c>
      <c r="E35" s="1016">
        <v>6</v>
      </c>
      <c r="F35" s="929">
        <f t="shared" si="7"/>
        <v>0</v>
      </c>
      <c r="G35" s="274">
        <v>43</v>
      </c>
      <c r="H35" s="833">
        <f t="shared" si="8"/>
        <v>258</v>
      </c>
      <c r="I35" s="409">
        <v>5800</v>
      </c>
      <c r="J35" s="409">
        <v>1800</v>
      </c>
      <c r="K35" s="1257">
        <f t="shared" si="5"/>
        <v>1542</v>
      </c>
      <c r="L35" s="1258">
        <f t="shared" si="5"/>
        <v>1284</v>
      </c>
      <c r="M35" s="2046">
        <v>3026</v>
      </c>
      <c r="N35" s="1258">
        <f t="shared" si="5"/>
        <v>2768</v>
      </c>
      <c r="O35" s="1257">
        <f t="shared" si="5"/>
        <v>2510</v>
      </c>
      <c r="P35" s="1258">
        <f t="shared" si="5"/>
        <v>2252</v>
      </c>
      <c r="Q35" s="1257">
        <f t="shared" si="5"/>
        <v>1994</v>
      </c>
      <c r="R35" s="1258">
        <f t="shared" si="5"/>
        <v>1736</v>
      </c>
      <c r="S35" s="1259">
        <f t="shared" si="5"/>
        <v>1478</v>
      </c>
      <c r="T35" s="1846"/>
      <c r="U35" s="1421"/>
      <c r="V35" s="1259"/>
      <c r="W35" s="1421"/>
      <c r="X35" s="1259"/>
      <c r="Y35" s="1901"/>
      <c r="Z35" s="1260"/>
      <c r="AA35" s="1260"/>
      <c r="AB35" s="1260"/>
      <c r="AC35" s="1261"/>
      <c r="AD35" s="1262"/>
      <c r="AE35" s="1263"/>
      <c r="AF35" s="1260"/>
      <c r="AG35" s="1260"/>
      <c r="AH35" s="1264"/>
      <c r="AI35" s="1261"/>
      <c r="AJ35" s="1265"/>
      <c r="AK35" s="1266"/>
      <c r="AL35" s="1267"/>
      <c r="AM35" s="1260"/>
      <c r="AN35" s="1268">
        <v>2000</v>
      </c>
      <c r="AO35" s="1261"/>
      <c r="AP35" s="1262"/>
      <c r="AQ35" s="1266"/>
      <c r="AR35" s="1267"/>
      <c r="AS35" s="1260"/>
      <c r="AT35" s="1264"/>
      <c r="AU35" s="1261"/>
      <c r="AV35" s="1265"/>
      <c r="AW35" s="1265"/>
      <c r="AX35" s="1267"/>
      <c r="AY35" s="1260"/>
      <c r="AZ35" s="1264"/>
      <c r="BA35" s="1261"/>
      <c r="BB35" s="1265"/>
      <c r="BC35" s="1266"/>
      <c r="BD35" s="1267"/>
      <c r="BE35" s="1269"/>
      <c r="BF35" s="1264"/>
      <c r="BG35" s="1261"/>
      <c r="BH35" s="1265"/>
      <c r="BI35" s="1266"/>
      <c r="BJ35" s="1267"/>
      <c r="BK35" s="1260"/>
      <c r="BL35" s="1264"/>
      <c r="BM35" s="1261"/>
      <c r="BN35" s="1265"/>
      <c r="BO35" s="1270"/>
      <c r="BP35" s="1271"/>
      <c r="BQ35" s="1271"/>
      <c r="BR35" s="1272"/>
      <c r="BS35" s="1"/>
      <c r="BT35" s="1192">
        <f t="shared" si="6"/>
        <v>2000</v>
      </c>
    </row>
    <row r="36" spans="1:72" ht="18" x14ac:dyDescent="0.35">
      <c r="A36" s="630"/>
      <c r="B36" s="865" t="s">
        <v>526</v>
      </c>
      <c r="C36" s="181"/>
      <c r="D36" s="182" t="s">
        <v>80</v>
      </c>
      <c r="E36" s="183">
        <v>2.8</v>
      </c>
      <c r="F36" s="184">
        <f t="shared" si="7"/>
        <v>0</v>
      </c>
      <c r="G36" s="156">
        <v>117</v>
      </c>
      <c r="H36" s="299">
        <f t="shared" si="8"/>
        <v>327.59999999999997</v>
      </c>
      <c r="I36" s="362">
        <v>5800</v>
      </c>
      <c r="J36" s="362">
        <v>2000</v>
      </c>
      <c r="K36" s="1273">
        <f t="shared" si="5"/>
        <v>1672.4</v>
      </c>
      <c r="L36" s="1963">
        <v>3345</v>
      </c>
      <c r="M36" s="1274">
        <f t="shared" si="5"/>
        <v>3017.4</v>
      </c>
      <c r="N36" s="1274">
        <f t="shared" si="5"/>
        <v>2689.8</v>
      </c>
      <c r="O36" s="1273">
        <f t="shared" si="5"/>
        <v>2362.2000000000003</v>
      </c>
      <c r="P36" s="1274">
        <f t="shared" si="5"/>
        <v>2034.6000000000004</v>
      </c>
      <c r="Q36" s="1273">
        <f t="shared" si="5"/>
        <v>1707.0000000000005</v>
      </c>
      <c r="R36" s="1274">
        <f t="shared" si="5"/>
        <v>1379.4000000000005</v>
      </c>
      <c r="S36" s="1273">
        <f t="shared" si="5"/>
        <v>1051.8000000000006</v>
      </c>
      <c r="T36" s="1847"/>
      <c r="U36" s="1183"/>
      <c r="V36" s="1273"/>
      <c r="W36" s="1183"/>
      <c r="X36" s="1273"/>
      <c r="Y36" s="1902"/>
      <c r="Z36" s="1179"/>
      <c r="AA36" s="1179"/>
      <c r="AB36" s="1179"/>
      <c r="AC36" s="1179"/>
      <c r="AD36" s="1180"/>
      <c r="AE36" s="1275"/>
      <c r="AF36" s="1179"/>
      <c r="AG36" s="1179">
        <v>2000</v>
      </c>
      <c r="AH36" s="1276"/>
      <c r="AI36" s="1179"/>
      <c r="AJ36" s="1180"/>
      <c r="AK36" s="1181"/>
      <c r="AL36" s="1277"/>
      <c r="AM36" s="1179"/>
      <c r="AN36" s="1278"/>
      <c r="AO36" s="1179"/>
      <c r="AP36" s="1180"/>
      <c r="AQ36" s="1181"/>
      <c r="AR36" s="1277"/>
      <c r="AS36" s="1179"/>
      <c r="AT36" s="1276"/>
      <c r="AU36" s="1179"/>
      <c r="AV36" s="1180"/>
      <c r="AW36" s="1180"/>
      <c r="AX36" s="1188"/>
      <c r="AY36" s="1176"/>
      <c r="AZ36" s="1189"/>
      <c r="BA36" s="1179"/>
      <c r="BB36" s="1180"/>
      <c r="BC36" s="1181"/>
      <c r="BD36" s="1188"/>
      <c r="BE36" s="1177"/>
      <c r="BF36" s="1189"/>
      <c r="BG36" s="1179"/>
      <c r="BH36" s="1180"/>
      <c r="BI36" s="1181"/>
      <c r="BJ36" s="1277"/>
      <c r="BK36" s="1179"/>
      <c r="BL36" s="1276"/>
      <c r="BM36" s="1179"/>
      <c r="BN36" s="1180"/>
      <c r="BO36" s="1190"/>
      <c r="BP36" s="1279"/>
      <c r="BQ36" s="1279"/>
      <c r="BR36" s="1217">
        <f>BP36-BQ36</f>
        <v>0</v>
      </c>
      <c r="BS36" s="1"/>
      <c r="BT36" s="1192">
        <f t="shared" si="6"/>
        <v>2000</v>
      </c>
    </row>
    <row r="37" spans="1:72" ht="18" x14ac:dyDescent="0.35">
      <c r="A37" s="189"/>
      <c r="B37" s="153" t="s">
        <v>527</v>
      </c>
      <c r="C37" s="190"/>
      <c r="D37" s="135" t="s">
        <v>80</v>
      </c>
      <c r="E37" s="136">
        <v>2.8</v>
      </c>
      <c r="F37" s="136">
        <f t="shared" si="7"/>
        <v>0</v>
      </c>
      <c r="G37" s="137">
        <v>108</v>
      </c>
      <c r="H37" s="269">
        <f t="shared" si="8"/>
        <v>302.39999999999998</v>
      </c>
      <c r="I37" s="375">
        <v>5800</v>
      </c>
      <c r="J37" s="385">
        <v>2500</v>
      </c>
      <c r="K37" s="1273">
        <f t="shared" si="5"/>
        <v>2197.6</v>
      </c>
      <c r="L37" s="1963">
        <v>3859</v>
      </c>
      <c r="M37" s="1273">
        <f t="shared" si="5"/>
        <v>3556.6</v>
      </c>
      <c r="N37" s="1274">
        <f t="shared" si="5"/>
        <v>3254.2</v>
      </c>
      <c r="O37" s="1273">
        <f t="shared" si="5"/>
        <v>2951.7999999999997</v>
      </c>
      <c r="P37" s="1274">
        <f t="shared" si="5"/>
        <v>2649.3999999999996</v>
      </c>
      <c r="Q37" s="1273">
        <f t="shared" si="5"/>
        <v>2346.9999999999995</v>
      </c>
      <c r="R37" s="1280">
        <f t="shared" si="5"/>
        <v>2044.5999999999995</v>
      </c>
      <c r="S37" s="1281">
        <f t="shared" si="5"/>
        <v>1742.1999999999994</v>
      </c>
      <c r="T37" s="1843"/>
      <c r="U37" s="1219"/>
      <c r="V37" s="1281"/>
      <c r="W37" s="1104"/>
      <c r="X37" s="1281"/>
      <c r="Y37" s="1896"/>
      <c r="Z37" s="1201"/>
      <c r="AA37" s="1201"/>
      <c r="AB37" s="1201"/>
      <c r="AC37" s="1201"/>
      <c r="AD37" s="1202"/>
      <c r="AE37" s="1282"/>
      <c r="AF37" s="1201"/>
      <c r="AG37" s="1201">
        <v>2000</v>
      </c>
      <c r="AH37" s="1117"/>
      <c r="AI37" s="1201"/>
      <c r="AJ37" s="1202"/>
      <c r="AK37" s="1203"/>
      <c r="AL37" s="1283"/>
      <c r="AM37" s="1201"/>
      <c r="AN37" s="1284"/>
      <c r="AO37" s="1201"/>
      <c r="AP37" s="1202"/>
      <c r="AQ37" s="1203"/>
      <c r="AR37" s="1283"/>
      <c r="AS37" s="1201"/>
      <c r="AT37" s="1117"/>
      <c r="AU37" s="1201"/>
      <c r="AV37" s="1202"/>
      <c r="AW37" s="1202"/>
      <c r="AX37" s="1204"/>
      <c r="AY37" s="1198"/>
      <c r="AZ37" s="1200"/>
      <c r="BA37" s="1201"/>
      <c r="BB37" s="1202"/>
      <c r="BC37" s="1203"/>
      <c r="BD37" s="1210"/>
      <c r="BE37" s="1199"/>
      <c r="BF37" s="1200"/>
      <c r="BG37" s="1201"/>
      <c r="BH37" s="1202"/>
      <c r="BI37" s="1203"/>
      <c r="BJ37" s="1283"/>
      <c r="BK37" s="1201"/>
      <c r="BL37" s="1117"/>
      <c r="BM37" s="1201"/>
      <c r="BN37" s="1202"/>
      <c r="BO37" s="1202"/>
      <c r="BP37" s="1285"/>
      <c r="BQ37" s="1285"/>
      <c r="BR37" s="1213"/>
      <c r="BS37" s="1"/>
      <c r="BT37" s="1192">
        <f t="shared" si="6"/>
        <v>2000</v>
      </c>
    </row>
    <row r="38" spans="1:72" ht="18" x14ac:dyDescent="0.35">
      <c r="A38" s="197"/>
      <c r="B38" s="134" t="s">
        <v>528</v>
      </c>
      <c r="C38" s="190"/>
      <c r="D38" s="135" t="s">
        <v>80</v>
      </c>
      <c r="E38" s="136">
        <v>2.8</v>
      </c>
      <c r="F38" s="136">
        <f t="shared" si="7"/>
        <v>0</v>
      </c>
      <c r="G38" s="137">
        <v>69</v>
      </c>
      <c r="H38" s="269">
        <f t="shared" si="8"/>
        <v>193.2</v>
      </c>
      <c r="I38" s="375">
        <v>2700</v>
      </c>
      <c r="J38" s="375">
        <v>600</v>
      </c>
      <c r="K38" s="2018">
        <v>1407</v>
      </c>
      <c r="L38" s="1274">
        <f t="shared" si="5"/>
        <v>1213.8</v>
      </c>
      <c r="M38" s="1273">
        <f t="shared" si="5"/>
        <v>1020.5999999999999</v>
      </c>
      <c r="N38" s="1274">
        <f t="shared" si="5"/>
        <v>827.39999999999986</v>
      </c>
      <c r="O38" s="1273">
        <f t="shared" si="5"/>
        <v>634.19999999999982</v>
      </c>
      <c r="P38" s="1274">
        <f t="shared" si="5"/>
        <v>440.99999999999983</v>
      </c>
      <c r="Q38" s="1273">
        <f t="shared" si="5"/>
        <v>247.79999999999984</v>
      </c>
      <c r="R38" s="1280">
        <f t="shared" si="5"/>
        <v>54.599999999999852</v>
      </c>
      <c r="S38" s="1281">
        <f t="shared" si="5"/>
        <v>-138.60000000000014</v>
      </c>
      <c r="T38" s="1843"/>
      <c r="U38" s="1219"/>
      <c r="V38" s="1281"/>
      <c r="W38" s="1219"/>
      <c r="X38" s="1281"/>
      <c r="Y38" s="1896"/>
      <c r="Z38" s="1201"/>
      <c r="AA38" s="1201">
        <v>1000</v>
      </c>
      <c r="AB38" s="1201"/>
      <c r="AC38" s="1201"/>
      <c r="AD38" s="1202"/>
      <c r="AE38" s="1282"/>
      <c r="AF38" s="1201"/>
      <c r="AG38" s="1201"/>
      <c r="AH38" s="1117"/>
      <c r="AI38" s="1201"/>
      <c r="AJ38" s="1202"/>
      <c r="AK38" s="1203"/>
      <c r="AL38" s="1283"/>
      <c r="AM38" s="1201"/>
      <c r="AN38" s="1284"/>
      <c r="AO38" s="1201"/>
      <c r="AP38" s="1202"/>
      <c r="AQ38" s="1203"/>
      <c r="AR38" s="1283"/>
      <c r="AS38" s="1201"/>
      <c r="AT38" s="1117"/>
      <c r="AU38" s="1201"/>
      <c r="AV38" s="1202"/>
      <c r="AW38" s="1202"/>
      <c r="AX38" s="1204"/>
      <c r="AY38" s="1198"/>
      <c r="AZ38" s="1200"/>
      <c r="BA38" s="1201"/>
      <c r="BB38" s="1202"/>
      <c r="BC38" s="1203"/>
      <c r="BD38" s="1210"/>
      <c r="BE38" s="1199"/>
      <c r="BF38" s="1200"/>
      <c r="BG38" s="1201"/>
      <c r="BH38" s="1202"/>
      <c r="BI38" s="1203"/>
      <c r="BJ38" s="1283"/>
      <c r="BK38" s="1201"/>
      <c r="BL38" s="1117"/>
      <c r="BM38" s="1201"/>
      <c r="BN38" s="1202"/>
      <c r="BO38" s="1202"/>
      <c r="BP38" s="1285"/>
      <c r="BQ38" s="1285"/>
      <c r="BR38" s="1213"/>
      <c r="BS38" s="1"/>
      <c r="BT38" s="1192">
        <f t="shared" si="6"/>
        <v>1000</v>
      </c>
    </row>
    <row r="39" spans="1:72" ht="18" x14ac:dyDescent="0.35">
      <c r="A39" s="189"/>
      <c r="B39" s="181"/>
      <c r="C39" s="181"/>
      <c r="D39" s="182" t="s">
        <v>80</v>
      </c>
      <c r="E39" s="136">
        <v>2.5</v>
      </c>
      <c r="F39" s="136" t="e">
        <f t="shared" si="7"/>
        <v>#DIV/0!</v>
      </c>
      <c r="G39" s="137"/>
      <c r="H39" s="269">
        <f t="shared" si="8"/>
        <v>0</v>
      </c>
      <c r="I39" s="849"/>
      <c r="J39" s="375"/>
      <c r="K39" s="1273">
        <f t="shared" si="5"/>
        <v>0</v>
      </c>
      <c r="L39" s="1274">
        <f t="shared" si="5"/>
        <v>0</v>
      </c>
      <c r="M39" s="1273">
        <f t="shared" si="5"/>
        <v>0</v>
      </c>
      <c r="N39" s="1274">
        <f t="shared" si="5"/>
        <v>0</v>
      </c>
      <c r="O39" s="1273">
        <f t="shared" si="5"/>
        <v>0</v>
      </c>
      <c r="P39" s="1274">
        <f t="shared" si="5"/>
        <v>0</v>
      </c>
      <c r="Q39" s="1273">
        <f t="shared" si="5"/>
        <v>0</v>
      </c>
      <c r="R39" s="1194">
        <f t="shared" si="5"/>
        <v>0</v>
      </c>
      <c r="S39" s="1281">
        <f t="shared" si="5"/>
        <v>0</v>
      </c>
      <c r="T39" s="1843"/>
      <c r="U39" s="1219"/>
      <c r="V39" s="1281"/>
      <c r="W39" s="1219"/>
      <c r="X39" s="1281"/>
      <c r="Y39" s="1896"/>
      <c r="Z39" s="1201"/>
      <c r="AA39" s="1201"/>
      <c r="AB39" s="1201"/>
      <c r="AC39" s="1118"/>
      <c r="AD39" s="1211"/>
      <c r="AE39" s="1282"/>
      <c r="AF39" s="1201"/>
      <c r="AG39" s="1286"/>
      <c r="AH39" s="1117"/>
      <c r="AI39" s="1201"/>
      <c r="AJ39" s="1202"/>
      <c r="AK39" s="1203"/>
      <c r="AL39" s="1283"/>
      <c r="AM39" s="1201"/>
      <c r="AN39" s="1284"/>
      <c r="AO39" s="1201"/>
      <c r="AP39" s="1202"/>
      <c r="AQ39" s="1203"/>
      <c r="AR39" s="1283"/>
      <c r="AS39" s="1201"/>
      <c r="AT39" s="1117"/>
      <c r="AU39" s="1201"/>
      <c r="AV39" s="1202"/>
      <c r="AW39" s="1202"/>
      <c r="AX39" s="1204"/>
      <c r="AY39" s="1198"/>
      <c r="AZ39" s="1200"/>
      <c r="BA39" s="1201"/>
      <c r="BB39" s="1202"/>
      <c r="BC39" s="1203"/>
      <c r="BD39" s="1210"/>
      <c r="BE39" s="1199"/>
      <c r="BF39" s="1200"/>
      <c r="BG39" s="1201"/>
      <c r="BH39" s="1202"/>
      <c r="BI39" s="1203"/>
      <c r="BJ39" s="1283"/>
      <c r="BK39" s="1201"/>
      <c r="BL39" s="1117"/>
      <c r="BM39" s="1201"/>
      <c r="BN39" s="1202"/>
      <c r="BO39" s="1202"/>
      <c r="BP39" s="1285"/>
      <c r="BQ39" s="1285"/>
      <c r="BR39" s="1213"/>
      <c r="BS39" s="1"/>
      <c r="BT39" s="1192">
        <f t="shared" si="6"/>
        <v>0</v>
      </c>
    </row>
    <row r="40" spans="1:72" ht="18" x14ac:dyDescent="0.35">
      <c r="A40" s="197"/>
      <c r="B40" s="190"/>
      <c r="C40" s="190"/>
      <c r="D40" s="135" t="s">
        <v>80</v>
      </c>
      <c r="E40" s="136">
        <v>3</v>
      </c>
      <c r="F40" s="136" t="e">
        <f t="shared" si="7"/>
        <v>#DIV/0!</v>
      </c>
      <c r="G40" s="137"/>
      <c r="H40" s="269">
        <f t="shared" si="8"/>
        <v>0</v>
      </c>
      <c r="I40" s="849"/>
      <c r="J40" s="362"/>
      <c r="K40" s="1287">
        <f>(J40-$H40)+AY40</f>
        <v>0</v>
      </c>
      <c r="L40" s="1288">
        <f>(K40-$H40)+BE40</f>
        <v>0</v>
      </c>
      <c r="M40" s="1287">
        <f>(L40-$H40)+BK40</f>
        <v>0</v>
      </c>
      <c r="N40" s="1288">
        <f>(M40-$H40)+AA40</f>
        <v>0</v>
      </c>
      <c r="O40" s="1287">
        <f>(N40-$H40)+AG40</f>
        <v>0</v>
      </c>
      <c r="P40" s="1288">
        <f>(O40-$H40)+AM40</f>
        <v>0</v>
      </c>
      <c r="Q40" s="1287">
        <f>(P40-$H40)+AS40</f>
        <v>0</v>
      </c>
      <c r="R40" s="1289">
        <f t="shared" si="5"/>
        <v>0</v>
      </c>
      <c r="S40" s="1281">
        <f t="shared" si="5"/>
        <v>0</v>
      </c>
      <c r="T40" s="1843"/>
      <c r="U40" s="1219"/>
      <c r="V40" s="1281"/>
      <c r="W40" s="1219"/>
      <c r="X40" s="1281"/>
      <c r="Y40" s="1896"/>
      <c r="Z40" s="1201"/>
      <c r="AA40" s="1201"/>
      <c r="AB40" s="1201"/>
      <c r="AC40" s="1201"/>
      <c r="AD40" s="1202"/>
      <c r="AE40" s="1282"/>
      <c r="AF40" s="1201"/>
      <c r="AG40" s="1286"/>
      <c r="AH40" s="1117"/>
      <c r="AI40" s="1201"/>
      <c r="AJ40" s="1202"/>
      <c r="AK40" s="1203"/>
      <c r="AL40" s="1283"/>
      <c r="AM40" s="1201"/>
      <c r="AN40" s="1284"/>
      <c r="AO40" s="1201"/>
      <c r="AP40" s="1202"/>
      <c r="AQ40" s="1203"/>
      <c r="AR40" s="1283"/>
      <c r="AS40" s="1201"/>
      <c r="AT40" s="1117"/>
      <c r="AU40" s="1201"/>
      <c r="AV40" s="1202"/>
      <c r="AW40" s="1202"/>
      <c r="AX40" s="1204"/>
      <c r="AY40" s="1198"/>
      <c r="AZ40" s="1200"/>
      <c r="BA40" s="1201"/>
      <c r="BB40" s="1202"/>
      <c r="BC40" s="1203"/>
      <c r="BD40" s="1210"/>
      <c r="BE40" s="1199"/>
      <c r="BF40" s="1200"/>
      <c r="BG40" s="1201"/>
      <c r="BH40" s="1202"/>
      <c r="BI40" s="1203"/>
      <c r="BJ40" s="1283"/>
      <c r="BK40" s="1201"/>
      <c r="BL40" s="1117"/>
      <c r="BM40" s="1201"/>
      <c r="BN40" s="1202"/>
      <c r="BO40" s="1202"/>
      <c r="BP40" s="1285"/>
      <c r="BQ40" s="1285"/>
      <c r="BR40" s="1213"/>
      <c r="BS40" s="1"/>
      <c r="BT40" s="1192">
        <f t="shared" si="6"/>
        <v>0</v>
      </c>
    </row>
    <row r="41" spans="1:72" ht="15" thickBot="1" x14ac:dyDescent="0.35">
      <c r="A41" s="200"/>
      <c r="B41" s="201"/>
      <c r="C41" s="202"/>
      <c r="D41" s="203" t="s">
        <v>80</v>
      </c>
      <c r="E41" s="204">
        <v>3</v>
      </c>
      <c r="F41" s="205" t="e">
        <f t="shared" si="7"/>
        <v>#DIV/0!</v>
      </c>
      <c r="G41" s="206"/>
      <c r="H41" s="830">
        <f t="shared" si="8"/>
        <v>0</v>
      </c>
      <c r="I41" s="814"/>
      <c r="J41" s="814"/>
      <c r="K41" s="1290">
        <f>(J41-$H41)+AY41</f>
        <v>0</v>
      </c>
      <c r="L41" s="1291">
        <f>(K41-$H41)+BE41</f>
        <v>0</v>
      </c>
      <c r="M41" s="1290">
        <f>(L41-$H41)+BK41</f>
        <v>0</v>
      </c>
      <c r="N41" s="1291">
        <f>(M41-$H41)+AA41</f>
        <v>0</v>
      </c>
      <c r="O41" s="1290">
        <f>(N41-$H41)+AG41</f>
        <v>0</v>
      </c>
      <c r="P41" s="1291">
        <f>(O41-$H41)+AM41</f>
        <v>0</v>
      </c>
      <c r="Q41" s="1290">
        <f>(P41-$H41)+AS41</f>
        <v>0</v>
      </c>
      <c r="R41" s="1292">
        <f t="shared" si="5"/>
        <v>0</v>
      </c>
      <c r="S41" s="1293">
        <f t="shared" si="5"/>
        <v>0</v>
      </c>
      <c r="T41" s="1903"/>
      <c r="U41" s="1904"/>
      <c r="V41" s="1905"/>
      <c r="W41" s="1904"/>
      <c r="X41" s="1905"/>
      <c r="Y41" s="1906"/>
      <c r="Z41" s="1294"/>
      <c r="AA41" s="1294"/>
      <c r="AB41" s="1294"/>
      <c r="AC41" s="1295"/>
      <c r="AD41" s="1296"/>
      <c r="AE41" s="1297"/>
      <c r="AF41" s="1294"/>
      <c r="AG41" s="1295"/>
      <c r="AH41" s="1298"/>
      <c r="AI41" s="1294"/>
      <c r="AJ41" s="1296"/>
      <c r="AK41" s="1299"/>
      <c r="AL41" s="1300"/>
      <c r="AM41" s="1294"/>
      <c r="AN41" s="1301"/>
      <c r="AO41" s="1294"/>
      <c r="AP41" s="1296"/>
      <c r="AQ41" s="1299"/>
      <c r="AR41" s="1300"/>
      <c r="AS41" s="1294"/>
      <c r="AT41" s="1298"/>
      <c r="AU41" s="1294"/>
      <c r="AV41" s="1296"/>
      <c r="AW41" s="1296"/>
      <c r="AX41" s="1302"/>
      <c r="AY41" s="1303"/>
      <c r="AZ41" s="1304"/>
      <c r="BA41" s="1294"/>
      <c r="BB41" s="1296"/>
      <c r="BC41" s="1299"/>
      <c r="BD41" s="1302"/>
      <c r="BE41" s="1305"/>
      <c r="BF41" s="1304"/>
      <c r="BG41" s="1294"/>
      <c r="BH41" s="1296"/>
      <c r="BI41" s="1299"/>
      <c r="BJ41" s="1300"/>
      <c r="BK41" s="1294"/>
      <c r="BL41" s="1298"/>
      <c r="BM41" s="1294"/>
      <c r="BN41" s="1296"/>
      <c r="BO41" s="1296"/>
      <c r="BP41" s="1306"/>
      <c r="BQ41" s="1306"/>
      <c r="BR41" s="1307"/>
      <c r="BS41" s="1"/>
      <c r="BT41" s="1192">
        <f t="shared" si="6"/>
        <v>0</v>
      </c>
    </row>
    <row r="42" spans="1:72" x14ac:dyDescent="0.3">
      <c r="A42" s="1"/>
      <c r="B42" s="1"/>
      <c r="C42" s="1"/>
      <c r="D42" s="1"/>
      <c r="E42" s="1"/>
      <c r="F42" s="1"/>
      <c r="G42" s="1"/>
      <c r="H42" s="1"/>
      <c r="I42" s="815"/>
      <c r="J42" s="815"/>
      <c r="K42" s="1085"/>
      <c r="L42" s="1085"/>
      <c r="M42" s="1085"/>
      <c r="N42" s="1085"/>
      <c r="O42" s="1085"/>
      <c r="P42" s="1085"/>
      <c r="Q42" s="1085"/>
      <c r="R42" s="1085"/>
      <c r="S42" s="1085"/>
      <c r="T42" s="1310"/>
      <c r="U42" s="1085"/>
      <c r="V42" s="1085"/>
      <c r="W42" s="1085"/>
      <c r="X42" s="1085"/>
      <c r="Y42" s="1309"/>
      <c r="Z42" s="1085">
        <f>SUM(Z28:Z41)</f>
        <v>0</v>
      </c>
      <c r="AA42" s="1085">
        <f t="shared" ref="AA42:BO42" si="9">SUM(AA28:AA41)</f>
        <v>1000</v>
      </c>
      <c r="AB42" s="1085">
        <f t="shared" si="9"/>
        <v>0</v>
      </c>
      <c r="AC42" s="1085">
        <f t="shared" si="9"/>
        <v>0</v>
      </c>
      <c r="AD42" s="1085">
        <f t="shared" si="9"/>
        <v>0</v>
      </c>
      <c r="AE42" s="1308">
        <f t="shared" si="9"/>
        <v>0</v>
      </c>
      <c r="AF42" s="1085">
        <f t="shared" si="9"/>
        <v>0</v>
      </c>
      <c r="AG42" s="1085">
        <f t="shared" si="9"/>
        <v>4000</v>
      </c>
      <c r="AH42" s="1085">
        <f t="shared" si="9"/>
        <v>0</v>
      </c>
      <c r="AI42" s="1085">
        <f t="shared" si="9"/>
        <v>0</v>
      </c>
      <c r="AJ42" s="1085">
        <f t="shared" si="9"/>
        <v>0</v>
      </c>
      <c r="AK42" s="1309">
        <f t="shared" si="9"/>
        <v>0</v>
      </c>
      <c r="AL42" s="1310">
        <f t="shared" si="9"/>
        <v>0</v>
      </c>
      <c r="AM42" s="1085">
        <f t="shared" si="9"/>
        <v>0</v>
      </c>
      <c r="AN42" s="1085">
        <f t="shared" si="9"/>
        <v>2000</v>
      </c>
      <c r="AO42" s="1085">
        <f t="shared" si="9"/>
        <v>0</v>
      </c>
      <c r="AP42" s="1085">
        <f t="shared" si="9"/>
        <v>0</v>
      </c>
      <c r="AQ42" s="1309">
        <f t="shared" si="9"/>
        <v>0</v>
      </c>
      <c r="AR42" s="1310">
        <f t="shared" si="9"/>
        <v>0</v>
      </c>
      <c r="AS42" s="1085">
        <f t="shared" si="9"/>
        <v>0</v>
      </c>
      <c r="AT42" s="1085">
        <f t="shared" si="9"/>
        <v>0</v>
      </c>
      <c r="AU42" s="1085">
        <f t="shared" si="9"/>
        <v>0</v>
      </c>
      <c r="AV42" s="1085">
        <f t="shared" si="9"/>
        <v>0</v>
      </c>
      <c r="AW42" s="1085">
        <f t="shared" si="9"/>
        <v>0</v>
      </c>
      <c r="AX42" s="1310">
        <f t="shared" si="9"/>
        <v>0</v>
      </c>
      <c r="AY42" s="1085">
        <f t="shared" si="9"/>
        <v>0</v>
      </c>
      <c r="AZ42" s="1085">
        <f t="shared" si="9"/>
        <v>0</v>
      </c>
      <c r="BA42" s="1085">
        <f t="shared" si="9"/>
        <v>0</v>
      </c>
      <c r="BB42" s="1085">
        <f t="shared" si="9"/>
        <v>0</v>
      </c>
      <c r="BC42" s="1309">
        <f t="shared" si="9"/>
        <v>0</v>
      </c>
      <c r="BD42" s="1310">
        <f t="shared" si="9"/>
        <v>0</v>
      </c>
      <c r="BE42" s="1085">
        <f t="shared" si="9"/>
        <v>0</v>
      </c>
      <c r="BF42" s="1085">
        <f t="shared" si="9"/>
        <v>0</v>
      </c>
      <c r="BG42" s="1085">
        <f t="shared" si="9"/>
        <v>0</v>
      </c>
      <c r="BH42" s="1085">
        <f t="shared" si="9"/>
        <v>0</v>
      </c>
      <c r="BI42" s="1309">
        <f t="shared" si="9"/>
        <v>0</v>
      </c>
      <c r="BJ42" s="1310">
        <f t="shared" si="9"/>
        <v>0</v>
      </c>
      <c r="BK42" s="1085">
        <f t="shared" si="9"/>
        <v>0</v>
      </c>
      <c r="BL42" s="1085">
        <f t="shared" si="9"/>
        <v>0</v>
      </c>
      <c r="BM42" s="1085">
        <f t="shared" si="9"/>
        <v>0</v>
      </c>
      <c r="BN42" s="1085">
        <f t="shared" si="9"/>
        <v>0</v>
      </c>
      <c r="BO42" s="1309">
        <f t="shared" si="9"/>
        <v>0</v>
      </c>
      <c r="BP42" s="1310"/>
      <c r="BQ42" s="1085"/>
      <c r="BR42" s="1309"/>
      <c r="BS42" s="1085">
        <f>SUM(Z42:BR42)</f>
        <v>7000</v>
      </c>
      <c r="BT42" s="1192">
        <f>SUM(BT28:BT41)</f>
        <v>7000</v>
      </c>
    </row>
    <row r="43" spans="1:72" x14ac:dyDescent="0.3">
      <c r="A43" s="1"/>
      <c r="B43" s="1"/>
      <c r="C43" s="1"/>
      <c r="D43" s="1"/>
      <c r="E43" s="1"/>
      <c r="F43" s="1"/>
      <c r="G43" s="1"/>
      <c r="H43" s="1"/>
      <c r="I43" s="815"/>
      <c r="J43" s="815"/>
      <c r="K43" s="1085"/>
      <c r="L43" s="1085"/>
      <c r="M43" s="1085"/>
      <c r="N43" s="1085"/>
      <c r="O43" s="1085"/>
      <c r="P43" s="1085"/>
      <c r="Q43" s="1085"/>
      <c r="R43" s="1085"/>
      <c r="S43" s="1085"/>
      <c r="T43" s="1310"/>
      <c r="U43" s="1085"/>
      <c r="V43" s="1085"/>
      <c r="W43" s="1085"/>
      <c r="X43" s="1085"/>
      <c r="Y43" s="1309"/>
      <c r="Z43" s="1085"/>
      <c r="AA43" s="1085"/>
      <c r="AB43" s="1085"/>
      <c r="AC43" s="1085"/>
      <c r="AD43" s="1085"/>
      <c r="AE43" s="1308"/>
      <c r="AF43" s="1085"/>
      <c r="AG43" s="1085"/>
      <c r="AH43" s="1085"/>
      <c r="AI43" s="1085"/>
      <c r="AJ43" s="1085"/>
      <c r="AK43" s="1309"/>
      <c r="AL43" s="1310"/>
      <c r="AM43" s="1085"/>
      <c r="AN43" s="1085"/>
      <c r="AO43" s="1085"/>
      <c r="AP43" s="1085"/>
      <c r="AQ43" s="1309"/>
      <c r="AR43" s="1310"/>
      <c r="AS43" s="1085"/>
      <c r="AT43" s="1085"/>
      <c r="AU43" s="1085"/>
      <c r="AV43" s="1085"/>
      <c r="AW43" s="1085"/>
      <c r="AX43" s="1310"/>
      <c r="AY43" s="1085"/>
      <c r="AZ43" s="1085"/>
      <c r="BA43" s="1085"/>
      <c r="BB43" s="1085"/>
      <c r="BC43" s="1309"/>
      <c r="BD43" s="1310"/>
      <c r="BE43" s="1085"/>
      <c r="BF43" s="1085"/>
      <c r="BG43" s="1085"/>
      <c r="BH43" s="1085"/>
      <c r="BI43" s="1309"/>
      <c r="BJ43" s="1310"/>
      <c r="BK43" s="1085"/>
      <c r="BL43" s="1085"/>
      <c r="BM43" s="1085"/>
      <c r="BN43" s="1085"/>
      <c r="BO43" s="1309"/>
      <c r="BP43" s="1310"/>
      <c r="BQ43" s="1085"/>
      <c r="BR43" s="1309"/>
      <c r="BS43" s="1"/>
    </row>
    <row r="44" spans="1:72" ht="15" thickBot="1" x14ac:dyDescent="0.35">
      <c r="A44" s="1"/>
      <c r="B44" s="1"/>
      <c r="C44" s="1"/>
      <c r="D44" s="1"/>
      <c r="E44" s="1"/>
      <c r="F44" s="1"/>
      <c r="G44" s="1"/>
      <c r="H44" s="1"/>
      <c r="I44" s="815"/>
      <c r="J44" s="815"/>
      <c r="K44" s="1085"/>
      <c r="L44" s="1085"/>
      <c r="M44" s="1085"/>
      <c r="N44" s="1085"/>
      <c r="O44" s="1085"/>
      <c r="P44" s="1085"/>
      <c r="Q44" s="1085"/>
      <c r="R44" s="1085"/>
      <c r="S44" s="1085"/>
      <c r="T44" s="1310"/>
      <c r="U44" s="1085"/>
      <c r="V44" s="1085"/>
      <c r="W44" s="1085"/>
      <c r="X44" s="1085"/>
      <c r="Y44" s="1309"/>
      <c r="Z44" s="1085"/>
      <c r="AA44" s="1085"/>
      <c r="AB44" s="1085"/>
      <c r="AC44" s="1085"/>
      <c r="AD44" s="1085"/>
      <c r="AE44" s="1308"/>
      <c r="AF44" s="1085"/>
      <c r="AG44" s="1085"/>
      <c r="AH44" s="1085"/>
      <c r="AI44" s="1085"/>
      <c r="AJ44" s="1085"/>
      <c r="AK44" s="1309"/>
      <c r="AL44" s="1310"/>
      <c r="AM44" s="1085"/>
      <c r="AN44" s="1085"/>
      <c r="AO44" s="1085"/>
      <c r="AP44" s="1085"/>
      <c r="AQ44" s="1309"/>
      <c r="AR44" s="1310"/>
      <c r="AS44" s="1085"/>
      <c r="AT44" s="1085"/>
      <c r="AU44" s="1085"/>
      <c r="AV44" s="1085"/>
      <c r="AW44" s="1085"/>
      <c r="AX44" s="1310"/>
      <c r="AY44" s="1085"/>
      <c r="AZ44" s="1085"/>
      <c r="BA44" s="1085"/>
      <c r="BB44" s="1085"/>
      <c r="BC44" s="1309"/>
      <c r="BD44" s="1310"/>
      <c r="BE44" s="1085"/>
      <c r="BF44" s="1085"/>
      <c r="BG44" s="1085"/>
      <c r="BH44" s="1085"/>
      <c r="BI44" s="1309"/>
      <c r="BJ44" s="1310"/>
      <c r="BK44" s="1085"/>
      <c r="BL44" s="1085"/>
      <c r="BM44" s="1085"/>
      <c r="BN44" s="1085"/>
      <c r="BO44" s="1309"/>
      <c r="BP44" s="1310"/>
      <c r="BQ44" s="1085"/>
      <c r="BR44" s="1309"/>
      <c r="BS44" s="1"/>
    </row>
    <row r="45" spans="1:72" ht="16.8" thickTop="1" thickBot="1" x14ac:dyDescent="0.35">
      <c r="A45" s="875" t="s">
        <v>28</v>
      </c>
      <c r="B45" s="876"/>
      <c r="C45" s="250"/>
      <c r="D45" s="1"/>
      <c r="E45" s="79"/>
      <c r="F45" s="712"/>
      <c r="G45" s="1"/>
      <c r="H45" s="1"/>
      <c r="I45" s="815"/>
      <c r="J45" s="815"/>
      <c r="K45" s="1085"/>
      <c r="L45" s="1085">
        <f>+L48+K48</f>
        <v>0</v>
      </c>
      <c r="M45" s="1085">
        <f>+M48-L48</f>
        <v>0</v>
      </c>
      <c r="N45" s="1085"/>
      <c r="O45" s="1085"/>
      <c r="P45" s="1085"/>
      <c r="Q45" s="1085"/>
      <c r="R45" s="1085"/>
      <c r="S45" s="1085"/>
      <c r="T45" s="1310"/>
      <c r="U45" s="1085"/>
      <c r="V45" s="1085"/>
      <c r="W45" s="1085"/>
      <c r="X45" s="1085"/>
      <c r="Y45" s="1309"/>
      <c r="Z45" s="1085"/>
      <c r="AA45" s="1133"/>
      <c r="AB45" s="1085"/>
      <c r="AC45" s="1085"/>
      <c r="AD45" s="1085"/>
      <c r="AE45" s="1308"/>
      <c r="AF45" s="1133"/>
      <c r="AG45" s="1085"/>
      <c r="AH45" s="1085"/>
      <c r="AI45" s="1085"/>
      <c r="AJ45" s="1085"/>
      <c r="AK45" s="1309"/>
      <c r="AL45" s="1310"/>
      <c r="AM45" s="1085"/>
      <c r="AN45" s="1133"/>
      <c r="AO45" s="1085"/>
      <c r="AP45" s="1085"/>
      <c r="AQ45" s="1309"/>
      <c r="AR45" s="1310"/>
      <c r="AS45" s="1085"/>
      <c r="AT45" s="1085"/>
      <c r="AU45" s="1311"/>
      <c r="AV45" s="1085"/>
      <c r="AW45" s="1085"/>
      <c r="AX45" s="1310"/>
      <c r="AY45" s="1085"/>
      <c r="AZ45" s="1085"/>
      <c r="BA45" s="1085"/>
      <c r="BB45" s="1085"/>
      <c r="BC45" s="1309"/>
      <c r="BD45" s="1310"/>
      <c r="BE45" s="1133"/>
      <c r="BF45" s="1133"/>
      <c r="BG45" s="1085"/>
      <c r="BH45" s="1085"/>
      <c r="BI45" s="1309"/>
      <c r="BJ45" s="1310"/>
      <c r="BK45" s="1085"/>
      <c r="BL45" s="1133"/>
      <c r="BM45" s="1085"/>
      <c r="BN45" s="1085"/>
      <c r="BO45" s="1309"/>
      <c r="BP45" s="1310"/>
      <c r="BQ45" s="1085"/>
      <c r="BR45" s="1309"/>
      <c r="BS45" s="1"/>
    </row>
    <row r="46" spans="1:72" ht="16.8" thickTop="1" thickBot="1" x14ac:dyDescent="0.35">
      <c r="A46" s="884" t="s">
        <v>29</v>
      </c>
      <c r="B46" s="885" t="s">
        <v>30</v>
      </c>
      <c r="C46" s="886" t="s">
        <v>31</v>
      </c>
      <c r="D46" s="887" t="s">
        <v>2</v>
      </c>
      <c r="E46" s="888" t="s">
        <v>32</v>
      </c>
      <c r="F46" s="888" t="s">
        <v>33</v>
      </c>
      <c r="G46" s="889" t="s">
        <v>34</v>
      </c>
      <c r="H46" s="890" t="s">
        <v>35</v>
      </c>
      <c r="I46" s="891" t="s">
        <v>36</v>
      </c>
      <c r="J46" s="811" t="s">
        <v>37</v>
      </c>
      <c r="K46" s="1312" t="s">
        <v>38</v>
      </c>
      <c r="L46" s="1313" t="s">
        <v>39</v>
      </c>
      <c r="M46" s="1313" t="s">
        <v>40</v>
      </c>
      <c r="N46" s="1313" t="s">
        <v>41</v>
      </c>
      <c r="O46" s="1313" t="s">
        <v>42</v>
      </c>
      <c r="P46" s="1313" t="s">
        <v>43</v>
      </c>
      <c r="Q46" s="1314" t="s">
        <v>44</v>
      </c>
      <c r="R46" s="1313" t="s">
        <v>38</v>
      </c>
      <c r="S46" s="1314" t="s">
        <v>45</v>
      </c>
      <c r="T46" s="1740" t="s">
        <v>99</v>
      </c>
      <c r="U46" s="1741" t="s">
        <v>100</v>
      </c>
      <c r="V46" s="1736" t="s">
        <v>101</v>
      </c>
      <c r="W46" s="1742" t="s">
        <v>9</v>
      </c>
      <c r="X46" s="1935" t="s">
        <v>9</v>
      </c>
      <c r="Y46" s="1743" t="s">
        <v>9</v>
      </c>
      <c r="Z46" s="1315" t="s">
        <v>81</v>
      </c>
      <c r="AA46" s="1315" t="s">
        <v>82</v>
      </c>
      <c r="AB46" s="1316" t="s">
        <v>83</v>
      </c>
      <c r="AC46" s="1317" t="s">
        <v>3</v>
      </c>
      <c r="AD46" s="1318" t="s">
        <v>3</v>
      </c>
      <c r="AE46" s="1319" t="s">
        <v>3</v>
      </c>
      <c r="AF46" s="1315" t="s">
        <v>84</v>
      </c>
      <c r="AG46" s="1315" t="s">
        <v>85</v>
      </c>
      <c r="AH46" s="1316" t="s">
        <v>86</v>
      </c>
      <c r="AI46" s="1317" t="s">
        <v>51</v>
      </c>
      <c r="AJ46" s="1320" t="s">
        <v>51</v>
      </c>
      <c r="AK46" s="1320" t="s">
        <v>51</v>
      </c>
      <c r="AL46" s="1321" t="s">
        <v>87</v>
      </c>
      <c r="AM46" s="1315" t="s">
        <v>88</v>
      </c>
      <c r="AN46" s="1316" t="s">
        <v>89</v>
      </c>
      <c r="AO46" s="1317" t="s">
        <v>5</v>
      </c>
      <c r="AP46" s="1320" t="s">
        <v>5</v>
      </c>
      <c r="AQ46" s="1320" t="s">
        <v>55</v>
      </c>
      <c r="AR46" s="1321" t="s">
        <v>90</v>
      </c>
      <c r="AS46" s="1315" t="s">
        <v>91</v>
      </c>
      <c r="AT46" s="1322" t="s">
        <v>92</v>
      </c>
      <c r="AU46" s="1323" t="s">
        <v>59</v>
      </c>
      <c r="AV46" s="1320" t="s">
        <v>59</v>
      </c>
      <c r="AW46" s="1320" t="s">
        <v>59</v>
      </c>
      <c r="AX46" s="1321" t="s">
        <v>93</v>
      </c>
      <c r="AY46" s="1315" t="s">
        <v>94</v>
      </c>
      <c r="AZ46" s="1322" t="s">
        <v>95</v>
      </c>
      <c r="BA46" s="1324" t="s">
        <v>63</v>
      </c>
      <c r="BB46" s="1325" t="s">
        <v>7</v>
      </c>
      <c r="BC46" s="1326" t="s">
        <v>7</v>
      </c>
      <c r="BD46" s="1321" t="s">
        <v>96</v>
      </c>
      <c r="BE46" s="1315" t="s">
        <v>97</v>
      </c>
      <c r="BF46" s="1316" t="s">
        <v>98</v>
      </c>
      <c r="BG46" s="1163" t="s">
        <v>8</v>
      </c>
      <c r="BH46" s="1163" t="s">
        <v>8</v>
      </c>
      <c r="BI46" s="1320" t="s">
        <v>8</v>
      </c>
      <c r="BJ46" s="1321" t="s">
        <v>99</v>
      </c>
      <c r="BK46" s="1315" t="s">
        <v>100</v>
      </c>
      <c r="BL46" s="1322" t="s">
        <v>101</v>
      </c>
      <c r="BM46" s="1323" t="s">
        <v>9</v>
      </c>
      <c r="BN46" s="1164" t="s">
        <v>9</v>
      </c>
      <c r="BO46" s="1320" t="s">
        <v>9</v>
      </c>
      <c r="BP46" s="1327" t="s">
        <v>70</v>
      </c>
      <c r="BQ46" s="1317" t="s">
        <v>71</v>
      </c>
      <c r="BR46" s="1328" t="s">
        <v>72</v>
      </c>
      <c r="BS46" s="1"/>
    </row>
    <row r="47" spans="1:72" ht="18" x14ac:dyDescent="0.35">
      <c r="A47" s="2739"/>
      <c r="B47" s="866"/>
      <c r="C47" s="329" t="s">
        <v>444</v>
      </c>
      <c r="D47" s="290" t="s">
        <v>102</v>
      </c>
      <c r="E47" s="880"/>
      <c r="F47" s="291" t="e">
        <f t="shared" ref="F47:F62" si="10">(BR47/G47)/7</f>
        <v>#DIV/0!</v>
      </c>
      <c r="G47" s="157"/>
      <c r="H47" s="834">
        <f>G47*E47</f>
        <v>0</v>
      </c>
      <c r="I47" s="362"/>
      <c r="J47" s="362"/>
      <c r="K47" s="1329">
        <f>J47-H47</f>
        <v>0</v>
      </c>
      <c r="L47" s="1288">
        <f t="shared" ref="K47:S62" si="11">K47-$H47</f>
        <v>0</v>
      </c>
      <c r="M47" s="1288">
        <f t="shared" si="11"/>
        <v>0</v>
      </c>
      <c r="N47" s="1288">
        <f t="shared" si="11"/>
        <v>0</v>
      </c>
      <c r="O47" s="1288">
        <f t="shared" si="11"/>
        <v>0</v>
      </c>
      <c r="P47" s="1288">
        <f t="shared" si="11"/>
        <v>0</v>
      </c>
      <c r="Q47" s="1287">
        <f t="shared" si="11"/>
        <v>0</v>
      </c>
      <c r="R47" s="1288">
        <f t="shared" si="11"/>
        <v>0</v>
      </c>
      <c r="S47" s="1287">
        <f t="shared" si="11"/>
        <v>0</v>
      </c>
      <c r="T47" s="1216"/>
      <c r="U47" s="1287"/>
      <c r="V47" s="1096"/>
      <c r="W47" s="1097"/>
      <c r="X47" s="1096"/>
      <c r="Y47" s="1842"/>
      <c r="Z47" s="1835"/>
      <c r="AA47" s="1096"/>
      <c r="AB47" s="1098"/>
      <c r="AC47" s="1184"/>
      <c r="AD47" s="1330"/>
      <c r="AE47" s="1331"/>
      <c r="AF47" s="1176"/>
      <c r="AG47" s="1177"/>
      <c r="AH47" s="1189"/>
      <c r="AI47" s="1180"/>
      <c r="AJ47" s="1180"/>
      <c r="AK47" s="1332"/>
      <c r="AL47" s="1216"/>
      <c r="AM47" s="1096"/>
      <c r="AN47" s="1098"/>
      <c r="AO47" s="1184"/>
      <c r="AP47" s="1184"/>
      <c r="AQ47" s="1332"/>
      <c r="AR47" s="1188"/>
      <c r="AS47" s="1177"/>
      <c r="AT47" s="1333"/>
      <c r="AU47" s="1334"/>
      <c r="AV47" s="1335"/>
      <c r="AW47" s="1335"/>
      <c r="AX47" s="1188"/>
      <c r="AY47" s="1096"/>
      <c r="AZ47" s="1097"/>
      <c r="BA47" s="1336"/>
      <c r="BB47" s="1337"/>
      <c r="BC47" s="1181"/>
      <c r="BD47" s="1188"/>
      <c r="BE47" s="1177"/>
      <c r="BF47" s="1189"/>
      <c r="BG47" s="1338"/>
      <c r="BH47" s="1180"/>
      <c r="BI47" s="1332"/>
      <c r="BJ47" s="1188"/>
      <c r="BK47" s="1177"/>
      <c r="BL47" s="1333"/>
      <c r="BM47" s="1334"/>
      <c r="BN47" s="1335"/>
      <c r="BO47" s="1332"/>
      <c r="BP47" s="1339"/>
      <c r="BQ47" s="1340"/>
      <c r="BR47" s="1341"/>
      <c r="BS47" s="1"/>
      <c r="BT47" s="1192">
        <f t="shared" ref="BT47:BT56" si="12">SUM(Z47:BO47)</f>
        <v>0</v>
      </c>
    </row>
    <row r="48" spans="1:72" ht="18" x14ac:dyDescent="0.35">
      <c r="A48" s="2739"/>
      <c r="B48" s="867" t="s">
        <v>233</v>
      </c>
      <c r="C48" s="224" t="s">
        <v>230</v>
      </c>
      <c r="D48" s="225" t="s">
        <v>103</v>
      </c>
      <c r="E48" s="585">
        <v>6</v>
      </c>
      <c r="F48" s="226" t="e">
        <f t="shared" si="10"/>
        <v>#DIV/0!</v>
      </c>
      <c r="G48" s="139"/>
      <c r="H48" s="831">
        <f>G48*E48</f>
        <v>0</v>
      </c>
      <c r="I48" s="375"/>
      <c r="J48" s="375"/>
      <c r="K48" s="1194">
        <f t="shared" si="11"/>
        <v>0</v>
      </c>
      <c r="L48" s="1194">
        <f t="shared" si="11"/>
        <v>0</v>
      </c>
      <c r="M48" s="1194">
        <f t="shared" si="11"/>
        <v>0</v>
      </c>
      <c r="N48" s="1194">
        <f t="shared" si="11"/>
        <v>0</v>
      </c>
      <c r="O48" s="1194">
        <f t="shared" si="11"/>
        <v>0</v>
      </c>
      <c r="P48" s="1194">
        <f t="shared" si="11"/>
        <v>0</v>
      </c>
      <c r="Q48" s="1194">
        <f t="shared" si="11"/>
        <v>0</v>
      </c>
      <c r="R48" s="1194">
        <f t="shared" si="11"/>
        <v>0</v>
      </c>
      <c r="S48" s="1342">
        <f t="shared" si="11"/>
        <v>0</v>
      </c>
      <c r="T48" s="1907"/>
      <c r="U48" s="1222"/>
      <c r="V48" s="1885"/>
      <c r="W48" s="1889"/>
      <c r="X48" s="1885"/>
      <c r="Y48" s="1849"/>
      <c r="AA48" s="1104"/>
      <c r="AB48" s="1209"/>
      <c r="AC48" s="1206"/>
      <c r="AD48" s="1343"/>
      <c r="AE48" s="1344"/>
      <c r="AF48" s="1198"/>
      <c r="AG48" s="1199"/>
      <c r="AH48" s="1200"/>
      <c r="AI48" s="1202"/>
      <c r="AJ48" s="1202"/>
      <c r="AK48" s="1345"/>
      <c r="AL48" s="1204"/>
      <c r="AM48" s="1104"/>
      <c r="AN48" s="1209"/>
      <c r="AO48" s="1206"/>
      <c r="AP48" s="1206"/>
      <c r="AQ48" s="1345"/>
      <c r="AR48" s="1210"/>
      <c r="AS48" s="1199"/>
      <c r="AT48" s="1346"/>
      <c r="AU48" s="1347"/>
      <c r="AV48" s="1348"/>
      <c r="AW48" s="1348"/>
      <c r="AX48" s="1210"/>
      <c r="AY48" s="1104"/>
      <c r="AZ48" s="1205"/>
      <c r="BA48" s="1349"/>
      <c r="BB48" s="1350"/>
      <c r="BC48" s="1203"/>
      <c r="BD48" s="1210"/>
      <c r="BE48" s="1199"/>
      <c r="BF48" s="1200"/>
      <c r="BG48" s="1351"/>
      <c r="BH48" s="1202"/>
      <c r="BI48" s="1345"/>
      <c r="BJ48" s="1210"/>
      <c r="BK48" s="1199"/>
      <c r="BL48" s="1346"/>
      <c r="BM48" s="1334"/>
      <c r="BN48" s="1335"/>
      <c r="BO48" s="1332"/>
      <c r="BP48" s="1352"/>
      <c r="BQ48" s="1213"/>
      <c r="BR48" s="1353">
        <f>BP48-BQ48</f>
        <v>0</v>
      </c>
      <c r="BS48" s="1"/>
      <c r="BT48" s="1192">
        <f t="shared" si="12"/>
        <v>0</v>
      </c>
    </row>
    <row r="49" spans="1:72" ht="18.600000000000001" thickBot="1" x14ac:dyDescent="0.4">
      <c r="A49" s="2739"/>
      <c r="B49" s="868" t="s">
        <v>234</v>
      </c>
      <c r="C49" s="233"/>
      <c r="D49" s="234" t="s">
        <v>104</v>
      </c>
      <c r="E49" s="586">
        <v>2.5</v>
      </c>
      <c r="F49" s="235" t="e">
        <f t="shared" si="10"/>
        <v>#DIV/0!</v>
      </c>
      <c r="G49" s="236"/>
      <c r="H49" s="234">
        <f>G49*E49</f>
        <v>0</v>
      </c>
      <c r="I49" s="386"/>
      <c r="J49" s="386"/>
      <c r="K49" s="1354">
        <f t="shared" si="11"/>
        <v>0</v>
      </c>
      <c r="L49" s="1280">
        <f t="shared" si="11"/>
        <v>0</v>
      </c>
      <c r="M49" s="1280">
        <f t="shared" si="11"/>
        <v>0</v>
      </c>
      <c r="N49" s="1280">
        <f t="shared" si="11"/>
        <v>0</v>
      </c>
      <c r="O49" s="1280">
        <f t="shared" si="11"/>
        <v>0</v>
      </c>
      <c r="P49" s="1280">
        <f t="shared" si="11"/>
        <v>0</v>
      </c>
      <c r="Q49" s="1280">
        <f t="shared" si="11"/>
        <v>0</v>
      </c>
      <c r="R49" s="1280">
        <f t="shared" si="11"/>
        <v>0</v>
      </c>
      <c r="S49" s="1355">
        <f t="shared" si="11"/>
        <v>0</v>
      </c>
      <c r="T49" s="1908"/>
      <c r="U49" s="1827"/>
      <c r="V49" s="1220"/>
      <c r="W49" s="1890"/>
      <c r="X49" s="1220"/>
      <c r="Y49" s="1851"/>
      <c r="Z49" s="1218"/>
      <c r="AA49" s="1219"/>
      <c r="AB49" s="1238"/>
      <c r="AC49" s="1234"/>
      <c r="AD49" s="1343"/>
      <c r="AE49" s="1344"/>
      <c r="AF49" s="1356"/>
      <c r="AG49" s="1357"/>
      <c r="AH49" s="1358"/>
      <c r="AI49" s="1359"/>
      <c r="AJ49" s="1359"/>
      <c r="AK49" s="1360"/>
      <c r="AL49" s="1361"/>
      <c r="AM49" s="1362"/>
      <c r="AN49" s="1363"/>
      <c r="AO49" s="1364"/>
      <c r="AP49" s="1364"/>
      <c r="AQ49" s="1360"/>
      <c r="AR49" s="1365"/>
      <c r="AS49" s="1357"/>
      <c r="AT49" s="1366"/>
      <c r="AU49" s="1367"/>
      <c r="AV49" s="1368"/>
      <c r="AW49" s="1368"/>
      <c r="AX49" s="1365"/>
      <c r="AY49" s="1362"/>
      <c r="AZ49" s="1369"/>
      <c r="BA49" s="1370"/>
      <c r="BB49" s="1371"/>
      <c r="BC49" s="1372"/>
      <c r="BD49" s="1365"/>
      <c r="BE49" s="1357"/>
      <c r="BF49" s="1358"/>
      <c r="BG49" s="1373"/>
      <c r="BH49" s="1359"/>
      <c r="BI49" s="1360"/>
      <c r="BJ49" s="1365"/>
      <c r="BK49" s="1357"/>
      <c r="BL49" s="1228"/>
      <c r="BM49" s="1373"/>
      <c r="BN49" s="1359"/>
      <c r="BO49" s="1360"/>
      <c r="BP49" s="1339"/>
      <c r="BQ49" s="1374"/>
      <c r="BR49" s="1353">
        <f t="shared" ref="BR49:BR55" si="13">BP49-BQ49</f>
        <v>0</v>
      </c>
      <c r="BS49" s="1"/>
      <c r="BT49" s="1192">
        <f t="shared" si="12"/>
        <v>0</v>
      </c>
    </row>
    <row r="50" spans="1:72" ht="18" x14ac:dyDescent="0.35">
      <c r="A50" s="2740"/>
      <c r="B50" s="869"/>
      <c r="C50" s="329" t="s">
        <v>229</v>
      </c>
      <c r="D50" s="251" t="s">
        <v>102</v>
      </c>
      <c r="E50" s="587"/>
      <c r="F50" s="252" t="e">
        <f t="shared" si="10"/>
        <v>#DIV/0!</v>
      </c>
      <c r="G50" s="253"/>
      <c r="H50" s="832">
        <f t="shared" ref="H50:H62" si="14">G50*E50</f>
        <v>0</v>
      </c>
      <c r="I50" s="392"/>
      <c r="J50" s="392"/>
      <c r="K50" s="1375">
        <f t="shared" si="11"/>
        <v>0</v>
      </c>
      <c r="L50" s="1243">
        <f t="shared" si="11"/>
        <v>0</v>
      </c>
      <c r="M50" s="1243">
        <f t="shared" si="11"/>
        <v>0</v>
      </c>
      <c r="N50" s="1243">
        <f t="shared" si="11"/>
        <v>0</v>
      </c>
      <c r="O50" s="1243">
        <f t="shared" si="11"/>
        <v>0</v>
      </c>
      <c r="P50" s="1243">
        <f t="shared" si="11"/>
        <v>0</v>
      </c>
      <c r="Q50" s="1242">
        <f t="shared" si="11"/>
        <v>0</v>
      </c>
      <c r="R50" s="1243">
        <f t="shared" si="11"/>
        <v>0</v>
      </c>
      <c r="S50" s="1242">
        <f t="shared" si="11"/>
        <v>0</v>
      </c>
      <c r="T50" s="1791"/>
      <c r="U50" s="1242"/>
      <c r="V50" s="1790"/>
      <c r="W50" s="1628"/>
      <c r="X50" s="1790"/>
      <c r="Y50" s="1853"/>
      <c r="Z50" s="1760"/>
      <c r="AA50" s="1376"/>
      <c r="AB50" s="1377"/>
      <c r="AC50" s="1378"/>
      <c r="AD50" s="1379"/>
      <c r="AE50" s="1380"/>
      <c r="AF50" s="1245"/>
      <c r="AG50" s="1254"/>
      <c r="AH50" s="1249"/>
      <c r="AI50" s="1250"/>
      <c r="AJ50" s="1250"/>
      <c r="AK50" s="1381"/>
      <c r="AL50" s="1382"/>
      <c r="AM50" s="1376"/>
      <c r="AN50" s="1377"/>
      <c r="AO50" s="1378"/>
      <c r="AP50" s="1378"/>
      <c r="AQ50" s="1381"/>
      <c r="AR50" s="1252"/>
      <c r="AS50" s="1254"/>
      <c r="AT50" s="1383"/>
      <c r="AU50" s="1384"/>
      <c r="AV50" s="1385"/>
      <c r="AW50" s="1385"/>
      <c r="AX50" s="1252"/>
      <c r="AY50" s="1376"/>
      <c r="AZ50" s="1386"/>
      <c r="BA50" s="1387"/>
      <c r="BB50" s="1388"/>
      <c r="BC50" s="1251"/>
      <c r="BD50" s="1252"/>
      <c r="BE50" s="1254"/>
      <c r="BF50" s="1249"/>
      <c r="BG50" s="1389"/>
      <c r="BH50" s="1250"/>
      <c r="BI50" s="1381"/>
      <c r="BJ50" s="1252"/>
      <c r="BK50" s="1254"/>
      <c r="BL50" s="1249"/>
      <c r="BM50" s="1390"/>
      <c r="BN50" s="1391"/>
      <c r="BO50" s="1392"/>
      <c r="BP50" s="1393"/>
      <c r="BQ50" s="1394"/>
      <c r="BR50" s="1353">
        <f t="shared" si="13"/>
        <v>0</v>
      </c>
      <c r="BS50" s="1"/>
      <c r="BT50" s="1192">
        <f t="shared" si="12"/>
        <v>0</v>
      </c>
    </row>
    <row r="51" spans="1:72" ht="18" x14ac:dyDescent="0.35">
      <c r="A51" s="2741"/>
      <c r="B51" s="867" t="s">
        <v>235</v>
      </c>
      <c r="C51" s="224" t="s">
        <v>232</v>
      </c>
      <c r="D51" s="269" t="s">
        <v>103</v>
      </c>
      <c r="E51" s="585">
        <v>11</v>
      </c>
      <c r="F51" s="226" t="e">
        <f t="shared" si="10"/>
        <v>#DIV/0!</v>
      </c>
      <c r="G51" s="139"/>
      <c r="H51" s="831">
        <f t="shared" si="14"/>
        <v>0</v>
      </c>
      <c r="I51" s="375"/>
      <c r="J51" s="375"/>
      <c r="K51" s="1395">
        <f t="shared" si="11"/>
        <v>0</v>
      </c>
      <c r="L51" s="1395">
        <f t="shared" si="11"/>
        <v>0</v>
      </c>
      <c r="M51" s="1395">
        <f t="shared" si="11"/>
        <v>0</v>
      </c>
      <c r="N51" s="1395">
        <f t="shared" si="11"/>
        <v>0</v>
      </c>
      <c r="O51" s="1395">
        <f t="shared" si="11"/>
        <v>0</v>
      </c>
      <c r="P51" s="1395">
        <f t="shared" si="11"/>
        <v>0</v>
      </c>
      <c r="Q51" s="1395">
        <f t="shared" si="11"/>
        <v>0</v>
      </c>
      <c r="R51" s="1395">
        <f t="shared" si="11"/>
        <v>0</v>
      </c>
      <c r="S51" s="1193">
        <f t="shared" si="11"/>
        <v>0</v>
      </c>
      <c r="T51" s="1909"/>
      <c r="U51" s="1193"/>
      <c r="V51" s="1114"/>
      <c r="W51" s="1115"/>
      <c r="X51" s="1114"/>
      <c r="Y51" s="1855"/>
      <c r="Z51" s="1103"/>
      <c r="AA51" s="1104"/>
      <c r="AB51" s="1209"/>
      <c r="AC51" s="1206"/>
      <c r="AD51" s="1396"/>
      <c r="AE51" s="1397"/>
      <c r="AF51" s="1198"/>
      <c r="AG51" s="1199"/>
      <c r="AH51" s="1200"/>
      <c r="AI51" s="1202"/>
      <c r="AJ51" s="1202"/>
      <c r="AK51" s="1345"/>
      <c r="AL51" s="1204"/>
      <c r="AM51" s="1104"/>
      <c r="AN51" s="1209"/>
      <c r="AO51" s="1206"/>
      <c r="AP51" s="1206"/>
      <c r="AQ51" s="1345"/>
      <c r="AR51" s="1210"/>
      <c r="AS51" s="1199"/>
      <c r="AT51" s="1346"/>
      <c r="AU51" s="1347"/>
      <c r="AV51" s="1348"/>
      <c r="AW51" s="1348"/>
      <c r="AX51" s="1210"/>
      <c r="AY51" s="1104"/>
      <c r="AZ51" s="1205"/>
      <c r="BA51" s="1349"/>
      <c r="BB51" s="1350"/>
      <c r="BC51" s="1203"/>
      <c r="BD51" s="1210"/>
      <c r="BE51" s="1199"/>
      <c r="BF51" s="1200"/>
      <c r="BG51" s="1351"/>
      <c r="BH51" s="1202"/>
      <c r="BI51" s="1345"/>
      <c r="BJ51" s="1210"/>
      <c r="BK51" s="1199"/>
      <c r="BL51" s="1200"/>
      <c r="BM51" s="1347"/>
      <c r="BN51" s="1348"/>
      <c r="BO51" s="1345"/>
      <c r="BP51" s="1352"/>
      <c r="BQ51" s="1213"/>
      <c r="BR51" s="1353">
        <f t="shared" si="13"/>
        <v>0</v>
      </c>
      <c r="BS51" s="1"/>
      <c r="BT51" s="1192">
        <f t="shared" si="12"/>
        <v>0</v>
      </c>
    </row>
    <row r="52" spans="1:72" ht="18" x14ac:dyDescent="0.35">
      <c r="A52" s="2741"/>
      <c r="B52" s="867"/>
      <c r="C52" s="233"/>
      <c r="D52" s="300" t="s">
        <v>104</v>
      </c>
      <c r="E52" s="586">
        <v>2.5</v>
      </c>
      <c r="F52" s="226" t="e">
        <f t="shared" si="10"/>
        <v>#DIV/0!</v>
      </c>
      <c r="G52" s="236"/>
      <c r="H52" s="934">
        <f t="shared" si="14"/>
        <v>0</v>
      </c>
      <c r="I52" s="385"/>
      <c r="J52" s="386"/>
      <c r="K52" s="1395">
        <f t="shared" si="11"/>
        <v>0</v>
      </c>
      <c r="L52" s="1395">
        <f t="shared" si="11"/>
        <v>0</v>
      </c>
      <c r="M52" s="1395">
        <f t="shared" si="11"/>
        <v>0</v>
      </c>
      <c r="N52" s="1395">
        <f t="shared" si="11"/>
        <v>0</v>
      </c>
      <c r="O52" s="1395">
        <f t="shared" si="11"/>
        <v>0</v>
      </c>
      <c r="P52" s="1395">
        <f t="shared" si="11"/>
        <v>0</v>
      </c>
      <c r="Q52" s="1395">
        <f t="shared" si="11"/>
        <v>0</v>
      </c>
      <c r="R52" s="1395">
        <f t="shared" si="11"/>
        <v>0</v>
      </c>
      <c r="S52" s="1193">
        <f t="shared" si="11"/>
        <v>0</v>
      </c>
      <c r="T52" s="1908"/>
      <c r="U52" s="1827"/>
      <c r="V52" s="1220"/>
      <c r="W52" s="1890"/>
      <c r="X52" s="1220"/>
      <c r="Y52" s="1851"/>
      <c r="Z52" s="1836"/>
      <c r="AA52" s="1398"/>
      <c r="AB52" s="1399"/>
      <c r="AC52" s="1400"/>
      <c r="AD52" s="1401"/>
      <c r="AE52" s="1402"/>
      <c r="AF52" s="1403"/>
      <c r="AG52" s="1404"/>
      <c r="AH52" s="1405"/>
      <c r="AI52" s="1406"/>
      <c r="AJ52" s="1406"/>
      <c r="AK52" s="1407"/>
      <c r="AL52" s="1408"/>
      <c r="AM52" s="1398"/>
      <c r="AN52" s="1399"/>
      <c r="AO52" s="1400"/>
      <c r="AP52" s="1400"/>
      <c r="AQ52" s="1407"/>
      <c r="AR52" s="1409"/>
      <c r="AS52" s="1404"/>
      <c r="AT52" s="1410"/>
      <c r="AU52" s="1411"/>
      <c r="AV52" s="1412"/>
      <c r="AW52" s="1412"/>
      <c r="AX52" s="1409"/>
      <c r="AY52" s="1398"/>
      <c r="AZ52" s="1413"/>
      <c r="BA52" s="1414"/>
      <c r="BB52" s="1415"/>
      <c r="BC52" s="1416"/>
      <c r="BD52" s="1409"/>
      <c r="BE52" s="1404"/>
      <c r="BF52" s="1405"/>
      <c r="BG52" s="1417"/>
      <c r="BH52" s="1406"/>
      <c r="BI52" s="1407"/>
      <c r="BJ52" s="1409"/>
      <c r="BK52" s="1404"/>
      <c r="BL52" s="1405"/>
      <c r="BM52" s="1417"/>
      <c r="BN52" s="1406"/>
      <c r="BO52" s="1407"/>
      <c r="BP52" s="1418"/>
      <c r="BQ52" s="1419"/>
      <c r="BR52" s="1353">
        <f t="shared" si="13"/>
        <v>0</v>
      </c>
      <c r="BS52" s="1"/>
      <c r="BT52" s="1192">
        <f t="shared" si="12"/>
        <v>0</v>
      </c>
    </row>
    <row r="53" spans="1:72" ht="18.600000000000001" thickBot="1" x14ac:dyDescent="0.4">
      <c r="A53" s="2742"/>
      <c r="B53" s="870" t="s">
        <v>236</v>
      </c>
      <c r="C53" s="270"/>
      <c r="D53" s="935" t="s">
        <v>104</v>
      </c>
      <c r="E53" s="588">
        <v>2.5</v>
      </c>
      <c r="F53" s="272" t="e">
        <f t="shared" si="10"/>
        <v>#DIV/0!</v>
      </c>
      <c r="G53" s="273"/>
      <c r="H53" s="936">
        <f t="shared" si="14"/>
        <v>0</v>
      </c>
      <c r="I53" s="937"/>
      <c r="J53" s="406"/>
      <c r="K53" s="1420">
        <f t="shared" si="11"/>
        <v>0</v>
      </c>
      <c r="L53" s="1258">
        <f t="shared" si="11"/>
        <v>0</v>
      </c>
      <c r="M53" s="1258">
        <f t="shared" si="11"/>
        <v>0</v>
      </c>
      <c r="N53" s="1258">
        <f t="shared" si="11"/>
        <v>0</v>
      </c>
      <c r="O53" s="1258">
        <f t="shared" si="11"/>
        <v>0</v>
      </c>
      <c r="P53" s="1258">
        <f t="shared" si="11"/>
        <v>0</v>
      </c>
      <c r="Q53" s="1257">
        <f t="shared" si="11"/>
        <v>0</v>
      </c>
      <c r="R53" s="1258">
        <f t="shared" si="11"/>
        <v>0</v>
      </c>
      <c r="S53" s="1257">
        <f t="shared" si="11"/>
        <v>0</v>
      </c>
      <c r="T53" s="1910"/>
      <c r="U53" s="1257"/>
      <c r="V53" s="1650"/>
      <c r="W53" s="1651"/>
      <c r="X53" s="1650"/>
      <c r="Y53" s="1857"/>
      <c r="Z53" s="1797"/>
      <c r="AA53" s="1421"/>
      <c r="AB53" s="1422"/>
      <c r="AC53" s="1423"/>
      <c r="AD53" s="1424"/>
      <c r="AE53" s="1425"/>
      <c r="AF53" s="1260"/>
      <c r="AG53" s="1269"/>
      <c r="AH53" s="1264"/>
      <c r="AI53" s="1265"/>
      <c r="AJ53" s="1265"/>
      <c r="AK53" s="1426"/>
      <c r="AL53" s="1427"/>
      <c r="AM53" s="1421"/>
      <c r="AN53" s="1422"/>
      <c r="AO53" s="1423"/>
      <c r="AP53" s="1423"/>
      <c r="AQ53" s="1426"/>
      <c r="AR53" s="1267"/>
      <c r="AS53" s="1269"/>
      <c r="AT53" s="1428"/>
      <c r="AU53" s="1429"/>
      <c r="AV53" s="1430"/>
      <c r="AW53" s="1430"/>
      <c r="AX53" s="1267"/>
      <c r="AY53" s="1421"/>
      <c r="AZ53" s="1431"/>
      <c r="BA53" s="1432"/>
      <c r="BB53" s="1433"/>
      <c r="BC53" s="1266"/>
      <c r="BD53" s="1267"/>
      <c r="BE53" s="1269"/>
      <c r="BF53" s="1264"/>
      <c r="BG53" s="1434"/>
      <c r="BH53" s="1265"/>
      <c r="BI53" s="1426"/>
      <c r="BJ53" s="1267"/>
      <c r="BK53" s="1269"/>
      <c r="BL53" s="1264"/>
      <c r="BM53" s="1434"/>
      <c r="BN53" s="1265"/>
      <c r="BO53" s="1426"/>
      <c r="BP53" s="1435"/>
      <c r="BQ53" s="1436"/>
      <c r="BR53" s="1353">
        <f t="shared" si="13"/>
        <v>0</v>
      </c>
      <c r="BS53" s="1"/>
      <c r="BT53" s="1192">
        <f t="shared" si="12"/>
        <v>0</v>
      </c>
    </row>
    <row r="54" spans="1:72" ht="18" x14ac:dyDescent="0.35">
      <c r="A54" s="2743"/>
      <c r="B54" s="866"/>
      <c r="C54" s="289"/>
      <c r="D54" s="290" t="s">
        <v>102</v>
      </c>
      <c r="E54" s="589"/>
      <c r="F54" s="291" t="e">
        <f t="shared" si="10"/>
        <v>#DIV/0!</v>
      </c>
      <c r="G54" s="157"/>
      <c r="H54" s="834">
        <f t="shared" si="14"/>
        <v>0</v>
      </c>
      <c r="I54" s="850"/>
      <c r="J54" s="362"/>
      <c r="K54" s="1437">
        <f t="shared" si="11"/>
        <v>0</v>
      </c>
      <c r="L54" s="1223">
        <f t="shared" si="11"/>
        <v>0</v>
      </c>
      <c r="M54" s="1223">
        <f t="shared" si="11"/>
        <v>0</v>
      </c>
      <c r="N54" s="1223">
        <f t="shared" si="11"/>
        <v>0</v>
      </c>
      <c r="O54" s="1223">
        <f t="shared" si="11"/>
        <v>0</v>
      </c>
      <c r="P54" s="1223">
        <f t="shared" si="11"/>
        <v>0</v>
      </c>
      <c r="Q54" s="1223">
        <f t="shared" si="11"/>
        <v>0</v>
      </c>
      <c r="R54" s="1223">
        <f t="shared" si="11"/>
        <v>0</v>
      </c>
      <c r="S54" s="1438">
        <f t="shared" si="11"/>
        <v>0</v>
      </c>
      <c r="T54" s="1907"/>
      <c r="U54" s="1222"/>
      <c r="V54" s="1885"/>
      <c r="W54" s="1889"/>
      <c r="X54" s="1885"/>
      <c r="Y54" s="1849"/>
      <c r="Z54" s="1442"/>
      <c r="AA54" s="1439"/>
      <c r="AB54" s="1440"/>
      <c r="AC54" s="1359"/>
      <c r="AD54" s="1367"/>
      <c r="AE54" s="1441"/>
      <c r="AF54" s="1442"/>
      <c r="AG54" s="1439"/>
      <c r="AH54" s="1440"/>
      <c r="AI54" s="1359"/>
      <c r="AJ54" s="1359"/>
      <c r="AK54" s="1360"/>
      <c r="AL54" s="1443"/>
      <c r="AM54" s="1439"/>
      <c r="AN54" s="1440"/>
      <c r="AO54" s="1359"/>
      <c r="AP54" s="1359"/>
      <c r="AQ54" s="1360"/>
      <c r="AR54" s="1443"/>
      <c r="AS54" s="1439"/>
      <c r="AT54" s="1444"/>
      <c r="AU54" s="1367"/>
      <c r="AV54" s="1368"/>
      <c r="AW54" s="1368"/>
      <c r="AX54" s="1443"/>
      <c r="AY54" s="1439"/>
      <c r="AZ54" s="1444"/>
      <c r="BA54" s="1445"/>
      <c r="BB54" s="1359"/>
      <c r="BC54" s="1372"/>
      <c r="BD54" s="1365"/>
      <c r="BE54" s="1357"/>
      <c r="BF54" s="1358"/>
      <c r="BG54" s="1373"/>
      <c r="BH54" s="1359"/>
      <c r="BI54" s="1360"/>
      <c r="BJ54" s="1443"/>
      <c r="BK54" s="1439"/>
      <c r="BL54" s="1440"/>
      <c r="BM54" s="1373"/>
      <c r="BN54" s="1359"/>
      <c r="BO54" s="1360"/>
      <c r="BP54" s="1446"/>
      <c r="BR54" s="1353">
        <f t="shared" si="13"/>
        <v>0</v>
      </c>
      <c r="BS54" s="1"/>
      <c r="BT54" s="1192">
        <f t="shared" si="12"/>
        <v>0</v>
      </c>
    </row>
    <row r="55" spans="1:72" ht="18" x14ac:dyDescent="0.35">
      <c r="A55" s="2743"/>
      <c r="B55" s="867" t="s">
        <v>237</v>
      </c>
      <c r="C55" s="296" t="s">
        <v>445</v>
      </c>
      <c r="D55" s="488" t="s">
        <v>103</v>
      </c>
      <c r="E55" s="591">
        <v>8</v>
      </c>
      <c r="F55" s="235" t="e">
        <f t="shared" si="10"/>
        <v>#DIV/0!</v>
      </c>
      <c r="G55" s="236"/>
      <c r="H55" s="234">
        <f t="shared" si="14"/>
        <v>0</v>
      </c>
      <c r="I55" s="386"/>
      <c r="J55" s="375"/>
      <c r="K55" s="1116">
        <f t="shared" si="11"/>
        <v>0</v>
      </c>
      <c r="L55" s="1116">
        <f t="shared" si="11"/>
        <v>0</v>
      </c>
      <c r="M55" s="1116">
        <f t="shared" si="11"/>
        <v>0</v>
      </c>
      <c r="N55" s="1116">
        <f t="shared" si="11"/>
        <v>0</v>
      </c>
      <c r="O55" s="1116">
        <f t="shared" si="11"/>
        <v>0</v>
      </c>
      <c r="P55" s="1116">
        <f t="shared" si="11"/>
        <v>0</v>
      </c>
      <c r="Q55" s="1116">
        <f t="shared" si="11"/>
        <v>0</v>
      </c>
      <c r="R55" s="1116">
        <f t="shared" si="11"/>
        <v>0</v>
      </c>
      <c r="S55" s="1115">
        <f t="shared" si="11"/>
        <v>0</v>
      </c>
      <c r="T55" s="1909"/>
      <c r="U55" s="1193"/>
      <c r="V55" s="1114"/>
      <c r="W55" s="1115"/>
      <c r="X55" s="1114"/>
      <c r="Y55" s="1855"/>
      <c r="Z55" s="1201"/>
      <c r="AA55" s="1118"/>
      <c r="AB55" s="1117"/>
      <c r="AC55" s="1202"/>
      <c r="AD55" s="1347"/>
      <c r="AE55" s="1447"/>
      <c r="AF55" s="1201"/>
      <c r="AG55" s="1118"/>
      <c r="AH55" s="1117"/>
      <c r="AI55" s="1202"/>
      <c r="AJ55" s="1202"/>
      <c r="AK55" s="1345"/>
      <c r="AL55" s="1283"/>
      <c r="AM55" s="1118"/>
      <c r="AN55" s="1117"/>
      <c r="AO55" s="1202"/>
      <c r="AP55" s="1202"/>
      <c r="AQ55" s="1345"/>
      <c r="AR55" s="1283"/>
      <c r="AS55" s="1118"/>
      <c r="AT55" s="1119"/>
      <c r="AU55" s="1347"/>
      <c r="AV55" s="1348"/>
      <c r="AW55" s="1348"/>
      <c r="AX55" s="1283"/>
      <c r="AY55" s="1118"/>
      <c r="AZ55" s="1119"/>
      <c r="BA55" s="1448"/>
      <c r="BB55" s="1202"/>
      <c r="BC55" s="1203"/>
      <c r="BD55" s="1210"/>
      <c r="BE55" s="1199"/>
      <c r="BF55" s="1200"/>
      <c r="BG55" s="1351"/>
      <c r="BH55" s="1202"/>
      <c r="BI55" s="1345"/>
      <c r="BJ55" s="1283"/>
      <c r="BK55" s="1118"/>
      <c r="BL55" s="1117"/>
      <c r="BM55" s="1351"/>
      <c r="BN55" s="1202"/>
      <c r="BO55" s="1345"/>
      <c r="BP55" s="1449"/>
      <c r="BQ55" s="1450"/>
      <c r="BR55" s="1353">
        <f t="shared" si="13"/>
        <v>0</v>
      </c>
      <c r="BS55" s="1"/>
      <c r="BT55" s="1192">
        <f t="shared" si="12"/>
        <v>0</v>
      </c>
    </row>
    <row r="56" spans="1:72" ht="18.600000000000001" thickBot="1" x14ac:dyDescent="0.4">
      <c r="A56" s="2743"/>
      <c r="B56" s="868" t="s">
        <v>238</v>
      </c>
      <c r="C56" s="595" t="s">
        <v>240</v>
      </c>
      <c r="D56" s="300" t="s">
        <v>104</v>
      </c>
      <c r="E56" s="591"/>
      <c r="F56" s="235" t="e">
        <f t="shared" si="10"/>
        <v>#DIV/0!</v>
      </c>
      <c r="G56" s="236"/>
      <c r="H56" s="234">
        <f t="shared" si="14"/>
        <v>0</v>
      </c>
      <c r="I56" s="386"/>
      <c r="J56" s="386"/>
      <c r="K56" s="1437">
        <f t="shared" si="11"/>
        <v>0</v>
      </c>
      <c r="L56" s="1223">
        <f t="shared" si="11"/>
        <v>0</v>
      </c>
      <c r="M56" s="1223">
        <f t="shared" si="11"/>
        <v>0</v>
      </c>
      <c r="N56" s="1223">
        <f t="shared" si="11"/>
        <v>0</v>
      </c>
      <c r="O56" s="1223">
        <f t="shared" si="11"/>
        <v>0</v>
      </c>
      <c r="P56" s="1223">
        <f t="shared" si="11"/>
        <v>0</v>
      </c>
      <c r="Q56" s="1223">
        <f t="shared" si="11"/>
        <v>0</v>
      </c>
      <c r="R56" s="1223">
        <f t="shared" si="11"/>
        <v>0</v>
      </c>
      <c r="S56" s="1438">
        <f t="shared" si="11"/>
        <v>0</v>
      </c>
      <c r="T56" s="1907"/>
      <c r="U56" s="1222"/>
      <c r="V56" s="1885"/>
      <c r="W56" s="1889"/>
      <c r="X56" s="1885"/>
      <c r="Y56" s="1849"/>
      <c r="Z56" s="1442"/>
      <c r="AA56" s="1439"/>
      <c r="AB56" s="1440"/>
      <c r="AC56" s="1359"/>
      <c r="AD56" s="1367"/>
      <c r="AE56" s="1441"/>
      <c r="AF56" s="1442"/>
      <c r="AG56" s="1439"/>
      <c r="AH56" s="1440"/>
      <c r="AI56" s="1359"/>
      <c r="AJ56" s="1359"/>
      <c r="AK56" s="1360"/>
      <c r="AL56" s="1443"/>
      <c r="AM56" s="1439"/>
      <c r="AN56" s="1440"/>
      <c r="AO56" s="1359"/>
      <c r="AP56" s="1359"/>
      <c r="AQ56" s="1360"/>
      <c r="AR56" s="1443"/>
      <c r="AS56" s="1439"/>
      <c r="AT56" s="1451"/>
      <c r="AU56" s="1367"/>
      <c r="AV56" s="1368"/>
      <c r="AW56" s="1368"/>
      <c r="AX56" s="1443"/>
      <c r="AY56" s="1439"/>
      <c r="AZ56" s="1444"/>
      <c r="BA56" s="1445"/>
      <c r="BB56" s="1359"/>
      <c r="BC56" s="1231"/>
      <c r="BD56" s="1237"/>
      <c r="BE56" s="1227"/>
      <c r="BF56" s="1228"/>
      <c r="BG56" s="1452"/>
      <c r="BH56" s="1230"/>
      <c r="BI56" s="1453"/>
      <c r="BJ56" s="1443"/>
      <c r="BK56" s="1454"/>
      <c r="BL56" s="1455"/>
      <c r="BM56" s="1452"/>
      <c r="BN56" s="1230"/>
      <c r="BO56" s="1453"/>
      <c r="BP56" s="1456"/>
      <c r="BQ56" s="1457"/>
      <c r="BR56" s="1458"/>
      <c r="BS56" s="1"/>
      <c r="BT56" s="1192">
        <f t="shared" si="12"/>
        <v>0</v>
      </c>
    </row>
    <row r="57" spans="1:72" ht="18" x14ac:dyDescent="0.35">
      <c r="A57" s="2727"/>
      <c r="B57" s="2730" t="s">
        <v>105</v>
      </c>
      <c r="C57" s="598"/>
      <c r="D57" s="599" t="s">
        <v>102</v>
      </c>
      <c r="E57" s="600"/>
      <c r="F57" s="601" t="e">
        <f t="shared" si="10"/>
        <v>#DIV/0!</v>
      </c>
      <c r="G57" s="602"/>
      <c r="H57" s="835">
        <f t="shared" si="14"/>
        <v>0</v>
      </c>
      <c r="I57" s="852"/>
      <c r="J57" s="816"/>
      <c r="K57" s="1459">
        <f>(J57-$H57)+Z57</f>
        <v>0</v>
      </c>
      <c r="L57" s="1460">
        <f t="shared" si="11"/>
        <v>0</v>
      </c>
      <c r="M57" s="1460">
        <f t="shared" si="11"/>
        <v>0</v>
      </c>
      <c r="N57" s="1460">
        <f t="shared" si="11"/>
        <v>0</v>
      </c>
      <c r="O57" s="1460">
        <f t="shared" si="11"/>
        <v>0</v>
      </c>
      <c r="P57" s="1460">
        <f t="shared" si="11"/>
        <v>0</v>
      </c>
      <c r="Q57" s="1461">
        <f t="shared" si="11"/>
        <v>0</v>
      </c>
      <c r="R57" s="1460">
        <f t="shared" si="11"/>
        <v>0</v>
      </c>
      <c r="S57" s="1461">
        <f t="shared" si="11"/>
        <v>0</v>
      </c>
      <c r="T57" s="1911"/>
      <c r="U57" s="1461"/>
      <c r="V57" s="1526"/>
      <c r="W57" s="1527"/>
      <c r="X57" s="1526"/>
      <c r="Y57" s="1858"/>
      <c r="Z57" s="1467"/>
      <c r="AA57" s="1462"/>
      <c r="AB57" s="1463"/>
      <c r="AC57" s="1464"/>
      <c r="AD57" s="1465"/>
      <c r="AE57" s="1466"/>
      <c r="AF57" s="1467"/>
      <c r="AG57" s="1462"/>
      <c r="AH57" s="1463"/>
      <c r="AI57" s="1464"/>
      <c r="AJ57" s="1464"/>
      <c r="AK57" s="1468"/>
      <c r="AL57" s="1469"/>
      <c r="AM57" s="1462"/>
      <c r="AN57" s="1463"/>
      <c r="AO57" s="1464"/>
      <c r="AP57" s="1464"/>
      <c r="AQ57" s="1468"/>
      <c r="AR57" s="1469"/>
      <c r="AS57" s="1462"/>
      <c r="AT57" s="1470"/>
      <c r="AU57" s="1465"/>
      <c r="AV57" s="1471"/>
      <c r="AW57" s="1471"/>
      <c r="AX57" s="1469"/>
      <c r="AY57" s="1462"/>
      <c r="AZ57" s="1472"/>
      <c r="BA57" s="1473"/>
      <c r="BB57" s="1464"/>
      <c r="BC57" s="1474"/>
      <c r="BD57" s="1469"/>
      <c r="BE57" s="1462"/>
      <c r="BF57" s="1463"/>
      <c r="BG57" s="1475"/>
      <c r="BH57" s="1464"/>
      <c r="BI57" s="1468"/>
      <c r="BJ57" s="1469"/>
      <c r="BK57" s="1462"/>
      <c r="BL57" s="1463"/>
      <c r="BM57" s="1476"/>
      <c r="BN57" s="1477"/>
      <c r="BO57" s="1468"/>
      <c r="BP57" s="1478"/>
      <c r="BQ57" s="1471"/>
      <c r="BR57" s="1468"/>
      <c r="BS57" s="1"/>
    </row>
    <row r="58" spans="1:72" ht="18" x14ac:dyDescent="0.35">
      <c r="A58" s="2728"/>
      <c r="B58" s="2731"/>
      <c r="C58" s="493"/>
      <c r="D58" s="494" t="s">
        <v>103</v>
      </c>
      <c r="E58" s="592">
        <v>8</v>
      </c>
      <c r="F58" s="495" t="e">
        <f t="shared" si="10"/>
        <v>#DIV/0!</v>
      </c>
      <c r="G58" s="496"/>
      <c r="H58" s="836">
        <f t="shared" si="14"/>
        <v>0</v>
      </c>
      <c r="I58" s="853"/>
      <c r="J58" s="817"/>
      <c r="K58" s="1479">
        <f>J58-$H58</f>
        <v>0</v>
      </c>
      <c r="L58" s="1480">
        <f t="shared" si="11"/>
        <v>0</v>
      </c>
      <c r="M58" s="1480">
        <f>L58-H58</f>
        <v>0</v>
      </c>
      <c r="N58" s="1480">
        <f t="shared" si="11"/>
        <v>0</v>
      </c>
      <c r="O58" s="1480">
        <f t="shared" si="11"/>
        <v>0</v>
      </c>
      <c r="P58" s="1480">
        <f t="shared" si="11"/>
        <v>0</v>
      </c>
      <c r="Q58" s="1480">
        <f t="shared" si="11"/>
        <v>0</v>
      </c>
      <c r="R58" s="1480">
        <f t="shared" si="11"/>
        <v>0</v>
      </c>
      <c r="S58" s="1481">
        <f t="shared" si="11"/>
        <v>0</v>
      </c>
      <c r="T58" s="1912"/>
      <c r="U58" s="1828"/>
      <c r="V58" s="1886"/>
      <c r="W58" s="1891"/>
      <c r="X58" s="1886"/>
      <c r="Y58" s="1859"/>
      <c r="Z58" s="1837"/>
      <c r="AA58" s="1482"/>
      <c r="AB58" s="1483"/>
      <c r="AC58" s="1484"/>
      <c r="AD58" s="1485"/>
      <c r="AE58" s="1486"/>
      <c r="AF58" s="1487"/>
      <c r="AG58" s="1488"/>
      <c r="AH58" s="1489"/>
      <c r="AI58" s="1490"/>
      <c r="AJ58" s="1491"/>
      <c r="AK58" s="1492"/>
      <c r="AL58" s="1493"/>
      <c r="AM58" s="1482"/>
      <c r="AN58" s="1483"/>
      <c r="AO58" s="1484"/>
      <c r="AP58" s="1484"/>
      <c r="AQ58" s="1494"/>
      <c r="AR58" s="1493"/>
      <c r="AS58" s="1482"/>
      <c r="AT58" s="1495"/>
      <c r="AU58" s="1485"/>
      <c r="AV58" s="1496"/>
      <c r="AW58" s="1496"/>
      <c r="AX58" s="1493"/>
      <c r="AY58" s="1482"/>
      <c r="AZ58" s="1495"/>
      <c r="BA58" s="1497"/>
      <c r="BB58" s="1484"/>
      <c r="BC58" s="1498"/>
      <c r="BD58" s="1493"/>
      <c r="BE58" s="1482"/>
      <c r="BF58" s="1483"/>
      <c r="BG58" s="1499"/>
      <c r="BH58" s="1484"/>
      <c r="BI58" s="1494"/>
      <c r="BJ58" s="1493"/>
      <c r="BK58" s="1482"/>
      <c r="BL58" s="1483"/>
      <c r="BM58" s="1485"/>
      <c r="BN58" s="1500"/>
      <c r="BO58" s="1501"/>
      <c r="BP58" s="1502"/>
      <c r="BQ58" s="1503"/>
      <c r="BR58" s="1494"/>
      <c r="BS58" s="1"/>
    </row>
    <row r="59" spans="1:72" ht="18.600000000000001" thickBot="1" x14ac:dyDescent="0.4">
      <c r="A59" s="2729"/>
      <c r="B59" s="2732"/>
      <c r="C59" s="508"/>
      <c r="D59" s="509" t="s">
        <v>104</v>
      </c>
      <c r="E59" s="593">
        <v>2.5</v>
      </c>
      <c r="F59" s="510" t="e">
        <f t="shared" si="10"/>
        <v>#DIV/0!</v>
      </c>
      <c r="G59" s="511"/>
      <c r="H59" s="837">
        <f t="shared" si="14"/>
        <v>0</v>
      </c>
      <c r="I59" s="819"/>
      <c r="J59" s="818"/>
      <c r="K59" s="1504">
        <f>J59-$H59</f>
        <v>0</v>
      </c>
      <c r="L59" s="1505">
        <f t="shared" si="11"/>
        <v>0</v>
      </c>
      <c r="M59" s="1505">
        <f t="shared" si="11"/>
        <v>0</v>
      </c>
      <c r="N59" s="1505">
        <f t="shared" si="11"/>
        <v>0</v>
      </c>
      <c r="O59" s="1505">
        <f t="shared" si="11"/>
        <v>0</v>
      </c>
      <c r="P59" s="1505">
        <f t="shared" si="11"/>
        <v>0</v>
      </c>
      <c r="Q59" s="1505">
        <f t="shared" si="11"/>
        <v>0</v>
      </c>
      <c r="R59" s="1505">
        <f t="shared" si="11"/>
        <v>0</v>
      </c>
      <c r="S59" s="1506">
        <f t="shared" si="11"/>
        <v>0</v>
      </c>
      <c r="T59" s="1913"/>
      <c r="U59" s="1829"/>
      <c r="V59" s="1887"/>
      <c r="W59" s="1892"/>
      <c r="X59" s="1887"/>
      <c r="Y59" s="1860"/>
      <c r="Z59" s="1544"/>
      <c r="AA59" s="1507"/>
      <c r="AB59" s="1508"/>
      <c r="AC59" s="1509"/>
      <c r="AD59" s="1510"/>
      <c r="AE59" s="1511"/>
      <c r="AF59" s="1512"/>
      <c r="AG59" s="1513"/>
      <c r="AH59" s="1514"/>
      <c r="AI59" s="1515"/>
      <c r="AJ59" s="1515"/>
      <c r="AK59" s="1516"/>
      <c r="AL59" s="1517"/>
      <c r="AM59" s="1507"/>
      <c r="AN59" s="1508"/>
      <c r="AO59" s="1510"/>
      <c r="AP59" s="1518"/>
      <c r="AQ59" s="1519"/>
      <c r="AR59" s="1517"/>
      <c r="AS59" s="1507"/>
      <c r="AT59" s="1508"/>
      <c r="AU59" s="1510"/>
      <c r="AV59" s="1518"/>
      <c r="AW59" s="1518"/>
      <c r="AX59" s="1517"/>
      <c r="AY59" s="1507"/>
      <c r="AZ59" s="1520"/>
      <c r="BA59" s="1521"/>
      <c r="BB59" s="1509"/>
      <c r="BC59" s="1522"/>
      <c r="BD59" s="1517"/>
      <c r="BE59" s="1507"/>
      <c r="BF59" s="1508"/>
      <c r="BG59" s="1523"/>
      <c r="BH59" s="1509"/>
      <c r="BI59" s="1519"/>
      <c r="BJ59" s="1517"/>
      <c r="BK59" s="1507"/>
      <c r="BL59" s="1508"/>
      <c r="BM59" s="1510"/>
      <c r="BN59" s="1524"/>
      <c r="BO59" s="1522"/>
      <c r="BP59" s="1525"/>
      <c r="BQ59" s="1510"/>
      <c r="BR59" s="1519"/>
      <c r="BS59" s="1"/>
    </row>
    <row r="60" spans="1:72" ht="18" customHeight="1" x14ac:dyDescent="0.3">
      <c r="A60" s="2733"/>
      <c r="B60" s="2730" t="s">
        <v>106</v>
      </c>
      <c r="C60" s="610"/>
      <c r="D60" s="599" t="s">
        <v>102</v>
      </c>
      <c r="E60" s="600">
        <v>8</v>
      </c>
      <c r="F60" s="601" t="e">
        <f t="shared" si="10"/>
        <v>#DIV/0!</v>
      </c>
      <c r="G60" s="602"/>
      <c r="H60" s="835">
        <f t="shared" si="14"/>
        <v>0</v>
      </c>
      <c r="I60" s="852"/>
      <c r="J60" s="816"/>
      <c r="K60" s="1470">
        <f>J60-H60</f>
        <v>0</v>
      </c>
      <c r="L60" s="1526">
        <f>(K60-$H60)+AA60</f>
        <v>0</v>
      </c>
      <c r="M60" s="1526">
        <f>L60-H60</f>
        <v>0</v>
      </c>
      <c r="N60" s="1526">
        <f>(M60-$H60)+AC60</f>
        <v>0</v>
      </c>
      <c r="O60" s="1526">
        <f>(N60-$H60)+AE60</f>
        <v>0</v>
      </c>
      <c r="P60" s="1526">
        <f>(O60-$H60)+AF60</f>
        <v>0</v>
      </c>
      <c r="Q60" s="1526">
        <f>(P60-$H60)+AG60</f>
        <v>0</v>
      </c>
      <c r="R60" s="1526">
        <f>(Q60-$H60)+AH60</f>
        <v>0</v>
      </c>
      <c r="S60" s="1527">
        <f>(R60-$H60)+AI60</f>
        <v>0</v>
      </c>
      <c r="T60" s="1911"/>
      <c r="U60" s="1461"/>
      <c r="V60" s="1526"/>
      <c r="W60" s="1527"/>
      <c r="X60" s="1526"/>
      <c r="Y60" s="1858"/>
      <c r="Z60" s="1467"/>
      <c r="AA60" s="1462"/>
      <c r="AB60" s="1463"/>
      <c r="AC60" s="1464"/>
      <c r="AD60" s="1465"/>
      <c r="AE60" s="1466"/>
      <c r="AF60" s="1467"/>
      <c r="AG60" s="1462"/>
      <c r="AH60" s="1463"/>
      <c r="AI60" s="1464"/>
      <c r="AJ60" s="1464"/>
      <c r="AK60" s="1468"/>
      <c r="AL60" s="1469"/>
      <c r="AM60" s="1462"/>
      <c r="AN60" s="1463"/>
      <c r="AO60" s="1464"/>
      <c r="AP60" s="1464"/>
      <c r="AQ60" s="1468"/>
      <c r="AR60" s="1469"/>
      <c r="AS60" s="1462"/>
      <c r="AT60" s="1463"/>
      <c r="AU60" s="1475"/>
      <c r="AV60" s="1464"/>
      <c r="AW60" s="1464"/>
      <c r="AX60" s="1469"/>
      <c r="AY60" s="1462"/>
      <c r="AZ60" s="1472"/>
      <c r="BA60" s="1473"/>
      <c r="BB60" s="1464"/>
      <c r="BC60" s="1474"/>
      <c r="BD60" s="1469"/>
      <c r="BE60" s="1462"/>
      <c r="BF60" s="1463"/>
      <c r="BG60" s="1475"/>
      <c r="BH60" s="1464"/>
      <c r="BI60" s="1468"/>
      <c r="BJ60" s="1469"/>
      <c r="BK60" s="1462"/>
      <c r="BL60" s="1463"/>
      <c r="BM60" s="1528"/>
      <c r="BN60" s="1529"/>
      <c r="BO60" s="1474"/>
      <c r="BP60" s="1478"/>
      <c r="BQ60" s="1465"/>
      <c r="BR60" s="1468"/>
      <c r="BS60" s="1"/>
    </row>
    <row r="61" spans="1:72" ht="18.600000000000001" customHeight="1" x14ac:dyDescent="0.3">
      <c r="A61" s="2734"/>
      <c r="B61" s="2731"/>
      <c r="C61" s="506"/>
      <c r="D61" s="522" t="s">
        <v>103</v>
      </c>
      <c r="E61" s="590">
        <v>8</v>
      </c>
      <c r="F61" s="523" t="e">
        <f t="shared" si="10"/>
        <v>#DIV/0!</v>
      </c>
      <c r="G61" s="524"/>
      <c r="H61" s="838">
        <f t="shared" si="14"/>
        <v>0</v>
      </c>
      <c r="I61" s="854"/>
      <c r="J61" s="817"/>
      <c r="K61" s="1530">
        <f>J61-$H61</f>
        <v>0</v>
      </c>
      <c r="L61" s="1531">
        <f t="shared" ref="L61:S62" si="15">K61-$H61</f>
        <v>0</v>
      </c>
      <c r="M61" s="1531">
        <f t="shared" si="15"/>
        <v>0</v>
      </c>
      <c r="N61" s="1531">
        <f t="shared" si="15"/>
        <v>0</v>
      </c>
      <c r="O61" s="1531">
        <f t="shared" si="15"/>
        <v>0</v>
      </c>
      <c r="P61" s="1531">
        <f t="shared" si="15"/>
        <v>0</v>
      </c>
      <c r="Q61" s="1531">
        <f t="shared" si="15"/>
        <v>0</v>
      </c>
      <c r="R61" s="1531">
        <f t="shared" si="15"/>
        <v>0</v>
      </c>
      <c r="S61" s="1532">
        <f t="shared" si="15"/>
        <v>0</v>
      </c>
      <c r="T61" s="1914"/>
      <c r="U61" s="1830"/>
      <c r="V61" s="1888"/>
      <c r="W61" s="1893"/>
      <c r="X61" s="1888"/>
      <c r="Y61" s="1861"/>
      <c r="Z61" s="1487"/>
      <c r="AA61" s="1488"/>
      <c r="AB61" s="1489"/>
      <c r="AC61" s="1533"/>
      <c r="AD61" s="1485"/>
      <c r="AE61" s="1486"/>
      <c r="AF61" s="1487"/>
      <c r="AG61" s="1488"/>
      <c r="AH61" s="1489"/>
      <c r="AI61" s="1490"/>
      <c r="AJ61" s="1484"/>
      <c r="AK61" s="1498"/>
      <c r="AL61" s="1534"/>
      <c r="AM61" s="1488"/>
      <c r="AN61" s="1489"/>
      <c r="AO61" s="1484"/>
      <c r="AP61" s="1484"/>
      <c r="AQ61" s="1494"/>
      <c r="AR61" s="1535"/>
      <c r="AS61" s="1488"/>
      <c r="AT61" s="1489"/>
      <c r="AU61" s="1536"/>
      <c r="AV61" s="1533"/>
      <c r="AW61" s="1533"/>
      <c r="AX61" s="1534"/>
      <c r="AY61" s="1488"/>
      <c r="AZ61" s="1537"/>
      <c r="BA61" s="1538"/>
      <c r="BB61" s="1484"/>
      <c r="BC61" s="1498"/>
      <c r="BD61" s="1534"/>
      <c r="BE61" s="1488"/>
      <c r="BF61" s="1489"/>
      <c r="BG61" s="1536"/>
      <c r="BH61" s="1533"/>
      <c r="BI61" s="1492"/>
      <c r="BJ61" s="1534"/>
      <c r="BK61" s="1488"/>
      <c r="BL61" s="1489"/>
      <c r="BM61" s="1490"/>
      <c r="BN61" s="1539"/>
      <c r="BO61" s="1540"/>
      <c r="BP61" s="1541"/>
      <c r="BQ61" s="1542"/>
      <c r="BR61" s="1501"/>
      <c r="BS61" s="1"/>
    </row>
    <row r="62" spans="1:72" ht="21" customHeight="1" thickBot="1" x14ac:dyDescent="0.35">
      <c r="A62" s="2735"/>
      <c r="B62" s="2732"/>
      <c r="C62" s="513"/>
      <c r="D62" s="512" t="s">
        <v>104</v>
      </c>
      <c r="E62" s="618">
        <v>2.5</v>
      </c>
      <c r="F62" s="510" t="e">
        <f t="shared" si="10"/>
        <v>#DIV/0!</v>
      </c>
      <c r="G62" s="619"/>
      <c r="H62" s="837">
        <f t="shared" si="14"/>
        <v>0</v>
      </c>
      <c r="I62" s="819"/>
      <c r="J62" s="819"/>
      <c r="K62" s="1504">
        <f>J62-$H62</f>
        <v>0</v>
      </c>
      <c r="L62" s="1505">
        <f t="shared" si="11"/>
        <v>0</v>
      </c>
      <c r="M62" s="1505">
        <f t="shared" si="15"/>
        <v>0</v>
      </c>
      <c r="N62" s="1505">
        <f t="shared" si="15"/>
        <v>0</v>
      </c>
      <c r="O62" s="1505">
        <f t="shared" si="15"/>
        <v>0</v>
      </c>
      <c r="P62" s="1505">
        <f t="shared" si="15"/>
        <v>0</v>
      </c>
      <c r="Q62" s="1505">
        <f t="shared" si="15"/>
        <v>0</v>
      </c>
      <c r="R62" s="1505">
        <f t="shared" si="15"/>
        <v>0</v>
      </c>
      <c r="S62" s="1506">
        <f t="shared" si="15"/>
        <v>0</v>
      </c>
      <c r="T62" s="1915"/>
      <c r="U62" s="1916"/>
      <c r="V62" s="1917"/>
      <c r="W62" s="1918"/>
      <c r="X62" s="1917"/>
      <c r="Y62" s="1919"/>
      <c r="Z62" s="1509"/>
      <c r="AA62" s="1507"/>
      <c r="AB62" s="1508"/>
      <c r="AC62" s="1515"/>
      <c r="AD62" s="1543"/>
      <c r="AE62" s="1511"/>
      <c r="AF62" s="1544"/>
      <c r="AG62" s="1507"/>
      <c r="AH62" s="1508"/>
      <c r="AI62" s="1510"/>
      <c r="AJ62" s="1509"/>
      <c r="AK62" s="1522"/>
      <c r="AL62" s="1545"/>
      <c r="AM62" s="1513"/>
      <c r="AN62" s="1514"/>
      <c r="AO62" s="1510"/>
      <c r="AP62" s="1518"/>
      <c r="AQ62" s="1519"/>
      <c r="AR62" s="1545"/>
      <c r="AS62" s="1507"/>
      <c r="AT62" s="1508"/>
      <c r="AU62" s="1546"/>
      <c r="AV62" s="1515"/>
      <c r="AW62" s="1515"/>
      <c r="AX62" s="1545"/>
      <c r="AY62" s="1507"/>
      <c r="AZ62" s="1508"/>
      <c r="BA62" s="1547"/>
      <c r="BB62" s="1548"/>
      <c r="BC62" s="1519"/>
      <c r="BD62" s="1545"/>
      <c r="BE62" s="1507"/>
      <c r="BF62" s="1508"/>
      <c r="BG62" s="1546"/>
      <c r="BH62" s="1515"/>
      <c r="BI62" s="1516"/>
      <c r="BJ62" s="1545"/>
      <c r="BK62" s="1513"/>
      <c r="BL62" s="1514"/>
      <c r="BM62" s="1510"/>
      <c r="BN62" s="1549"/>
      <c r="BO62" s="1550"/>
      <c r="BP62" s="1551"/>
      <c r="BQ62" s="1510"/>
      <c r="BR62" s="1519"/>
      <c r="BS62" s="1"/>
    </row>
    <row r="63" spans="1:72" s="1" customFormat="1" ht="21" customHeight="1" thickBot="1" x14ac:dyDescent="0.35">
      <c r="A63" s="48"/>
      <c r="B63" s="938"/>
      <c r="D63" s="939"/>
      <c r="E63" s="940"/>
      <c r="F63" s="941"/>
      <c r="G63" s="48"/>
      <c r="H63" s="939"/>
      <c r="I63" s="815"/>
      <c r="J63" s="815"/>
      <c r="K63" s="1552"/>
      <c r="L63" s="1552"/>
      <c r="M63" s="1552"/>
      <c r="N63" s="1552"/>
      <c r="O63" s="1552"/>
      <c r="P63" s="1552"/>
      <c r="Q63" s="1552"/>
      <c r="R63" s="1552"/>
      <c r="S63" s="1552"/>
      <c r="T63" s="1862"/>
      <c r="U63" s="1552"/>
      <c r="V63" s="1552"/>
      <c r="W63" s="1552"/>
      <c r="X63" s="1552"/>
      <c r="Y63" s="1863"/>
      <c r="Z63" s="1085">
        <f>SUM(Z47:Z56)</f>
        <v>0</v>
      </c>
      <c r="AA63" s="1085">
        <f t="shared" ref="AA63:BO63" si="16">SUM(AA47:AA56)</f>
        <v>0</v>
      </c>
      <c r="AB63" s="1085">
        <f t="shared" si="16"/>
        <v>0</v>
      </c>
      <c r="AC63" s="1085">
        <f t="shared" si="16"/>
        <v>0</v>
      </c>
      <c r="AD63" s="1085">
        <f t="shared" si="16"/>
        <v>0</v>
      </c>
      <c r="AE63" s="1308">
        <f t="shared" si="16"/>
        <v>0</v>
      </c>
      <c r="AF63" s="1085">
        <f t="shared" si="16"/>
        <v>0</v>
      </c>
      <c r="AG63" s="1085">
        <f t="shared" si="16"/>
        <v>0</v>
      </c>
      <c r="AH63" s="1085">
        <f t="shared" si="16"/>
        <v>0</v>
      </c>
      <c r="AI63" s="1085">
        <f t="shared" si="16"/>
        <v>0</v>
      </c>
      <c r="AJ63" s="1085">
        <f t="shared" si="16"/>
        <v>0</v>
      </c>
      <c r="AK63" s="1309">
        <f t="shared" si="16"/>
        <v>0</v>
      </c>
      <c r="AL63" s="1310">
        <f t="shared" si="16"/>
        <v>0</v>
      </c>
      <c r="AM63" s="1085">
        <f t="shared" si="16"/>
        <v>0</v>
      </c>
      <c r="AN63" s="1085">
        <f t="shared" si="16"/>
        <v>0</v>
      </c>
      <c r="AO63" s="1085">
        <f t="shared" si="16"/>
        <v>0</v>
      </c>
      <c r="AP63" s="1085">
        <f t="shared" si="16"/>
        <v>0</v>
      </c>
      <c r="AQ63" s="1309">
        <f t="shared" si="16"/>
        <v>0</v>
      </c>
      <c r="AR63" s="1310">
        <f t="shared" si="16"/>
        <v>0</v>
      </c>
      <c r="AS63" s="1085">
        <f t="shared" si="16"/>
        <v>0</v>
      </c>
      <c r="AT63" s="1085">
        <f t="shared" si="16"/>
        <v>0</v>
      </c>
      <c r="AU63" s="1085">
        <f t="shared" si="16"/>
        <v>0</v>
      </c>
      <c r="AV63" s="1085">
        <f t="shared" si="16"/>
        <v>0</v>
      </c>
      <c r="AW63" s="1085">
        <f t="shared" si="16"/>
        <v>0</v>
      </c>
      <c r="AX63" s="1310">
        <f t="shared" si="16"/>
        <v>0</v>
      </c>
      <c r="AY63" s="1085">
        <f t="shared" si="16"/>
        <v>0</v>
      </c>
      <c r="AZ63" s="1085">
        <f t="shared" si="16"/>
        <v>0</v>
      </c>
      <c r="BA63" s="1085">
        <f t="shared" si="16"/>
        <v>0</v>
      </c>
      <c r="BB63" s="1085">
        <f t="shared" si="16"/>
        <v>0</v>
      </c>
      <c r="BC63" s="1309">
        <f t="shared" si="16"/>
        <v>0</v>
      </c>
      <c r="BD63" s="1310">
        <f t="shared" si="16"/>
        <v>0</v>
      </c>
      <c r="BE63" s="1085">
        <f t="shared" si="16"/>
        <v>0</v>
      </c>
      <c r="BF63" s="1085">
        <f t="shared" si="16"/>
        <v>0</v>
      </c>
      <c r="BG63" s="1085">
        <f t="shared" si="16"/>
        <v>0</v>
      </c>
      <c r="BH63" s="1085">
        <f t="shared" si="16"/>
        <v>0</v>
      </c>
      <c r="BI63" s="1309">
        <f t="shared" si="16"/>
        <v>0</v>
      </c>
      <c r="BJ63" s="1310">
        <f t="shared" si="16"/>
        <v>0</v>
      </c>
      <c r="BK63" s="1085">
        <f t="shared" si="16"/>
        <v>0</v>
      </c>
      <c r="BL63" s="1085">
        <f t="shared" si="16"/>
        <v>0</v>
      </c>
      <c r="BM63" s="1085">
        <f t="shared" si="16"/>
        <v>0</v>
      </c>
      <c r="BN63" s="1085">
        <f t="shared" si="16"/>
        <v>0</v>
      </c>
      <c r="BO63" s="1309">
        <f t="shared" si="16"/>
        <v>0</v>
      </c>
      <c r="BP63" s="1310"/>
      <c r="BQ63" s="1085"/>
      <c r="BR63" s="1309"/>
      <c r="BS63" s="1085">
        <f>SUM(Z63:BR63)</f>
        <v>0</v>
      </c>
      <c r="BT63" s="1192">
        <f>SUM(BT47:BT56)</f>
        <v>0</v>
      </c>
    </row>
    <row r="64" spans="1:72" s="1" customFormat="1" ht="21" customHeight="1" thickTop="1" thickBot="1" x14ac:dyDescent="0.35">
      <c r="A64" s="875" t="s">
        <v>300</v>
      </c>
      <c r="B64" s="876"/>
      <c r="C64" s="877"/>
      <c r="E64" s="79"/>
      <c r="F64" s="712"/>
      <c r="I64" s="815"/>
      <c r="J64" s="815"/>
      <c r="K64" s="1085"/>
      <c r="L64" s="1085"/>
      <c r="M64" s="1085"/>
      <c r="N64" s="1085"/>
      <c r="O64" s="1085"/>
      <c r="P64" s="1085"/>
      <c r="Q64" s="1085"/>
      <c r="R64" s="1085"/>
      <c r="S64" s="1085"/>
      <c r="T64" s="1310"/>
      <c r="U64" s="1085"/>
      <c r="V64" s="1085"/>
      <c r="W64" s="1085"/>
      <c r="X64" s="1085"/>
      <c r="Y64" s="1309"/>
      <c r="Z64" s="1085"/>
      <c r="AA64" s="1133"/>
      <c r="AB64" s="1085"/>
      <c r="AC64" s="1085"/>
      <c r="AD64" s="1085"/>
      <c r="AE64" s="1308"/>
      <c r="AF64" s="1133"/>
      <c r="AG64" s="1085"/>
      <c r="AH64" s="1085"/>
      <c r="AI64" s="1085"/>
      <c r="AJ64" s="1085"/>
      <c r="AK64" s="1309"/>
      <c r="AL64" s="1310"/>
      <c r="AM64" s="1085"/>
      <c r="AN64" s="1133"/>
      <c r="AO64" s="1085"/>
      <c r="AP64" s="1085"/>
      <c r="AQ64" s="1309"/>
      <c r="AR64" s="1310"/>
      <c r="AS64" s="1085"/>
      <c r="AT64" s="1085"/>
      <c r="AU64" s="1311"/>
      <c r="AV64" s="1085"/>
      <c r="AW64" s="1085"/>
      <c r="AX64" s="1310"/>
      <c r="AY64" s="1085"/>
      <c r="AZ64" s="1085"/>
      <c r="BA64" s="1085"/>
      <c r="BB64" s="1085"/>
      <c r="BC64" s="1309"/>
      <c r="BD64" s="1310"/>
      <c r="BE64" s="1133"/>
      <c r="BF64" s="1133"/>
      <c r="BG64" s="1085"/>
      <c r="BH64" s="1085"/>
      <c r="BI64" s="1309"/>
      <c r="BJ64" s="1310"/>
      <c r="BK64" s="1085"/>
      <c r="BL64" s="1133"/>
      <c r="BM64" s="1085"/>
      <c r="BN64" s="1085"/>
      <c r="BO64" s="1309"/>
      <c r="BP64" s="1310"/>
      <c r="BQ64" s="1085"/>
      <c r="BR64" s="1309"/>
    </row>
    <row r="65" spans="1:71" s="1" customFormat="1" ht="21" customHeight="1" thickTop="1" thickBot="1" x14ac:dyDescent="0.35">
      <c r="A65" s="1008" t="s">
        <v>29</v>
      </c>
      <c r="B65" s="885" t="s">
        <v>30</v>
      </c>
      <c r="C65" s="886" t="s">
        <v>31</v>
      </c>
      <c r="D65" s="887" t="s">
        <v>2</v>
      </c>
      <c r="E65" s="888" t="s">
        <v>32</v>
      </c>
      <c r="F65" s="888" t="s">
        <v>33</v>
      </c>
      <c r="G65" s="889" t="s">
        <v>34</v>
      </c>
      <c r="H65" s="890" t="s">
        <v>35</v>
      </c>
      <c r="I65" s="891" t="s">
        <v>36</v>
      </c>
      <c r="J65" s="811" t="s">
        <v>37</v>
      </c>
      <c r="K65" s="1312" t="s">
        <v>38</v>
      </c>
      <c r="L65" s="1313" t="s">
        <v>39</v>
      </c>
      <c r="M65" s="1313" t="s">
        <v>40</v>
      </c>
      <c r="N65" s="1313" t="s">
        <v>41</v>
      </c>
      <c r="O65" s="1313" t="s">
        <v>42</v>
      </c>
      <c r="P65" s="1313" t="s">
        <v>43</v>
      </c>
      <c r="Q65" s="1314" t="s">
        <v>44</v>
      </c>
      <c r="R65" s="1313" t="s">
        <v>38</v>
      </c>
      <c r="S65" s="1314" t="s">
        <v>45</v>
      </c>
      <c r="T65" s="1931" t="s">
        <v>457</v>
      </c>
      <c r="U65" s="1932" t="s">
        <v>458</v>
      </c>
      <c r="V65" s="1739" t="s">
        <v>345</v>
      </c>
      <c r="W65" s="1933" t="s">
        <v>459</v>
      </c>
      <c r="X65" s="1932" t="s">
        <v>460</v>
      </c>
      <c r="Y65" s="1934" t="s">
        <v>461</v>
      </c>
      <c r="Z65" s="1557" t="s">
        <v>301</v>
      </c>
      <c r="AA65" s="1318" t="s">
        <v>302</v>
      </c>
      <c r="AB65" s="1315" t="s">
        <v>303</v>
      </c>
      <c r="AC65" s="1553" t="s">
        <v>304</v>
      </c>
      <c r="AD65" s="1318" t="s">
        <v>306</v>
      </c>
      <c r="AE65" s="1554" t="s">
        <v>305</v>
      </c>
      <c r="AF65" s="1317" t="s">
        <v>310</v>
      </c>
      <c r="AG65" s="1318" t="s">
        <v>311</v>
      </c>
      <c r="AH65" s="1317" t="s">
        <v>312</v>
      </c>
      <c r="AI65" s="1318" t="s">
        <v>313</v>
      </c>
      <c r="AJ65" s="1317" t="s">
        <v>314</v>
      </c>
      <c r="AK65" s="1318" t="s">
        <v>315</v>
      </c>
      <c r="AL65" s="1318" t="s">
        <v>317</v>
      </c>
      <c r="AM65" s="1555" t="s">
        <v>318</v>
      </c>
      <c r="AN65" s="1318" t="s">
        <v>319</v>
      </c>
      <c r="AO65" s="1556" t="s">
        <v>320</v>
      </c>
      <c r="AP65" s="1318" t="s">
        <v>321</v>
      </c>
      <c r="AQ65" s="1556" t="s">
        <v>322</v>
      </c>
      <c r="AR65" s="1318" t="s">
        <v>324</v>
      </c>
      <c r="AS65" s="1555" t="s">
        <v>325</v>
      </c>
      <c r="AT65" s="1318" t="s">
        <v>326</v>
      </c>
      <c r="AU65" s="1556" t="s">
        <v>327</v>
      </c>
      <c r="AV65" s="1318" t="s">
        <v>328</v>
      </c>
      <c r="AW65" s="1557" t="s">
        <v>329</v>
      </c>
      <c r="AX65" s="1556" t="s">
        <v>331</v>
      </c>
      <c r="AY65" s="1318" t="s">
        <v>332</v>
      </c>
      <c r="AZ65" s="1557" t="s">
        <v>333</v>
      </c>
      <c r="BA65" s="1318" t="s">
        <v>334</v>
      </c>
      <c r="BB65" s="1556" t="s">
        <v>335</v>
      </c>
      <c r="BC65" s="1318" t="s">
        <v>336</v>
      </c>
      <c r="BD65" s="1556" t="s">
        <v>337</v>
      </c>
      <c r="BE65" s="1318" t="s">
        <v>338</v>
      </c>
      <c r="BF65" s="1557" t="s">
        <v>339</v>
      </c>
      <c r="BG65" s="1318" t="s">
        <v>340</v>
      </c>
      <c r="BH65" s="1556" t="s">
        <v>341</v>
      </c>
      <c r="BI65" s="1556" t="s">
        <v>342</v>
      </c>
      <c r="BJ65" s="1318" t="s">
        <v>343</v>
      </c>
      <c r="BK65" s="1558" t="s">
        <v>344</v>
      </c>
      <c r="BL65" s="1318" t="s">
        <v>345</v>
      </c>
      <c r="BM65" s="1318" t="s">
        <v>346</v>
      </c>
      <c r="BN65" s="1559" t="s">
        <v>347</v>
      </c>
      <c r="BO65" s="1326" t="s">
        <v>348</v>
      </c>
      <c r="BP65" s="1327" t="s">
        <v>70</v>
      </c>
      <c r="BQ65" s="1317" t="s">
        <v>71</v>
      </c>
      <c r="BR65" s="1328" t="s">
        <v>72</v>
      </c>
    </row>
    <row r="66" spans="1:71" s="1" customFormat="1" ht="21" customHeight="1" x14ac:dyDescent="0.35">
      <c r="A66" s="2753"/>
      <c r="B66" s="866"/>
      <c r="C66" s="942"/>
      <c r="D66" s="290" t="s">
        <v>293</v>
      </c>
      <c r="E66" s="943"/>
      <c r="F66" s="944" t="e">
        <f t="shared" ref="F66:F77" si="17">(BR66/G66)/7</f>
        <v>#DIV/0!</v>
      </c>
      <c r="G66" s="480"/>
      <c r="H66" s="945">
        <f>G66*E66</f>
        <v>0</v>
      </c>
      <c r="I66" s="826"/>
      <c r="J66" s="826"/>
      <c r="K66" s="1560">
        <f>J66-H66</f>
        <v>0</v>
      </c>
      <c r="L66" s="1274">
        <f t="shared" ref="L66:S76" si="18">K66-$H66</f>
        <v>0</v>
      </c>
      <c r="M66" s="1274">
        <f t="shared" si="18"/>
        <v>0</v>
      </c>
      <c r="N66" s="1274">
        <f t="shared" si="18"/>
        <v>0</v>
      </c>
      <c r="O66" s="1274">
        <f t="shared" si="18"/>
        <v>0</v>
      </c>
      <c r="P66" s="1274">
        <f t="shared" si="18"/>
        <v>0</v>
      </c>
      <c r="Q66" s="1273">
        <f t="shared" si="18"/>
        <v>0</v>
      </c>
      <c r="R66" s="1274">
        <f t="shared" si="18"/>
        <v>0</v>
      </c>
      <c r="S66" s="1273">
        <f t="shared" si="18"/>
        <v>0</v>
      </c>
      <c r="T66" s="1848"/>
      <c r="U66" s="1885"/>
      <c r="V66" s="1222"/>
      <c r="W66" s="1885"/>
      <c r="X66" s="1222"/>
      <c r="Y66" s="1923"/>
      <c r="Z66" s="1622"/>
      <c r="AA66" s="1274"/>
      <c r="AB66" s="1560"/>
      <c r="AC66" s="1273"/>
      <c r="AD66" s="1274"/>
      <c r="AE66" s="1561"/>
      <c r="AF66" s="1562"/>
      <c r="AG66" s="1279"/>
      <c r="AH66" s="1562"/>
      <c r="AI66" s="1279"/>
      <c r="AJ66" s="1562"/>
      <c r="AK66" s="1279"/>
      <c r="AL66" s="1274"/>
      <c r="AM66" s="1273"/>
      <c r="AN66" s="1274"/>
      <c r="AO66" s="1273"/>
      <c r="AP66" s="1274"/>
      <c r="AQ66" s="1563"/>
      <c r="AR66" s="1279"/>
      <c r="AS66" s="1562"/>
      <c r="AT66" s="1279"/>
      <c r="AU66" s="1279"/>
      <c r="AV66" s="1279"/>
      <c r="AW66" s="1562"/>
      <c r="AX66" s="1564"/>
      <c r="AY66" s="1274"/>
      <c r="AZ66" s="1273"/>
      <c r="BA66" s="1274"/>
      <c r="BB66" s="1565"/>
      <c r="BC66" s="1279"/>
      <c r="BD66" s="1179"/>
      <c r="BE66" s="1566"/>
      <c r="BF66" s="1276"/>
      <c r="BG66" s="1278"/>
      <c r="BH66" s="1562"/>
      <c r="BI66" s="1563"/>
      <c r="BJ66" s="1279"/>
      <c r="BK66" s="1567"/>
      <c r="BL66" s="1279"/>
      <c r="BM66" s="1279"/>
      <c r="BN66" s="1279"/>
      <c r="BO66" s="1568"/>
      <c r="BP66" s="1446">
        <f>SUM('[3]Porta Wk 16'!T66:BI66)</f>
        <v>0</v>
      </c>
      <c r="BQ66" s="1569"/>
      <c r="BR66" s="1570"/>
    </row>
    <row r="67" spans="1:71" s="1" customFormat="1" ht="18.600000000000001" thickBot="1" x14ac:dyDescent="0.4">
      <c r="A67" s="2754"/>
      <c r="B67" s="867"/>
      <c r="C67" s="946"/>
      <c r="D67" s="290" t="s">
        <v>293</v>
      </c>
      <c r="E67" s="947"/>
      <c r="F67" s="948" t="e">
        <f t="shared" si="17"/>
        <v>#DIV/0!</v>
      </c>
      <c r="G67" s="482"/>
      <c r="H67" s="949">
        <f>G67*E67</f>
        <v>0</v>
      </c>
      <c r="I67" s="950"/>
      <c r="J67" s="950"/>
      <c r="K67" s="1395">
        <f>J67-$H67</f>
        <v>0</v>
      </c>
      <c r="L67" s="1194">
        <f>K67-$H67</f>
        <v>0</v>
      </c>
      <c r="M67" s="1194">
        <f t="shared" si="18"/>
        <v>0</v>
      </c>
      <c r="N67" s="1194">
        <f t="shared" si="18"/>
        <v>0</v>
      </c>
      <c r="O67" s="1194">
        <f t="shared" si="18"/>
        <v>0</v>
      </c>
      <c r="P67" s="1194">
        <f t="shared" si="18"/>
        <v>0</v>
      </c>
      <c r="Q67" s="1194">
        <f t="shared" si="18"/>
        <v>0</v>
      </c>
      <c r="R67" s="1194">
        <f t="shared" si="18"/>
        <v>0</v>
      </c>
      <c r="S67" s="1342">
        <f t="shared" si="18"/>
        <v>0</v>
      </c>
      <c r="T67" s="1850"/>
      <c r="U67" s="1220"/>
      <c r="V67" s="1827"/>
      <c r="W67" s="1220"/>
      <c r="X67" s="1827"/>
      <c r="Y67" s="1920"/>
      <c r="Z67" s="1600"/>
      <c r="AA67" s="1194"/>
      <c r="AB67" s="1395"/>
      <c r="AC67" s="1193"/>
      <c r="AD67" s="1280"/>
      <c r="AE67" s="1571"/>
      <c r="AF67" s="1286"/>
      <c r="AG67" s="1285"/>
      <c r="AH67" s="1286"/>
      <c r="AI67" s="1285"/>
      <c r="AJ67" s="1286"/>
      <c r="AK67" s="1285"/>
      <c r="AL67" s="1194"/>
      <c r="AM67" s="1193"/>
      <c r="AN67" s="1194"/>
      <c r="AO67" s="1193"/>
      <c r="AP67" s="1194"/>
      <c r="AQ67" s="1450"/>
      <c r="AR67" s="1285"/>
      <c r="AS67" s="1286"/>
      <c r="AT67" s="1285"/>
      <c r="AU67" s="1285"/>
      <c r="AV67" s="1285"/>
      <c r="AW67" s="1286"/>
      <c r="AX67" s="1572"/>
      <c r="AY67" s="1194"/>
      <c r="AZ67" s="1193"/>
      <c r="BA67" s="1194"/>
      <c r="BB67" s="1342"/>
      <c r="BC67" s="1285"/>
      <c r="BD67" s="1201"/>
      <c r="BE67" s="1118"/>
      <c r="BF67" s="1117"/>
      <c r="BG67" s="1284"/>
      <c r="BH67" s="1286"/>
      <c r="BI67" s="1450"/>
      <c r="BJ67" s="1285"/>
      <c r="BK67" s="1286"/>
      <c r="BL67" s="1285"/>
      <c r="BM67" s="1279"/>
      <c r="BN67" s="1279"/>
      <c r="BO67" s="1568"/>
      <c r="BP67" s="1449">
        <f>SUM('[3]Porta Wk 16'!T67:BI67)</f>
        <v>0</v>
      </c>
      <c r="BQ67" s="1285"/>
      <c r="BR67" s="1573"/>
    </row>
    <row r="68" spans="1:71" s="1" customFormat="1" ht="18" x14ac:dyDescent="0.35">
      <c r="A68" s="951"/>
      <c r="B68" s="869"/>
      <c r="C68" s="952"/>
      <c r="D68" s="953" t="s">
        <v>294</v>
      </c>
      <c r="E68" s="954"/>
      <c r="F68" s="955" t="e">
        <f t="shared" si="17"/>
        <v>#DIV/0!</v>
      </c>
      <c r="G68" s="956"/>
      <c r="H68" s="957">
        <f t="shared" ref="H68:H77" si="19">G68*E68</f>
        <v>0</v>
      </c>
      <c r="I68" s="958"/>
      <c r="J68" s="958"/>
      <c r="K68" s="1375">
        <f>(J68-$H68)+Z68</f>
        <v>0</v>
      </c>
      <c r="L68" s="1243">
        <f t="shared" ref="L68:L71" si="20">K68-$H68</f>
        <v>0</v>
      </c>
      <c r="M68" s="1243">
        <f t="shared" si="18"/>
        <v>0</v>
      </c>
      <c r="N68" s="1243">
        <f t="shared" si="18"/>
        <v>0</v>
      </c>
      <c r="O68" s="1243">
        <f t="shared" si="18"/>
        <v>0</v>
      </c>
      <c r="P68" s="1243">
        <f t="shared" si="18"/>
        <v>0</v>
      </c>
      <c r="Q68" s="1242">
        <f t="shared" si="18"/>
        <v>0</v>
      </c>
      <c r="R68" s="1243">
        <f t="shared" si="18"/>
        <v>0</v>
      </c>
      <c r="S68" s="1242">
        <f t="shared" si="18"/>
        <v>0</v>
      </c>
      <c r="T68" s="1852"/>
      <c r="U68" s="1790"/>
      <c r="V68" s="1242"/>
      <c r="W68" s="1790"/>
      <c r="X68" s="1242"/>
      <c r="Y68" s="1921"/>
      <c r="Z68" s="1375"/>
      <c r="AA68" s="1243"/>
      <c r="AB68" s="1375"/>
      <c r="AC68" s="1242"/>
      <c r="AD68" s="1243"/>
      <c r="AE68" s="1574"/>
      <c r="AF68" s="1575"/>
      <c r="AG68" s="1576"/>
      <c r="AH68" s="1575"/>
      <c r="AI68" s="1576"/>
      <c r="AJ68" s="1575"/>
      <c r="AK68" s="1576"/>
      <c r="AL68" s="1243"/>
      <c r="AM68" s="1242"/>
      <c r="AN68" s="1243"/>
      <c r="AO68" s="1242"/>
      <c r="AP68" s="1243"/>
      <c r="AQ68" s="1577"/>
      <c r="AR68" s="1576"/>
      <c r="AS68" s="1575"/>
      <c r="AT68" s="1576"/>
      <c r="AU68" s="1576"/>
      <c r="AV68" s="1576"/>
      <c r="AW68" s="1575"/>
      <c r="AX68" s="1578"/>
      <c r="AY68" s="1243"/>
      <c r="AZ68" s="1242"/>
      <c r="BA68" s="1243"/>
      <c r="BB68" s="1579"/>
      <c r="BC68" s="1576"/>
      <c r="BD68" s="1246"/>
      <c r="BE68" s="1580"/>
      <c r="BF68" s="1581"/>
      <c r="BG68" s="1582"/>
      <c r="BH68" s="1575"/>
      <c r="BI68" s="1577"/>
      <c r="BJ68" s="1576"/>
      <c r="BK68" s="1575"/>
      <c r="BL68" s="1576"/>
      <c r="BM68" s="1583"/>
      <c r="BN68" s="1583"/>
      <c r="BO68" s="1584"/>
      <c r="BP68" s="1585">
        <f>SUM('[3]Porta Wk 16'!T68:BI68)</f>
        <v>0</v>
      </c>
      <c r="BQ68" s="1586"/>
      <c r="BR68" s="1587"/>
    </row>
    <row r="69" spans="1:71" s="1" customFormat="1" ht="18.600000000000001" thickBot="1" x14ac:dyDescent="0.4">
      <c r="A69" s="1007"/>
      <c r="B69" s="960"/>
      <c r="C69" s="961"/>
      <c r="D69" s="962" t="s">
        <v>294</v>
      </c>
      <c r="E69" s="963"/>
      <c r="F69" s="964" t="e">
        <f t="shared" si="17"/>
        <v>#DIV/0!</v>
      </c>
      <c r="G69" s="965"/>
      <c r="H69" s="966">
        <f t="shared" si="19"/>
        <v>0</v>
      </c>
      <c r="I69" s="967"/>
      <c r="J69" s="967"/>
      <c r="K69" s="1588">
        <f t="shared" ref="K69:K70" si="21">J69-$H69</f>
        <v>0</v>
      </c>
      <c r="L69" s="1589">
        <f t="shared" si="20"/>
        <v>0</v>
      </c>
      <c r="M69" s="1589">
        <f t="shared" si="18"/>
        <v>0</v>
      </c>
      <c r="N69" s="1589">
        <f t="shared" si="18"/>
        <v>0</v>
      </c>
      <c r="O69" s="1589">
        <f t="shared" si="18"/>
        <v>0</v>
      </c>
      <c r="P69" s="1589">
        <f t="shared" si="18"/>
        <v>0</v>
      </c>
      <c r="Q69" s="1590">
        <f t="shared" si="18"/>
        <v>0</v>
      </c>
      <c r="R69" s="1589">
        <f t="shared" si="18"/>
        <v>0</v>
      </c>
      <c r="S69" s="1590">
        <f t="shared" si="18"/>
        <v>0</v>
      </c>
      <c r="T69" s="1864"/>
      <c r="U69" s="1894"/>
      <c r="V69" s="1590"/>
      <c r="W69" s="1894"/>
      <c r="X69" s="1590"/>
      <c r="Y69" s="1922"/>
      <c r="Z69" s="1588"/>
      <c r="AA69" s="1589"/>
      <c r="AB69" s="1588"/>
      <c r="AC69" s="1590"/>
      <c r="AD69" s="1589"/>
      <c r="AE69" s="1591"/>
      <c r="AF69" s="1592"/>
      <c r="AG69" s="1593"/>
      <c r="AH69" s="1592"/>
      <c r="AI69" s="1593"/>
      <c r="AJ69" s="1592"/>
      <c r="AK69" s="1593"/>
      <c r="AL69" s="1589"/>
      <c r="AM69" s="1590"/>
      <c r="AN69" s="1589"/>
      <c r="AO69" s="1590"/>
      <c r="AP69" s="1589"/>
      <c r="AQ69" s="1594"/>
      <c r="AR69" s="1593"/>
      <c r="AS69" s="1592"/>
      <c r="AT69" s="1593"/>
      <c r="AU69" s="1593"/>
      <c r="AV69" s="1593"/>
      <c r="AW69" s="1592"/>
      <c r="AX69" s="1595"/>
      <c r="AY69" s="1589"/>
      <c r="AZ69" s="1590"/>
      <c r="BA69" s="1589"/>
      <c r="BB69" s="1596"/>
      <c r="BC69" s="1593"/>
      <c r="BD69" s="1597"/>
      <c r="BE69" s="1598"/>
      <c r="BF69" s="1599"/>
      <c r="BG69" s="1600"/>
      <c r="BH69" s="1592"/>
      <c r="BI69" s="1594"/>
      <c r="BJ69" s="1593"/>
      <c r="BK69" s="1592"/>
      <c r="BL69" s="1593"/>
      <c r="BM69" s="1593"/>
      <c r="BN69" s="1593"/>
      <c r="BO69" s="1601"/>
      <c r="BP69" s="1602">
        <f>SUM('[3]Porta Wk 16'!T69:BI69)</f>
        <v>0</v>
      </c>
      <c r="BQ69" s="1593"/>
      <c r="BR69" s="1603"/>
    </row>
    <row r="70" spans="1:71" s="1" customFormat="1" ht="18" x14ac:dyDescent="0.35">
      <c r="A70" s="968"/>
      <c r="B70" s="969"/>
      <c r="C70" s="970"/>
      <c r="D70" s="290" t="s">
        <v>295</v>
      </c>
      <c r="E70" s="971"/>
      <c r="F70" s="944" t="e">
        <f t="shared" si="17"/>
        <v>#DIV/0!</v>
      </c>
      <c r="G70" s="959"/>
      <c r="H70" s="973">
        <f t="shared" si="19"/>
        <v>0</v>
      </c>
      <c r="I70" s="974"/>
      <c r="J70" s="958"/>
      <c r="K70" s="1604">
        <f t="shared" si="21"/>
        <v>0</v>
      </c>
      <c r="L70" s="1243">
        <f t="shared" si="20"/>
        <v>0</v>
      </c>
      <c r="M70" s="1243">
        <f t="shared" si="18"/>
        <v>0</v>
      </c>
      <c r="N70" s="1375">
        <f t="shared" si="18"/>
        <v>0</v>
      </c>
      <c r="O70" s="1375">
        <f t="shared" si="18"/>
        <v>0</v>
      </c>
      <c r="P70" s="1375">
        <f t="shared" si="18"/>
        <v>0</v>
      </c>
      <c r="Q70" s="1375">
        <f t="shared" si="18"/>
        <v>0</v>
      </c>
      <c r="R70" s="1375">
        <f t="shared" si="18"/>
        <v>0</v>
      </c>
      <c r="S70" s="1242">
        <f t="shared" si="18"/>
        <v>0</v>
      </c>
      <c r="T70" s="1852"/>
      <c r="U70" s="1790"/>
      <c r="V70" s="1242"/>
      <c r="W70" s="1790"/>
      <c r="X70" s="1242"/>
      <c r="Y70" s="1921"/>
      <c r="Z70" s="1375"/>
      <c r="AA70" s="1605"/>
      <c r="AB70" s="1606"/>
      <c r="AC70" s="1607"/>
      <c r="AD70" s="1605"/>
      <c r="AE70" s="1608"/>
      <c r="AF70" s="1609"/>
      <c r="AG70" s="1610"/>
      <c r="AH70" s="1609"/>
      <c r="AI70" s="1610"/>
      <c r="AJ70" s="1609"/>
      <c r="AK70" s="1610"/>
      <c r="AL70" s="1605"/>
      <c r="AM70" s="1607"/>
      <c r="AN70" s="1605"/>
      <c r="AO70" s="1607"/>
      <c r="AP70" s="1605"/>
      <c r="AQ70" s="1611"/>
      <c r="AR70" s="1610"/>
      <c r="AS70" s="1609"/>
      <c r="AT70" s="1610"/>
      <c r="AU70" s="1610"/>
      <c r="AV70" s="1610"/>
      <c r="AW70" s="1609"/>
      <c r="AX70" s="1612"/>
      <c r="AY70" s="1605"/>
      <c r="AZ70" s="1607"/>
      <c r="BA70" s="1605"/>
      <c r="BB70" s="1613"/>
      <c r="BC70" s="1610"/>
      <c r="BD70" s="1614"/>
      <c r="BE70" s="1615"/>
      <c r="BF70" s="1616"/>
      <c r="BG70" s="1617"/>
      <c r="BH70" s="1609"/>
      <c r="BI70" s="1611"/>
      <c r="BJ70" s="1610"/>
      <c r="BK70" s="1609"/>
      <c r="BL70" s="1610"/>
      <c r="BM70" s="1610"/>
      <c r="BN70" s="1610"/>
      <c r="BO70" s="1618"/>
      <c r="BP70" s="1619">
        <f>SUM('[3]Porta Wk 16'!T70:BI70)</f>
        <v>0</v>
      </c>
      <c r="BQ70" s="1609"/>
      <c r="BR70" s="1620"/>
    </row>
    <row r="71" spans="1:71" s="1" customFormat="1" ht="18.600000000000001" thickBot="1" x14ac:dyDescent="0.4">
      <c r="A71" s="1009"/>
      <c r="B71" s="870"/>
      <c r="C71" s="986"/>
      <c r="D71" s="975" t="s">
        <v>295</v>
      </c>
      <c r="E71" s="1012"/>
      <c r="F71" s="976" t="e">
        <f t="shared" si="17"/>
        <v>#DIV/0!</v>
      </c>
      <c r="G71" s="972"/>
      <c r="H71" s="1014">
        <f t="shared" si="19"/>
        <v>0</v>
      </c>
      <c r="I71" s="989"/>
      <c r="J71" s="974"/>
      <c r="K71" s="1437">
        <f>J71-H71</f>
        <v>0</v>
      </c>
      <c r="L71" s="1223">
        <f t="shared" si="20"/>
        <v>0</v>
      </c>
      <c r="M71" s="1223">
        <f>L71-H71</f>
        <v>0</v>
      </c>
      <c r="N71" s="1223">
        <f t="shared" si="18"/>
        <v>0</v>
      </c>
      <c r="O71" s="1223">
        <f t="shared" si="18"/>
        <v>0</v>
      </c>
      <c r="P71" s="1223">
        <f t="shared" si="18"/>
        <v>0</v>
      </c>
      <c r="Q71" s="1223">
        <f t="shared" si="18"/>
        <v>0</v>
      </c>
      <c r="R71" s="1223">
        <f t="shared" si="18"/>
        <v>0</v>
      </c>
      <c r="S71" s="1438">
        <f t="shared" si="18"/>
        <v>0</v>
      </c>
      <c r="T71" s="1848"/>
      <c r="U71" s="1885"/>
      <c r="V71" s="1222"/>
      <c r="W71" s="1885"/>
      <c r="X71" s="1222"/>
      <c r="Y71" s="1923"/>
      <c r="Z71" s="1622"/>
      <c r="AA71" s="1621"/>
      <c r="AB71" s="1622"/>
      <c r="AC71" s="1192"/>
      <c r="AD71" s="1621"/>
      <c r="AE71" s="1623"/>
      <c r="AF71" s="1192"/>
      <c r="AG71" s="1621"/>
      <c r="AH71" s="1192"/>
      <c r="AI71" s="1621"/>
      <c r="AJ71" s="1192"/>
      <c r="AK71" s="1621"/>
      <c r="AL71" s="1621"/>
      <c r="AM71" s="1192"/>
      <c r="AN71" s="1621"/>
      <c r="AO71" s="1192"/>
      <c r="AP71" s="1621"/>
      <c r="AQ71" s="1569"/>
      <c r="AR71" s="1621"/>
      <c r="AS71" s="1192"/>
      <c r="AT71" s="1621"/>
      <c r="AU71" s="1621"/>
      <c r="AV71" s="1621"/>
      <c r="AW71" s="1192"/>
      <c r="AX71" s="1624"/>
      <c r="AY71" s="1621"/>
      <c r="AZ71" s="1192"/>
      <c r="BA71" s="1621"/>
      <c r="BB71" s="1192"/>
      <c r="BC71" s="1621"/>
      <c r="BD71" s="1442"/>
      <c r="BE71" s="1439"/>
      <c r="BF71" s="1440"/>
      <c r="BG71" s="1622"/>
      <c r="BH71" s="1192"/>
      <c r="BI71" s="1569"/>
      <c r="BJ71" s="1621"/>
      <c r="BK71" s="1192"/>
      <c r="BL71" s="1621"/>
      <c r="BM71" s="1621"/>
      <c r="BN71" s="1621"/>
      <c r="BO71" s="1625"/>
      <c r="BP71" s="1446">
        <f>SUM('[3]Porta Wk 16'!T71:BI71)</f>
        <v>0</v>
      </c>
      <c r="BQ71" s="1192"/>
      <c r="BR71" s="1626"/>
    </row>
    <row r="72" spans="1:71" s="1" customFormat="1" ht="18" x14ac:dyDescent="0.35">
      <c r="A72" s="1006"/>
      <c r="B72" s="978"/>
      <c r="C72" s="979"/>
      <c r="D72" s="953" t="s">
        <v>296</v>
      </c>
      <c r="E72" s="980"/>
      <c r="F72" s="981" t="e">
        <f t="shared" si="17"/>
        <v>#DIV/0!</v>
      </c>
      <c r="G72" s="982"/>
      <c r="H72" s="983">
        <f t="shared" si="19"/>
        <v>0</v>
      </c>
      <c r="I72" s="984"/>
      <c r="J72" s="958"/>
      <c r="K72" s="1375">
        <f>J72-$H72</f>
        <v>0</v>
      </c>
      <c r="L72" s="1627">
        <f>K72-$H72</f>
        <v>0</v>
      </c>
      <c r="M72" s="1627">
        <f>L72-$H72</f>
        <v>0</v>
      </c>
      <c r="N72" s="1627">
        <f t="shared" si="18"/>
        <v>0</v>
      </c>
      <c r="O72" s="1627">
        <f>N72-H72</f>
        <v>0</v>
      </c>
      <c r="P72" s="1627">
        <f t="shared" si="18"/>
        <v>0</v>
      </c>
      <c r="Q72" s="1627">
        <f>P72-H72</f>
        <v>0</v>
      </c>
      <c r="R72" s="1627">
        <f t="shared" si="18"/>
        <v>0</v>
      </c>
      <c r="S72" s="1628">
        <f t="shared" si="18"/>
        <v>0</v>
      </c>
      <c r="T72" s="1852"/>
      <c r="U72" s="1790"/>
      <c r="V72" s="1242"/>
      <c r="W72" s="1790"/>
      <c r="X72" s="1242"/>
      <c r="Y72" s="1921"/>
      <c r="Z72" s="1582"/>
      <c r="AA72" s="1576"/>
      <c r="AB72" s="1582"/>
      <c r="AC72" s="1575"/>
      <c r="AD72" s="1576"/>
      <c r="AE72" s="1629"/>
      <c r="AF72" s="1575"/>
      <c r="AG72" s="1576"/>
      <c r="AH72" s="1575"/>
      <c r="AI72" s="1576"/>
      <c r="AJ72" s="1575"/>
      <c r="AK72" s="1576"/>
      <c r="AL72" s="1576"/>
      <c r="AM72" s="1575"/>
      <c r="AN72" s="1576"/>
      <c r="AO72" s="1575"/>
      <c r="AP72" s="1576"/>
      <c r="AQ72" s="1577"/>
      <c r="AR72" s="1576"/>
      <c r="AS72" s="1575"/>
      <c r="AT72" s="1576"/>
      <c r="AU72" s="1576"/>
      <c r="AV72" s="1576"/>
      <c r="AW72" s="1575"/>
      <c r="AX72" s="1578"/>
      <c r="AY72" s="1576"/>
      <c r="AZ72" s="1575"/>
      <c r="BA72" s="1576"/>
      <c r="BB72" s="1575"/>
      <c r="BC72" s="1576"/>
      <c r="BD72" s="1246"/>
      <c r="BE72" s="1580"/>
      <c r="BF72" s="1581"/>
      <c r="BG72" s="1582"/>
      <c r="BH72" s="1575"/>
      <c r="BI72" s="1577"/>
      <c r="BJ72" s="1576"/>
      <c r="BK72" s="1575"/>
      <c r="BL72" s="1576"/>
      <c r="BM72" s="1576"/>
      <c r="BN72" s="1576"/>
      <c r="BO72" s="1630"/>
      <c r="BP72" s="1631">
        <f>SUM('[3]Porta Wk 16'!T72:BI72)</f>
        <v>0</v>
      </c>
      <c r="BQ72" s="1577"/>
      <c r="BR72" s="1632"/>
    </row>
    <row r="73" spans="1:71" s="1" customFormat="1" ht="18.600000000000001" thickBot="1" x14ac:dyDescent="0.4">
      <c r="A73" s="985"/>
      <c r="B73" s="870"/>
      <c r="C73" s="986"/>
      <c r="D73" s="987" t="s">
        <v>296</v>
      </c>
      <c r="E73" s="988"/>
      <c r="F73" s="964" t="e">
        <f t="shared" si="17"/>
        <v>#DIV/0!</v>
      </c>
      <c r="G73" s="965"/>
      <c r="H73" s="966">
        <f t="shared" si="19"/>
        <v>0</v>
      </c>
      <c r="I73" s="989"/>
      <c r="J73" s="967"/>
      <c r="K73" s="1420">
        <f>J73-$H73</f>
        <v>0</v>
      </c>
      <c r="L73" s="1258">
        <f t="shared" ref="L73:M76" si="22">K73-$H73</f>
        <v>0</v>
      </c>
      <c r="M73" s="1258">
        <f t="shared" si="22"/>
        <v>0</v>
      </c>
      <c r="N73" s="1258">
        <f t="shared" si="18"/>
        <v>0</v>
      </c>
      <c r="O73" s="1258">
        <f t="shared" si="18"/>
        <v>0</v>
      </c>
      <c r="P73" s="1258">
        <f t="shared" si="18"/>
        <v>0</v>
      </c>
      <c r="Q73" s="1258">
        <f t="shared" si="18"/>
        <v>0</v>
      </c>
      <c r="R73" s="1258">
        <f t="shared" si="18"/>
        <v>0</v>
      </c>
      <c r="S73" s="1633">
        <f t="shared" si="18"/>
        <v>0</v>
      </c>
      <c r="T73" s="1856"/>
      <c r="U73" s="1650"/>
      <c r="V73" s="1257"/>
      <c r="W73" s="1650"/>
      <c r="X73" s="1257"/>
      <c r="Y73" s="1924"/>
      <c r="Z73" s="1635"/>
      <c r="AA73" s="1634"/>
      <c r="AB73" s="1635"/>
      <c r="AC73" s="1636"/>
      <c r="AD73" s="1634"/>
      <c r="AE73" s="1637"/>
      <c r="AF73" s="1636"/>
      <c r="AG73" s="1634"/>
      <c r="AH73" s="1636"/>
      <c r="AI73" s="1634"/>
      <c r="AJ73" s="1636"/>
      <c r="AK73" s="1634"/>
      <c r="AL73" s="1634"/>
      <c r="AM73" s="1636"/>
      <c r="AN73" s="1634"/>
      <c r="AO73" s="1636"/>
      <c r="AP73" s="1634"/>
      <c r="AQ73" s="1638"/>
      <c r="AR73" s="1634"/>
      <c r="AS73" s="1636"/>
      <c r="AT73" s="1258"/>
      <c r="AU73" s="1634"/>
      <c r="AV73" s="1634"/>
      <c r="AW73" s="1636"/>
      <c r="AX73" s="1639"/>
      <c r="AY73" s="1634"/>
      <c r="AZ73" s="1636"/>
      <c r="BA73" s="1634"/>
      <c r="BB73" s="1636"/>
      <c r="BC73" s="1593"/>
      <c r="BD73" s="1597"/>
      <c r="BE73" s="1598"/>
      <c r="BF73" s="1599"/>
      <c r="BG73" s="1600"/>
      <c r="BH73" s="1592"/>
      <c r="BI73" s="1594"/>
      <c r="BJ73" s="1634"/>
      <c r="BK73" s="1592"/>
      <c r="BL73" s="1593"/>
      <c r="BM73" s="1593"/>
      <c r="BN73" s="1593"/>
      <c r="BO73" s="1601"/>
      <c r="BP73" s="1602">
        <f>SUM('[3]Porta Wk 16'!T73:BI73)</f>
        <v>0</v>
      </c>
      <c r="BQ73" s="1594"/>
      <c r="BR73" s="1603"/>
    </row>
    <row r="74" spans="1:71" s="1" customFormat="1" ht="18" x14ac:dyDescent="0.35">
      <c r="A74" s="1006"/>
      <c r="B74" s="1010"/>
      <c r="C74" s="992"/>
      <c r="D74" s="1013" t="s">
        <v>298</v>
      </c>
      <c r="E74" s="993"/>
      <c r="F74" s="955" t="e">
        <f t="shared" si="17"/>
        <v>#DIV/0!</v>
      </c>
      <c r="G74" s="956"/>
      <c r="H74" s="957">
        <f t="shared" si="19"/>
        <v>0</v>
      </c>
      <c r="I74" s="994"/>
      <c r="J74" s="958"/>
      <c r="K74" s="1375">
        <f>(J74-$H74)+Z74</f>
        <v>0</v>
      </c>
      <c r="L74" s="1243">
        <f t="shared" si="22"/>
        <v>0</v>
      </c>
      <c r="M74" s="1243">
        <f t="shared" si="22"/>
        <v>0</v>
      </c>
      <c r="N74" s="1243">
        <f t="shared" si="18"/>
        <v>0</v>
      </c>
      <c r="O74" s="1243">
        <f t="shared" si="18"/>
        <v>0</v>
      </c>
      <c r="P74" s="1243">
        <f t="shared" si="18"/>
        <v>0</v>
      </c>
      <c r="Q74" s="1242">
        <f t="shared" si="18"/>
        <v>0</v>
      </c>
      <c r="R74" s="1243">
        <f t="shared" si="18"/>
        <v>0</v>
      </c>
      <c r="S74" s="1242">
        <f t="shared" si="18"/>
        <v>0</v>
      </c>
      <c r="T74" s="1852"/>
      <c r="U74" s="1790"/>
      <c r="V74" s="1242"/>
      <c r="W74" s="1790"/>
      <c r="X74" s="1242"/>
      <c r="Y74" s="1921"/>
      <c r="Z74" s="1582"/>
      <c r="AA74" s="1576"/>
      <c r="AB74" s="1582"/>
      <c r="AC74" s="1575"/>
      <c r="AD74" s="1576"/>
      <c r="AE74" s="1629"/>
      <c r="AF74" s="1575"/>
      <c r="AG74" s="1576"/>
      <c r="AH74" s="1575"/>
      <c r="AI74" s="1576"/>
      <c r="AJ74" s="1575"/>
      <c r="AK74" s="1576"/>
      <c r="AL74" s="1576"/>
      <c r="AM74" s="1575"/>
      <c r="AN74" s="1576"/>
      <c r="AO74" s="1575"/>
      <c r="AP74" s="1576"/>
      <c r="AQ74" s="1577"/>
      <c r="AR74" s="1576"/>
      <c r="AS74" s="1575"/>
      <c r="AT74" s="1243"/>
      <c r="AU74" s="1576"/>
      <c r="AV74" s="1576"/>
      <c r="AW74" s="1575"/>
      <c r="AX74" s="1578"/>
      <c r="AY74" s="1576"/>
      <c r="AZ74" s="1575"/>
      <c r="BA74" s="1576"/>
      <c r="BB74" s="1575"/>
      <c r="BC74" s="1576"/>
      <c r="BD74" s="1246"/>
      <c r="BE74" s="1580"/>
      <c r="BF74" s="1581"/>
      <c r="BG74" s="1582"/>
      <c r="BH74" s="1575"/>
      <c r="BI74" s="1577"/>
      <c r="BJ74" s="1576"/>
      <c r="BK74" s="1575"/>
      <c r="BL74" s="1576"/>
      <c r="BM74" s="1583"/>
      <c r="BN74" s="1640"/>
      <c r="BO74" s="1630"/>
      <c r="BP74" s="1631">
        <f>SUM('[3]Porta Wk 16'!T74:BI74)</f>
        <v>0</v>
      </c>
      <c r="BQ74" s="1577"/>
      <c r="BR74" s="1632"/>
    </row>
    <row r="75" spans="1:71" s="1" customFormat="1" ht="18.600000000000001" thickBot="1" x14ac:dyDescent="0.4">
      <c r="A75" s="1022"/>
      <c r="B75" s="1023"/>
      <c r="C75" s="995"/>
      <c r="D75" s="1024" t="s">
        <v>298</v>
      </c>
      <c r="E75" s="988"/>
      <c r="F75" s="964" t="e">
        <f t="shared" si="17"/>
        <v>#DIV/0!</v>
      </c>
      <c r="G75" s="965"/>
      <c r="H75" s="966">
        <f t="shared" si="19"/>
        <v>0</v>
      </c>
      <c r="I75" s="989"/>
      <c r="J75" s="967"/>
      <c r="K75" s="1588">
        <f>J75-$H75</f>
        <v>0</v>
      </c>
      <c r="L75" s="1589">
        <f t="shared" si="22"/>
        <v>0</v>
      </c>
      <c r="M75" s="1589">
        <f>L75-H75</f>
        <v>0</v>
      </c>
      <c r="N75" s="1589">
        <f t="shared" si="18"/>
        <v>0</v>
      </c>
      <c r="O75" s="1589">
        <f t="shared" si="18"/>
        <v>0</v>
      </c>
      <c r="P75" s="1589">
        <f t="shared" si="18"/>
        <v>0</v>
      </c>
      <c r="Q75" s="1589">
        <f t="shared" si="18"/>
        <v>0</v>
      </c>
      <c r="R75" s="1589">
        <f t="shared" si="18"/>
        <v>0</v>
      </c>
      <c r="S75" s="1596">
        <f t="shared" si="18"/>
        <v>0</v>
      </c>
      <c r="T75" s="1864"/>
      <c r="U75" s="1894"/>
      <c r="V75" s="1590"/>
      <c r="W75" s="1894"/>
      <c r="X75" s="1590"/>
      <c r="Y75" s="1922"/>
      <c r="Z75" s="1600"/>
      <c r="AA75" s="1593"/>
      <c r="AB75" s="1600"/>
      <c r="AC75" s="1592"/>
      <c r="AD75" s="1593"/>
      <c r="AE75" s="1641"/>
      <c r="AF75" s="1592"/>
      <c r="AG75" s="1593"/>
      <c r="AH75" s="1592"/>
      <c r="AI75" s="1593"/>
      <c r="AJ75" s="1593"/>
      <c r="AK75" s="1593"/>
      <c r="AL75" s="1593"/>
      <c r="AM75" s="1592"/>
      <c r="AN75" s="1593"/>
      <c r="AO75" s="1592"/>
      <c r="AP75" s="1593"/>
      <c r="AQ75" s="1594"/>
      <c r="AR75" s="1593"/>
      <c r="AS75" s="1592"/>
      <c r="AT75" s="1593"/>
      <c r="AU75" s="1593"/>
      <c r="AV75" s="1593"/>
      <c r="AW75" s="1592"/>
      <c r="AX75" s="1595"/>
      <c r="AY75" s="1593"/>
      <c r="AZ75" s="1592"/>
      <c r="BA75" s="1593"/>
      <c r="BB75" s="1592"/>
      <c r="BC75" s="1593"/>
      <c r="BD75" s="1597"/>
      <c r="BE75" s="1598"/>
      <c r="BF75" s="1599"/>
      <c r="BG75" s="1600"/>
      <c r="BH75" s="1592"/>
      <c r="BI75" s="1594"/>
      <c r="BJ75" s="1593"/>
      <c r="BK75" s="1594"/>
      <c r="BL75" s="1593"/>
      <c r="BM75" s="1593"/>
      <c r="BN75" s="1634"/>
      <c r="BO75" s="1642"/>
      <c r="BP75" s="1643">
        <f>SUM('[3]Porta Wk 16'!T75:BI75)</f>
        <v>0</v>
      </c>
      <c r="BQ75" s="1638"/>
      <c r="BR75" s="1603"/>
    </row>
    <row r="76" spans="1:71" s="1" customFormat="1" ht="18" x14ac:dyDescent="0.35">
      <c r="A76" s="1017"/>
      <c r="B76" s="1018"/>
      <c r="C76" s="1019"/>
      <c r="D76" s="290" t="s">
        <v>297</v>
      </c>
      <c r="E76" s="1020"/>
      <c r="F76" s="944" t="e">
        <f t="shared" si="17"/>
        <v>#DIV/0!</v>
      </c>
      <c r="G76" s="480"/>
      <c r="H76" s="945">
        <f t="shared" si="19"/>
        <v>0</v>
      </c>
      <c r="I76" s="1021"/>
      <c r="J76" s="826"/>
      <c r="K76" s="1644">
        <f>J76-$H76</f>
        <v>0</v>
      </c>
      <c r="L76" s="1274">
        <f t="shared" si="22"/>
        <v>0</v>
      </c>
      <c r="M76" s="1274">
        <f t="shared" si="22"/>
        <v>0</v>
      </c>
      <c r="N76" s="1274">
        <f t="shared" si="18"/>
        <v>0</v>
      </c>
      <c r="O76" s="1565">
        <f t="shared" si="18"/>
        <v>0</v>
      </c>
      <c r="P76" s="1645">
        <f t="shared" si="18"/>
        <v>0</v>
      </c>
      <c r="Q76" s="1274">
        <f t="shared" si="18"/>
        <v>0</v>
      </c>
      <c r="R76" s="1274">
        <f t="shared" si="18"/>
        <v>0</v>
      </c>
      <c r="S76" s="1565">
        <f t="shared" si="18"/>
        <v>0</v>
      </c>
      <c r="T76" s="1847"/>
      <c r="U76" s="1183"/>
      <c r="V76" s="1273"/>
      <c r="W76" s="1183"/>
      <c r="X76" s="1273"/>
      <c r="Y76" s="1902"/>
      <c r="Z76" s="1278"/>
      <c r="AA76" s="1279"/>
      <c r="AB76" s="1278"/>
      <c r="AC76" s="1562"/>
      <c r="AD76" s="1279"/>
      <c r="AE76" s="1646"/>
      <c r="AF76" s="1562"/>
      <c r="AG76" s="1279"/>
      <c r="AH76" s="1562"/>
      <c r="AI76" s="1279"/>
      <c r="AJ76" s="1562"/>
      <c r="AK76" s="1576"/>
      <c r="AL76" s="1576"/>
      <c r="AM76" s="1575"/>
      <c r="AN76" s="1576"/>
      <c r="AO76" s="1577"/>
      <c r="AP76" s="1576"/>
      <c r="AQ76" s="1577"/>
      <c r="AR76" s="1576"/>
      <c r="AS76" s="1575"/>
      <c r="AT76" s="1576"/>
      <c r="AU76" s="1576"/>
      <c r="AV76" s="1576"/>
      <c r="AW76" s="1575"/>
      <c r="AX76" s="1578"/>
      <c r="AY76" s="1576"/>
      <c r="AZ76" s="1582"/>
      <c r="BA76" s="1576"/>
      <c r="BB76" s="1575"/>
      <c r="BC76" s="1576"/>
      <c r="BD76" s="1246"/>
      <c r="BE76" s="1580"/>
      <c r="BF76" s="1581"/>
      <c r="BG76" s="1582"/>
      <c r="BH76" s="1575"/>
      <c r="BI76" s="1577"/>
      <c r="BJ76" s="1576"/>
      <c r="BK76" s="1562"/>
      <c r="BL76" s="1279"/>
      <c r="BM76" s="1279"/>
      <c r="BN76" s="1279"/>
      <c r="BO76" s="1568"/>
      <c r="BP76" s="1647">
        <f>SUM('[3]Porta Wk 16'!T76:BI76)</f>
        <v>0</v>
      </c>
      <c r="BQ76" s="1279"/>
      <c r="BR76" s="1648"/>
    </row>
    <row r="77" spans="1:71" s="1" customFormat="1" ht="15" thickBot="1" x14ac:dyDescent="0.35">
      <c r="A77" s="1011"/>
      <c r="B77" s="997"/>
      <c r="C77" s="991"/>
      <c r="D77" s="996" t="s">
        <v>297</v>
      </c>
      <c r="E77" s="998"/>
      <c r="F77" s="999" t="e">
        <f t="shared" si="17"/>
        <v>#DIV/0!</v>
      </c>
      <c r="G77" s="990"/>
      <c r="H77" s="1000">
        <f t="shared" si="19"/>
        <v>0</v>
      </c>
      <c r="I77" s="1001"/>
      <c r="J77" s="1002"/>
      <c r="K77" s="1649">
        <f>J77-H77</f>
        <v>0</v>
      </c>
      <c r="L77" s="1650">
        <f>(K77-$H77)+AA77</f>
        <v>0</v>
      </c>
      <c r="M77" s="1650">
        <f>L77-H77</f>
        <v>0</v>
      </c>
      <c r="N77" s="1650">
        <f>(M77-$H77)+AC77</f>
        <v>0</v>
      </c>
      <c r="O77" s="1650">
        <f>(N77-$H77)+AE77</f>
        <v>0</v>
      </c>
      <c r="P77" s="1650">
        <f>(O77-$H77)+AF77</f>
        <v>0</v>
      </c>
      <c r="Q77" s="1650">
        <f>(P77-$H77)+AG77</f>
        <v>0</v>
      </c>
      <c r="R77" s="1650">
        <f>(Q77-$H77)+AH77</f>
        <v>0</v>
      </c>
      <c r="S77" s="1651">
        <f>(R77-$H77)+AI77</f>
        <v>0</v>
      </c>
      <c r="T77" s="1869"/>
      <c r="U77" s="1925"/>
      <c r="V77" s="1804"/>
      <c r="W77" s="1925"/>
      <c r="X77" s="1804"/>
      <c r="Y77" s="1926"/>
      <c r="Z77" s="1301"/>
      <c r="AA77" s="1306"/>
      <c r="AB77" s="1635"/>
      <c r="AC77" s="1638"/>
      <c r="AD77" s="1306"/>
      <c r="AE77" s="1652"/>
      <c r="AF77" s="1636"/>
      <c r="AG77" s="1306"/>
      <c r="AH77" s="1636"/>
      <c r="AI77" s="1306"/>
      <c r="AJ77" s="1636"/>
      <c r="AK77" s="1306"/>
      <c r="AL77" s="1306"/>
      <c r="AM77" s="1636"/>
      <c r="AN77" s="1306"/>
      <c r="AO77" s="1636"/>
      <c r="AP77" s="1306"/>
      <c r="AQ77" s="1638"/>
      <c r="AR77" s="1306"/>
      <c r="AS77" s="1636"/>
      <c r="AT77" s="1306"/>
      <c r="AU77" s="1635"/>
      <c r="AV77" s="1306"/>
      <c r="AW77" s="1636"/>
      <c r="AX77" s="1639"/>
      <c r="AY77" s="1306"/>
      <c r="AZ77" s="1636"/>
      <c r="BA77" s="1306"/>
      <c r="BB77" s="1636"/>
      <c r="BC77" s="1306"/>
      <c r="BD77" s="1261"/>
      <c r="BE77" s="1653"/>
      <c r="BF77" s="1654"/>
      <c r="BG77" s="1635"/>
      <c r="BH77" s="1636"/>
      <c r="BI77" s="1638"/>
      <c r="BJ77" s="1306"/>
      <c r="BK77" s="1295"/>
      <c r="BL77" s="1306"/>
      <c r="BM77" s="1306"/>
      <c r="BN77" s="1306"/>
      <c r="BO77" s="1642"/>
      <c r="BP77" s="1643">
        <f>SUM('[3]Porta Wk 16'!T77:BI77)</f>
        <v>0</v>
      </c>
      <c r="BQ77" s="1634"/>
      <c r="BR77" s="1655"/>
    </row>
    <row r="78" spans="1:71" x14ac:dyDescent="0.3">
      <c r="A78" s="972"/>
      <c r="B78" s="1003"/>
      <c r="D78" s="975"/>
      <c r="E78" s="1004"/>
      <c r="F78" s="1005"/>
      <c r="G78" s="972"/>
      <c r="H78" s="973"/>
      <c r="I78" s="977"/>
      <c r="J78" s="977"/>
      <c r="K78" s="1222"/>
      <c r="L78" s="1222"/>
      <c r="M78" s="1222"/>
      <c r="N78" s="1222"/>
      <c r="O78" s="1222"/>
      <c r="P78" s="1222"/>
      <c r="Q78" s="1222"/>
      <c r="R78" s="1222"/>
      <c r="S78" s="1222"/>
      <c r="T78" s="1848"/>
      <c r="U78" s="1222"/>
      <c r="V78" s="1222"/>
      <c r="W78" s="1222"/>
      <c r="X78" s="1222"/>
      <c r="Y78" s="1849"/>
      <c r="AE78" s="1656"/>
      <c r="AK78" s="1625"/>
      <c r="AL78" s="1624"/>
      <c r="AQ78" s="1625"/>
      <c r="AR78" s="1624"/>
      <c r="AX78" s="1624"/>
      <c r="BC78" s="1625"/>
      <c r="BD78" s="1624"/>
      <c r="BI78" s="1625"/>
      <c r="BJ78" s="1624"/>
      <c r="BO78" s="1625"/>
      <c r="BP78" s="1624"/>
      <c r="BR78" s="1625"/>
      <c r="BS78" s="1"/>
    </row>
    <row r="79" spans="1:7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085"/>
      <c r="S79" s="1657"/>
      <c r="T79" s="1865"/>
      <c r="U79" s="1657"/>
      <c r="V79" s="1657"/>
      <c r="W79" s="1657"/>
      <c r="X79" s="1657"/>
      <c r="Y79" s="1866"/>
      <c r="Z79" s="1085"/>
      <c r="AA79" s="1085"/>
      <c r="AB79" s="1085"/>
      <c r="AC79" s="1085"/>
      <c r="AD79" s="1085"/>
      <c r="AE79" s="1308"/>
      <c r="AF79" s="1085"/>
      <c r="AG79" s="1085"/>
      <c r="AH79" s="1085"/>
      <c r="AI79" s="1085"/>
      <c r="AJ79" s="1085"/>
      <c r="AK79" s="1309"/>
      <c r="AL79" s="1310"/>
      <c r="AM79" s="1085"/>
      <c r="AN79" s="1085"/>
      <c r="AO79" s="1085"/>
      <c r="AP79" s="1085"/>
      <c r="AQ79" s="1309"/>
      <c r="AR79" s="1310"/>
      <c r="AS79" s="1085"/>
      <c r="AT79" s="1085"/>
      <c r="AU79" s="1085"/>
      <c r="AV79" s="1085"/>
      <c r="AW79" s="1085"/>
      <c r="AX79" s="1310"/>
      <c r="AY79" s="1085"/>
      <c r="AZ79" s="1085"/>
      <c r="BA79" s="1085"/>
      <c r="BB79" s="1085"/>
      <c r="BC79" s="1309"/>
      <c r="BD79" s="1310"/>
      <c r="BE79" s="1085"/>
      <c r="BF79" s="1085"/>
      <c r="BG79" s="1085"/>
      <c r="BH79" s="1085"/>
      <c r="BI79" s="1309"/>
      <c r="BJ79" s="1310"/>
      <c r="BK79" s="1085"/>
      <c r="BL79" s="1085"/>
      <c r="BM79" s="1085"/>
      <c r="BN79" s="1085"/>
      <c r="BO79" s="1309"/>
      <c r="BP79" s="1310"/>
      <c r="BQ79" s="1085"/>
      <c r="BR79" s="1309"/>
      <c r="BS79" s="1"/>
    </row>
    <row r="80" spans="1:7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085"/>
      <c r="S80" s="1085"/>
      <c r="T80" s="1310"/>
      <c r="U80" s="1085"/>
      <c r="V80" s="1085"/>
      <c r="W80" s="1085"/>
      <c r="X80" s="1085"/>
      <c r="Y80" s="1309"/>
      <c r="Z80" s="1085"/>
      <c r="AA80" s="1085"/>
      <c r="AB80" s="1085"/>
      <c r="AC80" s="1085"/>
      <c r="AD80" s="1085"/>
      <c r="AE80" s="1308"/>
      <c r="AF80" s="1085"/>
      <c r="AG80" s="1085"/>
      <c r="AH80" s="1085"/>
      <c r="AI80" s="1085"/>
      <c r="AJ80" s="1085"/>
      <c r="AK80" s="1309"/>
      <c r="AL80" s="1310"/>
      <c r="AM80" s="1085"/>
      <c r="AN80" s="1085"/>
      <c r="AO80" s="1085"/>
      <c r="AP80" s="1085"/>
      <c r="AQ80" s="1309"/>
      <c r="AR80" s="1310"/>
      <c r="AS80" s="1085"/>
      <c r="AT80" s="1085"/>
      <c r="AU80" s="1085"/>
      <c r="AV80" s="1085"/>
      <c r="AW80" s="1085"/>
      <c r="AX80" s="1310"/>
      <c r="AY80" s="1085"/>
      <c r="AZ80" s="1085"/>
      <c r="BA80" s="1085"/>
      <c r="BB80" s="1085"/>
      <c r="BC80" s="1309"/>
      <c r="BD80" s="1310"/>
      <c r="BE80" s="1085"/>
      <c r="BF80" s="1085"/>
      <c r="BG80" s="1085"/>
      <c r="BH80" s="1085"/>
      <c r="BI80" s="1309"/>
      <c r="BJ80" s="1310"/>
      <c r="BK80" s="1085"/>
      <c r="BL80" s="1085"/>
      <c r="BM80" s="1085"/>
      <c r="BN80" s="1085"/>
      <c r="BO80" s="1309"/>
      <c r="BP80" s="1310"/>
      <c r="BQ80" s="1085"/>
      <c r="BR80" s="1309"/>
      <c r="BS80" s="1"/>
    </row>
    <row r="81" spans="1:72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085"/>
      <c r="S81" s="1085"/>
      <c r="T81" s="1310"/>
      <c r="U81" s="1085"/>
      <c r="V81" s="1085"/>
      <c r="W81" s="1085"/>
      <c r="X81" s="1085"/>
      <c r="Y81" s="1309"/>
      <c r="Z81" s="1085"/>
      <c r="AA81" s="1085"/>
      <c r="AB81" s="1085"/>
      <c r="AC81" s="1085"/>
      <c r="AD81" s="1085"/>
      <c r="AE81" s="1308"/>
      <c r="AF81" s="1085"/>
      <c r="AG81" s="1085"/>
      <c r="AH81" s="1085"/>
      <c r="AI81" s="1085"/>
      <c r="AJ81" s="1085"/>
      <c r="AK81" s="1309"/>
      <c r="AL81" s="1310"/>
      <c r="AM81" s="1085"/>
      <c r="AN81" s="1085"/>
      <c r="AO81" s="1085"/>
      <c r="AP81" s="1085"/>
      <c r="AQ81" s="1309"/>
      <c r="AR81" s="1310"/>
      <c r="AS81" s="1085"/>
      <c r="AT81" s="1085"/>
      <c r="AU81" s="1085"/>
      <c r="AV81" s="1085"/>
      <c r="AW81" s="1085"/>
      <c r="AX81" s="1310"/>
      <c r="AY81" s="1085"/>
      <c r="AZ81" s="1085"/>
      <c r="BA81" s="1085"/>
      <c r="BB81" s="1085"/>
      <c r="BC81" s="1309"/>
      <c r="BD81" s="1310"/>
      <c r="BE81" s="1085"/>
      <c r="BF81" s="1085"/>
      <c r="BG81" s="1085"/>
      <c r="BH81" s="1085"/>
      <c r="BI81" s="1309"/>
      <c r="BJ81" s="1310"/>
      <c r="BK81" s="1085"/>
      <c r="BL81" s="1085"/>
      <c r="BM81" s="1085"/>
      <c r="BN81" s="1085"/>
      <c r="BO81" s="1309"/>
      <c r="BP81" s="1310"/>
      <c r="BQ81" s="1085"/>
      <c r="BR81" s="1309"/>
      <c r="BS81" s="1"/>
    </row>
    <row r="82" spans="1:72" ht="15" thickBot="1" x14ac:dyDescent="0.35">
      <c r="A82" s="12"/>
      <c r="B82" s="48"/>
      <c r="C82" s="48"/>
      <c r="D82" s="48"/>
      <c r="E82" s="321"/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1085"/>
      <c r="S82" s="1085"/>
      <c r="T82" s="1310"/>
      <c r="U82" s="1085"/>
      <c r="V82" s="1085"/>
      <c r="W82" s="1085"/>
      <c r="X82" s="1085"/>
      <c r="Y82" s="1309"/>
      <c r="Z82" s="1085"/>
      <c r="AA82" s="1085"/>
      <c r="AB82" s="1085"/>
      <c r="AC82" s="1085"/>
      <c r="AD82" s="1085"/>
      <c r="AE82" s="1308"/>
      <c r="AF82" s="1085"/>
      <c r="AG82" s="1085"/>
      <c r="AH82" s="1085"/>
      <c r="AI82" s="1085"/>
      <c r="AJ82" s="1085"/>
      <c r="AK82" s="1309"/>
      <c r="AL82" s="1310"/>
      <c r="AM82" s="1085"/>
      <c r="AN82" s="1085"/>
      <c r="AO82" s="1085"/>
      <c r="AP82" s="1085"/>
      <c r="AQ82" s="1309"/>
      <c r="AR82" s="1310"/>
      <c r="AS82" s="1085"/>
      <c r="AT82" s="1085"/>
      <c r="AU82" s="1085"/>
      <c r="AV82" s="1085"/>
      <c r="AW82" s="1085"/>
      <c r="AX82" s="1310"/>
      <c r="AY82" s="1085"/>
      <c r="AZ82" s="1085"/>
      <c r="BA82" s="1085"/>
      <c r="BB82" s="1085"/>
      <c r="BC82" s="1309"/>
      <c r="BD82" s="1310"/>
      <c r="BE82" s="1085"/>
      <c r="BF82" s="1085"/>
      <c r="BG82" s="1085"/>
      <c r="BH82" s="1085"/>
      <c r="BI82" s="1309"/>
      <c r="BJ82" s="1310"/>
      <c r="BK82" s="1085"/>
      <c r="BL82" s="1085"/>
      <c r="BM82" s="1085"/>
      <c r="BN82" s="1085"/>
      <c r="BO82" s="1309"/>
      <c r="BP82" s="1310"/>
      <c r="BQ82" s="1085"/>
      <c r="BR82" s="1309"/>
      <c r="BS82" s="1"/>
    </row>
    <row r="83" spans="1:72" ht="16.2" thickBot="1" x14ac:dyDescent="0.35">
      <c r="A83" s="96" t="s">
        <v>107</v>
      </c>
      <c r="B83" s="4"/>
      <c r="C83" s="5"/>
      <c r="D83" s="1" t="s">
        <v>12</v>
      </c>
      <c r="E83" s="97"/>
      <c r="F83" s="98"/>
      <c r="G83" s="98"/>
      <c r="H83" s="98"/>
      <c r="I83" s="98"/>
      <c r="J83" s="98"/>
      <c r="K83" s="98"/>
      <c r="L83" s="98"/>
      <c r="M83" s="98"/>
      <c r="N83" s="98"/>
      <c r="O83" s="98"/>
      <c r="P83" s="98"/>
      <c r="Q83" s="98"/>
      <c r="R83" s="1085"/>
      <c r="S83" s="1085"/>
      <c r="T83" s="1310"/>
      <c r="U83" s="1085"/>
      <c r="V83" s="1085"/>
      <c r="W83" s="1085"/>
      <c r="X83" s="1085"/>
      <c r="Y83" s="1309"/>
      <c r="Z83" s="1085"/>
      <c r="AA83" s="1658"/>
      <c r="AB83" s="1085"/>
      <c r="AC83" s="1085"/>
      <c r="AD83" s="1085"/>
      <c r="AE83" s="1659"/>
      <c r="AF83" s="1658"/>
      <c r="AG83" s="1085"/>
      <c r="AH83" s="1085"/>
      <c r="AI83" s="1085"/>
      <c r="AJ83" s="1085"/>
      <c r="AK83" s="1309"/>
      <c r="AL83" s="1310"/>
      <c r="AM83" s="1085"/>
      <c r="AN83" s="1658"/>
      <c r="AO83" s="1085"/>
      <c r="AP83" s="1085"/>
      <c r="AQ83" s="1309"/>
      <c r="AR83" s="1310"/>
      <c r="AS83" s="1085"/>
      <c r="AT83" s="1085"/>
      <c r="AU83" s="1660"/>
      <c r="AV83" s="1085"/>
      <c r="AW83" s="1085"/>
      <c r="AX83" s="1310"/>
      <c r="AY83" s="1085"/>
      <c r="AZ83" s="1085"/>
      <c r="BA83" s="1085"/>
      <c r="BB83" s="1085"/>
      <c r="BC83" s="1309"/>
      <c r="BD83" s="1310"/>
      <c r="BE83" s="1658"/>
      <c r="BF83" s="1658"/>
      <c r="BG83" s="1085"/>
      <c r="BH83" s="1085"/>
      <c r="BI83" s="1661"/>
      <c r="BJ83" s="1310"/>
      <c r="BK83" s="1085"/>
      <c r="BL83" s="1133"/>
      <c r="BM83" s="1085"/>
      <c r="BN83" s="1085"/>
      <c r="BO83" s="1309"/>
      <c r="BP83" s="1310"/>
      <c r="BQ83" s="1085"/>
      <c r="BR83" s="1309"/>
      <c r="BS83" s="1"/>
    </row>
    <row r="84" spans="1:72" ht="16.8" thickTop="1" thickBot="1" x14ac:dyDescent="0.35">
      <c r="A84" s="99" t="s">
        <v>29</v>
      </c>
      <c r="B84" s="1662" t="s">
        <v>30</v>
      </c>
      <c r="C84" s="222" t="s">
        <v>108</v>
      </c>
      <c r="D84" s="324" t="s">
        <v>2</v>
      </c>
      <c r="E84" s="103" t="s">
        <v>32</v>
      </c>
      <c r="F84" s="104" t="s">
        <v>33</v>
      </c>
      <c r="G84" s="104" t="s">
        <v>34</v>
      </c>
      <c r="H84" s="827" t="s">
        <v>35</v>
      </c>
      <c r="I84" s="824" t="s">
        <v>36</v>
      </c>
      <c r="J84" s="811" t="s">
        <v>37</v>
      </c>
      <c r="K84" s="1663" t="s">
        <v>44</v>
      </c>
      <c r="L84" s="1664" t="s">
        <v>38</v>
      </c>
      <c r="M84" s="1665" t="s">
        <v>45</v>
      </c>
      <c r="N84" s="1664" t="s">
        <v>40</v>
      </c>
      <c r="O84" s="1665" t="s">
        <v>41</v>
      </c>
      <c r="P84" s="1664" t="s">
        <v>42</v>
      </c>
      <c r="Q84" s="1665" t="s">
        <v>43</v>
      </c>
      <c r="R84" s="1664" t="s">
        <v>44</v>
      </c>
      <c r="S84" s="1665" t="s">
        <v>38</v>
      </c>
      <c r="T84" s="1740" t="s">
        <v>462</v>
      </c>
      <c r="U84" s="1739" t="s">
        <v>463</v>
      </c>
      <c r="V84" s="1736" t="s">
        <v>464</v>
      </c>
      <c r="W84" s="1736" t="s">
        <v>465</v>
      </c>
      <c r="X84" s="1737" t="s">
        <v>9</v>
      </c>
      <c r="Y84" s="1737" t="s">
        <v>9</v>
      </c>
      <c r="Z84" s="1666" t="s">
        <v>109</v>
      </c>
      <c r="AA84" s="1666" t="s">
        <v>110</v>
      </c>
      <c r="AB84" s="1667" t="s">
        <v>111</v>
      </c>
      <c r="AC84" s="1667" t="s">
        <v>112</v>
      </c>
      <c r="AD84" s="1668" t="s">
        <v>3</v>
      </c>
      <c r="AE84" s="1669" t="s">
        <v>3</v>
      </c>
      <c r="AF84" s="1666" t="s">
        <v>113</v>
      </c>
      <c r="AG84" s="1667" t="s">
        <v>114</v>
      </c>
      <c r="AH84" s="1666" t="s">
        <v>115</v>
      </c>
      <c r="AI84" s="1667" t="s">
        <v>116</v>
      </c>
      <c r="AJ84" s="1670" t="s">
        <v>51</v>
      </c>
      <c r="AK84" s="1670" t="s">
        <v>51</v>
      </c>
      <c r="AL84" s="1671" t="s">
        <v>117</v>
      </c>
      <c r="AM84" s="1672" t="s">
        <v>118</v>
      </c>
      <c r="AN84" s="1672" t="s">
        <v>119</v>
      </c>
      <c r="AO84" s="1672" t="s">
        <v>120</v>
      </c>
      <c r="AP84" s="1673" t="s">
        <v>55</v>
      </c>
      <c r="AQ84" s="1673" t="s">
        <v>55</v>
      </c>
      <c r="AR84" s="1674" t="s">
        <v>121</v>
      </c>
      <c r="AS84" s="1667" t="s">
        <v>122</v>
      </c>
      <c r="AT84" s="1666" t="s">
        <v>123</v>
      </c>
      <c r="AU84" s="1666" t="s">
        <v>124</v>
      </c>
      <c r="AV84" s="1320" t="s">
        <v>59</v>
      </c>
      <c r="AW84" s="1320" t="s">
        <v>59</v>
      </c>
      <c r="AX84" s="1671" t="s">
        <v>125</v>
      </c>
      <c r="AY84" s="1666" t="s">
        <v>126</v>
      </c>
      <c r="AZ84" s="1667" t="s">
        <v>127</v>
      </c>
      <c r="BA84" s="1675" t="s">
        <v>128</v>
      </c>
      <c r="BB84" s="1673" t="s">
        <v>7</v>
      </c>
      <c r="BC84" s="1676" t="s">
        <v>7</v>
      </c>
      <c r="BD84" s="1666" t="s">
        <v>129</v>
      </c>
      <c r="BE84" s="1667" t="s">
        <v>130</v>
      </c>
      <c r="BF84" s="1667" t="s">
        <v>131</v>
      </c>
      <c r="BG84" s="1677" t="s">
        <v>132</v>
      </c>
      <c r="BH84" s="1318" t="s">
        <v>8</v>
      </c>
      <c r="BI84" s="1678" t="s">
        <v>8</v>
      </c>
      <c r="BJ84" s="1671" t="s">
        <v>133</v>
      </c>
      <c r="BK84" s="1666" t="s">
        <v>134</v>
      </c>
      <c r="BL84" s="1667" t="s">
        <v>135</v>
      </c>
      <c r="BM84" s="1667" t="s">
        <v>136</v>
      </c>
      <c r="BN84" s="1164" t="s">
        <v>9</v>
      </c>
      <c r="BO84" s="1668" t="s">
        <v>9</v>
      </c>
      <c r="BP84" s="1679" t="s">
        <v>70</v>
      </c>
      <c r="BQ84" s="1559" t="s">
        <v>71</v>
      </c>
      <c r="BR84" s="1670" t="s">
        <v>72</v>
      </c>
      <c r="BS84" s="1"/>
    </row>
    <row r="85" spans="1:72" x14ac:dyDescent="0.3">
      <c r="A85" s="1680">
        <v>2614</v>
      </c>
      <c r="B85" s="1681" t="s">
        <v>137</v>
      </c>
      <c r="C85" s="114">
        <v>4</v>
      </c>
      <c r="D85" s="19" t="s">
        <v>12</v>
      </c>
      <c r="E85" s="116">
        <v>0.48</v>
      </c>
      <c r="F85" s="116">
        <f>(BR85/G85)/4</f>
        <v>0</v>
      </c>
      <c r="G85" s="19">
        <v>200</v>
      </c>
      <c r="H85" s="327">
        <f t="shared" ref="H85:H90" si="23">G85*E85</f>
        <v>96</v>
      </c>
      <c r="I85" s="19">
        <v>2750</v>
      </c>
      <c r="J85" s="642">
        <v>200</v>
      </c>
      <c r="K85" s="1682">
        <v>0</v>
      </c>
      <c r="L85" s="1683">
        <f t="shared" ref="K85:S90" si="24">K85-$H85</f>
        <v>-96</v>
      </c>
      <c r="M85" s="1965">
        <v>1000</v>
      </c>
      <c r="N85" s="1168">
        <f t="shared" si="24"/>
        <v>904</v>
      </c>
      <c r="O85" s="1683">
        <f t="shared" si="24"/>
        <v>808</v>
      </c>
      <c r="P85" s="1168">
        <f t="shared" si="24"/>
        <v>712</v>
      </c>
      <c r="Q85" s="1683">
        <f t="shared" si="24"/>
        <v>616</v>
      </c>
      <c r="R85" s="1093">
        <f t="shared" si="24"/>
        <v>520</v>
      </c>
      <c r="S85" s="1834">
        <f t="shared" si="24"/>
        <v>424</v>
      </c>
      <c r="T85" s="1841"/>
      <c r="U85" s="1096"/>
      <c r="V85" s="1287"/>
      <c r="W85" s="1096"/>
      <c r="X85" s="1287"/>
      <c r="Y85" s="1898"/>
      <c r="Z85" s="1095"/>
      <c r="AA85" s="1095"/>
      <c r="AB85" s="1096"/>
      <c r="AC85" s="1096"/>
      <c r="AD85" s="1214"/>
      <c r="AE85" s="1215"/>
      <c r="AF85" s="1176"/>
      <c r="AG85" s="1177">
        <v>1000</v>
      </c>
      <c r="AH85" s="1684"/>
      <c r="AI85" s="1176"/>
      <c r="AJ85" s="1181"/>
      <c r="AK85" s="1181"/>
      <c r="AL85" s="1182"/>
      <c r="AM85" s="1096"/>
      <c r="AN85" s="1096"/>
      <c r="AO85" s="1097"/>
      <c r="AP85" s="1214"/>
      <c r="AQ85" s="1185"/>
      <c r="AR85" s="1186"/>
      <c r="AS85" s="1177"/>
      <c r="AT85" s="1684"/>
      <c r="AU85" s="1176"/>
      <c r="AV85" s="1180"/>
      <c r="AW85" s="1180"/>
      <c r="AX85" s="1188"/>
      <c r="AY85" s="1095"/>
      <c r="AZ85" s="1096"/>
      <c r="BA85" s="1096"/>
      <c r="BB85" s="1184"/>
      <c r="BC85" s="1181"/>
      <c r="BD85" s="1188"/>
      <c r="BE85" s="1177"/>
      <c r="BF85" s="1177"/>
      <c r="BG85" s="1685"/>
      <c r="BH85" s="1334"/>
      <c r="BI85" s="1181"/>
      <c r="BJ85" s="1188"/>
      <c r="BK85" s="1176"/>
      <c r="BL85" s="1177"/>
      <c r="BM85" s="1177"/>
      <c r="BN85" s="1190"/>
      <c r="BO85" s="1185"/>
      <c r="BP85" s="1686"/>
      <c r="BQ85" s="1687">
        <f>+J85</f>
        <v>200</v>
      </c>
      <c r="BR85" s="1688">
        <f t="shared" ref="BR85:BR90" si="25">(J85+BP85)-BQ85</f>
        <v>0</v>
      </c>
      <c r="BS85" s="1"/>
      <c r="BT85" s="1192">
        <f>SUM(Z85:BO85)</f>
        <v>1000</v>
      </c>
    </row>
    <row r="86" spans="1:72" x14ac:dyDescent="0.3">
      <c r="A86" s="1689">
        <v>2613</v>
      </c>
      <c r="B86" s="1690" t="s">
        <v>138</v>
      </c>
      <c r="C86" s="329">
        <v>5</v>
      </c>
      <c r="D86" s="137" t="s">
        <v>139</v>
      </c>
      <c r="E86" s="136">
        <v>0.94</v>
      </c>
      <c r="F86" s="136">
        <f>(BR86/G86)/7</f>
        <v>0.52910052910052907</v>
      </c>
      <c r="G86" s="137">
        <v>189</v>
      </c>
      <c r="H86" s="423">
        <f>G86*E86</f>
        <v>177.66</v>
      </c>
      <c r="I86" s="419">
        <v>2750</v>
      </c>
      <c r="J86" s="139">
        <v>700</v>
      </c>
      <c r="K86" s="1953">
        <v>2522</v>
      </c>
      <c r="L86" s="1194">
        <f t="shared" si="24"/>
        <v>2344.34</v>
      </c>
      <c r="M86" s="1194">
        <f t="shared" si="24"/>
        <v>2166.6800000000003</v>
      </c>
      <c r="N86" s="1194">
        <f t="shared" si="24"/>
        <v>1989.0200000000002</v>
      </c>
      <c r="O86" s="1193">
        <f t="shared" si="24"/>
        <v>1811.3600000000001</v>
      </c>
      <c r="P86" s="1194">
        <f t="shared" si="24"/>
        <v>1633.7</v>
      </c>
      <c r="Q86" s="1193">
        <f t="shared" si="24"/>
        <v>1456.04</v>
      </c>
      <c r="R86" s="1691">
        <f t="shared" si="24"/>
        <v>1278.3799999999999</v>
      </c>
      <c r="S86" s="1195">
        <f t="shared" si="24"/>
        <v>1100.7199999999998</v>
      </c>
      <c r="T86" s="1840"/>
      <c r="U86" s="1104"/>
      <c r="V86" s="1195">
        <v>2000</v>
      </c>
      <c r="W86" s="1104"/>
      <c r="X86" s="1195"/>
      <c r="Y86" s="1897"/>
      <c r="Z86" s="1103"/>
      <c r="AA86" s="1103"/>
      <c r="AB86" s="1104"/>
      <c r="AC86" s="1104"/>
      <c r="AD86" s="1196"/>
      <c r="AE86" s="1197"/>
      <c r="AF86" s="1198"/>
      <c r="AG86" s="1199"/>
      <c r="AH86" s="1198"/>
      <c r="AI86" s="1198"/>
      <c r="AJ86" s="1203"/>
      <c r="AK86" s="1203"/>
      <c r="AL86" s="1204"/>
      <c r="AM86" s="1104"/>
      <c r="AN86" s="1104"/>
      <c r="AO86" s="1205"/>
      <c r="AP86" s="1196"/>
      <c r="AQ86" s="1207"/>
      <c r="AR86" s="1208"/>
      <c r="AS86" s="1199"/>
      <c r="AT86" s="1198"/>
      <c r="AU86" s="1198"/>
      <c r="AV86" s="1202"/>
      <c r="AW86" s="1202"/>
      <c r="AX86" s="1210"/>
      <c r="AY86" s="1103"/>
      <c r="AZ86" s="1104"/>
      <c r="BA86" s="1104"/>
      <c r="BB86" s="1206"/>
      <c r="BC86" s="1203"/>
      <c r="BD86" s="1210"/>
      <c r="BE86" s="1199"/>
      <c r="BF86" s="1199"/>
      <c r="BG86" s="1692"/>
      <c r="BH86" s="1347"/>
      <c r="BI86" s="1203"/>
      <c r="BJ86" s="1210"/>
      <c r="BK86" s="1198"/>
      <c r="BL86" s="1199"/>
      <c r="BM86" s="1199"/>
      <c r="BN86" s="1211"/>
      <c r="BO86" s="1207"/>
      <c r="BP86" s="1686"/>
      <c r="BQ86" s="1687"/>
      <c r="BR86" s="1688">
        <f t="shared" si="25"/>
        <v>700</v>
      </c>
      <c r="BS86" s="1"/>
      <c r="BT86" s="1192">
        <f t="shared" ref="BT86:BT91" si="26">SUM(Z86:BO86)</f>
        <v>0</v>
      </c>
    </row>
    <row r="87" spans="1:72" x14ac:dyDescent="0.3">
      <c r="A87" s="330">
        <v>2612</v>
      </c>
      <c r="B87" s="1690" t="s">
        <v>140</v>
      </c>
      <c r="C87" s="224">
        <v>6</v>
      </c>
      <c r="D87" s="137" t="s">
        <v>139</v>
      </c>
      <c r="E87" s="136">
        <v>0.94</v>
      </c>
      <c r="F87" s="136">
        <f>(BR87/G87)/7</f>
        <v>0</v>
      </c>
      <c r="G87" s="156">
        <v>185</v>
      </c>
      <c r="H87" s="423">
        <f t="shared" si="23"/>
        <v>173.89999999999998</v>
      </c>
      <c r="I87" s="419">
        <v>2750</v>
      </c>
      <c r="J87" s="139">
        <v>0</v>
      </c>
      <c r="K87" s="1953">
        <v>2000</v>
      </c>
      <c r="L87" s="1194">
        <f t="shared" si="24"/>
        <v>1826.1</v>
      </c>
      <c r="M87" s="1193">
        <f t="shared" si="24"/>
        <v>1652.1999999999998</v>
      </c>
      <c r="N87" s="1194">
        <f t="shared" si="24"/>
        <v>1478.2999999999997</v>
      </c>
      <c r="O87" s="1193">
        <f t="shared" si="24"/>
        <v>1304.3999999999996</v>
      </c>
      <c r="P87" s="1194">
        <f t="shared" si="24"/>
        <v>1130.4999999999995</v>
      </c>
      <c r="Q87" s="1194">
        <f t="shared" si="24"/>
        <v>956.59999999999957</v>
      </c>
      <c r="R87" s="1691">
        <f t="shared" si="24"/>
        <v>782.69999999999959</v>
      </c>
      <c r="S87" s="1195">
        <f t="shared" si="24"/>
        <v>608.79999999999961</v>
      </c>
      <c r="T87" s="1840"/>
      <c r="U87" s="1104"/>
      <c r="V87" s="1195">
        <v>2000</v>
      </c>
      <c r="W87" s="1104"/>
      <c r="X87" s="1195"/>
      <c r="Y87" s="1897"/>
      <c r="Z87" s="1103"/>
      <c r="AA87" s="1103"/>
      <c r="AB87" s="1104"/>
      <c r="AC87" s="1104"/>
      <c r="AD87" s="1196"/>
      <c r="AE87" s="1197"/>
      <c r="AF87" s="1198"/>
      <c r="AG87" s="1199"/>
      <c r="AH87" s="1198"/>
      <c r="AI87" s="1198"/>
      <c r="AJ87" s="1203"/>
      <c r="AK87" s="1203"/>
      <c r="AL87" s="1204"/>
      <c r="AM87" s="1104"/>
      <c r="AN87" s="1104"/>
      <c r="AO87" s="1205"/>
      <c r="AP87" s="1196"/>
      <c r="AQ87" s="1207"/>
      <c r="AR87" s="1208"/>
      <c r="AS87" s="1199"/>
      <c r="AT87" s="1198"/>
      <c r="AU87" s="1198"/>
      <c r="AV87" s="1202"/>
      <c r="AW87" s="1202"/>
      <c r="AX87" s="1210"/>
      <c r="AY87" s="1103"/>
      <c r="AZ87" s="1104"/>
      <c r="BA87" s="1104"/>
      <c r="BB87" s="1206"/>
      <c r="BC87" s="1203"/>
      <c r="BD87" s="1210"/>
      <c r="BE87" s="1199"/>
      <c r="BF87" s="1199"/>
      <c r="BG87" s="1692"/>
      <c r="BH87" s="1347"/>
      <c r="BI87" s="1203"/>
      <c r="BJ87" s="1210"/>
      <c r="BK87" s="1198"/>
      <c r="BL87" s="1199"/>
      <c r="BM87" s="1199"/>
      <c r="BN87" s="1211"/>
      <c r="BO87" s="1207"/>
      <c r="BP87" s="1686"/>
      <c r="BQ87" s="1687"/>
      <c r="BR87" s="1688">
        <f t="shared" si="25"/>
        <v>0</v>
      </c>
      <c r="BS87" s="1"/>
      <c r="BT87" s="1192">
        <f t="shared" si="26"/>
        <v>0</v>
      </c>
    </row>
    <row r="88" spans="1:72" x14ac:dyDescent="0.3">
      <c r="A88" s="330" t="s">
        <v>75</v>
      </c>
      <c r="B88" s="1693" t="s">
        <v>141</v>
      </c>
      <c r="C88" s="224">
        <v>7</v>
      </c>
      <c r="D88" s="137" t="s">
        <v>22</v>
      </c>
      <c r="E88" s="136">
        <v>1</v>
      </c>
      <c r="F88" s="331">
        <f>(BR88/G88)/7</f>
        <v>1.3899613899613901</v>
      </c>
      <c r="G88" s="137">
        <v>185</v>
      </c>
      <c r="H88" s="139">
        <f>G88*E88</f>
        <v>185</v>
      </c>
      <c r="I88" s="419">
        <v>2750</v>
      </c>
      <c r="J88" s="139">
        <v>1800</v>
      </c>
      <c r="K88" s="1342">
        <f t="shared" si="24"/>
        <v>1615</v>
      </c>
      <c r="L88" s="1194">
        <f t="shared" si="24"/>
        <v>1430</v>
      </c>
      <c r="M88" s="1193">
        <f t="shared" si="24"/>
        <v>1245</v>
      </c>
      <c r="N88" s="1955">
        <v>2060</v>
      </c>
      <c r="O88" s="1193">
        <f t="shared" si="24"/>
        <v>1875</v>
      </c>
      <c r="P88" s="1194">
        <f t="shared" si="24"/>
        <v>1690</v>
      </c>
      <c r="Q88" s="1193">
        <f t="shared" si="24"/>
        <v>1505</v>
      </c>
      <c r="R88" s="1691">
        <f t="shared" si="24"/>
        <v>1320</v>
      </c>
      <c r="S88" s="1195">
        <f t="shared" si="24"/>
        <v>1135</v>
      </c>
      <c r="T88" s="1840"/>
      <c r="U88" s="1104"/>
      <c r="V88" s="1195"/>
      <c r="W88" s="1104"/>
      <c r="X88" s="1195"/>
      <c r="Y88" s="1897"/>
      <c r="Z88" s="1103"/>
      <c r="AA88" s="1103"/>
      <c r="AB88" s="1104"/>
      <c r="AC88" s="1104"/>
      <c r="AD88" s="1196"/>
      <c r="AE88" s="1197"/>
      <c r="AF88" s="1198"/>
      <c r="AG88" s="1199"/>
      <c r="AH88" s="1198"/>
      <c r="AI88" s="1198"/>
      <c r="AJ88" s="1203"/>
      <c r="AK88" s="1203"/>
      <c r="AL88" s="1204"/>
      <c r="AM88" s="1104"/>
      <c r="AN88" s="1104"/>
      <c r="AO88" s="1205">
        <v>1000</v>
      </c>
      <c r="AP88" s="1196"/>
      <c r="AQ88" s="1207"/>
      <c r="AR88" s="1208"/>
      <c r="AS88" s="1199"/>
      <c r="AT88" s="1198"/>
      <c r="AU88" s="1198"/>
      <c r="AV88" s="1202"/>
      <c r="AW88" s="1202"/>
      <c r="AX88" s="1210"/>
      <c r="AY88" s="1103"/>
      <c r="AZ88" s="1104"/>
      <c r="BA88" s="1104"/>
      <c r="BB88" s="1206"/>
      <c r="BC88" s="1203"/>
      <c r="BD88" s="1210"/>
      <c r="BE88" s="1199"/>
      <c r="BF88" s="1199"/>
      <c r="BG88" s="1692"/>
      <c r="BH88" s="1347"/>
      <c r="BI88" s="1203"/>
      <c r="BJ88" s="1210"/>
      <c r="BK88" s="1198"/>
      <c r="BL88" s="1199"/>
      <c r="BM88" s="1199"/>
      <c r="BN88" s="1211"/>
      <c r="BO88" s="1207"/>
      <c r="BP88" s="1686"/>
      <c r="BQ88" s="1687"/>
      <c r="BR88" s="1688">
        <f t="shared" si="25"/>
        <v>1800</v>
      </c>
      <c r="BS88" s="1"/>
      <c r="BT88" s="1192">
        <f t="shared" si="26"/>
        <v>1000</v>
      </c>
    </row>
    <row r="89" spans="1:72" x14ac:dyDescent="0.3">
      <c r="A89" s="330">
        <v>2610</v>
      </c>
      <c r="B89" s="199" t="s">
        <v>142</v>
      </c>
      <c r="C89" s="224">
        <v>8</v>
      </c>
      <c r="D89" s="137" t="s">
        <v>22</v>
      </c>
      <c r="E89" s="136">
        <v>1.1000000000000001</v>
      </c>
      <c r="F89" s="136">
        <f>(BR89/G89)/7</f>
        <v>0.56298381421534127</v>
      </c>
      <c r="G89" s="137">
        <v>203</v>
      </c>
      <c r="H89" s="139">
        <f t="shared" si="23"/>
        <v>223.3</v>
      </c>
      <c r="I89" s="419">
        <v>2750</v>
      </c>
      <c r="J89" s="139">
        <v>800</v>
      </c>
      <c r="K89" s="1194">
        <f t="shared" si="24"/>
        <v>576.70000000000005</v>
      </c>
      <c r="L89" s="1954">
        <v>2353</v>
      </c>
      <c r="M89" s="1193">
        <f t="shared" si="24"/>
        <v>2129.6999999999998</v>
      </c>
      <c r="N89" s="1194">
        <f t="shared" si="24"/>
        <v>1906.3999999999999</v>
      </c>
      <c r="O89" s="1194">
        <f t="shared" si="24"/>
        <v>1683.1</v>
      </c>
      <c r="P89" s="1194">
        <f t="shared" si="24"/>
        <v>1459.8</v>
      </c>
      <c r="Q89" s="1193">
        <f t="shared" si="24"/>
        <v>1236.5</v>
      </c>
      <c r="R89" s="1691">
        <f t="shared" si="24"/>
        <v>1013.2</v>
      </c>
      <c r="S89" s="1195">
        <f t="shared" si="24"/>
        <v>789.90000000000009</v>
      </c>
      <c r="T89" s="1840"/>
      <c r="U89" s="1104"/>
      <c r="V89" s="1195"/>
      <c r="W89" s="1104"/>
      <c r="X89" s="1195"/>
      <c r="Y89" s="1897"/>
      <c r="Z89" s="1103"/>
      <c r="AA89" s="1103"/>
      <c r="AB89" s="1104"/>
      <c r="AC89" s="1104">
        <v>2000</v>
      </c>
      <c r="AD89" s="1196"/>
      <c r="AE89" s="1197"/>
      <c r="AF89" s="1198"/>
      <c r="AG89" s="1199"/>
      <c r="AH89" s="1198"/>
      <c r="AI89" s="1198"/>
      <c r="AJ89" s="1203"/>
      <c r="AK89" s="1203"/>
      <c r="AL89" s="1204"/>
      <c r="AM89" s="1104"/>
      <c r="AN89" s="1104"/>
      <c r="AO89" s="1205"/>
      <c r="AP89" s="1196"/>
      <c r="AQ89" s="1207"/>
      <c r="AR89" s="1208"/>
      <c r="AS89" s="1199"/>
      <c r="AT89" s="1198"/>
      <c r="AU89" s="1198"/>
      <c r="AV89" s="1202"/>
      <c r="AW89" s="1202"/>
      <c r="AX89" s="1210"/>
      <c r="AY89" s="1103"/>
      <c r="AZ89" s="1104"/>
      <c r="BA89" s="1104"/>
      <c r="BB89" s="1206"/>
      <c r="BC89" s="1203"/>
      <c r="BD89" s="1210"/>
      <c r="BE89" s="1199"/>
      <c r="BF89" s="1199"/>
      <c r="BG89" s="1692"/>
      <c r="BH89" s="1347"/>
      <c r="BI89" s="1203"/>
      <c r="BJ89" s="1210"/>
      <c r="BK89" s="1198"/>
      <c r="BL89" s="1199"/>
      <c r="BM89" s="1199"/>
      <c r="BN89" s="1211"/>
      <c r="BO89" s="1207"/>
      <c r="BP89" s="1686"/>
      <c r="BQ89" s="1687"/>
      <c r="BR89" s="1688">
        <f t="shared" si="25"/>
        <v>800</v>
      </c>
      <c r="BS89" s="1"/>
      <c r="BT89" s="1192">
        <f t="shared" si="26"/>
        <v>2000</v>
      </c>
    </row>
    <row r="90" spans="1:72" ht="15" thickBot="1" x14ac:dyDescent="0.35">
      <c r="A90" s="211">
        <v>2609</v>
      </c>
      <c r="B90" s="1694" t="s">
        <v>22</v>
      </c>
      <c r="C90" s="1695">
        <v>9</v>
      </c>
      <c r="D90" s="210" t="s">
        <v>22</v>
      </c>
      <c r="E90" s="204">
        <v>1.2</v>
      </c>
      <c r="F90" s="204">
        <f>(BR90/G90)/7</f>
        <v>0.6211180124223602</v>
      </c>
      <c r="G90" s="210">
        <v>207</v>
      </c>
      <c r="H90" s="839">
        <f t="shared" si="23"/>
        <v>248.39999999999998</v>
      </c>
      <c r="I90" s="419">
        <v>2750</v>
      </c>
      <c r="J90" s="1696">
        <v>900</v>
      </c>
      <c r="K90" s="1697">
        <f t="shared" si="24"/>
        <v>651.6</v>
      </c>
      <c r="L90" s="1956">
        <v>2403</v>
      </c>
      <c r="M90" s="1699">
        <f t="shared" si="24"/>
        <v>2154.6</v>
      </c>
      <c r="N90" s="1698">
        <f t="shared" si="24"/>
        <v>1906.1999999999998</v>
      </c>
      <c r="O90" s="1699">
        <f t="shared" si="24"/>
        <v>1657.7999999999997</v>
      </c>
      <c r="P90" s="1699">
        <f t="shared" si="24"/>
        <v>1409.3999999999996</v>
      </c>
      <c r="Q90" s="1699">
        <f t="shared" si="24"/>
        <v>1160.9999999999995</v>
      </c>
      <c r="R90" s="1292">
        <f t="shared" si="24"/>
        <v>912.59999999999957</v>
      </c>
      <c r="S90" s="1293">
        <f t="shared" si="24"/>
        <v>664.19999999999959</v>
      </c>
      <c r="T90" s="1927"/>
      <c r="U90" s="1812"/>
      <c r="V90" s="1816"/>
      <c r="W90" s="1812"/>
      <c r="X90" s="1816"/>
      <c r="Y90" s="1928"/>
      <c r="Z90" s="1700"/>
      <c r="AA90" s="1700"/>
      <c r="AB90" s="1107"/>
      <c r="AC90" s="1107">
        <v>2000</v>
      </c>
      <c r="AD90" s="1701"/>
      <c r="AE90" s="1702"/>
      <c r="AF90" s="1703"/>
      <c r="AG90" s="1704"/>
      <c r="AH90" s="1703"/>
      <c r="AI90" s="1703"/>
      <c r="AJ90" s="1705"/>
      <c r="AK90" s="1705"/>
      <c r="AL90" s="1706"/>
      <c r="AM90" s="1107"/>
      <c r="AN90" s="1107"/>
      <c r="AO90" s="1707"/>
      <c r="AP90" s="1701"/>
      <c r="AQ90" s="1708"/>
      <c r="AR90" s="1709"/>
      <c r="AS90" s="1704"/>
      <c r="AT90" s="1703"/>
      <c r="AU90" s="1703"/>
      <c r="AV90" s="1710"/>
      <c r="AW90" s="1710"/>
      <c r="AX90" s="1711"/>
      <c r="AY90" s="1700"/>
      <c r="AZ90" s="1107"/>
      <c r="BA90" s="1107"/>
      <c r="BB90" s="1712"/>
      <c r="BC90" s="1705"/>
      <c r="BD90" s="1711"/>
      <c r="BE90" s="1704"/>
      <c r="BF90" s="1704"/>
      <c r="BG90" s="1713"/>
      <c r="BH90" s="1714"/>
      <c r="BI90" s="1231"/>
      <c r="BJ90" s="1711"/>
      <c r="BK90" s="1703"/>
      <c r="BL90" s="1704"/>
      <c r="BM90" s="1704"/>
      <c r="BN90" s="1715"/>
      <c r="BO90" s="1708"/>
      <c r="BP90" s="1716"/>
      <c r="BQ90" s="1307"/>
      <c r="BR90" s="1717">
        <f t="shared" si="25"/>
        <v>900</v>
      </c>
      <c r="BS90" s="1"/>
      <c r="BT90" s="1192">
        <f t="shared" si="26"/>
        <v>2000</v>
      </c>
    </row>
    <row r="91" spans="1:72" ht="15" thickBot="1" x14ac:dyDescent="0.35">
      <c r="A91" s="308"/>
      <c r="B91" s="308"/>
      <c r="C91" s="337"/>
      <c r="D91" s="338"/>
      <c r="E91" s="339"/>
      <c r="F91" s="339"/>
      <c r="G91" s="339"/>
      <c r="H91" s="339"/>
      <c r="I91" s="339"/>
      <c r="J91" s="339"/>
      <c r="K91" s="339"/>
      <c r="L91" s="1718"/>
      <c r="M91" s="1718"/>
      <c r="N91" s="1718"/>
      <c r="O91" s="1718"/>
      <c r="P91" s="1718"/>
      <c r="Q91" s="1718"/>
      <c r="R91" s="1719"/>
      <c r="S91" s="1719"/>
      <c r="T91" s="1723"/>
      <c r="U91" s="1719"/>
      <c r="V91" s="1719"/>
      <c r="W91" s="1719"/>
      <c r="X91" s="1719"/>
      <c r="Y91" s="1867"/>
      <c r="Z91" s="1719">
        <f>SUM(Z85:Z90)</f>
        <v>0</v>
      </c>
      <c r="AA91" s="1719">
        <f t="shared" ref="AA91:BQ91" si="27">SUM(AA85:AA90)</f>
        <v>0</v>
      </c>
      <c r="AB91" s="1719">
        <f t="shared" si="27"/>
        <v>0</v>
      </c>
      <c r="AC91" s="1719">
        <f t="shared" si="27"/>
        <v>4000</v>
      </c>
      <c r="AD91" s="1719">
        <f t="shared" si="27"/>
        <v>0</v>
      </c>
      <c r="AE91" s="1720">
        <f t="shared" si="27"/>
        <v>0</v>
      </c>
      <c r="AF91" s="1721">
        <f t="shared" si="27"/>
        <v>0</v>
      </c>
      <c r="AG91" s="1721">
        <f t="shared" si="27"/>
        <v>1000</v>
      </c>
      <c r="AH91" s="1721">
        <f t="shared" si="27"/>
        <v>0</v>
      </c>
      <c r="AI91" s="1721">
        <f t="shared" si="27"/>
        <v>0</v>
      </c>
      <c r="AJ91" s="1721">
        <f t="shared" si="27"/>
        <v>0</v>
      </c>
      <c r="AK91" s="1722">
        <f t="shared" si="27"/>
        <v>0</v>
      </c>
      <c r="AL91" s="1723">
        <f t="shared" si="27"/>
        <v>0</v>
      </c>
      <c r="AM91" s="1719">
        <f t="shared" si="27"/>
        <v>0</v>
      </c>
      <c r="AN91" s="1719">
        <f t="shared" si="27"/>
        <v>0</v>
      </c>
      <c r="AO91" s="1719">
        <f t="shared" si="27"/>
        <v>1000</v>
      </c>
      <c r="AP91" s="1719">
        <f t="shared" si="27"/>
        <v>0</v>
      </c>
      <c r="AQ91" s="1722">
        <f t="shared" si="27"/>
        <v>0</v>
      </c>
      <c r="AR91" s="1724">
        <f t="shared" si="27"/>
        <v>0</v>
      </c>
      <c r="AS91" s="1725">
        <f t="shared" si="27"/>
        <v>0</v>
      </c>
      <c r="AT91" s="1721">
        <f t="shared" si="27"/>
        <v>0</v>
      </c>
      <c r="AU91" s="1721">
        <f t="shared" si="27"/>
        <v>0</v>
      </c>
      <c r="AV91" s="1721">
        <f t="shared" si="27"/>
        <v>0</v>
      </c>
      <c r="AW91" s="1721">
        <f t="shared" si="27"/>
        <v>0</v>
      </c>
      <c r="AX91" s="1724">
        <f t="shared" si="27"/>
        <v>0</v>
      </c>
      <c r="AY91" s="1719">
        <f t="shared" si="27"/>
        <v>0</v>
      </c>
      <c r="AZ91" s="1719">
        <f t="shared" si="27"/>
        <v>0</v>
      </c>
      <c r="BA91" s="1719">
        <f t="shared" si="27"/>
        <v>0</v>
      </c>
      <c r="BB91" s="1719">
        <f t="shared" si="27"/>
        <v>0</v>
      </c>
      <c r="BC91" s="1722">
        <f t="shared" si="27"/>
        <v>0</v>
      </c>
      <c r="BD91" s="1724">
        <f t="shared" si="27"/>
        <v>0</v>
      </c>
      <c r="BE91" s="1721">
        <f t="shared" si="27"/>
        <v>0</v>
      </c>
      <c r="BF91" s="1721">
        <f t="shared" si="27"/>
        <v>0</v>
      </c>
      <c r="BG91" s="1721">
        <f t="shared" si="27"/>
        <v>0</v>
      </c>
      <c r="BH91" s="1721">
        <f t="shared" si="27"/>
        <v>0</v>
      </c>
      <c r="BI91" s="1726">
        <f t="shared" si="27"/>
        <v>0</v>
      </c>
      <c r="BJ91" s="1724">
        <f t="shared" si="27"/>
        <v>0</v>
      </c>
      <c r="BK91" s="1721">
        <f t="shared" si="27"/>
        <v>0</v>
      </c>
      <c r="BL91" s="1721">
        <f t="shared" si="27"/>
        <v>0</v>
      </c>
      <c r="BM91" s="1721">
        <f t="shared" si="27"/>
        <v>0</v>
      </c>
      <c r="BN91" s="1721">
        <f t="shared" si="27"/>
        <v>0</v>
      </c>
      <c r="BO91" s="1722">
        <f t="shared" si="27"/>
        <v>0</v>
      </c>
      <c r="BP91" s="1724">
        <f t="shared" si="27"/>
        <v>0</v>
      </c>
      <c r="BQ91" s="1721">
        <f t="shared" si="27"/>
        <v>200</v>
      </c>
      <c r="BR91" s="1722"/>
      <c r="BS91" s="1085">
        <f>SUM(Z91:BR91)</f>
        <v>6200</v>
      </c>
      <c r="BT91" s="1192">
        <f t="shared" si="26"/>
        <v>6000</v>
      </c>
    </row>
    <row r="92" spans="1:72" ht="16.8" thickTop="1" thickBot="1" x14ac:dyDescent="0.35">
      <c r="A92" s="340" t="s">
        <v>143</v>
      </c>
      <c r="B92" s="341"/>
      <c r="C92" s="342"/>
      <c r="D92" s="308"/>
      <c r="E92" s="308"/>
      <c r="F92" s="308"/>
      <c r="G92" s="308"/>
      <c r="H92" s="308"/>
      <c r="I92" s="308"/>
      <c r="J92" s="308"/>
      <c r="K92" s="308"/>
      <c r="L92" s="1721"/>
      <c r="M92" s="1721"/>
      <c r="N92" s="1721"/>
      <c r="O92" s="1721"/>
      <c r="P92" s="1721"/>
      <c r="Q92" s="1721"/>
      <c r="R92" s="1721"/>
      <c r="S92" s="1721"/>
      <c r="T92" s="1724"/>
      <c r="U92" s="1721"/>
      <c r="V92" s="1721"/>
      <c r="W92" s="1721"/>
      <c r="X92" s="1721"/>
      <c r="Y92" s="1722"/>
      <c r="Z92" s="1721"/>
      <c r="AA92" s="1721"/>
      <c r="AB92" s="1721"/>
      <c r="AC92" s="1721"/>
      <c r="AD92" s="1721"/>
      <c r="AE92" s="1727"/>
      <c r="AF92" s="1721"/>
      <c r="AG92" s="1721"/>
      <c r="AH92" s="1721"/>
      <c r="AI92" s="1721"/>
      <c r="AJ92" s="1721"/>
      <c r="AK92" s="1722"/>
      <c r="AL92" s="1724"/>
      <c r="AM92" s="1721"/>
      <c r="AN92" s="1721"/>
      <c r="AO92" s="1728"/>
      <c r="AP92" s="1721"/>
      <c r="AQ92" s="1722"/>
      <c r="AR92" s="1724"/>
      <c r="AS92" s="1728"/>
      <c r="AT92" s="1721"/>
      <c r="AU92" s="1721"/>
      <c r="AV92" s="1721"/>
      <c r="AW92" s="1721"/>
      <c r="AX92" s="1724"/>
      <c r="AY92" s="1721"/>
      <c r="AZ92" s="1721"/>
      <c r="BA92" s="1721"/>
      <c r="BB92" s="1721"/>
      <c r="BC92" s="1722"/>
      <c r="BD92" s="1724"/>
      <c r="BE92" s="1721"/>
      <c r="BF92" s="1721"/>
      <c r="BG92" s="1721"/>
      <c r="BH92" s="1721"/>
      <c r="BI92" s="1722"/>
      <c r="BJ92" s="1724"/>
      <c r="BK92" s="1729"/>
      <c r="BL92" s="1730"/>
      <c r="BM92" s="1729"/>
      <c r="BN92" s="1731"/>
      <c r="BO92" s="1732"/>
      <c r="BP92" s="1724"/>
      <c r="BQ92" s="1721"/>
      <c r="BR92" s="1722"/>
      <c r="BS92" s="1"/>
    </row>
    <row r="93" spans="1:72" ht="16.8" thickTop="1" thickBot="1" x14ac:dyDescent="0.35">
      <c r="A93" s="347" t="s">
        <v>29</v>
      </c>
      <c r="B93" s="348" t="s">
        <v>30</v>
      </c>
      <c r="C93" s="349" t="s">
        <v>144</v>
      </c>
      <c r="D93" s="349" t="s">
        <v>2</v>
      </c>
      <c r="E93" s="350" t="s">
        <v>32</v>
      </c>
      <c r="F93" s="350" t="s">
        <v>33</v>
      </c>
      <c r="G93" s="349" t="s">
        <v>34</v>
      </c>
      <c r="H93" s="796" t="s">
        <v>35</v>
      </c>
      <c r="I93" s="349" t="s">
        <v>36</v>
      </c>
      <c r="J93" s="811" t="s">
        <v>37</v>
      </c>
      <c r="K93" s="1663" t="s">
        <v>44</v>
      </c>
      <c r="L93" s="1664" t="s">
        <v>38</v>
      </c>
      <c r="M93" s="1665" t="s">
        <v>45</v>
      </c>
      <c r="N93" s="1664" t="s">
        <v>40</v>
      </c>
      <c r="O93" s="1665" t="s">
        <v>41</v>
      </c>
      <c r="P93" s="1664" t="s">
        <v>42</v>
      </c>
      <c r="Q93" s="1665" t="s">
        <v>43</v>
      </c>
      <c r="R93" s="1664" t="s">
        <v>44</v>
      </c>
      <c r="S93" s="1665" t="s">
        <v>38</v>
      </c>
      <c r="T93" s="1740" t="s">
        <v>136</v>
      </c>
      <c r="U93" s="1736" t="s">
        <v>466</v>
      </c>
      <c r="V93" s="1736" t="s">
        <v>467</v>
      </c>
      <c r="W93" s="1736" t="s">
        <v>468</v>
      </c>
      <c r="X93" s="1737" t="s">
        <v>469</v>
      </c>
      <c r="Y93" s="1737" t="s">
        <v>9</v>
      </c>
      <c r="Z93" s="1739" t="s">
        <v>145</v>
      </c>
      <c r="AA93" s="1736" t="s">
        <v>146</v>
      </c>
      <c r="AB93" s="1736" t="s">
        <v>147</v>
      </c>
      <c r="AC93" s="1736" t="s">
        <v>148</v>
      </c>
      <c r="AD93" s="1737" t="s">
        <v>149</v>
      </c>
      <c r="AE93" s="1738" t="s">
        <v>307</v>
      </c>
      <c r="AF93" s="1739" t="s">
        <v>150</v>
      </c>
      <c r="AG93" s="1736" t="s">
        <v>151</v>
      </c>
      <c r="AH93" s="1736" t="s">
        <v>152</v>
      </c>
      <c r="AI93" s="1736" t="s">
        <v>153</v>
      </c>
      <c r="AJ93" s="1737" t="s">
        <v>154</v>
      </c>
      <c r="AK93" s="1737" t="s">
        <v>316</v>
      </c>
      <c r="AL93" s="1740" t="s">
        <v>155</v>
      </c>
      <c r="AM93" s="1741" t="s">
        <v>156</v>
      </c>
      <c r="AN93" s="1742" t="s">
        <v>157</v>
      </c>
      <c r="AO93" s="1736" t="s">
        <v>158</v>
      </c>
      <c r="AP93" s="1743" t="s">
        <v>159</v>
      </c>
      <c r="AQ93" s="1743" t="s">
        <v>5</v>
      </c>
      <c r="AR93" s="1740" t="s">
        <v>124</v>
      </c>
      <c r="AS93" s="1739" t="s">
        <v>160</v>
      </c>
      <c r="AT93" s="1736" t="s">
        <v>161</v>
      </c>
      <c r="AU93" s="1736" t="s">
        <v>162</v>
      </c>
      <c r="AV93" s="1320" t="s">
        <v>323</v>
      </c>
      <c r="AW93" s="1320" t="s">
        <v>59</v>
      </c>
      <c r="AX93" s="1740" t="s">
        <v>164</v>
      </c>
      <c r="AY93" s="1739" t="s">
        <v>165</v>
      </c>
      <c r="AZ93" s="1736" t="s">
        <v>166</v>
      </c>
      <c r="BA93" s="1742" t="s">
        <v>167</v>
      </c>
      <c r="BB93" s="1559" t="s">
        <v>330</v>
      </c>
      <c r="BC93" s="1743" t="s">
        <v>63</v>
      </c>
      <c r="BD93" s="1740" t="s">
        <v>132</v>
      </c>
      <c r="BE93" s="1736" t="s">
        <v>169</v>
      </c>
      <c r="BF93" s="1736" t="s">
        <v>170</v>
      </c>
      <c r="BG93" s="1736" t="s">
        <v>171</v>
      </c>
      <c r="BH93" s="1737" t="s">
        <v>172</v>
      </c>
      <c r="BI93" s="1737" t="s">
        <v>8</v>
      </c>
      <c r="BJ93" s="1740" t="s">
        <v>136</v>
      </c>
      <c r="BK93" s="1739" t="s">
        <v>173</v>
      </c>
      <c r="BL93" s="1739" t="s">
        <v>174</v>
      </c>
      <c r="BM93" s="1739" t="s">
        <v>175</v>
      </c>
      <c r="BN93" s="1164" t="s">
        <v>176</v>
      </c>
      <c r="BO93" s="1743" t="s">
        <v>9</v>
      </c>
      <c r="BP93" s="1740" t="s">
        <v>70</v>
      </c>
      <c r="BQ93" s="1736" t="s">
        <v>71</v>
      </c>
      <c r="BR93" s="1737" t="s">
        <v>72</v>
      </c>
      <c r="BS93" s="1"/>
    </row>
    <row r="94" spans="1:72" ht="16.2" thickTop="1" x14ac:dyDescent="0.3">
      <c r="A94" s="159">
        <v>2608</v>
      </c>
      <c r="B94" s="360" t="s">
        <v>183</v>
      </c>
      <c r="C94" s="361" t="s">
        <v>177</v>
      </c>
      <c r="D94" s="362" t="s">
        <v>22</v>
      </c>
      <c r="E94" s="363">
        <v>1.6</v>
      </c>
      <c r="F94" s="364">
        <f>(BR94/G94)/7</f>
        <v>1.5689512799339389</v>
      </c>
      <c r="G94" s="362">
        <v>173</v>
      </c>
      <c r="H94" s="840">
        <f t="shared" ref="H94:H136" si="28">G94*E94</f>
        <v>276.8</v>
      </c>
      <c r="I94" s="362">
        <v>5800</v>
      </c>
      <c r="J94" s="362">
        <v>1900</v>
      </c>
      <c r="K94" s="1168">
        <f t="shared" ref="K94:S124" si="29">J94-$H94</f>
        <v>1623.2</v>
      </c>
      <c r="L94" s="1168">
        <f t="shared" si="29"/>
        <v>1346.4</v>
      </c>
      <c r="M94" s="1168">
        <f t="shared" si="29"/>
        <v>1069.6000000000001</v>
      </c>
      <c r="N94" s="1168">
        <f t="shared" si="29"/>
        <v>792.80000000000018</v>
      </c>
      <c r="O94" s="1168">
        <f t="shared" si="29"/>
        <v>516.00000000000023</v>
      </c>
      <c r="P94" s="1168">
        <f t="shared" si="29"/>
        <v>239.20000000000022</v>
      </c>
      <c r="Q94" s="1957">
        <v>4000</v>
      </c>
      <c r="R94" s="1168">
        <f t="shared" si="29"/>
        <v>3723.2</v>
      </c>
      <c r="S94" s="1682">
        <f t="shared" si="29"/>
        <v>3446.3999999999996</v>
      </c>
      <c r="T94" s="1847"/>
      <c r="U94" s="1183"/>
      <c r="V94" s="1273"/>
      <c r="W94" s="1183"/>
      <c r="X94" s="1273"/>
      <c r="Y94" s="1902"/>
      <c r="Z94" s="1095"/>
      <c r="AA94" s="1177"/>
      <c r="AB94" s="1177"/>
      <c r="AC94" s="1096"/>
      <c r="AD94" s="1097"/>
      <c r="AE94" s="1215"/>
      <c r="AF94" s="1187"/>
      <c r="AG94" s="1183"/>
      <c r="AH94" s="1183"/>
      <c r="AI94" s="1183"/>
      <c r="AJ94" s="1744"/>
      <c r="AK94" s="1745"/>
      <c r="AL94" s="1746"/>
      <c r="AM94" s="1747"/>
      <c r="AN94" s="1747"/>
      <c r="AO94" s="1187"/>
      <c r="AP94" s="1273"/>
      <c r="AQ94" s="1748"/>
      <c r="AR94" s="1746"/>
      <c r="AS94" s="1187"/>
      <c r="AT94" s="1183"/>
      <c r="AU94" s="1183"/>
      <c r="AV94" s="1744"/>
      <c r="AW94" s="1214"/>
      <c r="AX94" s="1746"/>
      <c r="AY94" s="1747"/>
      <c r="AZ94" s="1747"/>
      <c r="BA94" s="1187"/>
      <c r="BB94" s="1273"/>
      <c r="BC94" s="1745"/>
      <c r="BD94" s="1746">
        <v>4000</v>
      </c>
      <c r="BE94" s="1183"/>
      <c r="BF94" s="1183"/>
      <c r="BG94" s="1183"/>
      <c r="BH94" s="1273"/>
      <c r="BI94" s="1748"/>
      <c r="BJ94" s="1746"/>
      <c r="BK94" s="1183"/>
      <c r="BL94" s="1183"/>
      <c r="BM94" s="1744"/>
      <c r="BN94" s="1744"/>
      <c r="BO94" s="1745"/>
      <c r="BP94" s="1749"/>
      <c r="BQ94" s="1750"/>
      <c r="BR94" s="1751">
        <f t="shared" ref="BR94:BR136" si="30">(J94+BP94)-BQ94</f>
        <v>1900</v>
      </c>
      <c r="BT94" s="1192">
        <f t="shared" ref="BT94:BT136" si="31">SUM(Z94:BO94)</f>
        <v>4000</v>
      </c>
    </row>
    <row r="95" spans="1:72" ht="15.6" x14ac:dyDescent="0.3">
      <c r="A95" s="129"/>
      <c r="B95" s="360"/>
      <c r="C95" s="361" t="s">
        <v>178</v>
      </c>
      <c r="D95" s="362" t="s">
        <v>22</v>
      </c>
      <c r="E95" s="363">
        <v>1.6</v>
      </c>
      <c r="F95" s="364"/>
      <c r="G95" s="362"/>
      <c r="H95" s="840">
        <f t="shared" si="28"/>
        <v>0</v>
      </c>
      <c r="I95" s="375"/>
      <c r="J95" s="362"/>
      <c r="K95" s="1560">
        <f t="shared" si="29"/>
        <v>0</v>
      </c>
      <c r="L95" s="1273">
        <f t="shared" si="29"/>
        <v>0</v>
      </c>
      <c r="M95" s="1274">
        <f t="shared" si="29"/>
        <v>0</v>
      </c>
      <c r="N95" s="1273">
        <f t="shared" si="29"/>
        <v>0</v>
      </c>
      <c r="O95" s="1274">
        <f t="shared" si="29"/>
        <v>0</v>
      </c>
      <c r="P95" s="1273">
        <f t="shared" si="29"/>
        <v>0</v>
      </c>
      <c r="Q95" s="1274">
        <f t="shared" si="29"/>
        <v>0</v>
      </c>
      <c r="R95" s="1273">
        <f t="shared" si="29"/>
        <v>0</v>
      </c>
      <c r="S95" s="1565">
        <f>(R95-$H95)+BG95</f>
        <v>0</v>
      </c>
      <c r="T95" s="1847"/>
      <c r="U95" s="1183"/>
      <c r="V95" s="1273"/>
      <c r="W95" s="1183"/>
      <c r="X95" s="1273"/>
      <c r="Y95" s="1902"/>
      <c r="Z95" s="1095"/>
      <c r="AA95" s="1176"/>
      <c r="AB95" s="1176"/>
      <c r="AC95" s="1095"/>
      <c r="AD95" s="1287"/>
      <c r="AE95" s="1215"/>
      <c r="AF95" s="1095"/>
      <c r="AG95" s="1095"/>
      <c r="AH95" s="1095"/>
      <c r="AI95" s="1095"/>
      <c r="AJ95" s="1287"/>
      <c r="AK95" s="1745"/>
      <c r="AL95" s="1216"/>
      <c r="AM95" s="1095"/>
      <c r="AN95" s="1095"/>
      <c r="AO95" s="1095"/>
      <c r="AP95" s="1287"/>
      <c r="AQ95" s="1748"/>
      <c r="AR95" s="1216"/>
      <c r="AS95" s="1095"/>
      <c r="AT95" s="1096"/>
      <c r="AU95" s="1096"/>
      <c r="AV95" s="1097"/>
      <c r="AW95" s="1214"/>
      <c r="AX95" s="1216"/>
      <c r="AY95" s="1095"/>
      <c r="AZ95" s="1095"/>
      <c r="BA95" s="1095"/>
      <c r="BB95" s="1287"/>
      <c r="BC95" s="1745"/>
      <c r="BD95" s="1216"/>
      <c r="BE95" s="1096"/>
      <c r="BF95" s="1096"/>
      <c r="BG95" s="1096"/>
      <c r="BH95" s="1287"/>
      <c r="BI95" s="1748"/>
      <c r="BJ95" s="1216"/>
      <c r="BK95" s="1096"/>
      <c r="BL95" s="1096"/>
      <c r="BM95" s="1097"/>
      <c r="BN95" s="1097"/>
      <c r="BO95" s="1745"/>
      <c r="BP95" s="1752"/>
      <c r="BQ95" s="1753"/>
      <c r="BR95" s="1754">
        <f t="shared" si="30"/>
        <v>0</v>
      </c>
      <c r="BS95" s="1"/>
      <c r="BT95" s="1192">
        <f t="shared" si="31"/>
        <v>0</v>
      </c>
    </row>
    <row r="96" spans="1:72" ht="16.2" thickBot="1" x14ac:dyDescent="0.35">
      <c r="A96" s="380"/>
      <c r="B96" s="381"/>
      <c r="C96" s="382" t="s">
        <v>179</v>
      </c>
      <c r="D96" s="362" t="s">
        <v>22</v>
      </c>
      <c r="E96" s="383">
        <v>1.6</v>
      </c>
      <c r="F96" s="384"/>
      <c r="G96" s="385"/>
      <c r="H96" s="840">
        <f t="shared" si="28"/>
        <v>0</v>
      </c>
      <c r="I96" s="406"/>
      <c r="J96" s="385"/>
      <c r="K96" s="1588">
        <f t="shared" si="29"/>
        <v>0</v>
      </c>
      <c r="L96" s="1590">
        <f t="shared" si="29"/>
        <v>0</v>
      </c>
      <c r="M96" s="1589">
        <f t="shared" si="29"/>
        <v>0</v>
      </c>
      <c r="N96" s="1590">
        <f t="shared" si="29"/>
        <v>0</v>
      </c>
      <c r="O96" s="1589">
        <f t="shared" si="29"/>
        <v>0</v>
      </c>
      <c r="P96" s="1590">
        <f t="shared" si="29"/>
        <v>0</v>
      </c>
      <c r="Q96" s="1589">
        <f t="shared" si="29"/>
        <v>0</v>
      </c>
      <c r="R96" s="1590">
        <f t="shared" si="29"/>
        <v>0</v>
      </c>
      <c r="S96" s="1596">
        <f>(R96-$H96)+BG96</f>
        <v>0</v>
      </c>
      <c r="T96" s="1848"/>
      <c r="U96" s="1885"/>
      <c r="V96" s="1222"/>
      <c r="W96" s="1885"/>
      <c r="X96" s="1222"/>
      <c r="Y96" s="1923"/>
      <c r="Z96" s="1451"/>
      <c r="AA96" s="1356"/>
      <c r="AB96" s="1356"/>
      <c r="AC96" s="1451"/>
      <c r="AD96" s="1224"/>
      <c r="AE96" s="1755"/>
      <c r="AF96" s="1451"/>
      <c r="AG96" s="1451"/>
      <c r="AH96" s="1451"/>
      <c r="AI96" s="1451"/>
      <c r="AJ96" s="1224"/>
      <c r="AK96" s="1756"/>
      <c r="AL96" s="1361"/>
      <c r="AM96" s="1451"/>
      <c r="AN96" s="1451"/>
      <c r="AO96" s="1451"/>
      <c r="AP96" s="1224"/>
      <c r="AQ96" s="1757"/>
      <c r="AR96" s="1361"/>
      <c r="AS96" s="1451"/>
      <c r="AT96" s="1362"/>
      <c r="AU96" s="1362"/>
      <c r="AV96" s="1369"/>
      <c r="AW96" s="1758"/>
      <c r="AX96" s="1361"/>
      <c r="AY96" s="1451"/>
      <c r="AZ96" s="1451"/>
      <c r="BA96" s="1451"/>
      <c r="BB96" s="1224"/>
      <c r="BC96" s="1756"/>
      <c r="BD96" s="1361"/>
      <c r="BE96" s="1362"/>
      <c r="BF96" s="1362"/>
      <c r="BG96" s="1362"/>
      <c r="BH96" s="1224"/>
      <c r="BI96" s="1757"/>
      <c r="BJ96" s="1361"/>
      <c r="BK96" s="1362"/>
      <c r="BL96" s="1362"/>
      <c r="BM96" s="1369"/>
      <c r="BN96" s="1369"/>
      <c r="BO96" s="1756"/>
      <c r="BP96" s="1365"/>
      <c r="BQ96" s="1357"/>
      <c r="BR96" s="1759">
        <f t="shared" si="30"/>
        <v>0</v>
      </c>
      <c r="BS96" s="1"/>
      <c r="BT96" s="1192">
        <f t="shared" si="31"/>
        <v>0</v>
      </c>
    </row>
    <row r="97" spans="1:72" ht="18.75" customHeight="1" x14ac:dyDescent="0.3">
      <c r="A97" s="19">
        <v>2607</v>
      </c>
      <c r="B97" s="390" t="s">
        <v>361</v>
      </c>
      <c r="C97" s="391" t="s">
        <v>180</v>
      </c>
      <c r="D97" s="392" t="s">
        <v>22</v>
      </c>
      <c r="E97" s="393">
        <v>1.7</v>
      </c>
      <c r="F97" s="364">
        <f>(BR97/G97)/7</f>
        <v>3.6818851251840945</v>
      </c>
      <c r="G97" s="392">
        <v>194</v>
      </c>
      <c r="H97" s="841">
        <f t="shared" si="28"/>
        <v>329.8</v>
      </c>
      <c r="I97" s="362">
        <v>5800</v>
      </c>
      <c r="J97" s="392">
        <v>5000</v>
      </c>
      <c r="K97" s="1560">
        <f t="shared" si="29"/>
        <v>4670.2</v>
      </c>
      <c r="L97" s="1274">
        <f t="shared" si="29"/>
        <v>4340.3999999999996</v>
      </c>
      <c r="M97" s="1274">
        <f t="shared" si="29"/>
        <v>4010.5999999999995</v>
      </c>
      <c r="N97" s="1274">
        <f t="shared" si="29"/>
        <v>3680.7999999999993</v>
      </c>
      <c r="O97" s="1274">
        <f t="shared" si="29"/>
        <v>3350.9999999999991</v>
      </c>
      <c r="P97" s="1274">
        <f t="shared" si="29"/>
        <v>3021.1999999999989</v>
      </c>
      <c r="Q97" s="1274">
        <f t="shared" si="29"/>
        <v>2691.3999999999987</v>
      </c>
      <c r="R97" s="1274">
        <f t="shared" si="29"/>
        <v>2361.5999999999985</v>
      </c>
      <c r="S97" s="1565">
        <f t="shared" si="29"/>
        <v>2031.7999999999986</v>
      </c>
      <c r="T97" s="1847"/>
      <c r="U97" s="1183"/>
      <c r="V97" s="1273"/>
      <c r="W97" s="1183"/>
      <c r="X97" s="1273"/>
      <c r="Y97" s="1902"/>
      <c r="Z97" s="1760"/>
      <c r="AA97" s="1760"/>
      <c r="AB97" s="1760"/>
      <c r="AC97" s="1760"/>
      <c r="AD97" s="1244"/>
      <c r="AE97" s="1761"/>
      <c r="AF97" s="1760"/>
      <c r="AG97" s="1760"/>
      <c r="AH97" s="1760"/>
      <c r="AI97" s="1760"/>
      <c r="AJ97" s="1244"/>
      <c r="AK97" s="1762"/>
      <c r="AL97" s="1382"/>
      <c r="AM97" s="1760"/>
      <c r="AN97" s="1760"/>
      <c r="AO97" s="1760"/>
      <c r="AP97" s="1244"/>
      <c r="AQ97" s="1763"/>
      <c r="AR97" s="1382"/>
      <c r="AS97" s="1760"/>
      <c r="AT97" s="1376"/>
      <c r="AU97" s="1376"/>
      <c r="AV97" s="1386"/>
      <c r="AW97" s="1764"/>
      <c r="AX97" s="1382"/>
      <c r="AY97" s="1760"/>
      <c r="AZ97" s="1760"/>
      <c r="BA97" s="1760"/>
      <c r="BB97" s="1244"/>
      <c r="BC97" s="1762"/>
      <c r="BD97" s="1382"/>
      <c r="BE97" s="1376"/>
      <c r="BF97" s="1376"/>
      <c r="BG97" s="1376"/>
      <c r="BH97" s="1244"/>
      <c r="BI97" s="1763"/>
      <c r="BJ97" s="1382"/>
      <c r="BK97" s="1376"/>
      <c r="BL97" s="1376"/>
      <c r="BM97" s="1386"/>
      <c r="BN97" s="1386"/>
      <c r="BO97" s="1762"/>
      <c r="BP97" s="1765"/>
      <c r="BQ97" s="1766"/>
      <c r="BR97" s="1767">
        <f t="shared" si="30"/>
        <v>5000</v>
      </c>
      <c r="BS97" s="1"/>
      <c r="BT97" s="1192">
        <f t="shared" si="31"/>
        <v>0</v>
      </c>
    </row>
    <row r="98" spans="1:72" ht="18.75" customHeight="1" x14ac:dyDescent="0.3">
      <c r="A98" s="165"/>
      <c r="B98" s="377"/>
      <c r="C98" s="398" t="s">
        <v>181</v>
      </c>
      <c r="D98" s="375" t="s">
        <v>22</v>
      </c>
      <c r="E98" s="399">
        <v>1.7</v>
      </c>
      <c r="F98" s="400"/>
      <c r="G98" s="362"/>
      <c r="H98" s="842">
        <f t="shared" si="28"/>
        <v>0</v>
      </c>
      <c r="I98" s="375"/>
      <c r="J98" s="362"/>
      <c r="K98" s="1560">
        <f t="shared" si="29"/>
        <v>0</v>
      </c>
      <c r="L98" s="1273">
        <f t="shared" si="29"/>
        <v>0</v>
      </c>
      <c r="M98" s="1274">
        <f t="shared" si="29"/>
        <v>0</v>
      </c>
      <c r="N98" s="1273">
        <f t="shared" si="29"/>
        <v>0</v>
      </c>
      <c r="O98" s="1274">
        <f t="shared" si="29"/>
        <v>0</v>
      </c>
      <c r="P98" s="1273">
        <f t="shared" si="29"/>
        <v>0</v>
      </c>
      <c r="Q98" s="1274">
        <f t="shared" si="29"/>
        <v>0</v>
      </c>
      <c r="R98" s="1273">
        <f t="shared" si="29"/>
        <v>0</v>
      </c>
      <c r="S98" s="1565">
        <f>(R98-$H98)+BG98</f>
        <v>0</v>
      </c>
      <c r="T98" s="1847"/>
      <c r="U98" s="1183"/>
      <c r="V98" s="1273"/>
      <c r="W98" s="1183"/>
      <c r="X98" s="1273"/>
      <c r="Y98" s="1902"/>
      <c r="Z98" s="1103"/>
      <c r="AA98" s="1103"/>
      <c r="AB98" s="1103"/>
      <c r="AC98" s="1103"/>
      <c r="AD98" s="1195"/>
      <c r="AE98" s="1197"/>
      <c r="AF98" s="1103"/>
      <c r="AG98" s="1103"/>
      <c r="AH98" s="1103"/>
      <c r="AI98" s="1103"/>
      <c r="AJ98" s="1195"/>
      <c r="AK98" s="1768"/>
      <c r="AL98" s="1204"/>
      <c r="AM98" s="1103"/>
      <c r="AN98" s="1103"/>
      <c r="AO98" s="1103"/>
      <c r="AP98" s="1195"/>
      <c r="AQ98" s="1769"/>
      <c r="AR98" s="1204"/>
      <c r="AS98" s="1103"/>
      <c r="AT98" s="1104"/>
      <c r="AU98" s="1104"/>
      <c r="AV98" s="1205"/>
      <c r="AW98" s="1196"/>
      <c r="AX98" s="1204"/>
      <c r="AY98" s="1103"/>
      <c r="AZ98" s="1103"/>
      <c r="BA98" s="1103"/>
      <c r="BB98" s="1195"/>
      <c r="BC98" s="1768"/>
      <c r="BD98" s="1204"/>
      <c r="BE98" s="1104"/>
      <c r="BF98" s="1104"/>
      <c r="BG98" s="1104"/>
      <c r="BH98" s="1195"/>
      <c r="BI98" s="1769"/>
      <c r="BJ98" s="1204"/>
      <c r="BK98" s="1104"/>
      <c r="BL98" s="1104"/>
      <c r="BM98" s="1205"/>
      <c r="BN98" s="1205"/>
      <c r="BO98" s="1768"/>
      <c r="BP98" s="1752"/>
      <c r="BQ98" s="1753"/>
      <c r="BR98" s="1754">
        <f t="shared" si="30"/>
        <v>0</v>
      </c>
      <c r="BS98" s="1"/>
      <c r="BT98" s="1192">
        <f t="shared" si="31"/>
        <v>0</v>
      </c>
    </row>
    <row r="99" spans="1:72" ht="16.2" thickBot="1" x14ac:dyDescent="0.35">
      <c r="A99" s="221"/>
      <c r="B99" s="404" t="s">
        <v>405</v>
      </c>
      <c r="C99" s="405" t="s">
        <v>182</v>
      </c>
      <c r="D99" s="406" t="s">
        <v>22</v>
      </c>
      <c r="E99" s="407">
        <v>1.7</v>
      </c>
      <c r="F99" s="408"/>
      <c r="G99" s="409">
        <v>204</v>
      </c>
      <c r="H99" s="843">
        <f t="shared" si="28"/>
        <v>346.8</v>
      </c>
      <c r="I99" s="406">
        <v>5800</v>
      </c>
      <c r="J99" s="385">
        <v>1800</v>
      </c>
      <c r="K99" s="1437">
        <f t="shared" si="29"/>
        <v>1453.2</v>
      </c>
      <c r="L99" s="1273">
        <f t="shared" si="29"/>
        <v>1106.4000000000001</v>
      </c>
      <c r="M99" s="1959">
        <v>4760</v>
      </c>
      <c r="N99" s="1590">
        <f t="shared" si="29"/>
        <v>4413.2</v>
      </c>
      <c r="O99" s="1589">
        <f t="shared" si="29"/>
        <v>4066.3999999999996</v>
      </c>
      <c r="P99" s="1590">
        <f t="shared" si="29"/>
        <v>3719.5999999999995</v>
      </c>
      <c r="Q99" s="1589">
        <f t="shared" si="29"/>
        <v>3372.7999999999993</v>
      </c>
      <c r="R99" s="1590">
        <f t="shared" si="29"/>
        <v>3025.9999999999991</v>
      </c>
      <c r="S99" s="1596">
        <f>(R99-$H99)+BG99</f>
        <v>2679.1999999999989</v>
      </c>
      <c r="T99" s="1864"/>
      <c r="U99" s="1894"/>
      <c r="V99" s="1590"/>
      <c r="W99" s="1894"/>
      <c r="X99" s="1590"/>
      <c r="Y99" s="1922"/>
      <c r="Z99" s="1770"/>
      <c r="AA99" s="1770"/>
      <c r="AB99" s="1770"/>
      <c r="AC99" s="1770"/>
      <c r="AD99" s="1771"/>
      <c r="AE99" s="1772"/>
      <c r="AF99" s="1770">
        <v>4000</v>
      </c>
      <c r="AG99" s="1770"/>
      <c r="AH99" s="1770"/>
      <c r="AI99" s="1770"/>
      <c r="AJ99" s="1771"/>
      <c r="AK99" s="1773"/>
      <c r="AL99" s="1774"/>
      <c r="AM99" s="1770"/>
      <c r="AN99" s="1770"/>
      <c r="AO99" s="1770"/>
      <c r="AP99" s="1771"/>
      <c r="AQ99" s="1775"/>
      <c r="AR99" s="1774"/>
      <c r="AS99" s="1770"/>
      <c r="AT99" s="1776"/>
      <c r="AU99" s="1776"/>
      <c r="AV99" s="1777"/>
      <c r="AW99" s="1778"/>
      <c r="AX99" s="1774"/>
      <c r="AY99" s="1770"/>
      <c r="AZ99" s="1770"/>
      <c r="BA99" s="1770"/>
      <c r="BB99" s="1771"/>
      <c r="BC99" s="1773"/>
      <c r="BD99" s="1774"/>
      <c r="BE99" s="1776"/>
      <c r="BF99" s="1776"/>
      <c r="BG99" s="1776"/>
      <c r="BH99" s="1771"/>
      <c r="BI99" s="1775"/>
      <c r="BJ99" s="1774"/>
      <c r="BK99" s="1776"/>
      <c r="BL99" s="1776"/>
      <c r="BM99" s="1777"/>
      <c r="BN99" s="1777"/>
      <c r="BO99" s="1773"/>
      <c r="BP99" s="1267"/>
      <c r="BQ99" s="1269"/>
      <c r="BR99" s="1754">
        <f t="shared" si="30"/>
        <v>1800</v>
      </c>
      <c r="BS99" s="1"/>
      <c r="BT99" s="1192">
        <f t="shared" si="31"/>
        <v>4000</v>
      </c>
    </row>
    <row r="100" spans="1:72" ht="22.5" customHeight="1" x14ac:dyDescent="0.3">
      <c r="A100" s="416"/>
      <c r="B100" s="360"/>
      <c r="C100" s="361" t="s">
        <v>184</v>
      </c>
      <c r="D100" s="362" t="s">
        <v>185</v>
      </c>
      <c r="E100" s="363">
        <v>2.2000000000000002</v>
      </c>
      <c r="F100" s="364" t="e">
        <f>(BR100/G100)/7</f>
        <v>#DIV/0!</v>
      </c>
      <c r="G100" s="362"/>
      <c r="H100" s="840">
        <f t="shared" si="28"/>
        <v>0</v>
      </c>
      <c r="I100" s="362"/>
      <c r="J100" s="392"/>
      <c r="K100" s="1243">
        <f t="shared" si="29"/>
        <v>0</v>
      </c>
      <c r="L100" s="1243">
        <f t="shared" si="29"/>
        <v>0</v>
      </c>
      <c r="M100" s="1243">
        <f t="shared" si="29"/>
        <v>0</v>
      </c>
      <c r="N100" s="1243">
        <f t="shared" si="29"/>
        <v>0</v>
      </c>
      <c r="O100" s="1243">
        <f t="shared" si="29"/>
        <v>0</v>
      </c>
      <c r="P100" s="1243">
        <f t="shared" si="29"/>
        <v>0</v>
      </c>
      <c r="Q100" s="1243">
        <f t="shared" si="29"/>
        <v>0</v>
      </c>
      <c r="R100" s="1243">
        <f t="shared" si="29"/>
        <v>0</v>
      </c>
      <c r="S100" s="1579">
        <f t="shared" si="29"/>
        <v>0</v>
      </c>
      <c r="T100" s="1847"/>
      <c r="U100" s="1183"/>
      <c r="V100" s="1273"/>
      <c r="W100" s="1183"/>
      <c r="X100" s="1273"/>
      <c r="Y100" s="1902"/>
      <c r="Z100" s="1176"/>
      <c r="AA100" s="1096"/>
      <c r="AB100" s="1177"/>
      <c r="AC100" s="1096"/>
      <c r="AD100" s="1097"/>
      <c r="AE100" s="1215"/>
      <c r="AF100" s="1095"/>
      <c r="AG100" s="1096"/>
      <c r="AH100" s="1096"/>
      <c r="AI100" s="1096"/>
      <c r="AJ100" s="1097"/>
      <c r="AK100" s="1745"/>
      <c r="AL100" s="1216"/>
      <c r="AM100" s="1095"/>
      <c r="AN100" s="1095"/>
      <c r="AO100" s="1095"/>
      <c r="AP100" s="1287"/>
      <c r="AQ100" s="1748"/>
      <c r="AR100" s="1216"/>
      <c r="AS100" s="1095"/>
      <c r="AT100" s="1096"/>
      <c r="AU100" s="1096"/>
      <c r="AV100" s="1097"/>
      <c r="AW100" s="1214"/>
      <c r="AX100" s="1216"/>
      <c r="AY100" s="1095"/>
      <c r="AZ100" s="1095"/>
      <c r="BA100" s="1095"/>
      <c r="BB100" s="1287"/>
      <c r="BC100" s="1745"/>
      <c r="BD100" s="1216"/>
      <c r="BE100" s="1096"/>
      <c r="BF100" s="1096"/>
      <c r="BG100" s="1096"/>
      <c r="BH100" s="1287"/>
      <c r="BI100" s="1748"/>
      <c r="BJ100" s="1216"/>
      <c r="BK100" s="1096"/>
      <c r="BL100" s="1096"/>
      <c r="BM100" s="1097"/>
      <c r="BN100" s="1097"/>
      <c r="BO100" s="1745"/>
      <c r="BP100" s="1365"/>
      <c r="BQ100" s="1357"/>
      <c r="BR100" s="1767">
        <f t="shared" si="30"/>
        <v>0</v>
      </c>
      <c r="BS100" s="1"/>
      <c r="BT100" s="1192">
        <f t="shared" si="31"/>
        <v>0</v>
      </c>
    </row>
    <row r="101" spans="1:72" ht="15.6" x14ac:dyDescent="0.3">
      <c r="A101" s="418"/>
      <c r="B101" s="360"/>
      <c r="C101" s="398" t="s">
        <v>186</v>
      </c>
      <c r="D101" s="375" t="s">
        <v>185</v>
      </c>
      <c r="E101" s="399">
        <v>2.2000000000000002</v>
      </c>
      <c r="F101" s="400"/>
      <c r="G101" s="362"/>
      <c r="H101" s="842">
        <f t="shared" si="28"/>
        <v>0</v>
      </c>
      <c r="I101" s="375"/>
      <c r="J101" s="362"/>
      <c r="K101" s="1437">
        <f t="shared" si="29"/>
        <v>0</v>
      </c>
      <c r="L101" s="1273">
        <f t="shared" si="29"/>
        <v>0</v>
      </c>
      <c r="M101" s="1194">
        <f t="shared" si="29"/>
        <v>0</v>
      </c>
      <c r="N101" s="1273">
        <f t="shared" si="29"/>
        <v>0</v>
      </c>
      <c r="O101" s="1274">
        <f t="shared" si="29"/>
        <v>0</v>
      </c>
      <c r="P101" s="1273">
        <f t="shared" si="29"/>
        <v>0</v>
      </c>
      <c r="Q101" s="1194">
        <f t="shared" si="29"/>
        <v>0</v>
      </c>
      <c r="R101" s="1273">
        <f t="shared" si="29"/>
        <v>0</v>
      </c>
      <c r="S101" s="1565">
        <f t="shared" ref="S101" si="32">R101-P101</f>
        <v>0</v>
      </c>
      <c r="T101" s="1847"/>
      <c r="U101" s="1183"/>
      <c r="V101" s="1273"/>
      <c r="W101" s="1183"/>
      <c r="X101" s="1273"/>
      <c r="Y101" s="1902"/>
      <c r="Z101" s="1198"/>
      <c r="AA101" s="1104"/>
      <c r="AB101" s="1199"/>
      <c r="AC101" s="1104"/>
      <c r="AD101" s="1205"/>
      <c r="AE101" s="1197"/>
      <c r="AF101" s="1103"/>
      <c r="AG101" s="1104"/>
      <c r="AH101" s="1104"/>
      <c r="AI101" s="1104"/>
      <c r="AJ101" s="1205"/>
      <c r="AK101" s="1768"/>
      <c r="AL101" s="1204"/>
      <c r="AM101" s="1103"/>
      <c r="AN101" s="1103"/>
      <c r="AO101" s="1103"/>
      <c r="AP101" s="1195"/>
      <c r="AQ101" s="1769"/>
      <c r="AR101" s="1204"/>
      <c r="AS101" s="1103"/>
      <c r="AT101" s="1104"/>
      <c r="AU101" s="1104"/>
      <c r="AV101" s="1205"/>
      <c r="AW101" s="1196"/>
      <c r="AX101" s="1204"/>
      <c r="AY101" s="1103"/>
      <c r="AZ101" s="1103"/>
      <c r="BA101" s="1103"/>
      <c r="BB101" s="1195"/>
      <c r="BC101" s="1768"/>
      <c r="BD101" s="1204"/>
      <c r="BE101" s="1104"/>
      <c r="BF101" s="1104"/>
      <c r="BG101" s="1104"/>
      <c r="BH101" s="1195"/>
      <c r="BI101" s="1769"/>
      <c r="BJ101" s="1204"/>
      <c r="BK101" s="1104"/>
      <c r="BL101" s="1104"/>
      <c r="BM101" s="1205"/>
      <c r="BN101" s="1205"/>
      <c r="BO101" s="1768"/>
      <c r="BP101" s="1365"/>
      <c r="BQ101" s="1357"/>
      <c r="BR101" s="1754">
        <f t="shared" si="30"/>
        <v>0</v>
      </c>
      <c r="BS101" s="1"/>
      <c r="BT101" s="1192">
        <f t="shared" si="31"/>
        <v>0</v>
      </c>
    </row>
    <row r="102" spans="1:72" ht="16.2" thickBot="1" x14ac:dyDescent="0.35">
      <c r="A102" s="420"/>
      <c r="B102" s="421"/>
      <c r="C102" s="405" t="s">
        <v>187</v>
      </c>
      <c r="D102" s="406" t="s">
        <v>185</v>
      </c>
      <c r="E102" s="407">
        <v>2.2000000000000002</v>
      </c>
      <c r="F102" s="408"/>
      <c r="G102" s="409"/>
      <c r="H102" s="843">
        <f t="shared" si="28"/>
        <v>0</v>
      </c>
      <c r="I102" s="406"/>
      <c r="J102" s="406"/>
      <c r="K102" s="1588">
        <f t="shared" si="29"/>
        <v>0</v>
      </c>
      <c r="L102" s="1222">
        <f t="shared" si="29"/>
        <v>0</v>
      </c>
      <c r="M102" s="1589">
        <f t="shared" si="29"/>
        <v>0</v>
      </c>
      <c r="N102" s="1257">
        <f t="shared" si="29"/>
        <v>0</v>
      </c>
      <c r="O102" s="1258">
        <f t="shared" si="29"/>
        <v>0</v>
      </c>
      <c r="P102" s="1257">
        <f t="shared" si="29"/>
        <v>0</v>
      </c>
      <c r="Q102" s="1258">
        <f t="shared" si="29"/>
        <v>0</v>
      </c>
      <c r="R102" s="1590">
        <f t="shared" si="29"/>
        <v>0</v>
      </c>
      <c r="S102" s="1596">
        <f>(R102-$H102)+BI102</f>
        <v>0</v>
      </c>
      <c r="T102" s="1864"/>
      <c r="U102" s="1894"/>
      <c r="V102" s="1590"/>
      <c r="W102" s="1894"/>
      <c r="X102" s="1590"/>
      <c r="Y102" s="1922"/>
      <c r="Z102" s="1838"/>
      <c r="AA102" s="1776"/>
      <c r="AB102" s="1779"/>
      <c r="AC102" s="1776"/>
      <c r="AD102" s="1777"/>
      <c r="AE102" s="1772"/>
      <c r="AF102" s="1770"/>
      <c r="AG102" s="1776"/>
      <c r="AH102" s="1776"/>
      <c r="AI102" s="1776"/>
      <c r="AJ102" s="1777"/>
      <c r="AK102" s="1773"/>
      <c r="AL102" s="1774"/>
      <c r="AM102" s="1770"/>
      <c r="AN102" s="1770"/>
      <c r="AO102" s="1770"/>
      <c r="AP102" s="1771"/>
      <c r="AQ102" s="1775"/>
      <c r="AR102" s="1774"/>
      <c r="AS102" s="1770"/>
      <c r="AT102" s="1776"/>
      <c r="AU102" s="1776"/>
      <c r="AV102" s="1777"/>
      <c r="AW102" s="1778"/>
      <c r="AX102" s="1774"/>
      <c r="AY102" s="1770"/>
      <c r="AZ102" s="1770"/>
      <c r="BA102" s="1770"/>
      <c r="BB102" s="1771"/>
      <c r="BC102" s="1773"/>
      <c r="BD102" s="1774"/>
      <c r="BE102" s="1776"/>
      <c r="BF102" s="1776"/>
      <c r="BG102" s="1776"/>
      <c r="BH102" s="1771"/>
      <c r="BI102" s="1775"/>
      <c r="BJ102" s="1774"/>
      <c r="BK102" s="1776"/>
      <c r="BL102" s="1776"/>
      <c r="BM102" s="1777"/>
      <c r="BN102" s="1777"/>
      <c r="BO102" s="1773"/>
      <c r="BP102" s="1267"/>
      <c r="BQ102" s="1269"/>
      <c r="BR102" s="1754">
        <f t="shared" si="30"/>
        <v>0</v>
      </c>
      <c r="BS102" s="1"/>
      <c r="BT102" s="1192">
        <f t="shared" si="31"/>
        <v>0</v>
      </c>
    </row>
    <row r="103" spans="1:72" ht="15.6" x14ac:dyDescent="0.3">
      <c r="A103" s="159">
        <v>2605</v>
      </c>
      <c r="B103" s="360" t="s">
        <v>408</v>
      </c>
      <c r="C103" s="361" t="s">
        <v>188</v>
      </c>
      <c r="D103" s="362" t="s">
        <v>185</v>
      </c>
      <c r="E103" s="363">
        <v>2.2999999999999998</v>
      </c>
      <c r="F103" s="364">
        <f>(BR103/G103)/7</f>
        <v>0.68681318681318682</v>
      </c>
      <c r="G103" s="362">
        <v>208</v>
      </c>
      <c r="H103" s="840">
        <f t="shared" si="28"/>
        <v>478.4</v>
      </c>
      <c r="I103" s="362">
        <v>5800</v>
      </c>
      <c r="J103" s="826">
        <v>1000</v>
      </c>
      <c r="K103" s="1780">
        <f t="shared" si="29"/>
        <v>521.6</v>
      </c>
      <c r="L103" s="1780">
        <f t="shared" si="29"/>
        <v>43.200000000000045</v>
      </c>
      <c r="M103" s="1961">
        <v>4000</v>
      </c>
      <c r="N103" s="1780">
        <f t="shared" si="29"/>
        <v>3521.6</v>
      </c>
      <c r="O103" s="1780">
        <f t="shared" si="29"/>
        <v>3043.2</v>
      </c>
      <c r="P103" s="1780">
        <f t="shared" si="29"/>
        <v>2564.7999999999997</v>
      </c>
      <c r="Q103" s="1780">
        <f t="shared" si="29"/>
        <v>2086.3999999999996</v>
      </c>
      <c r="R103" s="1243">
        <f t="shared" si="29"/>
        <v>1607.9999999999995</v>
      </c>
      <c r="S103" s="1579">
        <f t="shared" si="29"/>
        <v>1129.5999999999995</v>
      </c>
      <c r="T103" s="1847"/>
      <c r="U103" s="1183"/>
      <c r="V103" s="1273"/>
      <c r="W103" s="1183"/>
      <c r="X103" s="1273"/>
      <c r="Y103" s="1902"/>
      <c r="Z103" s="1176"/>
      <c r="AA103" s="1096"/>
      <c r="AB103" s="1177"/>
      <c r="AC103" s="1096"/>
      <c r="AD103" s="1097"/>
      <c r="AE103" s="1215"/>
      <c r="AF103" s="1095"/>
      <c r="AG103" s="1096">
        <v>4000</v>
      </c>
      <c r="AH103" s="1096"/>
      <c r="AI103" s="1096"/>
      <c r="AJ103" s="1097"/>
      <c r="AK103" s="1745"/>
      <c r="AL103" s="1216"/>
      <c r="AM103" s="1095"/>
      <c r="AN103" s="1095"/>
      <c r="AO103" s="1095"/>
      <c r="AP103" s="1287"/>
      <c r="AQ103" s="1748"/>
      <c r="AR103" s="1216"/>
      <c r="AS103" s="1095"/>
      <c r="AT103" s="1096"/>
      <c r="AU103" s="1096"/>
      <c r="AV103" s="1097"/>
      <c r="AW103" s="1214"/>
      <c r="AX103" s="1216"/>
      <c r="AY103" s="1095"/>
      <c r="AZ103" s="1095"/>
      <c r="BA103" s="1095"/>
      <c r="BB103" s="1287"/>
      <c r="BC103" s="1745"/>
      <c r="BD103" s="1216"/>
      <c r="BE103" s="1096"/>
      <c r="BF103" s="1096"/>
      <c r="BG103" s="1096"/>
      <c r="BH103" s="1287"/>
      <c r="BI103" s="1748"/>
      <c r="BJ103" s="1216"/>
      <c r="BK103" s="1096"/>
      <c r="BL103" s="1096"/>
      <c r="BM103" s="1097"/>
      <c r="BN103" s="1097"/>
      <c r="BO103" s="1745"/>
      <c r="BP103" s="1765"/>
      <c r="BQ103" s="1357"/>
      <c r="BR103" s="1767">
        <f t="shared" si="30"/>
        <v>1000</v>
      </c>
      <c r="BS103" s="1"/>
      <c r="BT103" s="1192">
        <f t="shared" si="31"/>
        <v>4000</v>
      </c>
    </row>
    <row r="104" spans="1:72" ht="15.6" x14ac:dyDescent="0.3">
      <c r="A104" s="150"/>
      <c r="B104" s="594"/>
      <c r="C104" s="398" t="s">
        <v>189</v>
      </c>
      <c r="D104" s="375" t="s">
        <v>185</v>
      </c>
      <c r="E104" s="399">
        <v>2.2999999999999998</v>
      </c>
      <c r="F104" s="400"/>
      <c r="G104" s="362"/>
      <c r="H104" s="842">
        <f t="shared" si="28"/>
        <v>0</v>
      </c>
      <c r="I104" s="375"/>
      <c r="J104" s="362"/>
      <c r="K104" s="1395">
        <f t="shared" si="29"/>
        <v>0</v>
      </c>
      <c r="L104" s="1193">
        <f t="shared" si="29"/>
        <v>0</v>
      </c>
      <c r="M104" s="1274">
        <f t="shared" si="29"/>
        <v>0</v>
      </c>
      <c r="N104" s="1273">
        <f t="shared" si="29"/>
        <v>0</v>
      </c>
      <c r="O104" s="1274">
        <f t="shared" si="29"/>
        <v>0</v>
      </c>
      <c r="P104" s="1273">
        <f t="shared" si="29"/>
        <v>0</v>
      </c>
      <c r="Q104" s="1274">
        <f t="shared" si="29"/>
        <v>0</v>
      </c>
      <c r="R104" s="1273">
        <f t="shared" si="29"/>
        <v>0</v>
      </c>
      <c r="S104" s="1565">
        <f>(R104-$H104)+BI104</f>
        <v>0</v>
      </c>
      <c r="T104" s="1847"/>
      <c r="U104" s="1183"/>
      <c r="V104" s="1273"/>
      <c r="W104" s="1183"/>
      <c r="X104" s="1273"/>
      <c r="Y104" s="1902"/>
      <c r="Z104" s="1198"/>
      <c r="AA104" s="1104"/>
      <c r="AB104" s="1199"/>
      <c r="AC104" s="1104"/>
      <c r="AD104" s="1205"/>
      <c r="AE104" s="1197"/>
      <c r="AF104" s="1103"/>
      <c r="AG104" s="1104"/>
      <c r="AH104" s="1104"/>
      <c r="AI104" s="1104"/>
      <c r="AJ104" s="1205"/>
      <c r="AK104" s="1768"/>
      <c r="AL104" s="1204"/>
      <c r="AM104" s="1103"/>
      <c r="AN104" s="1103"/>
      <c r="AO104" s="1103"/>
      <c r="AP104" s="1195"/>
      <c r="AQ104" s="1769"/>
      <c r="AR104" s="1204"/>
      <c r="AS104" s="1103"/>
      <c r="AT104" s="1104"/>
      <c r="AU104" s="1104"/>
      <c r="AV104" s="1205"/>
      <c r="AW104" s="1196"/>
      <c r="AX104" s="1204"/>
      <c r="AY104" s="1103"/>
      <c r="AZ104" s="1103"/>
      <c r="BA104" s="1103"/>
      <c r="BB104" s="1195"/>
      <c r="BC104" s="1768"/>
      <c r="BD104" s="1204"/>
      <c r="BE104" s="1104"/>
      <c r="BF104" s="1104"/>
      <c r="BG104" s="1104"/>
      <c r="BH104" s="1195"/>
      <c r="BI104" s="1769"/>
      <c r="BJ104" s="1204"/>
      <c r="BK104" s="1104"/>
      <c r="BL104" s="1104"/>
      <c r="BM104" s="1205"/>
      <c r="BN104" s="1205"/>
      <c r="BO104" s="1768"/>
      <c r="BP104" s="1752"/>
      <c r="BQ104" s="1357"/>
      <c r="BR104" s="1754">
        <f t="shared" si="30"/>
        <v>0</v>
      </c>
      <c r="BS104" s="1"/>
      <c r="BT104" s="1192">
        <f t="shared" si="31"/>
        <v>0</v>
      </c>
    </row>
    <row r="105" spans="1:72" ht="16.2" thickBot="1" x14ac:dyDescent="0.35">
      <c r="A105" s="169"/>
      <c r="B105" s="421"/>
      <c r="C105" s="405" t="s">
        <v>190</v>
      </c>
      <c r="D105" s="406" t="s">
        <v>185</v>
      </c>
      <c r="E105" s="407">
        <v>2.2999999999999998</v>
      </c>
      <c r="F105" s="424"/>
      <c r="G105" s="409"/>
      <c r="H105" s="843">
        <f t="shared" si="28"/>
        <v>0</v>
      </c>
      <c r="I105" s="406"/>
      <c r="J105" s="385"/>
      <c r="K105" s="1560">
        <f t="shared" si="29"/>
        <v>0</v>
      </c>
      <c r="L105" s="1273">
        <f t="shared" si="29"/>
        <v>0</v>
      </c>
      <c r="M105" s="1274">
        <f t="shared" si="29"/>
        <v>0</v>
      </c>
      <c r="N105" s="1273">
        <f t="shared" si="29"/>
        <v>0</v>
      </c>
      <c r="O105" s="1274">
        <f t="shared" si="29"/>
        <v>0</v>
      </c>
      <c r="P105" s="1273">
        <f t="shared" si="29"/>
        <v>0</v>
      </c>
      <c r="Q105" s="1274">
        <f t="shared" si="29"/>
        <v>0</v>
      </c>
      <c r="R105" s="1590">
        <f t="shared" si="29"/>
        <v>0</v>
      </c>
      <c r="S105" s="1596">
        <f>(R105-$H105)+BI105</f>
        <v>0</v>
      </c>
      <c r="T105" s="1864"/>
      <c r="U105" s="1894"/>
      <c r="V105" s="1590"/>
      <c r="W105" s="1894"/>
      <c r="X105" s="1590"/>
      <c r="Y105" s="1922"/>
      <c r="Z105" s="1838"/>
      <c r="AA105" s="1776"/>
      <c r="AB105" s="1779"/>
      <c r="AC105" s="1776"/>
      <c r="AD105" s="1777"/>
      <c r="AE105" s="1772"/>
      <c r="AF105" s="1770"/>
      <c r="AG105" s="1776"/>
      <c r="AH105" s="1776"/>
      <c r="AI105" s="1776"/>
      <c r="AJ105" s="1777"/>
      <c r="AK105" s="1773"/>
      <c r="AL105" s="1774"/>
      <c r="AM105" s="1770"/>
      <c r="AN105" s="1770"/>
      <c r="AO105" s="1770"/>
      <c r="AP105" s="1771"/>
      <c r="AQ105" s="1775"/>
      <c r="AR105" s="1774"/>
      <c r="AS105" s="1770"/>
      <c r="AT105" s="1776"/>
      <c r="AU105" s="1776"/>
      <c r="AV105" s="1777"/>
      <c r="AW105" s="1778"/>
      <c r="AX105" s="1774"/>
      <c r="AY105" s="1770"/>
      <c r="AZ105" s="1770"/>
      <c r="BA105" s="1770"/>
      <c r="BB105" s="1771"/>
      <c r="BC105" s="1773"/>
      <c r="BD105" s="1774"/>
      <c r="BE105" s="1776"/>
      <c r="BF105" s="1776"/>
      <c r="BG105" s="1776"/>
      <c r="BH105" s="1771"/>
      <c r="BI105" s="1775"/>
      <c r="BJ105" s="1774"/>
      <c r="BK105" s="1776"/>
      <c r="BL105" s="1776"/>
      <c r="BM105" s="1777"/>
      <c r="BN105" s="1777"/>
      <c r="BO105" s="1773"/>
      <c r="BP105" s="1267"/>
      <c r="BQ105" s="1269"/>
      <c r="BR105" s="1754">
        <f t="shared" si="30"/>
        <v>0</v>
      </c>
      <c r="BS105" s="1"/>
      <c r="BT105" s="1192">
        <f t="shared" si="31"/>
        <v>0</v>
      </c>
    </row>
    <row r="106" spans="1:72" ht="15.6" x14ac:dyDescent="0.3">
      <c r="A106" s="425">
        <v>2604</v>
      </c>
      <c r="B106" s="360" t="s">
        <v>193</v>
      </c>
      <c r="C106" s="361" t="s">
        <v>192</v>
      </c>
      <c r="D106" s="362" t="s">
        <v>193</v>
      </c>
      <c r="E106" s="363">
        <v>2.4</v>
      </c>
      <c r="F106" s="364">
        <f>(BR106/G106)/7</f>
        <v>1.5572105619498984</v>
      </c>
      <c r="G106" s="362">
        <v>211</v>
      </c>
      <c r="H106" s="840">
        <f t="shared" si="28"/>
        <v>506.4</v>
      </c>
      <c r="I106" s="362">
        <v>5800</v>
      </c>
      <c r="J106" s="392">
        <v>2300</v>
      </c>
      <c r="K106" s="1781">
        <f t="shared" si="29"/>
        <v>1793.6</v>
      </c>
      <c r="L106" s="1781">
        <f t="shared" si="29"/>
        <v>1287.1999999999998</v>
      </c>
      <c r="M106" s="1962">
        <v>3781</v>
      </c>
      <c r="N106" s="1781">
        <f t="shared" si="29"/>
        <v>3274.6</v>
      </c>
      <c r="O106" s="1781">
        <f t="shared" si="29"/>
        <v>2768.2</v>
      </c>
      <c r="P106" s="1781">
        <f t="shared" si="29"/>
        <v>2261.7999999999997</v>
      </c>
      <c r="Q106" s="1962">
        <v>3755</v>
      </c>
      <c r="R106" s="1781">
        <f t="shared" si="29"/>
        <v>3248.6</v>
      </c>
      <c r="S106" s="1781">
        <f t="shared" si="29"/>
        <v>2742.2</v>
      </c>
      <c r="T106" s="1848"/>
      <c r="U106" s="1885"/>
      <c r="V106" s="1222"/>
      <c r="W106" s="1885"/>
      <c r="X106" s="1222"/>
      <c r="Y106" s="1923"/>
      <c r="Z106" s="1176"/>
      <c r="AA106" s="1177"/>
      <c r="AB106" s="1096"/>
      <c r="AC106" s="1096"/>
      <c r="AD106" s="1097"/>
      <c r="AE106" s="1215"/>
      <c r="AF106" s="1187"/>
      <c r="AG106" s="1183"/>
      <c r="AH106" s="1183">
        <v>3000</v>
      </c>
      <c r="AI106" s="1183"/>
      <c r="AJ106" s="1744"/>
      <c r="AK106" s="1745"/>
      <c r="AL106" s="1746"/>
      <c r="AM106" s="1187"/>
      <c r="AN106" s="1187"/>
      <c r="AO106" s="1187"/>
      <c r="AP106" s="1273"/>
      <c r="AQ106" s="1748"/>
      <c r="AR106" s="1746"/>
      <c r="AS106" s="1187"/>
      <c r="AT106" s="1183"/>
      <c r="AU106" s="1183"/>
      <c r="AV106" s="1744"/>
      <c r="AW106" s="1214"/>
      <c r="AX106" s="1746"/>
      <c r="AY106" s="1187"/>
      <c r="AZ106" s="1187"/>
      <c r="BA106" s="1187"/>
      <c r="BB106" s="1273"/>
      <c r="BC106" s="1745"/>
      <c r="BD106" s="1746"/>
      <c r="BE106" s="1183"/>
      <c r="BF106" s="1183">
        <v>2000</v>
      </c>
      <c r="BG106" s="1183"/>
      <c r="BH106" s="1273"/>
      <c r="BI106" s="1748"/>
      <c r="BJ106" s="1746"/>
      <c r="BK106" s="1183"/>
      <c r="BL106" s="1183"/>
      <c r="BM106" s="1744"/>
      <c r="BN106" s="1744"/>
      <c r="BO106" s="1745"/>
      <c r="BP106" s="1783"/>
      <c r="BQ106" s="1784"/>
      <c r="BR106" s="1785">
        <f t="shared" si="30"/>
        <v>2300</v>
      </c>
      <c r="BT106" s="1192">
        <f t="shared" si="31"/>
        <v>5000</v>
      </c>
    </row>
    <row r="107" spans="1:72" ht="15.6" x14ac:dyDescent="0.3">
      <c r="A107" s="428"/>
      <c r="B107" s="360"/>
      <c r="C107" s="398" t="s">
        <v>194</v>
      </c>
      <c r="D107" s="375" t="s">
        <v>193</v>
      </c>
      <c r="E107" s="399">
        <v>2.4</v>
      </c>
      <c r="F107" s="400"/>
      <c r="G107" s="362"/>
      <c r="H107" s="842">
        <f t="shared" si="28"/>
        <v>0</v>
      </c>
      <c r="I107" s="375"/>
      <c r="J107" s="362"/>
      <c r="K107" s="1395">
        <f t="shared" si="29"/>
        <v>0</v>
      </c>
      <c r="L107" s="1193">
        <f t="shared" si="29"/>
        <v>0</v>
      </c>
      <c r="M107" s="1194">
        <f t="shared" si="29"/>
        <v>0</v>
      </c>
      <c r="N107" s="1193">
        <f t="shared" si="29"/>
        <v>0</v>
      </c>
      <c r="O107" s="1194">
        <f t="shared" si="29"/>
        <v>0</v>
      </c>
      <c r="P107" s="1193">
        <f t="shared" si="29"/>
        <v>0</v>
      </c>
      <c r="Q107" s="1194">
        <f t="shared" si="29"/>
        <v>0</v>
      </c>
      <c r="R107" s="1273">
        <f t="shared" si="29"/>
        <v>0</v>
      </c>
      <c r="S107" s="1565">
        <f>(R107-$H107)+BJ107</f>
        <v>0</v>
      </c>
      <c r="T107" s="1847"/>
      <c r="U107" s="1183"/>
      <c r="V107" s="1273"/>
      <c r="W107" s="1183"/>
      <c r="X107" s="1273"/>
      <c r="Y107" s="1902"/>
      <c r="Z107" s="1198"/>
      <c r="AA107" s="1199"/>
      <c r="AB107" s="1104"/>
      <c r="AC107" s="1104"/>
      <c r="AD107" s="1205"/>
      <c r="AE107" s="1197"/>
      <c r="AF107" s="1103"/>
      <c r="AG107" s="1104"/>
      <c r="AH107" s="1104"/>
      <c r="AI107" s="1104"/>
      <c r="AJ107" s="1205"/>
      <c r="AK107" s="1768"/>
      <c r="AL107" s="1204"/>
      <c r="AM107" s="1103"/>
      <c r="AN107" s="1103"/>
      <c r="AO107" s="1103"/>
      <c r="AP107" s="1195"/>
      <c r="AQ107" s="1769"/>
      <c r="AR107" s="1204"/>
      <c r="AS107" s="1103"/>
      <c r="AT107" s="1104"/>
      <c r="AU107" s="1104"/>
      <c r="AV107" s="1205"/>
      <c r="AW107" s="1196"/>
      <c r="AX107" s="1204"/>
      <c r="AY107" s="1103"/>
      <c r="AZ107" s="1103"/>
      <c r="BA107" s="1103"/>
      <c r="BB107" s="1195"/>
      <c r="BC107" s="1768"/>
      <c r="BD107" s="1204"/>
      <c r="BE107" s="1104"/>
      <c r="BF107" s="1104"/>
      <c r="BG107" s="1104"/>
      <c r="BH107" s="1195"/>
      <c r="BI107" s="1769"/>
      <c r="BJ107" s="1204"/>
      <c r="BK107" s="1104"/>
      <c r="BL107" s="1104"/>
      <c r="BM107" s="1205"/>
      <c r="BN107" s="1205"/>
      <c r="BO107" s="1768"/>
      <c r="BP107" s="1786"/>
      <c r="BQ107" s="1753"/>
      <c r="BR107" s="1754">
        <f t="shared" si="30"/>
        <v>0</v>
      </c>
      <c r="BS107" s="1"/>
      <c r="BT107" s="1192">
        <f t="shared" si="31"/>
        <v>0</v>
      </c>
    </row>
    <row r="108" spans="1:72" ht="16.2" thickBot="1" x14ac:dyDescent="0.35">
      <c r="A108" s="430"/>
      <c r="B108" s="421"/>
      <c r="C108" s="405" t="s">
        <v>195</v>
      </c>
      <c r="D108" s="406" t="s">
        <v>193</v>
      </c>
      <c r="E108" s="407">
        <v>2.4</v>
      </c>
      <c r="F108" s="424"/>
      <c r="G108" s="409"/>
      <c r="H108" s="843">
        <f t="shared" si="28"/>
        <v>0</v>
      </c>
      <c r="I108" s="406"/>
      <c r="J108" s="406"/>
      <c r="K108" s="1560">
        <f t="shared" si="29"/>
        <v>0</v>
      </c>
      <c r="L108" s="1273">
        <f t="shared" si="29"/>
        <v>0</v>
      </c>
      <c r="M108" s="1274">
        <f t="shared" si="29"/>
        <v>0</v>
      </c>
      <c r="N108" s="1273">
        <f t="shared" si="29"/>
        <v>0</v>
      </c>
      <c r="O108" s="1274">
        <f t="shared" si="29"/>
        <v>0</v>
      </c>
      <c r="P108" s="1273">
        <f t="shared" si="29"/>
        <v>0</v>
      </c>
      <c r="Q108" s="1274">
        <f t="shared" si="29"/>
        <v>0</v>
      </c>
      <c r="R108" s="1590">
        <f t="shared" si="29"/>
        <v>0</v>
      </c>
      <c r="S108" s="1596">
        <f>(R108-$H108)+BJ108</f>
        <v>0</v>
      </c>
      <c r="T108" s="1864"/>
      <c r="U108" s="1894"/>
      <c r="V108" s="1590"/>
      <c r="W108" s="1894"/>
      <c r="X108" s="1590"/>
      <c r="Y108" s="1922"/>
      <c r="Z108" s="1838"/>
      <c r="AA108" s="1779"/>
      <c r="AB108" s="1776"/>
      <c r="AC108" s="1776"/>
      <c r="AD108" s="1777"/>
      <c r="AE108" s="1772"/>
      <c r="AF108" s="1770"/>
      <c r="AG108" s="1776"/>
      <c r="AH108" s="1776"/>
      <c r="AI108" s="1776"/>
      <c r="AJ108" s="1777"/>
      <c r="AK108" s="1773"/>
      <c r="AL108" s="1774"/>
      <c r="AM108" s="1770"/>
      <c r="AN108" s="1770"/>
      <c r="AO108" s="1770"/>
      <c r="AP108" s="1771"/>
      <c r="AQ108" s="1775"/>
      <c r="AR108" s="1774"/>
      <c r="AS108" s="1770"/>
      <c r="AT108" s="1776"/>
      <c r="AU108" s="1776"/>
      <c r="AV108" s="1777"/>
      <c r="AW108" s="1778"/>
      <c r="AX108" s="1774"/>
      <c r="AY108" s="1770"/>
      <c r="AZ108" s="1770"/>
      <c r="BA108" s="1770"/>
      <c r="BB108" s="1771"/>
      <c r="BC108" s="1773"/>
      <c r="BD108" s="1774"/>
      <c r="BE108" s="1776"/>
      <c r="BF108" s="1776"/>
      <c r="BG108" s="1776"/>
      <c r="BH108" s="1771"/>
      <c r="BI108" s="1775"/>
      <c r="BJ108" s="1774"/>
      <c r="BK108" s="1776"/>
      <c r="BL108" s="1776"/>
      <c r="BM108" s="1777"/>
      <c r="BN108" s="1777"/>
      <c r="BO108" s="1773"/>
      <c r="BP108" s="1267"/>
      <c r="BQ108" s="1269"/>
      <c r="BR108" s="1759">
        <f t="shared" si="30"/>
        <v>0</v>
      </c>
      <c r="BS108" s="1"/>
      <c r="BT108" s="1192">
        <f t="shared" si="31"/>
        <v>0</v>
      </c>
    </row>
    <row r="109" spans="1:72" ht="15.6" x14ac:dyDescent="0.3">
      <c r="A109" s="425">
        <v>2603</v>
      </c>
      <c r="B109" s="360" t="s">
        <v>185</v>
      </c>
      <c r="C109" s="361" t="s">
        <v>196</v>
      </c>
      <c r="D109" s="362" t="s">
        <v>193</v>
      </c>
      <c r="E109" s="363">
        <v>2.5</v>
      </c>
      <c r="F109" s="364">
        <f>(BR109/G109)/7</f>
        <v>1.7857142857142858</v>
      </c>
      <c r="G109" s="362">
        <v>208</v>
      </c>
      <c r="H109" s="840">
        <f t="shared" si="28"/>
        <v>520</v>
      </c>
      <c r="I109" s="362">
        <v>5800</v>
      </c>
      <c r="J109" s="362">
        <v>2600</v>
      </c>
      <c r="K109" s="2042">
        <v>2080</v>
      </c>
      <c r="L109" s="1781">
        <f t="shared" si="29"/>
        <v>1560</v>
      </c>
      <c r="M109" s="1781">
        <f t="shared" si="29"/>
        <v>1040</v>
      </c>
      <c r="N109" s="1962">
        <v>4520</v>
      </c>
      <c r="O109" s="1781">
        <f t="shared" si="29"/>
        <v>4000</v>
      </c>
      <c r="P109" s="1781">
        <f t="shared" si="29"/>
        <v>3480</v>
      </c>
      <c r="Q109" s="1781">
        <f t="shared" si="29"/>
        <v>2960</v>
      </c>
      <c r="R109" s="1781">
        <f t="shared" si="29"/>
        <v>2440</v>
      </c>
      <c r="S109" s="1782">
        <f t="shared" si="29"/>
        <v>1920</v>
      </c>
      <c r="T109" s="1848"/>
      <c r="U109" s="1885"/>
      <c r="V109" s="1222"/>
      <c r="W109" s="1885"/>
      <c r="X109" s="1222"/>
      <c r="Y109" s="1923"/>
      <c r="Z109" s="1176"/>
      <c r="AA109" s="1177"/>
      <c r="AB109" s="1096"/>
      <c r="AC109" s="1096"/>
      <c r="AD109" s="1097"/>
      <c r="AE109" s="1215"/>
      <c r="AF109" s="1187"/>
      <c r="AG109" s="1183"/>
      <c r="AH109" s="1183"/>
      <c r="AI109" s="1183"/>
      <c r="AJ109" s="1744"/>
      <c r="AK109" s="1745"/>
      <c r="AL109" s="1746"/>
      <c r="AM109" s="1187"/>
      <c r="AN109" s="1187">
        <v>4000</v>
      </c>
      <c r="AO109" s="1187"/>
      <c r="AP109" s="1273"/>
      <c r="AQ109" s="1748"/>
      <c r="AR109" s="1746"/>
      <c r="AS109" s="1187"/>
      <c r="AT109" s="1183"/>
      <c r="AU109" s="1183"/>
      <c r="AV109" s="1744"/>
      <c r="AW109" s="1214"/>
      <c r="AX109" s="1746"/>
      <c r="AY109" s="1187"/>
      <c r="AZ109" s="1187"/>
      <c r="BA109" s="1187"/>
      <c r="BB109" s="1273"/>
      <c r="BC109" s="1745"/>
      <c r="BD109" s="1746"/>
      <c r="BE109" s="1183"/>
      <c r="BF109" s="1183"/>
      <c r="BG109" s="1183"/>
      <c r="BH109" s="1273"/>
      <c r="BI109" s="1748"/>
      <c r="BJ109" s="1746"/>
      <c r="BK109" s="1183"/>
      <c r="BL109" s="1183"/>
      <c r="BM109" s="1744"/>
      <c r="BN109" s="1744"/>
      <c r="BO109" s="1745"/>
      <c r="BP109" s="1783"/>
      <c r="BQ109" s="1784"/>
      <c r="BR109" s="1785">
        <f t="shared" si="30"/>
        <v>2600</v>
      </c>
      <c r="BT109" s="1192">
        <f t="shared" si="31"/>
        <v>4000</v>
      </c>
    </row>
    <row r="110" spans="1:72" ht="15.6" x14ac:dyDescent="0.3">
      <c r="A110" s="428"/>
      <c r="B110" s="360"/>
      <c r="C110" s="398" t="s">
        <v>197</v>
      </c>
      <c r="D110" s="375" t="s">
        <v>193</v>
      </c>
      <c r="E110" s="399">
        <f>+E109</f>
        <v>2.5</v>
      </c>
      <c r="F110" s="400"/>
      <c r="G110" s="375"/>
      <c r="H110" s="842">
        <f t="shared" si="28"/>
        <v>0</v>
      </c>
      <c r="I110" s="375"/>
      <c r="J110" s="362"/>
      <c r="K110" s="1395">
        <f t="shared" si="29"/>
        <v>0</v>
      </c>
      <c r="L110" s="1193">
        <f t="shared" si="29"/>
        <v>0</v>
      </c>
      <c r="M110" s="1194">
        <f t="shared" si="29"/>
        <v>0</v>
      </c>
      <c r="N110" s="1193">
        <f t="shared" si="29"/>
        <v>0</v>
      </c>
      <c r="O110" s="1194">
        <f t="shared" si="29"/>
        <v>0</v>
      </c>
      <c r="P110" s="1193">
        <f t="shared" si="29"/>
        <v>0</v>
      </c>
      <c r="Q110" s="1194">
        <f t="shared" si="29"/>
        <v>0</v>
      </c>
      <c r="R110" s="1193">
        <f t="shared" si="29"/>
        <v>0</v>
      </c>
      <c r="S110" s="1342">
        <f>(R110-$H110)+BJ110</f>
        <v>0</v>
      </c>
      <c r="T110" s="1854"/>
      <c r="U110" s="1114"/>
      <c r="V110" s="1193"/>
      <c r="W110" s="1114"/>
      <c r="X110" s="1193"/>
      <c r="Y110" s="1929"/>
      <c r="Z110" s="1198"/>
      <c r="AA110" s="1199"/>
      <c r="AB110" s="1104"/>
      <c r="AC110" s="1104"/>
      <c r="AD110" s="1205"/>
      <c r="AE110" s="1197"/>
      <c r="AF110" s="1103"/>
      <c r="AG110" s="1104"/>
      <c r="AH110" s="1104"/>
      <c r="AI110" s="1104"/>
      <c r="AJ110" s="1205"/>
      <c r="AK110" s="1768"/>
      <c r="AL110" s="1204"/>
      <c r="AM110" s="1103"/>
      <c r="AN110" s="1103"/>
      <c r="AO110" s="1103"/>
      <c r="AP110" s="1195"/>
      <c r="AQ110" s="1769"/>
      <c r="AR110" s="1204"/>
      <c r="AS110" s="1103"/>
      <c r="AT110" s="1104"/>
      <c r="AU110" s="1104"/>
      <c r="AV110" s="1205"/>
      <c r="AW110" s="1196"/>
      <c r="AX110" s="1204"/>
      <c r="AY110" s="1103"/>
      <c r="AZ110" s="1103"/>
      <c r="BA110" s="1103"/>
      <c r="BB110" s="1195"/>
      <c r="BC110" s="1768"/>
      <c r="BD110" s="1204"/>
      <c r="BE110" s="1104"/>
      <c r="BF110" s="1104"/>
      <c r="BG110" s="1104"/>
      <c r="BH110" s="1195"/>
      <c r="BI110" s="1769"/>
      <c r="BJ110" s="1204"/>
      <c r="BK110" s="1104"/>
      <c r="BL110" s="1104"/>
      <c r="BM110" s="1205"/>
      <c r="BN110" s="1205"/>
      <c r="BO110" s="1768"/>
      <c r="BP110" s="1786"/>
      <c r="BQ110" s="1753"/>
      <c r="BR110" s="1754">
        <f t="shared" si="30"/>
        <v>0</v>
      </c>
      <c r="BS110" s="1"/>
      <c r="BT110" s="1192">
        <f t="shared" si="31"/>
        <v>0</v>
      </c>
    </row>
    <row r="111" spans="1:72" ht="18" customHeight="1" thickBot="1" x14ac:dyDescent="0.35">
      <c r="A111" s="430"/>
      <c r="B111" s="421"/>
      <c r="C111" s="432" t="s">
        <v>198</v>
      </c>
      <c r="D111" s="386" t="s">
        <v>193</v>
      </c>
      <c r="E111" s="433">
        <f>+E110</f>
        <v>2.5</v>
      </c>
      <c r="F111" s="424"/>
      <c r="G111" s="386"/>
      <c r="H111" s="844">
        <f t="shared" si="28"/>
        <v>0</v>
      </c>
      <c r="I111" s="406"/>
      <c r="J111" s="385"/>
      <c r="K111" s="1560">
        <f t="shared" si="29"/>
        <v>0</v>
      </c>
      <c r="L111" s="1273">
        <f t="shared" si="29"/>
        <v>0</v>
      </c>
      <c r="M111" s="1274">
        <f t="shared" si="29"/>
        <v>0</v>
      </c>
      <c r="N111" s="1273">
        <f t="shared" si="29"/>
        <v>0</v>
      </c>
      <c r="O111" s="1274">
        <f t="shared" si="29"/>
        <v>0</v>
      </c>
      <c r="P111" s="1273">
        <f t="shared" si="29"/>
        <v>0</v>
      </c>
      <c r="Q111" s="1223">
        <f t="shared" si="29"/>
        <v>0</v>
      </c>
      <c r="R111" s="1273">
        <f t="shared" si="29"/>
        <v>0</v>
      </c>
      <c r="S111" s="1565">
        <f>(R111-$H111)+BJ111</f>
        <v>0</v>
      </c>
      <c r="T111" s="1848"/>
      <c r="U111" s="1885"/>
      <c r="V111" s="1222"/>
      <c r="W111" s="1885"/>
      <c r="X111" s="1222"/>
      <c r="Y111" s="1923"/>
      <c r="Z111" s="1226"/>
      <c r="AA111" s="1227"/>
      <c r="AB111" s="1219"/>
      <c r="AC111" s="1219"/>
      <c r="AD111" s="1233"/>
      <c r="AE111" s="1225"/>
      <c r="AF111" s="1218"/>
      <c r="AG111" s="1219"/>
      <c r="AH111" s="1219"/>
      <c r="AI111" s="1219"/>
      <c r="AJ111" s="1233"/>
      <c r="AK111" s="1787"/>
      <c r="AL111" s="1232"/>
      <c r="AM111" s="1218"/>
      <c r="AN111" s="1218"/>
      <c r="AO111" s="1218"/>
      <c r="AP111" s="1281"/>
      <c r="AQ111" s="1788"/>
      <c r="AR111" s="1232"/>
      <c r="AS111" s="1218"/>
      <c r="AT111" s="1219"/>
      <c r="AU111" s="1219"/>
      <c r="AV111" s="1233"/>
      <c r="AW111" s="1221"/>
      <c r="AX111" s="1232"/>
      <c r="AY111" s="1218"/>
      <c r="AZ111" s="1218"/>
      <c r="BA111" s="1218"/>
      <c r="BB111" s="1281"/>
      <c r="BC111" s="1787"/>
      <c r="BD111" s="1232"/>
      <c r="BE111" s="1219"/>
      <c r="BF111" s="1219"/>
      <c r="BG111" s="1219"/>
      <c r="BH111" s="1281"/>
      <c r="BI111" s="1788"/>
      <c r="BJ111" s="1232"/>
      <c r="BK111" s="1219"/>
      <c r="BL111" s="1219"/>
      <c r="BM111" s="1233"/>
      <c r="BN111" s="1233"/>
      <c r="BO111" s="1787"/>
      <c r="BP111" s="1365"/>
      <c r="BQ111" s="1357"/>
      <c r="BR111" s="1759">
        <f t="shared" si="30"/>
        <v>0</v>
      </c>
      <c r="BS111" s="1"/>
      <c r="BT111" s="1192">
        <f t="shared" si="31"/>
        <v>0</v>
      </c>
    </row>
    <row r="112" spans="1:72" ht="15.6" x14ac:dyDescent="0.3">
      <c r="A112" s="159">
        <v>2602</v>
      </c>
      <c r="B112" s="360" t="s">
        <v>368</v>
      </c>
      <c r="C112" s="391" t="s">
        <v>199</v>
      </c>
      <c r="D112" s="392" t="s">
        <v>191</v>
      </c>
      <c r="E112" s="393">
        <v>2.5</v>
      </c>
      <c r="F112" s="364">
        <f>(BR112/G112)/7</f>
        <v>2.5437317784256561</v>
      </c>
      <c r="G112" s="392">
        <v>196</v>
      </c>
      <c r="H112" s="841">
        <f t="shared" si="28"/>
        <v>490</v>
      </c>
      <c r="I112" s="362">
        <v>5800</v>
      </c>
      <c r="J112" s="392">
        <v>3490</v>
      </c>
      <c r="K112" s="2047">
        <v>3000</v>
      </c>
      <c r="L112" s="1781">
        <f t="shared" si="29"/>
        <v>2510</v>
      </c>
      <c r="M112" s="1781">
        <f t="shared" si="29"/>
        <v>2020</v>
      </c>
      <c r="N112" s="1781">
        <f t="shared" si="29"/>
        <v>1530</v>
      </c>
      <c r="O112" s="1962">
        <v>4550</v>
      </c>
      <c r="P112" s="1781">
        <f t="shared" si="29"/>
        <v>4060</v>
      </c>
      <c r="Q112" s="1781">
        <f t="shared" si="29"/>
        <v>3570</v>
      </c>
      <c r="R112" s="1781">
        <f t="shared" si="29"/>
        <v>3080</v>
      </c>
      <c r="S112" s="1782">
        <f t="shared" si="29"/>
        <v>2590</v>
      </c>
      <c r="T112" s="1868"/>
      <c r="U112" s="1895"/>
      <c r="V112" s="1831"/>
      <c r="W112" s="1895"/>
      <c r="X112" s="1831"/>
      <c r="Y112" s="1930"/>
      <c r="Z112" s="1245"/>
      <c r="AA112" s="1254"/>
      <c r="AB112" s="1254"/>
      <c r="AC112" s="1376"/>
      <c r="AD112" s="1386"/>
      <c r="AE112" s="1761"/>
      <c r="AF112" s="1789"/>
      <c r="AG112" s="1790"/>
      <c r="AH112" s="1790"/>
      <c r="AI112" s="1790"/>
      <c r="AJ112" s="1628"/>
      <c r="AK112" s="1762"/>
      <c r="AL112" s="1791"/>
      <c r="AM112" s="1789"/>
      <c r="AN112" s="1789"/>
      <c r="AO112" s="1789"/>
      <c r="AP112" s="1242"/>
      <c r="AQ112" s="1763"/>
      <c r="AR112" s="1791"/>
      <c r="AS112" s="1789"/>
      <c r="AT112" s="1790"/>
      <c r="AU112" s="1790">
        <v>3000</v>
      </c>
      <c r="AV112" s="1628"/>
      <c r="AW112" s="1764"/>
      <c r="AX112" s="1791"/>
      <c r="AY112" s="1789"/>
      <c r="AZ112" s="1789"/>
      <c r="BA112" s="1789"/>
      <c r="BB112" s="1242"/>
      <c r="BC112" s="1762"/>
      <c r="BD112" s="1791"/>
      <c r="BE112" s="1790"/>
      <c r="BF112" s="1790"/>
      <c r="BG112" s="1790"/>
      <c r="BH112" s="1242"/>
      <c r="BI112" s="1763"/>
      <c r="BJ112" s="1791"/>
      <c r="BK112" s="1790"/>
      <c r="BL112" s="1790"/>
      <c r="BM112" s="1628"/>
      <c r="BN112" s="1628"/>
      <c r="BO112" s="1762"/>
      <c r="BP112" s="1783"/>
      <c r="BQ112" s="1792"/>
      <c r="BR112" s="1785">
        <f t="shared" si="30"/>
        <v>3490</v>
      </c>
      <c r="BT112" s="1192">
        <f t="shared" si="31"/>
        <v>3000</v>
      </c>
    </row>
    <row r="113" spans="1:72" ht="15.6" x14ac:dyDescent="0.3">
      <c r="A113" s="150"/>
      <c r="B113" s="401"/>
      <c r="C113" s="398" t="s">
        <v>200</v>
      </c>
      <c r="D113" s="375" t="s">
        <v>191</v>
      </c>
      <c r="E113" s="399">
        <f>+E112</f>
        <v>2.5</v>
      </c>
      <c r="F113" s="400"/>
      <c r="G113" s="375"/>
      <c r="H113" s="842">
        <f t="shared" si="28"/>
        <v>0</v>
      </c>
      <c r="I113" s="375"/>
      <c r="J113" s="362"/>
      <c r="K113" s="1395">
        <f t="shared" si="29"/>
        <v>0</v>
      </c>
      <c r="L113" s="1193">
        <f t="shared" si="29"/>
        <v>0</v>
      </c>
      <c r="M113" s="1194">
        <f t="shared" si="29"/>
        <v>0</v>
      </c>
      <c r="N113" s="1193">
        <f t="shared" si="29"/>
        <v>0</v>
      </c>
      <c r="O113" s="1194">
        <f t="shared" si="29"/>
        <v>0</v>
      </c>
      <c r="P113" s="1193">
        <f t="shared" si="29"/>
        <v>0</v>
      </c>
      <c r="Q113" s="1194">
        <f t="shared" si="29"/>
        <v>0</v>
      </c>
      <c r="R113" s="1193">
        <f t="shared" si="29"/>
        <v>0</v>
      </c>
      <c r="S113" s="1342">
        <f>R113-$H113+BK113</f>
        <v>0</v>
      </c>
      <c r="T113" s="1854"/>
      <c r="U113" s="1114"/>
      <c r="V113" s="1193"/>
      <c r="W113" s="1114"/>
      <c r="X113" s="1193"/>
      <c r="Y113" s="1929"/>
      <c r="Z113" s="1198"/>
      <c r="AA113" s="1199"/>
      <c r="AB113" s="1199"/>
      <c r="AC113" s="1104"/>
      <c r="AD113" s="1205"/>
      <c r="AE113" s="1197"/>
      <c r="AF113" s="1103"/>
      <c r="AG113" s="1104"/>
      <c r="AH113" s="1104"/>
      <c r="AI113" s="1104"/>
      <c r="AJ113" s="1205"/>
      <c r="AK113" s="1768"/>
      <c r="AL113" s="1204"/>
      <c r="AM113" s="1103"/>
      <c r="AN113" s="1103"/>
      <c r="AO113" s="1103"/>
      <c r="AP113" s="1195"/>
      <c r="AQ113" s="1769"/>
      <c r="AR113" s="1204"/>
      <c r="AS113" s="1103"/>
      <c r="AT113" s="1104"/>
      <c r="AU113" s="1104"/>
      <c r="AV113" s="1205"/>
      <c r="AW113" s="1196"/>
      <c r="AX113" s="1204"/>
      <c r="AY113" s="1103"/>
      <c r="AZ113" s="1103"/>
      <c r="BA113" s="1103"/>
      <c r="BB113" s="1195"/>
      <c r="BC113" s="1768"/>
      <c r="BD113" s="1204"/>
      <c r="BE113" s="1104"/>
      <c r="BF113" s="1104"/>
      <c r="BG113" s="1104"/>
      <c r="BH113" s="1195"/>
      <c r="BI113" s="1769"/>
      <c r="BJ113" s="1204"/>
      <c r="BK113" s="1104"/>
      <c r="BL113" s="1104"/>
      <c r="BM113" s="1205"/>
      <c r="BN113" s="1205"/>
      <c r="BO113" s="1768"/>
      <c r="BP113" s="1786"/>
      <c r="BQ113" s="1357"/>
      <c r="BR113" s="1754">
        <f t="shared" si="30"/>
        <v>0</v>
      </c>
      <c r="BS113" s="1"/>
      <c r="BT113" s="1192">
        <f t="shared" si="31"/>
        <v>0</v>
      </c>
    </row>
    <row r="114" spans="1:72" ht="16.2" thickBot="1" x14ac:dyDescent="0.35">
      <c r="A114" s="169"/>
      <c r="B114" s="431"/>
      <c r="C114" s="405" t="s">
        <v>201</v>
      </c>
      <c r="D114" s="406" t="s">
        <v>191</v>
      </c>
      <c r="E114" s="407">
        <f>+E113</f>
        <v>2.5</v>
      </c>
      <c r="F114" s="424"/>
      <c r="G114" s="406"/>
      <c r="H114" s="843">
        <f t="shared" si="28"/>
        <v>0</v>
      </c>
      <c r="I114" s="406"/>
      <c r="J114" s="406"/>
      <c r="K114" s="1560">
        <f t="shared" si="29"/>
        <v>0</v>
      </c>
      <c r="L114" s="1273">
        <f t="shared" si="29"/>
        <v>0</v>
      </c>
      <c r="M114" s="1274">
        <f t="shared" si="29"/>
        <v>0</v>
      </c>
      <c r="N114" s="1273">
        <f t="shared" si="29"/>
        <v>0</v>
      </c>
      <c r="O114" s="1274">
        <f t="shared" si="29"/>
        <v>0</v>
      </c>
      <c r="P114" s="1273">
        <f t="shared" si="29"/>
        <v>0</v>
      </c>
      <c r="Q114" s="1223">
        <f t="shared" si="29"/>
        <v>0</v>
      </c>
      <c r="R114" s="1273">
        <f t="shared" si="29"/>
        <v>0</v>
      </c>
      <c r="S114" s="1565">
        <f>R114-$H114+BK114</f>
        <v>0</v>
      </c>
      <c r="T114" s="1848"/>
      <c r="U114" s="1885"/>
      <c r="V114" s="1222"/>
      <c r="W114" s="1885"/>
      <c r="X114" s="1222"/>
      <c r="Y114" s="1923"/>
      <c r="Z114" s="1838"/>
      <c r="AA114" s="1779"/>
      <c r="AB114" s="1779"/>
      <c r="AC114" s="1776"/>
      <c r="AD114" s="1777"/>
      <c r="AE114" s="1772"/>
      <c r="AF114" s="1770"/>
      <c r="AG114" s="1776"/>
      <c r="AH114" s="1776"/>
      <c r="AI114" s="1776"/>
      <c r="AJ114" s="1777"/>
      <c r="AK114" s="1773"/>
      <c r="AL114" s="1774"/>
      <c r="AM114" s="1770"/>
      <c r="AN114" s="1770"/>
      <c r="AO114" s="1770"/>
      <c r="AP114" s="1771"/>
      <c r="AQ114" s="1775"/>
      <c r="AR114" s="1774"/>
      <c r="AS114" s="1770"/>
      <c r="AT114" s="1776"/>
      <c r="AU114" s="1776"/>
      <c r="AV114" s="1777"/>
      <c r="AW114" s="1778"/>
      <c r="AX114" s="1774"/>
      <c r="AY114" s="1770"/>
      <c r="AZ114" s="1770"/>
      <c r="BA114" s="1770"/>
      <c r="BB114" s="1771"/>
      <c r="BC114" s="1773"/>
      <c r="BD114" s="1774"/>
      <c r="BE114" s="1776"/>
      <c r="BF114" s="1776"/>
      <c r="BG114" s="1776"/>
      <c r="BH114" s="1771"/>
      <c r="BI114" s="1775"/>
      <c r="BJ114" s="1774"/>
      <c r="BK114" s="1776"/>
      <c r="BL114" s="1776"/>
      <c r="BM114" s="1777"/>
      <c r="BN114" s="1777"/>
      <c r="BO114" s="1773"/>
      <c r="BP114" s="1267"/>
      <c r="BQ114" s="1269"/>
      <c r="BR114" s="1793">
        <f t="shared" si="30"/>
        <v>0</v>
      </c>
      <c r="BS114" s="1"/>
      <c r="BT114" s="1192">
        <f t="shared" si="31"/>
        <v>0</v>
      </c>
    </row>
    <row r="115" spans="1:72" ht="15.6" x14ac:dyDescent="0.3">
      <c r="A115" s="425">
        <v>2601</v>
      </c>
      <c r="B115" s="394" t="s">
        <v>367</v>
      </c>
      <c r="C115" s="361" t="s">
        <v>202</v>
      </c>
      <c r="D115" s="362" t="s">
        <v>191</v>
      </c>
      <c r="E115" s="363">
        <v>2.6</v>
      </c>
      <c r="F115" s="364">
        <f>(BR115/G115)/7</f>
        <v>1.2820512820512822</v>
      </c>
      <c r="G115" s="362">
        <v>234</v>
      </c>
      <c r="H115" s="840">
        <f t="shared" si="28"/>
        <v>608.4</v>
      </c>
      <c r="I115" s="362">
        <v>5800</v>
      </c>
      <c r="J115" s="362">
        <v>2100</v>
      </c>
      <c r="K115" s="1781">
        <f t="shared" si="29"/>
        <v>1491.6</v>
      </c>
      <c r="L115" s="1962">
        <v>3883</v>
      </c>
      <c r="M115" s="1781">
        <f t="shared" si="29"/>
        <v>3274.6</v>
      </c>
      <c r="N115" s="1781">
        <f t="shared" si="29"/>
        <v>2666.2</v>
      </c>
      <c r="O115" s="1781">
        <f t="shared" si="29"/>
        <v>2057.7999999999997</v>
      </c>
      <c r="P115" s="1781">
        <f t="shared" si="29"/>
        <v>1449.3999999999996</v>
      </c>
      <c r="Q115" s="1962">
        <v>3841</v>
      </c>
      <c r="R115" s="1781">
        <f t="shared" si="29"/>
        <v>3232.6</v>
      </c>
      <c r="S115" s="1782">
        <f t="shared" si="29"/>
        <v>2624.2</v>
      </c>
      <c r="T115" s="1848"/>
      <c r="U115" s="1885"/>
      <c r="V115" s="1222"/>
      <c r="W115" s="1885"/>
      <c r="X115" s="1222"/>
      <c r="Y115" s="1923"/>
      <c r="Z115" s="1176"/>
      <c r="AA115" s="1177"/>
      <c r="AB115" s="1177"/>
      <c r="AC115" s="1096">
        <v>3000</v>
      </c>
      <c r="AD115" s="1097"/>
      <c r="AE115" s="1215"/>
      <c r="AF115" s="1187"/>
      <c r="AG115" s="1183"/>
      <c r="AH115" s="1183"/>
      <c r="AI115" s="1183"/>
      <c r="AJ115" s="1744"/>
      <c r="AK115" s="1745"/>
      <c r="AL115" s="1746"/>
      <c r="AM115" s="1187"/>
      <c r="AN115" s="1187"/>
      <c r="AO115" s="1187"/>
      <c r="AP115" s="1273"/>
      <c r="AQ115" s="1748"/>
      <c r="AR115" s="1746"/>
      <c r="AS115" s="1187"/>
      <c r="AT115" s="1183"/>
      <c r="AU115" s="1183"/>
      <c r="AV115" s="1744"/>
      <c r="AW115" s="1214"/>
      <c r="AX115" s="1746"/>
      <c r="AY115" s="1187"/>
      <c r="AZ115" s="1187"/>
      <c r="BA115" s="1187"/>
      <c r="BB115" s="1273"/>
      <c r="BC115" s="1745"/>
      <c r="BD115" s="1746"/>
      <c r="BE115" s="1183"/>
      <c r="BF115" s="1183"/>
      <c r="BG115" s="1183">
        <v>3000</v>
      </c>
      <c r="BH115" s="1273"/>
      <c r="BI115" s="1748"/>
      <c r="BJ115" s="1746"/>
      <c r="BK115" s="1183"/>
      <c r="BL115" s="1183"/>
      <c r="BM115" s="1744"/>
      <c r="BN115" s="1744"/>
      <c r="BO115" s="1745"/>
      <c r="BP115" s="1783"/>
      <c r="BQ115" s="1784"/>
      <c r="BR115" s="1785">
        <f t="shared" si="30"/>
        <v>2100</v>
      </c>
      <c r="BT115" s="1192">
        <f t="shared" si="31"/>
        <v>6000</v>
      </c>
    </row>
    <row r="116" spans="1:72" ht="15.6" x14ac:dyDescent="0.3">
      <c r="A116" s="428"/>
      <c r="B116" s="401"/>
      <c r="C116" s="398" t="s">
        <v>203</v>
      </c>
      <c r="D116" s="375" t="s">
        <v>191</v>
      </c>
      <c r="E116" s="399">
        <f t="shared" ref="E116:E121" si="33">+E115</f>
        <v>2.6</v>
      </c>
      <c r="F116" s="400"/>
      <c r="G116" s="375"/>
      <c r="H116" s="842">
        <f t="shared" si="28"/>
        <v>0</v>
      </c>
      <c r="I116" s="375"/>
      <c r="J116" s="362"/>
      <c r="K116" s="1395">
        <f t="shared" si="29"/>
        <v>0</v>
      </c>
      <c r="L116" s="1193">
        <f t="shared" si="29"/>
        <v>0</v>
      </c>
      <c r="M116" s="1194">
        <f t="shared" si="29"/>
        <v>0</v>
      </c>
      <c r="N116" s="1193">
        <f t="shared" si="29"/>
        <v>0</v>
      </c>
      <c r="O116" s="1194">
        <f t="shared" si="29"/>
        <v>0</v>
      </c>
      <c r="P116" s="1193">
        <f t="shared" si="29"/>
        <v>0</v>
      </c>
      <c r="Q116" s="1194">
        <f t="shared" si="29"/>
        <v>0</v>
      </c>
      <c r="R116" s="1193">
        <f t="shared" si="29"/>
        <v>0</v>
      </c>
      <c r="S116" s="1342">
        <f>R116-$H116+BK116</f>
        <v>0</v>
      </c>
      <c r="T116" s="1854"/>
      <c r="U116" s="1114"/>
      <c r="V116" s="1193"/>
      <c r="W116" s="1114"/>
      <c r="X116" s="1193"/>
      <c r="Y116" s="1929"/>
      <c r="Z116" s="1198"/>
      <c r="AA116" s="1199"/>
      <c r="AB116" s="1199"/>
      <c r="AC116" s="1104"/>
      <c r="AD116" s="1205"/>
      <c r="AE116" s="1197"/>
      <c r="AF116" s="1103"/>
      <c r="AG116" s="1104"/>
      <c r="AH116" s="1104"/>
      <c r="AI116" s="1104"/>
      <c r="AJ116" s="1205"/>
      <c r="AK116" s="1768"/>
      <c r="AL116" s="1204"/>
      <c r="AM116" s="1103"/>
      <c r="AN116" s="1103"/>
      <c r="AO116" s="1103"/>
      <c r="AP116" s="1195"/>
      <c r="AQ116" s="1769"/>
      <c r="AR116" s="1204"/>
      <c r="AS116" s="1103"/>
      <c r="AT116" s="1104"/>
      <c r="AU116" s="1104"/>
      <c r="AV116" s="1205"/>
      <c r="AW116" s="1196"/>
      <c r="AX116" s="1204"/>
      <c r="AY116" s="1103"/>
      <c r="AZ116" s="1103"/>
      <c r="BA116" s="1103"/>
      <c r="BB116" s="1195"/>
      <c r="BC116" s="1768"/>
      <c r="BD116" s="1204"/>
      <c r="BE116" s="1104"/>
      <c r="BF116" s="1104"/>
      <c r="BG116" s="1104"/>
      <c r="BH116" s="1195"/>
      <c r="BI116" s="1769"/>
      <c r="BJ116" s="1204"/>
      <c r="BK116" s="1104"/>
      <c r="BL116" s="1104"/>
      <c r="BM116" s="1205"/>
      <c r="BN116" s="1205"/>
      <c r="BO116" s="1768"/>
      <c r="BP116" s="1752"/>
      <c r="BQ116" s="1753"/>
      <c r="BR116" s="1754">
        <f t="shared" si="30"/>
        <v>0</v>
      </c>
      <c r="BS116" s="1"/>
      <c r="BT116" s="1192">
        <f t="shared" si="31"/>
        <v>0</v>
      </c>
    </row>
    <row r="117" spans="1:72" ht="16.2" thickBot="1" x14ac:dyDescent="0.35">
      <c r="A117" s="444"/>
      <c r="B117" s="411"/>
      <c r="C117" s="432" t="s">
        <v>204</v>
      </c>
      <c r="D117" s="386" t="s">
        <v>191</v>
      </c>
      <c r="E117" s="433">
        <f t="shared" si="33"/>
        <v>2.6</v>
      </c>
      <c r="F117" s="424"/>
      <c r="G117" s="386"/>
      <c r="H117" s="844">
        <f t="shared" si="28"/>
        <v>0</v>
      </c>
      <c r="I117" s="406"/>
      <c r="J117" s="406"/>
      <c r="K117" s="1560">
        <f t="shared" si="29"/>
        <v>0</v>
      </c>
      <c r="L117" s="1273">
        <f t="shared" si="29"/>
        <v>0</v>
      </c>
      <c r="M117" s="1274">
        <f t="shared" si="29"/>
        <v>0</v>
      </c>
      <c r="N117" s="1273">
        <f t="shared" si="29"/>
        <v>0</v>
      </c>
      <c r="O117" s="1274">
        <f t="shared" si="29"/>
        <v>0</v>
      </c>
      <c r="P117" s="1273">
        <f t="shared" si="29"/>
        <v>0</v>
      </c>
      <c r="Q117" s="1223">
        <f t="shared" si="29"/>
        <v>0</v>
      </c>
      <c r="R117" s="1273">
        <f t="shared" si="29"/>
        <v>0</v>
      </c>
      <c r="S117" s="1565">
        <f>R117-$H117+BK117</f>
        <v>0</v>
      </c>
      <c r="T117" s="1848"/>
      <c r="U117" s="1885"/>
      <c r="V117" s="1222"/>
      <c r="W117" s="1885"/>
      <c r="X117" s="1222"/>
      <c r="Y117" s="1923"/>
      <c r="Z117" s="1226"/>
      <c r="AA117" s="1227"/>
      <c r="AB117" s="1227"/>
      <c r="AC117" s="1219"/>
      <c r="AD117" s="1233"/>
      <c r="AE117" s="1225"/>
      <c r="AF117" s="1218"/>
      <c r="AG117" s="1219"/>
      <c r="AH117" s="1219"/>
      <c r="AI117" s="1219"/>
      <c r="AJ117" s="1233"/>
      <c r="AK117" s="1787"/>
      <c r="AL117" s="1232"/>
      <c r="AM117" s="1218"/>
      <c r="AN117" s="1218"/>
      <c r="AO117" s="1218"/>
      <c r="AP117" s="1281"/>
      <c r="AQ117" s="1788"/>
      <c r="AR117" s="1232"/>
      <c r="AS117" s="1218"/>
      <c r="AT117" s="1219"/>
      <c r="AU117" s="1219"/>
      <c r="AV117" s="1233"/>
      <c r="AW117" s="1221"/>
      <c r="AX117" s="1232"/>
      <c r="AY117" s="1218"/>
      <c r="AZ117" s="1218"/>
      <c r="BA117" s="1218"/>
      <c r="BB117" s="1281"/>
      <c r="BC117" s="1787"/>
      <c r="BD117" s="1232"/>
      <c r="BE117" s="1219"/>
      <c r="BF117" s="1219"/>
      <c r="BG117" s="1219"/>
      <c r="BH117" s="1281"/>
      <c r="BI117" s="1788"/>
      <c r="BJ117" s="1232"/>
      <c r="BK117" s="1219"/>
      <c r="BL117" s="1219"/>
      <c r="BM117" s="1233"/>
      <c r="BN117" s="1233"/>
      <c r="BO117" s="1787"/>
      <c r="BP117" s="1365"/>
      <c r="BQ117" s="1357"/>
      <c r="BR117" s="1793">
        <f t="shared" si="30"/>
        <v>0</v>
      </c>
      <c r="BS117" s="1"/>
      <c r="BT117" s="1192">
        <f t="shared" si="31"/>
        <v>0</v>
      </c>
    </row>
    <row r="118" spans="1:72" ht="15.6" x14ac:dyDescent="0.3">
      <c r="A118" s="445">
        <v>2552</v>
      </c>
      <c r="B118" s="360" t="s">
        <v>366</v>
      </c>
      <c r="C118" s="391" t="s">
        <v>205</v>
      </c>
      <c r="D118" s="392" t="s">
        <v>191</v>
      </c>
      <c r="E118" s="393">
        <f t="shared" si="33"/>
        <v>2.6</v>
      </c>
      <c r="F118" s="364">
        <f>(BR118/G118)/7</f>
        <v>1.7241379310344827</v>
      </c>
      <c r="G118" s="392">
        <v>232</v>
      </c>
      <c r="H118" s="841">
        <f t="shared" si="28"/>
        <v>603.20000000000005</v>
      </c>
      <c r="I118" s="362">
        <v>5800</v>
      </c>
      <c r="J118" s="362">
        <v>2800</v>
      </c>
      <c r="K118" s="1243">
        <f t="shared" si="29"/>
        <v>2196.8000000000002</v>
      </c>
      <c r="L118" s="1958">
        <v>4594</v>
      </c>
      <c r="M118" s="1243">
        <f t="shared" si="29"/>
        <v>3990.8</v>
      </c>
      <c r="N118" s="1243">
        <f t="shared" si="29"/>
        <v>3387.6000000000004</v>
      </c>
      <c r="O118" s="1243">
        <f t="shared" si="29"/>
        <v>2784.4000000000005</v>
      </c>
      <c r="P118" s="1243">
        <f t="shared" si="29"/>
        <v>2181.2000000000007</v>
      </c>
      <c r="Q118" s="1958">
        <v>3578</v>
      </c>
      <c r="R118" s="1243">
        <f t="shared" si="29"/>
        <v>2974.8</v>
      </c>
      <c r="S118" s="1579">
        <f t="shared" si="29"/>
        <v>2371.6000000000004</v>
      </c>
      <c r="T118" s="1852"/>
      <c r="U118" s="1790"/>
      <c r="V118" s="1242"/>
      <c r="W118" s="1790"/>
      <c r="X118" s="1242"/>
      <c r="Y118" s="1921"/>
      <c r="Z118" s="1245"/>
      <c r="AA118" s="1254"/>
      <c r="AB118" s="1254"/>
      <c r="AC118" s="1376">
        <v>3000</v>
      </c>
      <c r="AD118" s="1386"/>
      <c r="AE118" s="1761"/>
      <c r="AF118" s="1760"/>
      <c r="AG118" s="1376"/>
      <c r="AH118" s="1376"/>
      <c r="AI118" s="1376"/>
      <c r="AJ118" s="1386"/>
      <c r="AK118" s="1762"/>
      <c r="AL118" s="1382"/>
      <c r="AM118" s="1760"/>
      <c r="AN118" s="1760"/>
      <c r="AO118" s="1760"/>
      <c r="AP118" s="1244"/>
      <c r="AQ118" s="1763"/>
      <c r="AR118" s="1382"/>
      <c r="AS118" s="1760"/>
      <c r="AT118" s="1376"/>
      <c r="AU118" s="1376"/>
      <c r="AV118" s="1386"/>
      <c r="AW118" s="1764"/>
      <c r="AX118" s="1382"/>
      <c r="AY118" s="1760"/>
      <c r="AZ118" s="1760"/>
      <c r="BA118" s="1760"/>
      <c r="BB118" s="1244"/>
      <c r="BC118" s="1762"/>
      <c r="BD118" s="1382"/>
      <c r="BE118" s="1376"/>
      <c r="BF118" s="1376"/>
      <c r="BG118" s="1376"/>
      <c r="BH118" s="1244">
        <v>2000</v>
      </c>
      <c r="BI118" s="1763"/>
      <c r="BJ118" s="1382"/>
      <c r="BK118" s="1376"/>
      <c r="BL118" s="1376"/>
      <c r="BM118" s="1386"/>
      <c r="BN118" s="1386"/>
      <c r="BO118" s="1762"/>
      <c r="BP118" s="1765"/>
      <c r="BQ118" s="1766"/>
      <c r="BR118" s="1767">
        <f t="shared" si="30"/>
        <v>2800</v>
      </c>
      <c r="BS118" s="1"/>
      <c r="BT118" s="1192">
        <f t="shared" si="31"/>
        <v>5000</v>
      </c>
    </row>
    <row r="119" spans="1:72" ht="15.6" x14ac:dyDescent="0.3">
      <c r="A119" s="418"/>
      <c r="B119" s="401"/>
      <c r="C119" s="632" t="s">
        <v>206</v>
      </c>
      <c r="D119" s="375" t="s">
        <v>191</v>
      </c>
      <c r="E119" s="399">
        <f t="shared" si="33"/>
        <v>2.6</v>
      </c>
      <c r="F119" s="400"/>
      <c r="G119" s="375"/>
      <c r="H119" s="842">
        <f t="shared" si="28"/>
        <v>0</v>
      </c>
      <c r="I119" s="375"/>
      <c r="J119" s="362"/>
      <c r="K119" s="1437">
        <f t="shared" si="29"/>
        <v>0</v>
      </c>
      <c r="L119" s="1222">
        <f t="shared" si="29"/>
        <v>0</v>
      </c>
      <c r="M119" s="1223">
        <f t="shared" si="29"/>
        <v>0</v>
      </c>
      <c r="N119" s="1222">
        <f t="shared" si="29"/>
        <v>0</v>
      </c>
      <c r="O119" s="1223">
        <f t="shared" si="29"/>
        <v>0</v>
      </c>
      <c r="P119" s="1222">
        <f t="shared" si="29"/>
        <v>0</v>
      </c>
      <c r="Q119" s="1223">
        <f t="shared" si="29"/>
        <v>0</v>
      </c>
      <c r="R119" s="1222">
        <f t="shared" si="29"/>
        <v>0</v>
      </c>
      <c r="S119" s="1438">
        <f>R119-$H119+BK119</f>
        <v>0</v>
      </c>
      <c r="T119" s="1848"/>
      <c r="U119" s="1885"/>
      <c r="V119" s="1222"/>
      <c r="W119" s="1885"/>
      <c r="X119" s="1222"/>
      <c r="Y119" s="1923"/>
      <c r="Z119" s="1198"/>
      <c r="AA119" s="1199"/>
      <c r="AB119" s="1199"/>
      <c r="AC119" s="1104"/>
      <c r="AD119" s="1205"/>
      <c r="AE119" s="1197"/>
      <c r="AF119" s="1103"/>
      <c r="AG119" s="1104"/>
      <c r="AH119" s="1104"/>
      <c r="AI119" s="1104"/>
      <c r="AJ119" s="1205"/>
      <c r="AK119" s="1768"/>
      <c r="AL119" s="1204"/>
      <c r="AM119" s="1103"/>
      <c r="AN119" s="1103"/>
      <c r="AO119" s="1103"/>
      <c r="AP119" s="1195"/>
      <c r="AQ119" s="1769"/>
      <c r="AR119" s="1204"/>
      <c r="AS119" s="1103"/>
      <c r="AT119" s="1104"/>
      <c r="AU119" s="1104"/>
      <c r="AV119" s="1205"/>
      <c r="AW119" s="1196"/>
      <c r="AX119" s="1204"/>
      <c r="AY119" s="1103"/>
      <c r="AZ119" s="1103"/>
      <c r="BA119" s="1103"/>
      <c r="BB119" s="1195"/>
      <c r="BC119" s="1768"/>
      <c r="BD119" s="1204"/>
      <c r="BE119" s="1104"/>
      <c r="BF119" s="1104"/>
      <c r="BG119" s="1104"/>
      <c r="BH119" s="1195"/>
      <c r="BI119" s="1769"/>
      <c r="BJ119" s="1204"/>
      <c r="BK119" s="1104"/>
      <c r="BL119" s="1104"/>
      <c r="BM119" s="1205"/>
      <c r="BN119" s="1205"/>
      <c r="BO119" s="1768"/>
      <c r="BP119" s="1786"/>
      <c r="BQ119" s="1753"/>
      <c r="BR119" s="1754">
        <f t="shared" si="30"/>
        <v>0</v>
      </c>
      <c r="BS119" s="1"/>
      <c r="BT119" s="1192">
        <f t="shared" si="31"/>
        <v>0</v>
      </c>
    </row>
    <row r="120" spans="1:72" ht="15.6" x14ac:dyDescent="0.3">
      <c r="A120" s="447"/>
      <c r="B120" s="431"/>
      <c r="C120" s="398" t="s">
        <v>207</v>
      </c>
      <c r="D120" s="375" t="s">
        <v>191</v>
      </c>
      <c r="E120" s="399">
        <f t="shared" si="33"/>
        <v>2.6</v>
      </c>
      <c r="F120" s="637"/>
      <c r="G120" s="375"/>
      <c r="H120" s="842">
        <f t="shared" si="28"/>
        <v>0</v>
      </c>
      <c r="I120" s="375"/>
      <c r="J120" s="375"/>
      <c r="K120" s="1193">
        <f t="shared" si="29"/>
        <v>0</v>
      </c>
      <c r="L120" s="1115">
        <f t="shared" si="29"/>
        <v>0</v>
      </c>
      <c r="M120" s="1194">
        <f t="shared" si="29"/>
        <v>0</v>
      </c>
      <c r="N120" s="1193">
        <f t="shared" si="29"/>
        <v>0</v>
      </c>
      <c r="O120" s="1794">
        <f t="shared" si="29"/>
        <v>0</v>
      </c>
      <c r="P120" s="1115">
        <f t="shared" si="29"/>
        <v>0</v>
      </c>
      <c r="Q120" s="1194">
        <f t="shared" si="29"/>
        <v>0</v>
      </c>
      <c r="R120" s="1193">
        <f t="shared" si="29"/>
        <v>0</v>
      </c>
      <c r="S120" s="1342">
        <f>R120-$H120+BK120</f>
        <v>0</v>
      </c>
      <c r="T120" s="1854"/>
      <c r="U120" s="1114"/>
      <c r="V120" s="1193"/>
      <c r="W120" s="1114"/>
      <c r="X120" s="1193"/>
      <c r="Y120" s="1929"/>
      <c r="Z120" s="1198"/>
      <c r="AA120" s="1199"/>
      <c r="AB120" s="1199"/>
      <c r="AC120" s="1104"/>
      <c r="AD120" s="1205"/>
      <c r="AE120" s="1197"/>
      <c r="AF120" s="1103"/>
      <c r="AG120" s="1104"/>
      <c r="AH120" s="1104"/>
      <c r="AI120" s="1104"/>
      <c r="AJ120" s="1205"/>
      <c r="AK120" s="1768"/>
      <c r="AL120" s="1204"/>
      <c r="AM120" s="1104"/>
      <c r="AN120" s="1103"/>
      <c r="AO120" s="1103"/>
      <c r="AP120" s="1195"/>
      <c r="AQ120" s="1769"/>
      <c r="AR120" s="1204"/>
      <c r="AS120" s="1103"/>
      <c r="AT120" s="1104"/>
      <c r="AU120" s="1104"/>
      <c r="AV120" s="1205"/>
      <c r="AW120" s="1196"/>
      <c r="AX120" s="1204"/>
      <c r="AY120" s="1103"/>
      <c r="AZ120" s="1103"/>
      <c r="BA120" s="1103"/>
      <c r="BB120" s="1195"/>
      <c r="BC120" s="1768"/>
      <c r="BD120" s="1204"/>
      <c r="BE120" s="1104"/>
      <c r="BF120" s="1104"/>
      <c r="BG120" s="1104"/>
      <c r="BH120" s="1195"/>
      <c r="BI120" s="1769"/>
      <c r="BJ120" s="1204"/>
      <c r="BK120" s="1104"/>
      <c r="BL120" s="1104"/>
      <c r="BM120" s="1205"/>
      <c r="BN120" s="1205"/>
      <c r="BO120" s="1768"/>
      <c r="BP120" s="1188"/>
      <c r="BQ120" s="1177"/>
      <c r="BR120" s="1795">
        <f t="shared" si="30"/>
        <v>0</v>
      </c>
      <c r="BS120" s="1"/>
      <c r="BT120" s="1192">
        <f t="shared" si="31"/>
        <v>0</v>
      </c>
    </row>
    <row r="121" spans="1:72" ht="16.2" thickBot="1" x14ac:dyDescent="0.35">
      <c r="A121" s="420"/>
      <c r="B121" s="431"/>
      <c r="C121" s="634" t="s">
        <v>207</v>
      </c>
      <c r="D121" s="409" t="s">
        <v>209</v>
      </c>
      <c r="E121" s="635">
        <f t="shared" si="33"/>
        <v>2.6</v>
      </c>
      <c r="F121" s="636"/>
      <c r="G121" s="409"/>
      <c r="H121" s="845">
        <f t="shared" si="28"/>
        <v>0</v>
      </c>
      <c r="I121" s="409"/>
      <c r="J121" s="406"/>
      <c r="K121" s="1420">
        <f t="shared" si="29"/>
        <v>0</v>
      </c>
      <c r="L121" s="1257">
        <f t="shared" si="29"/>
        <v>0</v>
      </c>
      <c r="M121" s="1258">
        <f t="shared" si="29"/>
        <v>0</v>
      </c>
      <c r="N121" s="1257">
        <f t="shared" si="29"/>
        <v>0</v>
      </c>
      <c r="O121" s="1258">
        <f t="shared" si="29"/>
        <v>0</v>
      </c>
      <c r="P121" s="1257">
        <f t="shared" si="29"/>
        <v>0</v>
      </c>
      <c r="Q121" s="1258">
        <f t="shared" si="29"/>
        <v>0</v>
      </c>
      <c r="R121" s="1257">
        <f t="shared" si="29"/>
        <v>0</v>
      </c>
      <c r="S121" s="1633">
        <f>R121-$H121+BK121</f>
        <v>0</v>
      </c>
      <c r="T121" s="1856"/>
      <c r="U121" s="1650"/>
      <c r="V121" s="1257"/>
      <c r="W121" s="1650"/>
      <c r="X121" s="1257"/>
      <c r="Y121" s="1924"/>
      <c r="Z121" s="1260"/>
      <c r="AA121" s="1269"/>
      <c r="AB121" s="1269"/>
      <c r="AC121" s="1421"/>
      <c r="AD121" s="1431"/>
      <c r="AE121" s="1796"/>
      <c r="AF121" s="1797"/>
      <c r="AG121" s="1421"/>
      <c r="AH121" s="1421"/>
      <c r="AI121" s="1421"/>
      <c r="AJ121" s="1431"/>
      <c r="AK121" s="1798"/>
      <c r="AL121" s="1427"/>
      <c r="AM121" s="1797"/>
      <c r="AN121" s="1797"/>
      <c r="AO121" s="1797"/>
      <c r="AP121" s="1259"/>
      <c r="AQ121" s="1799"/>
      <c r="AR121" s="1427"/>
      <c r="AS121" s="1797"/>
      <c r="AT121" s="1421"/>
      <c r="AU121" s="1421"/>
      <c r="AV121" s="1431"/>
      <c r="AW121" s="1800"/>
      <c r="AX121" s="1427"/>
      <c r="AY121" s="1797"/>
      <c r="AZ121" s="1797"/>
      <c r="BA121" s="1797"/>
      <c r="BB121" s="1259"/>
      <c r="BC121" s="1798"/>
      <c r="BD121" s="1427"/>
      <c r="BE121" s="1421"/>
      <c r="BF121" s="1421"/>
      <c r="BG121" s="1421"/>
      <c r="BH121" s="1259"/>
      <c r="BI121" s="1799"/>
      <c r="BJ121" s="1427"/>
      <c r="BK121" s="1421"/>
      <c r="BL121" s="1421"/>
      <c r="BM121" s="1431"/>
      <c r="BN121" s="1431"/>
      <c r="BO121" s="1798"/>
      <c r="BP121" s="1267"/>
      <c r="BQ121" s="1779"/>
      <c r="BR121" s="1759">
        <f t="shared" si="30"/>
        <v>0</v>
      </c>
      <c r="BS121" s="1"/>
      <c r="BT121" s="1192">
        <f t="shared" si="31"/>
        <v>0</v>
      </c>
    </row>
    <row r="122" spans="1:72" ht="15.6" x14ac:dyDescent="0.3">
      <c r="A122" s="425">
        <v>2551</v>
      </c>
      <c r="B122" s="394" t="s">
        <v>365</v>
      </c>
      <c r="C122" s="361" t="s">
        <v>208</v>
      </c>
      <c r="D122" s="362" t="s">
        <v>209</v>
      </c>
      <c r="E122" s="363">
        <v>2.7</v>
      </c>
      <c r="F122" s="364">
        <f>(BR122/G122)/7</f>
        <v>0.62932662051604782</v>
      </c>
      <c r="G122" s="362">
        <v>227</v>
      </c>
      <c r="H122" s="840">
        <f t="shared" si="28"/>
        <v>612.90000000000009</v>
      </c>
      <c r="I122" s="362">
        <v>5800</v>
      </c>
      <c r="J122" s="362">
        <v>1000</v>
      </c>
      <c r="K122" s="1963">
        <v>3387</v>
      </c>
      <c r="L122" s="1274">
        <f t="shared" si="29"/>
        <v>2774.1</v>
      </c>
      <c r="M122" s="1274">
        <f t="shared" si="29"/>
        <v>2161.1999999999998</v>
      </c>
      <c r="N122" s="1274">
        <f t="shared" si="29"/>
        <v>1548.2999999999997</v>
      </c>
      <c r="O122" s="1963">
        <v>4935</v>
      </c>
      <c r="P122" s="1274">
        <f t="shared" si="29"/>
        <v>4322.1000000000004</v>
      </c>
      <c r="Q122" s="1274">
        <f t="shared" si="29"/>
        <v>3709.2000000000003</v>
      </c>
      <c r="R122" s="1274">
        <f t="shared" si="29"/>
        <v>3096.3</v>
      </c>
      <c r="S122" s="1565">
        <f t="shared" si="29"/>
        <v>2483.4</v>
      </c>
      <c r="T122" s="1847"/>
      <c r="U122" s="1183"/>
      <c r="V122" s="1273"/>
      <c r="W122" s="1183"/>
      <c r="X122" s="1273">
        <v>3000</v>
      </c>
      <c r="Y122" s="1902"/>
      <c r="Z122" s="1176"/>
      <c r="AA122" s="1177"/>
      <c r="AB122" s="1177"/>
      <c r="AC122" s="1096"/>
      <c r="AD122" s="1097"/>
      <c r="AE122" s="1215"/>
      <c r="AF122" s="1095"/>
      <c r="AG122" s="1096"/>
      <c r="AH122" s="1096"/>
      <c r="AI122" s="1096"/>
      <c r="AJ122" s="1097"/>
      <c r="AK122" s="1745"/>
      <c r="AL122" s="1216"/>
      <c r="AM122" s="1095"/>
      <c r="AN122" s="1095"/>
      <c r="AO122" s="1095"/>
      <c r="AP122" s="1287"/>
      <c r="AQ122" s="1748"/>
      <c r="AR122" s="1216"/>
      <c r="AS122" s="1095"/>
      <c r="AT122" s="1096"/>
      <c r="AU122" s="1096"/>
      <c r="AV122" s="1097">
        <v>4000</v>
      </c>
      <c r="AW122" s="1214"/>
      <c r="AX122" s="1216"/>
      <c r="AY122" s="1095"/>
      <c r="AZ122" s="1095"/>
      <c r="BA122" s="1095"/>
      <c r="BB122" s="1287"/>
      <c r="BC122" s="1745"/>
      <c r="BD122" s="1216"/>
      <c r="BE122" s="1096"/>
      <c r="BF122" s="1096"/>
      <c r="BG122" s="1096"/>
      <c r="BH122" s="1287"/>
      <c r="BI122" s="1748"/>
      <c r="BJ122" s="1216"/>
      <c r="BK122" s="1096"/>
      <c r="BL122" s="1096"/>
      <c r="BM122" s="1097"/>
      <c r="BN122" s="1097"/>
      <c r="BO122" s="1745"/>
      <c r="BP122" s="1765"/>
      <c r="BQ122" s="1766"/>
      <c r="BR122" s="1767">
        <f t="shared" si="30"/>
        <v>1000</v>
      </c>
      <c r="BS122" s="1"/>
      <c r="BT122" s="1192">
        <f t="shared" si="31"/>
        <v>4000</v>
      </c>
    </row>
    <row r="123" spans="1:72" ht="15.6" x14ac:dyDescent="0.3">
      <c r="A123" s="633"/>
      <c r="B123" s="401"/>
      <c r="C123" s="398" t="s">
        <v>210</v>
      </c>
      <c r="D123" s="362" t="s">
        <v>209</v>
      </c>
      <c r="E123" s="399">
        <f>+E122</f>
        <v>2.7</v>
      </c>
      <c r="F123" s="400"/>
      <c r="G123" s="375"/>
      <c r="H123" s="842">
        <f t="shared" si="28"/>
        <v>0</v>
      </c>
      <c r="I123" s="375"/>
      <c r="J123" s="362"/>
      <c r="K123" s="1560">
        <f t="shared" si="29"/>
        <v>0</v>
      </c>
      <c r="L123" s="1273">
        <f t="shared" si="29"/>
        <v>0</v>
      </c>
      <c r="M123" s="1274">
        <f t="shared" si="29"/>
        <v>0</v>
      </c>
      <c r="N123" s="1273">
        <f t="shared" si="29"/>
        <v>0</v>
      </c>
      <c r="O123" s="1274">
        <f t="shared" si="29"/>
        <v>0</v>
      </c>
      <c r="P123" s="1273">
        <f t="shared" si="29"/>
        <v>0</v>
      </c>
      <c r="Q123" s="1274">
        <f t="shared" si="29"/>
        <v>0</v>
      </c>
      <c r="R123" s="1273">
        <f t="shared" si="29"/>
        <v>0</v>
      </c>
      <c r="S123" s="1565">
        <f>(R123-$H123)+BL123</f>
        <v>0</v>
      </c>
      <c r="T123" s="1847"/>
      <c r="U123" s="1183"/>
      <c r="V123" s="1273"/>
      <c r="W123" s="1183"/>
      <c r="X123" s="1273"/>
      <c r="Y123" s="1902"/>
      <c r="Z123" s="1198"/>
      <c r="AA123" s="1199"/>
      <c r="AB123" s="1199"/>
      <c r="AC123" s="1104"/>
      <c r="AD123" s="1205"/>
      <c r="AE123" s="1197"/>
      <c r="AF123" s="1103"/>
      <c r="AG123" s="1104"/>
      <c r="AH123" s="1104"/>
      <c r="AI123" s="1104"/>
      <c r="AJ123" s="1205"/>
      <c r="AK123" s="1768"/>
      <c r="AL123" s="1204"/>
      <c r="AM123" s="1103"/>
      <c r="AN123" s="1103"/>
      <c r="AO123" s="1103"/>
      <c r="AP123" s="1195"/>
      <c r="AQ123" s="1769"/>
      <c r="AR123" s="1204"/>
      <c r="AS123" s="1103"/>
      <c r="AT123" s="1104"/>
      <c r="AU123" s="1104"/>
      <c r="AV123" s="1205"/>
      <c r="AW123" s="1196"/>
      <c r="AX123" s="1204"/>
      <c r="AY123" s="1103"/>
      <c r="AZ123" s="1103"/>
      <c r="BA123" s="1103"/>
      <c r="BB123" s="1195"/>
      <c r="BC123" s="1768"/>
      <c r="BD123" s="1204"/>
      <c r="BE123" s="1104"/>
      <c r="BF123" s="1104"/>
      <c r="BG123" s="1104"/>
      <c r="BH123" s="1195"/>
      <c r="BI123" s="1769"/>
      <c r="BJ123" s="1204"/>
      <c r="BK123" s="1104"/>
      <c r="BL123" s="1104"/>
      <c r="BM123" s="1205"/>
      <c r="BN123" s="1205"/>
      <c r="BO123" s="1768"/>
      <c r="BP123" s="1786"/>
      <c r="BQ123" s="1753"/>
      <c r="BR123" s="1754">
        <f t="shared" si="30"/>
        <v>0</v>
      </c>
      <c r="BS123" s="1"/>
      <c r="BT123" s="1192">
        <f t="shared" si="31"/>
        <v>0</v>
      </c>
    </row>
    <row r="124" spans="1:72" ht="16.2" thickBot="1" x14ac:dyDescent="0.35">
      <c r="A124" s="444"/>
      <c r="B124" s="421"/>
      <c r="C124" s="432" t="s">
        <v>211</v>
      </c>
      <c r="D124" s="362" t="s">
        <v>209</v>
      </c>
      <c r="E124" s="433">
        <f>+E123</f>
        <v>2.7</v>
      </c>
      <c r="F124" s="424"/>
      <c r="G124" s="386"/>
      <c r="H124" s="844">
        <f t="shared" si="28"/>
        <v>0</v>
      </c>
      <c r="I124" s="406"/>
      <c r="J124" s="385"/>
      <c r="K124" s="1437">
        <f t="shared" si="29"/>
        <v>0</v>
      </c>
      <c r="L124" s="1222">
        <f t="shared" si="29"/>
        <v>0</v>
      </c>
      <c r="M124" s="1223">
        <f t="shared" si="29"/>
        <v>0</v>
      </c>
      <c r="N124" s="1222">
        <f t="shared" si="29"/>
        <v>0</v>
      </c>
      <c r="O124" s="1223">
        <f t="shared" si="29"/>
        <v>0</v>
      </c>
      <c r="P124" s="1222">
        <f t="shared" si="29"/>
        <v>0</v>
      </c>
      <c r="Q124" s="1223">
        <f t="shared" si="29"/>
        <v>0</v>
      </c>
      <c r="R124" s="1222">
        <f t="shared" si="29"/>
        <v>0</v>
      </c>
      <c r="S124" s="1438">
        <f>(R124-$H124)+BL124</f>
        <v>0</v>
      </c>
      <c r="T124" s="1848"/>
      <c r="U124" s="1885"/>
      <c r="V124" s="1222"/>
      <c r="W124" s="1885"/>
      <c r="X124" s="1222"/>
      <c r="Y124" s="1923"/>
      <c r="Z124" s="1226"/>
      <c r="AA124" s="1227"/>
      <c r="AB124" s="1227"/>
      <c r="AC124" s="1219"/>
      <c r="AD124" s="1233"/>
      <c r="AE124" s="1225"/>
      <c r="AF124" s="1218"/>
      <c r="AG124" s="1219"/>
      <c r="AH124" s="1219"/>
      <c r="AI124" s="1219"/>
      <c r="AJ124" s="1233"/>
      <c r="AK124" s="1787"/>
      <c r="AL124" s="1232"/>
      <c r="AM124" s="1218"/>
      <c r="AN124" s="1218"/>
      <c r="AO124" s="1218"/>
      <c r="AP124" s="1281"/>
      <c r="AQ124" s="1788"/>
      <c r="AR124" s="1232"/>
      <c r="AS124" s="1218"/>
      <c r="AT124" s="1219"/>
      <c r="AU124" s="1219"/>
      <c r="AV124" s="1233"/>
      <c r="AW124" s="1221"/>
      <c r="AX124" s="1232"/>
      <c r="AY124" s="1218"/>
      <c r="AZ124" s="1218"/>
      <c r="BA124" s="1218"/>
      <c r="BB124" s="1281"/>
      <c r="BC124" s="1787"/>
      <c r="BD124" s="1232"/>
      <c r="BE124" s="1219"/>
      <c r="BF124" s="1219"/>
      <c r="BG124" s="1219"/>
      <c r="BH124" s="1281"/>
      <c r="BI124" s="1788"/>
      <c r="BJ124" s="1232"/>
      <c r="BK124" s="1219"/>
      <c r="BL124" s="1219"/>
      <c r="BM124" s="1233"/>
      <c r="BN124" s="1233"/>
      <c r="BO124" s="1787"/>
      <c r="BP124" s="1365"/>
      <c r="BQ124" s="1357"/>
      <c r="BR124" s="1793">
        <f t="shared" si="30"/>
        <v>0</v>
      </c>
      <c r="BS124" s="1"/>
      <c r="BT124" s="1192">
        <f t="shared" si="31"/>
        <v>0</v>
      </c>
    </row>
    <row r="125" spans="1:72" ht="15.6" x14ac:dyDescent="0.3">
      <c r="A125" s="445">
        <v>2550</v>
      </c>
      <c r="B125" s="360" t="s">
        <v>364</v>
      </c>
      <c r="C125" s="391" t="s">
        <v>212</v>
      </c>
      <c r="D125" s="392" t="s">
        <v>209</v>
      </c>
      <c r="E125" s="393">
        <v>2.8</v>
      </c>
      <c r="F125" s="364">
        <f>(BR125/G125)/7</f>
        <v>0.63211125158027814</v>
      </c>
      <c r="G125" s="392">
        <v>226</v>
      </c>
      <c r="H125" s="841">
        <f t="shared" si="28"/>
        <v>632.79999999999995</v>
      </c>
      <c r="I125" s="362">
        <v>5800</v>
      </c>
      <c r="J125" s="392">
        <v>1000</v>
      </c>
      <c r="K125" s="1958">
        <v>3367</v>
      </c>
      <c r="L125" s="1243">
        <f t="shared" ref="K125:O136" si="34">K125-$H125</f>
        <v>2734.2</v>
      </c>
      <c r="M125" s="1243">
        <f t="shared" si="34"/>
        <v>2101.3999999999996</v>
      </c>
      <c r="N125" s="1243">
        <f t="shared" si="34"/>
        <v>1468.5999999999997</v>
      </c>
      <c r="O125" s="1958">
        <v>3836</v>
      </c>
      <c r="P125" s="1243">
        <f t="shared" ref="P125:S136" si="35">O125-$H125</f>
        <v>3203.2</v>
      </c>
      <c r="Q125" s="1243">
        <f t="shared" si="35"/>
        <v>2570.3999999999996</v>
      </c>
      <c r="R125" s="1243">
        <f t="shared" si="35"/>
        <v>1937.5999999999997</v>
      </c>
      <c r="S125" s="1579">
        <f t="shared" si="35"/>
        <v>1304.7999999999997</v>
      </c>
      <c r="T125" s="1852"/>
      <c r="U125" s="1790"/>
      <c r="V125" s="1242"/>
      <c r="W125" s="1790"/>
      <c r="X125" s="1242">
        <v>3000</v>
      </c>
      <c r="Y125" s="1921"/>
      <c r="Z125" s="1245"/>
      <c r="AA125" s="1254"/>
      <c r="AB125" s="1254"/>
      <c r="AC125" s="1376"/>
      <c r="AD125" s="1386"/>
      <c r="AE125" s="1761"/>
      <c r="AF125" s="1789"/>
      <c r="AG125" s="1790"/>
      <c r="AH125" s="1790"/>
      <c r="AI125" s="1790"/>
      <c r="AJ125" s="1628"/>
      <c r="AK125" s="1762"/>
      <c r="AL125" s="1791"/>
      <c r="AM125" s="1789"/>
      <c r="AN125" s="1789"/>
      <c r="AO125" s="1789"/>
      <c r="AP125" s="1242"/>
      <c r="AQ125" s="1763"/>
      <c r="AR125" s="1791"/>
      <c r="AS125" s="1789"/>
      <c r="AT125" s="1790"/>
      <c r="AU125" s="1790"/>
      <c r="AV125" s="1628">
        <v>3000</v>
      </c>
      <c r="AW125" s="1764"/>
      <c r="AX125" s="1791"/>
      <c r="AY125" s="1789"/>
      <c r="AZ125" s="1789"/>
      <c r="BA125" s="1789"/>
      <c r="BB125" s="1242"/>
      <c r="BC125" s="1762"/>
      <c r="BD125" s="1791"/>
      <c r="BE125" s="1790"/>
      <c r="BF125" s="1790"/>
      <c r="BG125" s="1790"/>
      <c r="BH125" s="1242"/>
      <c r="BI125" s="1763"/>
      <c r="BJ125" s="1791"/>
      <c r="BK125" s="1790"/>
      <c r="BL125" s="1790"/>
      <c r="BM125" s="1628"/>
      <c r="BN125" s="1628"/>
      <c r="BO125" s="1762"/>
      <c r="BP125" s="1783"/>
      <c r="BQ125" s="1784"/>
      <c r="BR125" s="1785">
        <f t="shared" si="30"/>
        <v>1000</v>
      </c>
      <c r="BT125" s="1192">
        <f t="shared" si="31"/>
        <v>3000</v>
      </c>
    </row>
    <row r="126" spans="1:72" ht="15.6" x14ac:dyDescent="0.3">
      <c r="A126" s="418"/>
      <c r="B126" s="401"/>
      <c r="C126" s="398" t="s">
        <v>213</v>
      </c>
      <c r="D126" s="375" t="s">
        <v>209</v>
      </c>
      <c r="E126" s="399">
        <f>+E125</f>
        <v>2.8</v>
      </c>
      <c r="F126" s="400"/>
      <c r="G126" s="375"/>
      <c r="H126" s="842">
        <f t="shared" si="28"/>
        <v>0</v>
      </c>
      <c r="I126" s="375"/>
      <c r="J126" s="362"/>
      <c r="K126" s="1560">
        <f t="shared" si="34"/>
        <v>0</v>
      </c>
      <c r="L126" s="1273">
        <f t="shared" si="34"/>
        <v>0</v>
      </c>
      <c r="M126" s="1274">
        <f t="shared" si="34"/>
        <v>0</v>
      </c>
      <c r="N126" s="1273">
        <f t="shared" si="34"/>
        <v>0</v>
      </c>
      <c r="O126" s="1274">
        <f t="shared" si="34"/>
        <v>0</v>
      </c>
      <c r="P126" s="1273">
        <f t="shared" si="35"/>
        <v>0</v>
      </c>
      <c r="Q126" s="1274">
        <f t="shared" si="35"/>
        <v>0</v>
      </c>
      <c r="R126" s="1273">
        <f t="shared" si="35"/>
        <v>0</v>
      </c>
      <c r="S126" s="1565">
        <f>(R126-$H126)+BL126</f>
        <v>0</v>
      </c>
      <c r="T126" s="1847"/>
      <c r="U126" s="1183"/>
      <c r="V126" s="1273"/>
      <c r="W126" s="1183"/>
      <c r="X126" s="1273"/>
      <c r="Y126" s="1902"/>
      <c r="Z126" s="1198"/>
      <c r="AA126" s="1199"/>
      <c r="AB126" s="1199"/>
      <c r="AC126" s="1104"/>
      <c r="AD126" s="1205"/>
      <c r="AE126" s="1197"/>
      <c r="AF126" s="1103"/>
      <c r="AG126" s="1104"/>
      <c r="AH126" s="1104"/>
      <c r="AI126" s="1104"/>
      <c r="AJ126" s="1205"/>
      <c r="AK126" s="1768"/>
      <c r="AL126" s="1204"/>
      <c r="AM126" s="1103"/>
      <c r="AN126" s="1103"/>
      <c r="AO126" s="1103"/>
      <c r="AP126" s="1195"/>
      <c r="AQ126" s="1769"/>
      <c r="AR126" s="1204"/>
      <c r="AS126" s="1103"/>
      <c r="AT126" s="1104"/>
      <c r="AU126" s="1104"/>
      <c r="AV126" s="1205"/>
      <c r="AW126" s="1196"/>
      <c r="AX126" s="1204"/>
      <c r="AY126" s="1103"/>
      <c r="AZ126" s="1103"/>
      <c r="BA126" s="1103"/>
      <c r="BB126" s="1195"/>
      <c r="BC126" s="1768"/>
      <c r="BD126" s="1204"/>
      <c r="BE126" s="1104"/>
      <c r="BF126" s="1104"/>
      <c r="BG126" s="1104"/>
      <c r="BH126" s="1195"/>
      <c r="BI126" s="1769"/>
      <c r="BJ126" s="1204"/>
      <c r="BK126" s="1104"/>
      <c r="BL126" s="1104"/>
      <c r="BM126" s="1205"/>
      <c r="BN126" s="1205"/>
      <c r="BO126" s="1768"/>
      <c r="BP126" s="1786"/>
      <c r="BQ126" s="1753"/>
      <c r="BR126" s="1754">
        <f t="shared" si="30"/>
        <v>0</v>
      </c>
      <c r="BS126" s="1"/>
      <c r="BT126" s="1192">
        <f t="shared" si="31"/>
        <v>0</v>
      </c>
    </row>
    <row r="127" spans="1:72" ht="16.2" thickBot="1" x14ac:dyDescent="0.35">
      <c r="A127" s="420"/>
      <c r="B127" s="431"/>
      <c r="C127" s="405" t="s">
        <v>214</v>
      </c>
      <c r="D127" s="406" t="s">
        <v>209</v>
      </c>
      <c r="E127" s="407">
        <f>+E126</f>
        <v>2.8</v>
      </c>
      <c r="F127" s="424"/>
      <c r="G127" s="406"/>
      <c r="H127" s="843">
        <f t="shared" si="28"/>
        <v>0</v>
      </c>
      <c r="I127" s="406"/>
      <c r="J127" s="385"/>
      <c r="K127" s="1437">
        <f t="shared" si="34"/>
        <v>0</v>
      </c>
      <c r="L127" s="1222">
        <f t="shared" si="34"/>
        <v>0</v>
      </c>
      <c r="M127" s="1223">
        <f t="shared" si="34"/>
        <v>0</v>
      </c>
      <c r="N127" s="1222">
        <f t="shared" si="34"/>
        <v>0</v>
      </c>
      <c r="O127" s="1223">
        <f t="shared" si="34"/>
        <v>0</v>
      </c>
      <c r="P127" s="1222">
        <f t="shared" si="35"/>
        <v>0</v>
      </c>
      <c r="Q127" s="1223">
        <f t="shared" si="35"/>
        <v>0</v>
      </c>
      <c r="R127" s="1222">
        <f t="shared" si="35"/>
        <v>0</v>
      </c>
      <c r="S127" s="1438">
        <f>(R127-$H127)+BL127</f>
        <v>0</v>
      </c>
      <c r="T127" s="1848"/>
      <c r="U127" s="1885"/>
      <c r="V127" s="1222"/>
      <c r="W127" s="1885"/>
      <c r="X127" s="1222"/>
      <c r="Y127" s="1923"/>
      <c r="Z127" s="1838"/>
      <c r="AA127" s="1779"/>
      <c r="AB127" s="1779"/>
      <c r="AC127" s="1776"/>
      <c r="AD127" s="1777"/>
      <c r="AE127" s="1772"/>
      <c r="AF127" s="1770"/>
      <c r="AG127" s="1776"/>
      <c r="AH127" s="1776"/>
      <c r="AI127" s="1776"/>
      <c r="AJ127" s="1777"/>
      <c r="AK127" s="1773"/>
      <c r="AL127" s="1774"/>
      <c r="AM127" s="1770"/>
      <c r="AN127" s="1770"/>
      <c r="AO127" s="1770"/>
      <c r="AP127" s="1771"/>
      <c r="AQ127" s="1775"/>
      <c r="AR127" s="1774"/>
      <c r="AS127" s="1770"/>
      <c r="AT127" s="1776"/>
      <c r="AU127" s="1776"/>
      <c r="AV127" s="1777"/>
      <c r="AW127" s="1778"/>
      <c r="AX127" s="1774"/>
      <c r="AY127" s="1770"/>
      <c r="AZ127" s="1770"/>
      <c r="BA127" s="1770"/>
      <c r="BB127" s="1771"/>
      <c r="BC127" s="1773"/>
      <c r="BD127" s="1774"/>
      <c r="BE127" s="1776"/>
      <c r="BF127" s="1776"/>
      <c r="BG127" s="1776"/>
      <c r="BH127" s="1771"/>
      <c r="BI127" s="1775"/>
      <c r="BJ127" s="1774"/>
      <c r="BK127" s="1776"/>
      <c r="BL127" s="1776"/>
      <c r="BM127" s="1777"/>
      <c r="BN127" s="1777"/>
      <c r="BO127" s="1773"/>
      <c r="BP127" s="1267"/>
      <c r="BQ127" s="1269"/>
      <c r="BR127" s="1759">
        <f t="shared" si="30"/>
        <v>0</v>
      </c>
      <c r="BS127" s="1"/>
      <c r="BT127" s="1192">
        <f t="shared" si="31"/>
        <v>0</v>
      </c>
    </row>
    <row r="128" spans="1:72" ht="15.6" x14ac:dyDescent="0.3">
      <c r="A128" s="425">
        <v>2549</v>
      </c>
      <c r="B128" s="394" t="s">
        <v>363</v>
      </c>
      <c r="C128" s="361" t="s">
        <v>215</v>
      </c>
      <c r="D128" s="362" t="s">
        <v>209</v>
      </c>
      <c r="E128" s="363">
        <v>2.9</v>
      </c>
      <c r="F128" s="364">
        <f>(BR128/G128)/7</f>
        <v>0.30656039239730226</v>
      </c>
      <c r="G128" s="362">
        <v>233</v>
      </c>
      <c r="H128" s="840">
        <f>G128*E128</f>
        <v>675.69999999999993</v>
      </c>
      <c r="I128" s="362">
        <v>5800</v>
      </c>
      <c r="J128" s="392">
        <v>500</v>
      </c>
      <c r="K128" s="1958">
        <v>3000</v>
      </c>
      <c r="L128" s="1960">
        <v>2324</v>
      </c>
      <c r="M128" s="1243">
        <f t="shared" si="34"/>
        <v>1648.3000000000002</v>
      </c>
      <c r="N128" s="1958">
        <v>3972</v>
      </c>
      <c r="O128" s="1243">
        <f t="shared" si="34"/>
        <v>3296.3</v>
      </c>
      <c r="P128" s="1243">
        <f t="shared" si="35"/>
        <v>2620.6000000000004</v>
      </c>
      <c r="Q128" s="1243">
        <f t="shared" si="35"/>
        <v>1944.9000000000005</v>
      </c>
      <c r="R128" s="1243">
        <f t="shared" si="35"/>
        <v>1269.2000000000007</v>
      </c>
      <c r="S128" s="1579">
        <f t="shared" si="35"/>
        <v>593.5000000000008</v>
      </c>
      <c r="T128" s="1847"/>
      <c r="U128" s="1183"/>
      <c r="V128" s="1273"/>
      <c r="W128" s="1183"/>
      <c r="X128" s="1273">
        <v>3000</v>
      </c>
      <c r="Y128" s="1902"/>
      <c r="Z128" s="1176"/>
      <c r="AA128" s="1177"/>
      <c r="AB128" s="1177"/>
      <c r="AC128" s="1096"/>
      <c r="AD128" s="1097"/>
      <c r="AE128" s="1215"/>
      <c r="AF128" s="1187"/>
      <c r="AG128" s="1183"/>
      <c r="AH128" s="1183"/>
      <c r="AI128" s="1183"/>
      <c r="AJ128" s="1744"/>
      <c r="AK128" s="1745"/>
      <c r="AL128" s="1746"/>
      <c r="AM128" s="1187"/>
      <c r="AN128" s="1187"/>
      <c r="AO128" s="1187"/>
      <c r="AP128" s="1273">
        <v>3000</v>
      </c>
      <c r="AQ128" s="1748"/>
      <c r="AR128" s="1746"/>
      <c r="AS128" s="1187"/>
      <c r="AT128" s="1183"/>
      <c r="AU128" s="1183"/>
      <c r="AV128" s="1744"/>
      <c r="AW128" s="1214"/>
      <c r="AX128" s="1746"/>
      <c r="AY128" s="1187"/>
      <c r="AZ128" s="1187"/>
      <c r="BA128" s="1187"/>
      <c r="BB128" s="1273"/>
      <c r="BC128" s="1745"/>
      <c r="BD128" s="1746"/>
      <c r="BE128" s="1183"/>
      <c r="BF128" s="1183"/>
      <c r="BG128" s="1183"/>
      <c r="BH128" s="1273"/>
      <c r="BI128" s="1748"/>
      <c r="BJ128" s="1746"/>
      <c r="BK128" s="1183"/>
      <c r="BL128" s="1183"/>
      <c r="BM128" s="1744"/>
      <c r="BN128" s="1744"/>
      <c r="BO128" s="1745"/>
      <c r="BP128" s="1783"/>
      <c r="BQ128" s="1784"/>
      <c r="BR128" s="1785">
        <f t="shared" si="30"/>
        <v>500</v>
      </c>
      <c r="BT128" s="1192">
        <f t="shared" si="31"/>
        <v>3000</v>
      </c>
    </row>
    <row r="129" spans="1:72" ht="15.6" x14ac:dyDescent="0.3">
      <c r="A129" s="428"/>
      <c r="B129" s="401"/>
      <c r="C129" s="398" t="s">
        <v>216</v>
      </c>
      <c r="D129" s="375" t="s">
        <v>209</v>
      </c>
      <c r="E129" s="399">
        <f>+E128</f>
        <v>2.9</v>
      </c>
      <c r="F129" s="400"/>
      <c r="G129" s="375"/>
      <c r="H129" s="842">
        <f t="shared" si="28"/>
        <v>0</v>
      </c>
      <c r="I129" s="375"/>
      <c r="J129" s="362"/>
      <c r="K129" s="1395">
        <f t="shared" si="34"/>
        <v>0</v>
      </c>
      <c r="L129" s="1195">
        <f t="shared" si="34"/>
        <v>0</v>
      </c>
      <c r="M129" s="1194">
        <f t="shared" si="34"/>
        <v>0</v>
      </c>
      <c r="N129" s="1193">
        <f t="shared" si="34"/>
        <v>0</v>
      </c>
      <c r="O129" s="1194">
        <f t="shared" si="34"/>
        <v>0</v>
      </c>
      <c r="P129" s="1193">
        <f t="shared" si="35"/>
        <v>0</v>
      </c>
      <c r="Q129" s="1194">
        <f t="shared" si="35"/>
        <v>0</v>
      </c>
      <c r="R129" s="1193">
        <f t="shared" si="35"/>
        <v>0</v>
      </c>
      <c r="S129" s="1342">
        <f>(R129-$H129)+BL129</f>
        <v>0</v>
      </c>
      <c r="T129" s="1854"/>
      <c r="U129" s="1114"/>
      <c r="V129" s="1193"/>
      <c r="W129" s="1114"/>
      <c r="X129" s="1193"/>
      <c r="Y129" s="1929"/>
      <c r="Z129" s="1198"/>
      <c r="AA129" s="1199"/>
      <c r="AB129" s="1199"/>
      <c r="AC129" s="1104"/>
      <c r="AD129" s="1205"/>
      <c r="AE129" s="1197"/>
      <c r="AF129" s="1103"/>
      <c r="AG129" s="1104"/>
      <c r="AH129" s="1104"/>
      <c r="AI129" s="1104"/>
      <c r="AJ129" s="1205"/>
      <c r="AK129" s="1768"/>
      <c r="AL129" s="1204"/>
      <c r="AM129" s="1103"/>
      <c r="AN129" s="1103"/>
      <c r="AO129" s="1103"/>
      <c r="AP129" s="1195"/>
      <c r="AQ129" s="1769"/>
      <c r="AR129" s="1204"/>
      <c r="AS129" s="1103"/>
      <c r="AT129" s="1104"/>
      <c r="AU129" s="1104"/>
      <c r="AV129" s="1205"/>
      <c r="AW129" s="1196"/>
      <c r="AX129" s="1204"/>
      <c r="AY129" s="1103"/>
      <c r="AZ129" s="1103"/>
      <c r="BA129" s="1103"/>
      <c r="BB129" s="1195"/>
      <c r="BC129" s="1768"/>
      <c r="BD129" s="1204"/>
      <c r="BE129" s="1104"/>
      <c r="BF129" s="1104"/>
      <c r="BG129" s="1104"/>
      <c r="BH129" s="1195"/>
      <c r="BI129" s="1769"/>
      <c r="BJ129" s="1204"/>
      <c r="BK129" s="1104"/>
      <c r="BL129" s="1104"/>
      <c r="BM129" s="1205"/>
      <c r="BN129" s="1205"/>
      <c r="BO129" s="1768"/>
      <c r="BP129" s="1786"/>
      <c r="BQ129" s="1753"/>
      <c r="BR129" s="1754">
        <f t="shared" si="30"/>
        <v>0</v>
      </c>
      <c r="BS129" s="1"/>
      <c r="BT129" s="1192">
        <f t="shared" si="31"/>
        <v>0</v>
      </c>
    </row>
    <row r="130" spans="1:72" ht="16.2" thickBot="1" x14ac:dyDescent="0.35">
      <c r="A130" s="444"/>
      <c r="B130" s="411"/>
      <c r="C130" s="432" t="s">
        <v>217</v>
      </c>
      <c r="D130" s="386" t="s">
        <v>209</v>
      </c>
      <c r="E130" s="433">
        <f>+E129</f>
        <v>2.9</v>
      </c>
      <c r="F130" s="424"/>
      <c r="G130" s="386"/>
      <c r="H130" s="844">
        <f t="shared" si="28"/>
        <v>0</v>
      </c>
      <c r="I130" s="406"/>
      <c r="J130" s="385"/>
      <c r="K130" s="1437">
        <f t="shared" si="34"/>
        <v>0</v>
      </c>
      <c r="L130" s="1222">
        <f t="shared" si="34"/>
        <v>0</v>
      </c>
      <c r="M130" s="1223">
        <f t="shared" si="34"/>
        <v>0</v>
      </c>
      <c r="N130" s="1222">
        <f t="shared" si="34"/>
        <v>0</v>
      </c>
      <c r="O130" s="1223">
        <f t="shared" si="34"/>
        <v>0</v>
      </c>
      <c r="P130" s="1222">
        <f t="shared" si="35"/>
        <v>0</v>
      </c>
      <c r="Q130" s="1223">
        <f t="shared" si="35"/>
        <v>0</v>
      </c>
      <c r="R130" s="1222">
        <f t="shared" si="35"/>
        <v>0</v>
      </c>
      <c r="S130" s="1438">
        <f>(R130-$H130)+BL130</f>
        <v>0</v>
      </c>
      <c r="T130" s="1848"/>
      <c r="U130" s="1885"/>
      <c r="V130" s="1222"/>
      <c r="W130" s="1885"/>
      <c r="X130" s="1222"/>
      <c r="Y130" s="1923"/>
      <c r="Z130" s="1226"/>
      <c r="AA130" s="1227"/>
      <c r="AB130" s="1227"/>
      <c r="AC130" s="1219"/>
      <c r="AD130" s="1233"/>
      <c r="AE130" s="1225"/>
      <c r="AF130" s="1218"/>
      <c r="AG130" s="1219"/>
      <c r="AH130" s="1219"/>
      <c r="AI130" s="1219"/>
      <c r="AJ130" s="1233"/>
      <c r="AK130" s="1787"/>
      <c r="AL130" s="1232"/>
      <c r="AM130" s="1218"/>
      <c r="AN130" s="1218"/>
      <c r="AO130" s="1218"/>
      <c r="AP130" s="1281"/>
      <c r="AQ130" s="1788"/>
      <c r="AR130" s="1232"/>
      <c r="AS130" s="1218"/>
      <c r="AT130" s="1219"/>
      <c r="AU130" s="1219"/>
      <c r="AV130" s="1233"/>
      <c r="AW130" s="1221"/>
      <c r="AX130" s="1232"/>
      <c r="AY130" s="1218"/>
      <c r="AZ130" s="1218"/>
      <c r="BA130" s="1218"/>
      <c r="BB130" s="1281"/>
      <c r="BC130" s="1787"/>
      <c r="BD130" s="1232"/>
      <c r="BE130" s="1219"/>
      <c r="BF130" s="1219"/>
      <c r="BG130" s="1219"/>
      <c r="BH130" s="1281"/>
      <c r="BI130" s="1788"/>
      <c r="BJ130" s="1232"/>
      <c r="BK130" s="1219"/>
      <c r="BL130" s="1219"/>
      <c r="BM130" s="1233"/>
      <c r="BN130" s="1233"/>
      <c r="BO130" s="1787"/>
      <c r="BP130" s="1365"/>
      <c r="BQ130" s="1357"/>
      <c r="BR130" s="1759">
        <f t="shared" si="30"/>
        <v>0</v>
      </c>
      <c r="BS130" s="1"/>
      <c r="BT130" s="1192">
        <f t="shared" si="31"/>
        <v>0</v>
      </c>
    </row>
    <row r="131" spans="1:72" ht="15.6" x14ac:dyDescent="0.3">
      <c r="A131" s="445">
        <v>2548</v>
      </c>
      <c r="B131" s="360" t="s">
        <v>362</v>
      </c>
      <c r="C131" s="391" t="s">
        <v>218</v>
      </c>
      <c r="D131" s="392" t="s">
        <v>209</v>
      </c>
      <c r="E131" s="446">
        <v>3</v>
      </c>
      <c r="F131" s="364">
        <f>(BR131/G131)/7</f>
        <v>0.92364532019704437</v>
      </c>
      <c r="G131" s="392">
        <v>232</v>
      </c>
      <c r="H131" s="841">
        <f t="shared" si="28"/>
        <v>696</v>
      </c>
      <c r="I131" s="362">
        <v>5800</v>
      </c>
      <c r="J131" s="392">
        <v>1500</v>
      </c>
      <c r="K131" s="1243">
        <f t="shared" si="34"/>
        <v>804</v>
      </c>
      <c r="L131" s="1958">
        <v>2108</v>
      </c>
      <c r="M131" s="1243">
        <f t="shared" si="34"/>
        <v>1412</v>
      </c>
      <c r="N131" s="1958">
        <v>3716</v>
      </c>
      <c r="O131" s="1243">
        <f t="shared" si="34"/>
        <v>3020</v>
      </c>
      <c r="P131" s="1243">
        <f t="shared" si="35"/>
        <v>2324</v>
      </c>
      <c r="Q131" s="1243">
        <f t="shared" si="35"/>
        <v>1628</v>
      </c>
      <c r="R131" s="1243">
        <f t="shared" si="35"/>
        <v>932</v>
      </c>
      <c r="S131" s="1579">
        <f t="shared" si="35"/>
        <v>236</v>
      </c>
      <c r="T131" s="1852"/>
      <c r="U131" s="1790"/>
      <c r="V131" s="1242"/>
      <c r="W131" s="1790"/>
      <c r="X131" s="1242"/>
      <c r="Y131" s="1921"/>
      <c r="Z131" s="1245"/>
      <c r="AA131" s="1254"/>
      <c r="AB131" s="1254"/>
      <c r="AC131" s="1376"/>
      <c r="AD131" s="1386">
        <v>2000</v>
      </c>
      <c r="AE131" s="1761"/>
      <c r="AF131" s="1760"/>
      <c r="AG131" s="1376"/>
      <c r="AH131" s="1376"/>
      <c r="AI131" s="1376"/>
      <c r="AJ131" s="1386"/>
      <c r="AK131" s="1762"/>
      <c r="AL131" s="1382"/>
      <c r="AM131" s="1760"/>
      <c r="AN131" s="1760"/>
      <c r="AO131" s="1760"/>
      <c r="AP131" s="1244">
        <v>3000</v>
      </c>
      <c r="AQ131" s="1763"/>
      <c r="AR131" s="1382"/>
      <c r="AS131" s="1760"/>
      <c r="AT131" s="1376"/>
      <c r="AU131" s="1376"/>
      <c r="AV131" s="1386"/>
      <c r="AW131" s="1764"/>
      <c r="AX131" s="1382"/>
      <c r="AY131" s="1760"/>
      <c r="AZ131" s="1760"/>
      <c r="BA131" s="1760"/>
      <c r="BB131" s="1244"/>
      <c r="BC131" s="1762"/>
      <c r="BD131" s="1382"/>
      <c r="BE131" s="1376"/>
      <c r="BF131" s="1376"/>
      <c r="BG131" s="1376"/>
      <c r="BH131" s="1244"/>
      <c r="BI131" s="1763"/>
      <c r="BJ131" s="1382"/>
      <c r="BK131" s="1376"/>
      <c r="BL131" s="1376"/>
      <c r="BM131" s="1386"/>
      <c r="BN131" s="1386"/>
      <c r="BO131" s="1762"/>
      <c r="BP131" s="1765"/>
      <c r="BQ131" s="1766"/>
      <c r="BR131" s="1767">
        <f t="shared" si="30"/>
        <v>1500</v>
      </c>
      <c r="BS131" s="1"/>
      <c r="BT131" s="1192">
        <f t="shared" si="31"/>
        <v>5000</v>
      </c>
    </row>
    <row r="132" spans="1:72" ht="15.6" x14ac:dyDescent="0.3">
      <c r="A132" s="418"/>
      <c r="B132" s="401"/>
      <c r="C132" s="432" t="s">
        <v>219</v>
      </c>
      <c r="D132" s="386" t="s">
        <v>209</v>
      </c>
      <c r="E132" s="448">
        <f>+E131</f>
        <v>3</v>
      </c>
      <c r="F132" s="449"/>
      <c r="G132" s="375"/>
      <c r="H132" s="844">
        <f t="shared" si="28"/>
        <v>0</v>
      </c>
      <c r="I132" s="386"/>
      <c r="J132" s="362"/>
      <c r="K132" s="1560">
        <f t="shared" si="34"/>
        <v>0</v>
      </c>
      <c r="L132" s="1273">
        <f t="shared" si="34"/>
        <v>0</v>
      </c>
      <c r="M132" s="1274">
        <f t="shared" si="34"/>
        <v>0</v>
      </c>
      <c r="N132" s="1273">
        <f t="shared" si="34"/>
        <v>0</v>
      </c>
      <c r="O132" s="1274">
        <f t="shared" si="34"/>
        <v>0</v>
      </c>
      <c r="P132" s="1273">
        <f t="shared" si="35"/>
        <v>0</v>
      </c>
      <c r="Q132" s="1274">
        <f t="shared" si="35"/>
        <v>0</v>
      </c>
      <c r="R132" s="1273">
        <f t="shared" si="35"/>
        <v>0</v>
      </c>
      <c r="S132" s="1565">
        <f>(R132-$H132)+BL132</f>
        <v>0</v>
      </c>
      <c r="T132" s="1847"/>
      <c r="U132" s="1183"/>
      <c r="V132" s="1273"/>
      <c r="W132" s="1183"/>
      <c r="X132" s="1273"/>
      <c r="Y132" s="1902"/>
      <c r="Z132" s="1198"/>
      <c r="AA132" s="1227"/>
      <c r="AB132" s="1227"/>
      <c r="AC132" s="1219"/>
      <c r="AD132" s="1233"/>
      <c r="AE132" s="1225"/>
      <c r="AF132" s="1218"/>
      <c r="AG132" s="1219"/>
      <c r="AH132" s="1219"/>
      <c r="AI132" s="1219"/>
      <c r="AJ132" s="1233"/>
      <c r="AK132" s="1787"/>
      <c r="AL132" s="1232"/>
      <c r="AM132" s="1218"/>
      <c r="AN132" s="1218"/>
      <c r="AO132" s="1218"/>
      <c r="AP132" s="1281"/>
      <c r="AQ132" s="1788"/>
      <c r="AR132" s="1232"/>
      <c r="AS132" s="1218"/>
      <c r="AT132" s="1219"/>
      <c r="AU132" s="1219"/>
      <c r="AV132" s="1233"/>
      <c r="AW132" s="1221"/>
      <c r="AX132" s="1232"/>
      <c r="AY132" s="1218"/>
      <c r="AZ132" s="1218"/>
      <c r="BA132" s="1218"/>
      <c r="BB132" s="1281"/>
      <c r="BC132" s="1787"/>
      <c r="BD132" s="1232"/>
      <c r="BE132" s="1219"/>
      <c r="BF132" s="1219"/>
      <c r="BG132" s="1219"/>
      <c r="BH132" s="1281"/>
      <c r="BI132" s="1788"/>
      <c r="BJ132" s="1232"/>
      <c r="BK132" s="1219"/>
      <c r="BL132" s="1219"/>
      <c r="BM132" s="1233"/>
      <c r="BN132" s="1233"/>
      <c r="BO132" s="1787"/>
      <c r="BP132" s="1786"/>
      <c r="BQ132" s="1753"/>
      <c r="BR132" s="1754">
        <f t="shared" si="30"/>
        <v>0</v>
      </c>
      <c r="BS132" s="1"/>
      <c r="BT132" s="1192">
        <f t="shared" si="31"/>
        <v>0</v>
      </c>
    </row>
    <row r="133" spans="1:72" ht="16.2" thickBot="1" x14ac:dyDescent="0.35">
      <c r="A133" s="420"/>
      <c r="B133" s="431"/>
      <c r="C133" s="405" t="s">
        <v>220</v>
      </c>
      <c r="D133" s="406" t="s">
        <v>209</v>
      </c>
      <c r="E133" s="452">
        <f>+E132</f>
        <v>3</v>
      </c>
      <c r="F133" s="424"/>
      <c r="G133" s="406"/>
      <c r="H133" s="843">
        <f t="shared" si="28"/>
        <v>0</v>
      </c>
      <c r="I133" s="406"/>
      <c r="J133" s="385"/>
      <c r="K133" s="1801">
        <f t="shared" si="34"/>
        <v>0</v>
      </c>
      <c r="L133" s="1590">
        <f t="shared" si="34"/>
        <v>0</v>
      </c>
      <c r="M133" s="1589">
        <f t="shared" si="34"/>
        <v>0</v>
      </c>
      <c r="N133" s="1590">
        <f t="shared" si="34"/>
        <v>0</v>
      </c>
      <c r="O133" s="1589">
        <f t="shared" si="34"/>
        <v>0</v>
      </c>
      <c r="P133" s="1590">
        <f t="shared" si="35"/>
        <v>0</v>
      </c>
      <c r="Q133" s="1589">
        <f t="shared" si="35"/>
        <v>0</v>
      </c>
      <c r="R133" s="1590">
        <f t="shared" si="35"/>
        <v>0</v>
      </c>
      <c r="S133" s="1596">
        <f>(R133-$H133)+BL133</f>
        <v>0</v>
      </c>
      <c r="T133" s="1864"/>
      <c r="U133" s="1894"/>
      <c r="V133" s="1590"/>
      <c r="W133" s="1894"/>
      <c r="X133" s="1590"/>
      <c r="Y133" s="1922"/>
      <c r="Z133" s="1838"/>
      <c r="AA133" s="1779"/>
      <c r="AB133" s="1779"/>
      <c r="AC133" s="1776"/>
      <c r="AD133" s="1777"/>
      <c r="AE133" s="1772"/>
      <c r="AF133" s="1770"/>
      <c r="AG133" s="1776"/>
      <c r="AH133" s="1776"/>
      <c r="AI133" s="1776"/>
      <c r="AJ133" s="1777"/>
      <c r="AK133" s="1773"/>
      <c r="AL133" s="1774"/>
      <c r="AM133" s="1770"/>
      <c r="AN133" s="1770"/>
      <c r="AO133" s="1770"/>
      <c r="AP133" s="1771"/>
      <c r="AQ133" s="1775"/>
      <c r="AR133" s="1774"/>
      <c r="AS133" s="1770"/>
      <c r="AT133" s="1776"/>
      <c r="AU133" s="1776"/>
      <c r="AV133" s="1777"/>
      <c r="AW133" s="1778"/>
      <c r="AX133" s="1774"/>
      <c r="AY133" s="1770"/>
      <c r="AZ133" s="1770"/>
      <c r="BA133" s="1770"/>
      <c r="BB133" s="1771"/>
      <c r="BC133" s="1773"/>
      <c r="BD133" s="1774"/>
      <c r="BE133" s="1776"/>
      <c r="BF133" s="1776"/>
      <c r="BG133" s="1776"/>
      <c r="BH133" s="1771"/>
      <c r="BI133" s="1775"/>
      <c r="BJ133" s="1774"/>
      <c r="BK133" s="1776"/>
      <c r="BL133" s="1776"/>
      <c r="BM133" s="1777"/>
      <c r="BN133" s="1777"/>
      <c r="BO133" s="1773"/>
      <c r="BP133" s="1267"/>
      <c r="BQ133" s="1269"/>
      <c r="BR133" s="1759">
        <f t="shared" si="30"/>
        <v>0</v>
      </c>
      <c r="BS133" s="1"/>
      <c r="BT133" s="1192">
        <f t="shared" si="31"/>
        <v>0</v>
      </c>
    </row>
    <row r="134" spans="1:72" ht="15.6" x14ac:dyDescent="0.3">
      <c r="A134" s="425">
        <v>2547</v>
      </c>
      <c r="B134" s="394"/>
      <c r="C134" s="533" t="s">
        <v>221</v>
      </c>
      <c r="D134" s="534" t="s">
        <v>446</v>
      </c>
      <c r="E134" s="535">
        <v>2.2000000000000002</v>
      </c>
      <c r="F134" s="536" t="e">
        <f>(BR134/G134)/7</f>
        <v>#DIV/0!</v>
      </c>
      <c r="G134" s="385"/>
      <c r="H134" s="846">
        <f t="shared" si="28"/>
        <v>0</v>
      </c>
      <c r="I134" s="362"/>
      <c r="J134" s="392"/>
      <c r="K134" s="1243">
        <f t="shared" si="34"/>
        <v>0</v>
      </c>
      <c r="L134" s="1243">
        <f t="shared" si="34"/>
        <v>0</v>
      </c>
      <c r="M134" s="1243">
        <f t="shared" si="34"/>
        <v>0</v>
      </c>
      <c r="N134" s="1243">
        <f t="shared" si="34"/>
        <v>0</v>
      </c>
      <c r="O134" s="1243">
        <f t="shared" si="34"/>
        <v>0</v>
      </c>
      <c r="P134" s="1274">
        <f t="shared" si="35"/>
        <v>0</v>
      </c>
      <c r="Q134" s="1274">
        <f t="shared" si="35"/>
        <v>0</v>
      </c>
      <c r="R134" s="1273">
        <f t="shared" si="35"/>
        <v>0</v>
      </c>
      <c r="S134" s="1438">
        <f t="shared" si="35"/>
        <v>0</v>
      </c>
      <c r="T134" s="1848"/>
      <c r="U134" s="1885"/>
      <c r="V134" s="1222"/>
      <c r="W134" s="1885"/>
      <c r="X134" s="1222"/>
      <c r="Y134" s="1923"/>
      <c r="Z134" s="1356"/>
      <c r="AA134" s="1357"/>
      <c r="AB134" s="1357"/>
      <c r="AC134" s="1362"/>
      <c r="AD134" s="1369"/>
      <c r="AE134" s="1755"/>
      <c r="AF134" s="1451"/>
      <c r="AG134" s="1362"/>
      <c r="AH134" s="1362"/>
      <c r="AI134" s="1362"/>
      <c r="AJ134" s="1369"/>
      <c r="AK134" s="1756"/>
      <c r="AL134" s="1361"/>
      <c r="AM134" s="1451"/>
      <c r="AN134" s="1451"/>
      <c r="AO134" s="1451"/>
      <c r="AP134" s="1224"/>
      <c r="AQ134" s="1757"/>
      <c r="AR134" s="1361"/>
      <c r="AS134" s="1451"/>
      <c r="AT134" s="1362"/>
      <c r="AU134" s="1362"/>
      <c r="AV134" s="1369"/>
      <c r="AW134" s="1758"/>
      <c r="AX134" s="1361"/>
      <c r="AY134" s="1451"/>
      <c r="AZ134" s="1451"/>
      <c r="BA134" s="1451"/>
      <c r="BB134" s="1224"/>
      <c r="BC134" s="1756"/>
      <c r="BD134" s="1361"/>
      <c r="BE134" s="1362"/>
      <c r="BF134" s="1362"/>
      <c r="BG134" s="1362"/>
      <c r="BH134" s="1224"/>
      <c r="BI134" s="1757"/>
      <c r="BJ134" s="1361"/>
      <c r="BK134" s="1362"/>
      <c r="BL134" s="1362"/>
      <c r="BM134" s="1369"/>
      <c r="BN134" s="1369"/>
      <c r="BO134" s="1756"/>
      <c r="BP134" s="1765"/>
      <c r="BQ134" s="1766"/>
      <c r="BR134" s="1767">
        <f t="shared" si="30"/>
        <v>0</v>
      </c>
      <c r="BS134" s="1"/>
      <c r="BT134" s="1192">
        <f t="shared" si="31"/>
        <v>0</v>
      </c>
    </row>
    <row r="135" spans="1:72" ht="15.6" x14ac:dyDescent="0.3">
      <c r="A135" s="447"/>
      <c r="B135" s="401"/>
      <c r="C135" s="539" t="s">
        <v>222</v>
      </c>
      <c r="D135" s="540" t="s">
        <v>209</v>
      </c>
      <c r="E135" s="535">
        <f>+E134</f>
        <v>2.2000000000000002</v>
      </c>
      <c r="F135" s="541"/>
      <c r="G135" s="375"/>
      <c r="H135" s="842">
        <f t="shared" si="28"/>
        <v>0</v>
      </c>
      <c r="I135" s="375"/>
      <c r="J135" s="362"/>
      <c r="K135" s="1395">
        <f t="shared" si="34"/>
        <v>0</v>
      </c>
      <c r="L135" s="1222">
        <f t="shared" si="34"/>
        <v>0</v>
      </c>
      <c r="M135" s="1194">
        <f t="shared" si="34"/>
        <v>0</v>
      </c>
      <c r="N135" s="1273">
        <f t="shared" si="34"/>
        <v>0</v>
      </c>
      <c r="O135" s="1194">
        <f t="shared" si="34"/>
        <v>0</v>
      </c>
      <c r="P135" s="1273">
        <f t="shared" si="35"/>
        <v>0</v>
      </c>
      <c r="Q135" s="1194">
        <f t="shared" si="35"/>
        <v>0</v>
      </c>
      <c r="R135" s="1193">
        <f t="shared" si="35"/>
        <v>0</v>
      </c>
      <c r="S135" s="1342">
        <f>(R135-$H135)+AN135</f>
        <v>0</v>
      </c>
      <c r="T135" s="1854"/>
      <c r="U135" s="1114"/>
      <c r="V135" s="1193"/>
      <c r="W135" s="1114"/>
      <c r="X135" s="1193"/>
      <c r="Y135" s="1929"/>
      <c r="Z135" s="1198"/>
      <c r="AA135" s="1199"/>
      <c r="AB135" s="1199"/>
      <c r="AC135" s="1104"/>
      <c r="AD135" s="1205"/>
      <c r="AE135" s="1197"/>
      <c r="AF135" s="1103"/>
      <c r="AG135" s="1104"/>
      <c r="AH135" s="1104"/>
      <c r="AI135" s="1104"/>
      <c r="AJ135" s="1205"/>
      <c r="AK135" s="1768"/>
      <c r="AL135" s="1204"/>
      <c r="AM135" s="1103"/>
      <c r="AN135" s="1103"/>
      <c r="AO135" s="1103"/>
      <c r="AP135" s="1195"/>
      <c r="AQ135" s="1769"/>
      <c r="AR135" s="1204"/>
      <c r="AS135" s="1103"/>
      <c r="AT135" s="1104"/>
      <c r="AU135" s="1104"/>
      <c r="AV135" s="1205"/>
      <c r="AW135" s="1196"/>
      <c r="AX135" s="1204"/>
      <c r="AY135" s="1103"/>
      <c r="AZ135" s="1103"/>
      <c r="BA135" s="1103"/>
      <c r="BB135" s="1195"/>
      <c r="BC135" s="1768"/>
      <c r="BD135" s="1204"/>
      <c r="BE135" s="1104"/>
      <c r="BF135" s="1104"/>
      <c r="BG135" s="1104"/>
      <c r="BH135" s="1195"/>
      <c r="BI135" s="1769"/>
      <c r="BJ135" s="1204"/>
      <c r="BK135" s="1104"/>
      <c r="BL135" s="1104"/>
      <c r="BM135" s="1205"/>
      <c r="BN135" s="1205"/>
      <c r="BO135" s="1768"/>
      <c r="BP135" s="1786"/>
      <c r="BQ135" s="1802"/>
      <c r="BR135" s="1754">
        <f t="shared" si="30"/>
        <v>0</v>
      </c>
      <c r="BS135" s="1"/>
      <c r="BT135" s="1192">
        <f t="shared" si="31"/>
        <v>0</v>
      </c>
    </row>
    <row r="136" spans="1:72" ht="16.2" thickBot="1" x14ac:dyDescent="0.35">
      <c r="A136" s="420"/>
      <c r="B136" s="411"/>
      <c r="C136" s="544" t="s">
        <v>223</v>
      </c>
      <c r="D136" s="545" t="s">
        <v>209</v>
      </c>
      <c r="E136" s="546">
        <f>+E135</f>
        <v>2.2000000000000002</v>
      </c>
      <c r="F136" s="547"/>
      <c r="G136" s="458"/>
      <c r="H136" s="847">
        <f t="shared" si="28"/>
        <v>0</v>
      </c>
      <c r="I136" s="458"/>
      <c r="J136" s="459"/>
      <c r="K136" s="1803">
        <f t="shared" si="34"/>
        <v>0</v>
      </c>
      <c r="L136" s="1804">
        <f t="shared" si="34"/>
        <v>0</v>
      </c>
      <c r="M136" s="1805">
        <f t="shared" si="34"/>
        <v>0</v>
      </c>
      <c r="N136" s="1806">
        <f t="shared" si="34"/>
        <v>0</v>
      </c>
      <c r="O136" s="1698">
        <f t="shared" si="34"/>
        <v>0</v>
      </c>
      <c r="P136" s="1806">
        <f t="shared" si="35"/>
        <v>0</v>
      </c>
      <c r="Q136" s="1698">
        <f t="shared" si="35"/>
        <v>0</v>
      </c>
      <c r="R136" s="1804">
        <f t="shared" si="35"/>
        <v>0</v>
      </c>
      <c r="S136" s="1697">
        <f>(R136-$H136)+AN136</f>
        <v>0</v>
      </c>
      <c r="T136" s="1869"/>
      <c r="U136" s="1925"/>
      <c r="V136" s="1804"/>
      <c r="W136" s="1925"/>
      <c r="X136" s="1804"/>
      <c r="Y136" s="1926"/>
      <c r="Z136" s="1839"/>
      <c r="AA136" s="1807"/>
      <c r="AB136" s="1807"/>
      <c r="AC136" s="1808"/>
      <c r="AD136" s="1809"/>
      <c r="AE136" s="1810"/>
      <c r="AF136" s="1811"/>
      <c r="AG136" s="1812"/>
      <c r="AH136" s="1812"/>
      <c r="AI136" s="1812"/>
      <c r="AJ136" s="1813"/>
      <c r="AK136" s="1814"/>
      <c r="AL136" s="1815"/>
      <c r="AM136" s="1811"/>
      <c r="AN136" s="1811"/>
      <c r="AO136" s="1811"/>
      <c r="AP136" s="1816"/>
      <c r="AQ136" s="1817"/>
      <c r="AR136" s="1815"/>
      <c r="AS136" s="1811"/>
      <c r="AT136" s="1812"/>
      <c r="AU136" s="1812"/>
      <c r="AV136" s="1813"/>
      <c r="AW136" s="1818"/>
      <c r="AX136" s="1815"/>
      <c r="AY136" s="1811"/>
      <c r="AZ136" s="1811"/>
      <c r="BA136" s="1811"/>
      <c r="BB136" s="1816"/>
      <c r="BC136" s="1814"/>
      <c r="BD136" s="1815"/>
      <c r="BE136" s="1812"/>
      <c r="BF136" s="1812"/>
      <c r="BG136" s="1812"/>
      <c r="BH136" s="1816"/>
      <c r="BI136" s="1817"/>
      <c r="BJ136" s="1815"/>
      <c r="BK136" s="1812"/>
      <c r="BL136" s="1812"/>
      <c r="BM136" s="1813"/>
      <c r="BN136" s="1813"/>
      <c r="BO136" s="1814"/>
      <c r="BP136" s="1819"/>
      <c r="BQ136" s="1820"/>
      <c r="BR136" s="1821">
        <f t="shared" si="30"/>
        <v>0</v>
      </c>
      <c r="BS136" s="1"/>
      <c r="BT136" s="1192">
        <f t="shared" si="31"/>
        <v>0</v>
      </c>
    </row>
    <row r="137" spans="1:72" ht="15" thickTop="1" x14ac:dyDescent="0.3">
      <c r="A137" s="1"/>
      <c r="B137" s="1"/>
      <c r="C137" s="1"/>
      <c r="D137" s="1"/>
      <c r="E137" s="1"/>
      <c r="F137" s="1"/>
      <c r="G137" s="1"/>
      <c r="H137" s="1"/>
      <c r="I137" s="857"/>
      <c r="J137" s="1"/>
      <c r="K137" s="1085"/>
      <c r="L137" s="1085"/>
      <c r="M137" s="1822"/>
      <c r="N137" s="1823"/>
      <c r="O137" s="1085"/>
      <c r="P137" s="1085"/>
      <c r="Q137" s="1085"/>
      <c r="R137" s="1085"/>
      <c r="S137" s="1085"/>
      <c r="T137" s="1936"/>
      <c r="U137" s="1085"/>
      <c r="V137" s="1085"/>
      <c r="W137" s="1085"/>
      <c r="X137" s="1085"/>
      <c r="Y137" s="1085"/>
      <c r="Z137" s="1085"/>
      <c r="AA137" s="1085"/>
      <c r="AB137" s="1085"/>
      <c r="AC137" s="1824"/>
      <c r="AD137" s="1085"/>
      <c r="AE137" s="1085"/>
      <c r="AF137" s="1085"/>
      <c r="AG137" s="1085"/>
      <c r="AH137" s="1085"/>
      <c r="AI137" s="1085"/>
      <c r="AJ137" s="1085"/>
      <c r="AK137" s="1085"/>
      <c r="AL137" s="1085"/>
      <c r="AM137" s="1085"/>
      <c r="AN137" s="1085"/>
      <c r="AO137" s="1085"/>
      <c r="AP137" s="1085"/>
      <c r="AQ137" s="1085"/>
      <c r="AR137" s="1085"/>
      <c r="AS137" s="1085"/>
      <c r="AT137" s="1085"/>
      <c r="AU137" s="1085"/>
      <c r="AV137" s="1085"/>
      <c r="AW137" s="1085"/>
      <c r="AX137" s="1085"/>
      <c r="AY137" s="1085"/>
      <c r="AZ137" s="1085"/>
      <c r="BA137" s="1085"/>
      <c r="BB137" s="1085"/>
      <c r="BC137" s="1085"/>
      <c r="BD137" s="1085"/>
      <c r="BE137" s="1085"/>
      <c r="BF137" s="1085"/>
      <c r="BG137" s="1085"/>
      <c r="BH137" s="1085"/>
      <c r="BI137" s="1085"/>
      <c r="BJ137" s="1085"/>
      <c r="BK137" s="1085"/>
      <c r="BL137" s="1085"/>
      <c r="BM137" s="1085"/>
      <c r="BN137" s="1085"/>
      <c r="BO137" s="1085"/>
      <c r="BP137" s="1085"/>
      <c r="BQ137" s="1085"/>
      <c r="BR137" s="1085"/>
      <c r="BS137" s="1"/>
    </row>
    <row r="138" spans="1:72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085"/>
      <c r="L138" s="1085"/>
      <c r="M138" s="1085"/>
      <c r="N138" s="1085"/>
      <c r="O138" s="1085"/>
      <c r="P138" s="1085"/>
      <c r="Q138" s="1085"/>
      <c r="R138" s="1085"/>
      <c r="S138" s="1085"/>
      <c r="T138" s="1085"/>
      <c r="U138" s="1085"/>
      <c r="V138" s="1085"/>
      <c r="W138" s="1085"/>
      <c r="X138" s="1085"/>
      <c r="Y138" s="1085"/>
      <c r="Z138" s="1552"/>
      <c r="AA138" s="1552"/>
      <c r="AB138" s="1552"/>
      <c r="AC138" s="1552"/>
      <c r="AD138" s="1552"/>
      <c r="AE138" s="1552"/>
      <c r="AF138" s="1552"/>
      <c r="AG138" s="1552"/>
      <c r="AH138" s="1552"/>
      <c r="AI138" s="1552"/>
      <c r="AJ138" s="1552"/>
      <c r="AK138" s="1552"/>
      <c r="AL138" s="1552"/>
      <c r="AM138" s="1552"/>
      <c r="AN138" s="1552"/>
      <c r="AO138" s="1552"/>
      <c r="AP138" s="1552"/>
      <c r="AQ138" s="1552"/>
      <c r="AR138" s="1552"/>
      <c r="AS138" s="1552"/>
      <c r="AT138" s="1552"/>
      <c r="AU138" s="1552"/>
      <c r="AV138" s="1552"/>
      <c r="AW138" s="1552"/>
      <c r="AX138" s="1552"/>
      <c r="AY138" s="1552"/>
      <c r="AZ138" s="1552"/>
      <c r="BA138" s="1552"/>
      <c r="BB138" s="1552"/>
      <c r="BC138" s="1552"/>
      <c r="BD138" s="1552"/>
      <c r="BE138" s="1552"/>
      <c r="BF138" s="1552"/>
      <c r="BG138" s="1552"/>
      <c r="BH138" s="1552"/>
      <c r="BI138" s="1552"/>
      <c r="BJ138" s="1552"/>
      <c r="BK138" s="1552"/>
      <c r="BL138" s="1552"/>
      <c r="BM138" s="1552"/>
      <c r="BN138" s="1552"/>
      <c r="BO138" s="1552"/>
      <c r="BP138" s="1552"/>
      <c r="BQ138" s="1552"/>
      <c r="BR138" s="1552"/>
      <c r="BS138" s="1085"/>
      <c r="BT138" s="1192"/>
    </row>
    <row r="139" spans="1:72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085"/>
      <c r="L139" s="1085"/>
      <c r="M139" s="1085"/>
      <c r="N139" s="1085"/>
      <c r="O139" s="1085"/>
      <c r="P139" s="1085"/>
      <c r="Q139" s="1085"/>
      <c r="R139" s="1085"/>
      <c r="S139" s="1085"/>
      <c r="T139" s="1085"/>
      <c r="U139" s="1085"/>
      <c r="V139" s="1085"/>
      <c r="W139" s="1085"/>
      <c r="X139" s="1085"/>
      <c r="Y139" s="1085"/>
      <c r="Z139" s="1085"/>
      <c r="AA139" s="1085"/>
      <c r="AB139" s="1085"/>
      <c r="AC139" s="1085"/>
      <c r="AD139" s="1085"/>
      <c r="AE139" s="1085"/>
      <c r="AF139" s="1085"/>
      <c r="AG139" s="1085"/>
      <c r="AH139" s="1085"/>
      <c r="AI139" s="1085"/>
      <c r="AJ139" s="1085"/>
      <c r="AK139" s="1085"/>
      <c r="AL139" s="1085"/>
      <c r="AM139" s="1085"/>
      <c r="AN139" s="1085"/>
      <c r="AO139" s="1085"/>
      <c r="AP139" s="1085"/>
      <c r="AQ139" s="1085"/>
      <c r="AR139" s="1085"/>
      <c r="AS139" s="1085"/>
      <c r="AT139" s="1085"/>
      <c r="AU139" s="1085"/>
      <c r="AV139" s="1085"/>
      <c r="AW139" s="1085"/>
      <c r="AX139" s="1085"/>
      <c r="AY139" s="1085"/>
      <c r="AZ139" s="1085"/>
      <c r="BA139" s="1085"/>
      <c r="BB139" s="1085"/>
      <c r="BC139" s="1085"/>
      <c r="BD139" s="1085"/>
      <c r="BE139" s="1085"/>
      <c r="BF139" s="1085"/>
      <c r="BG139" s="1085"/>
      <c r="BH139" s="1085"/>
      <c r="BI139" s="1085"/>
      <c r="BJ139" s="1085"/>
      <c r="BK139" s="1085"/>
      <c r="BL139" s="1085"/>
      <c r="BM139" s="1085"/>
      <c r="BN139" s="1085"/>
      <c r="BO139" s="1085"/>
      <c r="BP139" s="1085"/>
      <c r="BQ139" s="1085"/>
      <c r="BR139" s="1085"/>
      <c r="BS139" s="1"/>
    </row>
    <row r="140" spans="1:72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085"/>
      <c r="L140" s="1085"/>
      <c r="M140" s="1085"/>
      <c r="N140" s="1085"/>
      <c r="O140" s="1085"/>
      <c r="P140" s="1085"/>
      <c r="Q140" s="1085"/>
      <c r="R140" s="1085"/>
      <c r="S140" s="1085"/>
      <c r="T140" s="1085"/>
      <c r="U140" s="1085"/>
      <c r="V140" s="1085"/>
      <c r="W140" s="1085"/>
      <c r="X140" s="1085"/>
      <c r="Y140" s="1085"/>
      <c r="Z140" s="1552"/>
      <c r="AA140" s="1552"/>
      <c r="AB140" s="1552"/>
      <c r="AC140" s="1552"/>
      <c r="AD140" s="1552"/>
      <c r="AE140" s="1552"/>
      <c r="AF140" s="1552"/>
      <c r="AG140" s="1552"/>
      <c r="AH140" s="1552"/>
      <c r="AI140" s="1552"/>
      <c r="AJ140" s="1552"/>
      <c r="AK140" s="1552"/>
      <c r="AL140" s="1552"/>
      <c r="AM140" s="1552"/>
      <c r="AN140" s="1552"/>
      <c r="AO140" s="1552"/>
      <c r="AP140" s="1552"/>
      <c r="AQ140" s="1552"/>
      <c r="AR140" s="1552"/>
      <c r="AS140" s="1552"/>
      <c r="AT140" s="1552"/>
      <c r="AU140" s="1552"/>
      <c r="AV140" s="1552"/>
      <c r="AW140" s="1552"/>
      <c r="AX140" s="1552"/>
      <c r="AY140" s="1552"/>
      <c r="AZ140" s="1552"/>
      <c r="BA140" s="1552"/>
      <c r="BB140" s="1552"/>
      <c r="BC140" s="1552"/>
      <c r="BD140" s="1552"/>
      <c r="BE140" s="1552"/>
      <c r="BF140" s="1552"/>
      <c r="BG140" s="1552"/>
      <c r="BH140" s="1552"/>
      <c r="BI140" s="1552"/>
      <c r="BJ140" s="1552"/>
      <c r="BK140" s="1552"/>
      <c r="BL140" s="1552"/>
      <c r="BM140" s="1552"/>
      <c r="BN140" s="1552"/>
      <c r="BO140" s="1552"/>
      <c r="BP140" s="1085"/>
      <c r="BQ140" s="1085"/>
      <c r="BR140" s="1085"/>
      <c r="BS140" s="1085"/>
      <c r="BT140" s="1192"/>
    </row>
  </sheetData>
  <sortState xmlns:xlrd2="http://schemas.microsoft.com/office/spreadsheetml/2017/richdata2" ref="A85:A90">
    <sortCondition ref="A85"/>
  </sortState>
  <mergeCells count="9">
    <mergeCell ref="A66:A67"/>
    <mergeCell ref="A9:D9"/>
    <mergeCell ref="A47:A49"/>
    <mergeCell ref="A50:A53"/>
    <mergeCell ref="A54:A56"/>
    <mergeCell ref="A57:A59"/>
    <mergeCell ref="B57:B59"/>
    <mergeCell ref="A60:A62"/>
    <mergeCell ref="B60:B62"/>
  </mergeCells>
  <pageMargins left="0.7" right="0.7" top="0.75" bottom="0.75" header="0.3" footer="0.3"/>
  <pageSetup orientation="portrait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8C44B-EDD6-4CEE-9785-B0A01CEC80AD}">
  <sheetPr>
    <pageSetUpPr fitToPage="1"/>
  </sheetPr>
  <dimension ref="A1:AF46"/>
  <sheetViews>
    <sheetView topLeftCell="A15" zoomScaleNormal="100" workbookViewId="0">
      <pane xSplit="1" topLeftCell="B1" activePane="topRight" state="frozen"/>
      <selection pane="topRight" activeCell="C33" sqref="C33:C35"/>
    </sheetView>
  </sheetViews>
  <sheetFormatPr defaultColWidth="9.109375" defaultRowHeight="14.4" x14ac:dyDescent="0.3"/>
  <cols>
    <col min="1" max="1" width="41.5546875" style="549" bestFit="1" customWidth="1"/>
    <col min="2" max="2" width="4.88671875" style="549" customWidth="1"/>
    <col min="3" max="3" width="20.6640625" style="549" bestFit="1" customWidth="1"/>
    <col min="4" max="4" width="23" style="549" bestFit="1" customWidth="1"/>
    <col min="5" max="5" width="19.33203125" style="549" bestFit="1" customWidth="1"/>
    <col min="6" max="6" width="16.33203125" style="549" bestFit="1" customWidth="1"/>
    <col min="7" max="7" width="20.6640625" style="549" bestFit="1" customWidth="1"/>
    <col min="8" max="8" width="11.33203125" style="549" bestFit="1" customWidth="1"/>
    <col min="9" max="9" width="23" style="549" bestFit="1" customWidth="1"/>
    <col min="10" max="10" width="16.33203125" style="549" bestFit="1" customWidth="1"/>
    <col min="11" max="11" width="20.6640625" style="549" bestFit="1" customWidth="1"/>
    <col min="12" max="12" width="11.33203125" style="549" bestFit="1" customWidth="1"/>
    <col min="13" max="13" width="23" style="549" bestFit="1" customWidth="1"/>
    <col min="14" max="14" width="16.33203125" style="549" customWidth="1"/>
    <col min="15" max="15" width="20.6640625" style="549" bestFit="1" customWidth="1"/>
    <col min="16" max="16" width="11.33203125" style="549" bestFit="1" customWidth="1"/>
    <col min="17" max="17" width="23" style="549" bestFit="1" customWidth="1"/>
    <col min="18" max="18" width="16.33203125" style="549" customWidth="1"/>
    <col min="19" max="19" width="20.6640625" style="549" bestFit="1" customWidth="1"/>
    <col min="20" max="20" width="11.33203125" style="550" bestFit="1" customWidth="1"/>
    <col min="21" max="21" width="23" style="549" bestFit="1" customWidth="1"/>
    <col min="22" max="22" width="16.33203125" style="549" bestFit="1" customWidth="1"/>
    <col min="23" max="23" width="20.6640625" style="549" bestFit="1" customWidth="1"/>
    <col min="24" max="24" width="11.33203125" style="549" bestFit="1" customWidth="1"/>
    <col min="25" max="25" width="23" style="549" bestFit="1" customWidth="1"/>
    <col min="26" max="26" width="16.33203125" style="549" bestFit="1" customWidth="1"/>
    <col min="27" max="27" width="20.6640625" style="549" bestFit="1" customWidth="1"/>
    <col min="28" max="28" width="11.33203125" style="549" bestFit="1" customWidth="1"/>
    <col min="29" max="29" width="23" style="549" bestFit="1" customWidth="1"/>
    <col min="30" max="30" width="16.33203125" style="549" bestFit="1" customWidth="1"/>
    <col min="31" max="32" width="11.33203125" style="549" bestFit="1" customWidth="1"/>
    <col min="33" max="16384" width="9.109375" style="549"/>
  </cols>
  <sheetData>
    <row r="1" spans="1:32" ht="15" thickBot="1" x14ac:dyDescent="0.35">
      <c r="C1" s="2724" t="s">
        <v>277</v>
      </c>
      <c r="D1" s="2725"/>
      <c r="E1" s="2725"/>
      <c r="F1" s="2726"/>
      <c r="G1" s="2724" t="s">
        <v>277</v>
      </c>
      <c r="H1" s="2725"/>
      <c r="I1" s="2725"/>
      <c r="J1" s="2726"/>
      <c r="K1" s="2724" t="s">
        <v>277</v>
      </c>
      <c r="L1" s="2725"/>
      <c r="M1" s="2725"/>
      <c r="N1" s="2726"/>
      <c r="O1" s="2724" t="s">
        <v>277</v>
      </c>
      <c r="P1" s="2725"/>
      <c r="Q1" s="2725"/>
      <c r="R1" s="2726"/>
      <c r="S1" s="2724" t="s">
        <v>277</v>
      </c>
      <c r="T1" s="2725"/>
      <c r="U1" s="2725"/>
      <c r="V1" s="2726"/>
      <c r="W1" s="2724" t="s">
        <v>277</v>
      </c>
      <c r="X1" s="2725"/>
      <c r="Y1" s="2725"/>
      <c r="Z1" s="2726"/>
      <c r="AA1" s="2724" t="s">
        <v>277</v>
      </c>
      <c r="AB1" s="2725"/>
      <c r="AC1" s="2725"/>
      <c r="AD1" s="2726"/>
    </row>
    <row r="2" spans="1:32" s="550" customFormat="1" ht="15" thickBot="1" x14ac:dyDescent="0.35">
      <c r="C2" s="572" t="s">
        <v>263</v>
      </c>
      <c r="D2" s="873"/>
      <c r="E2" s="550" t="s">
        <v>270</v>
      </c>
      <c r="F2" s="573"/>
      <c r="G2" s="572" t="s">
        <v>263</v>
      </c>
      <c r="H2" s="555"/>
      <c r="I2" s="550" t="s">
        <v>270</v>
      </c>
      <c r="J2" s="573"/>
      <c r="K2" s="572" t="s">
        <v>263</v>
      </c>
      <c r="L2" s="555"/>
      <c r="M2" s="550" t="s">
        <v>270</v>
      </c>
      <c r="N2" s="573"/>
      <c r="O2" s="572" t="s">
        <v>263</v>
      </c>
      <c r="P2" s="555"/>
      <c r="Q2" s="550" t="s">
        <v>270</v>
      </c>
      <c r="R2" s="573"/>
      <c r="S2" s="572" t="s">
        <v>263</v>
      </c>
      <c r="T2" s="555"/>
      <c r="U2" s="550" t="s">
        <v>270</v>
      </c>
      <c r="V2" s="573"/>
      <c r="W2" s="572" t="s">
        <v>263</v>
      </c>
      <c r="X2" s="555"/>
      <c r="Y2" s="550" t="s">
        <v>270</v>
      </c>
      <c r="Z2" s="573"/>
      <c r="AA2" s="572" t="s">
        <v>263</v>
      </c>
      <c r="AB2" s="555"/>
      <c r="AC2" s="550" t="s">
        <v>270</v>
      </c>
      <c r="AD2" s="573"/>
    </row>
    <row r="3" spans="1:32" ht="15" thickBot="1" x14ac:dyDescent="0.35">
      <c r="C3" s="572" t="s">
        <v>276</v>
      </c>
      <c r="D3" s="873"/>
      <c r="E3" s="550" t="s">
        <v>271</v>
      </c>
      <c r="F3" s="579"/>
      <c r="G3" s="572" t="s">
        <v>276</v>
      </c>
      <c r="H3" s="555"/>
      <c r="I3" s="550" t="s">
        <v>271</v>
      </c>
      <c r="J3" s="579"/>
      <c r="K3" s="572" t="s">
        <v>276</v>
      </c>
      <c r="L3" s="555"/>
      <c r="M3" s="550" t="s">
        <v>271</v>
      </c>
      <c r="N3" s="579"/>
      <c r="O3" s="572" t="s">
        <v>276</v>
      </c>
      <c r="P3" s="555"/>
      <c r="Q3" s="550" t="s">
        <v>271</v>
      </c>
      <c r="R3" s="579"/>
      <c r="S3" s="572" t="s">
        <v>276</v>
      </c>
      <c r="T3" s="555"/>
      <c r="U3" s="550" t="s">
        <v>271</v>
      </c>
      <c r="V3" s="579"/>
      <c r="W3" s="572" t="s">
        <v>276</v>
      </c>
      <c r="X3" s="555"/>
      <c r="Y3" s="550" t="s">
        <v>271</v>
      </c>
      <c r="Z3" s="579"/>
      <c r="AA3" s="572" t="s">
        <v>276</v>
      </c>
      <c r="AB3" s="555"/>
      <c r="AC3" s="550" t="s">
        <v>271</v>
      </c>
      <c r="AD3" s="579"/>
    </row>
    <row r="4" spans="1:32" s="550" customFormat="1" ht="15" thickBot="1" x14ac:dyDescent="0.35">
      <c r="C4" s="572" t="s">
        <v>269</v>
      </c>
      <c r="D4" s="874"/>
      <c r="E4" s="550" t="s">
        <v>272</v>
      </c>
      <c r="F4" s="579"/>
      <c r="G4" s="572" t="s">
        <v>269</v>
      </c>
      <c r="H4" s="555"/>
      <c r="I4" s="550" t="s">
        <v>272</v>
      </c>
      <c r="J4" s="579"/>
      <c r="K4" s="572" t="s">
        <v>269</v>
      </c>
      <c r="L4" s="555"/>
      <c r="M4" s="550" t="s">
        <v>272</v>
      </c>
      <c r="N4" s="579"/>
      <c r="O4" s="572" t="s">
        <v>269</v>
      </c>
      <c r="P4" s="555"/>
      <c r="Q4" s="550" t="s">
        <v>272</v>
      </c>
      <c r="R4" s="579"/>
      <c r="S4" s="572" t="s">
        <v>269</v>
      </c>
      <c r="T4" s="555"/>
      <c r="U4" s="550" t="s">
        <v>272</v>
      </c>
      <c r="V4" s="579"/>
      <c r="W4" s="572" t="s">
        <v>269</v>
      </c>
      <c r="X4" s="555"/>
      <c r="Y4" s="550" t="s">
        <v>272</v>
      </c>
      <c r="Z4" s="579"/>
      <c r="AA4" s="572" t="s">
        <v>269</v>
      </c>
      <c r="AB4" s="555"/>
      <c r="AC4" s="550" t="s">
        <v>272</v>
      </c>
      <c r="AD4" s="579"/>
    </row>
    <row r="5" spans="1:32" ht="15" thickBot="1" x14ac:dyDescent="0.35">
      <c r="C5" s="572" t="s">
        <v>275</v>
      </c>
      <c r="D5" s="555"/>
      <c r="E5" s="550" t="s">
        <v>278</v>
      </c>
      <c r="F5" s="579"/>
      <c r="G5" s="572" t="s">
        <v>275</v>
      </c>
      <c r="H5" s="555"/>
      <c r="I5" s="550" t="s">
        <v>278</v>
      </c>
      <c r="J5" s="579"/>
      <c r="K5" s="572" t="s">
        <v>275</v>
      </c>
      <c r="L5" s="555"/>
      <c r="M5" s="550" t="s">
        <v>278</v>
      </c>
      <c r="N5" s="579"/>
      <c r="O5" s="572" t="s">
        <v>275</v>
      </c>
      <c r="P5" s="555"/>
      <c r="Q5" s="550" t="s">
        <v>278</v>
      </c>
      <c r="R5" s="579"/>
      <c r="S5" s="572" t="s">
        <v>275</v>
      </c>
      <c r="T5" s="555"/>
      <c r="U5" s="550" t="s">
        <v>278</v>
      </c>
      <c r="V5" s="579"/>
      <c r="W5" s="572" t="s">
        <v>275</v>
      </c>
      <c r="X5" s="555"/>
      <c r="Y5" s="550" t="s">
        <v>278</v>
      </c>
      <c r="Z5" s="579"/>
      <c r="AA5" s="572" t="s">
        <v>275</v>
      </c>
      <c r="AB5" s="555"/>
      <c r="AC5" s="550" t="s">
        <v>278</v>
      </c>
      <c r="AD5" s="579"/>
    </row>
    <row r="6" spans="1:32" ht="15" thickBot="1" x14ac:dyDescent="0.35">
      <c r="A6" s="550"/>
      <c r="C6" s="572" t="s">
        <v>274</v>
      </c>
      <c r="D6" s="555"/>
      <c r="E6" s="550" t="s">
        <v>273</v>
      </c>
      <c r="F6" s="579"/>
      <c r="G6" s="572" t="s">
        <v>274</v>
      </c>
      <c r="H6" s="555"/>
      <c r="I6" s="550" t="s">
        <v>273</v>
      </c>
      <c r="J6" s="579"/>
      <c r="K6" s="572" t="s">
        <v>274</v>
      </c>
      <c r="L6" s="555"/>
      <c r="M6" s="550" t="s">
        <v>273</v>
      </c>
      <c r="N6" s="579"/>
      <c r="O6" s="572" t="s">
        <v>274</v>
      </c>
      <c r="P6" s="555"/>
      <c r="Q6" s="550" t="s">
        <v>273</v>
      </c>
      <c r="R6" s="579"/>
      <c r="S6" s="572" t="s">
        <v>274</v>
      </c>
      <c r="T6" s="555"/>
      <c r="U6" s="550" t="s">
        <v>273</v>
      </c>
      <c r="V6" s="579"/>
      <c r="W6" s="572" t="s">
        <v>274</v>
      </c>
      <c r="X6" s="555"/>
      <c r="Y6" s="550" t="s">
        <v>273</v>
      </c>
      <c r="Z6" s="579"/>
      <c r="AA6" s="572" t="s">
        <v>274</v>
      </c>
      <c r="AB6" s="555"/>
      <c r="AC6" s="550" t="s">
        <v>273</v>
      </c>
      <c r="AD6" s="579"/>
    </row>
    <row r="7" spans="1:32" ht="15" thickBot="1" x14ac:dyDescent="0.35">
      <c r="A7" s="581"/>
      <c r="C7" s="572" t="s">
        <v>279</v>
      </c>
      <c r="D7" s="555"/>
      <c r="E7" s="550" t="s">
        <v>280</v>
      </c>
      <c r="F7" s="579"/>
      <c r="G7" s="572" t="s">
        <v>279</v>
      </c>
      <c r="H7" s="555"/>
      <c r="I7" s="550" t="s">
        <v>280</v>
      </c>
      <c r="J7" s="579"/>
      <c r="K7" s="572" t="s">
        <v>279</v>
      </c>
      <c r="L7" s="555"/>
      <c r="M7" s="550" t="s">
        <v>280</v>
      </c>
      <c r="N7" s="579"/>
      <c r="O7" s="572" t="s">
        <v>279</v>
      </c>
      <c r="P7" s="555"/>
      <c r="Q7" s="550" t="s">
        <v>280</v>
      </c>
      <c r="R7" s="579"/>
      <c r="S7" s="572" t="s">
        <v>279</v>
      </c>
      <c r="T7" s="555"/>
      <c r="U7" s="550" t="s">
        <v>280</v>
      </c>
      <c r="V7" s="579"/>
      <c r="W7" s="572" t="s">
        <v>279</v>
      </c>
      <c r="X7" s="555"/>
      <c r="Y7" s="550" t="s">
        <v>280</v>
      </c>
      <c r="Z7" s="579"/>
      <c r="AA7" s="572" t="s">
        <v>279</v>
      </c>
      <c r="AB7" s="555"/>
      <c r="AC7" s="550" t="s">
        <v>280</v>
      </c>
      <c r="AD7" s="579"/>
    </row>
    <row r="8" spans="1:32" ht="15" thickBot="1" x14ac:dyDescent="0.35">
      <c r="A8" s="574"/>
      <c r="C8" s="575"/>
      <c r="D8" s="576"/>
      <c r="E8" s="576"/>
      <c r="F8" s="577"/>
      <c r="G8" s="575"/>
      <c r="H8" s="576"/>
      <c r="I8" s="576"/>
      <c r="J8" s="577"/>
      <c r="K8" s="575"/>
      <c r="L8" s="576"/>
      <c r="M8" s="576"/>
      <c r="N8" s="577"/>
      <c r="O8" s="575"/>
      <c r="P8" s="576"/>
      <c r="Q8" s="576"/>
      <c r="R8" s="577"/>
      <c r="S8" s="575"/>
      <c r="T8" s="576"/>
      <c r="U8" s="576"/>
      <c r="V8" s="577"/>
      <c r="W8" s="575"/>
      <c r="X8" s="576"/>
      <c r="Y8" s="576"/>
      <c r="Z8" s="577"/>
      <c r="AA8" s="575"/>
      <c r="AB8" s="576"/>
      <c r="AC8" s="576"/>
      <c r="AD8" s="577"/>
    </row>
    <row r="9" spans="1:32" s="550" customFormat="1" ht="14.4" customHeight="1" thickBot="1" x14ac:dyDescent="0.35">
      <c r="A9" s="2722" t="s">
        <v>30</v>
      </c>
      <c r="B9" s="561"/>
      <c r="C9" s="2724" t="s">
        <v>44</v>
      </c>
      <c r="D9" s="2725"/>
      <c r="E9" s="2725"/>
      <c r="F9" s="2726"/>
      <c r="G9" s="2724" t="s">
        <v>38</v>
      </c>
      <c r="H9" s="2725"/>
      <c r="I9" s="2725"/>
      <c r="J9" s="2726"/>
      <c r="K9" s="2724" t="s">
        <v>45</v>
      </c>
      <c r="L9" s="2725"/>
      <c r="M9" s="2725"/>
      <c r="N9" s="2726"/>
      <c r="O9" s="2724" t="s">
        <v>40</v>
      </c>
      <c r="P9" s="2725"/>
      <c r="Q9" s="2725"/>
      <c r="R9" s="2726"/>
      <c r="S9" s="2724" t="s">
        <v>41</v>
      </c>
      <c r="T9" s="2725"/>
      <c r="U9" s="2725"/>
      <c r="V9" s="2726"/>
      <c r="W9" s="2724" t="s">
        <v>42</v>
      </c>
      <c r="X9" s="2725"/>
      <c r="Y9" s="2725"/>
      <c r="Z9" s="2726"/>
      <c r="AA9" s="2724" t="s">
        <v>43</v>
      </c>
      <c r="AB9" s="2725"/>
      <c r="AC9" s="2725"/>
      <c r="AD9" s="2726"/>
      <c r="AE9" s="2725" t="s">
        <v>261</v>
      </c>
      <c r="AF9" s="2726"/>
    </row>
    <row r="10" spans="1:32" s="550" customFormat="1" ht="15" thickBot="1" x14ac:dyDescent="0.35">
      <c r="A10" s="2723"/>
      <c r="B10" s="561"/>
      <c r="C10" s="569" t="s">
        <v>224</v>
      </c>
      <c r="D10" s="570" t="s">
        <v>264</v>
      </c>
      <c r="E10" s="570" t="s">
        <v>259</v>
      </c>
      <c r="F10" s="563" t="s">
        <v>260</v>
      </c>
      <c r="G10" s="569" t="s">
        <v>224</v>
      </c>
      <c r="H10" s="570" t="s">
        <v>264</v>
      </c>
      <c r="I10" s="570" t="s">
        <v>259</v>
      </c>
      <c r="J10" s="563" t="s">
        <v>260</v>
      </c>
      <c r="K10" s="569" t="s">
        <v>224</v>
      </c>
      <c r="L10" s="570" t="s">
        <v>264</v>
      </c>
      <c r="M10" s="570" t="s">
        <v>259</v>
      </c>
      <c r="N10" s="563" t="s">
        <v>260</v>
      </c>
      <c r="O10" s="569" t="s">
        <v>224</v>
      </c>
      <c r="P10" s="570" t="s">
        <v>264</v>
      </c>
      <c r="Q10" s="570" t="s">
        <v>259</v>
      </c>
      <c r="R10" s="563" t="s">
        <v>260</v>
      </c>
      <c r="S10" s="569" t="s">
        <v>224</v>
      </c>
      <c r="T10" s="570" t="s">
        <v>264</v>
      </c>
      <c r="U10" s="570" t="s">
        <v>259</v>
      </c>
      <c r="V10" s="563" t="s">
        <v>260</v>
      </c>
      <c r="W10" s="569" t="s">
        <v>224</v>
      </c>
      <c r="X10" s="570" t="s">
        <v>264</v>
      </c>
      <c r="Y10" s="570" t="s">
        <v>259</v>
      </c>
      <c r="Z10" s="563" t="s">
        <v>260</v>
      </c>
      <c r="AA10" s="569" t="s">
        <v>224</v>
      </c>
      <c r="AB10" s="570" t="s">
        <v>264</v>
      </c>
      <c r="AC10" s="570" t="s">
        <v>259</v>
      </c>
      <c r="AD10" s="563" t="s">
        <v>260</v>
      </c>
      <c r="AE10" s="571" t="s">
        <v>264</v>
      </c>
      <c r="AF10" s="563" t="s">
        <v>262</v>
      </c>
    </row>
    <row r="11" spans="1:32" x14ac:dyDescent="0.3">
      <c r="A11" s="859" t="s">
        <v>393</v>
      </c>
      <c r="C11" s="551"/>
      <c r="D11" s="556"/>
      <c r="E11" s="858"/>
      <c r="F11" s="552"/>
      <c r="G11" s="551"/>
      <c r="H11" s="562"/>
      <c r="I11" s="562"/>
      <c r="J11" s="552"/>
      <c r="K11" s="551"/>
      <c r="L11" s="562"/>
      <c r="M11" s="562"/>
      <c r="N11" s="552"/>
      <c r="O11" s="551"/>
      <c r="P11" s="562"/>
      <c r="Q11" s="562"/>
      <c r="R11" s="552"/>
      <c r="S11" s="551"/>
      <c r="T11" s="562"/>
      <c r="U11" s="562"/>
      <c r="V11" s="552"/>
      <c r="W11" s="551"/>
      <c r="X11" s="562"/>
      <c r="Y11" s="562"/>
      <c r="Z11" s="552"/>
      <c r="AA11" s="551"/>
      <c r="AB11" s="562"/>
      <c r="AC11" s="562"/>
      <c r="AD11" s="552"/>
      <c r="AE11" s="578">
        <f>SUM(D11,H11,L11,P11,T11,X11,AB11)</f>
        <v>0</v>
      </c>
      <c r="AF11" s="567">
        <f>SUM(E11,I11,M11,Q11,U11,Y11,AC11)</f>
        <v>0</v>
      </c>
    </row>
    <row r="12" spans="1:32" x14ac:dyDescent="0.3">
      <c r="A12" s="860" t="s">
        <v>394</v>
      </c>
      <c r="C12" s="553"/>
      <c r="D12" s="556"/>
      <c r="E12" s="556"/>
      <c r="F12" s="554"/>
      <c r="G12" s="553"/>
      <c r="H12" s="556"/>
      <c r="I12" s="556"/>
      <c r="J12" s="554"/>
      <c r="K12" s="553"/>
      <c r="L12" s="556"/>
      <c r="M12" s="556"/>
      <c r="N12" s="554"/>
      <c r="O12" s="553"/>
      <c r="P12" s="556"/>
      <c r="Q12" s="556"/>
      <c r="R12" s="554"/>
      <c r="S12" s="553"/>
      <c r="T12" s="556"/>
      <c r="U12" s="556"/>
      <c r="V12" s="554"/>
      <c r="W12" s="553"/>
      <c r="X12" s="556"/>
      <c r="Y12" s="556"/>
      <c r="Z12" s="554"/>
      <c r="AA12" s="553"/>
      <c r="AB12" s="556"/>
      <c r="AC12" s="556"/>
      <c r="AD12" s="554"/>
      <c r="AE12" s="578">
        <f t="shared" ref="AE12:AF40" si="0">SUM(D12,H12,L12,P12,T12,X12,AB12)</f>
        <v>0</v>
      </c>
      <c r="AF12" s="567">
        <f t="shared" si="0"/>
        <v>0</v>
      </c>
    </row>
    <row r="13" spans="1:32" x14ac:dyDescent="0.3">
      <c r="A13" s="860" t="s">
        <v>395</v>
      </c>
      <c r="C13" s="553"/>
      <c r="D13" s="556"/>
      <c r="E13" s="556"/>
      <c r="F13" s="554"/>
      <c r="G13" s="553"/>
      <c r="H13" s="556"/>
      <c r="I13" s="556"/>
      <c r="J13" s="554"/>
      <c r="K13" s="553"/>
      <c r="L13" s="556"/>
      <c r="M13" s="556"/>
      <c r="N13" s="554"/>
      <c r="O13" s="553"/>
      <c r="P13" s="556"/>
      <c r="Q13" s="556"/>
      <c r="R13" s="554"/>
      <c r="S13" s="553"/>
      <c r="T13" s="556"/>
      <c r="U13" s="556"/>
      <c r="V13" s="554"/>
      <c r="W13" s="553"/>
      <c r="X13" s="556"/>
      <c r="Y13" s="556"/>
      <c r="Z13" s="554"/>
      <c r="AA13" s="553"/>
      <c r="AB13" s="556"/>
      <c r="AC13" s="556"/>
      <c r="AD13" s="554"/>
      <c r="AE13" s="578">
        <f t="shared" si="0"/>
        <v>0</v>
      </c>
      <c r="AF13" s="567">
        <f t="shared" si="0"/>
        <v>0</v>
      </c>
    </row>
    <row r="14" spans="1:32" x14ac:dyDescent="0.3">
      <c r="A14" s="860" t="s">
        <v>515</v>
      </c>
      <c r="C14" s="553"/>
      <c r="D14" s="556"/>
      <c r="E14" s="556"/>
      <c r="F14" s="554"/>
      <c r="G14" s="553"/>
      <c r="H14" s="556"/>
      <c r="I14" s="556"/>
      <c r="J14" s="554"/>
      <c r="K14" s="553"/>
      <c r="L14" s="556"/>
      <c r="M14" s="556"/>
      <c r="N14" s="554"/>
      <c r="O14" s="553"/>
      <c r="P14" s="556"/>
      <c r="Q14" s="556"/>
      <c r="R14" s="554"/>
      <c r="S14" s="553"/>
      <c r="T14" s="556"/>
      <c r="U14" s="556"/>
      <c r="V14" s="554"/>
      <c r="W14" s="553"/>
      <c r="X14" s="556"/>
      <c r="Y14" s="556"/>
      <c r="Z14" s="554"/>
      <c r="AA14" s="553"/>
      <c r="AB14" s="556"/>
      <c r="AC14" s="556"/>
      <c r="AD14" s="554"/>
      <c r="AE14" s="578">
        <f t="shared" si="0"/>
        <v>0</v>
      </c>
      <c r="AF14" s="567">
        <f t="shared" si="0"/>
        <v>0</v>
      </c>
    </row>
    <row r="15" spans="1:32" x14ac:dyDescent="0.3">
      <c r="A15" s="860" t="s">
        <v>396</v>
      </c>
      <c r="C15" s="553"/>
      <c r="D15" s="556"/>
      <c r="E15" s="556"/>
      <c r="F15" s="554"/>
      <c r="G15" s="553"/>
      <c r="H15" s="556"/>
      <c r="I15" s="556"/>
      <c r="J15" s="554"/>
      <c r="K15" s="553"/>
      <c r="L15" s="556"/>
      <c r="M15" s="556"/>
      <c r="N15" s="554"/>
      <c r="O15" s="553" t="s">
        <v>78</v>
      </c>
      <c r="P15" s="556">
        <v>2000</v>
      </c>
      <c r="Q15" s="556"/>
      <c r="R15" s="554"/>
      <c r="S15" s="553"/>
      <c r="T15" s="556"/>
      <c r="U15" s="556"/>
      <c r="V15" s="554"/>
      <c r="W15" s="553"/>
      <c r="X15" s="556"/>
      <c r="Y15" s="556"/>
      <c r="Z15" s="554"/>
      <c r="AA15" s="553"/>
      <c r="AB15" s="556"/>
      <c r="AC15" s="556"/>
      <c r="AD15" s="554"/>
      <c r="AE15" s="578">
        <f t="shared" si="0"/>
        <v>2000</v>
      </c>
      <c r="AF15" s="567">
        <f t="shared" si="0"/>
        <v>0</v>
      </c>
    </row>
    <row r="16" spans="1:32" x14ac:dyDescent="0.3">
      <c r="A16" s="860" t="s">
        <v>397</v>
      </c>
      <c r="C16" s="553"/>
      <c r="D16" s="556"/>
      <c r="E16" s="556"/>
      <c r="F16" s="554"/>
      <c r="G16" s="553"/>
      <c r="H16" s="556"/>
      <c r="I16" s="556"/>
      <c r="J16" s="554"/>
      <c r="K16" s="553" t="s">
        <v>516</v>
      </c>
      <c r="L16" s="556">
        <v>2000</v>
      </c>
      <c r="M16" s="556"/>
      <c r="N16" s="554"/>
      <c r="O16" s="553"/>
      <c r="P16" s="556"/>
      <c r="Q16" s="556"/>
      <c r="R16" s="554"/>
      <c r="S16" s="553"/>
      <c r="T16" s="556"/>
      <c r="U16" s="556"/>
      <c r="V16" s="554"/>
      <c r="W16" s="553"/>
      <c r="X16" s="556"/>
      <c r="Y16" s="556"/>
      <c r="Z16" s="554"/>
      <c r="AA16" s="553"/>
      <c r="AB16" s="556"/>
      <c r="AC16" s="556"/>
      <c r="AD16" s="554"/>
      <c r="AE16" s="578">
        <f t="shared" si="0"/>
        <v>2000</v>
      </c>
      <c r="AF16" s="567">
        <f t="shared" si="0"/>
        <v>0</v>
      </c>
    </row>
    <row r="17" spans="1:32" x14ac:dyDescent="0.3">
      <c r="A17" s="860" t="s">
        <v>398</v>
      </c>
      <c r="C17" s="553"/>
      <c r="D17" s="556"/>
      <c r="E17" s="556"/>
      <c r="F17" s="554"/>
      <c r="G17" s="553"/>
      <c r="H17" s="556"/>
      <c r="I17" s="556"/>
      <c r="J17" s="554"/>
      <c r="K17" s="553" t="s">
        <v>516</v>
      </c>
      <c r="L17" s="556">
        <v>2000</v>
      </c>
      <c r="M17" s="556"/>
      <c r="N17" s="554"/>
      <c r="O17" s="553"/>
      <c r="P17" s="556"/>
      <c r="Q17" s="556"/>
      <c r="R17" s="554"/>
      <c r="S17" s="553"/>
      <c r="T17" s="556"/>
      <c r="U17" s="556"/>
      <c r="V17" s="554"/>
      <c r="W17" s="553"/>
      <c r="X17" s="556"/>
      <c r="Y17" s="556"/>
      <c r="Z17" s="554"/>
      <c r="AA17" s="553"/>
      <c r="AB17" s="556"/>
      <c r="AC17" s="556"/>
      <c r="AD17" s="554"/>
      <c r="AE17" s="578">
        <f t="shared" si="0"/>
        <v>2000</v>
      </c>
      <c r="AF17" s="567">
        <f t="shared" si="0"/>
        <v>0</v>
      </c>
    </row>
    <row r="18" spans="1:32" x14ac:dyDescent="0.3">
      <c r="A18" s="860" t="s">
        <v>399</v>
      </c>
      <c r="C18" s="553"/>
      <c r="D18" s="556"/>
      <c r="E18" s="556"/>
      <c r="F18" s="554"/>
      <c r="G18" s="553" t="s">
        <v>80</v>
      </c>
      <c r="H18" s="556">
        <v>1000</v>
      </c>
      <c r="I18" s="556"/>
      <c r="J18" s="554"/>
      <c r="K18" s="553"/>
      <c r="L18" s="556"/>
      <c r="M18" s="556"/>
      <c r="N18" s="554"/>
      <c r="O18" s="553"/>
      <c r="P18" s="556"/>
      <c r="Q18" s="556"/>
      <c r="R18" s="554"/>
      <c r="S18" s="553"/>
      <c r="T18" s="556"/>
      <c r="U18" s="556"/>
      <c r="V18" s="554"/>
      <c r="W18" s="553"/>
      <c r="X18" s="556"/>
      <c r="Y18" s="556"/>
      <c r="Z18" s="554"/>
      <c r="AA18" s="553"/>
      <c r="AB18" s="556"/>
      <c r="AC18" s="556"/>
      <c r="AD18" s="554"/>
      <c r="AE18" s="578">
        <f t="shared" si="0"/>
        <v>1000</v>
      </c>
      <c r="AF18" s="567">
        <f t="shared" si="0"/>
        <v>0</v>
      </c>
    </row>
    <row r="19" spans="1:32" x14ac:dyDescent="0.3">
      <c r="A19" s="860" t="s">
        <v>400</v>
      </c>
      <c r="C19" s="553"/>
      <c r="D19" s="556"/>
      <c r="E19" s="556"/>
      <c r="F19" s="554"/>
      <c r="G19" s="553"/>
      <c r="H19" s="556"/>
      <c r="I19" s="556"/>
      <c r="J19" s="554"/>
      <c r="K19" s="553"/>
      <c r="L19" s="556"/>
      <c r="M19" s="556"/>
      <c r="N19" s="554"/>
      <c r="O19" s="553"/>
      <c r="P19" s="556"/>
      <c r="Q19" s="556"/>
      <c r="R19" s="554"/>
      <c r="S19" s="553"/>
      <c r="T19" s="556"/>
      <c r="U19" s="556"/>
      <c r="V19" s="554"/>
      <c r="W19" s="553"/>
      <c r="X19" s="556"/>
      <c r="Y19" s="556"/>
      <c r="Z19" s="554"/>
      <c r="AA19" s="553"/>
      <c r="AB19" s="556"/>
      <c r="AC19" s="556"/>
      <c r="AD19" s="554"/>
      <c r="AE19" s="578">
        <f t="shared" si="0"/>
        <v>0</v>
      </c>
      <c r="AF19" s="567">
        <f t="shared" si="0"/>
        <v>0</v>
      </c>
    </row>
    <row r="20" spans="1:32" x14ac:dyDescent="0.3">
      <c r="A20" s="860" t="s">
        <v>401</v>
      </c>
      <c r="C20" s="553"/>
      <c r="D20" s="556"/>
      <c r="E20" s="556"/>
      <c r="F20" s="554"/>
      <c r="G20" s="553"/>
      <c r="H20" s="556"/>
      <c r="I20" s="556"/>
      <c r="J20" s="554"/>
      <c r="K20" s="553" t="s">
        <v>517</v>
      </c>
      <c r="L20" s="556">
        <v>1000</v>
      </c>
      <c r="M20" s="556"/>
      <c r="N20" s="554"/>
      <c r="O20" s="553"/>
      <c r="P20" s="556"/>
      <c r="Q20" s="556"/>
      <c r="R20" s="554"/>
      <c r="S20" s="553"/>
      <c r="T20" s="556"/>
      <c r="U20" s="556"/>
      <c r="V20" s="554"/>
      <c r="W20" s="553"/>
      <c r="X20" s="556"/>
      <c r="Y20" s="556"/>
      <c r="Z20" s="554"/>
      <c r="AA20" s="553"/>
      <c r="AB20" s="556"/>
      <c r="AC20" s="556"/>
      <c r="AD20" s="554"/>
      <c r="AE20" s="578">
        <f t="shared" si="0"/>
        <v>1000</v>
      </c>
      <c r="AF20" s="567">
        <f t="shared" si="0"/>
        <v>0</v>
      </c>
    </row>
    <row r="21" spans="1:32" x14ac:dyDescent="0.3">
      <c r="A21" s="860" t="s">
        <v>402</v>
      </c>
      <c r="C21" s="553" t="s">
        <v>518</v>
      </c>
      <c r="D21" s="556">
        <v>2000</v>
      </c>
      <c r="E21" s="556"/>
      <c r="F21" s="554"/>
      <c r="G21" s="553"/>
      <c r="H21" s="556"/>
      <c r="I21" s="556"/>
      <c r="J21" s="554"/>
      <c r="K21" s="553"/>
      <c r="L21" s="556"/>
      <c r="M21" s="556"/>
      <c r="N21" s="554"/>
      <c r="O21" s="553"/>
      <c r="P21" s="556"/>
      <c r="Q21" s="556"/>
      <c r="R21" s="554"/>
      <c r="S21" s="553"/>
      <c r="T21" s="556"/>
      <c r="U21" s="556"/>
      <c r="V21" s="554"/>
      <c r="W21" s="553"/>
      <c r="X21" s="556"/>
      <c r="Y21" s="556"/>
      <c r="Z21" s="554"/>
      <c r="AA21" s="553"/>
      <c r="AB21" s="556"/>
      <c r="AC21" s="556"/>
      <c r="AD21" s="554"/>
      <c r="AE21" s="578">
        <f t="shared" si="0"/>
        <v>2000</v>
      </c>
      <c r="AF21" s="567">
        <f t="shared" si="0"/>
        <v>0</v>
      </c>
    </row>
    <row r="22" spans="1:32" x14ac:dyDescent="0.3">
      <c r="A22" s="860" t="s">
        <v>403</v>
      </c>
      <c r="C22" s="553"/>
      <c r="D22" s="556"/>
      <c r="E22" s="556"/>
      <c r="F22" s="554"/>
      <c r="G22" s="553"/>
      <c r="H22" s="556"/>
      <c r="I22" s="556"/>
      <c r="J22" s="554"/>
      <c r="K22" s="553"/>
      <c r="L22" s="556"/>
      <c r="M22" s="556"/>
      <c r="N22" s="554"/>
      <c r="O22" s="553" t="s">
        <v>519</v>
      </c>
      <c r="P22" s="556">
        <v>1000</v>
      </c>
      <c r="Q22" s="556"/>
      <c r="R22" s="554"/>
      <c r="S22" s="553"/>
      <c r="T22" s="556"/>
      <c r="U22" s="556"/>
      <c r="V22" s="554"/>
      <c r="W22" s="553"/>
      <c r="X22" s="556"/>
      <c r="Y22" s="556"/>
      <c r="Z22" s="554"/>
      <c r="AA22" s="553"/>
      <c r="AB22" s="556"/>
      <c r="AC22" s="556"/>
      <c r="AD22" s="554"/>
      <c r="AE22" s="578">
        <f t="shared" si="0"/>
        <v>1000</v>
      </c>
      <c r="AF22" s="567">
        <f t="shared" si="0"/>
        <v>0</v>
      </c>
    </row>
    <row r="23" spans="1:32" x14ac:dyDescent="0.3">
      <c r="A23" s="860" t="s">
        <v>404</v>
      </c>
      <c r="C23" s="553"/>
      <c r="D23" s="556"/>
      <c r="E23" s="556"/>
      <c r="F23" s="554"/>
      <c r="G23" s="553" t="s">
        <v>519</v>
      </c>
      <c r="H23" s="556">
        <v>2000</v>
      </c>
      <c r="I23" s="556"/>
      <c r="J23" s="554"/>
      <c r="K23" s="553"/>
      <c r="L23" s="556"/>
      <c r="M23" s="556"/>
      <c r="N23" s="554"/>
      <c r="O23" s="553"/>
      <c r="P23" s="556"/>
      <c r="Q23" s="556"/>
      <c r="R23" s="554"/>
      <c r="S23" s="553"/>
      <c r="T23" s="556"/>
      <c r="U23" s="556"/>
      <c r="V23" s="554"/>
      <c r="W23" s="553"/>
      <c r="X23" s="556"/>
      <c r="Y23" s="556"/>
      <c r="Z23" s="554"/>
      <c r="AA23" s="553"/>
      <c r="AB23" s="556"/>
      <c r="AC23" s="556"/>
      <c r="AD23" s="554"/>
      <c r="AE23" s="578">
        <f t="shared" si="0"/>
        <v>2000</v>
      </c>
      <c r="AF23" s="567">
        <f t="shared" si="0"/>
        <v>0</v>
      </c>
    </row>
    <row r="24" spans="1:32" x14ac:dyDescent="0.3">
      <c r="A24" s="860" t="s">
        <v>447</v>
      </c>
      <c r="C24" s="553" t="s">
        <v>518</v>
      </c>
      <c r="D24" s="556">
        <v>2000</v>
      </c>
      <c r="E24" s="556"/>
      <c r="F24" s="554"/>
      <c r="G24" s="553"/>
      <c r="H24" s="556"/>
      <c r="I24" s="556"/>
      <c r="J24" s="554"/>
      <c r="K24" s="553"/>
      <c r="L24" s="556"/>
      <c r="M24" s="556"/>
      <c r="N24" s="554"/>
      <c r="O24" s="553"/>
      <c r="P24" s="556"/>
      <c r="Q24" s="556"/>
      <c r="R24" s="554"/>
      <c r="S24" s="553"/>
      <c r="T24" s="556"/>
      <c r="U24" s="556"/>
      <c r="V24" s="554"/>
      <c r="W24" s="553"/>
      <c r="X24" s="556"/>
      <c r="Y24" s="556"/>
      <c r="Z24" s="554"/>
      <c r="AA24" s="553"/>
      <c r="AB24" s="556"/>
      <c r="AC24" s="556"/>
      <c r="AD24" s="554"/>
      <c r="AE24" s="578">
        <f t="shared" si="0"/>
        <v>2000</v>
      </c>
      <c r="AF24" s="567">
        <f t="shared" si="0"/>
        <v>0</v>
      </c>
    </row>
    <row r="25" spans="1:32" x14ac:dyDescent="0.3">
      <c r="A25" s="860" t="s">
        <v>448</v>
      </c>
      <c r="C25" s="553"/>
      <c r="D25" s="556"/>
      <c r="E25" s="556"/>
      <c r="F25" s="554"/>
      <c r="G25" s="553" t="s">
        <v>520</v>
      </c>
      <c r="H25" s="556">
        <v>2000</v>
      </c>
      <c r="I25" s="556"/>
      <c r="J25" s="554"/>
      <c r="K25" s="553"/>
      <c r="L25" s="556"/>
      <c r="M25" s="556"/>
      <c r="N25" s="554"/>
      <c r="O25" s="553"/>
      <c r="P25" s="556"/>
      <c r="Q25" s="556"/>
      <c r="R25" s="554"/>
      <c r="S25" s="553"/>
      <c r="T25" s="556"/>
      <c r="U25" s="556"/>
      <c r="V25" s="554"/>
      <c r="W25" s="553"/>
      <c r="X25" s="556"/>
      <c r="Y25" s="556"/>
      <c r="Z25" s="554"/>
      <c r="AA25" s="553"/>
      <c r="AB25" s="556"/>
      <c r="AC25" s="556"/>
      <c r="AD25" s="554"/>
      <c r="AE25" s="578">
        <f t="shared" si="0"/>
        <v>2000</v>
      </c>
      <c r="AF25" s="567">
        <f t="shared" si="0"/>
        <v>0</v>
      </c>
    </row>
    <row r="26" spans="1:32" x14ac:dyDescent="0.3">
      <c r="A26" s="860" t="s">
        <v>183</v>
      </c>
      <c r="C26" s="553"/>
      <c r="D26" s="556"/>
      <c r="E26" s="556"/>
      <c r="F26" s="554"/>
      <c r="G26" s="553"/>
      <c r="H26" s="556"/>
      <c r="I26" s="556"/>
      <c r="J26" s="554"/>
      <c r="K26" s="553"/>
      <c r="L26" s="556"/>
      <c r="M26" s="556"/>
      <c r="N26" s="554"/>
      <c r="O26" s="553"/>
      <c r="P26" s="556"/>
      <c r="Q26" s="556"/>
      <c r="R26" s="554"/>
      <c r="S26" s="553"/>
      <c r="T26" s="556"/>
      <c r="U26" s="556"/>
      <c r="V26" s="554"/>
      <c r="W26" s="553"/>
      <c r="X26" s="556"/>
      <c r="Y26" s="556"/>
      <c r="Z26" s="554"/>
      <c r="AA26" s="553" t="s">
        <v>521</v>
      </c>
      <c r="AB26" s="556">
        <v>4000</v>
      </c>
      <c r="AC26" s="556"/>
      <c r="AD26" s="554"/>
      <c r="AE26" s="578">
        <f t="shared" si="0"/>
        <v>4000</v>
      </c>
      <c r="AF26" s="567">
        <f t="shared" si="0"/>
        <v>0</v>
      </c>
    </row>
    <row r="27" spans="1:32" x14ac:dyDescent="0.3">
      <c r="A27" s="860" t="s">
        <v>405</v>
      </c>
      <c r="C27" s="553"/>
      <c r="D27" s="556"/>
      <c r="E27" s="556"/>
      <c r="F27" s="554"/>
      <c r="G27" s="553"/>
      <c r="H27" s="556"/>
      <c r="I27" s="556"/>
      <c r="J27" s="554"/>
      <c r="K27" s="553" t="s">
        <v>521</v>
      </c>
      <c r="L27" s="556">
        <v>4000</v>
      </c>
      <c r="M27" s="556"/>
      <c r="N27" s="554"/>
      <c r="O27" s="553"/>
      <c r="P27" s="556"/>
      <c r="Q27" s="556"/>
      <c r="R27" s="554"/>
      <c r="S27" s="553"/>
      <c r="T27" s="556"/>
      <c r="U27" s="556"/>
      <c r="V27" s="554"/>
      <c r="W27" s="553"/>
      <c r="X27" s="556"/>
      <c r="Y27" s="556"/>
      <c r="Z27" s="554"/>
      <c r="AA27" s="553"/>
      <c r="AB27" s="556"/>
      <c r="AC27" s="556"/>
      <c r="AD27" s="554"/>
      <c r="AE27" s="578">
        <f t="shared" si="0"/>
        <v>4000</v>
      </c>
      <c r="AF27" s="567">
        <f t="shared" si="0"/>
        <v>0</v>
      </c>
    </row>
    <row r="28" spans="1:32" x14ac:dyDescent="0.3">
      <c r="A28" s="860" t="s">
        <v>361</v>
      </c>
      <c r="C28" s="553"/>
      <c r="D28" s="556"/>
      <c r="E28" s="556"/>
      <c r="F28" s="554"/>
      <c r="G28" s="553"/>
      <c r="H28" s="556"/>
      <c r="I28" s="556"/>
      <c r="J28" s="554"/>
      <c r="K28" s="553"/>
      <c r="L28" s="556"/>
      <c r="M28" s="556"/>
      <c r="N28" s="554"/>
      <c r="O28" s="553"/>
      <c r="P28" s="556"/>
      <c r="Q28" s="556"/>
      <c r="R28" s="554"/>
      <c r="S28" s="553"/>
      <c r="T28" s="556"/>
      <c r="U28" s="556"/>
      <c r="V28" s="554"/>
      <c r="W28" s="553"/>
      <c r="X28" s="556"/>
      <c r="Y28" s="556"/>
      <c r="Z28" s="554"/>
      <c r="AA28" s="553"/>
      <c r="AB28" s="556"/>
      <c r="AC28" s="556"/>
      <c r="AD28" s="554"/>
      <c r="AE28" s="578">
        <f t="shared" si="0"/>
        <v>0</v>
      </c>
      <c r="AF28" s="567">
        <f t="shared" si="0"/>
        <v>0</v>
      </c>
    </row>
    <row r="29" spans="1:32" x14ac:dyDescent="0.3">
      <c r="A29" s="860" t="s">
        <v>406</v>
      </c>
      <c r="C29" s="553"/>
      <c r="D29" s="556"/>
      <c r="E29" s="556"/>
      <c r="F29" s="554"/>
      <c r="G29" s="553"/>
      <c r="H29" s="556"/>
      <c r="I29" s="556"/>
      <c r="J29" s="554"/>
      <c r="K29" s="553"/>
      <c r="L29" s="556"/>
      <c r="M29" s="556"/>
      <c r="N29" s="554"/>
      <c r="O29" s="553" t="s">
        <v>522</v>
      </c>
      <c r="P29" s="556">
        <v>4000</v>
      </c>
      <c r="Q29" s="556"/>
      <c r="R29" s="554"/>
      <c r="S29" s="553"/>
      <c r="T29" s="556"/>
      <c r="U29" s="556"/>
      <c r="V29" s="554"/>
      <c r="W29" s="553"/>
      <c r="X29" s="556"/>
      <c r="Y29" s="556"/>
      <c r="Z29" s="554"/>
      <c r="AA29" s="553"/>
      <c r="AB29" s="556"/>
      <c r="AC29" s="556"/>
      <c r="AD29" s="554"/>
      <c r="AE29" s="578">
        <f t="shared" si="0"/>
        <v>4000</v>
      </c>
      <c r="AF29" s="567">
        <f t="shared" si="0"/>
        <v>0</v>
      </c>
    </row>
    <row r="30" spans="1:32" x14ac:dyDescent="0.3">
      <c r="A30" s="860" t="s">
        <v>407</v>
      </c>
      <c r="C30" s="553"/>
      <c r="D30" s="556"/>
      <c r="E30" s="556"/>
      <c r="F30" s="554"/>
      <c r="G30" s="553"/>
      <c r="H30" s="556"/>
      <c r="I30" s="556"/>
      <c r="J30" s="554"/>
      <c r="K30" s="553" t="s">
        <v>522</v>
      </c>
      <c r="L30" s="556">
        <v>3000</v>
      </c>
      <c r="M30" s="556"/>
      <c r="N30" s="554"/>
      <c r="O30" s="553"/>
      <c r="P30" s="556"/>
      <c r="Q30" s="556"/>
      <c r="R30" s="554"/>
      <c r="S30" s="553"/>
      <c r="T30" s="556"/>
      <c r="U30" s="556"/>
      <c r="V30" s="554"/>
      <c r="W30" s="553"/>
      <c r="X30" s="556"/>
      <c r="Y30" s="556"/>
      <c r="Z30" s="554"/>
      <c r="AA30" s="553" t="s">
        <v>522</v>
      </c>
      <c r="AB30" s="556">
        <v>2000</v>
      </c>
      <c r="AC30" s="556"/>
      <c r="AD30" s="554"/>
      <c r="AE30" s="578">
        <f t="shared" si="0"/>
        <v>5000</v>
      </c>
      <c r="AF30" s="567">
        <f t="shared" si="0"/>
        <v>0</v>
      </c>
    </row>
    <row r="31" spans="1:32" x14ac:dyDescent="0.3">
      <c r="A31" s="860" t="s">
        <v>408</v>
      </c>
      <c r="C31" s="553"/>
      <c r="D31" s="556"/>
      <c r="E31" s="556"/>
      <c r="F31" s="554"/>
      <c r="G31" s="553"/>
      <c r="H31" s="556"/>
      <c r="I31" s="556"/>
      <c r="J31" s="554"/>
      <c r="K31" s="553" t="s">
        <v>523</v>
      </c>
      <c r="L31" s="556">
        <v>4000</v>
      </c>
      <c r="M31" s="556"/>
      <c r="N31" s="554"/>
      <c r="O31" s="553"/>
      <c r="P31" s="556"/>
      <c r="Q31" s="556"/>
      <c r="R31" s="554"/>
      <c r="S31" s="553"/>
      <c r="T31" s="556"/>
      <c r="U31" s="556"/>
      <c r="V31" s="554"/>
      <c r="W31" s="553"/>
      <c r="X31" s="556"/>
      <c r="Y31" s="556"/>
      <c r="Z31" s="554"/>
      <c r="AA31" s="553"/>
      <c r="AB31" s="556"/>
      <c r="AC31" s="556"/>
      <c r="AD31" s="554"/>
      <c r="AE31" s="578">
        <f t="shared" si="0"/>
        <v>4000</v>
      </c>
      <c r="AF31" s="567">
        <f t="shared" si="0"/>
        <v>0</v>
      </c>
    </row>
    <row r="32" spans="1:32" x14ac:dyDescent="0.3">
      <c r="A32" s="860" t="s">
        <v>409</v>
      </c>
      <c r="C32" s="553"/>
      <c r="D32" s="556"/>
      <c r="E32" s="556"/>
      <c r="F32" s="554"/>
      <c r="G32" s="553" t="s">
        <v>524</v>
      </c>
      <c r="H32" s="556">
        <v>2000</v>
      </c>
      <c r="I32" s="556"/>
      <c r="J32" s="554"/>
      <c r="K32" s="553"/>
      <c r="L32" s="556"/>
      <c r="M32" s="556"/>
      <c r="N32" s="554"/>
      <c r="O32" s="553" t="s">
        <v>524</v>
      </c>
      <c r="P32" s="556">
        <v>3000</v>
      </c>
      <c r="Q32" s="556"/>
      <c r="R32" s="554"/>
      <c r="S32" s="553"/>
      <c r="T32" s="556"/>
      <c r="U32" s="556"/>
      <c r="V32" s="554"/>
      <c r="W32" s="553"/>
      <c r="X32" s="556"/>
      <c r="Y32" s="556"/>
      <c r="Z32" s="554"/>
      <c r="AA32" s="553"/>
      <c r="AB32" s="556"/>
      <c r="AC32" s="556"/>
      <c r="AD32" s="554"/>
      <c r="AE32" s="578">
        <f t="shared" si="0"/>
        <v>5000</v>
      </c>
      <c r="AF32" s="567">
        <f t="shared" si="0"/>
        <v>0</v>
      </c>
    </row>
    <row r="33" spans="1:32" x14ac:dyDescent="0.3">
      <c r="A33" s="860" t="s">
        <v>410</v>
      </c>
      <c r="C33" s="553" t="s">
        <v>524</v>
      </c>
      <c r="D33" s="556">
        <v>3000</v>
      </c>
      <c r="E33" s="556"/>
      <c r="F33" s="554"/>
      <c r="G33" s="553"/>
      <c r="H33" s="556"/>
      <c r="I33" s="556"/>
      <c r="J33" s="554"/>
      <c r="K33" s="553"/>
      <c r="L33" s="556"/>
      <c r="M33" s="556"/>
      <c r="N33" s="554"/>
      <c r="O33" s="553" t="s">
        <v>524</v>
      </c>
      <c r="P33" s="556">
        <v>3000</v>
      </c>
      <c r="Q33" s="556"/>
      <c r="R33" s="554"/>
      <c r="S33" s="553"/>
      <c r="T33" s="556"/>
      <c r="U33" s="556"/>
      <c r="V33" s="554"/>
      <c r="W33" s="553"/>
      <c r="X33" s="556"/>
      <c r="Y33" s="556"/>
      <c r="Z33" s="554"/>
      <c r="AA33" s="553"/>
      <c r="AB33" s="556"/>
      <c r="AC33" s="556"/>
      <c r="AD33" s="554"/>
      <c r="AE33" s="578">
        <f t="shared" si="0"/>
        <v>6000</v>
      </c>
      <c r="AF33" s="567">
        <f t="shared" si="0"/>
        <v>0</v>
      </c>
    </row>
    <row r="34" spans="1:32" x14ac:dyDescent="0.3">
      <c r="A34" s="860" t="s">
        <v>449</v>
      </c>
      <c r="C34" s="553" t="s">
        <v>524</v>
      </c>
      <c r="D34" s="556">
        <v>3000</v>
      </c>
      <c r="E34" s="556"/>
      <c r="F34" s="554"/>
      <c r="G34" s="553"/>
      <c r="H34" s="556"/>
      <c r="I34" s="556"/>
      <c r="J34" s="554"/>
      <c r="K34" s="553"/>
      <c r="L34" s="556"/>
      <c r="M34" s="556"/>
      <c r="N34" s="554"/>
      <c r="O34" s="553"/>
      <c r="P34" s="556"/>
      <c r="Q34" s="556"/>
      <c r="R34" s="554"/>
      <c r="S34" s="553" t="s">
        <v>524</v>
      </c>
      <c r="T34" s="556">
        <v>3000</v>
      </c>
      <c r="U34" s="556"/>
      <c r="V34" s="554"/>
      <c r="W34" s="553"/>
      <c r="X34" s="556"/>
      <c r="Y34" s="556"/>
      <c r="Z34" s="554"/>
      <c r="AA34" s="553"/>
      <c r="AB34" s="556"/>
      <c r="AC34" s="556"/>
      <c r="AD34" s="554"/>
      <c r="AE34" s="578">
        <f t="shared" si="0"/>
        <v>6000</v>
      </c>
      <c r="AF34" s="567">
        <f t="shared" si="0"/>
        <v>0</v>
      </c>
    </row>
    <row r="35" spans="1:32" x14ac:dyDescent="0.3">
      <c r="A35" s="860" t="s">
        <v>411</v>
      </c>
      <c r="C35" s="553" t="s">
        <v>524</v>
      </c>
      <c r="D35" s="556">
        <v>3000</v>
      </c>
      <c r="E35" s="556"/>
      <c r="F35" s="554"/>
      <c r="G35" s="553"/>
      <c r="H35" s="556"/>
      <c r="I35" s="556"/>
      <c r="J35" s="554"/>
      <c r="K35" s="553"/>
      <c r="L35" s="556"/>
      <c r="M35" s="556"/>
      <c r="N35" s="554"/>
      <c r="O35" s="553"/>
      <c r="P35" s="556"/>
      <c r="Q35" s="556"/>
      <c r="R35" s="554"/>
      <c r="S35" s="553" t="s">
        <v>524</v>
      </c>
      <c r="T35" s="556">
        <v>4000</v>
      </c>
      <c r="U35" s="556"/>
      <c r="V35" s="554"/>
      <c r="W35" s="553"/>
      <c r="X35" s="556"/>
      <c r="Y35" s="556"/>
      <c r="Z35" s="554"/>
      <c r="AA35" s="553"/>
      <c r="AB35" s="556"/>
      <c r="AC35" s="556"/>
      <c r="AD35" s="554"/>
      <c r="AE35" s="578">
        <f t="shared" si="0"/>
        <v>7000</v>
      </c>
      <c r="AF35" s="567">
        <f t="shared" si="0"/>
        <v>0</v>
      </c>
    </row>
    <row r="36" spans="1:32" x14ac:dyDescent="0.3">
      <c r="A36" s="860" t="s">
        <v>412</v>
      </c>
      <c r="C36" s="553"/>
      <c r="D36" s="556"/>
      <c r="E36" s="556"/>
      <c r="F36" s="554"/>
      <c r="G36" s="553" t="s">
        <v>525</v>
      </c>
      <c r="H36" s="556">
        <v>3000</v>
      </c>
      <c r="I36" s="556"/>
      <c r="J36" s="554"/>
      <c r="K36" s="553"/>
      <c r="L36" s="556"/>
      <c r="M36" s="556"/>
      <c r="N36" s="554"/>
      <c r="O36" s="553"/>
      <c r="P36" s="556"/>
      <c r="Q36" s="556"/>
      <c r="R36" s="554"/>
      <c r="S36" s="553"/>
      <c r="T36" s="556"/>
      <c r="U36" s="556"/>
      <c r="V36" s="554"/>
      <c r="W36" s="553"/>
      <c r="X36" s="556"/>
      <c r="Y36" s="556"/>
      <c r="Z36" s="554"/>
      <c r="AA36" s="553" t="s">
        <v>524</v>
      </c>
      <c r="AB36" s="556">
        <v>2000</v>
      </c>
      <c r="AC36" s="556"/>
      <c r="AD36" s="554"/>
      <c r="AE36" s="578">
        <f t="shared" si="0"/>
        <v>5000</v>
      </c>
      <c r="AF36" s="567">
        <f t="shared" si="0"/>
        <v>0</v>
      </c>
    </row>
    <row r="37" spans="1:32" x14ac:dyDescent="0.3">
      <c r="A37" s="860" t="s">
        <v>413</v>
      </c>
      <c r="C37" s="553"/>
      <c r="D37" s="556"/>
      <c r="E37" s="556"/>
      <c r="F37" s="554"/>
      <c r="G37" s="553" t="s">
        <v>525</v>
      </c>
      <c r="H37" s="556">
        <v>3000</v>
      </c>
      <c r="I37" s="556"/>
      <c r="J37" s="554"/>
      <c r="K37" s="553"/>
      <c r="L37" s="556"/>
      <c r="M37" s="556"/>
      <c r="N37" s="554"/>
      <c r="O37" s="553"/>
      <c r="P37" s="556"/>
      <c r="Q37" s="556"/>
      <c r="R37" s="554"/>
      <c r="S37" s="553"/>
      <c r="T37" s="556"/>
      <c r="U37" s="556"/>
      <c r="V37" s="554"/>
      <c r="W37" s="553"/>
      <c r="X37" s="556"/>
      <c r="Y37" s="556"/>
      <c r="Z37" s="554"/>
      <c r="AA37" s="553" t="s">
        <v>525</v>
      </c>
      <c r="AB37" s="556">
        <v>3000</v>
      </c>
      <c r="AC37" s="556"/>
      <c r="AD37" s="554"/>
      <c r="AE37" s="578">
        <f t="shared" si="0"/>
        <v>6000</v>
      </c>
      <c r="AF37" s="567">
        <f t="shared" si="0"/>
        <v>0</v>
      </c>
    </row>
    <row r="38" spans="1:32" x14ac:dyDescent="0.3">
      <c r="A38" s="860" t="s">
        <v>414</v>
      </c>
      <c r="C38" s="553"/>
      <c r="D38" s="556"/>
      <c r="E38" s="556"/>
      <c r="F38" s="554"/>
      <c r="G38" s="553"/>
      <c r="H38" s="556"/>
      <c r="I38" s="556"/>
      <c r="J38" s="554"/>
      <c r="K38" s="553"/>
      <c r="L38" s="556"/>
      <c r="M38" s="556"/>
      <c r="N38" s="554"/>
      <c r="O38" s="553"/>
      <c r="P38" s="556"/>
      <c r="Q38" s="556"/>
      <c r="R38" s="554"/>
      <c r="S38" s="553" t="s">
        <v>525</v>
      </c>
      <c r="T38" s="556">
        <v>3000</v>
      </c>
      <c r="U38" s="556"/>
      <c r="V38" s="554"/>
      <c r="W38" s="553"/>
      <c r="X38" s="556"/>
      <c r="Y38" s="556"/>
      <c r="Z38" s="554"/>
      <c r="AA38" s="553"/>
      <c r="AB38" s="556"/>
      <c r="AC38" s="556"/>
      <c r="AD38" s="554"/>
      <c r="AE38" s="578">
        <f t="shared" si="0"/>
        <v>3000</v>
      </c>
      <c r="AF38" s="567">
        <f t="shared" si="0"/>
        <v>0</v>
      </c>
    </row>
    <row r="39" spans="1:32" x14ac:dyDescent="0.3">
      <c r="A39" s="860"/>
      <c r="C39" s="553"/>
      <c r="D39" s="556"/>
      <c r="E39" s="556"/>
      <c r="F39" s="554"/>
      <c r="G39" s="553"/>
      <c r="H39" s="556"/>
      <c r="I39" s="556"/>
      <c r="J39" s="554"/>
      <c r="K39" s="553"/>
      <c r="L39" s="556"/>
      <c r="M39" s="556"/>
      <c r="N39" s="554"/>
      <c r="O39" s="553"/>
      <c r="P39" s="556"/>
      <c r="Q39" s="556"/>
      <c r="R39" s="554"/>
      <c r="S39" s="553"/>
      <c r="T39" s="556"/>
      <c r="U39" s="556"/>
      <c r="V39" s="554"/>
      <c r="W39" s="553"/>
      <c r="X39" s="556"/>
      <c r="Y39" s="556"/>
      <c r="Z39" s="554"/>
      <c r="AA39" s="553"/>
      <c r="AB39" s="556"/>
      <c r="AC39" s="556"/>
      <c r="AD39" s="554"/>
      <c r="AE39" s="578">
        <f t="shared" si="0"/>
        <v>0</v>
      </c>
      <c r="AF39" s="567">
        <f t="shared" si="0"/>
        <v>0</v>
      </c>
    </row>
    <row r="40" spans="1:32" ht="15" thickBot="1" x14ac:dyDescent="0.35">
      <c r="A40" s="860"/>
      <c r="C40" s="557"/>
      <c r="D40" s="558"/>
      <c r="E40" s="558"/>
      <c r="F40" s="559"/>
      <c r="G40" s="557"/>
      <c r="H40" s="558"/>
      <c r="I40" s="558"/>
      <c r="J40" s="559"/>
      <c r="K40" s="557"/>
      <c r="L40" s="558"/>
      <c r="M40" s="558"/>
      <c r="N40" s="559"/>
      <c r="O40" s="557"/>
      <c r="P40" s="558"/>
      <c r="Q40" s="558"/>
      <c r="R40" s="559"/>
      <c r="S40" s="557"/>
      <c r="T40" s="558"/>
      <c r="U40" s="558"/>
      <c r="V40" s="559"/>
      <c r="W40" s="557"/>
      <c r="X40" s="558"/>
      <c r="Y40" s="558"/>
      <c r="Z40" s="559"/>
      <c r="AA40" s="557"/>
      <c r="AB40" s="558"/>
      <c r="AC40" s="558"/>
      <c r="AD40" s="559"/>
      <c r="AE40" s="578">
        <f t="shared" si="0"/>
        <v>0</v>
      </c>
      <c r="AF40" s="567">
        <f t="shared" si="0"/>
        <v>0</v>
      </c>
    </row>
    <row r="41" spans="1:32" s="550" customFormat="1" ht="15" thickBot="1" x14ac:dyDescent="0.35">
      <c r="A41" s="860"/>
      <c r="C41" s="564"/>
      <c r="D41" s="872">
        <f>SUM(D11:D40)</f>
        <v>13000</v>
      </c>
      <c r="E41" s="565"/>
      <c r="F41" s="566"/>
      <c r="G41" s="564"/>
      <c r="H41" s="872">
        <f>SUM(H11:H40)</f>
        <v>13000</v>
      </c>
      <c r="I41" s="565"/>
      <c r="J41" s="566"/>
      <c r="K41" s="564"/>
      <c r="L41" s="872">
        <f>SUM(L11:L40)</f>
        <v>16000</v>
      </c>
      <c r="M41" s="565"/>
      <c r="N41" s="566"/>
      <c r="O41" s="564"/>
      <c r="P41" s="872">
        <f>SUM(P11:P40)</f>
        <v>13000</v>
      </c>
      <c r="Q41" s="565"/>
      <c r="R41" s="566"/>
      <c r="S41" s="564"/>
      <c r="T41" s="872">
        <f>SUM(T11:T40)</f>
        <v>10000</v>
      </c>
      <c r="U41" s="565"/>
      <c r="V41" s="566"/>
      <c r="W41" s="564"/>
      <c r="X41" s="872">
        <f>SUM(X11:X40)</f>
        <v>0</v>
      </c>
      <c r="Y41" s="565"/>
      <c r="Z41" s="566"/>
      <c r="AA41" s="564"/>
      <c r="AB41" s="872">
        <f>SUM(AB11:AB40)</f>
        <v>11000</v>
      </c>
      <c r="AC41" s="565"/>
      <c r="AD41" s="566"/>
      <c r="AE41" s="568">
        <f>SUM(AE11:AE40)</f>
        <v>76000</v>
      </c>
      <c r="AF41" s="564">
        <f>SUM(AF11:AF40)</f>
        <v>0</v>
      </c>
    </row>
    <row r="42" spans="1:32" s="550" customFormat="1" x14ac:dyDescent="0.3">
      <c r="A42" s="860"/>
      <c r="C42" s="572"/>
      <c r="D42" s="561"/>
      <c r="E42" s="561"/>
      <c r="F42" s="560"/>
      <c r="G42" s="572"/>
      <c r="H42" s="561"/>
      <c r="I42" s="561"/>
      <c r="J42" s="560"/>
      <c r="K42" s="572"/>
      <c r="L42" s="583"/>
      <c r="M42" s="561"/>
      <c r="N42" s="560"/>
      <c r="O42" s="572"/>
      <c r="P42" s="561"/>
      <c r="Q42" s="561"/>
      <c r="R42" s="560"/>
      <c r="S42" s="572"/>
      <c r="T42" s="561"/>
      <c r="U42" s="561"/>
      <c r="V42" s="560"/>
      <c r="W42" s="572"/>
      <c r="X42" s="561"/>
      <c r="Y42" s="561"/>
      <c r="Z42" s="560"/>
      <c r="AA42" s="572"/>
      <c r="AB42" s="583"/>
      <c r="AC42" s="561"/>
      <c r="AD42" s="560"/>
      <c r="AF42" s="561"/>
    </row>
    <row r="43" spans="1:32" ht="15" thickBot="1" x14ac:dyDescent="0.35">
      <c r="A43" s="860"/>
      <c r="C43" s="574" t="s">
        <v>265</v>
      </c>
      <c r="D43" s="580"/>
      <c r="E43" s="549" t="s">
        <v>266</v>
      </c>
      <c r="F43" s="582"/>
      <c r="G43" s="574" t="s">
        <v>265</v>
      </c>
      <c r="H43" s="580"/>
      <c r="I43" s="549" t="s">
        <v>266</v>
      </c>
      <c r="J43" s="582"/>
      <c r="K43" s="574" t="s">
        <v>265</v>
      </c>
      <c r="L43" s="580"/>
      <c r="M43" s="549" t="s">
        <v>266</v>
      </c>
      <c r="N43" s="582"/>
      <c r="O43" s="574" t="s">
        <v>265</v>
      </c>
      <c r="P43" s="580"/>
      <c r="Q43" s="549" t="s">
        <v>266</v>
      </c>
      <c r="R43" s="582"/>
      <c r="S43" s="574" t="s">
        <v>265</v>
      </c>
      <c r="T43" s="580"/>
      <c r="U43" s="549" t="s">
        <v>266</v>
      </c>
      <c r="V43" s="582"/>
      <c r="W43" s="574" t="s">
        <v>265</v>
      </c>
      <c r="X43" s="580"/>
      <c r="Y43" s="549" t="s">
        <v>266</v>
      </c>
      <c r="Z43" s="582"/>
      <c r="AA43" s="574" t="s">
        <v>265</v>
      </c>
      <c r="AB43" s="580"/>
      <c r="AC43" s="549" t="s">
        <v>266</v>
      </c>
      <c r="AD43" s="582"/>
    </row>
    <row r="44" spans="1:32" ht="15" thickBot="1" x14ac:dyDescent="0.35">
      <c r="A44" s="861"/>
      <c r="C44" s="574" t="s">
        <v>268</v>
      </c>
      <c r="D44" s="555"/>
      <c r="E44" s="549" t="s">
        <v>268</v>
      </c>
      <c r="F44" s="579"/>
      <c r="G44" s="574" t="s">
        <v>268</v>
      </c>
      <c r="H44" s="555"/>
      <c r="I44" s="549" t="s">
        <v>268</v>
      </c>
      <c r="J44" s="579"/>
      <c r="K44" s="574" t="s">
        <v>268</v>
      </c>
      <c r="L44" s="555"/>
      <c r="M44" s="549" t="s">
        <v>268</v>
      </c>
      <c r="N44" s="579"/>
      <c r="O44" s="574" t="s">
        <v>268</v>
      </c>
      <c r="P44" s="555"/>
      <c r="Q44" s="549" t="s">
        <v>268</v>
      </c>
      <c r="R44" s="579"/>
      <c r="S44" s="574" t="s">
        <v>268</v>
      </c>
      <c r="T44" s="555"/>
      <c r="U44" s="549" t="s">
        <v>268</v>
      </c>
      <c r="V44" s="579"/>
      <c r="W44" s="574" t="s">
        <v>268</v>
      </c>
      <c r="X44" s="555"/>
      <c r="Y44" s="549" t="s">
        <v>268</v>
      </c>
      <c r="Z44" s="579"/>
      <c r="AA44" s="574" t="s">
        <v>268</v>
      </c>
      <c r="AB44" s="555"/>
      <c r="AC44" s="549" t="s">
        <v>268</v>
      </c>
      <c r="AD44" s="579"/>
    </row>
    <row r="45" spans="1:32" ht="15" thickBot="1" x14ac:dyDescent="0.35">
      <c r="A45" s="581" t="s">
        <v>258</v>
      </c>
      <c r="C45" s="574" t="s">
        <v>267</v>
      </c>
      <c r="D45" s="555"/>
      <c r="E45" s="549" t="s">
        <v>267</v>
      </c>
      <c r="F45" s="579"/>
      <c r="G45" s="574" t="s">
        <v>267</v>
      </c>
      <c r="H45" s="555"/>
      <c r="I45" s="549" t="s">
        <v>267</v>
      </c>
      <c r="J45" s="579"/>
      <c r="K45" s="574" t="s">
        <v>267</v>
      </c>
      <c r="L45" s="555"/>
      <c r="M45" s="549" t="s">
        <v>267</v>
      </c>
      <c r="N45" s="579"/>
      <c r="O45" s="574" t="s">
        <v>267</v>
      </c>
      <c r="P45" s="555"/>
      <c r="Q45" s="549" t="s">
        <v>267</v>
      </c>
      <c r="R45" s="579"/>
      <c r="S45" s="574" t="s">
        <v>267</v>
      </c>
      <c r="T45" s="555"/>
      <c r="U45" s="549" t="s">
        <v>267</v>
      </c>
      <c r="V45" s="579"/>
      <c r="W45" s="574" t="s">
        <v>267</v>
      </c>
      <c r="X45" s="555"/>
      <c r="Y45" s="549" t="s">
        <v>267</v>
      </c>
      <c r="Z45" s="579"/>
      <c r="AA45" s="574" t="s">
        <v>267</v>
      </c>
      <c r="AB45" s="555"/>
      <c r="AC45" s="549" t="s">
        <v>267</v>
      </c>
      <c r="AD45" s="579"/>
    </row>
    <row r="46" spans="1:32" ht="15" thickBot="1" x14ac:dyDescent="0.35">
      <c r="A46" s="572"/>
      <c r="C46" s="575"/>
      <c r="D46" s="555"/>
      <c r="E46" s="576"/>
      <c r="F46" s="579"/>
      <c r="G46" s="575"/>
      <c r="H46" s="555"/>
      <c r="I46" s="576"/>
      <c r="J46" s="579"/>
      <c r="K46" s="575"/>
      <c r="L46" s="555"/>
      <c r="M46" s="576"/>
      <c r="N46" s="579"/>
      <c r="O46" s="575"/>
      <c r="P46" s="555"/>
      <c r="Q46" s="576"/>
      <c r="R46" s="579"/>
      <c r="S46" s="575"/>
      <c r="T46" s="555"/>
      <c r="U46" s="576"/>
      <c r="V46" s="579"/>
      <c r="W46" s="575"/>
      <c r="X46" s="555"/>
      <c r="Y46" s="576"/>
      <c r="Z46" s="579"/>
      <c r="AA46" s="575"/>
      <c r="AB46" s="555"/>
      <c r="AC46" s="576"/>
      <c r="AD46" s="579"/>
    </row>
  </sheetData>
  <mergeCells count="16">
    <mergeCell ref="AE9:AF9"/>
    <mergeCell ref="AA1:AD1"/>
    <mergeCell ref="A9:A10"/>
    <mergeCell ref="C9:F9"/>
    <mergeCell ref="G9:J9"/>
    <mergeCell ref="K9:N9"/>
    <mergeCell ref="O9:R9"/>
    <mergeCell ref="S9:V9"/>
    <mergeCell ref="W9:Z9"/>
    <mergeCell ref="AA9:AD9"/>
    <mergeCell ref="C1:F1"/>
    <mergeCell ref="G1:J1"/>
    <mergeCell ref="K1:N1"/>
    <mergeCell ref="O1:R1"/>
    <mergeCell ref="S1:V1"/>
    <mergeCell ref="W1:Z1"/>
  </mergeCells>
  <pageMargins left="0.51181102362204722" right="0.51181102362204722" top="0.55118110236220474" bottom="0.74803149606299213" header="0.31496062992125984" footer="0.31496062992125984"/>
  <pageSetup scale="46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F128C-3CB0-4270-B2DE-6B57B443D5E2}">
  <dimension ref="A1:BU140"/>
  <sheetViews>
    <sheetView topLeftCell="A66" zoomScale="80" zoomScaleNormal="80" workbookViewId="0">
      <pane xSplit="4" topLeftCell="E1" activePane="topRight" state="frozen"/>
      <selection activeCell="A97" sqref="A97"/>
      <selection pane="topRight" activeCell="A85" sqref="A85:XFD86"/>
    </sheetView>
  </sheetViews>
  <sheetFormatPr defaultRowHeight="14.4" x14ac:dyDescent="0.3"/>
  <cols>
    <col min="1" max="1" width="17.6640625" customWidth="1"/>
    <col min="2" max="2" width="18.109375" customWidth="1"/>
    <col min="3" max="3" width="30.109375" bestFit="1" customWidth="1"/>
    <col min="4" max="4" width="16.109375" bestFit="1" customWidth="1"/>
    <col min="5" max="5" width="13.44140625" bestFit="1" customWidth="1"/>
    <col min="6" max="6" width="14.109375" bestFit="1" customWidth="1"/>
    <col min="7" max="7" width="13" customWidth="1"/>
    <col min="8" max="8" width="12.6640625" bestFit="1" customWidth="1"/>
    <col min="9" max="10" width="18" bestFit="1" customWidth="1"/>
    <col min="11" max="17" width="14.44140625" style="1192" customWidth="1"/>
    <col min="18" max="18" width="12.44140625" style="1192" customWidth="1"/>
    <col min="19" max="25" width="14.6640625" style="1192" customWidth="1"/>
    <col min="26" max="26" width="19.44140625" style="1192" customWidth="1"/>
    <col min="27" max="27" width="13.33203125" style="1192" bestFit="1" customWidth="1"/>
    <col min="28" max="28" width="15.5546875" style="1192" bestFit="1" customWidth="1"/>
    <col min="29" max="29" width="12.6640625" style="1192" bestFit="1" customWidth="1"/>
    <col min="30" max="30" width="18.44140625" style="1192" customWidth="1"/>
    <col min="31" max="31" width="15.109375" style="1192" customWidth="1"/>
    <col min="32" max="32" width="18.109375" style="1192" customWidth="1"/>
    <col min="33" max="33" width="15.88671875" style="1192" customWidth="1"/>
    <col min="34" max="34" width="16.33203125" style="1192" customWidth="1"/>
    <col min="35" max="36" width="15.5546875" style="1192" customWidth="1"/>
    <col min="37" max="37" width="14.109375" style="1192" customWidth="1"/>
    <col min="38" max="38" width="16.5546875" style="1192" customWidth="1"/>
    <col min="39" max="39" width="16.6640625" style="1192" customWidth="1"/>
    <col min="40" max="40" width="22" style="1192" customWidth="1"/>
    <col min="41" max="42" width="16" style="1192" customWidth="1"/>
    <col min="43" max="43" width="15.44140625" style="1192" customWidth="1"/>
    <col min="44" max="44" width="17.33203125" style="1192" customWidth="1"/>
    <col min="45" max="45" width="13.33203125" style="1192" bestFit="1" customWidth="1"/>
    <col min="46" max="46" width="15.44140625" style="1192" bestFit="1" customWidth="1"/>
    <col min="47" max="49" width="14.33203125" style="1192" customWidth="1"/>
    <col min="50" max="50" width="15.44140625" style="1192" bestFit="1" customWidth="1"/>
    <col min="51" max="51" width="14.6640625" style="1192" bestFit="1" customWidth="1"/>
    <col min="52" max="52" width="13.33203125" style="1192" bestFit="1" customWidth="1"/>
    <col min="53" max="54" width="14.88671875" style="1192" customWidth="1"/>
    <col min="55" max="55" width="18" style="1192" customWidth="1"/>
    <col min="56" max="56" width="14.6640625" style="1192" customWidth="1"/>
    <col min="57" max="57" width="19.44140625" style="1192" customWidth="1"/>
    <col min="58" max="58" width="17.6640625" style="1192" customWidth="1"/>
    <col min="59" max="60" width="17.88671875" style="1192" customWidth="1"/>
    <col min="61" max="61" width="17.88671875" style="1192" bestFit="1" customWidth="1"/>
    <col min="62" max="62" width="19.6640625" style="1192" customWidth="1"/>
    <col min="63" max="63" width="22.5546875" style="1192" customWidth="1"/>
    <col min="64" max="64" width="23.109375" style="1192" customWidth="1"/>
    <col min="65" max="66" width="15.109375" style="1192" customWidth="1"/>
    <col min="67" max="67" width="13.44140625" style="1192" customWidth="1"/>
    <col min="68" max="68" width="22.109375" style="1192" customWidth="1"/>
    <col min="69" max="69" width="17.109375" style="1192" customWidth="1"/>
    <col min="70" max="70" width="26.33203125" style="1192" customWidth="1"/>
  </cols>
  <sheetData>
    <row r="1" spans="1:73" ht="16.2" thickBot="1" x14ac:dyDescent="0.35">
      <c r="A1" s="2" t="s">
        <v>0</v>
      </c>
      <c r="B1" s="1874"/>
      <c r="C1" s="1875"/>
      <c r="D1" s="1876"/>
      <c r="E1" s="1"/>
      <c r="F1" s="1"/>
      <c r="G1" s="1"/>
      <c r="H1" s="1"/>
      <c r="I1" s="1"/>
      <c r="J1" s="1"/>
      <c r="K1" s="1081" t="s">
        <v>1</v>
      </c>
      <c r="L1" s="1082"/>
      <c r="M1" s="1083"/>
      <c r="N1" s="1084"/>
      <c r="O1" s="1085"/>
      <c r="P1" s="1085"/>
      <c r="Q1" s="1085"/>
      <c r="R1" s="1085"/>
      <c r="S1" s="1085"/>
      <c r="T1" s="1085"/>
      <c r="U1" s="1085"/>
      <c r="V1" s="1085"/>
      <c r="W1" s="1085"/>
      <c r="X1" s="1085"/>
      <c r="Y1" s="1085"/>
      <c r="Z1" s="1085"/>
      <c r="AA1" s="1085"/>
      <c r="AB1" s="1085"/>
      <c r="AC1" s="1085"/>
      <c r="AD1" s="1085"/>
      <c r="AE1" s="1085"/>
      <c r="AF1" s="1085"/>
      <c r="AG1" s="1085"/>
      <c r="AH1" s="1085"/>
      <c r="AI1" s="1085"/>
      <c r="AJ1" s="1085"/>
      <c r="AK1" s="1085"/>
      <c r="AL1" s="1085"/>
      <c r="AM1" s="1085"/>
      <c r="AN1" s="1085"/>
      <c r="AO1" s="1085"/>
      <c r="AP1" s="1085"/>
      <c r="AQ1" s="1085"/>
      <c r="AR1" s="1085"/>
      <c r="AS1" s="1085"/>
      <c r="AT1" s="1085"/>
      <c r="AU1" s="1085"/>
      <c r="AV1" s="1085"/>
      <c r="AW1" s="1085"/>
      <c r="AX1" s="1085"/>
      <c r="AY1" s="1085"/>
      <c r="AZ1" s="1085"/>
      <c r="BA1" s="1085"/>
      <c r="BB1" s="1085"/>
      <c r="BC1" s="1085"/>
      <c r="BD1" s="1085"/>
      <c r="BE1" s="1085"/>
      <c r="BF1" s="1085"/>
      <c r="BG1" s="1085"/>
      <c r="BH1" s="1085"/>
      <c r="BI1" s="1085"/>
      <c r="BJ1" s="1085"/>
      <c r="BK1" s="1085"/>
      <c r="BL1" s="1085"/>
      <c r="BM1" s="1085"/>
      <c r="BN1" s="1085"/>
      <c r="BO1" s="1085"/>
      <c r="BP1" s="1085"/>
      <c r="BQ1" s="1085"/>
      <c r="BR1" s="1085"/>
      <c r="BS1" s="1"/>
      <c r="BT1" s="7"/>
    </row>
    <row r="2" spans="1:73" ht="15" thickBot="1" x14ac:dyDescent="0.35">
      <c r="A2" s="1873" t="s">
        <v>2</v>
      </c>
      <c r="B2" s="1877" t="s">
        <v>9</v>
      </c>
      <c r="C2" s="10" t="s">
        <v>3</v>
      </c>
      <c r="D2" s="10" t="s">
        <v>4</v>
      </c>
      <c r="E2" s="10" t="s">
        <v>5</v>
      </c>
      <c r="F2" s="10" t="s">
        <v>6</v>
      </c>
      <c r="G2" s="10" t="s">
        <v>7</v>
      </c>
      <c r="H2" s="11" t="s">
        <v>8</v>
      </c>
      <c r="I2" s="11" t="s">
        <v>9</v>
      </c>
      <c r="J2" s="12"/>
      <c r="K2" s="1086" t="s">
        <v>2</v>
      </c>
      <c r="L2" s="1086" t="s">
        <v>9</v>
      </c>
      <c r="M2" s="1087" t="s">
        <v>3</v>
      </c>
      <c r="N2" s="1088" t="s">
        <v>4</v>
      </c>
      <c r="O2" s="1088" t="s">
        <v>5</v>
      </c>
      <c r="P2" s="1088" t="s">
        <v>6</v>
      </c>
      <c r="Q2" s="1088" t="s">
        <v>7</v>
      </c>
      <c r="R2" s="1089" t="s">
        <v>8</v>
      </c>
      <c r="S2" s="1090" t="s">
        <v>9</v>
      </c>
      <c r="T2" s="1832"/>
      <c r="U2" s="1832"/>
      <c r="V2" s="1832"/>
      <c r="W2" s="1832"/>
      <c r="X2" s="1832"/>
      <c r="Y2" s="1832"/>
      <c r="Z2" s="1085"/>
      <c r="AA2" s="1085"/>
      <c r="AB2" s="1085"/>
      <c r="AC2" s="1085"/>
      <c r="AD2" s="1085"/>
      <c r="AE2" s="1085"/>
      <c r="AF2" s="1085"/>
      <c r="AG2" s="1085"/>
      <c r="AH2" s="1085"/>
      <c r="AI2" s="1085"/>
      <c r="AJ2" s="1085"/>
      <c r="AK2" s="1085"/>
      <c r="AL2" s="1085"/>
      <c r="AM2" s="1085"/>
      <c r="AN2" s="1085"/>
      <c r="AO2" s="1085"/>
      <c r="AP2" s="1085"/>
      <c r="AQ2" s="1085"/>
      <c r="AR2" s="1085"/>
      <c r="AS2" s="1085"/>
      <c r="AT2" s="1085"/>
      <c r="AU2" s="1085"/>
      <c r="AV2" s="1085"/>
      <c r="AW2" s="1085"/>
      <c r="AX2" s="1085"/>
      <c r="AY2" s="1085"/>
      <c r="AZ2" s="1085"/>
      <c r="BA2" s="1085"/>
      <c r="BB2" s="1085"/>
      <c r="BC2" s="1085"/>
      <c r="BD2" s="1085"/>
      <c r="BE2" s="1085"/>
      <c r="BF2" s="1085"/>
      <c r="BG2" s="1085"/>
      <c r="BH2" s="1085"/>
      <c r="BI2" s="1085"/>
      <c r="BJ2" s="1085"/>
      <c r="BK2" s="1085"/>
      <c r="BL2" s="1085"/>
      <c r="BM2" s="1085"/>
      <c r="BN2" s="1085"/>
      <c r="BO2" s="1085"/>
      <c r="BP2" s="1085"/>
      <c r="BQ2" s="1085"/>
      <c r="BR2" s="1085"/>
      <c r="BS2" s="1085"/>
      <c r="BT2" s="1"/>
      <c r="BU2" s="7"/>
    </row>
    <row r="3" spans="1:73" x14ac:dyDescent="0.3">
      <c r="A3" s="16" t="s">
        <v>10</v>
      </c>
      <c r="B3" s="1878">
        <f>SUM(T85:T90)</f>
        <v>0</v>
      </c>
      <c r="C3" s="1091">
        <f>SUM(Z85:Z90)</f>
        <v>0</v>
      </c>
      <c r="D3" s="1091">
        <f>SUM(AF85:AF90)</f>
        <v>0</v>
      </c>
      <c r="E3" s="1091">
        <f>SUM(AL85:AL90)</f>
        <v>0</v>
      </c>
      <c r="F3" s="1092">
        <f>SUM(AR85:AR90)</f>
        <v>0</v>
      </c>
      <c r="G3" s="1093">
        <f>SUM(AX85:AX90)</f>
        <v>0</v>
      </c>
      <c r="H3" s="1093">
        <f>SUM(BJ85:BJ90)</f>
        <v>0</v>
      </c>
      <c r="I3" s="1093">
        <v>0</v>
      </c>
      <c r="J3" s="12"/>
      <c r="K3" s="1094" t="s">
        <v>11</v>
      </c>
      <c r="L3" s="1274">
        <f>SUM(T28:T41)</f>
        <v>0</v>
      </c>
      <c r="M3" s="1095">
        <f>SUM(Z28:Z41)</f>
        <v>0</v>
      </c>
      <c r="N3" s="1095">
        <f>SUM(AF28:AF41)</f>
        <v>0</v>
      </c>
      <c r="O3" s="1096">
        <f>SUM(AL28:AL41)</f>
        <v>0</v>
      </c>
      <c r="P3" s="1096">
        <f>SUM(AR28:AR41)</f>
        <v>0</v>
      </c>
      <c r="Q3" s="1096">
        <f>SUM(AX28:AX41)</f>
        <v>0</v>
      </c>
      <c r="R3" s="1097">
        <f>SUM(BD28:BD41)</f>
        <v>0</v>
      </c>
      <c r="S3" s="1098">
        <f>SUM(BJ28:BJ41)</f>
        <v>0</v>
      </c>
      <c r="T3" s="1222"/>
      <c r="U3" s="1222"/>
      <c r="V3" s="1222"/>
      <c r="W3" s="1222"/>
      <c r="X3" s="1222"/>
      <c r="Y3" s="1222"/>
      <c r="Z3" s="1085"/>
      <c r="AA3" s="1085"/>
      <c r="AB3" s="1085"/>
      <c r="AC3" s="1085"/>
      <c r="AD3" s="1085"/>
      <c r="AE3" s="1085"/>
      <c r="AF3" s="1085"/>
      <c r="AG3" s="1085"/>
      <c r="AH3" s="1085"/>
      <c r="AI3" s="1085"/>
      <c r="AJ3" s="1085"/>
      <c r="AK3" s="1085"/>
      <c r="AL3" s="1085"/>
      <c r="AM3" s="1085"/>
      <c r="AN3" s="1085"/>
      <c r="AO3" s="1085"/>
      <c r="AP3" s="1085"/>
      <c r="AQ3" s="1085"/>
      <c r="AR3" s="1085"/>
      <c r="AS3" s="1085"/>
      <c r="AT3" s="1085"/>
      <c r="AU3" s="1085"/>
      <c r="AV3" s="1085"/>
      <c r="AW3" s="1085"/>
      <c r="AX3" s="1085"/>
      <c r="AY3" s="1085"/>
      <c r="AZ3" s="1085"/>
      <c r="BA3" s="1085"/>
      <c r="BB3" s="1085"/>
      <c r="BC3" s="1085"/>
      <c r="BD3" s="1085"/>
      <c r="BE3" s="1085"/>
      <c r="BF3" s="1085"/>
      <c r="BG3" s="1085"/>
      <c r="BH3" s="1085"/>
      <c r="BI3" s="1085"/>
      <c r="BJ3" s="1085"/>
      <c r="BK3" s="1085"/>
      <c r="BL3" s="1085"/>
      <c r="BM3" s="1085"/>
      <c r="BN3" s="1085"/>
      <c r="BO3" s="1085"/>
      <c r="BP3" s="1085"/>
      <c r="BQ3" s="1085"/>
      <c r="BR3" s="1085"/>
      <c r="BS3" s="1085"/>
      <c r="BT3" s="1"/>
      <c r="BU3" s="7"/>
    </row>
    <row r="4" spans="1:73" x14ac:dyDescent="0.3">
      <c r="A4" s="25" t="s">
        <v>12</v>
      </c>
      <c r="B4" s="1879">
        <f>SUM(U85:U90)</f>
        <v>0</v>
      </c>
      <c r="C4" s="1096">
        <f>SUM(AA85:AA90)</f>
        <v>0</v>
      </c>
      <c r="D4" s="1099">
        <f>SUM(AG85:AG90)</f>
        <v>0</v>
      </c>
      <c r="E4" s="1097">
        <f>SUM(AM85:AM90)</f>
        <v>0</v>
      </c>
      <c r="F4" s="1100">
        <f>SUM(AS85:AS90)</f>
        <v>0</v>
      </c>
      <c r="G4" s="1101">
        <f>SUM(AY85:AY90)</f>
        <v>0</v>
      </c>
      <c r="H4" s="1101">
        <v>0</v>
      </c>
      <c r="I4" s="1101">
        <f>BK85+BK86+BK87+BK88+BK89+BK90</f>
        <v>0</v>
      </c>
      <c r="J4" s="1"/>
      <c r="K4" s="1102" t="s">
        <v>13</v>
      </c>
      <c r="L4" s="1129">
        <f>SUM(V28:V41)</f>
        <v>0</v>
      </c>
      <c r="M4" s="1103">
        <f>AB34</f>
        <v>0</v>
      </c>
      <c r="N4" s="1099">
        <f>AH34</f>
        <v>0</v>
      </c>
      <c r="O4" s="1104">
        <f>AN34</f>
        <v>0</v>
      </c>
      <c r="P4" s="1099">
        <f>AT34</f>
        <v>0</v>
      </c>
      <c r="Q4" s="1099">
        <f>AZ34</f>
        <v>0</v>
      </c>
      <c r="R4" s="1105">
        <f>BF34</f>
        <v>0</v>
      </c>
      <c r="S4" s="1106">
        <f>BL34</f>
        <v>0</v>
      </c>
      <c r="T4" s="1833"/>
      <c r="U4" s="1833"/>
      <c r="V4" s="1833"/>
      <c r="W4" s="1833"/>
      <c r="X4" s="1833"/>
      <c r="Y4" s="1833"/>
      <c r="Z4" s="1085"/>
      <c r="AA4" s="1085"/>
      <c r="AB4" s="1085"/>
      <c r="AC4" s="1085"/>
      <c r="AD4" s="1085"/>
      <c r="AE4" s="1085"/>
      <c r="AF4" s="1085"/>
      <c r="AG4" s="1085"/>
      <c r="AH4" s="1085"/>
      <c r="AI4" s="1085"/>
      <c r="AJ4" s="1085"/>
      <c r="AK4" s="1085"/>
      <c r="AL4" s="1085"/>
      <c r="AM4" s="1085"/>
      <c r="AN4" s="1085"/>
      <c r="AO4" s="1085"/>
      <c r="AP4" s="1085"/>
      <c r="AQ4" s="1085"/>
      <c r="AR4" s="1085"/>
      <c r="AS4" s="1085"/>
      <c r="AT4" s="1085"/>
      <c r="AU4" s="1085"/>
      <c r="AV4" s="1085"/>
      <c r="AW4" s="1085"/>
      <c r="AX4" s="1085"/>
      <c r="AY4" s="1085"/>
      <c r="AZ4" s="1085"/>
      <c r="BA4" s="1085"/>
      <c r="BB4" s="1085"/>
      <c r="BC4" s="1085"/>
      <c r="BD4" s="1085"/>
      <c r="BE4" s="1085"/>
      <c r="BF4" s="1085"/>
      <c r="BG4" s="1085"/>
      <c r="BH4" s="1085"/>
      <c r="BI4" s="1085"/>
      <c r="BJ4" s="1085"/>
      <c r="BK4" s="1085"/>
      <c r="BL4" s="1085"/>
      <c r="BM4" s="1085"/>
      <c r="BN4" s="1085"/>
      <c r="BO4" s="1085"/>
      <c r="BP4" s="1085"/>
      <c r="BQ4" s="1085"/>
      <c r="BR4" s="1085"/>
      <c r="BS4" s="1085"/>
      <c r="BT4" s="1"/>
      <c r="BU4" s="7"/>
    </row>
    <row r="5" spans="1:73" x14ac:dyDescent="0.3">
      <c r="A5" s="35" t="s">
        <v>14</v>
      </c>
      <c r="B5" s="1880">
        <f>SUM(V85:V90)</f>
        <v>0</v>
      </c>
      <c r="C5" s="1104">
        <f>SUM(AB85:AB90)</f>
        <v>0</v>
      </c>
      <c r="D5" s="1099">
        <f>SUM(AH85:AH90)</f>
        <v>3000</v>
      </c>
      <c r="E5" s="1105">
        <f>SUM(AN85:AN90)</f>
        <v>3000</v>
      </c>
      <c r="F5" s="1106">
        <f>SUM(AT85:AT90)</f>
        <v>0</v>
      </c>
      <c r="G5" s="1101">
        <f>SUM(AZ85:AZ90)</f>
        <v>0</v>
      </c>
      <c r="H5" s="1101">
        <f>SUM(BF85:BF90)</f>
        <v>0</v>
      </c>
      <c r="I5" s="1101">
        <f>BL85+BL86+BL87+BL88+BL89+BL90</f>
        <v>0</v>
      </c>
      <c r="J5" s="1"/>
      <c r="K5" s="1102" t="s">
        <v>15</v>
      </c>
      <c r="L5" s="1129">
        <f>SUM(U28:U41)</f>
        <v>0</v>
      </c>
      <c r="M5" s="1103">
        <f>SUM(AA28:AA41)</f>
        <v>0</v>
      </c>
      <c r="N5" s="1099">
        <f>SUM(AG28:AG41)</f>
        <v>0</v>
      </c>
      <c r="O5" s="1099">
        <f>SUM(AM28:AM41)</f>
        <v>0</v>
      </c>
      <c r="P5" s="1099">
        <f>SUM(AS28:AS41)</f>
        <v>0</v>
      </c>
      <c r="Q5" s="1099">
        <f>SUM(AY28:AY41)</f>
        <v>0</v>
      </c>
      <c r="R5" s="1105">
        <f>SUM(BE28:BE41)</f>
        <v>0</v>
      </c>
      <c r="S5" s="1106">
        <f>SUM(BK28:BK41)</f>
        <v>0</v>
      </c>
      <c r="T5" s="1833"/>
      <c r="U5" s="1833"/>
      <c r="V5" s="1833"/>
      <c r="W5" s="1833"/>
      <c r="X5" s="1833"/>
      <c r="Y5" s="1833"/>
      <c r="Z5" s="1085"/>
      <c r="AA5" s="1085"/>
      <c r="AB5" s="1085"/>
      <c r="AC5" s="1085"/>
      <c r="AD5" s="1085"/>
      <c r="AE5" s="1085"/>
      <c r="AF5" s="1085"/>
      <c r="AG5" s="1085"/>
      <c r="AH5" s="1085"/>
      <c r="AI5" s="1085"/>
      <c r="AJ5" s="1085"/>
      <c r="AK5" s="1085"/>
      <c r="AL5" s="1085"/>
      <c r="AM5" s="1085"/>
      <c r="AN5" s="1085"/>
      <c r="AO5" s="1085"/>
      <c r="AP5" s="1085"/>
      <c r="AQ5" s="1085"/>
      <c r="AR5" s="1085"/>
      <c r="AS5" s="1085"/>
      <c r="AT5" s="1085"/>
      <c r="AU5" s="1085"/>
      <c r="AV5" s="1085"/>
      <c r="AW5" s="1085"/>
      <c r="AX5" s="1085"/>
      <c r="AY5" s="1085"/>
      <c r="AZ5" s="1085"/>
      <c r="BA5" s="1085"/>
      <c r="BB5" s="1085"/>
      <c r="BC5" s="1085"/>
      <c r="BD5" s="1085"/>
      <c r="BE5" s="1085"/>
      <c r="BF5" s="1085"/>
      <c r="BG5" s="1085"/>
      <c r="BH5" s="1085"/>
      <c r="BI5" s="1085"/>
      <c r="BJ5" s="1085"/>
      <c r="BK5" s="1085"/>
      <c r="BL5" s="1085"/>
      <c r="BM5" s="1085"/>
      <c r="BN5" s="1085"/>
      <c r="BO5" s="1085"/>
      <c r="BP5" s="1085"/>
      <c r="BQ5" s="1085"/>
      <c r="BR5" s="1085"/>
      <c r="BS5" s="1085"/>
      <c r="BT5" s="1"/>
      <c r="BU5" s="7"/>
    </row>
    <row r="6" spans="1:73" ht="15" thickBot="1" x14ac:dyDescent="0.35">
      <c r="A6" s="36" t="s">
        <v>16</v>
      </c>
      <c r="B6" s="1881">
        <f>SUM(W85:W90)</f>
        <v>0</v>
      </c>
      <c r="C6" s="1107">
        <f>SUM(AC85:AC90)</f>
        <v>3000</v>
      </c>
      <c r="D6" s="1107">
        <f>SUM(AI85:AI90)</f>
        <v>0</v>
      </c>
      <c r="E6" s="1105">
        <f>SUM(AO85:AO90)</f>
        <v>0</v>
      </c>
      <c r="F6" s="1108">
        <f>SUM(AU85:AU90)</f>
        <v>0</v>
      </c>
      <c r="G6" s="1109">
        <f>SUM(BA85:BA90)</f>
        <v>0</v>
      </c>
      <c r="H6" s="1109">
        <f>SUM(BG85:BG90)</f>
        <v>0</v>
      </c>
      <c r="I6" s="1109">
        <f>SUM(BM85:BM90)</f>
        <v>0</v>
      </c>
      <c r="J6" s="1"/>
      <c r="K6" s="1102" t="s">
        <v>17</v>
      </c>
      <c r="L6" s="1129">
        <f>SUM(T47:T62)</f>
        <v>0</v>
      </c>
      <c r="M6" s="1103">
        <f>SUM(Z47:Z62)</f>
        <v>0</v>
      </c>
      <c r="N6" s="1099">
        <f>SUM(AF47:AF62)</f>
        <v>0</v>
      </c>
      <c r="O6" s="1099">
        <f>SUM(AL47:AL62)</f>
        <v>0</v>
      </c>
      <c r="P6" s="1099">
        <f>SUM(AR47:AR62)</f>
        <v>0</v>
      </c>
      <c r="Q6" s="1099">
        <f>SUM(AX47:AX62)</f>
        <v>0</v>
      </c>
      <c r="R6" s="1105">
        <f>SUM(BD47:BD62)</f>
        <v>0</v>
      </c>
      <c r="S6" s="1106">
        <f>SUM(BJ47:BJ62)</f>
        <v>0</v>
      </c>
      <c r="T6" s="1833"/>
      <c r="U6" s="1833"/>
      <c r="V6" s="1833"/>
      <c r="W6" s="1833"/>
      <c r="X6" s="1833"/>
      <c r="Y6" s="1833"/>
      <c r="Z6" s="1085"/>
      <c r="AA6" s="1085"/>
      <c r="AB6" s="1085"/>
      <c r="AC6" s="1085"/>
      <c r="AD6" s="1085"/>
      <c r="AE6" s="1085"/>
      <c r="AF6" s="1085"/>
      <c r="AG6" s="1085"/>
      <c r="AH6" s="1085"/>
      <c r="AI6" s="1085"/>
      <c r="AJ6" s="1085"/>
      <c r="AK6" s="1085"/>
      <c r="AL6" s="1085"/>
      <c r="AM6" s="1085"/>
      <c r="AN6" s="1085"/>
      <c r="AO6" s="1085"/>
      <c r="AP6" s="1085"/>
      <c r="AQ6" s="1085"/>
      <c r="AR6" s="1085"/>
      <c r="AS6" s="1085"/>
      <c r="AT6" s="1085"/>
      <c r="AU6" s="1085"/>
      <c r="AV6" s="1085"/>
      <c r="AW6" s="1085"/>
      <c r="AX6" s="1085"/>
      <c r="AY6" s="1085"/>
      <c r="AZ6" s="1085"/>
      <c r="BA6" s="1085"/>
      <c r="BB6" s="1085"/>
      <c r="BC6" s="1085"/>
      <c r="BD6" s="1085"/>
      <c r="BE6" s="1085"/>
      <c r="BF6" s="1085"/>
      <c r="BG6" s="1085"/>
      <c r="BH6" s="1085"/>
      <c r="BI6" s="1085"/>
      <c r="BJ6" s="1085"/>
      <c r="BK6" s="1085"/>
      <c r="BL6" s="1085"/>
      <c r="BM6" s="1085"/>
      <c r="BN6" s="1085"/>
      <c r="BO6" s="1085"/>
      <c r="BP6" s="1085"/>
      <c r="BQ6" s="1085"/>
      <c r="BR6" s="1085"/>
      <c r="BS6" s="1085"/>
      <c r="BT6" s="1"/>
      <c r="BU6" s="7"/>
    </row>
    <row r="7" spans="1:73" ht="15" thickBot="1" x14ac:dyDescent="0.35">
      <c r="A7" s="42" t="s">
        <v>18</v>
      </c>
      <c r="B7" s="1110">
        <f t="shared" ref="B7:I7" si="0">SUM(B3:B6)</f>
        <v>0</v>
      </c>
      <c r="C7" s="1110">
        <f t="shared" si="0"/>
        <v>3000</v>
      </c>
      <c r="D7" s="1111">
        <f t="shared" si="0"/>
        <v>3000</v>
      </c>
      <c r="E7" s="1111">
        <f t="shared" si="0"/>
        <v>3000</v>
      </c>
      <c r="F7" s="1111">
        <f t="shared" si="0"/>
        <v>0</v>
      </c>
      <c r="G7" s="1111">
        <f t="shared" si="0"/>
        <v>0</v>
      </c>
      <c r="H7" s="1111">
        <f t="shared" si="0"/>
        <v>0</v>
      </c>
      <c r="I7" s="1111">
        <f t="shared" si="0"/>
        <v>0</v>
      </c>
      <c r="J7" s="1"/>
      <c r="K7" s="1112" t="s">
        <v>19</v>
      </c>
      <c r="L7" s="1194">
        <f>SUM(V47:V62)</f>
        <v>0</v>
      </c>
      <c r="M7" s="1103">
        <f>SUM(AB47:AB62)</f>
        <v>0</v>
      </c>
      <c r="N7" s="1104">
        <f>SUM(AH47:AH62)</f>
        <v>0</v>
      </c>
      <c r="O7" s="1104">
        <f>SUM(AN47:AN62)</f>
        <v>0</v>
      </c>
      <c r="P7" s="1104">
        <f>SUM(AT47:AT62)</f>
        <v>0</v>
      </c>
      <c r="Q7" s="1099">
        <f>SUM(AZ47:AZ62)</f>
        <v>0</v>
      </c>
      <c r="R7" s="1105">
        <f>SUM(BF47:BF62)</f>
        <v>0</v>
      </c>
      <c r="S7" s="1106">
        <f>SUM(BL47:BL62)</f>
        <v>0</v>
      </c>
      <c r="T7" s="1833"/>
      <c r="U7" s="1833"/>
      <c r="V7" s="1833"/>
      <c r="W7" s="1833"/>
      <c r="X7" s="1833"/>
      <c r="Y7" s="1833"/>
      <c r="Z7" s="1085"/>
      <c r="AA7" s="1085"/>
      <c r="AB7" s="1085"/>
      <c r="AC7" s="1085"/>
      <c r="AD7" s="1085"/>
      <c r="AE7" s="1085"/>
      <c r="AF7" s="1085"/>
      <c r="AG7" s="1085"/>
      <c r="AH7" s="1085"/>
      <c r="AI7" s="1085"/>
      <c r="AJ7" s="1085"/>
      <c r="AK7" s="1085"/>
      <c r="AL7" s="1085"/>
      <c r="AM7" s="1085"/>
      <c r="AN7" s="1085"/>
      <c r="AO7" s="1085"/>
      <c r="AP7" s="1085"/>
      <c r="AQ7" s="1085"/>
      <c r="AR7" s="1085"/>
      <c r="AS7" s="1085"/>
      <c r="AT7" s="1085"/>
      <c r="AU7" s="1085"/>
      <c r="AV7" s="1085"/>
      <c r="AW7" s="1085"/>
      <c r="AX7" s="1085"/>
      <c r="AY7" s="1085"/>
      <c r="AZ7" s="1085"/>
      <c r="BA7" s="1085"/>
      <c r="BB7" s="1085"/>
      <c r="BC7" s="1085"/>
      <c r="BD7" s="1085"/>
      <c r="BE7" s="1085"/>
      <c r="BF7" s="1085"/>
      <c r="BG7" s="1085"/>
      <c r="BH7" s="1085"/>
      <c r="BI7" s="1085"/>
      <c r="BJ7" s="1085"/>
      <c r="BK7" s="1085"/>
      <c r="BL7" s="1085"/>
      <c r="BM7" s="1085"/>
      <c r="BN7" s="1085"/>
      <c r="BO7" s="1085"/>
      <c r="BP7" s="1085"/>
      <c r="BQ7" s="1085"/>
      <c r="BR7" s="1085"/>
      <c r="BS7" s="1085"/>
      <c r="BT7" s="1"/>
      <c r="BU7" s="7"/>
    </row>
    <row r="8" spans="1:73" ht="15" thickBot="1" x14ac:dyDescent="0.35">
      <c r="A8" s="47"/>
      <c r="B8" s="48"/>
      <c r="C8" s="48"/>
      <c r="D8" s="48"/>
      <c r="E8" s="48"/>
      <c r="F8" s="48"/>
      <c r="G8" s="1"/>
      <c r="H8" s="1"/>
      <c r="I8" s="1"/>
      <c r="J8" s="1"/>
      <c r="K8" s="1112" t="s">
        <v>20</v>
      </c>
      <c r="L8" s="1194">
        <f>SUM(U47:U62)</f>
        <v>0</v>
      </c>
      <c r="M8" s="1113">
        <f>SUM(AA47:AA62)</f>
        <v>0</v>
      </c>
      <c r="N8" s="1114">
        <f>SUM(AG47:AG62)</f>
        <v>0</v>
      </c>
      <c r="O8" s="1114">
        <f>SUM(AM47:AM62)</f>
        <v>0</v>
      </c>
      <c r="P8" s="1114">
        <f>SUM(AS47:AS62)</f>
        <v>0</v>
      </c>
      <c r="Q8" s="1114">
        <f>SUM(AY47:AY62)</f>
        <v>0</v>
      </c>
      <c r="R8" s="1115">
        <f>SUM(BE47:BE62)</f>
        <v>0</v>
      </c>
      <c r="S8" s="1116">
        <f>SUM(BK47:BK62)</f>
        <v>0</v>
      </c>
      <c r="T8" s="1222"/>
      <c r="U8" s="1222"/>
      <c r="V8" s="1222"/>
      <c r="W8" s="1222"/>
      <c r="X8" s="1222"/>
      <c r="Y8" s="1222"/>
      <c r="Z8" s="1085"/>
      <c r="AA8" s="1085"/>
      <c r="AB8" s="1085"/>
      <c r="AC8" s="1085"/>
      <c r="AD8" s="1085"/>
      <c r="AE8" s="1085"/>
      <c r="AF8" s="1085"/>
      <c r="AG8" s="1085"/>
      <c r="AH8" s="1085"/>
      <c r="AI8" s="1085"/>
      <c r="AJ8" s="1085"/>
      <c r="AK8" s="1085"/>
      <c r="AL8" s="1085"/>
      <c r="AM8" s="1085"/>
      <c r="AN8" s="1085"/>
      <c r="AO8" s="1085"/>
      <c r="AP8" s="1085"/>
      <c r="AQ8" s="1085"/>
      <c r="AR8" s="1085"/>
      <c r="AS8" s="1085"/>
      <c r="AT8" s="1085"/>
      <c r="AU8" s="1085"/>
      <c r="AV8" s="1085"/>
      <c r="AW8" s="1085"/>
      <c r="AX8" s="1085"/>
      <c r="AY8" s="1085"/>
      <c r="AZ8" s="1085"/>
      <c r="BA8" s="1085"/>
      <c r="BB8" s="1085"/>
      <c r="BC8" s="1085"/>
      <c r="BD8" s="1085"/>
      <c r="BE8" s="1085"/>
      <c r="BF8" s="1085"/>
      <c r="BG8" s="1085"/>
      <c r="BH8" s="1085"/>
      <c r="BI8" s="1085"/>
      <c r="BJ8" s="1085"/>
      <c r="BK8" s="1085"/>
      <c r="BL8" s="1085"/>
      <c r="BM8" s="1085"/>
      <c r="BN8" s="1085"/>
      <c r="BO8" s="1085"/>
      <c r="BP8" s="1085"/>
      <c r="BQ8" s="1085"/>
      <c r="BR8" s="1085"/>
      <c r="BS8" s="1085"/>
      <c r="BT8" s="1"/>
      <c r="BU8" s="7"/>
    </row>
    <row r="9" spans="1:73" ht="15" thickBot="1" x14ac:dyDescent="0.35">
      <c r="A9" s="2736" t="s">
        <v>21</v>
      </c>
      <c r="B9" s="2737"/>
      <c r="C9" s="2737"/>
      <c r="D9" s="2738"/>
      <c r="E9" s="53"/>
      <c r="F9" s="54"/>
      <c r="G9" s="55"/>
      <c r="H9" s="55"/>
      <c r="I9" s="1"/>
      <c r="J9" s="1"/>
      <c r="K9" s="1102" t="s">
        <v>309</v>
      </c>
      <c r="L9" s="1129">
        <f>SUM(W28:W41)</f>
        <v>0</v>
      </c>
      <c r="M9" s="1113">
        <f>SUM(AC28:AC41)</f>
        <v>0</v>
      </c>
      <c r="N9" s="1114">
        <f>SUM(AI28:AI41)</f>
        <v>0</v>
      </c>
      <c r="O9" s="1114">
        <v>0</v>
      </c>
      <c r="P9" s="1114">
        <f>SUM(AU28:AU41)</f>
        <v>0</v>
      </c>
      <c r="Q9" s="1114">
        <f>SUM(BA28:BA41)</f>
        <v>0</v>
      </c>
      <c r="R9" s="1115">
        <f>SUM(BG28:BG41)</f>
        <v>0</v>
      </c>
      <c r="S9" s="1117">
        <f>SUM(BM28:BM41)</f>
        <v>0</v>
      </c>
      <c r="Z9" s="1085"/>
      <c r="AA9" s="1085"/>
      <c r="AB9" s="1085"/>
      <c r="AC9" s="1085"/>
      <c r="AD9" s="1085"/>
      <c r="AE9" s="1085"/>
      <c r="AF9" s="1085"/>
      <c r="AG9" s="1085"/>
      <c r="AH9" s="1085"/>
      <c r="AI9" s="1085"/>
      <c r="AJ9" s="1085"/>
      <c r="AK9" s="1085"/>
      <c r="AL9" s="1085"/>
      <c r="AM9" s="1085"/>
      <c r="AN9" s="1085"/>
      <c r="AO9" s="1085"/>
      <c r="AP9" s="1085"/>
      <c r="AQ9" s="1085"/>
      <c r="AR9" s="1085"/>
      <c r="AS9" s="1085"/>
      <c r="AT9" s="1085"/>
      <c r="AU9" s="1085"/>
      <c r="AV9" s="1085"/>
      <c r="AW9" s="1085"/>
      <c r="AX9" s="1085"/>
      <c r="AY9" s="1085"/>
      <c r="AZ9" s="1085"/>
      <c r="BA9" s="1085"/>
      <c r="BB9" s="1085"/>
      <c r="BC9" s="1085"/>
      <c r="BD9" s="1085"/>
      <c r="BE9" s="1085"/>
      <c r="BF9" s="1085"/>
      <c r="BG9" s="1085"/>
      <c r="BH9" s="1085"/>
      <c r="BI9" s="1085"/>
      <c r="BJ9" s="1085"/>
      <c r="BK9" s="1085"/>
      <c r="BL9" s="1085"/>
      <c r="BM9" s="1085"/>
      <c r="BN9" s="1085"/>
      <c r="BO9" s="1085"/>
      <c r="BP9" s="1085"/>
      <c r="BQ9" s="1085"/>
      <c r="BR9" s="1085"/>
      <c r="BS9" s="1085"/>
      <c r="BT9" s="1"/>
      <c r="BU9" s="7"/>
    </row>
    <row r="10" spans="1:73" ht="15" thickBot="1" x14ac:dyDescent="0.35">
      <c r="A10" s="60" t="s">
        <v>2</v>
      </c>
      <c r="B10" s="61" t="s">
        <v>9</v>
      </c>
      <c r="C10" s="61" t="s">
        <v>3</v>
      </c>
      <c r="D10" s="61" t="s">
        <v>4</v>
      </c>
      <c r="E10" s="61" t="s">
        <v>5</v>
      </c>
      <c r="F10" s="62" t="s">
        <v>6</v>
      </c>
      <c r="G10" s="62" t="s">
        <v>7</v>
      </c>
      <c r="H10" s="63" t="s">
        <v>8</v>
      </c>
      <c r="I10" s="13" t="s">
        <v>9</v>
      </c>
      <c r="J10" s="1"/>
      <c r="K10" s="1102"/>
      <c r="L10" s="1129"/>
      <c r="M10" s="1113"/>
      <c r="N10" s="1118"/>
      <c r="O10" s="1118"/>
      <c r="P10" s="1118"/>
      <c r="Q10" s="1118"/>
      <c r="R10" s="1119"/>
      <c r="S10" s="1117"/>
      <c r="Z10" s="1085"/>
      <c r="AA10" s="1085"/>
      <c r="AB10" s="1085"/>
      <c r="AC10" s="1085"/>
      <c r="AD10" s="1085"/>
      <c r="AE10" s="1085"/>
      <c r="AF10" s="1085"/>
      <c r="AG10" s="1085"/>
      <c r="AH10" s="1085"/>
      <c r="AI10" s="1085"/>
      <c r="AJ10" s="1085"/>
      <c r="AK10" s="1085"/>
      <c r="AL10" s="1085"/>
      <c r="AM10" s="1085"/>
      <c r="AN10" s="1085"/>
      <c r="AO10" s="1085"/>
      <c r="AP10" s="1085"/>
      <c r="AQ10" s="1085"/>
      <c r="AR10" s="1085"/>
      <c r="AS10" s="1085"/>
      <c r="AT10" s="1085"/>
      <c r="AU10" s="1085"/>
      <c r="AV10" s="1085"/>
      <c r="AW10" s="1085"/>
      <c r="AX10" s="1085"/>
      <c r="AY10" s="1085"/>
      <c r="AZ10" s="1085"/>
      <c r="BA10" s="1085"/>
      <c r="BB10" s="1085"/>
      <c r="BC10" s="1085"/>
      <c r="BD10" s="1085"/>
      <c r="BE10" s="1085"/>
      <c r="BF10" s="1085"/>
      <c r="BG10" s="1085"/>
      <c r="BH10" s="1085"/>
      <c r="BI10" s="1085"/>
      <c r="BJ10" s="1085"/>
      <c r="BK10" s="1085"/>
      <c r="BL10" s="1085"/>
      <c r="BM10" s="1085"/>
      <c r="BN10" s="1085"/>
      <c r="BO10" s="1085"/>
      <c r="BP10" s="1085"/>
      <c r="BQ10" s="1085"/>
      <c r="BR10" s="1085"/>
      <c r="BS10" s="1085"/>
      <c r="BT10" s="1"/>
      <c r="BU10" s="7"/>
    </row>
    <row r="11" spans="1:73" ht="15" thickBot="1" x14ac:dyDescent="0.35">
      <c r="A11" s="64" t="s">
        <v>22</v>
      </c>
      <c r="B11" s="1882">
        <f>SUM(T94:T136)</f>
        <v>0</v>
      </c>
      <c r="C11" s="1120">
        <f>SUM(Z94:Z136)</f>
        <v>0</v>
      </c>
      <c r="D11" s="1121">
        <f>SUM(AF94:AF136)</f>
        <v>3000</v>
      </c>
      <c r="E11" s="1121">
        <f>SUM(AL94:AL136)</f>
        <v>3000</v>
      </c>
      <c r="F11" s="1121">
        <f>SUM(AR94:AR136)</f>
        <v>0</v>
      </c>
      <c r="G11" s="1122">
        <f>SUM(AX94:AX136)</f>
        <v>0</v>
      </c>
      <c r="H11" s="1122">
        <f>SUM(BD94:BD136)</f>
        <v>0</v>
      </c>
      <c r="I11" s="1122">
        <f>SUM(BJ94:BJ136)</f>
        <v>0</v>
      </c>
      <c r="J11" s="1"/>
      <c r="K11" s="1123"/>
      <c r="L11" s="1871"/>
      <c r="M11" s="1113"/>
      <c r="N11" s="1118"/>
      <c r="O11" s="1118"/>
      <c r="P11" s="1118"/>
      <c r="Q11" s="1118"/>
      <c r="R11" s="1124"/>
      <c r="S11" s="1125"/>
      <c r="Z11" s="1085"/>
      <c r="AA11" s="1085"/>
      <c r="AB11" s="1085"/>
      <c r="AC11" s="1085"/>
      <c r="AD11" s="1085"/>
      <c r="AE11" s="1085"/>
      <c r="AF11" s="1085"/>
      <c r="AG11" s="1085"/>
      <c r="AH11" s="1085"/>
      <c r="AI11" s="1085"/>
      <c r="AJ11" s="1085"/>
      <c r="AK11" s="1085"/>
      <c r="AL11" s="1085"/>
      <c r="AM11" s="1085"/>
      <c r="AN11" s="1085"/>
      <c r="AO11" s="1085"/>
      <c r="AP11" s="1085"/>
      <c r="AQ11" s="1085"/>
      <c r="AR11" s="1085"/>
      <c r="AS11" s="1085"/>
      <c r="AT11" s="1085"/>
      <c r="AU11" s="1085"/>
      <c r="AV11" s="1085"/>
      <c r="AW11" s="1085"/>
      <c r="AX11" s="1085"/>
      <c r="AY11" s="1085"/>
      <c r="AZ11" s="1085"/>
      <c r="BA11" s="1085"/>
      <c r="BB11" s="1085"/>
      <c r="BC11" s="1085"/>
      <c r="BD11" s="1085"/>
      <c r="BE11" s="1085"/>
      <c r="BF11" s="1085"/>
      <c r="BG11" s="1085"/>
      <c r="BH11" s="1085"/>
      <c r="BI11" s="1085"/>
      <c r="BJ11" s="1085"/>
      <c r="BK11" s="1085"/>
      <c r="BL11" s="1085"/>
      <c r="BM11" s="1085"/>
      <c r="BN11" s="1085"/>
      <c r="BO11" s="1085"/>
      <c r="BP11" s="1085"/>
      <c r="BQ11" s="1085"/>
      <c r="BR11" s="1085"/>
      <c r="BS11" s="1085"/>
      <c r="BT11" s="1"/>
      <c r="BU11" s="7"/>
    </row>
    <row r="12" spans="1:73" ht="15" thickBot="1" x14ac:dyDescent="0.35">
      <c r="A12" s="71" t="s">
        <v>23</v>
      </c>
      <c r="B12" s="1883">
        <f>SUM(U94:U136)</f>
        <v>0</v>
      </c>
      <c r="C12" s="1126">
        <f>SUM(AA94:AA136)</f>
        <v>0</v>
      </c>
      <c r="D12" s="1127">
        <f>SUM(AG94:AG136)</f>
        <v>6000</v>
      </c>
      <c r="E12" s="1128">
        <f>SUM(AM94:AM136)</f>
        <v>6000</v>
      </c>
      <c r="F12" s="1128">
        <f>SUM(AS94:AS136)</f>
        <v>0</v>
      </c>
      <c r="G12" s="1101">
        <f>SUM(AY94:AY136)</f>
        <v>0</v>
      </c>
      <c r="H12" s="1129">
        <f>SUM(BE94:BE136)</f>
        <v>0</v>
      </c>
      <c r="I12" s="1101">
        <f>SUM(BK94:BK136)</f>
        <v>0</v>
      </c>
      <c r="J12" s="1"/>
      <c r="K12" s="1130" t="s">
        <v>18</v>
      </c>
      <c r="L12" s="1110">
        <f>SUM(L3:L9)</f>
        <v>0</v>
      </c>
      <c r="M12" s="1110">
        <f t="shared" ref="M12:S12" si="1">SUM(M3:M9)</f>
        <v>0</v>
      </c>
      <c r="N12" s="1110">
        <f t="shared" si="1"/>
        <v>0</v>
      </c>
      <c r="O12" s="1110">
        <f t="shared" si="1"/>
        <v>0</v>
      </c>
      <c r="P12" s="1110">
        <f t="shared" si="1"/>
        <v>0</v>
      </c>
      <c r="Q12" s="1110">
        <f t="shared" si="1"/>
        <v>0</v>
      </c>
      <c r="R12" s="1110">
        <f t="shared" si="1"/>
        <v>0</v>
      </c>
      <c r="S12" s="1110">
        <f t="shared" si="1"/>
        <v>0</v>
      </c>
      <c r="T12" s="1222"/>
      <c r="U12" s="1222"/>
      <c r="V12" s="1222"/>
      <c r="W12" s="1222"/>
      <c r="X12" s="1222"/>
      <c r="Y12" s="1222"/>
      <c r="Z12" s="1085"/>
      <c r="AA12" s="1085"/>
      <c r="AB12" s="1085"/>
      <c r="AC12" s="1085"/>
      <c r="AD12" s="1085"/>
      <c r="AE12" s="1085"/>
      <c r="AF12" s="1085"/>
      <c r="AG12" s="1085"/>
      <c r="AH12" s="1085"/>
      <c r="AI12" s="1085"/>
      <c r="AJ12" s="1085"/>
      <c r="AK12" s="1085"/>
      <c r="AL12" s="1085"/>
      <c r="AM12" s="1085"/>
      <c r="AN12" s="1085"/>
      <c r="AO12" s="1085"/>
      <c r="AP12" s="1085"/>
      <c r="AQ12" s="1085"/>
      <c r="AR12" s="1085"/>
      <c r="AS12" s="1085"/>
      <c r="AT12" s="1085"/>
      <c r="AU12" s="1085"/>
      <c r="AV12" s="1085"/>
      <c r="AW12" s="1085"/>
      <c r="AX12" s="1085"/>
      <c r="AY12" s="1085"/>
      <c r="AZ12" s="1085"/>
      <c r="BA12" s="1085"/>
      <c r="BB12" s="1085"/>
      <c r="BC12" s="1085"/>
      <c r="BD12" s="1085"/>
      <c r="BE12" s="1085"/>
      <c r="BF12" s="1085"/>
      <c r="BG12" s="1085"/>
      <c r="BH12" s="1085"/>
      <c r="BI12" s="1085"/>
      <c r="BJ12" s="1085"/>
      <c r="BK12" s="1085"/>
      <c r="BL12" s="1085"/>
      <c r="BM12" s="1085"/>
      <c r="BN12" s="1085"/>
      <c r="BO12" s="1085"/>
      <c r="BP12" s="1085"/>
      <c r="BQ12" s="1085"/>
      <c r="BR12" s="1085"/>
      <c r="BS12" s="1085"/>
      <c r="BT12" s="1"/>
      <c r="BU12" s="7"/>
    </row>
    <row r="13" spans="1:73" ht="15" thickBot="1" x14ac:dyDescent="0.35">
      <c r="A13" s="76" t="s">
        <v>24</v>
      </c>
      <c r="B13" s="1884">
        <f>SUM(V94:V136)</f>
        <v>0</v>
      </c>
      <c r="C13" s="1131">
        <f>SUM(AB94:AB136)</f>
        <v>0</v>
      </c>
      <c r="D13" s="1132">
        <f>SUM(AH94:AH136)</f>
        <v>6000</v>
      </c>
      <c r="E13" s="1127">
        <f>SUM(AN94:AN136)</f>
        <v>3000</v>
      </c>
      <c r="F13" s="1128">
        <f>SUM(AT94:AT136)</f>
        <v>0</v>
      </c>
      <c r="G13" s="1101">
        <f>SUM(AZ94:AZ136)</f>
        <v>0</v>
      </c>
      <c r="H13" s="1101">
        <f>SUM(BF94:BF136)</f>
        <v>0</v>
      </c>
      <c r="I13" s="1101">
        <f>SUM(BL94:BL136)</f>
        <v>0</v>
      </c>
      <c r="J13" s="1"/>
      <c r="K13" s="1133"/>
      <c r="L13" s="1085"/>
      <c r="M13" s="1085"/>
      <c r="N13" s="1085"/>
      <c r="O13" s="1085"/>
      <c r="P13" s="1085"/>
      <c r="Q13" s="1133"/>
      <c r="R13" s="1085"/>
      <c r="S13" s="1085"/>
      <c r="Z13" s="1085"/>
      <c r="AA13" s="1085"/>
      <c r="AB13" s="1085"/>
      <c r="AC13" s="1085"/>
      <c r="AD13" s="1085"/>
      <c r="AE13" s="1085"/>
      <c r="AF13" s="1085"/>
      <c r="AG13" s="1085"/>
      <c r="AH13" s="1085"/>
      <c r="AI13" s="1085"/>
      <c r="AJ13" s="1085"/>
      <c r="AK13" s="1085"/>
      <c r="AL13" s="1085"/>
      <c r="AM13" s="1085"/>
      <c r="AN13" s="1085"/>
      <c r="AO13" s="1085"/>
      <c r="AP13" s="1085"/>
      <c r="AQ13" s="1085"/>
      <c r="AR13" s="1085"/>
      <c r="AS13" s="1085"/>
      <c r="AT13" s="1085"/>
      <c r="AU13" s="1085"/>
      <c r="AV13" s="1085"/>
      <c r="AW13" s="1085"/>
      <c r="AX13" s="1085"/>
      <c r="AY13" s="1085"/>
      <c r="AZ13" s="1085"/>
      <c r="BA13" s="1085"/>
      <c r="BB13" s="1085"/>
      <c r="BC13" s="1085"/>
      <c r="BD13" s="1085"/>
      <c r="BE13" s="1085"/>
      <c r="BF13" s="1085"/>
      <c r="BG13" s="1085"/>
      <c r="BH13" s="1085"/>
      <c r="BI13" s="1085"/>
      <c r="BJ13" s="1085"/>
      <c r="BK13" s="1085"/>
      <c r="BL13" s="1085"/>
      <c r="BM13" s="1085"/>
      <c r="BN13" s="1085"/>
      <c r="BO13" s="1085"/>
      <c r="BP13" s="1085"/>
      <c r="BQ13" s="1085"/>
      <c r="BR13" s="1085"/>
      <c r="BS13" s="1085"/>
      <c r="BT13" s="1"/>
      <c r="BU13" s="7"/>
    </row>
    <row r="14" spans="1:73" ht="16.2" thickBot="1" x14ac:dyDescent="0.35">
      <c r="A14" s="76" t="s">
        <v>25</v>
      </c>
      <c r="B14" s="1884">
        <f>SUM(W94:W136)</f>
        <v>0</v>
      </c>
      <c r="C14" s="1131">
        <f>SUM(AC94:AC136)</f>
        <v>3000</v>
      </c>
      <c r="D14" s="1132">
        <f>SUM(AI94:AI136)</f>
        <v>6000</v>
      </c>
      <c r="E14" s="1128">
        <v>15000</v>
      </c>
      <c r="F14" s="1127">
        <f>SUM(AU94:AU136)</f>
        <v>0</v>
      </c>
      <c r="G14" s="1101">
        <f>SUM(BA94:BA136)</f>
        <v>0</v>
      </c>
      <c r="H14" s="1101">
        <f>SUM(BG94:BG136)</f>
        <v>0</v>
      </c>
      <c r="I14" s="1101">
        <f>SUM(BM94:BM136)</f>
        <v>0</v>
      </c>
      <c r="J14" s="1"/>
      <c r="K14" s="1081" t="s">
        <v>292</v>
      </c>
      <c r="L14" s="1826"/>
      <c r="M14" s="1082"/>
      <c r="N14" s="1083"/>
      <c r="O14" s="1084"/>
      <c r="P14" s="1085"/>
      <c r="Q14" s="1085"/>
      <c r="R14" s="1085"/>
      <c r="S14" s="1085"/>
      <c r="Z14" s="1085"/>
      <c r="AA14" s="1085"/>
      <c r="AB14" s="1085"/>
      <c r="AC14" s="1085"/>
      <c r="AD14" s="1085"/>
      <c r="AE14" s="1085"/>
      <c r="AF14" s="1085"/>
      <c r="AG14" s="1085"/>
      <c r="AH14" s="1085"/>
      <c r="AI14" s="1085"/>
      <c r="AJ14" s="1085"/>
      <c r="AK14" s="1085"/>
      <c r="AL14" s="1085"/>
      <c r="AM14" s="1085"/>
      <c r="AN14" s="1085"/>
      <c r="AO14" s="1085"/>
      <c r="AP14" s="1085"/>
      <c r="AQ14" s="1085"/>
      <c r="AR14" s="1085"/>
      <c r="AS14" s="1085"/>
      <c r="AT14" s="1085"/>
      <c r="AU14" s="1085"/>
      <c r="AV14" s="1085"/>
      <c r="AW14" s="1085"/>
      <c r="AX14" s="1085"/>
      <c r="AY14" s="1085"/>
      <c r="AZ14" s="1085"/>
      <c r="BA14" s="1085"/>
      <c r="BB14" s="1085"/>
      <c r="BC14" s="1085"/>
      <c r="BD14" s="1085"/>
      <c r="BE14" s="1085"/>
      <c r="BF14" s="1085"/>
      <c r="BG14" s="1085"/>
      <c r="BH14" s="1085"/>
      <c r="BI14" s="1085"/>
      <c r="BJ14" s="1085"/>
      <c r="BK14" s="1085"/>
      <c r="BL14" s="1085"/>
      <c r="BM14" s="1085"/>
      <c r="BN14" s="1085"/>
      <c r="BO14" s="1085"/>
      <c r="BP14" s="1085"/>
      <c r="BQ14" s="1085"/>
      <c r="BR14" s="1085"/>
      <c r="BS14" s="1085"/>
      <c r="BT14" s="1"/>
    </row>
    <row r="15" spans="1:73" ht="15" thickBot="1" x14ac:dyDescent="0.35">
      <c r="A15" s="81" t="s">
        <v>27</v>
      </c>
      <c r="B15" s="1803">
        <f>SUM(X94:X136)</f>
        <v>0</v>
      </c>
      <c r="C15" s="1134">
        <f>SUM(AD94:AD136)</f>
        <v>24000</v>
      </c>
      <c r="D15" s="1134">
        <f>SUM(AJ94:AJ136)</f>
        <v>6000</v>
      </c>
      <c r="E15" s="1134">
        <f>SUM(AP94:AP136)</f>
        <v>0</v>
      </c>
      <c r="F15" s="1135">
        <f>SUM(AV94:AV136)</f>
        <v>0</v>
      </c>
      <c r="G15" s="1100">
        <f>SUM(BB94:BB136)</f>
        <v>0</v>
      </c>
      <c r="H15" s="1100">
        <f>SUM(BH94:BH136)</f>
        <v>0</v>
      </c>
      <c r="I15" s="1100">
        <f>SUM(BN94:BN136)</f>
        <v>0</v>
      </c>
      <c r="J15" s="1"/>
      <c r="K15" s="1086" t="s">
        <v>2</v>
      </c>
      <c r="L15" s="1086" t="s">
        <v>9</v>
      </c>
      <c r="M15" s="1087" t="s">
        <v>3</v>
      </c>
      <c r="N15" s="1088" t="s">
        <v>4</v>
      </c>
      <c r="O15" s="1088" t="s">
        <v>5</v>
      </c>
      <c r="P15" s="1088" t="s">
        <v>6</v>
      </c>
      <c r="Q15" s="1088" t="s">
        <v>7</v>
      </c>
      <c r="R15" s="1089" t="s">
        <v>8</v>
      </c>
      <c r="S15" s="1090" t="s">
        <v>9</v>
      </c>
      <c r="T15" s="1832"/>
      <c r="U15" s="1832"/>
      <c r="V15" s="1832"/>
      <c r="W15" s="1832"/>
      <c r="X15" s="1832"/>
      <c r="Y15" s="1832"/>
      <c r="Z15" s="1085"/>
      <c r="AA15" s="1085"/>
      <c r="AB15" s="1085"/>
      <c r="AC15" s="1085"/>
      <c r="AD15" s="1085"/>
      <c r="AE15" s="1085"/>
      <c r="AF15" s="1085"/>
      <c r="AG15" s="1085"/>
      <c r="AH15" s="1085"/>
      <c r="AI15" s="1085"/>
      <c r="AJ15" s="1085"/>
      <c r="AK15" s="1085"/>
      <c r="AL15" s="1085"/>
      <c r="AM15" s="1085"/>
      <c r="AN15" s="1085"/>
      <c r="AO15" s="1085"/>
      <c r="AP15" s="1085"/>
      <c r="AQ15" s="1085"/>
      <c r="AR15" s="1085"/>
      <c r="AS15" s="1085"/>
      <c r="AT15" s="1085"/>
      <c r="AU15" s="1085"/>
      <c r="AV15" s="1085"/>
      <c r="AW15" s="1085"/>
      <c r="AX15" s="1085"/>
      <c r="AY15" s="1085"/>
      <c r="AZ15" s="1085"/>
      <c r="BA15" s="1085"/>
      <c r="BB15" s="1085"/>
      <c r="BC15" s="1085"/>
      <c r="BD15" s="1085"/>
      <c r="BE15" s="1085"/>
      <c r="BF15" s="1085"/>
      <c r="BG15" s="1085"/>
      <c r="BH15" s="1085"/>
      <c r="BI15" s="1085"/>
      <c r="BJ15" s="1085"/>
      <c r="BK15" s="1085"/>
      <c r="BL15" s="1085"/>
      <c r="BM15" s="1085"/>
      <c r="BN15" s="1085"/>
      <c r="BO15" s="1085"/>
      <c r="BP15" s="1085"/>
      <c r="BQ15" s="1085"/>
      <c r="BR15" s="1085"/>
      <c r="BS15" s="1085"/>
      <c r="BT15" s="1"/>
      <c r="BU15" s="7"/>
    </row>
    <row r="16" spans="1:73" ht="15" thickBot="1" x14ac:dyDescent="0.35">
      <c r="A16" s="75" t="s">
        <v>18</v>
      </c>
      <c r="B16" s="1136">
        <f t="shared" ref="B16:I16" si="2">SUM(B11:B15)</f>
        <v>0</v>
      </c>
      <c r="C16" s="1136">
        <f t="shared" si="2"/>
        <v>27000</v>
      </c>
      <c r="D16" s="1137">
        <f t="shared" si="2"/>
        <v>27000</v>
      </c>
      <c r="E16" s="1138">
        <f t="shared" si="2"/>
        <v>27000</v>
      </c>
      <c r="F16" s="1138">
        <f t="shared" si="2"/>
        <v>0</v>
      </c>
      <c r="G16" s="1111">
        <f t="shared" si="2"/>
        <v>0</v>
      </c>
      <c r="H16" s="1111">
        <f t="shared" si="2"/>
        <v>0</v>
      </c>
      <c r="I16" s="1111">
        <f t="shared" si="2"/>
        <v>0</v>
      </c>
      <c r="J16" s="1"/>
      <c r="K16" s="1094" t="s">
        <v>293</v>
      </c>
      <c r="L16" s="1274">
        <f>SUM(T66:T77)</f>
        <v>0</v>
      </c>
      <c r="M16" s="1095">
        <f>SUM(Z66:Z77)</f>
        <v>0</v>
      </c>
      <c r="N16" s="1095">
        <f>SUM(AF66:AF77)</f>
        <v>0</v>
      </c>
      <c r="O16" s="1096">
        <f>SUM(AL66:AL77)</f>
        <v>0</v>
      </c>
      <c r="P16" s="1096">
        <f>SUM(AR66:AR77)</f>
        <v>0</v>
      </c>
      <c r="Q16" s="1096">
        <f>SUM(AX66:AX77)</f>
        <v>0</v>
      </c>
      <c r="R16" s="1097">
        <f>SUM(BD66:BD77)</f>
        <v>0</v>
      </c>
      <c r="S16" s="1098">
        <f>SUM(BJ66:BJ77)</f>
        <v>0</v>
      </c>
      <c r="T16" s="1222"/>
      <c r="U16" s="1222"/>
      <c r="V16" s="1222"/>
      <c r="W16" s="1222"/>
      <c r="X16" s="1222"/>
      <c r="Y16" s="1222"/>
      <c r="Z16" s="1085"/>
      <c r="AA16" s="1085"/>
      <c r="AB16" s="1085"/>
      <c r="AC16" s="1085"/>
      <c r="AD16" s="1085"/>
      <c r="AE16" s="1085"/>
      <c r="AF16" s="1085"/>
      <c r="AG16" s="1085"/>
      <c r="AH16" s="1085"/>
      <c r="AI16" s="1085"/>
      <c r="AJ16" s="1085"/>
      <c r="AK16" s="1085"/>
      <c r="AL16" s="1085"/>
      <c r="AM16" s="1085"/>
      <c r="AN16" s="1085"/>
      <c r="AO16" s="1085"/>
      <c r="AP16" s="1085"/>
      <c r="AQ16" s="1085"/>
      <c r="AR16" s="1085"/>
      <c r="AS16" s="1085"/>
      <c r="AT16" s="1085"/>
      <c r="AU16" s="1085"/>
      <c r="AV16" s="1085"/>
      <c r="AW16" s="1085"/>
      <c r="AX16" s="1085"/>
      <c r="AY16" s="1085"/>
      <c r="AZ16" s="1085"/>
      <c r="BA16" s="1085"/>
      <c r="BB16" s="1085"/>
      <c r="BC16" s="1085"/>
      <c r="BD16" s="1085"/>
      <c r="BE16" s="1085"/>
      <c r="BF16" s="1085"/>
      <c r="BG16" s="1085"/>
      <c r="BH16" s="1085"/>
      <c r="BI16" s="1085"/>
      <c r="BJ16" s="1085"/>
      <c r="BK16" s="1085"/>
      <c r="BL16" s="1085"/>
      <c r="BM16" s="1085"/>
      <c r="BN16" s="1085"/>
      <c r="BO16" s="1085"/>
      <c r="BP16" s="1085"/>
      <c r="BQ16" s="1085"/>
      <c r="BR16" s="1085"/>
      <c r="BS16" s="1085"/>
      <c r="BT16" s="1"/>
      <c r="BU16" s="7"/>
    </row>
    <row r="17" spans="1:72" ht="15" thickBot="1" x14ac:dyDescent="0.35">
      <c r="A17" s="87"/>
      <c r="B17" s="87"/>
      <c r="C17" s="1139"/>
      <c r="D17" s="1139"/>
      <c r="E17" s="1139"/>
      <c r="F17" s="1139"/>
      <c r="G17" s="1140"/>
      <c r="H17" s="1085"/>
      <c r="I17" s="1085"/>
      <c r="J17" s="795" t="s">
        <v>281</v>
      </c>
      <c r="K17" s="1102" t="s">
        <v>294</v>
      </c>
      <c r="L17" s="1129">
        <f>SUM(U66:U77)</f>
        <v>0</v>
      </c>
      <c r="M17" s="1103">
        <f>SUM(AA66:AA77)</f>
        <v>0</v>
      </c>
      <c r="N17" s="1099">
        <f>SUM(AG66:AG77)</f>
        <v>0</v>
      </c>
      <c r="O17" s="1104">
        <f>SUM(AM66:AM77)</f>
        <v>0</v>
      </c>
      <c r="P17" s="1099">
        <f>SUM(AS66:AS77)</f>
        <v>0</v>
      </c>
      <c r="Q17" s="1096">
        <f>SUM(AY66:AY77)</f>
        <v>0</v>
      </c>
      <c r="R17" s="1097">
        <f>SUM(BE66:BE77)</f>
        <v>0</v>
      </c>
      <c r="S17" s="1098">
        <f>SUM(BK66:BK77)</f>
        <v>0</v>
      </c>
      <c r="T17" s="1222"/>
      <c r="U17" s="1222"/>
      <c r="V17" s="1222"/>
      <c r="W17" s="1222"/>
      <c r="X17" s="1222"/>
      <c r="Y17" s="1222"/>
      <c r="Z17" s="1085"/>
      <c r="AA17" s="1085"/>
      <c r="AB17" s="1085"/>
      <c r="AC17" s="1085"/>
      <c r="AD17" s="1085"/>
      <c r="AE17" s="1085"/>
      <c r="AF17" s="1085"/>
      <c r="AG17" s="1085"/>
      <c r="AH17" s="1085"/>
      <c r="AI17" s="1085"/>
      <c r="AJ17" s="1085"/>
      <c r="AK17" s="1085"/>
      <c r="AL17" s="1085"/>
      <c r="AM17" s="1085"/>
      <c r="AN17" s="1085"/>
      <c r="AO17" s="1085"/>
      <c r="AP17" s="1085"/>
      <c r="AQ17" s="1085"/>
      <c r="AR17" s="1085"/>
      <c r="AS17" s="1085"/>
      <c r="AT17" s="1085"/>
      <c r="AU17" s="1085"/>
      <c r="AV17" s="1085"/>
      <c r="AW17" s="1085"/>
      <c r="AX17" s="1085"/>
      <c r="AY17" s="1085"/>
      <c r="AZ17" s="1085"/>
      <c r="BA17" s="1085"/>
      <c r="BB17" s="1085"/>
      <c r="BC17" s="1085"/>
      <c r="BD17" s="1085"/>
      <c r="BE17" s="1085"/>
      <c r="BF17" s="1085"/>
      <c r="BG17" s="1085"/>
      <c r="BH17" s="1085"/>
      <c r="BI17" s="1085"/>
      <c r="BJ17" s="1085"/>
      <c r="BK17" s="1085"/>
      <c r="BL17" s="1085"/>
      <c r="BM17" s="1085"/>
      <c r="BN17" s="1085"/>
      <c r="BO17" s="1085"/>
      <c r="BP17" s="1085"/>
      <c r="BQ17" s="1085"/>
      <c r="BR17" s="1085"/>
      <c r="BS17" s="1085"/>
      <c r="BT17" s="1"/>
    </row>
    <row r="18" spans="1:72" ht="15.6" thickTop="1" thickBot="1" x14ac:dyDescent="0.35">
      <c r="A18" s="1025" t="s">
        <v>26</v>
      </c>
      <c r="B18" s="1141">
        <f>B7+B16+L12+L25</f>
        <v>0</v>
      </c>
      <c r="C18" s="1141">
        <f t="shared" ref="C18:I18" si="3">C7+C16+M12</f>
        <v>30000</v>
      </c>
      <c r="D18" s="1141">
        <f t="shared" si="3"/>
        <v>30000</v>
      </c>
      <c r="E18" s="1141">
        <f t="shared" si="3"/>
        <v>30000</v>
      </c>
      <c r="F18" s="1141">
        <f t="shared" si="3"/>
        <v>0</v>
      </c>
      <c r="G18" s="1141">
        <f t="shared" si="3"/>
        <v>0</v>
      </c>
      <c r="H18" s="1141">
        <f t="shared" si="3"/>
        <v>0</v>
      </c>
      <c r="I18" s="1141">
        <f t="shared" si="3"/>
        <v>0</v>
      </c>
      <c r="J18" s="1027">
        <f>SUM(C18:I18)</f>
        <v>90000</v>
      </c>
      <c r="K18" s="1102" t="s">
        <v>295</v>
      </c>
      <c r="L18" s="1129">
        <f>SUM(V66:V77)</f>
        <v>0</v>
      </c>
      <c r="M18" s="1103">
        <f>SUM(AB66:AB77)</f>
        <v>0</v>
      </c>
      <c r="N18" s="1099">
        <f>SUM(AH66:AH77)</f>
        <v>0</v>
      </c>
      <c r="O18" s="1099">
        <f>SUM(AN66:AN77)</f>
        <v>0</v>
      </c>
      <c r="P18" s="1099">
        <f>SUM(AT66:AT77)</f>
        <v>0</v>
      </c>
      <c r="Q18" s="1096">
        <f>SUM(AZ66:AZ77)</f>
        <v>0</v>
      </c>
      <c r="R18" s="1105">
        <f>SUM(BF66:BF77)</f>
        <v>0</v>
      </c>
      <c r="S18" s="1098">
        <f>SUM(BL66:BL77)</f>
        <v>0</v>
      </c>
      <c r="T18" s="1222"/>
      <c r="U18" s="1222"/>
      <c r="V18" s="1222"/>
      <c r="W18" s="1222"/>
      <c r="X18" s="1222"/>
      <c r="Y18" s="1222"/>
      <c r="Z18" s="1085"/>
      <c r="AA18" s="1085"/>
      <c r="AB18" s="1085"/>
      <c r="AC18" s="1085"/>
      <c r="AD18" s="1085"/>
      <c r="AE18" s="1085"/>
      <c r="AF18" s="1085"/>
      <c r="AG18" s="1085"/>
      <c r="AH18" s="1085"/>
      <c r="AI18" s="1085"/>
      <c r="AJ18" s="1085"/>
      <c r="AK18" s="1085"/>
      <c r="AL18" s="1085"/>
      <c r="AM18" s="1085"/>
      <c r="AN18" s="1085"/>
      <c r="AO18" s="1085"/>
      <c r="AP18" s="1085"/>
      <c r="AQ18" s="1085"/>
      <c r="AR18" s="1085"/>
      <c r="AS18" s="1085"/>
      <c r="AT18" s="1085"/>
      <c r="AU18" s="1085"/>
      <c r="AV18" s="1085"/>
      <c r="AW18" s="1085"/>
      <c r="AX18" s="1085"/>
      <c r="AY18" s="1085"/>
      <c r="AZ18" s="1085"/>
      <c r="BA18" s="1085"/>
      <c r="BB18" s="1085"/>
      <c r="BC18" s="1085"/>
      <c r="BD18" s="1085"/>
      <c r="BE18" s="1085"/>
      <c r="BF18" s="1085"/>
      <c r="BG18" s="1085"/>
      <c r="BH18" s="1085"/>
      <c r="BI18" s="1085"/>
      <c r="BJ18" s="1085"/>
      <c r="BK18" s="1085"/>
      <c r="BL18" s="1085"/>
      <c r="BM18" s="1085"/>
      <c r="BN18" s="1085"/>
      <c r="BO18" s="1085"/>
      <c r="BP18" s="1085"/>
      <c r="BQ18" s="1085"/>
      <c r="BR18" s="1085"/>
      <c r="BS18" s="1085"/>
      <c r="BT18" s="1"/>
    </row>
    <row r="19" spans="1:72" ht="16.8" thickTop="1" thickBot="1" x14ac:dyDescent="0.35">
      <c r="A19" s="1026" t="s">
        <v>299</v>
      </c>
      <c r="B19" s="1142"/>
      <c r="C19" s="1142">
        <v>30000</v>
      </c>
      <c r="D19" s="1142">
        <v>40000</v>
      </c>
      <c r="E19" s="1142">
        <v>30000</v>
      </c>
      <c r="F19" s="1142"/>
      <c r="G19" s="1142"/>
      <c r="H19" s="1142"/>
      <c r="I19" s="1142"/>
      <c r="J19" s="1027">
        <f>SUM(C19:I19)</f>
        <v>100000</v>
      </c>
      <c r="K19" s="1102" t="s">
        <v>296</v>
      </c>
      <c r="L19" s="1129">
        <f>SUM(W66:W77)</f>
        <v>0</v>
      </c>
      <c r="M19" s="1103">
        <f>SUM(AC66:AC77)</f>
        <v>0</v>
      </c>
      <c r="N19" s="1099">
        <f>SUM(AI66:AI77)</f>
        <v>0</v>
      </c>
      <c r="O19" s="1099">
        <f>SUM(AO66:AO77)</f>
        <v>0</v>
      </c>
      <c r="P19" s="1099">
        <f>SUM(AU66:AU77)</f>
        <v>0</v>
      </c>
      <c r="Q19" s="1096">
        <f>SUM(BA66:BA77)</f>
        <v>0</v>
      </c>
      <c r="R19" s="1105">
        <f>SUM(BG66:BG77)</f>
        <v>0</v>
      </c>
      <c r="S19" s="1098">
        <f>SUM(BM66:BM77)</f>
        <v>0</v>
      </c>
      <c r="T19" s="1222"/>
      <c r="U19" s="1222"/>
      <c r="V19" s="1222"/>
      <c r="W19" s="1222"/>
      <c r="X19" s="1222"/>
      <c r="Y19" s="1222"/>
      <c r="Z19" s="1085"/>
      <c r="AA19" s="1085"/>
      <c r="AB19" s="1085"/>
      <c r="AC19" s="1085"/>
      <c r="AD19" s="1085"/>
      <c r="AE19" s="1085"/>
      <c r="AF19" s="1085"/>
      <c r="AG19" s="1085"/>
      <c r="AH19" s="1085"/>
      <c r="AI19" s="1085"/>
      <c r="AJ19" s="1085"/>
      <c r="AK19" s="1085"/>
      <c r="AL19" s="1085"/>
      <c r="AM19" s="1085"/>
      <c r="AN19" s="1085"/>
      <c r="AO19" s="1085"/>
      <c r="AP19" s="1085"/>
      <c r="AQ19" s="1085"/>
      <c r="AR19" s="1085"/>
      <c r="AS19" s="1085"/>
      <c r="AT19" s="1085"/>
      <c r="AU19" s="1085"/>
      <c r="AV19" s="1085"/>
      <c r="AW19" s="1085"/>
      <c r="AX19" s="1085"/>
      <c r="AY19" s="1085"/>
      <c r="AZ19" s="1085"/>
      <c r="BA19" s="1085"/>
      <c r="BB19" s="1085"/>
      <c r="BC19" s="1085"/>
      <c r="BD19" s="1085"/>
      <c r="BE19" s="1085"/>
      <c r="BF19" s="1085"/>
      <c r="BG19" s="1085"/>
      <c r="BH19" s="1085"/>
      <c r="BI19" s="1085"/>
      <c r="BJ19" s="1085"/>
      <c r="BK19" s="1085"/>
      <c r="BL19" s="1085"/>
      <c r="BM19" s="1085"/>
      <c r="BN19" s="1085"/>
      <c r="BO19" s="1085"/>
      <c r="BP19" s="1085"/>
      <c r="BQ19" s="1085"/>
      <c r="BR19" s="1085"/>
      <c r="BS19" s="1085"/>
      <c r="BT19" s="1"/>
    </row>
    <row r="20" spans="1:72" ht="16.8" thickTop="1" thickBot="1" x14ac:dyDescent="0.35">
      <c r="A20" s="1026" t="s">
        <v>355</v>
      </c>
      <c r="B20" s="1870"/>
      <c r="C20" s="1143"/>
      <c r="D20" s="1143"/>
      <c r="E20" s="1143"/>
      <c r="F20" s="1143"/>
      <c r="G20" s="1143"/>
      <c r="H20" s="1144"/>
      <c r="I20" s="1144"/>
      <c r="J20" s="1027">
        <f>J18-J19</f>
        <v>-10000</v>
      </c>
      <c r="K20" s="1102" t="s">
        <v>298</v>
      </c>
      <c r="L20" s="1129">
        <f>SUM(X66:X77)</f>
        <v>0</v>
      </c>
      <c r="M20" s="1103">
        <f>SUM(AD66:AD77)</f>
        <v>0</v>
      </c>
      <c r="N20" s="1104">
        <f>SUM(AJ66:AJ77)</f>
        <v>0</v>
      </c>
      <c r="O20" s="1104">
        <f>SUM(AP66:AP77)</f>
        <v>0</v>
      </c>
      <c r="P20" s="1104">
        <f>SUM(AV66:AV77)</f>
        <v>0</v>
      </c>
      <c r="Q20" s="1096">
        <f>SUM(BB66:BB77)</f>
        <v>0</v>
      </c>
      <c r="R20" s="1105">
        <f>SUM(BH66:BH77)</f>
        <v>0</v>
      </c>
      <c r="S20" s="1098">
        <f>SUM(BN66:BN77)</f>
        <v>0</v>
      </c>
      <c r="T20" s="1222"/>
      <c r="U20" s="1222"/>
      <c r="V20" s="1222"/>
      <c r="W20" s="1222"/>
      <c r="X20" s="1222"/>
      <c r="Y20" s="1222"/>
      <c r="Z20" s="1085"/>
      <c r="AA20" s="1085"/>
      <c r="AB20" s="1085"/>
      <c r="AC20" s="1085"/>
      <c r="AD20" s="1085"/>
      <c r="AE20" s="1085"/>
      <c r="AF20" s="1085"/>
      <c r="AG20" s="1085"/>
      <c r="AH20" s="1085"/>
      <c r="AI20" s="1085"/>
      <c r="AJ20" s="1085"/>
      <c r="AK20" s="1085"/>
      <c r="AL20" s="1085"/>
      <c r="AM20" s="1085"/>
      <c r="AN20" s="1085"/>
      <c r="AO20" s="1085"/>
      <c r="AP20" s="1085"/>
      <c r="AQ20" s="1085"/>
      <c r="AR20" s="1085"/>
      <c r="AS20" s="1085"/>
      <c r="AT20" s="1085"/>
      <c r="AU20" s="1085"/>
      <c r="AV20" s="1085"/>
      <c r="AW20" s="1085"/>
      <c r="AX20" s="1085"/>
      <c r="AY20" s="1085"/>
      <c r="AZ20" s="1085"/>
      <c r="BA20" s="1085"/>
      <c r="BB20" s="1085"/>
      <c r="BC20" s="1085"/>
      <c r="BD20" s="1085"/>
      <c r="BE20" s="1085"/>
      <c r="BF20" s="1085"/>
      <c r="BG20" s="1085"/>
      <c r="BH20" s="1085"/>
      <c r="BI20" s="1085"/>
      <c r="BJ20" s="1085"/>
      <c r="BK20" s="1085"/>
      <c r="BL20" s="1085"/>
      <c r="BM20" s="1085"/>
      <c r="BN20" s="1085"/>
      <c r="BO20" s="1085"/>
      <c r="BP20" s="1085"/>
      <c r="BQ20" s="1085"/>
      <c r="BR20" s="1085"/>
      <c r="BS20" s="1085"/>
      <c r="BT20" s="1"/>
    </row>
    <row r="21" spans="1:72" ht="16.2" thickTop="1" x14ac:dyDescent="0.3">
      <c r="A21" s="930"/>
      <c r="B21" s="931"/>
      <c r="C21" s="931"/>
      <c r="D21" s="931"/>
      <c r="E21" s="931"/>
      <c r="F21" s="931"/>
      <c r="G21" s="932"/>
      <c r="H21" s="932"/>
      <c r="I21" s="93"/>
      <c r="J21" s="94"/>
      <c r="K21" s="1102" t="s">
        <v>297</v>
      </c>
      <c r="L21" s="1129">
        <f>SUM(Y66:Y77)</f>
        <v>0</v>
      </c>
      <c r="M21" s="1113">
        <f>SUM(AE66:AE77)</f>
        <v>0</v>
      </c>
      <c r="N21" s="1114">
        <f>SUM(AK66:AK77)</f>
        <v>0</v>
      </c>
      <c r="O21" s="1114">
        <f>SUM(AQ66:AQ77)</f>
        <v>0</v>
      </c>
      <c r="P21" s="1114">
        <f>SUM(AW66:AW77)</f>
        <v>0</v>
      </c>
      <c r="Q21" s="1096">
        <f>SUM(BC66:BC77)</f>
        <v>0</v>
      </c>
      <c r="R21" s="1105">
        <f>SUM(BI66:BI77)</f>
        <v>0</v>
      </c>
      <c r="S21" s="1098">
        <f>SUM(BO66:BO77)</f>
        <v>0</v>
      </c>
      <c r="T21" s="1222"/>
      <c r="U21" s="1222"/>
      <c r="V21" s="1222"/>
      <c r="W21" s="1222"/>
      <c r="X21" s="1222"/>
      <c r="Y21" s="1222"/>
      <c r="Z21" s="1085"/>
      <c r="AA21" s="1085"/>
      <c r="AB21" s="1085"/>
      <c r="AC21" s="1085"/>
      <c r="AD21" s="1085"/>
      <c r="AE21" s="1085"/>
      <c r="AF21" s="1085"/>
      <c r="AG21" s="1085"/>
      <c r="AH21" s="1085"/>
      <c r="AI21" s="1085"/>
      <c r="AJ21" s="1085"/>
      <c r="AK21" s="1085"/>
      <c r="AL21" s="1085"/>
      <c r="AM21" s="1085"/>
      <c r="AN21" s="1085"/>
      <c r="AO21" s="1085"/>
      <c r="AP21" s="1085"/>
      <c r="AQ21" s="1085"/>
      <c r="AR21" s="1085"/>
      <c r="AS21" s="1085"/>
      <c r="AT21" s="1085"/>
      <c r="AU21" s="1085"/>
      <c r="AV21" s="1085"/>
      <c r="AW21" s="1085"/>
      <c r="AX21" s="1085"/>
      <c r="AY21" s="1085"/>
      <c r="AZ21" s="1085"/>
      <c r="BA21" s="1085"/>
      <c r="BB21" s="1085"/>
      <c r="BC21" s="1085"/>
      <c r="BD21" s="1085"/>
      <c r="BE21" s="1085"/>
      <c r="BF21" s="1085"/>
      <c r="BG21" s="1085"/>
      <c r="BH21" s="1085"/>
      <c r="BI21" s="1085"/>
      <c r="BJ21" s="1085"/>
      <c r="BK21" s="1085"/>
      <c r="BL21" s="1085"/>
      <c r="BM21" s="1085"/>
      <c r="BN21" s="1085"/>
      <c r="BO21" s="1085"/>
      <c r="BP21" s="1085"/>
      <c r="BQ21" s="1085"/>
      <c r="BR21" s="1085"/>
      <c r="BS21" s="1085"/>
      <c r="BT21" s="1"/>
    </row>
    <row r="22" spans="1:72" ht="15.6" x14ac:dyDescent="0.3">
      <c r="A22" s="930"/>
      <c r="B22" s="931"/>
      <c r="C22" s="931"/>
      <c r="D22" s="931"/>
      <c r="E22" s="931"/>
      <c r="F22" s="931"/>
      <c r="G22" s="932"/>
      <c r="H22" s="932"/>
      <c r="I22" s="93"/>
      <c r="J22" s="94"/>
      <c r="K22" s="1102"/>
      <c r="L22" s="1129"/>
      <c r="M22" s="1113"/>
      <c r="N22" s="1118"/>
      <c r="O22" s="1118"/>
      <c r="P22" s="1118"/>
      <c r="Q22" s="1118"/>
      <c r="R22" s="1119"/>
      <c r="S22" s="1117"/>
      <c r="Z22" s="1085"/>
      <c r="AA22" s="1085"/>
      <c r="AB22" s="1085"/>
      <c r="AC22" s="1085"/>
      <c r="AD22" s="1085"/>
      <c r="AE22" s="1085"/>
      <c r="AF22" s="1085"/>
      <c r="AG22" s="1085"/>
      <c r="AH22" s="1085"/>
      <c r="AI22" s="1085"/>
      <c r="AJ22" s="1085"/>
      <c r="AK22" s="1085"/>
      <c r="AL22" s="1085"/>
      <c r="AM22" s="1085"/>
      <c r="AN22" s="1085"/>
      <c r="AO22" s="1085"/>
      <c r="AP22" s="1085"/>
      <c r="AQ22" s="1085"/>
      <c r="AR22" s="1085"/>
      <c r="AS22" s="1085"/>
      <c r="AT22" s="1085"/>
      <c r="AU22" s="1085"/>
      <c r="AV22" s="1085"/>
      <c r="AW22" s="1085"/>
      <c r="AX22" s="1085"/>
      <c r="AY22" s="1085"/>
      <c r="AZ22" s="1085"/>
      <c r="BA22" s="1085"/>
      <c r="BB22" s="1085"/>
      <c r="BC22" s="1085"/>
      <c r="BD22" s="1085"/>
      <c r="BE22" s="1085"/>
      <c r="BF22" s="1085"/>
      <c r="BG22" s="1085"/>
      <c r="BH22" s="1085"/>
      <c r="BI22" s="1085"/>
      <c r="BJ22" s="1085"/>
      <c r="BK22" s="1085"/>
      <c r="BL22" s="1085"/>
      <c r="BM22" s="1085"/>
      <c r="BN22" s="1085"/>
      <c r="BO22" s="1085"/>
      <c r="BP22" s="1085"/>
      <c r="BQ22" s="1085"/>
      <c r="BR22" s="1085"/>
      <c r="BS22" s="1085"/>
      <c r="BT22" s="1"/>
    </row>
    <row r="23" spans="1:72" x14ac:dyDescent="0.3">
      <c r="A23" s="1"/>
      <c r="B23" s="1"/>
      <c r="C23" s="93"/>
      <c r="D23" s="1"/>
      <c r="E23" s="1"/>
      <c r="F23" s="1"/>
      <c r="G23" s="1"/>
      <c r="H23" s="1"/>
      <c r="I23" s="1"/>
      <c r="J23" s="94"/>
      <c r="K23" s="1102"/>
      <c r="L23" s="1129"/>
      <c r="M23" s="1113"/>
      <c r="N23" s="1118"/>
      <c r="O23" s="1118"/>
      <c r="P23" s="1118"/>
      <c r="Q23" s="1118"/>
      <c r="R23" s="1119"/>
      <c r="S23" s="1117"/>
      <c r="Z23" s="1085"/>
      <c r="AA23" s="1085"/>
      <c r="AB23" s="1085"/>
      <c r="AC23" s="1085"/>
      <c r="AD23" s="1085"/>
      <c r="AE23" s="1085"/>
      <c r="AF23" s="1085"/>
      <c r="AG23" s="1085"/>
      <c r="AH23" s="1085"/>
      <c r="AI23" s="1085"/>
      <c r="AJ23" s="1085"/>
      <c r="AK23" s="1085"/>
      <c r="AL23" s="1085"/>
      <c r="AM23" s="1085"/>
      <c r="AN23" s="1085"/>
      <c r="AO23" s="1085"/>
      <c r="AP23" s="1085"/>
      <c r="AQ23" s="1085"/>
      <c r="AR23" s="1085"/>
      <c r="AS23" s="1085"/>
      <c r="AT23" s="1085"/>
      <c r="AU23" s="1085"/>
      <c r="AV23" s="1085"/>
      <c r="AW23" s="1085"/>
      <c r="AX23" s="1085"/>
      <c r="AY23" s="1085"/>
      <c r="AZ23" s="1085"/>
      <c r="BA23" s="1085"/>
      <c r="BB23" s="1085"/>
      <c r="BC23" s="1085"/>
      <c r="BD23" s="1085"/>
      <c r="BE23" s="1085"/>
      <c r="BF23" s="1085"/>
      <c r="BG23" s="1085"/>
      <c r="BH23" s="1085"/>
      <c r="BI23" s="1085"/>
      <c r="BJ23" s="1085"/>
      <c r="BK23" s="1085"/>
      <c r="BL23" s="1085"/>
      <c r="BM23" s="1085"/>
      <c r="BN23" s="1085"/>
      <c r="BO23" s="1085"/>
      <c r="BP23" s="1085"/>
      <c r="BQ23" s="1085"/>
      <c r="BR23" s="1085"/>
      <c r="BS23" s="1085"/>
      <c r="BT23" s="1"/>
    </row>
    <row r="24" spans="1:72" ht="15" thickBot="1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123"/>
      <c r="L24" s="1872"/>
      <c r="M24" s="1113"/>
      <c r="N24" s="1118"/>
      <c r="O24" s="1118"/>
      <c r="P24" s="1118"/>
      <c r="Q24" s="1118"/>
      <c r="R24" s="1124"/>
      <c r="S24" s="1125"/>
      <c r="Z24" s="1085"/>
      <c r="AA24" s="1085"/>
      <c r="AB24" s="1085"/>
      <c r="AC24" s="1085"/>
      <c r="AD24" s="1085"/>
      <c r="AE24" s="1085"/>
      <c r="AF24" s="1085"/>
      <c r="AG24" s="1085"/>
      <c r="AH24" s="1085"/>
      <c r="AI24" s="1085"/>
      <c r="AJ24" s="1085"/>
      <c r="AK24" s="1085"/>
      <c r="AL24" s="1085"/>
      <c r="AM24" s="1085"/>
      <c r="AN24" s="1085"/>
      <c r="AO24" s="1085"/>
      <c r="AP24" s="1085"/>
      <c r="AQ24" s="1085"/>
      <c r="AR24" s="1085"/>
      <c r="AS24" s="1085"/>
      <c r="AT24" s="1085"/>
      <c r="AU24" s="1085"/>
      <c r="AV24" s="1085"/>
      <c r="AW24" s="1085"/>
      <c r="AX24" s="1085"/>
      <c r="AY24" s="1085"/>
      <c r="AZ24" s="1085"/>
      <c r="BA24" s="1085"/>
      <c r="BB24" s="1085"/>
      <c r="BC24" s="1085"/>
      <c r="BD24" s="1085"/>
      <c r="BE24" s="1085"/>
      <c r="BF24" s="1085"/>
      <c r="BG24" s="1085"/>
      <c r="BH24" s="1085"/>
      <c r="BI24" s="1085"/>
      <c r="BJ24" s="1085"/>
      <c r="BK24" s="1085"/>
      <c r="BL24" s="1085"/>
      <c r="BM24" s="1085"/>
      <c r="BN24" s="1085"/>
      <c r="BO24" s="1085"/>
      <c r="BP24" s="1085"/>
      <c r="BQ24" s="1085"/>
      <c r="BR24" s="1085"/>
      <c r="BS24" s="1085"/>
      <c r="BT24" s="1"/>
    </row>
    <row r="25" spans="1:72" ht="18.600000000000001" thickBot="1" x14ac:dyDescent="0.4">
      <c r="A25" s="95"/>
      <c r="B25" s="95"/>
      <c r="C25" s="95"/>
      <c r="D25" s="95"/>
      <c r="E25" s="95"/>
      <c r="F25" s="1"/>
      <c r="G25" s="1"/>
      <c r="H25" s="1"/>
      <c r="I25" s="1"/>
      <c r="J25" s="1"/>
      <c r="K25" s="1130" t="s">
        <v>18</v>
      </c>
      <c r="L25" s="1111">
        <f>SUM(L16:L21)</f>
        <v>0</v>
      </c>
      <c r="M25" s="1111">
        <f>SUM(M16:M21)</f>
        <v>0</v>
      </c>
      <c r="N25" s="1111">
        <f t="shared" ref="N25:S25" si="4">SUM(N16:N24)</f>
        <v>0</v>
      </c>
      <c r="O25" s="1111">
        <f t="shared" si="4"/>
        <v>0</v>
      </c>
      <c r="P25" s="1111">
        <f t="shared" si="4"/>
        <v>0</v>
      </c>
      <c r="Q25" s="1111">
        <f t="shared" si="4"/>
        <v>0</v>
      </c>
      <c r="R25" s="1111">
        <f t="shared" si="4"/>
        <v>0</v>
      </c>
      <c r="S25" s="1111">
        <f t="shared" si="4"/>
        <v>0</v>
      </c>
      <c r="T25" s="1222"/>
      <c r="U25" s="1222"/>
      <c r="V25" s="1222"/>
      <c r="W25" s="1222"/>
      <c r="X25" s="1222"/>
      <c r="Y25" s="1222"/>
      <c r="Z25" s="1085"/>
      <c r="AA25" s="1085"/>
      <c r="AB25" s="1085"/>
      <c r="AC25" s="1085"/>
      <c r="AD25" s="1085"/>
      <c r="AE25" s="1085"/>
      <c r="AF25" s="1085"/>
      <c r="AG25" s="1085"/>
      <c r="AH25" s="1085"/>
      <c r="AI25" s="1085"/>
      <c r="AJ25" s="1085"/>
      <c r="AK25" s="1085"/>
      <c r="AL25" s="1085"/>
      <c r="AM25" s="1085"/>
      <c r="AN25" s="1085"/>
      <c r="AO25" s="1085"/>
      <c r="AP25" s="1085"/>
      <c r="AQ25" s="1085"/>
      <c r="AR25" s="1085"/>
      <c r="AS25" s="1085"/>
      <c r="AT25" s="1085"/>
      <c r="AU25" s="1085"/>
      <c r="AV25" s="1085"/>
      <c r="AW25" s="1085"/>
      <c r="AX25" s="1085"/>
      <c r="AY25" s="1085"/>
      <c r="AZ25" s="1085"/>
      <c r="BA25" s="1085"/>
      <c r="BB25" s="1085"/>
      <c r="BC25" s="1085"/>
      <c r="BD25" s="1085"/>
      <c r="BE25" s="1085"/>
      <c r="BF25" s="1085"/>
      <c r="BG25" s="1085"/>
      <c r="BH25" s="1085"/>
      <c r="BI25" s="1085"/>
      <c r="BJ25" s="1085"/>
      <c r="BK25" s="1085"/>
      <c r="BL25" s="1085"/>
      <c r="BM25" s="1085"/>
      <c r="BN25" s="1085"/>
      <c r="BO25" s="1085"/>
      <c r="BP25" s="1085"/>
      <c r="BQ25" s="1085"/>
      <c r="BR25" s="1085"/>
      <c r="BS25" s="1085"/>
      <c r="BT25" s="1"/>
    </row>
    <row r="26" spans="1:72" ht="16.2" thickBot="1" x14ac:dyDescent="0.35">
      <c r="A26" s="96" t="s">
        <v>28</v>
      </c>
      <c r="B26" s="4"/>
      <c r="C26" s="5"/>
      <c r="D26" s="1"/>
      <c r="E26" s="97"/>
      <c r="F26" s="98"/>
      <c r="G26" s="1"/>
      <c r="H26" s="1"/>
      <c r="I26" s="1"/>
      <c r="J26" s="1"/>
      <c r="K26" s="1085"/>
      <c r="L26" s="1085"/>
      <c r="M26" s="1085"/>
      <c r="N26" s="1085"/>
      <c r="O26" s="1085"/>
      <c r="P26" s="1085"/>
      <c r="Q26" s="1085"/>
      <c r="R26" s="1085"/>
      <c r="S26" s="1085"/>
      <c r="T26" s="1085"/>
      <c r="U26" s="1085"/>
      <c r="V26" s="1085"/>
      <c r="W26" s="1085"/>
      <c r="X26" s="1085"/>
      <c r="Y26" s="1085"/>
      <c r="Z26" s="1085"/>
      <c r="AA26" s="1133"/>
      <c r="AB26" s="1085"/>
      <c r="AC26" s="1085"/>
      <c r="AD26" s="1085"/>
      <c r="AE26" s="1133"/>
      <c r="AF26" s="1145"/>
      <c r="AG26" s="1085"/>
      <c r="AH26" s="1085"/>
      <c r="AI26" s="1085"/>
      <c r="AJ26" s="1085"/>
      <c r="AK26" s="1085"/>
      <c r="AL26" s="1085"/>
      <c r="AM26" s="1085"/>
      <c r="AN26" s="1133"/>
      <c r="AO26" s="1085"/>
      <c r="AP26" s="1085"/>
      <c r="AQ26" s="1085"/>
      <c r="AR26" s="1085"/>
      <c r="AS26" s="1085"/>
      <c r="AT26" s="1085"/>
      <c r="AU26" s="1085"/>
      <c r="AV26" s="1085"/>
      <c r="AW26" s="1085"/>
      <c r="AX26" s="1085"/>
      <c r="AY26" s="1085"/>
      <c r="AZ26" s="1085"/>
      <c r="BA26" s="1085"/>
      <c r="BB26" s="1085"/>
      <c r="BC26" s="1085"/>
      <c r="BD26" s="1085"/>
      <c r="BE26" s="1133"/>
      <c r="BF26" s="1133"/>
      <c r="BG26" s="1085"/>
      <c r="BH26" s="1085"/>
      <c r="BI26" s="1085"/>
      <c r="BJ26" s="1085"/>
      <c r="BK26" s="1085"/>
      <c r="BL26" s="1133"/>
      <c r="BM26" s="1085"/>
      <c r="BN26" s="1085"/>
      <c r="BO26" s="1085"/>
      <c r="BP26" s="1085"/>
      <c r="BQ26" s="1085"/>
      <c r="BR26" s="1085"/>
      <c r="BS26" s="1"/>
    </row>
    <row r="27" spans="1:72" ht="16.8" thickTop="1" thickBot="1" x14ac:dyDescent="0.35">
      <c r="A27" s="99" t="s">
        <v>29</v>
      </c>
      <c r="B27" s="100" t="s">
        <v>30</v>
      </c>
      <c r="C27" s="101" t="s">
        <v>31</v>
      </c>
      <c r="D27" s="102" t="s">
        <v>2</v>
      </c>
      <c r="E27" s="103" t="s">
        <v>32</v>
      </c>
      <c r="F27" s="104" t="s">
        <v>33</v>
      </c>
      <c r="G27" s="105" t="s">
        <v>34</v>
      </c>
      <c r="H27" s="827" t="s">
        <v>35</v>
      </c>
      <c r="I27" s="811" t="s">
        <v>36</v>
      </c>
      <c r="J27" s="811" t="s">
        <v>37</v>
      </c>
      <c r="K27" s="1146" t="s">
        <v>38</v>
      </c>
      <c r="L27" s="1147" t="s">
        <v>39</v>
      </c>
      <c r="M27" s="1147" t="s">
        <v>40</v>
      </c>
      <c r="N27" s="1147" t="s">
        <v>41</v>
      </c>
      <c r="O27" s="1147" t="s">
        <v>42</v>
      </c>
      <c r="P27" s="1147" t="s">
        <v>43</v>
      </c>
      <c r="Q27" s="1148" t="s">
        <v>44</v>
      </c>
      <c r="R27" s="1147" t="s">
        <v>38</v>
      </c>
      <c r="S27" s="1148" t="s">
        <v>45</v>
      </c>
      <c r="T27" s="1740" t="s">
        <v>67</v>
      </c>
      <c r="U27" s="1739" t="s">
        <v>68</v>
      </c>
      <c r="V27" s="1736" t="s">
        <v>69</v>
      </c>
      <c r="W27" s="1736" t="s">
        <v>456</v>
      </c>
      <c r="X27" s="1736" t="s">
        <v>9</v>
      </c>
      <c r="Y27" s="1737" t="s">
        <v>9</v>
      </c>
      <c r="Z27" s="1149" t="s">
        <v>46</v>
      </c>
      <c r="AA27" s="1149" t="s">
        <v>47</v>
      </c>
      <c r="AB27" s="1150" t="s">
        <v>48</v>
      </c>
      <c r="AC27" s="1150" t="s">
        <v>308</v>
      </c>
      <c r="AD27" s="1150" t="s">
        <v>3</v>
      </c>
      <c r="AE27" s="1151" t="s">
        <v>3</v>
      </c>
      <c r="AF27" s="1152" t="s">
        <v>49</v>
      </c>
      <c r="AG27" s="1153" t="s">
        <v>50</v>
      </c>
      <c r="AH27" s="1154" t="s">
        <v>282</v>
      </c>
      <c r="AI27" s="1152" t="s">
        <v>349</v>
      </c>
      <c r="AJ27" s="1155"/>
      <c r="AK27" s="1156" t="s">
        <v>51</v>
      </c>
      <c r="AL27" s="1157" t="s">
        <v>52</v>
      </c>
      <c r="AM27" s="1158" t="s">
        <v>53</v>
      </c>
      <c r="AN27" s="1159" t="s">
        <v>54</v>
      </c>
      <c r="AO27" s="1160" t="s">
        <v>350</v>
      </c>
      <c r="AP27" s="1152" t="s">
        <v>5</v>
      </c>
      <c r="AQ27" s="1161" t="s">
        <v>55</v>
      </c>
      <c r="AR27" s="1162" t="s">
        <v>56</v>
      </c>
      <c r="AS27" s="1153" t="s">
        <v>57</v>
      </c>
      <c r="AT27" s="1154" t="s">
        <v>58</v>
      </c>
      <c r="AU27" s="1152" t="s">
        <v>351</v>
      </c>
      <c r="AV27" s="1152" t="s">
        <v>59</v>
      </c>
      <c r="AW27" s="1152" t="s">
        <v>59</v>
      </c>
      <c r="AX27" s="1157" t="s">
        <v>60</v>
      </c>
      <c r="AY27" s="1152" t="s">
        <v>61</v>
      </c>
      <c r="AZ27" s="1154" t="s">
        <v>62</v>
      </c>
      <c r="BA27" s="1152" t="s">
        <v>352</v>
      </c>
      <c r="BB27" s="1156" t="s">
        <v>7</v>
      </c>
      <c r="BC27" s="1156" t="s">
        <v>7</v>
      </c>
      <c r="BD27" s="1157" t="s">
        <v>64</v>
      </c>
      <c r="BE27" s="1153" t="s">
        <v>65</v>
      </c>
      <c r="BF27" s="1154" t="s">
        <v>66</v>
      </c>
      <c r="BG27" s="1152" t="s">
        <v>353</v>
      </c>
      <c r="BH27" s="1163" t="s">
        <v>8</v>
      </c>
      <c r="BI27" s="1156" t="s">
        <v>8</v>
      </c>
      <c r="BJ27" s="1157" t="s">
        <v>67</v>
      </c>
      <c r="BK27" s="1152" t="s">
        <v>68</v>
      </c>
      <c r="BL27" s="1154" t="s">
        <v>69</v>
      </c>
      <c r="BM27" s="1152" t="s">
        <v>354</v>
      </c>
      <c r="BN27" s="1164" t="s">
        <v>9</v>
      </c>
      <c r="BO27" s="1164" t="s">
        <v>9</v>
      </c>
      <c r="BP27" s="1165" t="s">
        <v>70</v>
      </c>
      <c r="BQ27" s="1166" t="s">
        <v>71</v>
      </c>
      <c r="BR27" s="1156" t="s">
        <v>72</v>
      </c>
      <c r="BS27" s="1"/>
    </row>
    <row r="28" spans="1:72" x14ac:dyDescent="0.3">
      <c r="A28" s="112"/>
      <c r="B28" s="113" t="s">
        <v>73</v>
      </c>
      <c r="C28" s="114" t="s">
        <v>441</v>
      </c>
      <c r="D28" s="115" t="s">
        <v>11</v>
      </c>
      <c r="E28" s="116">
        <v>2.5</v>
      </c>
      <c r="F28" s="116" t="e">
        <f>(BR28/G28)/4</f>
        <v>#DIV/0!</v>
      </c>
      <c r="G28" s="19"/>
      <c r="H28" s="828">
        <f>G28*E28</f>
        <v>0</v>
      </c>
      <c r="I28" s="848"/>
      <c r="J28" s="848"/>
      <c r="K28" s="1167">
        <f t="shared" ref="K28:S41" si="5">J28-$H28</f>
        <v>0</v>
      </c>
      <c r="L28" s="1168">
        <f t="shared" si="5"/>
        <v>0</v>
      </c>
      <c r="M28" s="1167">
        <f t="shared" si="5"/>
        <v>0</v>
      </c>
      <c r="N28" s="1167">
        <f t="shared" si="5"/>
        <v>0</v>
      </c>
      <c r="O28" s="1167">
        <f t="shared" si="5"/>
        <v>0</v>
      </c>
      <c r="P28" s="1169">
        <f t="shared" si="5"/>
        <v>0</v>
      </c>
      <c r="Q28" s="1167">
        <f t="shared" si="5"/>
        <v>0</v>
      </c>
      <c r="R28" s="1169">
        <f t="shared" si="5"/>
        <v>0</v>
      </c>
      <c r="S28" s="1170">
        <f t="shared" si="5"/>
        <v>0</v>
      </c>
      <c r="T28" s="1844"/>
      <c r="U28" s="1362"/>
      <c r="V28" s="1224"/>
      <c r="W28" s="1362"/>
      <c r="X28" s="1224"/>
      <c r="Y28" s="1899"/>
      <c r="Z28" s="1172"/>
      <c r="AA28" s="1172"/>
      <c r="AB28" s="1091"/>
      <c r="AC28" s="1173"/>
      <c r="AD28" s="1174"/>
      <c r="AE28" s="1175"/>
      <c r="AF28" s="1176"/>
      <c r="AG28" s="1177"/>
      <c r="AH28" s="1178"/>
      <c r="AI28" s="1179"/>
      <c r="AJ28" s="1180"/>
      <c r="AK28" s="1181"/>
      <c r="AL28" s="1182"/>
      <c r="AM28" s="1096"/>
      <c r="AN28" s="1097"/>
      <c r="AO28" s="1183"/>
      <c r="AP28" s="1184"/>
      <c r="AQ28" s="1185"/>
      <c r="AR28" s="1186"/>
      <c r="AS28" s="1177"/>
      <c r="AT28" s="1178"/>
      <c r="AU28" s="1179"/>
      <c r="AV28" s="1180"/>
      <c r="AW28" s="1180"/>
      <c r="AX28" s="1171"/>
      <c r="AY28" s="1095"/>
      <c r="AZ28" s="1098"/>
      <c r="BA28" s="1187"/>
      <c r="BB28" s="1184"/>
      <c r="BC28" s="1181"/>
      <c r="BD28" s="1188"/>
      <c r="BE28" s="1177"/>
      <c r="BF28" s="1189"/>
      <c r="BG28" s="1179"/>
      <c r="BH28" s="1180"/>
      <c r="BI28" s="1181"/>
      <c r="BJ28" s="1188"/>
      <c r="BK28" s="1176"/>
      <c r="BL28" s="1189"/>
      <c r="BM28" s="1179"/>
      <c r="BN28" s="1180"/>
      <c r="BO28" s="1190"/>
      <c r="BP28" s="1191"/>
      <c r="BQ28" s="1191"/>
      <c r="BR28" s="1191">
        <f>BP28-BQ28</f>
        <v>0</v>
      </c>
      <c r="BS28" s="1"/>
      <c r="BT28" s="1192">
        <f t="shared" ref="BT28:BT41" si="6">SUM(Z28:BO28)</f>
        <v>0</v>
      </c>
    </row>
    <row r="29" spans="1:72" x14ac:dyDescent="0.3">
      <c r="A29" s="132"/>
      <c r="B29" s="133" t="s">
        <v>74</v>
      </c>
      <c r="C29" s="134" t="s">
        <v>442</v>
      </c>
      <c r="D29" s="135" t="s">
        <v>11</v>
      </c>
      <c r="E29" s="136">
        <v>3</v>
      </c>
      <c r="F29" s="136" t="e">
        <f t="shared" ref="F29:F41" si="7">(BR29/G29)/7</f>
        <v>#DIV/0!</v>
      </c>
      <c r="G29" s="137"/>
      <c r="H29" s="269">
        <f t="shared" ref="H29:H41" si="8">G29*E29</f>
        <v>0</v>
      </c>
      <c r="I29" s="375"/>
      <c r="J29" s="375"/>
      <c r="K29" s="1193">
        <f t="shared" si="5"/>
        <v>0</v>
      </c>
      <c r="L29" s="1194">
        <f t="shared" si="5"/>
        <v>0</v>
      </c>
      <c r="M29" s="1193">
        <f t="shared" si="5"/>
        <v>0</v>
      </c>
      <c r="N29" s="1194">
        <f t="shared" si="5"/>
        <v>0</v>
      </c>
      <c r="O29" s="1193">
        <f t="shared" si="5"/>
        <v>0</v>
      </c>
      <c r="P29" s="1194">
        <f t="shared" si="5"/>
        <v>0</v>
      </c>
      <c r="Q29" s="1194">
        <f t="shared" si="5"/>
        <v>0</v>
      </c>
      <c r="R29" s="1194">
        <f t="shared" si="5"/>
        <v>0</v>
      </c>
      <c r="S29" s="1195">
        <f t="shared" si="5"/>
        <v>0</v>
      </c>
      <c r="T29" s="1840"/>
      <c r="U29" s="1104"/>
      <c r="V29" s="1195"/>
      <c r="W29" s="1104"/>
      <c r="X29" s="1195"/>
      <c r="Y29" s="1897"/>
      <c r="Z29" s="1103"/>
      <c r="AA29" s="1103"/>
      <c r="AB29" s="1104"/>
      <c r="AC29" s="1114"/>
      <c r="AD29" s="1196"/>
      <c r="AE29" s="1197"/>
      <c r="AF29" s="1198"/>
      <c r="AG29" s="1199"/>
      <c r="AH29" s="1200"/>
      <c r="AI29" s="1201"/>
      <c r="AJ29" s="1202"/>
      <c r="AK29" s="1203"/>
      <c r="AL29" s="1204"/>
      <c r="AM29" s="1104"/>
      <c r="AN29" s="1205"/>
      <c r="AO29" s="1114"/>
      <c r="AP29" s="1206"/>
      <c r="AQ29" s="1207"/>
      <c r="AR29" s="1208"/>
      <c r="AS29" s="1199"/>
      <c r="AT29" s="1200"/>
      <c r="AU29" s="1201"/>
      <c r="AV29" s="1202"/>
      <c r="AW29" s="1202"/>
      <c r="AX29" s="1204"/>
      <c r="AY29" s="1103"/>
      <c r="AZ29" s="1209"/>
      <c r="BA29" s="1113"/>
      <c r="BB29" s="1206"/>
      <c r="BC29" s="1203"/>
      <c r="BD29" s="1210"/>
      <c r="BE29" s="1199"/>
      <c r="BF29" s="1200"/>
      <c r="BG29" s="1201"/>
      <c r="BH29" s="1202"/>
      <c r="BI29" s="1203"/>
      <c r="BJ29" s="1210"/>
      <c r="BK29" s="1198"/>
      <c r="BL29" s="1200"/>
      <c r="BM29" s="1201"/>
      <c r="BN29" s="1202"/>
      <c r="BO29" s="1211"/>
      <c r="BP29" s="1212"/>
      <c r="BQ29" s="1212"/>
      <c r="BR29" s="1212">
        <f>BP29-BQ29</f>
        <v>0</v>
      </c>
      <c r="BS29" s="1"/>
      <c r="BT29" s="1192">
        <f t="shared" si="6"/>
        <v>0</v>
      </c>
    </row>
    <row r="30" spans="1:72" x14ac:dyDescent="0.3">
      <c r="A30" s="143" t="s">
        <v>75</v>
      </c>
      <c r="B30" s="153" t="s">
        <v>76</v>
      </c>
      <c r="C30" s="134" t="s">
        <v>443</v>
      </c>
      <c r="D30" s="135" t="s">
        <v>11</v>
      </c>
      <c r="E30" s="136">
        <v>2.8</v>
      </c>
      <c r="F30" s="136" t="e">
        <f t="shared" si="7"/>
        <v>#DIV/0!</v>
      </c>
      <c r="G30" s="137"/>
      <c r="H30" s="269">
        <f t="shared" si="8"/>
        <v>0</v>
      </c>
      <c r="I30" s="375"/>
      <c r="J30" s="385"/>
      <c r="K30" s="1193">
        <f t="shared" si="5"/>
        <v>0</v>
      </c>
      <c r="L30" s="1193">
        <f t="shared" si="5"/>
        <v>0</v>
      </c>
      <c r="M30" s="1193">
        <f t="shared" si="5"/>
        <v>0</v>
      </c>
      <c r="N30" s="1194">
        <f t="shared" si="5"/>
        <v>0</v>
      </c>
      <c r="O30" s="1193">
        <f t="shared" si="5"/>
        <v>0</v>
      </c>
      <c r="P30" s="1194">
        <f t="shared" si="5"/>
        <v>0</v>
      </c>
      <c r="Q30" s="1193">
        <f t="shared" si="5"/>
        <v>0</v>
      </c>
      <c r="R30" s="1194">
        <f t="shared" si="5"/>
        <v>0</v>
      </c>
      <c r="S30" s="1195">
        <f t="shared" si="5"/>
        <v>0</v>
      </c>
      <c r="T30" s="1840"/>
      <c r="U30" s="1104"/>
      <c r="V30" s="1195"/>
      <c r="W30" s="1104"/>
      <c r="X30" s="1195"/>
      <c r="Y30" s="1897"/>
      <c r="Z30" s="1103"/>
      <c r="AA30" s="1103"/>
      <c r="AB30" s="1104"/>
      <c r="AC30" s="1114"/>
      <c r="AD30" s="1196"/>
      <c r="AE30" s="1197"/>
      <c r="AF30" s="1198"/>
      <c r="AG30" s="1199"/>
      <c r="AH30" s="1200"/>
      <c r="AI30" s="1201"/>
      <c r="AJ30" s="1202"/>
      <c r="AK30" s="1203"/>
      <c r="AL30" s="1204"/>
      <c r="AM30" s="1104"/>
      <c r="AN30" s="1205"/>
      <c r="AO30" s="1114"/>
      <c r="AP30" s="1206"/>
      <c r="AQ30" s="1207"/>
      <c r="AR30" s="1208"/>
      <c r="AS30" s="1199"/>
      <c r="AT30" s="1200"/>
      <c r="AU30" s="1201"/>
      <c r="AV30" s="1202"/>
      <c r="AW30" s="1202"/>
      <c r="AX30" s="1210"/>
      <c r="AY30" s="1103"/>
      <c r="AZ30" s="1209"/>
      <c r="BA30" s="1113"/>
      <c r="BB30" s="1206"/>
      <c r="BC30" s="1203"/>
      <c r="BD30" s="1210"/>
      <c r="BE30" s="1199"/>
      <c r="BF30" s="1200"/>
      <c r="BG30" s="1201"/>
      <c r="BH30" s="1202"/>
      <c r="BI30" s="1207"/>
      <c r="BJ30" s="1210"/>
      <c r="BK30" s="1198"/>
      <c r="BL30" s="1200"/>
      <c r="BM30" s="1201"/>
      <c r="BN30" s="1202"/>
      <c r="BO30" s="1211"/>
      <c r="BP30" s="1213"/>
      <c r="BQ30" s="1213"/>
      <c r="BR30" s="1213">
        <f>BP30-BQ30</f>
        <v>0</v>
      </c>
      <c r="BS30" s="1"/>
      <c r="BT30" s="1192">
        <f t="shared" si="6"/>
        <v>0</v>
      </c>
    </row>
    <row r="31" spans="1:72" x14ac:dyDescent="0.3">
      <c r="A31" s="143"/>
      <c r="B31" s="862"/>
      <c r="C31" s="134"/>
      <c r="D31" s="138" t="s">
        <v>11</v>
      </c>
      <c r="E31" s="136">
        <v>2.5</v>
      </c>
      <c r="F31" s="155" t="e">
        <f t="shared" si="7"/>
        <v>#DIV/0!</v>
      </c>
      <c r="G31" s="156"/>
      <c r="H31" s="299">
        <f t="shared" si="8"/>
        <v>0</v>
      </c>
      <c r="I31" s="362"/>
      <c r="J31" s="375"/>
      <c r="K31" s="1193">
        <f t="shared" si="5"/>
        <v>0</v>
      </c>
      <c r="L31" s="1194">
        <f t="shared" si="5"/>
        <v>0</v>
      </c>
      <c r="M31" s="1193">
        <f t="shared" si="5"/>
        <v>0</v>
      </c>
      <c r="N31" s="1194">
        <f t="shared" si="5"/>
        <v>0</v>
      </c>
      <c r="O31" s="1193">
        <f t="shared" si="5"/>
        <v>0</v>
      </c>
      <c r="P31" s="1194">
        <f t="shared" si="5"/>
        <v>0</v>
      </c>
      <c r="Q31" s="1193">
        <f t="shared" si="5"/>
        <v>0</v>
      </c>
      <c r="R31" s="1194">
        <f t="shared" si="5"/>
        <v>0</v>
      </c>
      <c r="S31" s="1195">
        <f>(R31-$H31)+AO31</f>
        <v>0</v>
      </c>
      <c r="T31" s="1841"/>
      <c r="U31" s="1096"/>
      <c r="V31" s="1287"/>
      <c r="W31" s="1096"/>
      <c r="X31" s="1287"/>
      <c r="Y31" s="1898"/>
      <c r="Z31" s="1095"/>
      <c r="AA31" s="1095"/>
      <c r="AB31" s="1096"/>
      <c r="AC31" s="1183"/>
      <c r="AD31" s="1214"/>
      <c r="AE31" s="1215"/>
      <c r="AF31" s="1176"/>
      <c r="AG31" s="1177"/>
      <c r="AH31" s="1189"/>
      <c r="AI31" s="1179"/>
      <c r="AJ31" s="1180"/>
      <c r="AK31" s="1181"/>
      <c r="AL31" s="1216"/>
      <c r="AM31" s="1096"/>
      <c r="AN31" s="1097"/>
      <c r="AO31" s="1183"/>
      <c r="AP31" s="1184"/>
      <c r="AQ31" s="1185"/>
      <c r="AR31" s="1186"/>
      <c r="AS31" s="1177"/>
      <c r="AT31" s="1189"/>
      <c r="AU31" s="1179"/>
      <c r="AV31" s="1180"/>
      <c r="AW31" s="1180"/>
      <c r="AX31" s="1188"/>
      <c r="AY31" s="1095"/>
      <c r="AZ31" s="1098"/>
      <c r="BA31" s="1187"/>
      <c r="BB31" s="1184"/>
      <c r="BC31" s="1181"/>
      <c r="BD31" s="1188"/>
      <c r="BE31" s="1177"/>
      <c r="BF31" s="1189"/>
      <c r="BG31" s="1179"/>
      <c r="BH31" s="1180"/>
      <c r="BI31" s="1181"/>
      <c r="BJ31" s="1188"/>
      <c r="BK31" s="1176"/>
      <c r="BL31" s="1189"/>
      <c r="BM31" s="1179"/>
      <c r="BN31" s="1180"/>
      <c r="BO31" s="1190"/>
      <c r="BP31" s="1217"/>
      <c r="BQ31" s="1217"/>
      <c r="BR31" s="1217"/>
      <c r="BS31" s="1"/>
      <c r="BT31" s="1192">
        <f t="shared" si="6"/>
        <v>0</v>
      </c>
    </row>
    <row r="32" spans="1:72" x14ac:dyDescent="0.3">
      <c r="A32" s="130"/>
      <c r="B32" s="863"/>
      <c r="C32" s="161"/>
      <c r="D32" s="135" t="s">
        <v>11</v>
      </c>
      <c r="E32" s="136">
        <v>3</v>
      </c>
      <c r="F32" s="136" t="e">
        <f t="shared" si="7"/>
        <v>#DIV/0!</v>
      </c>
      <c r="G32" s="137"/>
      <c r="H32" s="269">
        <f t="shared" si="8"/>
        <v>0</v>
      </c>
      <c r="I32" s="375"/>
      <c r="J32" s="375"/>
      <c r="K32" s="1193">
        <f t="shared" si="5"/>
        <v>0</v>
      </c>
      <c r="L32" s="1194">
        <f t="shared" si="5"/>
        <v>0</v>
      </c>
      <c r="M32" s="1193">
        <f t="shared" si="5"/>
        <v>0</v>
      </c>
      <c r="N32" s="1194">
        <f t="shared" si="5"/>
        <v>0</v>
      </c>
      <c r="O32" s="1193">
        <f t="shared" si="5"/>
        <v>0</v>
      </c>
      <c r="P32" s="1194">
        <f t="shared" si="5"/>
        <v>0</v>
      </c>
      <c r="Q32" s="1193">
        <f t="shared" si="5"/>
        <v>0</v>
      </c>
      <c r="R32" s="1194">
        <f t="shared" si="5"/>
        <v>0</v>
      </c>
      <c r="S32" s="1195">
        <f>(R32-$H32)</f>
        <v>0</v>
      </c>
      <c r="T32" s="1843"/>
      <c r="U32" s="1219"/>
      <c r="V32" s="1281"/>
      <c r="W32" s="1219"/>
      <c r="X32" s="1281"/>
      <c r="Y32" s="1896"/>
      <c r="Z32" s="1218"/>
      <c r="AA32" s="1218"/>
      <c r="AB32" s="1219"/>
      <c r="AC32" s="1220"/>
      <c r="AD32" s="1221"/>
      <c r="AE32" s="1197"/>
      <c r="AF32" s="1198"/>
      <c r="AG32" s="1199"/>
      <c r="AH32" s="1200"/>
      <c r="AI32" s="1201"/>
      <c r="AJ32" s="1202"/>
      <c r="AK32" s="1203"/>
      <c r="AL32" s="1204"/>
      <c r="AM32" s="1104"/>
      <c r="AN32" s="1205"/>
      <c r="AO32" s="1114"/>
      <c r="AP32" s="1206"/>
      <c r="AQ32" s="1207"/>
      <c r="AR32" s="1208"/>
      <c r="AS32" s="1199"/>
      <c r="AT32" s="1200"/>
      <c r="AU32" s="1201"/>
      <c r="AV32" s="1202"/>
      <c r="AW32" s="1202"/>
      <c r="AX32" s="1210"/>
      <c r="AY32" s="1103"/>
      <c r="AZ32" s="1209"/>
      <c r="BA32" s="1113"/>
      <c r="BB32" s="1206"/>
      <c r="BC32" s="1203"/>
      <c r="BD32" s="1210"/>
      <c r="BE32" s="1199"/>
      <c r="BF32" s="1200"/>
      <c r="BG32" s="1201"/>
      <c r="BH32" s="1202"/>
      <c r="BI32" s="1207"/>
      <c r="BJ32" s="1210"/>
      <c r="BK32" s="1198"/>
      <c r="BL32" s="1200"/>
      <c r="BM32" s="1201"/>
      <c r="BN32" s="1202"/>
      <c r="BO32" s="1211"/>
      <c r="BP32" s="1217"/>
      <c r="BQ32" s="1217"/>
      <c r="BR32" s="1217"/>
      <c r="BS32" s="1"/>
      <c r="BT32" s="1192">
        <f t="shared" si="6"/>
        <v>0</v>
      </c>
    </row>
    <row r="33" spans="1:72" ht="15" thickBot="1" x14ac:dyDescent="0.35">
      <c r="A33" s="297"/>
      <c r="B33" s="621"/>
      <c r="C33" s="621"/>
      <c r="D33" s="237" t="s">
        <v>11</v>
      </c>
      <c r="E33" s="622">
        <v>3</v>
      </c>
      <c r="F33" s="622" t="e">
        <f t="shared" si="7"/>
        <v>#DIV/0!</v>
      </c>
      <c r="G33" s="192"/>
      <c r="H33" s="300">
        <f t="shared" si="8"/>
        <v>0</v>
      </c>
      <c r="I33" s="386"/>
      <c r="J33" s="386"/>
      <c r="K33" s="1222">
        <f t="shared" si="5"/>
        <v>0</v>
      </c>
      <c r="L33" s="1223">
        <f t="shared" si="5"/>
        <v>0</v>
      </c>
      <c r="M33" s="1222">
        <f t="shared" si="5"/>
        <v>0</v>
      </c>
      <c r="N33" s="1223">
        <f t="shared" si="5"/>
        <v>0</v>
      </c>
      <c r="O33" s="1222">
        <f t="shared" si="5"/>
        <v>0</v>
      </c>
      <c r="P33" s="1223">
        <f t="shared" si="5"/>
        <v>0</v>
      </c>
      <c r="Q33" s="1222">
        <f t="shared" si="5"/>
        <v>0</v>
      </c>
      <c r="R33" s="1223">
        <f t="shared" si="5"/>
        <v>0</v>
      </c>
      <c r="S33" s="1224">
        <f>(R33-$H33)</f>
        <v>0</v>
      </c>
      <c r="T33" s="1844"/>
      <c r="U33" s="1362"/>
      <c r="V33" s="1224"/>
      <c r="W33" s="1362"/>
      <c r="X33" s="1224"/>
      <c r="Y33" s="1899"/>
      <c r="Z33" s="1218"/>
      <c r="AA33" s="1218"/>
      <c r="AB33" s="1219"/>
      <c r="AC33" s="1220"/>
      <c r="AD33" s="1221"/>
      <c r="AE33" s="1225"/>
      <c r="AF33" s="1226"/>
      <c r="AG33" s="1227"/>
      <c r="AH33" s="1228"/>
      <c r="AI33" s="1229"/>
      <c r="AJ33" s="1230"/>
      <c r="AK33" s="1231"/>
      <c r="AL33" s="1232"/>
      <c r="AM33" s="1219"/>
      <c r="AN33" s="1233"/>
      <c r="AO33" s="1220"/>
      <c r="AP33" s="1234"/>
      <c r="AQ33" s="1235"/>
      <c r="AR33" s="1236"/>
      <c r="AS33" s="1227"/>
      <c r="AT33" s="1228"/>
      <c r="AU33" s="1229"/>
      <c r="AV33" s="1230"/>
      <c r="AW33" s="1230"/>
      <c r="AX33" s="1237"/>
      <c r="AY33" s="1218"/>
      <c r="AZ33" s="1238"/>
      <c r="BA33" s="1239"/>
      <c r="BB33" s="1234"/>
      <c r="BC33" s="1231"/>
      <c r="BD33" s="1237"/>
      <c r="BE33" s="1227"/>
      <c r="BF33" s="1228"/>
      <c r="BG33" s="1229"/>
      <c r="BH33" s="1230"/>
      <c r="BI33" s="1231"/>
      <c r="BJ33" s="1237"/>
      <c r="BK33" s="1226"/>
      <c r="BL33" s="1228"/>
      <c r="BM33" s="1229"/>
      <c r="BN33" s="1230"/>
      <c r="BO33" s="1240"/>
      <c r="BP33" s="1212"/>
      <c r="BQ33" s="1241"/>
      <c r="BR33" s="1212"/>
      <c r="BS33" s="1"/>
      <c r="BT33" s="1192">
        <f t="shared" si="6"/>
        <v>0</v>
      </c>
    </row>
    <row r="34" spans="1:72" s="7" customFormat="1" ht="18" x14ac:dyDescent="0.35">
      <c r="A34" s="923"/>
      <c r="B34" s="924" t="s">
        <v>77</v>
      </c>
      <c r="C34" s="926"/>
      <c r="D34" s="933" t="s">
        <v>78</v>
      </c>
      <c r="E34" s="928">
        <v>6</v>
      </c>
      <c r="F34" s="1015" t="e">
        <f t="shared" si="7"/>
        <v>#DIV/0!</v>
      </c>
      <c r="G34" s="254"/>
      <c r="H34" s="832">
        <f t="shared" si="8"/>
        <v>0</v>
      </c>
      <c r="I34" s="392"/>
      <c r="J34" s="392"/>
      <c r="K34" s="1242">
        <f t="shared" si="5"/>
        <v>0</v>
      </c>
      <c r="L34" s="1243">
        <f t="shared" si="5"/>
        <v>0</v>
      </c>
      <c r="M34" s="1243">
        <f t="shared" si="5"/>
        <v>0</v>
      </c>
      <c r="N34" s="1243">
        <f t="shared" si="5"/>
        <v>0</v>
      </c>
      <c r="O34" s="1242">
        <f t="shared" si="5"/>
        <v>0</v>
      </c>
      <c r="P34" s="1243">
        <f t="shared" si="5"/>
        <v>0</v>
      </c>
      <c r="Q34" s="1242">
        <f t="shared" si="5"/>
        <v>0</v>
      </c>
      <c r="R34" s="1243">
        <f t="shared" si="5"/>
        <v>0</v>
      </c>
      <c r="S34" s="1244">
        <f t="shared" si="5"/>
        <v>0</v>
      </c>
      <c r="T34" s="1845"/>
      <c r="U34" s="1376"/>
      <c r="V34" s="1244"/>
      <c r="W34" s="1376"/>
      <c r="X34" s="1244"/>
      <c r="Y34" s="1900"/>
      <c r="Z34" s="1245"/>
      <c r="AA34" s="1245"/>
      <c r="AB34" s="1245"/>
      <c r="AC34" s="1246"/>
      <c r="AD34" s="1247"/>
      <c r="AE34" s="1248"/>
      <c r="AF34" s="1245"/>
      <c r="AG34" s="1245"/>
      <c r="AH34" s="1249"/>
      <c r="AI34" s="1246"/>
      <c r="AJ34" s="1250"/>
      <c r="AK34" s="1251"/>
      <c r="AL34" s="1252"/>
      <c r="AM34" s="1245"/>
      <c r="AN34" s="1253"/>
      <c r="AO34" s="1246"/>
      <c r="AP34" s="1247"/>
      <c r="AQ34" s="1251"/>
      <c r="AR34" s="1252"/>
      <c r="AS34" s="1245"/>
      <c r="AT34" s="1249"/>
      <c r="AU34" s="1246"/>
      <c r="AV34" s="1250"/>
      <c r="AW34" s="1250"/>
      <c r="AX34" s="1252"/>
      <c r="AY34" s="1245"/>
      <c r="AZ34" s="1249"/>
      <c r="BA34" s="1246"/>
      <c r="BB34" s="1250"/>
      <c r="BC34" s="1251"/>
      <c r="BD34" s="1252"/>
      <c r="BE34" s="1254"/>
      <c r="BF34" s="1249"/>
      <c r="BG34" s="1246"/>
      <c r="BH34" s="1250"/>
      <c r="BI34" s="1251"/>
      <c r="BJ34" s="1252"/>
      <c r="BK34" s="1245"/>
      <c r="BL34" s="1249"/>
      <c r="BM34" s="1246"/>
      <c r="BN34" s="1250"/>
      <c r="BO34" s="1255"/>
      <c r="BP34" s="1256"/>
      <c r="BQ34" s="1256"/>
      <c r="BR34" s="1256">
        <f>BP34-BQ34</f>
        <v>0</v>
      </c>
      <c r="BS34" s="1"/>
      <c r="BT34" s="1192">
        <f t="shared" si="6"/>
        <v>0</v>
      </c>
    </row>
    <row r="35" spans="1:72" s="7" customFormat="1" ht="18.600000000000001" thickBot="1" x14ac:dyDescent="0.4">
      <c r="A35" s="922"/>
      <c r="B35" s="925" t="s">
        <v>77</v>
      </c>
      <c r="C35" s="921"/>
      <c r="D35" s="927" t="s">
        <v>78</v>
      </c>
      <c r="E35" s="1016">
        <v>6</v>
      </c>
      <c r="F35" s="929" t="e">
        <f t="shared" si="7"/>
        <v>#DIV/0!</v>
      </c>
      <c r="G35" s="274"/>
      <c r="H35" s="833">
        <f t="shared" si="8"/>
        <v>0</v>
      </c>
      <c r="I35" s="409"/>
      <c r="J35" s="409"/>
      <c r="K35" s="1257">
        <f t="shared" si="5"/>
        <v>0</v>
      </c>
      <c r="L35" s="1258">
        <f t="shared" si="5"/>
        <v>0</v>
      </c>
      <c r="M35" s="1257">
        <f t="shared" si="5"/>
        <v>0</v>
      </c>
      <c r="N35" s="1258">
        <f t="shared" si="5"/>
        <v>0</v>
      </c>
      <c r="O35" s="1257">
        <f t="shared" si="5"/>
        <v>0</v>
      </c>
      <c r="P35" s="1258">
        <f t="shared" si="5"/>
        <v>0</v>
      </c>
      <c r="Q35" s="1257">
        <f t="shared" si="5"/>
        <v>0</v>
      </c>
      <c r="R35" s="1258">
        <f t="shared" si="5"/>
        <v>0</v>
      </c>
      <c r="S35" s="1259">
        <f t="shared" si="5"/>
        <v>0</v>
      </c>
      <c r="T35" s="1846"/>
      <c r="U35" s="1421"/>
      <c r="V35" s="1259"/>
      <c r="W35" s="1421"/>
      <c r="X35" s="1259"/>
      <c r="Y35" s="1901"/>
      <c r="Z35" s="1260"/>
      <c r="AA35" s="1260"/>
      <c r="AB35" s="1260"/>
      <c r="AC35" s="1261"/>
      <c r="AD35" s="1262"/>
      <c r="AE35" s="1263"/>
      <c r="AF35" s="1260"/>
      <c r="AG35" s="1260"/>
      <c r="AH35" s="1264"/>
      <c r="AI35" s="1261"/>
      <c r="AJ35" s="1265"/>
      <c r="AK35" s="1266"/>
      <c r="AL35" s="1267"/>
      <c r="AM35" s="1260"/>
      <c r="AN35" s="1268"/>
      <c r="AO35" s="1261"/>
      <c r="AP35" s="1262"/>
      <c r="AQ35" s="1266"/>
      <c r="AR35" s="1267"/>
      <c r="AS35" s="1260"/>
      <c r="AT35" s="1264"/>
      <c r="AU35" s="1261"/>
      <c r="AV35" s="1265"/>
      <c r="AW35" s="1265"/>
      <c r="AX35" s="1267"/>
      <c r="AY35" s="1260"/>
      <c r="AZ35" s="1264"/>
      <c r="BA35" s="1261"/>
      <c r="BB35" s="1265"/>
      <c r="BC35" s="1266"/>
      <c r="BD35" s="1267"/>
      <c r="BE35" s="1269"/>
      <c r="BF35" s="1264"/>
      <c r="BG35" s="1261"/>
      <c r="BH35" s="1265"/>
      <c r="BI35" s="1266"/>
      <c r="BJ35" s="1267"/>
      <c r="BK35" s="1260"/>
      <c r="BL35" s="1264"/>
      <c r="BM35" s="1261"/>
      <c r="BN35" s="1265"/>
      <c r="BO35" s="1270"/>
      <c r="BP35" s="1271"/>
      <c r="BQ35" s="1271"/>
      <c r="BR35" s="1272"/>
      <c r="BS35" s="1"/>
      <c r="BT35" s="1192">
        <f t="shared" si="6"/>
        <v>0</v>
      </c>
    </row>
    <row r="36" spans="1:72" ht="18" x14ac:dyDescent="0.35">
      <c r="A36" s="630"/>
      <c r="B36" s="865" t="s">
        <v>79</v>
      </c>
      <c r="C36" s="181" t="s">
        <v>228</v>
      </c>
      <c r="D36" s="182" t="s">
        <v>80</v>
      </c>
      <c r="E36" s="183">
        <v>2.5</v>
      </c>
      <c r="F36" s="184" t="e">
        <f t="shared" si="7"/>
        <v>#DIV/0!</v>
      </c>
      <c r="G36" s="156"/>
      <c r="H36" s="299">
        <f t="shared" si="8"/>
        <v>0</v>
      </c>
      <c r="I36" s="362"/>
      <c r="J36" s="362"/>
      <c r="K36" s="1273">
        <f t="shared" si="5"/>
        <v>0</v>
      </c>
      <c r="L36" s="1274">
        <f t="shared" si="5"/>
        <v>0</v>
      </c>
      <c r="M36" s="1274">
        <f t="shared" si="5"/>
        <v>0</v>
      </c>
      <c r="N36" s="1274">
        <f t="shared" si="5"/>
        <v>0</v>
      </c>
      <c r="O36" s="1273">
        <f t="shared" si="5"/>
        <v>0</v>
      </c>
      <c r="P36" s="1274">
        <f t="shared" si="5"/>
        <v>0</v>
      </c>
      <c r="Q36" s="1273">
        <f t="shared" si="5"/>
        <v>0</v>
      </c>
      <c r="R36" s="1274">
        <f t="shared" si="5"/>
        <v>0</v>
      </c>
      <c r="S36" s="1273">
        <f t="shared" si="5"/>
        <v>0</v>
      </c>
      <c r="T36" s="1847"/>
      <c r="U36" s="1183"/>
      <c r="V36" s="1273"/>
      <c r="W36" s="1183"/>
      <c r="X36" s="1273"/>
      <c r="Y36" s="1902"/>
      <c r="Z36" s="1179"/>
      <c r="AA36" s="1179"/>
      <c r="AB36" s="1179"/>
      <c r="AC36" s="1179"/>
      <c r="AD36" s="1180"/>
      <c r="AE36" s="1275"/>
      <c r="AF36" s="1179"/>
      <c r="AG36" s="1179"/>
      <c r="AH36" s="1276"/>
      <c r="AI36" s="1179"/>
      <c r="AJ36" s="1180"/>
      <c r="AK36" s="1181"/>
      <c r="AL36" s="1277"/>
      <c r="AM36" s="1179"/>
      <c r="AN36" s="1278"/>
      <c r="AO36" s="1179"/>
      <c r="AP36" s="1180"/>
      <c r="AQ36" s="1181"/>
      <c r="AR36" s="1277"/>
      <c r="AS36" s="1179"/>
      <c r="AT36" s="1276"/>
      <c r="AU36" s="1179"/>
      <c r="AV36" s="1180"/>
      <c r="AW36" s="1180"/>
      <c r="AX36" s="1188"/>
      <c r="AY36" s="1176"/>
      <c r="AZ36" s="1189"/>
      <c r="BA36" s="1179"/>
      <c r="BB36" s="1180"/>
      <c r="BC36" s="1181"/>
      <c r="BD36" s="1188"/>
      <c r="BE36" s="1177"/>
      <c r="BF36" s="1189"/>
      <c r="BG36" s="1179"/>
      <c r="BH36" s="1180"/>
      <c r="BI36" s="1181"/>
      <c r="BJ36" s="1277"/>
      <c r="BK36" s="1179"/>
      <c r="BL36" s="1276"/>
      <c r="BM36" s="1179"/>
      <c r="BN36" s="1180"/>
      <c r="BO36" s="1190"/>
      <c r="BP36" s="1279"/>
      <c r="BQ36" s="1279"/>
      <c r="BR36" s="1217">
        <f>BP36-BQ36</f>
        <v>0</v>
      </c>
      <c r="BS36" s="1"/>
      <c r="BT36" s="1192">
        <f t="shared" si="6"/>
        <v>0</v>
      </c>
    </row>
    <row r="37" spans="1:72" ht="18" x14ac:dyDescent="0.35">
      <c r="A37" s="189"/>
      <c r="B37" s="153"/>
      <c r="C37" s="190"/>
      <c r="D37" s="135" t="s">
        <v>80</v>
      </c>
      <c r="E37" s="136">
        <v>2.5</v>
      </c>
      <c r="F37" s="136" t="e">
        <f t="shared" si="7"/>
        <v>#DIV/0!</v>
      </c>
      <c r="G37" s="137"/>
      <c r="H37" s="269">
        <f t="shared" si="8"/>
        <v>0</v>
      </c>
      <c r="I37" s="849"/>
      <c r="J37" s="385"/>
      <c r="K37" s="1273">
        <f t="shared" si="5"/>
        <v>0</v>
      </c>
      <c r="L37" s="1274">
        <f t="shared" si="5"/>
        <v>0</v>
      </c>
      <c r="M37" s="1273">
        <f t="shared" si="5"/>
        <v>0</v>
      </c>
      <c r="N37" s="1274">
        <f t="shared" si="5"/>
        <v>0</v>
      </c>
      <c r="O37" s="1273">
        <f t="shared" si="5"/>
        <v>0</v>
      </c>
      <c r="P37" s="1274">
        <f t="shared" si="5"/>
        <v>0</v>
      </c>
      <c r="Q37" s="1273">
        <f t="shared" si="5"/>
        <v>0</v>
      </c>
      <c r="R37" s="1280">
        <f t="shared" si="5"/>
        <v>0</v>
      </c>
      <c r="S37" s="1281">
        <f t="shared" si="5"/>
        <v>0</v>
      </c>
      <c r="T37" s="1843"/>
      <c r="U37" s="1219"/>
      <c r="V37" s="1281"/>
      <c r="W37" s="1104"/>
      <c r="X37" s="1281"/>
      <c r="Y37" s="1896"/>
      <c r="Z37" s="1201"/>
      <c r="AA37" s="1201"/>
      <c r="AB37" s="1201"/>
      <c r="AC37" s="1201"/>
      <c r="AD37" s="1202"/>
      <c r="AE37" s="1282"/>
      <c r="AF37" s="1201"/>
      <c r="AG37" s="1201"/>
      <c r="AH37" s="1117"/>
      <c r="AI37" s="1201"/>
      <c r="AJ37" s="1202"/>
      <c r="AK37" s="1203"/>
      <c r="AL37" s="1283"/>
      <c r="AM37" s="1201"/>
      <c r="AN37" s="1284"/>
      <c r="AO37" s="1201"/>
      <c r="AP37" s="1202"/>
      <c r="AQ37" s="1203"/>
      <c r="AR37" s="1283"/>
      <c r="AS37" s="1201"/>
      <c r="AT37" s="1117"/>
      <c r="AU37" s="1201"/>
      <c r="AV37" s="1202"/>
      <c r="AW37" s="1202"/>
      <c r="AX37" s="1204"/>
      <c r="AY37" s="1198"/>
      <c r="AZ37" s="1200"/>
      <c r="BA37" s="1201"/>
      <c r="BB37" s="1202"/>
      <c r="BC37" s="1203"/>
      <c r="BD37" s="1210"/>
      <c r="BE37" s="1199"/>
      <c r="BF37" s="1200"/>
      <c r="BG37" s="1201"/>
      <c r="BH37" s="1202"/>
      <c r="BI37" s="1203"/>
      <c r="BJ37" s="1283"/>
      <c r="BK37" s="1201"/>
      <c r="BL37" s="1117"/>
      <c r="BM37" s="1201"/>
      <c r="BN37" s="1202"/>
      <c r="BO37" s="1202"/>
      <c r="BP37" s="1285"/>
      <c r="BQ37" s="1285"/>
      <c r="BR37" s="1213"/>
      <c r="BS37" s="1"/>
      <c r="BT37" s="1192">
        <f t="shared" si="6"/>
        <v>0</v>
      </c>
    </row>
    <row r="38" spans="1:72" ht="18" x14ac:dyDescent="0.35">
      <c r="A38" s="197"/>
      <c r="B38" s="134"/>
      <c r="C38" s="190"/>
      <c r="D38" s="135" t="s">
        <v>80</v>
      </c>
      <c r="E38" s="136">
        <v>2.5</v>
      </c>
      <c r="F38" s="136" t="e">
        <f t="shared" si="7"/>
        <v>#DIV/0!</v>
      </c>
      <c r="G38" s="137"/>
      <c r="H38" s="269">
        <f t="shared" si="8"/>
        <v>0</v>
      </c>
      <c r="I38" s="849"/>
      <c r="J38" s="375"/>
      <c r="K38" s="1273">
        <f t="shared" si="5"/>
        <v>0</v>
      </c>
      <c r="L38" s="1274">
        <f t="shared" si="5"/>
        <v>0</v>
      </c>
      <c r="M38" s="1273">
        <f t="shared" si="5"/>
        <v>0</v>
      </c>
      <c r="N38" s="1274">
        <f t="shared" si="5"/>
        <v>0</v>
      </c>
      <c r="O38" s="1273">
        <f t="shared" si="5"/>
        <v>0</v>
      </c>
      <c r="P38" s="1274">
        <f t="shared" si="5"/>
        <v>0</v>
      </c>
      <c r="Q38" s="1273">
        <f t="shared" si="5"/>
        <v>0</v>
      </c>
      <c r="R38" s="1280">
        <f t="shared" si="5"/>
        <v>0</v>
      </c>
      <c r="S38" s="1281">
        <f t="shared" si="5"/>
        <v>0</v>
      </c>
      <c r="T38" s="1843"/>
      <c r="U38" s="1219"/>
      <c r="V38" s="1281"/>
      <c r="W38" s="1219"/>
      <c r="X38" s="1281"/>
      <c r="Y38" s="1896"/>
      <c r="Z38" s="1201"/>
      <c r="AA38" s="1201"/>
      <c r="AB38" s="1201"/>
      <c r="AC38" s="1201"/>
      <c r="AD38" s="1202"/>
      <c r="AE38" s="1282"/>
      <c r="AF38" s="1201"/>
      <c r="AG38" s="1201"/>
      <c r="AH38" s="1117"/>
      <c r="AI38" s="1201"/>
      <c r="AJ38" s="1202"/>
      <c r="AK38" s="1203"/>
      <c r="AL38" s="1283"/>
      <c r="AM38" s="1201"/>
      <c r="AN38" s="1284"/>
      <c r="AO38" s="1201"/>
      <c r="AP38" s="1202"/>
      <c r="AQ38" s="1203"/>
      <c r="AR38" s="1283"/>
      <c r="AS38" s="1201"/>
      <c r="AT38" s="1117"/>
      <c r="AU38" s="1201"/>
      <c r="AV38" s="1202"/>
      <c r="AW38" s="1202"/>
      <c r="AX38" s="1204"/>
      <c r="AY38" s="1198"/>
      <c r="AZ38" s="1200"/>
      <c r="BA38" s="1201"/>
      <c r="BB38" s="1202"/>
      <c r="BC38" s="1203"/>
      <c r="BD38" s="1210"/>
      <c r="BE38" s="1199"/>
      <c r="BF38" s="1200"/>
      <c r="BG38" s="1201"/>
      <c r="BH38" s="1202"/>
      <c r="BI38" s="1203"/>
      <c r="BJ38" s="1283"/>
      <c r="BK38" s="1201"/>
      <c r="BL38" s="1117"/>
      <c r="BM38" s="1201"/>
      <c r="BN38" s="1202"/>
      <c r="BO38" s="1202"/>
      <c r="BP38" s="1285"/>
      <c r="BQ38" s="1285"/>
      <c r="BR38" s="1213"/>
      <c r="BS38" s="1"/>
      <c r="BT38" s="1192">
        <f t="shared" si="6"/>
        <v>0</v>
      </c>
    </row>
    <row r="39" spans="1:72" ht="18" x14ac:dyDescent="0.35">
      <c r="A39" s="189"/>
      <c r="B39" s="181"/>
      <c r="C39" s="181"/>
      <c r="D39" s="182" t="s">
        <v>80</v>
      </c>
      <c r="E39" s="136">
        <v>2.5</v>
      </c>
      <c r="F39" s="136" t="e">
        <f t="shared" si="7"/>
        <v>#DIV/0!</v>
      </c>
      <c r="G39" s="137"/>
      <c r="H39" s="269">
        <f t="shared" si="8"/>
        <v>0</v>
      </c>
      <c r="I39" s="849"/>
      <c r="J39" s="375"/>
      <c r="K39" s="1273">
        <f t="shared" si="5"/>
        <v>0</v>
      </c>
      <c r="L39" s="1274">
        <f t="shared" si="5"/>
        <v>0</v>
      </c>
      <c r="M39" s="1273">
        <f t="shared" si="5"/>
        <v>0</v>
      </c>
      <c r="N39" s="1274">
        <f t="shared" si="5"/>
        <v>0</v>
      </c>
      <c r="O39" s="1273">
        <f t="shared" si="5"/>
        <v>0</v>
      </c>
      <c r="P39" s="1274">
        <f t="shared" si="5"/>
        <v>0</v>
      </c>
      <c r="Q39" s="1273">
        <f t="shared" si="5"/>
        <v>0</v>
      </c>
      <c r="R39" s="1194">
        <f t="shared" si="5"/>
        <v>0</v>
      </c>
      <c r="S39" s="1281">
        <f t="shared" si="5"/>
        <v>0</v>
      </c>
      <c r="T39" s="1843"/>
      <c r="U39" s="1219"/>
      <c r="V39" s="1281"/>
      <c r="W39" s="1219"/>
      <c r="X39" s="1281"/>
      <c r="Y39" s="1896"/>
      <c r="Z39" s="1201"/>
      <c r="AA39" s="1201"/>
      <c r="AB39" s="1201"/>
      <c r="AC39" s="1118"/>
      <c r="AD39" s="1211"/>
      <c r="AE39" s="1282"/>
      <c r="AF39" s="1201"/>
      <c r="AG39" s="1286"/>
      <c r="AH39" s="1117"/>
      <c r="AI39" s="1201"/>
      <c r="AJ39" s="1202"/>
      <c r="AK39" s="1203"/>
      <c r="AL39" s="1283"/>
      <c r="AM39" s="1201"/>
      <c r="AN39" s="1284"/>
      <c r="AO39" s="1201"/>
      <c r="AP39" s="1202"/>
      <c r="AQ39" s="1203"/>
      <c r="AR39" s="1283"/>
      <c r="AS39" s="1201"/>
      <c r="AT39" s="1117"/>
      <c r="AU39" s="1201"/>
      <c r="AV39" s="1202"/>
      <c r="AW39" s="1202"/>
      <c r="AX39" s="1204"/>
      <c r="AY39" s="1198"/>
      <c r="AZ39" s="1200"/>
      <c r="BA39" s="1201"/>
      <c r="BB39" s="1202"/>
      <c r="BC39" s="1203"/>
      <c r="BD39" s="1210"/>
      <c r="BE39" s="1199"/>
      <c r="BF39" s="1200"/>
      <c r="BG39" s="1201"/>
      <c r="BH39" s="1202"/>
      <c r="BI39" s="1203"/>
      <c r="BJ39" s="1283"/>
      <c r="BK39" s="1201"/>
      <c r="BL39" s="1117"/>
      <c r="BM39" s="1201"/>
      <c r="BN39" s="1202"/>
      <c r="BO39" s="1202"/>
      <c r="BP39" s="1285"/>
      <c r="BQ39" s="1285"/>
      <c r="BR39" s="1213"/>
      <c r="BS39" s="1"/>
      <c r="BT39" s="1192">
        <f t="shared" si="6"/>
        <v>0</v>
      </c>
    </row>
    <row r="40" spans="1:72" ht="18" x14ac:dyDescent="0.35">
      <c r="A40" s="197"/>
      <c r="B40" s="190"/>
      <c r="C40" s="190"/>
      <c r="D40" s="135" t="s">
        <v>80</v>
      </c>
      <c r="E40" s="136">
        <v>3</v>
      </c>
      <c r="F40" s="136" t="e">
        <f t="shared" si="7"/>
        <v>#DIV/0!</v>
      </c>
      <c r="G40" s="137"/>
      <c r="H40" s="269">
        <f t="shared" si="8"/>
        <v>0</v>
      </c>
      <c r="I40" s="849"/>
      <c r="J40" s="362"/>
      <c r="K40" s="1287">
        <f>(J40-$H40)+AY40</f>
        <v>0</v>
      </c>
      <c r="L40" s="1288">
        <f>(K40-$H40)+BE40</f>
        <v>0</v>
      </c>
      <c r="M40" s="1287">
        <f>(L40-$H40)+BK40</f>
        <v>0</v>
      </c>
      <c r="N40" s="1288">
        <f>(M40-$H40)+AA40</f>
        <v>0</v>
      </c>
      <c r="O40" s="1287">
        <f>(N40-$H40)+AG40</f>
        <v>0</v>
      </c>
      <c r="P40" s="1288">
        <f>(O40-$H40)+AM40</f>
        <v>0</v>
      </c>
      <c r="Q40" s="1287">
        <f>(P40-$H40)+AS40</f>
        <v>0</v>
      </c>
      <c r="R40" s="1289">
        <f t="shared" si="5"/>
        <v>0</v>
      </c>
      <c r="S40" s="1281">
        <f t="shared" si="5"/>
        <v>0</v>
      </c>
      <c r="T40" s="1843"/>
      <c r="U40" s="1219"/>
      <c r="V40" s="1281"/>
      <c r="W40" s="1219"/>
      <c r="X40" s="1281"/>
      <c r="Y40" s="1896"/>
      <c r="Z40" s="1201"/>
      <c r="AA40" s="1201"/>
      <c r="AB40" s="1201"/>
      <c r="AC40" s="1201"/>
      <c r="AD40" s="1202"/>
      <c r="AE40" s="1282"/>
      <c r="AF40" s="1201"/>
      <c r="AG40" s="1286"/>
      <c r="AH40" s="1117"/>
      <c r="AI40" s="1201"/>
      <c r="AJ40" s="1202"/>
      <c r="AK40" s="1203"/>
      <c r="AL40" s="1283"/>
      <c r="AM40" s="1201"/>
      <c r="AN40" s="1284"/>
      <c r="AO40" s="1201"/>
      <c r="AP40" s="1202"/>
      <c r="AQ40" s="1203"/>
      <c r="AR40" s="1283"/>
      <c r="AS40" s="1201"/>
      <c r="AT40" s="1117"/>
      <c r="AU40" s="1201"/>
      <c r="AV40" s="1202"/>
      <c r="AW40" s="1202"/>
      <c r="AX40" s="1204"/>
      <c r="AY40" s="1198"/>
      <c r="AZ40" s="1200"/>
      <c r="BA40" s="1201"/>
      <c r="BB40" s="1202"/>
      <c r="BC40" s="1203"/>
      <c r="BD40" s="1210"/>
      <c r="BE40" s="1199"/>
      <c r="BF40" s="1200"/>
      <c r="BG40" s="1201"/>
      <c r="BH40" s="1202"/>
      <c r="BI40" s="1203"/>
      <c r="BJ40" s="1283"/>
      <c r="BK40" s="1201"/>
      <c r="BL40" s="1117"/>
      <c r="BM40" s="1201"/>
      <c r="BN40" s="1202"/>
      <c r="BO40" s="1202"/>
      <c r="BP40" s="1285"/>
      <c r="BQ40" s="1285"/>
      <c r="BR40" s="1213"/>
      <c r="BS40" s="1"/>
      <c r="BT40" s="1192">
        <f t="shared" si="6"/>
        <v>0</v>
      </c>
    </row>
    <row r="41" spans="1:72" ht="15" thickBot="1" x14ac:dyDescent="0.35">
      <c r="A41" s="200"/>
      <c r="B41" s="201"/>
      <c r="C41" s="202"/>
      <c r="D41" s="203" t="s">
        <v>80</v>
      </c>
      <c r="E41" s="204">
        <v>3</v>
      </c>
      <c r="F41" s="205" t="e">
        <f t="shared" si="7"/>
        <v>#DIV/0!</v>
      </c>
      <c r="G41" s="206"/>
      <c r="H41" s="830">
        <f t="shared" si="8"/>
        <v>0</v>
      </c>
      <c r="I41" s="814"/>
      <c r="J41" s="814"/>
      <c r="K41" s="1290">
        <f>(J41-$H41)+AY41</f>
        <v>0</v>
      </c>
      <c r="L41" s="1291">
        <f>(K41-$H41)+BE41</f>
        <v>0</v>
      </c>
      <c r="M41" s="1290">
        <f>(L41-$H41)+BK41</f>
        <v>0</v>
      </c>
      <c r="N41" s="1291">
        <f>(M41-$H41)+AA41</f>
        <v>0</v>
      </c>
      <c r="O41" s="1290">
        <f>(N41-$H41)+AG41</f>
        <v>0</v>
      </c>
      <c r="P41" s="1291">
        <f>(O41-$H41)+AM41</f>
        <v>0</v>
      </c>
      <c r="Q41" s="1290">
        <f>(P41-$H41)+AS41</f>
        <v>0</v>
      </c>
      <c r="R41" s="1292">
        <f t="shared" si="5"/>
        <v>0</v>
      </c>
      <c r="S41" s="1293">
        <f t="shared" si="5"/>
        <v>0</v>
      </c>
      <c r="T41" s="1903"/>
      <c r="U41" s="1904"/>
      <c r="V41" s="1905"/>
      <c r="W41" s="1904"/>
      <c r="X41" s="1905"/>
      <c r="Y41" s="1906"/>
      <c r="Z41" s="1294"/>
      <c r="AA41" s="1294"/>
      <c r="AB41" s="1294"/>
      <c r="AC41" s="1295"/>
      <c r="AD41" s="1296"/>
      <c r="AE41" s="1297"/>
      <c r="AF41" s="1294"/>
      <c r="AG41" s="1295"/>
      <c r="AH41" s="1298"/>
      <c r="AI41" s="1294"/>
      <c r="AJ41" s="1296"/>
      <c r="AK41" s="1299"/>
      <c r="AL41" s="1300"/>
      <c r="AM41" s="1294"/>
      <c r="AN41" s="1301"/>
      <c r="AO41" s="1294"/>
      <c r="AP41" s="1296"/>
      <c r="AQ41" s="1299"/>
      <c r="AR41" s="1300"/>
      <c r="AS41" s="1294"/>
      <c r="AT41" s="1298"/>
      <c r="AU41" s="1294"/>
      <c r="AV41" s="1296"/>
      <c r="AW41" s="1296"/>
      <c r="AX41" s="1302"/>
      <c r="AY41" s="1303"/>
      <c r="AZ41" s="1304"/>
      <c r="BA41" s="1294"/>
      <c r="BB41" s="1296"/>
      <c r="BC41" s="1299"/>
      <c r="BD41" s="1302"/>
      <c r="BE41" s="1305"/>
      <c r="BF41" s="1304"/>
      <c r="BG41" s="1294"/>
      <c r="BH41" s="1296"/>
      <c r="BI41" s="1299"/>
      <c r="BJ41" s="1300"/>
      <c r="BK41" s="1294"/>
      <c r="BL41" s="1298"/>
      <c r="BM41" s="1294"/>
      <c r="BN41" s="1296"/>
      <c r="BO41" s="1296"/>
      <c r="BP41" s="1306"/>
      <c r="BQ41" s="1306"/>
      <c r="BR41" s="1307"/>
      <c r="BS41" s="1"/>
      <c r="BT41" s="1192">
        <f t="shared" si="6"/>
        <v>0</v>
      </c>
    </row>
    <row r="42" spans="1:72" x14ac:dyDescent="0.3">
      <c r="A42" s="1"/>
      <c r="B42" s="1"/>
      <c r="C42" s="1"/>
      <c r="D42" s="1"/>
      <c r="E42" s="1"/>
      <c r="F42" s="1"/>
      <c r="G42" s="1"/>
      <c r="H42" s="1"/>
      <c r="I42" s="815"/>
      <c r="J42" s="815"/>
      <c r="K42" s="1085"/>
      <c r="L42" s="1085"/>
      <c r="M42" s="1085"/>
      <c r="N42" s="1085"/>
      <c r="O42" s="1085"/>
      <c r="P42" s="1085"/>
      <c r="Q42" s="1085"/>
      <c r="R42" s="1085"/>
      <c r="S42" s="1085"/>
      <c r="T42" s="1310"/>
      <c r="U42" s="1085"/>
      <c r="V42" s="1085"/>
      <c r="W42" s="1085"/>
      <c r="X42" s="1085"/>
      <c r="Y42" s="1309"/>
      <c r="Z42" s="1085">
        <f>SUM(Z28:Z41)</f>
        <v>0</v>
      </c>
      <c r="AA42" s="1085">
        <f t="shared" ref="AA42:BO42" si="9">SUM(AA28:AA41)</f>
        <v>0</v>
      </c>
      <c r="AB42" s="1085">
        <f t="shared" si="9"/>
        <v>0</v>
      </c>
      <c r="AC42" s="1085">
        <f t="shared" si="9"/>
        <v>0</v>
      </c>
      <c r="AD42" s="1085">
        <f t="shared" si="9"/>
        <v>0</v>
      </c>
      <c r="AE42" s="1308">
        <f t="shared" si="9"/>
        <v>0</v>
      </c>
      <c r="AF42" s="1085">
        <f t="shared" si="9"/>
        <v>0</v>
      </c>
      <c r="AG42" s="1085">
        <f t="shared" si="9"/>
        <v>0</v>
      </c>
      <c r="AH42" s="1085">
        <f t="shared" si="9"/>
        <v>0</v>
      </c>
      <c r="AI42" s="1085">
        <f t="shared" si="9"/>
        <v>0</v>
      </c>
      <c r="AJ42" s="1085">
        <f t="shared" si="9"/>
        <v>0</v>
      </c>
      <c r="AK42" s="1309">
        <f t="shared" si="9"/>
        <v>0</v>
      </c>
      <c r="AL42" s="1310">
        <f t="shared" si="9"/>
        <v>0</v>
      </c>
      <c r="AM42" s="1085">
        <f t="shared" si="9"/>
        <v>0</v>
      </c>
      <c r="AN42" s="1085">
        <f t="shared" si="9"/>
        <v>0</v>
      </c>
      <c r="AO42" s="1085">
        <f t="shared" si="9"/>
        <v>0</v>
      </c>
      <c r="AP42" s="1085">
        <f t="shared" si="9"/>
        <v>0</v>
      </c>
      <c r="AQ42" s="1309">
        <f t="shared" si="9"/>
        <v>0</v>
      </c>
      <c r="AR42" s="1310">
        <f t="shared" si="9"/>
        <v>0</v>
      </c>
      <c r="AS42" s="1085">
        <f t="shared" si="9"/>
        <v>0</v>
      </c>
      <c r="AT42" s="1085">
        <f t="shared" si="9"/>
        <v>0</v>
      </c>
      <c r="AU42" s="1085">
        <f t="shared" si="9"/>
        <v>0</v>
      </c>
      <c r="AV42" s="1085">
        <f t="shared" si="9"/>
        <v>0</v>
      </c>
      <c r="AW42" s="1085">
        <f t="shared" si="9"/>
        <v>0</v>
      </c>
      <c r="AX42" s="1310">
        <f t="shared" si="9"/>
        <v>0</v>
      </c>
      <c r="AY42" s="1085">
        <f t="shared" si="9"/>
        <v>0</v>
      </c>
      <c r="AZ42" s="1085">
        <f t="shared" si="9"/>
        <v>0</v>
      </c>
      <c r="BA42" s="1085">
        <f t="shared" si="9"/>
        <v>0</v>
      </c>
      <c r="BB42" s="1085">
        <f t="shared" si="9"/>
        <v>0</v>
      </c>
      <c r="BC42" s="1309">
        <f t="shared" si="9"/>
        <v>0</v>
      </c>
      <c r="BD42" s="1310">
        <f t="shared" si="9"/>
        <v>0</v>
      </c>
      <c r="BE42" s="1085">
        <f t="shared" si="9"/>
        <v>0</v>
      </c>
      <c r="BF42" s="1085">
        <f t="shared" si="9"/>
        <v>0</v>
      </c>
      <c r="BG42" s="1085">
        <f t="shared" si="9"/>
        <v>0</v>
      </c>
      <c r="BH42" s="1085">
        <f t="shared" si="9"/>
        <v>0</v>
      </c>
      <c r="BI42" s="1309">
        <f t="shared" si="9"/>
        <v>0</v>
      </c>
      <c r="BJ42" s="1310">
        <f t="shared" si="9"/>
        <v>0</v>
      </c>
      <c r="BK42" s="1085">
        <f t="shared" si="9"/>
        <v>0</v>
      </c>
      <c r="BL42" s="1085">
        <f t="shared" si="9"/>
        <v>0</v>
      </c>
      <c r="BM42" s="1085">
        <f t="shared" si="9"/>
        <v>0</v>
      </c>
      <c r="BN42" s="1085">
        <f t="shared" si="9"/>
        <v>0</v>
      </c>
      <c r="BO42" s="1309">
        <f t="shared" si="9"/>
        <v>0</v>
      </c>
      <c r="BP42" s="1310"/>
      <c r="BQ42" s="1085"/>
      <c r="BR42" s="1309"/>
      <c r="BS42" s="1085">
        <f>SUM(Z42:BR42)</f>
        <v>0</v>
      </c>
      <c r="BT42" s="1192">
        <f>SUM(BT28:BT41)</f>
        <v>0</v>
      </c>
    </row>
    <row r="43" spans="1:72" x14ac:dyDescent="0.3">
      <c r="A43" s="1"/>
      <c r="B43" s="1"/>
      <c r="C43" s="1"/>
      <c r="D43" s="1"/>
      <c r="E43" s="1"/>
      <c r="F43" s="1"/>
      <c r="G43" s="1"/>
      <c r="H43" s="1"/>
      <c r="I43" s="815"/>
      <c r="J43" s="815"/>
      <c r="K43" s="1085"/>
      <c r="L43" s="1085"/>
      <c r="M43" s="1085"/>
      <c r="N43" s="1085"/>
      <c r="O43" s="1085"/>
      <c r="P43" s="1085"/>
      <c r="Q43" s="1085"/>
      <c r="R43" s="1085"/>
      <c r="S43" s="1085"/>
      <c r="T43" s="1310"/>
      <c r="U43" s="1085"/>
      <c r="V43" s="1085"/>
      <c r="W43" s="1085"/>
      <c r="X43" s="1085"/>
      <c r="Y43" s="1309"/>
      <c r="Z43" s="1085"/>
      <c r="AA43" s="1085"/>
      <c r="AB43" s="1085"/>
      <c r="AC43" s="1085"/>
      <c r="AD43" s="1085"/>
      <c r="AE43" s="1308"/>
      <c r="AF43" s="1085"/>
      <c r="AG43" s="1085"/>
      <c r="AH43" s="1085"/>
      <c r="AI43" s="1085"/>
      <c r="AJ43" s="1085"/>
      <c r="AK43" s="1309"/>
      <c r="AL43" s="1310"/>
      <c r="AM43" s="1085"/>
      <c r="AN43" s="1085"/>
      <c r="AO43" s="1085"/>
      <c r="AP43" s="1085"/>
      <c r="AQ43" s="1309"/>
      <c r="AR43" s="1310"/>
      <c r="AS43" s="1085"/>
      <c r="AT43" s="1085"/>
      <c r="AU43" s="1085"/>
      <c r="AV43" s="1085"/>
      <c r="AW43" s="1085"/>
      <c r="AX43" s="1310"/>
      <c r="AY43" s="1085"/>
      <c r="AZ43" s="1085"/>
      <c r="BA43" s="1085"/>
      <c r="BB43" s="1085"/>
      <c r="BC43" s="1309"/>
      <c r="BD43" s="1310"/>
      <c r="BE43" s="1085"/>
      <c r="BF43" s="1085"/>
      <c r="BG43" s="1085"/>
      <c r="BH43" s="1085"/>
      <c r="BI43" s="1309"/>
      <c r="BJ43" s="1310"/>
      <c r="BK43" s="1085"/>
      <c r="BL43" s="1085"/>
      <c r="BM43" s="1085"/>
      <c r="BN43" s="1085"/>
      <c r="BO43" s="1309"/>
      <c r="BP43" s="1310"/>
      <c r="BQ43" s="1085"/>
      <c r="BR43" s="1309"/>
      <c r="BS43" s="1"/>
    </row>
    <row r="44" spans="1:72" ht="15" thickBot="1" x14ac:dyDescent="0.35">
      <c r="A44" s="1"/>
      <c r="B44" s="1"/>
      <c r="C44" s="1"/>
      <c r="D44" s="1"/>
      <c r="E44" s="1"/>
      <c r="F44" s="1"/>
      <c r="G44" s="1"/>
      <c r="H44" s="1"/>
      <c r="I44" s="815"/>
      <c r="J44" s="815"/>
      <c r="K44" s="1085"/>
      <c r="L44" s="1085"/>
      <c r="M44" s="1085"/>
      <c r="N44" s="1085"/>
      <c r="O44" s="1085"/>
      <c r="P44" s="1085"/>
      <c r="Q44" s="1085"/>
      <c r="R44" s="1085"/>
      <c r="S44" s="1085"/>
      <c r="T44" s="1310"/>
      <c r="U44" s="1085"/>
      <c r="V44" s="1085"/>
      <c r="W44" s="1085"/>
      <c r="X44" s="1085"/>
      <c r="Y44" s="1309"/>
      <c r="Z44" s="1085"/>
      <c r="AA44" s="1085"/>
      <c r="AB44" s="1085"/>
      <c r="AC44" s="1085"/>
      <c r="AD44" s="1085"/>
      <c r="AE44" s="1308"/>
      <c r="AF44" s="1085"/>
      <c r="AG44" s="1085"/>
      <c r="AH44" s="1085"/>
      <c r="AI44" s="1085"/>
      <c r="AJ44" s="1085"/>
      <c r="AK44" s="1309"/>
      <c r="AL44" s="1310"/>
      <c r="AM44" s="1085"/>
      <c r="AN44" s="1085"/>
      <c r="AO44" s="1085"/>
      <c r="AP44" s="1085"/>
      <c r="AQ44" s="1309"/>
      <c r="AR44" s="1310"/>
      <c r="AS44" s="1085"/>
      <c r="AT44" s="1085"/>
      <c r="AU44" s="1085"/>
      <c r="AV44" s="1085"/>
      <c r="AW44" s="1085"/>
      <c r="AX44" s="1310"/>
      <c r="AY44" s="1085"/>
      <c r="AZ44" s="1085"/>
      <c r="BA44" s="1085"/>
      <c r="BB44" s="1085"/>
      <c r="BC44" s="1309"/>
      <c r="BD44" s="1310"/>
      <c r="BE44" s="1085"/>
      <c r="BF44" s="1085"/>
      <c r="BG44" s="1085"/>
      <c r="BH44" s="1085"/>
      <c r="BI44" s="1309"/>
      <c r="BJ44" s="1310"/>
      <c r="BK44" s="1085"/>
      <c r="BL44" s="1085"/>
      <c r="BM44" s="1085"/>
      <c r="BN44" s="1085"/>
      <c r="BO44" s="1309"/>
      <c r="BP44" s="1310"/>
      <c r="BQ44" s="1085"/>
      <c r="BR44" s="1309"/>
      <c r="BS44" s="1"/>
    </row>
    <row r="45" spans="1:72" ht="16.8" thickTop="1" thickBot="1" x14ac:dyDescent="0.35">
      <c r="A45" s="875" t="s">
        <v>28</v>
      </c>
      <c r="B45" s="876"/>
      <c r="C45" s="250"/>
      <c r="D45" s="1"/>
      <c r="E45" s="79"/>
      <c r="F45" s="712"/>
      <c r="G45" s="1"/>
      <c r="H45" s="1"/>
      <c r="I45" s="815"/>
      <c r="J45" s="815"/>
      <c r="K45" s="1085"/>
      <c r="L45" s="1085">
        <f>+L48+K48</f>
        <v>0</v>
      </c>
      <c r="M45" s="1085">
        <f>+M48-L48</f>
        <v>0</v>
      </c>
      <c r="N45" s="1085"/>
      <c r="O45" s="1085"/>
      <c r="P45" s="1085"/>
      <c r="Q45" s="1085"/>
      <c r="R45" s="1085"/>
      <c r="S45" s="1085"/>
      <c r="T45" s="1310"/>
      <c r="U45" s="1085"/>
      <c r="V45" s="1085"/>
      <c r="W45" s="1085"/>
      <c r="X45" s="1085"/>
      <c r="Y45" s="1309"/>
      <c r="Z45" s="1085"/>
      <c r="AA45" s="1133"/>
      <c r="AB45" s="1085"/>
      <c r="AC45" s="1085"/>
      <c r="AD45" s="1085"/>
      <c r="AE45" s="1308"/>
      <c r="AF45" s="1133"/>
      <c r="AG45" s="1085"/>
      <c r="AH45" s="1085"/>
      <c r="AI45" s="1085"/>
      <c r="AJ45" s="1085"/>
      <c r="AK45" s="1309"/>
      <c r="AL45" s="1310"/>
      <c r="AM45" s="1085"/>
      <c r="AN45" s="1133"/>
      <c r="AO45" s="1085"/>
      <c r="AP45" s="1085"/>
      <c r="AQ45" s="1309"/>
      <c r="AR45" s="1310"/>
      <c r="AS45" s="1085"/>
      <c r="AT45" s="1085"/>
      <c r="AU45" s="1311"/>
      <c r="AV45" s="1085"/>
      <c r="AW45" s="1085"/>
      <c r="AX45" s="1310"/>
      <c r="AY45" s="1085"/>
      <c r="AZ45" s="1085"/>
      <c r="BA45" s="1085"/>
      <c r="BB45" s="1085"/>
      <c r="BC45" s="1309"/>
      <c r="BD45" s="1310"/>
      <c r="BE45" s="1133"/>
      <c r="BF45" s="1133"/>
      <c r="BG45" s="1085"/>
      <c r="BH45" s="1085"/>
      <c r="BI45" s="1309"/>
      <c r="BJ45" s="1310"/>
      <c r="BK45" s="1085"/>
      <c r="BL45" s="1133"/>
      <c r="BM45" s="1085"/>
      <c r="BN45" s="1085"/>
      <c r="BO45" s="1309"/>
      <c r="BP45" s="1310"/>
      <c r="BQ45" s="1085"/>
      <c r="BR45" s="1309"/>
      <c r="BS45" s="1"/>
    </row>
    <row r="46" spans="1:72" ht="16.8" thickTop="1" thickBot="1" x14ac:dyDescent="0.35">
      <c r="A46" s="884" t="s">
        <v>29</v>
      </c>
      <c r="B46" s="885" t="s">
        <v>30</v>
      </c>
      <c r="C46" s="886" t="s">
        <v>31</v>
      </c>
      <c r="D46" s="887" t="s">
        <v>2</v>
      </c>
      <c r="E46" s="888" t="s">
        <v>32</v>
      </c>
      <c r="F46" s="888" t="s">
        <v>33</v>
      </c>
      <c r="G46" s="889" t="s">
        <v>34</v>
      </c>
      <c r="H46" s="890" t="s">
        <v>35</v>
      </c>
      <c r="I46" s="891" t="s">
        <v>36</v>
      </c>
      <c r="J46" s="811" t="s">
        <v>37</v>
      </c>
      <c r="K46" s="1312" t="s">
        <v>38</v>
      </c>
      <c r="L46" s="1313" t="s">
        <v>39</v>
      </c>
      <c r="M46" s="1313" t="s">
        <v>40</v>
      </c>
      <c r="N46" s="1313" t="s">
        <v>41</v>
      </c>
      <c r="O46" s="1313" t="s">
        <v>42</v>
      </c>
      <c r="P46" s="1313" t="s">
        <v>43</v>
      </c>
      <c r="Q46" s="1314" t="s">
        <v>44</v>
      </c>
      <c r="R46" s="1313" t="s">
        <v>38</v>
      </c>
      <c r="S46" s="1314" t="s">
        <v>45</v>
      </c>
      <c r="T46" s="1740" t="s">
        <v>99</v>
      </c>
      <c r="U46" s="1741" t="s">
        <v>100</v>
      </c>
      <c r="V46" s="1736" t="s">
        <v>101</v>
      </c>
      <c r="W46" s="1742" t="s">
        <v>9</v>
      </c>
      <c r="X46" s="1935" t="s">
        <v>9</v>
      </c>
      <c r="Y46" s="1743" t="s">
        <v>9</v>
      </c>
      <c r="Z46" s="1315" t="s">
        <v>81</v>
      </c>
      <c r="AA46" s="1315" t="s">
        <v>82</v>
      </c>
      <c r="AB46" s="1316" t="s">
        <v>83</v>
      </c>
      <c r="AC46" s="1317" t="s">
        <v>3</v>
      </c>
      <c r="AD46" s="1318" t="s">
        <v>3</v>
      </c>
      <c r="AE46" s="1319" t="s">
        <v>3</v>
      </c>
      <c r="AF46" s="1315" t="s">
        <v>84</v>
      </c>
      <c r="AG46" s="1315" t="s">
        <v>85</v>
      </c>
      <c r="AH46" s="1316" t="s">
        <v>86</v>
      </c>
      <c r="AI46" s="1317" t="s">
        <v>51</v>
      </c>
      <c r="AJ46" s="1320" t="s">
        <v>51</v>
      </c>
      <c r="AK46" s="1320" t="s">
        <v>51</v>
      </c>
      <c r="AL46" s="1321" t="s">
        <v>87</v>
      </c>
      <c r="AM46" s="1315" t="s">
        <v>88</v>
      </c>
      <c r="AN46" s="1316" t="s">
        <v>89</v>
      </c>
      <c r="AO46" s="1317" t="s">
        <v>5</v>
      </c>
      <c r="AP46" s="1320" t="s">
        <v>5</v>
      </c>
      <c r="AQ46" s="1320" t="s">
        <v>55</v>
      </c>
      <c r="AR46" s="1321" t="s">
        <v>90</v>
      </c>
      <c r="AS46" s="1315" t="s">
        <v>91</v>
      </c>
      <c r="AT46" s="1322" t="s">
        <v>92</v>
      </c>
      <c r="AU46" s="1323" t="s">
        <v>59</v>
      </c>
      <c r="AV46" s="1320" t="s">
        <v>59</v>
      </c>
      <c r="AW46" s="1320" t="s">
        <v>59</v>
      </c>
      <c r="AX46" s="1321" t="s">
        <v>93</v>
      </c>
      <c r="AY46" s="1315" t="s">
        <v>94</v>
      </c>
      <c r="AZ46" s="1322" t="s">
        <v>95</v>
      </c>
      <c r="BA46" s="1324" t="s">
        <v>63</v>
      </c>
      <c r="BB46" s="1325" t="s">
        <v>7</v>
      </c>
      <c r="BC46" s="1326" t="s">
        <v>7</v>
      </c>
      <c r="BD46" s="1321" t="s">
        <v>96</v>
      </c>
      <c r="BE46" s="1315" t="s">
        <v>97</v>
      </c>
      <c r="BF46" s="1316" t="s">
        <v>98</v>
      </c>
      <c r="BG46" s="1163" t="s">
        <v>8</v>
      </c>
      <c r="BH46" s="1163" t="s">
        <v>8</v>
      </c>
      <c r="BI46" s="1320" t="s">
        <v>8</v>
      </c>
      <c r="BJ46" s="1321" t="s">
        <v>99</v>
      </c>
      <c r="BK46" s="1315" t="s">
        <v>100</v>
      </c>
      <c r="BL46" s="1322" t="s">
        <v>101</v>
      </c>
      <c r="BM46" s="1323" t="s">
        <v>9</v>
      </c>
      <c r="BN46" s="1164" t="s">
        <v>9</v>
      </c>
      <c r="BO46" s="1320" t="s">
        <v>9</v>
      </c>
      <c r="BP46" s="1327" t="s">
        <v>70</v>
      </c>
      <c r="BQ46" s="1317" t="s">
        <v>71</v>
      </c>
      <c r="BR46" s="1328" t="s">
        <v>72</v>
      </c>
      <c r="BS46" s="1"/>
    </row>
    <row r="47" spans="1:72" ht="18" x14ac:dyDescent="0.35">
      <c r="A47" s="2739"/>
      <c r="B47" s="866"/>
      <c r="C47" s="329" t="s">
        <v>444</v>
      </c>
      <c r="D47" s="290" t="s">
        <v>102</v>
      </c>
      <c r="E47" s="880"/>
      <c r="F47" s="291" t="e">
        <f t="shared" ref="F47:F62" si="10">(BR47/G47)/7</f>
        <v>#DIV/0!</v>
      </c>
      <c r="G47" s="157"/>
      <c r="H47" s="834">
        <f>G47*E47</f>
        <v>0</v>
      </c>
      <c r="I47" s="362"/>
      <c r="J47" s="362"/>
      <c r="K47" s="1329">
        <f>J47-H47</f>
        <v>0</v>
      </c>
      <c r="L47" s="1288">
        <f t="shared" ref="K47:S62" si="11">K47-$H47</f>
        <v>0</v>
      </c>
      <c r="M47" s="1288">
        <f t="shared" si="11"/>
        <v>0</v>
      </c>
      <c r="N47" s="1288">
        <f t="shared" si="11"/>
        <v>0</v>
      </c>
      <c r="O47" s="1288">
        <f t="shared" si="11"/>
        <v>0</v>
      </c>
      <c r="P47" s="1288">
        <f t="shared" si="11"/>
        <v>0</v>
      </c>
      <c r="Q47" s="1287">
        <f t="shared" si="11"/>
        <v>0</v>
      </c>
      <c r="R47" s="1288">
        <f t="shared" si="11"/>
        <v>0</v>
      </c>
      <c r="S47" s="1287">
        <f t="shared" si="11"/>
        <v>0</v>
      </c>
      <c r="T47" s="1216"/>
      <c r="U47" s="1287"/>
      <c r="V47" s="1096"/>
      <c r="W47" s="1097"/>
      <c r="X47" s="1096"/>
      <c r="Y47" s="1842"/>
      <c r="Z47" s="1835"/>
      <c r="AA47" s="1096"/>
      <c r="AB47" s="1098"/>
      <c r="AC47" s="1184"/>
      <c r="AD47" s="1330"/>
      <c r="AE47" s="1331"/>
      <c r="AF47" s="1176"/>
      <c r="AG47" s="1177"/>
      <c r="AH47" s="1189"/>
      <c r="AI47" s="1180"/>
      <c r="AJ47" s="1180"/>
      <c r="AK47" s="1332"/>
      <c r="AL47" s="1216"/>
      <c r="AM47" s="1096"/>
      <c r="AN47" s="1098"/>
      <c r="AO47" s="1184"/>
      <c r="AP47" s="1184"/>
      <c r="AQ47" s="1332"/>
      <c r="AR47" s="1188"/>
      <c r="AS47" s="1177"/>
      <c r="AT47" s="1333"/>
      <c r="AU47" s="1334"/>
      <c r="AV47" s="1335"/>
      <c r="AW47" s="1335"/>
      <c r="AX47" s="1188"/>
      <c r="AY47" s="1096"/>
      <c r="AZ47" s="1097"/>
      <c r="BA47" s="1336"/>
      <c r="BB47" s="1337"/>
      <c r="BC47" s="1181"/>
      <c r="BD47" s="1188"/>
      <c r="BE47" s="1177"/>
      <c r="BF47" s="1189"/>
      <c r="BG47" s="1338"/>
      <c r="BH47" s="1180"/>
      <c r="BI47" s="1332"/>
      <c r="BJ47" s="1188"/>
      <c r="BK47" s="1177"/>
      <c r="BL47" s="1333"/>
      <c r="BM47" s="1334"/>
      <c r="BN47" s="1335"/>
      <c r="BO47" s="1332"/>
      <c r="BP47" s="1339"/>
      <c r="BQ47" s="1340"/>
      <c r="BR47" s="1341"/>
      <c r="BS47" s="1"/>
      <c r="BT47" s="1192">
        <f t="shared" ref="BT47:BT56" si="12">SUM(Z47:BO47)</f>
        <v>0</v>
      </c>
    </row>
    <row r="48" spans="1:72" ht="18" x14ac:dyDescent="0.35">
      <c r="A48" s="2739"/>
      <c r="B48" s="867" t="s">
        <v>233</v>
      </c>
      <c r="C48" s="224" t="s">
        <v>230</v>
      </c>
      <c r="D48" s="225" t="s">
        <v>103</v>
      </c>
      <c r="E48" s="585">
        <v>6</v>
      </c>
      <c r="F48" s="226" t="e">
        <f t="shared" si="10"/>
        <v>#DIV/0!</v>
      </c>
      <c r="G48" s="139"/>
      <c r="H48" s="831">
        <f>G48*E48</f>
        <v>0</v>
      </c>
      <c r="I48" s="375"/>
      <c r="J48" s="375"/>
      <c r="K48" s="1194">
        <f t="shared" si="11"/>
        <v>0</v>
      </c>
      <c r="L48" s="1194">
        <f t="shared" si="11"/>
        <v>0</v>
      </c>
      <c r="M48" s="1194">
        <f t="shared" si="11"/>
        <v>0</v>
      </c>
      <c r="N48" s="1194">
        <f t="shared" si="11"/>
        <v>0</v>
      </c>
      <c r="O48" s="1194">
        <f t="shared" si="11"/>
        <v>0</v>
      </c>
      <c r="P48" s="1194">
        <f t="shared" si="11"/>
        <v>0</v>
      </c>
      <c r="Q48" s="1194">
        <f t="shared" si="11"/>
        <v>0</v>
      </c>
      <c r="R48" s="1194">
        <f t="shared" si="11"/>
        <v>0</v>
      </c>
      <c r="S48" s="1342">
        <f t="shared" si="11"/>
        <v>0</v>
      </c>
      <c r="T48" s="1907"/>
      <c r="U48" s="1222"/>
      <c r="V48" s="1885"/>
      <c r="W48" s="1889"/>
      <c r="X48" s="1885"/>
      <c r="Y48" s="1849"/>
      <c r="AA48" s="1104"/>
      <c r="AB48" s="1209"/>
      <c r="AC48" s="1206"/>
      <c r="AD48" s="1343"/>
      <c r="AE48" s="1344"/>
      <c r="AF48" s="1198"/>
      <c r="AG48" s="1199"/>
      <c r="AH48" s="1200"/>
      <c r="AI48" s="1202"/>
      <c r="AJ48" s="1202"/>
      <c r="AK48" s="1345"/>
      <c r="AL48" s="1204"/>
      <c r="AM48" s="1104"/>
      <c r="AN48" s="1209"/>
      <c r="AO48" s="1206"/>
      <c r="AP48" s="1206"/>
      <c r="AQ48" s="1345"/>
      <c r="AR48" s="1210"/>
      <c r="AS48" s="1199"/>
      <c r="AT48" s="1346"/>
      <c r="AU48" s="1347"/>
      <c r="AV48" s="1348"/>
      <c r="AW48" s="1348"/>
      <c r="AX48" s="1210"/>
      <c r="AY48" s="1104"/>
      <c r="AZ48" s="1205"/>
      <c r="BA48" s="1349"/>
      <c r="BB48" s="1350"/>
      <c r="BC48" s="1203"/>
      <c r="BD48" s="1210"/>
      <c r="BE48" s="1199"/>
      <c r="BF48" s="1200"/>
      <c r="BG48" s="1351"/>
      <c r="BH48" s="1202"/>
      <c r="BI48" s="1345"/>
      <c r="BJ48" s="1210"/>
      <c r="BK48" s="1199"/>
      <c r="BL48" s="1346"/>
      <c r="BM48" s="1334"/>
      <c r="BN48" s="1335"/>
      <c r="BO48" s="1332"/>
      <c r="BP48" s="1352"/>
      <c r="BQ48" s="1213"/>
      <c r="BR48" s="1353">
        <f>BP48-BQ48</f>
        <v>0</v>
      </c>
      <c r="BS48" s="1"/>
      <c r="BT48" s="1192">
        <f t="shared" si="12"/>
        <v>0</v>
      </c>
    </row>
    <row r="49" spans="1:72" ht="18.600000000000001" thickBot="1" x14ac:dyDescent="0.4">
      <c r="A49" s="2739"/>
      <c r="B49" s="868" t="s">
        <v>234</v>
      </c>
      <c r="C49" s="233"/>
      <c r="D49" s="234" t="s">
        <v>104</v>
      </c>
      <c r="E49" s="586">
        <v>2.5</v>
      </c>
      <c r="F49" s="235" t="e">
        <f t="shared" si="10"/>
        <v>#DIV/0!</v>
      </c>
      <c r="G49" s="236"/>
      <c r="H49" s="234">
        <f>G49*E49</f>
        <v>0</v>
      </c>
      <c r="I49" s="386"/>
      <c r="J49" s="386"/>
      <c r="K49" s="1354">
        <f t="shared" si="11"/>
        <v>0</v>
      </c>
      <c r="L49" s="1280">
        <f t="shared" si="11"/>
        <v>0</v>
      </c>
      <c r="M49" s="1280">
        <f t="shared" si="11"/>
        <v>0</v>
      </c>
      <c r="N49" s="1280">
        <f t="shared" si="11"/>
        <v>0</v>
      </c>
      <c r="O49" s="1280">
        <f t="shared" si="11"/>
        <v>0</v>
      </c>
      <c r="P49" s="1280">
        <f t="shared" si="11"/>
        <v>0</v>
      </c>
      <c r="Q49" s="1280">
        <f t="shared" si="11"/>
        <v>0</v>
      </c>
      <c r="R49" s="1280">
        <f t="shared" si="11"/>
        <v>0</v>
      </c>
      <c r="S49" s="1355">
        <f t="shared" si="11"/>
        <v>0</v>
      </c>
      <c r="T49" s="1908"/>
      <c r="U49" s="1827"/>
      <c r="V49" s="1220"/>
      <c r="W49" s="1890"/>
      <c r="X49" s="1220"/>
      <c r="Y49" s="1851"/>
      <c r="Z49" s="1218"/>
      <c r="AA49" s="1219"/>
      <c r="AB49" s="1238"/>
      <c r="AC49" s="1234"/>
      <c r="AD49" s="1343"/>
      <c r="AE49" s="1344"/>
      <c r="AF49" s="1356"/>
      <c r="AG49" s="1357"/>
      <c r="AH49" s="1358"/>
      <c r="AI49" s="1359"/>
      <c r="AJ49" s="1359"/>
      <c r="AK49" s="1360"/>
      <c r="AL49" s="1361"/>
      <c r="AM49" s="1362"/>
      <c r="AN49" s="1363"/>
      <c r="AO49" s="1364"/>
      <c r="AP49" s="1364"/>
      <c r="AQ49" s="1360"/>
      <c r="AR49" s="1365"/>
      <c r="AS49" s="1357"/>
      <c r="AT49" s="1366"/>
      <c r="AU49" s="1367"/>
      <c r="AV49" s="1368"/>
      <c r="AW49" s="1368"/>
      <c r="AX49" s="1365"/>
      <c r="AY49" s="1362"/>
      <c r="AZ49" s="1369"/>
      <c r="BA49" s="1370"/>
      <c r="BB49" s="1371"/>
      <c r="BC49" s="1372"/>
      <c r="BD49" s="1365"/>
      <c r="BE49" s="1357"/>
      <c r="BF49" s="1358"/>
      <c r="BG49" s="1373"/>
      <c r="BH49" s="1359"/>
      <c r="BI49" s="1360"/>
      <c r="BJ49" s="1365"/>
      <c r="BK49" s="1357"/>
      <c r="BL49" s="1228"/>
      <c r="BM49" s="1373"/>
      <c r="BN49" s="1359"/>
      <c r="BO49" s="1360"/>
      <c r="BP49" s="1339"/>
      <c r="BQ49" s="1374"/>
      <c r="BR49" s="1353">
        <f t="shared" ref="BR49:BR55" si="13">BP49-BQ49</f>
        <v>0</v>
      </c>
      <c r="BS49" s="1"/>
      <c r="BT49" s="1192">
        <f t="shared" si="12"/>
        <v>0</v>
      </c>
    </row>
    <row r="50" spans="1:72" ht="18" x14ac:dyDescent="0.35">
      <c r="A50" s="2740"/>
      <c r="B50" s="869"/>
      <c r="C50" s="329" t="s">
        <v>229</v>
      </c>
      <c r="D50" s="251" t="s">
        <v>102</v>
      </c>
      <c r="E50" s="587"/>
      <c r="F50" s="252" t="e">
        <f t="shared" si="10"/>
        <v>#DIV/0!</v>
      </c>
      <c r="G50" s="253"/>
      <c r="H50" s="832">
        <f t="shared" ref="H50:H62" si="14">G50*E50</f>
        <v>0</v>
      </c>
      <c r="I50" s="392"/>
      <c r="J50" s="392"/>
      <c r="K50" s="1375">
        <f t="shared" si="11"/>
        <v>0</v>
      </c>
      <c r="L50" s="1243">
        <f t="shared" si="11"/>
        <v>0</v>
      </c>
      <c r="M50" s="1243">
        <f t="shared" si="11"/>
        <v>0</v>
      </c>
      <c r="N50" s="1243">
        <f t="shared" si="11"/>
        <v>0</v>
      </c>
      <c r="O50" s="1243">
        <f t="shared" si="11"/>
        <v>0</v>
      </c>
      <c r="P50" s="1243">
        <f t="shared" si="11"/>
        <v>0</v>
      </c>
      <c r="Q50" s="1242">
        <f t="shared" si="11"/>
        <v>0</v>
      </c>
      <c r="R50" s="1243">
        <f t="shared" si="11"/>
        <v>0</v>
      </c>
      <c r="S50" s="1242">
        <f t="shared" si="11"/>
        <v>0</v>
      </c>
      <c r="T50" s="1791"/>
      <c r="U50" s="1242"/>
      <c r="V50" s="1790"/>
      <c r="W50" s="1628"/>
      <c r="X50" s="1790"/>
      <c r="Y50" s="1853"/>
      <c r="Z50" s="1760"/>
      <c r="AA50" s="1376"/>
      <c r="AB50" s="1377"/>
      <c r="AC50" s="1378"/>
      <c r="AD50" s="1379"/>
      <c r="AE50" s="1380"/>
      <c r="AF50" s="1245"/>
      <c r="AG50" s="1254"/>
      <c r="AH50" s="1249"/>
      <c r="AI50" s="1250"/>
      <c r="AJ50" s="1250"/>
      <c r="AK50" s="1381"/>
      <c r="AL50" s="1382"/>
      <c r="AM50" s="1376"/>
      <c r="AN50" s="1377"/>
      <c r="AO50" s="1378"/>
      <c r="AP50" s="1378"/>
      <c r="AQ50" s="1381"/>
      <c r="AR50" s="1252"/>
      <c r="AS50" s="1254"/>
      <c r="AT50" s="1383"/>
      <c r="AU50" s="1384"/>
      <c r="AV50" s="1385"/>
      <c r="AW50" s="1385"/>
      <c r="AX50" s="1252"/>
      <c r="AY50" s="1376"/>
      <c r="AZ50" s="1386"/>
      <c r="BA50" s="1387"/>
      <c r="BB50" s="1388"/>
      <c r="BC50" s="1251"/>
      <c r="BD50" s="1252"/>
      <c r="BE50" s="1254"/>
      <c r="BF50" s="1249"/>
      <c r="BG50" s="1389"/>
      <c r="BH50" s="1250"/>
      <c r="BI50" s="1381"/>
      <c r="BJ50" s="1252"/>
      <c r="BK50" s="1254"/>
      <c r="BL50" s="1249"/>
      <c r="BM50" s="1390"/>
      <c r="BN50" s="1391"/>
      <c r="BO50" s="1392"/>
      <c r="BP50" s="1393"/>
      <c r="BQ50" s="1394"/>
      <c r="BR50" s="1353">
        <f t="shared" si="13"/>
        <v>0</v>
      </c>
      <c r="BS50" s="1"/>
      <c r="BT50" s="1192">
        <f t="shared" si="12"/>
        <v>0</v>
      </c>
    </row>
    <row r="51" spans="1:72" ht="18" x14ac:dyDescent="0.35">
      <c r="A51" s="2741"/>
      <c r="B51" s="867" t="s">
        <v>235</v>
      </c>
      <c r="C51" s="224" t="s">
        <v>232</v>
      </c>
      <c r="D51" s="269" t="s">
        <v>103</v>
      </c>
      <c r="E51" s="585">
        <v>11</v>
      </c>
      <c r="F51" s="226" t="e">
        <f t="shared" si="10"/>
        <v>#DIV/0!</v>
      </c>
      <c r="G51" s="139"/>
      <c r="H51" s="831">
        <f t="shared" si="14"/>
        <v>0</v>
      </c>
      <c r="I51" s="375"/>
      <c r="J51" s="375"/>
      <c r="K51" s="1395">
        <f t="shared" si="11"/>
        <v>0</v>
      </c>
      <c r="L51" s="1395">
        <f t="shared" si="11"/>
        <v>0</v>
      </c>
      <c r="M51" s="1395">
        <f t="shared" si="11"/>
        <v>0</v>
      </c>
      <c r="N51" s="1395">
        <f t="shared" si="11"/>
        <v>0</v>
      </c>
      <c r="O51" s="1395">
        <f t="shared" si="11"/>
        <v>0</v>
      </c>
      <c r="P51" s="1395">
        <f t="shared" si="11"/>
        <v>0</v>
      </c>
      <c r="Q51" s="1395">
        <f t="shared" si="11"/>
        <v>0</v>
      </c>
      <c r="R51" s="1395">
        <f t="shared" si="11"/>
        <v>0</v>
      </c>
      <c r="S51" s="1193">
        <f t="shared" si="11"/>
        <v>0</v>
      </c>
      <c r="T51" s="1909"/>
      <c r="U51" s="1193"/>
      <c r="V51" s="1114"/>
      <c r="W51" s="1115"/>
      <c r="X51" s="1114"/>
      <c r="Y51" s="1855"/>
      <c r="Z51" s="1103"/>
      <c r="AA51" s="1104"/>
      <c r="AB51" s="1209"/>
      <c r="AC51" s="1206"/>
      <c r="AD51" s="1396"/>
      <c r="AE51" s="1397"/>
      <c r="AF51" s="1198"/>
      <c r="AG51" s="1199"/>
      <c r="AH51" s="1200"/>
      <c r="AI51" s="1202"/>
      <c r="AJ51" s="1202"/>
      <c r="AK51" s="1345"/>
      <c r="AL51" s="1204"/>
      <c r="AM51" s="1104"/>
      <c r="AN51" s="1209"/>
      <c r="AO51" s="1206"/>
      <c r="AP51" s="1206"/>
      <c r="AQ51" s="1345"/>
      <c r="AR51" s="1210"/>
      <c r="AS51" s="1199"/>
      <c r="AT51" s="1346"/>
      <c r="AU51" s="1347"/>
      <c r="AV51" s="1348"/>
      <c r="AW51" s="1348"/>
      <c r="AX51" s="1210"/>
      <c r="AY51" s="1104"/>
      <c r="AZ51" s="1205"/>
      <c r="BA51" s="1349"/>
      <c r="BB51" s="1350"/>
      <c r="BC51" s="1203"/>
      <c r="BD51" s="1210"/>
      <c r="BE51" s="1199"/>
      <c r="BF51" s="1200"/>
      <c r="BG51" s="1351"/>
      <c r="BH51" s="1202"/>
      <c r="BI51" s="1345"/>
      <c r="BJ51" s="1210"/>
      <c r="BK51" s="1199"/>
      <c r="BL51" s="1200"/>
      <c r="BM51" s="1347"/>
      <c r="BN51" s="1348"/>
      <c r="BO51" s="1345"/>
      <c r="BP51" s="1352"/>
      <c r="BQ51" s="1213"/>
      <c r="BR51" s="1353">
        <f t="shared" si="13"/>
        <v>0</v>
      </c>
      <c r="BS51" s="1"/>
      <c r="BT51" s="1192">
        <f t="shared" si="12"/>
        <v>0</v>
      </c>
    </row>
    <row r="52" spans="1:72" ht="18" x14ac:dyDescent="0.35">
      <c r="A52" s="2741"/>
      <c r="B52" s="867"/>
      <c r="C52" s="233"/>
      <c r="D52" s="300" t="s">
        <v>104</v>
      </c>
      <c r="E52" s="586">
        <v>2.5</v>
      </c>
      <c r="F52" s="226" t="e">
        <f t="shared" si="10"/>
        <v>#DIV/0!</v>
      </c>
      <c r="G52" s="236"/>
      <c r="H52" s="934">
        <f t="shared" si="14"/>
        <v>0</v>
      </c>
      <c r="I52" s="385"/>
      <c r="J52" s="386"/>
      <c r="K52" s="1395">
        <f t="shared" si="11"/>
        <v>0</v>
      </c>
      <c r="L52" s="1395">
        <f t="shared" si="11"/>
        <v>0</v>
      </c>
      <c r="M52" s="1395">
        <f t="shared" si="11"/>
        <v>0</v>
      </c>
      <c r="N52" s="1395">
        <f t="shared" si="11"/>
        <v>0</v>
      </c>
      <c r="O52" s="1395">
        <f t="shared" si="11"/>
        <v>0</v>
      </c>
      <c r="P52" s="1395">
        <f t="shared" si="11"/>
        <v>0</v>
      </c>
      <c r="Q52" s="1395">
        <f t="shared" si="11"/>
        <v>0</v>
      </c>
      <c r="R52" s="1395">
        <f t="shared" si="11"/>
        <v>0</v>
      </c>
      <c r="S52" s="1193">
        <f t="shared" si="11"/>
        <v>0</v>
      </c>
      <c r="T52" s="1908"/>
      <c r="U52" s="1827"/>
      <c r="V52" s="1220"/>
      <c r="W52" s="1890"/>
      <c r="X52" s="1220"/>
      <c r="Y52" s="1851"/>
      <c r="Z52" s="1836"/>
      <c r="AA52" s="1398"/>
      <c r="AB52" s="1399"/>
      <c r="AC52" s="1400"/>
      <c r="AD52" s="1401"/>
      <c r="AE52" s="1402"/>
      <c r="AF52" s="1403"/>
      <c r="AG52" s="1404"/>
      <c r="AH52" s="1405"/>
      <c r="AI52" s="1406"/>
      <c r="AJ52" s="1406"/>
      <c r="AK52" s="1407"/>
      <c r="AL52" s="1408"/>
      <c r="AM52" s="1398"/>
      <c r="AN52" s="1399"/>
      <c r="AO52" s="1400"/>
      <c r="AP52" s="1400"/>
      <c r="AQ52" s="1407"/>
      <c r="AR52" s="1409"/>
      <c r="AS52" s="1404"/>
      <c r="AT52" s="1410"/>
      <c r="AU52" s="1411"/>
      <c r="AV52" s="1412"/>
      <c r="AW52" s="1412"/>
      <c r="AX52" s="1409"/>
      <c r="AY52" s="1398"/>
      <c r="AZ52" s="1413"/>
      <c r="BA52" s="1414"/>
      <c r="BB52" s="1415"/>
      <c r="BC52" s="1416"/>
      <c r="BD52" s="1409"/>
      <c r="BE52" s="1404"/>
      <c r="BF52" s="1405"/>
      <c r="BG52" s="1417"/>
      <c r="BH52" s="1406"/>
      <c r="BI52" s="1407"/>
      <c r="BJ52" s="1409"/>
      <c r="BK52" s="1404"/>
      <c r="BL52" s="1405"/>
      <c r="BM52" s="1417"/>
      <c r="BN52" s="1406"/>
      <c r="BO52" s="1407"/>
      <c r="BP52" s="1418"/>
      <c r="BQ52" s="1419"/>
      <c r="BR52" s="1353">
        <f t="shared" si="13"/>
        <v>0</v>
      </c>
      <c r="BS52" s="1"/>
      <c r="BT52" s="1192">
        <f t="shared" si="12"/>
        <v>0</v>
      </c>
    </row>
    <row r="53" spans="1:72" ht="18.600000000000001" thickBot="1" x14ac:dyDescent="0.4">
      <c r="A53" s="2742"/>
      <c r="B53" s="870" t="s">
        <v>236</v>
      </c>
      <c r="C53" s="270"/>
      <c r="D53" s="935" t="s">
        <v>104</v>
      </c>
      <c r="E53" s="588">
        <v>2.5</v>
      </c>
      <c r="F53" s="272" t="e">
        <f t="shared" si="10"/>
        <v>#DIV/0!</v>
      </c>
      <c r="G53" s="273"/>
      <c r="H53" s="936">
        <f t="shared" si="14"/>
        <v>0</v>
      </c>
      <c r="I53" s="937"/>
      <c r="J53" s="406"/>
      <c r="K53" s="1420">
        <f t="shared" si="11"/>
        <v>0</v>
      </c>
      <c r="L53" s="1258">
        <f t="shared" si="11"/>
        <v>0</v>
      </c>
      <c r="M53" s="1258">
        <f t="shared" si="11"/>
        <v>0</v>
      </c>
      <c r="N53" s="1258">
        <f t="shared" si="11"/>
        <v>0</v>
      </c>
      <c r="O53" s="1258">
        <f t="shared" si="11"/>
        <v>0</v>
      </c>
      <c r="P53" s="1258">
        <f t="shared" si="11"/>
        <v>0</v>
      </c>
      <c r="Q53" s="1257">
        <f t="shared" si="11"/>
        <v>0</v>
      </c>
      <c r="R53" s="1258">
        <f t="shared" si="11"/>
        <v>0</v>
      </c>
      <c r="S53" s="1257">
        <f t="shared" si="11"/>
        <v>0</v>
      </c>
      <c r="T53" s="1910"/>
      <c r="U53" s="1257"/>
      <c r="V53" s="1650"/>
      <c r="W53" s="1651"/>
      <c r="X53" s="1650"/>
      <c r="Y53" s="1857"/>
      <c r="Z53" s="1797"/>
      <c r="AA53" s="1421"/>
      <c r="AB53" s="1422"/>
      <c r="AC53" s="1423"/>
      <c r="AD53" s="1424"/>
      <c r="AE53" s="1425"/>
      <c r="AF53" s="1260"/>
      <c r="AG53" s="1269"/>
      <c r="AH53" s="1264"/>
      <c r="AI53" s="1265"/>
      <c r="AJ53" s="1265"/>
      <c r="AK53" s="1426"/>
      <c r="AL53" s="1427"/>
      <c r="AM53" s="1421"/>
      <c r="AN53" s="1422"/>
      <c r="AO53" s="1423"/>
      <c r="AP53" s="1423"/>
      <c r="AQ53" s="1426"/>
      <c r="AR53" s="1267"/>
      <c r="AS53" s="1269"/>
      <c r="AT53" s="1428"/>
      <c r="AU53" s="1429"/>
      <c r="AV53" s="1430"/>
      <c r="AW53" s="1430"/>
      <c r="AX53" s="1267"/>
      <c r="AY53" s="1421"/>
      <c r="AZ53" s="1431"/>
      <c r="BA53" s="1432"/>
      <c r="BB53" s="1433"/>
      <c r="BC53" s="1266"/>
      <c r="BD53" s="1267"/>
      <c r="BE53" s="1269"/>
      <c r="BF53" s="1264"/>
      <c r="BG53" s="1434"/>
      <c r="BH53" s="1265"/>
      <c r="BI53" s="1426"/>
      <c r="BJ53" s="1267"/>
      <c r="BK53" s="1269"/>
      <c r="BL53" s="1264"/>
      <c r="BM53" s="1434"/>
      <c r="BN53" s="1265"/>
      <c r="BO53" s="1426"/>
      <c r="BP53" s="1435"/>
      <c r="BQ53" s="1436"/>
      <c r="BR53" s="1353">
        <f t="shared" si="13"/>
        <v>0</v>
      </c>
      <c r="BS53" s="1"/>
      <c r="BT53" s="1192">
        <f t="shared" si="12"/>
        <v>0</v>
      </c>
    </row>
    <row r="54" spans="1:72" ht="18" x14ac:dyDescent="0.35">
      <c r="A54" s="2743"/>
      <c r="B54" s="866"/>
      <c r="C54" s="289"/>
      <c r="D54" s="290" t="s">
        <v>102</v>
      </c>
      <c r="E54" s="589"/>
      <c r="F54" s="291" t="e">
        <f t="shared" si="10"/>
        <v>#DIV/0!</v>
      </c>
      <c r="G54" s="157"/>
      <c r="H54" s="834">
        <f t="shared" si="14"/>
        <v>0</v>
      </c>
      <c r="I54" s="850"/>
      <c r="J54" s="362"/>
      <c r="K54" s="1437">
        <f t="shared" si="11"/>
        <v>0</v>
      </c>
      <c r="L54" s="1223">
        <f t="shared" si="11"/>
        <v>0</v>
      </c>
      <c r="M54" s="1223">
        <f t="shared" si="11"/>
        <v>0</v>
      </c>
      <c r="N54" s="1223">
        <f t="shared" si="11"/>
        <v>0</v>
      </c>
      <c r="O54" s="1223">
        <f t="shared" si="11"/>
        <v>0</v>
      </c>
      <c r="P54" s="1223">
        <f t="shared" si="11"/>
        <v>0</v>
      </c>
      <c r="Q54" s="1223">
        <f t="shared" si="11"/>
        <v>0</v>
      </c>
      <c r="R54" s="1223">
        <f t="shared" si="11"/>
        <v>0</v>
      </c>
      <c r="S54" s="1438">
        <f t="shared" si="11"/>
        <v>0</v>
      </c>
      <c r="T54" s="1907"/>
      <c r="U54" s="1222"/>
      <c r="V54" s="1885"/>
      <c r="W54" s="1889"/>
      <c r="X54" s="1885"/>
      <c r="Y54" s="1849"/>
      <c r="Z54" s="1442"/>
      <c r="AA54" s="1439"/>
      <c r="AB54" s="1440"/>
      <c r="AC54" s="1359"/>
      <c r="AD54" s="1367"/>
      <c r="AE54" s="1441"/>
      <c r="AF54" s="1442"/>
      <c r="AG54" s="1439"/>
      <c r="AH54" s="1440"/>
      <c r="AI54" s="1359"/>
      <c r="AJ54" s="1359"/>
      <c r="AK54" s="1360"/>
      <c r="AL54" s="1443"/>
      <c r="AM54" s="1439"/>
      <c r="AN54" s="1440"/>
      <c r="AO54" s="1359"/>
      <c r="AP54" s="1359"/>
      <c r="AQ54" s="1360"/>
      <c r="AR54" s="1443"/>
      <c r="AS54" s="1439"/>
      <c r="AT54" s="1444"/>
      <c r="AU54" s="1367"/>
      <c r="AV54" s="1368"/>
      <c r="AW54" s="1368"/>
      <c r="AX54" s="1443"/>
      <c r="AY54" s="1439"/>
      <c r="AZ54" s="1444"/>
      <c r="BA54" s="1445"/>
      <c r="BB54" s="1359"/>
      <c r="BC54" s="1372"/>
      <c r="BD54" s="1365"/>
      <c r="BE54" s="1357"/>
      <c r="BF54" s="1358"/>
      <c r="BG54" s="1373"/>
      <c r="BH54" s="1359"/>
      <c r="BI54" s="1360"/>
      <c r="BJ54" s="1443"/>
      <c r="BK54" s="1439"/>
      <c r="BL54" s="1440"/>
      <c r="BM54" s="1373"/>
      <c r="BN54" s="1359"/>
      <c r="BO54" s="1360"/>
      <c r="BP54" s="1446"/>
      <c r="BR54" s="1353">
        <f t="shared" si="13"/>
        <v>0</v>
      </c>
      <c r="BS54" s="1"/>
      <c r="BT54" s="1192">
        <f t="shared" si="12"/>
        <v>0</v>
      </c>
    </row>
    <row r="55" spans="1:72" ht="18" x14ac:dyDescent="0.35">
      <c r="A55" s="2743"/>
      <c r="B55" s="867" t="s">
        <v>237</v>
      </c>
      <c r="C55" s="296" t="s">
        <v>445</v>
      </c>
      <c r="D55" s="488" t="s">
        <v>103</v>
      </c>
      <c r="E55" s="591">
        <v>8</v>
      </c>
      <c r="F55" s="235" t="e">
        <f t="shared" si="10"/>
        <v>#DIV/0!</v>
      </c>
      <c r="G55" s="236"/>
      <c r="H55" s="234">
        <f t="shared" si="14"/>
        <v>0</v>
      </c>
      <c r="I55" s="386"/>
      <c r="J55" s="375"/>
      <c r="K55" s="1116">
        <f t="shared" si="11"/>
        <v>0</v>
      </c>
      <c r="L55" s="1116">
        <f t="shared" si="11"/>
        <v>0</v>
      </c>
      <c r="M55" s="1116">
        <f t="shared" si="11"/>
        <v>0</v>
      </c>
      <c r="N55" s="1116">
        <f t="shared" si="11"/>
        <v>0</v>
      </c>
      <c r="O55" s="1116">
        <f t="shared" si="11"/>
        <v>0</v>
      </c>
      <c r="P55" s="1116">
        <f t="shared" si="11"/>
        <v>0</v>
      </c>
      <c r="Q55" s="1116">
        <f t="shared" si="11"/>
        <v>0</v>
      </c>
      <c r="R55" s="1116">
        <f t="shared" si="11"/>
        <v>0</v>
      </c>
      <c r="S55" s="1115">
        <f t="shared" si="11"/>
        <v>0</v>
      </c>
      <c r="T55" s="1909"/>
      <c r="U55" s="1193"/>
      <c r="V55" s="1114"/>
      <c r="W55" s="1115"/>
      <c r="X55" s="1114"/>
      <c r="Y55" s="1855"/>
      <c r="Z55" s="1201"/>
      <c r="AA55" s="1118"/>
      <c r="AB55" s="1117"/>
      <c r="AC55" s="1202"/>
      <c r="AD55" s="1347"/>
      <c r="AE55" s="1447"/>
      <c r="AF55" s="1201"/>
      <c r="AG55" s="1118"/>
      <c r="AH55" s="1117"/>
      <c r="AI55" s="1202"/>
      <c r="AJ55" s="1202"/>
      <c r="AK55" s="1345"/>
      <c r="AL55" s="1283"/>
      <c r="AM55" s="1118"/>
      <c r="AN55" s="1117"/>
      <c r="AO55" s="1202"/>
      <c r="AP55" s="1202"/>
      <c r="AQ55" s="1345"/>
      <c r="AR55" s="1283"/>
      <c r="AS55" s="1118"/>
      <c r="AT55" s="1119"/>
      <c r="AU55" s="1347"/>
      <c r="AV55" s="1348"/>
      <c r="AW55" s="1348"/>
      <c r="AX55" s="1283"/>
      <c r="AY55" s="1118"/>
      <c r="AZ55" s="1119"/>
      <c r="BA55" s="1448"/>
      <c r="BB55" s="1202"/>
      <c r="BC55" s="1203"/>
      <c r="BD55" s="1210"/>
      <c r="BE55" s="1199"/>
      <c r="BF55" s="1200"/>
      <c r="BG55" s="1351"/>
      <c r="BH55" s="1202"/>
      <c r="BI55" s="1345"/>
      <c r="BJ55" s="1283"/>
      <c r="BK55" s="1118"/>
      <c r="BL55" s="1117"/>
      <c r="BM55" s="1351"/>
      <c r="BN55" s="1202"/>
      <c r="BO55" s="1345"/>
      <c r="BP55" s="1449"/>
      <c r="BQ55" s="1450"/>
      <c r="BR55" s="1353">
        <f t="shared" si="13"/>
        <v>0</v>
      </c>
      <c r="BS55" s="1"/>
      <c r="BT55" s="1192">
        <f t="shared" si="12"/>
        <v>0</v>
      </c>
    </row>
    <row r="56" spans="1:72" ht="18.600000000000001" thickBot="1" x14ac:dyDescent="0.4">
      <c r="A56" s="2743"/>
      <c r="B56" s="868" t="s">
        <v>238</v>
      </c>
      <c r="C56" s="595" t="s">
        <v>240</v>
      </c>
      <c r="D56" s="300" t="s">
        <v>104</v>
      </c>
      <c r="E56" s="591"/>
      <c r="F56" s="235" t="e">
        <f t="shared" si="10"/>
        <v>#DIV/0!</v>
      </c>
      <c r="G56" s="236"/>
      <c r="H56" s="234">
        <f t="shared" si="14"/>
        <v>0</v>
      </c>
      <c r="I56" s="386"/>
      <c r="J56" s="386"/>
      <c r="K56" s="1437">
        <f t="shared" si="11"/>
        <v>0</v>
      </c>
      <c r="L56" s="1223">
        <f t="shared" si="11"/>
        <v>0</v>
      </c>
      <c r="M56" s="1223">
        <f t="shared" si="11"/>
        <v>0</v>
      </c>
      <c r="N56" s="1223">
        <f t="shared" si="11"/>
        <v>0</v>
      </c>
      <c r="O56" s="1223">
        <f t="shared" si="11"/>
        <v>0</v>
      </c>
      <c r="P56" s="1223">
        <f t="shared" si="11"/>
        <v>0</v>
      </c>
      <c r="Q56" s="1223">
        <f t="shared" si="11"/>
        <v>0</v>
      </c>
      <c r="R56" s="1223">
        <f t="shared" si="11"/>
        <v>0</v>
      </c>
      <c r="S56" s="1438">
        <f t="shared" si="11"/>
        <v>0</v>
      </c>
      <c r="T56" s="1907"/>
      <c r="U56" s="1222"/>
      <c r="V56" s="1885"/>
      <c r="W56" s="1889"/>
      <c r="X56" s="1885"/>
      <c r="Y56" s="1849"/>
      <c r="Z56" s="1442"/>
      <c r="AA56" s="1439"/>
      <c r="AB56" s="1440"/>
      <c r="AC56" s="1359"/>
      <c r="AD56" s="1367"/>
      <c r="AE56" s="1441"/>
      <c r="AF56" s="1442"/>
      <c r="AG56" s="1439"/>
      <c r="AH56" s="1440"/>
      <c r="AI56" s="1359"/>
      <c r="AJ56" s="1359"/>
      <c r="AK56" s="1360"/>
      <c r="AL56" s="1443"/>
      <c r="AM56" s="1439"/>
      <c r="AN56" s="1440"/>
      <c r="AO56" s="1359"/>
      <c r="AP56" s="1359"/>
      <c r="AQ56" s="1360"/>
      <c r="AR56" s="1443"/>
      <c r="AS56" s="1439"/>
      <c r="AT56" s="1451"/>
      <c r="AU56" s="1367"/>
      <c r="AV56" s="1368"/>
      <c r="AW56" s="1368"/>
      <c r="AX56" s="1443"/>
      <c r="AY56" s="1439"/>
      <c r="AZ56" s="1444"/>
      <c r="BA56" s="1445"/>
      <c r="BB56" s="1359"/>
      <c r="BC56" s="1231"/>
      <c r="BD56" s="1237"/>
      <c r="BE56" s="1227"/>
      <c r="BF56" s="1228"/>
      <c r="BG56" s="1452"/>
      <c r="BH56" s="1230"/>
      <c r="BI56" s="1453"/>
      <c r="BJ56" s="1443"/>
      <c r="BK56" s="1454"/>
      <c r="BL56" s="1455"/>
      <c r="BM56" s="1452"/>
      <c r="BN56" s="1230"/>
      <c r="BO56" s="1453"/>
      <c r="BP56" s="1456"/>
      <c r="BQ56" s="1457"/>
      <c r="BR56" s="1458"/>
      <c r="BS56" s="1"/>
      <c r="BT56" s="1192">
        <f t="shared" si="12"/>
        <v>0</v>
      </c>
    </row>
    <row r="57" spans="1:72" ht="18" x14ac:dyDescent="0.35">
      <c r="A57" s="2727"/>
      <c r="B57" s="2730" t="s">
        <v>105</v>
      </c>
      <c r="C57" s="598"/>
      <c r="D57" s="599" t="s">
        <v>102</v>
      </c>
      <c r="E57" s="600"/>
      <c r="F57" s="601" t="e">
        <f t="shared" si="10"/>
        <v>#DIV/0!</v>
      </c>
      <c r="G57" s="602"/>
      <c r="H57" s="835">
        <f t="shared" si="14"/>
        <v>0</v>
      </c>
      <c r="I57" s="852"/>
      <c r="J57" s="816"/>
      <c r="K57" s="1459">
        <f>(J57-$H57)+Z57</f>
        <v>0</v>
      </c>
      <c r="L57" s="1460">
        <f t="shared" si="11"/>
        <v>0</v>
      </c>
      <c r="M57" s="1460">
        <f t="shared" si="11"/>
        <v>0</v>
      </c>
      <c r="N57" s="1460">
        <f t="shared" si="11"/>
        <v>0</v>
      </c>
      <c r="O57" s="1460">
        <f t="shared" si="11"/>
        <v>0</v>
      </c>
      <c r="P57" s="1460">
        <f t="shared" si="11"/>
        <v>0</v>
      </c>
      <c r="Q57" s="1461">
        <f t="shared" si="11"/>
        <v>0</v>
      </c>
      <c r="R57" s="1460">
        <f t="shared" si="11"/>
        <v>0</v>
      </c>
      <c r="S57" s="1461">
        <f t="shared" si="11"/>
        <v>0</v>
      </c>
      <c r="T57" s="1911"/>
      <c r="U57" s="1461"/>
      <c r="V57" s="1526"/>
      <c r="W57" s="1527"/>
      <c r="X57" s="1526"/>
      <c r="Y57" s="1858"/>
      <c r="Z57" s="1467"/>
      <c r="AA57" s="1462"/>
      <c r="AB57" s="1463"/>
      <c r="AC57" s="1464"/>
      <c r="AD57" s="1465"/>
      <c r="AE57" s="1466"/>
      <c r="AF57" s="1467"/>
      <c r="AG57" s="1462"/>
      <c r="AH57" s="1463"/>
      <c r="AI57" s="1464"/>
      <c r="AJ57" s="1464"/>
      <c r="AK57" s="1468"/>
      <c r="AL57" s="1469"/>
      <c r="AM57" s="1462"/>
      <c r="AN57" s="1463"/>
      <c r="AO57" s="1464"/>
      <c r="AP57" s="1464"/>
      <c r="AQ57" s="1468"/>
      <c r="AR57" s="1469"/>
      <c r="AS57" s="1462"/>
      <c r="AT57" s="1470"/>
      <c r="AU57" s="1465"/>
      <c r="AV57" s="1471"/>
      <c r="AW57" s="1471"/>
      <c r="AX57" s="1469"/>
      <c r="AY57" s="1462"/>
      <c r="AZ57" s="1472"/>
      <c r="BA57" s="1473"/>
      <c r="BB57" s="1464"/>
      <c r="BC57" s="1474"/>
      <c r="BD57" s="1469"/>
      <c r="BE57" s="1462"/>
      <c r="BF57" s="1463"/>
      <c r="BG57" s="1475"/>
      <c r="BH57" s="1464"/>
      <c r="BI57" s="1468"/>
      <c r="BJ57" s="1469"/>
      <c r="BK57" s="1462"/>
      <c r="BL57" s="1463"/>
      <c r="BM57" s="1476"/>
      <c r="BN57" s="1477"/>
      <c r="BO57" s="1468"/>
      <c r="BP57" s="1478"/>
      <c r="BQ57" s="1471"/>
      <c r="BR57" s="1468"/>
      <c r="BS57" s="1"/>
    </row>
    <row r="58" spans="1:72" ht="18" x14ac:dyDescent="0.35">
      <c r="A58" s="2728"/>
      <c r="B58" s="2731"/>
      <c r="C58" s="493"/>
      <c r="D58" s="494" t="s">
        <v>103</v>
      </c>
      <c r="E58" s="592">
        <v>8</v>
      </c>
      <c r="F58" s="495" t="e">
        <f t="shared" si="10"/>
        <v>#DIV/0!</v>
      </c>
      <c r="G58" s="496"/>
      <c r="H58" s="836">
        <f t="shared" si="14"/>
        <v>0</v>
      </c>
      <c r="I58" s="853"/>
      <c r="J58" s="817"/>
      <c r="K58" s="1479">
        <f>J58-$H58</f>
        <v>0</v>
      </c>
      <c r="L58" s="1480">
        <f t="shared" si="11"/>
        <v>0</v>
      </c>
      <c r="M58" s="1480">
        <f>L58-H58</f>
        <v>0</v>
      </c>
      <c r="N58" s="1480">
        <f t="shared" si="11"/>
        <v>0</v>
      </c>
      <c r="O58" s="1480">
        <f t="shared" si="11"/>
        <v>0</v>
      </c>
      <c r="P58" s="1480">
        <f t="shared" si="11"/>
        <v>0</v>
      </c>
      <c r="Q58" s="1480">
        <f t="shared" si="11"/>
        <v>0</v>
      </c>
      <c r="R58" s="1480">
        <f t="shared" si="11"/>
        <v>0</v>
      </c>
      <c r="S58" s="1481">
        <f t="shared" si="11"/>
        <v>0</v>
      </c>
      <c r="T58" s="1912"/>
      <c r="U58" s="1828"/>
      <c r="V58" s="1886"/>
      <c r="W58" s="1891"/>
      <c r="X58" s="1886"/>
      <c r="Y58" s="1859"/>
      <c r="Z58" s="1837"/>
      <c r="AA58" s="1482"/>
      <c r="AB58" s="1483"/>
      <c r="AC58" s="1484"/>
      <c r="AD58" s="1485"/>
      <c r="AE58" s="1486"/>
      <c r="AF58" s="1487"/>
      <c r="AG58" s="1488"/>
      <c r="AH58" s="1489"/>
      <c r="AI58" s="1490"/>
      <c r="AJ58" s="1491"/>
      <c r="AK58" s="1492"/>
      <c r="AL58" s="1493"/>
      <c r="AM58" s="1482"/>
      <c r="AN58" s="1483"/>
      <c r="AO58" s="1484"/>
      <c r="AP58" s="1484"/>
      <c r="AQ58" s="1494"/>
      <c r="AR58" s="1493"/>
      <c r="AS58" s="1482"/>
      <c r="AT58" s="1495"/>
      <c r="AU58" s="1485"/>
      <c r="AV58" s="1496"/>
      <c r="AW58" s="1496"/>
      <c r="AX58" s="1493"/>
      <c r="AY58" s="1482"/>
      <c r="AZ58" s="1495"/>
      <c r="BA58" s="1497"/>
      <c r="BB58" s="1484"/>
      <c r="BC58" s="1498"/>
      <c r="BD58" s="1493"/>
      <c r="BE58" s="1482"/>
      <c r="BF58" s="1483"/>
      <c r="BG58" s="1499"/>
      <c r="BH58" s="1484"/>
      <c r="BI58" s="1494"/>
      <c r="BJ58" s="1493"/>
      <c r="BK58" s="1482"/>
      <c r="BL58" s="1483"/>
      <c r="BM58" s="1485"/>
      <c r="BN58" s="1500"/>
      <c r="BO58" s="1501"/>
      <c r="BP58" s="1502"/>
      <c r="BQ58" s="1503"/>
      <c r="BR58" s="1494"/>
      <c r="BS58" s="1"/>
    </row>
    <row r="59" spans="1:72" ht="18.600000000000001" thickBot="1" x14ac:dyDescent="0.4">
      <c r="A59" s="2729"/>
      <c r="B59" s="2732"/>
      <c r="C59" s="508"/>
      <c r="D59" s="509" t="s">
        <v>104</v>
      </c>
      <c r="E59" s="593">
        <v>2.5</v>
      </c>
      <c r="F59" s="510" t="e">
        <f t="shared" si="10"/>
        <v>#DIV/0!</v>
      </c>
      <c r="G59" s="511"/>
      <c r="H59" s="837">
        <f t="shared" si="14"/>
        <v>0</v>
      </c>
      <c r="I59" s="819"/>
      <c r="J59" s="818"/>
      <c r="K59" s="1504">
        <f>J59-$H59</f>
        <v>0</v>
      </c>
      <c r="L59" s="1505">
        <f t="shared" si="11"/>
        <v>0</v>
      </c>
      <c r="M59" s="1505">
        <f t="shared" si="11"/>
        <v>0</v>
      </c>
      <c r="N59" s="1505">
        <f t="shared" si="11"/>
        <v>0</v>
      </c>
      <c r="O59" s="1505">
        <f t="shared" si="11"/>
        <v>0</v>
      </c>
      <c r="P59" s="1505">
        <f t="shared" si="11"/>
        <v>0</v>
      </c>
      <c r="Q59" s="1505">
        <f t="shared" si="11"/>
        <v>0</v>
      </c>
      <c r="R59" s="1505">
        <f t="shared" si="11"/>
        <v>0</v>
      </c>
      <c r="S59" s="1506">
        <f t="shared" si="11"/>
        <v>0</v>
      </c>
      <c r="T59" s="1913"/>
      <c r="U59" s="1829"/>
      <c r="V59" s="1887"/>
      <c r="W59" s="1892"/>
      <c r="X59" s="1887"/>
      <c r="Y59" s="1860"/>
      <c r="Z59" s="1544"/>
      <c r="AA59" s="1507"/>
      <c r="AB59" s="1508"/>
      <c r="AC59" s="1509"/>
      <c r="AD59" s="1510"/>
      <c r="AE59" s="1511"/>
      <c r="AF59" s="1512"/>
      <c r="AG59" s="1513"/>
      <c r="AH59" s="1514"/>
      <c r="AI59" s="1515"/>
      <c r="AJ59" s="1515"/>
      <c r="AK59" s="1516"/>
      <c r="AL59" s="1517"/>
      <c r="AM59" s="1507"/>
      <c r="AN59" s="1508"/>
      <c r="AO59" s="1510"/>
      <c r="AP59" s="1518"/>
      <c r="AQ59" s="1519"/>
      <c r="AR59" s="1517"/>
      <c r="AS59" s="1507"/>
      <c r="AT59" s="1508"/>
      <c r="AU59" s="1510"/>
      <c r="AV59" s="1518"/>
      <c r="AW59" s="1518"/>
      <c r="AX59" s="1517"/>
      <c r="AY59" s="1507"/>
      <c r="AZ59" s="1520"/>
      <c r="BA59" s="1521"/>
      <c r="BB59" s="1509"/>
      <c r="BC59" s="1522"/>
      <c r="BD59" s="1517"/>
      <c r="BE59" s="1507"/>
      <c r="BF59" s="1508"/>
      <c r="BG59" s="1523"/>
      <c r="BH59" s="1509"/>
      <c r="BI59" s="1519"/>
      <c r="BJ59" s="1517"/>
      <c r="BK59" s="1507"/>
      <c r="BL59" s="1508"/>
      <c r="BM59" s="1510"/>
      <c r="BN59" s="1524"/>
      <c r="BO59" s="1522"/>
      <c r="BP59" s="1525"/>
      <c r="BQ59" s="1510"/>
      <c r="BR59" s="1519"/>
      <c r="BS59" s="1"/>
    </row>
    <row r="60" spans="1:72" ht="18" customHeight="1" x14ac:dyDescent="0.3">
      <c r="A60" s="2733"/>
      <c r="B60" s="2730" t="s">
        <v>106</v>
      </c>
      <c r="C60" s="610"/>
      <c r="D60" s="599" t="s">
        <v>102</v>
      </c>
      <c r="E60" s="600">
        <v>8</v>
      </c>
      <c r="F60" s="601" t="e">
        <f t="shared" si="10"/>
        <v>#DIV/0!</v>
      </c>
      <c r="G60" s="602"/>
      <c r="H60" s="835">
        <f t="shared" si="14"/>
        <v>0</v>
      </c>
      <c r="I60" s="852"/>
      <c r="J60" s="816"/>
      <c r="K60" s="1470">
        <f>J60-H60</f>
        <v>0</v>
      </c>
      <c r="L60" s="1526">
        <f>(K60-$H60)+AA60</f>
        <v>0</v>
      </c>
      <c r="M60" s="1526">
        <f>L60-H60</f>
        <v>0</v>
      </c>
      <c r="N60" s="1526">
        <f>(M60-$H60)+AC60</f>
        <v>0</v>
      </c>
      <c r="O60" s="1526">
        <f>(N60-$H60)+AE60</f>
        <v>0</v>
      </c>
      <c r="P60" s="1526">
        <f>(O60-$H60)+AF60</f>
        <v>0</v>
      </c>
      <c r="Q60" s="1526">
        <f>(P60-$H60)+AG60</f>
        <v>0</v>
      </c>
      <c r="R60" s="1526">
        <f>(Q60-$H60)+AH60</f>
        <v>0</v>
      </c>
      <c r="S60" s="1527">
        <f>(R60-$H60)+AI60</f>
        <v>0</v>
      </c>
      <c r="T60" s="1911"/>
      <c r="U60" s="1461"/>
      <c r="V60" s="1526"/>
      <c r="W60" s="1527"/>
      <c r="X60" s="1526"/>
      <c r="Y60" s="1858"/>
      <c r="Z60" s="1467"/>
      <c r="AA60" s="1462"/>
      <c r="AB60" s="1463"/>
      <c r="AC60" s="1464"/>
      <c r="AD60" s="1465"/>
      <c r="AE60" s="1466"/>
      <c r="AF60" s="1467"/>
      <c r="AG60" s="1462"/>
      <c r="AH60" s="1463"/>
      <c r="AI60" s="1464"/>
      <c r="AJ60" s="1464"/>
      <c r="AK60" s="1468"/>
      <c r="AL60" s="1469"/>
      <c r="AM60" s="1462"/>
      <c r="AN60" s="1463"/>
      <c r="AO60" s="1464"/>
      <c r="AP60" s="1464"/>
      <c r="AQ60" s="1468"/>
      <c r="AR60" s="1469"/>
      <c r="AS60" s="1462"/>
      <c r="AT60" s="1463"/>
      <c r="AU60" s="1475"/>
      <c r="AV60" s="1464"/>
      <c r="AW60" s="1464"/>
      <c r="AX60" s="1469"/>
      <c r="AY60" s="1462"/>
      <c r="AZ60" s="1472"/>
      <c r="BA60" s="1473"/>
      <c r="BB60" s="1464"/>
      <c r="BC60" s="1474"/>
      <c r="BD60" s="1469"/>
      <c r="BE60" s="1462"/>
      <c r="BF60" s="1463"/>
      <c r="BG60" s="1475"/>
      <c r="BH60" s="1464"/>
      <c r="BI60" s="1468"/>
      <c r="BJ60" s="1469"/>
      <c r="BK60" s="1462"/>
      <c r="BL60" s="1463"/>
      <c r="BM60" s="1528"/>
      <c r="BN60" s="1529"/>
      <c r="BO60" s="1474"/>
      <c r="BP60" s="1478"/>
      <c r="BQ60" s="1465"/>
      <c r="BR60" s="1468"/>
      <c r="BS60" s="1"/>
    </row>
    <row r="61" spans="1:72" ht="18.600000000000001" customHeight="1" x14ac:dyDescent="0.3">
      <c r="A61" s="2734"/>
      <c r="B61" s="2731"/>
      <c r="C61" s="506"/>
      <c r="D61" s="522" t="s">
        <v>103</v>
      </c>
      <c r="E61" s="590">
        <v>8</v>
      </c>
      <c r="F61" s="523" t="e">
        <f t="shared" si="10"/>
        <v>#DIV/0!</v>
      </c>
      <c r="G61" s="524"/>
      <c r="H61" s="838">
        <f t="shared" si="14"/>
        <v>0</v>
      </c>
      <c r="I61" s="854"/>
      <c r="J61" s="817"/>
      <c r="K61" s="1530">
        <f>J61-$H61</f>
        <v>0</v>
      </c>
      <c r="L61" s="1531">
        <f t="shared" ref="L61:S62" si="15">K61-$H61</f>
        <v>0</v>
      </c>
      <c r="M61" s="1531">
        <f t="shared" si="15"/>
        <v>0</v>
      </c>
      <c r="N61" s="1531">
        <f t="shared" si="15"/>
        <v>0</v>
      </c>
      <c r="O61" s="1531">
        <f t="shared" si="15"/>
        <v>0</v>
      </c>
      <c r="P61" s="1531">
        <f t="shared" si="15"/>
        <v>0</v>
      </c>
      <c r="Q61" s="1531">
        <f t="shared" si="15"/>
        <v>0</v>
      </c>
      <c r="R61" s="1531">
        <f t="shared" si="15"/>
        <v>0</v>
      </c>
      <c r="S61" s="1532">
        <f t="shared" si="15"/>
        <v>0</v>
      </c>
      <c r="T61" s="1914"/>
      <c r="U61" s="1830"/>
      <c r="V61" s="1888"/>
      <c r="W61" s="1893"/>
      <c r="X61" s="1888"/>
      <c r="Y61" s="1861"/>
      <c r="Z61" s="1487"/>
      <c r="AA61" s="1488"/>
      <c r="AB61" s="1489"/>
      <c r="AC61" s="1533"/>
      <c r="AD61" s="1485"/>
      <c r="AE61" s="1486"/>
      <c r="AF61" s="1487"/>
      <c r="AG61" s="1488"/>
      <c r="AH61" s="1489"/>
      <c r="AI61" s="1490"/>
      <c r="AJ61" s="1484"/>
      <c r="AK61" s="1498"/>
      <c r="AL61" s="1534"/>
      <c r="AM61" s="1488"/>
      <c r="AN61" s="1489"/>
      <c r="AO61" s="1484"/>
      <c r="AP61" s="1484"/>
      <c r="AQ61" s="1494"/>
      <c r="AR61" s="1535"/>
      <c r="AS61" s="1488"/>
      <c r="AT61" s="1489"/>
      <c r="AU61" s="1536"/>
      <c r="AV61" s="1533"/>
      <c r="AW61" s="1533"/>
      <c r="AX61" s="1534"/>
      <c r="AY61" s="1488"/>
      <c r="AZ61" s="1537"/>
      <c r="BA61" s="1538"/>
      <c r="BB61" s="1484"/>
      <c r="BC61" s="1498"/>
      <c r="BD61" s="1534"/>
      <c r="BE61" s="1488"/>
      <c r="BF61" s="1489"/>
      <c r="BG61" s="1536"/>
      <c r="BH61" s="1533"/>
      <c r="BI61" s="1492"/>
      <c r="BJ61" s="1534"/>
      <c r="BK61" s="1488"/>
      <c r="BL61" s="1489"/>
      <c r="BM61" s="1490"/>
      <c r="BN61" s="1539"/>
      <c r="BO61" s="1540"/>
      <c r="BP61" s="1541"/>
      <c r="BQ61" s="1542"/>
      <c r="BR61" s="1501"/>
      <c r="BS61" s="1"/>
    </row>
    <row r="62" spans="1:72" ht="21" customHeight="1" thickBot="1" x14ac:dyDescent="0.35">
      <c r="A62" s="2735"/>
      <c r="B62" s="2732"/>
      <c r="C62" s="513"/>
      <c r="D62" s="512" t="s">
        <v>104</v>
      </c>
      <c r="E62" s="618">
        <v>2.5</v>
      </c>
      <c r="F62" s="510" t="e">
        <f t="shared" si="10"/>
        <v>#DIV/0!</v>
      </c>
      <c r="G62" s="619"/>
      <c r="H62" s="837">
        <f t="shared" si="14"/>
        <v>0</v>
      </c>
      <c r="I62" s="819"/>
      <c r="J62" s="819"/>
      <c r="K62" s="1504">
        <f>J62-$H62</f>
        <v>0</v>
      </c>
      <c r="L62" s="1505">
        <f t="shared" si="11"/>
        <v>0</v>
      </c>
      <c r="M62" s="1505">
        <f t="shared" si="15"/>
        <v>0</v>
      </c>
      <c r="N62" s="1505">
        <f t="shared" si="15"/>
        <v>0</v>
      </c>
      <c r="O62" s="1505">
        <f t="shared" si="15"/>
        <v>0</v>
      </c>
      <c r="P62" s="1505">
        <f t="shared" si="15"/>
        <v>0</v>
      </c>
      <c r="Q62" s="1505">
        <f t="shared" si="15"/>
        <v>0</v>
      </c>
      <c r="R62" s="1505">
        <f t="shared" si="15"/>
        <v>0</v>
      </c>
      <c r="S62" s="1506">
        <f t="shared" si="15"/>
        <v>0</v>
      </c>
      <c r="T62" s="1915"/>
      <c r="U62" s="1916"/>
      <c r="V62" s="1917"/>
      <c r="W62" s="1918"/>
      <c r="X62" s="1917"/>
      <c r="Y62" s="1919"/>
      <c r="Z62" s="1509"/>
      <c r="AA62" s="1507"/>
      <c r="AB62" s="1508"/>
      <c r="AC62" s="1515"/>
      <c r="AD62" s="1543"/>
      <c r="AE62" s="1511"/>
      <c r="AF62" s="1544"/>
      <c r="AG62" s="1507"/>
      <c r="AH62" s="1508"/>
      <c r="AI62" s="1510"/>
      <c r="AJ62" s="1509"/>
      <c r="AK62" s="1522"/>
      <c r="AL62" s="1545"/>
      <c r="AM62" s="1513"/>
      <c r="AN62" s="1514"/>
      <c r="AO62" s="1510"/>
      <c r="AP62" s="1518"/>
      <c r="AQ62" s="1519"/>
      <c r="AR62" s="1545"/>
      <c r="AS62" s="1507"/>
      <c r="AT62" s="1508"/>
      <c r="AU62" s="1546"/>
      <c r="AV62" s="1515"/>
      <c r="AW62" s="1515"/>
      <c r="AX62" s="1545"/>
      <c r="AY62" s="1507"/>
      <c r="AZ62" s="1508"/>
      <c r="BA62" s="1547"/>
      <c r="BB62" s="1548"/>
      <c r="BC62" s="1519"/>
      <c r="BD62" s="1545"/>
      <c r="BE62" s="1507"/>
      <c r="BF62" s="1508"/>
      <c r="BG62" s="1546"/>
      <c r="BH62" s="1515"/>
      <c r="BI62" s="1516"/>
      <c r="BJ62" s="1545"/>
      <c r="BK62" s="1513"/>
      <c r="BL62" s="1514"/>
      <c r="BM62" s="1510"/>
      <c r="BN62" s="1549"/>
      <c r="BO62" s="1550"/>
      <c r="BP62" s="1551"/>
      <c r="BQ62" s="1510"/>
      <c r="BR62" s="1519"/>
      <c r="BS62" s="1"/>
    </row>
    <row r="63" spans="1:72" s="1" customFormat="1" ht="21" customHeight="1" thickBot="1" x14ac:dyDescent="0.35">
      <c r="A63" s="48"/>
      <c r="B63" s="938"/>
      <c r="D63" s="939"/>
      <c r="E63" s="940"/>
      <c r="F63" s="941"/>
      <c r="G63" s="48"/>
      <c r="H63" s="939"/>
      <c r="I63" s="815"/>
      <c r="J63" s="815"/>
      <c r="K63" s="1552"/>
      <c r="L63" s="1552"/>
      <c r="M63" s="1552"/>
      <c r="N63" s="1552"/>
      <c r="O63" s="1552"/>
      <c r="P63" s="1552"/>
      <c r="Q63" s="1552"/>
      <c r="R63" s="1552"/>
      <c r="S63" s="1552"/>
      <c r="T63" s="1862"/>
      <c r="U63" s="1552"/>
      <c r="V63" s="1552"/>
      <c r="W63" s="1552"/>
      <c r="X63" s="1552"/>
      <c r="Y63" s="1863"/>
      <c r="Z63" s="1085">
        <f>SUM(Z47:Z56)</f>
        <v>0</v>
      </c>
      <c r="AA63" s="1085">
        <f t="shared" ref="AA63:BO63" si="16">SUM(AA47:AA56)</f>
        <v>0</v>
      </c>
      <c r="AB63" s="1085">
        <f t="shared" si="16"/>
        <v>0</v>
      </c>
      <c r="AC63" s="1085">
        <f t="shared" si="16"/>
        <v>0</v>
      </c>
      <c r="AD63" s="1085">
        <f t="shared" si="16"/>
        <v>0</v>
      </c>
      <c r="AE63" s="1308">
        <f t="shared" si="16"/>
        <v>0</v>
      </c>
      <c r="AF63" s="1085">
        <f t="shared" si="16"/>
        <v>0</v>
      </c>
      <c r="AG63" s="1085">
        <f t="shared" si="16"/>
        <v>0</v>
      </c>
      <c r="AH63" s="1085">
        <f t="shared" si="16"/>
        <v>0</v>
      </c>
      <c r="AI63" s="1085">
        <f t="shared" si="16"/>
        <v>0</v>
      </c>
      <c r="AJ63" s="1085">
        <f t="shared" si="16"/>
        <v>0</v>
      </c>
      <c r="AK63" s="1309">
        <f t="shared" si="16"/>
        <v>0</v>
      </c>
      <c r="AL63" s="1310">
        <f t="shared" si="16"/>
        <v>0</v>
      </c>
      <c r="AM63" s="1085">
        <f t="shared" si="16"/>
        <v>0</v>
      </c>
      <c r="AN63" s="1085">
        <f t="shared" si="16"/>
        <v>0</v>
      </c>
      <c r="AO63" s="1085">
        <f t="shared" si="16"/>
        <v>0</v>
      </c>
      <c r="AP63" s="1085">
        <f t="shared" si="16"/>
        <v>0</v>
      </c>
      <c r="AQ63" s="1309">
        <f t="shared" si="16"/>
        <v>0</v>
      </c>
      <c r="AR63" s="1310">
        <f t="shared" si="16"/>
        <v>0</v>
      </c>
      <c r="AS63" s="1085">
        <f t="shared" si="16"/>
        <v>0</v>
      </c>
      <c r="AT63" s="1085">
        <f t="shared" si="16"/>
        <v>0</v>
      </c>
      <c r="AU63" s="1085">
        <f t="shared" si="16"/>
        <v>0</v>
      </c>
      <c r="AV63" s="1085">
        <f t="shared" si="16"/>
        <v>0</v>
      </c>
      <c r="AW63" s="1085">
        <f t="shared" si="16"/>
        <v>0</v>
      </c>
      <c r="AX63" s="1310">
        <f t="shared" si="16"/>
        <v>0</v>
      </c>
      <c r="AY63" s="1085">
        <f t="shared" si="16"/>
        <v>0</v>
      </c>
      <c r="AZ63" s="1085">
        <f t="shared" si="16"/>
        <v>0</v>
      </c>
      <c r="BA63" s="1085">
        <f t="shared" si="16"/>
        <v>0</v>
      </c>
      <c r="BB63" s="1085">
        <f t="shared" si="16"/>
        <v>0</v>
      </c>
      <c r="BC63" s="1309">
        <f t="shared" si="16"/>
        <v>0</v>
      </c>
      <c r="BD63" s="1310">
        <f t="shared" si="16"/>
        <v>0</v>
      </c>
      <c r="BE63" s="1085">
        <f t="shared" si="16"/>
        <v>0</v>
      </c>
      <c r="BF63" s="1085">
        <f t="shared" si="16"/>
        <v>0</v>
      </c>
      <c r="BG63" s="1085">
        <f t="shared" si="16"/>
        <v>0</v>
      </c>
      <c r="BH63" s="1085">
        <f t="shared" si="16"/>
        <v>0</v>
      </c>
      <c r="BI63" s="1309">
        <f t="shared" si="16"/>
        <v>0</v>
      </c>
      <c r="BJ63" s="1310">
        <f t="shared" si="16"/>
        <v>0</v>
      </c>
      <c r="BK63" s="1085">
        <f t="shared" si="16"/>
        <v>0</v>
      </c>
      <c r="BL63" s="1085">
        <f t="shared" si="16"/>
        <v>0</v>
      </c>
      <c r="BM63" s="1085">
        <f t="shared" si="16"/>
        <v>0</v>
      </c>
      <c r="BN63" s="1085">
        <f t="shared" si="16"/>
        <v>0</v>
      </c>
      <c r="BO63" s="1309">
        <f t="shared" si="16"/>
        <v>0</v>
      </c>
      <c r="BP63" s="1310"/>
      <c r="BQ63" s="1085"/>
      <c r="BR63" s="1309"/>
      <c r="BS63" s="1085">
        <f>SUM(Z63:BR63)</f>
        <v>0</v>
      </c>
      <c r="BT63" s="1192">
        <f>SUM(BT47:BT56)</f>
        <v>0</v>
      </c>
    </row>
    <row r="64" spans="1:72" s="1" customFormat="1" ht="21" customHeight="1" thickTop="1" thickBot="1" x14ac:dyDescent="0.35">
      <c r="A64" s="875" t="s">
        <v>300</v>
      </c>
      <c r="B64" s="876"/>
      <c r="C64" s="877"/>
      <c r="E64" s="79"/>
      <c r="F64" s="712"/>
      <c r="I64" s="815"/>
      <c r="J64" s="815"/>
      <c r="K64" s="1085"/>
      <c r="L64" s="1085"/>
      <c r="M64" s="1085"/>
      <c r="N64" s="1085"/>
      <c r="O64" s="1085"/>
      <c r="P64" s="1085"/>
      <c r="Q64" s="1085"/>
      <c r="R64" s="1085"/>
      <c r="S64" s="1085"/>
      <c r="T64" s="1310"/>
      <c r="U64" s="1085"/>
      <c r="V64" s="1085"/>
      <c r="W64" s="1085"/>
      <c r="X64" s="1085"/>
      <c r="Y64" s="1309"/>
      <c r="Z64" s="1085"/>
      <c r="AA64" s="1133"/>
      <c r="AB64" s="1085"/>
      <c r="AC64" s="1085"/>
      <c r="AD64" s="1085"/>
      <c r="AE64" s="1308"/>
      <c r="AF64" s="1133"/>
      <c r="AG64" s="1085"/>
      <c r="AH64" s="1085"/>
      <c r="AI64" s="1085"/>
      <c r="AJ64" s="1085"/>
      <c r="AK64" s="1309"/>
      <c r="AL64" s="1310"/>
      <c r="AM64" s="1085"/>
      <c r="AN64" s="1133"/>
      <c r="AO64" s="1085"/>
      <c r="AP64" s="1085"/>
      <c r="AQ64" s="1309"/>
      <c r="AR64" s="1310"/>
      <c r="AS64" s="1085"/>
      <c r="AT64" s="1085"/>
      <c r="AU64" s="1311"/>
      <c r="AV64" s="1085"/>
      <c r="AW64" s="1085"/>
      <c r="AX64" s="1310"/>
      <c r="AY64" s="1085"/>
      <c r="AZ64" s="1085"/>
      <c r="BA64" s="1085"/>
      <c r="BB64" s="1085"/>
      <c r="BC64" s="1309"/>
      <c r="BD64" s="1310"/>
      <c r="BE64" s="1133"/>
      <c r="BF64" s="1133"/>
      <c r="BG64" s="1085"/>
      <c r="BH64" s="1085"/>
      <c r="BI64" s="1309"/>
      <c r="BJ64" s="1310"/>
      <c r="BK64" s="1085"/>
      <c r="BL64" s="1133"/>
      <c r="BM64" s="1085"/>
      <c r="BN64" s="1085"/>
      <c r="BO64" s="1309"/>
      <c r="BP64" s="1310"/>
      <c r="BQ64" s="1085"/>
      <c r="BR64" s="1309"/>
    </row>
    <row r="65" spans="1:71" s="1" customFormat="1" ht="21" customHeight="1" thickTop="1" thickBot="1" x14ac:dyDescent="0.35">
      <c r="A65" s="1008" t="s">
        <v>29</v>
      </c>
      <c r="B65" s="885" t="s">
        <v>30</v>
      </c>
      <c r="C65" s="886" t="s">
        <v>31</v>
      </c>
      <c r="D65" s="887" t="s">
        <v>2</v>
      </c>
      <c r="E65" s="888" t="s">
        <v>32</v>
      </c>
      <c r="F65" s="888" t="s">
        <v>33</v>
      </c>
      <c r="G65" s="889" t="s">
        <v>34</v>
      </c>
      <c r="H65" s="890" t="s">
        <v>35</v>
      </c>
      <c r="I65" s="891" t="s">
        <v>36</v>
      </c>
      <c r="J65" s="811" t="s">
        <v>37</v>
      </c>
      <c r="K65" s="1312" t="s">
        <v>38</v>
      </c>
      <c r="L65" s="1313" t="s">
        <v>39</v>
      </c>
      <c r="M65" s="1313" t="s">
        <v>40</v>
      </c>
      <c r="N65" s="1313" t="s">
        <v>41</v>
      </c>
      <c r="O65" s="1313" t="s">
        <v>42</v>
      </c>
      <c r="P65" s="1313" t="s">
        <v>43</v>
      </c>
      <c r="Q65" s="1314" t="s">
        <v>44</v>
      </c>
      <c r="R65" s="1313" t="s">
        <v>38</v>
      </c>
      <c r="S65" s="1314" t="s">
        <v>45</v>
      </c>
      <c r="T65" s="1931" t="s">
        <v>457</v>
      </c>
      <c r="U65" s="1932" t="s">
        <v>458</v>
      </c>
      <c r="V65" s="1739" t="s">
        <v>345</v>
      </c>
      <c r="W65" s="1933" t="s">
        <v>459</v>
      </c>
      <c r="X65" s="1932" t="s">
        <v>460</v>
      </c>
      <c r="Y65" s="1934" t="s">
        <v>461</v>
      </c>
      <c r="Z65" s="1557" t="s">
        <v>301</v>
      </c>
      <c r="AA65" s="1318" t="s">
        <v>302</v>
      </c>
      <c r="AB65" s="1315" t="s">
        <v>303</v>
      </c>
      <c r="AC65" s="1553" t="s">
        <v>304</v>
      </c>
      <c r="AD65" s="1318" t="s">
        <v>306</v>
      </c>
      <c r="AE65" s="1554" t="s">
        <v>305</v>
      </c>
      <c r="AF65" s="1317" t="s">
        <v>310</v>
      </c>
      <c r="AG65" s="1318" t="s">
        <v>311</v>
      </c>
      <c r="AH65" s="1317" t="s">
        <v>312</v>
      </c>
      <c r="AI65" s="1318" t="s">
        <v>313</v>
      </c>
      <c r="AJ65" s="1317" t="s">
        <v>314</v>
      </c>
      <c r="AK65" s="1318" t="s">
        <v>315</v>
      </c>
      <c r="AL65" s="1318" t="s">
        <v>317</v>
      </c>
      <c r="AM65" s="1555" t="s">
        <v>318</v>
      </c>
      <c r="AN65" s="1318" t="s">
        <v>319</v>
      </c>
      <c r="AO65" s="1556" t="s">
        <v>320</v>
      </c>
      <c r="AP65" s="1318" t="s">
        <v>321</v>
      </c>
      <c r="AQ65" s="1556" t="s">
        <v>322</v>
      </c>
      <c r="AR65" s="1318" t="s">
        <v>324</v>
      </c>
      <c r="AS65" s="1555" t="s">
        <v>325</v>
      </c>
      <c r="AT65" s="1318" t="s">
        <v>326</v>
      </c>
      <c r="AU65" s="1556" t="s">
        <v>327</v>
      </c>
      <c r="AV65" s="1318" t="s">
        <v>328</v>
      </c>
      <c r="AW65" s="1557" t="s">
        <v>329</v>
      </c>
      <c r="AX65" s="1556" t="s">
        <v>331</v>
      </c>
      <c r="AY65" s="1318" t="s">
        <v>332</v>
      </c>
      <c r="AZ65" s="1557" t="s">
        <v>333</v>
      </c>
      <c r="BA65" s="1318" t="s">
        <v>334</v>
      </c>
      <c r="BB65" s="1556" t="s">
        <v>335</v>
      </c>
      <c r="BC65" s="1318" t="s">
        <v>336</v>
      </c>
      <c r="BD65" s="1556" t="s">
        <v>337</v>
      </c>
      <c r="BE65" s="1318" t="s">
        <v>338</v>
      </c>
      <c r="BF65" s="1557" t="s">
        <v>339</v>
      </c>
      <c r="BG65" s="1318" t="s">
        <v>340</v>
      </c>
      <c r="BH65" s="1556" t="s">
        <v>341</v>
      </c>
      <c r="BI65" s="1556" t="s">
        <v>342</v>
      </c>
      <c r="BJ65" s="1318" t="s">
        <v>343</v>
      </c>
      <c r="BK65" s="1558" t="s">
        <v>344</v>
      </c>
      <c r="BL65" s="1318" t="s">
        <v>345</v>
      </c>
      <c r="BM65" s="1318" t="s">
        <v>346</v>
      </c>
      <c r="BN65" s="1559" t="s">
        <v>347</v>
      </c>
      <c r="BO65" s="1326" t="s">
        <v>348</v>
      </c>
      <c r="BP65" s="1327" t="s">
        <v>70</v>
      </c>
      <c r="BQ65" s="1317" t="s">
        <v>71</v>
      </c>
      <c r="BR65" s="1328" t="s">
        <v>72</v>
      </c>
    </row>
    <row r="66" spans="1:71" s="1" customFormat="1" ht="21" customHeight="1" x14ac:dyDescent="0.35">
      <c r="A66" s="2753"/>
      <c r="B66" s="866"/>
      <c r="C66" s="942"/>
      <c r="D66" s="290" t="s">
        <v>293</v>
      </c>
      <c r="E66" s="943"/>
      <c r="F66" s="944" t="e">
        <f t="shared" ref="F66:F77" si="17">(BR66/G66)/7</f>
        <v>#DIV/0!</v>
      </c>
      <c r="G66" s="480"/>
      <c r="H66" s="945">
        <f>G66*E66</f>
        <v>0</v>
      </c>
      <c r="I66" s="826"/>
      <c r="J66" s="826"/>
      <c r="K66" s="1560">
        <f>J66-H66</f>
        <v>0</v>
      </c>
      <c r="L66" s="1274">
        <f t="shared" ref="L66:S76" si="18">K66-$H66</f>
        <v>0</v>
      </c>
      <c r="M66" s="1274">
        <f t="shared" si="18"/>
        <v>0</v>
      </c>
      <c r="N66" s="1274">
        <f t="shared" si="18"/>
        <v>0</v>
      </c>
      <c r="O66" s="1274">
        <f t="shared" si="18"/>
        <v>0</v>
      </c>
      <c r="P66" s="1274">
        <f t="shared" si="18"/>
        <v>0</v>
      </c>
      <c r="Q66" s="1273">
        <f t="shared" si="18"/>
        <v>0</v>
      </c>
      <c r="R66" s="1274">
        <f t="shared" si="18"/>
        <v>0</v>
      </c>
      <c r="S66" s="1273">
        <f t="shared" si="18"/>
        <v>0</v>
      </c>
      <c r="T66" s="1848"/>
      <c r="U66" s="1885"/>
      <c r="V66" s="1222"/>
      <c r="W66" s="1885"/>
      <c r="X66" s="1222"/>
      <c r="Y66" s="1923"/>
      <c r="Z66" s="1622"/>
      <c r="AA66" s="1274"/>
      <c r="AB66" s="1560"/>
      <c r="AC66" s="1273"/>
      <c r="AD66" s="1274"/>
      <c r="AE66" s="1561"/>
      <c r="AF66" s="1562"/>
      <c r="AG66" s="1279"/>
      <c r="AH66" s="1562"/>
      <c r="AI66" s="1279"/>
      <c r="AJ66" s="1562"/>
      <c r="AK66" s="1279"/>
      <c r="AL66" s="1274"/>
      <c r="AM66" s="1273"/>
      <c r="AN66" s="1274"/>
      <c r="AO66" s="1273"/>
      <c r="AP66" s="1274"/>
      <c r="AQ66" s="1563"/>
      <c r="AR66" s="1279"/>
      <c r="AS66" s="1562"/>
      <c r="AT66" s="1279"/>
      <c r="AU66" s="1279"/>
      <c r="AV66" s="1279"/>
      <c r="AW66" s="1562"/>
      <c r="AX66" s="1564"/>
      <c r="AY66" s="1274"/>
      <c r="AZ66" s="1273"/>
      <c r="BA66" s="1274"/>
      <c r="BB66" s="1565"/>
      <c r="BC66" s="1279"/>
      <c r="BD66" s="1179"/>
      <c r="BE66" s="1566"/>
      <c r="BF66" s="1276"/>
      <c r="BG66" s="1278"/>
      <c r="BH66" s="1562"/>
      <c r="BI66" s="1563"/>
      <c r="BJ66" s="1279"/>
      <c r="BK66" s="1567"/>
      <c r="BL66" s="1279"/>
      <c r="BM66" s="1279"/>
      <c r="BN66" s="1279"/>
      <c r="BO66" s="1568"/>
      <c r="BP66" s="1446">
        <f>SUM('[3]Porta Wk 16'!T66:BI66)</f>
        <v>0</v>
      </c>
      <c r="BQ66" s="1569"/>
      <c r="BR66" s="1570"/>
    </row>
    <row r="67" spans="1:71" s="1" customFormat="1" ht="18.600000000000001" thickBot="1" x14ac:dyDescent="0.4">
      <c r="A67" s="2754"/>
      <c r="B67" s="867"/>
      <c r="C67" s="946"/>
      <c r="D67" s="290" t="s">
        <v>293</v>
      </c>
      <c r="E67" s="947"/>
      <c r="F67" s="948" t="e">
        <f t="shared" si="17"/>
        <v>#DIV/0!</v>
      </c>
      <c r="G67" s="482"/>
      <c r="H67" s="949">
        <f>G67*E67</f>
        <v>0</v>
      </c>
      <c r="I67" s="950"/>
      <c r="J67" s="950"/>
      <c r="K67" s="1395">
        <f>J67-$H67</f>
        <v>0</v>
      </c>
      <c r="L67" s="1194">
        <f>K67-$H67</f>
        <v>0</v>
      </c>
      <c r="M67" s="1194">
        <f t="shared" si="18"/>
        <v>0</v>
      </c>
      <c r="N67" s="1194">
        <f t="shared" si="18"/>
        <v>0</v>
      </c>
      <c r="O67" s="1194">
        <f t="shared" si="18"/>
        <v>0</v>
      </c>
      <c r="P67" s="1194">
        <f t="shared" si="18"/>
        <v>0</v>
      </c>
      <c r="Q67" s="1194">
        <f t="shared" si="18"/>
        <v>0</v>
      </c>
      <c r="R67" s="1194">
        <f t="shared" si="18"/>
        <v>0</v>
      </c>
      <c r="S67" s="1342">
        <f t="shared" si="18"/>
        <v>0</v>
      </c>
      <c r="T67" s="1850"/>
      <c r="U67" s="1220"/>
      <c r="V67" s="1827"/>
      <c r="W67" s="1220"/>
      <c r="X67" s="1827"/>
      <c r="Y67" s="1920"/>
      <c r="Z67" s="1600"/>
      <c r="AA67" s="1194"/>
      <c r="AB67" s="1395"/>
      <c r="AC67" s="1193"/>
      <c r="AD67" s="1280"/>
      <c r="AE67" s="1571"/>
      <c r="AF67" s="1286"/>
      <c r="AG67" s="1285"/>
      <c r="AH67" s="1286"/>
      <c r="AI67" s="1285"/>
      <c r="AJ67" s="1286"/>
      <c r="AK67" s="1285"/>
      <c r="AL67" s="1194"/>
      <c r="AM67" s="1193"/>
      <c r="AN67" s="1194"/>
      <c r="AO67" s="1193"/>
      <c r="AP67" s="1194"/>
      <c r="AQ67" s="1450"/>
      <c r="AR67" s="1285"/>
      <c r="AS67" s="1286"/>
      <c r="AT67" s="1285"/>
      <c r="AU67" s="1285"/>
      <c r="AV67" s="1285"/>
      <c r="AW67" s="1286"/>
      <c r="AX67" s="1572"/>
      <c r="AY67" s="1194"/>
      <c r="AZ67" s="1193"/>
      <c r="BA67" s="1194"/>
      <c r="BB67" s="1342"/>
      <c r="BC67" s="1285"/>
      <c r="BD67" s="1201"/>
      <c r="BE67" s="1118"/>
      <c r="BF67" s="1117"/>
      <c r="BG67" s="1284"/>
      <c r="BH67" s="1286"/>
      <c r="BI67" s="1450"/>
      <c r="BJ67" s="1285"/>
      <c r="BK67" s="1286"/>
      <c r="BL67" s="1285"/>
      <c r="BM67" s="1279"/>
      <c r="BN67" s="1279"/>
      <c r="BO67" s="1568"/>
      <c r="BP67" s="1449">
        <f>SUM('[3]Porta Wk 16'!T67:BI67)</f>
        <v>0</v>
      </c>
      <c r="BQ67" s="1285"/>
      <c r="BR67" s="1573"/>
    </row>
    <row r="68" spans="1:71" s="1" customFormat="1" ht="18" x14ac:dyDescent="0.35">
      <c r="A68" s="951"/>
      <c r="B68" s="869"/>
      <c r="C68" s="952"/>
      <c r="D68" s="953" t="s">
        <v>294</v>
      </c>
      <c r="E68" s="954"/>
      <c r="F68" s="955" t="e">
        <f t="shared" si="17"/>
        <v>#DIV/0!</v>
      </c>
      <c r="G68" s="956"/>
      <c r="H68" s="957">
        <f t="shared" ref="H68:H77" si="19">G68*E68</f>
        <v>0</v>
      </c>
      <c r="I68" s="958"/>
      <c r="J68" s="958"/>
      <c r="K68" s="1375">
        <f>(J68-$H68)+Z68</f>
        <v>0</v>
      </c>
      <c r="L68" s="1243">
        <f t="shared" ref="L68:L71" si="20">K68-$H68</f>
        <v>0</v>
      </c>
      <c r="M68" s="1243">
        <f t="shared" si="18"/>
        <v>0</v>
      </c>
      <c r="N68" s="1243">
        <f t="shared" si="18"/>
        <v>0</v>
      </c>
      <c r="O68" s="1243">
        <f t="shared" si="18"/>
        <v>0</v>
      </c>
      <c r="P68" s="1243">
        <f t="shared" si="18"/>
        <v>0</v>
      </c>
      <c r="Q68" s="1242">
        <f t="shared" si="18"/>
        <v>0</v>
      </c>
      <c r="R68" s="1243">
        <f t="shared" si="18"/>
        <v>0</v>
      </c>
      <c r="S68" s="1242">
        <f t="shared" si="18"/>
        <v>0</v>
      </c>
      <c r="T68" s="1852"/>
      <c r="U68" s="1790"/>
      <c r="V68" s="1242"/>
      <c r="W68" s="1790"/>
      <c r="X68" s="1242"/>
      <c r="Y68" s="1921"/>
      <c r="Z68" s="1375"/>
      <c r="AA68" s="1243"/>
      <c r="AB68" s="1375"/>
      <c r="AC68" s="1242"/>
      <c r="AD68" s="1243"/>
      <c r="AE68" s="1574"/>
      <c r="AF68" s="1575"/>
      <c r="AG68" s="1576"/>
      <c r="AH68" s="1575"/>
      <c r="AI68" s="1576"/>
      <c r="AJ68" s="1575"/>
      <c r="AK68" s="1576"/>
      <c r="AL68" s="1243"/>
      <c r="AM68" s="1242"/>
      <c r="AN68" s="1243"/>
      <c r="AO68" s="1242"/>
      <c r="AP68" s="1243"/>
      <c r="AQ68" s="1577"/>
      <c r="AR68" s="1576"/>
      <c r="AS68" s="1575"/>
      <c r="AT68" s="1576"/>
      <c r="AU68" s="1576"/>
      <c r="AV68" s="1576"/>
      <c r="AW68" s="1575"/>
      <c r="AX68" s="1578"/>
      <c r="AY68" s="1243"/>
      <c r="AZ68" s="1242"/>
      <c r="BA68" s="1243"/>
      <c r="BB68" s="1579"/>
      <c r="BC68" s="1576"/>
      <c r="BD68" s="1246"/>
      <c r="BE68" s="1580"/>
      <c r="BF68" s="1581"/>
      <c r="BG68" s="1582"/>
      <c r="BH68" s="1575"/>
      <c r="BI68" s="1577"/>
      <c r="BJ68" s="1576"/>
      <c r="BK68" s="1575"/>
      <c r="BL68" s="1576"/>
      <c r="BM68" s="1583"/>
      <c r="BN68" s="1583"/>
      <c r="BO68" s="1584"/>
      <c r="BP68" s="1585">
        <f>SUM('[3]Porta Wk 16'!T68:BI68)</f>
        <v>0</v>
      </c>
      <c r="BQ68" s="1586"/>
      <c r="BR68" s="1587"/>
    </row>
    <row r="69" spans="1:71" s="1" customFormat="1" ht="18.600000000000001" thickBot="1" x14ac:dyDescent="0.4">
      <c r="A69" s="1007"/>
      <c r="B69" s="960"/>
      <c r="C69" s="961"/>
      <c r="D69" s="962" t="s">
        <v>294</v>
      </c>
      <c r="E69" s="963"/>
      <c r="F69" s="964" t="e">
        <f t="shared" si="17"/>
        <v>#DIV/0!</v>
      </c>
      <c r="G69" s="965"/>
      <c r="H69" s="966">
        <f t="shared" si="19"/>
        <v>0</v>
      </c>
      <c r="I69" s="967"/>
      <c r="J69" s="967"/>
      <c r="K69" s="1588">
        <f t="shared" ref="K69:K70" si="21">J69-$H69</f>
        <v>0</v>
      </c>
      <c r="L69" s="1589">
        <f t="shared" si="20"/>
        <v>0</v>
      </c>
      <c r="M69" s="1589">
        <f t="shared" si="18"/>
        <v>0</v>
      </c>
      <c r="N69" s="1589">
        <f t="shared" si="18"/>
        <v>0</v>
      </c>
      <c r="O69" s="1589">
        <f t="shared" si="18"/>
        <v>0</v>
      </c>
      <c r="P69" s="1589">
        <f t="shared" si="18"/>
        <v>0</v>
      </c>
      <c r="Q69" s="1590">
        <f t="shared" si="18"/>
        <v>0</v>
      </c>
      <c r="R69" s="1589">
        <f t="shared" si="18"/>
        <v>0</v>
      </c>
      <c r="S69" s="1590">
        <f t="shared" si="18"/>
        <v>0</v>
      </c>
      <c r="T69" s="1864"/>
      <c r="U69" s="1894"/>
      <c r="V69" s="1590"/>
      <c r="W69" s="1894"/>
      <c r="X69" s="1590"/>
      <c r="Y69" s="1922"/>
      <c r="Z69" s="1588"/>
      <c r="AA69" s="1589"/>
      <c r="AB69" s="1588"/>
      <c r="AC69" s="1590"/>
      <c r="AD69" s="1589"/>
      <c r="AE69" s="1591"/>
      <c r="AF69" s="1592"/>
      <c r="AG69" s="1593"/>
      <c r="AH69" s="1592"/>
      <c r="AI69" s="1593"/>
      <c r="AJ69" s="1592"/>
      <c r="AK69" s="1593"/>
      <c r="AL69" s="1589"/>
      <c r="AM69" s="1590"/>
      <c r="AN69" s="1589"/>
      <c r="AO69" s="1590"/>
      <c r="AP69" s="1589"/>
      <c r="AQ69" s="1594"/>
      <c r="AR69" s="1593"/>
      <c r="AS69" s="1592"/>
      <c r="AT69" s="1593"/>
      <c r="AU69" s="1593"/>
      <c r="AV69" s="1593"/>
      <c r="AW69" s="1592"/>
      <c r="AX69" s="1595"/>
      <c r="AY69" s="1589"/>
      <c r="AZ69" s="1590"/>
      <c r="BA69" s="1589"/>
      <c r="BB69" s="1596"/>
      <c r="BC69" s="1593"/>
      <c r="BD69" s="1597"/>
      <c r="BE69" s="1598"/>
      <c r="BF69" s="1599"/>
      <c r="BG69" s="1600"/>
      <c r="BH69" s="1592"/>
      <c r="BI69" s="1594"/>
      <c r="BJ69" s="1593"/>
      <c r="BK69" s="1592"/>
      <c r="BL69" s="1593"/>
      <c r="BM69" s="1593"/>
      <c r="BN69" s="1593"/>
      <c r="BO69" s="1601"/>
      <c r="BP69" s="1602">
        <f>SUM('[3]Porta Wk 16'!T69:BI69)</f>
        <v>0</v>
      </c>
      <c r="BQ69" s="1593"/>
      <c r="BR69" s="1603"/>
    </row>
    <row r="70" spans="1:71" s="1" customFormat="1" ht="18" x14ac:dyDescent="0.35">
      <c r="A70" s="968"/>
      <c r="B70" s="969"/>
      <c r="C70" s="970"/>
      <c r="D70" s="290" t="s">
        <v>295</v>
      </c>
      <c r="E70" s="971"/>
      <c r="F70" s="944" t="e">
        <f t="shared" si="17"/>
        <v>#DIV/0!</v>
      </c>
      <c r="G70" s="959"/>
      <c r="H70" s="973">
        <f t="shared" si="19"/>
        <v>0</v>
      </c>
      <c r="I70" s="974"/>
      <c r="J70" s="958"/>
      <c r="K70" s="1604">
        <f t="shared" si="21"/>
        <v>0</v>
      </c>
      <c r="L70" s="1243">
        <f t="shared" si="20"/>
        <v>0</v>
      </c>
      <c r="M70" s="1243">
        <f t="shared" si="18"/>
        <v>0</v>
      </c>
      <c r="N70" s="1375">
        <f t="shared" si="18"/>
        <v>0</v>
      </c>
      <c r="O70" s="1375">
        <f t="shared" si="18"/>
        <v>0</v>
      </c>
      <c r="P70" s="1375">
        <f t="shared" si="18"/>
        <v>0</v>
      </c>
      <c r="Q70" s="1375">
        <f t="shared" si="18"/>
        <v>0</v>
      </c>
      <c r="R70" s="1375">
        <f t="shared" si="18"/>
        <v>0</v>
      </c>
      <c r="S70" s="1242">
        <f t="shared" si="18"/>
        <v>0</v>
      </c>
      <c r="T70" s="1852"/>
      <c r="U70" s="1790"/>
      <c r="V70" s="1242"/>
      <c r="W70" s="1790"/>
      <c r="X70" s="1242"/>
      <c r="Y70" s="1921"/>
      <c r="Z70" s="1375"/>
      <c r="AA70" s="1605"/>
      <c r="AB70" s="1606"/>
      <c r="AC70" s="1607"/>
      <c r="AD70" s="1605"/>
      <c r="AE70" s="1608"/>
      <c r="AF70" s="1609"/>
      <c r="AG70" s="1610"/>
      <c r="AH70" s="1609"/>
      <c r="AI70" s="1610"/>
      <c r="AJ70" s="1609"/>
      <c r="AK70" s="1610"/>
      <c r="AL70" s="1605"/>
      <c r="AM70" s="1607"/>
      <c r="AN70" s="1605"/>
      <c r="AO70" s="1607"/>
      <c r="AP70" s="1605"/>
      <c r="AQ70" s="1611"/>
      <c r="AR70" s="1610"/>
      <c r="AS70" s="1609"/>
      <c r="AT70" s="1610"/>
      <c r="AU70" s="1610"/>
      <c r="AV70" s="1610"/>
      <c r="AW70" s="1609"/>
      <c r="AX70" s="1612"/>
      <c r="AY70" s="1605"/>
      <c r="AZ70" s="1607"/>
      <c r="BA70" s="1605"/>
      <c r="BB70" s="1613"/>
      <c r="BC70" s="1610"/>
      <c r="BD70" s="1614"/>
      <c r="BE70" s="1615"/>
      <c r="BF70" s="1616"/>
      <c r="BG70" s="1617"/>
      <c r="BH70" s="1609"/>
      <c r="BI70" s="1611"/>
      <c r="BJ70" s="1610"/>
      <c r="BK70" s="1609"/>
      <c r="BL70" s="1610"/>
      <c r="BM70" s="1610"/>
      <c r="BN70" s="1610"/>
      <c r="BO70" s="1618"/>
      <c r="BP70" s="1619">
        <f>SUM('[3]Porta Wk 16'!T70:BI70)</f>
        <v>0</v>
      </c>
      <c r="BQ70" s="1609"/>
      <c r="BR70" s="1620"/>
    </row>
    <row r="71" spans="1:71" s="1" customFormat="1" ht="18.600000000000001" thickBot="1" x14ac:dyDescent="0.4">
      <c r="A71" s="1009"/>
      <c r="B71" s="870"/>
      <c r="C71" s="986"/>
      <c r="D71" s="975" t="s">
        <v>295</v>
      </c>
      <c r="E71" s="1012"/>
      <c r="F71" s="976" t="e">
        <f t="shared" si="17"/>
        <v>#DIV/0!</v>
      </c>
      <c r="G71" s="972"/>
      <c r="H71" s="1014">
        <f t="shared" si="19"/>
        <v>0</v>
      </c>
      <c r="I71" s="989"/>
      <c r="J71" s="974"/>
      <c r="K71" s="1437">
        <f>J71-H71</f>
        <v>0</v>
      </c>
      <c r="L71" s="1223">
        <f t="shared" si="20"/>
        <v>0</v>
      </c>
      <c r="M71" s="1223">
        <f>L71-H71</f>
        <v>0</v>
      </c>
      <c r="N71" s="1223">
        <f t="shared" si="18"/>
        <v>0</v>
      </c>
      <c r="O71" s="1223">
        <f t="shared" si="18"/>
        <v>0</v>
      </c>
      <c r="P71" s="1223">
        <f t="shared" si="18"/>
        <v>0</v>
      </c>
      <c r="Q71" s="1223">
        <f t="shared" si="18"/>
        <v>0</v>
      </c>
      <c r="R71" s="1223">
        <f t="shared" si="18"/>
        <v>0</v>
      </c>
      <c r="S71" s="1438">
        <f t="shared" si="18"/>
        <v>0</v>
      </c>
      <c r="T71" s="1848"/>
      <c r="U71" s="1885"/>
      <c r="V71" s="1222"/>
      <c r="W71" s="1885"/>
      <c r="X71" s="1222"/>
      <c r="Y71" s="1923"/>
      <c r="Z71" s="1622"/>
      <c r="AA71" s="1621"/>
      <c r="AB71" s="1622"/>
      <c r="AC71" s="1192"/>
      <c r="AD71" s="1621"/>
      <c r="AE71" s="1623"/>
      <c r="AF71" s="1192"/>
      <c r="AG71" s="1621"/>
      <c r="AH71" s="1192"/>
      <c r="AI71" s="1621"/>
      <c r="AJ71" s="1192"/>
      <c r="AK71" s="1621"/>
      <c r="AL71" s="1621"/>
      <c r="AM71" s="1192"/>
      <c r="AN71" s="1621"/>
      <c r="AO71" s="1192"/>
      <c r="AP71" s="1621"/>
      <c r="AQ71" s="1569"/>
      <c r="AR71" s="1621"/>
      <c r="AS71" s="1192"/>
      <c r="AT71" s="1621"/>
      <c r="AU71" s="1621"/>
      <c r="AV71" s="1621"/>
      <c r="AW71" s="1192"/>
      <c r="AX71" s="1624"/>
      <c r="AY71" s="1621"/>
      <c r="AZ71" s="1192"/>
      <c r="BA71" s="1621"/>
      <c r="BB71" s="1192"/>
      <c r="BC71" s="1621"/>
      <c r="BD71" s="1442"/>
      <c r="BE71" s="1439"/>
      <c r="BF71" s="1440"/>
      <c r="BG71" s="1622"/>
      <c r="BH71" s="1192"/>
      <c r="BI71" s="1569"/>
      <c r="BJ71" s="1621"/>
      <c r="BK71" s="1192"/>
      <c r="BL71" s="1621"/>
      <c r="BM71" s="1621"/>
      <c r="BN71" s="1621"/>
      <c r="BO71" s="1625"/>
      <c r="BP71" s="1446">
        <f>SUM('[3]Porta Wk 16'!T71:BI71)</f>
        <v>0</v>
      </c>
      <c r="BQ71" s="1192"/>
      <c r="BR71" s="1626"/>
    </row>
    <row r="72" spans="1:71" s="1" customFormat="1" ht="18" x14ac:dyDescent="0.35">
      <c r="A72" s="1006"/>
      <c r="B72" s="978"/>
      <c r="C72" s="979"/>
      <c r="D72" s="953" t="s">
        <v>296</v>
      </c>
      <c r="E72" s="980"/>
      <c r="F72" s="981" t="e">
        <f t="shared" si="17"/>
        <v>#DIV/0!</v>
      </c>
      <c r="G72" s="982"/>
      <c r="H72" s="983">
        <f t="shared" si="19"/>
        <v>0</v>
      </c>
      <c r="I72" s="984"/>
      <c r="J72" s="958"/>
      <c r="K72" s="1375">
        <f>J72-$H72</f>
        <v>0</v>
      </c>
      <c r="L72" s="1627">
        <f>K72-$H72</f>
        <v>0</v>
      </c>
      <c r="M72" s="1627">
        <f>L72-$H72</f>
        <v>0</v>
      </c>
      <c r="N72" s="1627">
        <f t="shared" si="18"/>
        <v>0</v>
      </c>
      <c r="O72" s="1627">
        <f>N72-H72</f>
        <v>0</v>
      </c>
      <c r="P72" s="1627">
        <f t="shared" si="18"/>
        <v>0</v>
      </c>
      <c r="Q72" s="1627">
        <f>P72-H72</f>
        <v>0</v>
      </c>
      <c r="R72" s="1627">
        <f t="shared" si="18"/>
        <v>0</v>
      </c>
      <c r="S72" s="1628">
        <f t="shared" si="18"/>
        <v>0</v>
      </c>
      <c r="T72" s="1852"/>
      <c r="U72" s="1790"/>
      <c r="V72" s="1242"/>
      <c r="W72" s="1790"/>
      <c r="X72" s="1242"/>
      <c r="Y72" s="1921"/>
      <c r="Z72" s="1582"/>
      <c r="AA72" s="1576"/>
      <c r="AB72" s="1582"/>
      <c r="AC72" s="1575"/>
      <c r="AD72" s="1576"/>
      <c r="AE72" s="1629"/>
      <c r="AF72" s="1575"/>
      <c r="AG72" s="1576"/>
      <c r="AH72" s="1575"/>
      <c r="AI72" s="1576"/>
      <c r="AJ72" s="1575"/>
      <c r="AK72" s="1576"/>
      <c r="AL72" s="1576"/>
      <c r="AM72" s="1575"/>
      <c r="AN72" s="1576"/>
      <c r="AO72" s="1575"/>
      <c r="AP72" s="1576"/>
      <c r="AQ72" s="1577"/>
      <c r="AR72" s="1576"/>
      <c r="AS72" s="1575"/>
      <c r="AT72" s="1576"/>
      <c r="AU72" s="1576"/>
      <c r="AV72" s="1576"/>
      <c r="AW72" s="1575"/>
      <c r="AX72" s="1578"/>
      <c r="AY72" s="1576"/>
      <c r="AZ72" s="1575"/>
      <c r="BA72" s="1576"/>
      <c r="BB72" s="1575"/>
      <c r="BC72" s="1576"/>
      <c r="BD72" s="1246"/>
      <c r="BE72" s="1580"/>
      <c r="BF72" s="1581"/>
      <c r="BG72" s="1582"/>
      <c r="BH72" s="1575"/>
      <c r="BI72" s="1577"/>
      <c r="BJ72" s="1576"/>
      <c r="BK72" s="1575"/>
      <c r="BL72" s="1576"/>
      <c r="BM72" s="1576"/>
      <c r="BN72" s="1576"/>
      <c r="BO72" s="1630"/>
      <c r="BP72" s="1631">
        <f>SUM('[3]Porta Wk 16'!T72:BI72)</f>
        <v>0</v>
      </c>
      <c r="BQ72" s="1577"/>
      <c r="BR72" s="1632"/>
    </row>
    <row r="73" spans="1:71" s="1" customFormat="1" ht="18.600000000000001" thickBot="1" x14ac:dyDescent="0.4">
      <c r="A73" s="985"/>
      <c r="B73" s="870"/>
      <c r="C73" s="986"/>
      <c r="D73" s="987" t="s">
        <v>296</v>
      </c>
      <c r="E73" s="988"/>
      <c r="F73" s="964" t="e">
        <f t="shared" si="17"/>
        <v>#DIV/0!</v>
      </c>
      <c r="G73" s="965"/>
      <c r="H73" s="966">
        <f t="shared" si="19"/>
        <v>0</v>
      </c>
      <c r="I73" s="989"/>
      <c r="J73" s="967"/>
      <c r="K73" s="1420">
        <f>J73-$H73</f>
        <v>0</v>
      </c>
      <c r="L73" s="1258">
        <f t="shared" ref="L73:M76" si="22">K73-$H73</f>
        <v>0</v>
      </c>
      <c r="M73" s="1258">
        <f t="shared" si="22"/>
        <v>0</v>
      </c>
      <c r="N73" s="1258">
        <f t="shared" si="18"/>
        <v>0</v>
      </c>
      <c r="O73" s="1258">
        <f t="shared" si="18"/>
        <v>0</v>
      </c>
      <c r="P73" s="1258">
        <f t="shared" si="18"/>
        <v>0</v>
      </c>
      <c r="Q73" s="1258">
        <f t="shared" si="18"/>
        <v>0</v>
      </c>
      <c r="R73" s="1258">
        <f t="shared" si="18"/>
        <v>0</v>
      </c>
      <c r="S73" s="1633">
        <f t="shared" si="18"/>
        <v>0</v>
      </c>
      <c r="T73" s="1856"/>
      <c r="U73" s="1650"/>
      <c r="V73" s="1257"/>
      <c r="W73" s="1650"/>
      <c r="X73" s="1257"/>
      <c r="Y73" s="1924"/>
      <c r="Z73" s="1635"/>
      <c r="AA73" s="1634"/>
      <c r="AB73" s="1635"/>
      <c r="AC73" s="1636"/>
      <c r="AD73" s="1634"/>
      <c r="AE73" s="1637"/>
      <c r="AF73" s="1636"/>
      <c r="AG73" s="1634"/>
      <c r="AH73" s="1636"/>
      <c r="AI73" s="1634"/>
      <c r="AJ73" s="1636"/>
      <c r="AK73" s="1634"/>
      <c r="AL73" s="1634"/>
      <c r="AM73" s="1636"/>
      <c r="AN73" s="1634"/>
      <c r="AO73" s="1636"/>
      <c r="AP73" s="1634"/>
      <c r="AQ73" s="1638"/>
      <c r="AR73" s="1634"/>
      <c r="AS73" s="1636"/>
      <c r="AT73" s="1258"/>
      <c r="AU73" s="1634"/>
      <c r="AV73" s="1634"/>
      <c r="AW73" s="1636"/>
      <c r="AX73" s="1639"/>
      <c r="AY73" s="1634"/>
      <c r="AZ73" s="1636"/>
      <c r="BA73" s="1634"/>
      <c r="BB73" s="1636"/>
      <c r="BC73" s="1593"/>
      <c r="BD73" s="1597"/>
      <c r="BE73" s="1598"/>
      <c r="BF73" s="1599"/>
      <c r="BG73" s="1600"/>
      <c r="BH73" s="1592"/>
      <c r="BI73" s="1594"/>
      <c r="BJ73" s="1634"/>
      <c r="BK73" s="1592"/>
      <c r="BL73" s="1593"/>
      <c r="BM73" s="1593"/>
      <c r="BN73" s="1593"/>
      <c r="BO73" s="1601"/>
      <c r="BP73" s="1602">
        <f>SUM('[3]Porta Wk 16'!T73:BI73)</f>
        <v>0</v>
      </c>
      <c r="BQ73" s="1594"/>
      <c r="BR73" s="1603"/>
    </row>
    <row r="74" spans="1:71" s="1" customFormat="1" ht="18" x14ac:dyDescent="0.35">
      <c r="A74" s="1006"/>
      <c r="B74" s="1010"/>
      <c r="C74" s="992"/>
      <c r="D74" s="1013" t="s">
        <v>298</v>
      </c>
      <c r="E74" s="993"/>
      <c r="F74" s="955" t="e">
        <f t="shared" si="17"/>
        <v>#DIV/0!</v>
      </c>
      <c r="G74" s="956"/>
      <c r="H74" s="957">
        <f t="shared" si="19"/>
        <v>0</v>
      </c>
      <c r="I74" s="994"/>
      <c r="J74" s="958"/>
      <c r="K74" s="1375">
        <f>(J74-$H74)+Z74</f>
        <v>0</v>
      </c>
      <c r="L74" s="1243">
        <f t="shared" si="22"/>
        <v>0</v>
      </c>
      <c r="M74" s="1243">
        <f t="shared" si="22"/>
        <v>0</v>
      </c>
      <c r="N74" s="1243">
        <f t="shared" si="18"/>
        <v>0</v>
      </c>
      <c r="O74" s="1243">
        <f t="shared" si="18"/>
        <v>0</v>
      </c>
      <c r="P74" s="1243">
        <f t="shared" si="18"/>
        <v>0</v>
      </c>
      <c r="Q74" s="1242">
        <f t="shared" si="18"/>
        <v>0</v>
      </c>
      <c r="R74" s="1243">
        <f t="shared" si="18"/>
        <v>0</v>
      </c>
      <c r="S74" s="1242">
        <f t="shared" si="18"/>
        <v>0</v>
      </c>
      <c r="T74" s="1852"/>
      <c r="U74" s="1790"/>
      <c r="V74" s="1242"/>
      <c r="W74" s="1790"/>
      <c r="X74" s="1242"/>
      <c r="Y74" s="1921"/>
      <c r="Z74" s="1582"/>
      <c r="AA74" s="1576"/>
      <c r="AB74" s="1582"/>
      <c r="AC74" s="1575"/>
      <c r="AD74" s="1576"/>
      <c r="AE74" s="1629"/>
      <c r="AF74" s="1575"/>
      <c r="AG74" s="1576"/>
      <c r="AH74" s="1575"/>
      <c r="AI74" s="1576"/>
      <c r="AJ74" s="1575"/>
      <c r="AK74" s="1576"/>
      <c r="AL74" s="1576"/>
      <c r="AM74" s="1575"/>
      <c r="AN74" s="1576"/>
      <c r="AO74" s="1575"/>
      <c r="AP74" s="1576"/>
      <c r="AQ74" s="1577"/>
      <c r="AR74" s="1576"/>
      <c r="AS74" s="1575"/>
      <c r="AT74" s="1243"/>
      <c r="AU74" s="1576"/>
      <c r="AV74" s="1576"/>
      <c r="AW74" s="1575"/>
      <c r="AX74" s="1578"/>
      <c r="AY74" s="1576"/>
      <c r="AZ74" s="1575"/>
      <c r="BA74" s="1576"/>
      <c r="BB74" s="1575"/>
      <c r="BC74" s="1576"/>
      <c r="BD74" s="1246"/>
      <c r="BE74" s="1580"/>
      <c r="BF74" s="1581"/>
      <c r="BG74" s="1582"/>
      <c r="BH74" s="1575"/>
      <c r="BI74" s="1577"/>
      <c r="BJ74" s="1576"/>
      <c r="BK74" s="1575"/>
      <c r="BL74" s="1576"/>
      <c r="BM74" s="1583"/>
      <c r="BN74" s="1640"/>
      <c r="BO74" s="1630"/>
      <c r="BP74" s="1631">
        <f>SUM('[3]Porta Wk 16'!T74:BI74)</f>
        <v>0</v>
      </c>
      <c r="BQ74" s="1577"/>
      <c r="BR74" s="1632"/>
    </row>
    <row r="75" spans="1:71" s="1" customFormat="1" ht="18.600000000000001" thickBot="1" x14ac:dyDescent="0.4">
      <c r="A75" s="1022"/>
      <c r="B75" s="1023"/>
      <c r="C75" s="995"/>
      <c r="D75" s="1024" t="s">
        <v>298</v>
      </c>
      <c r="E75" s="988"/>
      <c r="F75" s="964" t="e">
        <f t="shared" si="17"/>
        <v>#DIV/0!</v>
      </c>
      <c r="G75" s="965"/>
      <c r="H75" s="966">
        <f t="shared" si="19"/>
        <v>0</v>
      </c>
      <c r="I75" s="989"/>
      <c r="J75" s="967"/>
      <c r="K75" s="1588">
        <f>J75-$H75</f>
        <v>0</v>
      </c>
      <c r="L75" s="1589">
        <f t="shared" si="22"/>
        <v>0</v>
      </c>
      <c r="M75" s="1589">
        <f>L75-H75</f>
        <v>0</v>
      </c>
      <c r="N75" s="1589">
        <f t="shared" si="18"/>
        <v>0</v>
      </c>
      <c r="O75" s="1589">
        <f t="shared" si="18"/>
        <v>0</v>
      </c>
      <c r="P75" s="1589">
        <f t="shared" si="18"/>
        <v>0</v>
      </c>
      <c r="Q75" s="1589">
        <f t="shared" si="18"/>
        <v>0</v>
      </c>
      <c r="R75" s="1589">
        <f t="shared" si="18"/>
        <v>0</v>
      </c>
      <c r="S75" s="1596">
        <f t="shared" si="18"/>
        <v>0</v>
      </c>
      <c r="T75" s="1864"/>
      <c r="U75" s="1894"/>
      <c r="V75" s="1590"/>
      <c r="W75" s="1894"/>
      <c r="X75" s="1590"/>
      <c r="Y75" s="1922"/>
      <c r="Z75" s="1600"/>
      <c r="AA75" s="1593"/>
      <c r="AB75" s="1600"/>
      <c r="AC75" s="1592"/>
      <c r="AD75" s="1593"/>
      <c r="AE75" s="1641"/>
      <c r="AF75" s="1592"/>
      <c r="AG75" s="1593"/>
      <c r="AH75" s="1592"/>
      <c r="AI75" s="1593"/>
      <c r="AJ75" s="1593"/>
      <c r="AK75" s="1593"/>
      <c r="AL75" s="1593"/>
      <c r="AM75" s="1592"/>
      <c r="AN75" s="1593"/>
      <c r="AO75" s="1592"/>
      <c r="AP75" s="1593"/>
      <c r="AQ75" s="1594"/>
      <c r="AR75" s="1593"/>
      <c r="AS75" s="1592"/>
      <c r="AT75" s="1593"/>
      <c r="AU75" s="1593"/>
      <c r="AV75" s="1593"/>
      <c r="AW75" s="1592"/>
      <c r="AX75" s="1595"/>
      <c r="AY75" s="1593"/>
      <c r="AZ75" s="1592"/>
      <c r="BA75" s="1593"/>
      <c r="BB75" s="1592"/>
      <c r="BC75" s="1593"/>
      <c r="BD75" s="1597"/>
      <c r="BE75" s="1598"/>
      <c r="BF75" s="1599"/>
      <c r="BG75" s="1600"/>
      <c r="BH75" s="1592"/>
      <c r="BI75" s="1594"/>
      <c r="BJ75" s="1593"/>
      <c r="BK75" s="1594"/>
      <c r="BL75" s="1593"/>
      <c r="BM75" s="1593"/>
      <c r="BN75" s="1634"/>
      <c r="BO75" s="1642"/>
      <c r="BP75" s="1643">
        <f>SUM('[3]Porta Wk 16'!T75:BI75)</f>
        <v>0</v>
      </c>
      <c r="BQ75" s="1638"/>
      <c r="BR75" s="1603"/>
    </row>
    <row r="76" spans="1:71" s="1" customFormat="1" ht="18" x14ac:dyDescent="0.35">
      <c r="A76" s="1017"/>
      <c r="B76" s="1018"/>
      <c r="C76" s="1019"/>
      <c r="D76" s="290" t="s">
        <v>297</v>
      </c>
      <c r="E76" s="1020"/>
      <c r="F76" s="944" t="e">
        <f t="shared" si="17"/>
        <v>#DIV/0!</v>
      </c>
      <c r="G76" s="480"/>
      <c r="H76" s="945">
        <f t="shared" si="19"/>
        <v>0</v>
      </c>
      <c r="I76" s="1021"/>
      <c r="J76" s="826"/>
      <c r="K76" s="1644">
        <f>J76-$H76</f>
        <v>0</v>
      </c>
      <c r="L76" s="1274">
        <f t="shared" si="22"/>
        <v>0</v>
      </c>
      <c r="M76" s="1274">
        <f t="shared" si="22"/>
        <v>0</v>
      </c>
      <c r="N76" s="1274">
        <f t="shared" si="18"/>
        <v>0</v>
      </c>
      <c r="O76" s="1565">
        <f t="shared" si="18"/>
        <v>0</v>
      </c>
      <c r="P76" s="1645">
        <f t="shared" si="18"/>
        <v>0</v>
      </c>
      <c r="Q76" s="1274">
        <f t="shared" si="18"/>
        <v>0</v>
      </c>
      <c r="R76" s="1274">
        <f t="shared" si="18"/>
        <v>0</v>
      </c>
      <c r="S76" s="1565">
        <f t="shared" si="18"/>
        <v>0</v>
      </c>
      <c r="T76" s="1847"/>
      <c r="U76" s="1183"/>
      <c r="V76" s="1273"/>
      <c r="W76" s="1183"/>
      <c r="X76" s="1273"/>
      <c r="Y76" s="1902"/>
      <c r="Z76" s="1278"/>
      <c r="AA76" s="1279"/>
      <c r="AB76" s="1278"/>
      <c r="AC76" s="1562"/>
      <c r="AD76" s="1279"/>
      <c r="AE76" s="1646"/>
      <c r="AF76" s="1562"/>
      <c r="AG76" s="1279"/>
      <c r="AH76" s="1562"/>
      <c r="AI76" s="1279"/>
      <c r="AJ76" s="1562"/>
      <c r="AK76" s="1576"/>
      <c r="AL76" s="1576"/>
      <c r="AM76" s="1575"/>
      <c r="AN76" s="1576"/>
      <c r="AO76" s="1577"/>
      <c r="AP76" s="1576"/>
      <c r="AQ76" s="1577"/>
      <c r="AR76" s="1576"/>
      <c r="AS76" s="1575"/>
      <c r="AT76" s="1576"/>
      <c r="AU76" s="1576"/>
      <c r="AV76" s="1576"/>
      <c r="AW76" s="1575"/>
      <c r="AX76" s="1578"/>
      <c r="AY76" s="1576"/>
      <c r="AZ76" s="1582"/>
      <c r="BA76" s="1576"/>
      <c r="BB76" s="1575"/>
      <c r="BC76" s="1576"/>
      <c r="BD76" s="1246"/>
      <c r="BE76" s="1580"/>
      <c r="BF76" s="1581"/>
      <c r="BG76" s="1582"/>
      <c r="BH76" s="1575"/>
      <c r="BI76" s="1577"/>
      <c r="BJ76" s="1576"/>
      <c r="BK76" s="1562"/>
      <c r="BL76" s="1279"/>
      <c r="BM76" s="1279"/>
      <c r="BN76" s="1279"/>
      <c r="BO76" s="1568"/>
      <c r="BP76" s="1647">
        <f>SUM('[3]Porta Wk 16'!T76:BI76)</f>
        <v>0</v>
      </c>
      <c r="BQ76" s="1279"/>
      <c r="BR76" s="1648"/>
    </row>
    <row r="77" spans="1:71" s="1" customFormat="1" ht="15" thickBot="1" x14ac:dyDescent="0.35">
      <c r="A77" s="1011"/>
      <c r="B77" s="997"/>
      <c r="C77" s="991"/>
      <c r="D77" s="996" t="s">
        <v>297</v>
      </c>
      <c r="E77" s="998"/>
      <c r="F77" s="999" t="e">
        <f t="shared" si="17"/>
        <v>#DIV/0!</v>
      </c>
      <c r="G77" s="990"/>
      <c r="H77" s="1000">
        <f t="shared" si="19"/>
        <v>0</v>
      </c>
      <c r="I77" s="1001"/>
      <c r="J77" s="1002"/>
      <c r="K77" s="1649">
        <f>J77-H77</f>
        <v>0</v>
      </c>
      <c r="L77" s="1650">
        <f>(K77-$H77)+AA77</f>
        <v>0</v>
      </c>
      <c r="M77" s="1650">
        <f>L77-H77</f>
        <v>0</v>
      </c>
      <c r="N77" s="1650">
        <f>(M77-$H77)+AC77</f>
        <v>0</v>
      </c>
      <c r="O77" s="1650">
        <f>(N77-$H77)+AE77</f>
        <v>0</v>
      </c>
      <c r="P77" s="1650">
        <f>(O77-$H77)+AF77</f>
        <v>0</v>
      </c>
      <c r="Q77" s="1650">
        <f>(P77-$H77)+AG77</f>
        <v>0</v>
      </c>
      <c r="R77" s="1650">
        <f>(Q77-$H77)+AH77</f>
        <v>0</v>
      </c>
      <c r="S77" s="1651">
        <f>(R77-$H77)+AI77</f>
        <v>0</v>
      </c>
      <c r="T77" s="1869"/>
      <c r="U77" s="1925"/>
      <c r="V77" s="1804"/>
      <c r="W77" s="1925"/>
      <c r="X77" s="1804"/>
      <c r="Y77" s="1926"/>
      <c r="Z77" s="1301"/>
      <c r="AA77" s="1306"/>
      <c r="AB77" s="1635"/>
      <c r="AC77" s="1638"/>
      <c r="AD77" s="1306"/>
      <c r="AE77" s="1652"/>
      <c r="AF77" s="1636"/>
      <c r="AG77" s="1306"/>
      <c r="AH77" s="1636"/>
      <c r="AI77" s="1306"/>
      <c r="AJ77" s="1636"/>
      <c r="AK77" s="1306"/>
      <c r="AL77" s="1306"/>
      <c r="AM77" s="1636"/>
      <c r="AN77" s="1306"/>
      <c r="AO77" s="1636"/>
      <c r="AP77" s="1306"/>
      <c r="AQ77" s="1638"/>
      <c r="AR77" s="1306"/>
      <c r="AS77" s="1636"/>
      <c r="AT77" s="1306"/>
      <c r="AU77" s="1635"/>
      <c r="AV77" s="1306"/>
      <c r="AW77" s="1636"/>
      <c r="AX77" s="1639"/>
      <c r="AY77" s="1306"/>
      <c r="AZ77" s="1636"/>
      <c r="BA77" s="1306"/>
      <c r="BB77" s="1636"/>
      <c r="BC77" s="1306"/>
      <c r="BD77" s="1261"/>
      <c r="BE77" s="1653"/>
      <c r="BF77" s="1654"/>
      <c r="BG77" s="1635"/>
      <c r="BH77" s="1636"/>
      <c r="BI77" s="1638"/>
      <c r="BJ77" s="1306"/>
      <c r="BK77" s="1295"/>
      <c r="BL77" s="1306"/>
      <c r="BM77" s="1306"/>
      <c r="BN77" s="1306"/>
      <c r="BO77" s="1642"/>
      <c r="BP77" s="1643">
        <f>SUM('[3]Porta Wk 16'!T77:BI77)</f>
        <v>0</v>
      </c>
      <c r="BQ77" s="1634"/>
      <c r="BR77" s="1655"/>
    </row>
    <row r="78" spans="1:71" x14ac:dyDescent="0.3">
      <c r="A78" s="972"/>
      <c r="B78" s="1003"/>
      <c r="D78" s="975"/>
      <c r="E78" s="1004"/>
      <c r="F78" s="1005"/>
      <c r="G78" s="972"/>
      <c r="H78" s="973"/>
      <c r="I78" s="977"/>
      <c r="J78" s="977"/>
      <c r="K78" s="1222"/>
      <c r="L78" s="1222"/>
      <c r="M78" s="1222"/>
      <c r="N78" s="1222"/>
      <c r="O78" s="1222"/>
      <c r="P78" s="1222"/>
      <c r="Q78" s="1222"/>
      <c r="R78" s="1222"/>
      <c r="S78" s="1222"/>
      <c r="T78" s="1848"/>
      <c r="U78" s="1222"/>
      <c r="V78" s="1222"/>
      <c r="W78" s="1222"/>
      <c r="X78" s="1222"/>
      <c r="Y78" s="1849"/>
      <c r="AE78" s="1656"/>
      <c r="AK78" s="1625"/>
      <c r="AL78" s="1624"/>
      <c r="AQ78" s="1625"/>
      <c r="AR78" s="1624"/>
      <c r="AX78" s="1624"/>
      <c r="BC78" s="1625"/>
      <c r="BD78" s="1624"/>
      <c r="BI78" s="1625"/>
      <c r="BJ78" s="1624"/>
      <c r="BO78" s="1625"/>
      <c r="BP78" s="1624"/>
      <c r="BR78" s="1625"/>
      <c r="BS78" s="1"/>
    </row>
    <row r="79" spans="1:7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085"/>
      <c r="S79" s="1657"/>
      <c r="T79" s="1865"/>
      <c r="U79" s="1657"/>
      <c r="V79" s="1657"/>
      <c r="W79" s="1657"/>
      <c r="X79" s="1657"/>
      <c r="Y79" s="1866"/>
      <c r="Z79" s="1085"/>
      <c r="AA79" s="1085"/>
      <c r="AB79" s="1085"/>
      <c r="AC79" s="1085"/>
      <c r="AD79" s="1085"/>
      <c r="AE79" s="1308"/>
      <c r="AF79" s="1085"/>
      <c r="AG79" s="1085"/>
      <c r="AH79" s="1085"/>
      <c r="AI79" s="1085"/>
      <c r="AJ79" s="1085"/>
      <c r="AK79" s="1309"/>
      <c r="AL79" s="1310"/>
      <c r="AM79" s="1085"/>
      <c r="AN79" s="1085"/>
      <c r="AO79" s="1085"/>
      <c r="AP79" s="1085"/>
      <c r="AQ79" s="1309"/>
      <c r="AR79" s="1310"/>
      <c r="AS79" s="1085"/>
      <c r="AT79" s="1085"/>
      <c r="AU79" s="1085"/>
      <c r="AV79" s="1085"/>
      <c r="AW79" s="1085"/>
      <c r="AX79" s="1310"/>
      <c r="AY79" s="1085"/>
      <c r="AZ79" s="1085"/>
      <c r="BA79" s="1085"/>
      <c r="BB79" s="1085"/>
      <c r="BC79" s="1309"/>
      <c r="BD79" s="1310"/>
      <c r="BE79" s="1085"/>
      <c r="BF79" s="1085"/>
      <c r="BG79" s="1085"/>
      <c r="BH79" s="1085"/>
      <c r="BI79" s="1309"/>
      <c r="BJ79" s="1310"/>
      <c r="BK79" s="1085"/>
      <c r="BL79" s="1085"/>
      <c r="BM79" s="1085"/>
      <c r="BN79" s="1085"/>
      <c r="BO79" s="1309"/>
      <c r="BP79" s="1310"/>
      <c r="BQ79" s="1085"/>
      <c r="BR79" s="1309"/>
      <c r="BS79" s="1"/>
    </row>
    <row r="80" spans="1:7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085"/>
      <c r="S80" s="1085"/>
      <c r="T80" s="1310"/>
      <c r="U80" s="1085"/>
      <c r="V80" s="1085"/>
      <c r="W80" s="1085"/>
      <c r="X80" s="1085"/>
      <c r="Y80" s="1309"/>
      <c r="Z80" s="1085"/>
      <c r="AA80" s="1085"/>
      <c r="AB80" s="1085"/>
      <c r="AC80" s="1085"/>
      <c r="AD80" s="1085"/>
      <c r="AE80" s="1308"/>
      <c r="AF80" s="1085"/>
      <c r="AG80" s="1085"/>
      <c r="AH80" s="1085"/>
      <c r="AI80" s="1085"/>
      <c r="AJ80" s="1085"/>
      <c r="AK80" s="1309"/>
      <c r="AL80" s="1310"/>
      <c r="AM80" s="1085"/>
      <c r="AN80" s="1085"/>
      <c r="AO80" s="1085"/>
      <c r="AP80" s="1085"/>
      <c r="AQ80" s="1309"/>
      <c r="AR80" s="1310"/>
      <c r="AS80" s="1085"/>
      <c r="AT80" s="1085"/>
      <c r="AU80" s="1085"/>
      <c r="AV80" s="1085"/>
      <c r="AW80" s="1085"/>
      <c r="AX80" s="1310"/>
      <c r="AY80" s="1085"/>
      <c r="AZ80" s="1085"/>
      <c r="BA80" s="1085"/>
      <c r="BB80" s="1085"/>
      <c r="BC80" s="1309"/>
      <c r="BD80" s="1310"/>
      <c r="BE80" s="1085"/>
      <c r="BF80" s="1085"/>
      <c r="BG80" s="1085"/>
      <c r="BH80" s="1085"/>
      <c r="BI80" s="1309"/>
      <c r="BJ80" s="1310"/>
      <c r="BK80" s="1085"/>
      <c r="BL80" s="1085"/>
      <c r="BM80" s="1085"/>
      <c r="BN80" s="1085"/>
      <c r="BO80" s="1309"/>
      <c r="BP80" s="1310"/>
      <c r="BQ80" s="1085"/>
      <c r="BR80" s="1309"/>
      <c r="BS80" s="1"/>
    </row>
    <row r="81" spans="1:72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085"/>
      <c r="S81" s="1085"/>
      <c r="T81" s="1310"/>
      <c r="U81" s="1085"/>
      <c r="V81" s="1085"/>
      <c r="W81" s="1085"/>
      <c r="X81" s="1085"/>
      <c r="Y81" s="1309"/>
      <c r="Z81" s="1085"/>
      <c r="AA81" s="1085"/>
      <c r="AB81" s="1085"/>
      <c r="AC81" s="1085"/>
      <c r="AD81" s="1085"/>
      <c r="AE81" s="1308"/>
      <c r="AF81" s="1085"/>
      <c r="AG81" s="1085"/>
      <c r="AH81" s="1085"/>
      <c r="AI81" s="1085"/>
      <c r="AJ81" s="1085"/>
      <c r="AK81" s="1309"/>
      <c r="AL81" s="1310"/>
      <c r="AM81" s="1085"/>
      <c r="AN81" s="1085"/>
      <c r="AO81" s="1085"/>
      <c r="AP81" s="1085"/>
      <c r="AQ81" s="1309"/>
      <c r="AR81" s="1310"/>
      <c r="AS81" s="1085"/>
      <c r="AT81" s="1085"/>
      <c r="AU81" s="1085"/>
      <c r="AV81" s="1085"/>
      <c r="AW81" s="1085"/>
      <c r="AX81" s="1310"/>
      <c r="AY81" s="1085"/>
      <c r="AZ81" s="1085"/>
      <c r="BA81" s="1085"/>
      <c r="BB81" s="1085"/>
      <c r="BC81" s="1309"/>
      <c r="BD81" s="1310"/>
      <c r="BE81" s="1085"/>
      <c r="BF81" s="1085"/>
      <c r="BG81" s="1085"/>
      <c r="BH81" s="1085"/>
      <c r="BI81" s="1309"/>
      <c r="BJ81" s="1310"/>
      <c r="BK81" s="1085"/>
      <c r="BL81" s="1085"/>
      <c r="BM81" s="1085"/>
      <c r="BN81" s="1085"/>
      <c r="BO81" s="1309"/>
      <c r="BP81" s="1310"/>
      <c r="BQ81" s="1085"/>
      <c r="BR81" s="1309"/>
      <c r="BS81" s="1"/>
    </row>
    <row r="82" spans="1:72" ht="15" thickBot="1" x14ac:dyDescent="0.35">
      <c r="A82" s="12"/>
      <c r="B82" s="48"/>
      <c r="C82" s="48"/>
      <c r="D82" s="48"/>
      <c r="E82" s="321"/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1085"/>
      <c r="S82" s="1085"/>
      <c r="T82" s="1310"/>
      <c r="U82" s="1085"/>
      <c r="V82" s="1085"/>
      <c r="W82" s="1085"/>
      <c r="X82" s="1085"/>
      <c r="Y82" s="1309"/>
      <c r="Z82" s="1085"/>
      <c r="AA82" s="1085"/>
      <c r="AB82" s="1085"/>
      <c r="AC82" s="1085"/>
      <c r="AD82" s="1085"/>
      <c r="AE82" s="1308"/>
      <c r="AF82" s="1085"/>
      <c r="AG82" s="1085"/>
      <c r="AH82" s="1085"/>
      <c r="AI82" s="1085"/>
      <c r="AJ82" s="1085"/>
      <c r="AK82" s="1309"/>
      <c r="AL82" s="1310"/>
      <c r="AM82" s="1085"/>
      <c r="AN82" s="1085"/>
      <c r="AO82" s="1085"/>
      <c r="AP82" s="1085"/>
      <c r="AQ82" s="1309"/>
      <c r="AR82" s="1310"/>
      <c r="AS82" s="1085"/>
      <c r="AT82" s="1085"/>
      <c r="AU82" s="1085"/>
      <c r="AV82" s="1085"/>
      <c r="AW82" s="1085"/>
      <c r="AX82" s="1310"/>
      <c r="AY82" s="1085"/>
      <c r="AZ82" s="1085"/>
      <c r="BA82" s="1085"/>
      <c r="BB82" s="1085"/>
      <c r="BC82" s="1309"/>
      <c r="BD82" s="1310"/>
      <c r="BE82" s="1085"/>
      <c r="BF82" s="1085"/>
      <c r="BG82" s="1085"/>
      <c r="BH82" s="1085"/>
      <c r="BI82" s="1309"/>
      <c r="BJ82" s="1310"/>
      <c r="BK82" s="1085"/>
      <c r="BL82" s="1085"/>
      <c r="BM82" s="1085"/>
      <c r="BN82" s="1085"/>
      <c r="BO82" s="1309"/>
      <c r="BP82" s="1310"/>
      <c r="BQ82" s="1085"/>
      <c r="BR82" s="1309"/>
      <c r="BS82" s="1"/>
    </row>
    <row r="83" spans="1:72" ht="16.2" thickBot="1" x14ac:dyDescent="0.35">
      <c r="A83" s="96" t="s">
        <v>107</v>
      </c>
      <c r="B83" s="4"/>
      <c r="C83" s="5"/>
      <c r="D83" s="1" t="s">
        <v>12</v>
      </c>
      <c r="E83" s="97"/>
      <c r="F83" s="98"/>
      <c r="G83" s="98"/>
      <c r="H83" s="98"/>
      <c r="I83" s="98"/>
      <c r="J83" s="98"/>
      <c r="K83" s="98"/>
      <c r="L83" s="98"/>
      <c r="M83" s="98"/>
      <c r="N83" s="98"/>
      <c r="O83" s="98"/>
      <c r="P83" s="98"/>
      <c r="Q83" s="98"/>
      <c r="R83" s="1085"/>
      <c r="S83" s="1085"/>
      <c r="T83" s="1310"/>
      <c r="U83" s="1085"/>
      <c r="V83" s="1085"/>
      <c r="W83" s="1085"/>
      <c r="X83" s="1085"/>
      <c r="Y83" s="1309"/>
      <c r="Z83" s="1085"/>
      <c r="AA83" s="1658"/>
      <c r="AB83" s="1085"/>
      <c r="AC83" s="1085"/>
      <c r="AD83" s="1085"/>
      <c r="AE83" s="1659"/>
      <c r="AF83" s="1658"/>
      <c r="AG83" s="1085"/>
      <c r="AH83" s="1085"/>
      <c r="AI83" s="1085"/>
      <c r="AJ83" s="1085"/>
      <c r="AK83" s="1309"/>
      <c r="AL83" s="1310"/>
      <c r="AM83" s="1085"/>
      <c r="AN83" s="1658"/>
      <c r="AO83" s="1085"/>
      <c r="AP83" s="1085"/>
      <c r="AQ83" s="1309"/>
      <c r="AR83" s="1310"/>
      <c r="AS83" s="1085"/>
      <c r="AT83" s="1085"/>
      <c r="AU83" s="1660"/>
      <c r="AV83" s="1085"/>
      <c r="AW83" s="1085"/>
      <c r="AX83" s="1310"/>
      <c r="AY83" s="1085"/>
      <c r="AZ83" s="1085"/>
      <c r="BA83" s="1085"/>
      <c r="BB83" s="1085"/>
      <c r="BC83" s="1309"/>
      <c r="BD83" s="1310"/>
      <c r="BE83" s="1658"/>
      <c r="BF83" s="1658"/>
      <c r="BG83" s="1085"/>
      <c r="BH83" s="1085"/>
      <c r="BI83" s="1661"/>
      <c r="BJ83" s="1310"/>
      <c r="BK83" s="1085"/>
      <c r="BL83" s="1133"/>
      <c r="BM83" s="1085"/>
      <c r="BN83" s="1085"/>
      <c r="BO83" s="1309"/>
      <c r="BP83" s="1310"/>
      <c r="BQ83" s="1085"/>
      <c r="BR83" s="1309"/>
      <c r="BS83" s="1"/>
    </row>
    <row r="84" spans="1:72" ht="16.8" thickTop="1" thickBot="1" x14ac:dyDescent="0.35">
      <c r="A84" s="99" t="s">
        <v>29</v>
      </c>
      <c r="B84" s="1662" t="s">
        <v>30</v>
      </c>
      <c r="C84" s="222" t="s">
        <v>108</v>
      </c>
      <c r="D84" s="324" t="s">
        <v>2</v>
      </c>
      <c r="E84" s="103" t="s">
        <v>32</v>
      </c>
      <c r="F84" s="104" t="s">
        <v>33</v>
      </c>
      <c r="G84" s="104" t="s">
        <v>34</v>
      </c>
      <c r="H84" s="827" t="s">
        <v>35</v>
      </c>
      <c r="I84" s="824" t="s">
        <v>36</v>
      </c>
      <c r="J84" s="811" t="s">
        <v>37</v>
      </c>
      <c r="K84" s="1663" t="s">
        <v>38</v>
      </c>
      <c r="L84" s="1664" t="s">
        <v>39</v>
      </c>
      <c r="M84" s="1665" t="s">
        <v>40</v>
      </c>
      <c r="N84" s="1664" t="s">
        <v>41</v>
      </c>
      <c r="O84" s="1665" t="s">
        <v>42</v>
      </c>
      <c r="P84" s="1664" t="s">
        <v>43</v>
      </c>
      <c r="Q84" s="1665" t="s">
        <v>44</v>
      </c>
      <c r="R84" s="1664" t="s">
        <v>38</v>
      </c>
      <c r="S84" s="1665" t="s">
        <v>45</v>
      </c>
      <c r="T84" s="1740" t="s">
        <v>462</v>
      </c>
      <c r="U84" s="1739" t="s">
        <v>463</v>
      </c>
      <c r="V84" s="1736" t="s">
        <v>464</v>
      </c>
      <c r="W84" s="1736" t="s">
        <v>465</v>
      </c>
      <c r="X84" s="1737" t="s">
        <v>9</v>
      </c>
      <c r="Y84" s="1737" t="s">
        <v>9</v>
      </c>
      <c r="Z84" s="1666" t="s">
        <v>109</v>
      </c>
      <c r="AA84" s="1666" t="s">
        <v>110</v>
      </c>
      <c r="AB84" s="1667" t="s">
        <v>111</v>
      </c>
      <c r="AC84" s="1667" t="s">
        <v>112</v>
      </c>
      <c r="AD84" s="1668" t="s">
        <v>3</v>
      </c>
      <c r="AE84" s="1669" t="s">
        <v>3</v>
      </c>
      <c r="AF84" s="1666" t="s">
        <v>113</v>
      </c>
      <c r="AG84" s="1667" t="s">
        <v>114</v>
      </c>
      <c r="AH84" s="1666" t="s">
        <v>115</v>
      </c>
      <c r="AI84" s="1667" t="s">
        <v>116</v>
      </c>
      <c r="AJ84" s="1670" t="s">
        <v>51</v>
      </c>
      <c r="AK84" s="1670" t="s">
        <v>51</v>
      </c>
      <c r="AL84" s="1671" t="s">
        <v>117</v>
      </c>
      <c r="AM84" s="1672" t="s">
        <v>118</v>
      </c>
      <c r="AN84" s="1672" t="s">
        <v>119</v>
      </c>
      <c r="AO84" s="1672" t="s">
        <v>120</v>
      </c>
      <c r="AP84" s="1673" t="s">
        <v>55</v>
      </c>
      <c r="AQ84" s="1673" t="s">
        <v>55</v>
      </c>
      <c r="AR84" s="1674" t="s">
        <v>121</v>
      </c>
      <c r="AS84" s="1667" t="s">
        <v>122</v>
      </c>
      <c r="AT84" s="1666" t="s">
        <v>123</v>
      </c>
      <c r="AU84" s="1666" t="s">
        <v>124</v>
      </c>
      <c r="AV84" s="1320" t="s">
        <v>59</v>
      </c>
      <c r="AW84" s="1320" t="s">
        <v>59</v>
      </c>
      <c r="AX84" s="1671" t="s">
        <v>125</v>
      </c>
      <c r="AY84" s="1666" t="s">
        <v>126</v>
      </c>
      <c r="AZ84" s="1667" t="s">
        <v>127</v>
      </c>
      <c r="BA84" s="1675" t="s">
        <v>128</v>
      </c>
      <c r="BB84" s="1673" t="s">
        <v>7</v>
      </c>
      <c r="BC84" s="1676" t="s">
        <v>7</v>
      </c>
      <c r="BD84" s="1666" t="s">
        <v>129</v>
      </c>
      <c r="BE84" s="1667" t="s">
        <v>130</v>
      </c>
      <c r="BF84" s="1667" t="s">
        <v>131</v>
      </c>
      <c r="BG84" s="1677" t="s">
        <v>132</v>
      </c>
      <c r="BH84" s="1318" t="s">
        <v>8</v>
      </c>
      <c r="BI84" s="1678" t="s">
        <v>8</v>
      </c>
      <c r="BJ84" s="1671" t="s">
        <v>133</v>
      </c>
      <c r="BK84" s="1666" t="s">
        <v>134</v>
      </c>
      <c r="BL84" s="1667" t="s">
        <v>135</v>
      </c>
      <c r="BM84" s="1667" t="s">
        <v>136</v>
      </c>
      <c r="BN84" s="1164" t="s">
        <v>9</v>
      </c>
      <c r="BO84" s="1668" t="s">
        <v>9</v>
      </c>
      <c r="BP84" s="1679" t="s">
        <v>70</v>
      </c>
      <c r="BQ84" s="1559" t="s">
        <v>71</v>
      </c>
      <c r="BR84" s="1670" t="s">
        <v>72</v>
      </c>
      <c r="BS84" s="1"/>
    </row>
    <row r="85" spans="1:72" x14ac:dyDescent="0.3">
      <c r="A85" s="1680">
        <v>2614</v>
      </c>
      <c r="B85" s="1681" t="s">
        <v>419</v>
      </c>
      <c r="C85" s="114">
        <v>10</v>
      </c>
      <c r="D85" s="19" t="s">
        <v>22</v>
      </c>
      <c r="E85" s="116">
        <v>1.7</v>
      </c>
      <c r="F85" s="116">
        <f>(BR85/G85)/4</f>
        <v>0</v>
      </c>
      <c r="G85" s="19">
        <v>336</v>
      </c>
      <c r="H85" s="327">
        <f t="shared" ref="H85:H90" si="23">G85*E85</f>
        <v>571.19999999999993</v>
      </c>
      <c r="I85" s="19">
        <v>3000</v>
      </c>
      <c r="J85" s="642">
        <v>1150</v>
      </c>
      <c r="K85" s="1682">
        <v>0</v>
      </c>
      <c r="L85" s="1683">
        <f t="shared" ref="L85:S90" si="24">K85-$H85</f>
        <v>-571.19999999999993</v>
      </c>
      <c r="M85" s="1683">
        <f t="shared" si="24"/>
        <v>-1142.3999999999999</v>
      </c>
      <c r="N85" s="1168">
        <f t="shared" si="24"/>
        <v>-1713.6</v>
      </c>
      <c r="O85" s="1683">
        <f t="shared" si="24"/>
        <v>-2284.7999999999997</v>
      </c>
      <c r="P85" s="1168">
        <f t="shared" si="24"/>
        <v>-2855.9999999999995</v>
      </c>
      <c r="Q85" s="1683">
        <f t="shared" si="24"/>
        <v>-3427.1999999999994</v>
      </c>
      <c r="R85" s="1093">
        <f t="shared" si="24"/>
        <v>-3998.3999999999992</v>
      </c>
      <c r="S85" s="1834">
        <f t="shared" si="24"/>
        <v>-4569.5999999999995</v>
      </c>
      <c r="T85" s="1841"/>
      <c r="U85" s="1096"/>
      <c r="V85" s="1287"/>
      <c r="W85" s="1096"/>
      <c r="X85" s="1287"/>
      <c r="Y85" s="1898"/>
      <c r="Z85" s="1095"/>
      <c r="AA85" s="1095"/>
      <c r="AB85" s="1096"/>
      <c r="AC85" s="1096"/>
      <c r="AD85" s="1214"/>
      <c r="AE85" s="1215"/>
      <c r="AF85" s="1176"/>
      <c r="AG85" s="1177"/>
      <c r="AH85" s="1684"/>
      <c r="AI85" s="1176"/>
      <c r="AJ85" s="1181"/>
      <c r="AK85" s="1181"/>
      <c r="AL85" s="1182"/>
      <c r="AM85" s="1096"/>
      <c r="AN85" s="1096"/>
      <c r="AO85" s="1097"/>
      <c r="AP85" s="1214"/>
      <c r="AQ85" s="1185"/>
      <c r="AR85" s="1186"/>
      <c r="AS85" s="1177"/>
      <c r="AT85" s="1684"/>
      <c r="AU85" s="1176"/>
      <c r="AV85" s="1180"/>
      <c r="AW85" s="1180"/>
      <c r="AX85" s="1188"/>
      <c r="AY85" s="1095"/>
      <c r="AZ85" s="1096"/>
      <c r="BA85" s="1096"/>
      <c r="BB85" s="1184"/>
      <c r="BC85" s="1181"/>
      <c r="BD85" s="1188"/>
      <c r="BE85" s="1177"/>
      <c r="BF85" s="1177"/>
      <c r="BG85" s="1685"/>
      <c r="BH85" s="1334"/>
      <c r="BI85" s="1181"/>
      <c r="BJ85" s="1188"/>
      <c r="BK85" s="1176"/>
      <c r="BL85" s="1177"/>
      <c r="BM85" s="1177"/>
      <c r="BN85" s="1190"/>
      <c r="BO85" s="1185"/>
      <c r="BP85" s="1686"/>
      <c r="BQ85" s="1687">
        <f>+J85</f>
        <v>1150</v>
      </c>
      <c r="BR85" s="1688">
        <f t="shared" ref="BR85:BR90" si="25">(J85+BP85)-BQ85</f>
        <v>0</v>
      </c>
      <c r="BS85" s="1"/>
      <c r="BT85" s="1192">
        <f>SUM(Z85:BO85)</f>
        <v>0</v>
      </c>
    </row>
    <row r="86" spans="1:72" x14ac:dyDescent="0.3">
      <c r="A86" s="1689">
        <v>2613</v>
      </c>
      <c r="B86" s="1690" t="s">
        <v>418</v>
      </c>
      <c r="C86" s="329">
        <v>5</v>
      </c>
      <c r="D86" s="137" t="s">
        <v>139</v>
      </c>
      <c r="E86" s="136">
        <v>0.94</v>
      </c>
      <c r="F86" s="136">
        <f>(BR86/G86)/7</f>
        <v>0</v>
      </c>
      <c r="G86" s="137">
        <v>419</v>
      </c>
      <c r="H86" s="423">
        <f>G86*E86</f>
        <v>393.85999999999996</v>
      </c>
      <c r="I86" s="419">
        <v>3000</v>
      </c>
      <c r="J86" s="139"/>
      <c r="K86" s="1342">
        <f t="shared" ref="K86:L90" si="26">J86-$H86</f>
        <v>-393.85999999999996</v>
      </c>
      <c r="L86" s="1194">
        <f t="shared" si="26"/>
        <v>-787.71999999999991</v>
      </c>
      <c r="M86" s="1954">
        <v>3000</v>
      </c>
      <c r="N86" s="1194">
        <f t="shared" si="24"/>
        <v>2606.14</v>
      </c>
      <c r="O86" s="1193">
        <f t="shared" si="24"/>
        <v>2212.2799999999997</v>
      </c>
      <c r="P86" s="1194">
        <f t="shared" si="24"/>
        <v>1818.4199999999998</v>
      </c>
      <c r="Q86" s="1193">
        <f t="shared" si="24"/>
        <v>1424.56</v>
      </c>
      <c r="R86" s="1691">
        <f t="shared" si="24"/>
        <v>1030.7</v>
      </c>
      <c r="S86" s="1195">
        <f t="shared" si="24"/>
        <v>636.84000000000015</v>
      </c>
      <c r="T86" s="1840"/>
      <c r="U86" s="1104"/>
      <c r="V86" s="1195"/>
      <c r="W86" s="1104"/>
      <c r="X86" s="1195"/>
      <c r="Y86" s="1897"/>
      <c r="Z86" s="1103"/>
      <c r="AA86" s="1103"/>
      <c r="AB86" s="1104"/>
      <c r="AC86" s="1104"/>
      <c r="AD86" s="1196"/>
      <c r="AE86" s="1197"/>
      <c r="AF86" s="1198"/>
      <c r="AG86" s="1199"/>
      <c r="AH86" s="1198"/>
      <c r="AI86" s="1198"/>
      <c r="AJ86" s="1203"/>
      <c r="AK86" s="1203"/>
      <c r="AL86" s="1204"/>
      <c r="AM86" s="1104"/>
      <c r="AN86" s="1104">
        <v>3000</v>
      </c>
      <c r="AO86" s="1205"/>
      <c r="AP86" s="1196"/>
      <c r="AQ86" s="1207"/>
      <c r="AR86" s="1208"/>
      <c r="AS86" s="1199"/>
      <c r="AT86" s="1198"/>
      <c r="AU86" s="1198"/>
      <c r="AV86" s="1202"/>
      <c r="AW86" s="1202"/>
      <c r="AX86" s="1210"/>
      <c r="AY86" s="1103"/>
      <c r="AZ86" s="1104"/>
      <c r="BA86" s="1104"/>
      <c r="BB86" s="1206"/>
      <c r="BC86" s="1203"/>
      <c r="BD86" s="1210"/>
      <c r="BE86" s="1199"/>
      <c r="BF86" s="1199"/>
      <c r="BG86" s="1692"/>
      <c r="BH86" s="1347"/>
      <c r="BI86" s="1203"/>
      <c r="BJ86" s="1210"/>
      <c r="BK86" s="1198"/>
      <c r="BL86" s="1199"/>
      <c r="BM86" s="1199"/>
      <c r="BN86" s="1211"/>
      <c r="BO86" s="1207"/>
      <c r="BP86" s="1686"/>
      <c r="BQ86" s="1687"/>
      <c r="BR86" s="1688">
        <f t="shared" si="25"/>
        <v>0</v>
      </c>
      <c r="BS86" s="1"/>
      <c r="BT86" s="1192">
        <f t="shared" ref="BT86:BT91" si="27">SUM(Z86:BO86)</f>
        <v>3000</v>
      </c>
    </row>
    <row r="87" spans="1:72" x14ac:dyDescent="0.3">
      <c r="A87" s="330">
        <v>2612</v>
      </c>
      <c r="B87" s="1690" t="s">
        <v>417</v>
      </c>
      <c r="C87" s="224">
        <v>6</v>
      </c>
      <c r="D87" s="137" t="s">
        <v>139</v>
      </c>
      <c r="E87" s="136">
        <v>0.94</v>
      </c>
      <c r="F87" s="136">
        <f>(BR87/G87)/7</f>
        <v>0.78231292517006801</v>
      </c>
      <c r="G87" s="156">
        <v>420</v>
      </c>
      <c r="H87" s="423">
        <f t="shared" si="23"/>
        <v>394.79999999999995</v>
      </c>
      <c r="I87" s="419">
        <v>3000</v>
      </c>
      <c r="J87" s="139">
        <v>2300</v>
      </c>
      <c r="K87" s="1342">
        <f t="shared" si="26"/>
        <v>1905.2</v>
      </c>
      <c r="L87" s="1954">
        <v>4510</v>
      </c>
      <c r="M87" s="1193">
        <f t="shared" si="24"/>
        <v>4115.2</v>
      </c>
      <c r="N87" s="1194">
        <f t="shared" si="24"/>
        <v>3720.3999999999996</v>
      </c>
      <c r="O87" s="1193">
        <f t="shared" si="24"/>
        <v>3325.5999999999995</v>
      </c>
      <c r="P87" s="1194">
        <f t="shared" si="24"/>
        <v>2930.7999999999993</v>
      </c>
      <c r="Q87" s="1194">
        <f t="shared" si="24"/>
        <v>2535.9999999999991</v>
      </c>
      <c r="R87" s="1691">
        <f t="shared" si="24"/>
        <v>2141.1999999999989</v>
      </c>
      <c r="S87" s="1195">
        <f t="shared" si="24"/>
        <v>1746.399999999999</v>
      </c>
      <c r="T87" s="1840"/>
      <c r="U87" s="1104"/>
      <c r="V87" s="1195"/>
      <c r="W87" s="1104"/>
      <c r="X87" s="1195"/>
      <c r="Y87" s="1897"/>
      <c r="Z87" s="1103"/>
      <c r="AA87" s="1103"/>
      <c r="AB87" s="1104"/>
      <c r="AC87" s="1104"/>
      <c r="AD87" s="1196"/>
      <c r="AE87" s="1197"/>
      <c r="AF87" s="1198"/>
      <c r="AG87" s="1199"/>
      <c r="AH87" s="1198">
        <v>3000</v>
      </c>
      <c r="AI87" s="1198"/>
      <c r="AJ87" s="1203"/>
      <c r="AK87" s="1203"/>
      <c r="AL87" s="1204"/>
      <c r="AM87" s="1104"/>
      <c r="AN87" s="1104"/>
      <c r="AO87" s="1205"/>
      <c r="AP87" s="1196"/>
      <c r="AQ87" s="1207"/>
      <c r="AR87" s="1208"/>
      <c r="AS87" s="1199"/>
      <c r="AT87" s="1198"/>
      <c r="AU87" s="1198"/>
      <c r="AV87" s="1202"/>
      <c r="AW87" s="1202"/>
      <c r="AX87" s="1210"/>
      <c r="AY87" s="1103"/>
      <c r="AZ87" s="1104"/>
      <c r="BA87" s="1104"/>
      <c r="BB87" s="1206"/>
      <c r="BC87" s="1203"/>
      <c r="BD87" s="1210"/>
      <c r="BE87" s="1199"/>
      <c r="BF87" s="1199"/>
      <c r="BG87" s="1692"/>
      <c r="BH87" s="1347"/>
      <c r="BI87" s="1203"/>
      <c r="BJ87" s="1210"/>
      <c r="BK87" s="1198"/>
      <c r="BL87" s="1199"/>
      <c r="BM87" s="1199"/>
      <c r="BN87" s="1211"/>
      <c r="BO87" s="1207"/>
      <c r="BP87" s="1686"/>
      <c r="BQ87" s="1687"/>
      <c r="BR87" s="1688">
        <f t="shared" si="25"/>
        <v>2300</v>
      </c>
      <c r="BS87" s="1"/>
      <c r="BT87" s="1192">
        <f t="shared" si="27"/>
        <v>3000</v>
      </c>
    </row>
    <row r="88" spans="1:72" x14ac:dyDescent="0.3">
      <c r="A88" s="330">
        <v>2611</v>
      </c>
      <c r="B88" s="1693" t="s">
        <v>416</v>
      </c>
      <c r="C88" s="224">
        <v>7</v>
      </c>
      <c r="D88" s="137" t="s">
        <v>22</v>
      </c>
      <c r="E88" s="136">
        <v>1</v>
      </c>
      <c r="F88" s="331">
        <f>(BR88/G88)/7</f>
        <v>0.82763584023029868</v>
      </c>
      <c r="G88" s="137">
        <v>397</v>
      </c>
      <c r="H88" s="139">
        <f>G88*E88</f>
        <v>397</v>
      </c>
      <c r="I88" s="137">
        <v>3000</v>
      </c>
      <c r="J88" s="139">
        <v>2300</v>
      </c>
      <c r="K88" s="1342">
        <f t="shared" si="26"/>
        <v>1903</v>
      </c>
      <c r="L88" s="1194">
        <f t="shared" si="26"/>
        <v>1506</v>
      </c>
      <c r="M88" s="1193">
        <f t="shared" si="24"/>
        <v>1109</v>
      </c>
      <c r="N88" s="1193">
        <f t="shared" si="24"/>
        <v>712</v>
      </c>
      <c r="O88" s="1193">
        <f t="shared" si="24"/>
        <v>315</v>
      </c>
      <c r="P88" s="1194">
        <f t="shared" si="24"/>
        <v>-82</v>
      </c>
      <c r="Q88" s="1193">
        <f t="shared" si="24"/>
        <v>-479</v>
      </c>
      <c r="R88" s="1691">
        <f t="shared" si="24"/>
        <v>-876</v>
      </c>
      <c r="S88" s="1195">
        <f t="shared" si="24"/>
        <v>-1273</v>
      </c>
      <c r="T88" s="1840"/>
      <c r="U88" s="1104"/>
      <c r="V88" s="1195"/>
      <c r="W88" s="1104"/>
      <c r="X88" s="1195"/>
      <c r="Y88" s="1897"/>
      <c r="Z88" s="1103"/>
      <c r="AA88" s="1103"/>
      <c r="AB88" s="1104"/>
      <c r="AC88" s="1104"/>
      <c r="AD88" s="1196"/>
      <c r="AE88" s="1197"/>
      <c r="AF88" s="1198"/>
      <c r="AG88" s="1199"/>
      <c r="AH88" s="1198"/>
      <c r="AI88" s="1198"/>
      <c r="AJ88" s="1203"/>
      <c r="AK88" s="1203"/>
      <c r="AL88" s="1204"/>
      <c r="AM88" s="1104"/>
      <c r="AN88" s="1104"/>
      <c r="AO88" s="1205"/>
      <c r="AP88" s="1196"/>
      <c r="AQ88" s="1207"/>
      <c r="AR88" s="1208"/>
      <c r="AS88" s="1199"/>
      <c r="AT88" s="1198"/>
      <c r="AU88" s="1198"/>
      <c r="AV88" s="1202"/>
      <c r="AW88" s="1202"/>
      <c r="AX88" s="1210"/>
      <c r="AY88" s="1103"/>
      <c r="AZ88" s="1104"/>
      <c r="BA88" s="1104"/>
      <c r="BB88" s="1206"/>
      <c r="BC88" s="1203"/>
      <c r="BD88" s="1210"/>
      <c r="BE88" s="1199"/>
      <c r="BF88" s="1199"/>
      <c r="BG88" s="1692"/>
      <c r="BH88" s="1347"/>
      <c r="BI88" s="1203"/>
      <c r="BJ88" s="1210"/>
      <c r="BK88" s="1198"/>
      <c r="BL88" s="1199"/>
      <c r="BM88" s="1199"/>
      <c r="BN88" s="1211"/>
      <c r="BO88" s="1207"/>
      <c r="BP88" s="1686"/>
      <c r="BQ88" s="1687"/>
      <c r="BR88" s="1688">
        <f t="shared" si="25"/>
        <v>2300</v>
      </c>
      <c r="BS88" s="1"/>
      <c r="BT88" s="1192">
        <f t="shared" si="27"/>
        <v>0</v>
      </c>
    </row>
    <row r="89" spans="1:72" x14ac:dyDescent="0.3">
      <c r="A89" s="330">
        <v>2610</v>
      </c>
      <c r="B89" s="199" t="s">
        <v>415</v>
      </c>
      <c r="C89" s="224">
        <v>8</v>
      </c>
      <c r="D89" s="137" t="s">
        <v>22</v>
      </c>
      <c r="E89" s="136">
        <v>1.1000000000000001</v>
      </c>
      <c r="F89" s="136">
        <f>(BR89/G89)/7</f>
        <v>0.5714285714285714</v>
      </c>
      <c r="G89" s="137">
        <v>400</v>
      </c>
      <c r="H89" s="139">
        <f t="shared" si="23"/>
        <v>440.00000000000006</v>
      </c>
      <c r="I89" s="137">
        <v>3000</v>
      </c>
      <c r="J89" s="139">
        <v>1600</v>
      </c>
      <c r="K89" s="1194">
        <f t="shared" si="26"/>
        <v>1160</v>
      </c>
      <c r="L89" s="1954">
        <v>3720</v>
      </c>
      <c r="M89" s="1193">
        <f t="shared" si="24"/>
        <v>3280</v>
      </c>
      <c r="N89" s="1194">
        <f t="shared" si="24"/>
        <v>2840</v>
      </c>
      <c r="O89" s="1194">
        <f t="shared" si="24"/>
        <v>2400</v>
      </c>
      <c r="P89" s="1194">
        <f t="shared" si="24"/>
        <v>1960</v>
      </c>
      <c r="Q89" s="1193">
        <f t="shared" si="24"/>
        <v>1520</v>
      </c>
      <c r="R89" s="1691">
        <f t="shared" si="24"/>
        <v>1080</v>
      </c>
      <c r="S89" s="1195">
        <f t="shared" si="24"/>
        <v>640</v>
      </c>
      <c r="T89" s="1840"/>
      <c r="U89" s="1104"/>
      <c r="V89" s="1195"/>
      <c r="W89" s="1104"/>
      <c r="X89" s="1195"/>
      <c r="Y89" s="1897"/>
      <c r="Z89" s="1103"/>
      <c r="AA89" s="1103"/>
      <c r="AB89" s="1104"/>
      <c r="AC89" s="1104"/>
      <c r="AD89" s="1196"/>
      <c r="AE89" s="1197"/>
      <c r="AF89" s="1198"/>
      <c r="AG89" s="1199"/>
      <c r="AH89" s="1198"/>
      <c r="AI89" s="1198"/>
      <c r="AJ89" s="1203"/>
      <c r="AK89" s="1203"/>
      <c r="AL89" s="1204"/>
      <c r="AM89" s="1104"/>
      <c r="AN89" s="1104"/>
      <c r="AO89" s="1205"/>
      <c r="AP89" s="1196"/>
      <c r="AQ89" s="1207"/>
      <c r="AR89" s="1208"/>
      <c r="AS89" s="1199"/>
      <c r="AT89" s="1198"/>
      <c r="AU89" s="1198"/>
      <c r="AV89" s="1202"/>
      <c r="AW89" s="1202"/>
      <c r="AX89" s="1210"/>
      <c r="AY89" s="1103"/>
      <c r="AZ89" s="1104"/>
      <c r="BA89" s="1104"/>
      <c r="BB89" s="1206"/>
      <c r="BC89" s="1203"/>
      <c r="BD89" s="1210"/>
      <c r="BE89" s="1199"/>
      <c r="BF89" s="1199"/>
      <c r="BG89" s="1692"/>
      <c r="BH89" s="1347"/>
      <c r="BI89" s="1203"/>
      <c r="BJ89" s="1210"/>
      <c r="BK89" s="1198"/>
      <c r="BL89" s="1199"/>
      <c r="BM89" s="1199"/>
      <c r="BN89" s="1211"/>
      <c r="BO89" s="1207"/>
      <c r="BP89" s="1686"/>
      <c r="BQ89" s="1687"/>
      <c r="BR89" s="1688">
        <f t="shared" si="25"/>
        <v>1600</v>
      </c>
      <c r="BS89" s="1"/>
      <c r="BT89" s="1192">
        <f t="shared" si="27"/>
        <v>0</v>
      </c>
    </row>
    <row r="90" spans="1:72" ht="15" thickBot="1" x14ac:dyDescent="0.35">
      <c r="A90" s="211">
        <v>2609</v>
      </c>
      <c r="B90" s="1694" t="s">
        <v>420</v>
      </c>
      <c r="C90" s="1695">
        <v>9</v>
      </c>
      <c r="D90" s="210" t="s">
        <v>22</v>
      </c>
      <c r="E90" s="204">
        <v>1.5</v>
      </c>
      <c r="F90" s="204">
        <f>(BR90/G90)/7</f>
        <v>0.29259896729776252</v>
      </c>
      <c r="G90" s="210">
        <v>415</v>
      </c>
      <c r="H90" s="839">
        <f t="shared" si="23"/>
        <v>622.5</v>
      </c>
      <c r="I90" s="210">
        <v>3000</v>
      </c>
      <c r="J90" s="1696">
        <v>850</v>
      </c>
      <c r="K90" s="2520">
        <v>3228</v>
      </c>
      <c r="L90" s="1698">
        <f t="shared" si="26"/>
        <v>2605.5</v>
      </c>
      <c r="M90" s="1699">
        <f t="shared" si="24"/>
        <v>1983</v>
      </c>
      <c r="N90" s="1698">
        <f t="shared" si="24"/>
        <v>1360.5</v>
      </c>
      <c r="O90" s="1699">
        <f t="shared" si="24"/>
        <v>738</v>
      </c>
      <c r="P90" s="1699">
        <f t="shared" si="24"/>
        <v>115.5</v>
      </c>
      <c r="Q90" s="1699">
        <f t="shared" si="24"/>
        <v>-507</v>
      </c>
      <c r="R90" s="1292">
        <f t="shared" si="24"/>
        <v>-1129.5</v>
      </c>
      <c r="S90" s="1293">
        <f t="shared" si="24"/>
        <v>-1752</v>
      </c>
      <c r="T90" s="1927"/>
      <c r="U90" s="1812"/>
      <c r="V90" s="1816"/>
      <c r="W90" s="1812"/>
      <c r="X90" s="1816"/>
      <c r="Y90" s="1928"/>
      <c r="Z90" s="1700"/>
      <c r="AA90" s="1700"/>
      <c r="AB90" s="1107"/>
      <c r="AC90" s="1107">
        <v>3000</v>
      </c>
      <c r="AD90" s="1701"/>
      <c r="AE90" s="1702"/>
      <c r="AF90" s="1703"/>
      <c r="AG90" s="1704"/>
      <c r="AH90" s="1703"/>
      <c r="AI90" s="1703"/>
      <c r="AJ90" s="1705"/>
      <c r="AK90" s="1705"/>
      <c r="AL90" s="1706"/>
      <c r="AM90" s="1107"/>
      <c r="AN90" s="1107"/>
      <c r="AO90" s="1707"/>
      <c r="AP90" s="1701"/>
      <c r="AQ90" s="1708"/>
      <c r="AR90" s="1709"/>
      <c r="AS90" s="1704"/>
      <c r="AT90" s="1703"/>
      <c r="AU90" s="1703"/>
      <c r="AV90" s="1710"/>
      <c r="AW90" s="1710"/>
      <c r="AX90" s="1711"/>
      <c r="AY90" s="1700"/>
      <c r="AZ90" s="1107"/>
      <c r="BA90" s="1107"/>
      <c r="BB90" s="1712"/>
      <c r="BC90" s="1705"/>
      <c r="BD90" s="1711"/>
      <c r="BE90" s="1704"/>
      <c r="BF90" s="1704"/>
      <c r="BG90" s="1713"/>
      <c r="BH90" s="1714"/>
      <c r="BI90" s="1231"/>
      <c r="BJ90" s="1711"/>
      <c r="BK90" s="1703"/>
      <c r="BL90" s="1704"/>
      <c r="BM90" s="1704"/>
      <c r="BN90" s="1715"/>
      <c r="BO90" s="1708"/>
      <c r="BP90" s="1716"/>
      <c r="BQ90" s="1307"/>
      <c r="BR90" s="1717">
        <f t="shared" si="25"/>
        <v>850</v>
      </c>
      <c r="BS90" s="1"/>
      <c r="BT90" s="1192">
        <f t="shared" si="27"/>
        <v>3000</v>
      </c>
    </row>
    <row r="91" spans="1:72" ht="15" thickBot="1" x14ac:dyDescent="0.35">
      <c r="A91" s="308"/>
      <c r="B91" s="308"/>
      <c r="C91" s="337"/>
      <c r="D91" s="338"/>
      <c r="E91" s="339"/>
      <c r="F91" s="339"/>
      <c r="G91" s="339"/>
      <c r="H91" s="339"/>
      <c r="I91" s="339"/>
      <c r="J91" s="339"/>
      <c r="K91" s="339"/>
      <c r="L91" s="1718"/>
      <c r="M91" s="1718"/>
      <c r="N91" s="1718"/>
      <c r="O91" s="1718"/>
      <c r="P91" s="1718"/>
      <c r="Q91" s="1718"/>
      <c r="R91" s="1719"/>
      <c r="S91" s="1719"/>
      <c r="T91" s="1723"/>
      <c r="U91" s="1719"/>
      <c r="V91" s="1719"/>
      <c r="W91" s="1719"/>
      <c r="X91" s="1719"/>
      <c r="Y91" s="1867"/>
      <c r="Z91" s="1719">
        <f>SUM(Z85:Z90)</f>
        <v>0</v>
      </c>
      <c r="AA91" s="1719">
        <f t="shared" ref="AA91:BQ91" si="28">SUM(AA85:AA90)</f>
        <v>0</v>
      </c>
      <c r="AB91" s="1719">
        <f t="shared" si="28"/>
        <v>0</v>
      </c>
      <c r="AC91" s="1719">
        <f t="shared" si="28"/>
        <v>3000</v>
      </c>
      <c r="AD91" s="1719">
        <f t="shared" si="28"/>
        <v>0</v>
      </c>
      <c r="AE91" s="1720">
        <f t="shared" si="28"/>
        <v>0</v>
      </c>
      <c r="AF91" s="1721">
        <f t="shared" si="28"/>
        <v>0</v>
      </c>
      <c r="AG91" s="1721">
        <f t="shared" si="28"/>
        <v>0</v>
      </c>
      <c r="AH91" s="1721">
        <f t="shared" si="28"/>
        <v>3000</v>
      </c>
      <c r="AI91" s="1721">
        <f t="shared" si="28"/>
        <v>0</v>
      </c>
      <c r="AJ91" s="1721">
        <f t="shared" si="28"/>
        <v>0</v>
      </c>
      <c r="AK91" s="1722">
        <f t="shared" si="28"/>
        <v>0</v>
      </c>
      <c r="AL91" s="1723">
        <f t="shared" si="28"/>
        <v>0</v>
      </c>
      <c r="AM91" s="1719">
        <f t="shared" si="28"/>
        <v>0</v>
      </c>
      <c r="AN91" s="1719">
        <f t="shared" si="28"/>
        <v>3000</v>
      </c>
      <c r="AO91" s="1719">
        <f t="shared" si="28"/>
        <v>0</v>
      </c>
      <c r="AP91" s="1719">
        <f t="shared" si="28"/>
        <v>0</v>
      </c>
      <c r="AQ91" s="1722">
        <f t="shared" si="28"/>
        <v>0</v>
      </c>
      <c r="AR91" s="1724">
        <f t="shared" si="28"/>
        <v>0</v>
      </c>
      <c r="AS91" s="1725">
        <f t="shared" si="28"/>
        <v>0</v>
      </c>
      <c r="AT91" s="1721">
        <f t="shared" si="28"/>
        <v>0</v>
      </c>
      <c r="AU91" s="1721">
        <f t="shared" si="28"/>
        <v>0</v>
      </c>
      <c r="AV91" s="1721">
        <f t="shared" si="28"/>
        <v>0</v>
      </c>
      <c r="AW91" s="1721">
        <f t="shared" si="28"/>
        <v>0</v>
      </c>
      <c r="AX91" s="1724">
        <f t="shared" si="28"/>
        <v>0</v>
      </c>
      <c r="AY91" s="1719">
        <f t="shared" si="28"/>
        <v>0</v>
      </c>
      <c r="AZ91" s="1719">
        <f t="shared" si="28"/>
        <v>0</v>
      </c>
      <c r="BA91" s="1719">
        <f t="shared" si="28"/>
        <v>0</v>
      </c>
      <c r="BB91" s="1719">
        <f t="shared" si="28"/>
        <v>0</v>
      </c>
      <c r="BC91" s="1722">
        <f t="shared" si="28"/>
        <v>0</v>
      </c>
      <c r="BD91" s="1724">
        <f t="shared" si="28"/>
        <v>0</v>
      </c>
      <c r="BE91" s="1721">
        <f t="shared" si="28"/>
        <v>0</v>
      </c>
      <c r="BF91" s="1721">
        <f t="shared" si="28"/>
        <v>0</v>
      </c>
      <c r="BG91" s="1721">
        <f t="shared" si="28"/>
        <v>0</v>
      </c>
      <c r="BH91" s="1721">
        <f t="shared" si="28"/>
        <v>0</v>
      </c>
      <c r="BI91" s="1726">
        <f t="shared" si="28"/>
        <v>0</v>
      </c>
      <c r="BJ91" s="1724">
        <f t="shared" si="28"/>
        <v>0</v>
      </c>
      <c r="BK91" s="1721">
        <f t="shared" si="28"/>
        <v>0</v>
      </c>
      <c r="BL91" s="1721">
        <f t="shared" si="28"/>
        <v>0</v>
      </c>
      <c r="BM91" s="1721">
        <f t="shared" si="28"/>
        <v>0</v>
      </c>
      <c r="BN91" s="1721">
        <f t="shared" si="28"/>
        <v>0</v>
      </c>
      <c r="BO91" s="1722">
        <f t="shared" si="28"/>
        <v>0</v>
      </c>
      <c r="BP91" s="1724">
        <f t="shared" si="28"/>
        <v>0</v>
      </c>
      <c r="BQ91" s="1721">
        <f t="shared" si="28"/>
        <v>1150</v>
      </c>
      <c r="BR91" s="1722"/>
      <c r="BS91" s="1085">
        <f>SUM(Z91:BR91)</f>
        <v>10150</v>
      </c>
      <c r="BT91" s="1192">
        <f t="shared" si="27"/>
        <v>9000</v>
      </c>
    </row>
    <row r="92" spans="1:72" ht="16.8" thickTop="1" thickBot="1" x14ac:dyDescent="0.35">
      <c r="A92" s="340" t="s">
        <v>143</v>
      </c>
      <c r="B92" s="341"/>
      <c r="C92" s="342"/>
      <c r="D92" s="308"/>
      <c r="E92" s="308"/>
      <c r="F92" s="308"/>
      <c r="G92" s="308"/>
      <c r="H92" s="308"/>
      <c r="I92" s="308"/>
      <c r="J92" s="308"/>
      <c r="K92" s="308"/>
      <c r="L92" s="1721"/>
      <c r="M92" s="1721"/>
      <c r="N92" s="1721"/>
      <c r="O92" s="1721"/>
      <c r="P92" s="1721"/>
      <c r="Q92" s="1721"/>
      <c r="R92" s="1721"/>
      <c r="S92" s="1721"/>
      <c r="T92" s="1724"/>
      <c r="U92" s="1721"/>
      <c r="V92" s="1721"/>
      <c r="W92" s="1721"/>
      <c r="X92" s="1721"/>
      <c r="Y92" s="1722"/>
      <c r="Z92" s="1721"/>
      <c r="AA92" s="1721"/>
      <c r="AB92" s="1721"/>
      <c r="AC92" s="1721"/>
      <c r="AD92" s="1721"/>
      <c r="AE92" s="1727"/>
      <c r="AF92" s="1721"/>
      <c r="AG92" s="1721"/>
      <c r="AH92" s="1721"/>
      <c r="AI92" s="1721"/>
      <c r="AJ92" s="1721"/>
      <c r="AK92" s="1722"/>
      <c r="AL92" s="1724"/>
      <c r="AM92" s="1721"/>
      <c r="AN92" s="1721"/>
      <c r="AO92" s="1728"/>
      <c r="AP92" s="1721"/>
      <c r="AQ92" s="1722"/>
      <c r="AR92" s="1724"/>
      <c r="AS92" s="1728"/>
      <c r="AT92" s="1721"/>
      <c r="AU92" s="1721"/>
      <c r="AV92" s="1721"/>
      <c r="AW92" s="1721"/>
      <c r="AX92" s="1724"/>
      <c r="AY92" s="1721"/>
      <c r="AZ92" s="1721"/>
      <c r="BA92" s="1721"/>
      <c r="BB92" s="1721"/>
      <c r="BC92" s="1722"/>
      <c r="BD92" s="1724"/>
      <c r="BE92" s="1721"/>
      <c r="BF92" s="1721"/>
      <c r="BG92" s="1721"/>
      <c r="BH92" s="1721"/>
      <c r="BI92" s="1722"/>
      <c r="BJ92" s="1724"/>
      <c r="BK92" s="1729"/>
      <c r="BL92" s="1730"/>
      <c r="BM92" s="1729"/>
      <c r="BN92" s="1731"/>
      <c r="BO92" s="1732"/>
      <c r="BP92" s="1724"/>
      <c r="BQ92" s="1721"/>
      <c r="BR92" s="1722"/>
      <c r="BS92" s="1"/>
    </row>
    <row r="93" spans="1:72" ht="16.8" thickTop="1" thickBot="1" x14ac:dyDescent="0.35">
      <c r="A93" s="347" t="s">
        <v>29</v>
      </c>
      <c r="B93" s="348" t="s">
        <v>30</v>
      </c>
      <c r="C93" s="349" t="s">
        <v>144</v>
      </c>
      <c r="D93" s="349" t="s">
        <v>2</v>
      </c>
      <c r="E93" s="350" t="s">
        <v>32</v>
      </c>
      <c r="F93" s="350" t="s">
        <v>33</v>
      </c>
      <c r="G93" s="349" t="s">
        <v>34</v>
      </c>
      <c r="H93" s="796" t="s">
        <v>35</v>
      </c>
      <c r="I93" s="349" t="s">
        <v>36</v>
      </c>
      <c r="J93" s="811" t="s">
        <v>37</v>
      </c>
      <c r="K93" s="1733" t="s">
        <v>38</v>
      </c>
      <c r="L93" s="1734" t="s">
        <v>39</v>
      </c>
      <c r="M93" s="1734" t="s">
        <v>40</v>
      </c>
      <c r="N93" s="1734" t="s">
        <v>41</v>
      </c>
      <c r="O93" s="1734" t="s">
        <v>42</v>
      </c>
      <c r="P93" s="1734" t="s">
        <v>43</v>
      </c>
      <c r="Q93" s="1735" t="s">
        <v>44</v>
      </c>
      <c r="R93" s="1734" t="s">
        <v>38</v>
      </c>
      <c r="S93" s="1735" t="s">
        <v>45</v>
      </c>
      <c r="T93" s="1740" t="s">
        <v>136</v>
      </c>
      <c r="U93" s="1736" t="s">
        <v>466</v>
      </c>
      <c r="V93" s="1736" t="s">
        <v>467</v>
      </c>
      <c r="W93" s="1736" t="s">
        <v>468</v>
      </c>
      <c r="X93" s="1737" t="s">
        <v>469</v>
      </c>
      <c r="Y93" s="1737" t="s">
        <v>9</v>
      </c>
      <c r="Z93" s="1739" t="s">
        <v>145</v>
      </c>
      <c r="AA93" s="1736" t="s">
        <v>146</v>
      </c>
      <c r="AB93" s="1736" t="s">
        <v>147</v>
      </c>
      <c r="AC93" s="1736" t="s">
        <v>148</v>
      </c>
      <c r="AD93" s="1737" t="s">
        <v>149</v>
      </c>
      <c r="AE93" s="1738" t="s">
        <v>307</v>
      </c>
      <c r="AF93" s="1739" t="s">
        <v>150</v>
      </c>
      <c r="AG93" s="1736" t="s">
        <v>151</v>
      </c>
      <c r="AH93" s="1736" t="s">
        <v>152</v>
      </c>
      <c r="AI93" s="1736" t="s">
        <v>153</v>
      </c>
      <c r="AJ93" s="1737" t="s">
        <v>154</v>
      </c>
      <c r="AK93" s="1737" t="s">
        <v>316</v>
      </c>
      <c r="AL93" s="1740" t="s">
        <v>155</v>
      </c>
      <c r="AM93" s="1741" t="s">
        <v>156</v>
      </c>
      <c r="AN93" s="1742" t="s">
        <v>157</v>
      </c>
      <c r="AO93" s="1736" t="s">
        <v>158</v>
      </c>
      <c r="AP93" s="1743" t="s">
        <v>159</v>
      </c>
      <c r="AQ93" s="1743" t="s">
        <v>5</v>
      </c>
      <c r="AR93" s="1740" t="s">
        <v>124</v>
      </c>
      <c r="AS93" s="1739" t="s">
        <v>160</v>
      </c>
      <c r="AT93" s="1736" t="s">
        <v>161</v>
      </c>
      <c r="AU93" s="1736" t="s">
        <v>162</v>
      </c>
      <c r="AV93" s="1320" t="s">
        <v>323</v>
      </c>
      <c r="AW93" s="1320" t="s">
        <v>59</v>
      </c>
      <c r="AX93" s="1740" t="s">
        <v>164</v>
      </c>
      <c r="AY93" s="1739" t="s">
        <v>165</v>
      </c>
      <c r="AZ93" s="1736" t="s">
        <v>166</v>
      </c>
      <c r="BA93" s="1742" t="s">
        <v>167</v>
      </c>
      <c r="BB93" s="1559" t="s">
        <v>330</v>
      </c>
      <c r="BC93" s="1743" t="s">
        <v>63</v>
      </c>
      <c r="BD93" s="1740" t="s">
        <v>132</v>
      </c>
      <c r="BE93" s="1736" t="s">
        <v>169</v>
      </c>
      <c r="BF93" s="1736" t="s">
        <v>170</v>
      </c>
      <c r="BG93" s="1736" t="s">
        <v>171</v>
      </c>
      <c r="BH93" s="1737" t="s">
        <v>172</v>
      </c>
      <c r="BI93" s="1737" t="s">
        <v>8</v>
      </c>
      <c r="BJ93" s="1740" t="s">
        <v>136</v>
      </c>
      <c r="BK93" s="1739" t="s">
        <v>173</v>
      </c>
      <c r="BL93" s="1739" t="s">
        <v>174</v>
      </c>
      <c r="BM93" s="1739" t="s">
        <v>175</v>
      </c>
      <c r="BN93" s="1164" t="s">
        <v>176</v>
      </c>
      <c r="BO93" s="1743" t="s">
        <v>9</v>
      </c>
      <c r="BP93" s="1740" t="s">
        <v>70</v>
      </c>
      <c r="BQ93" s="1736" t="s">
        <v>71</v>
      </c>
      <c r="BR93" s="1737" t="s">
        <v>72</v>
      </c>
      <c r="BS93" s="1"/>
    </row>
    <row r="94" spans="1:72" ht="16.2" thickTop="1" x14ac:dyDescent="0.3">
      <c r="A94" s="159">
        <v>2608</v>
      </c>
      <c r="B94" s="360" t="s">
        <v>577</v>
      </c>
      <c r="C94" s="361" t="s">
        <v>177</v>
      </c>
      <c r="D94" s="362" t="s">
        <v>22</v>
      </c>
      <c r="E94" s="363">
        <v>1.6</v>
      </c>
      <c r="F94" s="364">
        <f>(BR94/G94)/7</f>
        <v>0</v>
      </c>
      <c r="G94" s="362">
        <v>336</v>
      </c>
      <c r="H94" s="840">
        <f t="shared" ref="H94:H136" si="29">G94*E94</f>
        <v>537.6</v>
      </c>
      <c r="I94" s="362">
        <v>9000</v>
      </c>
      <c r="J94" s="362">
        <v>0</v>
      </c>
      <c r="K94" s="1168">
        <f t="shared" ref="K94:S124" si="30">J94-$H94</f>
        <v>-537.6</v>
      </c>
      <c r="L94" s="1957">
        <v>6000</v>
      </c>
      <c r="M94" s="1168">
        <f t="shared" si="30"/>
        <v>5462.4</v>
      </c>
      <c r="N94" s="1168">
        <f t="shared" si="30"/>
        <v>4924.7999999999993</v>
      </c>
      <c r="O94" s="1168">
        <f t="shared" si="30"/>
        <v>4387.1999999999989</v>
      </c>
      <c r="P94" s="1168">
        <f t="shared" si="30"/>
        <v>3849.599999999999</v>
      </c>
      <c r="Q94" s="1168">
        <f t="shared" si="30"/>
        <v>3311.9999999999991</v>
      </c>
      <c r="R94" s="1168">
        <f t="shared" si="30"/>
        <v>2774.3999999999992</v>
      </c>
      <c r="S94" s="1682">
        <f t="shared" si="30"/>
        <v>2236.7999999999993</v>
      </c>
      <c r="T94" s="1847"/>
      <c r="U94" s="1183"/>
      <c r="V94" s="1273"/>
      <c r="W94" s="1183"/>
      <c r="X94" s="1273"/>
      <c r="Y94" s="1902"/>
      <c r="Z94" s="1095"/>
      <c r="AA94" s="1177"/>
      <c r="AB94" s="1177"/>
      <c r="AC94" s="1096"/>
      <c r="AD94" s="1097"/>
      <c r="AE94" s="1215"/>
      <c r="AF94" s="1187">
        <v>3000</v>
      </c>
      <c r="AG94" s="1183"/>
      <c r="AH94" s="1183"/>
      <c r="AI94" s="1183"/>
      <c r="AJ94" s="1744"/>
      <c r="AK94" s="1745"/>
      <c r="AL94" s="1746"/>
      <c r="AM94" s="1747"/>
      <c r="AN94" s="1747"/>
      <c r="AO94" s="1187"/>
      <c r="AP94" s="1273"/>
      <c r="AQ94" s="1748"/>
      <c r="AR94" s="1746"/>
      <c r="AS94" s="1187"/>
      <c r="AT94" s="1183"/>
      <c r="AU94" s="1183"/>
      <c r="AV94" s="1744"/>
      <c r="AW94" s="1214"/>
      <c r="AX94" s="1746"/>
      <c r="AY94" s="1747"/>
      <c r="AZ94" s="1747"/>
      <c r="BA94" s="1187"/>
      <c r="BB94" s="1273"/>
      <c r="BC94" s="1745"/>
      <c r="BD94" s="1746"/>
      <c r="BE94" s="1183"/>
      <c r="BF94" s="1183"/>
      <c r="BG94" s="1183"/>
      <c r="BH94" s="1273"/>
      <c r="BI94" s="1748"/>
      <c r="BJ94" s="1746"/>
      <c r="BK94" s="1183"/>
      <c r="BL94" s="1183"/>
      <c r="BM94" s="1744"/>
      <c r="BN94" s="1744"/>
      <c r="BO94" s="1745"/>
      <c r="BP94" s="1749"/>
      <c r="BQ94" s="1750"/>
      <c r="BR94" s="1751">
        <f t="shared" ref="BR94:BR136" si="31">(J94+BP94)-BQ94</f>
        <v>0</v>
      </c>
      <c r="BT94" s="1192">
        <f t="shared" ref="BT94:BT136" si="32">SUM(Z94:BO94)</f>
        <v>3000</v>
      </c>
    </row>
    <row r="95" spans="1:72" ht="15.6" x14ac:dyDescent="0.3">
      <c r="A95" s="129"/>
      <c r="B95" s="360"/>
      <c r="C95" s="361" t="s">
        <v>178</v>
      </c>
      <c r="D95" s="362" t="s">
        <v>22</v>
      </c>
      <c r="E95" s="363">
        <v>1.6</v>
      </c>
      <c r="F95" s="364"/>
      <c r="G95" s="362"/>
      <c r="H95" s="840">
        <f t="shared" si="29"/>
        <v>0</v>
      </c>
      <c r="I95" s="375"/>
      <c r="J95" s="362"/>
      <c r="K95" s="1560">
        <f t="shared" si="30"/>
        <v>0</v>
      </c>
      <c r="L95" s="1273">
        <f t="shared" si="30"/>
        <v>0</v>
      </c>
      <c r="M95" s="1274">
        <f t="shared" si="30"/>
        <v>0</v>
      </c>
      <c r="N95" s="1273">
        <f t="shared" si="30"/>
        <v>0</v>
      </c>
      <c r="O95" s="1274">
        <f t="shared" si="30"/>
        <v>0</v>
      </c>
      <c r="P95" s="1273">
        <f t="shared" si="30"/>
        <v>0</v>
      </c>
      <c r="Q95" s="1274">
        <f t="shared" si="30"/>
        <v>0</v>
      </c>
      <c r="R95" s="1273">
        <f t="shared" si="30"/>
        <v>0</v>
      </c>
      <c r="S95" s="1565">
        <f>(R95-$H95)+BG95</f>
        <v>0</v>
      </c>
      <c r="T95" s="1847"/>
      <c r="U95" s="1183"/>
      <c r="V95" s="1273"/>
      <c r="W95" s="1183"/>
      <c r="X95" s="1273"/>
      <c r="Y95" s="1902"/>
      <c r="Z95" s="1095"/>
      <c r="AA95" s="1176"/>
      <c r="AB95" s="1176"/>
      <c r="AC95" s="1095"/>
      <c r="AD95" s="1287"/>
      <c r="AE95" s="1215"/>
      <c r="AF95" s="1095"/>
      <c r="AG95" s="1095"/>
      <c r="AH95" s="1095"/>
      <c r="AI95" s="1095"/>
      <c r="AJ95" s="1287"/>
      <c r="AK95" s="1745"/>
      <c r="AL95" s="1216"/>
      <c r="AM95" s="1095"/>
      <c r="AN95" s="1095"/>
      <c r="AO95" s="1095"/>
      <c r="AP95" s="1287"/>
      <c r="AQ95" s="1748"/>
      <c r="AR95" s="1216"/>
      <c r="AS95" s="1095"/>
      <c r="AT95" s="1096"/>
      <c r="AU95" s="1096"/>
      <c r="AV95" s="1097"/>
      <c r="AW95" s="1214"/>
      <c r="AX95" s="1216"/>
      <c r="AY95" s="1095"/>
      <c r="AZ95" s="1095"/>
      <c r="BA95" s="1095"/>
      <c r="BB95" s="1287"/>
      <c r="BC95" s="1745"/>
      <c r="BD95" s="1216"/>
      <c r="BE95" s="1096"/>
      <c r="BF95" s="1096"/>
      <c r="BG95" s="1096"/>
      <c r="BH95" s="1287"/>
      <c r="BI95" s="1748"/>
      <c r="BJ95" s="1216"/>
      <c r="BK95" s="1096"/>
      <c r="BL95" s="1096"/>
      <c r="BM95" s="1097"/>
      <c r="BN95" s="1097"/>
      <c r="BO95" s="1745"/>
      <c r="BP95" s="1752"/>
      <c r="BQ95" s="1753"/>
      <c r="BR95" s="1754">
        <f t="shared" si="31"/>
        <v>0</v>
      </c>
      <c r="BS95" s="1"/>
      <c r="BT95" s="1192">
        <f t="shared" si="32"/>
        <v>0</v>
      </c>
    </row>
    <row r="96" spans="1:72" ht="16.2" thickBot="1" x14ac:dyDescent="0.35">
      <c r="A96" s="380"/>
      <c r="B96" s="381"/>
      <c r="C96" s="382" t="s">
        <v>179</v>
      </c>
      <c r="D96" s="362" t="s">
        <v>22</v>
      </c>
      <c r="E96" s="383">
        <v>1.6</v>
      </c>
      <c r="F96" s="384"/>
      <c r="G96" s="385"/>
      <c r="H96" s="840">
        <f t="shared" si="29"/>
        <v>0</v>
      </c>
      <c r="I96" s="406"/>
      <c r="J96" s="385"/>
      <c r="K96" s="1588">
        <f t="shared" si="30"/>
        <v>0</v>
      </c>
      <c r="L96" s="1590">
        <f t="shared" si="30"/>
        <v>0</v>
      </c>
      <c r="M96" s="1589">
        <f t="shared" si="30"/>
        <v>0</v>
      </c>
      <c r="N96" s="1590">
        <f t="shared" si="30"/>
        <v>0</v>
      </c>
      <c r="O96" s="1589">
        <f t="shared" si="30"/>
        <v>0</v>
      </c>
      <c r="P96" s="1590">
        <f t="shared" si="30"/>
        <v>0</v>
      </c>
      <c r="Q96" s="1589">
        <f t="shared" si="30"/>
        <v>0</v>
      </c>
      <c r="R96" s="1590">
        <f t="shared" si="30"/>
        <v>0</v>
      </c>
      <c r="S96" s="1596">
        <f>(R96-$H96)+BG96</f>
        <v>0</v>
      </c>
      <c r="T96" s="1848"/>
      <c r="U96" s="1885"/>
      <c r="V96" s="1222"/>
      <c r="W96" s="1885"/>
      <c r="X96" s="1222"/>
      <c r="Y96" s="1923"/>
      <c r="Z96" s="1451"/>
      <c r="AA96" s="1356"/>
      <c r="AB96" s="1356"/>
      <c r="AC96" s="1451"/>
      <c r="AD96" s="1224"/>
      <c r="AE96" s="1755"/>
      <c r="AF96" s="1451"/>
      <c r="AG96" s="1451"/>
      <c r="AH96" s="1451"/>
      <c r="AI96" s="1451"/>
      <c r="AJ96" s="1224"/>
      <c r="AK96" s="1756"/>
      <c r="AL96" s="1361"/>
      <c r="AM96" s="1451"/>
      <c r="AN96" s="1451"/>
      <c r="AO96" s="1451"/>
      <c r="AP96" s="1224"/>
      <c r="AQ96" s="1757"/>
      <c r="AR96" s="1361"/>
      <c r="AS96" s="1451"/>
      <c r="AT96" s="1362"/>
      <c r="AU96" s="1362"/>
      <c r="AV96" s="1369"/>
      <c r="AW96" s="1758"/>
      <c r="AX96" s="1361"/>
      <c r="AY96" s="1451"/>
      <c r="AZ96" s="1451"/>
      <c r="BA96" s="1451"/>
      <c r="BB96" s="1224"/>
      <c r="BC96" s="1756"/>
      <c r="BD96" s="1361"/>
      <c r="BE96" s="1362"/>
      <c r="BF96" s="1362"/>
      <c r="BG96" s="1362"/>
      <c r="BH96" s="1224"/>
      <c r="BI96" s="1757"/>
      <c r="BJ96" s="1361"/>
      <c r="BK96" s="1362"/>
      <c r="BL96" s="1362"/>
      <c r="BM96" s="1369"/>
      <c r="BN96" s="1369"/>
      <c r="BO96" s="1756"/>
      <c r="BP96" s="1365"/>
      <c r="BQ96" s="1357"/>
      <c r="BR96" s="1759">
        <f t="shared" si="31"/>
        <v>0</v>
      </c>
      <c r="BS96" s="1"/>
      <c r="BT96" s="1192">
        <f t="shared" si="32"/>
        <v>0</v>
      </c>
    </row>
    <row r="97" spans="1:72" ht="18.75" customHeight="1" x14ac:dyDescent="0.3">
      <c r="A97" s="19">
        <v>2607</v>
      </c>
      <c r="B97" s="390" t="s">
        <v>578</v>
      </c>
      <c r="C97" s="391" t="s">
        <v>180</v>
      </c>
      <c r="D97" s="392" t="s">
        <v>22</v>
      </c>
      <c r="E97" s="393">
        <v>1.7</v>
      </c>
      <c r="F97" s="364">
        <f>(BR97/G97)/7</f>
        <v>1.9019442096365171</v>
      </c>
      <c r="G97" s="392">
        <v>338</v>
      </c>
      <c r="H97" s="841">
        <f t="shared" si="29"/>
        <v>574.6</v>
      </c>
      <c r="I97" s="362">
        <v>9000</v>
      </c>
      <c r="J97" s="392">
        <v>4500</v>
      </c>
      <c r="K97" s="1560">
        <f t="shared" si="30"/>
        <v>3925.4</v>
      </c>
      <c r="L97" s="1274">
        <f t="shared" si="30"/>
        <v>3350.8</v>
      </c>
      <c r="M97" s="1963">
        <v>5776</v>
      </c>
      <c r="N97" s="1274">
        <f t="shared" si="30"/>
        <v>5201.3999999999996</v>
      </c>
      <c r="O97" s="1274">
        <f t="shared" si="30"/>
        <v>4626.7999999999993</v>
      </c>
      <c r="P97" s="1274">
        <f t="shared" si="30"/>
        <v>4052.1999999999994</v>
      </c>
      <c r="Q97" s="1274">
        <f t="shared" si="30"/>
        <v>3477.5999999999995</v>
      </c>
      <c r="R97" s="1274">
        <f t="shared" si="30"/>
        <v>2902.9999999999995</v>
      </c>
      <c r="S97" s="1565">
        <f t="shared" si="30"/>
        <v>2328.3999999999996</v>
      </c>
      <c r="T97" s="1847"/>
      <c r="U97" s="1183"/>
      <c r="V97" s="1273"/>
      <c r="W97" s="1183"/>
      <c r="X97" s="1273"/>
      <c r="Y97" s="1902"/>
      <c r="Z97" s="1760"/>
      <c r="AA97" s="1760"/>
      <c r="AB97" s="1760"/>
      <c r="AC97" s="1760"/>
      <c r="AD97" s="1244"/>
      <c r="AE97" s="1761"/>
      <c r="AF97" s="1760"/>
      <c r="AG97" s="1760"/>
      <c r="AH97" s="1760"/>
      <c r="AI97" s="1760"/>
      <c r="AJ97" s="1244"/>
      <c r="AK97" s="1762"/>
      <c r="AL97" s="1382">
        <v>3000</v>
      </c>
      <c r="AM97" s="1760"/>
      <c r="AN97" s="1760"/>
      <c r="AO97" s="1760"/>
      <c r="AP97" s="1244"/>
      <c r="AQ97" s="1763"/>
      <c r="AR97" s="1382"/>
      <c r="AS97" s="1760"/>
      <c r="AT97" s="1376"/>
      <c r="AU97" s="1376"/>
      <c r="AV97" s="1386"/>
      <c r="AW97" s="1764"/>
      <c r="AX97" s="1382"/>
      <c r="AY97" s="1760"/>
      <c r="AZ97" s="1760"/>
      <c r="BA97" s="1760"/>
      <c r="BB97" s="1244"/>
      <c r="BC97" s="1762"/>
      <c r="BD97" s="1382"/>
      <c r="BE97" s="1376"/>
      <c r="BF97" s="1376"/>
      <c r="BG97" s="1376"/>
      <c r="BH97" s="1244"/>
      <c r="BI97" s="1763"/>
      <c r="BJ97" s="1382"/>
      <c r="BK97" s="1376"/>
      <c r="BL97" s="1376"/>
      <c r="BM97" s="1386"/>
      <c r="BN97" s="1386"/>
      <c r="BO97" s="1762"/>
      <c r="BP97" s="1765"/>
      <c r="BQ97" s="1766"/>
      <c r="BR97" s="1767">
        <f t="shared" si="31"/>
        <v>4500</v>
      </c>
      <c r="BS97" s="1"/>
      <c r="BT97" s="1192">
        <f t="shared" si="32"/>
        <v>3000</v>
      </c>
    </row>
    <row r="98" spans="1:72" ht="18.75" customHeight="1" x14ac:dyDescent="0.3">
      <c r="A98" s="165"/>
      <c r="B98" s="377"/>
      <c r="C98" s="398" t="s">
        <v>181</v>
      </c>
      <c r="D98" s="375" t="s">
        <v>22</v>
      </c>
      <c r="E98" s="399">
        <v>1.7</v>
      </c>
      <c r="F98" s="400"/>
      <c r="G98" s="362"/>
      <c r="H98" s="842">
        <f t="shared" si="29"/>
        <v>0</v>
      </c>
      <c r="I98" s="375"/>
      <c r="J98" s="362"/>
      <c r="K98" s="1560">
        <f t="shared" si="30"/>
        <v>0</v>
      </c>
      <c r="L98" s="1273">
        <f t="shared" si="30"/>
        <v>0</v>
      </c>
      <c r="M98" s="1274">
        <f t="shared" si="30"/>
        <v>0</v>
      </c>
      <c r="N98" s="1273">
        <f t="shared" si="30"/>
        <v>0</v>
      </c>
      <c r="O98" s="1274">
        <f t="shared" si="30"/>
        <v>0</v>
      </c>
      <c r="P98" s="1273">
        <f t="shared" si="30"/>
        <v>0</v>
      </c>
      <c r="Q98" s="1274">
        <f t="shared" si="30"/>
        <v>0</v>
      </c>
      <c r="R98" s="1273">
        <f t="shared" si="30"/>
        <v>0</v>
      </c>
      <c r="S98" s="1565">
        <f>(R98-$H98)+BG98</f>
        <v>0</v>
      </c>
      <c r="T98" s="1847"/>
      <c r="U98" s="1183"/>
      <c r="V98" s="1273"/>
      <c r="W98" s="1183"/>
      <c r="X98" s="1273"/>
      <c r="Y98" s="1902"/>
      <c r="Z98" s="1103"/>
      <c r="AA98" s="1103"/>
      <c r="AB98" s="1103"/>
      <c r="AC98" s="1103"/>
      <c r="AD98" s="1195"/>
      <c r="AE98" s="1197"/>
      <c r="AF98" s="1103"/>
      <c r="AG98" s="1103"/>
      <c r="AH98" s="1103"/>
      <c r="AI98" s="1103"/>
      <c r="AJ98" s="1195"/>
      <c r="AK98" s="1768"/>
      <c r="AL98" s="1204"/>
      <c r="AM98" s="1103"/>
      <c r="AN98" s="1103"/>
      <c r="AO98" s="1103"/>
      <c r="AP98" s="1195"/>
      <c r="AQ98" s="1769"/>
      <c r="AR98" s="1204"/>
      <c r="AS98" s="1103"/>
      <c r="AT98" s="1104"/>
      <c r="AU98" s="1104"/>
      <c r="AV98" s="1205"/>
      <c r="AW98" s="1196"/>
      <c r="AX98" s="1204"/>
      <c r="AY98" s="1103"/>
      <c r="AZ98" s="1103"/>
      <c r="BA98" s="1103"/>
      <c r="BB98" s="1195"/>
      <c r="BC98" s="1768"/>
      <c r="BD98" s="1204"/>
      <c r="BE98" s="1104"/>
      <c r="BF98" s="1104"/>
      <c r="BG98" s="1104"/>
      <c r="BH98" s="1195"/>
      <c r="BI98" s="1769"/>
      <c r="BJ98" s="1204"/>
      <c r="BK98" s="1104"/>
      <c r="BL98" s="1104"/>
      <c r="BM98" s="1205"/>
      <c r="BN98" s="1205"/>
      <c r="BO98" s="1768"/>
      <c r="BP98" s="1752"/>
      <c r="BQ98" s="1753"/>
      <c r="BR98" s="1754">
        <f t="shared" si="31"/>
        <v>0</v>
      </c>
      <c r="BS98" s="1"/>
      <c r="BT98" s="1192">
        <f t="shared" si="32"/>
        <v>0</v>
      </c>
    </row>
    <row r="99" spans="1:72" ht="16.2" thickBot="1" x14ac:dyDescent="0.35">
      <c r="A99" s="221"/>
      <c r="B99" s="404"/>
      <c r="C99" s="405" t="s">
        <v>182</v>
      </c>
      <c r="D99" s="406" t="s">
        <v>22</v>
      </c>
      <c r="E99" s="407">
        <v>1.7</v>
      </c>
      <c r="F99" s="408"/>
      <c r="G99" s="409"/>
      <c r="H99" s="843">
        <f t="shared" si="29"/>
        <v>0</v>
      </c>
      <c r="I99" s="406"/>
      <c r="J99" s="385"/>
      <c r="K99" s="1437">
        <f t="shared" si="30"/>
        <v>0</v>
      </c>
      <c r="L99" s="1273">
        <f t="shared" si="30"/>
        <v>0</v>
      </c>
      <c r="M99" s="1589">
        <f t="shared" si="30"/>
        <v>0</v>
      </c>
      <c r="N99" s="1590">
        <f t="shared" si="30"/>
        <v>0</v>
      </c>
      <c r="O99" s="1589">
        <f t="shared" si="30"/>
        <v>0</v>
      </c>
      <c r="P99" s="1590">
        <f t="shared" si="30"/>
        <v>0</v>
      </c>
      <c r="Q99" s="1589">
        <f t="shared" si="30"/>
        <v>0</v>
      </c>
      <c r="R99" s="1590">
        <f t="shared" si="30"/>
        <v>0</v>
      </c>
      <c r="S99" s="1596">
        <f>(R99-$H99)+BG99</f>
        <v>0</v>
      </c>
      <c r="T99" s="1864"/>
      <c r="U99" s="1894"/>
      <c r="V99" s="1590"/>
      <c r="W99" s="1894"/>
      <c r="X99" s="1590"/>
      <c r="Y99" s="1922"/>
      <c r="Z99" s="1770"/>
      <c r="AA99" s="1770"/>
      <c r="AB99" s="1770"/>
      <c r="AC99" s="1770"/>
      <c r="AD99" s="1771"/>
      <c r="AE99" s="1772"/>
      <c r="AF99" s="1770"/>
      <c r="AG99" s="1770"/>
      <c r="AH99" s="1770"/>
      <c r="AI99" s="1770"/>
      <c r="AJ99" s="1771"/>
      <c r="AK99" s="1773"/>
      <c r="AL99" s="1774"/>
      <c r="AM99" s="1770"/>
      <c r="AN99" s="1770"/>
      <c r="AO99" s="1770"/>
      <c r="AP99" s="1771"/>
      <c r="AQ99" s="1775"/>
      <c r="AR99" s="1774"/>
      <c r="AS99" s="1770"/>
      <c r="AT99" s="1776"/>
      <c r="AU99" s="1776"/>
      <c r="AV99" s="1777"/>
      <c r="AW99" s="1778"/>
      <c r="AX99" s="1774"/>
      <c r="AY99" s="1770"/>
      <c r="AZ99" s="1770"/>
      <c r="BA99" s="1770"/>
      <c r="BB99" s="1771"/>
      <c r="BC99" s="1773"/>
      <c r="BD99" s="1774"/>
      <c r="BE99" s="1776"/>
      <c r="BF99" s="1776"/>
      <c r="BG99" s="1776"/>
      <c r="BH99" s="1771"/>
      <c r="BI99" s="1775"/>
      <c r="BJ99" s="1774"/>
      <c r="BK99" s="1776"/>
      <c r="BL99" s="1776"/>
      <c r="BM99" s="1777"/>
      <c r="BN99" s="1777"/>
      <c r="BO99" s="1773"/>
      <c r="BP99" s="1267"/>
      <c r="BQ99" s="1269"/>
      <c r="BR99" s="1754">
        <f t="shared" si="31"/>
        <v>0</v>
      </c>
      <c r="BS99" s="1"/>
      <c r="BT99" s="1192">
        <f t="shared" si="32"/>
        <v>0</v>
      </c>
    </row>
    <row r="100" spans="1:72" ht="22.5" customHeight="1" x14ac:dyDescent="0.3">
      <c r="A100" s="416">
        <v>2606</v>
      </c>
      <c r="B100" s="360" t="s">
        <v>368</v>
      </c>
      <c r="C100" s="361" t="s">
        <v>184</v>
      </c>
      <c r="D100" s="362" t="s">
        <v>185</v>
      </c>
      <c r="E100" s="363">
        <v>2.2000000000000002</v>
      </c>
      <c r="F100" s="364">
        <f>(BR100/G100)/7</f>
        <v>1.017984390906006</v>
      </c>
      <c r="G100" s="362">
        <v>421</v>
      </c>
      <c r="H100" s="840">
        <f t="shared" si="29"/>
        <v>926.2</v>
      </c>
      <c r="I100" s="362">
        <v>9000</v>
      </c>
      <c r="J100" s="392">
        <v>3000</v>
      </c>
      <c r="K100" s="1243">
        <f t="shared" si="30"/>
        <v>2073.8000000000002</v>
      </c>
      <c r="L100" s="1958">
        <v>4148</v>
      </c>
      <c r="M100" s="1958">
        <v>6222</v>
      </c>
      <c r="N100" s="1243">
        <f t="shared" si="30"/>
        <v>5295.8</v>
      </c>
      <c r="O100" s="1243">
        <f t="shared" si="30"/>
        <v>4369.6000000000004</v>
      </c>
      <c r="P100" s="1243">
        <f t="shared" si="30"/>
        <v>3443.4000000000005</v>
      </c>
      <c r="Q100" s="1243">
        <f t="shared" si="30"/>
        <v>2517.2000000000007</v>
      </c>
      <c r="R100" s="1243">
        <f t="shared" si="30"/>
        <v>1591.0000000000007</v>
      </c>
      <c r="S100" s="1579">
        <f t="shared" si="30"/>
        <v>664.80000000000064</v>
      </c>
      <c r="T100" s="1847"/>
      <c r="U100" s="1183"/>
      <c r="V100" s="1273"/>
      <c r="W100" s="1183"/>
      <c r="X100" s="1273"/>
      <c r="Y100" s="1902"/>
      <c r="Z100" s="1176"/>
      <c r="AA100" s="1096"/>
      <c r="AB100" s="1177"/>
      <c r="AC100" s="1096"/>
      <c r="AD100" s="1097"/>
      <c r="AE100" s="1215"/>
      <c r="AF100" s="1095"/>
      <c r="AG100" s="1096">
        <v>3000</v>
      </c>
      <c r="AH100" s="1096"/>
      <c r="AI100" s="1096"/>
      <c r="AJ100" s="1097"/>
      <c r="AK100" s="1745"/>
      <c r="AL100" s="1216"/>
      <c r="AM100" s="1095">
        <v>3000</v>
      </c>
      <c r="AN100" s="1095"/>
      <c r="AO100" s="1095"/>
      <c r="AP100" s="1287"/>
      <c r="AQ100" s="1748"/>
      <c r="AR100" s="1216"/>
      <c r="AS100" s="1095"/>
      <c r="AT100" s="1096"/>
      <c r="AU100" s="1096"/>
      <c r="AV100" s="1097"/>
      <c r="AW100" s="1214"/>
      <c r="AX100" s="1216"/>
      <c r="AY100" s="1095"/>
      <c r="AZ100" s="1095"/>
      <c r="BA100" s="1095"/>
      <c r="BB100" s="1287"/>
      <c r="BC100" s="1745"/>
      <c r="BD100" s="1216"/>
      <c r="BE100" s="1096"/>
      <c r="BF100" s="1096"/>
      <c r="BG100" s="1096"/>
      <c r="BH100" s="1287"/>
      <c r="BI100" s="1748"/>
      <c r="BJ100" s="1216"/>
      <c r="BK100" s="1096"/>
      <c r="BL100" s="1096"/>
      <c r="BM100" s="1097"/>
      <c r="BN100" s="1097"/>
      <c r="BO100" s="1745"/>
      <c r="BP100" s="1365"/>
      <c r="BQ100" s="1357"/>
      <c r="BR100" s="1767">
        <f t="shared" si="31"/>
        <v>3000</v>
      </c>
      <c r="BS100" s="1"/>
      <c r="BT100" s="1192">
        <f t="shared" si="32"/>
        <v>6000</v>
      </c>
    </row>
    <row r="101" spans="1:72" ht="15.6" x14ac:dyDescent="0.3">
      <c r="A101" s="418"/>
      <c r="B101" s="360"/>
      <c r="C101" s="398" t="s">
        <v>186</v>
      </c>
      <c r="D101" s="375" t="s">
        <v>185</v>
      </c>
      <c r="E101" s="399">
        <v>2.2000000000000002</v>
      </c>
      <c r="F101" s="400"/>
      <c r="G101" s="362"/>
      <c r="H101" s="842">
        <f t="shared" si="29"/>
        <v>0</v>
      </c>
      <c r="I101" s="375"/>
      <c r="J101" s="362"/>
      <c r="K101" s="1437">
        <f t="shared" si="30"/>
        <v>0</v>
      </c>
      <c r="L101" s="1273">
        <f t="shared" si="30"/>
        <v>0</v>
      </c>
      <c r="M101" s="1194">
        <f t="shared" si="30"/>
        <v>0</v>
      </c>
      <c r="N101" s="1273">
        <f t="shared" si="30"/>
        <v>0</v>
      </c>
      <c r="O101" s="1274">
        <f t="shared" si="30"/>
        <v>0</v>
      </c>
      <c r="P101" s="1273">
        <f t="shared" si="30"/>
        <v>0</v>
      </c>
      <c r="Q101" s="1194">
        <f t="shared" si="30"/>
        <v>0</v>
      </c>
      <c r="R101" s="1273">
        <f t="shared" si="30"/>
        <v>0</v>
      </c>
      <c r="S101" s="1565">
        <f t="shared" ref="S101" si="33">R101-P101</f>
        <v>0</v>
      </c>
      <c r="T101" s="1847"/>
      <c r="U101" s="1183"/>
      <c r="V101" s="1273"/>
      <c r="W101" s="1183"/>
      <c r="X101" s="1273"/>
      <c r="Y101" s="1902"/>
      <c r="Z101" s="1198"/>
      <c r="AA101" s="1104"/>
      <c r="AB101" s="1199"/>
      <c r="AC101" s="1104"/>
      <c r="AD101" s="1205"/>
      <c r="AE101" s="1197"/>
      <c r="AF101" s="1103"/>
      <c r="AG101" s="1104"/>
      <c r="AH101" s="1104"/>
      <c r="AI101" s="1104"/>
      <c r="AJ101" s="1205"/>
      <c r="AK101" s="1768"/>
      <c r="AL101" s="1204"/>
      <c r="AM101" s="1103"/>
      <c r="AN101" s="1103"/>
      <c r="AO101" s="1103"/>
      <c r="AP101" s="1195"/>
      <c r="AQ101" s="1769"/>
      <c r="AR101" s="1204"/>
      <c r="AS101" s="1103"/>
      <c r="AT101" s="1104"/>
      <c r="AU101" s="1104"/>
      <c r="AV101" s="1205"/>
      <c r="AW101" s="1196"/>
      <c r="AX101" s="1204"/>
      <c r="AY101" s="1103"/>
      <c r="AZ101" s="1103"/>
      <c r="BA101" s="1103"/>
      <c r="BB101" s="1195"/>
      <c r="BC101" s="1768"/>
      <c r="BD101" s="1204"/>
      <c r="BE101" s="1104"/>
      <c r="BF101" s="1104"/>
      <c r="BG101" s="1104"/>
      <c r="BH101" s="1195"/>
      <c r="BI101" s="1769"/>
      <c r="BJ101" s="1204"/>
      <c r="BK101" s="1104"/>
      <c r="BL101" s="1104"/>
      <c r="BM101" s="1205"/>
      <c r="BN101" s="1205"/>
      <c r="BO101" s="1768"/>
      <c r="BP101" s="1365"/>
      <c r="BQ101" s="1357"/>
      <c r="BR101" s="1754">
        <f t="shared" si="31"/>
        <v>0</v>
      </c>
      <c r="BS101" s="1"/>
      <c r="BT101" s="1192">
        <f t="shared" si="32"/>
        <v>0</v>
      </c>
    </row>
    <row r="102" spans="1:72" ht="16.2" thickBot="1" x14ac:dyDescent="0.35">
      <c r="A102" s="420"/>
      <c r="B102" s="421"/>
      <c r="C102" s="405" t="s">
        <v>187</v>
      </c>
      <c r="D102" s="406" t="s">
        <v>185</v>
      </c>
      <c r="E102" s="407">
        <v>2.2000000000000002</v>
      </c>
      <c r="F102" s="408"/>
      <c r="G102" s="409"/>
      <c r="H102" s="843">
        <f t="shared" si="29"/>
        <v>0</v>
      </c>
      <c r="I102" s="406"/>
      <c r="J102" s="406"/>
      <c r="K102" s="1588">
        <f t="shared" si="30"/>
        <v>0</v>
      </c>
      <c r="L102" s="1222">
        <f t="shared" si="30"/>
        <v>0</v>
      </c>
      <c r="M102" s="1589">
        <f t="shared" si="30"/>
        <v>0</v>
      </c>
      <c r="N102" s="1257">
        <f t="shared" si="30"/>
        <v>0</v>
      </c>
      <c r="O102" s="1258">
        <f t="shared" si="30"/>
        <v>0</v>
      </c>
      <c r="P102" s="1257">
        <f t="shared" si="30"/>
        <v>0</v>
      </c>
      <c r="Q102" s="1258">
        <f t="shared" si="30"/>
        <v>0</v>
      </c>
      <c r="R102" s="1590">
        <f t="shared" si="30"/>
        <v>0</v>
      </c>
      <c r="S102" s="1596">
        <f>(R102-$H102)+BI102</f>
        <v>0</v>
      </c>
      <c r="T102" s="1864"/>
      <c r="U102" s="1894"/>
      <c r="V102" s="1590"/>
      <c r="W102" s="1894"/>
      <c r="X102" s="1590"/>
      <c r="Y102" s="1922"/>
      <c r="Z102" s="1838"/>
      <c r="AA102" s="1776"/>
      <c r="AB102" s="1779"/>
      <c r="AC102" s="1776"/>
      <c r="AD102" s="1777"/>
      <c r="AE102" s="1772"/>
      <c r="AF102" s="1770"/>
      <c r="AG102" s="1776"/>
      <c r="AH102" s="1776"/>
      <c r="AI102" s="1776"/>
      <c r="AJ102" s="1777"/>
      <c r="AK102" s="1773"/>
      <c r="AL102" s="1774"/>
      <c r="AM102" s="1770"/>
      <c r="AN102" s="1770"/>
      <c r="AO102" s="1770"/>
      <c r="AP102" s="1771"/>
      <c r="AQ102" s="1775"/>
      <c r="AR102" s="1774"/>
      <c r="AS102" s="1770"/>
      <c r="AT102" s="1776"/>
      <c r="AU102" s="1776"/>
      <c r="AV102" s="1777"/>
      <c r="AW102" s="1778"/>
      <c r="AX102" s="1774"/>
      <c r="AY102" s="1770"/>
      <c r="AZ102" s="1770"/>
      <c r="BA102" s="1770"/>
      <c r="BB102" s="1771"/>
      <c r="BC102" s="1773"/>
      <c r="BD102" s="1774"/>
      <c r="BE102" s="1776"/>
      <c r="BF102" s="1776"/>
      <c r="BG102" s="1776"/>
      <c r="BH102" s="1771"/>
      <c r="BI102" s="1775"/>
      <c r="BJ102" s="1774"/>
      <c r="BK102" s="1776"/>
      <c r="BL102" s="1776"/>
      <c r="BM102" s="1777"/>
      <c r="BN102" s="1777"/>
      <c r="BO102" s="1773"/>
      <c r="BP102" s="1267"/>
      <c r="BQ102" s="1269"/>
      <c r="BR102" s="1754">
        <f t="shared" si="31"/>
        <v>0</v>
      </c>
      <c r="BS102" s="1"/>
      <c r="BT102" s="1192">
        <f t="shared" si="32"/>
        <v>0</v>
      </c>
    </row>
    <row r="103" spans="1:72" ht="15.6" x14ac:dyDescent="0.3">
      <c r="A103" s="159">
        <v>2605</v>
      </c>
      <c r="B103" s="360" t="s">
        <v>367</v>
      </c>
      <c r="C103" s="361" t="s">
        <v>188</v>
      </c>
      <c r="D103" s="362" t="s">
        <v>185</v>
      </c>
      <c r="E103" s="363">
        <v>2.5</v>
      </c>
      <c r="F103" s="364">
        <f>(BR103/G103)/7</f>
        <v>1.5378389316066372</v>
      </c>
      <c r="G103" s="362">
        <v>353</v>
      </c>
      <c r="H103" s="840">
        <f t="shared" si="29"/>
        <v>882.5</v>
      </c>
      <c r="I103" s="362">
        <v>9000</v>
      </c>
      <c r="J103" s="826">
        <v>3800</v>
      </c>
      <c r="K103" s="1780">
        <f t="shared" si="30"/>
        <v>2917.5</v>
      </c>
      <c r="L103" s="1961">
        <v>5035</v>
      </c>
      <c r="M103" s="1961">
        <v>7153</v>
      </c>
      <c r="N103" s="1780">
        <f t="shared" si="30"/>
        <v>6270.5</v>
      </c>
      <c r="O103" s="1780">
        <f t="shared" si="30"/>
        <v>5388</v>
      </c>
      <c r="P103" s="1780">
        <f t="shared" si="30"/>
        <v>4505.5</v>
      </c>
      <c r="Q103" s="1780">
        <f t="shared" si="30"/>
        <v>3623</v>
      </c>
      <c r="R103" s="1243">
        <f t="shared" si="30"/>
        <v>2740.5</v>
      </c>
      <c r="S103" s="1579">
        <f t="shared" si="30"/>
        <v>1858</v>
      </c>
      <c r="T103" s="1847"/>
      <c r="U103" s="1183"/>
      <c r="V103" s="1273"/>
      <c r="W103" s="1183"/>
      <c r="X103" s="1273"/>
      <c r="Y103" s="1902"/>
      <c r="Z103" s="1176"/>
      <c r="AA103" s="1096"/>
      <c r="AB103" s="1177"/>
      <c r="AC103" s="1096"/>
      <c r="AD103" s="1097"/>
      <c r="AE103" s="1215"/>
      <c r="AF103" s="1095"/>
      <c r="AG103" s="1096">
        <v>3000</v>
      </c>
      <c r="AH103" s="1096"/>
      <c r="AI103" s="1096"/>
      <c r="AJ103" s="1097"/>
      <c r="AK103" s="1745"/>
      <c r="AL103" s="1216"/>
      <c r="AM103" s="1095">
        <v>3000</v>
      </c>
      <c r="AN103" s="1095"/>
      <c r="AO103" s="1095"/>
      <c r="AP103" s="1287"/>
      <c r="AQ103" s="1748"/>
      <c r="AR103" s="1216"/>
      <c r="AS103" s="1095"/>
      <c r="AT103" s="1096"/>
      <c r="AU103" s="1096"/>
      <c r="AV103" s="1097"/>
      <c r="AW103" s="1214"/>
      <c r="AX103" s="1216"/>
      <c r="AY103" s="1095"/>
      <c r="AZ103" s="1095"/>
      <c r="BA103" s="1095"/>
      <c r="BB103" s="1287"/>
      <c r="BC103" s="1745"/>
      <c r="BD103" s="1216"/>
      <c r="BE103" s="1096"/>
      <c r="BF103" s="1096"/>
      <c r="BG103" s="1096"/>
      <c r="BH103" s="1287"/>
      <c r="BI103" s="1748"/>
      <c r="BJ103" s="1216"/>
      <c r="BK103" s="1096"/>
      <c r="BL103" s="1096"/>
      <c r="BM103" s="1097"/>
      <c r="BN103" s="1097"/>
      <c r="BO103" s="1745"/>
      <c r="BP103" s="1765"/>
      <c r="BQ103" s="1357"/>
      <c r="BR103" s="1767">
        <f t="shared" si="31"/>
        <v>3800</v>
      </c>
      <c r="BS103" s="1"/>
      <c r="BT103" s="1192">
        <f t="shared" si="32"/>
        <v>6000</v>
      </c>
    </row>
    <row r="104" spans="1:72" ht="15.6" x14ac:dyDescent="0.3">
      <c r="A104" s="150"/>
      <c r="B104" s="594"/>
      <c r="C104" s="398" t="s">
        <v>189</v>
      </c>
      <c r="D104" s="375" t="s">
        <v>185</v>
      </c>
      <c r="E104" s="399">
        <v>2.2999999999999998</v>
      </c>
      <c r="F104" s="400"/>
      <c r="G104" s="362"/>
      <c r="H104" s="842">
        <f t="shared" si="29"/>
        <v>0</v>
      </c>
      <c r="I104" s="375"/>
      <c r="J104" s="362"/>
      <c r="K104" s="1395">
        <f t="shared" si="30"/>
        <v>0</v>
      </c>
      <c r="L104" s="1193">
        <f t="shared" si="30"/>
        <v>0</v>
      </c>
      <c r="M104" s="1274">
        <f t="shared" si="30"/>
        <v>0</v>
      </c>
      <c r="N104" s="1273">
        <f t="shared" si="30"/>
        <v>0</v>
      </c>
      <c r="O104" s="1274">
        <f t="shared" si="30"/>
        <v>0</v>
      </c>
      <c r="P104" s="1273">
        <f t="shared" si="30"/>
        <v>0</v>
      </c>
      <c r="Q104" s="1274">
        <f t="shared" si="30"/>
        <v>0</v>
      </c>
      <c r="R104" s="1273">
        <f t="shared" si="30"/>
        <v>0</v>
      </c>
      <c r="S104" s="1565">
        <f>(R104-$H104)+BI104</f>
        <v>0</v>
      </c>
      <c r="T104" s="1847"/>
      <c r="U104" s="1183"/>
      <c r="V104" s="1273"/>
      <c r="W104" s="1183"/>
      <c r="X104" s="1273"/>
      <c r="Y104" s="1902"/>
      <c r="Z104" s="1198"/>
      <c r="AA104" s="1104"/>
      <c r="AB104" s="1199"/>
      <c r="AC104" s="1104"/>
      <c r="AD104" s="1205"/>
      <c r="AE104" s="1197"/>
      <c r="AF104" s="1103"/>
      <c r="AG104" s="1104"/>
      <c r="AH104" s="1104"/>
      <c r="AI104" s="1104"/>
      <c r="AJ104" s="1205"/>
      <c r="AK104" s="1768"/>
      <c r="AL104" s="1204"/>
      <c r="AM104" s="1103"/>
      <c r="AN104" s="1103"/>
      <c r="AO104" s="1103"/>
      <c r="AP104" s="1195"/>
      <c r="AQ104" s="1769"/>
      <c r="AR104" s="1204"/>
      <c r="AS104" s="1103"/>
      <c r="AT104" s="1104"/>
      <c r="AU104" s="1104"/>
      <c r="AV104" s="1205"/>
      <c r="AW104" s="1196"/>
      <c r="AX104" s="1204"/>
      <c r="AY104" s="1103"/>
      <c r="AZ104" s="1103"/>
      <c r="BA104" s="1103"/>
      <c r="BB104" s="1195"/>
      <c r="BC104" s="1768"/>
      <c r="BD104" s="1204"/>
      <c r="BE104" s="1104"/>
      <c r="BF104" s="1104"/>
      <c r="BG104" s="1104"/>
      <c r="BH104" s="1195"/>
      <c r="BI104" s="1769"/>
      <c r="BJ104" s="1204"/>
      <c r="BK104" s="1104"/>
      <c r="BL104" s="1104"/>
      <c r="BM104" s="1205"/>
      <c r="BN104" s="1205"/>
      <c r="BO104" s="1768"/>
      <c r="BP104" s="1752"/>
      <c r="BQ104" s="1357"/>
      <c r="BR104" s="1754">
        <f t="shared" si="31"/>
        <v>0</v>
      </c>
      <c r="BS104" s="1"/>
      <c r="BT104" s="1192">
        <f t="shared" si="32"/>
        <v>0</v>
      </c>
    </row>
    <row r="105" spans="1:72" ht="16.2" thickBot="1" x14ac:dyDescent="0.35">
      <c r="A105" s="169"/>
      <c r="B105" s="421"/>
      <c r="C105" s="405" t="s">
        <v>190</v>
      </c>
      <c r="D105" s="406" t="s">
        <v>185</v>
      </c>
      <c r="E105" s="407">
        <v>2.2999999999999998</v>
      </c>
      <c r="F105" s="424"/>
      <c r="G105" s="409"/>
      <c r="H105" s="843">
        <f t="shared" si="29"/>
        <v>0</v>
      </c>
      <c r="I105" s="406"/>
      <c r="J105" s="385"/>
      <c r="K105" s="1560">
        <f t="shared" si="30"/>
        <v>0</v>
      </c>
      <c r="L105" s="1273">
        <f t="shared" si="30"/>
        <v>0</v>
      </c>
      <c r="M105" s="1274">
        <f t="shared" si="30"/>
        <v>0</v>
      </c>
      <c r="N105" s="1273">
        <f t="shared" si="30"/>
        <v>0</v>
      </c>
      <c r="O105" s="1274">
        <f t="shared" si="30"/>
        <v>0</v>
      </c>
      <c r="P105" s="1273">
        <f t="shared" si="30"/>
        <v>0</v>
      </c>
      <c r="Q105" s="1274">
        <f t="shared" si="30"/>
        <v>0</v>
      </c>
      <c r="R105" s="1590">
        <f t="shared" si="30"/>
        <v>0</v>
      </c>
      <c r="S105" s="1596">
        <f>(R105-$H105)+BI105</f>
        <v>0</v>
      </c>
      <c r="T105" s="1864"/>
      <c r="U105" s="1894"/>
      <c r="V105" s="1590"/>
      <c r="W105" s="1894"/>
      <c r="X105" s="1590"/>
      <c r="Y105" s="1922"/>
      <c r="Z105" s="1838"/>
      <c r="AA105" s="1776"/>
      <c r="AB105" s="1779"/>
      <c r="AC105" s="1776"/>
      <c r="AD105" s="1777"/>
      <c r="AE105" s="1772"/>
      <c r="AF105" s="1770"/>
      <c r="AG105" s="1776"/>
      <c r="AH105" s="1776"/>
      <c r="AI105" s="1776"/>
      <c r="AJ105" s="1777"/>
      <c r="AK105" s="1773"/>
      <c r="AL105" s="1774"/>
      <c r="AM105" s="1770"/>
      <c r="AN105" s="1770"/>
      <c r="AO105" s="1770"/>
      <c r="AP105" s="1771"/>
      <c r="AQ105" s="1775"/>
      <c r="AR105" s="1774"/>
      <c r="AS105" s="1770"/>
      <c r="AT105" s="1776"/>
      <c r="AU105" s="1776"/>
      <c r="AV105" s="1777"/>
      <c r="AW105" s="1778"/>
      <c r="AX105" s="1774"/>
      <c r="AY105" s="1770"/>
      <c r="AZ105" s="1770"/>
      <c r="BA105" s="1770"/>
      <c r="BB105" s="1771"/>
      <c r="BC105" s="1773"/>
      <c r="BD105" s="1774"/>
      <c r="BE105" s="1776"/>
      <c r="BF105" s="1776"/>
      <c r="BG105" s="1776"/>
      <c r="BH105" s="1771"/>
      <c r="BI105" s="1775"/>
      <c r="BJ105" s="1774"/>
      <c r="BK105" s="1776"/>
      <c r="BL105" s="1776"/>
      <c r="BM105" s="1777"/>
      <c r="BN105" s="1777"/>
      <c r="BO105" s="1773"/>
      <c r="BP105" s="1267"/>
      <c r="BQ105" s="1269"/>
      <c r="BR105" s="1754">
        <f t="shared" si="31"/>
        <v>0</v>
      </c>
      <c r="BS105" s="1"/>
      <c r="BT105" s="1192">
        <f t="shared" si="32"/>
        <v>0</v>
      </c>
    </row>
    <row r="106" spans="1:72" ht="15.6" x14ac:dyDescent="0.3">
      <c r="A106" s="425">
        <v>2604</v>
      </c>
      <c r="B106" s="360" t="s">
        <v>366</v>
      </c>
      <c r="C106" s="361" t="s">
        <v>192</v>
      </c>
      <c r="D106" s="362" t="s">
        <v>193</v>
      </c>
      <c r="E106" s="363">
        <v>2.6</v>
      </c>
      <c r="F106" s="364">
        <f>(BR106/G106)/7</f>
        <v>2.0227560050568902</v>
      </c>
      <c r="G106" s="362">
        <v>339</v>
      </c>
      <c r="H106" s="840">
        <f t="shared" si="29"/>
        <v>881.4</v>
      </c>
      <c r="I106" s="362">
        <v>9000</v>
      </c>
      <c r="J106" s="392">
        <v>4800</v>
      </c>
      <c r="K106" s="1781">
        <f t="shared" si="30"/>
        <v>3918.6</v>
      </c>
      <c r="L106" s="1962">
        <v>6037</v>
      </c>
      <c r="M106" s="1954">
        <v>8156</v>
      </c>
      <c r="N106" s="1781">
        <f t="shared" si="30"/>
        <v>7274.6</v>
      </c>
      <c r="O106" s="1781">
        <f t="shared" si="30"/>
        <v>6393.2000000000007</v>
      </c>
      <c r="P106" s="1781">
        <f t="shared" si="30"/>
        <v>5511.8000000000011</v>
      </c>
      <c r="Q106" s="1781">
        <f t="shared" si="30"/>
        <v>4630.4000000000015</v>
      </c>
      <c r="R106" s="1781">
        <f t="shared" si="30"/>
        <v>3749.0000000000014</v>
      </c>
      <c r="S106" s="1781">
        <f t="shared" si="30"/>
        <v>2867.6000000000013</v>
      </c>
      <c r="T106" s="1848"/>
      <c r="U106" s="1885"/>
      <c r="V106" s="1222"/>
      <c r="W106" s="1885"/>
      <c r="X106" s="1222"/>
      <c r="Y106" s="1923"/>
      <c r="Z106" s="1176"/>
      <c r="AA106" s="1177"/>
      <c r="AB106" s="1096"/>
      <c r="AC106" s="1096"/>
      <c r="AD106" s="1097"/>
      <c r="AE106" s="1215"/>
      <c r="AF106" s="1187"/>
      <c r="AG106" s="1183"/>
      <c r="AH106" s="1183">
        <v>3000</v>
      </c>
      <c r="AI106" s="1183"/>
      <c r="AJ106" s="1744"/>
      <c r="AK106" s="1745"/>
      <c r="AL106" s="1746"/>
      <c r="AM106" s="1187"/>
      <c r="AN106" s="1187">
        <v>3000</v>
      </c>
      <c r="AO106" s="1187"/>
      <c r="AP106" s="1273"/>
      <c r="AQ106" s="1748"/>
      <c r="AR106" s="1746"/>
      <c r="AS106" s="1187"/>
      <c r="AT106" s="1183"/>
      <c r="AU106" s="1183"/>
      <c r="AV106" s="1744"/>
      <c r="AW106" s="1214"/>
      <c r="AX106" s="1746"/>
      <c r="AY106" s="1187"/>
      <c r="AZ106" s="1187"/>
      <c r="BA106" s="1187"/>
      <c r="BB106" s="1273"/>
      <c r="BC106" s="1745"/>
      <c r="BD106" s="1746"/>
      <c r="BE106" s="1183"/>
      <c r="BF106" s="1183"/>
      <c r="BG106" s="1183"/>
      <c r="BH106" s="1273"/>
      <c r="BI106" s="1748"/>
      <c r="BJ106" s="1746"/>
      <c r="BK106" s="1183"/>
      <c r="BL106" s="1183"/>
      <c r="BM106" s="1744"/>
      <c r="BN106" s="1744"/>
      <c r="BO106" s="1745"/>
      <c r="BP106" s="1783"/>
      <c r="BQ106" s="1784"/>
      <c r="BR106" s="1785">
        <f t="shared" si="31"/>
        <v>4800</v>
      </c>
      <c r="BT106" s="1192">
        <f t="shared" si="32"/>
        <v>6000</v>
      </c>
    </row>
    <row r="107" spans="1:72" ht="15.6" x14ac:dyDescent="0.3">
      <c r="A107" s="428"/>
      <c r="B107" s="360"/>
      <c r="C107" s="398" t="s">
        <v>194</v>
      </c>
      <c r="D107" s="375" t="s">
        <v>193</v>
      </c>
      <c r="E107" s="399">
        <v>2.4</v>
      </c>
      <c r="F107" s="400"/>
      <c r="G107" s="362"/>
      <c r="H107" s="842">
        <f t="shared" si="29"/>
        <v>0</v>
      </c>
      <c r="I107" s="375"/>
      <c r="J107" s="362"/>
      <c r="K107" s="1395">
        <f t="shared" si="30"/>
        <v>0</v>
      </c>
      <c r="L107" s="1193">
        <f t="shared" si="30"/>
        <v>0</v>
      </c>
      <c r="M107" s="1194">
        <f t="shared" si="30"/>
        <v>0</v>
      </c>
      <c r="N107" s="1193">
        <f t="shared" si="30"/>
        <v>0</v>
      </c>
      <c r="O107" s="1194">
        <f t="shared" si="30"/>
        <v>0</v>
      </c>
      <c r="P107" s="1193">
        <f t="shared" si="30"/>
        <v>0</v>
      </c>
      <c r="Q107" s="1194">
        <f t="shared" si="30"/>
        <v>0</v>
      </c>
      <c r="R107" s="1273">
        <f t="shared" si="30"/>
        <v>0</v>
      </c>
      <c r="S107" s="1565">
        <f>(R107-$H107)+BJ107</f>
        <v>0</v>
      </c>
      <c r="T107" s="1847"/>
      <c r="U107" s="1183"/>
      <c r="V107" s="1273"/>
      <c r="W107" s="1183"/>
      <c r="X107" s="1273"/>
      <c r="Y107" s="1902"/>
      <c r="Z107" s="1198"/>
      <c r="AA107" s="1199"/>
      <c r="AB107" s="1104"/>
      <c r="AC107" s="1104"/>
      <c r="AD107" s="1205"/>
      <c r="AE107" s="1197"/>
      <c r="AF107" s="1103"/>
      <c r="AG107" s="1104"/>
      <c r="AH107" s="1104"/>
      <c r="AI107" s="1104"/>
      <c r="AJ107" s="1205"/>
      <c r="AK107" s="1768"/>
      <c r="AL107" s="1204"/>
      <c r="AM107" s="1103"/>
      <c r="AN107" s="1103"/>
      <c r="AO107" s="1103"/>
      <c r="AP107" s="1195"/>
      <c r="AQ107" s="1769"/>
      <c r="AR107" s="1204"/>
      <c r="AS107" s="1103"/>
      <c r="AT107" s="1104"/>
      <c r="AU107" s="1104"/>
      <c r="AV107" s="1205"/>
      <c r="AW107" s="1196"/>
      <c r="AX107" s="1204"/>
      <c r="AY107" s="1103"/>
      <c r="AZ107" s="1103"/>
      <c r="BA107" s="1103"/>
      <c r="BB107" s="1195"/>
      <c r="BC107" s="1768"/>
      <c r="BD107" s="1204"/>
      <c r="BE107" s="1104"/>
      <c r="BF107" s="1104"/>
      <c r="BG107" s="1104"/>
      <c r="BH107" s="1195"/>
      <c r="BI107" s="1769"/>
      <c r="BJ107" s="1204"/>
      <c r="BK107" s="1104"/>
      <c r="BL107" s="1104"/>
      <c r="BM107" s="1205"/>
      <c r="BN107" s="1205"/>
      <c r="BO107" s="1768"/>
      <c r="BP107" s="1786"/>
      <c r="BQ107" s="1753"/>
      <c r="BR107" s="1754">
        <f t="shared" si="31"/>
        <v>0</v>
      </c>
      <c r="BS107" s="1"/>
      <c r="BT107" s="1192">
        <f t="shared" si="32"/>
        <v>0</v>
      </c>
    </row>
    <row r="108" spans="1:72" ht="16.2" thickBot="1" x14ac:dyDescent="0.35">
      <c r="A108" s="430"/>
      <c r="B108" s="421"/>
      <c r="C108" s="405" t="s">
        <v>195</v>
      </c>
      <c r="D108" s="406" t="s">
        <v>193</v>
      </c>
      <c r="E108" s="407">
        <v>2.4</v>
      </c>
      <c r="F108" s="424"/>
      <c r="G108" s="409"/>
      <c r="H108" s="843">
        <f t="shared" si="29"/>
        <v>0</v>
      </c>
      <c r="I108" s="406"/>
      <c r="J108" s="406"/>
      <c r="K108" s="1560">
        <f t="shared" si="30"/>
        <v>0</v>
      </c>
      <c r="L108" s="1273">
        <f t="shared" si="30"/>
        <v>0</v>
      </c>
      <c r="M108" s="1274">
        <f t="shared" si="30"/>
        <v>0</v>
      </c>
      <c r="N108" s="1273">
        <f t="shared" si="30"/>
        <v>0</v>
      </c>
      <c r="O108" s="1274">
        <f t="shared" si="30"/>
        <v>0</v>
      </c>
      <c r="P108" s="1273">
        <f t="shared" si="30"/>
        <v>0</v>
      </c>
      <c r="Q108" s="1274">
        <f t="shared" si="30"/>
        <v>0</v>
      </c>
      <c r="R108" s="1590">
        <f t="shared" si="30"/>
        <v>0</v>
      </c>
      <c r="S108" s="1596">
        <f>(R108-$H108)+BJ108</f>
        <v>0</v>
      </c>
      <c r="T108" s="1864"/>
      <c r="U108" s="1894"/>
      <c r="V108" s="1590"/>
      <c r="W108" s="1894"/>
      <c r="X108" s="1590"/>
      <c r="Y108" s="1922"/>
      <c r="Z108" s="1838"/>
      <c r="AA108" s="1779"/>
      <c r="AB108" s="1776"/>
      <c r="AC108" s="1776"/>
      <c r="AD108" s="1777"/>
      <c r="AE108" s="1772"/>
      <c r="AF108" s="1770"/>
      <c r="AG108" s="1776"/>
      <c r="AH108" s="1776"/>
      <c r="AI108" s="1776"/>
      <c r="AJ108" s="1777"/>
      <c r="AK108" s="1773"/>
      <c r="AL108" s="1774"/>
      <c r="AM108" s="1770"/>
      <c r="AN108" s="1770"/>
      <c r="AO108" s="1770"/>
      <c r="AP108" s="1771"/>
      <c r="AQ108" s="1775"/>
      <c r="AR108" s="1774"/>
      <c r="AS108" s="1770"/>
      <c r="AT108" s="1776"/>
      <c r="AU108" s="1776"/>
      <c r="AV108" s="1777"/>
      <c r="AW108" s="1778"/>
      <c r="AX108" s="1774"/>
      <c r="AY108" s="1770"/>
      <c r="AZ108" s="1770"/>
      <c r="BA108" s="1770"/>
      <c r="BB108" s="1771"/>
      <c r="BC108" s="1773"/>
      <c r="BD108" s="1774"/>
      <c r="BE108" s="1776"/>
      <c r="BF108" s="1776"/>
      <c r="BG108" s="1776"/>
      <c r="BH108" s="1771"/>
      <c r="BI108" s="1775"/>
      <c r="BJ108" s="1774"/>
      <c r="BK108" s="1776"/>
      <c r="BL108" s="1776"/>
      <c r="BM108" s="1777"/>
      <c r="BN108" s="1777"/>
      <c r="BO108" s="1773"/>
      <c r="BP108" s="1267"/>
      <c r="BQ108" s="1269"/>
      <c r="BR108" s="1759">
        <f t="shared" si="31"/>
        <v>0</v>
      </c>
      <c r="BS108" s="1"/>
      <c r="BT108" s="1192">
        <f t="shared" si="32"/>
        <v>0</v>
      </c>
    </row>
    <row r="109" spans="1:72" ht="15.6" x14ac:dyDescent="0.3">
      <c r="A109" s="425">
        <v>2603</v>
      </c>
      <c r="B109" s="360" t="s">
        <v>365</v>
      </c>
      <c r="C109" s="361" t="s">
        <v>196</v>
      </c>
      <c r="D109" s="362" t="s">
        <v>193</v>
      </c>
      <c r="E109" s="363">
        <v>2.7</v>
      </c>
      <c r="F109" s="364">
        <f>(BR109/G109)/7</f>
        <v>2.1645021645021645</v>
      </c>
      <c r="G109" s="362">
        <v>396</v>
      </c>
      <c r="H109" s="840">
        <f t="shared" si="29"/>
        <v>1069.2</v>
      </c>
      <c r="I109" s="362">
        <v>9000</v>
      </c>
      <c r="J109" s="362">
        <v>6000</v>
      </c>
      <c r="K109" s="1781">
        <f t="shared" si="30"/>
        <v>4930.8</v>
      </c>
      <c r="L109" s="1962">
        <v>6862</v>
      </c>
      <c r="M109" s="1962">
        <v>8793</v>
      </c>
      <c r="N109" s="1781">
        <f t="shared" si="30"/>
        <v>7723.8</v>
      </c>
      <c r="O109" s="1781">
        <f t="shared" si="30"/>
        <v>6654.6</v>
      </c>
      <c r="P109" s="1781">
        <f t="shared" si="30"/>
        <v>5585.4000000000005</v>
      </c>
      <c r="Q109" s="1781">
        <f t="shared" si="30"/>
        <v>4516.2000000000007</v>
      </c>
      <c r="R109" s="1781">
        <f t="shared" si="30"/>
        <v>3447.0000000000009</v>
      </c>
      <c r="S109" s="1782">
        <f t="shared" si="30"/>
        <v>2377.8000000000011</v>
      </c>
      <c r="T109" s="1848"/>
      <c r="U109" s="1885"/>
      <c r="V109" s="1222"/>
      <c r="W109" s="1885"/>
      <c r="X109" s="1222"/>
      <c r="Y109" s="1923"/>
      <c r="Z109" s="1176"/>
      <c r="AA109" s="1177"/>
      <c r="AB109" s="1096"/>
      <c r="AC109" s="1096"/>
      <c r="AD109" s="1097"/>
      <c r="AE109" s="1215"/>
      <c r="AF109" s="1187"/>
      <c r="AG109" s="1183"/>
      <c r="AH109" s="1183">
        <v>3000</v>
      </c>
      <c r="AI109" s="1183"/>
      <c r="AJ109" s="1744"/>
      <c r="AK109" s="1745"/>
      <c r="AL109" s="1746"/>
      <c r="AM109" s="1187"/>
      <c r="AN109" s="1187"/>
      <c r="AO109" s="1187">
        <v>3000</v>
      </c>
      <c r="AP109" s="1273"/>
      <c r="AQ109" s="1748"/>
      <c r="AR109" s="1746"/>
      <c r="AS109" s="1187"/>
      <c r="AT109" s="1183"/>
      <c r="AU109" s="1183"/>
      <c r="AV109" s="1744"/>
      <c r="AW109" s="1214"/>
      <c r="AX109" s="1746"/>
      <c r="AY109" s="1187"/>
      <c r="AZ109" s="1187"/>
      <c r="BA109" s="1187"/>
      <c r="BB109" s="1273"/>
      <c r="BC109" s="1745"/>
      <c r="BD109" s="1746"/>
      <c r="BE109" s="1183"/>
      <c r="BF109" s="1183"/>
      <c r="BG109" s="1183"/>
      <c r="BH109" s="1273"/>
      <c r="BI109" s="1748"/>
      <c r="BJ109" s="1746"/>
      <c r="BK109" s="1183"/>
      <c r="BL109" s="1183"/>
      <c r="BM109" s="1744"/>
      <c r="BN109" s="1744"/>
      <c r="BO109" s="1745"/>
      <c r="BP109" s="1783"/>
      <c r="BQ109" s="1784"/>
      <c r="BR109" s="1785">
        <f t="shared" si="31"/>
        <v>6000</v>
      </c>
      <c r="BT109" s="1192">
        <f t="shared" si="32"/>
        <v>6000</v>
      </c>
    </row>
    <row r="110" spans="1:72" ht="15.6" x14ac:dyDescent="0.3">
      <c r="A110" s="428"/>
      <c r="B110" s="360"/>
      <c r="C110" s="398" t="s">
        <v>197</v>
      </c>
      <c r="D110" s="375" t="s">
        <v>193</v>
      </c>
      <c r="E110" s="399">
        <f>+E109</f>
        <v>2.7</v>
      </c>
      <c r="F110" s="400"/>
      <c r="G110" s="375"/>
      <c r="H110" s="842">
        <f t="shared" si="29"/>
        <v>0</v>
      </c>
      <c r="I110" s="375"/>
      <c r="J110" s="362"/>
      <c r="K110" s="1395">
        <f t="shared" si="30"/>
        <v>0</v>
      </c>
      <c r="L110" s="1193">
        <f t="shared" si="30"/>
        <v>0</v>
      </c>
      <c r="M110" s="1194">
        <f t="shared" si="30"/>
        <v>0</v>
      </c>
      <c r="N110" s="1193">
        <f t="shared" si="30"/>
        <v>0</v>
      </c>
      <c r="O110" s="1194">
        <f t="shared" si="30"/>
        <v>0</v>
      </c>
      <c r="P110" s="1193">
        <f t="shared" si="30"/>
        <v>0</v>
      </c>
      <c r="Q110" s="1194">
        <f t="shared" si="30"/>
        <v>0</v>
      </c>
      <c r="R110" s="1193">
        <f t="shared" si="30"/>
        <v>0</v>
      </c>
      <c r="S110" s="1342">
        <f>(R110-$H110)+BJ110</f>
        <v>0</v>
      </c>
      <c r="T110" s="1854"/>
      <c r="U110" s="1114"/>
      <c r="V110" s="1193"/>
      <c r="W110" s="1114"/>
      <c r="X110" s="1193"/>
      <c r="Y110" s="1929"/>
      <c r="Z110" s="1198"/>
      <c r="AA110" s="1199"/>
      <c r="AB110" s="1104"/>
      <c r="AC110" s="1104"/>
      <c r="AD110" s="1205"/>
      <c r="AE110" s="1197"/>
      <c r="AF110" s="1103"/>
      <c r="AG110" s="1104"/>
      <c r="AH110" s="1104"/>
      <c r="AI110" s="1104"/>
      <c r="AJ110" s="1205"/>
      <c r="AK110" s="1768"/>
      <c r="AL110" s="1204"/>
      <c r="AM110" s="1103"/>
      <c r="AN110" s="1103"/>
      <c r="AO110" s="1103"/>
      <c r="AP110" s="1195"/>
      <c r="AQ110" s="1769"/>
      <c r="AR110" s="1204"/>
      <c r="AS110" s="1103"/>
      <c r="AT110" s="1104"/>
      <c r="AU110" s="1104"/>
      <c r="AV110" s="1205"/>
      <c r="AW110" s="1196"/>
      <c r="AX110" s="1204"/>
      <c r="AY110" s="1103"/>
      <c r="AZ110" s="1103"/>
      <c r="BA110" s="1103"/>
      <c r="BB110" s="1195"/>
      <c r="BC110" s="1768"/>
      <c r="BD110" s="1204"/>
      <c r="BE110" s="1104"/>
      <c r="BF110" s="1104"/>
      <c r="BG110" s="1104"/>
      <c r="BH110" s="1195"/>
      <c r="BI110" s="1769"/>
      <c r="BJ110" s="1204"/>
      <c r="BK110" s="1104"/>
      <c r="BL110" s="1104"/>
      <c r="BM110" s="1205"/>
      <c r="BN110" s="1205"/>
      <c r="BO110" s="1768"/>
      <c r="BP110" s="1786"/>
      <c r="BQ110" s="1753"/>
      <c r="BR110" s="1754">
        <f t="shared" si="31"/>
        <v>0</v>
      </c>
      <c r="BS110" s="1"/>
      <c r="BT110" s="1192">
        <f t="shared" si="32"/>
        <v>0</v>
      </c>
    </row>
    <row r="111" spans="1:72" ht="18" customHeight="1" thickBot="1" x14ac:dyDescent="0.35">
      <c r="A111" s="430"/>
      <c r="B111" s="421"/>
      <c r="C111" s="432" t="s">
        <v>198</v>
      </c>
      <c r="D111" s="386" t="s">
        <v>193</v>
      </c>
      <c r="E111" s="433">
        <f>+E110</f>
        <v>2.7</v>
      </c>
      <c r="F111" s="424"/>
      <c r="G111" s="386"/>
      <c r="H111" s="844">
        <f t="shared" si="29"/>
        <v>0</v>
      </c>
      <c r="I111" s="406"/>
      <c r="J111" s="385"/>
      <c r="K111" s="1560">
        <f t="shared" si="30"/>
        <v>0</v>
      </c>
      <c r="L111" s="1273">
        <f t="shared" si="30"/>
        <v>0</v>
      </c>
      <c r="M111" s="1274">
        <f t="shared" si="30"/>
        <v>0</v>
      </c>
      <c r="N111" s="1273">
        <f t="shared" si="30"/>
        <v>0</v>
      </c>
      <c r="O111" s="1274">
        <f t="shared" si="30"/>
        <v>0</v>
      </c>
      <c r="P111" s="1273">
        <f t="shared" si="30"/>
        <v>0</v>
      </c>
      <c r="Q111" s="1223">
        <f t="shared" si="30"/>
        <v>0</v>
      </c>
      <c r="R111" s="1273">
        <f t="shared" si="30"/>
        <v>0</v>
      </c>
      <c r="S111" s="1565">
        <f>(R111-$H111)+BJ111</f>
        <v>0</v>
      </c>
      <c r="T111" s="1848"/>
      <c r="U111" s="1885"/>
      <c r="V111" s="1222"/>
      <c r="W111" s="1885"/>
      <c r="X111" s="1222"/>
      <c r="Y111" s="1923"/>
      <c r="Z111" s="1226"/>
      <c r="AA111" s="1227"/>
      <c r="AB111" s="1219"/>
      <c r="AC111" s="1219"/>
      <c r="AD111" s="1233"/>
      <c r="AE111" s="1225"/>
      <c r="AF111" s="1218"/>
      <c r="AG111" s="1219"/>
      <c r="AH111" s="1219"/>
      <c r="AI111" s="1219"/>
      <c r="AJ111" s="1233"/>
      <c r="AK111" s="1787"/>
      <c r="AL111" s="1232"/>
      <c r="AM111" s="1218"/>
      <c r="AN111" s="1218"/>
      <c r="AO111" s="1218"/>
      <c r="AP111" s="1281"/>
      <c r="AQ111" s="1788"/>
      <c r="AR111" s="1232"/>
      <c r="AS111" s="1218"/>
      <c r="AT111" s="1219"/>
      <c r="AU111" s="1219"/>
      <c r="AV111" s="1233"/>
      <c r="AW111" s="1221"/>
      <c r="AX111" s="1232"/>
      <c r="AY111" s="1218"/>
      <c r="AZ111" s="1218"/>
      <c r="BA111" s="1218"/>
      <c r="BB111" s="1281"/>
      <c r="BC111" s="1787"/>
      <c r="BD111" s="1232"/>
      <c r="BE111" s="1219"/>
      <c r="BF111" s="1219"/>
      <c r="BG111" s="1219"/>
      <c r="BH111" s="1281"/>
      <c r="BI111" s="1788"/>
      <c r="BJ111" s="1232"/>
      <c r="BK111" s="1219"/>
      <c r="BL111" s="1219"/>
      <c r="BM111" s="1233"/>
      <c r="BN111" s="1233"/>
      <c r="BO111" s="1787"/>
      <c r="BP111" s="1365"/>
      <c r="BQ111" s="1357"/>
      <c r="BR111" s="1759">
        <f t="shared" si="31"/>
        <v>0</v>
      </c>
      <c r="BS111" s="1"/>
      <c r="BT111" s="1192">
        <f t="shared" si="32"/>
        <v>0</v>
      </c>
    </row>
    <row r="112" spans="1:72" ht="15.6" x14ac:dyDescent="0.3">
      <c r="A112" s="159">
        <v>2602</v>
      </c>
      <c r="B112" s="360" t="s">
        <v>579</v>
      </c>
      <c r="C112" s="391" t="s">
        <v>199</v>
      </c>
      <c r="D112" s="392" t="s">
        <v>191</v>
      </c>
      <c r="E112" s="393">
        <v>2.9</v>
      </c>
      <c r="F112" s="364">
        <f>(BR112/G112)/7</f>
        <v>1.9352568613652357</v>
      </c>
      <c r="G112" s="392">
        <v>406</v>
      </c>
      <c r="H112" s="841">
        <f t="shared" si="29"/>
        <v>1177.3999999999999</v>
      </c>
      <c r="I112" s="362">
        <v>9000</v>
      </c>
      <c r="J112" s="392">
        <v>5500</v>
      </c>
      <c r="K112" s="1961">
        <v>7323</v>
      </c>
      <c r="L112" s="1962">
        <v>9146</v>
      </c>
      <c r="M112" s="1962">
        <v>10969</v>
      </c>
      <c r="N112" s="1781">
        <f t="shared" si="30"/>
        <v>9791.6</v>
      </c>
      <c r="O112" s="1781">
        <f t="shared" si="30"/>
        <v>8614.2000000000007</v>
      </c>
      <c r="P112" s="1781">
        <f t="shared" si="30"/>
        <v>7436.8000000000011</v>
      </c>
      <c r="Q112" s="1781">
        <f t="shared" si="30"/>
        <v>6259.4000000000015</v>
      </c>
      <c r="R112" s="1781">
        <f t="shared" si="30"/>
        <v>5082.0000000000018</v>
      </c>
      <c r="S112" s="1782">
        <f t="shared" si="30"/>
        <v>3904.6000000000022</v>
      </c>
      <c r="T112" s="1868"/>
      <c r="U112" s="1895"/>
      <c r="V112" s="1831"/>
      <c r="W112" s="1895"/>
      <c r="X112" s="1831"/>
      <c r="Y112" s="1930"/>
      <c r="Z112" s="1245"/>
      <c r="AA112" s="1254"/>
      <c r="AB112" s="1254"/>
      <c r="AC112" s="1376">
        <v>3000</v>
      </c>
      <c r="AD112" s="1386"/>
      <c r="AE112" s="1761"/>
      <c r="AF112" s="1789"/>
      <c r="AG112" s="1790"/>
      <c r="AH112" s="1790"/>
      <c r="AI112" s="1790">
        <v>3000</v>
      </c>
      <c r="AJ112" s="1628"/>
      <c r="AK112" s="1762"/>
      <c r="AL112" s="1791"/>
      <c r="AM112" s="1789"/>
      <c r="AN112" s="1789"/>
      <c r="AO112" s="1789">
        <v>3000</v>
      </c>
      <c r="AP112" s="1242"/>
      <c r="AQ112" s="1763"/>
      <c r="AR112" s="1791"/>
      <c r="AS112" s="1789"/>
      <c r="AT112" s="1790"/>
      <c r="AU112" s="1790"/>
      <c r="AV112" s="1628"/>
      <c r="AW112" s="1764"/>
      <c r="AX112" s="1791"/>
      <c r="AY112" s="1789"/>
      <c r="AZ112" s="1789"/>
      <c r="BA112" s="1789"/>
      <c r="BB112" s="1242"/>
      <c r="BC112" s="1762"/>
      <c r="BD112" s="1791"/>
      <c r="BE112" s="1790"/>
      <c r="BF112" s="1790"/>
      <c r="BG112" s="1790"/>
      <c r="BH112" s="1242"/>
      <c r="BI112" s="1763"/>
      <c r="BJ112" s="1791"/>
      <c r="BK112" s="1790"/>
      <c r="BL112" s="1790"/>
      <c r="BM112" s="1628"/>
      <c r="BN112" s="1628"/>
      <c r="BO112" s="1762"/>
      <c r="BP112" s="1783"/>
      <c r="BQ112" s="1792"/>
      <c r="BR112" s="1785">
        <f t="shared" si="31"/>
        <v>5500</v>
      </c>
      <c r="BT112" s="1192">
        <f t="shared" si="32"/>
        <v>9000</v>
      </c>
    </row>
    <row r="113" spans="1:72" ht="15.6" x14ac:dyDescent="0.3">
      <c r="A113" s="150"/>
      <c r="B113" s="401"/>
      <c r="C113" s="398" t="s">
        <v>200</v>
      </c>
      <c r="D113" s="375" t="s">
        <v>191</v>
      </c>
      <c r="E113" s="399">
        <f>+E112</f>
        <v>2.9</v>
      </c>
      <c r="F113" s="400"/>
      <c r="G113" s="375"/>
      <c r="H113" s="842">
        <f t="shared" si="29"/>
        <v>0</v>
      </c>
      <c r="I113" s="375"/>
      <c r="J113" s="362"/>
      <c r="K113" s="1395">
        <f t="shared" si="30"/>
        <v>0</v>
      </c>
      <c r="L113" s="1193">
        <f t="shared" si="30"/>
        <v>0</v>
      </c>
      <c r="M113" s="1194">
        <f t="shared" si="30"/>
        <v>0</v>
      </c>
      <c r="N113" s="1193">
        <f t="shared" si="30"/>
        <v>0</v>
      </c>
      <c r="O113" s="1194">
        <f t="shared" si="30"/>
        <v>0</v>
      </c>
      <c r="P113" s="1193">
        <f t="shared" si="30"/>
        <v>0</v>
      </c>
      <c r="Q113" s="1194">
        <f t="shared" si="30"/>
        <v>0</v>
      </c>
      <c r="R113" s="1193">
        <f t="shared" si="30"/>
        <v>0</v>
      </c>
      <c r="S113" s="1342">
        <f>R113-$H113+BK113</f>
        <v>0</v>
      </c>
      <c r="T113" s="1854"/>
      <c r="U113" s="1114"/>
      <c r="V113" s="1193"/>
      <c r="W113" s="1114"/>
      <c r="X113" s="1193"/>
      <c r="Y113" s="1929"/>
      <c r="Z113" s="1198"/>
      <c r="AA113" s="1199"/>
      <c r="AB113" s="1199"/>
      <c r="AC113" s="1104"/>
      <c r="AD113" s="1205"/>
      <c r="AE113" s="1197"/>
      <c r="AF113" s="1103"/>
      <c r="AG113" s="1104"/>
      <c r="AH113" s="1104"/>
      <c r="AI113" s="1104"/>
      <c r="AJ113" s="1205"/>
      <c r="AK113" s="1768"/>
      <c r="AL113" s="1204"/>
      <c r="AM113" s="1103"/>
      <c r="AN113" s="1103"/>
      <c r="AO113" s="1103"/>
      <c r="AP113" s="1195"/>
      <c r="AQ113" s="1769"/>
      <c r="AR113" s="1204"/>
      <c r="AS113" s="1103"/>
      <c r="AT113" s="1104"/>
      <c r="AU113" s="1104"/>
      <c r="AV113" s="1205"/>
      <c r="AW113" s="1196"/>
      <c r="AX113" s="1204"/>
      <c r="AY113" s="1103"/>
      <c r="AZ113" s="1103"/>
      <c r="BA113" s="1103"/>
      <c r="BB113" s="1195"/>
      <c r="BC113" s="1768"/>
      <c r="BD113" s="1204"/>
      <c r="BE113" s="1104"/>
      <c r="BF113" s="1104"/>
      <c r="BG113" s="1104"/>
      <c r="BH113" s="1195"/>
      <c r="BI113" s="1769"/>
      <c r="BJ113" s="1204"/>
      <c r="BK113" s="1104"/>
      <c r="BL113" s="1104"/>
      <c r="BM113" s="1205"/>
      <c r="BN113" s="1205"/>
      <c r="BO113" s="1768"/>
      <c r="BP113" s="1786"/>
      <c r="BQ113" s="1357"/>
      <c r="BR113" s="1754">
        <f t="shared" si="31"/>
        <v>0</v>
      </c>
      <c r="BS113" s="1"/>
      <c r="BT113" s="1192">
        <f t="shared" si="32"/>
        <v>0</v>
      </c>
    </row>
    <row r="114" spans="1:72" ht="16.2" thickBot="1" x14ac:dyDescent="0.35">
      <c r="A114" s="169"/>
      <c r="B114" s="431"/>
      <c r="C114" s="405" t="s">
        <v>201</v>
      </c>
      <c r="D114" s="406" t="s">
        <v>191</v>
      </c>
      <c r="E114" s="407">
        <f>+E113</f>
        <v>2.9</v>
      </c>
      <c r="F114" s="424"/>
      <c r="G114" s="406"/>
      <c r="H114" s="843">
        <f t="shared" si="29"/>
        <v>0</v>
      </c>
      <c r="I114" s="406"/>
      <c r="J114" s="406"/>
      <c r="K114" s="1560">
        <f t="shared" si="30"/>
        <v>0</v>
      </c>
      <c r="L114" s="1273">
        <f t="shared" si="30"/>
        <v>0</v>
      </c>
      <c r="M114" s="1274">
        <f t="shared" si="30"/>
        <v>0</v>
      </c>
      <c r="N114" s="1273">
        <f t="shared" si="30"/>
        <v>0</v>
      </c>
      <c r="O114" s="1274">
        <f t="shared" si="30"/>
        <v>0</v>
      </c>
      <c r="P114" s="1273">
        <f t="shared" si="30"/>
        <v>0</v>
      </c>
      <c r="Q114" s="1223">
        <f t="shared" si="30"/>
        <v>0</v>
      </c>
      <c r="R114" s="1273">
        <f t="shared" si="30"/>
        <v>0</v>
      </c>
      <c r="S114" s="1565">
        <f>R114-$H114+BK114</f>
        <v>0</v>
      </c>
      <c r="T114" s="1848"/>
      <c r="U114" s="1885"/>
      <c r="V114" s="1222"/>
      <c r="W114" s="1885"/>
      <c r="X114" s="1222"/>
      <c r="Y114" s="1923"/>
      <c r="Z114" s="1838"/>
      <c r="AA114" s="1779"/>
      <c r="AB114" s="1779"/>
      <c r="AC114" s="1776"/>
      <c r="AD114" s="1777"/>
      <c r="AE114" s="1772"/>
      <c r="AF114" s="1770"/>
      <c r="AG114" s="1776"/>
      <c r="AH114" s="1776"/>
      <c r="AI114" s="1776"/>
      <c r="AJ114" s="1777"/>
      <c r="AK114" s="1773"/>
      <c r="AL114" s="1774"/>
      <c r="AM114" s="1770"/>
      <c r="AN114" s="1770"/>
      <c r="AO114" s="1770"/>
      <c r="AP114" s="1771"/>
      <c r="AQ114" s="1775"/>
      <c r="AR114" s="1774"/>
      <c r="AS114" s="1770"/>
      <c r="AT114" s="1776"/>
      <c r="AU114" s="1776"/>
      <c r="AV114" s="1777"/>
      <c r="AW114" s="1778"/>
      <c r="AX114" s="1774"/>
      <c r="AY114" s="1770"/>
      <c r="AZ114" s="1770"/>
      <c r="BA114" s="1770"/>
      <c r="BB114" s="1771"/>
      <c r="BC114" s="1773"/>
      <c r="BD114" s="1774"/>
      <c r="BE114" s="1776"/>
      <c r="BF114" s="1776"/>
      <c r="BG114" s="1776"/>
      <c r="BH114" s="1771"/>
      <c r="BI114" s="1775"/>
      <c r="BJ114" s="1774"/>
      <c r="BK114" s="1776"/>
      <c r="BL114" s="1776"/>
      <c r="BM114" s="1777"/>
      <c r="BN114" s="1777"/>
      <c r="BO114" s="1773"/>
      <c r="BP114" s="1267"/>
      <c r="BQ114" s="1269"/>
      <c r="BR114" s="1793">
        <f t="shared" si="31"/>
        <v>0</v>
      </c>
      <c r="BS114" s="1"/>
      <c r="BT114" s="1192">
        <f t="shared" si="32"/>
        <v>0</v>
      </c>
    </row>
    <row r="115" spans="1:72" ht="15.6" x14ac:dyDescent="0.3">
      <c r="A115" s="425">
        <v>2601</v>
      </c>
      <c r="B115" s="394" t="s">
        <v>364</v>
      </c>
      <c r="C115" s="361" t="s">
        <v>202</v>
      </c>
      <c r="D115" s="362" t="s">
        <v>191</v>
      </c>
      <c r="E115" s="363">
        <v>3.1</v>
      </c>
      <c r="F115" s="364">
        <f>(BR115/G115)/7</f>
        <v>2.7663088356729975</v>
      </c>
      <c r="G115" s="362">
        <v>346</v>
      </c>
      <c r="H115" s="840">
        <f t="shared" si="29"/>
        <v>1072.6000000000001</v>
      </c>
      <c r="I115" s="362">
        <v>9000</v>
      </c>
      <c r="J115" s="362">
        <v>6700</v>
      </c>
      <c r="K115" s="1781">
        <f t="shared" si="30"/>
        <v>5627.4</v>
      </c>
      <c r="L115" s="1962">
        <v>7555</v>
      </c>
      <c r="M115" s="1962">
        <v>9482</v>
      </c>
      <c r="N115" s="1781">
        <f t="shared" si="30"/>
        <v>8409.4</v>
      </c>
      <c r="O115" s="1781">
        <f t="shared" si="30"/>
        <v>7336.7999999999993</v>
      </c>
      <c r="P115" s="1781">
        <f t="shared" si="30"/>
        <v>6264.1999999999989</v>
      </c>
      <c r="Q115" s="1781">
        <f t="shared" si="30"/>
        <v>5191.5999999999985</v>
      </c>
      <c r="R115" s="1781">
        <f t="shared" si="30"/>
        <v>4118.9999999999982</v>
      </c>
      <c r="S115" s="1782">
        <f t="shared" si="30"/>
        <v>3046.3999999999978</v>
      </c>
      <c r="T115" s="1848"/>
      <c r="U115" s="1885"/>
      <c r="V115" s="1222"/>
      <c r="W115" s="1885"/>
      <c r="X115" s="1222"/>
      <c r="Y115" s="1923"/>
      <c r="Z115" s="1176"/>
      <c r="AA115" s="1177"/>
      <c r="AB115" s="1177"/>
      <c r="AC115" s="1096"/>
      <c r="AD115" s="1097"/>
      <c r="AE115" s="1215"/>
      <c r="AF115" s="1187"/>
      <c r="AG115" s="1183"/>
      <c r="AH115" s="1183"/>
      <c r="AI115" s="1183">
        <v>3000</v>
      </c>
      <c r="AJ115" s="1744"/>
      <c r="AK115" s="1745"/>
      <c r="AL115" s="1746"/>
      <c r="AM115" s="1187"/>
      <c r="AN115" s="1187"/>
      <c r="AO115" s="1187">
        <v>3000</v>
      </c>
      <c r="AP115" s="1273"/>
      <c r="AQ115" s="1748"/>
      <c r="AR115" s="1746"/>
      <c r="AS115" s="1187"/>
      <c r="AT115" s="1183"/>
      <c r="AU115" s="1183"/>
      <c r="AV115" s="1744"/>
      <c r="AW115" s="1214"/>
      <c r="AX115" s="1746"/>
      <c r="AY115" s="1187"/>
      <c r="AZ115" s="1187"/>
      <c r="BA115" s="1187"/>
      <c r="BB115" s="1273"/>
      <c r="BC115" s="1745"/>
      <c r="BD115" s="1746"/>
      <c r="BE115" s="1183"/>
      <c r="BF115" s="1183"/>
      <c r="BG115" s="1183"/>
      <c r="BH115" s="1273"/>
      <c r="BI115" s="1748"/>
      <c r="BJ115" s="1746"/>
      <c r="BK115" s="1183"/>
      <c r="BL115" s="1183"/>
      <c r="BM115" s="1744"/>
      <c r="BN115" s="1744"/>
      <c r="BO115" s="1745"/>
      <c r="BP115" s="1783"/>
      <c r="BQ115" s="1784"/>
      <c r="BR115" s="1785">
        <f t="shared" si="31"/>
        <v>6700</v>
      </c>
      <c r="BT115" s="1192">
        <f t="shared" si="32"/>
        <v>6000</v>
      </c>
    </row>
    <row r="116" spans="1:72" ht="15.6" x14ac:dyDescent="0.3">
      <c r="A116" s="428"/>
      <c r="B116" s="401"/>
      <c r="C116" s="398" t="s">
        <v>203</v>
      </c>
      <c r="D116" s="375" t="s">
        <v>191</v>
      </c>
      <c r="E116" s="399">
        <f t="shared" ref="E116:E121" si="34">+E115</f>
        <v>3.1</v>
      </c>
      <c r="F116" s="400"/>
      <c r="G116" s="375"/>
      <c r="H116" s="842">
        <f t="shared" si="29"/>
        <v>0</v>
      </c>
      <c r="I116" s="375"/>
      <c r="J116" s="362"/>
      <c r="K116" s="1395">
        <f t="shared" si="30"/>
        <v>0</v>
      </c>
      <c r="L116" s="1193">
        <f t="shared" si="30"/>
        <v>0</v>
      </c>
      <c r="M116" s="1194">
        <f t="shared" si="30"/>
        <v>0</v>
      </c>
      <c r="N116" s="1193">
        <f t="shared" si="30"/>
        <v>0</v>
      </c>
      <c r="O116" s="1194">
        <f t="shared" si="30"/>
        <v>0</v>
      </c>
      <c r="P116" s="1193">
        <f t="shared" si="30"/>
        <v>0</v>
      </c>
      <c r="Q116" s="1194">
        <f t="shared" si="30"/>
        <v>0</v>
      </c>
      <c r="R116" s="1193">
        <f t="shared" si="30"/>
        <v>0</v>
      </c>
      <c r="S116" s="1342">
        <f>R116-$H116+BK116</f>
        <v>0</v>
      </c>
      <c r="T116" s="1854"/>
      <c r="U116" s="1114"/>
      <c r="V116" s="1193"/>
      <c r="W116" s="1114"/>
      <c r="X116" s="1193"/>
      <c r="Y116" s="1929"/>
      <c r="Z116" s="1198"/>
      <c r="AA116" s="1199"/>
      <c r="AB116" s="1199"/>
      <c r="AC116" s="1104"/>
      <c r="AD116" s="1205"/>
      <c r="AE116" s="1197"/>
      <c r="AF116" s="1103"/>
      <c r="AG116" s="1104"/>
      <c r="AH116" s="1104"/>
      <c r="AI116" s="1104"/>
      <c r="AJ116" s="1205"/>
      <c r="AK116" s="1768"/>
      <c r="AL116" s="1204"/>
      <c r="AM116" s="1103"/>
      <c r="AN116" s="1103"/>
      <c r="AO116" s="1103"/>
      <c r="AP116" s="1195"/>
      <c r="AQ116" s="1769"/>
      <c r="AR116" s="1204"/>
      <c r="AS116" s="1103"/>
      <c r="AT116" s="1104"/>
      <c r="AU116" s="1104"/>
      <c r="AV116" s="1205"/>
      <c r="AW116" s="1196"/>
      <c r="AX116" s="1204"/>
      <c r="AY116" s="1103"/>
      <c r="AZ116" s="1103"/>
      <c r="BA116" s="1103"/>
      <c r="BB116" s="1195"/>
      <c r="BC116" s="1768"/>
      <c r="BD116" s="1204"/>
      <c r="BE116" s="1104"/>
      <c r="BF116" s="1104"/>
      <c r="BG116" s="1104"/>
      <c r="BH116" s="1195"/>
      <c r="BI116" s="1769"/>
      <c r="BJ116" s="1204"/>
      <c r="BK116" s="1104"/>
      <c r="BL116" s="1104"/>
      <c r="BM116" s="1205"/>
      <c r="BN116" s="1205"/>
      <c r="BO116" s="1768"/>
      <c r="BP116" s="1752"/>
      <c r="BQ116" s="1753"/>
      <c r="BR116" s="1754">
        <f t="shared" si="31"/>
        <v>0</v>
      </c>
      <c r="BS116" s="1"/>
      <c r="BT116" s="1192">
        <f t="shared" si="32"/>
        <v>0</v>
      </c>
    </row>
    <row r="117" spans="1:72" ht="16.2" thickBot="1" x14ac:dyDescent="0.35">
      <c r="A117" s="444"/>
      <c r="B117" s="411"/>
      <c r="C117" s="432" t="s">
        <v>204</v>
      </c>
      <c r="D117" s="386" t="s">
        <v>191</v>
      </c>
      <c r="E117" s="433">
        <f t="shared" si="34"/>
        <v>3.1</v>
      </c>
      <c r="F117" s="424"/>
      <c r="G117" s="386"/>
      <c r="H117" s="844">
        <f t="shared" si="29"/>
        <v>0</v>
      </c>
      <c r="I117" s="406"/>
      <c r="J117" s="406"/>
      <c r="K117" s="1560">
        <f t="shared" si="30"/>
        <v>0</v>
      </c>
      <c r="L117" s="1273">
        <f t="shared" si="30"/>
        <v>0</v>
      </c>
      <c r="M117" s="1274">
        <f t="shared" si="30"/>
        <v>0</v>
      </c>
      <c r="N117" s="1273">
        <f t="shared" si="30"/>
        <v>0</v>
      </c>
      <c r="O117" s="1274">
        <f t="shared" si="30"/>
        <v>0</v>
      </c>
      <c r="P117" s="1273">
        <f t="shared" si="30"/>
        <v>0</v>
      </c>
      <c r="Q117" s="1223">
        <f t="shared" si="30"/>
        <v>0</v>
      </c>
      <c r="R117" s="1273">
        <f t="shared" si="30"/>
        <v>0</v>
      </c>
      <c r="S117" s="1565">
        <f>R117-$H117+BK117</f>
        <v>0</v>
      </c>
      <c r="T117" s="1848"/>
      <c r="U117" s="1885"/>
      <c r="V117" s="1222"/>
      <c r="W117" s="1885"/>
      <c r="X117" s="1222"/>
      <c r="Y117" s="1923"/>
      <c r="Z117" s="1226"/>
      <c r="AA117" s="1227"/>
      <c r="AB117" s="1227"/>
      <c r="AC117" s="1219"/>
      <c r="AD117" s="1233"/>
      <c r="AE117" s="1225"/>
      <c r="AF117" s="1218"/>
      <c r="AG117" s="1219"/>
      <c r="AH117" s="1219"/>
      <c r="AI117" s="1219"/>
      <c r="AJ117" s="1233"/>
      <c r="AK117" s="1787"/>
      <c r="AL117" s="1232"/>
      <c r="AM117" s="1218"/>
      <c r="AN117" s="1218"/>
      <c r="AO117" s="1218"/>
      <c r="AP117" s="1281"/>
      <c r="AQ117" s="1788"/>
      <c r="AR117" s="1232"/>
      <c r="AS117" s="1218"/>
      <c r="AT117" s="1219"/>
      <c r="AU117" s="1219"/>
      <c r="AV117" s="1233"/>
      <c r="AW117" s="1221"/>
      <c r="AX117" s="1232"/>
      <c r="AY117" s="1218"/>
      <c r="AZ117" s="1218"/>
      <c r="BA117" s="1218"/>
      <c r="BB117" s="1281"/>
      <c r="BC117" s="1787"/>
      <c r="BD117" s="1232"/>
      <c r="BE117" s="1219"/>
      <c r="BF117" s="1219"/>
      <c r="BG117" s="1219"/>
      <c r="BH117" s="1281"/>
      <c r="BI117" s="1788"/>
      <c r="BJ117" s="1232"/>
      <c r="BK117" s="1219"/>
      <c r="BL117" s="1219"/>
      <c r="BM117" s="1233"/>
      <c r="BN117" s="1233"/>
      <c r="BO117" s="1787"/>
      <c r="BP117" s="1365"/>
      <c r="BQ117" s="1357"/>
      <c r="BR117" s="1793">
        <f t="shared" si="31"/>
        <v>0</v>
      </c>
      <c r="BS117" s="1"/>
      <c r="BT117" s="1192">
        <f t="shared" si="32"/>
        <v>0</v>
      </c>
    </row>
    <row r="118" spans="1:72" ht="15.6" x14ac:dyDescent="0.3">
      <c r="A118" s="445">
        <v>2552</v>
      </c>
      <c r="B118" s="360" t="s">
        <v>580</v>
      </c>
      <c r="C118" s="391" t="s">
        <v>205</v>
      </c>
      <c r="D118" s="392" t="s">
        <v>191</v>
      </c>
      <c r="E118" s="393">
        <v>3.1</v>
      </c>
      <c r="F118" s="364">
        <f>(BR118/G118)/7</f>
        <v>3.1667839549612951</v>
      </c>
      <c r="G118" s="392">
        <v>203</v>
      </c>
      <c r="H118" s="841">
        <f t="shared" si="29"/>
        <v>629.30000000000007</v>
      </c>
      <c r="I118" s="362">
        <v>6000</v>
      </c>
      <c r="J118" s="362">
        <v>4500</v>
      </c>
      <c r="K118" s="1243">
        <f t="shared" si="30"/>
        <v>3870.7</v>
      </c>
      <c r="L118" s="1243">
        <f t="shared" si="30"/>
        <v>3241.3999999999996</v>
      </c>
      <c r="M118" s="1958">
        <v>5612</v>
      </c>
      <c r="N118" s="1243">
        <f t="shared" si="30"/>
        <v>4982.7</v>
      </c>
      <c r="O118" s="1243">
        <f t="shared" si="30"/>
        <v>4353.3999999999996</v>
      </c>
      <c r="P118" s="1243">
        <f t="shared" si="30"/>
        <v>3724.0999999999995</v>
      </c>
      <c r="Q118" s="1243">
        <f t="shared" si="30"/>
        <v>3094.7999999999993</v>
      </c>
      <c r="R118" s="1243">
        <f t="shared" si="30"/>
        <v>2465.4999999999991</v>
      </c>
      <c r="S118" s="1579">
        <f t="shared" si="30"/>
        <v>1836.1999999999989</v>
      </c>
      <c r="T118" s="1852"/>
      <c r="U118" s="1790"/>
      <c r="V118" s="1242"/>
      <c r="W118" s="1790"/>
      <c r="X118" s="1242"/>
      <c r="Y118" s="1921"/>
      <c r="Z118" s="1245"/>
      <c r="AA118" s="1254"/>
      <c r="AB118" s="1254"/>
      <c r="AC118" s="1376"/>
      <c r="AD118" s="1386"/>
      <c r="AE118" s="1761"/>
      <c r="AF118" s="1760"/>
      <c r="AG118" s="1376"/>
      <c r="AH118" s="1376"/>
      <c r="AI118" s="1376"/>
      <c r="AJ118" s="1386"/>
      <c r="AK118" s="1762"/>
      <c r="AL118" s="1382"/>
      <c r="AM118" s="1760"/>
      <c r="AN118" s="1760"/>
      <c r="AO118" s="1760">
        <v>3000</v>
      </c>
      <c r="AP118" s="1244"/>
      <c r="AQ118" s="1763"/>
      <c r="AR118" s="1382"/>
      <c r="AS118" s="1760"/>
      <c r="AT118" s="1376"/>
      <c r="AU118" s="1376"/>
      <c r="AV118" s="1386"/>
      <c r="AW118" s="1764"/>
      <c r="AX118" s="1382"/>
      <c r="AY118" s="1760"/>
      <c r="AZ118" s="1760"/>
      <c r="BA118" s="1760"/>
      <c r="BB118" s="1244"/>
      <c r="BC118" s="1762"/>
      <c r="BD118" s="1382"/>
      <c r="BE118" s="1376"/>
      <c r="BF118" s="1376"/>
      <c r="BG118" s="1376"/>
      <c r="BH118" s="1244"/>
      <c r="BI118" s="1763"/>
      <c r="BJ118" s="1382"/>
      <c r="BK118" s="1376"/>
      <c r="BL118" s="1376"/>
      <c r="BM118" s="1386"/>
      <c r="BN118" s="1386"/>
      <c r="BO118" s="1762"/>
      <c r="BP118" s="1765"/>
      <c r="BQ118" s="1766"/>
      <c r="BR118" s="1767">
        <f t="shared" si="31"/>
        <v>4500</v>
      </c>
      <c r="BS118" s="1"/>
      <c r="BT118" s="1192">
        <f t="shared" si="32"/>
        <v>3000</v>
      </c>
    </row>
    <row r="119" spans="1:72" ht="15.6" x14ac:dyDescent="0.3">
      <c r="A119" s="418"/>
      <c r="B119" s="401" t="s">
        <v>581</v>
      </c>
      <c r="C119" s="632" t="s">
        <v>206</v>
      </c>
      <c r="D119" s="375" t="s">
        <v>191</v>
      </c>
      <c r="E119" s="399">
        <f t="shared" si="34"/>
        <v>3.1</v>
      </c>
      <c r="F119" s="400"/>
      <c r="G119" s="375">
        <v>202</v>
      </c>
      <c r="H119" s="842">
        <f t="shared" si="29"/>
        <v>626.20000000000005</v>
      </c>
      <c r="I119" s="375">
        <v>6000</v>
      </c>
      <c r="J119" s="362">
        <v>4200</v>
      </c>
      <c r="K119" s="1437">
        <f t="shared" si="30"/>
        <v>3573.8</v>
      </c>
      <c r="L119" s="1222">
        <f t="shared" si="30"/>
        <v>2947.6000000000004</v>
      </c>
      <c r="M119" s="2013">
        <v>5321</v>
      </c>
      <c r="N119" s="1222">
        <f t="shared" si="30"/>
        <v>4694.8</v>
      </c>
      <c r="O119" s="1223">
        <f t="shared" si="30"/>
        <v>4068.6000000000004</v>
      </c>
      <c r="P119" s="1222">
        <f t="shared" si="30"/>
        <v>3442.4000000000005</v>
      </c>
      <c r="Q119" s="1223">
        <f t="shared" si="30"/>
        <v>2816.2000000000007</v>
      </c>
      <c r="R119" s="1222">
        <f t="shared" si="30"/>
        <v>2190.0000000000009</v>
      </c>
      <c r="S119" s="1438">
        <f>R119-$H119+BK119</f>
        <v>1563.8000000000009</v>
      </c>
      <c r="T119" s="1848"/>
      <c r="U119" s="1885"/>
      <c r="V119" s="1222"/>
      <c r="W119" s="1885"/>
      <c r="X119" s="1222"/>
      <c r="Y119" s="1923"/>
      <c r="Z119" s="1198"/>
      <c r="AA119" s="1199"/>
      <c r="AB119" s="1199"/>
      <c r="AC119" s="1104"/>
      <c r="AD119" s="1205"/>
      <c r="AE119" s="1197"/>
      <c r="AF119" s="1103"/>
      <c r="AG119" s="1104"/>
      <c r="AH119" s="1104"/>
      <c r="AI119" s="1104"/>
      <c r="AJ119" s="1205"/>
      <c r="AK119" s="1768"/>
      <c r="AL119" s="1204"/>
      <c r="AM119" s="1103"/>
      <c r="AN119" s="1103"/>
      <c r="AO119" s="1103">
        <v>3000</v>
      </c>
      <c r="AP119" s="1195"/>
      <c r="AQ119" s="1769"/>
      <c r="AR119" s="1204"/>
      <c r="AS119" s="1103"/>
      <c r="AT119" s="1104"/>
      <c r="AU119" s="1104"/>
      <c r="AV119" s="1205"/>
      <c r="AW119" s="1196"/>
      <c r="AX119" s="1204"/>
      <c r="AY119" s="1103"/>
      <c r="AZ119" s="1103"/>
      <c r="BA119" s="1103"/>
      <c r="BB119" s="1195"/>
      <c r="BC119" s="1768"/>
      <c r="BD119" s="1204"/>
      <c r="BE119" s="1104"/>
      <c r="BF119" s="1104"/>
      <c r="BG119" s="1104"/>
      <c r="BH119" s="1195"/>
      <c r="BI119" s="1769"/>
      <c r="BJ119" s="1204"/>
      <c r="BK119" s="1104"/>
      <c r="BL119" s="1104"/>
      <c r="BM119" s="1205"/>
      <c r="BN119" s="1205"/>
      <c r="BO119" s="1768"/>
      <c r="BP119" s="1786"/>
      <c r="BQ119" s="1753"/>
      <c r="BR119" s="1754">
        <f t="shared" si="31"/>
        <v>4200</v>
      </c>
      <c r="BS119" s="1"/>
      <c r="BT119" s="1192">
        <f t="shared" si="32"/>
        <v>3000</v>
      </c>
    </row>
    <row r="120" spans="1:72" ht="15.6" x14ac:dyDescent="0.3">
      <c r="A120" s="447"/>
      <c r="B120" s="431"/>
      <c r="C120" s="398" t="s">
        <v>207</v>
      </c>
      <c r="D120" s="375" t="s">
        <v>191</v>
      </c>
      <c r="E120" s="399">
        <f t="shared" si="34"/>
        <v>3.1</v>
      </c>
      <c r="F120" s="637"/>
      <c r="G120" s="375"/>
      <c r="H120" s="842">
        <f t="shared" si="29"/>
        <v>0</v>
      </c>
      <c r="I120" s="375"/>
      <c r="J120" s="375"/>
      <c r="K120" s="1193">
        <f t="shared" si="30"/>
        <v>0</v>
      </c>
      <c r="L120" s="1115">
        <f t="shared" si="30"/>
        <v>0</v>
      </c>
      <c r="M120" s="1194">
        <f t="shared" si="30"/>
        <v>0</v>
      </c>
      <c r="N120" s="1193">
        <f t="shared" si="30"/>
        <v>0</v>
      </c>
      <c r="O120" s="1794">
        <f t="shared" si="30"/>
        <v>0</v>
      </c>
      <c r="P120" s="1115">
        <f t="shared" si="30"/>
        <v>0</v>
      </c>
      <c r="Q120" s="1194">
        <f t="shared" si="30"/>
        <v>0</v>
      </c>
      <c r="R120" s="1193">
        <f t="shared" si="30"/>
        <v>0</v>
      </c>
      <c r="S120" s="1342">
        <f>R120-$H120+BK120</f>
        <v>0</v>
      </c>
      <c r="T120" s="1854"/>
      <c r="U120" s="1114"/>
      <c r="V120" s="1193"/>
      <c r="W120" s="1114"/>
      <c r="X120" s="1193"/>
      <c r="Y120" s="1929"/>
      <c r="Z120" s="1198"/>
      <c r="AA120" s="1199"/>
      <c r="AB120" s="1199"/>
      <c r="AC120" s="1104"/>
      <c r="AD120" s="1205"/>
      <c r="AE120" s="1197"/>
      <c r="AF120" s="1103"/>
      <c r="AG120" s="1104"/>
      <c r="AH120" s="1104"/>
      <c r="AI120" s="1104"/>
      <c r="AJ120" s="1205"/>
      <c r="AK120" s="1768"/>
      <c r="AL120" s="1204"/>
      <c r="AM120" s="1104"/>
      <c r="AN120" s="1103"/>
      <c r="AO120" s="1103"/>
      <c r="AP120" s="1195"/>
      <c r="AQ120" s="1769"/>
      <c r="AR120" s="1204"/>
      <c r="AS120" s="1103"/>
      <c r="AT120" s="1104"/>
      <c r="AU120" s="1104"/>
      <c r="AV120" s="1205"/>
      <c r="AW120" s="1196"/>
      <c r="AX120" s="1204"/>
      <c r="AY120" s="1103"/>
      <c r="AZ120" s="1103"/>
      <c r="BA120" s="1103"/>
      <c r="BB120" s="1195"/>
      <c r="BC120" s="1768"/>
      <c r="BD120" s="1204"/>
      <c r="BE120" s="1104"/>
      <c r="BF120" s="1104"/>
      <c r="BG120" s="1104"/>
      <c r="BH120" s="1195"/>
      <c r="BI120" s="1769"/>
      <c r="BJ120" s="1204"/>
      <c r="BK120" s="1104"/>
      <c r="BL120" s="1104"/>
      <c r="BM120" s="1205"/>
      <c r="BN120" s="1205"/>
      <c r="BO120" s="1768"/>
      <c r="BP120" s="1188"/>
      <c r="BQ120" s="1177"/>
      <c r="BR120" s="1795">
        <f t="shared" si="31"/>
        <v>0</v>
      </c>
      <c r="BS120" s="1"/>
      <c r="BT120" s="1192">
        <f t="shared" si="32"/>
        <v>0</v>
      </c>
    </row>
    <row r="121" spans="1:72" ht="16.2" thickBot="1" x14ac:dyDescent="0.35">
      <c r="A121" s="420"/>
      <c r="B121" s="431"/>
      <c r="C121" s="634" t="s">
        <v>207</v>
      </c>
      <c r="D121" s="409" t="s">
        <v>209</v>
      </c>
      <c r="E121" s="635">
        <f t="shared" si="34"/>
        <v>3.1</v>
      </c>
      <c r="F121" s="636"/>
      <c r="G121" s="409"/>
      <c r="H121" s="845">
        <f t="shared" si="29"/>
        <v>0</v>
      </c>
      <c r="I121" s="409"/>
      <c r="J121" s="406"/>
      <c r="K121" s="1420">
        <f t="shared" si="30"/>
        <v>0</v>
      </c>
      <c r="L121" s="1257">
        <f t="shared" si="30"/>
        <v>0</v>
      </c>
      <c r="M121" s="1258">
        <f t="shared" si="30"/>
        <v>0</v>
      </c>
      <c r="N121" s="1257">
        <f t="shared" si="30"/>
        <v>0</v>
      </c>
      <c r="O121" s="1258">
        <f t="shared" si="30"/>
        <v>0</v>
      </c>
      <c r="P121" s="1257">
        <f t="shared" si="30"/>
        <v>0</v>
      </c>
      <c r="Q121" s="1258">
        <f t="shared" si="30"/>
        <v>0</v>
      </c>
      <c r="R121" s="1257">
        <f t="shared" si="30"/>
        <v>0</v>
      </c>
      <c r="S121" s="1633">
        <f>R121-$H121+BK121</f>
        <v>0</v>
      </c>
      <c r="T121" s="1856"/>
      <c r="U121" s="1650"/>
      <c r="V121" s="1257"/>
      <c r="W121" s="1650"/>
      <c r="X121" s="1257"/>
      <c r="Y121" s="1924"/>
      <c r="Z121" s="1260"/>
      <c r="AA121" s="1269"/>
      <c r="AB121" s="1269"/>
      <c r="AC121" s="1421"/>
      <c r="AD121" s="1431"/>
      <c r="AE121" s="1796"/>
      <c r="AF121" s="1797"/>
      <c r="AG121" s="1421"/>
      <c r="AH121" s="1421"/>
      <c r="AI121" s="1421"/>
      <c r="AJ121" s="1431"/>
      <c r="AK121" s="1798"/>
      <c r="AL121" s="1427"/>
      <c r="AM121" s="1797"/>
      <c r="AN121" s="1797"/>
      <c r="AO121" s="1797"/>
      <c r="AP121" s="1259"/>
      <c r="AQ121" s="1799"/>
      <c r="AR121" s="1427"/>
      <c r="AS121" s="1797"/>
      <c r="AT121" s="1421"/>
      <c r="AU121" s="1421"/>
      <c r="AV121" s="1431"/>
      <c r="AW121" s="1800"/>
      <c r="AX121" s="1427"/>
      <c r="AY121" s="1797"/>
      <c r="AZ121" s="1797"/>
      <c r="BA121" s="1797"/>
      <c r="BB121" s="1259"/>
      <c r="BC121" s="1798"/>
      <c r="BD121" s="1427"/>
      <c r="BE121" s="1421"/>
      <c r="BF121" s="1421"/>
      <c r="BG121" s="1421"/>
      <c r="BH121" s="1259"/>
      <c r="BI121" s="1799"/>
      <c r="BJ121" s="1427"/>
      <c r="BK121" s="1421"/>
      <c r="BL121" s="1421"/>
      <c r="BM121" s="1431"/>
      <c r="BN121" s="1431"/>
      <c r="BO121" s="1798"/>
      <c r="BP121" s="1267"/>
      <c r="BQ121" s="1779"/>
      <c r="BR121" s="1759">
        <f t="shared" si="31"/>
        <v>0</v>
      </c>
      <c r="BS121" s="1"/>
      <c r="BT121" s="1192">
        <f t="shared" si="32"/>
        <v>0</v>
      </c>
    </row>
    <row r="122" spans="1:72" ht="15.6" x14ac:dyDescent="0.3">
      <c r="A122" s="425">
        <v>2551</v>
      </c>
      <c r="B122" s="394" t="s">
        <v>362</v>
      </c>
      <c r="C122" s="361" t="s">
        <v>208</v>
      </c>
      <c r="D122" s="362" t="s">
        <v>209</v>
      </c>
      <c r="E122" s="363">
        <v>3.2</v>
      </c>
      <c r="F122" s="364">
        <f>(BR122/G122)/7</f>
        <v>1.439101439101439</v>
      </c>
      <c r="G122" s="362">
        <v>407</v>
      </c>
      <c r="H122" s="840">
        <f t="shared" si="29"/>
        <v>1302.4000000000001</v>
      </c>
      <c r="I122" s="362">
        <v>9000</v>
      </c>
      <c r="J122" s="362">
        <v>4100</v>
      </c>
      <c r="K122" s="1963">
        <v>8798</v>
      </c>
      <c r="L122" s="1963">
        <v>10496</v>
      </c>
      <c r="M122" s="1274">
        <f t="shared" si="30"/>
        <v>9193.6</v>
      </c>
      <c r="N122" s="1274">
        <f t="shared" si="30"/>
        <v>7891.2000000000007</v>
      </c>
      <c r="O122" s="1274">
        <f t="shared" si="30"/>
        <v>6588.8000000000011</v>
      </c>
      <c r="P122" s="1274">
        <f t="shared" si="30"/>
        <v>5286.4000000000015</v>
      </c>
      <c r="Q122" s="1274">
        <f t="shared" si="30"/>
        <v>3984.0000000000014</v>
      </c>
      <c r="R122" s="1274">
        <f t="shared" si="30"/>
        <v>2681.6000000000013</v>
      </c>
      <c r="S122" s="1565">
        <f t="shared" si="30"/>
        <v>1379.2000000000012</v>
      </c>
      <c r="T122" s="1847"/>
      <c r="U122" s="1183"/>
      <c r="V122" s="1273"/>
      <c r="W122" s="1183"/>
      <c r="X122" s="1273"/>
      <c r="Y122" s="1902"/>
      <c r="Z122" s="1176"/>
      <c r="AA122" s="1177"/>
      <c r="AB122" s="1177"/>
      <c r="AC122" s="1096"/>
      <c r="AD122" s="1097">
        <v>6000</v>
      </c>
      <c r="AE122" s="1215"/>
      <c r="AF122" s="1095"/>
      <c r="AG122" s="1096"/>
      <c r="AH122" s="1096"/>
      <c r="AI122" s="1096"/>
      <c r="AJ122" s="1097"/>
      <c r="AK122" s="1745"/>
      <c r="AL122" s="1216"/>
      <c r="AM122" s="1095"/>
      <c r="AN122" s="1095"/>
      <c r="AO122" s="1095"/>
      <c r="AP122" s="1287"/>
      <c r="AQ122" s="1748"/>
      <c r="AR122" s="1216"/>
      <c r="AS122" s="1095"/>
      <c r="AT122" s="1096"/>
      <c r="AU122" s="1096"/>
      <c r="AV122" s="1097"/>
      <c r="AW122" s="1214"/>
      <c r="AX122" s="1216"/>
      <c r="AY122" s="1095"/>
      <c r="AZ122" s="1095"/>
      <c r="BA122" s="1095"/>
      <c r="BB122" s="1287"/>
      <c r="BC122" s="1745"/>
      <c r="BD122" s="1216"/>
      <c r="BE122" s="1096"/>
      <c r="BF122" s="1096"/>
      <c r="BG122" s="1096"/>
      <c r="BH122" s="1287"/>
      <c r="BI122" s="1748"/>
      <c r="BJ122" s="1216"/>
      <c r="BK122" s="1096"/>
      <c r="BL122" s="1096"/>
      <c r="BM122" s="1097"/>
      <c r="BN122" s="1097"/>
      <c r="BO122" s="1745"/>
      <c r="BP122" s="1765"/>
      <c r="BQ122" s="1766"/>
      <c r="BR122" s="1767">
        <f t="shared" si="31"/>
        <v>4100</v>
      </c>
      <c r="BS122" s="1"/>
      <c r="BT122" s="1192">
        <f t="shared" si="32"/>
        <v>6000</v>
      </c>
    </row>
    <row r="123" spans="1:72" ht="15.6" x14ac:dyDescent="0.3">
      <c r="A123" s="633"/>
      <c r="B123" s="401"/>
      <c r="C123" s="398" t="s">
        <v>210</v>
      </c>
      <c r="D123" s="362" t="s">
        <v>209</v>
      </c>
      <c r="E123" s="399">
        <f>+E122</f>
        <v>3.2</v>
      </c>
      <c r="F123" s="400"/>
      <c r="G123" s="375"/>
      <c r="H123" s="842">
        <f t="shared" si="29"/>
        <v>0</v>
      </c>
      <c r="I123" s="375"/>
      <c r="J123" s="362"/>
      <c r="K123" s="1560">
        <f t="shared" si="30"/>
        <v>0</v>
      </c>
      <c r="L123" s="1273">
        <f t="shared" si="30"/>
        <v>0</v>
      </c>
      <c r="M123" s="1274">
        <f t="shared" si="30"/>
        <v>0</v>
      </c>
      <c r="N123" s="1273">
        <f t="shared" si="30"/>
        <v>0</v>
      </c>
      <c r="O123" s="1274">
        <f t="shared" si="30"/>
        <v>0</v>
      </c>
      <c r="P123" s="1273">
        <f t="shared" si="30"/>
        <v>0</v>
      </c>
      <c r="Q123" s="1274">
        <f t="shared" si="30"/>
        <v>0</v>
      </c>
      <c r="R123" s="1273">
        <f t="shared" si="30"/>
        <v>0</v>
      </c>
      <c r="S123" s="1565">
        <f>(R123-$H123)+BL123</f>
        <v>0</v>
      </c>
      <c r="T123" s="1847"/>
      <c r="U123" s="1183"/>
      <c r="V123" s="1273"/>
      <c r="W123" s="1183"/>
      <c r="X123" s="1273"/>
      <c r="Y123" s="1902"/>
      <c r="Z123" s="1198"/>
      <c r="AA123" s="1199"/>
      <c r="AB123" s="1199"/>
      <c r="AC123" s="1104"/>
      <c r="AD123" s="1205"/>
      <c r="AE123" s="1197"/>
      <c r="AF123" s="1103"/>
      <c r="AG123" s="1104"/>
      <c r="AH123" s="1104"/>
      <c r="AI123" s="1104"/>
      <c r="AJ123" s="1205"/>
      <c r="AK123" s="1768"/>
      <c r="AL123" s="1204"/>
      <c r="AM123" s="1103"/>
      <c r="AN123" s="1103"/>
      <c r="AO123" s="1103"/>
      <c r="AP123" s="1195"/>
      <c r="AQ123" s="1769"/>
      <c r="AR123" s="1204"/>
      <c r="AS123" s="1103"/>
      <c r="AT123" s="1104"/>
      <c r="AU123" s="1104"/>
      <c r="AV123" s="1205"/>
      <c r="AW123" s="1196"/>
      <c r="AX123" s="1204"/>
      <c r="AY123" s="1103"/>
      <c r="AZ123" s="1103"/>
      <c r="BA123" s="1103"/>
      <c r="BB123" s="1195"/>
      <c r="BC123" s="1768"/>
      <c r="BD123" s="1204"/>
      <c r="BE123" s="1104"/>
      <c r="BF123" s="1104"/>
      <c r="BG123" s="1104"/>
      <c r="BH123" s="1195"/>
      <c r="BI123" s="1769"/>
      <c r="BJ123" s="1204"/>
      <c r="BK123" s="1104"/>
      <c r="BL123" s="1104"/>
      <c r="BM123" s="1205"/>
      <c r="BN123" s="1205"/>
      <c r="BO123" s="1768"/>
      <c r="BP123" s="1786"/>
      <c r="BQ123" s="1753"/>
      <c r="BR123" s="1754">
        <f t="shared" si="31"/>
        <v>0</v>
      </c>
      <c r="BS123" s="1"/>
      <c r="BT123" s="1192">
        <f t="shared" si="32"/>
        <v>0</v>
      </c>
    </row>
    <row r="124" spans="1:72" ht="16.2" thickBot="1" x14ac:dyDescent="0.35">
      <c r="A124" s="444"/>
      <c r="B124" s="421"/>
      <c r="C124" s="432" t="s">
        <v>211</v>
      </c>
      <c r="D124" s="362" t="s">
        <v>209</v>
      </c>
      <c r="E124" s="433">
        <f>+E123</f>
        <v>3.2</v>
      </c>
      <c r="F124" s="424"/>
      <c r="G124" s="386"/>
      <c r="H124" s="844">
        <f t="shared" si="29"/>
        <v>0</v>
      </c>
      <c r="I124" s="406"/>
      <c r="J124" s="385"/>
      <c r="K124" s="1437">
        <f t="shared" si="30"/>
        <v>0</v>
      </c>
      <c r="L124" s="1222">
        <f t="shared" si="30"/>
        <v>0</v>
      </c>
      <c r="M124" s="1223">
        <f t="shared" si="30"/>
        <v>0</v>
      </c>
      <c r="N124" s="1222">
        <f t="shared" si="30"/>
        <v>0</v>
      </c>
      <c r="O124" s="1223">
        <f t="shared" si="30"/>
        <v>0</v>
      </c>
      <c r="P124" s="1222">
        <f t="shared" si="30"/>
        <v>0</v>
      </c>
      <c r="Q124" s="1223">
        <f t="shared" si="30"/>
        <v>0</v>
      </c>
      <c r="R124" s="1222">
        <f t="shared" si="30"/>
        <v>0</v>
      </c>
      <c r="S124" s="1438">
        <f>(R124-$H124)+BL124</f>
        <v>0</v>
      </c>
      <c r="T124" s="1848"/>
      <c r="U124" s="1885"/>
      <c r="V124" s="1222"/>
      <c r="W124" s="1885"/>
      <c r="X124" s="1222"/>
      <c r="Y124" s="1923"/>
      <c r="Z124" s="1226"/>
      <c r="AA124" s="1227"/>
      <c r="AB124" s="1227"/>
      <c r="AC124" s="1219"/>
      <c r="AD124" s="1233"/>
      <c r="AE124" s="1225"/>
      <c r="AF124" s="1218"/>
      <c r="AG124" s="1219"/>
      <c r="AH124" s="1219"/>
      <c r="AI124" s="1219"/>
      <c r="AJ124" s="1233"/>
      <c r="AK124" s="1787"/>
      <c r="AL124" s="1232"/>
      <c r="AM124" s="1218"/>
      <c r="AN124" s="1218"/>
      <c r="AO124" s="1218"/>
      <c r="AP124" s="1281"/>
      <c r="AQ124" s="1788"/>
      <c r="AR124" s="1232"/>
      <c r="AS124" s="1218"/>
      <c r="AT124" s="1219"/>
      <c r="AU124" s="1219"/>
      <c r="AV124" s="1233"/>
      <c r="AW124" s="1221"/>
      <c r="AX124" s="1232"/>
      <c r="AY124" s="1218"/>
      <c r="AZ124" s="1218"/>
      <c r="BA124" s="1218"/>
      <c r="BB124" s="1281"/>
      <c r="BC124" s="1787"/>
      <c r="BD124" s="1232"/>
      <c r="BE124" s="1219"/>
      <c r="BF124" s="1219"/>
      <c r="BG124" s="1219"/>
      <c r="BH124" s="1281"/>
      <c r="BI124" s="1788"/>
      <c r="BJ124" s="1232"/>
      <c r="BK124" s="1219"/>
      <c r="BL124" s="1219"/>
      <c r="BM124" s="1233"/>
      <c r="BN124" s="1233"/>
      <c r="BO124" s="1787"/>
      <c r="BP124" s="1365"/>
      <c r="BQ124" s="1357"/>
      <c r="BR124" s="1793">
        <f t="shared" si="31"/>
        <v>0</v>
      </c>
      <c r="BS124" s="1"/>
      <c r="BT124" s="1192">
        <f t="shared" si="32"/>
        <v>0</v>
      </c>
    </row>
    <row r="125" spans="1:72" ht="15.6" x14ac:dyDescent="0.3">
      <c r="A125" s="445">
        <v>2550</v>
      </c>
      <c r="B125" s="360" t="s">
        <v>191</v>
      </c>
      <c r="C125" s="391" t="s">
        <v>212</v>
      </c>
      <c r="D125" s="392" t="s">
        <v>209</v>
      </c>
      <c r="E125" s="393">
        <v>3.2</v>
      </c>
      <c r="F125" s="364">
        <f>(BR125/G125)/7</f>
        <v>1.8796992481203005</v>
      </c>
      <c r="G125" s="392">
        <v>418</v>
      </c>
      <c r="H125" s="841">
        <f t="shared" si="29"/>
        <v>1337.6000000000001</v>
      </c>
      <c r="I125" s="362">
        <v>9000</v>
      </c>
      <c r="J125" s="392">
        <v>5500</v>
      </c>
      <c r="K125" s="1958">
        <v>10162</v>
      </c>
      <c r="L125" s="1958">
        <v>11824</v>
      </c>
      <c r="M125" s="1243">
        <f t="shared" ref="K125:S136" si="35">L125-$H125</f>
        <v>10486.4</v>
      </c>
      <c r="N125" s="1243">
        <f t="shared" si="35"/>
        <v>9148.7999999999993</v>
      </c>
      <c r="O125" s="1243">
        <f t="shared" si="35"/>
        <v>7811.1999999999989</v>
      </c>
      <c r="P125" s="1243">
        <f t="shared" si="35"/>
        <v>6473.5999999999985</v>
      </c>
      <c r="Q125" s="1243">
        <f t="shared" si="35"/>
        <v>5135.9999999999982</v>
      </c>
      <c r="R125" s="1243">
        <f t="shared" si="35"/>
        <v>3798.3999999999978</v>
      </c>
      <c r="S125" s="1579">
        <f t="shared" si="35"/>
        <v>2460.7999999999975</v>
      </c>
      <c r="T125" s="1852"/>
      <c r="U125" s="1790"/>
      <c r="V125" s="1242"/>
      <c r="W125" s="1790"/>
      <c r="X125" s="1242"/>
      <c r="Y125" s="1921"/>
      <c r="Z125" s="1245"/>
      <c r="AA125" s="1254"/>
      <c r="AB125" s="1254"/>
      <c r="AC125" s="1376"/>
      <c r="AD125" s="1386">
        <v>6000</v>
      </c>
      <c r="AE125" s="1761"/>
      <c r="AF125" s="1789"/>
      <c r="AG125" s="1790"/>
      <c r="AH125" s="1790"/>
      <c r="AI125" s="1790"/>
      <c r="AJ125" s="1628">
        <v>3000</v>
      </c>
      <c r="AK125" s="1762"/>
      <c r="AL125" s="1791"/>
      <c r="AM125" s="1789"/>
      <c r="AN125" s="1789"/>
      <c r="AO125" s="1789"/>
      <c r="AP125" s="1242"/>
      <c r="AQ125" s="1763"/>
      <c r="AR125" s="1791"/>
      <c r="AS125" s="1789"/>
      <c r="AT125" s="1790"/>
      <c r="AU125" s="1790"/>
      <c r="AV125" s="1628"/>
      <c r="AW125" s="1764"/>
      <c r="AX125" s="1791"/>
      <c r="AY125" s="1789"/>
      <c r="AZ125" s="1789"/>
      <c r="BA125" s="1789"/>
      <c r="BB125" s="1242"/>
      <c r="BC125" s="1762"/>
      <c r="BD125" s="1791"/>
      <c r="BE125" s="1790"/>
      <c r="BF125" s="1790"/>
      <c r="BG125" s="1790"/>
      <c r="BH125" s="1242"/>
      <c r="BI125" s="1763"/>
      <c r="BJ125" s="1791"/>
      <c r="BK125" s="1790"/>
      <c r="BL125" s="1790"/>
      <c r="BM125" s="1628"/>
      <c r="BN125" s="1628"/>
      <c r="BO125" s="1762"/>
      <c r="BP125" s="1783"/>
      <c r="BQ125" s="1784"/>
      <c r="BR125" s="1785">
        <f t="shared" si="31"/>
        <v>5500</v>
      </c>
      <c r="BT125" s="1192">
        <f t="shared" si="32"/>
        <v>9000</v>
      </c>
    </row>
    <row r="126" spans="1:72" ht="15.6" x14ac:dyDescent="0.3">
      <c r="A126" s="418"/>
      <c r="B126" s="401"/>
      <c r="C126" s="398" t="s">
        <v>213</v>
      </c>
      <c r="D126" s="375" t="s">
        <v>209</v>
      </c>
      <c r="E126" s="399">
        <f>+E125</f>
        <v>3.2</v>
      </c>
      <c r="F126" s="400"/>
      <c r="G126" s="375"/>
      <c r="H126" s="842">
        <f t="shared" si="29"/>
        <v>0</v>
      </c>
      <c r="I126" s="375"/>
      <c r="J126" s="362"/>
      <c r="K126" s="1560">
        <f t="shared" si="35"/>
        <v>0</v>
      </c>
      <c r="L126" s="1273">
        <f t="shared" si="35"/>
        <v>0</v>
      </c>
      <c r="M126" s="1274">
        <f t="shared" si="35"/>
        <v>0</v>
      </c>
      <c r="N126" s="1273">
        <f t="shared" si="35"/>
        <v>0</v>
      </c>
      <c r="O126" s="1274">
        <f t="shared" si="35"/>
        <v>0</v>
      </c>
      <c r="P126" s="1273">
        <f t="shared" si="35"/>
        <v>0</v>
      </c>
      <c r="Q126" s="1274">
        <f t="shared" si="35"/>
        <v>0</v>
      </c>
      <c r="R126" s="1273">
        <f t="shared" si="35"/>
        <v>0</v>
      </c>
      <c r="S126" s="1565">
        <f>(R126-$H126)+BL126</f>
        <v>0</v>
      </c>
      <c r="T126" s="1847"/>
      <c r="U126" s="1183"/>
      <c r="V126" s="1273"/>
      <c r="W126" s="1183"/>
      <c r="X126" s="1273"/>
      <c r="Y126" s="1902"/>
      <c r="Z126" s="1198"/>
      <c r="AA126" s="1199"/>
      <c r="AB126" s="1199"/>
      <c r="AC126" s="1104"/>
      <c r="AD126" s="1205"/>
      <c r="AE126" s="1197"/>
      <c r="AF126" s="1103"/>
      <c r="AG126" s="1104"/>
      <c r="AH126" s="1104"/>
      <c r="AI126" s="1104"/>
      <c r="AJ126" s="1205"/>
      <c r="AK126" s="1768"/>
      <c r="AL126" s="1204"/>
      <c r="AM126" s="1103"/>
      <c r="AN126" s="1103"/>
      <c r="AO126" s="1103"/>
      <c r="AP126" s="1195"/>
      <c r="AQ126" s="1769"/>
      <c r="AR126" s="1204"/>
      <c r="AS126" s="1103"/>
      <c r="AT126" s="1104"/>
      <c r="AU126" s="1104"/>
      <c r="AV126" s="1205"/>
      <c r="AW126" s="1196"/>
      <c r="AX126" s="1204"/>
      <c r="AY126" s="1103"/>
      <c r="AZ126" s="1103"/>
      <c r="BA126" s="1103"/>
      <c r="BB126" s="1195"/>
      <c r="BC126" s="1768"/>
      <c r="BD126" s="1204"/>
      <c r="BE126" s="1104"/>
      <c r="BF126" s="1104"/>
      <c r="BG126" s="1104"/>
      <c r="BH126" s="1195"/>
      <c r="BI126" s="1769"/>
      <c r="BJ126" s="1204"/>
      <c r="BK126" s="1104"/>
      <c r="BL126" s="1104"/>
      <c r="BM126" s="1205"/>
      <c r="BN126" s="1205"/>
      <c r="BO126" s="1768"/>
      <c r="BP126" s="1786"/>
      <c r="BQ126" s="1753"/>
      <c r="BR126" s="1754">
        <f t="shared" si="31"/>
        <v>0</v>
      </c>
      <c r="BS126" s="1"/>
      <c r="BT126" s="1192">
        <f t="shared" si="32"/>
        <v>0</v>
      </c>
    </row>
    <row r="127" spans="1:72" ht="16.2" thickBot="1" x14ac:dyDescent="0.35">
      <c r="A127" s="420"/>
      <c r="B127" s="431"/>
      <c r="C127" s="405" t="s">
        <v>214</v>
      </c>
      <c r="D127" s="406" t="s">
        <v>209</v>
      </c>
      <c r="E127" s="407">
        <f>+E126</f>
        <v>3.2</v>
      </c>
      <c r="F127" s="424"/>
      <c r="G127" s="406"/>
      <c r="H127" s="843">
        <f t="shared" si="29"/>
        <v>0</v>
      </c>
      <c r="I127" s="406"/>
      <c r="J127" s="385"/>
      <c r="K127" s="1437">
        <f t="shared" si="35"/>
        <v>0</v>
      </c>
      <c r="L127" s="1222">
        <f t="shared" si="35"/>
        <v>0</v>
      </c>
      <c r="M127" s="1223">
        <f t="shared" si="35"/>
        <v>0</v>
      </c>
      <c r="N127" s="1222">
        <f t="shared" si="35"/>
        <v>0</v>
      </c>
      <c r="O127" s="1223">
        <f t="shared" si="35"/>
        <v>0</v>
      </c>
      <c r="P127" s="1222">
        <f t="shared" si="35"/>
        <v>0</v>
      </c>
      <c r="Q127" s="1223">
        <f t="shared" si="35"/>
        <v>0</v>
      </c>
      <c r="R127" s="1222">
        <f t="shared" si="35"/>
        <v>0</v>
      </c>
      <c r="S127" s="1438">
        <f>(R127-$H127)+BL127</f>
        <v>0</v>
      </c>
      <c r="T127" s="1848"/>
      <c r="U127" s="1885"/>
      <c r="V127" s="1222"/>
      <c r="W127" s="1885"/>
      <c r="X127" s="1222"/>
      <c r="Y127" s="1923"/>
      <c r="Z127" s="1838"/>
      <c r="AA127" s="1779"/>
      <c r="AB127" s="1779"/>
      <c r="AC127" s="1776"/>
      <c r="AD127" s="1777"/>
      <c r="AE127" s="1772"/>
      <c r="AF127" s="1770"/>
      <c r="AG127" s="1776"/>
      <c r="AH127" s="1776"/>
      <c r="AI127" s="1776"/>
      <c r="AJ127" s="1777"/>
      <c r="AK127" s="1773"/>
      <c r="AL127" s="1774"/>
      <c r="AM127" s="1770"/>
      <c r="AN127" s="1770"/>
      <c r="AO127" s="1770"/>
      <c r="AP127" s="1771"/>
      <c r="AQ127" s="1775"/>
      <c r="AR127" s="1774"/>
      <c r="AS127" s="1770"/>
      <c r="AT127" s="1776"/>
      <c r="AU127" s="1776"/>
      <c r="AV127" s="1777"/>
      <c r="AW127" s="1778"/>
      <c r="AX127" s="1774"/>
      <c r="AY127" s="1770"/>
      <c r="AZ127" s="1770"/>
      <c r="BA127" s="1770"/>
      <c r="BB127" s="1771"/>
      <c r="BC127" s="1773"/>
      <c r="BD127" s="1774"/>
      <c r="BE127" s="1776"/>
      <c r="BF127" s="1776"/>
      <c r="BG127" s="1776"/>
      <c r="BH127" s="1771"/>
      <c r="BI127" s="1775"/>
      <c r="BJ127" s="1774"/>
      <c r="BK127" s="1776"/>
      <c r="BL127" s="1776"/>
      <c r="BM127" s="1777"/>
      <c r="BN127" s="1777"/>
      <c r="BO127" s="1773"/>
      <c r="BP127" s="1267"/>
      <c r="BQ127" s="1269"/>
      <c r="BR127" s="1759">
        <f t="shared" si="31"/>
        <v>0</v>
      </c>
      <c r="BS127" s="1"/>
      <c r="BT127" s="1192">
        <f t="shared" si="32"/>
        <v>0</v>
      </c>
    </row>
    <row r="128" spans="1:72" ht="15.6" x14ac:dyDescent="0.3">
      <c r="A128" s="425">
        <v>2549</v>
      </c>
      <c r="B128" s="394" t="s">
        <v>185</v>
      </c>
      <c r="C128" s="361" t="s">
        <v>215</v>
      </c>
      <c r="D128" s="362" t="s">
        <v>209</v>
      </c>
      <c r="E128" s="363">
        <v>3.2</v>
      </c>
      <c r="F128" s="364">
        <f>(BR128/G128)/7</f>
        <v>1.5641293013555786</v>
      </c>
      <c r="G128" s="362">
        <v>411</v>
      </c>
      <c r="H128" s="840">
        <f>G128*E128</f>
        <v>1315.2</v>
      </c>
      <c r="I128" s="362">
        <v>9000</v>
      </c>
      <c r="J128" s="392">
        <v>4500</v>
      </c>
      <c r="K128" s="1958">
        <v>9185</v>
      </c>
      <c r="L128" s="1958">
        <v>10870</v>
      </c>
      <c r="M128" s="1243">
        <f t="shared" si="35"/>
        <v>9554.7999999999993</v>
      </c>
      <c r="N128" s="1243">
        <f t="shared" si="35"/>
        <v>8239.5999999999985</v>
      </c>
      <c r="O128" s="1243">
        <f t="shared" si="35"/>
        <v>6924.3999999999987</v>
      </c>
      <c r="P128" s="1243">
        <f t="shared" si="35"/>
        <v>5609.1999999999989</v>
      </c>
      <c r="Q128" s="1243">
        <f t="shared" si="35"/>
        <v>4293.9999999999991</v>
      </c>
      <c r="R128" s="1243">
        <f t="shared" si="35"/>
        <v>2978.7999999999993</v>
      </c>
      <c r="S128" s="1579">
        <f t="shared" si="35"/>
        <v>1663.5999999999992</v>
      </c>
      <c r="T128" s="1847"/>
      <c r="U128" s="1183"/>
      <c r="V128" s="1273"/>
      <c r="W128" s="1183"/>
      <c r="X128" s="1273"/>
      <c r="Y128" s="1902"/>
      <c r="Z128" s="1176"/>
      <c r="AA128" s="1177"/>
      <c r="AB128" s="1177"/>
      <c r="AC128" s="1096"/>
      <c r="AD128" s="1097">
        <v>6000</v>
      </c>
      <c r="AE128" s="1215"/>
      <c r="AF128" s="1187"/>
      <c r="AG128" s="1183"/>
      <c r="AH128" s="1183"/>
      <c r="AI128" s="1183"/>
      <c r="AJ128" s="1744">
        <v>3000</v>
      </c>
      <c r="AK128" s="1745"/>
      <c r="AL128" s="1746"/>
      <c r="AM128" s="1187"/>
      <c r="AN128" s="1187"/>
      <c r="AO128" s="1187"/>
      <c r="AP128" s="1273"/>
      <c r="AQ128" s="1748"/>
      <c r="AR128" s="1746"/>
      <c r="AS128" s="1187"/>
      <c r="AT128" s="1183"/>
      <c r="AU128" s="1183"/>
      <c r="AV128" s="1744"/>
      <c r="AW128" s="1214"/>
      <c r="AX128" s="1746"/>
      <c r="AY128" s="1187"/>
      <c r="AZ128" s="1187"/>
      <c r="BA128" s="1187"/>
      <c r="BB128" s="1273"/>
      <c r="BC128" s="1745"/>
      <c r="BD128" s="1746"/>
      <c r="BE128" s="1183"/>
      <c r="BF128" s="1183"/>
      <c r="BG128" s="1183"/>
      <c r="BH128" s="1273"/>
      <c r="BI128" s="1748"/>
      <c r="BJ128" s="1746"/>
      <c r="BK128" s="1183"/>
      <c r="BL128" s="1183"/>
      <c r="BM128" s="1744"/>
      <c r="BN128" s="1744"/>
      <c r="BO128" s="1745"/>
      <c r="BP128" s="1783"/>
      <c r="BQ128" s="1784"/>
      <c r="BR128" s="1785">
        <f t="shared" si="31"/>
        <v>4500</v>
      </c>
      <c r="BT128" s="1192">
        <f t="shared" si="32"/>
        <v>9000</v>
      </c>
    </row>
    <row r="129" spans="1:72" ht="15.6" x14ac:dyDescent="0.3">
      <c r="A129" s="428"/>
      <c r="B129" s="401"/>
      <c r="C129" s="398" t="s">
        <v>216</v>
      </c>
      <c r="D129" s="375" t="s">
        <v>209</v>
      </c>
      <c r="E129" s="399">
        <f>+E128</f>
        <v>3.2</v>
      </c>
      <c r="F129" s="400"/>
      <c r="G129" s="375"/>
      <c r="H129" s="842">
        <f t="shared" si="29"/>
        <v>0</v>
      </c>
      <c r="I129" s="375"/>
      <c r="J129" s="362"/>
      <c r="K129" s="1395">
        <f t="shared" si="35"/>
        <v>0</v>
      </c>
      <c r="L129" s="1193">
        <f t="shared" si="35"/>
        <v>0</v>
      </c>
      <c r="M129" s="1194">
        <f t="shared" si="35"/>
        <v>0</v>
      </c>
      <c r="N129" s="1193">
        <f t="shared" si="35"/>
        <v>0</v>
      </c>
      <c r="O129" s="1194">
        <f t="shared" si="35"/>
        <v>0</v>
      </c>
      <c r="P129" s="1193">
        <f t="shared" si="35"/>
        <v>0</v>
      </c>
      <c r="Q129" s="1194">
        <f t="shared" si="35"/>
        <v>0</v>
      </c>
      <c r="R129" s="1193">
        <f t="shared" si="35"/>
        <v>0</v>
      </c>
      <c r="S129" s="1342">
        <f>(R129-$H129)+BL129</f>
        <v>0</v>
      </c>
      <c r="T129" s="1854"/>
      <c r="U129" s="1114"/>
      <c r="V129" s="1193"/>
      <c r="W129" s="1114"/>
      <c r="X129" s="1193"/>
      <c r="Y129" s="1929"/>
      <c r="Z129" s="1198"/>
      <c r="AA129" s="1199"/>
      <c r="AB129" s="1199"/>
      <c r="AC129" s="1104"/>
      <c r="AD129" s="1205"/>
      <c r="AE129" s="1197"/>
      <c r="AF129" s="1103"/>
      <c r="AG129" s="1104"/>
      <c r="AH129" s="1104"/>
      <c r="AI129" s="1104"/>
      <c r="AJ129" s="1205"/>
      <c r="AK129" s="1768"/>
      <c r="AL129" s="1204"/>
      <c r="AM129" s="1103"/>
      <c r="AN129" s="1103"/>
      <c r="AO129" s="1103"/>
      <c r="AP129" s="1195"/>
      <c r="AQ129" s="1769"/>
      <c r="AR129" s="1204"/>
      <c r="AS129" s="1103"/>
      <c r="AT129" s="1104"/>
      <c r="AU129" s="1104"/>
      <c r="AV129" s="1205"/>
      <c r="AW129" s="1196"/>
      <c r="AX129" s="1204"/>
      <c r="AY129" s="1103"/>
      <c r="AZ129" s="1103"/>
      <c r="BA129" s="1103"/>
      <c r="BB129" s="1195"/>
      <c r="BC129" s="1768"/>
      <c r="BD129" s="1204"/>
      <c r="BE129" s="1104"/>
      <c r="BF129" s="1104"/>
      <c r="BG129" s="1104"/>
      <c r="BH129" s="1195"/>
      <c r="BI129" s="1769"/>
      <c r="BJ129" s="1204"/>
      <c r="BK129" s="1104"/>
      <c r="BL129" s="1104"/>
      <c r="BM129" s="1205"/>
      <c r="BN129" s="1205"/>
      <c r="BO129" s="1768"/>
      <c r="BP129" s="1786"/>
      <c r="BQ129" s="1753"/>
      <c r="BR129" s="1754">
        <f t="shared" si="31"/>
        <v>0</v>
      </c>
      <c r="BS129" s="1"/>
      <c r="BT129" s="1192">
        <f t="shared" si="32"/>
        <v>0</v>
      </c>
    </row>
    <row r="130" spans="1:72" ht="16.2" thickBot="1" x14ac:dyDescent="0.35">
      <c r="A130" s="444"/>
      <c r="B130" s="411"/>
      <c r="C130" s="432" t="s">
        <v>217</v>
      </c>
      <c r="D130" s="386" t="s">
        <v>209</v>
      </c>
      <c r="E130" s="433">
        <f>+E129</f>
        <v>3.2</v>
      </c>
      <c r="F130" s="424"/>
      <c r="G130" s="386"/>
      <c r="H130" s="844">
        <f t="shared" si="29"/>
        <v>0</v>
      </c>
      <c r="I130" s="406"/>
      <c r="J130" s="385"/>
      <c r="K130" s="1437">
        <f t="shared" si="35"/>
        <v>0</v>
      </c>
      <c r="L130" s="1222">
        <f t="shared" si="35"/>
        <v>0</v>
      </c>
      <c r="M130" s="1223">
        <f t="shared" si="35"/>
        <v>0</v>
      </c>
      <c r="N130" s="1222">
        <f t="shared" si="35"/>
        <v>0</v>
      </c>
      <c r="O130" s="1223">
        <f t="shared" si="35"/>
        <v>0</v>
      </c>
      <c r="P130" s="1222">
        <f t="shared" si="35"/>
        <v>0</v>
      </c>
      <c r="Q130" s="1223">
        <f t="shared" si="35"/>
        <v>0</v>
      </c>
      <c r="R130" s="1222">
        <f t="shared" si="35"/>
        <v>0</v>
      </c>
      <c r="S130" s="1438">
        <f>(R130-$H130)+BL130</f>
        <v>0</v>
      </c>
      <c r="T130" s="1848"/>
      <c r="U130" s="1885"/>
      <c r="V130" s="1222"/>
      <c r="W130" s="1885"/>
      <c r="X130" s="1222"/>
      <c r="Y130" s="1923"/>
      <c r="Z130" s="1226"/>
      <c r="AA130" s="1227"/>
      <c r="AB130" s="1227"/>
      <c r="AC130" s="1219"/>
      <c r="AD130" s="1233"/>
      <c r="AE130" s="1225"/>
      <c r="AF130" s="1218"/>
      <c r="AG130" s="1219"/>
      <c r="AH130" s="1219"/>
      <c r="AI130" s="1219"/>
      <c r="AJ130" s="1233"/>
      <c r="AK130" s="1787"/>
      <c r="AL130" s="1232"/>
      <c r="AM130" s="1218"/>
      <c r="AN130" s="1218"/>
      <c r="AO130" s="1218"/>
      <c r="AP130" s="1281"/>
      <c r="AQ130" s="1788"/>
      <c r="AR130" s="1232"/>
      <c r="AS130" s="1218"/>
      <c r="AT130" s="1219"/>
      <c r="AU130" s="1219"/>
      <c r="AV130" s="1233"/>
      <c r="AW130" s="1221"/>
      <c r="AX130" s="1232"/>
      <c r="AY130" s="1218"/>
      <c r="AZ130" s="1218"/>
      <c r="BA130" s="1218"/>
      <c r="BB130" s="1281"/>
      <c r="BC130" s="1787"/>
      <c r="BD130" s="1232"/>
      <c r="BE130" s="1219"/>
      <c r="BF130" s="1219"/>
      <c r="BG130" s="1219"/>
      <c r="BH130" s="1281"/>
      <c r="BI130" s="1788"/>
      <c r="BJ130" s="1232"/>
      <c r="BK130" s="1219"/>
      <c r="BL130" s="1219"/>
      <c r="BM130" s="1233"/>
      <c r="BN130" s="1233"/>
      <c r="BO130" s="1787"/>
      <c r="BP130" s="1365"/>
      <c r="BQ130" s="1357"/>
      <c r="BR130" s="1759">
        <f t="shared" si="31"/>
        <v>0</v>
      </c>
      <c r="BS130" s="1"/>
      <c r="BT130" s="1192">
        <f t="shared" si="32"/>
        <v>0</v>
      </c>
    </row>
    <row r="131" spans="1:72" ht="15.6" x14ac:dyDescent="0.3">
      <c r="A131" s="445">
        <v>2548</v>
      </c>
      <c r="B131" s="360" t="s">
        <v>582</v>
      </c>
      <c r="C131" s="391" t="s">
        <v>218</v>
      </c>
      <c r="D131" s="392" t="s">
        <v>209</v>
      </c>
      <c r="E131" s="446">
        <v>3.2</v>
      </c>
      <c r="F131" s="364">
        <f>(BR131/G131)/7</f>
        <v>2.2972002871500359</v>
      </c>
      <c r="G131" s="392">
        <v>199</v>
      </c>
      <c r="H131" s="841">
        <f t="shared" si="29"/>
        <v>636.80000000000007</v>
      </c>
      <c r="I131" s="362">
        <v>6000</v>
      </c>
      <c r="J131" s="392">
        <v>3200</v>
      </c>
      <c r="K131" s="1958">
        <v>5563</v>
      </c>
      <c r="L131" s="1243">
        <f t="shared" si="35"/>
        <v>4926.2</v>
      </c>
      <c r="M131" s="1243">
        <f t="shared" si="35"/>
        <v>4289.3999999999996</v>
      </c>
      <c r="N131" s="1243">
        <f t="shared" si="35"/>
        <v>3652.5999999999995</v>
      </c>
      <c r="O131" s="1243">
        <f t="shared" si="35"/>
        <v>3015.7999999999993</v>
      </c>
      <c r="P131" s="1243">
        <f t="shared" si="35"/>
        <v>2378.9999999999991</v>
      </c>
      <c r="Q131" s="1243">
        <f t="shared" si="35"/>
        <v>1742.1999999999989</v>
      </c>
      <c r="R131" s="1243">
        <f t="shared" si="35"/>
        <v>1105.3999999999987</v>
      </c>
      <c r="S131" s="1579">
        <f t="shared" si="35"/>
        <v>468.59999999999866</v>
      </c>
      <c r="T131" s="1852"/>
      <c r="U131" s="1790"/>
      <c r="V131" s="1242"/>
      <c r="W131" s="1790"/>
      <c r="X131" s="1242"/>
      <c r="Y131" s="1921"/>
      <c r="Z131" s="1245"/>
      <c r="AA131" s="1254"/>
      <c r="AB131" s="1254"/>
      <c r="AC131" s="1376"/>
      <c r="AD131" s="1386">
        <v>3000</v>
      </c>
      <c r="AE131" s="1761"/>
      <c r="AF131" s="1760"/>
      <c r="AG131" s="1376"/>
      <c r="AH131" s="1376"/>
      <c r="AI131" s="1376"/>
      <c r="AJ131" s="1386"/>
      <c r="AK131" s="1762"/>
      <c r="AL131" s="1382"/>
      <c r="AM131" s="1760"/>
      <c r="AN131" s="1760"/>
      <c r="AO131" s="1760"/>
      <c r="AP131" s="1244"/>
      <c r="AQ131" s="1763"/>
      <c r="AR131" s="1382"/>
      <c r="AS131" s="1760"/>
      <c r="AT131" s="1376"/>
      <c r="AU131" s="1376"/>
      <c r="AV131" s="1386"/>
      <c r="AW131" s="1764"/>
      <c r="AX131" s="1382"/>
      <c r="AY131" s="1760"/>
      <c r="AZ131" s="1760"/>
      <c r="BA131" s="1760"/>
      <c r="BB131" s="1244"/>
      <c r="BC131" s="1762"/>
      <c r="BD131" s="1382"/>
      <c r="BE131" s="1376"/>
      <c r="BF131" s="1376"/>
      <c r="BG131" s="1376"/>
      <c r="BH131" s="1244"/>
      <c r="BI131" s="1763"/>
      <c r="BJ131" s="1382"/>
      <c r="BK131" s="1376"/>
      <c r="BL131" s="1376"/>
      <c r="BM131" s="1386"/>
      <c r="BN131" s="1386"/>
      <c r="BO131" s="1762"/>
      <c r="BP131" s="1765"/>
      <c r="BQ131" s="1766"/>
      <c r="BR131" s="1767">
        <f t="shared" si="31"/>
        <v>3200</v>
      </c>
      <c r="BS131" s="1"/>
      <c r="BT131" s="1192">
        <f t="shared" si="32"/>
        <v>3000</v>
      </c>
    </row>
    <row r="132" spans="1:72" ht="15.6" x14ac:dyDescent="0.3">
      <c r="A132" s="418"/>
      <c r="B132" s="401" t="s">
        <v>583</v>
      </c>
      <c r="C132" s="432" t="s">
        <v>219</v>
      </c>
      <c r="D132" s="386" t="s">
        <v>209</v>
      </c>
      <c r="E132" s="448">
        <f>+E131</f>
        <v>3.2</v>
      </c>
      <c r="F132" s="449"/>
      <c r="G132" s="375">
        <v>196</v>
      </c>
      <c r="H132" s="844">
        <f t="shared" si="29"/>
        <v>627.20000000000005</v>
      </c>
      <c r="I132" s="386">
        <v>6000</v>
      </c>
      <c r="J132" s="362">
        <v>2500</v>
      </c>
      <c r="K132" s="2521">
        <v>4873</v>
      </c>
      <c r="L132" s="1273">
        <f t="shared" si="35"/>
        <v>4245.8</v>
      </c>
      <c r="M132" s="1274">
        <f t="shared" si="35"/>
        <v>3618.6000000000004</v>
      </c>
      <c r="N132" s="1273">
        <f t="shared" si="35"/>
        <v>2991.4000000000005</v>
      </c>
      <c r="O132" s="1274">
        <f t="shared" si="35"/>
        <v>2364.2000000000007</v>
      </c>
      <c r="P132" s="1273">
        <f t="shared" si="35"/>
        <v>1737.0000000000007</v>
      </c>
      <c r="Q132" s="1274">
        <f t="shared" si="35"/>
        <v>1109.8000000000006</v>
      </c>
      <c r="R132" s="1273">
        <f t="shared" si="35"/>
        <v>482.60000000000059</v>
      </c>
      <c r="S132" s="1565">
        <f>(R132-$H132)+BL132</f>
        <v>-144.59999999999945</v>
      </c>
      <c r="T132" s="1847"/>
      <c r="U132" s="1183"/>
      <c r="V132" s="1273"/>
      <c r="W132" s="1183"/>
      <c r="X132" s="1273"/>
      <c r="Y132" s="1902"/>
      <c r="Z132" s="1198"/>
      <c r="AA132" s="1227"/>
      <c r="AB132" s="1227"/>
      <c r="AC132" s="1219"/>
      <c r="AD132" s="1233">
        <v>3000</v>
      </c>
      <c r="AE132" s="1225"/>
      <c r="AF132" s="1218"/>
      <c r="AG132" s="1219"/>
      <c r="AH132" s="1219"/>
      <c r="AI132" s="1219"/>
      <c r="AJ132" s="1233"/>
      <c r="AK132" s="1787"/>
      <c r="AL132" s="1232"/>
      <c r="AM132" s="1218"/>
      <c r="AN132" s="1218"/>
      <c r="AO132" s="1218"/>
      <c r="AP132" s="1281"/>
      <c r="AQ132" s="1788"/>
      <c r="AR132" s="1232"/>
      <c r="AS132" s="1218"/>
      <c r="AT132" s="1219"/>
      <c r="AU132" s="1219"/>
      <c r="AV132" s="1233"/>
      <c r="AW132" s="1221"/>
      <c r="AX132" s="1232"/>
      <c r="AY132" s="1218"/>
      <c r="AZ132" s="1218"/>
      <c r="BA132" s="1218"/>
      <c r="BB132" s="1281"/>
      <c r="BC132" s="1787"/>
      <c r="BD132" s="1232"/>
      <c r="BE132" s="1219"/>
      <c r="BF132" s="1219"/>
      <c r="BG132" s="1219"/>
      <c r="BH132" s="1281"/>
      <c r="BI132" s="1788"/>
      <c r="BJ132" s="1232"/>
      <c r="BK132" s="1219"/>
      <c r="BL132" s="1219"/>
      <c r="BM132" s="1233"/>
      <c r="BN132" s="1233"/>
      <c r="BO132" s="1787"/>
      <c r="BP132" s="1786"/>
      <c r="BQ132" s="1753"/>
      <c r="BR132" s="1754">
        <f t="shared" si="31"/>
        <v>2500</v>
      </c>
      <c r="BS132" s="1"/>
      <c r="BT132" s="1192">
        <f t="shared" si="32"/>
        <v>3000</v>
      </c>
    </row>
    <row r="133" spans="1:72" ht="16.2" thickBot="1" x14ac:dyDescent="0.35">
      <c r="A133" s="420"/>
      <c r="B133" s="431"/>
      <c r="C133" s="405" t="s">
        <v>220</v>
      </c>
      <c r="D133" s="406" t="s">
        <v>209</v>
      </c>
      <c r="E133" s="452">
        <f>+E132</f>
        <v>3.2</v>
      </c>
      <c r="F133" s="424"/>
      <c r="G133" s="406"/>
      <c r="H133" s="843">
        <f t="shared" si="29"/>
        <v>0</v>
      </c>
      <c r="I133" s="406"/>
      <c r="J133" s="385"/>
      <c r="K133" s="1801">
        <f t="shared" si="35"/>
        <v>0</v>
      </c>
      <c r="L133" s="1590">
        <f t="shared" si="35"/>
        <v>0</v>
      </c>
      <c r="M133" s="1589">
        <f t="shared" si="35"/>
        <v>0</v>
      </c>
      <c r="N133" s="1590">
        <f t="shared" si="35"/>
        <v>0</v>
      </c>
      <c r="O133" s="1589">
        <f t="shared" si="35"/>
        <v>0</v>
      </c>
      <c r="P133" s="1590">
        <f t="shared" si="35"/>
        <v>0</v>
      </c>
      <c r="Q133" s="1589">
        <f t="shared" si="35"/>
        <v>0</v>
      </c>
      <c r="R133" s="1590">
        <f t="shared" si="35"/>
        <v>0</v>
      </c>
      <c r="S133" s="1596">
        <f>(R133-$H133)+BL133</f>
        <v>0</v>
      </c>
      <c r="T133" s="1864"/>
      <c r="U133" s="1894"/>
      <c r="V133" s="1590"/>
      <c r="W133" s="1894"/>
      <c r="X133" s="1590"/>
      <c r="Y133" s="1922"/>
      <c r="Z133" s="1838"/>
      <c r="AA133" s="1779"/>
      <c r="AB133" s="1779"/>
      <c r="AC133" s="1776"/>
      <c r="AD133" s="1777"/>
      <c r="AE133" s="1772"/>
      <c r="AF133" s="1770"/>
      <c r="AG133" s="1776"/>
      <c r="AH133" s="1776"/>
      <c r="AI133" s="1776"/>
      <c r="AJ133" s="1777"/>
      <c r="AK133" s="1773"/>
      <c r="AL133" s="1774"/>
      <c r="AM133" s="1770"/>
      <c r="AN133" s="1770"/>
      <c r="AO133" s="1770"/>
      <c r="AP133" s="1771"/>
      <c r="AQ133" s="1775"/>
      <c r="AR133" s="1774"/>
      <c r="AS133" s="1770"/>
      <c r="AT133" s="1776"/>
      <c r="AU133" s="1776"/>
      <c r="AV133" s="1777"/>
      <c r="AW133" s="1778"/>
      <c r="AX133" s="1774"/>
      <c r="AY133" s="1770"/>
      <c r="AZ133" s="1770"/>
      <c r="BA133" s="1770"/>
      <c r="BB133" s="1771"/>
      <c r="BC133" s="1773"/>
      <c r="BD133" s="1774"/>
      <c r="BE133" s="1776"/>
      <c r="BF133" s="1776"/>
      <c r="BG133" s="1776"/>
      <c r="BH133" s="1771"/>
      <c r="BI133" s="1775"/>
      <c r="BJ133" s="1774"/>
      <c r="BK133" s="1776"/>
      <c r="BL133" s="1776"/>
      <c r="BM133" s="1777"/>
      <c r="BN133" s="1777"/>
      <c r="BO133" s="1773"/>
      <c r="BP133" s="1267"/>
      <c r="BQ133" s="1269"/>
      <c r="BR133" s="1759">
        <f t="shared" si="31"/>
        <v>0</v>
      </c>
      <c r="BS133" s="1"/>
      <c r="BT133" s="1192">
        <f t="shared" si="32"/>
        <v>0</v>
      </c>
    </row>
    <row r="134" spans="1:72" ht="15.6" x14ac:dyDescent="0.3">
      <c r="A134" s="425">
        <v>2547</v>
      </c>
      <c r="B134" s="394" t="s">
        <v>193</v>
      </c>
      <c r="C134" s="533" t="s">
        <v>221</v>
      </c>
      <c r="D134" s="534" t="s">
        <v>446</v>
      </c>
      <c r="E134" s="535">
        <v>2.2000000000000002</v>
      </c>
      <c r="F134" s="536" t="e">
        <f>(BR134/G134)/7</f>
        <v>#DIV/0!</v>
      </c>
      <c r="G134" s="385"/>
      <c r="H134" s="846">
        <f t="shared" si="29"/>
        <v>0</v>
      </c>
      <c r="I134" s="362"/>
      <c r="J134" s="392"/>
      <c r="K134" s="1243">
        <f t="shared" si="35"/>
        <v>0</v>
      </c>
      <c r="L134" s="1243">
        <f t="shared" si="35"/>
        <v>0</v>
      </c>
      <c r="M134" s="1243">
        <f t="shared" si="35"/>
        <v>0</v>
      </c>
      <c r="N134" s="1243">
        <f t="shared" si="35"/>
        <v>0</v>
      </c>
      <c r="O134" s="1243">
        <f t="shared" si="35"/>
        <v>0</v>
      </c>
      <c r="P134" s="1274">
        <f t="shared" si="35"/>
        <v>0</v>
      </c>
      <c r="Q134" s="1274">
        <f t="shared" si="35"/>
        <v>0</v>
      </c>
      <c r="R134" s="1273">
        <f t="shared" si="35"/>
        <v>0</v>
      </c>
      <c r="S134" s="1438">
        <f t="shared" si="35"/>
        <v>0</v>
      </c>
      <c r="T134" s="1848"/>
      <c r="U134" s="1885"/>
      <c r="V134" s="1222"/>
      <c r="W134" s="1885"/>
      <c r="X134" s="1222"/>
      <c r="Y134" s="1923"/>
      <c r="Z134" s="1356"/>
      <c r="AA134" s="1357"/>
      <c r="AB134" s="1357"/>
      <c r="AC134" s="1362"/>
      <c r="AD134" s="1369"/>
      <c r="AE134" s="1755"/>
      <c r="AF134" s="1451"/>
      <c r="AG134" s="1362"/>
      <c r="AH134" s="1362"/>
      <c r="AI134" s="1362"/>
      <c r="AJ134" s="1369"/>
      <c r="AK134" s="1756"/>
      <c r="AL134" s="1361"/>
      <c r="AM134" s="1451"/>
      <c r="AN134" s="1451"/>
      <c r="AO134" s="1451"/>
      <c r="AP134" s="1224"/>
      <c r="AQ134" s="1757"/>
      <c r="AR134" s="1361"/>
      <c r="AS134" s="1451"/>
      <c r="AT134" s="1362"/>
      <c r="AU134" s="1362"/>
      <c r="AV134" s="1369"/>
      <c r="AW134" s="1758"/>
      <c r="AX134" s="1361"/>
      <c r="AY134" s="1451"/>
      <c r="AZ134" s="1451"/>
      <c r="BA134" s="1451"/>
      <c r="BB134" s="1224"/>
      <c r="BC134" s="1756"/>
      <c r="BD134" s="1361"/>
      <c r="BE134" s="1362"/>
      <c r="BF134" s="1362"/>
      <c r="BG134" s="1362"/>
      <c r="BH134" s="1224"/>
      <c r="BI134" s="1757"/>
      <c r="BJ134" s="1361"/>
      <c r="BK134" s="1362"/>
      <c r="BL134" s="1362"/>
      <c r="BM134" s="1369"/>
      <c r="BN134" s="1369"/>
      <c r="BO134" s="1756"/>
      <c r="BP134" s="1765"/>
      <c r="BQ134" s="1766"/>
      <c r="BR134" s="1767">
        <f t="shared" si="31"/>
        <v>0</v>
      </c>
      <c r="BS134" s="1"/>
      <c r="BT134" s="1192">
        <f t="shared" si="32"/>
        <v>0</v>
      </c>
    </row>
    <row r="135" spans="1:72" ht="15.6" x14ac:dyDescent="0.3">
      <c r="A135" s="447"/>
      <c r="B135" s="401"/>
      <c r="C135" s="539" t="s">
        <v>222</v>
      </c>
      <c r="D135" s="540" t="s">
        <v>209</v>
      </c>
      <c r="E135" s="535">
        <f>+E134</f>
        <v>2.2000000000000002</v>
      </c>
      <c r="F135" s="541"/>
      <c r="G135" s="375"/>
      <c r="H135" s="842">
        <f t="shared" si="29"/>
        <v>0</v>
      </c>
      <c r="I135" s="375"/>
      <c r="J135" s="362"/>
      <c r="K135" s="1395">
        <f t="shared" si="35"/>
        <v>0</v>
      </c>
      <c r="L135" s="1222">
        <f t="shared" si="35"/>
        <v>0</v>
      </c>
      <c r="M135" s="1194">
        <f t="shared" si="35"/>
        <v>0</v>
      </c>
      <c r="N135" s="1273">
        <f t="shared" si="35"/>
        <v>0</v>
      </c>
      <c r="O135" s="1194">
        <f t="shared" si="35"/>
        <v>0</v>
      </c>
      <c r="P135" s="1273">
        <f t="shared" si="35"/>
        <v>0</v>
      </c>
      <c r="Q135" s="1194">
        <f t="shared" si="35"/>
        <v>0</v>
      </c>
      <c r="R135" s="1193">
        <f t="shared" si="35"/>
        <v>0</v>
      </c>
      <c r="S135" s="1342">
        <f>(R135-$H135)+AN135</f>
        <v>0</v>
      </c>
      <c r="T135" s="1854"/>
      <c r="U135" s="1114"/>
      <c r="V135" s="1193"/>
      <c r="W135" s="1114"/>
      <c r="X135" s="1193"/>
      <c r="Y135" s="1929"/>
      <c r="Z135" s="1198"/>
      <c r="AA135" s="1199"/>
      <c r="AB135" s="1199"/>
      <c r="AC135" s="1104"/>
      <c r="AD135" s="1205"/>
      <c r="AE135" s="1197"/>
      <c r="AF135" s="1103"/>
      <c r="AG135" s="1104"/>
      <c r="AH135" s="1104"/>
      <c r="AI135" s="1104"/>
      <c r="AJ135" s="1205"/>
      <c r="AK135" s="1768"/>
      <c r="AL135" s="1204"/>
      <c r="AM135" s="1103"/>
      <c r="AN135" s="1103"/>
      <c r="AO135" s="1103"/>
      <c r="AP135" s="1195"/>
      <c r="AQ135" s="1769"/>
      <c r="AR135" s="1204"/>
      <c r="AS135" s="1103"/>
      <c r="AT135" s="1104"/>
      <c r="AU135" s="1104"/>
      <c r="AV135" s="1205"/>
      <c r="AW135" s="1196"/>
      <c r="AX135" s="1204"/>
      <c r="AY135" s="1103"/>
      <c r="AZ135" s="1103"/>
      <c r="BA135" s="1103"/>
      <c r="BB135" s="1195"/>
      <c r="BC135" s="1768"/>
      <c r="BD135" s="1204"/>
      <c r="BE135" s="1104"/>
      <c r="BF135" s="1104"/>
      <c r="BG135" s="1104"/>
      <c r="BH135" s="1195"/>
      <c r="BI135" s="1769"/>
      <c r="BJ135" s="1204"/>
      <c r="BK135" s="1104"/>
      <c r="BL135" s="1104"/>
      <c r="BM135" s="1205"/>
      <c r="BN135" s="1205"/>
      <c r="BO135" s="1768"/>
      <c r="BP135" s="1786"/>
      <c r="BQ135" s="1802"/>
      <c r="BR135" s="1754">
        <f t="shared" si="31"/>
        <v>0</v>
      </c>
      <c r="BS135" s="1"/>
      <c r="BT135" s="1192">
        <f t="shared" si="32"/>
        <v>0</v>
      </c>
    </row>
    <row r="136" spans="1:72" ht="16.2" thickBot="1" x14ac:dyDescent="0.35">
      <c r="A136" s="420"/>
      <c r="B136" s="411"/>
      <c r="C136" s="544" t="s">
        <v>223</v>
      </c>
      <c r="D136" s="545" t="s">
        <v>209</v>
      </c>
      <c r="E136" s="546">
        <f>+E135</f>
        <v>2.2000000000000002</v>
      </c>
      <c r="F136" s="547"/>
      <c r="G136" s="458"/>
      <c r="H136" s="847">
        <f t="shared" si="29"/>
        <v>0</v>
      </c>
      <c r="I136" s="458"/>
      <c r="J136" s="459"/>
      <c r="K136" s="1803">
        <f t="shared" si="35"/>
        <v>0</v>
      </c>
      <c r="L136" s="1804">
        <f t="shared" si="35"/>
        <v>0</v>
      </c>
      <c r="M136" s="1805">
        <f t="shared" si="35"/>
        <v>0</v>
      </c>
      <c r="N136" s="1806">
        <f t="shared" si="35"/>
        <v>0</v>
      </c>
      <c r="O136" s="1698">
        <f t="shared" si="35"/>
        <v>0</v>
      </c>
      <c r="P136" s="1806">
        <f t="shared" si="35"/>
        <v>0</v>
      </c>
      <c r="Q136" s="1698">
        <f t="shared" si="35"/>
        <v>0</v>
      </c>
      <c r="R136" s="1804">
        <f t="shared" si="35"/>
        <v>0</v>
      </c>
      <c r="S136" s="1697">
        <f>(R136-$H136)+AN136</f>
        <v>0</v>
      </c>
      <c r="T136" s="1869"/>
      <c r="U136" s="1925"/>
      <c r="V136" s="1804"/>
      <c r="W136" s="1925"/>
      <c r="X136" s="1804"/>
      <c r="Y136" s="1926"/>
      <c r="Z136" s="1839"/>
      <c r="AA136" s="1807"/>
      <c r="AB136" s="1807"/>
      <c r="AC136" s="1808"/>
      <c r="AD136" s="1809"/>
      <c r="AE136" s="1810"/>
      <c r="AF136" s="1811"/>
      <c r="AG136" s="1812"/>
      <c r="AH136" s="1812"/>
      <c r="AI136" s="1812"/>
      <c r="AJ136" s="1813"/>
      <c r="AK136" s="1814"/>
      <c r="AL136" s="1815"/>
      <c r="AM136" s="1811"/>
      <c r="AN136" s="1811"/>
      <c r="AO136" s="1811"/>
      <c r="AP136" s="1816"/>
      <c r="AQ136" s="1817"/>
      <c r="AR136" s="1815"/>
      <c r="AS136" s="1811"/>
      <c r="AT136" s="1812"/>
      <c r="AU136" s="1812"/>
      <c r="AV136" s="1813"/>
      <c r="AW136" s="1818"/>
      <c r="AX136" s="1815"/>
      <c r="AY136" s="1811"/>
      <c r="AZ136" s="1811"/>
      <c r="BA136" s="1811"/>
      <c r="BB136" s="1816"/>
      <c r="BC136" s="1814"/>
      <c r="BD136" s="1815"/>
      <c r="BE136" s="1812"/>
      <c r="BF136" s="1812"/>
      <c r="BG136" s="1812"/>
      <c r="BH136" s="1816"/>
      <c r="BI136" s="1817"/>
      <c r="BJ136" s="1815"/>
      <c r="BK136" s="1812"/>
      <c r="BL136" s="1812"/>
      <c r="BM136" s="1813"/>
      <c r="BN136" s="1813"/>
      <c r="BO136" s="1814"/>
      <c r="BP136" s="1819"/>
      <c r="BQ136" s="1820"/>
      <c r="BR136" s="1821">
        <f t="shared" si="31"/>
        <v>0</v>
      </c>
      <c r="BS136" s="1"/>
      <c r="BT136" s="1192">
        <f t="shared" si="32"/>
        <v>0</v>
      </c>
    </row>
    <row r="137" spans="1:72" ht="15" thickTop="1" x14ac:dyDescent="0.3">
      <c r="A137" s="1"/>
      <c r="B137" s="1"/>
      <c r="C137" s="1"/>
      <c r="D137" s="1"/>
      <c r="E137" s="1"/>
      <c r="F137" s="1"/>
      <c r="G137" s="1"/>
      <c r="H137" s="1"/>
      <c r="I137" s="857"/>
      <c r="J137" s="1"/>
      <c r="K137" s="1085"/>
      <c r="L137" s="1085"/>
      <c r="M137" s="1822"/>
      <c r="N137" s="1823"/>
      <c r="O137" s="1085"/>
      <c r="P137" s="1085"/>
      <c r="Q137" s="1085"/>
      <c r="R137" s="1085"/>
      <c r="S137" s="1085"/>
      <c r="T137" s="1936"/>
      <c r="U137" s="1085"/>
      <c r="V137" s="1085"/>
      <c r="W137" s="1085"/>
      <c r="X137" s="1085"/>
      <c r="Y137" s="1085"/>
      <c r="Z137" s="1085"/>
      <c r="AA137" s="1085"/>
      <c r="AB137" s="1085"/>
      <c r="AC137" s="1824"/>
      <c r="AD137" s="1085"/>
      <c r="AE137" s="1085"/>
      <c r="AF137" s="1085"/>
      <c r="AG137" s="1085"/>
      <c r="AH137" s="1085"/>
      <c r="AI137" s="1085"/>
      <c r="AJ137" s="1085"/>
      <c r="AK137" s="1085"/>
      <c r="AL137" s="1085"/>
      <c r="AM137" s="1085"/>
      <c r="AN137" s="1085"/>
      <c r="AO137" s="1085"/>
      <c r="AP137" s="1085"/>
      <c r="AQ137" s="1085"/>
      <c r="AR137" s="1085"/>
      <c r="AS137" s="1085"/>
      <c r="AT137" s="1085"/>
      <c r="AU137" s="1085"/>
      <c r="AV137" s="1085"/>
      <c r="AW137" s="1085"/>
      <c r="AX137" s="1085"/>
      <c r="AY137" s="1085"/>
      <c r="AZ137" s="1085"/>
      <c r="BA137" s="1085"/>
      <c r="BB137" s="1085"/>
      <c r="BC137" s="1085"/>
      <c r="BD137" s="1085"/>
      <c r="BE137" s="1085"/>
      <c r="BF137" s="1085"/>
      <c r="BG137" s="1085"/>
      <c r="BH137" s="1085"/>
      <c r="BI137" s="1085"/>
      <c r="BJ137" s="1085"/>
      <c r="BK137" s="1085"/>
      <c r="BL137" s="1085"/>
      <c r="BM137" s="1085"/>
      <c r="BN137" s="1085"/>
      <c r="BO137" s="1085"/>
      <c r="BP137" s="1085"/>
      <c r="BQ137" s="1085"/>
      <c r="BR137" s="1085"/>
      <c r="BS137" s="1"/>
    </row>
    <row r="138" spans="1:72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085"/>
      <c r="L138" s="1085"/>
      <c r="M138" s="1085"/>
      <c r="N138" s="1085"/>
      <c r="O138" s="1085"/>
      <c r="P138" s="1085"/>
      <c r="Q138" s="1085"/>
      <c r="R138" s="1085"/>
      <c r="S138" s="1085"/>
      <c r="T138" s="1085"/>
      <c r="U138" s="1085"/>
      <c r="V138" s="1085"/>
      <c r="W138" s="1085"/>
      <c r="X138" s="1085"/>
      <c r="Y138" s="1085"/>
      <c r="Z138" s="1552"/>
      <c r="AA138" s="1552"/>
      <c r="AB138" s="1552"/>
      <c r="AC138" s="1552"/>
      <c r="AD138" s="1552"/>
      <c r="AE138" s="1552"/>
      <c r="AF138" s="1552"/>
      <c r="AG138" s="1552"/>
      <c r="AH138" s="1552"/>
      <c r="AI138" s="1552"/>
      <c r="AJ138" s="1552"/>
      <c r="AK138" s="1552"/>
      <c r="AL138" s="1552"/>
      <c r="AM138" s="1552"/>
      <c r="AN138" s="1552"/>
      <c r="AO138" s="1552"/>
      <c r="AP138" s="1552"/>
      <c r="AQ138" s="1552"/>
      <c r="AR138" s="1552"/>
      <c r="AS138" s="1552"/>
      <c r="AT138" s="1552"/>
      <c r="AU138" s="1552"/>
      <c r="AV138" s="1552"/>
      <c r="AW138" s="1552"/>
      <c r="AX138" s="1552"/>
      <c r="AY138" s="1552"/>
      <c r="AZ138" s="1552"/>
      <c r="BA138" s="1552"/>
      <c r="BB138" s="1552"/>
      <c r="BC138" s="1552"/>
      <c r="BD138" s="1552"/>
      <c r="BE138" s="1552"/>
      <c r="BF138" s="1552"/>
      <c r="BG138" s="1552"/>
      <c r="BH138" s="1552"/>
      <c r="BI138" s="1552"/>
      <c r="BJ138" s="1552"/>
      <c r="BK138" s="1552"/>
      <c r="BL138" s="1552"/>
      <c r="BM138" s="1552"/>
      <c r="BN138" s="1552"/>
      <c r="BO138" s="1552"/>
      <c r="BP138" s="1552"/>
      <c r="BQ138" s="1552"/>
      <c r="BR138" s="1552"/>
      <c r="BS138" s="1085"/>
      <c r="BT138" s="1192"/>
    </row>
    <row r="139" spans="1:72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085"/>
      <c r="L139" s="1085"/>
      <c r="M139" s="1085"/>
      <c r="N139" s="1085"/>
      <c r="O139" s="1085"/>
      <c r="P139" s="1085"/>
      <c r="Q139" s="1085"/>
      <c r="R139" s="1085"/>
      <c r="S139" s="1085"/>
      <c r="T139" s="1085"/>
      <c r="U139" s="1085"/>
      <c r="V139" s="1085"/>
      <c r="W139" s="1085"/>
      <c r="X139" s="1085"/>
      <c r="Y139" s="1085"/>
      <c r="Z139" s="1085"/>
      <c r="AA139" s="1085"/>
      <c r="AB139" s="1085"/>
      <c r="AC139" s="1085"/>
      <c r="AD139" s="1085"/>
      <c r="AE139" s="1085"/>
      <c r="AF139" s="1085"/>
      <c r="AG139" s="1085"/>
      <c r="AH139" s="1085"/>
      <c r="AI139" s="1085"/>
      <c r="AJ139" s="1085"/>
      <c r="AK139" s="1085"/>
      <c r="AL139" s="1085"/>
      <c r="AM139" s="1085"/>
      <c r="AN139" s="1085"/>
      <c r="AO139" s="1085"/>
      <c r="AP139" s="1085"/>
      <c r="AQ139" s="1085"/>
      <c r="AR139" s="1085"/>
      <c r="AS139" s="1085"/>
      <c r="AT139" s="1085"/>
      <c r="AU139" s="1085"/>
      <c r="AV139" s="1085"/>
      <c r="AW139" s="1085"/>
      <c r="AX139" s="1085"/>
      <c r="AY139" s="1085"/>
      <c r="AZ139" s="1085"/>
      <c r="BA139" s="1085"/>
      <c r="BB139" s="1085"/>
      <c r="BC139" s="1085"/>
      <c r="BD139" s="1085"/>
      <c r="BE139" s="1085"/>
      <c r="BF139" s="1085"/>
      <c r="BG139" s="1085"/>
      <c r="BH139" s="1085"/>
      <c r="BI139" s="1085"/>
      <c r="BJ139" s="1085"/>
      <c r="BK139" s="1085"/>
      <c r="BL139" s="1085"/>
      <c r="BM139" s="1085"/>
      <c r="BN139" s="1085"/>
      <c r="BO139" s="1085"/>
      <c r="BP139" s="1085"/>
      <c r="BQ139" s="1085"/>
      <c r="BR139" s="1085"/>
      <c r="BS139" s="1"/>
    </row>
    <row r="140" spans="1:72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085"/>
      <c r="L140" s="1085"/>
      <c r="M140" s="1085"/>
      <c r="N140" s="1085"/>
      <c r="O140" s="1085"/>
      <c r="P140" s="1085"/>
      <c r="Q140" s="1085"/>
      <c r="R140" s="1085"/>
      <c r="S140" s="1085"/>
      <c r="T140" s="1085"/>
      <c r="U140" s="1085"/>
      <c r="V140" s="1085"/>
      <c r="W140" s="1085"/>
      <c r="X140" s="1085"/>
      <c r="Y140" s="1085"/>
      <c r="Z140" s="1552"/>
      <c r="AA140" s="1552"/>
      <c r="AB140" s="1552"/>
      <c r="AC140" s="1552"/>
      <c r="AD140" s="1552"/>
      <c r="AE140" s="1552"/>
      <c r="AF140" s="1552"/>
      <c r="AG140" s="1552"/>
      <c r="AH140" s="1552"/>
      <c r="AI140" s="1552"/>
      <c r="AJ140" s="1552"/>
      <c r="AK140" s="1552"/>
      <c r="AL140" s="1552"/>
      <c r="AM140" s="1552"/>
      <c r="AN140" s="1552"/>
      <c r="AO140" s="1552"/>
      <c r="AP140" s="1552"/>
      <c r="AQ140" s="1552"/>
      <c r="AR140" s="1552"/>
      <c r="AS140" s="1552"/>
      <c r="AT140" s="1552"/>
      <c r="AU140" s="1552"/>
      <c r="AV140" s="1552"/>
      <c r="AW140" s="1552"/>
      <c r="AX140" s="1552"/>
      <c r="AY140" s="1552"/>
      <c r="AZ140" s="1552"/>
      <c r="BA140" s="1552"/>
      <c r="BB140" s="1552"/>
      <c r="BC140" s="1552"/>
      <c r="BD140" s="1552"/>
      <c r="BE140" s="1552"/>
      <c r="BF140" s="1552"/>
      <c r="BG140" s="1552"/>
      <c r="BH140" s="1552"/>
      <c r="BI140" s="1552"/>
      <c r="BJ140" s="1552"/>
      <c r="BK140" s="1552"/>
      <c r="BL140" s="1552"/>
      <c r="BM140" s="1552"/>
      <c r="BN140" s="1552"/>
      <c r="BO140" s="1552"/>
      <c r="BP140" s="1085"/>
      <c r="BQ140" s="1085"/>
      <c r="BR140" s="1085"/>
      <c r="BS140" s="1085"/>
      <c r="BT140" s="1192"/>
    </row>
  </sheetData>
  <mergeCells count="9">
    <mergeCell ref="A66:A67"/>
    <mergeCell ref="A9:D9"/>
    <mergeCell ref="A47:A49"/>
    <mergeCell ref="A50:A53"/>
    <mergeCell ref="A54:A56"/>
    <mergeCell ref="A57:A59"/>
    <mergeCell ref="B57:B59"/>
    <mergeCell ref="A60:A62"/>
    <mergeCell ref="B60:B62"/>
  </mergeCells>
  <pageMargins left="0.7" right="0.7" top="0.75" bottom="0.75" header="0.3" footer="0.3"/>
  <pageSetup orientation="portrait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269AA-6711-4E80-BEFF-EDF1A99071A3}">
  <sheetPr>
    <pageSetUpPr fitToPage="1"/>
  </sheetPr>
  <dimension ref="A1:AF46"/>
  <sheetViews>
    <sheetView topLeftCell="A25" zoomScaleNormal="100" workbookViewId="0">
      <pane xSplit="1" topLeftCell="B1" activePane="topRight" state="frozen"/>
      <selection pane="topRight" activeCell="J20" sqref="J20"/>
    </sheetView>
  </sheetViews>
  <sheetFormatPr defaultColWidth="9.109375" defaultRowHeight="14.4" x14ac:dyDescent="0.3"/>
  <cols>
    <col min="1" max="1" width="30.44140625" style="549" customWidth="1"/>
    <col min="2" max="2" width="3.109375" style="549" customWidth="1"/>
    <col min="3" max="3" width="20.6640625" style="549" hidden="1" customWidth="1"/>
    <col min="4" max="4" width="23" style="549" hidden="1" customWidth="1"/>
    <col min="5" max="5" width="19.33203125" style="549" hidden="1" customWidth="1"/>
    <col min="6" max="6" width="16.33203125" style="549" hidden="1" customWidth="1"/>
    <col min="7" max="7" width="20.6640625" style="549" bestFit="1" customWidth="1"/>
    <col min="8" max="8" width="11.33203125" style="549" bestFit="1" customWidth="1"/>
    <col min="9" max="9" width="23" style="549" bestFit="1" customWidth="1"/>
    <col min="10" max="10" width="16.33203125" style="549" bestFit="1" customWidth="1"/>
    <col min="11" max="11" width="20.6640625" style="549" bestFit="1" customWidth="1"/>
    <col min="12" max="12" width="11.33203125" style="549" bestFit="1" customWidth="1"/>
    <col min="13" max="13" width="23" style="549" bestFit="1" customWidth="1"/>
    <col min="14" max="14" width="16.33203125" style="549" customWidth="1"/>
    <col min="15" max="15" width="20.6640625" style="549" bestFit="1" customWidth="1"/>
    <col min="16" max="16" width="11.33203125" style="549" bestFit="1" customWidth="1"/>
    <col min="17" max="17" width="23" style="549" bestFit="1" customWidth="1"/>
    <col min="18" max="18" width="16.33203125" style="549" customWidth="1"/>
    <col min="19" max="19" width="20.6640625" style="549" bestFit="1" customWidth="1"/>
    <col min="20" max="20" width="11.33203125" style="550" bestFit="1" customWidth="1"/>
    <col min="21" max="21" width="23" style="549" bestFit="1" customWidth="1"/>
    <col min="22" max="22" width="16.33203125" style="549" bestFit="1" customWidth="1"/>
    <col min="23" max="23" width="20.6640625" style="549" bestFit="1" customWidth="1"/>
    <col min="24" max="24" width="11.33203125" style="549" bestFit="1" customWidth="1"/>
    <col min="25" max="25" width="23" style="549" bestFit="1" customWidth="1"/>
    <col min="26" max="26" width="16.33203125" style="549" bestFit="1" customWidth="1"/>
    <col min="27" max="27" width="20.6640625" style="549" bestFit="1" customWidth="1"/>
    <col min="28" max="28" width="11.33203125" style="549" bestFit="1" customWidth="1"/>
    <col min="29" max="29" width="23" style="549" bestFit="1" customWidth="1"/>
    <col min="30" max="30" width="16.33203125" style="549" bestFit="1" customWidth="1"/>
    <col min="31" max="32" width="11.33203125" style="549" bestFit="1" customWidth="1"/>
    <col min="33" max="16384" width="9.109375" style="549"/>
  </cols>
  <sheetData>
    <row r="1" spans="1:32" ht="15" thickBot="1" x14ac:dyDescent="0.35">
      <c r="C1" s="2724" t="s">
        <v>277</v>
      </c>
      <c r="D1" s="2725"/>
      <c r="E1" s="2725"/>
      <c r="F1" s="2726"/>
      <c r="G1" s="2724" t="s">
        <v>277</v>
      </c>
      <c r="H1" s="2725"/>
      <c r="I1" s="2725"/>
      <c r="J1" s="2726"/>
      <c r="K1" s="2724" t="s">
        <v>277</v>
      </c>
      <c r="L1" s="2725"/>
      <c r="M1" s="2725"/>
      <c r="N1" s="2726"/>
      <c r="O1" s="2724" t="s">
        <v>277</v>
      </c>
      <c r="P1" s="2725"/>
      <c r="Q1" s="2725"/>
      <c r="R1" s="2726"/>
      <c r="S1" s="2724" t="s">
        <v>277</v>
      </c>
      <c r="T1" s="2725"/>
      <c r="U1" s="2725"/>
      <c r="V1" s="2726"/>
      <c r="W1" s="2724" t="s">
        <v>277</v>
      </c>
      <c r="X1" s="2725"/>
      <c r="Y1" s="2725"/>
      <c r="Z1" s="2726"/>
      <c r="AA1" s="2724" t="s">
        <v>277</v>
      </c>
      <c r="AB1" s="2725"/>
      <c r="AC1" s="2725"/>
      <c r="AD1" s="2726"/>
    </row>
    <row r="2" spans="1:32" s="550" customFormat="1" ht="15" thickBot="1" x14ac:dyDescent="0.35">
      <c r="C2" s="572" t="s">
        <v>263</v>
      </c>
      <c r="D2" s="873"/>
      <c r="E2" s="550" t="s">
        <v>270</v>
      </c>
      <c r="F2" s="573"/>
      <c r="G2" s="572" t="s">
        <v>263</v>
      </c>
      <c r="H2" s="2019" t="s">
        <v>450</v>
      </c>
      <c r="I2" s="550" t="s">
        <v>270</v>
      </c>
      <c r="J2" s="573"/>
      <c r="K2" s="572" t="s">
        <v>263</v>
      </c>
      <c r="L2" s="555" t="s">
        <v>450</v>
      </c>
      <c r="M2" s="550" t="s">
        <v>270</v>
      </c>
      <c r="N2" s="573"/>
      <c r="O2" s="572" t="s">
        <v>263</v>
      </c>
      <c r="P2" s="555" t="s">
        <v>450</v>
      </c>
      <c r="Q2" s="550" t="s">
        <v>270</v>
      </c>
      <c r="R2" s="573"/>
      <c r="S2" s="572" t="s">
        <v>263</v>
      </c>
      <c r="T2" s="555"/>
      <c r="U2" s="550" t="s">
        <v>270</v>
      </c>
      <c r="V2" s="573"/>
      <c r="W2" s="572" t="s">
        <v>263</v>
      </c>
      <c r="X2" s="555"/>
      <c r="Y2" s="550" t="s">
        <v>270</v>
      </c>
      <c r="Z2" s="573"/>
      <c r="AA2" s="572" t="s">
        <v>263</v>
      </c>
      <c r="AB2" s="555"/>
      <c r="AC2" s="550" t="s">
        <v>270</v>
      </c>
      <c r="AD2" s="573"/>
    </row>
    <row r="3" spans="1:32" ht="15" thickBot="1" x14ac:dyDescent="0.35">
      <c r="C3" s="572" t="s">
        <v>276</v>
      </c>
      <c r="D3" s="873"/>
      <c r="E3" s="550" t="s">
        <v>271</v>
      </c>
      <c r="F3" s="579"/>
      <c r="G3" s="572" t="s">
        <v>276</v>
      </c>
      <c r="H3" s="2019">
        <v>34</v>
      </c>
      <c r="I3" s="550" t="s">
        <v>271</v>
      </c>
      <c r="J3" s="579"/>
      <c r="K3" s="572" t="s">
        <v>276</v>
      </c>
      <c r="L3" s="555">
        <v>34</v>
      </c>
      <c r="M3" s="550" t="s">
        <v>271</v>
      </c>
      <c r="N3" s="579"/>
      <c r="O3" s="572" t="s">
        <v>276</v>
      </c>
      <c r="P3" s="555">
        <v>34</v>
      </c>
      <c r="Q3" s="550" t="s">
        <v>271</v>
      </c>
      <c r="R3" s="579"/>
      <c r="S3" s="572" t="s">
        <v>276</v>
      </c>
      <c r="T3" s="555"/>
      <c r="U3" s="550" t="s">
        <v>271</v>
      </c>
      <c r="V3" s="579"/>
      <c r="W3" s="572" t="s">
        <v>276</v>
      </c>
      <c r="X3" s="555"/>
      <c r="Y3" s="550" t="s">
        <v>271</v>
      </c>
      <c r="Z3" s="579"/>
      <c r="AA3" s="572" t="s">
        <v>276</v>
      </c>
      <c r="AB3" s="555"/>
      <c r="AC3" s="550" t="s">
        <v>271</v>
      </c>
      <c r="AD3" s="579"/>
    </row>
    <row r="4" spans="1:32" s="550" customFormat="1" ht="15" thickBot="1" x14ac:dyDescent="0.35">
      <c r="C4" s="572" t="s">
        <v>269</v>
      </c>
      <c r="D4" s="874"/>
      <c r="E4" s="550" t="s">
        <v>272</v>
      </c>
      <c r="F4" s="579"/>
      <c r="G4" s="572" t="s">
        <v>269</v>
      </c>
      <c r="H4" s="555"/>
      <c r="I4" s="550" t="s">
        <v>272</v>
      </c>
      <c r="J4" s="579"/>
      <c r="K4" s="572" t="s">
        <v>269</v>
      </c>
      <c r="L4" s="555"/>
      <c r="M4" s="550" t="s">
        <v>272</v>
      </c>
      <c r="N4" s="579"/>
      <c r="O4" s="572" t="s">
        <v>269</v>
      </c>
      <c r="P4" s="555"/>
      <c r="Q4" s="550" t="s">
        <v>272</v>
      </c>
      <c r="R4" s="579"/>
      <c r="S4" s="572" t="s">
        <v>269</v>
      </c>
      <c r="T4" s="555"/>
      <c r="U4" s="550" t="s">
        <v>272</v>
      </c>
      <c r="V4" s="579"/>
      <c r="W4" s="572" t="s">
        <v>269</v>
      </c>
      <c r="X4" s="555"/>
      <c r="Y4" s="550" t="s">
        <v>272</v>
      </c>
      <c r="Z4" s="579"/>
      <c r="AA4" s="572" t="s">
        <v>269</v>
      </c>
      <c r="AB4" s="555"/>
      <c r="AC4" s="550" t="s">
        <v>272</v>
      </c>
      <c r="AD4" s="579"/>
    </row>
    <row r="5" spans="1:32" ht="15" thickBot="1" x14ac:dyDescent="0.35">
      <c r="C5" s="572" t="s">
        <v>275</v>
      </c>
      <c r="D5" s="555"/>
      <c r="E5" s="550" t="s">
        <v>278</v>
      </c>
      <c r="F5" s="579"/>
      <c r="G5" s="572" t="s">
        <v>275</v>
      </c>
      <c r="H5" s="555"/>
      <c r="I5" s="550" t="s">
        <v>278</v>
      </c>
      <c r="J5" s="579"/>
      <c r="K5" s="572" t="s">
        <v>275</v>
      </c>
      <c r="L5" s="555"/>
      <c r="M5" s="550" t="s">
        <v>278</v>
      </c>
      <c r="N5" s="579"/>
      <c r="O5" s="572" t="s">
        <v>275</v>
      </c>
      <c r="P5" s="555"/>
      <c r="Q5" s="550" t="s">
        <v>278</v>
      </c>
      <c r="R5" s="579"/>
      <c r="S5" s="572" t="s">
        <v>275</v>
      </c>
      <c r="T5" s="555"/>
      <c r="U5" s="550" t="s">
        <v>278</v>
      </c>
      <c r="V5" s="579"/>
      <c r="W5" s="572" t="s">
        <v>275</v>
      </c>
      <c r="X5" s="555"/>
      <c r="Y5" s="550" t="s">
        <v>278</v>
      </c>
      <c r="Z5" s="579"/>
      <c r="AA5" s="572" t="s">
        <v>275</v>
      </c>
      <c r="AB5" s="555"/>
      <c r="AC5" s="550" t="s">
        <v>278</v>
      </c>
      <c r="AD5" s="579"/>
    </row>
    <row r="6" spans="1:32" ht="15" thickBot="1" x14ac:dyDescent="0.35">
      <c r="A6" s="550"/>
      <c r="C6" s="572" t="s">
        <v>274</v>
      </c>
      <c r="D6" s="555"/>
      <c r="E6" s="550" t="s">
        <v>273</v>
      </c>
      <c r="F6" s="579"/>
      <c r="G6" s="572" t="s">
        <v>274</v>
      </c>
      <c r="H6" s="555"/>
      <c r="I6" s="550" t="s">
        <v>273</v>
      </c>
      <c r="J6" s="579"/>
      <c r="K6" s="572" t="s">
        <v>274</v>
      </c>
      <c r="L6" s="555"/>
      <c r="M6" s="550" t="s">
        <v>273</v>
      </c>
      <c r="N6" s="579"/>
      <c r="O6" s="572" t="s">
        <v>274</v>
      </c>
      <c r="P6" s="555"/>
      <c r="Q6" s="550" t="s">
        <v>273</v>
      </c>
      <c r="R6" s="579"/>
      <c r="S6" s="572" t="s">
        <v>274</v>
      </c>
      <c r="T6" s="555"/>
      <c r="U6" s="550" t="s">
        <v>273</v>
      </c>
      <c r="V6" s="579"/>
      <c r="W6" s="572" t="s">
        <v>274</v>
      </c>
      <c r="X6" s="555"/>
      <c r="Y6" s="550" t="s">
        <v>273</v>
      </c>
      <c r="Z6" s="579"/>
      <c r="AA6" s="572" t="s">
        <v>274</v>
      </c>
      <c r="AB6" s="555"/>
      <c r="AC6" s="550" t="s">
        <v>273</v>
      </c>
      <c r="AD6" s="579"/>
    </row>
    <row r="7" spans="1:32" ht="15" thickBot="1" x14ac:dyDescent="0.35">
      <c r="A7" s="581"/>
      <c r="C7" s="572" t="s">
        <v>279</v>
      </c>
      <c r="D7" s="555"/>
      <c r="E7" s="550" t="s">
        <v>280</v>
      </c>
      <c r="F7" s="579"/>
      <c r="G7" s="572" t="s">
        <v>279</v>
      </c>
      <c r="H7" s="555"/>
      <c r="I7" s="550" t="s">
        <v>280</v>
      </c>
      <c r="J7" s="579"/>
      <c r="K7" s="572" t="s">
        <v>279</v>
      </c>
      <c r="L7" s="555"/>
      <c r="M7" s="550" t="s">
        <v>280</v>
      </c>
      <c r="N7" s="579"/>
      <c r="O7" s="572" t="s">
        <v>279</v>
      </c>
      <c r="P7" s="555"/>
      <c r="Q7" s="550" t="s">
        <v>280</v>
      </c>
      <c r="R7" s="579"/>
      <c r="S7" s="572" t="s">
        <v>279</v>
      </c>
      <c r="T7" s="555"/>
      <c r="U7" s="550" t="s">
        <v>280</v>
      </c>
      <c r="V7" s="579"/>
      <c r="W7" s="572" t="s">
        <v>279</v>
      </c>
      <c r="X7" s="555"/>
      <c r="Y7" s="550" t="s">
        <v>280</v>
      </c>
      <c r="Z7" s="579"/>
      <c r="AA7" s="572" t="s">
        <v>279</v>
      </c>
      <c r="AB7" s="555"/>
      <c r="AC7" s="550" t="s">
        <v>280</v>
      </c>
      <c r="AD7" s="579"/>
    </row>
    <row r="8" spans="1:32" ht="15" thickBot="1" x14ac:dyDescent="0.35">
      <c r="A8" s="574"/>
      <c r="C8" s="575"/>
      <c r="D8" s="576"/>
      <c r="E8" s="576"/>
      <c r="F8" s="577"/>
      <c r="G8" s="575"/>
      <c r="H8" s="576"/>
      <c r="I8" s="576"/>
      <c r="J8" s="577"/>
      <c r="K8" s="575"/>
      <c r="L8" s="576"/>
      <c r="M8" s="576"/>
      <c r="N8" s="577"/>
      <c r="O8" s="575"/>
      <c r="P8" s="576"/>
      <c r="Q8" s="576"/>
      <c r="R8" s="577"/>
      <c r="S8" s="575"/>
      <c r="T8" s="576"/>
      <c r="U8" s="576"/>
      <c r="V8" s="577"/>
      <c r="W8" s="575"/>
      <c r="X8" s="576"/>
      <c r="Y8" s="576"/>
      <c r="Z8" s="577"/>
      <c r="AA8" s="575"/>
      <c r="AB8" s="576"/>
      <c r="AC8" s="576"/>
      <c r="AD8" s="577"/>
    </row>
    <row r="9" spans="1:32" s="550" customFormat="1" ht="14.4" customHeight="1" thickBot="1" x14ac:dyDescent="0.35">
      <c r="A9" s="2764" t="s">
        <v>30</v>
      </c>
      <c r="B9" s="561"/>
      <c r="C9" s="2724" t="s">
        <v>38</v>
      </c>
      <c r="D9" s="2725"/>
      <c r="E9" s="2725"/>
      <c r="F9" s="2726"/>
      <c r="G9" s="2724" t="s">
        <v>38</v>
      </c>
      <c r="H9" s="2725"/>
      <c r="I9" s="2725"/>
      <c r="J9" s="2726"/>
      <c r="K9" s="2724" t="s">
        <v>45</v>
      </c>
      <c r="L9" s="2725"/>
      <c r="M9" s="2725"/>
      <c r="N9" s="2726"/>
      <c r="O9" s="2724" t="s">
        <v>40</v>
      </c>
      <c r="P9" s="2725"/>
      <c r="Q9" s="2725"/>
      <c r="R9" s="2726"/>
      <c r="S9" s="2724" t="s">
        <v>42</v>
      </c>
      <c r="T9" s="2725"/>
      <c r="U9" s="2725"/>
      <c r="V9" s="2726"/>
      <c r="W9" s="2724" t="s">
        <v>43</v>
      </c>
      <c r="X9" s="2725"/>
      <c r="Y9" s="2725"/>
      <c r="Z9" s="2726"/>
      <c r="AA9" s="2724" t="s">
        <v>44</v>
      </c>
      <c r="AB9" s="2725"/>
      <c r="AC9" s="2725"/>
      <c r="AD9" s="2726"/>
      <c r="AE9" s="2724" t="s">
        <v>261</v>
      </c>
      <c r="AF9" s="2726"/>
    </row>
    <row r="10" spans="1:32" s="550" customFormat="1" ht="15" thickBot="1" x14ac:dyDescent="0.35">
      <c r="A10" s="2765"/>
      <c r="B10" s="561"/>
      <c r="C10" s="569" t="s">
        <v>224</v>
      </c>
      <c r="D10" s="570" t="s">
        <v>264</v>
      </c>
      <c r="E10" s="570" t="s">
        <v>259</v>
      </c>
      <c r="F10" s="563" t="s">
        <v>260</v>
      </c>
      <c r="G10" s="569" t="s">
        <v>224</v>
      </c>
      <c r="H10" s="570" t="s">
        <v>264</v>
      </c>
      <c r="I10" s="570" t="s">
        <v>259</v>
      </c>
      <c r="J10" s="563" t="s">
        <v>260</v>
      </c>
      <c r="K10" s="569" t="s">
        <v>224</v>
      </c>
      <c r="L10" s="570" t="s">
        <v>264</v>
      </c>
      <c r="M10" s="570" t="s">
        <v>259</v>
      </c>
      <c r="N10" s="563" t="s">
        <v>260</v>
      </c>
      <c r="O10" s="569" t="s">
        <v>224</v>
      </c>
      <c r="P10" s="570" t="s">
        <v>264</v>
      </c>
      <c r="Q10" s="570" t="s">
        <v>259</v>
      </c>
      <c r="R10" s="563" t="s">
        <v>260</v>
      </c>
      <c r="S10" s="569" t="s">
        <v>224</v>
      </c>
      <c r="T10" s="570" t="s">
        <v>264</v>
      </c>
      <c r="U10" s="570" t="s">
        <v>259</v>
      </c>
      <c r="V10" s="563" t="s">
        <v>260</v>
      </c>
      <c r="W10" s="569" t="s">
        <v>224</v>
      </c>
      <c r="X10" s="570" t="s">
        <v>264</v>
      </c>
      <c r="Y10" s="570" t="s">
        <v>259</v>
      </c>
      <c r="Z10" s="563" t="s">
        <v>260</v>
      </c>
      <c r="AA10" s="569" t="s">
        <v>224</v>
      </c>
      <c r="AB10" s="570" t="s">
        <v>264</v>
      </c>
      <c r="AC10" s="570" t="s">
        <v>259</v>
      </c>
      <c r="AD10" s="563" t="s">
        <v>260</v>
      </c>
      <c r="AE10" s="571" t="s">
        <v>264</v>
      </c>
      <c r="AF10" s="563" t="s">
        <v>262</v>
      </c>
    </row>
    <row r="11" spans="1:32" x14ac:dyDescent="0.3">
      <c r="A11" s="859" t="s">
        <v>415</v>
      </c>
      <c r="C11" s="551"/>
      <c r="D11" s="858"/>
      <c r="E11" s="858"/>
      <c r="F11" s="552"/>
      <c r="G11" s="551"/>
      <c r="H11" s="562"/>
      <c r="I11" s="562"/>
      <c r="J11" s="552"/>
      <c r="K11" s="551"/>
      <c r="L11" s="562"/>
      <c r="M11" s="562"/>
      <c r="N11" s="552"/>
      <c r="O11" s="551"/>
      <c r="P11" s="562"/>
      <c r="Q11" s="562"/>
      <c r="R11" s="552"/>
      <c r="S11" s="551"/>
      <c r="T11" s="562"/>
      <c r="U11" s="562"/>
      <c r="V11" s="552"/>
      <c r="W11" s="551"/>
      <c r="X11" s="562"/>
      <c r="Y11" s="562"/>
      <c r="Z11" s="552"/>
      <c r="AA11" s="551"/>
      <c r="AB11" s="562"/>
      <c r="AC11" s="562"/>
      <c r="AD11" s="552"/>
      <c r="AE11" s="578">
        <f>SUM(D11,H11,L11,P11,T11,X11,AB11)</f>
        <v>0</v>
      </c>
      <c r="AF11" s="567">
        <f>SUM(E11,I11,M11,Q11,U11,Y11,AC11)</f>
        <v>0</v>
      </c>
    </row>
    <row r="12" spans="1:32" x14ac:dyDescent="0.3">
      <c r="A12" s="860" t="s">
        <v>416</v>
      </c>
      <c r="C12" s="553"/>
      <c r="D12" s="556"/>
      <c r="E12" s="556"/>
      <c r="F12" s="554"/>
      <c r="G12" s="553"/>
      <c r="H12" s="556"/>
      <c r="I12" s="556"/>
      <c r="J12" s="554"/>
      <c r="K12" s="553"/>
      <c r="L12" s="556"/>
      <c r="M12" s="556"/>
      <c r="N12" s="554"/>
      <c r="O12" s="553"/>
      <c r="P12" s="556"/>
      <c r="Q12" s="556"/>
      <c r="R12" s="554"/>
      <c r="S12" s="553"/>
      <c r="T12" s="556"/>
      <c r="U12" s="556"/>
      <c r="V12" s="554"/>
      <c r="W12" s="553"/>
      <c r="X12" s="556"/>
      <c r="Y12" s="556"/>
      <c r="Z12" s="554"/>
      <c r="AA12" s="553"/>
      <c r="AB12" s="556"/>
      <c r="AC12" s="556"/>
      <c r="AD12" s="554"/>
      <c r="AE12" s="578">
        <f t="shared" ref="AE12:AF40" si="0">SUM(D12,H12,L12,P12,T12,X12,AB12)</f>
        <v>0</v>
      </c>
      <c r="AF12" s="567">
        <f t="shared" si="0"/>
        <v>0</v>
      </c>
    </row>
    <row r="13" spans="1:32" x14ac:dyDescent="0.3">
      <c r="A13" s="860" t="s">
        <v>417</v>
      </c>
      <c r="C13" s="553"/>
      <c r="D13" s="556"/>
      <c r="E13" s="556"/>
      <c r="F13" s="554"/>
      <c r="G13" s="553"/>
      <c r="H13" s="556"/>
      <c r="I13" s="556"/>
      <c r="J13" s="554"/>
      <c r="K13" s="553" t="s">
        <v>14</v>
      </c>
      <c r="L13" s="556">
        <v>3000</v>
      </c>
      <c r="M13" s="556"/>
      <c r="N13" s="554"/>
      <c r="O13" s="553"/>
      <c r="P13" s="556"/>
      <c r="Q13" s="556"/>
      <c r="R13" s="554"/>
      <c r="S13" s="553"/>
      <c r="T13" s="556"/>
      <c r="U13" s="556"/>
      <c r="V13" s="554"/>
      <c r="W13" s="553"/>
      <c r="X13" s="556"/>
      <c r="Y13" s="556"/>
      <c r="Z13" s="554"/>
      <c r="AA13" s="553"/>
      <c r="AB13" s="556"/>
      <c r="AC13" s="556"/>
      <c r="AD13" s="554"/>
      <c r="AE13" s="578">
        <f t="shared" si="0"/>
        <v>3000</v>
      </c>
      <c r="AF13" s="567">
        <f t="shared" si="0"/>
        <v>0</v>
      </c>
    </row>
    <row r="14" spans="1:32" x14ac:dyDescent="0.3">
      <c r="A14" s="860" t="s">
        <v>418</v>
      </c>
      <c r="C14" s="553"/>
      <c r="D14" s="556"/>
      <c r="E14" s="556"/>
      <c r="F14" s="554"/>
      <c r="G14" s="553"/>
      <c r="H14" s="556"/>
      <c r="I14" s="556"/>
      <c r="J14" s="554"/>
      <c r="K14" s="553"/>
      <c r="L14" s="556"/>
      <c r="M14" s="556"/>
      <c r="N14" s="554"/>
      <c r="O14" s="553" t="s">
        <v>14</v>
      </c>
      <c r="P14" s="556">
        <v>3000</v>
      </c>
      <c r="Q14" s="556"/>
      <c r="R14" s="554"/>
      <c r="S14" s="553"/>
      <c r="T14" s="556"/>
      <c r="U14" s="556"/>
      <c r="V14" s="554"/>
      <c r="W14" s="553"/>
      <c r="X14" s="556"/>
      <c r="Y14" s="556"/>
      <c r="Z14" s="554"/>
      <c r="AA14" s="553"/>
      <c r="AB14" s="556"/>
      <c r="AC14" s="556"/>
      <c r="AD14" s="554"/>
      <c r="AE14" s="578">
        <f t="shared" si="0"/>
        <v>3000</v>
      </c>
      <c r="AF14" s="567">
        <f t="shared" si="0"/>
        <v>0</v>
      </c>
    </row>
    <row r="15" spans="1:32" x14ac:dyDescent="0.3">
      <c r="A15" s="860" t="s">
        <v>419</v>
      </c>
      <c r="C15" s="553"/>
      <c r="D15" s="556"/>
      <c r="E15" s="556"/>
      <c r="F15" s="554"/>
      <c r="G15" s="553"/>
      <c r="H15" s="556"/>
      <c r="I15" s="556"/>
      <c r="J15" s="554"/>
      <c r="K15" s="553"/>
      <c r="L15" s="556"/>
      <c r="M15" s="556"/>
      <c r="N15" s="554"/>
      <c r="O15" s="553"/>
      <c r="P15" s="556"/>
      <c r="Q15" s="556"/>
      <c r="R15" s="554"/>
      <c r="S15" s="553"/>
      <c r="T15" s="556"/>
      <c r="U15" s="556"/>
      <c r="V15" s="554"/>
      <c r="W15" s="553"/>
      <c r="X15" s="556"/>
      <c r="Y15" s="556"/>
      <c r="Z15" s="554"/>
      <c r="AA15" s="553"/>
      <c r="AB15" s="556"/>
      <c r="AC15" s="556"/>
      <c r="AD15" s="554"/>
      <c r="AE15" s="578">
        <f t="shared" si="0"/>
        <v>0</v>
      </c>
      <c r="AF15" s="567">
        <f t="shared" si="0"/>
        <v>0</v>
      </c>
    </row>
    <row r="16" spans="1:32" x14ac:dyDescent="0.3">
      <c r="A16" s="860" t="s">
        <v>420</v>
      </c>
      <c r="C16" s="553"/>
      <c r="D16" s="556"/>
      <c r="E16" s="556"/>
      <c r="F16" s="554"/>
      <c r="G16" s="553" t="s">
        <v>514</v>
      </c>
      <c r="H16" s="556">
        <v>3000</v>
      </c>
      <c r="I16" s="556"/>
      <c r="J16" s="554"/>
      <c r="K16" s="553"/>
      <c r="L16" s="556"/>
      <c r="M16" s="556"/>
      <c r="N16" s="554"/>
      <c r="O16" s="553"/>
      <c r="P16" s="556"/>
      <c r="Q16" s="556"/>
      <c r="R16" s="554"/>
      <c r="S16" s="553"/>
      <c r="T16" s="556"/>
      <c r="U16" s="556"/>
      <c r="V16" s="554"/>
      <c r="W16" s="553"/>
      <c r="X16" s="556"/>
      <c r="Y16" s="556"/>
      <c r="Z16" s="554"/>
      <c r="AA16" s="553"/>
      <c r="AB16" s="556"/>
      <c r="AC16" s="556"/>
      <c r="AD16" s="554"/>
      <c r="AE16" s="578">
        <f t="shared" si="0"/>
        <v>3000</v>
      </c>
      <c r="AF16" s="567">
        <f t="shared" si="0"/>
        <v>0</v>
      </c>
    </row>
    <row r="17" spans="1:32" x14ac:dyDescent="0.3">
      <c r="A17" s="860" t="s">
        <v>374</v>
      </c>
      <c r="C17" s="553"/>
      <c r="D17" s="556"/>
      <c r="E17" s="556"/>
      <c r="F17" s="554"/>
      <c r="G17" s="553" t="s">
        <v>209</v>
      </c>
      <c r="H17" s="556">
        <v>6000</v>
      </c>
      <c r="I17" s="556"/>
      <c r="J17" s="554"/>
      <c r="K17" s="553"/>
      <c r="L17" s="556"/>
      <c r="M17" s="556"/>
      <c r="N17" s="554"/>
      <c r="O17" s="553"/>
      <c r="P17" s="556"/>
      <c r="Q17" s="556"/>
      <c r="R17" s="554"/>
      <c r="S17" s="553"/>
      <c r="T17" s="556"/>
      <c r="U17" s="556"/>
      <c r="V17" s="554"/>
      <c r="W17" s="553"/>
      <c r="X17" s="556"/>
      <c r="Y17" s="556"/>
      <c r="Z17" s="554"/>
      <c r="AA17" s="553"/>
      <c r="AB17" s="556"/>
      <c r="AC17" s="556"/>
      <c r="AD17" s="554"/>
      <c r="AE17" s="578">
        <f t="shared" si="0"/>
        <v>6000</v>
      </c>
      <c r="AF17" s="567">
        <f t="shared" si="0"/>
        <v>0</v>
      </c>
    </row>
    <row r="18" spans="1:32" x14ac:dyDescent="0.3">
      <c r="A18" s="860" t="s">
        <v>421</v>
      </c>
      <c r="C18" s="553"/>
      <c r="D18" s="556"/>
      <c r="E18" s="556"/>
      <c r="F18" s="554"/>
      <c r="G18" s="553" t="s">
        <v>209</v>
      </c>
      <c r="H18" s="556">
        <v>3000</v>
      </c>
      <c r="I18" s="556"/>
      <c r="J18" s="554"/>
      <c r="K18" s="553"/>
      <c r="L18" s="556"/>
      <c r="M18" s="556"/>
      <c r="N18" s="554"/>
      <c r="O18" s="553"/>
      <c r="P18" s="556"/>
      <c r="Q18" s="556"/>
      <c r="R18" s="554"/>
      <c r="S18" s="553"/>
      <c r="T18" s="556"/>
      <c r="U18" s="556"/>
      <c r="V18" s="554"/>
      <c r="W18" s="553"/>
      <c r="X18" s="556"/>
      <c r="Y18" s="556"/>
      <c r="Z18" s="554"/>
      <c r="AA18" s="553"/>
      <c r="AB18" s="556"/>
      <c r="AC18" s="556"/>
      <c r="AD18" s="554"/>
      <c r="AE18" s="578">
        <f t="shared" si="0"/>
        <v>3000</v>
      </c>
      <c r="AF18" s="567">
        <f t="shared" si="0"/>
        <v>0</v>
      </c>
    </row>
    <row r="19" spans="1:32" x14ac:dyDescent="0.3">
      <c r="A19" s="860" t="s">
        <v>422</v>
      </c>
      <c r="C19" s="553"/>
      <c r="D19" s="556"/>
      <c r="E19" s="556"/>
      <c r="F19" s="554"/>
      <c r="G19" s="553" t="s">
        <v>209</v>
      </c>
      <c r="H19" s="556">
        <v>3000</v>
      </c>
      <c r="I19" s="556"/>
      <c r="J19" s="554"/>
      <c r="K19" s="553"/>
      <c r="L19" s="556"/>
      <c r="M19" s="556"/>
      <c r="N19" s="554"/>
      <c r="O19" s="553"/>
      <c r="P19" s="556"/>
      <c r="Q19" s="556"/>
      <c r="R19" s="554"/>
      <c r="S19" s="553"/>
      <c r="T19" s="556"/>
      <c r="U19" s="556"/>
      <c r="V19" s="554"/>
      <c r="W19" s="553"/>
      <c r="X19" s="556"/>
      <c r="Y19" s="556"/>
      <c r="Z19" s="554"/>
      <c r="AA19" s="553"/>
      <c r="AB19" s="556"/>
      <c r="AC19" s="556"/>
      <c r="AD19" s="554"/>
      <c r="AE19" s="578">
        <f t="shared" si="0"/>
        <v>3000</v>
      </c>
      <c r="AF19" s="567">
        <f t="shared" si="0"/>
        <v>0</v>
      </c>
    </row>
    <row r="20" spans="1:32" x14ac:dyDescent="0.3">
      <c r="A20" s="860" t="s">
        <v>245</v>
      </c>
      <c r="C20" s="553"/>
      <c r="D20" s="556"/>
      <c r="E20" s="556"/>
      <c r="F20" s="554"/>
      <c r="G20" s="553" t="s">
        <v>209</v>
      </c>
      <c r="H20" s="556">
        <v>6000</v>
      </c>
      <c r="I20" s="556"/>
      <c r="J20" s="554"/>
      <c r="K20" s="553" t="s">
        <v>209</v>
      </c>
      <c r="L20" s="556">
        <v>3000</v>
      </c>
      <c r="M20" s="556"/>
      <c r="N20" s="554"/>
      <c r="O20" s="553"/>
      <c r="P20" s="556"/>
      <c r="Q20" s="556"/>
      <c r="R20" s="554"/>
      <c r="S20" s="553"/>
      <c r="T20" s="556"/>
      <c r="U20" s="556"/>
      <c r="V20" s="554"/>
      <c r="W20" s="553"/>
      <c r="X20" s="556"/>
      <c r="Y20" s="556"/>
      <c r="Z20" s="554"/>
      <c r="AA20" s="553"/>
      <c r="AB20" s="556"/>
      <c r="AC20" s="556"/>
      <c r="AD20" s="554"/>
      <c r="AE20" s="578">
        <f t="shared" si="0"/>
        <v>9000</v>
      </c>
      <c r="AF20" s="567">
        <f t="shared" si="0"/>
        <v>0</v>
      </c>
    </row>
    <row r="21" spans="1:32" x14ac:dyDescent="0.3">
      <c r="A21" s="860" t="s">
        <v>244</v>
      </c>
      <c r="C21" s="553"/>
      <c r="D21" s="556"/>
      <c r="E21" s="556"/>
      <c r="F21" s="554"/>
      <c r="G21" s="553" t="s">
        <v>209</v>
      </c>
      <c r="H21" s="556">
        <v>6000</v>
      </c>
      <c r="I21" s="556"/>
      <c r="J21" s="554"/>
      <c r="K21" s="553" t="s">
        <v>209</v>
      </c>
      <c r="L21" s="556">
        <v>3000</v>
      </c>
      <c r="M21" s="556"/>
      <c r="N21" s="554"/>
      <c r="O21" s="553"/>
      <c r="P21" s="556"/>
      <c r="Q21" s="556"/>
      <c r="R21" s="554"/>
      <c r="S21" s="553"/>
      <c r="T21" s="556"/>
      <c r="U21" s="556"/>
      <c r="V21" s="554"/>
      <c r="W21" s="553"/>
      <c r="X21" s="556"/>
      <c r="Y21" s="556"/>
      <c r="Z21" s="554"/>
      <c r="AA21" s="553"/>
      <c r="AB21" s="556"/>
      <c r="AC21" s="556"/>
      <c r="AD21" s="554"/>
      <c r="AE21" s="578">
        <f t="shared" si="0"/>
        <v>9000</v>
      </c>
      <c r="AF21" s="567">
        <f t="shared" si="0"/>
        <v>0</v>
      </c>
    </row>
    <row r="22" spans="1:32" x14ac:dyDescent="0.3">
      <c r="A22" s="860" t="s">
        <v>423</v>
      </c>
      <c r="C22" s="553"/>
      <c r="D22" s="556"/>
      <c r="E22" s="556"/>
      <c r="F22" s="554"/>
      <c r="G22" s="553"/>
      <c r="H22" s="556"/>
      <c r="I22" s="556"/>
      <c r="J22" s="554"/>
      <c r="K22" s="553"/>
      <c r="L22" s="556"/>
      <c r="M22" s="556"/>
      <c r="N22" s="554"/>
      <c r="O22" s="553" t="s">
        <v>576</v>
      </c>
      <c r="P22" s="556">
        <v>3000</v>
      </c>
      <c r="Q22" s="556"/>
      <c r="R22" s="554"/>
      <c r="S22" s="553"/>
      <c r="T22" s="556"/>
      <c r="U22" s="556"/>
      <c r="V22" s="554"/>
      <c r="W22" s="553"/>
      <c r="X22" s="556"/>
      <c r="Y22" s="556"/>
      <c r="Z22" s="554"/>
      <c r="AA22" s="553"/>
      <c r="AB22" s="556"/>
      <c r="AC22" s="556"/>
      <c r="AD22" s="554"/>
      <c r="AE22" s="578">
        <f t="shared" si="0"/>
        <v>3000</v>
      </c>
      <c r="AF22" s="567">
        <f t="shared" si="0"/>
        <v>0</v>
      </c>
    </row>
    <row r="23" spans="1:32" x14ac:dyDescent="0.3">
      <c r="A23" s="860" t="s">
        <v>424</v>
      </c>
      <c r="C23" s="553"/>
      <c r="D23" s="556"/>
      <c r="E23" s="556"/>
      <c r="F23" s="554"/>
      <c r="G23" s="553"/>
      <c r="H23" s="556"/>
      <c r="I23" s="556"/>
      <c r="J23" s="554"/>
      <c r="K23" s="553"/>
      <c r="L23" s="556"/>
      <c r="M23" s="556"/>
      <c r="N23" s="554"/>
      <c r="O23" s="553" t="s">
        <v>512</v>
      </c>
      <c r="P23" s="556">
        <v>3000</v>
      </c>
      <c r="Q23" s="556"/>
      <c r="R23" s="554"/>
      <c r="S23" s="553"/>
      <c r="T23" s="556"/>
      <c r="U23" s="556"/>
      <c r="V23" s="554"/>
      <c r="W23" s="553"/>
      <c r="X23" s="556"/>
      <c r="Y23" s="556"/>
      <c r="Z23" s="554"/>
      <c r="AA23" s="553"/>
      <c r="AB23" s="556"/>
      <c r="AC23" s="556"/>
      <c r="AD23" s="554"/>
      <c r="AE23" s="578">
        <f t="shared" si="0"/>
        <v>3000</v>
      </c>
      <c r="AF23" s="567">
        <f t="shared" si="0"/>
        <v>0</v>
      </c>
    </row>
    <row r="24" spans="1:32" x14ac:dyDescent="0.3">
      <c r="A24" s="860" t="s">
        <v>425</v>
      </c>
      <c r="C24" s="553"/>
      <c r="D24" s="556"/>
      <c r="E24" s="556"/>
      <c r="F24" s="554"/>
      <c r="G24" s="553"/>
      <c r="H24" s="556"/>
      <c r="I24" s="556"/>
      <c r="J24" s="554"/>
      <c r="K24" s="553" t="s">
        <v>512</v>
      </c>
      <c r="L24" s="556">
        <v>3000</v>
      </c>
      <c r="M24" s="556"/>
      <c r="N24" s="554"/>
      <c r="O24" s="553" t="s">
        <v>512</v>
      </c>
      <c r="P24" s="556">
        <v>3000</v>
      </c>
      <c r="Q24" s="556"/>
      <c r="R24" s="554"/>
      <c r="S24" s="553"/>
      <c r="T24" s="556"/>
      <c r="U24" s="556"/>
      <c r="V24" s="554"/>
      <c r="W24" s="553"/>
      <c r="X24" s="556"/>
      <c r="Y24" s="556"/>
      <c r="Z24" s="554"/>
      <c r="AA24" s="553"/>
      <c r="AB24" s="556"/>
      <c r="AC24" s="556"/>
      <c r="AD24" s="554"/>
      <c r="AE24" s="578">
        <f t="shared" si="0"/>
        <v>6000</v>
      </c>
      <c r="AF24" s="567">
        <f t="shared" si="0"/>
        <v>0</v>
      </c>
    </row>
    <row r="25" spans="1:32" x14ac:dyDescent="0.3">
      <c r="A25" s="860" t="s">
        <v>426</v>
      </c>
      <c r="C25" s="553"/>
      <c r="D25" s="556"/>
      <c r="E25" s="556"/>
      <c r="F25" s="554"/>
      <c r="G25" s="553"/>
      <c r="H25" s="556"/>
      <c r="I25" s="556"/>
      <c r="J25" s="554"/>
      <c r="K25" s="553" t="s">
        <v>511</v>
      </c>
      <c r="L25" s="556">
        <v>3000</v>
      </c>
      <c r="M25" s="556"/>
      <c r="N25" s="554"/>
      <c r="O25" s="553" t="s">
        <v>512</v>
      </c>
      <c r="P25" s="556">
        <v>3000</v>
      </c>
      <c r="Q25" s="556"/>
      <c r="R25" s="554"/>
      <c r="S25" s="553"/>
      <c r="T25" s="556"/>
      <c r="U25" s="556"/>
      <c r="V25" s="554"/>
      <c r="W25" s="553"/>
      <c r="X25" s="556"/>
      <c r="Y25" s="556"/>
      <c r="Z25" s="554"/>
      <c r="AA25" s="553"/>
      <c r="AB25" s="556"/>
      <c r="AC25" s="556"/>
      <c r="AD25" s="554"/>
      <c r="AE25" s="578">
        <f t="shared" si="0"/>
        <v>6000</v>
      </c>
      <c r="AF25" s="567">
        <f t="shared" si="0"/>
        <v>0</v>
      </c>
    </row>
    <row r="26" spans="1:32" x14ac:dyDescent="0.3">
      <c r="A26" s="860" t="s">
        <v>427</v>
      </c>
      <c r="C26" s="553"/>
      <c r="D26" s="556"/>
      <c r="E26" s="556"/>
      <c r="F26" s="554"/>
      <c r="G26" s="553"/>
      <c r="H26" s="556"/>
      <c r="I26" s="556"/>
      <c r="J26" s="554"/>
      <c r="K26" s="553" t="s">
        <v>511</v>
      </c>
      <c r="L26" s="556">
        <v>3000</v>
      </c>
      <c r="M26" s="556"/>
      <c r="N26" s="554"/>
      <c r="O26" s="553" t="s">
        <v>511</v>
      </c>
      <c r="P26" s="556">
        <v>3000</v>
      </c>
      <c r="Q26" s="556"/>
      <c r="R26" s="554"/>
      <c r="S26" s="553"/>
      <c r="T26" s="556"/>
      <c r="U26" s="556"/>
      <c r="V26" s="554"/>
      <c r="W26" s="553"/>
      <c r="X26" s="556"/>
      <c r="Y26" s="556"/>
      <c r="Z26" s="554"/>
      <c r="AA26" s="553"/>
      <c r="AB26" s="556"/>
      <c r="AC26" s="556"/>
      <c r="AD26" s="554"/>
      <c r="AE26" s="578">
        <f t="shared" si="0"/>
        <v>6000</v>
      </c>
      <c r="AF26" s="567">
        <f t="shared" si="0"/>
        <v>0</v>
      </c>
    </row>
    <row r="27" spans="1:32" x14ac:dyDescent="0.3">
      <c r="A27" s="860" t="s">
        <v>428</v>
      </c>
      <c r="C27" s="553"/>
      <c r="D27" s="556"/>
      <c r="E27" s="556"/>
      <c r="F27" s="554"/>
      <c r="G27" s="553"/>
      <c r="H27" s="556"/>
      <c r="I27" s="556"/>
      <c r="J27" s="554"/>
      <c r="K27" s="553" t="s">
        <v>446</v>
      </c>
      <c r="L27" s="556">
        <v>3000</v>
      </c>
      <c r="M27" s="556"/>
      <c r="N27" s="554"/>
      <c r="O27" s="553" t="s">
        <v>446</v>
      </c>
      <c r="P27" s="556">
        <v>3000</v>
      </c>
      <c r="Q27" s="556"/>
      <c r="R27" s="554"/>
      <c r="S27" s="553"/>
      <c r="T27" s="556"/>
      <c r="U27" s="556"/>
      <c r="V27" s="554"/>
      <c r="W27" s="553"/>
      <c r="X27" s="556"/>
      <c r="Y27" s="556"/>
      <c r="Z27" s="554"/>
      <c r="AA27" s="553"/>
      <c r="AB27" s="556"/>
      <c r="AC27" s="556"/>
      <c r="AD27" s="554"/>
      <c r="AE27" s="578">
        <f t="shared" si="0"/>
        <v>6000</v>
      </c>
      <c r="AF27" s="567">
        <f t="shared" si="0"/>
        <v>0</v>
      </c>
    </row>
    <row r="28" spans="1:32" x14ac:dyDescent="0.3">
      <c r="A28" s="860" t="s">
        <v>248</v>
      </c>
      <c r="C28" s="553"/>
      <c r="D28" s="556"/>
      <c r="E28" s="556"/>
      <c r="F28" s="554"/>
      <c r="G28" s="553"/>
      <c r="H28" s="556"/>
      <c r="I28" s="556"/>
      <c r="J28" s="554"/>
      <c r="K28" s="553" t="s">
        <v>446</v>
      </c>
      <c r="L28" s="556">
        <v>3000</v>
      </c>
      <c r="M28" s="556"/>
      <c r="N28" s="554"/>
      <c r="O28" s="553" t="s">
        <v>446</v>
      </c>
      <c r="P28" s="556">
        <v>3000</v>
      </c>
      <c r="Q28" s="556"/>
      <c r="R28" s="554"/>
      <c r="S28" s="553"/>
      <c r="T28" s="556"/>
      <c r="U28" s="556"/>
      <c r="V28" s="554"/>
      <c r="W28" s="553"/>
      <c r="X28" s="556"/>
      <c r="Y28" s="556"/>
      <c r="Z28" s="554"/>
      <c r="AA28" s="553"/>
      <c r="AB28" s="556"/>
      <c r="AC28" s="556"/>
      <c r="AD28" s="554"/>
      <c r="AE28" s="578">
        <f t="shared" si="0"/>
        <v>6000</v>
      </c>
      <c r="AF28" s="567">
        <f t="shared" si="0"/>
        <v>0</v>
      </c>
    </row>
    <row r="29" spans="1:32" x14ac:dyDescent="0.3">
      <c r="A29" s="860" t="s">
        <v>429</v>
      </c>
      <c r="C29" s="553"/>
      <c r="D29" s="556"/>
      <c r="E29" s="556"/>
      <c r="F29" s="554"/>
      <c r="G29" s="553"/>
      <c r="H29" s="556"/>
      <c r="I29" s="556"/>
      <c r="J29" s="554"/>
      <c r="K29" s="553"/>
      <c r="L29" s="556"/>
      <c r="M29" s="556"/>
      <c r="N29" s="554"/>
      <c r="O29" s="553" t="s">
        <v>510</v>
      </c>
      <c r="P29" s="556">
        <v>3000</v>
      </c>
      <c r="Q29" s="556"/>
      <c r="R29" s="554"/>
      <c r="S29" s="553"/>
      <c r="T29" s="556"/>
      <c r="U29" s="556"/>
      <c r="V29" s="554"/>
      <c r="W29" s="553"/>
      <c r="X29" s="556"/>
      <c r="Y29" s="556"/>
      <c r="Z29" s="554"/>
      <c r="AA29" s="553"/>
      <c r="AB29" s="556"/>
      <c r="AC29" s="556"/>
      <c r="AD29" s="554"/>
      <c r="AE29" s="578">
        <f t="shared" si="0"/>
        <v>3000</v>
      </c>
      <c r="AF29" s="567">
        <f t="shared" si="0"/>
        <v>0</v>
      </c>
    </row>
    <row r="30" spans="1:32" x14ac:dyDescent="0.3">
      <c r="A30" s="860" t="s">
        <v>430</v>
      </c>
      <c r="C30" s="553"/>
      <c r="D30" s="556"/>
      <c r="E30" s="556"/>
      <c r="F30" s="554"/>
      <c r="G30" s="553"/>
      <c r="H30" s="556"/>
      <c r="I30" s="556"/>
      <c r="J30" s="554"/>
      <c r="K30" s="553" t="s">
        <v>510</v>
      </c>
      <c r="L30" s="556">
        <v>3000</v>
      </c>
      <c r="M30" s="556"/>
      <c r="N30" s="554"/>
      <c r="O30" s="553"/>
      <c r="P30" s="556"/>
      <c r="Q30" s="556"/>
      <c r="R30" s="554"/>
      <c r="S30" s="553"/>
      <c r="T30" s="556"/>
      <c r="U30" s="556"/>
      <c r="V30" s="554"/>
      <c r="W30" s="553"/>
      <c r="X30" s="556"/>
      <c r="Y30" s="556"/>
      <c r="Z30" s="554"/>
      <c r="AA30" s="553"/>
      <c r="AB30" s="556"/>
      <c r="AC30" s="556"/>
      <c r="AD30" s="554"/>
      <c r="AE30" s="578">
        <f t="shared" si="0"/>
        <v>3000</v>
      </c>
      <c r="AF30" s="567">
        <f t="shared" si="0"/>
        <v>0</v>
      </c>
    </row>
    <row r="31" spans="1:32" x14ac:dyDescent="0.3">
      <c r="A31" s="860" t="s">
        <v>431</v>
      </c>
      <c r="C31" s="553"/>
      <c r="D31" s="556"/>
      <c r="E31" s="556"/>
      <c r="F31" s="554"/>
      <c r="G31" s="553" t="s">
        <v>512</v>
      </c>
      <c r="H31" s="556">
        <v>3000</v>
      </c>
      <c r="I31" s="556"/>
      <c r="J31" s="554"/>
      <c r="K31" s="553" t="s">
        <v>512</v>
      </c>
      <c r="L31" s="556">
        <v>3000</v>
      </c>
      <c r="M31" s="556"/>
      <c r="N31" s="554"/>
      <c r="O31" s="553" t="s">
        <v>512</v>
      </c>
      <c r="P31" s="556">
        <v>3000</v>
      </c>
      <c r="Q31" s="556"/>
      <c r="R31" s="554"/>
      <c r="S31" s="553"/>
      <c r="T31" s="556"/>
      <c r="U31" s="556"/>
      <c r="V31" s="554"/>
      <c r="W31" s="553"/>
      <c r="X31" s="556"/>
      <c r="Y31" s="556"/>
      <c r="Z31" s="554"/>
      <c r="AA31" s="553"/>
      <c r="AB31" s="556"/>
      <c r="AC31" s="556"/>
      <c r="AD31" s="554"/>
      <c r="AE31" s="578">
        <f t="shared" si="0"/>
        <v>9000</v>
      </c>
      <c r="AF31" s="567">
        <f t="shared" si="0"/>
        <v>0</v>
      </c>
    </row>
    <row r="32" spans="1:32" x14ac:dyDescent="0.3">
      <c r="A32" s="860"/>
      <c r="C32" s="553"/>
      <c r="D32" s="556"/>
      <c r="E32" s="556"/>
      <c r="F32" s="554"/>
      <c r="G32" s="553"/>
      <c r="H32" s="556"/>
      <c r="I32" s="556"/>
      <c r="J32" s="554"/>
      <c r="K32" s="553"/>
      <c r="L32" s="556"/>
      <c r="M32" s="556"/>
      <c r="N32" s="554"/>
      <c r="O32" s="553"/>
      <c r="P32" s="556"/>
      <c r="Q32" s="556"/>
      <c r="R32" s="554"/>
      <c r="S32" s="553"/>
      <c r="T32" s="556"/>
      <c r="U32" s="556"/>
      <c r="V32" s="554"/>
      <c r="W32" s="553"/>
      <c r="X32" s="556"/>
      <c r="Y32" s="556"/>
      <c r="Z32" s="554"/>
      <c r="AA32" s="553"/>
      <c r="AB32" s="556"/>
      <c r="AC32" s="556"/>
      <c r="AD32" s="554"/>
      <c r="AE32" s="578">
        <f t="shared" si="0"/>
        <v>0</v>
      </c>
      <c r="AF32" s="567">
        <f t="shared" si="0"/>
        <v>0</v>
      </c>
    </row>
    <row r="33" spans="1:32" x14ac:dyDescent="0.3">
      <c r="A33" s="860"/>
      <c r="C33" s="553"/>
      <c r="D33" s="556"/>
      <c r="E33" s="556"/>
      <c r="F33" s="554"/>
      <c r="G33" s="553"/>
      <c r="H33" s="556"/>
      <c r="I33" s="556"/>
      <c r="J33" s="554"/>
      <c r="K33" s="553"/>
      <c r="L33" s="556"/>
      <c r="M33" s="556"/>
      <c r="N33" s="554"/>
      <c r="O33" s="553"/>
      <c r="P33" s="556"/>
      <c r="Q33" s="556"/>
      <c r="R33" s="554"/>
      <c r="S33" s="553"/>
      <c r="T33" s="556"/>
      <c r="U33" s="556"/>
      <c r="V33" s="554"/>
      <c r="W33" s="553"/>
      <c r="X33" s="556"/>
      <c r="Y33" s="556"/>
      <c r="Z33" s="554"/>
      <c r="AA33" s="553"/>
      <c r="AB33" s="556"/>
      <c r="AC33" s="556"/>
      <c r="AD33" s="554"/>
      <c r="AE33" s="578">
        <f t="shared" si="0"/>
        <v>0</v>
      </c>
      <c r="AF33" s="567">
        <f t="shared" si="0"/>
        <v>0</v>
      </c>
    </row>
    <row r="34" spans="1:32" x14ac:dyDescent="0.3">
      <c r="A34" s="860"/>
      <c r="C34" s="553"/>
      <c r="D34" s="556"/>
      <c r="E34" s="556"/>
      <c r="F34" s="554"/>
      <c r="G34" s="553"/>
      <c r="H34" s="556"/>
      <c r="I34" s="556"/>
      <c r="J34" s="554"/>
      <c r="K34" s="553"/>
      <c r="L34" s="556"/>
      <c r="M34" s="556"/>
      <c r="N34" s="554"/>
      <c r="O34" s="553"/>
      <c r="P34" s="556"/>
      <c r="Q34" s="556"/>
      <c r="R34" s="554"/>
      <c r="S34" s="553"/>
      <c r="T34" s="556"/>
      <c r="U34" s="556"/>
      <c r="V34" s="554"/>
      <c r="W34" s="553"/>
      <c r="X34" s="556"/>
      <c r="Y34" s="556"/>
      <c r="Z34" s="554"/>
      <c r="AA34" s="553"/>
      <c r="AB34" s="556"/>
      <c r="AC34" s="556"/>
      <c r="AD34" s="554"/>
      <c r="AE34" s="578">
        <f t="shared" si="0"/>
        <v>0</v>
      </c>
      <c r="AF34" s="567">
        <f t="shared" si="0"/>
        <v>0</v>
      </c>
    </row>
    <row r="35" spans="1:32" x14ac:dyDescent="0.3">
      <c r="A35" s="860"/>
      <c r="C35" s="553"/>
      <c r="D35" s="556"/>
      <c r="E35" s="556"/>
      <c r="F35" s="554"/>
      <c r="G35" s="553"/>
      <c r="H35" s="556"/>
      <c r="I35" s="556"/>
      <c r="J35" s="554"/>
      <c r="K35" s="553"/>
      <c r="L35" s="556"/>
      <c r="M35" s="556"/>
      <c r="N35" s="554"/>
      <c r="O35" s="553"/>
      <c r="P35" s="556"/>
      <c r="Q35" s="556"/>
      <c r="R35" s="554"/>
      <c r="S35" s="553"/>
      <c r="T35" s="556"/>
      <c r="U35" s="556"/>
      <c r="V35" s="554"/>
      <c r="W35" s="553"/>
      <c r="X35" s="556"/>
      <c r="Y35" s="556"/>
      <c r="Z35" s="554"/>
      <c r="AA35" s="553"/>
      <c r="AB35" s="556"/>
      <c r="AC35" s="556"/>
      <c r="AD35" s="554"/>
      <c r="AE35" s="578">
        <f t="shared" si="0"/>
        <v>0</v>
      </c>
      <c r="AF35" s="567">
        <f t="shared" si="0"/>
        <v>0</v>
      </c>
    </row>
    <row r="36" spans="1:32" x14ac:dyDescent="0.3">
      <c r="A36" s="860"/>
      <c r="C36" s="553"/>
      <c r="D36" s="556"/>
      <c r="E36" s="556"/>
      <c r="F36" s="554"/>
      <c r="G36" s="553"/>
      <c r="H36" s="556"/>
      <c r="I36" s="556"/>
      <c r="J36" s="554"/>
      <c r="K36" s="553"/>
      <c r="L36" s="556"/>
      <c r="M36" s="556"/>
      <c r="N36" s="554"/>
      <c r="O36" s="553"/>
      <c r="P36" s="556"/>
      <c r="Q36" s="556"/>
      <c r="R36" s="554"/>
      <c r="S36" s="553"/>
      <c r="T36" s="556"/>
      <c r="U36" s="556"/>
      <c r="V36" s="554"/>
      <c r="W36" s="553"/>
      <c r="X36" s="556"/>
      <c r="Y36" s="556"/>
      <c r="Z36" s="554"/>
      <c r="AA36" s="553"/>
      <c r="AB36" s="556"/>
      <c r="AC36" s="556"/>
      <c r="AD36" s="554"/>
      <c r="AE36" s="578">
        <f t="shared" si="0"/>
        <v>0</v>
      </c>
      <c r="AF36" s="567">
        <f t="shared" si="0"/>
        <v>0</v>
      </c>
    </row>
    <row r="37" spans="1:32" x14ac:dyDescent="0.3">
      <c r="A37" s="860"/>
      <c r="C37" s="553"/>
      <c r="D37" s="556"/>
      <c r="E37" s="556"/>
      <c r="F37" s="554"/>
      <c r="G37" s="553"/>
      <c r="H37" s="556"/>
      <c r="I37" s="556"/>
      <c r="J37" s="554"/>
      <c r="K37" s="553"/>
      <c r="L37" s="556"/>
      <c r="M37" s="556"/>
      <c r="N37" s="554"/>
      <c r="O37" s="553"/>
      <c r="P37" s="556"/>
      <c r="Q37" s="556"/>
      <c r="R37" s="554"/>
      <c r="S37" s="553"/>
      <c r="T37" s="556"/>
      <c r="U37" s="556"/>
      <c r="V37" s="554"/>
      <c r="W37" s="553"/>
      <c r="X37" s="556"/>
      <c r="Y37" s="556"/>
      <c r="Z37" s="554"/>
      <c r="AA37" s="553"/>
      <c r="AB37" s="556"/>
      <c r="AC37" s="556"/>
      <c r="AD37" s="554"/>
      <c r="AE37" s="578">
        <f t="shared" si="0"/>
        <v>0</v>
      </c>
      <c r="AF37" s="567">
        <f t="shared" si="0"/>
        <v>0</v>
      </c>
    </row>
    <row r="38" spans="1:32" x14ac:dyDescent="0.3">
      <c r="A38" s="860"/>
      <c r="C38" s="553"/>
      <c r="D38" s="556"/>
      <c r="E38" s="556"/>
      <c r="F38" s="554"/>
      <c r="G38" s="553"/>
      <c r="H38" s="556"/>
      <c r="I38" s="556"/>
      <c r="J38" s="554"/>
      <c r="K38" s="553"/>
      <c r="L38" s="556"/>
      <c r="M38" s="556"/>
      <c r="N38" s="554"/>
      <c r="O38" s="553"/>
      <c r="P38" s="556"/>
      <c r="Q38" s="556"/>
      <c r="R38" s="554"/>
      <c r="S38" s="553"/>
      <c r="T38" s="556"/>
      <c r="U38" s="556"/>
      <c r="V38" s="554"/>
      <c r="W38" s="553"/>
      <c r="X38" s="556"/>
      <c r="Y38" s="556"/>
      <c r="Z38" s="554"/>
      <c r="AA38" s="553"/>
      <c r="AB38" s="556"/>
      <c r="AC38" s="556"/>
      <c r="AD38" s="554"/>
      <c r="AE38" s="578">
        <f t="shared" si="0"/>
        <v>0</v>
      </c>
      <c r="AF38" s="567">
        <f t="shared" si="0"/>
        <v>0</v>
      </c>
    </row>
    <row r="39" spans="1:32" x14ac:dyDescent="0.3">
      <c r="A39" s="860"/>
      <c r="C39" s="553"/>
      <c r="D39" s="556"/>
      <c r="E39" s="556"/>
      <c r="F39" s="554"/>
      <c r="G39" s="553"/>
      <c r="H39" s="556"/>
      <c r="I39" s="556"/>
      <c r="J39" s="554"/>
      <c r="K39" s="553"/>
      <c r="L39" s="556"/>
      <c r="M39" s="556"/>
      <c r="N39" s="554"/>
      <c r="O39" s="553"/>
      <c r="P39" s="556"/>
      <c r="Q39" s="556"/>
      <c r="R39" s="554"/>
      <c r="S39" s="553"/>
      <c r="T39" s="556"/>
      <c r="U39" s="556"/>
      <c r="V39" s="554"/>
      <c r="W39" s="553"/>
      <c r="X39" s="556"/>
      <c r="Y39" s="556"/>
      <c r="Z39" s="554"/>
      <c r="AA39" s="553"/>
      <c r="AB39" s="556"/>
      <c r="AC39" s="556"/>
      <c r="AD39" s="554"/>
      <c r="AE39" s="578">
        <f t="shared" si="0"/>
        <v>0</v>
      </c>
      <c r="AF39" s="567">
        <f t="shared" si="0"/>
        <v>0</v>
      </c>
    </row>
    <row r="40" spans="1:32" ht="15" thickBot="1" x14ac:dyDescent="0.35">
      <c r="A40" s="861"/>
      <c r="C40" s="557"/>
      <c r="D40" s="558"/>
      <c r="E40" s="558"/>
      <c r="F40" s="559"/>
      <c r="G40" s="557"/>
      <c r="H40" s="558"/>
      <c r="I40" s="558"/>
      <c r="J40" s="559"/>
      <c r="K40" s="557"/>
      <c r="L40" s="558"/>
      <c r="M40" s="558"/>
      <c r="N40" s="559"/>
      <c r="O40" s="557"/>
      <c r="P40" s="558"/>
      <c r="Q40" s="558"/>
      <c r="R40" s="559"/>
      <c r="S40" s="557"/>
      <c r="T40" s="558"/>
      <c r="U40" s="558"/>
      <c r="V40" s="559"/>
      <c r="W40" s="557"/>
      <c r="X40" s="558"/>
      <c r="Y40" s="558"/>
      <c r="Z40" s="559"/>
      <c r="AA40" s="557"/>
      <c r="AB40" s="558"/>
      <c r="AC40" s="558"/>
      <c r="AD40" s="559"/>
      <c r="AE40" s="578">
        <f t="shared" si="0"/>
        <v>0</v>
      </c>
      <c r="AF40" s="567">
        <f t="shared" si="0"/>
        <v>0</v>
      </c>
    </row>
    <row r="41" spans="1:32" s="550" customFormat="1" ht="15" thickBot="1" x14ac:dyDescent="0.35">
      <c r="A41" s="581" t="s">
        <v>258</v>
      </c>
      <c r="C41" s="564"/>
      <c r="D41" s="872">
        <f>SUM(D11:D40)</f>
        <v>0</v>
      </c>
      <c r="E41" s="565"/>
      <c r="F41" s="566"/>
      <c r="G41" s="564"/>
      <c r="H41" s="872">
        <f>SUM(H11:H40)</f>
        <v>30000</v>
      </c>
      <c r="I41" s="565"/>
      <c r="J41" s="566"/>
      <c r="K41" s="564"/>
      <c r="L41" s="872">
        <f>SUM(L11:L40)</f>
        <v>30000</v>
      </c>
      <c r="M41" s="565"/>
      <c r="N41" s="566"/>
      <c r="O41" s="564"/>
      <c r="P41" s="872">
        <f>SUM(P11:P40)</f>
        <v>30000</v>
      </c>
      <c r="Q41" s="565"/>
      <c r="R41" s="566"/>
      <c r="S41" s="564"/>
      <c r="T41" s="872">
        <f>SUM(T11:T40)</f>
        <v>0</v>
      </c>
      <c r="U41" s="565"/>
      <c r="V41" s="566"/>
      <c r="W41" s="564"/>
      <c r="X41" s="872">
        <f>SUM(X11:X40)</f>
        <v>0</v>
      </c>
      <c r="Y41" s="565"/>
      <c r="Z41" s="566"/>
      <c r="AA41" s="564"/>
      <c r="AB41" s="872">
        <f>SUM(AB11:AB40)</f>
        <v>0</v>
      </c>
      <c r="AC41" s="565"/>
      <c r="AD41" s="566"/>
      <c r="AE41" s="568">
        <f>SUM(AE11:AE40)</f>
        <v>90000</v>
      </c>
      <c r="AF41" s="564">
        <f>SUM(AF11:AF40)</f>
        <v>0</v>
      </c>
    </row>
    <row r="42" spans="1:32" s="550" customFormat="1" x14ac:dyDescent="0.3">
      <c r="A42" s="572"/>
      <c r="C42" s="572"/>
      <c r="D42" s="561"/>
      <c r="E42" s="561"/>
      <c r="F42" s="560"/>
      <c r="G42" s="572"/>
      <c r="H42" s="561"/>
      <c r="I42" s="561"/>
      <c r="J42" s="560"/>
      <c r="K42" s="572"/>
      <c r="L42" s="583"/>
      <c r="M42" s="561"/>
      <c r="N42" s="560"/>
      <c r="O42" s="572"/>
      <c r="P42" s="561"/>
      <c r="Q42" s="561"/>
      <c r="R42" s="560"/>
      <c r="S42" s="572"/>
      <c r="T42" s="561"/>
      <c r="U42" s="561"/>
      <c r="V42" s="560"/>
      <c r="W42" s="572"/>
      <c r="X42" s="561"/>
      <c r="Y42" s="561"/>
      <c r="Z42" s="560"/>
      <c r="AA42" s="572"/>
      <c r="AB42" s="583"/>
      <c r="AC42" s="561"/>
      <c r="AD42" s="560"/>
      <c r="AF42" s="561"/>
    </row>
    <row r="43" spans="1:32" ht="15" thickBot="1" x14ac:dyDescent="0.35">
      <c r="C43" s="574" t="s">
        <v>265</v>
      </c>
      <c r="D43" s="580"/>
      <c r="E43" s="549" t="s">
        <v>266</v>
      </c>
      <c r="F43" s="582"/>
      <c r="G43" s="574" t="s">
        <v>265</v>
      </c>
      <c r="H43" s="580"/>
      <c r="I43" s="549" t="s">
        <v>266</v>
      </c>
      <c r="J43" s="582"/>
      <c r="K43" s="574" t="s">
        <v>265</v>
      </c>
      <c r="L43" s="580"/>
      <c r="M43" s="549" t="s">
        <v>266</v>
      </c>
      <c r="N43" s="582"/>
      <c r="O43" s="574" t="s">
        <v>265</v>
      </c>
      <c r="P43" s="580"/>
      <c r="Q43" s="549" t="s">
        <v>266</v>
      </c>
      <c r="R43" s="582"/>
      <c r="S43" s="574" t="s">
        <v>265</v>
      </c>
      <c r="T43" s="580"/>
      <c r="U43" s="549" t="s">
        <v>266</v>
      </c>
      <c r="V43" s="582"/>
      <c r="W43" s="574" t="s">
        <v>265</v>
      </c>
      <c r="X43" s="580"/>
      <c r="Y43" s="549" t="s">
        <v>266</v>
      </c>
      <c r="Z43" s="582"/>
      <c r="AA43" s="574" t="s">
        <v>265</v>
      </c>
      <c r="AB43" s="580"/>
      <c r="AC43" s="549" t="s">
        <v>266</v>
      </c>
      <c r="AD43" s="582"/>
    </row>
    <row r="44" spans="1:32" ht="15" thickBot="1" x14ac:dyDescent="0.35">
      <c r="C44" s="574" t="s">
        <v>268</v>
      </c>
      <c r="D44" s="555"/>
      <c r="E44" s="549" t="s">
        <v>268</v>
      </c>
      <c r="F44" s="579"/>
      <c r="G44" s="574" t="s">
        <v>268</v>
      </c>
      <c r="H44" s="555"/>
      <c r="I44" s="549" t="s">
        <v>268</v>
      </c>
      <c r="J44" s="579"/>
      <c r="K44" s="574" t="s">
        <v>268</v>
      </c>
      <c r="L44" s="555"/>
      <c r="M44" s="549" t="s">
        <v>268</v>
      </c>
      <c r="N44" s="579"/>
      <c r="O44" s="574" t="s">
        <v>268</v>
      </c>
      <c r="P44" s="555"/>
      <c r="Q44" s="549" t="s">
        <v>268</v>
      </c>
      <c r="R44" s="579"/>
      <c r="S44" s="574" t="s">
        <v>268</v>
      </c>
      <c r="T44" s="555"/>
      <c r="U44" s="549" t="s">
        <v>268</v>
      </c>
      <c r="V44" s="579"/>
      <c r="W44" s="574" t="s">
        <v>268</v>
      </c>
      <c r="X44" s="555"/>
      <c r="Y44" s="549" t="s">
        <v>268</v>
      </c>
      <c r="Z44" s="579"/>
      <c r="AA44" s="574" t="s">
        <v>268</v>
      </c>
      <c r="AB44" s="555"/>
      <c r="AC44" s="549" t="s">
        <v>268</v>
      </c>
      <c r="AD44" s="579"/>
    </row>
    <row r="45" spans="1:32" ht="15" thickBot="1" x14ac:dyDescent="0.35">
      <c r="C45" s="574" t="s">
        <v>267</v>
      </c>
      <c r="D45" s="555"/>
      <c r="E45" s="549" t="s">
        <v>267</v>
      </c>
      <c r="F45" s="579"/>
      <c r="G45" s="574" t="s">
        <v>267</v>
      </c>
      <c r="H45" s="555"/>
      <c r="I45" s="549" t="s">
        <v>267</v>
      </c>
      <c r="J45" s="579"/>
      <c r="K45" s="574" t="s">
        <v>267</v>
      </c>
      <c r="L45" s="555"/>
      <c r="M45" s="549" t="s">
        <v>267</v>
      </c>
      <c r="N45" s="579"/>
      <c r="O45" s="574" t="s">
        <v>267</v>
      </c>
      <c r="P45" s="555"/>
      <c r="Q45" s="549" t="s">
        <v>267</v>
      </c>
      <c r="R45" s="579"/>
      <c r="S45" s="574" t="s">
        <v>267</v>
      </c>
      <c r="T45" s="555"/>
      <c r="U45" s="549" t="s">
        <v>267</v>
      </c>
      <c r="V45" s="579"/>
      <c r="W45" s="574" t="s">
        <v>267</v>
      </c>
      <c r="X45" s="555"/>
      <c r="Y45" s="549" t="s">
        <v>267</v>
      </c>
      <c r="Z45" s="579"/>
      <c r="AA45" s="574" t="s">
        <v>267</v>
      </c>
      <c r="AB45" s="555"/>
      <c r="AC45" s="549" t="s">
        <v>267</v>
      </c>
      <c r="AD45" s="579"/>
    </row>
    <row r="46" spans="1:32" ht="15" thickBot="1" x14ac:dyDescent="0.35">
      <c r="C46" s="575"/>
      <c r="D46" s="555"/>
      <c r="E46" s="576"/>
      <c r="F46" s="579"/>
      <c r="G46" s="575"/>
      <c r="H46" s="555"/>
      <c r="I46" s="576"/>
      <c r="J46" s="579"/>
      <c r="K46" s="575"/>
      <c r="L46" s="555"/>
      <c r="M46" s="576"/>
      <c r="N46" s="579"/>
      <c r="O46" s="575"/>
      <c r="P46" s="555"/>
      <c r="Q46" s="576"/>
      <c r="R46" s="579"/>
      <c r="S46" s="575"/>
      <c r="T46" s="555"/>
      <c r="U46" s="576"/>
      <c r="V46" s="579"/>
      <c r="W46" s="575"/>
      <c r="X46" s="555"/>
      <c r="Y46" s="576"/>
      <c r="Z46" s="579"/>
      <c r="AA46" s="575"/>
      <c r="AB46" s="555"/>
      <c r="AC46" s="576"/>
      <c r="AD46" s="579"/>
    </row>
  </sheetData>
  <mergeCells count="16">
    <mergeCell ref="AE9:AF9"/>
    <mergeCell ref="AA1:AD1"/>
    <mergeCell ref="A9:A10"/>
    <mergeCell ref="C9:F9"/>
    <mergeCell ref="G9:J9"/>
    <mergeCell ref="K9:N9"/>
    <mergeCell ref="O9:R9"/>
    <mergeCell ref="S9:V9"/>
    <mergeCell ref="W9:Z9"/>
    <mergeCell ref="AA9:AD9"/>
    <mergeCell ref="C1:F1"/>
    <mergeCell ref="G1:J1"/>
    <mergeCell ref="K1:N1"/>
    <mergeCell ref="O1:R1"/>
    <mergeCell ref="S1:V1"/>
    <mergeCell ref="W1:Z1"/>
  </mergeCells>
  <pageMargins left="0.51181102362204722" right="0.51181102362204722" top="0.55118110236220474" bottom="0.74803149606299213" header="0.31496062992125984" footer="0.31496062992125984"/>
  <pageSetup scale="34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FA3A9-1ACB-4EE7-B88A-FAF378F74F45}">
  <dimension ref="A1:BU140"/>
  <sheetViews>
    <sheetView zoomScale="70" zoomScaleNormal="70" workbookViewId="0">
      <selection activeCell="J22" sqref="J22"/>
    </sheetView>
  </sheetViews>
  <sheetFormatPr defaultRowHeight="14.4" x14ac:dyDescent="0.3"/>
  <cols>
    <col min="1" max="1" width="17.6640625" customWidth="1"/>
    <col min="2" max="2" width="18.109375" customWidth="1"/>
    <col min="3" max="3" width="30.109375" bestFit="1" customWidth="1"/>
    <col min="4" max="4" width="16.109375" bestFit="1" customWidth="1"/>
    <col min="5" max="5" width="13.44140625" bestFit="1" customWidth="1"/>
    <col min="6" max="6" width="14.109375" bestFit="1" customWidth="1"/>
    <col min="7" max="7" width="13" customWidth="1"/>
    <col min="8" max="8" width="12.6640625" bestFit="1" customWidth="1"/>
    <col min="9" max="10" width="18" bestFit="1" customWidth="1"/>
    <col min="11" max="17" width="14.44140625" style="1192" customWidth="1"/>
    <col min="18" max="18" width="12.44140625" style="1192" customWidth="1"/>
    <col min="19" max="25" width="14.6640625" style="1192" customWidth="1"/>
    <col min="26" max="26" width="19.44140625" style="1192" customWidth="1"/>
    <col min="27" max="27" width="13.33203125" style="1192" bestFit="1" customWidth="1"/>
    <col min="28" max="28" width="15.5546875" style="1192" bestFit="1" customWidth="1"/>
    <col min="29" max="29" width="12.6640625" style="1192" bestFit="1" customWidth="1"/>
    <col min="30" max="30" width="18.44140625" style="1192" customWidth="1"/>
    <col min="31" max="31" width="15.109375" style="1192" customWidth="1"/>
    <col min="32" max="32" width="18.109375" style="1192" customWidth="1"/>
    <col min="33" max="33" width="15.88671875" style="1192" customWidth="1"/>
    <col min="34" max="34" width="16.33203125" style="1192" customWidth="1"/>
    <col min="35" max="36" width="15.5546875" style="1192" customWidth="1"/>
    <col min="37" max="37" width="14.109375" style="1192" customWidth="1"/>
    <col min="38" max="38" width="16.5546875" style="1192" customWidth="1"/>
    <col min="39" max="39" width="16.6640625" style="1192" customWidth="1"/>
    <col min="40" max="40" width="22" style="1192" customWidth="1"/>
    <col min="41" max="42" width="16" style="1192" customWidth="1"/>
    <col min="43" max="43" width="15.44140625" style="1192" customWidth="1"/>
    <col min="44" max="44" width="17.33203125" style="1192" customWidth="1"/>
    <col min="45" max="45" width="13.33203125" style="1192" bestFit="1" customWidth="1"/>
    <col min="46" max="46" width="15.44140625" style="1192" bestFit="1" customWidth="1"/>
    <col min="47" max="49" width="14.33203125" style="1192" customWidth="1"/>
    <col min="50" max="50" width="15.44140625" style="1192" bestFit="1" customWidth="1"/>
    <col min="51" max="51" width="14.6640625" style="1192" bestFit="1" customWidth="1"/>
    <col min="52" max="52" width="13.33203125" style="1192" bestFit="1" customWidth="1"/>
    <col min="53" max="54" width="14.88671875" style="1192" customWidth="1"/>
    <col min="55" max="55" width="18" style="1192" customWidth="1"/>
    <col min="56" max="56" width="14.6640625" style="1192" customWidth="1"/>
    <col min="57" max="57" width="19.44140625" style="1192" customWidth="1"/>
    <col min="58" max="58" width="17.6640625" style="1192" customWidth="1"/>
    <col min="59" max="60" width="17.88671875" style="1192" customWidth="1"/>
    <col min="61" max="61" width="17.88671875" style="1192" bestFit="1" customWidth="1"/>
    <col min="62" max="62" width="19.6640625" style="1192" customWidth="1"/>
    <col min="63" max="63" width="22.5546875" style="1192" customWidth="1"/>
    <col min="64" max="64" width="23.109375" style="1192" customWidth="1"/>
    <col min="65" max="66" width="15.109375" style="1192" customWidth="1"/>
    <col min="67" max="67" width="13.44140625" style="1192" customWidth="1"/>
    <col min="68" max="68" width="22.109375" style="1192" customWidth="1"/>
    <col min="69" max="69" width="17.109375" style="1192" customWidth="1"/>
    <col min="70" max="70" width="26.33203125" style="1192" customWidth="1"/>
  </cols>
  <sheetData>
    <row r="1" spans="1:73" ht="16.2" thickBot="1" x14ac:dyDescent="0.35">
      <c r="A1" s="2" t="s">
        <v>0</v>
      </c>
      <c r="B1" s="1874"/>
      <c r="C1" s="1875"/>
      <c r="D1" s="1876"/>
      <c r="E1" s="1"/>
      <c r="F1" s="1"/>
      <c r="G1" s="1"/>
      <c r="H1" s="1"/>
      <c r="I1" s="1"/>
      <c r="J1" s="1"/>
      <c r="K1" s="1081" t="s">
        <v>1</v>
      </c>
      <c r="L1" s="1082"/>
      <c r="M1" s="1083"/>
      <c r="N1" s="1084"/>
      <c r="O1" s="1085"/>
      <c r="P1" s="1085"/>
      <c r="Q1" s="1085"/>
      <c r="R1" s="1085"/>
      <c r="S1" s="1085"/>
      <c r="T1" s="1085"/>
      <c r="U1" s="1085"/>
      <c r="V1" s="1085"/>
      <c r="W1" s="1085"/>
      <c r="X1" s="1085"/>
      <c r="Y1" s="1085"/>
      <c r="Z1" s="1085"/>
      <c r="AA1" s="1085"/>
      <c r="AB1" s="1085"/>
      <c r="AC1" s="1085"/>
      <c r="AD1" s="1085"/>
      <c r="AE1" s="1085"/>
      <c r="AF1" s="1085"/>
      <c r="AG1" s="1085"/>
      <c r="AH1" s="1085"/>
      <c r="AI1" s="1085"/>
      <c r="AJ1" s="1085"/>
      <c r="AK1" s="1085"/>
      <c r="AL1" s="1085"/>
      <c r="AM1" s="1085"/>
      <c r="AN1" s="1085"/>
      <c r="AO1" s="1085"/>
      <c r="AP1" s="1085"/>
      <c r="AQ1" s="1085"/>
      <c r="AR1" s="1085"/>
      <c r="AS1" s="1085"/>
      <c r="AT1" s="1085"/>
      <c r="AU1" s="1085"/>
      <c r="AV1" s="1085"/>
      <c r="AW1" s="1085"/>
      <c r="AX1" s="1085"/>
      <c r="AY1" s="1085"/>
      <c r="AZ1" s="1085"/>
      <c r="BA1" s="1085"/>
      <c r="BB1" s="1085"/>
      <c r="BC1" s="1085"/>
      <c r="BD1" s="1085"/>
      <c r="BE1" s="1085"/>
      <c r="BF1" s="1085"/>
      <c r="BG1" s="1085"/>
      <c r="BH1" s="1085"/>
      <c r="BI1" s="1085"/>
      <c r="BJ1" s="1085"/>
      <c r="BK1" s="1085"/>
      <c r="BL1" s="1085"/>
      <c r="BM1" s="1085"/>
      <c r="BN1" s="1085"/>
      <c r="BO1" s="1085"/>
      <c r="BP1" s="1085"/>
      <c r="BQ1" s="1085"/>
      <c r="BR1" s="1085"/>
      <c r="BS1" s="1"/>
      <c r="BT1" s="7"/>
    </row>
    <row r="2" spans="1:73" ht="15" thickBot="1" x14ac:dyDescent="0.35">
      <c r="A2" s="1873" t="s">
        <v>2</v>
      </c>
      <c r="B2" s="1877" t="s">
        <v>3</v>
      </c>
      <c r="C2" s="10" t="s">
        <v>4</v>
      </c>
      <c r="D2" s="10" t="s">
        <v>5</v>
      </c>
      <c r="E2" s="10" t="s">
        <v>6</v>
      </c>
      <c r="F2" s="10" t="s">
        <v>7</v>
      </c>
      <c r="G2" s="10" t="s">
        <v>8</v>
      </c>
      <c r="H2" s="11" t="s">
        <v>9</v>
      </c>
      <c r="I2" s="11" t="s">
        <v>3</v>
      </c>
      <c r="J2" s="12"/>
      <c r="K2" s="1086" t="s">
        <v>2</v>
      </c>
      <c r="L2" s="1086" t="s">
        <v>3</v>
      </c>
      <c r="M2" s="1087" t="s">
        <v>4</v>
      </c>
      <c r="N2" s="1088" t="s">
        <v>5</v>
      </c>
      <c r="O2" s="1088" t="s">
        <v>6</v>
      </c>
      <c r="P2" s="1088" t="s">
        <v>7</v>
      </c>
      <c r="Q2" s="1088" t="s">
        <v>8</v>
      </c>
      <c r="R2" s="1089" t="s">
        <v>9</v>
      </c>
      <c r="S2" s="1090" t="s">
        <v>3</v>
      </c>
      <c r="T2" s="1832"/>
      <c r="U2" s="1832"/>
      <c r="V2" s="1832"/>
      <c r="W2" s="1832"/>
      <c r="X2" s="1832"/>
      <c r="Y2" s="1832"/>
      <c r="Z2" s="1085"/>
      <c r="AA2" s="1085"/>
      <c r="AB2" s="1085"/>
      <c r="AC2" s="1085"/>
      <c r="AD2" s="1085"/>
      <c r="AE2" s="1085"/>
      <c r="AF2" s="1085"/>
      <c r="AG2" s="1085"/>
      <c r="AH2" s="1085"/>
      <c r="AI2" s="1085"/>
      <c r="AJ2" s="1085"/>
      <c r="AK2" s="1085"/>
      <c r="AL2" s="1085"/>
      <c r="AM2" s="1085"/>
      <c r="AN2" s="1085"/>
      <c r="AO2" s="1085"/>
      <c r="AP2" s="1085"/>
      <c r="AQ2" s="1085"/>
      <c r="AR2" s="1085"/>
      <c r="AS2" s="1085"/>
      <c r="AT2" s="1085"/>
      <c r="AU2" s="1085"/>
      <c r="AV2" s="1085"/>
      <c r="AW2" s="1085"/>
      <c r="AX2" s="1085"/>
      <c r="AY2" s="1085"/>
      <c r="AZ2" s="1085"/>
      <c r="BA2" s="1085"/>
      <c r="BB2" s="1085"/>
      <c r="BC2" s="1085"/>
      <c r="BD2" s="1085"/>
      <c r="BE2" s="1085"/>
      <c r="BF2" s="1085"/>
      <c r="BG2" s="1085"/>
      <c r="BH2" s="1085"/>
      <c r="BI2" s="1085"/>
      <c r="BJ2" s="1085"/>
      <c r="BK2" s="1085"/>
      <c r="BL2" s="1085"/>
      <c r="BM2" s="1085"/>
      <c r="BN2" s="1085"/>
      <c r="BO2" s="1085"/>
      <c r="BP2" s="1085"/>
      <c r="BQ2" s="1085"/>
      <c r="BR2" s="1085"/>
      <c r="BS2" s="1085"/>
      <c r="BT2" s="1"/>
      <c r="BU2" s="7"/>
    </row>
    <row r="3" spans="1:73" x14ac:dyDescent="0.3">
      <c r="A3" s="16" t="s">
        <v>10</v>
      </c>
      <c r="B3" s="1878">
        <f>SUM(T85:T90)</f>
        <v>0</v>
      </c>
      <c r="C3" s="1091">
        <f>SUM(Z85:Z90)</f>
        <v>0</v>
      </c>
      <c r="D3" s="1091">
        <f>SUM(AF85:AF90)</f>
        <v>0</v>
      </c>
      <c r="E3" s="1091">
        <f>SUM(AL85:AL90)</f>
        <v>0</v>
      </c>
      <c r="F3" s="1092">
        <f>SUM(AR85:AR90)</f>
        <v>0</v>
      </c>
      <c r="G3" s="1093">
        <f>SUM(AX85:AX90)</f>
        <v>0</v>
      </c>
      <c r="H3" s="1093">
        <f>SUM(BJ85:BJ90)</f>
        <v>0</v>
      </c>
      <c r="I3" s="1093">
        <v>0</v>
      </c>
      <c r="J3" s="12"/>
      <c r="K3" s="1094" t="s">
        <v>11</v>
      </c>
      <c r="L3" s="1274">
        <f>SUM(T28:T41)</f>
        <v>0</v>
      </c>
      <c r="M3" s="1095">
        <f>SUM(Z28:Z41)</f>
        <v>0</v>
      </c>
      <c r="N3" s="1095">
        <f>SUM(AF28:AF41)</f>
        <v>3000</v>
      </c>
      <c r="O3" s="1096">
        <f>SUM(AL28:AL41)</f>
        <v>3000</v>
      </c>
      <c r="P3" s="1096">
        <f>SUM(AR28:AR41)</f>
        <v>0</v>
      </c>
      <c r="Q3" s="1096">
        <f>SUM(AX28:AX41)</f>
        <v>0</v>
      </c>
      <c r="R3" s="1097">
        <f>SUM(BD28:BD41)</f>
        <v>0</v>
      </c>
      <c r="S3" s="1098">
        <f>SUM(BJ28:BJ41)</f>
        <v>0</v>
      </c>
      <c r="T3" s="1222"/>
      <c r="U3" s="1222"/>
      <c r="V3" s="1222"/>
      <c r="W3" s="1222"/>
      <c r="X3" s="1222"/>
      <c r="Y3" s="1222"/>
      <c r="Z3" s="1085"/>
      <c r="AA3" s="1085"/>
      <c r="AB3" s="1085"/>
      <c r="AC3" s="1085"/>
      <c r="AD3" s="1085"/>
      <c r="AE3" s="1085"/>
      <c r="AF3" s="1085"/>
      <c r="AG3" s="1085"/>
      <c r="AH3" s="1085"/>
      <c r="AI3" s="1085"/>
      <c r="AJ3" s="1085"/>
      <c r="AK3" s="1085"/>
      <c r="AL3" s="1085"/>
      <c r="AM3" s="1085"/>
      <c r="AN3" s="1085"/>
      <c r="AO3" s="1085"/>
      <c r="AP3" s="1085"/>
      <c r="AQ3" s="1085"/>
      <c r="AR3" s="1085"/>
      <c r="AS3" s="1085"/>
      <c r="AT3" s="1085"/>
      <c r="AU3" s="1085"/>
      <c r="AV3" s="1085"/>
      <c r="AW3" s="1085"/>
      <c r="AX3" s="1085"/>
      <c r="AY3" s="1085"/>
      <c r="AZ3" s="1085"/>
      <c r="BA3" s="1085"/>
      <c r="BB3" s="1085"/>
      <c r="BC3" s="1085"/>
      <c r="BD3" s="1085"/>
      <c r="BE3" s="1085"/>
      <c r="BF3" s="1085"/>
      <c r="BG3" s="1085"/>
      <c r="BH3" s="1085"/>
      <c r="BI3" s="1085"/>
      <c r="BJ3" s="1085"/>
      <c r="BK3" s="1085"/>
      <c r="BL3" s="1085"/>
      <c r="BM3" s="1085"/>
      <c r="BN3" s="1085"/>
      <c r="BO3" s="1085"/>
      <c r="BP3" s="1085"/>
      <c r="BQ3" s="1085"/>
      <c r="BR3" s="1085"/>
      <c r="BS3" s="1085"/>
      <c r="BT3" s="1"/>
      <c r="BU3" s="7"/>
    </row>
    <row r="4" spans="1:73" x14ac:dyDescent="0.3">
      <c r="A4" s="25" t="s">
        <v>12</v>
      </c>
      <c r="B4" s="1879">
        <f>SUM(U85:U90)</f>
        <v>0</v>
      </c>
      <c r="C4" s="1096">
        <f>SUM(AA85:AA90)</f>
        <v>0</v>
      </c>
      <c r="D4" s="1099">
        <f>SUM(AG85:AG90)</f>
        <v>0</v>
      </c>
      <c r="E4" s="1097">
        <f>SUM(AM85:AM90)</f>
        <v>0</v>
      </c>
      <c r="F4" s="1100">
        <f>SUM(AS85:AS90)</f>
        <v>0</v>
      </c>
      <c r="G4" s="1101">
        <f>SUM(AY85:AY90)</f>
        <v>0</v>
      </c>
      <c r="H4" s="1101">
        <v>0</v>
      </c>
      <c r="I4" s="1101">
        <f>BK85+BK86+BK87+BK88+BK89+BK90</f>
        <v>0</v>
      </c>
      <c r="J4" s="1"/>
      <c r="K4" s="1102" t="s">
        <v>13</v>
      </c>
      <c r="L4" s="1129">
        <f>SUM(V28:V41)</f>
        <v>0</v>
      </c>
      <c r="M4" s="1103">
        <f>AB34</f>
        <v>0</v>
      </c>
      <c r="N4" s="1099">
        <f>AH34</f>
        <v>0</v>
      </c>
      <c r="O4" s="1104">
        <f>AN34</f>
        <v>0</v>
      </c>
      <c r="P4" s="1099">
        <f>AT34</f>
        <v>0</v>
      </c>
      <c r="Q4" s="1099">
        <f>AZ34</f>
        <v>0</v>
      </c>
      <c r="R4" s="1105">
        <f>BF34</f>
        <v>0</v>
      </c>
      <c r="S4" s="1106">
        <f>BL34</f>
        <v>0</v>
      </c>
      <c r="T4" s="1833"/>
      <c r="U4" s="1833"/>
      <c r="V4" s="1833"/>
      <c r="W4" s="1833"/>
      <c r="X4" s="1833"/>
      <c r="Y4" s="1833"/>
      <c r="Z4" s="1085"/>
      <c r="AA4" s="1085"/>
      <c r="AB4" s="1085"/>
      <c r="AC4" s="1085"/>
      <c r="AD4" s="1085"/>
      <c r="AE4" s="1085"/>
      <c r="AF4" s="1085"/>
      <c r="AG4" s="1085"/>
      <c r="AH4" s="1085"/>
      <c r="AI4" s="1085"/>
      <c r="AJ4" s="1085"/>
      <c r="AK4" s="1085"/>
      <c r="AL4" s="1085"/>
      <c r="AM4" s="1085"/>
      <c r="AN4" s="1085"/>
      <c r="AO4" s="1085"/>
      <c r="AP4" s="1085"/>
      <c r="AQ4" s="1085"/>
      <c r="AR4" s="1085"/>
      <c r="AS4" s="1085"/>
      <c r="AT4" s="1085"/>
      <c r="AU4" s="1085"/>
      <c r="AV4" s="1085"/>
      <c r="AW4" s="1085"/>
      <c r="AX4" s="1085"/>
      <c r="AY4" s="1085"/>
      <c r="AZ4" s="1085"/>
      <c r="BA4" s="1085"/>
      <c r="BB4" s="1085"/>
      <c r="BC4" s="1085"/>
      <c r="BD4" s="1085"/>
      <c r="BE4" s="1085"/>
      <c r="BF4" s="1085"/>
      <c r="BG4" s="1085"/>
      <c r="BH4" s="1085"/>
      <c r="BI4" s="1085"/>
      <c r="BJ4" s="1085"/>
      <c r="BK4" s="1085"/>
      <c r="BL4" s="1085"/>
      <c r="BM4" s="1085"/>
      <c r="BN4" s="1085"/>
      <c r="BO4" s="1085"/>
      <c r="BP4" s="1085"/>
      <c r="BQ4" s="1085"/>
      <c r="BR4" s="1085"/>
      <c r="BS4" s="1085"/>
      <c r="BT4" s="1"/>
      <c r="BU4" s="7"/>
    </row>
    <row r="5" spans="1:73" x14ac:dyDescent="0.3">
      <c r="A5" s="35" t="s">
        <v>14</v>
      </c>
      <c r="B5" s="1880">
        <f>SUM(V85:V90)</f>
        <v>6000</v>
      </c>
      <c r="C5" s="1104">
        <f>SUM(AB85:AB90)</f>
        <v>0</v>
      </c>
      <c r="D5" s="1099">
        <f>SUM(AH85:AH90)</f>
        <v>3000</v>
      </c>
      <c r="E5" s="1105">
        <f>SUM(AN85:AN90)</f>
        <v>3000</v>
      </c>
      <c r="F5" s="1106">
        <f>SUM(AT85:AT90)</f>
        <v>0</v>
      </c>
      <c r="G5" s="1101">
        <f>SUM(AZ85:AZ90)</f>
        <v>0</v>
      </c>
      <c r="H5" s="1101">
        <f>SUM(BF85:BF90)</f>
        <v>0</v>
      </c>
      <c r="I5" s="1101">
        <f>BL85+BL86+BL87+BL88+BL89+BL90</f>
        <v>0</v>
      </c>
      <c r="J5" s="1"/>
      <c r="K5" s="1102" t="s">
        <v>15</v>
      </c>
      <c r="L5" s="1129">
        <f>SUM(U28:U41)</f>
        <v>0</v>
      </c>
      <c r="M5" s="1103">
        <f>SUM(AA28:AA41)</f>
        <v>0</v>
      </c>
      <c r="N5" s="1099">
        <f>SUM(AG28:AG41)</f>
        <v>0</v>
      </c>
      <c r="O5" s="1099">
        <f>SUM(AM28:AM41)</f>
        <v>0</v>
      </c>
      <c r="P5" s="1099">
        <f>SUM(AS28:AS41)</f>
        <v>0</v>
      </c>
      <c r="Q5" s="1099">
        <f>SUM(AY28:AY41)</f>
        <v>0</v>
      </c>
      <c r="R5" s="1105">
        <f>SUM(BE28:BE41)</f>
        <v>0</v>
      </c>
      <c r="S5" s="1106">
        <f>SUM(BK28:BK41)</f>
        <v>0</v>
      </c>
      <c r="T5" s="1833"/>
      <c r="U5" s="1833"/>
      <c r="V5" s="1833"/>
      <c r="W5" s="1833"/>
      <c r="X5" s="1833"/>
      <c r="Y5" s="1833"/>
      <c r="Z5" s="1085"/>
      <c r="AA5" s="1085"/>
      <c r="AB5" s="1085"/>
      <c r="AC5" s="1085"/>
      <c r="AD5" s="1085"/>
      <c r="AE5" s="1085"/>
      <c r="AF5" s="1085"/>
      <c r="AG5" s="1085"/>
      <c r="AH5" s="1085"/>
      <c r="AI5" s="1085"/>
      <c r="AJ5" s="1085"/>
      <c r="AK5" s="1085"/>
      <c r="AL5" s="1085"/>
      <c r="AM5" s="1085"/>
      <c r="AN5" s="1085"/>
      <c r="AO5" s="1085"/>
      <c r="AP5" s="1085"/>
      <c r="AQ5" s="1085"/>
      <c r="AR5" s="1085"/>
      <c r="AS5" s="1085"/>
      <c r="AT5" s="1085"/>
      <c r="AU5" s="1085"/>
      <c r="AV5" s="1085"/>
      <c r="AW5" s="1085"/>
      <c r="AX5" s="1085"/>
      <c r="AY5" s="1085"/>
      <c r="AZ5" s="1085"/>
      <c r="BA5" s="1085"/>
      <c r="BB5" s="1085"/>
      <c r="BC5" s="1085"/>
      <c r="BD5" s="1085"/>
      <c r="BE5" s="1085"/>
      <c r="BF5" s="1085"/>
      <c r="BG5" s="1085"/>
      <c r="BH5" s="1085"/>
      <c r="BI5" s="1085"/>
      <c r="BJ5" s="1085"/>
      <c r="BK5" s="1085"/>
      <c r="BL5" s="1085"/>
      <c r="BM5" s="1085"/>
      <c r="BN5" s="1085"/>
      <c r="BO5" s="1085"/>
      <c r="BP5" s="1085"/>
      <c r="BQ5" s="1085"/>
      <c r="BR5" s="1085"/>
      <c r="BS5" s="1085"/>
      <c r="BT5" s="1"/>
      <c r="BU5" s="7"/>
    </row>
    <row r="6" spans="1:73" ht="15" thickBot="1" x14ac:dyDescent="0.35">
      <c r="A6" s="36" t="s">
        <v>16</v>
      </c>
      <c r="B6" s="1881">
        <f>SUM(W85:W90)</f>
        <v>3000</v>
      </c>
      <c r="C6" s="1107">
        <f>SUM(AC85:AC90)</f>
        <v>3000</v>
      </c>
      <c r="D6" s="1107">
        <f>SUM(AI85:AI90)</f>
        <v>3000</v>
      </c>
      <c r="E6" s="1105">
        <f>SUM(AO85:AO90)</f>
        <v>3000</v>
      </c>
      <c r="F6" s="1108">
        <f>SUM(AU85:AU90)</f>
        <v>0</v>
      </c>
      <c r="G6" s="1109">
        <f>SUM(BA85:BA90)</f>
        <v>0</v>
      </c>
      <c r="H6" s="1109">
        <f>SUM(BG85:BG90)</f>
        <v>0</v>
      </c>
      <c r="I6" s="1109">
        <f>SUM(BM85:BM90)</f>
        <v>0</v>
      </c>
      <c r="J6" s="1"/>
      <c r="K6" s="1102" t="s">
        <v>17</v>
      </c>
      <c r="L6" s="1129">
        <f>SUM(T47:T62)</f>
        <v>0</v>
      </c>
      <c r="M6" s="1103">
        <f>SUM(Z47:Z62)</f>
        <v>0</v>
      </c>
      <c r="N6" s="1099">
        <f>SUM(AF47:AF62)</f>
        <v>0</v>
      </c>
      <c r="O6" s="1099">
        <f>SUM(AL47:AL62)</f>
        <v>0</v>
      </c>
      <c r="P6" s="1099">
        <f>SUM(AR47:AR62)</f>
        <v>0</v>
      </c>
      <c r="Q6" s="1099">
        <f>SUM(AX47:AX62)</f>
        <v>0</v>
      </c>
      <c r="R6" s="1105">
        <f>SUM(BD47:BD62)</f>
        <v>0</v>
      </c>
      <c r="S6" s="1106">
        <f>SUM(BJ47:BJ62)</f>
        <v>0</v>
      </c>
      <c r="T6" s="1833"/>
      <c r="U6" s="1833"/>
      <c r="V6" s="1833"/>
      <c r="W6" s="1833"/>
      <c r="X6" s="1833"/>
      <c r="Y6" s="1833"/>
      <c r="Z6" s="1085"/>
      <c r="AA6" s="1085"/>
      <c r="AB6" s="1085"/>
      <c r="AC6" s="1085"/>
      <c r="AD6" s="1085"/>
      <c r="AE6" s="1085"/>
      <c r="AF6" s="1085"/>
      <c r="AG6" s="1085"/>
      <c r="AH6" s="1085"/>
      <c r="AI6" s="1085"/>
      <c r="AJ6" s="1085"/>
      <c r="AK6" s="1085"/>
      <c r="AL6" s="1085"/>
      <c r="AM6" s="1085"/>
      <c r="AN6" s="1085"/>
      <c r="AO6" s="1085"/>
      <c r="AP6" s="1085"/>
      <c r="AQ6" s="1085"/>
      <c r="AR6" s="1085"/>
      <c r="AS6" s="1085"/>
      <c r="AT6" s="1085"/>
      <c r="AU6" s="1085"/>
      <c r="AV6" s="1085"/>
      <c r="AW6" s="1085"/>
      <c r="AX6" s="1085"/>
      <c r="AY6" s="1085"/>
      <c r="AZ6" s="1085"/>
      <c r="BA6" s="1085"/>
      <c r="BB6" s="1085"/>
      <c r="BC6" s="1085"/>
      <c r="BD6" s="1085"/>
      <c r="BE6" s="1085"/>
      <c r="BF6" s="1085"/>
      <c r="BG6" s="1085"/>
      <c r="BH6" s="1085"/>
      <c r="BI6" s="1085"/>
      <c r="BJ6" s="1085"/>
      <c r="BK6" s="1085"/>
      <c r="BL6" s="1085"/>
      <c r="BM6" s="1085"/>
      <c r="BN6" s="1085"/>
      <c r="BO6" s="1085"/>
      <c r="BP6" s="1085"/>
      <c r="BQ6" s="1085"/>
      <c r="BR6" s="1085"/>
      <c r="BS6" s="1085"/>
      <c r="BT6" s="1"/>
      <c r="BU6" s="7"/>
    </row>
    <row r="7" spans="1:73" ht="15" thickBot="1" x14ac:dyDescent="0.35">
      <c r="A7" s="42" t="s">
        <v>18</v>
      </c>
      <c r="B7" s="1110">
        <f t="shared" ref="B7:I7" si="0">SUM(B3:B6)</f>
        <v>9000</v>
      </c>
      <c r="C7" s="1110">
        <f t="shared" si="0"/>
        <v>3000</v>
      </c>
      <c r="D7" s="1111">
        <f t="shared" si="0"/>
        <v>6000</v>
      </c>
      <c r="E7" s="1111">
        <f t="shared" si="0"/>
        <v>6000</v>
      </c>
      <c r="F7" s="1111">
        <f t="shared" si="0"/>
        <v>0</v>
      </c>
      <c r="G7" s="1111">
        <f t="shared" si="0"/>
        <v>0</v>
      </c>
      <c r="H7" s="1111">
        <f t="shared" si="0"/>
        <v>0</v>
      </c>
      <c r="I7" s="1111">
        <f t="shared" si="0"/>
        <v>0</v>
      </c>
      <c r="J7" s="1"/>
      <c r="K7" s="1112" t="s">
        <v>19</v>
      </c>
      <c r="L7" s="1194">
        <f>SUM(V47:V62)</f>
        <v>0</v>
      </c>
      <c r="M7" s="1103">
        <f>SUM(AB47:AB62)</f>
        <v>0</v>
      </c>
      <c r="N7" s="1104">
        <f>SUM(AH47:AH62)</f>
        <v>0</v>
      </c>
      <c r="O7" s="1104">
        <f>SUM(AN47:AN62)</f>
        <v>0</v>
      </c>
      <c r="P7" s="1104">
        <f>SUM(AT47:AT62)</f>
        <v>0</v>
      </c>
      <c r="Q7" s="1099">
        <f>SUM(AZ47:AZ62)</f>
        <v>0</v>
      </c>
      <c r="R7" s="1105">
        <f>SUM(BF47:BF62)</f>
        <v>0</v>
      </c>
      <c r="S7" s="1106">
        <f>SUM(BL47:BL62)</f>
        <v>0</v>
      </c>
      <c r="T7" s="1833"/>
      <c r="U7" s="1833"/>
      <c r="V7" s="1833"/>
      <c r="W7" s="1833"/>
      <c r="X7" s="1833"/>
      <c r="Y7" s="1833"/>
      <c r="Z7" s="1085"/>
      <c r="AA7" s="1085"/>
      <c r="AB7" s="1085"/>
      <c r="AC7" s="1085"/>
      <c r="AD7" s="1085"/>
      <c r="AE7" s="1085"/>
      <c r="AF7" s="1085"/>
      <c r="AG7" s="1085"/>
      <c r="AH7" s="1085"/>
      <c r="AI7" s="1085"/>
      <c r="AJ7" s="1085"/>
      <c r="AK7" s="1085"/>
      <c r="AL7" s="1085"/>
      <c r="AM7" s="1085"/>
      <c r="AN7" s="1085"/>
      <c r="AO7" s="1085"/>
      <c r="AP7" s="1085"/>
      <c r="AQ7" s="1085"/>
      <c r="AR7" s="1085"/>
      <c r="AS7" s="1085"/>
      <c r="AT7" s="1085"/>
      <c r="AU7" s="1085"/>
      <c r="AV7" s="1085"/>
      <c r="AW7" s="1085"/>
      <c r="AX7" s="1085"/>
      <c r="AY7" s="1085"/>
      <c r="AZ7" s="1085"/>
      <c r="BA7" s="1085"/>
      <c r="BB7" s="1085"/>
      <c r="BC7" s="1085"/>
      <c r="BD7" s="1085"/>
      <c r="BE7" s="1085"/>
      <c r="BF7" s="1085"/>
      <c r="BG7" s="1085"/>
      <c r="BH7" s="1085"/>
      <c r="BI7" s="1085"/>
      <c r="BJ7" s="1085"/>
      <c r="BK7" s="1085"/>
      <c r="BL7" s="1085"/>
      <c r="BM7" s="1085"/>
      <c r="BN7" s="1085"/>
      <c r="BO7" s="1085"/>
      <c r="BP7" s="1085"/>
      <c r="BQ7" s="1085"/>
      <c r="BR7" s="1085"/>
      <c r="BS7" s="1085"/>
      <c r="BT7" s="1"/>
      <c r="BU7" s="7"/>
    </row>
    <row r="8" spans="1:73" ht="15" thickBot="1" x14ac:dyDescent="0.35">
      <c r="A8" s="47"/>
      <c r="B8" s="48"/>
      <c r="C8" s="48"/>
      <c r="D8" s="48"/>
      <c r="E8" s="48"/>
      <c r="F8" s="48"/>
      <c r="G8" s="1"/>
      <c r="H8" s="1"/>
      <c r="I8" s="1"/>
      <c r="J8" s="1"/>
      <c r="K8" s="1112" t="s">
        <v>20</v>
      </c>
      <c r="L8" s="1194">
        <f>SUM(U47:U62)</f>
        <v>0</v>
      </c>
      <c r="M8" s="1113">
        <f>SUM(AA47:AA62)</f>
        <v>3000</v>
      </c>
      <c r="N8" s="1114">
        <f>SUM(AG47:AG62)</f>
        <v>3000</v>
      </c>
      <c r="O8" s="1114">
        <f>SUM(AM47:AM62)</f>
        <v>6000</v>
      </c>
      <c r="P8" s="1114">
        <f>SUM(AS47:AS62)</f>
        <v>0</v>
      </c>
      <c r="Q8" s="1114">
        <f>SUM(AY47:AY62)</f>
        <v>0</v>
      </c>
      <c r="R8" s="1115">
        <f>SUM(BE47:BE62)</f>
        <v>0</v>
      </c>
      <c r="S8" s="1116">
        <f>SUM(BK47:BK62)</f>
        <v>0</v>
      </c>
      <c r="T8" s="1222"/>
      <c r="U8" s="1222"/>
      <c r="V8" s="1222"/>
      <c r="W8" s="1222"/>
      <c r="X8" s="1222"/>
      <c r="Y8" s="1222"/>
      <c r="Z8" s="1085"/>
      <c r="AA8" s="1085"/>
      <c r="AB8" s="1085"/>
      <c r="AC8" s="1085"/>
      <c r="AD8" s="1085"/>
      <c r="AE8" s="1085"/>
      <c r="AF8" s="1085"/>
      <c r="AG8" s="1085"/>
      <c r="AH8" s="1085"/>
      <c r="AI8" s="1085"/>
      <c r="AJ8" s="1085"/>
      <c r="AK8" s="1085"/>
      <c r="AL8" s="1085"/>
      <c r="AM8" s="1085"/>
      <c r="AN8" s="1085"/>
      <c r="AO8" s="1085"/>
      <c r="AP8" s="1085"/>
      <c r="AQ8" s="1085"/>
      <c r="AR8" s="1085"/>
      <c r="AS8" s="1085"/>
      <c r="AT8" s="1085"/>
      <c r="AU8" s="1085"/>
      <c r="AV8" s="1085"/>
      <c r="AW8" s="1085"/>
      <c r="AX8" s="1085"/>
      <c r="AY8" s="1085"/>
      <c r="AZ8" s="1085"/>
      <c r="BA8" s="1085"/>
      <c r="BB8" s="1085"/>
      <c r="BC8" s="1085"/>
      <c r="BD8" s="1085"/>
      <c r="BE8" s="1085"/>
      <c r="BF8" s="1085"/>
      <c r="BG8" s="1085"/>
      <c r="BH8" s="1085"/>
      <c r="BI8" s="1085"/>
      <c r="BJ8" s="1085"/>
      <c r="BK8" s="1085"/>
      <c r="BL8" s="1085"/>
      <c r="BM8" s="1085"/>
      <c r="BN8" s="1085"/>
      <c r="BO8" s="1085"/>
      <c r="BP8" s="1085"/>
      <c r="BQ8" s="1085"/>
      <c r="BR8" s="1085"/>
      <c r="BS8" s="1085"/>
      <c r="BT8" s="1"/>
      <c r="BU8" s="7"/>
    </row>
    <row r="9" spans="1:73" ht="15" thickBot="1" x14ac:dyDescent="0.35">
      <c r="A9" s="2736" t="s">
        <v>21</v>
      </c>
      <c r="B9" s="2737"/>
      <c r="C9" s="2737"/>
      <c r="D9" s="2738"/>
      <c r="E9" s="53"/>
      <c r="F9" s="54"/>
      <c r="G9" s="55"/>
      <c r="H9" s="55"/>
      <c r="I9" s="1"/>
      <c r="J9" s="1"/>
      <c r="K9" s="1102" t="s">
        <v>309</v>
      </c>
      <c r="L9" s="1129">
        <f>SUM(W28:W41)</f>
        <v>0</v>
      </c>
      <c r="M9" s="1113">
        <f>SUM(AC28:AC41)</f>
        <v>0</v>
      </c>
      <c r="N9" s="1114">
        <f>SUM(AI28:AI41)</f>
        <v>0</v>
      </c>
      <c r="O9" s="1114">
        <v>0</v>
      </c>
      <c r="P9" s="1114">
        <f>SUM(AU28:AU41)</f>
        <v>0</v>
      </c>
      <c r="Q9" s="1114">
        <f>SUM(BA28:BA41)</f>
        <v>0</v>
      </c>
      <c r="R9" s="1115">
        <f>SUM(BG28:BG41)</f>
        <v>0</v>
      </c>
      <c r="S9" s="1117">
        <f>SUM(BM28:BM41)</f>
        <v>0</v>
      </c>
      <c r="Z9" s="1085"/>
      <c r="AA9" s="1085"/>
      <c r="AB9" s="1085"/>
      <c r="AC9" s="1085"/>
      <c r="AD9" s="1085"/>
      <c r="AE9" s="1085"/>
      <c r="AF9" s="1085"/>
      <c r="AG9" s="1085"/>
      <c r="AH9" s="1085"/>
      <c r="AI9" s="1085"/>
      <c r="AJ9" s="1085"/>
      <c r="AK9" s="1085"/>
      <c r="AL9" s="1085"/>
      <c r="AM9" s="1085"/>
      <c r="AN9" s="1085"/>
      <c r="AO9" s="1085"/>
      <c r="AP9" s="1085"/>
      <c r="AQ9" s="1085"/>
      <c r="AR9" s="1085"/>
      <c r="AS9" s="1085"/>
      <c r="AT9" s="1085"/>
      <c r="AU9" s="1085"/>
      <c r="AV9" s="1085"/>
      <c r="AW9" s="1085"/>
      <c r="AX9" s="1085"/>
      <c r="AY9" s="1085"/>
      <c r="AZ9" s="1085"/>
      <c r="BA9" s="1085"/>
      <c r="BB9" s="1085"/>
      <c r="BC9" s="1085"/>
      <c r="BD9" s="1085"/>
      <c r="BE9" s="1085"/>
      <c r="BF9" s="1085"/>
      <c r="BG9" s="1085"/>
      <c r="BH9" s="1085"/>
      <c r="BI9" s="1085"/>
      <c r="BJ9" s="1085"/>
      <c r="BK9" s="1085"/>
      <c r="BL9" s="1085"/>
      <c r="BM9" s="1085"/>
      <c r="BN9" s="1085"/>
      <c r="BO9" s="1085"/>
      <c r="BP9" s="1085"/>
      <c r="BQ9" s="1085"/>
      <c r="BR9" s="1085"/>
      <c r="BS9" s="1085"/>
      <c r="BT9" s="1"/>
      <c r="BU9" s="7"/>
    </row>
    <row r="10" spans="1:73" ht="15" thickBot="1" x14ac:dyDescent="0.35">
      <c r="A10" s="60" t="s">
        <v>2</v>
      </c>
      <c r="B10" s="1877" t="s">
        <v>3</v>
      </c>
      <c r="C10" s="10" t="s">
        <v>4</v>
      </c>
      <c r="D10" s="10" t="s">
        <v>5</v>
      </c>
      <c r="E10" s="10" t="s">
        <v>6</v>
      </c>
      <c r="F10" s="10" t="s">
        <v>7</v>
      </c>
      <c r="G10" s="10" t="s">
        <v>8</v>
      </c>
      <c r="H10" s="11" t="s">
        <v>9</v>
      </c>
      <c r="I10" s="11" t="s">
        <v>3</v>
      </c>
      <c r="J10" s="1"/>
      <c r="K10" s="1102"/>
      <c r="L10" s="1129"/>
      <c r="M10" s="1113"/>
      <c r="N10" s="1118"/>
      <c r="O10" s="1118"/>
      <c r="P10" s="1118"/>
      <c r="Q10" s="1118"/>
      <c r="R10" s="1119"/>
      <c r="S10" s="1117"/>
      <c r="Z10" s="1085"/>
      <c r="AA10" s="1085"/>
      <c r="AB10" s="1085"/>
      <c r="AC10" s="1085"/>
      <c r="AD10" s="1085"/>
      <c r="AE10" s="1085"/>
      <c r="AF10" s="1085"/>
      <c r="AG10" s="1085"/>
      <c r="AH10" s="1085"/>
      <c r="AI10" s="1085"/>
      <c r="AJ10" s="1085"/>
      <c r="AK10" s="1085"/>
      <c r="AL10" s="1085"/>
      <c r="AM10" s="1085"/>
      <c r="AN10" s="1085"/>
      <c r="AO10" s="1085"/>
      <c r="AP10" s="1085"/>
      <c r="AQ10" s="1085"/>
      <c r="AR10" s="1085"/>
      <c r="AS10" s="1085"/>
      <c r="AT10" s="1085"/>
      <c r="AU10" s="1085"/>
      <c r="AV10" s="1085"/>
      <c r="AW10" s="1085"/>
      <c r="AX10" s="1085"/>
      <c r="AY10" s="1085"/>
      <c r="AZ10" s="1085"/>
      <c r="BA10" s="1085"/>
      <c r="BB10" s="1085"/>
      <c r="BC10" s="1085"/>
      <c r="BD10" s="1085"/>
      <c r="BE10" s="1085"/>
      <c r="BF10" s="1085"/>
      <c r="BG10" s="1085"/>
      <c r="BH10" s="1085"/>
      <c r="BI10" s="1085"/>
      <c r="BJ10" s="1085"/>
      <c r="BK10" s="1085"/>
      <c r="BL10" s="1085"/>
      <c r="BM10" s="1085"/>
      <c r="BN10" s="1085"/>
      <c r="BO10" s="1085"/>
      <c r="BP10" s="1085"/>
      <c r="BQ10" s="1085"/>
      <c r="BR10" s="1085"/>
      <c r="BS10" s="1085"/>
      <c r="BT10" s="1"/>
      <c r="BU10" s="7"/>
    </row>
    <row r="11" spans="1:73" ht="15" thickBot="1" x14ac:dyDescent="0.35">
      <c r="A11" s="64" t="s">
        <v>22</v>
      </c>
      <c r="B11" s="1882">
        <f>SUM(T94:T136)</f>
        <v>0</v>
      </c>
      <c r="C11" s="1120">
        <f>SUM(Z94:Z136)</f>
        <v>0</v>
      </c>
      <c r="D11" s="1121">
        <f>SUM(AF94:AF136)</f>
        <v>6000</v>
      </c>
      <c r="E11" s="1121">
        <f>SUM(AL94:AL136)</f>
        <v>3000</v>
      </c>
      <c r="F11" s="1121">
        <f>SUM(AR94:AR136)</f>
        <v>0</v>
      </c>
      <c r="G11" s="1122">
        <f>SUM(AX94:AX136)</f>
        <v>0</v>
      </c>
      <c r="H11" s="1122">
        <f>SUM(BD94:BD136)</f>
        <v>0</v>
      </c>
      <c r="I11" s="1122">
        <f>SUM(BJ94:BJ136)</f>
        <v>0</v>
      </c>
      <c r="J11" s="1"/>
      <c r="K11" s="1123"/>
      <c r="L11" s="1871"/>
      <c r="M11" s="1113"/>
      <c r="N11" s="1118"/>
      <c r="O11" s="1118"/>
      <c r="P11" s="1118"/>
      <c r="Q11" s="1118"/>
      <c r="R11" s="1124"/>
      <c r="S11" s="1125"/>
      <c r="Z11" s="1085"/>
      <c r="AA11" s="1085"/>
      <c r="AB11" s="1085"/>
      <c r="AC11" s="1085"/>
      <c r="AD11" s="1085"/>
      <c r="AE11" s="1085"/>
      <c r="AF11" s="1085"/>
      <c r="AG11" s="1085"/>
      <c r="AH11" s="1085"/>
      <c r="AI11" s="1085"/>
      <c r="AJ11" s="1085"/>
      <c r="AK11" s="1085"/>
      <c r="AL11" s="1085"/>
      <c r="AM11" s="1085"/>
      <c r="AN11" s="1085"/>
      <c r="AO11" s="1085"/>
      <c r="AP11" s="1085"/>
      <c r="AQ11" s="1085"/>
      <c r="AR11" s="1085"/>
      <c r="AS11" s="1085"/>
      <c r="AT11" s="1085"/>
      <c r="AU11" s="1085"/>
      <c r="AV11" s="1085"/>
      <c r="AW11" s="1085"/>
      <c r="AX11" s="1085"/>
      <c r="AY11" s="1085"/>
      <c r="AZ11" s="1085"/>
      <c r="BA11" s="1085"/>
      <c r="BB11" s="1085"/>
      <c r="BC11" s="1085"/>
      <c r="BD11" s="1085"/>
      <c r="BE11" s="1085"/>
      <c r="BF11" s="1085"/>
      <c r="BG11" s="1085"/>
      <c r="BH11" s="1085"/>
      <c r="BI11" s="1085"/>
      <c r="BJ11" s="1085"/>
      <c r="BK11" s="1085"/>
      <c r="BL11" s="1085"/>
      <c r="BM11" s="1085"/>
      <c r="BN11" s="1085"/>
      <c r="BO11" s="1085"/>
      <c r="BP11" s="1085"/>
      <c r="BQ11" s="1085"/>
      <c r="BR11" s="1085"/>
      <c r="BS11" s="1085"/>
      <c r="BT11" s="1"/>
      <c r="BU11" s="7"/>
    </row>
    <row r="12" spans="1:73" ht="15" thickBot="1" x14ac:dyDescent="0.35">
      <c r="A12" s="71" t="s">
        <v>23</v>
      </c>
      <c r="B12" s="1883">
        <f>SUM(U94:U136)</f>
        <v>0</v>
      </c>
      <c r="C12" s="1126">
        <f>SUM(AA94:AA136)</f>
        <v>0</v>
      </c>
      <c r="D12" s="1127">
        <f>SUM(AG94:AG136)</f>
        <v>6000</v>
      </c>
      <c r="E12" s="1128">
        <f>SUM(AM94:AM136)</f>
        <v>3000</v>
      </c>
      <c r="F12" s="1128">
        <f>SUM(AS94:AS136)</f>
        <v>0</v>
      </c>
      <c r="G12" s="1101">
        <f>SUM(AY94:AY136)</f>
        <v>0</v>
      </c>
      <c r="H12" s="1129">
        <f>SUM(BE94:BE136)</f>
        <v>0</v>
      </c>
      <c r="I12" s="1101">
        <f>SUM(BK94:BK136)</f>
        <v>0</v>
      </c>
      <c r="J12" s="1"/>
      <c r="K12" s="1130" t="s">
        <v>18</v>
      </c>
      <c r="L12" s="1110">
        <f>SUM(L3:L9)</f>
        <v>0</v>
      </c>
      <c r="M12" s="1110">
        <f t="shared" ref="M12:S12" si="1">SUM(M3:M9)</f>
        <v>3000</v>
      </c>
      <c r="N12" s="1110">
        <f t="shared" si="1"/>
        <v>6000</v>
      </c>
      <c r="O12" s="1110">
        <f t="shared" si="1"/>
        <v>9000</v>
      </c>
      <c r="P12" s="1110">
        <f t="shared" si="1"/>
        <v>0</v>
      </c>
      <c r="Q12" s="1110">
        <f t="shared" si="1"/>
        <v>0</v>
      </c>
      <c r="R12" s="1110">
        <f t="shared" si="1"/>
        <v>0</v>
      </c>
      <c r="S12" s="1110">
        <f t="shared" si="1"/>
        <v>0</v>
      </c>
      <c r="T12" s="1222"/>
      <c r="U12" s="1222"/>
      <c r="V12" s="1222"/>
      <c r="W12" s="1222"/>
      <c r="X12" s="1222"/>
      <c r="Y12" s="1222"/>
      <c r="Z12" s="1085"/>
      <c r="AA12" s="1085"/>
      <c r="AB12" s="1085"/>
      <c r="AC12" s="1085"/>
      <c r="AD12" s="1085"/>
      <c r="AE12" s="1085"/>
      <c r="AF12" s="1085"/>
      <c r="AG12" s="1085"/>
      <c r="AH12" s="1085"/>
      <c r="AI12" s="1085"/>
      <c r="AJ12" s="1085"/>
      <c r="AK12" s="1085"/>
      <c r="AL12" s="1085"/>
      <c r="AM12" s="1085"/>
      <c r="AN12" s="1085"/>
      <c r="AO12" s="1085"/>
      <c r="AP12" s="1085"/>
      <c r="AQ12" s="1085"/>
      <c r="AR12" s="1085"/>
      <c r="AS12" s="1085"/>
      <c r="AT12" s="1085"/>
      <c r="AU12" s="1085"/>
      <c r="AV12" s="1085"/>
      <c r="AW12" s="1085"/>
      <c r="AX12" s="1085"/>
      <c r="AY12" s="1085"/>
      <c r="AZ12" s="1085"/>
      <c r="BA12" s="1085"/>
      <c r="BB12" s="1085"/>
      <c r="BC12" s="1085"/>
      <c r="BD12" s="1085"/>
      <c r="BE12" s="1085"/>
      <c r="BF12" s="1085"/>
      <c r="BG12" s="1085"/>
      <c r="BH12" s="1085"/>
      <c r="BI12" s="1085"/>
      <c r="BJ12" s="1085"/>
      <c r="BK12" s="1085"/>
      <c r="BL12" s="1085"/>
      <c r="BM12" s="1085"/>
      <c r="BN12" s="1085"/>
      <c r="BO12" s="1085"/>
      <c r="BP12" s="1085"/>
      <c r="BQ12" s="1085"/>
      <c r="BR12" s="1085"/>
      <c r="BS12" s="1085"/>
      <c r="BT12" s="1"/>
      <c r="BU12" s="7"/>
    </row>
    <row r="13" spans="1:73" ht="15" thickBot="1" x14ac:dyDescent="0.35">
      <c r="A13" s="76" t="s">
        <v>24</v>
      </c>
      <c r="B13" s="1884">
        <f>SUM(V94:V136)</f>
        <v>3000</v>
      </c>
      <c r="C13" s="1131">
        <f>SUM(AB94:AB136)</f>
        <v>6000</v>
      </c>
      <c r="D13" s="1132">
        <f>SUM(AH94:AH136)</f>
        <v>9000</v>
      </c>
      <c r="E13" s="1127">
        <f>SUM(AN94:AN136)</f>
        <v>3000</v>
      </c>
      <c r="F13" s="1128">
        <f>SUM(AT94:AT136)</f>
        <v>0</v>
      </c>
      <c r="G13" s="1101">
        <f>SUM(AZ94:AZ136)</f>
        <v>0</v>
      </c>
      <c r="H13" s="1101">
        <f>SUM(BF94:BF136)</f>
        <v>0</v>
      </c>
      <c r="I13" s="1101">
        <f>SUM(BL94:BL136)</f>
        <v>0</v>
      </c>
      <c r="J13" s="1"/>
      <c r="K13" s="1133"/>
      <c r="L13" s="1085"/>
      <c r="M13" s="1085"/>
      <c r="N13" s="1085"/>
      <c r="O13" s="1085"/>
      <c r="P13" s="1085"/>
      <c r="Q13" s="1133"/>
      <c r="R13" s="1085"/>
      <c r="S13" s="1085"/>
      <c r="Z13" s="1085"/>
      <c r="AA13" s="1085"/>
      <c r="AB13" s="1085"/>
      <c r="AC13" s="1085"/>
      <c r="AD13" s="1085"/>
      <c r="AE13" s="1085"/>
      <c r="AF13" s="1085"/>
      <c r="AG13" s="1085"/>
      <c r="AH13" s="1085"/>
      <c r="AI13" s="1085"/>
      <c r="AJ13" s="1085"/>
      <c r="AK13" s="1085"/>
      <c r="AL13" s="1085"/>
      <c r="AM13" s="1085"/>
      <c r="AN13" s="1085"/>
      <c r="AO13" s="1085"/>
      <c r="AP13" s="1085"/>
      <c r="AQ13" s="1085"/>
      <c r="AR13" s="1085"/>
      <c r="AS13" s="1085"/>
      <c r="AT13" s="1085"/>
      <c r="AU13" s="1085"/>
      <c r="AV13" s="1085"/>
      <c r="AW13" s="1085"/>
      <c r="AX13" s="1085"/>
      <c r="AY13" s="1085"/>
      <c r="AZ13" s="1085"/>
      <c r="BA13" s="1085"/>
      <c r="BB13" s="1085"/>
      <c r="BC13" s="1085"/>
      <c r="BD13" s="1085"/>
      <c r="BE13" s="1085"/>
      <c r="BF13" s="1085"/>
      <c r="BG13" s="1085"/>
      <c r="BH13" s="1085"/>
      <c r="BI13" s="1085"/>
      <c r="BJ13" s="1085"/>
      <c r="BK13" s="1085"/>
      <c r="BL13" s="1085"/>
      <c r="BM13" s="1085"/>
      <c r="BN13" s="1085"/>
      <c r="BO13" s="1085"/>
      <c r="BP13" s="1085"/>
      <c r="BQ13" s="1085"/>
      <c r="BR13" s="1085"/>
      <c r="BS13" s="1085"/>
      <c r="BT13" s="1"/>
      <c r="BU13" s="7"/>
    </row>
    <row r="14" spans="1:73" ht="16.2" thickBot="1" x14ac:dyDescent="0.35">
      <c r="A14" s="76" t="s">
        <v>25</v>
      </c>
      <c r="B14" s="1884">
        <f>SUM(W94:W136)</f>
        <v>3000</v>
      </c>
      <c r="C14" s="1131">
        <f>SUM(AC94:AC136)</f>
        <v>6000</v>
      </c>
      <c r="D14" s="1132">
        <f>SUM(AI94:AI136)</f>
        <v>3000</v>
      </c>
      <c r="E14" s="1128">
        <f>AO112+AO115</f>
        <v>0</v>
      </c>
      <c r="F14" s="1127">
        <f>SUM(AU94:AU136)</f>
        <v>0</v>
      </c>
      <c r="G14" s="1101">
        <f>SUM(BA94:BA136)</f>
        <v>0</v>
      </c>
      <c r="H14" s="1101">
        <f>SUM(BG94:BG136)</f>
        <v>0</v>
      </c>
      <c r="I14" s="1101">
        <f>SUM(BM94:BM136)</f>
        <v>0</v>
      </c>
      <c r="J14" s="1"/>
      <c r="K14" s="1081" t="s">
        <v>292</v>
      </c>
      <c r="L14" s="1826"/>
      <c r="M14" s="1082"/>
      <c r="N14" s="1083"/>
      <c r="O14" s="1084"/>
      <c r="P14" s="1085"/>
      <c r="Q14" s="1085"/>
      <c r="R14" s="1085"/>
      <c r="S14" s="1085"/>
      <c r="Z14" s="1085"/>
      <c r="AA14" s="1085"/>
      <c r="AB14" s="1085"/>
      <c r="AC14" s="1085"/>
      <c r="AD14" s="1085"/>
      <c r="AE14" s="1085"/>
      <c r="AF14" s="1085"/>
      <c r="AG14" s="1085"/>
      <c r="AH14" s="1085"/>
      <c r="AI14" s="1085"/>
      <c r="AJ14" s="1085"/>
      <c r="AK14" s="1085"/>
      <c r="AL14" s="1085"/>
      <c r="AM14" s="1085"/>
      <c r="AN14" s="1085"/>
      <c r="AO14" s="1085"/>
      <c r="AP14" s="1085"/>
      <c r="AQ14" s="1085"/>
      <c r="AR14" s="1085"/>
      <c r="AS14" s="1085"/>
      <c r="AT14" s="1085"/>
      <c r="AU14" s="1085"/>
      <c r="AV14" s="1085"/>
      <c r="AW14" s="1085"/>
      <c r="AX14" s="1085"/>
      <c r="AY14" s="1085"/>
      <c r="AZ14" s="1085"/>
      <c r="BA14" s="1085"/>
      <c r="BB14" s="1085"/>
      <c r="BC14" s="1085"/>
      <c r="BD14" s="1085"/>
      <c r="BE14" s="1085"/>
      <c r="BF14" s="1085"/>
      <c r="BG14" s="1085"/>
      <c r="BH14" s="1085"/>
      <c r="BI14" s="1085"/>
      <c r="BJ14" s="1085"/>
      <c r="BK14" s="1085"/>
      <c r="BL14" s="1085"/>
      <c r="BM14" s="1085"/>
      <c r="BN14" s="1085"/>
      <c r="BO14" s="1085"/>
      <c r="BP14" s="1085"/>
      <c r="BQ14" s="1085"/>
      <c r="BR14" s="1085"/>
      <c r="BS14" s="1085"/>
      <c r="BT14" s="1"/>
    </row>
    <row r="15" spans="1:73" ht="15" thickBot="1" x14ac:dyDescent="0.35">
      <c r="A15" s="81" t="s">
        <v>27</v>
      </c>
      <c r="B15" s="1803">
        <f>SUM(X94:X136)</f>
        <v>15000</v>
      </c>
      <c r="C15" s="1134">
        <f>SUM(AD94:AD136)</f>
        <v>12000</v>
      </c>
      <c r="D15" s="1134">
        <f>SUM(AJ94:AJ136)</f>
        <v>24000</v>
      </c>
      <c r="E15" s="1134">
        <f>SUM(AP94:AP136)</f>
        <v>6000</v>
      </c>
      <c r="F15" s="1135">
        <f>SUM(AV94:AV136)</f>
        <v>0</v>
      </c>
      <c r="G15" s="1100">
        <f>SUM(BB94:BB136)</f>
        <v>0</v>
      </c>
      <c r="H15" s="1100">
        <f>SUM(BH94:BH136)</f>
        <v>0</v>
      </c>
      <c r="I15" s="1100">
        <f>SUM(BN94:BN136)</f>
        <v>0</v>
      </c>
      <c r="J15" s="1"/>
      <c r="K15" s="1086" t="s">
        <v>2</v>
      </c>
      <c r="L15" s="1086" t="s">
        <v>3</v>
      </c>
      <c r="M15" s="1087" t="s">
        <v>4</v>
      </c>
      <c r="N15" s="1088" t="s">
        <v>5</v>
      </c>
      <c r="O15" s="1088" t="s">
        <v>6</v>
      </c>
      <c r="P15" s="1088" t="s">
        <v>7</v>
      </c>
      <c r="Q15" s="1088" t="s">
        <v>8</v>
      </c>
      <c r="R15" s="1089" t="s">
        <v>9</v>
      </c>
      <c r="S15" s="1090" t="s">
        <v>3</v>
      </c>
      <c r="T15" s="1832"/>
      <c r="U15" s="1832"/>
      <c r="V15" s="1832"/>
      <c r="W15" s="1832"/>
      <c r="X15" s="1832"/>
      <c r="Y15" s="1832"/>
      <c r="Z15" s="1085"/>
      <c r="AA15" s="1085"/>
      <c r="AB15" s="1085"/>
      <c r="AC15" s="1085"/>
      <c r="AD15" s="1085"/>
      <c r="AE15" s="1085"/>
      <c r="AF15" s="1085"/>
      <c r="AG15" s="1085"/>
      <c r="AH15" s="1085"/>
      <c r="AI15" s="1085"/>
      <c r="AJ15" s="1085"/>
      <c r="AK15" s="1085"/>
      <c r="AL15" s="1085"/>
      <c r="AM15" s="1085"/>
      <c r="AN15" s="1085"/>
      <c r="AO15" s="1085"/>
      <c r="AP15" s="1085"/>
      <c r="AQ15" s="1085"/>
      <c r="AR15" s="1085"/>
      <c r="AS15" s="1085"/>
      <c r="AT15" s="1085"/>
      <c r="AU15" s="1085"/>
      <c r="AV15" s="1085"/>
      <c r="AW15" s="1085"/>
      <c r="AX15" s="1085"/>
      <c r="AY15" s="1085"/>
      <c r="AZ15" s="1085"/>
      <c r="BA15" s="1085"/>
      <c r="BB15" s="1085"/>
      <c r="BC15" s="1085"/>
      <c r="BD15" s="1085"/>
      <c r="BE15" s="1085"/>
      <c r="BF15" s="1085"/>
      <c r="BG15" s="1085"/>
      <c r="BH15" s="1085"/>
      <c r="BI15" s="1085"/>
      <c r="BJ15" s="1085"/>
      <c r="BK15" s="1085"/>
      <c r="BL15" s="1085"/>
      <c r="BM15" s="1085"/>
      <c r="BN15" s="1085"/>
      <c r="BO15" s="1085"/>
      <c r="BP15" s="1085"/>
      <c r="BQ15" s="1085"/>
      <c r="BR15" s="1085"/>
      <c r="BS15" s="1085"/>
      <c r="BT15" s="1"/>
      <c r="BU15" s="7"/>
    </row>
    <row r="16" spans="1:73" ht="15" thickBot="1" x14ac:dyDescent="0.35">
      <c r="A16" s="75" t="s">
        <v>18</v>
      </c>
      <c r="B16" s="1136">
        <f t="shared" ref="B16:I16" si="2">SUM(B11:B15)</f>
        <v>21000</v>
      </c>
      <c r="C16" s="1136">
        <f t="shared" si="2"/>
        <v>24000</v>
      </c>
      <c r="D16" s="1137">
        <f t="shared" si="2"/>
        <v>48000</v>
      </c>
      <c r="E16" s="1138">
        <f t="shared" si="2"/>
        <v>15000</v>
      </c>
      <c r="F16" s="1138">
        <f t="shared" si="2"/>
        <v>0</v>
      </c>
      <c r="G16" s="1111">
        <f t="shared" si="2"/>
        <v>0</v>
      </c>
      <c r="H16" s="1111">
        <f t="shared" si="2"/>
        <v>0</v>
      </c>
      <c r="I16" s="1111">
        <f t="shared" si="2"/>
        <v>0</v>
      </c>
      <c r="J16" s="1"/>
      <c r="K16" s="1094" t="s">
        <v>293</v>
      </c>
      <c r="L16" s="1274">
        <f>SUM(T66:T77)</f>
        <v>0</v>
      </c>
      <c r="M16" s="1095">
        <f>SUM(Z66:Z77)</f>
        <v>0</v>
      </c>
      <c r="N16" s="1095">
        <f>SUM(AF66:AF77)</f>
        <v>0</v>
      </c>
      <c r="O16" s="1096">
        <f>SUM(AL66:AL77)</f>
        <v>0</v>
      </c>
      <c r="P16" s="1096">
        <f>SUM(AR66:AR77)</f>
        <v>0</v>
      </c>
      <c r="Q16" s="1096">
        <f>SUM(AX66:AX77)</f>
        <v>0</v>
      </c>
      <c r="R16" s="1097">
        <f>SUM(BD66:BD77)</f>
        <v>0</v>
      </c>
      <c r="S16" s="1098">
        <f>SUM(BJ66:BJ77)</f>
        <v>0</v>
      </c>
      <c r="T16" s="1222"/>
      <c r="U16" s="1222"/>
      <c r="V16" s="1222"/>
      <c r="W16" s="1222"/>
      <c r="X16" s="1222"/>
      <c r="Y16" s="1222"/>
      <c r="Z16" s="1085"/>
      <c r="AA16" s="1085"/>
      <c r="AB16" s="1085"/>
      <c r="AC16" s="1085"/>
      <c r="AD16" s="1085"/>
      <c r="AE16" s="1085"/>
      <c r="AF16" s="1085"/>
      <c r="AG16" s="1085"/>
      <c r="AH16" s="1085"/>
      <c r="AI16" s="1085"/>
      <c r="AJ16" s="1085"/>
      <c r="AK16" s="1085"/>
      <c r="AL16" s="1085"/>
      <c r="AM16" s="1085"/>
      <c r="AN16" s="1085"/>
      <c r="AO16" s="1085"/>
      <c r="AP16" s="1085"/>
      <c r="AQ16" s="1085"/>
      <c r="AR16" s="1085"/>
      <c r="AS16" s="1085"/>
      <c r="AT16" s="1085"/>
      <c r="AU16" s="1085"/>
      <c r="AV16" s="1085"/>
      <c r="AW16" s="1085"/>
      <c r="AX16" s="1085"/>
      <c r="AY16" s="1085"/>
      <c r="AZ16" s="1085"/>
      <c r="BA16" s="1085"/>
      <c r="BB16" s="1085"/>
      <c r="BC16" s="1085"/>
      <c r="BD16" s="1085"/>
      <c r="BE16" s="1085"/>
      <c r="BF16" s="1085"/>
      <c r="BG16" s="1085"/>
      <c r="BH16" s="1085"/>
      <c r="BI16" s="1085"/>
      <c r="BJ16" s="1085"/>
      <c r="BK16" s="1085"/>
      <c r="BL16" s="1085"/>
      <c r="BM16" s="1085"/>
      <c r="BN16" s="1085"/>
      <c r="BO16" s="1085"/>
      <c r="BP16" s="1085"/>
      <c r="BQ16" s="1085"/>
      <c r="BR16" s="1085"/>
      <c r="BS16" s="1085"/>
      <c r="BT16" s="1"/>
      <c r="BU16" s="7"/>
    </row>
    <row r="17" spans="1:72" ht="15" thickBot="1" x14ac:dyDescent="0.35">
      <c r="A17" s="87"/>
      <c r="B17" s="87"/>
      <c r="C17" s="1139"/>
      <c r="D17" s="1139"/>
      <c r="E17" s="1139"/>
      <c r="F17" s="1139"/>
      <c r="G17" s="1140"/>
      <c r="H17" s="1085"/>
      <c r="I17" s="1085"/>
      <c r="J17" s="795" t="s">
        <v>281</v>
      </c>
      <c r="K17" s="1102" t="s">
        <v>294</v>
      </c>
      <c r="L17" s="1129">
        <f>SUM(U66:U77)</f>
        <v>0</v>
      </c>
      <c r="M17" s="1103">
        <f>SUM(AA66:AA77)</f>
        <v>0</v>
      </c>
      <c r="N17" s="1099">
        <f>SUM(AG66:AG77)</f>
        <v>0</v>
      </c>
      <c r="O17" s="1104">
        <f>SUM(AM66:AM77)</f>
        <v>0</v>
      </c>
      <c r="P17" s="1099">
        <f>SUM(AS66:AS77)</f>
        <v>0</v>
      </c>
      <c r="Q17" s="1096">
        <f>SUM(AY66:AY77)</f>
        <v>0</v>
      </c>
      <c r="R17" s="1097">
        <f>SUM(BE66:BE77)</f>
        <v>0</v>
      </c>
      <c r="S17" s="1098">
        <f>SUM(BK66:BK77)</f>
        <v>0</v>
      </c>
      <c r="T17" s="1222"/>
      <c r="U17" s="1222"/>
      <c r="V17" s="1222"/>
      <c r="W17" s="1222"/>
      <c r="X17" s="1222"/>
      <c r="Y17" s="1222"/>
      <c r="Z17" s="1085"/>
      <c r="AA17" s="1085"/>
      <c r="AB17" s="1085"/>
      <c r="AC17" s="1085"/>
      <c r="AD17" s="1085"/>
      <c r="AE17" s="1085"/>
      <c r="AF17" s="1085"/>
      <c r="AG17" s="1085"/>
      <c r="AH17" s="1085"/>
      <c r="AI17" s="1085"/>
      <c r="AJ17" s="1085"/>
      <c r="AK17" s="1085"/>
      <c r="AL17" s="1085"/>
      <c r="AM17" s="1085"/>
      <c r="AN17" s="1085"/>
      <c r="AO17" s="1085"/>
      <c r="AP17" s="1085"/>
      <c r="AQ17" s="1085"/>
      <c r="AR17" s="1085"/>
      <c r="AS17" s="1085"/>
      <c r="AT17" s="1085"/>
      <c r="AU17" s="1085"/>
      <c r="AV17" s="1085"/>
      <c r="AW17" s="1085"/>
      <c r="AX17" s="1085"/>
      <c r="AY17" s="1085"/>
      <c r="AZ17" s="1085"/>
      <c r="BA17" s="1085"/>
      <c r="BB17" s="1085"/>
      <c r="BC17" s="1085"/>
      <c r="BD17" s="1085"/>
      <c r="BE17" s="1085"/>
      <c r="BF17" s="1085"/>
      <c r="BG17" s="1085"/>
      <c r="BH17" s="1085"/>
      <c r="BI17" s="1085"/>
      <c r="BJ17" s="1085"/>
      <c r="BK17" s="1085"/>
      <c r="BL17" s="1085"/>
      <c r="BM17" s="1085"/>
      <c r="BN17" s="1085"/>
      <c r="BO17" s="1085"/>
      <c r="BP17" s="1085"/>
      <c r="BQ17" s="1085"/>
      <c r="BR17" s="1085"/>
      <c r="BS17" s="1085"/>
      <c r="BT17" s="1"/>
    </row>
    <row r="18" spans="1:72" ht="15.6" thickTop="1" thickBot="1" x14ac:dyDescent="0.35">
      <c r="A18" s="1025" t="s">
        <v>26</v>
      </c>
      <c r="B18" s="1141">
        <f>B7+B16+L12+L25</f>
        <v>30000</v>
      </c>
      <c r="C18" s="1141">
        <f t="shared" ref="C18:I18" si="3">C7+C16+M12</f>
        <v>30000</v>
      </c>
      <c r="D18" s="1141">
        <f t="shared" si="3"/>
        <v>60000</v>
      </c>
      <c r="E18" s="1141">
        <f t="shared" si="3"/>
        <v>30000</v>
      </c>
      <c r="F18" s="1141">
        <f t="shared" si="3"/>
        <v>0</v>
      </c>
      <c r="G18" s="1141">
        <f t="shared" si="3"/>
        <v>0</v>
      </c>
      <c r="H18" s="1141">
        <f t="shared" si="3"/>
        <v>0</v>
      </c>
      <c r="I18" s="1141">
        <f t="shared" si="3"/>
        <v>0</v>
      </c>
      <c r="J18" s="1027">
        <f>SUM(B18:I18)</f>
        <v>150000</v>
      </c>
      <c r="K18" s="1102" t="s">
        <v>295</v>
      </c>
      <c r="L18" s="1129">
        <f>SUM(V66:V77)</f>
        <v>0</v>
      </c>
      <c r="M18" s="1103">
        <f>SUM(AB66:AB77)</f>
        <v>0</v>
      </c>
      <c r="N18" s="1099">
        <f>SUM(AH66:AH77)</f>
        <v>0</v>
      </c>
      <c r="O18" s="1099">
        <f>SUM(AN66:AN77)</f>
        <v>0</v>
      </c>
      <c r="P18" s="1099">
        <f>SUM(AT66:AT77)</f>
        <v>0</v>
      </c>
      <c r="Q18" s="1096">
        <f>SUM(AZ66:AZ77)</f>
        <v>0</v>
      </c>
      <c r="R18" s="1105">
        <f>SUM(BF66:BF77)</f>
        <v>0</v>
      </c>
      <c r="S18" s="1098">
        <f>SUM(BL66:BL77)</f>
        <v>0</v>
      </c>
      <c r="T18" s="1222"/>
      <c r="U18" s="1222"/>
      <c r="V18" s="1222"/>
      <c r="W18" s="1222"/>
      <c r="X18" s="1222"/>
      <c r="Y18" s="1222"/>
      <c r="Z18" s="1085"/>
      <c r="AA18" s="1085"/>
      <c r="AB18" s="1085"/>
      <c r="AC18" s="1085"/>
      <c r="AD18" s="1085"/>
      <c r="AE18" s="1085"/>
      <c r="AF18" s="1085"/>
      <c r="AG18" s="1085"/>
      <c r="AH18" s="1085"/>
      <c r="AI18" s="1085"/>
      <c r="AJ18" s="1085"/>
      <c r="AK18" s="1085"/>
      <c r="AL18" s="1085"/>
      <c r="AM18" s="1085"/>
      <c r="AN18" s="1085"/>
      <c r="AO18" s="1085"/>
      <c r="AP18" s="1085"/>
      <c r="AQ18" s="1085"/>
      <c r="AR18" s="1085"/>
      <c r="AS18" s="1085"/>
      <c r="AT18" s="1085"/>
      <c r="AU18" s="1085"/>
      <c r="AV18" s="1085"/>
      <c r="AW18" s="1085"/>
      <c r="AX18" s="1085"/>
      <c r="AY18" s="1085"/>
      <c r="AZ18" s="1085"/>
      <c r="BA18" s="1085"/>
      <c r="BB18" s="1085"/>
      <c r="BC18" s="1085"/>
      <c r="BD18" s="1085"/>
      <c r="BE18" s="1085"/>
      <c r="BF18" s="1085"/>
      <c r="BG18" s="1085"/>
      <c r="BH18" s="1085"/>
      <c r="BI18" s="1085"/>
      <c r="BJ18" s="1085"/>
      <c r="BK18" s="1085"/>
      <c r="BL18" s="1085"/>
      <c r="BM18" s="1085"/>
      <c r="BN18" s="1085"/>
      <c r="BO18" s="1085"/>
      <c r="BP18" s="1085"/>
      <c r="BQ18" s="1085"/>
      <c r="BR18" s="1085"/>
      <c r="BS18" s="1085"/>
      <c r="BT18" s="1"/>
    </row>
    <row r="19" spans="1:72" ht="16.8" thickTop="1" thickBot="1" x14ac:dyDescent="0.35">
      <c r="A19" s="1026" t="s">
        <v>299</v>
      </c>
      <c r="B19" s="1142">
        <v>30000</v>
      </c>
      <c r="C19" s="1142">
        <v>30000</v>
      </c>
      <c r="D19" s="1142">
        <v>60000</v>
      </c>
      <c r="E19" s="1142">
        <v>30000</v>
      </c>
      <c r="F19" s="1142"/>
      <c r="G19" s="1142"/>
      <c r="H19" s="1142"/>
      <c r="I19" s="1142"/>
      <c r="J19" s="1027">
        <f>SUM(B19:I19)</f>
        <v>150000</v>
      </c>
      <c r="K19" s="1102" t="s">
        <v>296</v>
      </c>
      <c r="L19" s="1129">
        <f>SUM(W66:W77)</f>
        <v>0</v>
      </c>
      <c r="M19" s="1103">
        <f>SUM(AC66:AC77)</f>
        <v>0</v>
      </c>
      <c r="N19" s="1099">
        <f>SUM(AI66:AI77)</f>
        <v>0</v>
      </c>
      <c r="O19" s="1099">
        <f>SUM(AO66:AO77)</f>
        <v>0</v>
      </c>
      <c r="P19" s="1099">
        <f>SUM(AU66:AU77)</f>
        <v>0</v>
      </c>
      <c r="Q19" s="1096">
        <f>SUM(BA66:BA77)</f>
        <v>0</v>
      </c>
      <c r="R19" s="1105">
        <f>SUM(BG66:BG77)</f>
        <v>0</v>
      </c>
      <c r="S19" s="1098">
        <f>SUM(BM66:BM77)</f>
        <v>0</v>
      </c>
      <c r="T19" s="1222"/>
      <c r="U19" s="1222"/>
      <c r="V19" s="1222"/>
      <c r="W19" s="1222"/>
      <c r="X19" s="1222"/>
      <c r="Y19" s="1222"/>
      <c r="Z19" s="1085"/>
      <c r="AA19" s="1085"/>
      <c r="AB19" s="1085"/>
      <c r="AC19" s="1085"/>
      <c r="AD19" s="1085"/>
      <c r="AE19" s="1085"/>
      <c r="AF19" s="1085"/>
      <c r="AG19" s="1085"/>
      <c r="AH19" s="1085"/>
      <c r="AI19" s="1085"/>
      <c r="AJ19" s="1085"/>
      <c r="AK19" s="1085"/>
      <c r="AL19" s="1085"/>
      <c r="AM19" s="1085"/>
      <c r="AN19" s="1085"/>
      <c r="AO19" s="1085"/>
      <c r="AP19" s="1085"/>
      <c r="AQ19" s="1085"/>
      <c r="AR19" s="1085"/>
      <c r="AS19" s="1085"/>
      <c r="AT19" s="1085"/>
      <c r="AU19" s="1085"/>
      <c r="AV19" s="1085"/>
      <c r="AW19" s="1085"/>
      <c r="AX19" s="1085"/>
      <c r="AY19" s="1085"/>
      <c r="AZ19" s="1085"/>
      <c r="BA19" s="1085"/>
      <c r="BB19" s="1085"/>
      <c r="BC19" s="1085"/>
      <c r="BD19" s="1085"/>
      <c r="BE19" s="1085"/>
      <c r="BF19" s="1085"/>
      <c r="BG19" s="1085"/>
      <c r="BH19" s="1085"/>
      <c r="BI19" s="1085"/>
      <c r="BJ19" s="1085"/>
      <c r="BK19" s="1085"/>
      <c r="BL19" s="1085"/>
      <c r="BM19" s="1085"/>
      <c r="BN19" s="1085"/>
      <c r="BO19" s="1085"/>
      <c r="BP19" s="1085"/>
      <c r="BQ19" s="1085"/>
      <c r="BR19" s="1085"/>
      <c r="BS19" s="1085"/>
      <c r="BT19" s="1"/>
    </row>
    <row r="20" spans="1:72" ht="16.8" thickTop="1" thickBot="1" x14ac:dyDescent="0.35">
      <c r="A20" s="1026" t="s">
        <v>355</v>
      </c>
      <c r="B20" s="1870"/>
      <c r="C20" s="1143"/>
      <c r="D20" s="1143"/>
      <c r="E20" s="1143"/>
      <c r="F20" s="1143"/>
      <c r="G20" s="1143"/>
      <c r="H20" s="1144"/>
      <c r="I20" s="1144"/>
      <c r="J20" s="1027">
        <f>J18-J19</f>
        <v>0</v>
      </c>
      <c r="K20" s="1102" t="s">
        <v>298</v>
      </c>
      <c r="L20" s="1129">
        <f>SUM(X66:X77)</f>
        <v>0</v>
      </c>
      <c r="M20" s="1103">
        <f>SUM(AD66:AD77)</f>
        <v>0</v>
      </c>
      <c r="N20" s="1104">
        <f>SUM(AJ66:AJ77)</f>
        <v>0</v>
      </c>
      <c r="O20" s="1104">
        <f>SUM(AP66:AP77)</f>
        <v>0</v>
      </c>
      <c r="P20" s="1104">
        <f>SUM(AV66:AV77)</f>
        <v>0</v>
      </c>
      <c r="Q20" s="1096">
        <f>SUM(BB66:BB77)</f>
        <v>0</v>
      </c>
      <c r="R20" s="1105">
        <f>SUM(BH66:BH77)</f>
        <v>0</v>
      </c>
      <c r="S20" s="1098">
        <f>SUM(BN66:BN77)</f>
        <v>0</v>
      </c>
      <c r="T20" s="1222"/>
      <c r="U20" s="1222"/>
      <c r="V20" s="1222"/>
      <c r="W20" s="1222"/>
      <c r="X20" s="1222"/>
      <c r="Y20" s="1222"/>
      <c r="Z20" s="1085"/>
      <c r="AA20" s="1085"/>
      <c r="AB20" s="1085"/>
      <c r="AC20" s="1085"/>
      <c r="AD20" s="1085"/>
      <c r="AE20" s="1085"/>
      <c r="AF20" s="1085"/>
      <c r="AG20" s="1085"/>
      <c r="AH20" s="1085"/>
      <c r="AI20" s="1085"/>
      <c r="AJ20" s="1085"/>
      <c r="AK20" s="1085"/>
      <c r="AL20" s="1085"/>
      <c r="AM20" s="1085"/>
      <c r="AN20" s="1085"/>
      <c r="AO20" s="1085"/>
      <c r="AP20" s="1085"/>
      <c r="AQ20" s="1085"/>
      <c r="AR20" s="1085"/>
      <c r="AS20" s="1085"/>
      <c r="AT20" s="1085"/>
      <c r="AU20" s="1085"/>
      <c r="AV20" s="1085"/>
      <c r="AW20" s="1085"/>
      <c r="AX20" s="1085"/>
      <c r="AY20" s="1085"/>
      <c r="AZ20" s="1085"/>
      <c r="BA20" s="1085"/>
      <c r="BB20" s="1085"/>
      <c r="BC20" s="1085"/>
      <c r="BD20" s="1085"/>
      <c r="BE20" s="1085"/>
      <c r="BF20" s="1085"/>
      <c r="BG20" s="1085"/>
      <c r="BH20" s="1085"/>
      <c r="BI20" s="1085"/>
      <c r="BJ20" s="1085"/>
      <c r="BK20" s="1085"/>
      <c r="BL20" s="1085"/>
      <c r="BM20" s="1085"/>
      <c r="BN20" s="1085"/>
      <c r="BO20" s="1085"/>
      <c r="BP20" s="1085"/>
      <c r="BQ20" s="1085"/>
      <c r="BR20" s="1085"/>
      <c r="BS20" s="1085"/>
      <c r="BT20" s="1"/>
    </row>
    <row r="21" spans="1:72" ht="16.2" thickTop="1" x14ac:dyDescent="0.3">
      <c r="A21" s="930"/>
      <c r="B21" s="931"/>
      <c r="C21" s="931"/>
      <c r="D21" s="931"/>
      <c r="E21" s="931"/>
      <c r="F21" s="931"/>
      <c r="G21" s="932"/>
      <c r="H21" s="932"/>
      <c r="I21" s="93"/>
      <c r="J21" s="94"/>
      <c r="K21" s="1102" t="s">
        <v>297</v>
      </c>
      <c r="L21" s="1129">
        <f>SUM(Y66:Y77)</f>
        <v>0</v>
      </c>
      <c r="M21" s="1113">
        <f>SUM(AE66:AE77)</f>
        <v>0</v>
      </c>
      <c r="N21" s="1114">
        <f>SUM(AK66:AK77)</f>
        <v>0</v>
      </c>
      <c r="O21" s="1114">
        <f>SUM(AQ66:AQ77)</f>
        <v>0</v>
      </c>
      <c r="P21" s="1114">
        <f>SUM(AW66:AW77)</f>
        <v>0</v>
      </c>
      <c r="Q21" s="1096">
        <f>SUM(BC66:BC77)</f>
        <v>0</v>
      </c>
      <c r="R21" s="1105">
        <f>SUM(BI66:BI77)</f>
        <v>0</v>
      </c>
      <c r="S21" s="1098">
        <f>SUM(BO66:BO77)</f>
        <v>0</v>
      </c>
      <c r="T21" s="1222"/>
      <c r="U21" s="1222"/>
      <c r="V21" s="1222"/>
      <c r="W21" s="1222"/>
      <c r="X21" s="1222"/>
      <c r="Y21" s="1222"/>
      <c r="Z21" s="1085"/>
      <c r="AA21" s="1085"/>
      <c r="AB21" s="1085"/>
      <c r="AC21" s="1085"/>
      <c r="AD21" s="1085"/>
      <c r="AE21" s="1085"/>
      <c r="AF21" s="1085"/>
      <c r="AG21" s="1085"/>
      <c r="AH21" s="1085"/>
      <c r="AI21" s="1085"/>
      <c r="AJ21" s="1085"/>
      <c r="AK21" s="1085"/>
      <c r="AL21" s="1085"/>
      <c r="AM21" s="1085"/>
      <c r="AN21" s="1085"/>
      <c r="AO21" s="1085"/>
      <c r="AP21" s="1085"/>
      <c r="AQ21" s="1085"/>
      <c r="AR21" s="1085"/>
      <c r="AS21" s="1085"/>
      <c r="AT21" s="1085"/>
      <c r="AU21" s="1085"/>
      <c r="AV21" s="1085"/>
      <c r="AW21" s="1085"/>
      <c r="AX21" s="1085"/>
      <c r="AY21" s="1085"/>
      <c r="AZ21" s="1085"/>
      <c r="BA21" s="1085"/>
      <c r="BB21" s="1085"/>
      <c r="BC21" s="1085"/>
      <c r="BD21" s="1085"/>
      <c r="BE21" s="1085"/>
      <c r="BF21" s="1085"/>
      <c r="BG21" s="1085"/>
      <c r="BH21" s="1085"/>
      <c r="BI21" s="1085"/>
      <c r="BJ21" s="1085"/>
      <c r="BK21" s="1085"/>
      <c r="BL21" s="1085"/>
      <c r="BM21" s="1085"/>
      <c r="BN21" s="1085"/>
      <c r="BO21" s="1085"/>
      <c r="BP21" s="1085"/>
      <c r="BQ21" s="1085"/>
      <c r="BR21" s="1085"/>
      <c r="BS21" s="1085"/>
      <c r="BT21" s="1"/>
    </row>
    <row r="22" spans="1:72" ht="15.6" x14ac:dyDescent="0.3">
      <c r="A22" s="930"/>
      <c r="B22" s="931"/>
      <c r="C22" s="931"/>
      <c r="D22" s="931"/>
      <c r="E22" s="931"/>
      <c r="F22" s="931"/>
      <c r="G22" s="932"/>
      <c r="H22" s="932"/>
      <c r="I22" s="93"/>
      <c r="J22" s="94"/>
      <c r="K22" s="1102"/>
      <c r="L22" s="1129"/>
      <c r="M22" s="1113"/>
      <c r="N22" s="1118"/>
      <c r="O22" s="1118"/>
      <c r="P22" s="1118"/>
      <c r="Q22" s="1118"/>
      <c r="R22" s="1119"/>
      <c r="S22" s="1117"/>
      <c r="Z22" s="1085"/>
      <c r="AA22" s="1085"/>
      <c r="AB22" s="1085"/>
      <c r="AC22" s="1085"/>
      <c r="AD22" s="1085"/>
      <c r="AE22" s="1085"/>
      <c r="AF22" s="1085"/>
      <c r="AG22" s="1085"/>
      <c r="AH22" s="1085"/>
      <c r="AI22" s="1085"/>
      <c r="AJ22" s="1085"/>
      <c r="AK22" s="1085"/>
      <c r="AL22" s="1085"/>
      <c r="AM22" s="1085"/>
      <c r="AN22" s="1085"/>
      <c r="AO22" s="1085"/>
      <c r="AP22" s="1085"/>
      <c r="AQ22" s="1085"/>
      <c r="AR22" s="1085"/>
      <c r="AS22" s="1085"/>
      <c r="AT22" s="1085"/>
      <c r="AU22" s="1085"/>
      <c r="AV22" s="1085"/>
      <c r="AW22" s="1085"/>
      <c r="AX22" s="1085"/>
      <c r="AY22" s="1085"/>
      <c r="AZ22" s="1085"/>
      <c r="BA22" s="1085"/>
      <c r="BB22" s="1085"/>
      <c r="BC22" s="1085"/>
      <c r="BD22" s="1085"/>
      <c r="BE22" s="1085"/>
      <c r="BF22" s="1085"/>
      <c r="BG22" s="1085"/>
      <c r="BH22" s="1085"/>
      <c r="BI22" s="1085"/>
      <c r="BJ22" s="1085"/>
      <c r="BK22" s="1085"/>
      <c r="BL22" s="1085"/>
      <c r="BM22" s="1085"/>
      <c r="BN22" s="1085"/>
      <c r="BO22" s="1085"/>
      <c r="BP22" s="1085"/>
      <c r="BQ22" s="1085"/>
      <c r="BR22" s="1085"/>
      <c r="BS22" s="1085"/>
      <c r="BT22" s="1"/>
    </row>
    <row r="23" spans="1:72" x14ac:dyDescent="0.3">
      <c r="A23" s="1"/>
      <c r="B23" s="1"/>
      <c r="C23" s="93"/>
      <c r="D23" s="1"/>
      <c r="E23" s="1"/>
      <c r="F23" s="1"/>
      <c r="G23" s="1"/>
      <c r="H23" s="1"/>
      <c r="I23" s="1"/>
      <c r="J23" s="94"/>
      <c r="K23" s="1102"/>
      <c r="L23" s="1129"/>
      <c r="M23" s="1113"/>
      <c r="N23" s="1118"/>
      <c r="O23" s="1118"/>
      <c r="P23" s="1118"/>
      <c r="Q23" s="1118"/>
      <c r="R23" s="1119"/>
      <c r="S23" s="1117"/>
      <c r="Z23" s="1085"/>
      <c r="AA23" s="1085"/>
      <c r="AB23" s="1085"/>
      <c r="AC23" s="1085"/>
      <c r="AD23" s="1085"/>
      <c r="AE23" s="1085"/>
      <c r="AF23" s="1085"/>
      <c r="AG23" s="1085"/>
      <c r="AH23" s="1085"/>
      <c r="AI23" s="1085"/>
      <c r="AJ23" s="1085"/>
      <c r="AK23" s="1085"/>
      <c r="AL23" s="1085"/>
      <c r="AM23" s="1085"/>
      <c r="AN23" s="1085"/>
      <c r="AO23" s="1085"/>
      <c r="AP23" s="1085"/>
      <c r="AQ23" s="1085"/>
      <c r="AR23" s="1085"/>
      <c r="AS23" s="1085"/>
      <c r="AT23" s="1085"/>
      <c r="AU23" s="1085"/>
      <c r="AV23" s="1085"/>
      <c r="AW23" s="1085"/>
      <c r="AX23" s="1085"/>
      <c r="AY23" s="1085"/>
      <c r="AZ23" s="1085"/>
      <c r="BA23" s="1085"/>
      <c r="BB23" s="1085"/>
      <c r="BC23" s="1085"/>
      <c r="BD23" s="1085"/>
      <c r="BE23" s="1085"/>
      <c r="BF23" s="1085"/>
      <c r="BG23" s="1085"/>
      <c r="BH23" s="1085"/>
      <c r="BI23" s="1085"/>
      <c r="BJ23" s="1085"/>
      <c r="BK23" s="1085"/>
      <c r="BL23" s="1085"/>
      <c r="BM23" s="1085"/>
      <c r="BN23" s="1085"/>
      <c r="BO23" s="1085"/>
      <c r="BP23" s="1085"/>
      <c r="BQ23" s="1085"/>
      <c r="BR23" s="1085"/>
      <c r="BS23" s="1085"/>
      <c r="BT23" s="1"/>
    </row>
    <row r="24" spans="1:72" ht="15" thickBot="1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123"/>
      <c r="L24" s="1872"/>
      <c r="M24" s="1113"/>
      <c r="N24" s="1118"/>
      <c r="O24" s="1118"/>
      <c r="P24" s="1118"/>
      <c r="Q24" s="1118"/>
      <c r="R24" s="1124"/>
      <c r="S24" s="1125"/>
      <c r="Z24" s="1085"/>
      <c r="AA24" s="1085"/>
      <c r="AB24" s="1085"/>
      <c r="AC24" s="1085"/>
      <c r="AD24" s="1085"/>
      <c r="AE24" s="1085"/>
      <c r="AF24" s="1085"/>
      <c r="AG24" s="1085"/>
      <c r="AH24" s="1085"/>
      <c r="AI24" s="1085"/>
      <c r="AJ24" s="1085"/>
      <c r="AK24" s="1085"/>
      <c r="AL24" s="1085"/>
      <c r="AM24" s="1085"/>
      <c r="AN24" s="1085"/>
      <c r="AO24" s="1085"/>
      <c r="AP24" s="1085"/>
      <c r="AQ24" s="1085"/>
      <c r="AR24" s="1085"/>
      <c r="AS24" s="1085"/>
      <c r="AT24" s="1085"/>
      <c r="AU24" s="1085"/>
      <c r="AV24" s="1085"/>
      <c r="AW24" s="1085"/>
      <c r="AX24" s="1085"/>
      <c r="AY24" s="1085"/>
      <c r="AZ24" s="1085"/>
      <c r="BA24" s="1085"/>
      <c r="BB24" s="1085"/>
      <c r="BC24" s="1085"/>
      <c r="BD24" s="1085"/>
      <c r="BE24" s="1085"/>
      <c r="BF24" s="1085"/>
      <c r="BG24" s="1085"/>
      <c r="BH24" s="1085"/>
      <c r="BI24" s="1085"/>
      <c r="BJ24" s="1085"/>
      <c r="BK24" s="1085"/>
      <c r="BL24" s="1085"/>
      <c r="BM24" s="1085"/>
      <c r="BN24" s="1085"/>
      <c r="BO24" s="1085"/>
      <c r="BP24" s="1085"/>
      <c r="BQ24" s="1085"/>
      <c r="BR24" s="1085"/>
      <c r="BS24" s="1085"/>
      <c r="BT24" s="1"/>
    </row>
    <row r="25" spans="1:72" ht="18.600000000000001" thickBot="1" x14ac:dyDescent="0.4">
      <c r="A25" s="95"/>
      <c r="B25" s="95"/>
      <c r="C25" s="95"/>
      <c r="D25" s="95"/>
      <c r="E25" s="95"/>
      <c r="F25" s="1"/>
      <c r="G25" s="1"/>
      <c r="H25" s="1"/>
      <c r="I25" s="1"/>
      <c r="J25" s="1"/>
      <c r="K25" s="1130" t="s">
        <v>18</v>
      </c>
      <c r="L25" s="1111">
        <f>SUM(L16:L21)</f>
        <v>0</v>
      </c>
      <c r="M25" s="1111">
        <f>SUM(M16:M21)</f>
        <v>0</v>
      </c>
      <c r="N25" s="1111">
        <f t="shared" ref="N25:S25" si="4">SUM(N16:N24)</f>
        <v>0</v>
      </c>
      <c r="O25" s="1111">
        <f t="shared" si="4"/>
        <v>0</v>
      </c>
      <c r="P25" s="1111">
        <f t="shared" si="4"/>
        <v>0</v>
      </c>
      <c r="Q25" s="1111">
        <f t="shared" si="4"/>
        <v>0</v>
      </c>
      <c r="R25" s="1111">
        <f t="shared" si="4"/>
        <v>0</v>
      </c>
      <c r="S25" s="1111">
        <f t="shared" si="4"/>
        <v>0</v>
      </c>
      <c r="T25" s="1222"/>
      <c r="U25" s="1222"/>
      <c r="V25" s="1222"/>
      <c r="W25" s="1222"/>
      <c r="X25" s="1222"/>
      <c r="Y25" s="1222"/>
      <c r="Z25" s="1085"/>
      <c r="AA25" s="1085"/>
      <c r="AB25" s="1085"/>
      <c r="AC25" s="1085"/>
      <c r="AD25" s="1085"/>
      <c r="AE25" s="1085"/>
      <c r="AF25" s="1085"/>
      <c r="AG25" s="1085"/>
      <c r="AH25" s="1085"/>
      <c r="AI25" s="1085"/>
      <c r="AJ25" s="1085"/>
      <c r="AK25" s="1085"/>
      <c r="AL25" s="1085"/>
      <c r="AM25" s="1085"/>
      <c r="AN25" s="1085"/>
      <c r="AO25" s="1085"/>
      <c r="AP25" s="1085"/>
      <c r="AQ25" s="1085"/>
      <c r="AR25" s="1085"/>
      <c r="AS25" s="1085"/>
      <c r="AT25" s="1085"/>
      <c r="AU25" s="1085"/>
      <c r="AV25" s="1085"/>
      <c r="AW25" s="1085"/>
      <c r="AX25" s="1085"/>
      <c r="AY25" s="1085"/>
      <c r="AZ25" s="1085"/>
      <c r="BA25" s="1085"/>
      <c r="BB25" s="1085"/>
      <c r="BC25" s="1085"/>
      <c r="BD25" s="1085"/>
      <c r="BE25" s="1085"/>
      <c r="BF25" s="1085"/>
      <c r="BG25" s="1085"/>
      <c r="BH25" s="1085"/>
      <c r="BI25" s="1085"/>
      <c r="BJ25" s="1085"/>
      <c r="BK25" s="1085"/>
      <c r="BL25" s="1085"/>
      <c r="BM25" s="1085"/>
      <c r="BN25" s="1085"/>
      <c r="BO25" s="1085"/>
      <c r="BP25" s="1085"/>
      <c r="BQ25" s="1085"/>
      <c r="BR25" s="1085"/>
      <c r="BS25" s="1085"/>
      <c r="BT25" s="1"/>
    </row>
    <row r="26" spans="1:72" ht="16.2" thickBot="1" x14ac:dyDescent="0.35">
      <c r="A26" s="96" t="s">
        <v>28</v>
      </c>
      <c r="B26" s="4"/>
      <c r="C26" s="5"/>
      <c r="D26" s="1"/>
      <c r="E26" s="97"/>
      <c r="F26" s="98"/>
      <c r="G26" s="1"/>
      <c r="H26" s="1"/>
      <c r="I26" s="1"/>
      <c r="J26" s="1"/>
      <c r="K26" s="1085"/>
      <c r="L26" s="1085"/>
      <c r="M26" s="1085"/>
      <c r="N26" s="1085"/>
      <c r="O26" s="1085"/>
      <c r="P26" s="1085"/>
      <c r="Q26" s="1085"/>
      <c r="R26" s="1085"/>
      <c r="S26" s="1085"/>
      <c r="T26" s="1085"/>
      <c r="U26" s="1085"/>
      <c r="V26" s="1085"/>
      <c r="W26" s="1085"/>
      <c r="X26" s="1085"/>
      <c r="Y26" s="1085"/>
      <c r="Z26" s="1085"/>
      <c r="AA26" s="1133"/>
      <c r="AB26" s="1085"/>
      <c r="AC26" s="1085"/>
      <c r="AD26" s="1085"/>
      <c r="AE26" s="1133"/>
      <c r="AF26" s="1145"/>
      <c r="AG26" s="1085"/>
      <c r="AH26" s="1085"/>
      <c r="AI26" s="1085"/>
      <c r="AJ26" s="1085"/>
      <c r="AK26" s="1085"/>
      <c r="AL26" s="1085"/>
      <c r="AM26" s="1085"/>
      <c r="AN26" s="1133"/>
      <c r="AO26" s="1085"/>
      <c r="AP26" s="1085"/>
      <c r="AQ26" s="1085"/>
      <c r="AR26" s="1085"/>
      <c r="AS26" s="1085"/>
      <c r="AT26" s="1085"/>
      <c r="AU26" s="1085"/>
      <c r="AV26" s="1085"/>
      <c r="AW26" s="1085"/>
      <c r="AX26" s="1085"/>
      <c r="AY26" s="1085"/>
      <c r="AZ26" s="1085"/>
      <c r="BA26" s="1085"/>
      <c r="BB26" s="1085"/>
      <c r="BC26" s="1085"/>
      <c r="BD26" s="1085"/>
      <c r="BE26" s="1133"/>
      <c r="BF26" s="1133"/>
      <c r="BG26" s="1085"/>
      <c r="BH26" s="1085"/>
      <c r="BI26" s="1085"/>
      <c r="BJ26" s="1085"/>
      <c r="BK26" s="1085"/>
      <c r="BL26" s="1133"/>
      <c r="BM26" s="1085"/>
      <c r="BN26" s="1085"/>
      <c r="BO26" s="1085"/>
      <c r="BP26" s="1085"/>
      <c r="BQ26" s="1085"/>
      <c r="BR26" s="1085"/>
      <c r="BS26" s="1"/>
    </row>
    <row r="27" spans="1:72" ht="16.8" thickTop="1" thickBot="1" x14ac:dyDescent="0.35">
      <c r="A27" s="99" t="s">
        <v>29</v>
      </c>
      <c r="B27" s="100" t="s">
        <v>30</v>
      </c>
      <c r="C27" s="101" t="s">
        <v>31</v>
      </c>
      <c r="D27" s="102" t="s">
        <v>2</v>
      </c>
      <c r="E27" s="103" t="s">
        <v>32</v>
      </c>
      <c r="F27" s="104" t="s">
        <v>33</v>
      </c>
      <c r="G27" s="105" t="s">
        <v>34</v>
      </c>
      <c r="H27" s="827" t="s">
        <v>35</v>
      </c>
      <c r="I27" s="811" t="s">
        <v>36</v>
      </c>
      <c r="J27" s="811" t="s">
        <v>37</v>
      </c>
      <c r="K27" s="1146" t="s">
        <v>38</v>
      </c>
      <c r="L27" s="1147" t="s">
        <v>39</v>
      </c>
      <c r="M27" s="1147" t="s">
        <v>40</v>
      </c>
      <c r="N27" s="1147" t="s">
        <v>41</v>
      </c>
      <c r="O27" s="1147" t="s">
        <v>42</v>
      </c>
      <c r="P27" s="1147" t="s">
        <v>43</v>
      </c>
      <c r="Q27" s="1148" t="s">
        <v>44</v>
      </c>
      <c r="R27" s="1147" t="s">
        <v>38</v>
      </c>
      <c r="S27" s="1148" t="s">
        <v>45</v>
      </c>
      <c r="T27" s="1740" t="s">
        <v>46</v>
      </c>
      <c r="U27" s="1739" t="s">
        <v>47</v>
      </c>
      <c r="V27" s="1736" t="s">
        <v>48</v>
      </c>
      <c r="W27" s="1736" t="s">
        <v>308</v>
      </c>
      <c r="X27" s="1736" t="s">
        <v>3</v>
      </c>
      <c r="Y27" s="1737" t="s">
        <v>3</v>
      </c>
      <c r="Z27" s="1149" t="s">
        <v>49</v>
      </c>
      <c r="AA27" s="1149" t="s">
        <v>50</v>
      </c>
      <c r="AB27" s="1150" t="s">
        <v>282</v>
      </c>
      <c r="AC27" s="1150" t="s">
        <v>349</v>
      </c>
      <c r="AD27" s="1150"/>
      <c r="AE27" s="1151" t="s">
        <v>51</v>
      </c>
      <c r="AF27" s="1152" t="s">
        <v>52</v>
      </c>
      <c r="AG27" s="1153" t="s">
        <v>53</v>
      </c>
      <c r="AH27" s="1154" t="s">
        <v>54</v>
      </c>
      <c r="AI27" s="1152" t="s">
        <v>350</v>
      </c>
      <c r="AJ27" s="1155" t="s">
        <v>5</v>
      </c>
      <c r="AK27" s="1156" t="s">
        <v>55</v>
      </c>
      <c r="AL27" s="1157" t="s">
        <v>56</v>
      </c>
      <c r="AM27" s="1158" t="s">
        <v>57</v>
      </c>
      <c r="AN27" s="1159" t="s">
        <v>58</v>
      </c>
      <c r="AO27" s="1160" t="s">
        <v>351</v>
      </c>
      <c r="AP27" s="1152" t="s">
        <v>59</v>
      </c>
      <c r="AQ27" s="1161" t="s">
        <v>59</v>
      </c>
      <c r="AR27" s="1162" t="s">
        <v>60</v>
      </c>
      <c r="AS27" s="1153" t="s">
        <v>61</v>
      </c>
      <c r="AT27" s="1154" t="s">
        <v>62</v>
      </c>
      <c r="AU27" s="1152" t="s">
        <v>352</v>
      </c>
      <c r="AV27" s="1152" t="s">
        <v>7</v>
      </c>
      <c r="AW27" s="1152" t="s">
        <v>7</v>
      </c>
      <c r="AX27" s="1157" t="s">
        <v>64</v>
      </c>
      <c r="AY27" s="1152" t="s">
        <v>65</v>
      </c>
      <c r="AZ27" s="1154" t="s">
        <v>66</v>
      </c>
      <c r="BA27" s="1152" t="s">
        <v>353</v>
      </c>
      <c r="BB27" s="1156" t="s">
        <v>8</v>
      </c>
      <c r="BC27" s="1156" t="s">
        <v>8</v>
      </c>
      <c r="BD27" s="1157" t="s">
        <v>67</v>
      </c>
      <c r="BE27" s="1153" t="s">
        <v>68</v>
      </c>
      <c r="BF27" s="1154" t="s">
        <v>69</v>
      </c>
      <c r="BG27" s="1152" t="s">
        <v>354</v>
      </c>
      <c r="BH27" s="1163" t="s">
        <v>9</v>
      </c>
      <c r="BI27" s="1156" t="s">
        <v>9</v>
      </c>
      <c r="BJ27" s="1157" t="s">
        <v>67</v>
      </c>
      <c r="BK27" s="1152" t="s">
        <v>68</v>
      </c>
      <c r="BL27" s="1154" t="s">
        <v>69</v>
      </c>
      <c r="BM27" s="1152" t="s">
        <v>354</v>
      </c>
      <c r="BN27" s="1164" t="s">
        <v>9</v>
      </c>
      <c r="BO27" s="1164" t="s">
        <v>9</v>
      </c>
      <c r="BP27" s="1165" t="s">
        <v>70</v>
      </c>
      <c r="BQ27" s="1166" t="s">
        <v>71</v>
      </c>
      <c r="BR27" s="1156" t="s">
        <v>72</v>
      </c>
      <c r="BS27" s="1"/>
    </row>
    <row r="28" spans="1:72" x14ac:dyDescent="0.3">
      <c r="A28" s="112"/>
      <c r="B28" s="113" t="s">
        <v>74</v>
      </c>
      <c r="C28" s="114" t="s">
        <v>441</v>
      </c>
      <c r="D28" s="115" t="s">
        <v>11</v>
      </c>
      <c r="E28" s="116">
        <v>2.5</v>
      </c>
      <c r="F28" s="116">
        <f>(BR28/G28)/4</f>
        <v>0</v>
      </c>
      <c r="G28" s="19">
        <v>150</v>
      </c>
      <c r="H28" s="828">
        <f>G28*E28</f>
        <v>375</v>
      </c>
      <c r="I28" s="848">
        <v>5800</v>
      </c>
      <c r="J28" s="848">
        <v>2500</v>
      </c>
      <c r="K28" s="1167">
        <f t="shared" ref="K28:S41" si="5">J28-$H28</f>
        <v>2125</v>
      </c>
      <c r="L28" s="1168">
        <f t="shared" si="5"/>
        <v>1750</v>
      </c>
      <c r="M28" s="1964">
        <v>2375</v>
      </c>
      <c r="N28" s="1964">
        <v>3000</v>
      </c>
      <c r="O28" s="1167">
        <f t="shared" si="5"/>
        <v>2625</v>
      </c>
      <c r="P28" s="1169">
        <f t="shared" si="5"/>
        <v>2250</v>
      </c>
      <c r="Q28" s="1167">
        <f t="shared" si="5"/>
        <v>1875</v>
      </c>
      <c r="R28" s="1169">
        <f t="shared" si="5"/>
        <v>1500</v>
      </c>
      <c r="S28" s="1170">
        <f t="shared" si="5"/>
        <v>1125</v>
      </c>
      <c r="T28" s="1844"/>
      <c r="U28" s="1362"/>
      <c r="V28" s="1224"/>
      <c r="W28" s="1362"/>
      <c r="X28" s="1224"/>
      <c r="Y28" s="1899"/>
      <c r="Z28" s="1172"/>
      <c r="AA28" s="1172"/>
      <c r="AB28" s="1091"/>
      <c r="AC28" s="1173"/>
      <c r="AD28" s="1174"/>
      <c r="AE28" s="1175"/>
      <c r="AF28" s="1176">
        <v>1000</v>
      </c>
      <c r="AG28" s="1177"/>
      <c r="AH28" s="1178"/>
      <c r="AI28" s="1179"/>
      <c r="AJ28" s="1180"/>
      <c r="AK28" s="1181"/>
      <c r="AL28" s="1182">
        <v>1000</v>
      </c>
      <c r="AM28" s="1096"/>
      <c r="AN28" s="1097"/>
      <c r="AO28" s="1183"/>
      <c r="AP28" s="1184"/>
      <c r="AQ28" s="1185"/>
      <c r="AR28" s="1186"/>
      <c r="AS28" s="1177"/>
      <c r="AT28" s="1178"/>
      <c r="AU28" s="1179"/>
      <c r="AV28" s="1180"/>
      <c r="AW28" s="1180"/>
      <c r="AX28" s="1171"/>
      <c r="AY28" s="1095"/>
      <c r="AZ28" s="1098"/>
      <c r="BA28" s="1187"/>
      <c r="BB28" s="1184"/>
      <c r="BC28" s="1181"/>
      <c r="BD28" s="1188"/>
      <c r="BE28" s="1177"/>
      <c r="BF28" s="1189"/>
      <c r="BG28" s="1179"/>
      <c r="BH28" s="1180"/>
      <c r="BI28" s="1181"/>
      <c r="BJ28" s="1188"/>
      <c r="BK28" s="1176"/>
      <c r="BL28" s="1189"/>
      <c r="BM28" s="1179"/>
      <c r="BN28" s="1180"/>
      <c r="BO28" s="1190"/>
      <c r="BP28" s="1191"/>
      <c r="BQ28" s="1191"/>
      <c r="BR28" s="1191">
        <f>BP28-BQ28</f>
        <v>0</v>
      </c>
      <c r="BS28" s="1"/>
      <c r="BT28" s="1192">
        <f t="shared" ref="BT28:BT41" si="6">SUM(Z28:BO28)</f>
        <v>2000</v>
      </c>
    </row>
    <row r="29" spans="1:72" x14ac:dyDescent="0.3">
      <c r="A29" s="132"/>
      <c r="B29" s="133" t="s">
        <v>79</v>
      </c>
      <c r="C29" s="134" t="s">
        <v>442</v>
      </c>
      <c r="D29" s="135" t="s">
        <v>11</v>
      </c>
      <c r="E29" s="136">
        <v>3</v>
      </c>
      <c r="F29" s="136">
        <f t="shared" ref="F29:F41" si="7">(BR29/G29)/7</f>
        <v>0</v>
      </c>
      <c r="G29" s="137">
        <v>154</v>
      </c>
      <c r="H29" s="269">
        <f t="shared" ref="H29:H41" si="8">G29*E29</f>
        <v>462</v>
      </c>
      <c r="I29" s="375">
        <v>5800</v>
      </c>
      <c r="J29" s="375">
        <v>2500</v>
      </c>
      <c r="K29" s="1193">
        <f t="shared" si="5"/>
        <v>2038</v>
      </c>
      <c r="L29" s="1194">
        <f t="shared" si="5"/>
        <v>1576</v>
      </c>
      <c r="M29" s="1955">
        <v>2114</v>
      </c>
      <c r="N29" s="1954">
        <v>2652</v>
      </c>
      <c r="O29" s="1193">
        <f t="shared" si="5"/>
        <v>2190</v>
      </c>
      <c r="P29" s="1194">
        <f t="shared" si="5"/>
        <v>1728</v>
      </c>
      <c r="Q29" s="1194">
        <f t="shared" si="5"/>
        <v>1266</v>
      </c>
      <c r="R29" s="1194">
        <f t="shared" si="5"/>
        <v>804</v>
      </c>
      <c r="S29" s="1195">
        <f t="shared" si="5"/>
        <v>342</v>
      </c>
      <c r="T29" s="1840"/>
      <c r="U29" s="1104"/>
      <c r="V29" s="1195"/>
      <c r="W29" s="1104"/>
      <c r="X29" s="1195"/>
      <c r="Y29" s="1897"/>
      <c r="Z29" s="1103"/>
      <c r="AA29" s="1103"/>
      <c r="AB29" s="1104"/>
      <c r="AC29" s="1114"/>
      <c r="AD29" s="1196"/>
      <c r="AE29" s="1197"/>
      <c r="AF29" s="1198">
        <v>1000</v>
      </c>
      <c r="AG29" s="1199"/>
      <c r="AH29" s="1200"/>
      <c r="AI29" s="1201"/>
      <c r="AJ29" s="1202"/>
      <c r="AK29" s="1203"/>
      <c r="AL29" s="1204">
        <v>1000</v>
      </c>
      <c r="AM29" s="1104"/>
      <c r="AN29" s="1205"/>
      <c r="AO29" s="1114"/>
      <c r="AP29" s="1206"/>
      <c r="AQ29" s="1207"/>
      <c r="AR29" s="1208"/>
      <c r="AS29" s="1199"/>
      <c r="AT29" s="1200"/>
      <c r="AU29" s="1201"/>
      <c r="AV29" s="1202"/>
      <c r="AW29" s="1202"/>
      <c r="AX29" s="1204"/>
      <c r="AY29" s="1103"/>
      <c r="AZ29" s="1209"/>
      <c r="BA29" s="1113"/>
      <c r="BB29" s="1206"/>
      <c r="BC29" s="1203"/>
      <c r="BD29" s="1210"/>
      <c r="BE29" s="1199"/>
      <c r="BF29" s="1200"/>
      <c r="BG29" s="1201"/>
      <c r="BH29" s="1202"/>
      <c r="BI29" s="1203"/>
      <c r="BJ29" s="1210"/>
      <c r="BK29" s="1198"/>
      <c r="BL29" s="1200"/>
      <c r="BM29" s="1201"/>
      <c r="BN29" s="1202"/>
      <c r="BO29" s="1211"/>
      <c r="BP29" s="1212"/>
      <c r="BQ29" s="1212"/>
      <c r="BR29" s="1212">
        <f>BP29-BQ29</f>
        <v>0</v>
      </c>
      <c r="BS29" s="1"/>
      <c r="BT29" s="1192">
        <f t="shared" si="6"/>
        <v>2000</v>
      </c>
    </row>
    <row r="30" spans="1:72" x14ac:dyDescent="0.3">
      <c r="A30" s="143" t="s">
        <v>75</v>
      </c>
      <c r="B30" s="153" t="s">
        <v>76</v>
      </c>
      <c r="C30" s="134" t="s">
        <v>443</v>
      </c>
      <c r="D30" s="135" t="s">
        <v>11</v>
      </c>
      <c r="E30" s="136">
        <v>2.8</v>
      </c>
      <c r="F30" s="136">
        <f t="shared" si="7"/>
        <v>0</v>
      </c>
      <c r="G30" s="137">
        <v>151</v>
      </c>
      <c r="H30" s="269">
        <f t="shared" si="8"/>
        <v>422.79999999999995</v>
      </c>
      <c r="I30" s="375">
        <v>5800</v>
      </c>
      <c r="J30" s="385">
        <v>3000</v>
      </c>
      <c r="K30" s="1193">
        <f t="shared" si="5"/>
        <v>2577.1999999999998</v>
      </c>
      <c r="L30" s="1193">
        <f t="shared" si="5"/>
        <v>2154.3999999999996</v>
      </c>
      <c r="M30" s="1955">
        <v>2732</v>
      </c>
      <c r="N30" s="1954">
        <v>3309</v>
      </c>
      <c r="O30" s="1193">
        <f t="shared" si="5"/>
        <v>2886.2</v>
      </c>
      <c r="P30" s="1194">
        <f t="shared" si="5"/>
        <v>2463.3999999999996</v>
      </c>
      <c r="Q30" s="1193">
        <f t="shared" si="5"/>
        <v>2040.5999999999997</v>
      </c>
      <c r="R30" s="1194">
        <f t="shared" si="5"/>
        <v>1617.7999999999997</v>
      </c>
      <c r="S30" s="1195">
        <f t="shared" si="5"/>
        <v>1194.9999999999998</v>
      </c>
      <c r="T30" s="1840"/>
      <c r="U30" s="1104"/>
      <c r="V30" s="1195"/>
      <c r="W30" s="1104"/>
      <c r="X30" s="1195"/>
      <c r="Y30" s="1897"/>
      <c r="Z30" s="1103"/>
      <c r="AA30" s="1103"/>
      <c r="AB30" s="1104"/>
      <c r="AC30" s="1114"/>
      <c r="AD30" s="1196"/>
      <c r="AE30" s="1197"/>
      <c r="AF30" s="1198">
        <v>1000</v>
      </c>
      <c r="AG30" s="1199"/>
      <c r="AH30" s="1200"/>
      <c r="AI30" s="1201"/>
      <c r="AJ30" s="1202"/>
      <c r="AK30" s="1203"/>
      <c r="AL30" s="1204">
        <v>1000</v>
      </c>
      <c r="AM30" s="1104"/>
      <c r="AN30" s="1205"/>
      <c r="AO30" s="1114"/>
      <c r="AP30" s="1206"/>
      <c r="AQ30" s="1207"/>
      <c r="AR30" s="1208"/>
      <c r="AS30" s="1199"/>
      <c r="AT30" s="1200"/>
      <c r="AU30" s="1201"/>
      <c r="AV30" s="1202"/>
      <c r="AW30" s="1202"/>
      <c r="AX30" s="1210"/>
      <c r="AY30" s="1103"/>
      <c r="AZ30" s="1209"/>
      <c r="BA30" s="1113"/>
      <c r="BB30" s="1206"/>
      <c r="BC30" s="1203"/>
      <c r="BD30" s="1210"/>
      <c r="BE30" s="1199"/>
      <c r="BF30" s="1200"/>
      <c r="BG30" s="1201"/>
      <c r="BH30" s="1202"/>
      <c r="BI30" s="1207"/>
      <c r="BJ30" s="1210"/>
      <c r="BK30" s="1198"/>
      <c r="BL30" s="1200"/>
      <c r="BM30" s="1201"/>
      <c r="BN30" s="1202"/>
      <c r="BO30" s="1211"/>
      <c r="BP30" s="1213"/>
      <c r="BQ30" s="1213"/>
      <c r="BR30" s="1213">
        <f>BP30-BQ30</f>
        <v>0</v>
      </c>
      <c r="BS30" s="1"/>
      <c r="BT30" s="1192">
        <f t="shared" si="6"/>
        <v>2000</v>
      </c>
    </row>
    <row r="31" spans="1:72" x14ac:dyDescent="0.3">
      <c r="A31" s="143"/>
      <c r="B31" s="862"/>
      <c r="C31" s="134"/>
      <c r="D31" s="138" t="s">
        <v>11</v>
      </c>
      <c r="E31" s="136">
        <v>2.5</v>
      </c>
      <c r="F31" s="155" t="e">
        <f t="shared" si="7"/>
        <v>#DIV/0!</v>
      </c>
      <c r="G31" s="156"/>
      <c r="H31" s="299">
        <f t="shared" si="8"/>
        <v>0</v>
      </c>
      <c r="I31" s="362"/>
      <c r="J31" s="375"/>
      <c r="K31" s="1193">
        <f t="shared" si="5"/>
        <v>0</v>
      </c>
      <c r="L31" s="1194">
        <f t="shared" si="5"/>
        <v>0</v>
      </c>
      <c r="M31" s="1193">
        <f t="shared" si="5"/>
        <v>0</v>
      </c>
      <c r="N31" s="1194">
        <f t="shared" si="5"/>
        <v>0</v>
      </c>
      <c r="O31" s="1193">
        <f t="shared" si="5"/>
        <v>0</v>
      </c>
      <c r="P31" s="1194">
        <f t="shared" si="5"/>
        <v>0</v>
      </c>
      <c r="Q31" s="1193">
        <f t="shared" si="5"/>
        <v>0</v>
      </c>
      <c r="R31" s="1194">
        <f t="shared" si="5"/>
        <v>0</v>
      </c>
      <c r="S31" s="1195">
        <f>(R31-$H31)+AO31</f>
        <v>0</v>
      </c>
      <c r="T31" s="1841"/>
      <c r="U31" s="1096"/>
      <c r="V31" s="1287"/>
      <c r="W31" s="1096"/>
      <c r="X31" s="1287"/>
      <c r="Y31" s="1898"/>
      <c r="Z31" s="1095"/>
      <c r="AA31" s="1095"/>
      <c r="AB31" s="1096"/>
      <c r="AC31" s="1183"/>
      <c r="AD31" s="1214"/>
      <c r="AE31" s="1215"/>
      <c r="AF31" s="1176"/>
      <c r="AG31" s="1177"/>
      <c r="AH31" s="1189"/>
      <c r="AI31" s="1179"/>
      <c r="AJ31" s="1180"/>
      <c r="AK31" s="1181"/>
      <c r="AL31" s="1216"/>
      <c r="AM31" s="1096"/>
      <c r="AN31" s="1097"/>
      <c r="AO31" s="1183"/>
      <c r="AP31" s="1184"/>
      <c r="AQ31" s="1185"/>
      <c r="AR31" s="1186"/>
      <c r="AS31" s="1177"/>
      <c r="AT31" s="1189"/>
      <c r="AU31" s="1179"/>
      <c r="AV31" s="1180"/>
      <c r="AW31" s="1180"/>
      <c r="AX31" s="1188"/>
      <c r="AY31" s="1095"/>
      <c r="AZ31" s="1098"/>
      <c r="BA31" s="1187"/>
      <c r="BB31" s="1184"/>
      <c r="BC31" s="1181"/>
      <c r="BD31" s="1188"/>
      <c r="BE31" s="1177"/>
      <c r="BF31" s="1189"/>
      <c r="BG31" s="1179"/>
      <c r="BH31" s="1180"/>
      <c r="BI31" s="1181"/>
      <c r="BJ31" s="1188"/>
      <c r="BK31" s="1176"/>
      <c r="BL31" s="1189"/>
      <c r="BM31" s="1179"/>
      <c r="BN31" s="1180"/>
      <c r="BO31" s="1190"/>
      <c r="BP31" s="1217"/>
      <c r="BQ31" s="1217"/>
      <c r="BR31" s="1217"/>
      <c r="BS31" s="1"/>
      <c r="BT31" s="1192">
        <f t="shared" si="6"/>
        <v>0</v>
      </c>
    </row>
    <row r="32" spans="1:72" x14ac:dyDescent="0.3">
      <c r="A32" s="130"/>
      <c r="B32" s="863"/>
      <c r="C32" s="161"/>
      <c r="D32" s="135" t="s">
        <v>11</v>
      </c>
      <c r="E32" s="136">
        <v>3</v>
      </c>
      <c r="F32" s="136" t="e">
        <f t="shared" si="7"/>
        <v>#DIV/0!</v>
      </c>
      <c r="G32" s="137"/>
      <c r="H32" s="269">
        <f t="shared" si="8"/>
        <v>0</v>
      </c>
      <c r="I32" s="375"/>
      <c r="J32" s="375"/>
      <c r="K32" s="1193">
        <f t="shared" si="5"/>
        <v>0</v>
      </c>
      <c r="L32" s="1194">
        <f t="shared" si="5"/>
        <v>0</v>
      </c>
      <c r="M32" s="1193">
        <f t="shared" si="5"/>
        <v>0</v>
      </c>
      <c r="N32" s="1194">
        <f t="shared" si="5"/>
        <v>0</v>
      </c>
      <c r="O32" s="1193">
        <f t="shared" si="5"/>
        <v>0</v>
      </c>
      <c r="P32" s="1194">
        <f t="shared" si="5"/>
        <v>0</v>
      </c>
      <c r="Q32" s="1193">
        <f t="shared" si="5"/>
        <v>0</v>
      </c>
      <c r="R32" s="1194">
        <f t="shared" si="5"/>
        <v>0</v>
      </c>
      <c r="S32" s="1195">
        <f>(R32-$H32)</f>
        <v>0</v>
      </c>
      <c r="T32" s="1843"/>
      <c r="U32" s="1219"/>
      <c r="V32" s="1281"/>
      <c r="W32" s="1219"/>
      <c r="X32" s="1281"/>
      <c r="Y32" s="1896"/>
      <c r="Z32" s="1218"/>
      <c r="AA32" s="1218"/>
      <c r="AB32" s="1219"/>
      <c r="AC32" s="1220"/>
      <c r="AD32" s="1221"/>
      <c r="AE32" s="1197"/>
      <c r="AF32" s="1198"/>
      <c r="AG32" s="1199"/>
      <c r="AH32" s="1200"/>
      <c r="AI32" s="1201"/>
      <c r="AJ32" s="1202"/>
      <c r="AK32" s="1203"/>
      <c r="AL32" s="1204"/>
      <c r="AM32" s="1104"/>
      <c r="AN32" s="1205"/>
      <c r="AO32" s="1114"/>
      <c r="AP32" s="1206"/>
      <c r="AQ32" s="1207"/>
      <c r="AR32" s="1208"/>
      <c r="AS32" s="1199"/>
      <c r="AT32" s="1200"/>
      <c r="AU32" s="1201"/>
      <c r="AV32" s="1202"/>
      <c r="AW32" s="1202"/>
      <c r="AX32" s="1210"/>
      <c r="AY32" s="1103"/>
      <c r="AZ32" s="1209"/>
      <c r="BA32" s="1113"/>
      <c r="BB32" s="1206"/>
      <c r="BC32" s="1203"/>
      <c r="BD32" s="1210"/>
      <c r="BE32" s="1199"/>
      <c r="BF32" s="1200"/>
      <c r="BG32" s="1201"/>
      <c r="BH32" s="1202"/>
      <c r="BI32" s="1207"/>
      <c r="BJ32" s="1210"/>
      <c r="BK32" s="1198"/>
      <c r="BL32" s="1200"/>
      <c r="BM32" s="1201"/>
      <c r="BN32" s="1202"/>
      <c r="BO32" s="1211"/>
      <c r="BP32" s="1217"/>
      <c r="BQ32" s="1217"/>
      <c r="BR32" s="1217"/>
      <c r="BS32" s="1"/>
      <c r="BT32" s="1192">
        <f t="shared" si="6"/>
        <v>0</v>
      </c>
    </row>
    <row r="33" spans="1:72" ht="15" thickBot="1" x14ac:dyDescent="0.35">
      <c r="A33" s="297"/>
      <c r="B33" s="621"/>
      <c r="C33" s="621"/>
      <c r="D33" s="237" t="s">
        <v>11</v>
      </c>
      <c r="E33" s="622">
        <v>3</v>
      </c>
      <c r="F33" s="622" t="e">
        <f t="shared" si="7"/>
        <v>#DIV/0!</v>
      </c>
      <c r="G33" s="192"/>
      <c r="H33" s="300">
        <f t="shared" si="8"/>
        <v>0</v>
      </c>
      <c r="I33" s="386"/>
      <c r="J33" s="386"/>
      <c r="K33" s="1222">
        <f t="shared" si="5"/>
        <v>0</v>
      </c>
      <c r="L33" s="1223">
        <f t="shared" si="5"/>
        <v>0</v>
      </c>
      <c r="M33" s="1222">
        <f t="shared" si="5"/>
        <v>0</v>
      </c>
      <c r="N33" s="1223">
        <f t="shared" si="5"/>
        <v>0</v>
      </c>
      <c r="O33" s="1222">
        <f t="shared" si="5"/>
        <v>0</v>
      </c>
      <c r="P33" s="1223">
        <f t="shared" si="5"/>
        <v>0</v>
      </c>
      <c r="Q33" s="1222">
        <f t="shared" si="5"/>
        <v>0</v>
      </c>
      <c r="R33" s="1223">
        <f t="shared" si="5"/>
        <v>0</v>
      </c>
      <c r="S33" s="1224">
        <f>(R33-$H33)</f>
        <v>0</v>
      </c>
      <c r="T33" s="1844"/>
      <c r="U33" s="1362"/>
      <c r="V33" s="1224"/>
      <c r="W33" s="1362"/>
      <c r="X33" s="1224"/>
      <c r="Y33" s="1899"/>
      <c r="Z33" s="1218"/>
      <c r="AA33" s="1218"/>
      <c r="AB33" s="1219"/>
      <c r="AC33" s="1220"/>
      <c r="AD33" s="1221"/>
      <c r="AE33" s="1225"/>
      <c r="AF33" s="1226"/>
      <c r="AG33" s="1227"/>
      <c r="AH33" s="1228"/>
      <c r="AI33" s="1229"/>
      <c r="AJ33" s="1230"/>
      <c r="AK33" s="1231"/>
      <c r="AL33" s="1232"/>
      <c r="AM33" s="1219"/>
      <c r="AN33" s="1233"/>
      <c r="AO33" s="1220"/>
      <c r="AP33" s="1234"/>
      <c r="AQ33" s="1235"/>
      <c r="AR33" s="1236"/>
      <c r="AS33" s="1227"/>
      <c r="AT33" s="1228"/>
      <c r="AU33" s="1229"/>
      <c r="AV33" s="1230"/>
      <c r="AW33" s="1230"/>
      <c r="AX33" s="1237"/>
      <c r="AY33" s="1218"/>
      <c r="AZ33" s="1238"/>
      <c r="BA33" s="1239"/>
      <c r="BB33" s="1234"/>
      <c r="BC33" s="1231"/>
      <c r="BD33" s="1237"/>
      <c r="BE33" s="1227"/>
      <c r="BF33" s="1228"/>
      <c r="BG33" s="1229"/>
      <c r="BH33" s="1230"/>
      <c r="BI33" s="1231"/>
      <c r="BJ33" s="1237"/>
      <c r="BK33" s="1226"/>
      <c r="BL33" s="1228"/>
      <c r="BM33" s="1229"/>
      <c r="BN33" s="1230"/>
      <c r="BO33" s="1240"/>
      <c r="BP33" s="1212"/>
      <c r="BQ33" s="1241"/>
      <c r="BR33" s="1212"/>
      <c r="BS33" s="1"/>
      <c r="BT33" s="1192">
        <f t="shared" si="6"/>
        <v>0</v>
      </c>
    </row>
    <row r="34" spans="1:72" s="7" customFormat="1" ht="18" x14ac:dyDescent="0.35">
      <c r="A34" s="923"/>
      <c r="B34" s="924" t="s">
        <v>77</v>
      </c>
      <c r="C34" s="926"/>
      <c r="D34" s="933" t="s">
        <v>78</v>
      </c>
      <c r="E34" s="928">
        <v>6</v>
      </c>
      <c r="F34" s="1015" t="e">
        <f t="shared" si="7"/>
        <v>#DIV/0!</v>
      </c>
      <c r="G34" s="254"/>
      <c r="H34" s="832">
        <f t="shared" si="8"/>
        <v>0</v>
      </c>
      <c r="I34" s="392"/>
      <c r="J34" s="392"/>
      <c r="K34" s="1242">
        <f t="shared" si="5"/>
        <v>0</v>
      </c>
      <c r="L34" s="1243">
        <f t="shared" si="5"/>
        <v>0</v>
      </c>
      <c r="M34" s="1243">
        <f t="shared" si="5"/>
        <v>0</v>
      </c>
      <c r="N34" s="1243">
        <f t="shared" si="5"/>
        <v>0</v>
      </c>
      <c r="O34" s="1242">
        <f t="shared" si="5"/>
        <v>0</v>
      </c>
      <c r="P34" s="1243">
        <f t="shared" si="5"/>
        <v>0</v>
      </c>
      <c r="Q34" s="1242">
        <f t="shared" si="5"/>
        <v>0</v>
      </c>
      <c r="R34" s="1243">
        <f t="shared" si="5"/>
        <v>0</v>
      </c>
      <c r="S34" s="1244">
        <f t="shared" si="5"/>
        <v>0</v>
      </c>
      <c r="T34" s="1845"/>
      <c r="U34" s="1376"/>
      <c r="V34" s="1244"/>
      <c r="W34" s="1376"/>
      <c r="X34" s="1244"/>
      <c r="Y34" s="1900"/>
      <c r="Z34" s="1245"/>
      <c r="AA34" s="1245"/>
      <c r="AB34" s="1245"/>
      <c r="AC34" s="1246"/>
      <c r="AD34" s="1247"/>
      <c r="AE34" s="1248"/>
      <c r="AF34" s="1245"/>
      <c r="AG34" s="1245"/>
      <c r="AH34" s="1249"/>
      <c r="AI34" s="1246"/>
      <c r="AJ34" s="1250"/>
      <c r="AK34" s="1251"/>
      <c r="AL34" s="1252"/>
      <c r="AM34" s="1245"/>
      <c r="AN34" s="1253"/>
      <c r="AO34" s="1246"/>
      <c r="AP34" s="1247"/>
      <c r="AQ34" s="1251"/>
      <c r="AR34" s="1252"/>
      <c r="AS34" s="1245"/>
      <c r="AT34" s="1249"/>
      <c r="AU34" s="1246"/>
      <c r="AV34" s="1250"/>
      <c r="AW34" s="1250"/>
      <c r="AX34" s="1252"/>
      <c r="AY34" s="1245"/>
      <c r="AZ34" s="1249"/>
      <c r="BA34" s="1246"/>
      <c r="BB34" s="1250"/>
      <c r="BC34" s="1251"/>
      <c r="BD34" s="1252"/>
      <c r="BE34" s="1254"/>
      <c r="BF34" s="1249"/>
      <c r="BG34" s="1246"/>
      <c r="BH34" s="1250"/>
      <c r="BI34" s="1251"/>
      <c r="BJ34" s="1252"/>
      <c r="BK34" s="1245"/>
      <c r="BL34" s="1249"/>
      <c r="BM34" s="1246"/>
      <c r="BN34" s="1250"/>
      <c r="BO34" s="1255"/>
      <c r="BP34" s="1256"/>
      <c r="BQ34" s="1256"/>
      <c r="BR34" s="1256">
        <f>BP34-BQ34</f>
        <v>0</v>
      </c>
      <c r="BS34" s="1"/>
      <c r="BT34" s="1192">
        <f t="shared" si="6"/>
        <v>0</v>
      </c>
    </row>
    <row r="35" spans="1:72" s="7" customFormat="1" ht="18.600000000000001" thickBot="1" x14ac:dyDescent="0.4">
      <c r="A35" s="922"/>
      <c r="B35" s="925" t="s">
        <v>77</v>
      </c>
      <c r="C35" s="921"/>
      <c r="D35" s="927" t="s">
        <v>78</v>
      </c>
      <c r="E35" s="1016">
        <v>6</v>
      </c>
      <c r="F35" s="929" t="e">
        <f t="shared" si="7"/>
        <v>#DIV/0!</v>
      </c>
      <c r="G35" s="274"/>
      <c r="H35" s="833">
        <f t="shared" si="8"/>
        <v>0</v>
      </c>
      <c r="I35" s="409"/>
      <c r="J35" s="409"/>
      <c r="K35" s="1257">
        <f t="shared" si="5"/>
        <v>0</v>
      </c>
      <c r="L35" s="1258">
        <f t="shared" si="5"/>
        <v>0</v>
      </c>
      <c r="M35" s="1257">
        <f t="shared" si="5"/>
        <v>0</v>
      </c>
      <c r="N35" s="1258">
        <f t="shared" si="5"/>
        <v>0</v>
      </c>
      <c r="O35" s="1257">
        <f t="shared" si="5"/>
        <v>0</v>
      </c>
      <c r="P35" s="1258">
        <f t="shared" si="5"/>
        <v>0</v>
      </c>
      <c r="Q35" s="1257">
        <f t="shared" si="5"/>
        <v>0</v>
      </c>
      <c r="R35" s="1258">
        <f t="shared" si="5"/>
        <v>0</v>
      </c>
      <c r="S35" s="1259">
        <f t="shared" si="5"/>
        <v>0</v>
      </c>
      <c r="T35" s="1846"/>
      <c r="U35" s="1421"/>
      <c r="V35" s="1259"/>
      <c r="W35" s="1421"/>
      <c r="X35" s="1259"/>
      <c r="Y35" s="1901"/>
      <c r="Z35" s="1260"/>
      <c r="AA35" s="1260"/>
      <c r="AB35" s="1260"/>
      <c r="AC35" s="1261"/>
      <c r="AD35" s="1262"/>
      <c r="AE35" s="1263"/>
      <c r="AF35" s="1260"/>
      <c r="AG35" s="1260"/>
      <c r="AH35" s="1264"/>
      <c r="AI35" s="1261"/>
      <c r="AJ35" s="1265"/>
      <c r="AK35" s="1266"/>
      <c r="AL35" s="1267"/>
      <c r="AM35" s="1260"/>
      <c r="AN35" s="1268"/>
      <c r="AO35" s="1261"/>
      <c r="AP35" s="1262"/>
      <c r="AQ35" s="1266"/>
      <c r="AR35" s="1267"/>
      <c r="AS35" s="1260"/>
      <c r="AT35" s="1264"/>
      <c r="AU35" s="1261"/>
      <c r="AV35" s="1265"/>
      <c r="AW35" s="1265"/>
      <c r="AX35" s="1267"/>
      <c r="AY35" s="1260"/>
      <c r="AZ35" s="1264"/>
      <c r="BA35" s="1261"/>
      <c r="BB35" s="1265"/>
      <c r="BC35" s="1266"/>
      <c r="BD35" s="1267"/>
      <c r="BE35" s="1269"/>
      <c r="BF35" s="1264"/>
      <c r="BG35" s="1261"/>
      <c r="BH35" s="1265"/>
      <c r="BI35" s="1266"/>
      <c r="BJ35" s="1267"/>
      <c r="BK35" s="1260"/>
      <c r="BL35" s="1264"/>
      <c r="BM35" s="1261"/>
      <c r="BN35" s="1265"/>
      <c r="BO35" s="1270"/>
      <c r="BP35" s="1271"/>
      <c r="BQ35" s="1271"/>
      <c r="BR35" s="1272"/>
      <c r="BS35" s="1"/>
      <c r="BT35" s="1192">
        <f t="shared" si="6"/>
        <v>0</v>
      </c>
    </row>
    <row r="36" spans="1:72" ht="18" x14ac:dyDescent="0.35">
      <c r="A36" s="630"/>
      <c r="B36" s="865" t="s">
        <v>570</v>
      </c>
      <c r="C36" s="181" t="s">
        <v>228</v>
      </c>
      <c r="D36" s="182" t="s">
        <v>80</v>
      </c>
      <c r="E36" s="183">
        <v>2.5</v>
      </c>
      <c r="F36" s="184">
        <f t="shared" si="7"/>
        <v>0</v>
      </c>
      <c r="G36" s="156">
        <v>63</v>
      </c>
      <c r="H36" s="299">
        <f t="shared" si="8"/>
        <v>157.5</v>
      </c>
      <c r="I36" s="362">
        <v>5800</v>
      </c>
      <c r="J36" s="362">
        <v>3000</v>
      </c>
      <c r="K36" s="1273">
        <f t="shared" si="5"/>
        <v>2842.5</v>
      </c>
      <c r="L36" s="1274">
        <f t="shared" si="5"/>
        <v>2685</v>
      </c>
      <c r="M36" s="1274">
        <f t="shared" si="5"/>
        <v>2527.5</v>
      </c>
      <c r="N36" s="1274">
        <f t="shared" si="5"/>
        <v>2370</v>
      </c>
      <c r="O36" s="1273">
        <f t="shared" si="5"/>
        <v>2212.5</v>
      </c>
      <c r="P36" s="1274">
        <f t="shared" si="5"/>
        <v>2055</v>
      </c>
      <c r="Q36" s="1273">
        <f t="shared" si="5"/>
        <v>1897.5</v>
      </c>
      <c r="R36" s="1274">
        <f t="shared" si="5"/>
        <v>1740</v>
      </c>
      <c r="S36" s="1273">
        <f t="shared" si="5"/>
        <v>1582.5</v>
      </c>
      <c r="T36" s="1847"/>
      <c r="U36" s="1183"/>
      <c r="V36" s="1273"/>
      <c r="W36" s="1183"/>
      <c r="X36" s="1273"/>
      <c r="Y36" s="1902"/>
      <c r="Z36" s="1179"/>
      <c r="AA36" s="1179"/>
      <c r="AB36" s="1179"/>
      <c r="AC36" s="1179"/>
      <c r="AD36" s="1180"/>
      <c r="AE36" s="1275"/>
      <c r="AF36" s="1179"/>
      <c r="AG36" s="1179"/>
      <c r="AH36" s="1276"/>
      <c r="AI36" s="1179"/>
      <c r="AJ36" s="1180"/>
      <c r="AK36" s="1181"/>
      <c r="AL36" s="1277"/>
      <c r="AM36" s="1179"/>
      <c r="AN36" s="1278"/>
      <c r="AO36" s="1179"/>
      <c r="AP36" s="1180"/>
      <c r="AQ36" s="1181"/>
      <c r="AR36" s="1277"/>
      <c r="AS36" s="1179"/>
      <c r="AT36" s="1276"/>
      <c r="AU36" s="1179"/>
      <c r="AV36" s="1180"/>
      <c r="AW36" s="1180"/>
      <c r="AX36" s="1188"/>
      <c r="AY36" s="1176"/>
      <c r="AZ36" s="1189"/>
      <c r="BA36" s="1179"/>
      <c r="BB36" s="1180"/>
      <c r="BC36" s="1181"/>
      <c r="BD36" s="1188"/>
      <c r="BE36" s="1177"/>
      <c r="BF36" s="1189"/>
      <c r="BG36" s="1179"/>
      <c r="BH36" s="1180"/>
      <c r="BI36" s="1181"/>
      <c r="BJ36" s="1277"/>
      <c r="BK36" s="1179"/>
      <c r="BL36" s="1276"/>
      <c r="BM36" s="1179"/>
      <c r="BN36" s="1180"/>
      <c r="BO36" s="1190"/>
      <c r="BP36" s="1279"/>
      <c r="BQ36" s="1279"/>
      <c r="BR36" s="1217">
        <f>BP36-BQ36</f>
        <v>0</v>
      </c>
      <c r="BS36" s="1"/>
      <c r="BT36" s="1192">
        <f t="shared" si="6"/>
        <v>0</v>
      </c>
    </row>
    <row r="37" spans="1:72" ht="18" x14ac:dyDescent="0.35">
      <c r="A37" s="189"/>
      <c r="B37" s="153"/>
      <c r="C37" s="190"/>
      <c r="D37" s="135" t="s">
        <v>80</v>
      </c>
      <c r="E37" s="136">
        <v>2.5</v>
      </c>
      <c r="F37" s="136" t="e">
        <f t="shared" si="7"/>
        <v>#DIV/0!</v>
      </c>
      <c r="G37" s="137"/>
      <c r="H37" s="269">
        <f t="shared" si="8"/>
        <v>0</v>
      </c>
      <c r="I37" s="849"/>
      <c r="J37" s="385"/>
      <c r="K37" s="1273">
        <f t="shared" si="5"/>
        <v>0</v>
      </c>
      <c r="L37" s="1274">
        <f t="shared" si="5"/>
        <v>0</v>
      </c>
      <c r="M37" s="1273">
        <f t="shared" si="5"/>
        <v>0</v>
      </c>
      <c r="N37" s="1274">
        <f t="shared" si="5"/>
        <v>0</v>
      </c>
      <c r="O37" s="1273">
        <f t="shared" si="5"/>
        <v>0</v>
      </c>
      <c r="P37" s="1274">
        <f t="shared" si="5"/>
        <v>0</v>
      </c>
      <c r="Q37" s="1273">
        <f t="shared" si="5"/>
        <v>0</v>
      </c>
      <c r="R37" s="1280">
        <f t="shared" si="5"/>
        <v>0</v>
      </c>
      <c r="S37" s="1281">
        <f t="shared" si="5"/>
        <v>0</v>
      </c>
      <c r="T37" s="1843"/>
      <c r="U37" s="1219"/>
      <c r="V37" s="1281"/>
      <c r="W37" s="1104"/>
      <c r="X37" s="1281"/>
      <c r="Y37" s="1896"/>
      <c r="Z37" s="1201"/>
      <c r="AA37" s="1201"/>
      <c r="AB37" s="1201"/>
      <c r="AC37" s="1201"/>
      <c r="AD37" s="1202"/>
      <c r="AE37" s="1282"/>
      <c r="AF37" s="1201"/>
      <c r="AG37" s="1201"/>
      <c r="AH37" s="1117"/>
      <c r="AI37" s="1201"/>
      <c r="AJ37" s="1202"/>
      <c r="AK37" s="1203"/>
      <c r="AL37" s="1283"/>
      <c r="AM37" s="1201"/>
      <c r="AN37" s="1284"/>
      <c r="AO37" s="1201"/>
      <c r="AP37" s="1202"/>
      <c r="AQ37" s="1203"/>
      <c r="AR37" s="1283"/>
      <c r="AS37" s="1201"/>
      <c r="AT37" s="1117"/>
      <c r="AU37" s="1201"/>
      <c r="AV37" s="1202"/>
      <c r="AW37" s="1202"/>
      <c r="AX37" s="1204"/>
      <c r="AY37" s="1198"/>
      <c r="AZ37" s="1200"/>
      <c r="BA37" s="1201"/>
      <c r="BB37" s="1202"/>
      <c r="BC37" s="1203"/>
      <c r="BD37" s="1210"/>
      <c r="BE37" s="1199"/>
      <c r="BF37" s="1200"/>
      <c r="BG37" s="1201"/>
      <c r="BH37" s="1202"/>
      <c r="BI37" s="1203"/>
      <c r="BJ37" s="1283"/>
      <c r="BK37" s="1201"/>
      <c r="BL37" s="1117"/>
      <c r="BM37" s="1201"/>
      <c r="BN37" s="1202"/>
      <c r="BO37" s="1202"/>
      <c r="BP37" s="1285"/>
      <c r="BQ37" s="1285"/>
      <c r="BR37" s="1213"/>
      <c r="BS37" s="1"/>
      <c r="BT37" s="1192">
        <f t="shared" si="6"/>
        <v>0</v>
      </c>
    </row>
    <row r="38" spans="1:72" ht="18" x14ac:dyDescent="0.35">
      <c r="A38" s="197"/>
      <c r="B38" s="134"/>
      <c r="C38" s="190"/>
      <c r="D38" s="135" t="s">
        <v>80</v>
      </c>
      <c r="E38" s="136">
        <v>2.5</v>
      </c>
      <c r="F38" s="136" t="e">
        <f t="shared" si="7"/>
        <v>#DIV/0!</v>
      </c>
      <c r="G38" s="137"/>
      <c r="H38" s="269">
        <f t="shared" si="8"/>
        <v>0</v>
      </c>
      <c r="I38" s="849"/>
      <c r="J38" s="375"/>
      <c r="K38" s="1273">
        <f t="shared" si="5"/>
        <v>0</v>
      </c>
      <c r="L38" s="1274">
        <f t="shared" si="5"/>
        <v>0</v>
      </c>
      <c r="M38" s="1273">
        <f t="shared" si="5"/>
        <v>0</v>
      </c>
      <c r="N38" s="1274">
        <f t="shared" si="5"/>
        <v>0</v>
      </c>
      <c r="O38" s="1273">
        <f t="shared" si="5"/>
        <v>0</v>
      </c>
      <c r="P38" s="1274">
        <f t="shared" si="5"/>
        <v>0</v>
      </c>
      <c r="Q38" s="1273">
        <f t="shared" si="5"/>
        <v>0</v>
      </c>
      <c r="R38" s="1280">
        <f t="shared" si="5"/>
        <v>0</v>
      </c>
      <c r="S38" s="1281">
        <f t="shared" si="5"/>
        <v>0</v>
      </c>
      <c r="T38" s="1843"/>
      <c r="U38" s="1219"/>
      <c r="V38" s="1281"/>
      <c r="W38" s="1219"/>
      <c r="X38" s="1281"/>
      <c r="Y38" s="1896"/>
      <c r="Z38" s="1201"/>
      <c r="AA38" s="1201"/>
      <c r="AB38" s="1201"/>
      <c r="AC38" s="1201"/>
      <c r="AD38" s="1202"/>
      <c r="AE38" s="1282"/>
      <c r="AF38" s="1201"/>
      <c r="AG38" s="1201"/>
      <c r="AH38" s="1117"/>
      <c r="AI38" s="1201"/>
      <c r="AJ38" s="1202"/>
      <c r="AK38" s="1203"/>
      <c r="AL38" s="1283"/>
      <c r="AM38" s="1201"/>
      <c r="AN38" s="1284"/>
      <c r="AO38" s="1201"/>
      <c r="AP38" s="1202"/>
      <c r="AQ38" s="1203"/>
      <c r="AR38" s="1283"/>
      <c r="AS38" s="1201"/>
      <c r="AT38" s="1117"/>
      <c r="AU38" s="1201"/>
      <c r="AV38" s="1202"/>
      <c r="AW38" s="1202"/>
      <c r="AX38" s="1204"/>
      <c r="AY38" s="1198"/>
      <c r="AZ38" s="1200"/>
      <c r="BA38" s="1201"/>
      <c r="BB38" s="1202"/>
      <c r="BC38" s="1203"/>
      <c r="BD38" s="1210"/>
      <c r="BE38" s="1199"/>
      <c r="BF38" s="1200"/>
      <c r="BG38" s="1201"/>
      <c r="BH38" s="1202"/>
      <c r="BI38" s="1203"/>
      <c r="BJ38" s="1283"/>
      <c r="BK38" s="1201"/>
      <c r="BL38" s="1117"/>
      <c r="BM38" s="1201"/>
      <c r="BN38" s="1202"/>
      <c r="BO38" s="1202"/>
      <c r="BP38" s="1285"/>
      <c r="BQ38" s="1285"/>
      <c r="BR38" s="1213"/>
      <c r="BS38" s="1"/>
      <c r="BT38" s="1192">
        <f t="shared" si="6"/>
        <v>0</v>
      </c>
    </row>
    <row r="39" spans="1:72" ht="18" x14ac:dyDescent="0.35">
      <c r="A39" s="189"/>
      <c r="B39" s="181"/>
      <c r="C39" s="181"/>
      <c r="D39" s="182" t="s">
        <v>80</v>
      </c>
      <c r="E39" s="136">
        <v>2.5</v>
      </c>
      <c r="F39" s="136" t="e">
        <f t="shared" si="7"/>
        <v>#DIV/0!</v>
      </c>
      <c r="G39" s="137"/>
      <c r="H39" s="269">
        <f t="shared" si="8"/>
        <v>0</v>
      </c>
      <c r="I39" s="849"/>
      <c r="J39" s="375"/>
      <c r="K39" s="1273">
        <f t="shared" si="5"/>
        <v>0</v>
      </c>
      <c r="L39" s="1274">
        <f t="shared" si="5"/>
        <v>0</v>
      </c>
      <c r="M39" s="1273">
        <f t="shared" si="5"/>
        <v>0</v>
      </c>
      <c r="N39" s="1274">
        <f t="shared" si="5"/>
        <v>0</v>
      </c>
      <c r="O39" s="1273">
        <f t="shared" si="5"/>
        <v>0</v>
      </c>
      <c r="P39" s="1274">
        <f t="shared" si="5"/>
        <v>0</v>
      </c>
      <c r="Q39" s="1273">
        <f t="shared" si="5"/>
        <v>0</v>
      </c>
      <c r="R39" s="1194">
        <f t="shared" si="5"/>
        <v>0</v>
      </c>
      <c r="S39" s="1281">
        <f t="shared" si="5"/>
        <v>0</v>
      </c>
      <c r="T39" s="1843"/>
      <c r="U39" s="1219"/>
      <c r="V39" s="1281"/>
      <c r="W39" s="1219"/>
      <c r="X39" s="1281"/>
      <c r="Y39" s="1896"/>
      <c r="Z39" s="1201"/>
      <c r="AA39" s="1201"/>
      <c r="AB39" s="1201"/>
      <c r="AC39" s="1118"/>
      <c r="AD39" s="1211"/>
      <c r="AE39" s="1282"/>
      <c r="AF39" s="1201"/>
      <c r="AG39" s="1286"/>
      <c r="AH39" s="1117"/>
      <c r="AI39" s="1201"/>
      <c r="AJ39" s="1202"/>
      <c r="AK39" s="1203"/>
      <c r="AL39" s="1283"/>
      <c r="AM39" s="1201"/>
      <c r="AN39" s="1284"/>
      <c r="AO39" s="1201"/>
      <c r="AP39" s="1202"/>
      <c r="AQ39" s="1203"/>
      <c r="AR39" s="1283"/>
      <c r="AS39" s="1201"/>
      <c r="AT39" s="1117"/>
      <c r="AU39" s="1201"/>
      <c r="AV39" s="1202"/>
      <c r="AW39" s="1202"/>
      <c r="AX39" s="1204"/>
      <c r="AY39" s="1198"/>
      <c r="AZ39" s="1200"/>
      <c r="BA39" s="1201"/>
      <c r="BB39" s="1202"/>
      <c r="BC39" s="1203"/>
      <c r="BD39" s="1210"/>
      <c r="BE39" s="1199"/>
      <c r="BF39" s="1200"/>
      <c r="BG39" s="1201"/>
      <c r="BH39" s="1202"/>
      <c r="BI39" s="1203"/>
      <c r="BJ39" s="1283"/>
      <c r="BK39" s="1201"/>
      <c r="BL39" s="1117"/>
      <c r="BM39" s="1201"/>
      <c r="BN39" s="1202"/>
      <c r="BO39" s="1202"/>
      <c r="BP39" s="1285"/>
      <c r="BQ39" s="1285"/>
      <c r="BR39" s="1213"/>
      <c r="BS39" s="1"/>
      <c r="BT39" s="1192">
        <f t="shared" si="6"/>
        <v>0</v>
      </c>
    </row>
    <row r="40" spans="1:72" ht="18" x14ac:dyDescent="0.35">
      <c r="A40" s="197"/>
      <c r="B40" s="190"/>
      <c r="C40" s="190"/>
      <c r="D40" s="135" t="s">
        <v>80</v>
      </c>
      <c r="E40" s="136">
        <v>3</v>
      </c>
      <c r="F40" s="136" t="e">
        <f t="shared" si="7"/>
        <v>#DIV/0!</v>
      </c>
      <c r="G40" s="137"/>
      <c r="H40" s="269">
        <f t="shared" si="8"/>
        <v>0</v>
      </c>
      <c r="I40" s="849"/>
      <c r="J40" s="362"/>
      <c r="K40" s="1287">
        <f>(J40-$H40)+AY40</f>
        <v>0</v>
      </c>
      <c r="L40" s="1288">
        <f>(K40-$H40)+BE40</f>
        <v>0</v>
      </c>
      <c r="M40" s="1287">
        <f>(L40-$H40)+BK40</f>
        <v>0</v>
      </c>
      <c r="N40" s="1288">
        <f>(M40-$H40)+AA40</f>
        <v>0</v>
      </c>
      <c r="O40" s="1287">
        <f>(N40-$H40)+AG40</f>
        <v>0</v>
      </c>
      <c r="P40" s="1288">
        <f>(O40-$H40)+AM40</f>
        <v>0</v>
      </c>
      <c r="Q40" s="1287">
        <f>(P40-$H40)+AS40</f>
        <v>0</v>
      </c>
      <c r="R40" s="1289">
        <f t="shared" si="5"/>
        <v>0</v>
      </c>
      <c r="S40" s="1281">
        <f t="shared" si="5"/>
        <v>0</v>
      </c>
      <c r="T40" s="1843"/>
      <c r="U40" s="1219"/>
      <c r="V40" s="1281"/>
      <c r="W40" s="1219"/>
      <c r="X40" s="1281"/>
      <c r="Y40" s="1896"/>
      <c r="Z40" s="1201"/>
      <c r="AA40" s="1201"/>
      <c r="AB40" s="1201"/>
      <c r="AC40" s="1201"/>
      <c r="AD40" s="1202"/>
      <c r="AE40" s="1282"/>
      <c r="AF40" s="1201"/>
      <c r="AG40" s="1286"/>
      <c r="AH40" s="1117"/>
      <c r="AI40" s="1201"/>
      <c r="AJ40" s="1202"/>
      <c r="AK40" s="1203"/>
      <c r="AL40" s="1283"/>
      <c r="AM40" s="1201"/>
      <c r="AN40" s="1284"/>
      <c r="AO40" s="1201"/>
      <c r="AP40" s="1202"/>
      <c r="AQ40" s="1203"/>
      <c r="AR40" s="1283"/>
      <c r="AS40" s="1201"/>
      <c r="AT40" s="1117"/>
      <c r="AU40" s="1201"/>
      <c r="AV40" s="1202"/>
      <c r="AW40" s="1202"/>
      <c r="AX40" s="1204"/>
      <c r="AY40" s="1198"/>
      <c r="AZ40" s="1200"/>
      <c r="BA40" s="1201"/>
      <c r="BB40" s="1202"/>
      <c r="BC40" s="1203"/>
      <c r="BD40" s="1210"/>
      <c r="BE40" s="1199"/>
      <c r="BF40" s="1200"/>
      <c r="BG40" s="1201"/>
      <c r="BH40" s="1202"/>
      <c r="BI40" s="1203"/>
      <c r="BJ40" s="1283"/>
      <c r="BK40" s="1201"/>
      <c r="BL40" s="1117"/>
      <c r="BM40" s="1201"/>
      <c r="BN40" s="1202"/>
      <c r="BO40" s="1202"/>
      <c r="BP40" s="1285"/>
      <c r="BQ40" s="1285"/>
      <c r="BR40" s="1213"/>
      <c r="BS40" s="1"/>
      <c r="BT40" s="1192">
        <f t="shared" si="6"/>
        <v>0</v>
      </c>
    </row>
    <row r="41" spans="1:72" ht="15" thickBot="1" x14ac:dyDescent="0.35">
      <c r="A41" s="200"/>
      <c r="B41" s="201"/>
      <c r="C41" s="202"/>
      <c r="D41" s="203" t="s">
        <v>80</v>
      </c>
      <c r="E41" s="204">
        <v>3</v>
      </c>
      <c r="F41" s="205" t="e">
        <f t="shared" si="7"/>
        <v>#DIV/0!</v>
      </c>
      <c r="G41" s="206"/>
      <c r="H41" s="830">
        <f t="shared" si="8"/>
        <v>0</v>
      </c>
      <c r="I41" s="814"/>
      <c r="J41" s="814"/>
      <c r="K41" s="1290">
        <f>(J41-$H41)+AY41</f>
        <v>0</v>
      </c>
      <c r="L41" s="1291">
        <f>(K41-$H41)+BE41</f>
        <v>0</v>
      </c>
      <c r="M41" s="1290">
        <f>(L41-$H41)+BK41</f>
        <v>0</v>
      </c>
      <c r="N41" s="1291">
        <f>(M41-$H41)+AA41</f>
        <v>0</v>
      </c>
      <c r="O41" s="1290">
        <f>(N41-$H41)+AG41</f>
        <v>0</v>
      </c>
      <c r="P41" s="1291">
        <f>(O41-$H41)+AM41</f>
        <v>0</v>
      </c>
      <c r="Q41" s="1290">
        <f>(P41-$H41)+AS41</f>
        <v>0</v>
      </c>
      <c r="R41" s="1292">
        <f t="shared" si="5"/>
        <v>0</v>
      </c>
      <c r="S41" s="1293">
        <f t="shared" si="5"/>
        <v>0</v>
      </c>
      <c r="T41" s="1903"/>
      <c r="U41" s="1904"/>
      <c r="V41" s="1905"/>
      <c r="W41" s="1904"/>
      <c r="X41" s="1905"/>
      <c r="Y41" s="1906"/>
      <c r="Z41" s="1294"/>
      <c r="AA41" s="1294"/>
      <c r="AB41" s="1294"/>
      <c r="AC41" s="1295"/>
      <c r="AD41" s="1296"/>
      <c r="AE41" s="1297"/>
      <c r="AF41" s="1294"/>
      <c r="AG41" s="1295"/>
      <c r="AH41" s="1298"/>
      <c r="AI41" s="1294"/>
      <c r="AJ41" s="1296"/>
      <c r="AK41" s="1299"/>
      <c r="AL41" s="1300"/>
      <c r="AM41" s="1294"/>
      <c r="AN41" s="1301"/>
      <c r="AO41" s="1294"/>
      <c r="AP41" s="1296"/>
      <c r="AQ41" s="1299"/>
      <c r="AR41" s="1300"/>
      <c r="AS41" s="1294"/>
      <c r="AT41" s="1298"/>
      <c r="AU41" s="1294"/>
      <c r="AV41" s="1296"/>
      <c r="AW41" s="1296"/>
      <c r="AX41" s="1302"/>
      <c r="AY41" s="1303"/>
      <c r="AZ41" s="1304"/>
      <c r="BA41" s="1294"/>
      <c r="BB41" s="1296"/>
      <c r="BC41" s="1299"/>
      <c r="BD41" s="1302"/>
      <c r="BE41" s="1305"/>
      <c r="BF41" s="1304"/>
      <c r="BG41" s="1294"/>
      <c r="BH41" s="1296"/>
      <c r="BI41" s="1299"/>
      <c r="BJ41" s="1300"/>
      <c r="BK41" s="1294"/>
      <c r="BL41" s="1298"/>
      <c r="BM41" s="1294"/>
      <c r="BN41" s="1296"/>
      <c r="BO41" s="1296"/>
      <c r="BP41" s="1306"/>
      <c r="BQ41" s="1306"/>
      <c r="BR41" s="1307"/>
      <c r="BS41" s="1"/>
      <c r="BT41" s="1192">
        <f t="shared" si="6"/>
        <v>0</v>
      </c>
    </row>
    <row r="42" spans="1:72" x14ac:dyDescent="0.3">
      <c r="A42" s="1"/>
      <c r="B42" s="1"/>
      <c r="C42" s="1"/>
      <c r="D42" s="1"/>
      <c r="E42" s="1"/>
      <c r="F42" s="1"/>
      <c r="G42" s="1"/>
      <c r="H42" s="1"/>
      <c r="I42" s="815"/>
      <c r="J42" s="815"/>
      <c r="K42" s="1085"/>
      <c r="L42" s="1085"/>
      <c r="M42" s="1085"/>
      <c r="N42" s="1085"/>
      <c r="O42" s="1085"/>
      <c r="P42" s="1085"/>
      <c r="Q42" s="1085"/>
      <c r="R42" s="1085"/>
      <c r="S42" s="1085"/>
      <c r="T42" s="1310"/>
      <c r="U42" s="1085"/>
      <c r="V42" s="1085"/>
      <c r="W42" s="1085"/>
      <c r="X42" s="1085"/>
      <c r="Y42" s="1309"/>
      <c r="Z42" s="1085">
        <f>SUM(Z28:Z41)</f>
        <v>0</v>
      </c>
      <c r="AA42" s="1085">
        <f t="shared" ref="AA42:BO42" si="9">SUM(AA28:AA41)</f>
        <v>0</v>
      </c>
      <c r="AB42" s="1085">
        <f t="shared" si="9"/>
        <v>0</v>
      </c>
      <c r="AC42" s="1085">
        <f t="shared" si="9"/>
        <v>0</v>
      </c>
      <c r="AD42" s="1085">
        <f t="shared" si="9"/>
        <v>0</v>
      </c>
      <c r="AE42" s="1308">
        <f t="shared" si="9"/>
        <v>0</v>
      </c>
      <c r="AF42" s="1085">
        <f t="shared" si="9"/>
        <v>3000</v>
      </c>
      <c r="AG42" s="1085">
        <f t="shared" si="9"/>
        <v>0</v>
      </c>
      <c r="AH42" s="1085">
        <f t="shared" si="9"/>
        <v>0</v>
      </c>
      <c r="AI42" s="1085">
        <f t="shared" si="9"/>
        <v>0</v>
      </c>
      <c r="AJ42" s="1085">
        <f t="shared" si="9"/>
        <v>0</v>
      </c>
      <c r="AK42" s="1309">
        <f t="shared" si="9"/>
        <v>0</v>
      </c>
      <c r="AL42" s="1310">
        <f t="shared" si="9"/>
        <v>3000</v>
      </c>
      <c r="AM42" s="1085">
        <f t="shared" si="9"/>
        <v>0</v>
      </c>
      <c r="AN42" s="1085">
        <f t="shared" si="9"/>
        <v>0</v>
      </c>
      <c r="AO42" s="1085">
        <f t="shared" si="9"/>
        <v>0</v>
      </c>
      <c r="AP42" s="1085">
        <f t="shared" si="9"/>
        <v>0</v>
      </c>
      <c r="AQ42" s="1309">
        <f t="shared" si="9"/>
        <v>0</v>
      </c>
      <c r="AR42" s="1310">
        <f t="shared" si="9"/>
        <v>0</v>
      </c>
      <c r="AS42" s="1085">
        <f t="shared" si="9"/>
        <v>0</v>
      </c>
      <c r="AT42" s="1085">
        <f t="shared" si="9"/>
        <v>0</v>
      </c>
      <c r="AU42" s="1085">
        <f t="shared" si="9"/>
        <v>0</v>
      </c>
      <c r="AV42" s="1085">
        <f t="shared" si="9"/>
        <v>0</v>
      </c>
      <c r="AW42" s="1085">
        <f t="shared" si="9"/>
        <v>0</v>
      </c>
      <c r="AX42" s="1310">
        <f t="shared" si="9"/>
        <v>0</v>
      </c>
      <c r="AY42" s="1085">
        <f t="shared" si="9"/>
        <v>0</v>
      </c>
      <c r="AZ42" s="1085">
        <f t="shared" si="9"/>
        <v>0</v>
      </c>
      <c r="BA42" s="1085">
        <f t="shared" si="9"/>
        <v>0</v>
      </c>
      <c r="BB42" s="1085">
        <f t="shared" si="9"/>
        <v>0</v>
      </c>
      <c r="BC42" s="1309">
        <f t="shared" si="9"/>
        <v>0</v>
      </c>
      <c r="BD42" s="1310">
        <f t="shared" si="9"/>
        <v>0</v>
      </c>
      <c r="BE42" s="1085">
        <f t="shared" si="9"/>
        <v>0</v>
      </c>
      <c r="BF42" s="1085">
        <f t="shared" si="9"/>
        <v>0</v>
      </c>
      <c r="BG42" s="1085">
        <f t="shared" si="9"/>
        <v>0</v>
      </c>
      <c r="BH42" s="1085">
        <f t="shared" si="9"/>
        <v>0</v>
      </c>
      <c r="BI42" s="1309">
        <f t="shared" si="9"/>
        <v>0</v>
      </c>
      <c r="BJ42" s="1310">
        <f t="shared" si="9"/>
        <v>0</v>
      </c>
      <c r="BK42" s="1085">
        <f t="shared" si="9"/>
        <v>0</v>
      </c>
      <c r="BL42" s="1085">
        <f t="shared" si="9"/>
        <v>0</v>
      </c>
      <c r="BM42" s="1085">
        <f t="shared" si="9"/>
        <v>0</v>
      </c>
      <c r="BN42" s="1085">
        <f t="shared" si="9"/>
        <v>0</v>
      </c>
      <c r="BO42" s="1309">
        <f t="shared" si="9"/>
        <v>0</v>
      </c>
      <c r="BP42" s="1310"/>
      <c r="BQ42" s="1085"/>
      <c r="BR42" s="1309"/>
      <c r="BS42" s="1085">
        <f>SUM(Z42:BR42)</f>
        <v>6000</v>
      </c>
      <c r="BT42" s="1192">
        <f>SUM(BT28:BT41)</f>
        <v>6000</v>
      </c>
    </row>
    <row r="43" spans="1:72" x14ac:dyDescent="0.3">
      <c r="A43" s="1"/>
      <c r="B43" s="1"/>
      <c r="C43" s="1"/>
      <c r="D43" s="1"/>
      <c r="E43" s="1"/>
      <c r="F43" s="1"/>
      <c r="G43" s="1"/>
      <c r="H43" s="1"/>
      <c r="I43" s="815"/>
      <c r="J43" s="815"/>
      <c r="K43" s="1085"/>
      <c r="L43" s="1085"/>
      <c r="M43" s="1085"/>
      <c r="N43" s="1085"/>
      <c r="O43" s="1085"/>
      <c r="P43" s="1085"/>
      <c r="Q43" s="1085"/>
      <c r="R43" s="1085"/>
      <c r="S43" s="1085"/>
      <c r="T43" s="1310"/>
      <c r="U43" s="1085"/>
      <c r="V43" s="1085"/>
      <c r="W43" s="1085"/>
      <c r="X43" s="1085"/>
      <c r="Y43" s="1309"/>
      <c r="Z43" s="1085"/>
      <c r="AA43" s="1085"/>
      <c r="AB43" s="1085"/>
      <c r="AC43" s="1085"/>
      <c r="AD43" s="1085"/>
      <c r="AE43" s="1308"/>
      <c r="AF43" s="1085"/>
      <c r="AG43" s="1085"/>
      <c r="AH43" s="1085"/>
      <c r="AI43" s="1085"/>
      <c r="AJ43" s="1085"/>
      <c r="AK43" s="1309"/>
      <c r="AL43" s="1310"/>
      <c r="AM43" s="1085"/>
      <c r="AN43" s="1085"/>
      <c r="AO43" s="1085"/>
      <c r="AP43" s="1085"/>
      <c r="AQ43" s="1309"/>
      <c r="AR43" s="1310"/>
      <c r="AS43" s="1085"/>
      <c r="AT43" s="1085"/>
      <c r="AU43" s="1085"/>
      <c r="AV43" s="1085"/>
      <c r="AW43" s="1085"/>
      <c r="AX43" s="1310"/>
      <c r="AY43" s="1085"/>
      <c r="AZ43" s="1085"/>
      <c r="BA43" s="1085"/>
      <c r="BB43" s="1085"/>
      <c r="BC43" s="1309"/>
      <c r="BD43" s="1310"/>
      <c r="BE43" s="1085"/>
      <c r="BF43" s="1085"/>
      <c r="BG43" s="1085"/>
      <c r="BH43" s="1085"/>
      <c r="BI43" s="1309"/>
      <c r="BJ43" s="1310"/>
      <c r="BK43" s="1085"/>
      <c r="BL43" s="1085"/>
      <c r="BM43" s="1085"/>
      <c r="BN43" s="1085"/>
      <c r="BO43" s="1309"/>
      <c r="BP43" s="1310"/>
      <c r="BQ43" s="1085"/>
      <c r="BR43" s="1309"/>
      <c r="BS43" s="1"/>
    </row>
    <row r="44" spans="1:72" ht="15" thickBot="1" x14ac:dyDescent="0.35">
      <c r="A44" s="1"/>
      <c r="B44" s="1"/>
      <c r="C44" s="1"/>
      <c r="D44" s="1"/>
      <c r="E44" s="1"/>
      <c r="F44" s="1"/>
      <c r="G44" s="1"/>
      <c r="H44" s="1"/>
      <c r="I44" s="815"/>
      <c r="J44" s="815"/>
      <c r="K44" s="1085"/>
      <c r="L44" s="1085"/>
      <c r="M44" s="1085"/>
      <c r="N44" s="1085"/>
      <c r="O44" s="1085"/>
      <c r="P44" s="1085"/>
      <c r="Q44" s="1085"/>
      <c r="R44" s="1085"/>
      <c r="S44" s="1085"/>
      <c r="T44" s="1310"/>
      <c r="U44" s="1085"/>
      <c r="V44" s="1085"/>
      <c r="W44" s="1085"/>
      <c r="X44" s="1085"/>
      <c r="Y44" s="1309"/>
      <c r="Z44" s="1085"/>
      <c r="AA44" s="1085"/>
      <c r="AB44" s="1085"/>
      <c r="AC44" s="1085"/>
      <c r="AD44" s="1085"/>
      <c r="AE44" s="1308"/>
      <c r="AF44" s="1085"/>
      <c r="AG44" s="1085"/>
      <c r="AH44" s="1085"/>
      <c r="AI44" s="1085"/>
      <c r="AJ44" s="1085"/>
      <c r="AK44" s="1309"/>
      <c r="AL44" s="1310"/>
      <c r="AM44" s="1085"/>
      <c r="AN44" s="1085"/>
      <c r="AO44" s="1085"/>
      <c r="AP44" s="1085"/>
      <c r="AQ44" s="1309"/>
      <c r="AR44" s="1310"/>
      <c r="AS44" s="1085"/>
      <c r="AT44" s="1085"/>
      <c r="AU44" s="1085"/>
      <c r="AV44" s="1085"/>
      <c r="AW44" s="1085"/>
      <c r="AX44" s="1310"/>
      <c r="AY44" s="1085"/>
      <c r="AZ44" s="1085"/>
      <c r="BA44" s="1085"/>
      <c r="BB44" s="1085"/>
      <c r="BC44" s="1309"/>
      <c r="BD44" s="1310"/>
      <c r="BE44" s="1085"/>
      <c r="BF44" s="1085"/>
      <c r="BG44" s="1085"/>
      <c r="BH44" s="1085"/>
      <c r="BI44" s="1309"/>
      <c r="BJ44" s="1310"/>
      <c r="BK44" s="1085"/>
      <c r="BL44" s="1085"/>
      <c r="BM44" s="1085"/>
      <c r="BN44" s="1085"/>
      <c r="BO44" s="1309"/>
      <c r="BP44" s="1310"/>
      <c r="BQ44" s="1085"/>
      <c r="BR44" s="1309"/>
      <c r="BS44" s="1"/>
    </row>
    <row r="45" spans="1:72" ht="16.8" thickTop="1" thickBot="1" x14ac:dyDescent="0.35">
      <c r="A45" s="875" t="s">
        <v>28</v>
      </c>
      <c r="B45" s="876"/>
      <c r="C45" s="250"/>
      <c r="D45" s="1"/>
      <c r="E45" s="79"/>
      <c r="F45" s="712"/>
      <c r="G45" s="1"/>
      <c r="H45" s="1"/>
      <c r="I45" s="815"/>
      <c r="J45" s="815"/>
      <c r="K45" s="1085"/>
      <c r="L45" s="1085">
        <f>+L48+K48</f>
        <v>5046</v>
      </c>
      <c r="M45" s="1085">
        <f>+M48-L48</f>
        <v>-318</v>
      </c>
      <c r="N45" s="1085"/>
      <c r="O45" s="1085"/>
      <c r="P45" s="1085"/>
      <c r="Q45" s="1085"/>
      <c r="R45" s="1085"/>
      <c r="S45" s="1085"/>
      <c r="T45" s="1310"/>
      <c r="U45" s="1085"/>
      <c r="V45" s="1085"/>
      <c r="W45" s="1085"/>
      <c r="X45" s="1085"/>
      <c r="Y45" s="1309"/>
      <c r="Z45" s="1085"/>
      <c r="AA45" s="1133"/>
      <c r="AB45" s="1085"/>
      <c r="AC45" s="1085"/>
      <c r="AD45" s="1085"/>
      <c r="AE45" s="1308"/>
      <c r="AF45" s="1133"/>
      <c r="AG45" s="1085"/>
      <c r="AH45" s="1085"/>
      <c r="AI45" s="1085"/>
      <c r="AJ45" s="1085"/>
      <c r="AK45" s="1309"/>
      <c r="AL45" s="1310"/>
      <c r="AM45" s="1085"/>
      <c r="AN45" s="1133"/>
      <c r="AO45" s="1085"/>
      <c r="AP45" s="1085"/>
      <c r="AQ45" s="1309"/>
      <c r="AR45" s="1310"/>
      <c r="AS45" s="1085"/>
      <c r="AT45" s="1085"/>
      <c r="AU45" s="1311"/>
      <c r="AV45" s="1085"/>
      <c r="AW45" s="1085"/>
      <c r="AX45" s="1310"/>
      <c r="AY45" s="1085"/>
      <c r="AZ45" s="1085"/>
      <c r="BA45" s="1085"/>
      <c r="BB45" s="1085"/>
      <c r="BC45" s="1309"/>
      <c r="BD45" s="1310"/>
      <c r="BE45" s="1133"/>
      <c r="BF45" s="1133"/>
      <c r="BG45" s="1085"/>
      <c r="BH45" s="1085"/>
      <c r="BI45" s="1309"/>
      <c r="BJ45" s="1310"/>
      <c r="BK45" s="1085"/>
      <c r="BL45" s="1133"/>
      <c r="BM45" s="1085"/>
      <c r="BN45" s="1085"/>
      <c r="BO45" s="1309"/>
      <c r="BP45" s="1310"/>
      <c r="BQ45" s="1085"/>
      <c r="BR45" s="1309"/>
      <c r="BS45" s="1"/>
    </row>
    <row r="46" spans="1:72" ht="16.8" thickTop="1" thickBot="1" x14ac:dyDescent="0.35">
      <c r="A46" s="884" t="s">
        <v>29</v>
      </c>
      <c r="B46" s="885" t="s">
        <v>30</v>
      </c>
      <c r="C46" s="886" t="s">
        <v>31</v>
      </c>
      <c r="D46" s="887" t="s">
        <v>2</v>
      </c>
      <c r="E46" s="888" t="s">
        <v>32</v>
      </c>
      <c r="F46" s="888" t="s">
        <v>33</v>
      </c>
      <c r="G46" s="889" t="s">
        <v>34</v>
      </c>
      <c r="H46" s="890" t="s">
        <v>35</v>
      </c>
      <c r="I46" s="891" t="s">
        <v>36</v>
      </c>
      <c r="J46" s="811" t="s">
        <v>37</v>
      </c>
      <c r="K46" s="1312" t="s">
        <v>38</v>
      </c>
      <c r="L46" s="1313" t="s">
        <v>39</v>
      </c>
      <c r="M46" s="1313" t="s">
        <v>40</v>
      </c>
      <c r="N46" s="1313" t="s">
        <v>41</v>
      </c>
      <c r="O46" s="1313" t="s">
        <v>42</v>
      </c>
      <c r="P46" s="1313" t="s">
        <v>43</v>
      </c>
      <c r="Q46" s="1314" t="s">
        <v>44</v>
      </c>
      <c r="R46" s="1313" t="s">
        <v>38</v>
      </c>
      <c r="S46" s="1314" t="s">
        <v>45</v>
      </c>
      <c r="T46" s="1740" t="s">
        <v>81</v>
      </c>
      <c r="U46" s="1741" t="s">
        <v>82</v>
      </c>
      <c r="V46" s="1736" t="s">
        <v>83</v>
      </c>
      <c r="W46" s="1742" t="s">
        <v>3</v>
      </c>
      <c r="X46" s="1935" t="s">
        <v>3</v>
      </c>
      <c r="Y46" s="1743" t="s">
        <v>3</v>
      </c>
      <c r="Z46" s="1315" t="s">
        <v>84</v>
      </c>
      <c r="AA46" s="1315" t="s">
        <v>85</v>
      </c>
      <c r="AB46" s="1316" t="s">
        <v>86</v>
      </c>
      <c r="AC46" s="1317" t="s">
        <v>51</v>
      </c>
      <c r="AD46" s="1318" t="s">
        <v>51</v>
      </c>
      <c r="AE46" s="1319" t="s">
        <v>51</v>
      </c>
      <c r="AF46" s="1315" t="s">
        <v>87</v>
      </c>
      <c r="AG46" s="1315" t="s">
        <v>88</v>
      </c>
      <c r="AH46" s="1316" t="s">
        <v>89</v>
      </c>
      <c r="AI46" s="1317" t="s">
        <v>5</v>
      </c>
      <c r="AJ46" s="1320" t="s">
        <v>5</v>
      </c>
      <c r="AK46" s="1320" t="s">
        <v>55</v>
      </c>
      <c r="AL46" s="1321" t="s">
        <v>90</v>
      </c>
      <c r="AM46" s="1315" t="s">
        <v>91</v>
      </c>
      <c r="AN46" s="1316" t="s">
        <v>92</v>
      </c>
      <c r="AO46" s="1317" t="s">
        <v>59</v>
      </c>
      <c r="AP46" s="1320" t="s">
        <v>59</v>
      </c>
      <c r="AQ46" s="1320" t="s">
        <v>59</v>
      </c>
      <c r="AR46" s="1321" t="s">
        <v>93</v>
      </c>
      <c r="AS46" s="1315" t="s">
        <v>94</v>
      </c>
      <c r="AT46" s="1322" t="s">
        <v>95</v>
      </c>
      <c r="AU46" s="1323" t="s">
        <v>63</v>
      </c>
      <c r="AV46" s="1320" t="s">
        <v>7</v>
      </c>
      <c r="AW46" s="1320" t="s">
        <v>7</v>
      </c>
      <c r="AX46" s="1321" t="s">
        <v>96</v>
      </c>
      <c r="AY46" s="1315" t="s">
        <v>97</v>
      </c>
      <c r="AZ46" s="1322" t="s">
        <v>98</v>
      </c>
      <c r="BA46" s="1324" t="s">
        <v>8</v>
      </c>
      <c r="BB46" s="1325" t="s">
        <v>8</v>
      </c>
      <c r="BC46" s="1326" t="s">
        <v>8</v>
      </c>
      <c r="BD46" s="1321" t="s">
        <v>99</v>
      </c>
      <c r="BE46" s="1315" t="s">
        <v>100</v>
      </c>
      <c r="BF46" s="1316" t="s">
        <v>101</v>
      </c>
      <c r="BG46" s="1163" t="s">
        <v>9</v>
      </c>
      <c r="BH46" s="1163" t="s">
        <v>9</v>
      </c>
      <c r="BI46" s="1320" t="s">
        <v>9</v>
      </c>
      <c r="BJ46" s="1321" t="s">
        <v>99</v>
      </c>
      <c r="BK46" s="1315" t="s">
        <v>100</v>
      </c>
      <c r="BL46" s="1322" t="s">
        <v>101</v>
      </c>
      <c r="BM46" s="1323" t="s">
        <v>9</v>
      </c>
      <c r="BN46" s="1164" t="s">
        <v>9</v>
      </c>
      <c r="BO46" s="1320" t="s">
        <v>9</v>
      </c>
      <c r="BP46" s="1327" t="s">
        <v>70</v>
      </c>
      <c r="BQ46" s="1317" t="s">
        <v>71</v>
      </c>
      <c r="BR46" s="1328" t="s">
        <v>72</v>
      </c>
      <c r="BS46" s="1"/>
    </row>
    <row r="47" spans="1:72" ht="18" x14ac:dyDescent="0.35">
      <c r="A47" s="2739"/>
      <c r="B47" s="866"/>
      <c r="C47" s="329" t="s">
        <v>444</v>
      </c>
      <c r="D47" s="290" t="s">
        <v>102</v>
      </c>
      <c r="E47" s="880"/>
      <c r="F47" s="291" t="e">
        <f t="shared" ref="F47:F62" si="10">(BR47/G47)/7</f>
        <v>#DIV/0!</v>
      </c>
      <c r="G47" s="157"/>
      <c r="H47" s="834">
        <f>G47*E47</f>
        <v>0</v>
      </c>
      <c r="I47" s="362"/>
      <c r="J47" s="362"/>
      <c r="K47" s="1329">
        <f>J47-H47</f>
        <v>0</v>
      </c>
      <c r="L47" s="1288">
        <f t="shared" ref="K47:S62" si="11">K47-$H47</f>
        <v>0</v>
      </c>
      <c r="M47" s="1288">
        <f t="shared" si="11"/>
        <v>0</v>
      </c>
      <c r="N47" s="1288">
        <f t="shared" si="11"/>
        <v>0</v>
      </c>
      <c r="O47" s="1288">
        <f t="shared" si="11"/>
        <v>0</v>
      </c>
      <c r="P47" s="1288">
        <f t="shared" si="11"/>
        <v>0</v>
      </c>
      <c r="Q47" s="1287">
        <f t="shared" si="11"/>
        <v>0</v>
      </c>
      <c r="R47" s="1288">
        <f t="shared" si="11"/>
        <v>0</v>
      </c>
      <c r="S47" s="1287">
        <f t="shared" si="11"/>
        <v>0</v>
      </c>
      <c r="T47" s="1216"/>
      <c r="U47" s="1287"/>
      <c r="V47" s="1096"/>
      <c r="W47" s="1097"/>
      <c r="X47" s="1096"/>
      <c r="Y47" s="1842"/>
      <c r="Z47" s="1835"/>
      <c r="AA47" s="1096"/>
      <c r="AB47" s="1098"/>
      <c r="AC47" s="1184"/>
      <c r="AD47" s="1330"/>
      <c r="AE47" s="1331"/>
      <c r="AF47" s="1176"/>
      <c r="AG47" s="1177"/>
      <c r="AH47" s="1189"/>
      <c r="AI47" s="1180"/>
      <c r="AJ47" s="1180"/>
      <c r="AK47" s="1332"/>
      <c r="AL47" s="1216"/>
      <c r="AM47" s="1096"/>
      <c r="AN47" s="1098"/>
      <c r="AO47" s="1184"/>
      <c r="AP47" s="1184"/>
      <c r="AQ47" s="1332"/>
      <c r="AR47" s="1188"/>
      <c r="AS47" s="1177"/>
      <c r="AT47" s="1333"/>
      <c r="AU47" s="1334"/>
      <c r="AV47" s="1335"/>
      <c r="AW47" s="1335"/>
      <c r="AX47" s="1188"/>
      <c r="AY47" s="1096"/>
      <c r="AZ47" s="1097"/>
      <c r="BA47" s="1336"/>
      <c r="BB47" s="1337"/>
      <c r="BC47" s="1181"/>
      <c r="BD47" s="1188"/>
      <c r="BE47" s="1177"/>
      <c r="BF47" s="1189"/>
      <c r="BG47" s="1338"/>
      <c r="BH47" s="1180"/>
      <c r="BI47" s="1332"/>
      <c r="BJ47" s="1188"/>
      <c r="BK47" s="1177"/>
      <c r="BL47" s="1333"/>
      <c r="BM47" s="1334"/>
      <c r="BN47" s="1335"/>
      <c r="BO47" s="1332"/>
      <c r="BP47" s="1339"/>
      <c r="BQ47" s="1340"/>
      <c r="BR47" s="1341"/>
      <c r="BS47" s="1"/>
      <c r="BT47" s="1192">
        <f t="shared" ref="BT47:BT56" si="12">SUM(Z47:BO47)</f>
        <v>0</v>
      </c>
    </row>
    <row r="48" spans="1:72" ht="18" x14ac:dyDescent="0.35">
      <c r="A48" s="2739"/>
      <c r="B48" s="867" t="s">
        <v>571</v>
      </c>
      <c r="C48" s="224" t="s">
        <v>230</v>
      </c>
      <c r="D48" s="225" t="s">
        <v>103</v>
      </c>
      <c r="E48" s="585">
        <v>6</v>
      </c>
      <c r="F48" s="226">
        <f t="shared" si="10"/>
        <v>0</v>
      </c>
      <c r="G48" s="139">
        <v>53</v>
      </c>
      <c r="H48" s="831">
        <f>G48*E48</f>
        <v>318</v>
      </c>
      <c r="I48" s="375">
        <v>11000</v>
      </c>
      <c r="J48" s="375">
        <v>1500</v>
      </c>
      <c r="K48" s="1194">
        <f t="shared" si="11"/>
        <v>1182</v>
      </c>
      <c r="L48" s="1954">
        <v>3864</v>
      </c>
      <c r="M48" s="1194">
        <f t="shared" si="11"/>
        <v>3546</v>
      </c>
      <c r="N48" s="1194">
        <f t="shared" si="11"/>
        <v>3228</v>
      </c>
      <c r="O48" s="1194">
        <f t="shared" si="11"/>
        <v>2910</v>
      </c>
      <c r="P48" s="1194">
        <f t="shared" si="11"/>
        <v>2592</v>
      </c>
      <c r="Q48" s="1194">
        <f t="shared" si="11"/>
        <v>2274</v>
      </c>
      <c r="R48" s="1194">
        <f t="shared" si="11"/>
        <v>1956</v>
      </c>
      <c r="S48" s="1342">
        <f t="shared" si="11"/>
        <v>1638</v>
      </c>
      <c r="T48" s="1907"/>
      <c r="U48" s="1222"/>
      <c r="V48" s="1885"/>
      <c r="W48" s="1889"/>
      <c r="X48" s="1885"/>
      <c r="Y48" s="1849"/>
      <c r="AA48" s="1104">
        <v>3000</v>
      </c>
      <c r="AB48" s="1209"/>
      <c r="AC48" s="1206"/>
      <c r="AD48" s="1343"/>
      <c r="AE48" s="1344"/>
      <c r="AF48" s="1198"/>
      <c r="AG48" s="1199"/>
      <c r="AH48" s="1200"/>
      <c r="AI48" s="1202"/>
      <c r="AJ48" s="1202"/>
      <c r="AK48" s="1345"/>
      <c r="AL48" s="1204"/>
      <c r="AM48" s="1104"/>
      <c r="AN48" s="1209"/>
      <c r="AO48" s="1206"/>
      <c r="AP48" s="1206"/>
      <c r="AQ48" s="1345"/>
      <c r="AR48" s="1210"/>
      <c r="AS48" s="1199"/>
      <c r="AT48" s="1346"/>
      <c r="AU48" s="1347"/>
      <c r="AV48" s="1348"/>
      <c r="AW48" s="1348"/>
      <c r="AX48" s="1210"/>
      <c r="AY48" s="1104"/>
      <c r="AZ48" s="1205"/>
      <c r="BA48" s="1349"/>
      <c r="BB48" s="1350"/>
      <c r="BC48" s="1203"/>
      <c r="BD48" s="1210"/>
      <c r="BE48" s="1199"/>
      <c r="BF48" s="1200"/>
      <c r="BG48" s="1351"/>
      <c r="BH48" s="1202"/>
      <c r="BI48" s="1345"/>
      <c r="BJ48" s="1210"/>
      <c r="BK48" s="1199"/>
      <c r="BL48" s="1346"/>
      <c r="BM48" s="1334"/>
      <c r="BN48" s="1335"/>
      <c r="BO48" s="1332"/>
      <c r="BP48" s="1352"/>
      <c r="BQ48" s="1213"/>
      <c r="BR48" s="1353">
        <f>BP48-BQ48</f>
        <v>0</v>
      </c>
      <c r="BS48" s="1"/>
      <c r="BT48" s="1192">
        <f t="shared" si="12"/>
        <v>3000</v>
      </c>
    </row>
    <row r="49" spans="1:72" ht="18.600000000000001" thickBot="1" x14ac:dyDescent="0.4">
      <c r="A49" s="2739"/>
      <c r="B49" s="868" t="s">
        <v>234</v>
      </c>
      <c r="C49" s="233"/>
      <c r="D49" s="234" t="s">
        <v>104</v>
      </c>
      <c r="E49" s="586">
        <v>2.5</v>
      </c>
      <c r="F49" s="235" t="e">
        <f t="shared" si="10"/>
        <v>#DIV/0!</v>
      </c>
      <c r="G49" s="236"/>
      <c r="H49" s="234">
        <f>G49*E49</f>
        <v>0</v>
      </c>
      <c r="I49" s="386"/>
      <c r="J49" s="386"/>
      <c r="K49" s="1354">
        <f t="shared" si="11"/>
        <v>0</v>
      </c>
      <c r="L49" s="1280">
        <f t="shared" si="11"/>
        <v>0</v>
      </c>
      <c r="M49" s="1280">
        <f t="shared" si="11"/>
        <v>0</v>
      </c>
      <c r="N49" s="1280">
        <f t="shared" si="11"/>
        <v>0</v>
      </c>
      <c r="O49" s="1280">
        <f t="shared" si="11"/>
        <v>0</v>
      </c>
      <c r="P49" s="1280">
        <f t="shared" si="11"/>
        <v>0</v>
      </c>
      <c r="Q49" s="1280">
        <f t="shared" si="11"/>
        <v>0</v>
      </c>
      <c r="R49" s="1280">
        <f t="shared" si="11"/>
        <v>0</v>
      </c>
      <c r="S49" s="1355">
        <f t="shared" si="11"/>
        <v>0</v>
      </c>
      <c r="T49" s="1908"/>
      <c r="U49" s="1827"/>
      <c r="V49" s="1220"/>
      <c r="W49" s="1890"/>
      <c r="X49" s="1220"/>
      <c r="Y49" s="1851"/>
      <c r="Z49" s="1218"/>
      <c r="AA49" s="1219"/>
      <c r="AB49" s="1238"/>
      <c r="AC49" s="1234"/>
      <c r="AD49" s="1343"/>
      <c r="AE49" s="1344"/>
      <c r="AF49" s="1356"/>
      <c r="AG49" s="1357"/>
      <c r="AH49" s="1358"/>
      <c r="AI49" s="1359"/>
      <c r="AJ49" s="1359"/>
      <c r="AK49" s="1360"/>
      <c r="AL49" s="1361"/>
      <c r="AM49" s="1362"/>
      <c r="AN49" s="1363"/>
      <c r="AO49" s="1364"/>
      <c r="AP49" s="1364"/>
      <c r="AQ49" s="1360"/>
      <c r="AR49" s="1365"/>
      <c r="AS49" s="1357"/>
      <c r="AT49" s="1366"/>
      <c r="AU49" s="1367"/>
      <c r="AV49" s="1368"/>
      <c r="AW49" s="1368"/>
      <c r="AX49" s="1365"/>
      <c r="AY49" s="1362"/>
      <c r="AZ49" s="1369"/>
      <c r="BA49" s="1370"/>
      <c r="BB49" s="1371"/>
      <c r="BC49" s="1372"/>
      <c r="BD49" s="1365"/>
      <c r="BE49" s="1357"/>
      <c r="BF49" s="1358"/>
      <c r="BG49" s="1373"/>
      <c r="BH49" s="1359"/>
      <c r="BI49" s="1360"/>
      <c r="BJ49" s="1365"/>
      <c r="BK49" s="1357"/>
      <c r="BL49" s="1228"/>
      <c r="BM49" s="1373"/>
      <c r="BN49" s="1359"/>
      <c r="BO49" s="1360"/>
      <c r="BP49" s="1339"/>
      <c r="BQ49" s="1374"/>
      <c r="BR49" s="1353">
        <f t="shared" ref="BR49:BR55" si="13">BP49-BQ49</f>
        <v>0</v>
      </c>
      <c r="BS49" s="1"/>
      <c r="BT49" s="1192">
        <f t="shared" si="12"/>
        <v>0</v>
      </c>
    </row>
    <row r="50" spans="1:72" ht="18" x14ac:dyDescent="0.35">
      <c r="A50" s="2740"/>
      <c r="B50" s="869"/>
      <c r="C50" s="329" t="s">
        <v>229</v>
      </c>
      <c r="D50" s="251" t="s">
        <v>102</v>
      </c>
      <c r="E50" s="587"/>
      <c r="F50" s="252" t="e">
        <f t="shared" si="10"/>
        <v>#DIV/0!</v>
      </c>
      <c r="G50" s="253"/>
      <c r="H50" s="832">
        <f t="shared" ref="H50:H62" si="14">G50*E50</f>
        <v>0</v>
      </c>
      <c r="I50" s="392"/>
      <c r="J50" s="392"/>
      <c r="K50" s="1375">
        <f t="shared" si="11"/>
        <v>0</v>
      </c>
      <c r="L50" s="1243">
        <f t="shared" si="11"/>
        <v>0</v>
      </c>
      <c r="M50" s="1243">
        <f t="shared" si="11"/>
        <v>0</v>
      </c>
      <c r="N50" s="1243">
        <f t="shared" si="11"/>
        <v>0</v>
      </c>
      <c r="O50" s="1243">
        <f t="shared" si="11"/>
        <v>0</v>
      </c>
      <c r="P50" s="1243">
        <f t="shared" si="11"/>
        <v>0</v>
      </c>
      <c r="Q50" s="1242">
        <f t="shared" si="11"/>
        <v>0</v>
      </c>
      <c r="R50" s="1243">
        <f t="shared" si="11"/>
        <v>0</v>
      </c>
      <c r="S50" s="1242">
        <f t="shared" si="11"/>
        <v>0</v>
      </c>
      <c r="T50" s="1791"/>
      <c r="U50" s="1242"/>
      <c r="V50" s="1790"/>
      <c r="W50" s="1628"/>
      <c r="X50" s="1790"/>
      <c r="Y50" s="1853"/>
      <c r="Z50" s="1760"/>
      <c r="AA50" s="1376"/>
      <c r="AB50" s="1377"/>
      <c r="AC50" s="1378"/>
      <c r="AD50" s="1379"/>
      <c r="AE50" s="1380"/>
      <c r="AF50" s="1245"/>
      <c r="AG50" s="1254"/>
      <c r="AH50" s="1249"/>
      <c r="AI50" s="1250"/>
      <c r="AJ50" s="1250"/>
      <c r="AK50" s="1381"/>
      <c r="AL50" s="1382"/>
      <c r="AM50" s="1376"/>
      <c r="AN50" s="1377"/>
      <c r="AO50" s="1378"/>
      <c r="AP50" s="1378"/>
      <c r="AQ50" s="1381"/>
      <c r="AR50" s="1252"/>
      <c r="AS50" s="1254"/>
      <c r="AT50" s="1383"/>
      <c r="AU50" s="1384"/>
      <c r="AV50" s="1385"/>
      <c r="AW50" s="1385"/>
      <c r="AX50" s="1252"/>
      <c r="AY50" s="1376"/>
      <c r="AZ50" s="1386"/>
      <c r="BA50" s="1387"/>
      <c r="BB50" s="1388"/>
      <c r="BC50" s="1251"/>
      <c r="BD50" s="1252"/>
      <c r="BE50" s="1254"/>
      <c r="BF50" s="1249"/>
      <c r="BG50" s="1389"/>
      <c r="BH50" s="1250"/>
      <c r="BI50" s="1381"/>
      <c r="BJ50" s="1252"/>
      <c r="BK50" s="1254"/>
      <c r="BL50" s="1249"/>
      <c r="BM50" s="1390"/>
      <c r="BN50" s="1391"/>
      <c r="BO50" s="1392"/>
      <c r="BP50" s="1393"/>
      <c r="BQ50" s="1394"/>
      <c r="BR50" s="1353">
        <f t="shared" si="13"/>
        <v>0</v>
      </c>
      <c r="BS50" s="1"/>
      <c r="BT50" s="1192">
        <f t="shared" si="12"/>
        <v>0</v>
      </c>
    </row>
    <row r="51" spans="1:72" ht="20.25" customHeight="1" x14ac:dyDescent="0.35">
      <c r="A51" s="2741"/>
      <c r="B51" s="867" t="s">
        <v>572</v>
      </c>
      <c r="C51" s="224" t="s">
        <v>232</v>
      </c>
      <c r="D51" s="269" t="s">
        <v>103</v>
      </c>
      <c r="E51" s="585">
        <v>11</v>
      </c>
      <c r="F51" s="226">
        <f t="shared" si="10"/>
        <v>0</v>
      </c>
      <c r="G51" s="139">
        <v>53</v>
      </c>
      <c r="H51" s="831">
        <f t="shared" si="14"/>
        <v>583</v>
      </c>
      <c r="I51" s="375">
        <v>5500</v>
      </c>
      <c r="J51" s="375">
        <v>2500</v>
      </c>
      <c r="K51" s="1395">
        <f t="shared" si="11"/>
        <v>1917</v>
      </c>
      <c r="L51" s="1395">
        <f t="shared" si="11"/>
        <v>1334</v>
      </c>
      <c r="M51" s="2397">
        <v>1751</v>
      </c>
      <c r="N51" s="2397">
        <v>4168</v>
      </c>
      <c r="O51" s="1395">
        <f t="shared" si="11"/>
        <v>3585</v>
      </c>
      <c r="P51" s="1395">
        <f t="shared" si="11"/>
        <v>3002</v>
      </c>
      <c r="Q51" s="1395">
        <f t="shared" si="11"/>
        <v>2419</v>
      </c>
      <c r="R51" s="1395">
        <f t="shared" si="11"/>
        <v>1836</v>
      </c>
      <c r="S51" s="1193">
        <f t="shared" si="11"/>
        <v>1253</v>
      </c>
      <c r="T51" s="1909"/>
      <c r="U51" s="1193"/>
      <c r="V51" s="1114"/>
      <c r="W51" s="1115"/>
      <c r="X51" s="1114"/>
      <c r="Y51" s="1855"/>
      <c r="Z51" s="1103"/>
      <c r="AA51" s="1104"/>
      <c r="AB51" s="1209"/>
      <c r="AC51" s="1206"/>
      <c r="AD51" s="1396"/>
      <c r="AE51" s="1397"/>
      <c r="AF51" s="1198"/>
      <c r="AG51" s="1199">
        <v>1000</v>
      </c>
      <c r="AH51" s="1200"/>
      <c r="AI51" s="1202"/>
      <c r="AJ51" s="1202"/>
      <c r="AK51" s="1345"/>
      <c r="AL51" s="1204"/>
      <c r="AM51" s="1104">
        <v>3000</v>
      </c>
      <c r="AN51" s="1209"/>
      <c r="AO51" s="1206"/>
      <c r="AP51" s="1206"/>
      <c r="AQ51" s="1345"/>
      <c r="AR51" s="1210"/>
      <c r="AS51" s="1199"/>
      <c r="AT51" s="1346"/>
      <c r="AU51" s="1347"/>
      <c r="AV51" s="1348"/>
      <c r="AW51" s="1348"/>
      <c r="AX51" s="1210"/>
      <c r="AY51" s="1104"/>
      <c r="AZ51" s="1205"/>
      <c r="BA51" s="1349"/>
      <c r="BB51" s="1350"/>
      <c r="BC51" s="1203"/>
      <c r="BD51" s="1210"/>
      <c r="BE51" s="1199"/>
      <c r="BF51" s="1200"/>
      <c r="BG51" s="1351"/>
      <c r="BH51" s="1202"/>
      <c r="BI51" s="1345"/>
      <c r="BJ51" s="1210"/>
      <c r="BK51" s="1199"/>
      <c r="BL51" s="1200"/>
      <c r="BM51" s="1347"/>
      <c r="BN51" s="1348"/>
      <c r="BO51" s="1345"/>
      <c r="BP51" s="1352"/>
      <c r="BQ51" s="1213"/>
      <c r="BR51" s="1353">
        <f t="shared" si="13"/>
        <v>0</v>
      </c>
      <c r="BS51" s="1"/>
      <c r="BT51" s="1192">
        <f t="shared" si="12"/>
        <v>4000</v>
      </c>
    </row>
    <row r="52" spans="1:72" ht="18" x14ac:dyDescent="0.35">
      <c r="A52" s="2741"/>
      <c r="B52" s="867"/>
      <c r="C52" s="233"/>
      <c r="D52" s="300" t="s">
        <v>104</v>
      </c>
      <c r="E52" s="586">
        <v>2.5</v>
      </c>
      <c r="F52" s="226" t="e">
        <f t="shared" si="10"/>
        <v>#DIV/0!</v>
      </c>
      <c r="G52" s="236"/>
      <c r="H52" s="934">
        <f t="shared" si="14"/>
        <v>0</v>
      </c>
      <c r="I52" s="385"/>
      <c r="J52" s="386"/>
      <c r="K52" s="1395">
        <f t="shared" si="11"/>
        <v>0</v>
      </c>
      <c r="L52" s="1395">
        <f t="shared" si="11"/>
        <v>0</v>
      </c>
      <c r="M52" s="1395">
        <f t="shared" si="11"/>
        <v>0</v>
      </c>
      <c r="N52" s="1395">
        <f t="shared" si="11"/>
        <v>0</v>
      </c>
      <c r="O52" s="1395">
        <f t="shared" si="11"/>
        <v>0</v>
      </c>
      <c r="P52" s="1395">
        <f t="shared" si="11"/>
        <v>0</v>
      </c>
      <c r="Q52" s="1395">
        <f t="shared" si="11"/>
        <v>0</v>
      </c>
      <c r="R52" s="1395">
        <f t="shared" si="11"/>
        <v>0</v>
      </c>
      <c r="S52" s="1193">
        <f t="shared" si="11"/>
        <v>0</v>
      </c>
      <c r="T52" s="1908"/>
      <c r="U52" s="1827"/>
      <c r="V52" s="1220"/>
      <c r="W52" s="1890"/>
      <c r="X52" s="1220"/>
      <c r="Y52" s="1851"/>
      <c r="Z52" s="1836"/>
      <c r="AA52" s="1398"/>
      <c r="AB52" s="1399"/>
      <c r="AC52" s="1400"/>
      <c r="AD52" s="1401"/>
      <c r="AE52" s="1402"/>
      <c r="AF52" s="1403"/>
      <c r="AG52" s="1404"/>
      <c r="AH52" s="1405"/>
      <c r="AI52" s="1406"/>
      <c r="AJ52" s="1406"/>
      <c r="AK52" s="1407"/>
      <c r="AL52" s="1408"/>
      <c r="AM52" s="1398"/>
      <c r="AN52" s="1399"/>
      <c r="AO52" s="1400"/>
      <c r="AP52" s="1400"/>
      <c r="AQ52" s="1407"/>
      <c r="AR52" s="1409"/>
      <c r="AS52" s="1404"/>
      <c r="AT52" s="1410"/>
      <c r="AU52" s="1411"/>
      <c r="AV52" s="1412"/>
      <c r="AW52" s="1412"/>
      <c r="AX52" s="1409"/>
      <c r="AY52" s="1398"/>
      <c r="AZ52" s="1413"/>
      <c r="BA52" s="1414"/>
      <c r="BB52" s="1415"/>
      <c r="BC52" s="1416"/>
      <c r="BD52" s="1409"/>
      <c r="BE52" s="1404"/>
      <c r="BF52" s="1405"/>
      <c r="BG52" s="1417"/>
      <c r="BH52" s="1406"/>
      <c r="BI52" s="1407"/>
      <c r="BJ52" s="1409"/>
      <c r="BK52" s="1404"/>
      <c r="BL52" s="1405"/>
      <c r="BM52" s="1417"/>
      <c r="BN52" s="1406"/>
      <c r="BO52" s="1407"/>
      <c r="BP52" s="1418"/>
      <c r="BQ52" s="1419"/>
      <c r="BR52" s="1353">
        <f t="shared" si="13"/>
        <v>0</v>
      </c>
      <c r="BS52" s="1"/>
      <c r="BT52" s="1192">
        <f t="shared" si="12"/>
        <v>0</v>
      </c>
    </row>
    <row r="53" spans="1:72" ht="18.600000000000001" thickBot="1" x14ac:dyDescent="0.4">
      <c r="A53" s="2742"/>
      <c r="B53" s="870" t="s">
        <v>236</v>
      </c>
      <c r="C53" s="270"/>
      <c r="D53" s="935" t="s">
        <v>104</v>
      </c>
      <c r="E53" s="588">
        <v>2.5</v>
      </c>
      <c r="F53" s="272" t="e">
        <f t="shared" si="10"/>
        <v>#DIV/0!</v>
      </c>
      <c r="G53" s="273"/>
      <c r="H53" s="936">
        <f t="shared" si="14"/>
        <v>0</v>
      </c>
      <c r="I53" s="937"/>
      <c r="J53" s="406"/>
      <c r="K53" s="1420">
        <f t="shared" si="11"/>
        <v>0</v>
      </c>
      <c r="L53" s="1258">
        <f t="shared" si="11"/>
        <v>0</v>
      </c>
      <c r="M53" s="1258">
        <f t="shared" si="11"/>
        <v>0</v>
      </c>
      <c r="N53" s="1258">
        <f t="shared" si="11"/>
        <v>0</v>
      </c>
      <c r="O53" s="1258">
        <f t="shared" si="11"/>
        <v>0</v>
      </c>
      <c r="P53" s="1258">
        <f t="shared" si="11"/>
        <v>0</v>
      </c>
      <c r="Q53" s="1257">
        <f t="shared" si="11"/>
        <v>0</v>
      </c>
      <c r="R53" s="1258">
        <f t="shared" si="11"/>
        <v>0</v>
      </c>
      <c r="S53" s="1257">
        <f t="shared" si="11"/>
        <v>0</v>
      </c>
      <c r="T53" s="1910"/>
      <c r="U53" s="1257"/>
      <c r="V53" s="1650"/>
      <c r="W53" s="1651"/>
      <c r="X53" s="1650"/>
      <c r="Y53" s="1857"/>
      <c r="Z53" s="1797"/>
      <c r="AA53" s="1421"/>
      <c r="AB53" s="1422"/>
      <c r="AC53" s="1423"/>
      <c r="AD53" s="1424"/>
      <c r="AE53" s="1425"/>
      <c r="AF53" s="1260"/>
      <c r="AG53" s="1269"/>
      <c r="AH53" s="1264"/>
      <c r="AI53" s="1265"/>
      <c r="AJ53" s="1265"/>
      <c r="AK53" s="1426"/>
      <c r="AL53" s="1427"/>
      <c r="AM53" s="1421"/>
      <c r="AN53" s="1422"/>
      <c r="AO53" s="1423"/>
      <c r="AP53" s="1423"/>
      <c r="AQ53" s="1426"/>
      <c r="AR53" s="1267"/>
      <c r="AS53" s="1269"/>
      <c r="AT53" s="1428"/>
      <c r="AU53" s="1429"/>
      <c r="AV53" s="1430"/>
      <c r="AW53" s="1430"/>
      <c r="AX53" s="1267"/>
      <c r="AY53" s="1421"/>
      <c r="AZ53" s="1431"/>
      <c r="BA53" s="1432"/>
      <c r="BB53" s="1433"/>
      <c r="BC53" s="1266"/>
      <c r="BD53" s="1267"/>
      <c r="BE53" s="1269"/>
      <c r="BF53" s="1264"/>
      <c r="BG53" s="1434"/>
      <c r="BH53" s="1265"/>
      <c r="BI53" s="1426"/>
      <c r="BJ53" s="1267"/>
      <c r="BK53" s="1269"/>
      <c r="BL53" s="1264"/>
      <c r="BM53" s="1434"/>
      <c r="BN53" s="1265"/>
      <c r="BO53" s="1426"/>
      <c r="BP53" s="1435"/>
      <c r="BQ53" s="1436"/>
      <c r="BR53" s="1353">
        <f t="shared" si="13"/>
        <v>0</v>
      </c>
      <c r="BS53" s="1"/>
      <c r="BT53" s="1192">
        <f t="shared" si="12"/>
        <v>0</v>
      </c>
    </row>
    <row r="54" spans="1:72" ht="18" x14ac:dyDescent="0.35">
      <c r="A54" s="2743"/>
      <c r="B54" s="866"/>
      <c r="C54" s="289"/>
      <c r="D54" s="290" t="s">
        <v>102</v>
      </c>
      <c r="E54" s="589"/>
      <c r="F54" s="291" t="e">
        <f t="shared" si="10"/>
        <v>#DIV/0!</v>
      </c>
      <c r="G54" s="157"/>
      <c r="H54" s="834">
        <f t="shared" si="14"/>
        <v>0</v>
      </c>
      <c r="I54" s="850"/>
      <c r="J54" s="362"/>
      <c r="K54" s="1437">
        <f t="shared" si="11"/>
        <v>0</v>
      </c>
      <c r="L54" s="1223">
        <f t="shared" si="11"/>
        <v>0</v>
      </c>
      <c r="M54" s="1223">
        <f t="shared" si="11"/>
        <v>0</v>
      </c>
      <c r="N54" s="1223">
        <f t="shared" si="11"/>
        <v>0</v>
      </c>
      <c r="O54" s="1223">
        <f t="shared" si="11"/>
        <v>0</v>
      </c>
      <c r="P54" s="1223">
        <f t="shared" si="11"/>
        <v>0</v>
      </c>
      <c r="Q54" s="1223">
        <f t="shared" si="11"/>
        <v>0</v>
      </c>
      <c r="R54" s="1223">
        <f t="shared" si="11"/>
        <v>0</v>
      </c>
      <c r="S54" s="1438">
        <f t="shared" si="11"/>
        <v>0</v>
      </c>
      <c r="T54" s="1907"/>
      <c r="U54" s="1222"/>
      <c r="V54" s="1885"/>
      <c r="W54" s="1889"/>
      <c r="X54" s="1885"/>
      <c r="Y54" s="1849"/>
      <c r="Z54" s="1442"/>
      <c r="AA54" s="1439"/>
      <c r="AB54" s="1440"/>
      <c r="AC54" s="1359"/>
      <c r="AD54" s="1367"/>
      <c r="AE54" s="1441"/>
      <c r="AF54" s="1442"/>
      <c r="AG54" s="1439"/>
      <c r="AH54" s="1440"/>
      <c r="AI54" s="1359"/>
      <c r="AJ54" s="1359"/>
      <c r="AK54" s="1360"/>
      <c r="AL54" s="1443"/>
      <c r="AM54" s="1439"/>
      <c r="AN54" s="1440"/>
      <c r="AO54" s="1359"/>
      <c r="AP54" s="1359"/>
      <c r="AQ54" s="1360"/>
      <c r="AR54" s="1443"/>
      <c r="AS54" s="1439"/>
      <c r="AT54" s="1444"/>
      <c r="AU54" s="1367"/>
      <c r="AV54" s="1368"/>
      <c r="AW54" s="1368"/>
      <c r="AX54" s="1443"/>
      <c r="AY54" s="1439"/>
      <c r="AZ54" s="1444"/>
      <c r="BA54" s="1445"/>
      <c r="BB54" s="1359"/>
      <c r="BC54" s="1372"/>
      <c r="BD54" s="1365"/>
      <c r="BE54" s="1357"/>
      <c r="BF54" s="1358"/>
      <c r="BG54" s="1373"/>
      <c r="BH54" s="1359"/>
      <c r="BI54" s="1360"/>
      <c r="BJ54" s="1443"/>
      <c r="BK54" s="1439"/>
      <c r="BL54" s="1440"/>
      <c r="BM54" s="1373"/>
      <c r="BN54" s="1359"/>
      <c r="BO54" s="1360"/>
      <c r="BP54" s="1446"/>
      <c r="BR54" s="1353">
        <f t="shared" si="13"/>
        <v>0</v>
      </c>
      <c r="BS54" s="1"/>
      <c r="BT54" s="1192">
        <f t="shared" si="12"/>
        <v>0</v>
      </c>
    </row>
    <row r="55" spans="1:72" ht="18" x14ac:dyDescent="0.35">
      <c r="A55" s="2743"/>
      <c r="B55" s="867" t="s">
        <v>573</v>
      </c>
      <c r="C55" s="296"/>
      <c r="D55" s="488" t="s">
        <v>103</v>
      </c>
      <c r="E55" s="591">
        <v>8</v>
      </c>
      <c r="F55" s="235">
        <f t="shared" si="10"/>
        <v>0</v>
      </c>
      <c r="G55" s="236">
        <v>53</v>
      </c>
      <c r="H55" s="234">
        <f t="shared" si="14"/>
        <v>424</v>
      </c>
      <c r="I55" s="386">
        <v>11000</v>
      </c>
      <c r="J55" s="375">
        <v>2500</v>
      </c>
      <c r="K55" s="1116">
        <f t="shared" si="11"/>
        <v>2076</v>
      </c>
      <c r="L55" s="1116">
        <f t="shared" si="11"/>
        <v>1652</v>
      </c>
      <c r="M55" s="2014">
        <v>2228</v>
      </c>
      <c r="N55" s="2014">
        <v>2804</v>
      </c>
      <c r="O55" s="1116">
        <f t="shared" si="11"/>
        <v>2380</v>
      </c>
      <c r="P55" s="1116">
        <f t="shared" si="11"/>
        <v>1956</v>
      </c>
      <c r="Q55" s="1116">
        <f t="shared" si="11"/>
        <v>1532</v>
      </c>
      <c r="R55" s="1116">
        <f t="shared" si="11"/>
        <v>1108</v>
      </c>
      <c r="S55" s="1115">
        <f t="shared" si="11"/>
        <v>684</v>
      </c>
      <c r="T55" s="1909"/>
      <c r="U55" s="1193"/>
      <c r="V55" s="1114"/>
      <c r="W55" s="1115"/>
      <c r="X55" s="1114"/>
      <c r="Y55" s="1855"/>
      <c r="Z55" s="1201"/>
      <c r="AA55" s="1118"/>
      <c r="AB55" s="1117"/>
      <c r="AC55" s="1202"/>
      <c r="AD55" s="1347"/>
      <c r="AE55" s="1447"/>
      <c r="AF55" s="1201"/>
      <c r="AG55" s="1118">
        <v>1000</v>
      </c>
      <c r="AH55" s="1117"/>
      <c r="AI55" s="1202"/>
      <c r="AJ55" s="1202"/>
      <c r="AK55" s="1345"/>
      <c r="AL55" s="1283"/>
      <c r="AM55" s="1118">
        <v>1000</v>
      </c>
      <c r="AN55" s="1117"/>
      <c r="AO55" s="1202"/>
      <c r="AP55" s="1202"/>
      <c r="AQ55" s="1345"/>
      <c r="AR55" s="1283"/>
      <c r="AS55" s="1118"/>
      <c r="AT55" s="1119"/>
      <c r="AU55" s="1347"/>
      <c r="AV55" s="1348"/>
      <c r="AW55" s="1348"/>
      <c r="AX55" s="1283"/>
      <c r="AY55" s="1118"/>
      <c r="AZ55" s="1119"/>
      <c r="BA55" s="1448"/>
      <c r="BB55" s="1202"/>
      <c r="BC55" s="1203"/>
      <c r="BD55" s="1210"/>
      <c r="BE55" s="1199"/>
      <c r="BF55" s="1200"/>
      <c r="BG55" s="1351"/>
      <c r="BH55" s="1202"/>
      <c r="BI55" s="1345"/>
      <c r="BJ55" s="1283"/>
      <c r="BK55" s="1118"/>
      <c r="BL55" s="1117"/>
      <c r="BM55" s="1351"/>
      <c r="BN55" s="1202"/>
      <c r="BO55" s="1345"/>
      <c r="BP55" s="1449"/>
      <c r="BQ55" s="1450"/>
      <c r="BR55" s="1353">
        <f t="shared" si="13"/>
        <v>0</v>
      </c>
      <c r="BS55" s="1"/>
      <c r="BT55" s="1192">
        <f t="shared" si="12"/>
        <v>2000</v>
      </c>
    </row>
    <row r="56" spans="1:72" ht="18.600000000000001" thickBot="1" x14ac:dyDescent="0.4">
      <c r="A56" s="2743"/>
      <c r="B56" s="868" t="s">
        <v>238</v>
      </c>
      <c r="C56" s="595" t="s">
        <v>240</v>
      </c>
      <c r="D56" s="300" t="s">
        <v>104</v>
      </c>
      <c r="E56" s="591"/>
      <c r="F56" s="235" t="e">
        <f t="shared" si="10"/>
        <v>#DIV/0!</v>
      </c>
      <c r="G56" s="236"/>
      <c r="H56" s="234">
        <f t="shared" si="14"/>
        <v>0</v>
      </c>
      <c r="I56" s="386"/>
      <c r="J56" s="386"/>
      <c r="K56" s="1437">
        <f t="shared" si="11"/>
        <v>0</v>
      </c>
      <c r="L56" s="1223">
        <f t="shared" si="11"/>
        <v>0</v>
      </c>
      <c r="M56" s="1223">
        <f t="shared" si="11"/>
        <v>0</v>
      </c>
      <c r="N56" s="1223">
        <f t="shared" si="11"/>
        <v>0</v>
      </c>
      <c r="O56" s="1223">
        <f t="shared" si="11"/>
        <v>0</v>
      </c>
      <c r="P56" s="1223">
        <f t="shared" si="11"/>
        <v>0</v>
      </c>
      <c r="Q56" s="1223">
        <f t="shared" si="11"/>
        <v>0</v>
      </c>
      <c r="R56" s="1223">
        <f t="shared" si="11"/>
        <v>0</v>
      </c>
      <c r="S56" s="1438">
        <f t="shared" si="11"/>
        <v>0</v>
      </c>
      <c r="T56" s="1907"/>
      <c r="U56" s="1222"/>
      <c r="V56" s="1885"/>
      <c r="W56" s="1889"/>
      <c r="X56" s="1885"/>
      <c r="Y56" s="1849"/>
      <c r="Z56" s="1442"/>
      <c r="AA56" s="1439"/>
      <c r="AB56" s="1440"/>
      <c r="AC56" s="1359"/>
      <c r="AD56" s="1367"/>
      <c r="AE56" s="1441"/>
      <c r="AF56" s="1442"/>
      <c r="AG56" s="1439"/>
      <c r="AH56" s="1440"/>
      <c r="AI56" s="1359"/>
      <c r="AJ56" s="1359"/>
      <c r="AK56" s="1360"/>
      <c r="AL56" s="1443"/>
      <c r="AM56" s="1439"/>
      <c r="AN56" s="1440"/>
      <c r="AO56" s="1359"/>
      <c r="AP56" s="1359"/>
      <c r="AQ56" s="1360"/>
      <c r="AR56" s="1443"/>
      <c r="AS56" s="1439"/>
      <c r="AT56" s="1451"/>
      <c r="AU56" s="1367"/>
      <c r="AV56" s="1368"/>
      <c r="AW56" s="1368"/>
      <c r="AX56" s="1443"/>
      <c r="AY56" s="1439"/>
      <c r="AZ56" s="1444"/>
      <c r="BA56" s="1445"/>
      <c r="BB56" s="1359"/>
      <c r="BC56" s="1231"/>
      <c r="BD56" s="1237"/>
      <c r="BE56" s="1227"/>
      <c r="BF56" s="1228"/>
      <c r="BG56" s="1452"/>
      <c r="BH56" s="1230"/>
      <c r="BI56" s="1453"/>
      <c r="BJ56" s="1443"/>
      <c r="BK56" s="1454"/>
      <c r="BL56" s="1455"/>
      <c r="BM56" s="1452"/>
      <c r="BN56" s="1230"/>
      <c r="BO56" s="1453"/>
      <c r="BP56" s="1456"/>
      <c r="BQ56" s="1457"/>
      <c r="BR56" s="1458"/>
      <c r="BS56" s="1"/>
      <c r="BT56" s="1192">
        <f t="shared" si="12"/>
        <v>0</v>
      </c>
    </row>
    <row r="57" spans="1:72" ht="18" x14ac:dyDescent="0.35">
      <c r="A57" s="2727"/>
      <c r="B57" s="2730" t="s">
        <v>105</v>
      </c>
      <c r="C57" s="598"/>
      <c r="D57" s="599" t="s">
        <v>102</v>
      </c>
      <c r="E57" s="600"/>
      <c r="F57" s="601" t="e">
        <f t="shared" si="10"/>
        <v>#DIV/0!</v>
      </c>
      <c r="G57" s="602"/>
      <c r="H57" s="835">
        <f t="shared" si="14"/>
        <v>0</v>
      </c>
      <c r="I57" s="852"/>
      <c r="J57" s="816"/>
      <c r="K57" s="1459">
        <f>(J57-$H57)+Z57</f>
        <v>0</v>
      </c>
      <c r="L57" s="1460">
        <f t="shared" si="11"/>
        <v>0</v>
      </c>
      <c r="M57" s="1460">
        <f t="shared" si="11"/>
        <v>0</v>
      </c>
      <c r="N57" s="1460">
        <f t="shared" si="11"/>
        <v>0</v>
      </c>
      <c r="O57" s="1460">
        <f t="shared" si="11"/>
        <v>0</v>
      </c>
      <c r="P57" s="1460">
        <f t="shared" si="11"/>
        <v>0</v>
      </c>
      <c r="Q57" s="1461">
        <f t="shared" si="11"/>
        <v>0</v>
      </c>
      <c r="R57" s="1460">
        <f t="shared" si="11"/>
        <v>0</v>
      </c>
      <c r="S57" s="1461">
        <f t="shared" si="11"/>
        <v>0</v>
      </c>
      <c r="T57" s="1911"/>
      <c r="U57" s="1461"/>
      <c r="V57" s="1526"/>
      <c r="W57" s="1527"/>
      <c r="X57" s="1526"/>
      <c r="Y57" s="1858"/>
      <c r="Z57" s="1467"/>
      <c r="AA57" s="1462"/>
      <c r="AB57" s="1463"/>
      <c r="AC57" s="1464"/>
      <c r="AD57" s="1465"/>
      <c r="AE57" s="1466"/>
      <c r="AF57" s="1467"/>
      <c r="AG57" s="1462"/>
      <c r="AH57" s="1463"/>
      <c r="AI57" s="1464"/>
      <c r="AJ57" s="1464"/>
      <c r="AK57" s="1468"/>
      <c r="AL57" s="1469"/>
      <c r="AM57" s="1462"/>
      <c r="AN57" s="1463"/>
      <c r="AO57" s="1464"/>
      <c r="AP57" s="1464"/>
      <c r="AQ57" s="1468"/>
      <c r="AR57" s="1469"/>
      <c r="AS57" s="1462"/>
      <c r="AT57" s="1470"/>
      <c r="AU57" s="1465"/>
      <c r="AV57" s="1471"/>
      <c r="AW57" s="1471"/>
      <c r="AX57" s="1469"/>
      <c r="AY57" s="1462"/>
      <c r="AZ57" s="1472"/>
      <c r="BA57" s="1473"/>
      <c r="BB57" s="1464"/>
      <c r="BC57" s="1474"/>
      <c r="BD57" s="1469"/>
      <c r="BE57" s="1462"/>
      <c r="BF57" s="1463"/>
      <c r="BG57" s="1475"/>
      <c r="BH57" s="1464"/>
      <c r="BI57" s="1468"/>
      <c r="BJ57" s="1469"/>
      <c r="BK57" s="1462"/>
      <c r="BL57" s="1463"/>
      <c r="BM57" s="1476"/>
      <c r="BN57" s="1477"/>
      <c r="BO57" s="1468"/>
      <c r="BP57" s="1478"/>
      <c r="BQ57" s="1471"/>
      <c r="BR57" s="1468"/>
      <c r="BS57" s="1"/>
    </row>
    <row r="58" spans="1:72" ht="18" x14ac:dyDescent="0.35">
      <c r="A58" s="2728"/>
      <c r="B58" s="2731"/>
      <c r="C58" s="493"/>
      <c r="D58" s="494" t="s">
        <v>103</v>
      </c>
      <c r="E58" s="592">
        <v>8</v>
      </c>
      <c r="F58" s="495">
        <f t="shared" si="10"/>
        <v>0</v>
      </c>
      <c r="G58" s="496">
        <v>27</v>
      </c>
      <c r="H58" s="836">
        <f t="shared" si="14"/>
        <v>216</v>
      </c>
      <c r="I58" s="2398">
        <v>5500</v>
      </c>
      <c r="J58" s="817">
        <v>2000</v>
      </c>
      <c r="K58" s="1479">
        <f>J58-$H58</f>
        <v>1784</v>
      </c>
      <c r="L58" s="1480">
        <f t="shared" si="11"/>
        <v>1568</v>
      </c>
      <c r="M58" s="1480">
        <f>L58-H58</f>
        <v>1352</v>
      </c>
      <c r="N58" s="2015">
        <v>2136</v>
      </c>
      <c r="O58" s="1480">
        <f t="shared" si="11"/>
        <v>1920</v>
      </c>
      <c r="P58" s="1480">
        <f t="shared" si="11"/>
        <v>1704</v>
      </c>
      <c r="Q58" s="1480">
        <f t="shared" si="11"/>
        <v>1488</v>
      </c>
      <c r="R58" s="1480">
        <f t="shared" si="11"/>
        <v>1272</v>
      </c>
      <c r="S58" s="1481">
        <f t="shared" si="11"/>
        <v>1056</v>
      </c>
      <c r="T58" s="1912"/>
      <c r="U58" s="1828"/>
      <c r="V58" s="1886"/>
      <c r="W58" s="1891"/>
      <c r="X58" s="1886"/>
      <c r="Y58" s="1859"/>
      <c r="Z58" s="1837"/>
      <c r="AA58" s="1482"/>
      <c r="AB58" s="1483"/>
      <c r="AC58" s="1484"/>
      <c r="AD58" s="1485"/>
      <c r="AE58" s="1486"/>
      <c r="AF58" s="1487"/>
      <c r="AG58" s="1488"/>
      <c r="AH58" s="1489"/>
      <c r="AI58" s="1490"/>
      <c r="AJ58" s="1491"/>
      <c r="AK58" s="1492"/>
      <c r="AL58" s="1493"/>
      <c r="AM58" s="1482">
        <v>1000</v>
      </c>
      <c r="AN58" s="1483"/>
      <c r="AO58" s="1484"/>
      <c r="AP58" s="1484"/>
      <c r="AQ58" s="1494"/>
      <c r="AR58" s="1493"/>
      <c r="AS58" s="1482"/>
      <c r="AT58" s="1495"/>
      <c r="AU58" s="1485"/>
      <c r="AV58" s="1496"/>
      <c r="AW58" s="1496"/>
      <c r="AX58" s="1493"/>
      <c r="AY58" s="1482"/>
      <c r="AZ58" s="1495"/>
      <c r="BA58" s="1497"/>
      <c r="BB58" s="1484"/>
      <c r="BC58" s="1498"/>
      <c r="BD58" s="1493"/>
      <c r="BE58" s="1482"/>
      <c r="BF58" s="1483"/>
      <c r="BG58" s="1499"/>
      <c r="BH58" s="1484"/>
      <c r="BI58" s="1494"/>
      <c r="BJ58" s="1493"/>
      <c r="BK58" s="1482"/>
      <c r="BL58" s="1483"/>
      <c r="BM58" s="1485"/>
      <c r="BN58" s="1500"/>
      <c r="BO58" s="1501"/>
      <c r="BP58" s="1502"/>
      <c r="BQ58" s="1503"/>
      <c r="BR58" s="1494"/>
      <c r="BS58" s="1"/>
    </row>
    <row r="59" spans="1:72" ht="18.600000000000001" thickBot="1" x14ac:dyDescent="0.4">
      <c r="A59" s="2729"/>
      <c r="B59" s="2732"/>
      <c r="C59" s="508"/>
      <c r="D59" s="509" t="s">
        <v>104</v>
      </c>
      <c r="E59" s="593">
        <v>2.5</v>
      </c>
      <c r="F59" s="510" t="e">
        <f t="shared" si="10"/>
        <v>#DIV/0!</v>
      </c>
      <c r="G59" s="511"/>
      <c r="H59" s="837">
        <f t="shared" si="14"/>
        <v>0</v>
      </c>
      <c r="I59" s="819"/>
      <c r="J59" s="818"/>
      <c r="K59" s="1504">
        <f>J59-$H59</f>
        <v>0</v>
      </c>
      <c r="L59" s="1505">
        <f t="shared" si="11"/>
        <v>0</v>
      </c>
      <c r="M59" s="1505">
        <f t="shared" si="11"/>
        <v>0</v>
      </c>
      <c r="N59" s="1505">
        <f t="shared" si="11"/>
        <v>0</v>
      </c>
      <c r="O59" s="1505">
        <f t="shared" si="11"/>
        <v>0</v>
      </c>
      <c r="P59" s="1505">
        <f t="shared" si="11"/>
        <v>0</v>
      </c>
      <c r="Q59" s="1505">
        <f t="shared" si="11"/>
        <v>0</v>
      </c>
      <c r="R59" s="1505">
        <f t="shared" si="11"/>
        <v>0</v>
      </c>
      <c r="S59" s="1506">
        <f t="shared" si="11"/>
        <v>0</v>
      </c>
      <c r="T59" s="1913"/>
      <c r="U59" s="1829"/>
      <c r="V59" s="1887"/>
      <c r="W59" s="1892"/>
      <c r="X59" s="1887"/>
      <c r="Y59" s="1860"/>
      <c r="Z59" s="1544"/>
      <c r="AA59" s="1507"/>
      <c r="AB59" s="1508"/>
      <c r="AC59" s="1509"/>
      <c r="AD59" s="1510"/>
      <c r="AE59" s="1511"/>
      <c r="AF59" s="1512"/>
      <c r="AG59" s="1513"/>
      <c r="AH59" s="1514"/>
      <c r="AI59" s="1515"/>
      <c r="AJ59" s="1515"/>
      <c r="AK59" s="1516"/>
      <c r="AL59" s="1517"/>
      <c r="AM59" s="1507"/>
      <c r="AN59" s="1508"/>
      <c r="AO59" s="1510"/>
      <c r="AP59" s="1518"/>
      <c r="AQ59" s="1519"/>
      <c r="AR59" s="1517"/>
      <c r="AS59" s="1507"/>
      <c r="AT59" s="1508"/>
      <c r="AU59" s="1510"/>
      <c r="AV59" s="1518"/>
      <c r="AW59" s="1518"/>
      <c r="AX59" s="1517"/>
      <c r="AY59" s="1507"/>
      <c r="AZ59" s="1520"/>
      <c r="BA59" s="1521"/>
      <c r="BB59" s="1509"/>
      <c r="BC59" s="1522"/>
      <c r="BD59" s="1517"/>
      <c r="BE59" s="1507"/>
      <c r="BF59" s="1508"/>
      <c r="BG59" s="1523"/>
      <c r="BH59" s="1509"/>
      <c r="BI59" s="1519"/>
      <c r="BJ59" s="1517"/>
      <c r="BK59" s="1507"/>
      <c r="BL59" s="1508"/>
      <c r="BM59" s="1510"/>
      <c r="BN59" s="1524"/>
      <c r="BO59" s="1522"/>
      <c r="BP59" s="1525"/>
      <c r="BQ59" s="1510"/>
      <c r="BR59" s="1519"/>
      <c r="BS59" s="1"/>
    </row>
    <row r="60" spans="1:72" ht="18" customHeight="1" x14ac:dyDescent="0.3">
      <c r="A60" s="2733"/>
      <c r="B60" s="2730" t="s">
        <v>106</v>
      </c>
      <c r="C60" s="610"/>
      <c r="D60" s="599" t="s">
        <v>102</v>
      </c>
      <c r="E60" s="600">
        <v>8</v>
      </c>
      <c r="F60" s="601" t="e">
        <f t="shared" si="10"/>
        <v>#DIV/0!</v>
      </c>
      <c r="G60" s="602"/>
      <c r="H60" s="835">
        <f t="shared" si="14"/>
        <v>0</v>
      </c>
      <c r="I60" s="852"/>
      <c r="J60" s="816"/>
      <c r="K60" s="1470">
        <f>J60-H60</f>
        <v>0</v>
      </c>
      <c r="L60" s="1526">
        <f>(K60-$H60)+AA60</f>
        <v>0</v>
      </c>
      <c r="M60" s="1526">
        <f>L60-H60</f>
        <v>0</v>
      </c>
      <c r="N60" s="1526">
        <f>(M60-$H60)+AC60</f>
        <v>0</v>
      </c>
      <c r="O60" s="1526">
        <f>(N60-$H60)+AE60</f>
        <v>0</v>
      </c>
      <c r="P60" s="1526">
        <f>(O60-$H60)+AF60</f>
        <v>0</v>
      </c>
      <c r="Q60" s="1526">
        <f>(P60-$H60)+AG60</f>
        <v>0</v>
      </c>
      <c r="R60" s="1526">
        <f>(Q60-$H60)+AH60</f>
        <v>0</v>
      </c>
      <c r="S60" s="1527">
        <f>(R60-$H60)+AI60</f>
        <v>0</v>
      </c>
      <c r="T60" s="1911"/>
      <c r="U60" s="1461"/>
      <c r="V60" s="1526"/>
      <c r="W60" s="1527"/>
      <c r="X60" s="1526"/>
      <c r="Y60" s="1858"/>
      <c r="Z60" s="1467"/>
      <c r="AA60" s="1462"/>
      <c r="AB60" s="1463"/>
      <c r="AC60" s="1464"/>
      <c r="AD60" s="1465"/>
      <c r="AE60" s="1466"/>
      <c r="AF60" s="1467"/>
      <c r="AG60" s="1462"/>
      <c r="AH60" s="1463"/>
      <c r="AI60" s="1464"/>
      <c r="AJ60" s="1464"/>
      <c r="AK60" s="1468"/>
      <c r="AL60" s="1469"/>
      <c r="AM60" s="1462"/>
      <c r="AN60" s="1463"/>
      <c r="AO60" s="1464"/>
      <c r="AP60" s="1464"/>
      <c r="AQ60" s="1468"/>
      <c r="AR60" s="1469"/>
      <c r="AS60" s="1462"/>
      <c r="AT60" s="1463"/>
      <c r="AU60" s="1475"/>
      <c r="AV60" s="1464"/>
      <c r="AW60" s="1464"/>
      <c r="AX60" s="1469"/>
      <c r="AY60" s="1462"/>
      <c r="AZ60" s="1472"/>
      <c r="BA60" s="1473"/>
      <c r="BB60" s="1464"/>
      <c r="BC60" s="1474"/>
      <c r="BD60" s="1469"/>
      <c r="BE60" s="1462"/>
      <c r="BF60" s="1463"/>
      <c r="BG60" s="1475"/>
      <c r="BH60" s="1464"/>
      <c r="BI60" s="1468"/>
      <c r="BJ60" s="1469"/>
      <c r="BK60" s="1462"/>
      <c r="BL60" s="1463"/>
      <c r="BM60" s="1528"/>
      <c r="BN60" s="1529"/>
      <c r="BO60" s="1474"/>
      <c r="BP60" s="1478"/>
      <c r="BQ60" s="1465"/>
      <c r="BR60" s="1468"/>
      <c r="BS60" s="1"/>
    </row>
    <row r="61" spans="1:72" ht="18.600000000000001" customHeight="1" x14ac:dyDescent="0.3">
      <c r="A61" s="2734"/>
      <c r="B61" s="2731"/>
      <c r="C61" s="506"/>
      <c r="D61" s="522" t="s">
        <v>103</v>
      </c>
      <c r="E61" s="590">
        <v>8</v>
      </c>
      <c r="F61" s="523">
        <f t="shared" si="10"/>
        <v>0</v>
      </c>
      <c r="G61" s="524">
        <v>53</v>
      </c>
      <c r="H61" s="838">
        <f t="shared" si="14"/>
        <v>424</v>
      </c>
      <c r="I61" s="817">
        <v>11000</v>
      </c>
      <c r="J61" s="817">
        <v>2000</v>
      </c>
      <c r="K61" s="1530">
        <f>J61-$H61</f>
        <v>1576</v>
      </c>
      <c r="L61" s="1531">
        <f t="shared" ref="L61:S62" si="15">K61-$H61</f>
        <v>1152</v>
      </c>
      <c r="M61" s="1963">
        <v>1728</v>
      </c>
      <c r="N61" s="1963">
        <v>2304</v>
      </c>
      <c r="O61" s="1531">
        <f t="shared" si="15"/>
        <v>1880</v>
      </c>
      <c r="P61" s="1531">
        <f t="shared" si="15"/>
        <v>1456</v>
      </c>
      <c r="Q61" s="1531">
        <f t="shared" si="15"/>
        <v>1032</v>
      </c>
      <c r="R61" s="1531">
        <f t="shared" si="15"/>
        <v>608</v>
      </c>
      <c r="S61" s="1532">
        <f t="shared" si="15"/>
        <v>184</v>
      </c>
      <c r="T61" s="1914"/>
      <c r="U61" s="1830"/>
      <c r="V61" s="1888"/>
      <c r="W61" s="1893"/>
      <c r="X61" s="1888"/>
      <c r="Y61" s="1861"/>
      <c r="Z61" s="1487"/>
      <c r="AA61" s="1488"/>
      <c r="AB61" s="1489"/>
      <c r="AC61" s="1533"/>
      <c r="AD61" s="1485"/>
      <c r="AE61" s="1486"/>
      <c r="AF61" s="1487"/>
      <c r="AG61" s="1488">
        <v>1000</v>
      </c>
      <c r="AH61" s="1489"/>
      <c r="AI61" s="1490"/>
      <c r="AJ61" s="1484"/>
      <c r="AK61" s="1498"/>
      <c r="AL61" s="1534"/>
      <c r="AM61" s="1488">
        <v>1000</v>
      </c>
      <c r="AN61" s="1489"/>
      <c r="AO61" s="1484"/>
      <c r="AP61" s="1484"/>
      <c r="AQ61" s="1494"/>
      <c r="AR61" s="1535"/>
      <c r="AS61" s="1488"/>
      <c r="AT61" s="1489"/>
      <c r="AU61" s="1536"/>
      <c r="AV61" s="1533"/>
      <c r="AW61" s="1533"/>
      <c r="AX61" s="1534"/>
      <c r="AY61" s="1488"/>
      <c r="AZ61" s="1537"/>
      <c r="BA61" s="1538"/>
      <c r="BB61" s="1484"/>
      <c r="BC61" s="1498"/>
      <c r="BD61" s="1534"/>
      <c r="BE61" s="1488"/>
      <c r="BF61" s="1489"/>
      <c r="BG61" s="1536"/>
      <c r="BH61" s="1533"/>
      <c r="BI61" s="1492"/>
      <c r="BJ61" s="1534"/>
      <c r="BK61" s="1488"/>
      <c r="BL61" s="1489"/>
      <c r="BM61" s="1490"/>
      <c r="BN61" s="1539"/>
      <c r="BO61" s="1540"/>
      <c r="BP61" s="1541"/>
      <c r="BQ61" s="1542"/>
      <c r="BR61" s="1501"/>
      <c r="BS61" s="1"/>
    </row>
    <row r="62" spans="1:72" ht="21" customHeight="1" thickBot="1" x14ac:dyDescent="0.35">
      <c r="A62" s="2735"/>
      <c r="B62" s="2732"/>
      <c r="C62" s="513"/>
      <c r="D62" s="512" t="s">
        <v>104</v>
      </c>
      <c r="E62" s="618">
        <v>2.5</v>
      </c>
      <c r="F62" s="510" t="e">
        <f t="shared" si="10"/>
        <v>#DIV/0!</v>
      </c>
      <c r="G62" s="619"/>
      <c r="H62" s="837">
        <f t="shared" si="14"/>
        <v>0</v>
      </c>
      <c r="I62" s="819"/>
      <c r="J62" s="819"/>
      <c r="K62" s="1504">
        <f>J62-$H62</f>
        <v>0</v>
      </c>
      <c r="L62" s="1505">
        <f t="shared" si="11"/>
        <v>0</v>
      </c>
      <c r="M62" s="1505">
        <f t="shared" si="15"/>
        <v>0</v>
      </c>
      <c r="N62" s="1505">
        <f t="shared" si="15"/>
        <v>0</v>
      </c>
      <c r="O62" s="1505">
        <f t="shared" si="15"/>
        <v>0</v>
      </c>
      <c r="P62" s="1505">
        <f t="shared" si="15"/>
        <v>0</v>
      </c>
      <c r="Q62" s="1505">
        <f t="shared" si="15"/>
        <v>0</v>
      </c>
      <c r="R62" s="1505">
        <f t="shared" si="15"/>
        <v>0</v>
      </c>
      <c r="S62" s="1506">
        <f t="shared" si="15"/>
        <v>0</v>
      </c>
      <c r="T62" s="1915"/>
      <c r="U62" s="1916"/>
      <c r="V62" s="1917"/>
      <c r="W62" s="1918"/>
      <c r="X62" s="1917"/>
      <c r="Y62" s="1919"/>
      <c r="Z62" s="1509"/>
      <c r="AA62" s="1507"/>
      <c r="AB62" s="1508"/>
      <c r="AC62" s="1515"/>
      <c r="AD62" s="1543"/>
      <c r="AE62" s="1511"/>
      <c r="AF62" s="1544"/>
      <c r="AG62" s="1507"/>
      <c r="AH62" s="1508"/>
      <c r="AI62" s="1510"/>
      <c r="AJ62" s="1509"/>
      <c r="AK62" s="1522"/>
      <c r="AL62" s="1545"/>
      <c r="AM62" s="1513"/>
      <c r="AN62" s="1514"/>
      <c r="AO62" s="1510"/>
      <c r="AP62" s="1518"/>
      <c r="AQ62" s="1519"/>
      <c r="AR62" s="1545"/>
      <c r="AS62" s="1507"/>
      <c r="AT62" s="1508"/>
      <c r="AU62" s="1546"/>
      <c r="AV62" s="1515"/>
      <c r="AW62" s="1515"/>
      <c r="AX62" s="1545"/>
      <c r="AY62" s="1507"/>
      <c r="AZ62" s="1508"/>
      <c r="BA62" s="1547"/>
      <c r="BB62" s="1548"/>
      <c r="BC62" s="1519"/>
      <c r="BD62" s="1545"/>
      <c r="BE62" s="1507"/>
      <c r="BF62" s="1508"/>
      <c r="BG62" s="1546"/>
      <c r="BH62" s="1515"/>
      <c r="BI62" s="1516"/>
      <c r="BJ62" s="1545"/>
      <c r="BK62" s="1513"/>
      <c r="BL62" s="1514"/>
      <c r="BM62" s="1510"/>
      <c r="BN62" s="1549"/>
      <c r="BO62" s="1550"/>
      <c r="BP62" s="1551"/>
      <c r="BQ62" s="1510"/>
      <c r="BR62" s="1519"/>
      <c r="BS62" s="1"/>
    </row>
    <row r="63" spans="1:72" s="1" customFormat="1" ht="21" customHeight="1" thickBot="1" x14ac:dyDescent="0.35">
      <c r="A63" s="48"/>
      <c r="B63" s="938"/>
      <c r="D63" s="939"/>
      <c r="E63" s="940"/>
      <c r="F63" s="941"/>
      <c r="G63" s="48"/>
      <c r="H63" s="939"/>
      <c r="I63" s="815"/>
      <c r="J63" s="815"/>
      <c r="K63" s="1552"/>
      <c r="L63" s="1552"/>
      <c r="M63" s="1552"/>
      <c r="N63" s="1552"/>
      <c r="O63" s="1552"/>
      <c r="P63" s="1552"/>
      <c r="Q63" s="1552"/>
      <c r="R63" s="1552"/>
      <c r="S63" s="1552"/>
      <c r="T63" s="1862"/>
      <c r="U63" s="1552"/>
      <c r="V63" s="1552"/>
      <c r="W63" s="1552"/>
      <c r="X63" s="1552"/>
      <c r="Y63" s="1863"/>
      <c r="Z63" s="1085">
        <f>SUM(Z47:Z56)</f>
        <v>0</v>
      </c>
      <c r="AA63" s="1085">
        <f t="shared" ref="AA63:BO63" si="16">SUM(AA47:AA56)</f>
        <v>3000</v>
      </c>
      <c r="AB63" s="1085">
        <f t="shared" si="16"/>
        <v>0</v>
      </c>
      <c r="AC63" s="1085">
        <f t="shared" si="16"/>
        <v>0</v>
      </c>
      <c r="AD63" s="1085">
        <f t="shared" si="16"/>
        <v>0</v>
      </c>
      <c r="AE63" s="1308">
        <f t="shared" si="16"/>
        <v>0</v>
      </c>
      <c r="AF63" s="1085">
        <f t="shared" si="16"/>
        <v>0</v>
      </c>
      <c r="AG63" s="1085">
        <f>SUM(AG47:AG61)</f>
        <v>3000</v>
      </c>
      <c r="AH63" s="1085">
        <f t="shared" si="16"/>
        <v>0</v>
      </c>
      <c r="AI63" s="1085">
        <f t="shared" si="16"/>
        <v>0</v>
      </c>
      <c r="AJ63" s="1085">
        <f t="shared" si="16"/>
        <v>0</v>
      </c>
      <c r="AK63" s="1309">
        <f t="shared" si="16"/>
        <v>0</v>
      </c>
      <c r="AL63" s="1310">
        <f t="shared" si="16"/>
        <v>0</v>
      </c>
      <c r="AM63" s="1085">
        <f>SUM(AM47:AM62)</f>
        <v>6000</v>
      </c>
      <c r="AN63" s="1085">
        <f t="shared" si="16"/>
        <v>0</v>
      </c>
      <c r="AO63" s="1085">
        <f t="shared" si="16"/>
        <v>0</v>
      </c>
      <c r="AP63" s="1085">
        <f t="shared" si="16"/>
        <v>0</v>
      </c>
      <c r="AQ63" s="1309">
        <f t="shared" si="16"/>
        <v>0</v>
      </c>
      <c r="AR63" s="1310">
        <f t="shared" si="16"/>
        <v>0</v>
      </c>
      <c r="AS63" s="1085">
        <f t="shared" si="16"/>
        <v>0</v>
      </c>
      <c r="AT63" s="1085">
        <f t="shared" si="16"/>
        <v>0</v>
      </c>
      <c r="AU63" s="1085">
        <f t="shared" si="16"/>
        <v>0</v>
      </c>
      <c r="AV63" s="1085">
        <f t="shared" si="16"/>
        <v>0</v>
      </c>
      <c r="AW63" s="1085">
        <f t="shared" si="16"/>
        <v>0</v>
      </c>
      <c r="AX63" s="1310">
        <f t="shared" si="16"/>
        <v>0</v>
      </c>
      <c r="AY63" s="1085">
        <f t="shared" si="16"/>
        <v>0</v>
      </c>
      <c r="AZ63" s="1085">
        <f t="shared" si="16"/>
        <v>0</v>
      </c>
      <c r="BA63" s="1085">
        <f t="shared" si="16"/>
        <v>0</v>
      </c>
      <c r="BB63" s="1085">
        <f t="shared" si="16"/>
        <v>0</v>
      </c>
      <c r="BC63" s="1309">
        <f t="shared" si="16"/>
        <v>0</v>
      </c>
      <c r="BD63" s="1310">
        <f t="shared" si="16"/>
        <v>0</v>
      </c>
      <c r="BE63" s="1085">
        <f t="shared" si="16"/>
        <v>0</v>
      </c>
      <c r="BF63" s="1085">
        <f t="shared" si="16"/>
        <v>0</v>
      </c>
      <c r="BG63" s="1085">
        <f t="shared" si="16"/>
        <v>0</v>
      </c>
      <c r="BH63" s="1085">
        <f t="shared" si="16"/>
        <v>0</v>
      </c>
      <c r="BI63" s="1309">
        <f t="shared" si="16"/>
        <v>0</v>
      </c>
      <c r="BJ63" s="1310">
        <f t="shared" si="16"/>
        <v>0</v>
      </c>
      <c r="BK63" s="1085">
        <f t="shared" si="16"/>
        <v>0</v>
      </c>
      <c r="BL63" s="1085">
        <f t="shared" si="16"/>
        <v>0</v>
      </c>
      <c r="BM63" s="1085">
        <f t="shared" si="16"/>
        <v>0</v>
      </c>
      <c r="BN63" s="1085">
        <f t="shared" si="16"/>
        <v>0</v>
      </c>
      <c r="BO63" s="1309">
        <f t="shared" si="16"/>
        <v>0</v>
      </c>
      <c r="BP63" s="1310"/>
      <c r="BQ63" s="1085"/>
      <c r="BR63" s="1309"/>
      <c r="BS63" s="1085">
        <f>SUM(Z63:BR63)</f>
        <v>12000</v>
      </c>
      <c r="BT63" s="1192">
        <f>SUM(BT47:BT56)</f>
        <v>9000</v>
      </c>
    </row>
    <row r="64" spans="1:72" s="1" customFormat="1" ht="21" customHeight="1" thickTop="1" thickBot="1" x14ac:dyDescent="0.35">
      <c r="A64" s="875" t="s">
        <v>300</v>
      </c>
      <c r="B64" s="876"/>
      <c r="C64" s="877"/>
      <c r="E64" s="79"/>
      <c r="F64" s="712"/>
      <c r="I64" s="815"/>
      <c r="J64" s="815"/>
      <c r="K64" s="1085"/>
      <c r="L64" s="1085"/>
      <c r="M64" s="1085"/>
      <c r="N64" s="1085"/>
      <c r="O64" s="1085"/>
      <c r="P64" s="1085"/>
      <c r="Q64" s="1085"/>
      <c r="R64" s="1085"/>
      <c r="S64" s="1085"/>
      <c r="T64" s="1310"/>
      <c r="U64" s="1085"/>
      <c r="V64" s="1085"/>
      <c r="W64" s="1085"/>
      <c r="X64" s="1085"/>
      <c r="Y64" s="1309"/>
      <c r="Z64" s="1085"/>
      <c r="AA64" s="1133"/>
      <c r="AB64" s="1085"/>
      <c r="AC64" s="1085"/>
      <c r="AD64" s="1085"/>
      <c r="AE64" s="1308"/>
      <c r="AF64" s="1133"/>
      <c r="AG64" s="1085"/>
      <c r="AH64" s="1085"/>
      <c r="AI64" s="1085"/>
      <c r="AJ64" s="1085"/>
      <c r="AK64" s="1309"/>
      <c r="AL64" s="1310"/>
      <c r="AM64" s="1085"/>
      <c r="AN64" s="1133"/>
      <c r="AO64" s="1085"/>
      <c r="AP64" s="1085"/>
      <c r="AQ64" s="1309"/>
      <c r="AR64" s="1310"/>
      <c r="AS64" s="1085"/>
      <c r="AT64" s="1085"/>
      <c r="AU64" s="1311"/>
      <c r="AV64" s="1085"/>
      <c r="AW64" s="1085"/>
      <c r="AX64" s="1310"/>
      <c r="AY64" s="1085"/>
      <c r="AZ64" s="1085"/>
      <c r="BA64" s="1085"/>
      <c r="BB64" s="1085"/>
      <c r="BC64" s="1309"/>
      <c r="BD64" s="1310"/>
      <c r="BE64" s="1133"/>
      <c r="BF64" s="1133"/>
      <c r="BG64" s="1085"/>
      <c r="BH64" s="1085"/>
      <c r="BI64" s="1309"/>
      <c r="BJ64" s="1310"/>
      <c r="BK64" s="1085"/>
      <c r="BL64" s="1133"/>
      <c r="BM64" s="1085"/>
      <c r="BN64" s="1085"/>
      <c r="BO64" s="1309"/>
      <c r="BP64" s="1310"/>
      <c r="BQ64" s="1085"/>
      <c r="BR64" s="1309"/>
    </row>
    <row r="65" spans="1:71" s="1" customFormat="1" ht="21" customHeight="1" thickTop="1" thickBot="1" x14ac:dyDescent="0.35">
      <c r="A65" s="1008" t="s">
        <v>29</v>
      </c>
      <c r="B65" s="885" t="s">
        <v>30</v>
      </c>
      <c r="C65" s="886" t="s">
        <v>31</v>
      </c>
      <c r="D65" s="887" t="s">
        <v>2</v>
      </c>
      <c r="E65" s="888" t="s">
        <v>32</v>
      </c>
      <c r="F65" s="888" t="s">
        <v>33</v>
      </c>
      <c r="G65" s="889" t="s">
        <v>34</v>
      </c>
      <c r="H65" s="890" t="s">
        <v>35</v>
      </c>
      <c r="I65" s="891" t="s">
        <v>36</v>
      </c>
      <c r="J65" s="811" t="s">
        <v>37</v>
      </c>
      <c r="K65" s="1312" t="s">
        <v>38</v>
      </c>
      <c r="L65" s="1313" t="s">
        <v>39</v>
      </c>
      <c r="M65" s="1313" t="s">
        <v>40</v>
      </c>
      <c r="N65" s="1313" t="s">
        <v>41</v>
      </c>
      <c r="O65" s="1313" t="s">
        <v>42</v>
      </c>
      <c r="P65" s="1313" t="s">
        <v>43</v>
      </c>
      <c r="Q65" s="1314" t="s">
        <v>44</v>
      </c>
      <c r="R65" s="1313" t="s">
        <v>38</v>
      </c>
      <c r="S65" s="1314" t="s">
        <v>45</v>
      </c>
      <c r="T65" s="1931" t="s">
        <v>457</v>
      </c>
      <c r="U65" s="1932" t="s">
        <v>458</v>
      </c>
      <c r="V65" s="1739" t="s">
        <v>345</v>
      </c>
      <c r="W65" s="1933" t="s">
        <v>459</v>
      </c>
      <c r="X65" s="1932" t="s">
        <v>460</v>
      </c>
      <c r="Y65" s="1934" t="s">
        <v>461</v>
      </c>
      <c r="Z65" s="1557" t="s">
        <v>301</v>
      </c>
      <c r="AA65" s="1318" t="s">
        <v>302</v>
      </c>
      <c r="AB65" s="1315" t="s">
        <v>303</v>
      </c>
      <c r="AC65" s="1553" t="s">
        <v>304</v>
      </c>
      <c r="AD65" s="1318" t="s">
        <v>306</v>
      </c>
      <c r="AE65" s="1554" t="s">
        <v>305</v>
      </c>
      <c r="AF65" s="1317" t="s">
        <v>310</v>
      </c>
      <c r="AG65" s="1318" t="s">
        <v>311</v>
      </c>
      <c r="AH65" s="1317" t="s">
        <v>312</v>
      </c>
      <c r="AI65" s="1318" t="s">
        <v>313</v>
      </c>
      <c r="AJ65" s="1317" t="s">
        <v>314</v>
      </c>
      <c r="AK65" s="1318" t="s">
        <v>315</v>
      </c>
      <c r="AL65" s="1318" t="s">
        <v>317</v>
      </c>
      <c r="AM65" s="1555" t="s">
        <v>318</v>
      </c>
      <c r="AN65" s="1318" t="s">
        <v>319</v>
      </c>
      <c r="AO65" s="1556" t="s">
        <v>320</v>
      </c>
      <c r="AP65" s="1318" t="s">
        <v>321</v>
      </c>
      <c r="AQ65" s="1556" t="s">
        <v>322</v>
      </c>
      <c r="AR65" s="1318" t="s">
        <v>324</v>
      </c>
      <c r="AS65" s="1555" t="s">
        <v>325</v>
      </c>
      <c r="AT65" s="1318" t="s">
        <v>326</v>
      </c>
      <c r="AU65" s="1556" t="s">
        <v>327</v>
      </c>
      <c r="AV65" s="1318" t="s">
        <v>328</v>
      </c>
      <c r="AW65" s="1557" t="s">
        <v>329</v>
      </c>
      <c r="AX65" s="1556" t="s">
        <v>331</v>
      </c>
      <c r="AY65" s="1318" t="s">
        <v>332</v>
      </c>
      <c r="AZ65" s="1557" t="s">
        <v>333</v>
      </c>
      <c r="BA65" s="1318" t="s">
        <v>334</v>
      </c>
      <c r="BB65" s="1556" t="s">
        <v>335</v>
      </c>
      <c r="BC65" s="1318" t="s">
        <v>336</v>
      </c>
      <c r="BD65" s="1556" t="s">
        <v>337</v>
      </c>
      <c r="BE65" s="1318" t="s">
        <v>338</v>
      </c>
      <c r="BF65" s="1557" t="s">
        <v>339</v>
      </c>
      <c r="BG65" s="1318" t="s">
        <v>340</v>
      </c>
      <c r="BH65" s="1556" t="s">
        <v>341</v>
      </c>
      <c r="BI65" s="1556" t="s">
        <v>342</v>
      </c>
      <c r="BJ65" s="1318" t="s">
        <v>343</v>
      </c>
      <c r="BK65" s="1558" t="s">
        <v>344</v>
      </c>
      <c r="BL65" s="1318" t="s">
        <v>345</v>
      </c>
      <c r="BM65" s="1318" t="s">
        <v>346</v>
      </c>
      <c r="BN65" s="1559" t="s">
        <v>347</v>
      </c>
      <c r="BO65" s="1326" t="s">
        <v>348</v>
      </c>
      <c r="BP65" s="1327" t="s">
        <v>70</v>
      </c>
      <c r="BQ65" s="1317" t="s">
        <v>71</v>
      </c>
      <c r="BR65" s="1328" t="s">
        <v>72</v>
      </c>
    </row>
    <row r="66" spans="1:71" s="1" customFormat="1" ht="21" customHeight="1" x14ac:dyDescent="0.35">
      <c r="A66" s="2753"/>
      <c r="B66" s="866"/>
      <c r="C66" s="942"/>
      <c r="D66" s="290" t="s">
        <v>293</v>
      </c>
      <c r="E66" s="943"/>
      <c r="F66" s="944" t="e">
        <f t="shared" ref="F66:F77" si="17">(BR66/G66)/7</f>
        <v>#DIV/0!</v>
      </c>
      <c r="G66" s="480"/>
      <c r="H66" s="945">
        <f>G66*E66</f>
        <v>0</v>
      </c>
      <c r="I66" s="826"/>
      <c r="J66" s="826"/>
      <c r="K66" s="1560">
        <f>J66-H66</f>
        <v>0</v>
      </c>
      <c r="L66" s="1274">
        <f t="shared" ref="L66:S76" si="18">K66-$H66</f>
        <v>0</v>
      </c>
      <c r="M66" s="1274">
        <f t="shared" si="18"/>
        <v>0</v>
      </c>
      <c r="N66" s="1274">
        <f t="shared" si="18"/>
        <v>0</v>
      </c>
      <c r="O66" s="1274">
        <f t="shared" si="18"/>
        <v>0</v>
      </c>
      <c r="P66" s="1274">
        <f t="shared" si="18"/>
        <v>0</v>
      </c>
      <c r="Q66" s="1273">
        <f t="shared" si="18"/>
        <v>0</v>
      </c>
      <c r="R66" s="1274">
        <f t="shared" si="18"/>
        <v>0</v>
      </c>
      <c r="S66" s="1273">
        <f t="shared" si="18"/>
        <v>0</v>
      </c>
      <c r="T66" s="1848"/>
      <c r="U66" s="1885"/>
      <c r="V66" s="1222"/>
      <c r="W66" s="1885"/>
      <c r="X66" s="1222"/>
      <c r="Y66" s="1923"/>
      <c r="Z66" s="1622"/>
      <c r="AA66" s="1274"/>
      <c r="AB66" s="1560"/>
      <c r="AC66" s="1273"/>
      <c r="AD66" s="1274"/>
      <c r="AE66" s="1561"/>
      <c r="AF66" s="1562"/>
      <c r="AG66" s="1279"/>
      <c r="AH66" s="1562"/>
      <c r="AI66" s="1279"/>
      <c r="AJ66" s="1562"/>
      <c r="AK66" s="1279"/>
      <c r="AL66" s="1274"/>
      <c r="AM66" s="1273"/>
      <c r="AN66" s="1274"/>
      <c r="AO66" s="1273"/>
      <c r="AP66" s="1274"/>
      <c r="AQ66" s="1563"/>
      <c r="AR66" s="1279"/>
      <c r="AS66" s="1562"/>
      <c r="AT66" s="1279"/>
      <c r="AU66" s="1279"/>
      <c r="AV66" s="1279"/>
      <c r="AW66" s="1562"/>
      <c r="AX66" s="1564"/>
      <c r="AY66" s="1274"/>
      <c r="AZ66" s="1273"/>
      <c r="BA66" s="1274"/>
      <c r="BB66" s="1565"/>
      <c r="BC66" s="1279"/>
      <c r="BD66" s="1179"/>
      <c r="BE66" s="1566"/>
      <c r="BF66" s="1276"/>
      <c r="BG66" s="1278"/>
      <c r="BH66" s="1562"/>
      <c r="BI66" s="1563"/>
      <c r="BJ66" s="1279"/>
      <c r="BK66" s="1567"/>
      <c r="BL66" s="1279"/>
      <c r="BM66" s="1279"/>
      <c r="BN66" s="1279"/>
      <c r="BO66" s="1568"/>
      <c r="BP66" s="1446">
        <f>SUM('[3]Porta Wk 16'!T66:BI66)</f>
        <v>0</v>
      </c>
      <c r="BQ66" s="1569"/>
      <c r="BR66" s="1570"/>
    </row>
    <row r="67" spans="1:71" s="1" customFormat="1" ht="18.600000000000001" thickBot="1" x14ac:dyDescent="0.4">
      <c r="A67" s="2754"/>
      <c r="B67" s="867"/>
      <c r="C67" s="946"/>
      <c r="D67" s="290" t="s">
        <v>293</v>
      </c>
      <c r="E67" s="947"/>
      <c r="F67" s="948" t="e">
        <f t="shared" si="17"/>
        <v>#DIV/0!</v>
      </c>
      <c r="G67" s="482"/>
      <c r="H67" s="949">
        <f>G67*E67</f>
        <v>0</v>
      </c>
      <c r="I67" s="950"/>
      <c r="J67" s="950"/>
      <c r="K67" s="1395">
        <f>J67-$H67</f>
        <v>0</v>
      </c>
      <c r="L67" s="1194">
        <f>K67-$H67</f>
        <v>0</v>
      </c>
      <c r="M67" s="1194">
        <f t="shared" si="18"/>
        <v>0</v>
      </c>
      <c r="N67" s="1194">
        <f t="shared" si="18"/>
        <v>0</v>
      </c>
      <c r="O67" s="1194">
        <f t="shared" si="18"/>
        <v>0</v>
      </c>
      <c r="P67" s="1194">
        <f t="shared" si="18"/>
        <v>0</v>
      </c>
      <c r="Q67" s="1194">
        <f t="shared" si="18"/>
        <v>0</v>
      </c>
      <c r="R67" s="1194">
        <f t="shared" si="18"/>
        <v>0</v>
      </c>
      <c r="S67" s="1342">
        <f t="shared" si="18"/>
        <v>0</v>
      </c>
      <c r="T67" s="1850"/>
      <c r="U67" s="1220"/>
      <c r="V67" s="1827"/>
      <c r="W67" s="1220"/>
      <c r="X67" s="1827"/>
      <c r="Y67" s="1920"/>
      <c r="Z67" s="1600"/>
      <c r="AA67" s="1194"/>
      <c r="AB67" s="1395"/>
      <c r="AC67" s="1193"/>
      <c r="AD67" s="1280"/>
      <c r="AE67" s="1571"/>
      <c r="AF67" s="1286"/>
      <c r="AG67" s="1285"/>
      <c r="AH67" s="1286"/>
      <c r="AI67" s="1285"/>
      <c r="AJ67" s="1286"/>
      <c r="AK67" s="1285"/>
      <c r="AL67" s="1194"/>
      <c r="AM67" s="1193"/>
      <c r="AN67" s="1194"/>
      <c r="AO67" s="1193"/>
      <c r="AP67" s="1194"/>
      <c r="AQ67" s="1450"/>
      <c r="AR67" s="1285"/>
      <c r="AS67" s="1286"/>
      <c r="AT67" s="1285"/>
      <c r="AU67" s="1285"/>
      <c r="AV67" s="1285"/>
      <c r="AW67" s="1286"/>
      <c r="AX67" s="1572"/>
      <c r="AY67" s="1194"/>
      <c r="AZ67" s="1193"/>
      <c r="BA67" s="1194"/>
      <c r="BB67" s="1342"/>
      <c r="BC67" s="1285"/>
      <c r="BD67" s="1201"/>
      <c r="BE67" s="1118"/>
      <c r="BF67" s="1117"/>
      <c r="BG67" s="1284"/>
      <c r="BH67" s="1286"/>
      <c r="BI67" s="1450"/>
      <c r="BJ67" s="1285"/>
      <c r="BK67" s="1286"/>
      <c r="BL67" s="1285"/>
      <c r="BM67" s="1279"/>
      <c r="BN67" s="1279"/>
      <c r="BO67" s="1568"/>
      <c r="BP67" s="1449">
        <f>SUM('[3]Porta Wk 16'!T67:BI67)</f>
        <v>0</v>
      </c>
      <c r="BQ67" s="1285"/>
      <c r="BR67" s="1573"/>
    </row>
    <row r="68" spans="1:71" s="1" customFormat="1" ht="18" x14ac:dyDescent="0.35">
      <c r="A68" s="951"/>
      <c r="B68" s="869"/>
      <c r="C68" s="952"/>
      <c r="D68" s="953" t="s">
        <v>294</v>
      </c>
      <c r="E68" s="954"/>
      <c r="F68" s="955" t="e">
        <f t="shared" si="17"/>
        <v>#DIV/0!</v>
      </c>
      <c r="G68" s="956"/>
      <c r="H68" s="957">
        <f t="shared" ref="H68:H77" si="19">G68*E68</f>
        <v>0</v>
      </c>
      <c r="I68" s="958"/>
      <c r="J68" s="958"/>
      <c r="K68" s="1375">
        <f>(J68-$H68)+Z68</f>
        <v>0</v>
      </c>
      <c r="L68" s="1243">
        <f t="shared" ref="L68:L71" si="20">K68-$H68</f>
        <v>0</v>
      </c>
      <c r="M68" s="1243">
        <f t="shared" si="18"/>
        <v>0</v>
      </c>
      <c r="N68" s="1243">
        <f t="shared" si="18"/>
        <v>0</v>
      </c>
      <c r="O68" s="1243">
        <f t="shared" si="18"/>
        <v>0</v>
      </c>
      <c r="P68" s="1243">
        <f t="shared" si="18"/>
        <v>0</v>
      </c>
      <c r="Q68" s="1242">
        <f t="shared" si="18"/>
        <v>0</v>
      </c>
      <c r="R68" s="1243">
        <f t="shared" si="18"/>
        <v>0</v>
      </c>
      <c r="S68" s="1242">
        <f t="shared" si="18"/>
        <v>0</v>
      </c>
      <c r="T68" s="1852"/>
      <c r="U68" s="1790"/>
      <c r="V68" s="1242"/>
      <c r="W68" s="1790"/>
      <c r="X68" s="1242"/>
      <c r="Y68" s="1921"/>
      <c r="Z68" s="1375"/>
      <c r="AA68" s="1243"/>
      <c r="AB68" s="1375"/>
      <c r="AC68" s="1242"/>
      <c r="AD68" s="1243"/>
      <c r="AE68" s="1574"/>
      <c r="AF68" s="1575"/>
      <c r="AG68" s="1576"/>
      <c r="AH68" s="1575"/>
      <c r="AI68" s="1576"/>
      <c r="AJ68" s="1575"/>
      <c r="AK68" s="1576"/>
      <c r="AL68" s="1243"/>
      <c r="AM68" s="1242"/>
      <c r="AN68" s="1243"/>
      <c r="AO68" s="1242"/>
      <c r="AP68" s="1243"/>
      <c r="AQ68" s="1577"/>
      <c r="AR68" s="1576"/>
      <c r="AS68" s="1575"/>
      <c r="AT68" s="1576"/>
      <c r="AU68" s="1576"/>
      <c r="AV68" s="1576"/>
      <c r="AW68" s="1575"/>
      <c r="AX68" s="1578"/>
      <c r="AY68" s="1243"/>
      <c r="AZ68" s="1242"/>
      <c r="BA68" s="1243"/>
      <c r="BB68" s="1579"/>
      <c r="BC68" s="1576"/>
      <c r="BD68" s="1246"/>
      <c r="BE68" s="1580"/>
      <c r="BF68" s="1581"/>
      <c r="BG68" s="1582"/>
      <c r="BH68" s="1575"/>
      <c r="BI68" s="1577"/>
      <c r="BJ68" s="1576"/>
      <c r="BK68" s="1575"/>
      <c r="BL68" s="1576"/>
      <c r="BM68" s="1583"/>
      <c r="BN68" s="1583"/>
      <c r="BO68" s="1584"/>
      <c r="BP68" s="1585">
        <f>SUM('[3]Porta Wk 16'!T68:BI68)</f>
        <v>0</v>
      </c>
      <c r="BQ68" s="1586"/>
      <c r="BR68" s="1587"/>
    </row>
    <row r="69" spans="1:71" s="1" customFormat="1" ht="18.600000000000001" thickBot="1" x14ac:dyDescent="0.4">
      <c r="A69" s="1007"/>
      <c r="B69" s="960"/>
      <c r="C69" s="961"/>
      <c r="D69" s="962" t="s">
        <v>294</v>
      </c>
      <c r="E69" s="963"/>
      <c r="F69" s="964" t="e">
        <f t="shared" si="17"/>
        <v>#DIV/0!</v>
      </c>
      <c r="G69" s="965"/>
      <c r="H69" s="966">
        <f t="shared" si="19"/>
        <v>0</v>
      </c>
      <c r="I69" s="967"/>
      <c r="J69" s="967"/>
      <c r="K69" s="1588">
        <f t="shared" ref="K69:K70" si="21">J69-$H69</f>
        <v>0</v>
      </c>
      <c r="L69" s="1589">
        <f t="shared" si="20"/>
        <v>0</v>
      </c>
      <c r="M69" s="1589">
        <f t="shared" si="18"/>
        <v>0</v>
      </c>
      <c r="N69" s="1589">
        <f t="shared" si="18"/>
        <v>0</v>
      </c>
      <c r="O69" s="1589">
        <f t="shared" si="18"/>
        <v>0</v>
      </c>
      <c r="P69" s="1589">
        <f t="shared" si="18"/>
        <v>0</v>
      </c>
      <c r="Q69" s="1590">
        <f t="shared" si="18"/>
        <v>0</v>
      </c>
      <c r="R69" s="1589">
        <f t="shared" si="18"/>
        <v>0</v>
      </c>
      <c r="S69" s="1590">
        <f t="shared" si="18"/>
        <v>0</v>
      </c>
      <c r="T69" s="1864"/>
      <c r="U69" s="1894"/>
      <c r="V69" s="1590"/>
      <c r="W69" s="1894"/>
      <c r="X69" s="1590"/>
      <c r="Y69" s="1922"/>
      <c r="Z69" s="1588"/>
      <c r="AA69" s="1589"/>
      <c r="AB69" s="1588"/>
      <c r="AC69" s="1590"/>
      <c r="AD69" s="1589"/>
      <c r="AE69" s="1591"/>
      <c r="AF69" s="1592"/>
      <c r="AG69" s="1593"/>
      <c r="AH69" s="1592"/>
      <c r="AI69" s="1593"/>
      <c r="AJ69" s="1592"/>
      <c r="AK69" s="1593"/>
      <c r="AL69" s="1589"/>
      <c r="AM69" s="1590"/>
      <c r="AN69" s="1589"/>
      <c r="AO69" s="1590"/>
      <c r="AP69" s="1589"/>
      <c r="AQ69" s="1594"/>
      <c r="AR69" s="1593"/>
      <c r="AS69" s="1592"/>
      <c r="AT69" s="1593"/>
      <c r="AU69" s="1593"/>
      <c r="AV69" s="1593"/>
      <c r="AW69" s="1592"/>
      <c r="AX69" s="1595"/>
      <c r="AY69" s="1589"/>
      <c r="AZ69" s="1590"/>
      <c r="BA69" s="1589"/>
      <c r="BB69" s="1596"/>
      <c r="BC69" s="1593"/>
      <c r="BD69" s="1597"/>
      <c r="BE69" s="1598"/>
      <c r="BF69" s="1599"/>
      <c r="BG69" s="1600"/>
      <c r="BH69" s="1592"/>
      <c r="BI69" s="1594"/>
      <c r="BJ69" s="1593"/>
      <c r="BK69" s="1592"/>
      <c r="BL69" s="1593"/>
      <c r="BM69" s="1593"/>
      <c r="BN69" s="1593"/>
      <c r="BO69" s="1601"/>
      <c r="BP69" s="1602">
        <f>SUM('[3]Porta Wk 16'!T69:BI69)</f>
        <v>0</v>
      </c>
      <c r="BQ69" s="1593"/>
      <c r="BR69" s="1603"/>
    </row>
    <row r="70" spans="1:71" s="1" customFormat="1" ht="18" x14ac:dyDescent="0.35">
      <c r="A70" s="968"/>
      <c r="B70" s="969"/>
      <c r="C70" s="970"/>
      <c r="D70" s="290" t="s">
        <v>295</v>
      </c>
      <c r="E70" s="971"/>
      <c r="F70" s="944" t="e">
        <f t="shared" si="17"/>
        <v>#DIV/0!</v>
      </c>
      <c r="G70" s="959"/>
      <c r="H70" s="973">
        <f t="shared" si="19"/>
        <v>0</v>
      </c>
      <c r="I70" s="974"/>
      <c r="J70" s="958"/>
      <c r="K70" s="1604">
        <f t="shared" si="21"/>
        <v>0</v>
      </c>
      <c r="L70" s="1243">
        <f t="shared" si="20"/>
        <v>0</v>
      </c>
      <c r="M70" s="1243">
        <f t="shared" si="18"/>
        <v>0</v>
      </c>
      <c r="N70" s="1375">
        <f t="shared" si="18"/>
        <v>0</v>
      </c>
      <c r="O70" s="1375">
        <f t="shared" si="18"/>
        <v>0</v>
      </c>
      <c r="P70" s="1375">
        <f t="shared" si="18"/>
        <v>0</v>
      </c>
      <c r="Q70" s="1375">
        <f t="shared" si="18"/>
        <v>0</v>
      </c>
      <c r="R70" s="1375">
        <f t="shared" si="18"/>
        <v>0</v>
      </c>
      <c r="S70" s="1242">
        <f t="shared" si="18"/>
        <v>0</v>
      </c>
      <c r="T70" s="1852"/>
      <c r="U70" s="1790"/>
      <c r="V70" s="1242"/>
      <c r="W70" s="1790"/>
      <c r="X70" s="1242"/>
      <c r="Y70" s="1921"/>
      <c r="Z70" s="1375"/>
      <c r="AA70" s="1605"/>
      <c r="AB70" s="1606"/>
      <c r="AC70" s="1607"/>
      <c r="AD70" s="1605"/>
      <c r="AE70" s="1608"/>
      <c r="AF70" s="1609"/>
      <c r="AG70" s="1610"/>
      <c r="AH70" s="1609"/>
      <c r="AI70" s="1610"/>
      <c r="AJ70" s="1609"/>
      <c r="AK70" s="1610"/>
      <c r="AL70" s="1605"/>
      <c r="AM70" s="1607"/>
      <c r="AN70" s="1605"/>
      <c r="AO70" s="1607"/>
      <c r="AP70" s="1605"/>
      <c r="AQ70" s="1611"/>
      <c r="AR70" s="1610"/>
      <c r="AS70" s="1609"/>
      <c r="AT70" s="1610"/>
      <c r="AU70" s="1610"/>
      <c r="AV70" s="1610"/>
      <c r="AW70" s="1609"/>
      <c r="AX70" s="1612"/>
      <c r="AY70" s="1605"/>
      <c r="AZ70" s="1607"/>
      <c r="BA70" s="1605"/>
      <c r="BB70" s="1613"/>
      <c r="BC70" s="1610"/>
      <c r="BD70" s="1614"/>
      <c r="BE70" s="1615"/>
      <c r="BF70" s="1616"/>
      <c r="BG70" s="1617"/>
      <c r="BH70" s="1609"/>
      <c r="BI70" s="1611"/>
      <c r="BJ70" s="1610"/>
      <c r="BK70" s="1609"/>
      <c r="BL70" s="1610"/>
      <c r="BM70" s="1610"/>
      <c r="BN70" s="1610"/>
      <c r="BO70" s="1618"/>
      <c r="BP70" s="1619">
        <f>SUM('[3]Porta Wk 16'!T70:BI70)</f>
        <v>0</v>
      </c>
      <c r="BQ70" s="1609"/>
      <c r="BR70" s="1620"/>
    </row>
    <row r="71" spans="1:71" s="1" customFormat="1" ht="18.600000000000001" thickBot="1" x14ac:dyDescent="0.4">
      <c r="A71" s="1009"/>
      <c r="B71" s="870"/>
      <c r="C71" s="986"/>
      <c r="D71" s="975" t="s">
        <v>295</v>
      </c>
      <c r="E71" s="1012"/>
      <c r="F71" s="976" t="e">
        <f t="shared" si="17"/>
        <v>#DIV/0!</v>
      </c>
      <c r="G71" s="972"/>
      <c r="H71" s="1014">
        <f t="shared" si="19"/>
        <v>0</v>
      </c>
      <c r="I71" s="989"/>
      <c r="J71" s="974"/>
      <c r="K71" s="1437">
        <f>J71-H71</f>
        <v>0</v>
      </c>
      <c r="L71" s="1223">
        <f t="shared" si="20"/>
        <v>0</v>
      </c>
      <c r="M71" s="1223">
        <f>L71-H71</f>
        <v>0</v>
      </c>
      <c r="N71" s="1223">
        <f t="shared" si="18"/>
        <v>0</v>
      </c>
      <c r="O71" s="1223">
        <f t="shared" si="18"/>
        <v>0</v>
      </c>
      <c r="P71" s="1223">
        <f t="shared" si="18"/>
        <v>0</v>
      </c>
      <c r="Q71" s="1223">
        <f t="shared" si="18"/>
        <v>0</v>
      </c>
      <c r="R71" s="1223">
        <f t="shared" si="18"/>
        <v>0</v>
      </c>
      <c r="S71" s="1438">
        <f t="shared" si="18"/>
        <v>0</v>
      </c>
      <c r="T71" s="1848"/>
      <c r="U71" s="1885"/>
      <c r="V71" s="1222"/>
      <c r="W71" s="1885"/>
      <c r="X71" s="1222"/>
      <c r="Y71" s="1923"/>
      <c r="Z71" s="1622"/>
      <c r="AA71" s="1621"/>
      <c r="AB71" s="1622"/>
      <c r="AC71" s="1192"/>
      <c r="AD71" s="1621"/>
      <c r="AE71" s="1623"/>
      <c r="AF71" s="1192"/>
      <c r="AG71" s="1621"/>
      <c r="AH71" s="1192"/>
      <c r="AI71" s="1621"/>
      <c r="AJ71" s="1192"/>
      <c r="AK71" s="1621"/>
      <c r="AL71" s="1621"/>
      <c r="AM71" s="1192"/>
      <c r="AN71" s="1621"/>
      <c r="AO71" s="1192"/>
      <c r="AP71" s="1621"/>
      <c r="AQ71" s="1569"/>
      <c r="AR71" s="1621"/>
      <c r="AS71" s="1192"/>
      <c r="AT71" s="1621"/>
      <c r="AU71" s="1621"/>
      <c r="AV71" s="1621"/>
      <c r="AW71" s="1192"/>
      <c r="AX71" s="1624"/>
      <c r="AY71" s="1621"/>
      <c r="AZ71" s="1192"/>
      <c r="BA71" s="1621"/>
      <c r="BB71" s="1192"/>
      <c r="BC71" s="1621"/>
      <c r="BD71" s="1442"/>
      <c r="BE71" s="1439"/>
      <c r="BF71" s="1440"/>
      <c r="BG71" s="1622"/>
      <c r="BH71" s="1192"/>
      <c r="BI71" s="1569"/>
      <c r="BJ71" s="1621"/>
      <c r="BK71" s="1192"/>
      <c r="BL71" s="1621"/>
      <c r="BM71" s="1621"/>
      <c r="BN71" s="1621"/>
      <c r="BO71" s="1625"/>
      <c r="BP71" s="1446">
        <f>SUM('[3]Porta Wk 16'!T71:BI71)</f>
        <v>0</v>
      </c>
      <c r="BQ71" s="1192"/>
      <c r="BR71" s="1626"/>
    </row>
    <row r="72" spans="1:71" s="1" customFormat="1" ht="18" x14ac:dyDescent="0.35">
      <c r="A72" s="1006"/>
      <c r="B72" s="978"/>
      <c r="C72" s="979"/>
      <c r="D72" s="953" t="s">
        <v>296</v>
      </c>
      <c r="E72" s="980"/>
      <c r="F72" s="981" t="e">
        <f t="shared" si="17"/>
        <v>#DIV/0!</v>
      </c>
      <c r="G72" s="982"/>
      <c r="H72" s="983">
        <f t="shared" si="19"/>
        <v>0</v>
      </c>
      <c r="I72" s="984"/>
      <c r="J72" s="958"/>
      <c r="K72" s="1375">
        <f>J72-$H72</f>
        <v>0</v>
      </c>
      <c r="L72" s="1627">
        <f>K72-$H72</f>
        <v>0</v>
      </c>
      <c r="M72" s="1627">
        <f>L72-$H72</f>
        <v>0</v>
      </c>
      <c r="N72" s="1627">
        <f t="shared" si="18"/>
        <v>0</v>
      </c>
      <c r="O72" s="1627">
        <f>N72-H72</f>
        <v>0</v>
      </c>
      <c r="P72" s="1627">
        <f t="shared" si="18"/>
        <v>0</v>
      </c>
      <c r="Q72" s="1627">
        <f>P72-H72</f>
        <v>0</v>
      </c>
      <c r="R72" s="1627">
        <f t="shared" si="18"/>
        <v>0</v>
      </c>
      <c r="S72" s="1628">
        <f t="shared" si="18"/>
        <v>0</v>
      </c>
      <c r="T72" s="1852"/>
      <c r="U72" s="1790"/>
      <c r="V72" s="1242"/>
      <c r="W72" s="1790"/>
      <c r="X72" s="1242"/>
      <c r="Y72" s="1921"/>
      <c r="Z72" s="1582"/>
      <c r="AA72" s="1576"/>
      <c r="AB72" s="1582"/>
      <c r="AC72" s="1575"/>
      <c r="AD72" s="1576"/>
      <c r="AE72" s="1629"/>
      <c r="AF72" s="1575"/>
      <c r="AG72" s="1576"/>
      <c r="AH72" s="1575"/>
      <c r="AI72" s="1576"/>
      <c r="AJ72" s="1575"/>
      <c r="AK72" s="1576"/>
      <c r="AL72" s="1576"/>
      <c r="AM72" s="1575"/>
      <c r="AN72" s="1576"/>
      <c r="AO72" s="1575"/>
      <c r="AP72" s="1576"/>
      <c r="AQ72" s="1577"/>
      <c r="AR72" s="1576"/>
      <c r="AS72" s="1575"/>
      <c r="AT72" s="1576"/>
      <c r="AU72" s="1576"/>
      <c r="AV72" s="1576"/>
      <c r="AW72" s="1575"/>
      <c r="AX72" s="1578"/>
      <c r="AY72" s="1576"/>
      <c r="AZ72" s="1575"/>
      <c r="BA72" s="1576"/>
      <c r="BB72" s="1575"/>
      <c r="BC72" s="1576"/>
      <c r="BD72" s="1246"/>
      <c r="BE72" s="1580"/>
      <c r="BF72" s="1581"/>
      <c r="BG72" s="1582"/>
      <c r="BH72" s="1575"/>
      <c r="BI72" s="1577"/>
      <c r="BJ72" s="1576"/>
      <c r="BK72" s="1575"/>
      <c r="BL72" s="1576"/>
      <c r="BM72" s="1576"/>
      <c r="BN72" s="1576"/>
      <c r="BO72" s="1630"/>
      <c r="BP72" s="1631">
        <f>SUM('[3]Porta Wk 16'!T72:BI72)</f>
        <v>0</v>
      </c>
      <c r="BQ72" s="1577"/>
      <c r="BR72" s="1632"/>
    </row>
    <row r="73" spans="1:71" s="1" customFormat="1" ht="18.600000000000001" thickBot="1" x14ac:dyDescent="0.4">
      <c r="A73" s="985"/>
      <c r="B73" s="870"/>
      <c r="C73" s="986"/>
      <c r="D73" s="987" t="s">
        <v>296</v>
      </c>
      <c r="E73" s="988"/>
      <c r="F73" s="964" t="e">
        <f t="shared" si="17"/>
        <v>#DIV/0!</v>
      </c>
      <c r="G73" s="965"/>
      <c r="H73" s="966">
        <f t="shared" si="19"/>
        <v>0</v>
      </c>
      <c r="I73" s="989"/>
      <c r="J73" s="967"/>
      <c r="K73" s="1420">
        <f>J73-$H73</f>
        <v>0</v>
      </c>
      <c r="L73" s="1258">
        <f t="shared" ref="L73:M76" si="22">K73-$H73</f>
        <v>0</v>
      </c>
      <c r="M73" s="1258">
        <f t="shared" si="22"/>
        <v>0</v>
      </c>
      <c r="N73" s="1258">
        <f t="shared" si="18"/>
        <v>0</v>
      </c>
      <c r="O73" s="1258">
        <f t="shared" si="18"/>
        <v>0</v>
      </c>
      <c r="P73" s="1258">
        <f t="shared" si="18"/>
        <v>0</v>
      </c>
      <c r="Q73" s="1258">
        <f t="shared" si="18"/>
        <v>0</v>
      </c>
      <c r="R73" s="1258">
        <f t="shared" si="18"/>
        <v>0</v>
      </c>
      <c r="S73" s="1633">
        <f t="shared" si="18"/>
        <v>0</v>
      </c>
      <c r="T73" s="1856"/>
      <c r="U73" s="1650"/>
      <c r="V73" s="1257"/>
      <c r="W73" s="1650"/>
      <c r="X73" s="1257"/>
      <c r="Y73" s="1924"/>
      <c r="Z73" s="1635"/>
      <c r="AA73" s="1634"/>
      <c r="AB73" s="1635"/>
      <c r="AC73" s="1636"/>
      <c r="AD73" s="1634"/>
      <c r="AE73" s="1637"/>
      <c r="AF73" s="1636"/>
      <c r="AG73" s="1634"/>
      <c r="AH73" s="1636"/>
      <c r="AI73" s="1634"/>
      <c r="AJ73" s="1636"/>
      <c r="AK73" s="1634"/>
      <c r="AL73" s="1634"/>
      <c r="AM73" s="1636"/>
      <c r="AN73" s="1634"/>
      <c r="AO73" s="1636"/>
      <c r="AP73" s="1634"/>
      <c r="AQ73" s="1638"/>
      <c r="AR73" s="1634"/>
      <c r="AS73" s="1636"/>
      <c r="AT73" s="1258"/>
      <c r="AU73" s="1634"/>
      <c r="AV73" s="1634"/>
      <c r="AW73" s="1636"/>
      <c r="AX73" s="1639"/>
      <c r="AY73" s="1634"/>
      <c r="AZ73" s="1636"/>
      <c r="BA73" s="1634"/>
      <c r="BB73" s="1636"/>
      <c r="BC73" s="1593"/>
      <c r="BD73" s="1597"/>
      <c r="BE73" s="1598"/>
      <c r="BF73" s="1599"/>
      <c r="BG73" s="1600"/>
      <c r="BH73" s="1592"/>
      <c r="BI73" s="1594"/>
      <c r="BJ73" s="1634"/>
      <c r="BK73" s="1592"/>
      <c r="BL73" s="1593"/>
      <c r="BM73" s="1593"/>
      <c r="BN73" s="1593"/>
      <c r="BO73" s="1601"/>
      <c r="BP73" s="1602">
        <f>SUM('[3]Porta Wk 16'!T73:BI73)</f>
        <v>0</v>
      </c>
      <c r="BQ73" s="1594"/>
      <c r="BR73" s="1603"/>
    </row>
    <row r="74" spans="1:71" s="1" customFormat="1" ht="18" x14ac:dyDescent="0.35">
      <c r="A74" s="1006"/>
      <c r="B74" s="1010"/>
      <c r="C74" s="992"/>
      <c r="D74" s="1013" t="s">
        <v>298</v>
      </c>
      <c r="E74" s="993"/>
      <c r="F74" s="955" t="e">
        <f t="shared" si="17"/>
        <v>#DIV/0!</v>
      </c>
      <c r="G74" s="956"/>
      <c r="H74" s="957">
        <f t="shared" si="19"/>
        <v>0</v>
      </c>
      <c r="I74" s="994"/>
      <c r="J74" s="958"/>
      <c r="K74" s="1375">
        <f>(J74-$H74)+Z74</f>
        <v>0</v>
      </c>
      <c r="L74" s="1243">
        <f t="shared" si="22"/>
        <v>0</v>
      </c>
      <c r="M74" s="1243">
        <f t="shared" si="22"/>
        <v>0</v>
      </c>
      <c r="N74" s="1243">
        <f t="shared" si="18"/>
        <v>0</v>
      </c>
      <c r="O74" s="1243">
        <f t="shared" si="18"/>
        <v>0</v>
      </c>
      <c r="P74" s="1243">
        <f t="shared" si="18"/>
        <v>0</v>
      </c>
      <c r="Q74" s="1242">
        <f t="shared" si="18"/>
        <v>0</v>
      </c>
      <c r="R74" s="1243">
        <f t="shared" si="18"/>
        <v>0</v>
      </c>
      <c r="S74" s="1242">
        <f t="shared" si="18"/>
        <v>0</v>
      </c>
      <c r="T74" s="1852"/>
      <c r="U74" s="1790"/>
      <c r="V74" s="1242"/>
      <c r="W74" s="1790"/>
      <c r="X74" s="1242"/>
      <c r="Y74" s="1921"/>
      <c r="Z74" s="1582"/>
      <c r="AA74" s="1576"/>
      <c r="AB74" s="1582"/>
      <c r="AC74" s="1575"/>
      <c r="AD74" s="1576"/>
      <c r="AE74" s="1629"/>
      <c r="AF74" s="1575"/>
      <c r="AG74" s="1576"/>
      <c r="AH74" s="1575"/>
      <c r="AI74" s="1576"/>
      <c r="AJ74" s="1575"/>
      <c r="AK74" s="1576"/>
      <c r="AL74" s="1576"/>
      <c r="AM74" s="1575"/>
      <c r="AN74" s="1576"/>
      <c r="AO74" s="1575"/>
      <c r="AP74" s="1576"/>
      <c r="AQ74" s="1577"/>
      <c r="AR74" s="1576"/>
      <c r="AS74" s="1575"/>
      <c r="AT74" s="1243"/>
      <c r="AU74" s="1576"/>
      <c r="AV74" s="1576"/>
      <c r="AW74" s="1575"/>
      <c r="AX74" s="1578"/>
      <c r="AY74" s="1576"/>
      <c r="AZ74" s="1575"/>
      <c r="BA74" s="1576"/>
      <c r="BB74" s="1575"/>
      <c r="BC74" s="1576"/>
      <c r="BD74" s="1246"/>
      <c r="BE74" s="1580"/>
      <c r="BF74" s="1581"/>
      <c r="BG74" s="1582"/>
      <c r="BH74" s="1575"/>
      <c r="BI74" s="1577"/>
      <c r="BJ74" s="1576"/>
      <c r="BK74" s="1575"/>
      <c r="BL74" s="1576"/>
      <c r="BM74" s="1583"/>
      <c r="BN74" s="1640"/>
      <c r="BO74" s="1630"/>
      <c r="BP74" s="1631">
        <f>SUM('[3]Porta Wk 16'!T74:BI74)</f>
        <v>0</v>
      </c>
      <c r="BQ74" s="1577"/>
      <c r="BR74" s="1632"/>
    </row>
    <row r="75" spans="1:71" s="1" customFormat="1" ht="18.600000000000001" thickBot="1" x14ac:dyDescent="0.4">
      <c r="A75" s="1022"/>
      <c r="B75" s="1023"/>
      <c r="C75" s="995"/>
      <c r="D75" s="1024" t="s">
        <v>298</v>
      </c>
      <c r="E75" s="988"/>
      <c r="F75" s="964" t="e">
        <f t="shared" si="17"/>
        <v>#DIV/0!</v>
      </c>
      <c r="G75" s="965"/>
      <c r="H75" s="966">
        <f t="shared" si="19"/>
        <v>0</v>
      </c>
      <c r="I75" s="989"/>
      <c r="J75" s="967"/>
      <c r="K75" s="1588">
        <f>J75-$H75</f>
        <v>0</v>
      </c>
      <c r="L75" s="1589">
        <f t="shared" si="22"/>
        <v>0</v>
      </c>
      <c r="M75" s="1589">
        <f>L75-H75</f>
        <v>0</v>
      </c>
      <c r="N75" s="1589">
        <f t="shared" si="18"/>
        <v>0</v>
      </c>
      <c r="O75" s="1589">
        <f t="shared" si="18"/>
        <v>0</v>
      </c>
      <c r="P75" s="1589">
        <f t="shared" si="18"/>
        <v>0</v>
      </c>
      <c r="Q75" s="1589">
        <f t="shared" si="18"/>
        <v>0</v>
      </c>
      <c r="R75" s="1589">
        <f t="shared" si="18"/>
        <v>0</v>
      </c>
      <c r="S75" s="1596">
        <f t="shared" si="18"/>
        <v>0</v>
      </c>
      <c r="T75" s="1864"/>
      <c r="U75" s="1894"/>
      <c r="V75" s="1590"/>
      <c r="W75" s="1894"/>
      <c r="X75" s="1590"/>
      <c r="Y75" s="1922"/>
      <c r="Z75" s="1600"/>
      <c r="AA75" s="1593"/>
      <c r="AB75" s="1600"/>
      <c r="AC75" s="1592"/>
      <c r="AD75" s="1593"/>
      <c r="AE75" s="1641"/>
      <c r="AF75" s="1592"/>
      <c r="AG75" s="1593"/>
      <c r="AH75" s="1592"/>
      <c r="AI75" s="1593"/>
      <c r="AJ75" s="1593"/>
      <c r="AK75" s="1593"/>
      <c r="AL75" s="1593"/>
      <c r="AM75" s="1592"/>
      <c r="AN75" s="1593"/>
      <c r="AO75" s="1592"/>
      <c r="AP75" s="1593"/>
      <c r="AQ75" s="1594"/>
      <c r="AR75" s="1593"/>
      <c r="AS75" s="1592"/>
      <c r="AT75" s="1593"/>
      <c r="AU75" s="1593"/>
      <c r="AV75" s="1593"/>
      <c r="AW75" s="1592"/>
      <c r="AX75" s="1595"/>
      <c r="AY75" s="1593"/>
      <c r="AZ75" s="1592"/>
      <c r="BA75" s="1593"/>
      <c r="BB75" s="1592"/>
      <c r="BC75" s="1593"/>
      <c r="BD75" s="1597"/>
      <c r="BE75" s="1598"/>
      <c r="BF75" s="1599"/>
      <c r="BG75" s="1600"/>
      <c r="BH75" s="1592"/>
      <c r="BI75" s="1594"/>
      <c r="BJ75" s="1593"/>
      <c r="BK75" s="1594"/>
      <c r="BL75" s="1593"/>
      <c r="BM75" s="1593"/>
      <c r="BN75" s="1634"/>
      <c r="BO75" s="1642"/>
      <c r="BP75" s="1643">
        <f>SUM('[3]Porta Wk 16'!T75:BI75)</f>
        <v>0</v>
      </c>
      <c r="BQ75" s="1638"/>
      <c r="BR75" s="1603"/>
    </row>
    <row r="76" spans="1:71" s="1" customFormat="1" ht="18" x14ac:dyDescent="0.35">
      <c r="A76" s="1017"/>
      <c r="B76" s="1018"/>
      <c r="C76" s="1019"/>
      <c r="D76" s="290" t="s">
        <v>297</v>
      </c>
      <c r="E76" s="1020"/>
      <c r="F76" s="944" t="e">
        <f t="shared" si="17"/>
        <v>#DIV/0!</v>
      </c>
      <c r="G76" s="480"/>
      <c r="H76" s="945">
        <f t="shared" si="19"/>
        <v>0</v>
      </c>
      <c r="I76" s="1021"/>
      <c r="J76" s="826"/>
      <c r="K76" s="1644">
        <f>J76-$H76</f>
        <v>0</v>
      </c>
      <c r="L76" s="1274">
        <f t="shared" si="22"/>
        <v>0</v>
      </c>
      <c r="M76" s="1274">
        <f t="shared" si="22"/>
        <v>0</v>
      </c>
      <c r="N76" s="1274">
        <f t="shared" si="18"/>
        <v>0</v>
      </c>
      <c r="O76" s="1565">
        <f t="shared" si="18"/>
        <v>0</v>
      </c>
      <c r="P76" s="1645">
        <f t="shared" si="18"/>
        <v>0</v>
      </c>
      <c r="Q76" s="1274">
        <f t="shared" si="18"/>
        <v>0</v>
      </c>
      <c r="R76" s="1274">
        <f t="shared" si="18"/>
        <v>0</v>
      </c>
      <c r="S76" s="1565">
        <f t="shared" si="18"/>
        <v>0</v>
      </c>
      <c r="T76" s="1847"/>
      <c r="U76" s="1183"/>
      <c r="V76" s="1273"/>
      <c r="W76" s="1183"/>
      <c r="X76" s="1273"/>
      <c r="Y76" s="1902"/>
      <c r="Z76" s="1278"/>
      <c r="AA76" s="1279"/>
      <c r="AB76" s="1278"/>
      <c r="AC76" s="1562"/>
      <c r="AD76" s="1279"/>
      <c r="AE76" s="1646"/>
      <c r="AF76" s="1562"/>
      <c r="AG76" s="1279"/>
      <c r="AH76" s="1562"/>
      <c r="AI76" s="1279"/>
      <c r="AJ76" s="1562"/>
      <c r="AK76" s="1576"/>
      <c r="AL76" s="1576"/>
      <c r="AM76" s="1575"/>
      <c r="AN76" s="1576"/>
      <c r="AO76" s="1577"/>
      <c r="AP76" s="1576"/>
      <c r="AQ76" s="1577"/>
      <c r="AR76" s="1576"/>
      <c r="AS76" s="1575"/>
      <c r="AT76" s="1576"/>
      <c r="AU76" s="1576"/>
      <c r="AV76" s="1576"/>
      <c r="AW76" s="1575"/>
      <c r="AX76" s="1578"/>
      <c r="AY76" s="1576"/>
      <c r="AZ76" s="1582"/>
      <c r="BA76" s="1576"/>
      <c r="BB76" s="1575"/>
      <c r="BC76" s="1576"/>
      <c r="BD76" s="1246"/>
      <c r="BE76" s="1580"/>
      <c r="BF76" s="1581"/>
      <c r="BG76" s="1582"/>
      <c r="BH76" s="1575"/>
      <c r="BI76" s="1577"/>
      <c r="BJ76" s="1576"/>
      <c r="BK76" s="1562"/>
      <c r="BL76" s="1279"/>
      <c r="BM76" s="1279"/>
      <c r="BN76" s="1279"/>
      <c r="BO76" s="1568"/>
      <c r="BP76" s="1647">
        <f>SUM('[3]Porta Wk 16'!T76:BI76)</f>
        <v>0</v>
      </c>
      <c r="BQ76" s="1279"/>
      <c r="BR76" s="1648"/>
    </row>
    <row r="77" spans="1:71" s="1" customFormat="1" ht="15" thickBot="1" x14ac:dyDescent="0.35">
      <c r="A77" s="1011"/>
      <c r="B77" s="997"/>
      <c r="C77" s="991"/>
      <c r="D77" s="996" t="s">
        <v>297</v>
      </c>
      <c r="E77" s="998"/>
      <c r="F77" s="999" t="e">
        <f t="shared" si="17"/>
        <v>#DIV/0!</v>
      </c>
      <c r="G77" s="990"/>
      <c r="H77" s="1000">
        <f t="shared" si="19"/>
        <v>0</v>
      </c>
      <c r="I77" s="1001"/>
      <c r="J77" s="1002"/>
      <c r="K77" s="1649">
        <f>J77-H77</f>
        <v>0</v>
      </c>
      <c r="L77" s="1650">
        <f>(K77-$H77)+AA77</f>
        <v>0</v>
      </c>
      <c r="M77" s="1650">
        <f>L77-H77</f>
        <v>0</v>
      </c>
      <c r="N77" s="1650">
        <f>(M77-$H77)+AC77</f>
        <v>0</v>
      </c>
      <c r="O77" s="1650">
        <f>(N77-$H77)+AE77</f>
        <v>0</v>
      </c>
      <c r="P77" s="1650">
        <f>(O77-$H77)+AF77</f>
        <v>0</v>
      </c>
      <c r="Q77" s="1650">
        <f>(P77-$H77)+AG77</f>
        <v>0</v>
      </c>
      <c r="R77" s="1650">
        <f>(Q77-$H77)+AH77</f>
        <v>0</v>
      </c>
      <c r="S77" s="1651">
        <f>(R77-$H77)+AI77</f>
        <v>0</v>
      </c>
      <c r="T77" s="1869"/>
      <c r="U77" s="1925"/>
      <c r="V77" s="1804"/>
      <c r="W77" s="1925"/>
      <c r="X77" s="1804"/>
      <c r="Y77" s="1926"/>
      <c r="Z77" s="1301"/>
      <c r="AA77" s="1306"/>
      <c r="AB77" s="1635"/>
      <c r="AC77" s="1638"/>
      <c r="AD77" s="1306"/>
      <c r="AE77" s="1652"/>
      <c r="AF77" s="1636"/>
      <c r="AG77" s="1306"/>
      <c r="AH77" s="1636"/>
      <c r="AI77" s="1306"/>
      <c r="AJ77" s="1636"/>
      <c r="AK77" s="1306"/>
      <c r="AL77" s="1306"/>
      <c r="AM77" s="1636"/>
      <c r="AN77" s="1306"/>
      <c r="AO77" s="1636"/>
      <c r="AP77" s="1306"/>
      <c r="AQ77" s="1638"/>
      <c r="AR77" s="1306"/>
      <c r="AS77" s="1636"/>
      <c r="AT77" s="1306"/>
      <c r="AU77" s="1635"/>
      <c r="AV77" s="1306"/>
      <c r="AW77" s="1636"/>
      <c r="AX77" s="1639"/>
      <c r="AY77" s="1306"/>
      <c r="AZ77" s="1636"/>
      <c r="BA77" s="1306"/>
      <c r="BB77" s="1636"/>
      <c r="BC77" s="1306"/>
      <c r="BD77" s="1261"/>
      <c r="BE77" s="1653"/>
      <c r="BF77" s="1654"/>
      <c r="BG77" s="1635"/>
      <c r="BH77" s="1636"/>
      <c r="BI77" s="1638"/>
      <c r="BJ77" s="1306"/>
      <c r="BK77" s="1295"/>
      <c r="BL77" s="1306"/>
      <c r="BM77" s="1306"/>
      <c r="BN77" s="1306"/>
      <c r="BO77" s="1642"/>
      <c r="BP77" s="1643">
        <f>SUM('[3]Porta Wk 16'!T77:BI77)</f>
        <v>0</v>
      </c>
      <c r="BQ77" s="1634"/>
      <c r="BR77" s="1655"/>
    </row>
    <row r="78" spans="1:71" x14ac:dyDescent="0.3">
      <c r="A78" s="972"/>
      <c r="B78" s="1003"/>
      <c r="D78" s="975"/>
      <c r="E78" s="1004"/>
      <c r="F78" s="1005"/>
      <c r="G78" s="972"/>
      <c r="H78" s="973"/>
      <c r="I78" s="977"/>
      <c r="J78" s="977"/>
      <c r="K78" s="1222"/>
      <c r="L78" s="1222"/>
      <c r="M78" s="1222"/>
      <c r="N78" s="1222"/>
      <c r="O78" s="1222"/>
      <c r="P78" s="1222"/>
      <c r="Q78" s="1222"/>
      <c r="R78" s="1222"/>
      <c r="S78" s="1222"/>
      <c r="T78" s="1848"/>
      <c r="U78" s="1222"/>
      <c r="V78" s="1222"/>
      <c r="W78" s="1222"/>
      <c r="X78" s="1222"/>
      <c r="Y78" s="1849"/>
      <c r="AE78" s="1656"/>
      <c r="AK78" s="1625"/>
      <c r="AL78" s="1624"/>
      <c r="AQ78" s="1625"/>
      <c r="AR78" s="1624"/>
      <c r="AX78" s="1624"/>
      <c r="BC78" s="1625"/>
      <c r="BD78" s="1624"/>
      <c r="BI78" s="1625"/>
      <c r="BJ78" s="1624"/>
      <c r="BO78" s="1625"/>
      <c r="BP78" s="1624"/>
      <c r="BR78" s="1625"/>
      <c r="BS78" s="1"/>
    </row>
    <row r="79" spans="1:7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085"/>
      <c r="S79" s="1657"/>
      <c r="T79" s="1865"/>
      <c r="U79" s="1657"/>
      <c r="V79" s="1657"/>
      <c r="W79" s="1657"/>
      <c r="X79" s="1657"/>
      <c r="Y79" s="1866"/>
      <c r="Z79" s="1085"/>
      <c r="AA79" s="1085"/>
      <c r="AB79" s="1085"/>
      <c r="AC79" s="1085"/>
      <c r="AD79" s="1085"/>
      <c r="AE79" s="1308"/>
      <c r="AF79" s="1085"/>
      <c r="AG79" s="1085"/>
      <c r="AH79" s="1085"/>
      <c r="AI79" s="1085"/>
      <c r="AJ79" s="1085"/>
      <c r="AK79" s="1309"/>
      <c r="AL79" s="1310"/>
      <c r="AM79" s="1085"/>
      <c r="AN79" s="1085"/>
      <c r="AO79" s="1085"/>
      <c r="AP79" s="1085"/>
      <c r="AQ79" s="1309"/>
      <c r="AR79" s="1310"/>
      <c r="AS79" s="1085"/>
      <c r="AT79" s="1085"/>
      <c r="AU79" s="1085"/>
      <c r="AV79" s="1085"/>
      <c r="AW79" s="1085"/>
      <c r="AX79" s="1310"/>
      <c r="AY79" s="1085"/>
      <c r="AZ79" s="1085"/>
      <c r="BA79" s="1085"/>
      <c r="BB79" s="1085"/>
      <c r="BC79" s="1309"/>
      <c r="BD79" s="1310"/>
      <c r="BE79" s="1085"/>
      <c r="BF79" s="1085"/>
      <c r="BG79" s="1085"/>
      <c r="BH79" s="1085"/>
      <c r="BI79" s="1309"/>
      <c r="BJ79" s="1310"/>
      <c r="BK79" s="1085"/>
      <c r="BL79" s="1085"/>
      <c r="BM79" s="1085"/>
      <c r="BN79" s="1085"/>
      <c r="BO79" s="1309"/>
      <c r="BP79" s="1310"/>
      <c r="BQ79" s="1085"/>
      <c r="BR79" s="1309"/>
      <c r="BS79" s="1"/>
    </row>
    <row r="80" spans="1:7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085"/>
      <c r="S80" s="1085"/>
      <c r="T80" s="1310"/>
      <c r="U80" s="1085"/>
      <c r="V80" s="1085"/>
      <c r="W80" s="1085"/>
      <c r="X80" s="1085"/>
      <c r="Y80" s="1309"/>
      <c r="Z80" s="1085"/>
      <c r="AA80" s="1085"/>
      <c r="AB80" s="1085"/>
      <c r="AC80" s="1085"/>
      <c r="AD80" s="1085"/>
      <c r="AE80" s="1308"/>
      <c r="AF80" s="1085"/>
      <c r="AG80" s="1085"/>
      <c r="AH80" s="1085"/>
      <c r="AI80" s="1085"/>
      <c r="AJ80" s="1085"/>
      <c r="AK80" s="1309"/>
      <c r="AL80" s="1310"/>
      <c r="AM80" s="1085"/>
      <c r="AN80" s="1085"/>
      <c r="AO80" s="1085"/>
      <c r="AP80" s="1085"/>
      <c r="AQ80" s="1309"/>
      <c r="AR80" s="1310"/>
      <c r="AS80" s="1085"/>
      <c r="AT80" s="1085"/>
      <c r="AU80" s="1085"/>
      <c r="AV80" s="1085"/>
      <c r="AW80" s="1085"/>
      <c r="AX80" s="1310"/>
      <c r="AY80" s="1085"/>
      <c r="AZ80" s="1085"/>
      <c r="BA80" s="1085"/>
      <c r="BB80" s="1085"/>
      <c r="BC80" s="1309"/>
      <c r="BD80" s="1310"/>
      <c r="BE80" s="1085"/>
      <c r="BF80" s="1085"/>
      <c r="BG80" s="1085"/>
      <c r="BH80" s="1085"/>
      <c r="BI80" s="1309"/>
      <c r="BJ80" s="1310"/>
      <c r="BK80" s="1085"/>
      <c r="BL80" s="1085"/>
      <c r="BM80" s="1085"/>
      <c r="BN80" s="1085"/>
      <c r="BO80" s="1309"/>
      <c r="BP80" s="1310"/>
      <c r="BQ80" s="1085"/>
      <c r="BR80" s="1309"/>
      <c r="BS80" s="1"/>
    </row>
    <row r="81" spans="1:72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085"/>
      <c r="S81" s="1085"/>
      <c r="T81" s="1310"/>
      <c r="U81" s="1085"/>
      <c r="V81" s="1085"/>
      <c r="W81" s="1085"/>
      <c r="X81" s="1085"/>
      <c r="Y81" s="1309"/>
      <c r="Z81" s="1085"/>
      <c r="AA81" s="1085"/>
      <c r="AB81" s="1085"/>
      <c r="AC81" s="1085"/>
      <c r="AD81" s="1085"/>
      <c r="AE81" s="1308"/>
      <c r="AF81" s="1085"/>
      <c r="AG81" s="1085"/>
      <c r="AH81" s="1085"/>
      <c r="AI81" s="1085"/>
      <c r="AJ81" s="1085"/>
      <c r="AK81" s="1309"/>
      <c r="AL81" s="1310"/>
      <c r="AM81" s="1085"/>
      <c r="AN81" s="1085"/>
      <c r="AO81" s="1085"/>
      <c r="AP81" s="1085"/>
      <c r="AQ81" s="1309"/>
      <c r="AR81" s="1310"/>
      <c r="AS81" s="1085"/>
      <c r="AT81" s="1085"/>
      <c r="AU81" s="1085"/>
      <c r="AV81" s="1085"/>
      <c r="AW81" s="1085"/>
      <c r="AX81" s="1310"/>
      <c r="AY81" s="1085"/>
      <c r="AZ81" s="1085"/>
      <c r="BA81" s="1085"/>
      <c r="BB81" s="1085"/>
      <c r="BC81" s="1309"/>
      <c r="BD81" s="1310"/>
      <c r="BE81" s="1085"/>
      <c r="BF81" s="1085"/>
      <c r="BG81" s="1085"/>
      <c r="BH81" s="1085"/>
      <c r="BI81" s="1309"/>
      <c r="BJ81" s="1310"/>
      <c r="BK81" s="1085"/>
      <c r="BL81" s="1085"/>
      <c r="BM81" s="1085"/>
      <c r="BN81" s="1085"/>
      <c r="BO81" s="1309"/>
      <c r="BP81" s="1310"/>
      <c r="BQ81" s="1085"/>
      <c r="BR81" s="1309"/>
      <c r="BS81" s="1"/>
    </row>
    <row r="82" spans="1:72" ht="15" thickBot="1" x14ac:dyDescent="0.35">
      <c r="A82" s="12"/>
      <c r="B82" s="48"/>
      <c r="C82" s="48"/>
      <c r="D82" s="48"/>
      <c r="E82" s="321"/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1085"/>
      <c r="S82" s="1085"/>
      <c r="T82" s="1310"/>
      <c r="U82" s="1085"/>
      <c r="V82" s="1085"/>
      <c r="W82" s="1085"/>
      <c r="X82" s="1085"/>
      <c r="Y82" s="1309"/>
      <c r="Z82" s="1085"/>
      <c r="AA82" s="1085"/>
      <c r="AB82" s="1085"/>
      <c r="AC82" s="1085"/>
      <c r="AD82" s="1085"/>
      <c r="AE82" s="1308"/>
      <c r="AF82" s="1085"/>
      <c r="AG82" s="1085"/>
      <c r="AH82" s="1085"/>
      <c r="AI82" s="1085"/>
      <c r="AJ82" s="1085"/>
      <c r="AK82" s="1309"/>
      <c r="AL82" s="1310"/>
      <c r="AM82" s="1085"/>
      <c r="AN82" s="1085"/>
      <c r="AO82" s="1085"/>
      <c r="AP82" s="1085"/>
      <c r="AQ82" s="1309"/>
      <c r="AR82" s="1310"/>
      <c r="AS82" s="1085"/>
      <c r="AT82" s="1085"/>
      <c r="AU82" s="1085"/>
      <c r="AV82" s="1085"/>
      <c r="AW82" s="1085"/>
      <c r="AX82" s="1310"/>
      <c r="AY82" s="1085"/>
      <c r="AZ82" s="1085"/>
      <c r="BA82" s="1085"/>
      <c r="BB82" s="1085"/>
      <c r="BC82" s="1309"/>
      <c r="BD82" s="1310"/>
      <c r="BE82" s="1085"/>
      <c r="BF82" s="1085"/>
      <c r="BG82" s="1085"/>
      <c r="BH82" s="1085"/>
      <c r="BI82" s="1309"/>
      <c r="BJ82" s="1310"/>
      <c r="BK82" s="1085"/>
      <c r="BL82" s="1085"/>
      <c r="BM82" s="1085"/>
      <c r="BN82" s="1085"/>
      <c r="BO82" s="1309"/>
      <c r="BP82" s="1310"/>
      <c r="BQ82" s="1085"/>
      <c r="BR82" s="1309"/>
      <c r="BS82" s="1"/>
    </row>
    <row r="83" spans="1:72" ht="16.2" thickBot="1" x14ac:dyDescent="0.35">
      <c r="A83" s="96" t="s">
        <v>107</v>
      </c>
      <c r="B83" s="4"/>
      <c r="C83" s="5"/>
      <c r="D83" s="1" t="s">
        <v>12</v>
      </c>
      <c r="E83" s="97"/>
      <c r="F83" s="98"/>
      <c r="G83" s="98"/>
      <c r="H83" s="98"/>
      <c r="I83" s="98"/>
      <c r="J83" s="98"/>
      <c r="K83" s="98"/>
      <c r="L83" s="98"/>
      <c r="M83" s="98"/>
      <c r="N83" s="98"/>
      <c r="O83" s="98"/>
      <c r="P83" s="98"/>
      <c r="Q83" s="98"/>
      <c r="R83" s="1085"/>
      <c r="S83" s="1085"/>
      <c r="T83" s="1310"/>
      <c r="U83" s="1085"/>
      <c r="V83" s="1085"/>
      <c r="W83" s="1085"/>
      <c r="X83" s="1085"/>
      <c r="Y83" s="1309"/>
      <c r="Z83" s="1085"/>
      <c r="AA83" s="1658"/>
      <c r="AB83" s="1085"/>
      <c r="AC83" s="1085"/>
      <c r="AD83" s="1085"/>
      <c r="AE83" s="1659"/>
      <c r="AF83" s="1658"/>
      <c r="AG83" s="1085"/>
      <c r="AH83" s="1085"/>
      <c r="AI83" s="1085"/>
      <c r="AJ83" s="1085"/>
      <c r="AK83" s="1309"/>
      <c r="AL83" s="1310"/>
      <c r="AM83" s="1085"/>
      <c r="AN83" s="1658"/>
      <c r="AO83" s="1085"/>
      <c r="AP83" s="1085"/>
      <c r="AQ83" s="1309"/>
      <c r="AR83" s="1310"/>
      <c r="AS83" s="1085"/>
      <c r="AT83" s="1085"/>
      <c r="AU83" s="1660"/>
      <c r="AV83" s="1085"/>
      <c r="AW83" s="1085"/>
      <c r="AX83" s="1310"/>
      <c r="AY83" s="1085"/>
      <c r="AZ83" s="1085"/>
      <c r="BA83" s="1085"/>
      <c r="BB83" s="1085"/>
      <c r="BC83" s="1309"/>
      <c r="BD83" s="1310"/>
      <c r="BE83" s="1658"/>
      <c r="BF83" s="1658"/>
      <c r="BG83" s="1085"/>
      <c r="BH83" s="1085"/>
      <c r="BI83" s="1661"/>
      <c r="BJ83" s="1310"/>
      <c r="BK83" s="1085"/>
      <c r="BL83" s="1133"/>
      <c r="BM83" s="1085"/>
      <c r="BN83" s="1085"/>
      <c r="BO83" s="1309"/>
      <c r="BP83" s="1310"/>
      <c r="BQ83" s="1085"/>
      <c r="BR83" s="1309"/>
      <c r="BS83" s="1"/>
    </row>
    <row r="84" spans="1:72" ht="16.8" thickTop="1" thickBot="1" x14ac:dyDescent="0.35">
      <c r="A84" s="99" t="s">
        <v>29</v>
      </c>
      <c r="B84" s="1662" t="s">
        <v>30</v>
      </c>
      <c r="C84" s="222" t="s">
        <v>108</v>
      </c>
      <c r="D84" s="324" t="s">
        <v>2</v>
      </c>
      <c r="E84" s="103" t="s">
        <v>32</v>
      </c>
      <c r="F84" s="104" t="s">
        <v>33</v>
      </c>
      <c r="G84" s="104" t="s">
        <v>34</v>
      </c>
      <c r="H84" s="827" t="s">
        <v>35</v>
      </c>
      <c r="I84" s="824" t="s">
        <v>36</v>
      </c>
      <c r="J84" s="811" t="s">
        <v>37</v>
      </c>
      <c r="K84" s="1663" t="s">
        <v>38</v>
      </c>
      <c r="L84" s="1664" t="s">
        <v>39</v>
      </c>
      <c r="M84" s="1665" t="s">
        <v>40</v>
      </c>
      <c r="N84" s="1664" t="s">
        <v>41</v>
      </c>
      <c r="O84" s="1665" t="s">
        <v>42</v>
      </c>
      <c r="P84" s="1664" t="s">
        <v>43</v>
      </c>
      <c r="Q84" s="1665" t="s">
        <v>44</v>
      </c>
      <c r="R84" s="1664" t="s">
        <v>38</v>
      </c>
      <c r="S84" s="1665" t="s">
        <v>45</v>
      </c>
      <c r="T84" s="1740" t="s">
        <v>109</v>
      </c>
      <c r="U84" s="1739" t="s">
        <v>110</v>
      </c>
      <c r="V84" s="1736" t="s">
        <v>111</v>
      </c>
      <c r="W84" s="1736" t="s">
        <v>112</v>
      </c>
      <c r="X84" s="1737" t="s">
        <v>3</v>
      </c>
      <c r="Y84" s="1737" t="s">
        <v>3</v>
      </c>
      <c r="Z84" s="1666" t="s">
        <v>113</v>
      </c>
      <c r="AA84" s="1666" t="s">
        <v>114</v>
      </c>
      <c r="AB84" s="1667" t="s">
        <v>115</v>
      </c>
      <c r="AC84" s="1667" t="s">
        <v>116</v>
      </c>
      <c r="AD84" s="1668" t="s">
        <v>51</v>
      </c>
      <c r="AE84" s="1669" t="s">
        <v>51</v>
      </c>
      <c r="AF84" s="1666" t="s">
        <v>117</v>
      </c>
      <c r="AG84" s="1667" t="s">
        <v>118</v>
      </c>
      <c r="AH84" s="1666" t="s">
        <v>119</v>
      </c>
      <c r="AI84" s="1667" t="s">
        <v>120</v>
      </c>
      <c r="AJ84" s="1670" t="s">
        <v>55</v>
      </c>
      <c r="AK84" s="1670" t="s">
        <v>55</v>
      </c>
      <c r="AL84" s="1671" t="s">
        <v>121</v>
      </c>
      <c r="AM84" s="1672" t="s">
        <v>122</v>
      </c>
      <c r="AN84" s="1672" t="s">
        <v>123</v>
      </c>
      <c r="AO84" s="1672" t="s">
        <v>124</v>
      </c>
      <c r="AP84" s="1673" t="s">
        <v>59</v>
      </c>
      <c r="AQ84" s="1673" t="s">
        <v>59</v>
      </c>
      <c r="AR84" s="1674" t="s">
        <v>125</v>
      </c>
      <c r="AS84" s="1667" t="s">
        <v>126</v>
      </c>
      <c r="AT84" s="1666" t="s">
        <v>127</v>
      </c>
      <c r="AU84" s="1666" t="s">
        <v>128</v>
      </c>
      <c r="AV84" s="1320" t="s">
        <v>7</v>
      </c>
      <c r="AW84" s="1320" t="s">
        <v>7</v>
      </c>
      <c r="AX84" s="1671" t="s">
        <v>129</v>
      </c>
      <c r="AY84" s="1666" t="s">
        <v>130</v>
      </c>
      <c r="AZ84" s="1667" t="s">
        <v>131</v>
      </c>
      <c r="BA84" s="1675" t="s">
        <v>132</v>
      </c>
      <c r="BB84" s="1673" t="s">
        <v>8</v>
      </c>
      <c r="BC84" s="1676" t="s">
        <v>8</v>
      </c>
      <c r="BD84" s="1666" t="s">
        <v>133</v>
      </c>
      <c r="BE84" s="1667" t="s">
        <v>134</v>
      </c>
      <c r="BF84" s="1667" t="s">
        <v>135</v>
      </c>
      <c r="BG84" s="1677" t="s">
        <v>136</v>
      </c>
      <c r="BH84" s="1318" t="s">
        <v>9</v>
      </c>
      <c r="BI84" s="1678" t="s">
        <v>9</v>
      </c>
      <c r="BJ84" s="1671" t="s">
        <v>133</v>
      </c>
      <c r="BK84" s="1666" t="s">
        <v>134</v>
      </c>
      <c r="BL84" s="1667" t="s">
        <v>135</v>
      </c>
      <c r="BM84" s="1667" t="s">
        <v>136</v>
      </c>
      <c r="BN84" s="1164" t="s">
        <v>9</v>
      </c>
      <c r="BO84" s="1668" t="s">
        <v>9</v>
      </c>
      <c r="BP84" s="1679" t="s">
        <v>70</v>
      </c>
      <c r="BQ84" s="1559" t="s">
        <v>71</v>
      </c>
      <c r="BR84" s="1670" t="s">
        <v>72</v>
      </c>
      <c r="BS84" s="1"/>
    </row>
    <row r="85" spans="1:72" s="2430" customFormat="1" ht="15" thickBot="1" x14ac:dyDescent="0.35">
      <c r="A85" s="2399">
        <v>2630</v>
      </c>
      <c r="B85" s="2400" t="s">
        <v>418</v>
      </c>
      <c r="C85" s="2401">
        <v>4</v>
      </c>
      <c r="D85" s="2402" t="s">
        <v>12</v>
      </c>
      <c r="E85" s="2403">
        <v>0.48</v>
      </c>
      <c r="F85" s="2403">
        <f>(BR85/G85)/4</f>
        <v>0</v>
      </c>
      <c r="G85" s="2402">
        <v>510</v>
      </c>
      <c r="H85" s="2404">
        <f t="shared" ref="H85:H90" si="23">G85*E85</f>
        <v>244.79999999999998</v>
      </c>
      <c r="I85" s="2402">
        <v>5500</v>
      </c>
      <c r="J85" s="2405">
        <v>2500</v>
      </c>
      <c r="K85" s="2406">
        <v>0</v>
      </c>
      <c r="L85" s="2407">
        <f t="shared" ref="K85:S90" si="24">K85-$H85</f>
        <v>-244.79999999999998</v>
      </c>
      <c r="M85" s="2407">
        <f t="shared" si="24"/>
        <v>-489.59999999999997</v>
      </c>
      <c r="N85" s="2408">
        <f t="shared" si="24"/>
        <v>-734.4</v>
      </c>
      <c r="O85" s="2407">
        <f t="shared" si="24"/>
        <v>-979.19999999999993</v>
      </c>
      <c r="P85" s="2408">
        <f t="shared" si="24"/>
        <v>-1224</v>
      </c>
      <c r="Q85" s="2407">
        <f t="shared" si="24"/>
        <v>-1468.8</v>
      </c>
      <c r="R85" s="2408">
        <f t="shared" si="24"/>
        <v>-1713.6</v>
      </c>
      <c r="S85" s="2407">
        <f t="shared" si="24"/>
        <v>-1958.3999999999999</v>
      </c>
      <c r="T85" s="2409"/>
      <c r="U85" s="2410"/>
      <c r="V85" s="2411"/>
      <c r="W85" s="2410"/>
      <c r="X85" s="2411"/>
      <c r="Y85" s="2412"/>
      <c r="Z85" s="2413"/>
      <c r="AA85" s="2413"/>
      <c r="AB85" s="2410"/>
      <c r="AC85" s="2410"/>
      <c r="AD85" s="2414"/>
      <c r="AE85" s="2415"/>
      <c r="AF85" s="2416"/>
      <c r="AG85" s="2417"/>
      <c r="AH85" s="2418"/>
      <c r="AI85" s="2416"/>
      <c r="AJ85" s="2419"/>
      <c r="AK85" s="2419"/>
      <c r="AL85" s="2420"/>
      <c r="AM85" s="2410"/>
      <c r="AN85" s="2410"/>
      <c r="AO85" s="2414"/>
      <c r="AP85" s="2414"/>
      <c r="AQ85" s="2421"/>
      <c r="AR85" s="2422"/>
      <c r="AS85" s="2417"/>
      <c r="AT85" s="2418"/>
      <c r="AU85" s="2416"/>
      <c r="AV85" s="2423"/>
      <c r="AW85" s="2423"/>
      <c r="AX85" s="2424"/>
      <c r="AY85" s="2413"/>
      <c r="AZ85" s="2410"/>
      <c r="BA85" s="2410"/>
      <c r="BB85" s="2411"/>
      <c r="BC85" s="2419"/>
      <c r="BD85" s="2424"/>
      <c r="BE85" s="2417"/>
      <c r="BF85" s="2417"/>
      <c r="BG85" s="2423"/>
      <c r="BH85" s="2425"/>
      <c r="BI85" s="2419"/>
      <c r="BJ85" s="2424"/>
      <c r="BK85" s="2416"/>
      <c r="BL85" s="2417"/>
      <c r="BM85" s="2417"/>
      <c r="BN85" s="2426"/>
      <c r="BO85" s="2421"/>
      <c r="BP85" s="2427"/>
      <c r="BQ85" s="2428">
        <f>+J85</f>
        <v>2500</v>
      </c>
      <c r="BR85" s="2429">
        <f t="shared" ref="BR85:BR90" si="25">(J85+BP85)-BQ85</f>
        <v>0</v>
      </c>
      <c r="BT85" s="2431">
        <f>SUM(Z85:BO85)</f>
        <v>0</v>
      </c>
    </row>
    <row r="86" spans="1:72" s="2430" customFormat="1" ht="15" thickBot="1" x14ac:dyDescent="0.35">
      <c r="A86" s="2399">
        <v>2629</v>
      </c>
      <c r="B86" s="2432" t="s">
        <v>416</v>
      </c>
      <c r="C86" s="2433">
        <v>5</v>
      </c>
      <c r="D86" s="2434" t="s">
        <v>139</v>
      </c>
      <c r="E86" s="2435">
        <v>0.94</v>
      </c>
      <c r="F86" s="2435">
        <f>(BR86/G86)/7</f>
        <v>0.45136538027533291</v>
      </c>
      <c r="G86" s="2434">
        <v>633</v>
      </c>
      <c r="H86" s="2436">
        <f>G86*E86</f>
        <v>595.02</v>
      </c>
      <c r="I86" s="2437">
        <v>5500</v>
      </c>
      <c r="J86" s="2438">
        <v>2000</v>
      </c>
      <c r="K86" s="1953">
        <v>2905</v>
      </c>
      <c r="L86" s="2439">
        <f t="shared" si="24"/>
        <v>2309.98</v>
      </c>
      <c r="M86" s="1954">
        <v>3215</v>
      </c>
      <c r="N86" s="1954">
        <v>4620</v>
      </c>
      <c r="O86" s="2440">
        <f t="shared" si="24"/>
        <v>4024.98</v>
      </c>
      <c r="P86" s="2439">
        <f t="shared" si="24"/>
        <v>3429.96</v>
      </c>
      <c r="Q86" s="2440">
        <f t="shared" si="24"/>
        <v>2834.94</v>
      </c>
      <c r="R86" s="2439">
        <f t="shared" si="24"/>
        <v>2239.92</v>
      </c>
      <c r="S86" s="2440">
        <f t="shared" si="24"/>
        <v>1644.9</v>
      </c>
      <c r="T86" s="2441"/>
      <c r="U86" s="2442"/>
      <c r="V86" s="2440">
        <v>1500</v>
      </c>
      <c r="W86" s="2442"/>
      <c r="X86" s="2440"/>
      <c r="Y86" s="2443"/>
      <c r="Z86" s="2444"/>
      <c r="AA86" s="2444"/>
      <c r="AB86" s="2442"/>
      <c r="AC86" s="2442"/>
      <c r="AD86" s="2445"/>
      <c r="AE86" s="2446"/>
      <c r="AF86" s="2447"/>
      <c r="AG86" s="2448"/>
      <c r="AH86" s="2447">
        <v>1500</v>
      </c>
      <c r="AI86" s="2447"/>
      <c r="AJ86" s="2449"/>
      <c r="AK86" s="2449"/>
      <c r="AL86" s="2450"/>
      <c r="AM86" s="2442"/>
      <c r="AN86" s="2442">
        <v>2000</v>
      </c>
      <c r="AO86" s="2445"/>
      <c r="AP86" s="2445"/>
      <c r="AQ86" s="2451"/>
      <c r="AR86" s="2452"/>
      <c r="AS86" s="2448"/>
      <c r="AT86" s="2447"/>
      <c r="AU86" s="2447"/>
      <c r="AV86" s="2453"/>
      <c r="AW86" s="2453"/>
      <c r="AX86" s="2454"/>
      <c r="AY86" s="2444"/>
      <c r="AZ86" s="2442"/>
      <c r="BA86" s="2442"/>
      <c r="BB86" s="2440"/>
      <c r="BC86" s="2449"/>
      <c r="BD86" s="2454"/>
      <c r="BE86" s="2448"/>
      <c r="BF86" s="2448"/>
      <c r="BG86" s="2453"/>
      <c r="BH86" s="2455"/>
      <c r="BI86" s="2449"/>
      <c r="BJ86" s="2454"/>
      <c r="BK86" s="2447"/>
      <c r="BL86" s="2448"/>
      <c r="BM86" s="2448"/>
      <c r="BN86" s="2456"/>
      <c r="BO86" s="2451"/>
      <c r="BP86" s="2427"/>
      <c r="BQ86" s="2428"/>
      <c r="BR86" s="2429">
        <f t="shared" si="25"/>
        <v>2000</v>
      </c>
      <c r="BT86" s="2431">
        <f t="shared" ref="BT86:BT91" si="26">SUM(Z86:BO86)</f>
        <v>3500</v>
      </c>
    </row>
    <row r="87" spans="1:72" ht="15" thickBot="1" x14ac:dyDescent="0.35">
      <c r="A87" s="2223">
        <v>2628</v>
      </c>
      <c r="B87" s="2030" t="s">
        <v>415</v>
      </c>
      <c r="C87" s="224">
        <v>6</v>
      </c>
      <c r="D87" s="137" t="s">
        <v>139</v>
      </c>
      <c r="E87" s="136">
        <v>0.94</v>
      </c>
      <c r="F87" s="136">
        <f>(BR87/G87)/7</f>
        <v>0.5835667600373482</v>
      </c>
      <c r="G87" s="156">
        <v>612</v>
      </c>
      <c r="H87" s="423">
        <f t="shared" si="23"/>
        <v>575.28</v>
      </c>
      <c r="I87" s="419">
        <v>5500</v>
      </c>
      <c r="J87" s="139">
        <v>2500</v>
      </c>
      <c r="K87" s="1953">
        <v>3425</v>
      </c>
      <c r="L87" s="1194">
        <f t="shared" si="24"/>
        <v>2849.7200000000003</v>
      </c>
      <c r="M87" s="1955">
        <v>3774</v>
      </c>
      <c r="N87" s="1954">
        <v>4199</v>
      </c>
      <c r="O87" s="1193">
        <f t="shared" si="24"/>
        <v>3623.7200000000003</v>
      </c>
      <c r="P87" s="1194">
        <f t="shared" si="24"/>
        <v>3048.4400000000005</v>
      </c>
      <c r="Q87" s="1194">
        <f t="shared" si="24"/>
        <v>2473.1600000000008</v>
      </c>
      <c r="R87" s="1691">
        <f t="shared" si="24"/>
        <v>1897.8800000000008</v>
      </c>
      <c r="S87" s="1195">
        <f t="shared" si="24"/>
        <v>1322.6000000000008</v>
      </c>
      <c r="T87" s="1840"/>
      <c r="U87" s="1104"/>
      <c r="V87" s="1195">
        <v>1500</v>
      </c>
      <c r="W87" s="1104"/>
      <c r="X87" s="1195"/>
      <c r="Y87" s="1897"/>
      <c r="Z87" s="1103"/>
      <c r="AA87" s="1103"/>
      <c r="AB87" s="1104"/>
      <c r="AC87" s="1104"/>
      <c r="AD87" s="1196"/>
      <c r="AE87" s="1197"/>
      <c r="AF87" s="1198"/>
      <c r="AG87" s="1199"/>
      <c r="AH87" s="1198">
        <v>1500</v>
      </c>
      <c r="AI87" s="1198"/>
      <c r="AJ87" s="1203"/>
      <c r="AK87" s="1203"/>
      <c r="AL87" s="1204"/>
      <c r="AM87" s="1104"/>
      <c r="AN87" s="1104">
        <v>1000</v>
      </c>
      <c r="AO87" s="1205"/>
      <c r="AP87" s="1196"/>
      <c r="AQ87" s="1207"/>
      <c r="AR87" s="1208"/>
      <c r="AS87" s="1199"/>
      <c r="AT87" s="1198"/>
      <c r="AU87" s="1198"/>
      <c r="AV87" s="1202"/>
      <c r="AW87" s="1202"/>
      <c r="AX87" s="1210"/>
      <c r="AY87" s="1103"/>
      <c r="AZ87" s="1104"/>
      <c r="BA87" s="1104"/>
      <c r="BB87" s="1206"/>
      <c r="BC87" s="1203"/>
      <c r="BD87" s="1210"/>
      <c r="BE87" s="1199"/>
      <c r="BF87" s="1199"/>
      <c r="BG87" s="1692"/>
      <c r="BH87" s="1347"/>
      <c r="BI87" s="1203"/>
      <c r="BJ87" s="1210"/>
      <c r="BK87" s="1198"/>
      <c r="BL87" s="1199"/>
      <c r="BM87" s="1199"/>
      <c r="BN87" s="1211"/>
      <c r="BO87" s="1207"/>
      <c r="BP87" s="1686"/>
      <c r="BQ87" s="1687"/>
      <c r="BR87" s="1688">
        <f t="shared" si="25"/>
        <v>2500</v>
      </c>
      <c r="BS87" s="1"/>
      <c r="BT87" s="1192">
        <f t="shared" si="26"/>
        <v>2500</v>
      </c>
    </row>
    <row r="88" spans="1:72" x14ac:dyDescent="0.3">
      <c r="A88" s="2457">
        <v>2627</v>
      </c>
      <c r="B88" s="2458" t="s">
        <v>432</v>
      </c>
      <c r="C88" s="224">
        <v>7</v>
      </c>
      <c r="D88" s="2459" t="s">
        <v>139</v>
      </c>
      <c r="E88" s="136">
        <v>1</v>
      </c>
      <c r="F88" s="331">
        <f>(BR88/G88)/7</f>
        <v>0.2369106846718787</v>
      </c>
      <c r="G88" s="137">
        <v>603</v>
      </c>
      <c r="H88" s="139">
        <f>G88*E88</f>
        <v>603</v>
      </c>
      <c r="I88" s="419">
        <v>5500</v>
      </c>
      <c r="J88" s="139">
        <v>1000</v>
      </c>
      <c r="K88" s="1953">
        <v>3397</v>
      </c>
      <c r="L88" s="1194">
        <f t="shared" si="24"/>
        <v>2794</v>
      </c>
      <c r="M88" s="1955">
        <v>3191</v>
      </c>
      <c r="N88" s="1955">
        <v>3588</v>
      </c>
      <c r="O88" s="1193">
        <f t="shared" si="24"/>
        <v>2985</v>
      </c>
      <c r="P88" s="1194">
        <f t="shared" si="24"/>
        <v>2382</v>
      </c>
      <c r="Q88" s="1193">
        <f t="shared" si="24"/>
        <v>1779</v>
      </c>
      <c r="R88" s="1691">
        <f t="shared" si="24"/>
        <v>1176</v>
      </c>
      <c r="S88" s="1195">
        <f t="shared" si="24"/>
        <v>573</v>
      </c>
      <c r="T88" s="1840"/>
      <c r="U88" s="1104"/>
      <c r="V88" s="1195">
        <v>3000</v>
      </c>
      <c r="W88" s="1104"/>
      <c r="X88" s="1195"/>
      <c r="Y88" s="1897"/>
      <c r="Z88" s="1103"/>
      <c r="AA88" s="1103"/>
      <c r="AB88" s="1104"/>
      <c r="AC88" s="1104"/>
      <c r="AD88" s="1196"/>
      <c r="AE88" s="1197"/>
      <c r="AF88" s="1198"/>
      <c r="AG88" s="1199"/>
      <c r="AH88" s="1198"/>
      <c r="AI88" s="1198">
        <v>1000</v>
      </c>
      <c r="AJ88" s="1203"/>
      <c r="AK88" s="1203"/>
      <c r="AL88" s="1204"/>
      <c r="AM88" s="1104"/>
      <c r="AN88" s="1104"/>
      <c r="AO88" s="1205">
        <v>1000</v>
      </c>
      <c r="AP88" s="1196"/>
      <c r="AQ88" s="1207"/>
      <c r="AR88" s="1208"/>
      <c r="AS88" s="1199"/>
      <c r="AT88" s="1198"/>
      <c r="AU88" s="1198"/>
      <c r="AV88" s="1202"/>
      <c r="AW88" s="1202"/>
      <c r="AX88" s="1210"/>
      <c r="AY88" s="1103"/>
      <c r="AZ88" s="1104"/>
      <c r="BA88" s="1104"/>
      <c r="BB88" s="1206"/>
      <c r="BC88" s="1203"/>
      <c r="BD88" s="1210"/>
      <c r="BE88" s="1199"/>
      <c r="BF88" s="1199"/>
      <c r="BG88" s="1692"/>
      <c r="BH88" s="1347"/>
      <c r="BI88" s="1203"/>
      <c r="BJ88" s="1210"/>
      <c r="BK88" s="1198"/>
      <c r="BL88" s="1199"/>
      <c r="BM88" s="1199"/>
      <c r="BN88" s="1211"/>
      <c r="BO88" s="1207"/>
      <c r="BP88" s="1686"/>
      <c r="BQ88" s="1687"/>
      <c r="BR88" s="1688">
        <f t="shared" si="25"/>
        <v>1000</v>
      </c>
      <c r="BS88" s="1"/>
      <c r="BT88" s="1192">
        <f t="shared" si="26"/>
        <v>2000</v>
      </c>
    </row>
    <row r="89" spans="1:72" x14ac:dyDescent="0.3">
      <c r="A89" s="2223">
        <v>2626</v>
      </c>
      <c r="B89" s="1690" t="s">
        <v>433</v>
      </c>
      <c r="C89" s="224">
        <v>8</v>
      </c>
      <c r="D89" s="137" t="s">
        <v>22</v>
      </c>
      <c r="E89" s="136">
        <v>1.1000000000000001</v>
      </c>
      <c r="F89" s="136">
        <f>(BR89/G89)/7</f>
        <v>0.22820629849383844</v>
      </c>
      <c r="G89" s="137">
        <v>626</v>
      </c>
      <c r="H89" s="139">
        <f t="shared" si="23"/>
        <v>688.6</v>
      </c>
      <c r="I89" s="419">
        <v>5500</v>
      </c>
      <c r="J89" s="139">
        <v>1000</v>
      </c>
      <c r="K89" s="1954">
        <v>3311</v>
      </c>
      <c r="L89" s="1954">
        <v>4122</v>
      </c>
      <c r="M89" s="1955">
        <v>4433</v>
      </c>
      <c r="N89" s="1194">
        <f t="shared" si="24"/>
        <v>3744.4</v>
      </c>
      <c r="O89" s="1194">
        <f t="shared" si="24"/>
        <v>3055.8</v>
      </c>
      <c r="P89" s="1194">
        <f t="shared" si="24"/>
        <v>2367.2000000000003</v>
      </c>
      <c r="Q89" s="1193">
        <f t="shared" si="24"/>
        <v>1678.6000000000004</v>
      </c>
      <c r="R89" s="1691">
        <f t="shared" si="24"/>
        <v>990.00000000000034</v>
      </c>
      <c r="S89" s="1195">
        <f t="shared" si="24"/>
        <v>301.40000000000032</v>
      </c>
      <c r="T89" s="1840"/>
      <c r="U89" s="1104"/>
      <c r="V89" s="1195"/>
      <c r="W89" s="1104">
        <v>3000</v>
      </c>
      <c r="X89" s="1195"/>
      <c r="Y89" s="1897"/>
      <c r="Z89" s="1103"/>
      <c r="AA89" s="1103"/>
      <c r="AB89" s="1104"/>
      <c r="AC89" s="1104">
        <v>1500</v>
      </c>
      <c r="AD89" s="1196"/>
      <c r="AE89" s="1197"/>
      <c r="AF89" s="1198"/>
      <c r="AG89" s="1199"/>
      <c r="AH89" s="1198"/>
      <c r="AI89" s="1198">
        <v>1000</v>
      </c>
      <c r="AJ89" s="1203"/>
      <c r="AK89" s="1203"/>
      <c r="AL89" s="1204"/>
      <c r="AM89" s="1104"/>
      <c r="AN89" s="1104"/>
      <c r="AO89" s="1205"/>
      <c r="AP89" s="1196"/>
      <c r="AQ89" s="1207"/>
      <c r="AR89" s="1208"/>
      <c r="AS89" s="1199"/>
      <c r="AT89" s="1198"/>
      <c r="AU89" s="1198"/>
      <c r="AV89" s="1202"/>
      <c r="AW89" s="1202"/>
      <c r="AX89" s="1210"/>
      <c r="AY89" s="1103"/>
      <c r="AZ89" s="1104"/>
      <c r="BA89" s="1104"/>
      <c r="BB89" s="1206"/>
      <c r="BC89" s="1203"/>
      <c r="BD89" s="1210"/>
      <c r="BE89" s="1199"/>
      <c r="BF89" s="1199"/>
      <c r="BG89" s="1692"/>
      <c r="BH89" s="1347"/>
      <c r="BI89" s="1203"/>
      <c r="BJ89" s="1210"/>
      <c r="BK89" s="1198"/>
      <c r="BL89" s="1199"/>
      <c r="BM89" s="1199"/>
      <c r="BN89" s="1211"/>
      <c r="BO89" s="1207"/>
      <c r="BP89" s="1686"/>
      <c r="BQ89" s="1687"/>
      <c r="BR89" s="1688">
        <f t="shared" si="25"/>
        <v>1000</v>
      </c>
      <c r="BS89" s="1"/>
      <c r="BT89" s="1192">
        <f t="shared" si="26"/>
        <v>2500</v>
      </c>
    </row>
    <row r="90" spans="1:72" ht="15" thickBot="1" x14ac:dyDescent="0.35">
      <c r="A90" s="330">
        <v>2625</v>
      </c>
      <c r="B90" s="1690" t="s">
        <v>419</v>
      </c>
      <c r="C90" s="1695">
        <v>9</v>
      </c>
      <c r="D90" s="210" t="s">
        <v>22</v>
      </c>
      <c r="E90" s="204">
        <v>1.2</v>
      </c>
      <c r="F90" s="204">
        <f>(BR90/G90)/7</f>
        <v>0.57418465778594396</v>
      </c>
      <c r="G90" s="210">
        <v>622</v>
      </c>
      <c r="H90" s="839">
        <f t="shared" si="23"/>
        <v>746.4</v>
      </c>
      <c r="I90" s="419">
        <v>5500</v>
      </c>
      <c r="J90" s="1696">
        <v>2500</v>
      </c>
      <c r="K90" s="1697">
        <f t="shared" si="24"/>
        <v>1753.6</v>
      </c>
      <c r="L90" s="1956">
        <v>2507</v>
      </c>
      <c r="M90" s="2460">
        <v>2761</v>
      </c>
      <c r="N90" s="1956">
        <v>4015</v>
      </c>
      <c r="O90" s="1699">
        <f t="shared" si="24"/>
        <v>3268.6</v>
      </c>
      <c r="P90" s="1699">
        <f t="shared" si="24"/>
        <v>2522.1999999999998</v>
      </c>
      <c r="Q90" s="1699">
        <f t="shared" si="24"/>
        <v>1775.7999999999997</v>
      </c>
      <c r="R90" s="1292">
        <f t="shared" si="24"/>
        <v>1029.3999999999996</v>
      </c>
      <c r="S90" s="1293">
        <f t="shared" si="24"/>
        <v>282.99999999999966</v>
      </c>
      <c r="T90" s="1927"/>
      <c r="U90" s="1812"/>
      <c r="V90" s="1816"/>
      <c r="W90" s="1812"/>
      <c r="X90" s="1816"/>
      <c r="Y90" s="1928"/>
      <c r="Z90" s="1700"/>
      <c r="AA90" s="1700"/>
      <c r="AB90" s="1107"/>
      <c r="AC90" s="1107">
        <v>1500</v>
      </c>
      <c r="AD90" s="1701"/>
      <c r="AE90" s="1702"/>
      <c r="AF90" s="1703"/>
      <c r="AG90" s="1704"/>
      <c r="AH90" s="1703"/>
      <c r="AI90" s="1703">
        <v>1000</v>
      </c>
      <c r="AJ90" s="1705"/>
      <c r="AK90" s="1705"/>
      <c r="AL90" s="1706"/>
      <c r="AM90" s="1107"/>
      <c r="AN90" s="1107"/>
      <c r="AO90" s="1707">
        <v>2000</v>
      </c>
      <c r="AP90" s="1701"/>
      <c r="AQ90" s="1708"/>
      <c r="AR90" s="1709"/>
      <c r="AS90" s="1704"/>
      <c r="AT90" s="1703"/>
      <c r="AU90" s="1703"/>
      <c r="AV90" s="1710"/>
      <c r="AW90" s="1710"/>
      <c r="AX90" s="1711"/>
      <c r="AY90" s="1700"/>
      <c r="AZ90" s="1107"/>
      <c r="BA90" s="1107"/>
      <c r="BB90" s="1712"/>
      <c r="BC90" s="1705"/>
      <c r="BD90" s="1711"/>
      <c r="BE90" s="1704"/>
      <c r="BF90" s="1704"/>
      <c r="BG90" s="1713"/>
      <c r="BH90" s="1714"/>
      <c r="BI90" s="1231"/>
      <c r="BJ90" s="1711"/>
      <c r="BK90" s="1703"/>
      <c r="BL90" s="1704"/>
      <c r="BM90" s="1704"/>
      <c r="BN90" s="1715"/>
      <c r="BO90" s="1708"/>
      <c r="BP90" s="1716"/>
      <c r="BQ90" s="1307"/>
      <c r="BR90" s="1717">
        <f t="shared" si="25"/>
        <v>2500</v>
      </c>
      <c r="BS90" s="1"/>
      <c r="BT90" s="1192">
        <f t="shared" si="26"/>
        <v>4500</v>
      </c>
    </row>
    <row r="91" spans="1:72" ht="15" thickBot="1" x14ac:dyDescent="0.35">
      <c r="A91" s="308"/>
      <c r="B91" s="308"/>
      <c r="C91" s="337"/>
      <c r="D91" s="338"/>
      <c r="E91" s="339"/>
      <c r="F91" s="339"/>
      <c r="G91" s="339"/>
      <c r="H91" s="339"/>
      <c r="I91" s="339"/>
      <c r="J91" s="339"/>
      <c r="K91" s="339">
        <f>1925+1500</f>
        <v>3425</v>
      </c>
      <c r="L91" s="1718"/>
      <c r="M91" s="1718"/>
      <c r="N91" s="1718"/>
      <c r="O91" s="1718"/>
      <c r="P91" s="1718"/>
      <c r="Q91" s="1718"/>
      <c r="R91" s="1719"/>
      <c r="S91" s="1719"/>
      <c r="T91" s="1723"/>
      <c r="U91" s="1719"/>
      <c r="V91" s="1719"/>
      <c r="W91" s="1719"/>
      <c r="X91" s="1719"/>
      <c r="Y91" s="1867"/>
      <c r="Z91" s="1719">
        <f>SUM(Z85:Z90)</f>
        <v>0</v>
      </c>
      <c r="AA91" s="1719">
        <f t="shared" ref="AA91:BQ91" si="27">SUM(AA85:AA90)</f>
        <v>0</v>
      </c>
      <c r="AB91" s="1719">
        <f t="shared" si="27"/>
        <v>0</v>
      </c>
      <c r="AC91" s="1719">
        <f t="shared" si="27"/>
        <v>3000</v>
      </c>
      <c r="AD91" s="1719">
        <f t="shared" si="27"/>
        <v>0</v>
      </c>
      <c r="AE91" s="1720">
        <f t="shared" si="27"/>
        <v>0</v>
      </c>
      <c r="AF91" s="1721">
        <f t="shared" si="27"/>
        <v>0</v>
      </c>
      <c r="AG91" s="1721">
        <f t="shared" si="27"/>
        <v>0</v>
      </c>
      <c r="AH91" s="1721">
        <f t="shared" si="27"/>
        <v>3000</v>
      </c>
      <c r="AI91" s="1721">
        <f t="shared" si="27"/>
        <v>3000</v>
      </c>
      <c r="AJ91" s="1721">
        <f t="shared" si="27"/>
        <v>0</v>
      </c>
      <c r="AK91" s="1722">
        <f t="shared" si="27"/>
        <v>0</v>
      </c>
      <c r="AL91" s="1723">
        <f t="shared" si="27"/>
        <v>0</v>
      </c>
      <c r="AM91" s="1719">
        <f t="shared" si="27"/>
        <v>0</v>
      </c>
      <c r="AN91" s="1719">
        <f t="shared" si="27"/>
        <v>3000</v>
      </c>
      <c r="AO91" s="1719">
        <f t="shared" si="27"/>
        <v>3000</v>
      </c>
      <c r="AP91" s="1719">
        <f t="shared" si="27"/>
        <v>0</v>
      </c>
      <c r="AQ91" s="1722">
        <f t="shared" si="27"/>
        <v>0</v>
      </c>
      <c r="AR91" s="1724">
        <f t="shared" si="27"/>
        <v>0</v>
      </c>
      <c r="AS91" s="1725">
        <f t="shared" si="27"/>
        <v>0</v>
      </c>
      <c r="AT91" s="1721">
        <f t="shared" si="27"/>
        <v>0</v>
      </c>
      <c r="AU91" s="1721">
        <f t="shared" si="27"/>
        <v>0</v>
      </c>
      <c r="AV91" s="1721">
        <f t="shared" si="27"/>
        <v>0</v>
      </c>
      <c r="AW91" s="1721">
        <f t="shared" si="27"/>
        <v>0</v>
      </c>
      <c r="AX91" s="1724">
        <f t="shared" si="27"/>
        <v>0</v>
      </c>
      <c r="AY91" s="1719">
        <f t="shared" si="27"/>
        <v>0</v>
      </c>
      <c r="AZ91" s="1719">
        <f t="shared" si="27"/>
        <v>0</v>
      </c>
      <c r="BA91" s="1719">
        <f t="shared" si="27"/>
        <v>0</v>
      </c>
      <c r="BB91" s="1719">
        <f t="shared" si="27"/>
        <v>0</v>
      </c>
      <c r="BC91" s="1722">
        <f t="shared" si="27"/>
        <v>0</v>
      </c>
      <c r="BD91" s="1724">
        <f t="shared" si="27"/>
        <v>0</v>
      </c>
      <c r="BE91" s="1721">
        <f t="shared" si="27"/>
        <v>0</v>
      </c>
      <c r="BF91" s="1721">
        <f t="shared" si="27"/>
        <v>0</v>
      </c>
      <c r="BG91" s="1721">
        <f t="shared" si="27"/>
        <v>0</v>
      </c>
      <c r="BH91" s="1721">
        <f t="shared" si="27"/>
        <v>0</v>
      </c>
      <c r="BI91" s="1726">
        <f t="shared" si="27"/>
        <v>0</v>
      </c>
      <c r="BJ91" s="1724">
        <f t="shared" si="27"/>
        <v>0</v>
      </c>
      <c r="BK91" s="1721">
        <f t="shared" si="27"/>
        <v>0</v>
      </c>
      <c r="BL91" s="1721">
        <f t="shared" si="27"/>
        <v>0</v>
      </c>
      <c r="BM91" s="1721">
        <f t="shared" si="27"/>
        <v>0</v>
      </c>
      <c r="BN91" s="1721">
        <f t="shared" si="27"/>
        <v>0</v>
      </c>
      <c r="BO91" s="1722">
        <f t="shared" si="27"/>
        <v>0</v>
      </c>
      <c r="BP91" s="1724">
        <f t="shared" si="27"/>
        <v>0</v>
      </c>
      <c r="BQ91" s="1721">
        <f t="shared" si="27"/>
        <v>2500</v>
      </c>
      <c r="BR91" s="1722"/>
      <c r="BS91" s="1085">
        <f>SUM(Z91:BR91)</f>
        <v>17500</v>
      </c>
      <c r="BT91" s="1192">
        <f t="shared" si="26"/>
        <v>15000</v>
      </c>
    </row>
    <row r="92" spans="1:72" ht="16.8" thickTop="1" thickBot="1" x14ac:dyDescent="0.35">
      <c r="A92" s="340" t="s">
        <v>143</v>
      </c>
      <c r="B92" s="341"/>
      <c r="C92" s="342"/>
      <c r="D92" s="308"/>
      <c r="E92" s="308"/>
      <c r="F92" s="308"/>
      <c r="G92" s="308"/>
      <c r="H92" s="308"/>
      <c r="I92" s="308"/>
      <c r="J92" s="308"/>
      <c r="K92" s="308"/>
      <c r="L92" s="1721"/>
      <c r="M92" s="1721"/>
      <c r="N92" s="1721"/>
      <c r="O92" s="1721"/>
      <c r="P92" s="1721"/>
      <c r="Q92" s="1721"/>
      <c r="R92" s="1721"/>
      <c r="S92" s="1721"/>
      <c r="T92" s="1724"/>
      <c r="U92" s="1721"/>
      <c r="V92" s="1721"/>
      <c r="W92" s="1721"/>
      <c r="X92" s="1721"/>
      <c r="Y92" s="1722"/>
      <c r="Z92" s="1721"/>
      <c r="AA92" s="1721"/>
      <c r="AB92" s="1721"/>
      <c r="AC92" s="1721"/>
      <c r="AD92" s="1721"/>
      <c r="AE92" s="1727"/>
      <c r="AF92" s="1721"/>
      <c r="AG92" s="1721"/>
      <c r="AH92" s="1721"/>
      <c r="AI92" s="1721"/>
      <c r="AJ92" s="1721"/>
      <c r="AK92" s="1722"/>
      <c r="AL92" s="1724"/>
      <c r="AM92" s="1721"/>
      <c r="AN92" s="1721"/>
      <c r="AO92" s="1728"/>
      <c r="AP92" s="1721"/>
      <c r="AQ92" s="1722"/>
      <c r="AR92" s="1724"/>
      <c r="AS92" s="1728"/>
      <c r="AT92" s="1721"/>
      <c r="AU92" s="1721"/>
      <c r="AV92" s="1721"/>
      <c r="AW92" s="1721"/>
      <c r="AX92" s="1724"/>
      <c r="AY92" s="1721"/>
      <c r="AZ92" s="1721"/>
      <c r="BA92" s="1721"/>
      <c r="BB92" s="1721"/>
      <c r="BC92" s="1722"/>
      <c r="BD92" s="1724"/>
      <c r="BE92" s="1721"/>
      <c r="BF92" s="1721"/>
      <c r="BG92" s="1721"/>
      <c r="BH92" s="1721"/>
      <c r="BI92" s="1722"/>
      <c r="BJ92" s="1724"/>
      <c r="BK92" s="1729"/>
      <c r="BL92" s="1730"/>
      <c r="BM92" s="1729"/>
      <c r="BN92" s="1731"/>
      <c r="BO92" s="1732"/>
      <c r="BP92" s="1724"/>
      <c r="BQ92" s="1721"/>
      <c r="BR92" s="1722"/>
      <c r="BS92" s="1"/>
    </row>
    <row r="93" spans="1:72" ht="16.8" thickTop="1" thickBot="1" x14ac:dyDescent="0.35">
      <c r="A93" s="347" t="s">
        <v>29</v>
      </c>
      <c r="B93" s="348" t="s">
        <v>30</v>
      </c>
      <c r="C93" s="349" t="s">
        <v>144</v>
      </c>
      <c r="D93" s="349" t="s">
        <v>2</v>
      </c>
      <c r="E93" s="350" t="s">
        <v>32</v>
      </c>
      <c r="F93" s="350" t="s">
        <v>33</v>
      </c>
      <c r="G93" s="349" t="s">
        <v>34</v>
      </c>
      <c r="H93" s="796" t="s">
        <v>35</v>
      </c>
      <c r="I93" s="349" t="s">
        <v>36</v>
      </c>
      <c r="J93" s="811" t="s">
        <v>37</v>
      </c>
      <c r="K93" s="1733" t="s">
        <v>38</v>
      </c>
      <c r="L93" s="1734" t="s">
        <v>39</v>
      </c>
      <c r="M93" s="1734" t="s">
        <v>40</v>
      </c>
      <c r="N93" s="1734" t="s">
        <v>41</v>
      </c>
      <c r="O93" s="1734" t="s">
        <v>42</v>
      </c>
      <c r="P93" s="1734" t="s">
        <v>43</v>
      </c>
      <c r="Q93" s="1735" t="s">
        <v>44</v>
      </c>
      <c r="R93" s="1734" t="s">
        <v>38</v>
      </c>
      <c r="S93" s="1735" t="s">
        <v>45</v>
      </c>
      <c r="T93" s="1740" t="s">
        <v>145</v>
      </c>
      <c r="U93" s="1736" t="s">
        <v>146</v>
      </c>
      <c r="V93" s="1736" t="s">
        <v>147</v>
      </c>
      <c r="W93" s="1736" t="s">
        <v>148</v>
      </c>
      <c r="X93" s="1737" t="s">
        <v>149</v>
      </c>
      <c r="Y93" s="1737" t="s">
        <v>307</v>
      </c>
      <c r="Z93" s="1739" t="s">
        <v>150</v>
      </c>
      <c r="AA93" s="1736" t="s">
        <v>151</v>
      </c>
      <c r="AB93" s="1736" t="s">
        <v>152</v>
      </c>
      <c r="AC93" s="1736" t="s">
        <v>153</v>
      </c>
      <c r="AD93" s="1737" t="s">
        <v>154</v>
      </c>
      <c r="AE93" s="1738" t="s">
        <v>316</v>
      </c>
      <c r="AF93" s="1739" t="s">
        <v>155</v>
      </c>
      <c r="AG93" s="1736" t="s">
        <v>156</v>
      </c>
      <c r="AH93" s="1736" t="s">
        <v>157</v>
      </c>
      <c r="AI93" s="1736" t="s">
        <v>158</v>
      </c>
      <c r="AJ93" s="1737" t="s">
        <v>159</v>
      </c>
      <c r="AK93" s="1737" t="s">
        <v>5</v>
      </c>
      <c r="AL93" s="1740" t="s">
        <v>124</v>
      </c>
      <c r="AM93" s="1741" t="s">
        <v>160</v>
      </c>
      <c r="AN93" s="1742" t="s">
        <v>161</v>
      </c>
      <c r="AO93" s="1736" t="s">
        <v>162</v>
      </c>
      <c r="AP93" s="1743" t="s">
        <v>323</v>
      </c>
      <c r="AQ93" s="1743" t="s">
        <v>59</v>
      </c>
      <c r="AR93" s="1740" t="s">
        <v>164</v>
      </c>
      <c r="AS93" s="1739" t="s">
        <v>165</v>
      </c>
      <c r="AT93" s="1736" t="s">
        <v>166</v>
      </c>
      <c r="AU93" s="1736" t="s">
        <v>167</v>
      </c>
      <c r="AV93" s="1320" t="s">
        <v>330</v>
      </c>
      <c r="AW93" s="1320" t="s">
        <v>63</v>
      </c>
      <c r="AX93" s="1740" t="s">
        <v>132</v>
      </c>
      <c r="AY93" s="1739" t="s">
        <v>169</v>
      </c>
      <c r="AZ93" s="1736" t="s">
        <v>170</v>
      </c>
      <c r="BA93" s="1742" t="s">
        <v>171</v>
      </c>
      <c r="BB93" s="1559" t="s">
        <v>172</v>
      </c>
      <c r="BC93" s="1743" t="s">
        <v>8</v>
      </c>
      <c r="BD93" s="1740" t="s">
        <v>136</v>
      </c>
      <c r="BE93" s="1736" t="s">
        <v>173</v>
      </c>
      <c r="BF93" s="1736" t="s">
        <v>174</v>
      </c>
      <c r="BG93" s="1736" t="s">
        <v>175</v>
      </c>
      <c r="BH93" s="1737" t="s">
        <v>176</v>
      </c>
      <c r="BI93" s="1737" t="s">
        <v>9</v>
      </c>
      <c r="BJ93" s="1740" t="s">
        <v>136</v>
      </c>
      <c r="BK93" s="1739" t="s">
        <v>173</v>
      </c>
      <c r="BL93" s="1739" t="s">
        <v>174</v>
      </c>
      <c r="BM93" s="1739" t="s">
        <v>175</v>
      </c>
      <c r="BN93" s="1164" t="s">
        <v>176</v>
      </c>
      <c r="BO93" s="1743" t="s">
        <v>9</v>
      </c>
      <c r="BP93" s="1740" t="s">
        <v>70</v>
      </c>
      <c r="BQ93" s="1736" t="s">
        <v>71</v>
      </c>
      <c r="BR93" s="1737" t="s">
        <v>72</v>
      </c>
      <c r="BS93" s="1"/>
    </row>
    <row r="94" spans="1:72" ht="16.2" thickTop="1" x14ac:dyDescent="0.3">
      <c r="A94" s="159">
        <v>2624</v>
      </c>
      <c r="B94" s="360">
        <v>1</v>
      </c>
      <c r="C94" s="361" t="s">
        <v>177</v>
      </c>
      <c r="D94" s="362" t="s">
        <v>22</v>
      </c>
      <c r="E94" s="363">
        <v>1.6</v>
      </c>
      <c r="F94" s="364">
        <f>(BR94/G94)/7</f>
        <v>0.98039215686274506</v>
      </c>
      <c r="G94" s="362">
        <v>510</v>
      </c>
      <c r="H94" s="840">
        <f t="shared" ref="H94:H136" si="28">G94*E94</f>
        <v>816</v>
      </c>
      <c r="I94" s="362">
        <v>10700</v>
      </c>
      <c r="J94" s="362">
        <v>3500</v>
      </c>
      <c r="K94" s="1168">
        <f t="shared" ref="K94:S124" si="29">J94-$H94</f>
        <v>2684</v>
      </c>
      <c r="L94" s="1168">
        <f t="shared" si="29"/>
        <v>1868</v>
      </c>
      <c r="M94" s="1957">
        <v>4052</v>
      </c>
      <c r="N94" s="1957">
        <v>6236</v>
      </c>
      <c r="O94" s="1168">
        <f t="shared" si="29"/>
        <v>5420</v>
      </c>
      <c r="P94" s="1168">
        <f t="shared" si="29"/>
        <v>4604</v>
      </c>
      <c r="Q94" s="1168">
        <f t="shared" si="29"/>
        <v>3788</v>
      </c>
      <c r="R94" s="1168">
        <f t="shared" si="29"/>
        <v>2972</v>
      </c>
      <c r="S94" s="1682">
        <f t="shared" si="29"/>
        <v>2156</v>
      </c>
      <c r="T94" s="1847"/>
      <c r="U94" s="1183"/>
      <c r="V94" s="1273"/>
      <c r="W94" s="1183"/>
      <c r="X94" s="1273"/>
      <c r="Y94" s="1902"/>
      <c r="Z94" s="1095"/>
      <c r="AA94" s="1177"/>
      <c r="AB94" s="1177"/>
      <c r="AC94" s="1096"/>
      <c r="AD94" s="1097"/>
      <c r="AE94" s="1215"/>
      <c r="AF94" s="1187">
        <v>3000</v>
      </c>
      <c r="AG94" s="1183"/>
      <c r="AH94" s="1183"/>
      <c r="AI94" s="1183"/>
      <c r="AJ94" s="1744"/>
      <c r="AK94" s="1745"/>
      <c r="AL94" s="1746">
        <v>3000</v>
      </c>
      <c r="AM94" s="1747"/>
      <c r="AN94" s="1747"/>
      <c r="AO94" s="1187"/>
      <c r="AP94" s="1273"/>
      <c r="AQ94" s="1748"/>
      <c r="AR94" s="1746"/>
      <c r="AS94" s="1187"/>
      <c r="AT94" s="1183"/>
      <c r="AU94" s="1183"/>
      <c r="AV94" s="1744"/>
      <c r="AW94" s="1214"/>
      <c r="AX94" s="1746"/>
      <c r="AY94" s="1747"/>
      <c r="AZ94" s="1747"/>
      <c r="BA94" s="1187"/>
      <c r="BB94" s="1273"/>
      <c r="BC94" s="1745"/>
      <c r="BD94" s="1746"/>
      <c r="BE94" s="1183"/>
      <c r="BF94" s="1183"/>
      <c r="BG94" s="1183"/>
      <c r="BH94" s="1273"/>
      <c r="BI94" s="1748"/>
      <c r="BJ94" s="1746"/>
      <c r="BK94" s="1183"/>
      <c r="BL94" s="1183"/>
      <c r="BM94" s="1744"/>
      <c r="BN94" s="1744"/>
      <c r="BO94" s="1745"/>
      <c r="BP94" s="1749"/>
      <c r="BQ94" s="1750"/>
      <c r="BR94" s="1751">
        <f t="shared" ref="BR94:BR136" si="30">(J94+BP94)-BQ94</f>
        <v>3500</v>
      </c>
      <c r="BT94" s="1192">
        <f t="shared" ref="BT94:BT136" si="31">SUM(Z94:BO94)</f>
        <v>6000</v>
      </c>
    </row>
    <row r="95" spans="1:72" ht="15.6" x14ac:dyDescent="0.3">
      <c r="A95" s="129"/>
      <c r="B95" s="360"/>
      <c r="C95" s="361" t="s">
        <v>178</v>
      </c>
      <c r="D95" s="362" t="s">
        <v>22</v>
      </c>
      <c r="E95" s="363">
        <v>1.6</v>
      </c>
      <c r="F95" s="364"/>
      <c r="G95" s="362"/>
      <c r="H95" s="840">
        <f t="shared" si="28"/>
        <v>0</v>
      </c>
      <c r="I95" s="375" t="s">
        <v>75</v>
      </c>
      <c r="J95" s="362"/>
      <c r="K95" s="1560">
        <f t="shared" si="29"/>
        <v>0</v>
      </c>
      <c r="L95" s="1273">
        <f t="shared" si="29"/>
        <v>0</v>
      </c>
      <c r="M95" s="1274">
        <f t="shared" si="29"/>
        <v>0</v>
      </c>
      <c r="N95" s="1273">
        <f t="shared" si="29"/>
        <v>0</v>
      </c>
      <c r="O95" s="1274">
        <f t="shared" si="29"/>
        <v>0</v>
      </c>
      <c r="P95" s="1273">
        <f t="shared" si="29"/>
        <v>0</v>
      </c>
      <c r="Q95" s="1274">
        <f t="shared" si="29"/>
        <v>0</v>
      </c>
      <c r="R95" s="1273">
        <f t="shared" si="29"/>
        <v>0</v>
      </c>
      <c r="S95" s="1565">
        <f>(R95-$H95)+BG95</f>
        <v>0</v>
      </c>
      <c r="T95" s="1847"/>
      <c r="U95" s="1183"/>
      <c r="V95" s="1273"/>
      <c r="W95" s="1183"/>
      <c r="X95" s="1273"/>
      <c r="Y95" s="1902"/>
      <c r="Z95" s="1095"/>
      <c r="AA95" s="1176"/>
      <c r="AB95" s="1176"/>
      <c r="AC95" s="1095"/>
      <c r="AD95" s="1287"/>
      <c r="AE95" s="1215"/>
      <c r="AF95" s="1095"/>
      <c r="AG95" s="1095"/>
      <c r="AH95" s="1095"/>
      <c r="AI95" s="1095"/>
      <c r="AJ95" s="1287"/>
      <c r="AK95" s="1745"/>
      <c r="AL95" s="1216"/>
      <c r="AM95" s="1095"/>
      <c r="AN95" s="1095"/>
      <c r="AO95" s="1095"/>
      <c r="AP95" s="1287"/>
      <c r="AQ95" s="1748"/>
      <c r="AR95" s="1216"/>
      <c r="AS95" s="1095"/>
      <c r="AT95" s="1096"/>
      <c r="AU95" s="1096"/>
      <c r="AV95" s="1097"/>
      <c r="AW95" s="1214"/>
      <c r="AX95" s="1216"/>
      <c r="AY95" s="1095"/>
      <c r="AZ95" s="1095"/>
      <c r="BA95" s="1095"/>
      <c r="BB95" s="1287"/>
      <c r="BC95" s="1745"/>
      <c r="BD95" s="1216"/>
      <c r="BE95" s="1096"/>
      <c r="BF95" s="1096"/>
      <c r="BG95" s="1096"/>
      <c r="BH95" s="1287"/>
      <c r="BI95" s="1748"/>
      <c r="BJ95" s="1216"/>
      <c r="BK95" s="1096"/>
      <c r="BL95" s="1096"/>
      <c r="BM95" s="1097"/>
      <c r="BN95" s="1097"/>
      <c r="BO95" s="1745"/>
      <c r="BP95" s="1752"/>
      <c r="BQ95" s="1753"/>
      <c r="BR95" s="1754">
        <f t="shared" si="30"/>
        <v>0</v>
      </c>
      <c r="BS95" s="1"/>
      <c r="BT95" s="1192">
        <f t="shared" si="31"/>
        <v>0</v>
      </c>
    </row>
    <row r="96" spans="1:72" ht="16.2" thickBot="1" x14ac:dyDescent="0.35">
      <c r="A96" s="159"/>
      <c r="B96" s="360"/>
      <c r="C96" s="382" t="s">
        <v>179</v>
      </c>
      <c r="D96" s="362" t="s">
        <v>22</v>
      </c>
      <c r="E96" s="383">
        <v>1.6</v>
      </c>
      <c r="F96" s="384"/>
      <c r="G96" s="385"/>
      <c r="H96" s="840">
        <f t="shared" si="28"/>
        <v>0</v>
      </c>
      <c r="I96" s="406"/>
      <c r="J96" s="385"/>
      <c r="K96" s="1588">
        <f t="shared" si="29"/>
        <v>0</v>
      </c>
      <c r="L96" s="1590">
        <f t="shared" si="29"/>
        <v>0</v>
      </c>
      <c r="M96" s="1589">
        <f t="shared" si="29"/>
        <v>0</v>
      </c>
      <c r="N96" s="1590">
        <f t="shared" si="29"/>
        <v>0</v>
      </c>
      <c r="O96" s="1589">
        <f t="shared" si="29"/>
        <v>0</v>
      </c>
      <c r="P96" s="1590">
        <f t="shared" si="29"/>
        <v>0</v>
      </c>
      <c r="Q96" s="1589">
        <f t="shared" si="29"/>
        <v>0</v>
      </c>
      <c r="R96" s="1590">
        <f t="shared" si="29"/>
        <v>0</v>
      </c>
      <c r="S96" s="1596">
        <f>(R96-$H96)+BG96</f>
        <v>0</v>
      </c>
      <c r="T96" s="1848"/>
      <c r="U96" s="1885"/>
      <c r="V96" s="1222"/>
      <c r="W96" s="1885"/>
      <c r="X96" s="1222"/>
      <c r="Y96" s="1923"/>
      <c r="Z96" s="1451"/>
      <c r="AA96" s="1356"/>
      <c r="AB96" s="1356"/>
      <c r="AC96" s="1451"/>
      <c r="AD96" s="1224"/>
      <c r="AE96" s="1755"/>
      <c r="AF96" s="1451"/>
      <c r="AG96" s="1451"/>
      <c r="AH96" s="1451"/>
      <c r="AI96" s="1451"/>
      <c r="AJ96" s="1224"/>
      <c r="AK96" s="1756"/>
      <c r="AL96" s="1361"/>
      <c r="AM96" s="1451"/>
      <c r="AN96" s="1451"/>
      <c r="AO96" s="1451"/>
      <c r="AP96" s="1224"/>
      <c r="AQ96" s="1757"/>
      <c r="AR96" s="1361"/>
      <c r="AS96" s="1451"/>
      <c r="AT96" s="1362"/>
      <c r="AU96" s="1362"/>
      <c r="AV96" s="1369"/>
      <c r="AW96" s="1758"/>
      <c r="AX96" s="1361"/>
      <c r="AY96" s="1451"/>
      <c r="AZ96" s="1451"/>
      <c r="BA96" s="1451"/>
      <c r="BB96" s="1224"/>
      <c r="BC96" s="1756"/>
      <c r="BD96" s="1361"/>
      <c r="BE96" s="1362"/>
      <c r="BF96" s="1362"/>
      <c r="BG96" s="1362"/>
      <c r="BH96" s="1224"/>
      <c r="BI96" s="1757"/>
      <c r="BJ96" s="1361"/>
      <c r="BK96" s="1362"/>
      <c r="BL96" s="1362"/>
      <c r="BM96" s="1369"/>
      <c r="BN96" s="1369"/>
      <c r="BO96" s="1756"/>
      <c r="BP96" s="1365"/>
      <c r="BQ96" s="1357"/>
      <c r="BR96" s="1759">
        <f t="shared" si="30"/>
        <v>0</v>
      </c>
      <c r="BS96" s="1"/>
      <c r="BT96" s="1192">
        <f t="shared" si="31"/>
        <v>0</v>
      </c>
    </row>
    <row r="97" spans="1:72" ht="18.75" customHeight="1" x14ac:dyDescent="0.3">
      <c r="A97" s="159">
        <v>2624</v>
      </c>
      <c r="B97" s="360" t="s">
        <v>574</v>
      </c>
      <c r="C97" s="391" t="s">
        <v>180</v>
      </c>
      <c r="D97" s="392" t="s">
        <v>22</v>
      </c>
      <c r="E97" s="393">
        <v>1.7</v>
      </c>
      <c r="F97" s="364">
        <f>(BR97/G97)/7</f>
        <v>1.1944577161968468</v>
      </c>
      <c r="G97" s="392">
        <v>299</v>
      </c>
      <c r="H97" s="841">
        <f t="shared" si="28"/>
        <v>508.3</v>
      </c>
      <c r="I97" s="362">
        <v>5800</v>
      </c>
      <c r="J97" s="392">
        <v>2500</v>
      </c>
      <c r="K97" s="1560">
        <f t="shared" si="29"/>
        <v>1991.7</v>
      </c>
      <c r="L97" s="1274">
        <f t="shared" si="29"/>
        <v>1483.4</v>
      </c>
      <c r="M97" s="1963">
        <v>3975</v>
      </c>
      <c r="N97" s="1274">
        <f t="shared" si="29"/>
        <v>3466.7</v>
      </c>
      <c r="O97" s="1274">
        <f t="shared" si="29"/>
        <v>2958.3999999999996</v>
      </c>
      <c r="P97" s="1274">
        <f t="shared" si="29"/>
        <v>2450.0999999999995</v>
      </c>
      <c r="Q97" s="1274">
        <f t="shared" si="29"/>
        <v>1941.7999999999995</v>
      </c>
      <c r="R97" s="1274">
        <f t="shared" si="29"/>
        <v>1433.4999999999995</v>
      </c>
      <c r="S97" s="1565">
        <f t="shared" si="29"/>
        <v>925.19999999999959</v>
      </c>
      <c r="T97" s="1847"/>
      <c r="U97" s="1183"/>
      <c r="V97" s="1273"/>
      <c r="W97" s="1183"/>
      <c r="X97" s="1273"/>
      <c r="Y97" s="1902"/>
      <c r="Z97" s="1760"/>
      <c r="AA97" s="1760"/>
      <c r="AB97" s="1760"/>
      <c r="AC97" s="1760"/>
      <c r="AD97" s="1244"/>
      <c r="AE97" s="1761"/>
      <c r="AF97" s="1760">
        <v>3000</v>
      </c>
      <c r="AG97" s="1760"/>
      <c r="AH97" s="1760"/>
      <c r="AI97" s="1760"/>
      <c r="AJ97" s="1244"/>
      <c r="AK97" s="1762"/>
      <c r="AL97" s="1382"/>
      <c r="AM97" s="1760"/>
      <c r="AN97" s="1760"/>
      <c r="AO97" s="1760"/>
      <c r="AP97" s="1244"/>
      <c r="AQ97" s="1763"/>
      <c r="AR97" s="1382"/>
      <c r="AS97" s="1760"/>
      <c r="AT97" s="1376"/>
      <c r="AU97" s="1376"/>
      <c r="AV97" s="1386"/>
      <c r="AW97" s="1764"/>
      <c r="AX97" s="1382"/>
      <c r="AY97" s="1760"/>
      <c r="AZ97" s="1760"/>
      <c r="BA97" s="1760"/>
      <c r="BB97" s="1244"/>
      <c r="BC97" s="1762"/>
      <c r="BD97" s="1382"/>
      <c r="BE97" s="1376"/>
      <c r="BF97" s="1376"/>
      <c r="BG97" s="1376"/>
      <c r="BH97" s="1244"/>
      <c r="BI97" s="1763"/>
      <c r="BJ97" s="1382"/>
      <c r="BK97" s="1376"/>
      <c r="BL97" s="1376"/>
      <c r="BM97" s="1386"/>
      <c r="BN97" s="1386"/>
      <c r="BO97" s="1762"/>
      <c r="BP97" s="1765"/>
      <c r="BQ97" s="1766"/>
      <c r="BR97" s="1767">
        <f t="shared" si="30"/>
        <v>2500</v>
      </c>
      <c r="BS97" s="1"/>
      <c r="BT97" s="1192">
        <f t="shared" si="31"/>
        <v>3000</v>
      </c>
    </row>
    <row r="98" spans="1:72" ht="13.5" customHeight="1" thickBot="1" x14ac:dyDescent="0.35">
      <c r="A98" s="380"/>
      <c r="B98" s="381"/>
      <c r="C98" s="398" t="s">
        <v>181</v>
      </c>
      <c r="D98" s="375" t="s">
        <v>22</v>
      </c>
      <c r="E98" s="399">
        <v>1.7</v>
      </c>
      <c r="F98" s="400"/>
      <c r="G98" s="362"/>
      <c r="H98" s="842">
        <f t="shared" si="28"/>
        <v>0</v>
      </c>
      <c r="I98" s="375"/>
      <c r="J98" s="362"/>
      <c r="K98" s="1560">
        <f t="shared" si="29"/>
        <v>0</v>
      </c>
      <c r="L98" s="1273">
        <f t="shared" si="29"/>
        <v>0</v>
      </c>
      <c r="M98" s="1274">
        <f t="shared" si="29"/>
        <v>0</v>
      </c>
      <c r="N98" s="1273">
        <f t="shared" si="29"/>
        <v>0</v>
      </c>
      <c r="O98" s="1274">
        <f t="shared" si="29"/>
        <v>0</v>
      </c>
      <c r="P98" s="1273">
        <f t="shared" si="29"/>
        <v>0</v>
      </c>
      <c r="Q98" s="1274">
        <f t="shared" si="29"/>
        <v>0</v>
      </c>
      <c r="R98" s="1273">
        <f t="shared" si="29"/>
        <v>0</v>
      </c>
      <c r="S98" s="1565">
        <f>(R98-$H98)+BG98</f>
        <v>0</v>
      </c>
      <c r="T98" s="1847"/>
      <c r="U98" s="1183"/>
      <c r="V98" s="1273"/>
      <c r="W98" s="1183"/>
      <c r="X98" s="1273"/>
      <c r="Y98" s="1902"/>
      <c r="Z98" s="1103"/>
      <c r="AA98" s="1103"/>
      <c r="AB98" s="1103"/>
      <c r="AC98" s="1103"/>
      <c r="AD98" s="1195"/>
      <c r="AE98" s="1197"/>
      <c r="AF98" s="1103"/>
      <c r="AG98" s="1103"/>
      <c r="AH98" s="1103"/>
      <c r="AI98" s="1103"/>
      <c r="AJ98" s="1195"/>
      <c r="AK98" s="1768"/>
      <c r="AL98" s="1204"/>
      <c r="AM98" s="1103"/>
      <c r="AN98" s="1103"/>
      <c r="AO98" s="1103"/>
      <c r="AP98" s="1195"/>
      <c r="AQ98" s="1769"/>
      <c r="AR98" s="1204"/>
      <c r="AS98" s="1103"/>
      <c r="AT98" s="1104"/>
      <c r="AU98" s="1104"/>
      <c r="AV98" s="1205"/>
      <c r="AW98" s="1196"/>
      <c r="AX98" s="1204"/>
      <c r="AY98" s="1103"/>
      <c r="AZ98" s="1103"/>
      <c r="BA98" s="1103"/>
      <c r="BB98" s="1195"/>
      <c r="BC98" s="1768"/>
      <c r="BD98" s="1204"/>
      <c r="BE98" s="1104"/>
      <c r="BF98" s="1104"/>
      <c r="BG98" s="1104"/>
      <c r="BH98" s="1195"/>
      <c r="BI98" s="1769"/>
      <c r="BJ98" s="1204"/>
      <c r="BK98" s="1104"/>
      <c r="BL98" s="1104"/>
      <c r="BM98" s="1205"/>
      <c r="BN98" s="1205"/>
      <c r="BO98" s="1768"/>
      <c r="BP98" s="1752"/>
      <c r="BQ98" s="1753"/>
      <c r="BR98" s="1754">
        <f t="shared" si="30"/>
        <v>0</v>
      </c>
      <c r="BS98" s="1"/>
      <c r="BT98" s="1192">
        <f t="shared" si="31"/>
        <v>0</v>
      </c>
    </row>
    <row r="99" spans="1:72" ht="15" customHeight="1" thickBot="1" x14ac:dyDescent="0.35">
      <c r="A99" s="2461"/>
      <c r="B99" s="441"/>
      <c r="C99" s="2462" t="s">
        <v>182</v>
      </c>
      <c r="D99" s="967" t="s">
        <v>22</v>
      </c>
      <c r="E99" s="2463">
        <v>1.7</v>
      </c>
      <c r="F99" s="2464"/>
      <c r="G99" s="1002"/>
      <c r="H99" s="2465">
        <f t="shared" si="28"/>
        <v>0</v>
      </c>
      <c r="I99" s="967"/>
      <c r="J99" s="974"/>
      <c r="K99" s="1437">
        <f t="shared" si="29"/>
        <v>0</v>
      </c>
      <c r="L99" s="1273">
        <f t="shared" si="29"/>
        <v>0</v>
      </c>
      <c r="M99" s="1589">
        <f t="shared" si="29"/>
        <v>0</v>
      </c>
      <c r="N99" s="1590">
        <f t="shared" si="29"/>
        <v>0</v>
      </c>
      <c r="O99" s="1589">
        <f t="shared" si="29"/>
        <v>0</v>
      </c>
      <c r="P99" s="1590">
        <f t="shared" si="29"/>
        <v>0</v>
      </c>
      <c r="Q99" s="1589">
        <f t="shared" si="29"/>
        <v>0</v>
      </c>
      <c r="R99" s="1590">
        <f t="shared" si="29"/>
        <v>0</v>
      </c>
      <c r="S99" s="1596">
        <f>(R99-$H99)+BG99</f>
        <v>0</v>
      </c>
      <c r="T99" s="1864"/>
      <c r="U99" s="1894"/>
      <c r="V99" s="1590"/>
      <c r="W99" s="1894"/>
      <c r="X99" s="1590"/>
      <c r="Y99" s="1922"/>
      <c r="Z99" s="2036"/>
      <c r="AA99" s="2036"/>
      <c r="AB99" s="2036"/>
      <c r="AC99" s="2036"/>
      <c r="AD99" s="1590"/>
      <c r="AE99" s="2466"/>
      <c r="AF99" s="2036"/>
      <c r="AG99" s="2036"/>
      <c r="AH99" s="2036"/>
      <c r="AI99" s="2036"/>
      <c r="AJ99" s="1590"/>
      <c r="AK99" s="1922"/>
      <c r="AL99" s="1987"/>
      <c r="AM99" s="2036"/>
      <c r="AN99" s="2036"/>
      <c r="AO99" s="2036"/>
      <c r="AP99" s="1590"/>
      <c r="AQ99" s="1989"/>
      <c r="AR99" s="1987"/>
      <c r="AS99" s="2036"/>
      <c r="AT99" s="1894"/>
      <c r="AU99" s="1894"/>
      <c r="AV99" s="1988"/>
      <c r="AW99" s="1988"/>
      <c r="AX99" s="1987"/>
      <c r="AY99" s="2036"/>
      <c r="AZ99" s="2036"/>
      <c r="BA99" s="2036"/>
      <c r="BB99" s="1590"/>
      <c r="BC99" s="1922"/>
      <c r="BD99" s="1987"/>
      <c r="BE99" s="1894"/>
      <c r="BF99" s="1894"/>
      <c r="BG99" s="1894"/>
      <c r="BH99" s="1590"/>
      <c r="BI99" s="1989"/>
      <c r="BJ99" s="1987"/>
      <c r="BK99" s="1894"/>
      <c r="BL99" s="1894"/>
      <c r="BM99" s="1988"/>
      <c r="BN99" s="1988"/>
      <c r="BO99" s="1922"/>
      <c r="BP99" s="2467"/>
      <c r="BQ99" s="1653"/>
      <c r="BR99" s="2468">
        <f t="shared" si="30"/>
        <v>0</v>
      </c>
      <c r="BT99" s="1192">
        <f t="shared" si="31"/>
        <v>0</v>
      </c>
    </row>
    <row r="100" spans="1:72" s="2493" customFormat="1" ht="15.75" customHeight="1" x14ac:dyDescent="0.3">
      <c r="A100" s="2469">
        <v>2623</v>
      </c>
      <c r="B100" s="2470">
        <v>12</v>
      </c>
      <c r="C100" s="2471" t="s">
        <v>184</v>
      </c>
      <c r="D100" s="2472" t="s">
        <v>22</v>
      </c>
      <c r="E100" s="2473">
        <v>2.2000000000000002</v>
      </c>
      <c r="F100" s="2474">
        <f>(BR100/G100)/7</f>
        <v>0.68243858052775253</v>
      </c>
      <c r="G100" s="2472">
        <v>314</v>
      </c>
      <c r="H100" s="2475">
        <f t="shared" si="28"/>
        <v>690.80000000000007</v>
      </c>
      <c r="I100" s="2472">
        <v>5800</v>
      </c>
      <c r="J100" s="2476">
        <v>1500</v>
      </c>
      <c r="K100" s="2477">
        <f t="shared" si="29"/>
        <v>809.19999999999993</v>
      </c>
      <c r="L100" s="2477">
        <f t="shared" si="29"/>
        <v>118.39999999999986</v>
      </c>
      <c r="M100" s="2477">
        <f t="shared" si="29"/>
        <v>-572.4000000000002</v>
      </c>
      <c r="N100" s="2477">
        <f t="shared" si="29"/>
        <v>-1263.2000000000003</v>
      </c>
      <c r="O100" s="2477">
        <f t="shared" si="29"/>
        <v>-1954.0000000000005</v>
      </c>
      <c r="P100" s="2477">
        <f t="shared" si="29"/>
        <v>-2644.8000000000006</v>
      </c>
      <c r="Q100" s="2477">
        <f t="shared" si="29"/>
        <v>-3335.6000000000008</v>
      </c>
      <c r="R100" s="2477">
        <f t="shared" si="29"/>
        <v>-4026.400000000001</v>
      </c>
      <c r="S100" s="2478">
        <f t="shared" si="29"/>
        <v>-4717.2000000000007</v>
      </c>
      <c r="T100" s="2479"/>
      <c r="U100" s="2480"/>
      <c r="V100" s="2481"/>
      <c r="W100" s="2480"/>
      <c r="X100" s="2481"/>
      <c r="Y100" s="2482"/>
      <c r="Z100" s="2483"/>
      <c r="AA100" s="2480"/>
      <c r="AB100" s="2484"/>
      <c r="AC100" s="2480"/>
      <c r="AD100" s="2485"/>
      <c r="AE100" s="2486"/>
      <c r="AF100" s="2487"/>
      <c r="AG100" s="2480"/>
      <c r="AH100" s="2480"/>
      <c r="AI100" s="2480"/>
      <c r="AJ100" s="2485"/>
      <c r="AK100" s="2482"/>
      <c r="AL100" s="2488"/>
      <c r="AM100" s="2487"/>
      <c r="AN100" s="2487"/>
      <c r="AO100" s="2487"/>
      <c r="AP100" s="2481"/>
      <c r="AQ100" s="2489"/>
      <c r="AR100" s="2488"/>
      <c r="AS100" s="2487"/>
      <c r="AT100" s="2480"/>
      <c r="AU100" s="2480"/>
      <c r="AV100" s="2485"/>
      <c r="AW100" s="2485"/>
      <c r="AX100" s="2488"/>
      <c r="AY100" s="2487"/>
      <c r="AZ100" s="2487"/>
      <c r="BA100" s="2487"/>
      <c r="BB100" s="2481"/>
      <c r="BC100" s="2482"/>
      <c r="BD100" s="2488"/>
      <c r="BE100" s="2480"/>
      <c r="BF100" s="2480"/>
      <c r="BG100" s="2480"/>
      <c r="BH100" s="2481"/>
      <c r="BI100" s="2489"/>
      <c r="BJ100" s="2488"/>
      <c r="BK100" s="2480"/>
      <c r="BL100" s="2480"/>
      <c r="BM100" s="2485"/>
      <c r="BN100" s="2485"/>
      <c r="BO100" s="2482"/>
      <c r="BP100" s="2490"/>
      <c r="BQ100" s="2491"/>
      <c r="BR100" s="2492">
        <f t="shared" si="30"/>
        <v>1500</v>
      </c>
      <c r="BT100" s="2494">
        <f t="shared" si="31"/>
        <v>0</v>
      </c>
    </row>
    <row r="101" spans="1:72" ht="16.2" thickBot="1" x14ac:dyDescent="0.35">
      <c r="A101" s="221"/>
      <c r="B101" s="404"/>
      <c r="C101" s="398" t="s">
        <v>186</v>
      </c>
      <c r="D101" s="375" t="s">
        <v>185</v>
      </c>
      <c r="E101" s="399">
        <v>2.2000000000000002</v>
      </c>
      <c r="F101" s="400"/>
      <c r="G101" s="362"/>
      <c r="H101" s="842">
        <f t="shared" si="28"/>
        <v>0</v>
      </c>
      <c r="I101" s="375"/>
      <c r="J101" s="362"/>
      <c r="K101" s="1437">
        <f t="shared" si="29"/>
        <v>0</v>
      </c>
      <c r="L101" s="1273">
        <f t="shared" si="29"/>
        <v>0</v>
      </c>
      <c r="M101" s="1194">
        <f t="shared" si="29"/>
        <v>0</v>
      </c>
      <c r="N101" s="1273">
        <f t="shared" si="29"/>
        <v>0</v>
      </c>
      <c r="O101" s="1274">
        <f t="shared" si="29"/>
        <v>0</v>
      </c>
      <c r="P101" s="1273">
        <f t="shared" si="29"/>
        <v>0</v>
      </c>
      <c r="Q101" s="1194">
        <f t="shared" si="29"/>
        <v>0</v>
      </c>
      <c r="R101" s="1273">
        <f t="shared" si="29"/>
        <v>0</v>
      </c>
      <c r="S101" s="1565">
        <f t="shared" ref="S101" si="32">R101-P101</f>
        <v>0</v>
      </c>
      <c r="T101" s="1847"/>
      <c r="U101" s="1183"/>
      <c r="V101" s="1273"/>
      <c r="W101" s="1183"/>
      <c r="X101" s="1273"/>
      <c r="Y101" s="1902"/>
      <c r="Z101" s="1198"/>
      <c r="AA101" s="1104"/>
      <c r="AB101" s="1199"/>
      <c r="AC101" s="1104"/>
      <c r="AD101" s="1205"/>
      <c r="AE101" s="1197"/>
      <c r="AF101" s="1103"/>
      <c r="AG101" s="1104"/>
      <c r="AH101" s="1104"/>
      <c r="AI101" s="1104"/>
      <c r="AJ101" s="1205"/>
      <c r="AK101" s="1768"/>
      <c r="AL101" s="1204"/>
      <c r="AM101" s="1103"/>
      <c r="AN101" s="1103"/>
      <c r="AO101" s="1103"/>
      <c r="AP101" s="1195"/>
      <c r="AQ101" s="1769"/>
      <c r="AR101" s="1204"/>
      <c r="AS101" s="1103"/>
      <c r="AT101" s="1104"/>
      <c r="AU101" s="1104"/>
      <c r="AV101" s="1205"/>
      <c r="AW101" s="1196"/>
      <c r="AX101" s="1204"/>
      <c r="AY101" s="1103"/>
      <c r="AZ101" s="1103"/>
      <c r="BA101" s="1103"/>
      <c r="BB101" s="1195"/>
      <c r="BC101" s="1768"/>
      <c r="BD101" s="1204"/>
      <c r="BE101" s="1104"/>
      <c r="BF101" s="1104"/>
      <c r="BG101" s="1104"/>
      <c r="BH101" s="1195"/>
      <c r="BI101" s="1769"/>
      <c r="BJ101" s="1204"/>
      <c r="BK101" s="1104"/>
      <c r="BL101" s="1104"/>
      <c r="BM101" s="1205"/>
      <c r="BN101" s="1205"/>
      <c r="BO101" s="1768"/>
      <c r="BP101" s="1365"/>
      <c r="BQ101" s="1357"/>
      <c r="BR101" s="1754">
        <f t="shared" si="30"/>
        <v>0</v>
      </c>
      <c r="BS101" s="1"/>
      <c r="BT101" s="1192">
        <f t="shared" si="31"/>
        <v>0</v>
      </c>
    </row>
    <row r="102" spans="1:72" ht="16.2" thickBot="1" x14ac:dyDescent="0.35">
      <c r="A102" s="2495"/>
      <c r="B102" s="368"/>
      <c r="C102" s="2462" t="s">
        <v>187</v>
      </c>
      <c r="D102" s="967" t="s">
        <v>185</v>
      </c>
      <c r="E102" s="2463">
        <v>2.2000000000000002</v>
      </c>
      <c r="F102" s="2464"/>
      <c r="G102" s="1002"/>
      <c r="H102" s="2465">
        <f t="shared" si="28"/>
        <v>0</v>
      </c>
      <c r="I102" s="967"/>
      <c r="J102" s="967"/>
      <c r="K102" s="1588">
        <f t="shared" si="29"/>
        <v>0</v>
      </c>
      <c r="L102" s="1222">
        <f t="shared" si="29"/>
        <v>0</v>
      </c>
      <c r="M102" s="1589">
        <f t="shared" si="29"/>
        <v>0</v>
      </c>
      <c r="N102" s="1257">
        <f t="shared" si="29"/>
        <v>0</v>
      </c>
      <c r="O102" s="1258">
        <f t="shared" si="29"/>
        <v>0</v>
      </c>
      <c r="P102" s="1257">
        <f t="shared" si="29"/>
        <v>0</v>
      </c>
      <c r="Q102" s="1258">
        <f t="shared" si="29"/>
        <v>0</v>
      </c>
      <c r="R102" s="1590">
        <f t="shared" si="29"/>
        <v>0</v>
      </c>
      <c r="S102" s="1596">
        <f>(R102-$H102)+BI102</f>
        <v>0</v>
      </c>
      <c r="T102" s="1864"/>
      <c r="U102" s="1894"/>
      <c r="V102" s="1590"/>
      <c r="W102" s="1894"/>
      <c r="X102" s="1590"/>
      <c r="Y102" s="1922"/>
      <c r="Z102" s="1597"/>
      <c r="AA102" s="1894"/>
      <c r="AB102" s="1598"/>
      <c r="AC102" s="1894"/>
      <c r="AD102" s="1988"/>
      <c r="AE102" s="2466"/>
      <c r="AF102" s="2036"/>
      <c r="AG102" s="1894"/>
      <c r="AH102" s="1894"/>
      <c r="AI102" s="1894"/>
      <c r="AJ102" s="1988"/>
      <c r="AK102" s="1922"/>
      <c r="AL102" s="1987"/>
      <c r="AM102" s="2036"/>
      <c r="AN102" s="2036"/>
      <c r="AO102" s="2036"/>
      <c r="AP102" s="1590"/>
      <c r="AQ102" s="1989"/>
      <c r="AR102" s="1987"/>
      <c r="AS102" s="2036"/>
      <c r="AT102" s="1894"/>
      <c r="AU102" s="1894"/>
      <c r="AV102" s="1988"/>
      <c r="AW102" s="1988"/>
      <c r="AX102" s="1987"/>
      <c r="AY102" s="2036"/>
      <c r="AZ102" s="2036"/>
      <c r="BA102" s="2036"/>
      <c r="BB102" s="1590"/>
      <c r="BC102" s="1922"/>
      <c r="BD102" s="1987"/>
      <c r="BE102" s="1894"/>
      <c r="BF102" s="1894"/>
      <c r="BG102" s="1894"/>
      <c r="BH102" s="1590"/>
      <c r="BI102" s="1989"/>
      <c r="BJ102" s="1987"/>
      <c r="BK102" s="1894"/>
      <c r="BL102" s="1894"/>
      <c r="BM102" s="1988"/>
      <c r="BN102" s="1988"/>
      <c r="BO102" s="1922"/>
      <c r="BP102" s="2467"/>
      <c r="BQ102" s="1653"/>
      <c r="BR102" s="2468">
        <f t="shared" si="30"/>
        <v>0</v>
      </c>
      <c r="BT102" s="1192">
        <f t="shared" si="31"/>
        <v>0</v>
      </c>
    </row>
    <row r="103" spans="1:72" s="2493" customFormat="1" ht="15.6" x14ac:dyDescent="0.3">
      <c r="A103" s="2496">
        <v>2622</v>
      </c>
      <c r="B103" s="2497">
        <v>11</v>
      </c>
      <c r="C103" s="2471" t="s">
        <v>188</v>
      </c>
      <c r="D103" s="2472" t="s">
        <v>185</v>
      </c>
      <c r="E103" s="2473">
        <v>2.2999999999999998</v>
      </c>
      <c r="F103" s="2474">
        <f>(BR103/G103)/7</f>
        <v>0.95238095238095244</v>
      </c>
      <c r="G103" s="2472">
        <v>600</v>
      </c>
      <c r="H103" s="2475">
        <f t="shared" si="28"/>
        <v>1380</v>
      </c>
      <c r="I103" s="2472">
        <v>10700</v>
      </c>
      <c r="J103" s="2472">
        <v>4000</v>
      </c>
      <c r="K103" s="2498">
        <f t="shared" si="29"/>
        <v>2620</v>
      </c>
      <c r="L103" s="2498">
        <f t="shared" si="29"/>
        <v>1240</v>
      </c>
      <c r="M103" s="2498">
        <f t="shared" si="29"/>
        <v>-140</v>
      </c>
      <c r="N103" s="2498">
        <f t="shared" si="29"/>
        <v>-1520</v>
      </c>
      <c r="O103" s="2498">
        <f t="shared" si="29"/>
        <v>-2900</v>
      </c>
      <c r="P103" s="2498">
        <f t="shared" si="29"/>
        <v>-4280</v>
      </c>
      <c r="Q103" s="2498">
        <f t="shared" si="29"/>
        <v>-5660</v>
      </c>
      <c r="R103" s="2477">
        <f t="shared" si="29"/>
        <v>-7040</v>
      </c>
      <c r="S103" s="2478">
        <f t="shared" si="29"/>
        <v>-8420</v>
      </c>
      <c r="T103" s="2479"/>
      <c r="U103" s="2480"/>
      <c r="V103" s="2481"/>
      <c r="W103" s="2480"/>
      <c r="X103" s="2481"/>
      <c r="Y103" s="2482"/>
      <c r="Z103" s="2483"/>
      <c r="AA103" s="2480"/>
      <c r="AB103" s="2484"/>
      <c r="AC103" s="2480"/>
      <c r="AD103" s="2485"/>
      <c r="AE103" s="2486"/>
      <c r="AF103" s="2487"/>
      <c r="AG103" s="2480"/>
      <c r="AH103" s="2480"/>
      <c r="AI103" s="2480"/>
      <c r="AJ103" s="2485"/>
      <c r="AK103" s="2482"/>
      <c r="AL103" s="2488"/>
      <c r="AM103" s="2487"/>
      <c r="AN103" s="2487"/>
      <c r="AO103" s="2487"/>
      <c r="AP103" s="2481"/>
      <c r="AQ103" s="2489"/>
      <c r="AR103" s="2488"/>
      <c r="AS103" s="2487"/>
      <c r="AT103" s="2480"/>
      <c r="AU103" s="2480"/>
      <c r="AV103" s="2485"/>
      <c r="AW103" s="2485"/>
      <c r="AX103" s="2488"/>
      <c r="AY103" s="2487"/>
      <c r="AZ103" s="2487"/>
      <c r="BA103" s="2487"/>
      <c r="BB103" s="2481"/>
      <c r="BC103" s="2482"/>
      <c r="BD103" s="2488"/>
      <c r="BE103" s="2480"/>
      <c r="BF103" s="2480"/>
      <c r="BG103" s="2480"/>
      <c r="BH103" s="2481"/>
      <c r="BI103" s="2489"/>
      <c r="BJ103" s="2488"/>
      <c r="BK103" s="2480"/>
      <c r="BL103" s="2480"/>
      <c r="BM103" s="2485"/>
      <c r="BN103" s="2485"/>
      <c r="BO103" s="2482"/>
      <c r="BP103" s="2499"/>
      <c r="BQ103" s="2491"/>
      <c r="BR103" s="2492">
        <f t="shared" si="30"/>
        <v>4000</v>
      </c>
      <c r="BT103" s="2494">
        <f t="shared" si="31"/>
        <v>0</v>
      </c>
    </row>
    <row r="104" spans="1:72" ht="16.2" thickBot="1" x14ac:dyDescent="0.35">
      <c r="A104" s="420"/>
      <c r="B104" s="421"/>
      <c r="C104" s="398" t="s">
        <v>189</v>
      </c>
      <c r="D104" s="375" t="s">
        <v>185</v>
      </c>
      <c r="E104" s="399">
        <v>2.2999999999999998</v>
      </c>
      <c r="F104" s="400"/>
      <c r="G104" s="362"/>
      <c r="H104" s="842">
        <f t="shared" si="28"/>
        <v>0</v>
      </c>
      <c r="I104" s="375"/>
      <c r="J104" s="362"/>
      <c r="K104" s="1395">
        <f t="shared" si="29"/>
        <v>0</v>
      </c>
      <c r="L104" s="1193">
        <f t="shared" si="29"/>
        <v>0</v>
      </c>
      <c r="M104" s="1274">
        <f t="shared" si="29"/>
        <v>0</v>
      </c>
      <c r="N104" s="1273">
        <f t="shared" si="29"/>
        <v>0</v>
      </c>
      <c r="O104" s="1274">
        <f t="shared" si="29"/>
        <v>0</v>
      </c>
      <c r="P104" s="1273">
        <f t="shared" si="29"/>
        <v>0</v>
      </c>
      <c r="Q104" s="1274">
        <f t="shared" si="29"/>
        <v>0</v>
      </c>
      <c r="R104" s="1273">
        <f t="shared" si="29"/>
        <v>0</v>
      </c>
      <c r="S104" s="1565">
        <f>(R104-$H104)+BI104</f>
        <v>0</v>
      </c>
      <c r="T104" s="1847"/>
      <c r="U104" s="1183"/>
      <c r="V104" s="1273"/>
      <c r="W104" s="1183"/>
      <c r="X104" s="1273"/>
      <c r="Y104" s="1902"/>
      <c r="Z104" s="1198"/>
      <c r="AA104" s="1104"/>
      <c r="AB104" s="1199"/>
      <c r="AC104" s="1104"/>
      <c r="AD104" s="1205"/>
      <c r="AE104" s="1197"/>
      <c r="AF104" s="1103"/>
      <c r="AG104" s="1104"/>
      <c r="AH104" s="1104"/>
      <c r="AI104" s="1104"/>
      <c r="AJ104" s="1205"/>
      <c r="AK104" s="1768"/>
      <c r="AL104" s="1204"/>
      <c r="AM104" s="1103"/>
      <c r="AN104" s="1103"/>
      <c r="AO104" s="1103"/>
      <c r="AP104" s="1195"/>
      <c r="AQ104" s="1769"/>
      <c r="AR104" s="1204"/>
      <c r="AS104" s="1103"/>
      <c r="AT104" s="1104"/>
      <c r="AU104" s="1104"/>
      <c r="AV104" s="1205"/>
      <c r="AW104" s="1196"/>
      <c r="AX104" s="1204"/>
      <c r="AY104" s="1103"/>
      <c r="AZ104" s="1103"/>
      <c r="BA104" s="1103"/>
      <c r="BB104" s="1195"/>
      <c r="BC104" s="1768"/>
      <c r="BD104" s="1204"/>
      <c r="BE104" s="1104"/>
      <c r="BF104" s="1104"/>
      <c r="BG104" s="1104"/>
      <c r="BH104" s="1195"/>
      <c r="BI104" s="1769"/>
      <c r="BJ104" s="1204"/>
      <c r="BK104" s="1104"/>
      <c r="BL104" s="1104"/>
      <c r="BM104" s="1205"/>
      <c r="BN104" s="1205"/>
      <c r="BO104" s="1768"/>
      <c r="BP104" s="1752"/>
      <c r="BQ104" s="1357"/>
      <c r="BR104" s="1754">
        <f t="shared" si="30"/>
        <v>0</v>
      </c>
      <c r="BS104" s="1"/>
      <c r="BT104" s="1192">
        <f t="shared" si="31"/>
        <v>0</v>
      </c>
    </row>
    <row r="105" spans="1:72" ht="16.2" thickBot="1" x14ac:dyDescent="0.35">
      <c r="A105" s="159"/>
      <c r="B105" s="360"/>
      <c r="C105" s="405" t="s">
        <v>190</v>
      </c>
      <c r="D105" s="406" t="s">
        <v>185</v>
      </c>
      <c r="E105" s="407">
        <v>2.2999999999999998</v>
      </c>
      <c r="F105" s="424"/>
      <c r="G105" s="409"/>
      <c r="H105" s="843">
        <f t="shared" si="28"/>
        <v>0</v>
      </c>
      <c r="I105" s="406"/>
      <c r="J105" s="385"/>
      <c r="K105" s="1560">
        <f t="shared" si="29"/>
        <v>0</v>
      </c>
      <c r="L105" s="1273">
        <f t="shared" si="29"/>
        <v>0</v>
      </c>
      <c r="M105" s="1274">
        <f t="shared" si="29"/>
        <v>0</v>
      </c>
      <c r="N105" s="1273">
        <f t="shared" si="29"/>
        <v>0</v>
      </c>
      <c r="O105" s="1274">
        <f t="shared" si="29"/>
        <v>0</v>
      </c>
      <c r="P105" s="1273">
        <f t="shared" si="29"/>
        <v>0</v>
      </c>
      <c r="Q105" s="1274">
        <f t="shared" si="29"/>
        <v>0</v>
      </c>
      <c r="R105" s="1590">
        <f t="shared" si="29"/>
        <v>0</v>
      </c>
      <c r="S105" s="1596">
        <f>(R105-$H105)+BI105</f>
        <v>0</v>
      </c>
      <c r="T105" s="1864"/>
      <c r="U105" s="1894"/>
      <c r="V105" s="1590"/>
      <c r="W105" s="1894"/>
      <c r="X105" s="1590"/>
      <c r="Y105" s="1922"/>
      <c r="Z105" s="1838"/>
      <c r="AA105" s="1776"/>
      <c r="AB105" s="1779"/>
      <c r="AC105" s="1776"/>
      <c r="AD105" s="1777"/>
      <c r="AE105" s="1772"/>
      <c r="AF105" s="1770"/>
      <c r="AG105" s="1776"/>
      <c r="AH105" s="1776"/>
      <c r="AI105" s="1776"/>
      <c r="AJ105" s="1777"/>
      <c r="AK105" s="1773"/>
      <c r="AL105" s="1774"/>
      <c r="AM105" s="1770"/>
      <c r="AN105" s="1770"/>
      <c r="AO105" s="1770"/>
      <c r="AP105" s="1771"/>
      <c r="AQ105" s="1775"/>
      <c r="AR105" s="1774"/>
      <c r="AS105" s="1770"/>
      <c r="AT105" s="1776"/>
      <c r="AU105" s="1776"/>
      <c r="AV105" s="1777"/>
      <c r="AW105" s="1778"/>
      <c r="AX105" s="1774"/>
      <c r="AY105" s="1770"/>
      <c r="AZ105" s="1770"/>
      <c r="BA105" s="1770"/>
      <c r="BB105" s="1771"/>
      <c r="BC105" s="1773"/>
      <c r="BD105" s="1774"/>
      <c r="BE105" s="1776"/>
      <c r="BF105" s="1776"/>
      <c r="BG105" s="1776"/>
      <c r="BH105" s="1771"/>
      <c r="BI105" s="1775"/>
      <c r="BJ105" s="1774"/>
      <c r="BK105" s="1776"/>
      <c r="BL105" s="1776"/>
      <c r="BM105" s="1777"/>
      <c r="BN105" s="1777"/>
      <c r="BO105" s="1773"/>
      <c r="BP105" s="1267"/>
      <c r="BQ105" s="1269"/>
      <c r="BR105" s="1754">
        <f t="shared" si="30"/>
        <v>0</v>
      </c>
      <c r="BS105" s="1"/>
      <c r="BT105" s="1192">
        <f t="shared" si="31"/>
        <v>0</v>
      </c>
    </row>
    <row r="106" spans="1:72" ht="15.6" x14ac:dyDescent="0.3">
      <c r="A106" s="159">
        <v>2622</v>
      </c>
      <c r="B106" s="360" t="s">
        <v>575</v>
      </c>
      <c r="C106" s="361" t="s">
        <v>192</v>
      </c>
      <c r="D106" s="362" t="s">
        <v>185</v>
      </c>
      <c r="E106" s="363">
        <v>2.4</v>
      </c>
      <c r="F106" s="364">
        <f>(BR106/G106)/7</f>
        <v>1.1671335200746964</v>
      </c>
      <c r="G106" s="362">
        <v>612</v>
      </c>
      <c r="H106" s="840">
        <f t="shared" si="28"/>
        <v>1468.8</v>
      </c>
      <c r="I106" s="362">
        <v>10700</v>
      </c>
      <c r="J106" s="392">
        <v>5000</v>
      </c>
      <c r="K106" s="1781">
        <f t="shared" si="29"/>
        <v>3531.2</v>
      </c>
      <c r="L106" s="1781">
        <f t="shared" si="29"/>
        <v>2062.3999999999996</v>
      </c>
      <c r="M106" s="1962">
        <v>6594</v>
      </c>
      <c r="N106" s="1962">
        <v>8125</v>
      </c>
      <c r="O106" s="1781">
        <f t="shared" si="29"/>
        <v>6656.2</v>
      </c>
      <c r="P106" s="1781">
        <f t="shared" si="29"/>
        <v>5187.3999999999996</v>
      </c>
      <c r="Q106" s="1781">
        <f t="shared" si="29"/>
        <v>3718.5999999999995</v>
      </c>
      <c r="R106" s="1781">
        <f t="shared" si="29"/>
        <v>2249.7999999999993</v>
      </c>
      <c r="S106" s="1781">
        <f t="shared" si="29"/>
        <v>780.99999999999932</v>
      </c>
      <c r="T106" s="1848"/>
      <c r="U106" s="1885"/>
      <c r="V106" s="1222"/>
      <c r="W106" s="1885"/>
      <c r="X106" s="1222"/>
      <c r="Y106" s="1923"/>
      <c r="Z106" s="1176"/>
      <c r="AA106" s="1177"/>
      <c r="AB106" s="1096"/>
      <c r="AC106" s="1096"/>
      <c r="AD106" s="1097"/>
      <c r="AE106" s="1215"/>
      <c r="AF106" s="1187"/>
      <c r="AG106" s="1183">
        <v>6000</v>
      </c>
      <c r="AH106" s="1183"/>
      <c r="AI106" s="1183"/>
      <c r="AJ106" s="1744"/>
      <c r="AK106" s="1745"/>
      <c r="AL106" s="1746"/>
      <c r="AM106" s="1187">
        <v>3000</v>
      </c>
      <c r="AN106" s="1187"/>
      <c r="AO106" s="1187"/>
      <c r="AP106" s="1273"/>
      <c r="AQ106" s="1748"/>
      <c r="AR106" s="1746"/>
      <c r="AS106" s="1187"/>
      <c r="AT106" s="1183"/>
      <c r="AU106" s="1183"/>
      <c r="AV106" s="1744"/>
      <c r="AW106" s="1214"/>
      <c r="AX106" s="1746"/>
      <c r="AY106" s="1187"/>
      <c r="AZ106" s="1187"/>
      <c r="BA106" s="1187"/>
      <c r="BB106" s="1273"/>
      <c r="BC106" s="1745"/>
      <c r="BD106" s="1746"/>
      <c r="BE106" s="1183"/>
      <c r="BF106" s="1183"/>
      <c r="BG106" s="1183"/>
      <c r="BH106" s="1273"/>
      <c r="BI106" s="1748"/>
      <c r="BJ106" s="1746"/>
      <c r="BK106" s="1183"/>
      <c r="BL106" s="1183"/>
      <c r="BM106" s="1744"/>
      <c r="BN106" s="1744"/>
      <c r="BO106" s="1745"/>
      <c r="BP106" s="1783"/>
      <c r="BQ106" s="1784"/>
      <c r="BR106" s="1785">
        <f t="shared" si="30"/>
        <v>5000</v>
      </c>
      <c r="BT106" s="1192">
        <f t="shared" si="31"/>
        <v>9000</v>
      </c>
    </row>
    <row r="107" spans="1:72" ht="16.2" thickBot="1" x14ac:dyDescent="0.35">
      <c r="A107" s="2500"/>
      <c r="B107" s="2501"/>
      <c r="C107" s="398" t="s">
        <v>194</v>
      </c>
      <c r="D107" s="375" t="s">
        <v>193</v>
      </c>
      <c r="E107" s="399">
        <v>2.4</v>
      </c>
      <c r="F107" s="400"/>
      <c r="G107" s="362"/>
      <c r="H107" s="842">
        <f t="shared" si="28"/>
        <v>0</v>
      </c>
      <c r="I107" s="375"/>
      <c r="J107" s="362"/>
      <c r="K107" s="1395">
        <f t="shared" si="29"/>
        <v>0</v>
      </c>
      <c r="L107" s="1193">
        <f t="shared" si="29"/>
        <v>0</v>
      </c>
      <c r="M107" s="1194">
        <f t="shared" si="29"/>
        <v>0</v>
      </c>
      <c r="N107" s="1193">
        <f t="shared" si="29"/>
        <v>0</v>
      </c>
      <c r="O107" s="1194">
        <f t="shared" si="29"/>
        <v>0</v>
      </c>
      <c r="P107" s="1193">
        <f t="shared" si="29"/>
        <v>0</v>
      </c>
      <c r="Q107" s="1194">
        <f t="shared" si="29"/>
        <v>0</v>
      </c>
      <c r="R107" s="1273">
        <f t="shared" si="29"/>
        <v>0</v>
      </c>
      <c r="S107" s="1565">
        <f>(R107-$H107)+BJ107</f>
        <v>0</v>
      </c>
      <c r="T107" s="1847"/>
      <c r="U107" s="1183"/>
      <c r="V107" s="1273"/>
      <c r="W107" s="1183"/>
      <c r="X107" s="1273"/>
      <c r="Y107" s="1902"/>
      <c r="Z107" s="1198"/>
      <c r="AA107" s="1199"/>
      <c r="AB107" s="1104"/>
      <c r="AC107" s="1104"/>
      <c r="AD107" s="1205"/>
      <c r="AE107" s="1197"/>
      <c r="AF107" s="1103"/>
      <c r="AG107" s="1104"/>
      <c r="AH107" s="1104"/>
      <c r="AI107" s="1104"/>
      <c r="AJ107" s="1205"/>
      <c r="AK107" s="1768"/>
      <c r="AL107" s="1204"/>
      <c r="AM107" s="1103"/>
      <c r="AN107" s="1103"/>
      <c r="AO107" s="1103"/>
      <c r="AP107" s="1195"/>
      <c r="AQ107" s="1769"/>
      <c r="AR107" s="1204"/>
      <c r="AS107" s="1103"/>
      <c r="AT107" s="1104"/>
      <c r="AU107" s="1104"/>
      <c r="AV107" s="1205"/>
      <c r="AW107" s="1196"/>
      <c r="AX107" s="1204"/>
      <c r="AY107" s="1103"/>
      <c r="AZ107" s="1103"/>
      <c r="BA107" s="1103"/>
      <c r="BB107" s="1195"/>
      <c r="BC107" s="1768"/>
      <c r="BD107" s="1204"/>
      <c r="BE107" s="1104"/>
      <c r="BF107" s="1104"/>
      <c r="BG107" s="1104"/>
      <c r="BH107" s="1195"/>
      <c r="BI107" s="1769"/>
      <c r="BJ107" s="1204"/>
      <c r="BK107" s="1104"/>
      <c r="BL107" s="1104"/>
      <c r="BM107" s="1205"/>
      <c r="BN107" s="1205"/>
      <c r="BO107" s="1768"/>
      <c r="BP107" s="1786"/>
      <c r="BQ107" s="1753"/>
      <c r="BR107" s="1754">
        <f t="shared" si="30"/>
        <v>0</v>
      </c>
      <c r="BS107" s="1"/>
      <c r="BT107" s="1192">
        <f t="shared" si="31"/>
        <v>0</v>
      </c>
    </row>
    <row r="108" spans="1:72" ht="16.2" thickBot="1" x14ac:dyDescent="0.35">
      <c r="A108" s="2502"/>
      <c r="B108" s="368"/>
      <c r="C108" s="405" t="s">
        <v>195</v>
      </c>
      <c r="D108" s="406" t="s">
        <v>193</v>
      </c>
      <c r="E108" s="407">
        <v>2.4</v>
      </c>
      <c r="F108" s="424"/>
      <c r="G108" s="409"/>
      <c r="H108" s="843">
        <f t="shared" si="28"/>
        <v>0</v>
      </c>
      <c r="I108" s="406"/>
      <c r="J108" s="406"/>
      <c r="K108" s="1560">
        <f t="shared" si="29"/>
        <v>0</v>
      </c>
      <c r="L108" s="1273">
        <f t="shared" si="29"/>
        <v>0</v>
      </c>
      <c r="M108" s="1274">
        <f t="shared" si="29"/>
        <v>0</v>
      </c>
      <c r="N108" s="1273">
        <f t="shared" si="29"/>
        <v>0</v>
      </c>
      <c r="O108" s="1274">
        <f t="shared" si="29"/>
        <v>0</v>
      </c>
      <c r="P108" s="1273">
        <f t="shared" si="29"/>
        <v>0</v>
      </c>
      <c r="Q108" s="1274">
        <f t="shared" si="29"/>
        <v>0</v>
      </c>
      <c r="R108" s="1590">
        <f t="shared" si="29"/>
        <v>0</v>
      </c>
      <c r="S108" s="1596">
        <f>(R108-$H108)+BJ108</f>
        <v>0</v>
      </c>
      <c r="T108" s="1864"/>
      <c r="U108" s="1894"/>
      <c r="V108" s="1590"/>
      <c r="W108" s="1894"/>
      <c r="X108" s="1590"/>
      <c r="Y108" s="1922"/>
      <c r="Z108" s="1838"/>
      <c r="AA108" s="1779"/>
      <c r="AB108" s="1776"/>
      <c r="AC108" s="1776"/>
      <c r="AD108" s="1777"/>
      <c r="AE108" s="1772"/>
      <c r="AF108" s="1770"/>
      <c r="AG108" s="1776"/>
      <c r="AH108" s="1776"/>
      <c r="AI108" s="1776"/>
      <c r="AJ108" s="1777"/>
      <c r="AK108" s="1773"/>
      <c r="AL108" s="1774"/>
      <c r="AM108" s="1770"/>
      <c r="AN108" s="1770"/>
      <c r="AO108" s="1770"/>
      <c r="AP108" s="1771"/>
      <c r="AQ108" s="1775"/>
      <c r="AR108" s="1774"/>
      <c r="AS108" s="1770"/>
      <c r="AT108" s="1776"/>
      <c r="AU108" s="1776"/>
      <c r="AV108" s="1777"/>
      <c r="AW108" s="1778"/>
      <c r="AX108" s="1774"/>
      <c r="AY108" s="1770"/>
      <c r="AZ108" s="1770"/>
      <c r="BA108" s="1770"/>
      <c r="BB108" s="1771"/>
      <c r="BC108" s="1773"/>
      <c r="BD108" s="1774"/>
      <c r="BE108" s="1776"/>
      <c r="BF108" s="1776"/>
      <c r="BG108" s="1776"/>
      <c r="BH108" s="1771"/>
      <c r="BI108" s="1775"/>
      <c r="BJ108" s="1774"/>
      <c r="BK108" s="1776"/>
      <c r="BL108" s="1776"/>
      <c r="BM108" s="1777"/>
      <c r="BN108" s="1777"/>
      <c r="BO108" s="1773"/>
      <c r="BP108" s="1267"/>
      <c r="BQ108" s="1269"/>
      <c r="BR108" s="1759">
        <f t="shared" si="30"/>
        <v>0</v>
      </c>
      <c r="BS108" s="1"/>
      <c r="BT108" s="1192">
        <f t="shared" si="31"/>
        <v>0</v>
      </c>
    </row>
    <row r="109" spans="1:72" ht="15.6" x14ac:dyDescent="0.3">
      <c r="A109" s="2502">
        <v>2620</v>
      </c>
      <c r="B109" s="368">
        <v>9</v>
      </c>
      <c r="C109" s="361" t="s">
        <v>196</v>
      </c>
      <c r="D109" s="362" t="s">
        <v>193</v>
      </c>
      <c r="E109" s="363">
        <v>2.5</v>
      </c>
      <c r="F109" s="364">
        <f>(BR109/G109)/7</f>
        <v>1.0435992578849722</v>
      </c>
      <c r="G109" s="362">
        <v>616</v>
      </c>
      <c r="H109" s="840">
        <f t="shared" si="28"/>
        <v>1540</v>
      </c>
      <c r="I109" s="362">
        <v>10700</v>
      </c>
      <c r="J109" s="362">
        <v>4500</v>
      </c>
      <c r="K109" s="1781">
        <f t="shared" si="29"/>
        <v>2960</v>
      </c>
      <c r="L109" s="1962">
        <v>4420</v>
      </c>
      <c r="M109" s="1962">
        <v>8880</v>
      </c>
      <c r="N109" s="1962">
        <v>10340</v>
      </c>
      <c r="O109" s="1781">
        <f t="shared" si="29"/>
        <v>8800</v>
      </c>
      <c r="P109" s="1781">
        <f t="shared" si="29"/>
        <v>7260</v>
      </c>
      <c r="Q109" s="1781">
        <f t="shared" si="29"/>
        <v>5720</v>
      </c>
      <c r="R109" s="1781">
        <f t="shared" si="29"/>
        <v>4180</v>
      </c>
      <c r="S109" s="1782">
        <f t="shared" si="29"/>
        <v>2640</v>
      </c>
      <c r="T109" s="1848"/>
      <c r="U109" s="1885"/>
      <c r="V109" s="1222"/>
      <c r="W109" s="1885"/>
      <c r="X109" s="1222"/>
      <c r="Y109" s="1923"/>
      <c r="Z109" s="1176"/>
      <c r="AA109" s="1177"/>
      <c r="AB109" s="1096">
        <v>3000</v>
      </c>
      <c r="AC109" s="1096"/>
      <c r="AD109" s="1097"/>
      <c r="AE109" s="1215"/>
      <c r="AF109" s="1187"/>
      <c r="AG109" s="1183"/>
      <c r="AH109" s="1183">
        <v>3000</v>
      </c>
      <c r="AI109" s="1183"/>
      <c r="AJ109" s="1744"/>
      <c r="AK109" s="1745"/>
      <c r="AL109" s="1746"/>
      <c r="AM109" s="1187"/>
      <c r="AN109" s="1187">
        <v>3000</v>
      </c>
      <c r="AO109" s="1187"/>
      <c r="AP109" s="1273"/>
      <c r="AQ109" s="1748"/>
      <c r="AR109" s="1746"/>
      <c r="AS109" s="1187"/>
      <c r="AT109" s="1183"/>
      <c r="AU109" s="1183"/>
      <c r="AV109" s="1744"/>
      <c r="AW109" s="1214"/>
      <c r="AX109" s="1746"/>
      <c r="AY109" s="1187"/>
      <c r="AZ109" s="1187"/>
      <c r="BA109" s="1187"/>
      <c r="BB109" s="1273"/>
      <c r="BC109" s="1745"/>
      <c r="BD109" s="1746"/>
      <c r="BE109" s="1183"/>
      <c r="BF109" s="1183"/>
      <c r="BG109" s="1183"/>
      <c r="BH109" s="1273"/>
      <c r="BI109" s="1748"/>
      <c r="BJ109" s="1746"/>
      <c r="BK109" s="1183"/>
      <c r="BL109" s="1183"/>
      <c r="BM109" s="1744"/>
      <c r="BN109" s="1744"/>
      <c r="BO109" s="1745"/>
      <c r="BP109" s="1783"/>
      <c r="BQ109" s="1784"/>
      <c r="BR109" s="1785">
        <f t="shared" si="30"/>
        <v>4500</v>
      </c>
      <c r="BT109" s="1192">
        <f t="shared" si="31"/>
        <v>9000</v>
      </c>
    </row>
    <row r="110" spans="1:72" ht="16.2" thickBot="1" x14ac:dyDescent="0.35">
      <c r="A110" s="430"/>
      <c r="B110" s="421"/>
      <c r="C110" s="398" t="s">
        <v>197</v>
      </c>
      <c r="D110" s="375" t="s">
        <v>193</v>
      </c>
      <c r="E110" s="399">
        <f>+E109</f>
        <v>2.5</v>
      </c>
      <c r="F110" s="400"/>
      <c r="G110" s="375"/>
      <c r="H110" s="842">
        <f t="shared" si="28"/>
        <v>0</v>
      </c>
      <c r="I110" s="375"/>
      <c r="J110" s="362"/>
      <c r="K110" s="1395">
        <f t="shared" si="29"/>
        <v>0</v>
      </c>
      <c r="L110" s="1193">
        <f t="shared" si="29"/>
        <v>0</v>
      </c>
      <c r="M110" s="1194">
        <f t="shared" si="29"/>
        <v>0</v>
      </c>
      <c r="N110" s="1193">
        <f t="shared" si="29"/>
        <v>0</v>
      </c>
      <c r="O110" s="1194">
        <f t="shared" si="29"/>
        <v>0</v>
      </c>
      <c r="P110" s="1193">
        <f t="shared" si="29"/>
        <v>0</v>
      </c>
      <c r="Q110" s="1194">
        <f t="shared" si="29"/>
        <v>0</v>
      </c>
      <c r="R110" s="1193">
        <f t="shared" si="29"/>
        <v>0</v>
      </c>
      <c r="S110" s="1342">
        <f>(R110-$H110)+BJ110</f>
        <v>0</v>
      </c>
      <c r="T110" s="1854"/>
      <c r="U110" s="1114"/>
      <c r="V110" s="1193"/>
      <c r="W110" s="1114"/>
      <c r="X110" s="1193"/>
      <c r="Y110" s="1929"/>
      <c r="Z110" s="1198"/>
      <c r="AA110" s="1199"/>
      <c r="AB110" s="1104"/>
      <c r="AC110" s="1104"/>
      <c r="AD110" s="1205"/>
      <c r="AE110" s="1197"/>
      <c r="AF110" s="1103"/>
      <c r="AG110" s="1104"/>
      <c r="AH110" s="1104"/>
      <c r="AI110" s="1104"/>
      <c r="AJ110" s="1205"/>
      <c r="AK110" s="1768"/>
      <c r="AL110" s="1204"/>
      <c r="AM110" s="1103"/>
      <c r="AN110" s="1103"/>
      <c r="AO110" s="1103"/>
      <c r="AP110" s="1195"/>
      <c r="AQ110" s="1769"/>
      <c r="AR110" s="1204"/>
      <c r="AS110" s="1103"/>
      <c r="AT110" s="1104"/>
      <c r="AU110" s="1104"/>
      <c r="AV110" s="1205"/>
      <c r="AW110" s="1196"/>
      <c r="AX110" s="1204"/>
      <c r="AY110" s="1103"/>
      <c r="AZ110" s="1103"/>
      <c r="BA110" s="1103"/>
      <c r="BB110" s="1195"/>
      <c r="BC110" s="1768"/>
      <c r="BD110" s="1204"/>
      <c r="BE110" s="1104"/>
      <c r="BF110" s="1104"/>
      <c r="BG110" s="1104"/>
      <c r="BH110" s="1195"/>
      <c r="BI110" s="1769"/>
      <c r="BJ110" s="1204"/>
      <c r="BK110" s="1104"/>
      <c r="BL110" s="1104"/>
      <c r="BM110" s="1205"/>
      <c r="BN110" s="1205"/>
      <c r="BO110" s="1768"/>
      <c r="BP110" s="1786"/>
      <c r="BQ110" s="1753"/>
      <c r="BR110" s="1754">
        <f t="shared" si="30"/>
        <v>0</v>
      </c>
      <c r="BS110" s="1"/>
      <c r="BT110" s="1192">
        <f t="shared" si="31"/>
        <v>0</v>
      </c>
    </row>
    <row r="111" spans="1:72" ht="18" customHeight="1" thickBot="1" x14ac:dyDescent="0.35">
      <c r="A111" s="2502"/>
      <c r="B111" s="368"/>
      <c r="C111" s="432" t="s">
        <v>198</v>
      </c>
      <c r="D111" s="386" t="s">
        <v>193</v>
      </c>
      <c r="E111" s="433">
        <f>+E110</f>
        <v>2.5</v>
      </c>
      <c r="F111" s="424"/>
      <c r="G111" s="386"/>
      <c r="H111" s="844">
        <f t="shared" si="28"/>
        <v>0</v>
      </c>
      <c r="I111" s="406"/>
      <c r="J111" s="385"/>
      <c r="K111" s="1560">
        <f t="shared" si="29"/>
        <v>0</v>
      </c>
      <c r="L111" s="1273">
        <f t="shared" si="29"/>
        <v>0</v>
      </c>
      <c r="M111" s="1274">
        <f t="shared" si="29"/>
        <v>0</v>
      </c>
      <c r="N111" s="1273">
        <f t="shared" si="29"/>
        <v>0</v>
      </c>
      <c r="O111" s="1274">
        <f t="shared" si="29"/>
        <v>0</v>
      </c>
      <c r="P111" s="1273">
        <f t="shared" si="29"/>
        <v>0</v>
      </c>
      <c r="Q111" s="1223">
        <f t="shared" si="29"/>
        <v>0</v>
      </c>
      <c r="R111" s="1273">
        <f t="shared" si="29"/>
        <v>0</v>
      </c>
      <c r="S111" s="1565">
        <f>(R111-$H111)+BJ111</f>
        <v>0</v>
      </c>
      <c r="T111" s="1848"/>
      <c r="U111" s="1885"/>
      <c r="V111" s="1222"/>
      <c r="W111" s="1885"/>
      <c r="X111" s="1222"/>
      <c r="Y111" s="1923"/>
      <c r="Z111" s="1226"/>
      <c r="AA111" s="1227"/>
      <c r="AB111" s="1219"/>
      <c r="AC111" s="1219"/>
      <c r="AD111" s="1233"/>
      <c r="AE111" s="1225"/>
      <c r="AF111" s="1218"/>
      <c r="AG111" s="1219"/>
      <c r="AH111" s="1219"/>
      <c r="AI111" s="1219"/>
      <c r="AJ111" s="1233"/>
      <c r="AK111" s="1787"/>
      <c r="AL111" s="1232"/>
      <c r="AM111" s="1218"/>
      <c r="AN111" s="1218"/>
      <c r="AO111" s="1218"/>
      <c r="AP111" s="1281"/>
      <c r="AQ111" s="1788"/>
      <c r="AR111" s="1232"/>
      <c r="AS111" s="1218"/>
      <c r="AT111" s="1219"/>
      <c r="AU111" s="1219"/>
      <c r="AV111" s="1233"/>
      <c r="AW111" s="1221"/>
      <c r="AX111" s="1232"/>
      <c r="AY111" s="1218"/>
      <c r="AZ111" s="1218"/>
      <c r="BA111" s="1218"/>
      <c r="BB111" s="1281"/>
      <c r="BC111" s="1787"/>
      <c r="BD111" s="1232"/>
      <c r="BE111" s="1219"/>
      <c r="BF111" s="1219"/>
      <c r="BG111" s="1219"/>
      <c r="BH111" s="1281"/>
      <c r="BI111" s="1788"/>
      <c r="BJ111" s="1232"/>
      <c r="BK111" s="1219"/>
      <c r="BL111" s="1219"/>
      <c r="BM111" s="1233"/>
      <c r="BN111" s="1233"/>
      <c r="BO111" s="1787"/>
      <c r="BP111" s="1365"/>
      <c r="BQ111" s="1357"/>
      <c r="BR111" s="1759">
        <f t="shared" si="30"/>
        <v>0</v>
      </c>
      <c r="BS111" s="1"/>
      <c r="BT111" s="1192">
        <f t="shared" si="31"/>
        <v>0</v>
      </c>
    </row>
    <row r="112" spans="1:72" ht="15.6" x14ac:dyDescent="0.3">
      <c r="A112" s="2502">
        <v>2619</v>
      </c>
      <c r="B112" s="368">
        <v>8</v>
      </c>
      <c r="C112" s="391" t="s">
        <v>199</v>
      </c>
      <c r="D112" s="392" t="s">
        <v>193</v>
      </c>
      <c r="E112" s="393">
        <v>2.5</v>
      </c>
      <c r="F112" s="364">
        <f>(BR112/G112)/7</f>
        <v>0.65053343741868341</v>
      </c>
      <c r="G112" s="392">
        <v>549</v>
      </c>
      <c r="H112" s="841">
        <f t="shared" si="28"/>
        <v>1372.5</v>
      </c>
      <c r="I112" s="362">
        <v>10700</v>
      </c>
      <c r="J112" s="392">
        <v>2500</v>
      </c>
      <c r="K112" s="1961">
        <v>4128</v>
      </c>
      <c r="L112" s="1962">
        <v>5756</v>
      </c>
      <c r="M112" s="1962">
        <v>10384</v>
      </c>
      <c r="N112" s="1781">
        <f t="shared" si="29"/>
        <v>9011.5</v>
      </c>
      <c r="O112" s="1781">
        <f t="shared" si="29"/>
        <v>7639</v>
      </c>
      <c r="P112" s="1781">
        <f t="shared" si="29"/>
        <v>6266.5</v>
      </c>
      <c r="Q112" s="1781">
        <f t="shared" si="29"/>
        <v>4894</v>
      </c>
      <c r="R112" s="1781">
        <f t="shared" si="29"/>
        <v>3521.5</v>
      </c>
      <c r="S112" s="1782">
        <f t="shared" si="29"/>
        <v>2149</v>
      </c>
      <c r="T112" s="1868"/>
      <c r="U112" s="1895"/>
      <c r="V112" s="1831">
        <v>3000</v>
      </c>
      <c r="W112" s="1895"/>
      <c r="X112" s="1831"/>
      <c r="Y112" s="1930"/>
      <c r="Z112" s="1245"/>
      <c r="AA112" s="1254"/>
      <c r="AB112" s="1254">
        <v>3000</v>
      </c>
      <c r="AC112" s="1376"/>
      <c r="AD112" s="1386"/>
      <c r="AE112" s="1761"/>
      <c r="AF112" s="1789"/>
      <c r="AG112" s="1790"/>
      <c r="AH112" s="1790">
        <v>6000</v>
      </c>
      <c r="AI112" s="1790"/>
      <c r="AJ112" s="1628"/>
      <c r="AK112" s="1762"/>
      <c r="AL112" s="1791"/>
      <c r="AM112" s="1789"/>
      <c r="AN112" s="1789"/>
      <c r="AO112" s="1789"/>
      <c r="AP112" s="1242"/>
      <c r="AQ112" s="1763"/>
      <c r="AR112" s="1791"/>
      <c r="AS112" s="1789"/>
      <c r="AT112" s="1790"/>
      <c r="AU112" s="1790"/>
      <c r="AV112" s="1628"/>
      <c r="AW112" s="1764"/>
      <c r="AX112" s="1791"/>
      <c r="AY112" s="1789"/>
      <c r="AZ112" s="1789"/>
      <c r="BA112" s="1789"/>
      <c r="BB112" s="1242"/>
      <c r="BC112" s="1762"/>
      <c r="BD112" s="1791"/>
      <c r="BE112" s="1790"/>
      <c r="BF112" s="1790"/>
      <c r="BG112" s="1790"/>
      <c r="BH112" s="1242"/>
      <c r="BI112" s="1763"/>
      <c r="BJ112" s="1791"/>
      <c r="BK112" s="1790"/>
      <c r="BL112" s="1790"/>
      <c r="BM112" s="1628"/>
      <c r="BN112" s="1628"/>
      <c r="BO112" s="1762"/>
      <c r="BP112" s="1783"/>
      <c r="BQ112" s="1792"/>
      <c r="BR112" s="1785">
        <f t="shared" si="30"/>
        <v>2500</v>
      </c>
      <c r="BT112" s="1192">
        <f t="shared" si="31"/>
        <v>9000</v>
      </c>
    </row>
    <row r="113" spans="1:72" ht="16.2" thickBot="1" x14ac:dyDescent="0.35">
      <c r="A113" s="430"/>
      <c r="B113" s="421"/>
      <c r="C113" s="398" t="s">
        <v>200</v>
      </c>
      <c r="D113" s="375" t="s">
        <v>191</v>
      </c>
      <c r="E113" s="399">
        <f>+E112</f>
        <v>2.5</v>
      </c>
      <c r="F113" s="400"/>
      <c r="G113" s="375"/>
      <c r="H113" s="842">
        <f t="shared" si="28"/>
        <v>0</v>
      </c>
      <c r="I113" s="375"/>
      <c r="J113" s="362"/>
      <c r="K113" s="1395">
        <f t="shared" si="29"/>
        <v>0</v>
      </c>
      <c r="L113" s="1193">
        <f t="shared" si="29"/>
        <v>0</v>
      </c>
      <c r="M113" s="1194">
        <f t="shared" si="29"/>
        <v>0</v>
      </c>
      <c r="N113" s="1193">
        <f t="shared" si="29"/>
        <v>0</v>
      </c>
      <c r="O113" s="1194">
        <f t="shared" si="29"/>
        <v>0</v>
      </c>
      <c r="P113" s="1193">
        <f t="shared" si="29"/>
        <v>0</v>
      </c>
      <c r="Q113" s="1194">
        <f t="shared" si="29"/>
        <v>0</v>
      </c>
      <c r="R113" s="1193">
        <f t="shared" si="29"/>
        <v>0</v>
      </c>
      <c r="S113" s="1342">
        <f>R113-$H113+BK113</f>
        <v>0</v>
      </c>
      <c r="T113" s="1854"/>
      <c r="U113" s="1114"/>
      <c r="V113" s="1193"/>
      <c r="W113" s="1114"/>
      <c r="X113" s="1193"/>
      <c r="Y113" s="1929"/>
      <c r="Z113" s="1198"/>
      <c r="AA113" s="1199"/>
      <c r="AB113" s="1199"/>
      <c r="AC113" s="1104"/>
      <c r="AD113" s="1205"/>
      <c r="AE113" s="1197"/>
      <c r="AF113" s="1103"/>
      <c r="AG113" s="1104"/>
      <c r="AH113" s="1104"/>
      <c r="AI113" s="1104"/>
      <c r="AJ113" s="1205"/>
      <c r="AK113" s="1768"/>
      <c r="AL113" s="1204"/>
      <c r="AM113" s="1103"/>
      <c r="AN113" s="1103"/>
      <c r="AO113" s="1103"/>
      <c r="AP113" s="1195"/>
      <c r="AQ113" s="1769"/>
      <c r="AR113" s="1204"/>
      <c r="AS113" s="1103"/>
      <c r="AT113" s="1104"/>
      <c r="AU113" s="1104"/>
      <c r="AV113" s="1205"/>
      <c r="AW113" s="1196"/>
      <c r="AX113" s="1204"/>
      <c r="AY113" s="1103"/>
      <c r="AZ113" s="1103"/>
      <c r="BA113" s="1103"/>
      <c r="BB113" s="1195"/>
      <c r="BC113" s="1768"/>
      <c r="BD113" s="1204"/>
      <c r="BE113" s="1104"/>
      <c r="BF113" s="1104"/>
      <c r="BG113" s="1104"/>
      <c r="BH113" s="1195"/>
      <c r="BI113" s="1769"/>
      <c r="BJ113" s="1204"/>
      <c r="BK113" s="1104"/>
      <c r="BL113" s="1104"/>
      <c r="BM113" s="1205"/>
      <c r="BN113" s="1205"/>
      <c r="BO113" s="1768"/>
      <c r="BP113" s="1786"/>
      <c r="BQ113" s="1357"/>
      <c r="BR113" s="1754">
        <f t="shared" si="30"/>
        <v>0</v>
      </c>
      <c r="BS113" s="1"/>
      <c r="BT113" s="1192">
        <f t="shared" si="31"/>
        <v>0</v>
      </c>
    </row>
    <row r="114" spans="1:72" ht="16.2" thickBot="1" x14ac:dyDescent="0.35">
      <c r="A114" s="159"/>
      <c r="B114" s="360"/>
      <c r="C114" s="405" t="s">
        <v>201</v>
      </c>
      <c r="D114" s="406" t="s">
        <v>191</v>
      </c>
      <c r="E114" s="407">
        <f>+E113</f>
        <v>2.5</v>
      </c>
      <c r="F114" s="424"/>
      <c r="G114" s="406"/>
      <c r="H114" s="843">
        <f t="shared" si="28"/>
        <v>0</v>
      </c>
      <c r="I114" s="406"/>
      <c r="J114" s="406"/>
      <c r="K114" s="1560">
        <f t="shared" si="29"/>
        <v>0</v>
      </c>
      <c r="L114" s="1273">
        <f t="shared" si="29"/>
        <v>0</v>
      </c>
      <c r="M114" s="1274">
        <f t="shared" si="29"/>
        <v>0</v>
      </c>
      <c r="N114" s="1273">
        <f t="shared" si="29"/>
        <v>0</v>
      </c>
      <c r="O114" s="1274">
        <f t="shared" si="29"/>
        <v>0</v>
      </c>
      <c r="P114" s="1273">
        <f t="shared" si="29"/>
        <v>0</v>
      </c>
      <c r="Q114" s="1223">
        <f t="shared" si="29"/>
        <v>0</v>
      </c>
      <c r="R114" s="1273">
        <f t="shared" si="29"/>
        <v>0</v>
      </c>
      <c r="S114" s="1565">
        <f>R114-$H114+BK114</f>
        <v>0</v>
      </c>
      <c r="T114" s="1848"/>
      <c r="U114" s="1885"/>
      <c r="V114" s="1222"/>
      <c r="W114" s="1885"/>
      <c r="X114" s="1222"/>
      <c r="Y114" s="1923"/>
      <c r="Z114" s="1838"/>
      <c r="AA114" s="1779"/>
      <c r="AB114" s="1779"/>
      <c r="AC114" s="1776"/>
      <c r="AD114" s="1777"/>
      <c r="AE114" s="1772"/>
      <c r="AF114" s="1770"/>
      <c r="AG114" s="1776"/>
      <c r="AH114" s="1776"/>
      <c r="AI114" s="1776"/>
      <c r="AJ114" s="1777"/>
      <c r="AK114" s="1773"/>
      <c r="AL114" s="1774"/>
      <c r="AM114" s="1770"/>
      <c r="AN114" s="1770"/>
      <c r="AO114" s="1770"/>
      <c r="AP114" s="1771"/>
      <c r="AQ114" s="1775"/>
      <c r="AR114" s="1774"/>
      <c r="AS114" s="1770"/>
      <c r="AT114" s="1776"/>
      <c r="AU114" s="1776"/>
      <c r="AV114" s="1777"/>
      <c r="AW114" s="1778"/>
      <c r="AX114" s="1774"/>
      <c r="AY114" s="1770"/>
      <c r="AZ114" s="1770"/>
      <c r="BA114" s="1770"/>
      <c r="BB114" s="1771"/>
      <c r="BC114" s="1773"/>
      <c r="BD114" s="1774"/>
      <c r="BE114" s="1776"/>
      <c r="BF114" s="1776"/>
      <c r="BG114" s="1776"/>
      <c r="BH114" s="1771"/>
      <c r="BI114" s="1775"/>
      <c r="BJ114" s="1774"/>
      <c r="BK114" s="1776"/>
      <c r="BL114" s="1776"/>
      <c r="BM114" s="1777"/>
      <c r="BN114" s="1777"/>
      <c r="BO114" s="1773"/>
      <c r="BP114" s="1267"/>
      <c r="BQ114" s="1269"/>
      <c r="BR114" s="1793">
        <f t="shared" si="30"/>
        <v>0</v>
      </c>
      <c r="BS114" s="1"/>
      <c r="BT114" s="1192">
        <f t="shared" si="31"/>
        <v>0</v>
      </c>
    </row>
    <row r="115" spans="1:72" ht="15.6" x14ac:dyDescent="0.3">
      <c r="A115" s="159">
        <v>2618</v>
      </c>
      <c r="B115" s="360">
        <v>7</v>
      </c>
      <c r="C115" s="361" t="s">
        <v>202</v>
      </c>
      <c r="D115" s="826" t="s">
        <v>191</v>
      </c>
      <c r="E115" s="363">
        <v>2.6</v>
      </c>
      <c r="F115" s="364">
        <f>(BR115/G115)/7</f>
        <v>0.56242969628796402</v>
      </c>
      <c r="G115" s="362">
        <v>508</v>
      </c>
      <c r="H115" s="840">
        <f t="shared" si="28"/>
        <v>1320.8</v>
      </c>
      <c r="I115" s="362">
        <v>10700</v>
      </c>
      <c r="J115" s="362">
        <v>2000</v>
      </c>
      <c r="K115" s="1962">
        <v>3679</v>
      </c>
      <c r="L115" s="1962">
        <v>8358</v>
      </c>
      <c r="M115" s="1962">
        <v>10037</v>
      </c>
      <c r="N115" s="1781">
        <f t="shared" si="29"/>
        <v>8716.2000000000007</v>
      </c>
      <c r="O115" s="1781">
        <f t="shared" si="29"/>
        <v>7395.4000000000005</v>
      </c>
      <c r="P115" s="1781">
        <f t="shared" si="29"/>
        <v>6074.6</v>
      </c>
      <c r="Q115" s="1781">
        <f t="shared" si="29"/>
        <v>4753.8</v>
      </c>
      <c r="R115" s="1781">
        <f t="shared" si="29"/>
        <v>3433</v>
      </c>
      <c r="S115" s="1782">
        <f t="shared" si="29"/>
        <v>2112.1999999999998</v>
      </c>
      <c r="T115" s="1848"/>
      <c r="U115" s="1885"/>
      <c r="V115" s="1222"/>
      <c r="W115" s="1885">
        <v>3000</v>
      </c>
      <c r="X115" s="1222"/>
      <c r="Y115" s="1923"/>
      <c r="Z115" s="1176"/>
      <c r="AA115" s="1177"/>
      <c r="AB115" s="1177"/>
      <c r="AC115" s="1096">
        <v>6000</v>
      </c>
      <c r="AD115" s="1097"/>
      <c r="AE115" s="1215"/>
      <c r="AF115" s="1187"/>
      <c r="AG115" s="1183"/>
      <c r="AH115" s="1183"/>
      <c r="AI115" s="1183">
        <v>3000</v>
      </c>
      <c r="AJ115" s="1744"/>
      <c r="AK115" s="1745"/>
      <c r="AL115" s="1746"/>
      <c r="AM115" s="1187"/>
      <c r="AN115" s="1187"/>
      <c r="AO115" s="1187"/>
      <c r="AP115" s="1273"/>
      <c r="AQ115" s="1748"/>
      <c r="AR115" s="1746"/>
      <c r="AS115" s="1187"/>
      <c r="AT115" s="1183"/>
      <c r="AU115" s="1183"/>
      <c r="AV115" s="1744"/>
      <c r="AW115" s="1214"/>
      <c r="AX115" s="1746"/>
      <c r="AY115" s="1187"/>
      <c r="AZ115" s="1187"/>
      <c r="BA115" s="1187"/>
      <c r="BB115" s="1273"/>
      <c r="BC115" s="1745"/>
      <c r="BD115" s="1746"/>
      <c r="BE115" s="1183"/>
      <c r="BF115" s="1183"/>
      <c r="BG115" s="1183"/>
      <c r="BH115" s="1273"/>
      <c r="BI115" s="1748"/>
      <c r="BJ115" s="1746"/>
      <c r="BK115" s="1183"/>
      <c r="BL115" s="1183"/>
      <c r="BM115" s="1744"/>
      <c r="BN115" s="1744"/>
      <c r="BO115" s="1745"/>
      <c r="BP115" s="1783"/>
      <c r="BQ115" s="1784"/>
      <c r="BR115" s="1785">
        <f t="shared" si="30"/>
        <v>2000</v>
      </c>
      <c r="BT115" s="1192">
        <f t="shared" si="31"/>
        <v>9000</v>
      </c>
    </row>
    <row r="116" spans="1:72" ht="16.2" thickBot="1" x14ac:dyDescent="0.35">
      <c r="A116" s="169"/>
      <c r="B116" s="431"/>
      <c r="C116" s="398" t="s">
        <v>203</v>
      </c>
      <c r="D116" s="375" t="s">
        <v>191</v>
      </c>
      <c r="E116" s="399">
        <f t="shared" ref="E116:E121" si="33">+E115</f>
        <v>2.6</v>
      </c>
      <c r="F116" s="400"/>
      <c r="G116" s="375"/>
      <c r="H116" s="842">
        <f t="shared" si="28"/>
        <v>0</v>
      </c>
      <c r="I116" s="375"/>
      <c r="J116" s="362"/>
      <c r="K116" s="1395">
        <f t="shared" si="29"/>
        <v>0</v>
      </c>
      <c r="L116" s="1193">
        <f t="shared" si="29"/>
        <v>0</v>
      </c>
      <c r="M116" s="1194">
        <f t="shared" si="29"/>
        <v>0</v>
      </c>
      <c r="N116" s="1193">
        <f t="shared" si="29"/>
        <v>0</v>
      </c>
      <c r="O116" s="1194">
        <f t="shared" si="29"/>
        <v>0</v>
      </c>
      <c r="P116" s="1193">
        <f t="shared" si="29"/>
        <v>0</v>
      </c>
      <c r="Q116" s="1194">
        <f t="shared" si="29"/>
        <v>0</v>
      </c>
      <c r="R116" s="1193">
        <f t="shared" si="29"/>
        <v>0</v>
      </c>
      <c r="S116" s="1342">
        <f>R116-$H116+BK116</f>
        <v>0</v>
      </c>
      <c r="T116" s="1854"/>
      <c r="U116" s="1114"/>
      <c r="V116" s="1193"/>
      <c r="W116" s="1114"/>
      <c r="X116" s="1193"/>
      <c r="Y116" s="1929"/>
      <c r="Z116" s="1198"/>
      <c r="AA116" s="1199"/>
      <c r="AB116" s="1199"/>
      <c r="AC116" s="1104"/>
      <c r="AD116" s="1205"/>
      <c r="AE116" s="1197"/>
      <c r="AF116" s="1103"/>
      <c r="AG116" s="1104"/>
      <c r="AH116" s="1104"/>
      <c r="AI116" s="1104"/>
      <c r="AJ116" s="1205"/>
      <c r="AK116" s="1768"/>
      <c r="AL116" s="1204"/>
      <c r="AM116" s="1103"/>
      <c r="AN116" s="1103"/>
      <c r="AO116" s="1103"/>
      <c r="AP116" s="1195"/>
      <c r="AQ116" s="1769"/>
      <c r="AR116" s="1204"/>
      <c r="AS116" s="1103"/>
      <c r="AT116" s="1104"/>
      <c r="AU116" s="1104"/>
      <c r="AV116" s="1205"/>
      <c r="AW116" s="1196"/>
      <c r="AX116" s="1204"/>
      <c r="AY116" s="1103"/>
      <c r="AZ116" s="1103"/>
      <c r="BA116" s="1103"/>
      <c r="BB116" s="1195"/>
      <c r="BC116" s="1768"/>
      <c r="BD116" s="1204"/>
      <c r="BE116" s="1104"/>
      <c r="BF116" s="1104"/>
      <c r="BG116" s="1104"/>
      <c r="BH116" s="1195"/>
      <c r="BI116" s="1769"/>
      <c r="BJ116" s="1204"/>
      <c r="BK116" s="1104"/>
      <c r="BL116" s="1104"/>
      <c r="BM116" s="1205"/>
      <c r="BN116" s="1205"/>
      <c r="BO116" s="1768"/>
      <c r="BP116" s="1752"/>
      <c r="BQ116" s="1753"/>
      <c r="BR116" s="1754">
        <f t="shared" si="30"/>
        <v>0</v>
      </c>
      <c r="BS116" s="1"/>
      <c r="BT116" s="1192">
        <f t="shared" si="31"/>
        <v>0</v>
      </c>
    </row>
    <row r="117" spans="1:72" ht="16.2" thickBot="1" x14ac:dyDescent="0.35">
      <c r="A117" s="425"/>
      <c r="B117" s="394"/>
      <c r="C117" s="432" t="s">
        <v>204</v>
      </c>
      <c r="D117" s="386" t="s">
        <v>191</v>
      </c>
      <c r="E117" s="433">
        <f t="shared" si="33"/>
        <v>2.6</v>
      </c>
      <c r="F117" s="424"/>
      <c r="G117" s="386"/>
      <c r="H117" s="844">
        <f t="shared" si="28"/>
        <v>0</v>
      </c>
      <c r="I117" s="406"/>
      <c r="J117" s="406"/>
      <c r="K117" s="1560">
        <f t="shared" si="29"/>
        <v>0</v>
      </c>
      <c r="L117" s="1273">
        <f t="shared" si="29"/>
        <v>0</v>
      </c>
      <c r="M117" s="1274">
        <f t="shared" si="29"/>
        <v>0</v>
      </c>
      <c r="N117" s="1273">
        <f t="shared" si="29"/>
        <v>0</v>
      </c>
      <c r="O117" s="1274">
        <f t="shared" si="29"/>
        <v>0</v>
      </c>
      <c r="P117" s="1273">
        <f t="shared" si="29"/>
        <v>0</v>
      </c>
      <c r="Q117" s="1223">
        <f t="shared" si="29"/>
        <v>0</v>
      </c>
      <c r="R117" s="1273">
        <f t="shared" si="29"/>
        <v>0</v>
      </c>
      <c r="S117" s="1565">
        <f>R117-$H117+BK117</f>
        <v>0</v>
      </c>
      <c r="T117" s="1848"/>
      <c r="U117" s="1885"/>
      <c r="V117" s="1222"/>
      <c r="W117" s="1885"/>
      <c r="X117" s="1222"/>
      <c r="Y117" s="1923"/>
      <c r="Z117" s="1226"/>
      <c r="AA117" s="1227"/>
      <c r="AB117" s="1227"/>
      <c r="AC117" s="1219"/>
      <c r="AD117" s="1233"/>
      <c r="AE117" s="1225"/>
      <c r="AF117" s="1218"/>
      <c r="AG117" s="1219"/>
      <c r="AH117" s="1219"/>
      <c r="AI117" s="1219"/>
      <c r="AJ117" s="1233"/>
      <c r="AK117" s="1787"/>
      <c r="AL117" s="1232"/>
      <c r="AM117" s="1218"/>
      <c r="AN117" s="1218"/>
      <c r="AO117" s="1218"/>
      <c r="AP117" s="1281"/>
      <c r="AQ117" s="1788"/>
      <c r="AR117" s="1232"/>
      <c r="AS117" s="1218"/>
      <c r="AT117" s="1219"/>
      <c r="AU117" s="1219"/>
      <c r="AV117" s="1233"/>
      <c r="AW117" s="1221"/>
      <c r="AX117" s="1232"/>
      <c r="AY117" s="1218"/>
      <c r="AZ117" s="1218"/>
      <c r="BA117" s="1218"/>
      <c r="BB117" s="1281"/>
      <c r="BC117" s="1787"/>
      <c r="BD117" s="1232"/>
      <c r="BE117" s="1219"/>
      <c r="BF117" s="1219"/>
      <c r="BG117" s="1219"/>
      <c r="BH117" s="1281"/>
      <c r="BI117" s="1788"/>
      <c r="BJ117" s="1232"/>
      <c r="BK117" s="1219"/>
      <c r="BL117" s="1219"/>
      <c r="BM117" s="1233"/>
      <c r="BN117" s="1233"/>
      <c r="BO117" s="1787"/>
      <c r="BP117" s="1365"/>
      <c r="BQ117" s="1357"/>
      <c r="BR117" s="1793">
        <f t="shared" si="30"/>
        <v>0</v>
      </c>
      <c r="BS117" s="1"/>
      <c r="BT117" s="1192">
        <f t="shared" si="31"/>
        <v>0</v>
      </c>
    </row>
    <row r="118" spans="1:72" ht="15.6" x14ac:dyDescent="0.3">
      <c r="A118" s="425">
        <v>2617</v>
      </c>
      <c r="B118" s="394">
        <v>6</v>
      </c>
      <c r="C118" s="391" t="s">
        <v>205</v>
      </c>
      <c r="D118" s="392" t="s">
        <v>209</v>
      </c>
      <c r="E118" s="393">
        <f t="shared" si="33"/>
        <v>2.6</v>
      </c>
      <c r="F118" s="364">
        <f>(BR118/G118)/7</f>
        <v>0.67006164567140181</v>
      </c>
      <c r="G118" s="392">
        <v>533</v>
      </c>
      <c r="H118" s="841">
        <f t="shared" si="28"/>
        <v>1385.8</v>
      </c>
      <c r="I118" s="362">
        <v>10700</v>
      </c>
      <c r="J118" s="362">
        <v>2500</v>
      </c>
      <c r="K118" s="1958">
        <v>4114</v>
      </c>
      <c r="L118" s="1958">
        <v>5728</v>
      </c>
      <c r="M118" s="1958">
        <v>10342</v>
      </c>
      <c r="N118" s="1243">
        <f t="shared" si="29"/>
        <v>8956.2000000000007</v>
      </c>
      <c r="O118" s="1243">
        <f t="shared" si="29"/>
        <v>7570.4000000000005</v>
      </c>
      <c r="P118" s="1243">
        <f t="shared" si="29"/>
        <v>6184.6</v>
      </c>
      <c r="Q118" s="1243">
        <f t="shared" si="29"/>
        <v>4798.8</v>
      </c>
      <c r="R118" s="1243">
        <f t="shared" si="29"/>
        <v>3413</v>
      </c>
      <c r="S118" s="1579">
        <f t="shared" si="29"/>
        <v>2027.2</v>
      </c>
      <c r="T118" s="1852"/>
      <c r="U118" s="1790"/>
      <c r="V118" s="1242"/>
      <c r="W118" s="1790"/>
      <c r="X118" s="1242">
        <v>3000</v>
      </c>
      <c r="Y118" s="1921"/>
      <c r="Z118" s="1245"/>
      <c r="AA118" s="1254"/>
      <c r="AB118" s="1254"/>
      <c r="AC118" s="1376"/>
      <c r="AD118" s="1386">
        <v>3000</v>
      </c>
      <c r="AE118" s="1761"/>
      <c r="AF118" s="1760"/>
      <c r="AG118" s="1376"/>
      <c r="AH118" s="1376"/>
      <c r="AI118" s="1376"/>
      <c r="AJ118" s="1386">
        <v>6000</v>
      </c>
      <c r="AK118" s="1762"/>
      <c r="AL118" s="1382"/>
      <c r="AM118" s="1760"/>
      <c r="AN118" s="1760"/>
      <c r="AO118" s="1760"/>
      <c r="AP118" s="1244"/>
      <c r="AQ118" s="1763"/>
      <c r="AR118" s="1382"/>
      <c r="AS118" s="1760"/>
      <c r="AT118" s="1376"/>
      <c r="AU118" s="1376"/>
      <c r="AV118" s="1386"/>
      <c r="AW118" s="1764"/>
      <c r="AX118" s="1382"/>
      <c r="AY118" s="1760"/>
      <c r="AZ118" s="1760"/>
      <c r="BA118" s="1760"/>
      <c r="BB118" s="1244"/>
      <c r="BC118" s="1762"/>
      <c r="BD118" s="1382"/>
      <c r="BE118" s="1376"/>
      <c r="BF118" s="1376"/>
      <c r="BG118" s="1376"/>
      <c r="BH118" s="1244"/>
      <c r="BI118" s="1763"/>
      <c r="BJ118" s="1382"/>
      <c r="BK118" s="1376"/>
      <c r="BL118" s="1376"/>
      <c r="BM118" s="1386"/>
      <c r="BN118" s="1386"/>
      <c r="BO118" s="1762"/>
      <c r="BP118" s="1765"/>
      <c r="BQ118" s="1766"/>
      <c r="BR118" s="1767">
        <f t="shared" si="30"/>
        <v>2500</v>
      </c>
      <c r="BS118" s="1"/>
      <c r="BT118" s="1192">
        <f t="shared" si="31"/>
        <v>9000</v>
      </c>
    </row>
    <row r="119" spans="1:72" ht="16.2" thickBot="1" x14ac:dyDescent="0.35">
      <c r="A119" s="444"/>
      <c r="B119" s="411"/>
      <c r="C119" s="632" t="s">
        <v>206</v>
      </c>
      <c r="D119" s="375" t="s">
        <v>191</v>
      </c>
      <c r="E119" s="399">
        <f t="shared" si="33"/>
        <v>2.6</v>
      </c>
      <c r="F119" s="400"/>
      <c r="G119" s="375"/>
      <c r="H119" s="842">
        <f t="shared" si="28"/>
        <v>0</v>
      </c>
      <c r="I119" s="375"/>
      <c r="J119" s="362"/>
      <c r="K119" s="1437">
        <f t="shared" si="29"/>
        <v>0</v>
      </c>
      <c r="L119" s="1222">
        <f t="shared" si="29"/>
        <v>0</v>
      </c>
      <c r="M119" s="1223">
        <f t="shared" si="29"/>
        <v>0</v>
      </c>
      <c r="N119" s="1222">
        <f t="shared" si="29"/>
        <v>0</v>
      </c>
      <c r="O119" s="1223">
        <f t="shared" si="29"/>
        <v>0</v>
      </c>
      <c r="P119" s="1222">
        <f t="shared" si="29"/>
        <v>0</v>
      </c>
      <c r="Q119" s="1223">
        <f t="shared" si="29"/>
        <v>0</v>
      </c>
      <c r="R119" s="1222">
        <f t="shared" si="29"/>
        <v>0</v>
      </c>
      <c r="S119" s="1438">
        <f>R119-$H119+BK119</f>
        <v>0</v>
      </c>
      <c r="T119" s="1848"/>
      <c r="U119" s="1885"/>
      <c r="V119" s="1222"/>
      <c r="W119" s="1885"/>
      <c r="X119" s="1222"/>
      <c r="Y119" s="1923"/>
      <c r="Z119" s="1198"/>
      <c r="AA119" s="1199"/>
      <c r="AB119" s="1199"/>
      <c r="AC119" s="1104"/>
      <c r="AD119" s="1205"/>
      <c r="AE119" s="1197"/>
      <c r="AF119" s="1103"/>
      <c r="AG119" s="1104"/>
      <c r="AH119" s="1104"/>
      <c r="AI119" s="1104"/>
      <c r="AJ119" s="1205"/>
      <c r="AK119" s="1768"/>
      <c r="AL119" s="1204"/>
      <c r="AM119" s="1103"/>
      <c r="AN119" s="1103"/>
      <c r="AO119" s="1103"/>
      <c r="AP119" s="1195"/>
      <c r="AQ119" s="1769"/>
      <c r="AR119" s="1204"/>
      <c r="AS119" s="1103"/>
      <c r="AT119" s="1104"/>
      <c r="AU119" s="1104"/>
      <c r="AV119" s="1205"/>
      <c r="AW119" s="1196"/>
      <c r="AX119" s="1204"/>
      <c r="AY119" s="1103"/>
      <c r="AZ119" s="1103"/>
      <c r="BA119" s="1103"/>
      <c r="BB119" s="1195"/>
      <c r="BC119" s="1768"/>
      <c r="BD119" s="1204"/>
      <c r="BE119" s="1104"/>
      <c r="BF119" s="1104"/>
      <c r="BG119" s="1104"/>
      <c r="BH119" s="1195"/>
      <c r="BI119" s="1769"/>
      <c r="BJ119" s="1204"/>
      <c r="BK119" s="1104"/>
      <c r="BL119" s="1104"/>
      <c r="BM119" s="1205"/>
      <c r="BN119" s="1205"/>
      <c r="BO119" s="1768"/>
      <c r="BP119" s="1786"/>
      <c r="BQ119" s="1753"/>
      <c r="BR119" s="1754">
        <f t="shared" si="30"/>
        <v>0</v>
      </c>
      <c r="BS119" s="1"/>
      <c r="BT119" s="1192">
        <f t="shared" si="31"/>
        <v>0</v>
      </c>
    </row>
    <row r="120" spans="1:72" ht="15.6" x14ac:dyDescent="0.3">
      <c r="C120" s="398" t="s">
        <v>207</v>
      </c>
      <c r="D120" s="375" t="s">
        <v>191</v>
      </c>
      <c r="E120" s="399">
        <f t="shared" si="33"/>
        <v>2.6</v>
      </c>
      <c r="F120" s="637"/>
      <c r="G120" s="375"/>
      <c r="H120" s="842">
        <f t="shared" si="28"/>
        <v>0</v>
      </c>
      <c r="I120" s="375"/>
      <c r="J120" s="375"/>
      <c r="K120" s="1193">
        <f t="shared" si="29"/>
        <v>0</v>
      </c>
      <c r="L120" s="1115">
        <f t="shared" si="29"/>
        <v>0</v>
      </c>
      <c r="M120" s="1194">
        <f t="shared" si="29"/>
        <v>0</v>
      </c>
      <c r="N120" s="1193">
        <f t="shared" si="29"/>
        <v>0</v>
      </c>
      <c r="O120" s="1794">
        <f t="shared" si="29"/>
        <v>0</v>
      </c>
      <c r="P120" s="1115">
        <f t="shared" si="29"/>
        <v>0</v>
      </c>
      <c r="Q120" s="1194">
        <f t="shared" si="29"/>
        <v>0</v>
      </c>
      <c r="R120" s="1193">
        <f t="shared" si="29"/>
        <v>0</v>
      </c>
      <c r="S120" s="1342">
        <f>R120-$H120+BK120</f>
        <v>0</v>
      </c>
      <c r="T120" s="1854"/>
      <c r="U120" s="1114"/>
      <c r="V120" s="1193"/>
      <c r="W120" s="1114"/>
      <c r="X120" s="1193"/>
      <c r="Y120" s="1929"/>
      <c r="Z120" s="1198"/>
      <c r="AA120" s="1199"/>
      <c r="AB120" s="1199"/>
      <c r="AC120" s="1104"/>
      <c r="AD120" s="1205"/>
      <c r="AE120" s="1197"/>
      <c r="AF120" s="1103"/>
      <c r="AG120" s="1104"/>
      <c r="AH120" s="1104"/>
      <c r="AI120" s="1104"/>
      <c r="AJ120" s="1205"/>
      <c r="AK120" s="1768"/>
      <c r="AL120" s="1204"/>
      <c r="AM120" s="1104"/>
      <c r="AN120" s="1103"/>
      <c r="AO120" s="1103"/>
      <c r="AP120" s="1195"/>
      <c r="AQ120" s="1769"/>
      <c r="AR120" s="1204"/>
      <c r="AS120" s="1103"/>
      <c r="AT120" s="1104"/>
      <c r="AU120" s="1104"/>
      <c r="AV120" s="1205"/>
      <c r="AW120" s="1196"/>
      <c r="AX120" s="1204"/>
      <c r="AY120" s="1103"/>
      <c r="AZ120" s="1103"/>
      <c r="BA120" s="1103"/>
      <c r="BB120" s="1195"/>
      <c r="BC120" s="1768"/>
      <c r="BD120" s="1204"/>
      <c r="BE120" s="1104"/>
      <c r="BF120" s="1104"/>
      <c r="BG120" s="1104"/>
      <c r="BH120" s="1195"/>
      <c r="BI120" s="1769"/>
      <c r="BJ120" s="1204"/>
      <c r="BK120" s="1104"/>
      <c r="BL120" s="1104"/>
      <c r="BM120" s="1205"/>
      <c r="BN120" s="1205"/>
      <c r="BO120" s="1768"/>
      <c r="BP120" s="1188"/>
      <c r="BQ120" s="1177"/>
      <c r="BR120" s="1795">
        <f t="shared" si="30"/>
        <v>0</v>
      </c>
      <c r="BS120" s="1"/>
      <c r="BT120" s="1192">
        <f t="shared" si="31"/>
        <v>0</v>
      </c>
    </row>
    <row r="121" spans="1:72" ht="20.25" customHeight="1" thickBot="1" x14ac:dyDescent="0.35">
      <c r="A121" s="418"/>
      <c r="B121" s="401"/>
      <c r="C121" s="634" t="s">
        <v>207</v>
      </c>
      <c r="D121" s="409" t="s">
        <v>209</v>
      </c>
      <c r="E121" s="635">
        <f t="shared" si="33"/>
        <v>2.6</v>
      </c>
      <c r="F121" s="636"/>
      <c r="G121" s="409"/>
      <c r="H121" s="845">
        <f t="shared" si="28"/>
        <v>0</v>
      </c>
      <c r="I121" s="409"/>
      <c r="J121" s="406"/>
      <c r="K121" s="1420">
        <f t="shared" si="29"/>
        <v>0</v>
      </c>
      <c r="L121" s="1257">
        <f t="shared" si="29"/>
        <v>0</v>
      </c>
      <c r="M121" s="1258">
        <f t="shared" si="29"/>
        <v>0</v>
      </c>
      <c r="N121" s="1257">
        <f t="shared" si="29"/>
        <v>0</v>
      </c>
      <c r="O121" s="1258">
        <f t="shared" si="29"/>
        <v>0</v>
      </c>
      <c r="P121" s="1257">
        <f t="shared" si="29"/>
        <v>0</v>
      </c>
      <c r="Q121" s="1258">
        <f t="shared" si="29"/>
        <v>0</v>
      </c>
      <c r="R121" s="1257">
        <f t="shared" si="29"/>
        <v>0</v>
      </c>
      <c r="S121" s="1633">
        <f>R121-$H121+BK121</f>
        <v>0</v>
      </c>
      <c r="T121" s="1856"/>
      <c r="U121" s="1650"/>
      <c r="V121" s="1257"/>
      <c r="W121" s="1650"/>
      <c r="X121" s="1257"/>
      <c r="Y121" s="1924"/>
      <c r="Z121" s="1260"/>
      <c r="AA121" s="1269"/>
      <c r="AB121" s="1269"/>
      <c r="AC121" s="1421"/>
      <c r="AD121" s="1431"/>
      <c r="AE121" s="1796"/>
      <c r="AF121" s="1797"/>
      <c r="AG121" s="1421"/>
      <c r="AH121" s="1421"/>
      <c r="AI121" s="1421"/>
      <c r="AJ121" s="1431"/>
      <c r="AK121" s="1798"/>
      <c r="AL121" s="1427"/>
      <c r="AM121" s="1797"/>
      <c r="AN121" s="1797"/>
      <c r="AO121" s="1797"/>
      <c r="AP121" s="1259"/>
      <c r="AQ121" s="1799"/>
      <c r="AR121" s="1427"/>
      <c r="AS121" s="1797"/>
      <c r="AT121" s="1421"/>
      <c r="AU121" s="1421"/>
      <c r="AV121" s="1431"/>
      <c r="AW121" s="1800"/>
      <c r="AX121" s="1427"/>
      <c r="AY121" s="1797"/>
      <c r="AZ121" s="1797"/>
      <c r="BA121" s="1797"/>
      <c r="BB121" s="1259"/>
      <c r="BC121" s="1798"/>
      <c r="BD121" s="1427"/>
      <c r="BE121" s="1421"/>
      <c r="BF121" s="1421"/>
      <c r="BG121" s="1421"/>
      <c r="BH121" s="1259"/>
      <c r="BI121" s="1799"/>
      <c r="BJ121" s="1427"/>
      <c r="BK121" s="1421"/>
      <c r="BL121" s="1421"/>
      <c r="BM121" s="1431"/>
      <c r="BN121" s="1431"/>
      <c r="BO121" s="1798"/>
      <c r="BP121" s="1267"/>
      <c r="BQ121" s="1779"/>
      <c r="BR121" s="1759">
        <f t="shared" si="30"/>
        <v>0</v>
      </c>
      <c r="BS121" s="1"/>
      <c r="BT121" s="1192">
        <f t="shared" si="31"/>
        <v>0</v>
      </c>
    </row>
    <row r="122" spans="1:72" ht="15.6" x14ac:dyDescent="0.3">
      <c r="A122" s="445">
        <v>2616</v>
      </c>
      <c r="B122" s="360">
        <v>5</v>
      </c>
      <c r="C122" s="361" t="s">
        <v>208</v>
      </c>
      <c r="D122" s="362" t="s">
        <v>209</v>
      </c>
      <c r="E122" s="363">
        <v>2.7</v>
      </c>
      <c r="F122" s="364">
        <f>(BR122/G122)/7</f>
        <v>0.54112554112554112</v>
      </c>
      <c r="G122" s="362">
        <v>528</v>
      </c>
      <c r="H122" s="840">
        <f t="shared" si="28"/>
        <v>1425.6000000000001</v>
      </c>
      <c r="I122" s="362">
        <v>10700</v>
      </c>
      <c r="J122" s="362">
        <v>2000</v>
      </c>
      <c r="K122" s="1963">
        <v>3574</v>
      </c>
      <c r="L122" s="1963">
        <v>5148</v>
      </c>
      <c r="M122" s="1963">
        <v>9722</v>
      </c>
      <c r="N122" s="1963">
        <v>10296</v>
      </c>
      <c r="O122" s="1274">
        <f t="shared" si="29"/>
        <v>8870.4</v>
      </c>
      <c r="P122" s="1274">
        <f t="shared" si="29"/>
        <v>7444.7999999999993</v>
      </c>
      <c r="Q122" s="1274">
        <f t="shared" si="29"/>
        <v>6019.1999999999989</v>
      </c>
      <c r="R122" s="1274">
        <f t="shared" si="29"/>
        <v>4593.5999999999985</v>
      </c>
      <c r="S122" s="1565">
        <f t="shared" si="29"/>
        <v>3167.9999999999982</v>
      </c>
      <c r="T122" s="1847"/>
      <c r="U122" s="1183"/>
      <c r="V122" s="1273"/>
      <c r="W122" s="1183"/>
      <c r="X122" s="1273">
        <v>3000</v>
      </c>
      <c r="Y122" s="1902"/>
      <c r="Z122" s="1176"/>
      <c r="AA122" s="1177"/>
      <c r="AB122" s="1177"/>
      <c r="AC122" s="1096"/>
      <c r="AD122" s="1097">
        <v>3000</v>
      </c>
      <c r="AE122" s="1215"/>
      <c r="AF122" s="1095"/>
      <c r="AG122" s="1096"/>
      <c r="AH122" s="1096"/>
      <c r="AI122" s="1096"/>
      <c r="AJ122" s="1097">
        <v>6000</v>
      </c>
      <c r="AK122" s="1745"/>
      <c r="AL122" s="1216"/>
      <c r="AM122" s="1095"/>
      <c r="AN122" s="1095"/>
      <c r="AO122" s="1095"/>
      <c r="AP122" s="1287">
        <v>2000</v>
      </c>
      <c r="AQ122" s="1748"/>
      <c r="AR122" s="1216"/>
      <c r="AS122" s="1095"/>
      <c r="AT122" s="1096"/>
      <c r="AU122" s="1096"/>
      <c r="AV122" s="1097"/>
      <c r="AW122" s="1214"/>
      <c r="AX122" s="1216"/>
      <c r="AY122" s="1095"/>
      <c r="AZ122" s="1095"/>
      <c r="BA122" s="1095"/>
      <c r="BB122" s="1287"/>
      <c r="BC122" s="1745"/>
      <c r="BD122" s="1216"/>
      <c r="BE122" s="1096"/>
      <c r="BF122" s="1096"/>
      <c r="BG122" s="1096"/>
      <c r="BH122" s="1287"/>
      <c r="BI122" s="1748"/>
      <c r="BJ122" s="1216"/>
      <c r="BK122" s="1096"/>
      <c r="BL122" s="1096"/>
      <c r="BM122" s="1097"/>
      <c r="BN122" s="1097"/>
      <c r="BO122" s="1745"/>
      <c r="BP122" s="1765"/>
      <c r="BQ122" s="1766"/>
      <c r="BR122" s="1767">
        <f t="shared" si="30"/>
        <v>2000</v>
      </c>
      <c r="BS122" s="1"/>
      <c r="BT122" s="1192">
        <f t="shared" si="31"/>
        <v>11000</v>
      </c>
    </row>
    <row r="123" spans="1:72" ht="16.2" thickBot="1" x14ac:dyDescent="0.35">
      <c r="A123" s="420"/>
      <c r="B123" s="431"/>
      <c r="C123" s="398" t="s">
        <v>210</v>
      </c>
      <c r="D123" s="362" t="s">
        <v>209</v>
      </c>
      <c r="E123" s="399">
        <f>+E122</f>
        <v>2.7</v>
      </c>
      <c r="F123" s="400"/>
      <c r="G123" s="375"/>
      <c r="H123" s="842">
        <f t="shared" si="28"/>
        <v>0</v>
      </c>
      <c r="I123" s="375"/>
      <c r="J123" s="362"/>
      <c r="K123" s="1560">
        <f t="shared" si="29"/>
        <v>0</v>
      </c>
      <c r="L123" s="1273">
        <f t="shared" si="29"/>
        <v>0</v>
      </c>
      <c r="M123" s="1274">
        <f t="shared" si="29"/>
        <v>0</v>
      </c>
      <c r="N123" s="1273">
        <f t="shared" si="29"/>
        <v>0</v>
      </c>
      <c r="O123" s="1274">
        <f t="shared" si="29"/>
        <v>0</v>
      </c>
      <c r="P123" s="1273">
        <f t="shared" si="29"/>
        <v>0</v>
      </c>
      <c r="Q123" s="1274">
        <f t="shared" si="29"/>
        <v>0</v>
      </c>
      <c r="R123" s="1273">
        <f t="shared" si="29"/>
        <v>0</v>
      </c>
      <c r="S123" s="1565">
        <f>(R123-$H123)+BL123</f>
        <v>0</v>
      </c>
      <c r="T123" s="1847"/>
      <c r="U123" s="1183"/>
      <c r="V123" s="1273"/>
      <c r="W123" s="1183"/>
      <c r="X123" s="1273"/>
      <c r="Y123" s="1902"/>
      <c r="Z123" s="1198"/>
      <c r="AA123" s="1199"/>
      <c r="AB123" s="1199"/>
      <c r="AC123" s="1104"/>
      <c r="AD123" s="1205"/>
      <c r="AE123" s="1197"/>
      <c r="AF123" s="1103"/>
      <c r="AG123" s="1104"/>
      <c r="AH123" s="1104"/>
      <c r="AI123" s="1104"/>
      <c r="AJ123" s="1205"/>
      <c r="AK123" s="1768"/>
      <c r="AL123" s="1204"/>
      <c r="AM123" s="1103"/>
      <c r="AN123" s="1103"/>
      <c r="AO123" s="1103"/>
      <c r="AP123" s="1195"/>
      <c r="AQ123" s="1769"/>
      <c r="AR123" s="1204"/>
      <c r="AS123" s="1103"/>
      <c r="AT123" s="1104"/>
      <c r="AU123" s="1104"/>
      <c r="AV123" s="1205"/>
      <c r="AW123" s="1196"/>
      <c r="AX123" s="1204"/>
      <c r="AY123" s="1103"/>
      <c r="AZ123" s="1103"/>
      <c r="BA123" s="1103"/>
      <c r="BB123" s="1195"/>
      <c r="BC123" s="1768"/>
      <c r="BD123" s="1204"/>
      <c r="BE123" s="1104"/>
      <c r="BF123" s="1104"/>
      <c r="BG123" s="1104"/>
      <c r="BH123" s="1195"/>
      <c r="BI123" s="1769"/>
      <c r="BJ123" s="1204"/>
      <c r="BK123" s="1104"/>
      <c r="BL123" s="1104"/>
      <c r="BM123" s="1205"/>
      <c r="BN123" s="1205"/>
      <c r="BO123" s="1768"/>
      <c r="BP123" s="1786"/>
      <c r="BQ123" s="1753"/>
      <c r="BR123" s="1754">
        <f t="shared" si="30"/>
        <v>0</v>
      </c>
      <c r="BS123" s="1"/>
      <c r="BT123" s="1192">
        <f t="shared" si="31"/>
        <v>0</v>
      </c>
    </row>
    <row r="124" spans="1:72" ht="16.2" thickBot="1" x14ac:dyDescent="0.35">
      <c r="A124" s="425"/>
      <c r="B124" s="394"/>
      <c r="C124" s="432" t="s">
        <v>211</v>
      </c>
      <c r="D124" s="362" t="s">
        <v>209</v>
      </c>
      <c r="E124" s="433">
        <f>+E123</f>
        <v>2.7</v>
      </c>
      <c r="F124" s="424"/>
      <c r="G124" s="386"/>
      <c r="H124" s="844">
        <f t="shared" si="28"/>
        <v>0</v>
      </c>
      <c r="I124" s="406"/>
      <c r="J124" s="385"/>
      <c r="K124" s="1437">
        <f t="shared" si="29"/>
        <v>0</v>
      </c>
      <c r="L124" s="1222">
        <f t="shared" si="29"/>
        <v>0</v>
      </c>
      <c r="M124" s="1223">
        <f t="shared" si="29"/>
        <v>0</v>
      </c>
      <c r="N124" s="1222">
        <f t="shared" si="29"/>
        <v>0</v>
      </c>
      <c r="O124" s="1223">
        <f t="shared" si="29"/>
        <v>0</v>
      </c>
      <c r="P124" s="1222">
        <f t="shared" si="29"/>
        <v>0</v>
      </c>
      <c r="Q124" s="1223">
        <f t="shared" si="29"/>
        <v>0</v>
      </c>
      <c r="R124" s="1222">
        <f t="shared" si="29"/>
        <v>0</v>
      </c>
      <c r="S124" s="1438">
        <f>(R124-$H124)+BL124</f>
        <v>0</v>
      </c>
      <c r="T124" s="1848"/>
      <c r="U124" s="1885"/>
      <c r="V124" s="1222"/>
      <c r="W124" s="1885"/>
      <c r="X124" s="1222"/>
      <c r="Y124" s="1923"/>
      <c r="Z124" s="1226"/>
      <c r="AA124" s="1227"/>
      <c r="AB124" s="1227"/>
      <c r="AC124" s="1219"/>
      <c r="AD124" s="1233"/>
      <c r="AE124" s="1225"/>
      <c r="AF124" s="1218"/>
      <c r="AG124" s="1219"/>
      <c r="AH124" s="1219"/>
      <c r="AI124" s="1219"/>
      <c r="AJ124" s="1233"/>
      <c r="AK124" s="1787"/>
      <c r="AL124" s="1232"/>
      <c r="AM124" s="1218"/>
      <c r="AN124" s="1218"/>
      <c r="AO124" s="1218"/>
      <c r="AP124" s="1281"/>
      <c r="AQ124" s="1788"/>
      <c r="AR124" s="1232"/>
      <c r="AS124" s="1218"/>
      <c r="AT124" s="1219"/>
      <c r="AU124" s="1219"/>
      <c r="AV124" s="1233"/>
      <c r="AW124" s="1221"/>
      <c r="AX124" s="1232"/>
      <c r="AY124" s="1218"/>
      <c r="AZ124" s="1218"/>
      <c r="BA124" s="1218"/>
      <c r="BB124" s="1281"/>
      <c r="BC124" s="1787"/>
      <c r="BD124" s="1232"/>
      <c r="BE124" s="1219"/>
      <c r="BF124" s="1219"/>
      <c r="BG124" s="1219"/>
      <c r="BH124" s="1281"/>
      <c r="BI124" s="1788"/>
      <c r="BJ124" s="1232"/>
      <c r="BK124" s="1219"/>
      <c r="BL124" s="1219"/>
      <c r="BM124" s="1233"/>
      <c r="BN124" s="1233"/>
      <c r="BO124" s="1787"/>
      <c r="BP124" s="1365"/>
      <c r="BQ124" s="1357"/>
      <c r="BR124" s="1793">
        <f t="shared" si="30"/>
        <v>0</v>
      </c>
      <c r="BS124" s="1"/>
      <c r="BT124" s="1192">
        <f t="shared" si="31"/>
        <v>0</v>
      </c>
    </row>
    <row r="125" spans="1:72" ht="15.6" x14ac:dyDescent="0.3">
      <c r="A125" s="425">
        <v>2615</v>
      </c>
      <c r="B125" s="394">
        <v>4</v>
      </c>
      <c r="C125" s="391" t="s">
        <v>212</v>
      </c>
      <c r="D125" s="392" t="s">
        <v>209</v>
      </c>
      <c r="E125" s="393">
        <v>2.8</v>
      </c>
      <c r="F125" s="364">
        <f>(BR125/G125)/7</f>
        <v>0.28977108084613157</v>
      </c>
      <c r="G125" s="392">
        <v>493</v>
      </c>
      <c r="H125" s="841">
        <f t="shared" si="28"/>
        <v>1380.3999999999999</v>
      </c>
      <c r="I125" s="362">
        <v>10700</v>
      </c>
      <c r="J125" s="392">
        <v>1000</v>
      </c>
      <c r="K125" s="1958">
        <v>2620</v>
      </c>
      <c r="L125" s="1958">
        <v>4240</v>
      </c>
      <c r="M125" s="1958">
        <v>8860</v>
      </c>
      <c r="N125" s="1958">
        <v>9480</v>
      </c>
      <c r="O125" s="1243">
        <f t="shared" ref="K125:S136" si="34">N125-$H125</f>
        <v>8099.6</v>
      </c>
      <c r="P125" s="1243">
        <f t="shared" si="34"/>
        <v>6719.2000000000007</v>
      </c>
      <c r="Q125" s="1243">
        <f t="shared" si="34"/>
        <v>5338.8000000000011</v>
      </c>
      <c r="R125" s="1243">
        <f t="shared" si="34"/>
        <v>3958.4000000000015</v>
      </c>
      <c r="S125" s="1579">
        <f t="shared" si="34"/>
        <v>2578.0000000000018</v>
      </c>
      <c r="T125" s="1852"/>
      <c r="U125" s="1790"/>
      <c r="V125" s="1242"/>
      <c r="W125" s="1790"/>
      <c r="X125" s="1242">
        <v>3000</v>
      </c>
      <c r="Y125" s="1921"/>
      <c r="Z125" s="1245"/>
      <c r="AA125" s="1254"/>
      <c r="AB125" s="1254"/>
      <c r="AC125" s="1376"/>
      <c r="AD125" s="1386">
        <v>3000</v>
      </c>
      <c r="AE125" s="1761"/>
      <c r="AF125" s="1789"/>
      <c r="AG125" s="1790"/>
      <c r="AH125" s="1790"/>
      <c r="AI125" s="1790"/>
      <c r="AJ125" s="1628">
        <v>6000</v>
      </c>
      <c r="AK125" s="1762"/>
      <c r="AL125" s="1791"/>
      <c r="AM125" s="1789"/>
      <c r="AN125" s="1789"/>
      <c r="AO125" s="1789"/>
      <c r="AP125" s="1242">
        <v>2000</v>
      </c>
      <c r="AQ125" s="1763"/>
      <c r="AR125" s="1791"/>
      <c r="AS125" s="1789"/>
      <c r="AT125" s="1790"/>
      <c r="AU125" s="1790"/>
      <c r="AV125" s="1628"/>
      <c r="AW125" s="1764"/>
      <c r="AX125" s="1791"/>
      <c r="AY125" s="1789"/>
      <c r="AZ125" s="1789"/>
      <c r="BA125" s="1789"/>
      <c r="BB125" s="1242"/>
      <c r="BC125" s="1762"/>
      <c r="BD125" s="1791"/>
      <c r="BE125" s="1790"/>
      <c r="BF125" s="1790"/>
      <c r="BG125" s="1790"/>
      <c r="BH125" s="1242"/>
      <c r="BI125" s="1763"/>
      <c r="BJ125" s="1791"/>
      <c r="BK125" s="1790"/>
      <c r="BL125" s="1790"/>
      <c r="BM125" s="1628"/>
      <c r="BN125" s="1628"/>
      <c r="BO125" s="1762"/>
      <c r="BP125" s="1783"/>
      <c r="BQ125" s="1784"/>
      <c r="BR125" s="1785">
        <f t="shared" si="30"/>
        <v>1000</v>
      </c>
      <c r="BT125" s="1192">
        <f t="shared" si="31"/>
        <v>11000</v>
      </c>
    </row>
    <row r="126" spans="1:72" ht="16.2" thickBot="1" x14ac:dyDescent="0.35">
      <c r="A126" s="444"/>
      <c r="B126" s="421"/>
      <c r="C126" s="398" t="s">
        <v>213</v>
      </c>
      <c r="D126" s="375" t="s">
        <v>209</v>
      </c>
      <c r="E126" s="399">
        <f>+E125</f>
        <v>2.8</v>
      </c>
      <c r="F126" s="400"/>
      <c r="G126" s="375"/>
      <c r="H126" s="842">
        <f t="shared" si="28"/>
        <v>0</v>
      </c>
      <c r="I126" s="375"/>
      <c r="J126" s="362"/>
      <c r="K126" s="1560">
        <f t="shared" si="34"/>
        <v>0</v>
      </c>
      <c r="L126" s="1273">
        <f t="shared" si="34"/>
        <v>0</v>
      </c>
      <c r="M126" s="1274">
        <f t="shared" si="34"/>
        <v>0</v>
      </c>
      <c r="N126" s="1273">
        <f t="shared" si="34"/>
        <v>0</v>
      </c>
      <c r="O126" s="1274">
        <f t="shared" si="34"/>
        <v>0</v>
      </c>
      <c r="P126" s="1273">
        <f t="shared" si="34"/>
        <v>0</v>
      </c>
      <c r="Q126" s="1274">
        <f t="shared" si="34"/>
        <v>0</v>
      </c>
      <c r="R126" s="1273">
        <f t="shared" si="34"/>
        <v>0</v>
      </c>
      <c r="S126" s="1565">
        <f>(R126-$H126)+BL126</f>
        <v>0</v>
      </c>
      <c r="T126" s="1847"/>
      <c r="U126" s="1183"/>
      <c r="V126" s="1273"/>
      <c r="W126" s="1183"/>
      <c r="X126" s="1273"/>
      <c r="Y126" s="1902"/>
      <c r="Z126" s="1198"/>
      <c r="AA126" s="1199"/>
      <c r="AB126" s="1199"/>
      <c r="AC126" s="1104"/>
      <c r="AD126" s="1205"/>
      <c r="AE126" s="1197"/>
      <c r="AF126" s="1103"/>
      <c r="AG126" s="1104"/>
      <c r="AH126" s="1104"/>
      <c r="AI126" s="1104"/>
      <c r="AJ126" s="1205"/>
      <c r="AK126" s="1768"/>
      <c r="AL126" s="1204"/>
      <c r="AM126" s="1103"/>
      <c r="AN126" s="1103"/>
      <c r="AO126" s="1103"/>
      <c r="AP126" s="1195"/>
      <c r="AQ126" s="1769"/>
      <c r="AR126" s="1204"/>
      <c r="AS126" s="1103"/>
      <c r="AT126" s="1104"/>
      <c r="AU126" s="1104"/>
      <c r="AV126" s="1205"/>
      <c r="AW126" s="1196"/>
      <c r="AX126" s="1204"/>
      <c r="AY126" s="1103"/>
      <c r="AZ126" s="1103"/>
      <c r="BA126" s="1103"/>
      <c r="BB126" s="1195"/>
      <c r="BC126" s="1768"/>
      <c r="BD126" s="1204"/>
      <c r="BE126" s="1104"/>
      <c r="BF126" s="1104"/>
      <c r="BG126" s="1104"/>
      <c r="BH126" s="1195"/>
      <c r="BI126" s="1769"/>
      <c r="BJ126" s="1204"/>
      <c r="BK126" s="1104"/>
      <c r="BL126" s="1104"/>
      <c r="BM126" s="1205"/>
      <c r="BN126" s="1205"/>
      <c r="BO126" s="1768"/>
      <c r="BP126" s="1786"/>
      <c r="BQ126" s="1753"/>
      <c r="BR126" s="1754">
        <f t="shared" si="30"/>
        <v>0</v>
      </c>
      <c r="BS126" s="1"/>
      <c r="BT126" s="1192">
        <f t="shared" si="31"/>
        <v>0</v>
      </c>
    </row>
    <row r="127" spans="1:72" ht="16.2" thickBot="1" x14ac:dyDescent="0.35">
      <c r="A127" s="445"/>
      <c r="B127" s="360"/>
      <c r="C127" s="405" t="s">
        <v>214</v>
      </c>
      <c r="D127" s="406" t="s">
        <v>209</v>
      </c>
      <c r="E127" s="407">
        <f>+E126</f>
        <v>2.8</v>
      </c>
      <c r="F127" s="424"/>
      <c r="G127" s="406"/>
      <c r="H127" s="843">
        <f t="shared" si="28"/>
        <v>0</v>
      </c>
      <c r="I127" s="406"/>
      <c r="J127" s="385"/>
      <c r="K127" s="1437">
        <f t="shared" si="34"/>
        <v>0</v>
      </c>
      <c r="L127" s="1222">
        <f t="shared" si="34"/>
        <v>0</v>
      </c>
      <c r="M127" s="1223">
        <f t="shared" si="34"/>
        <v>0</v>
      </c>
      <c r="N127" s="1222">
        <f t="shared" si="34"/>
        <v>0</v>
      </c>
      <c r="O127" s="1223">
        <f t="shared" si="34"/>
        <v>0</v>
      </c>
      <c r="P127" s="1222">
        <f t="shared" si="34"/>
        <v>0</v>
      </c>
      <c r="Q127" s="1223">
        <f t="shared" si="34"/>
        <v>0</v>
      </c>
      <c r="R127" s="1222">
        <f t="shared" si="34"/>
        <v>0</v>
      </c>
      <c r="S127" s="1438">
        <f>(R127-$H127)+BL127</f>
        <v>0</v>
      </c>
      <c r="T127" s="1848"/>
      <c r="U127" s="1885"/>
      <c r="V127" s="1222"/>
      <c r="W127" s="1885"/>
      <c r="X127" s="1222"/>
      <c r="Y127" s="1923"/>
      <c r="Z127" s="1838"/>
      <c r="AA127" s="1779"/>
      <c r="AB127" s="1779"/>
      <c r="AC127" s="1776"/>
      <c r="AD127" s="1777"/>
      <c r="AE127" s="1772"/>
      <c r="AF127" s="1770"/>
      <c r="AG127" s="1776"/>
      <c r="AH127" s="1776"/>
      <c r="AI127" s="1776"/>
      <c r="AJ127" s="1777"/>
      <c r="AK127" s="1773"/>
      <c r="AL127" s="1774"/>
      <c r="AM127" s="1770"/>
      <c r="AN127" s="1770"/>
      <c r="AO127" s="1770"/>
      <c r="AP127" s="1771"/>
      <c r="AQ127" s="1775"/>
      <c r="AR127" s="1774"/>
      <c r="AS127" s="1770"/>
      <c r="AT127" s="1776"/>
      <c r="AU127" s="1776"/>
      <c r="AV127" s="1777"/>
      <c r="AW127" s="1778"/>
      <c r="AX127" s="1774"/>
      <c r="AY127" s="1770"/>
      <c r="AZ127" s="1770"/>
      <c r="BA127" s="1770"/>
      <c r="BB127" s="1771"/>
      <c r="BC127" s="1773"/>
      <c r="BD127" s="1774"/>
      <c r="BE127" s="1776"/>
      <c r="BF127" s="1776"/>
      <c r="BG127" s="1776"/>
      <c r="BH127" s="1771"/>
      <c r="BI127" s="1775"/>
      <c r="BJ127" s="1774"/>
      <c r="BK127" s="1776"/>
      <c r="BL127" s="1776"/>
      <c r="BM127" s="1777"/>
      <c r="BN127" s="1777"/>
      <c r="BO127" s="1773"/>
      <c r="BP127" s="1267"/>
      <c r="BQ127" s="1269"/>
      <c r="BR127" s="1759">
        <f t="shared" si="30"/>
        <v>0</v>
      </c>
      <c r="BS127" s="1"/>
      <c r="BT127" s="1192">
        <f t="shared" si="31"/>
        <v>0</v>
      </c>
    </row>
    <row r="128" spans="1:72" ht="15.6" x14ac:dyDescent="0.3">
      <c r="A128" s="445">
        <v>2614</v>
      </c>
      <c r="B128" s="360">
        <v>3</v>
      </c>
      <c r="C128" s="361" t="s">
        <v>215</v>
      </c>
      <c r="D128" s="362" t="s">
        <v>209</v>
      </c>
      <c r="E128" s="363">
        <v>2.9</v>
      </c>
      <c r="F128" s="364">
        <f>(BR128/G128)/7</f>
        <v>0.54421768707482987</v>
      </c>
      <c r="G128" s="362">
        <v>525</v>
      </c>
      <c r="H128" s="840">
        <f>G128*E128</f>
        <v>1522.5</v>
      </c>
      <c r="I128" s="362">
        <v>10700</v>
      </c>
      <c r="J128" s="392">
        <v>2000</v>
      </c>
      <c r="K128" s="1958">
        <v>3478</v>
      </c>
      <c r="L128" s="1958">
        <v>4956</v>
      </c>
      <c r="M128" s="1958">
        <v>9434</v>
      </c>
      <c r="N128" s="1958">
        <v>9912</v>
      </c>
      <c r="O128" s="1243">
        <f t="shared" si="34"/>
        <v>8389.5</v>
      </c>
      <c r="P128" s="1243">
        <f t="shared" si="34"/>
        <v>6867</v>
      </c>
      <c r="Q128" s="1243">
        <f t="shared" si="34"/>
        <v>5344.5</v>
      </c>
      <c r="R128" s="1243">
        <f t="shared" si="34"/>
        <v>3822</v>
      </c>
      <c r="S128" s="1579">
        <f t="shared" si="34"/>
        <v>2299.5</v>
      </c>
      <c r="T128" s="1847"/>
      <c r="U128" s="1183"/>
      <c r="V128" s="1273"/>
      <c r="W128" s="1183"/>
      <c r="X128" s="1273">
        <v>3000</v>
      </c>
      <c r="Y128" s="1902"/>
      <c r="Z128" s="1176"/>
      <c r="AA128" s="1177"/>
      <c r="AB128" s="1177"/>
      <c r="AC128" s="1096"/>
      <c r="AD128" s="1097">
        <v>3000</v>
      </c>
      <c r="AE128" s="1215"/>
      <c r="AF128" s="1187"/>
      <c r="AG128" s="1183"/>
      <c r="AH128" s="1183"/>
      <c r="AI128" s="1183"/>
      <c r="AJ128" s="1744">
        <v>6000</v>
      </c>
      <c r="AK128" s="1745"/>
      <c r="AL128" s="1746"/>
      <c r="AM128" s="1187"/>
      <c r="AN128" s="1187"/>
      <c r="AO128" s="1187"/>
      <c r="AP128" s="1273">
        <v>2000</v>
      </c>
      <c r="AQ128" s="1748"/>
      <c r="AR128" s="1746"/>
      <c r="AS128" s="1187"/>
      <c r="AT128" s="1183"/>
      <c r="AU128" s="1183"/>
      <c r="AV128" s="1744"/>
      <c r="AW128" s="1214"/>
      <c r="AX128" s="1746"/>
      <c r="AY128" s="1187"/>
      <c r="AZ128" s="1187"/>
      <c r="BA128" s="1187"/>
      <c r="BB128" s="1273"/>
      <c r="BC128" s="1745"/>
      <c r="BD128" s="1746"/>
      <c r="BE128" s="1183"/>
      <c r="BF128" s="1183"/>
      <c r="BG128" s="1183"/>
      <c r="BH128" s="1273"/>
      <c r="BI128" s="1748"/>
      <c r="BJ128" s="1746"/>
      <c r="BK128" s="1183"/>
      <c r="BL128" s="1183"/>
      <c r="BM128" s="1744"/>
      <c r="BN128" s="1744"/>
      <c r="BO128" s="1745"/>
      <c r="BP128" s="1783"/>
      <c r="BQ128" s="1784"/>
      <c r="BR128" s="1785">
        <f t="shared" si="30"/>
        <v>2000</v>
      </c>
      <c r="BT128" s="1192">
        <f t="shared" si="31"/>
        <v>11000</v>
      </c>
    </row>
    <row r="129" spans="1:72" ht="16.2" thickBot="1" x14ac:dyDescent="0.35">
      <c r="A129" s="420"/>
      <c r="B129" s="431"/>
      <c r="C129" s="398" t="s">
        <v>216</v>
      </c>
      <c r="D129" s="375" t="s">
        <v>209</v>
      </c>
      <c r="E129" s="399">
        <f>+E128</f>
        <v>2.9</v>
      </c>
      <c r="F129" s="400"/>
      <c r="G129" s="375"/>
      <c r="H129" s="842">
        <f t="shared" si="28"/>
        <v>0</v>
      </c>
      <c r="I129" s="375"/>
      <c r="J129" s="362"/>
      <c r="K129" s="1395">
        <f t="shared" si="34"/>
        <v>0</v>
      </c>
      <c r="L129" s="1193">
        <f t="shared" si="34"/>
        <v>0</v>
      </c>
      <c r="M129" s="1194">
        <f t="shared" si="34"/>
        <v>0</v>
      </c>
      <c r="N129" s="1193">
        <f t="shared" si="34"/>
        <v>0</v>
      </c>
      <c r="O129" s="1194">
        <f t="shared" si="34"/>
        <v>0</v>
      </c>
      <c r="P129" s="1193">
        <f t="shared" si="34"/>
        <v>0</v>
      </c>
      <c r="Q129" s="1194">
        <f t="shared" si="34"/>
        <v>0</v>
      </c>
      <c r="R129" s="1193">
        <f t="shared" si="34"/>
        <v>0</v>
      </c>
      <c r="S129" s="1342">
        <f>(R129-$H129)+BL129</f>
        <v>0</v>
      </c>
      <c r="T129" s="1854"/>
      <c r="U129" s="1114"/>
      <c r="V129" s="1193"/>
      <c r="W129" s="1114"/>
      <c r="X129" s="1193"/>
      <c r="Y129" s="1929"/>
      <c r="Z129" s="1198"/>
      <c r="AA129" s="1199"/>
      <c r="AB129" s="1199"/>
      <c r="AC129" s="1104"/>
      <c r="AD129" s="1205"/>
      <c r="AE129" s="1197"/>
      <c r="AF129" s="1103"/>
      <c r="AG129" s="1104"/>
      <c r="AH129" s="1104"/>
      <c r="AI129" s="1104"/>
      <c r="AJ129" s="1205"/>
      <c r="AK129" s="1768"/>
      <c r="AL129" s="1204"/>
      <c r="AM129" s="1103"/>
      <c r="AN129" s="1103"/>
      <c r="AO129" s="1103"/>
      <c r="AP129" s="1195"/>
      <c r="AQ129" s="1769"/>
      <c r="AR129" s="1204"/>
      <c r="AS129" s="1103"/>
      <c r="AT129" s="1104"/>
      <c r="AU129" s="1104"/>
      <c r="AV129" s="1205"/>
      <c r="AW129" s="1196"/>
      <c r="AX129" s="1204"/>
      <c r="AY129" s="1103"/>
      <c r="AZ129" s="1103"/>
      <c r="BA129" s="1103"/>
      <c r="BB129" s="1195"/>
      <c r="BC129" s="1768"/>
      <c r="BD129" s="1204"/>
      <c r="BE129" s="1104"/>
      <c r="BF129" s="1104"/>
      <c r="BG129" s="1104"/>
      <c r="BH129" s="1195"/>
      <c r="BI129" s="1769"/>
      <c r="BJ129" s="1204"/>
      <c r="BK129" s="1104"/>
      <c r="BL129" s="1104"/>
      <c r="BM129" s="1205"/>
      <c r="BN129" s="1205"/>
      <c r="BO129" s="1768"/>
      <c r="BP129" s="1786"/>
      <c r="BQ129" s="1753"/>
      <c r="BR129" s="1754">
        <f t="shared" si="30"/>
        <v>0</v>
      </c>
      <c r="BS129" s="1"/>
      <c r="BT129" s="1192">
        <f t="shared" si="31"/>
        <v>0</v>
      </c>
    </row>
    <row r="130" spans="1:72" ht="16.2" thickBot="1" x14ac:dyDescent="0.35">
      <c r="A130" s="425"/>
      <c r="B130" s="394"/>
      <c r="C130" s="432" t="s">
        <v>217</v>
      </c>
      <c r="D130" s="386" t="s">
        <v>209</v>
      </c>
      <c r="E130" s="433">
        <f>+E129</f>
        <v>2.9</v>
      </c>
      <c r="F130" s="424"/>
      <c r="G130" s="386"/>
      <c r="H130" s="844">
        <f t="shared" si="28"/>
        <v>0</v>
      </c>
      <c r="I130" s="406"/>
      <c r="J130" s="385"/>
      <c r="K130" s="1437">
        <f t="shared" si="34"/>
        <v>0</v>
      </c>
      <c r="L130" s="1222">
        <f t="shared" si="34"/>
        <v>0</v>
      </c>
      <c r="M130" s="1223">
        <f t="shared" si="34"/>
        <v>0</v>
      </c>
      <c r="N130" s="1222">
        <f t="shared" si="34"/>
        <v>0</v>
      </c>
      <c r="O130" s="1223">
        <f t="shared" si="34"/>
        <v>0</v>
      </c>
      <c r="P130" s="1222">
        <f t="shared" si="34"/>
        <v>0</v>
      </c>
      <c r="Q130" s="1223">
        <f t="shared" si="34"/>
        <v>0</v>
      </c>
      <c r="R130" s="1222">
        <f t="shared" si="34"/>
        <v>0</v>
      </c>
      <c r="S130" s="1438">
        <f>(R130-$H130)+BL130</f>
        <v>0</v>
      </c>
      <c r="T130" s="1848"/>
      <c r="U130" s="1885"/>
      <c r="V130" s="1222"/>
      <c r="W130" s="1885"/>
      <c r="X130" s="1222"/>
      <c r="Y130" s="1923"/>
      <c r="Z130" s="1226"/>
      <c r="AA130" s="1227"/>
      <c r="AB130" s="1227"/>
      <c r="AC130" s="1219"/>
      <c r="AD130" s="1233"/>
      <c r="AE130" s="1225"/>
      <c r="AF130" s="1218"/>
      <c r="AG130" s="1219"/>
      <c r="AH130" s="1219"/>
      <c r="AI130" s="1219"/>
      <c r="AJ130" s="1233"/>
      <c r="AK130" s="1787"/>
      <c r="AL130" s="1232"/>
      <c r="AM130" s="1218"/>
      <c r="AN130" s="1218"/>
      <c r="AO130" s="1218"/>
      <c r="AP130" s="1281"/>
      <c r="AQ130" s="1788"/>
      <c r="AR130" s="1232"/>
      <c r="AS130" s="1218"/>
      <c r="AT130" s="1219"/>
      <c r="AU130" s="1219"/>
      <c r="AV130" s="1233"/>
      <c r="AW130" s="1221"/>
      <c r="AX130" s="1232"/>
      <c r="AY130" s="1218"/>
      <c r="AZ130" s="1218"/>
      <c r="BA130" s="1218"/>
      <c r="BB130" s="1281"/>
      <c r="BC130" s="1787"/>
      <c r="BD130" s="1232"/>
      <c r="BE130" s="1219"/>
      <c r="BF130" s="1219"/>
      <c r="BG130" s="1219"/>
      <c r="BH130" s="1281"/>
      <c r="BI130" s="1788"/>
      <c r="BJ130" s="1232"/>
      <c r="BK130" s="1219"/>
      <c r="BL130" s="1219"/>
      <c r="BM130" s="1233"/>
      <c r="BN130" s="1233"/>
      <c r="BO130" s="1787"/>
      <c r="BP130" s="1365"/>
      <c r="BQ130" s="1357"/>
      <c r="BR130" s="1759">
        <f t="shared" si="30"/>
        <v>0</v>
      </c>
      <c r="BS130" s="1"/>
      <c r="BT130" s="1192">
        <f t="shared" si="31"/>
        <v>0</v>
      </c>
    </row>
    <row r="131" spans="1:72" s="2493" customFormat="1" ht="15.6" x14ac:dyDescent="0.3">
      <c r="A131" s="2503">
        <v>2613</v>
      </c>
      <c r="B131" s="2504">
        <v>2</v>
      </c>
      <c r="C131" s="2505" t="s">
        <v>218</v>
      </c>
      <c r="D131" s="2476" t="s">
        <v>209</v>
      </c>
      <c r="E131" s="2506">
        <v>3</v>
      </c>
      <c r="F131" s="2474">
        <f>(BR131/G131)/7</f>
        <v>0.69348127600554776</v>
      </c>
      <c r="G131" s="2476">
        <v>515</v>
      </c>
      <c r="H131" s="2507">
        <f t="shared" si="28"/>
        <v>1545</v>
      </c>
      <c r="I131" s="2472">
        <v>10700</v>
      </c>
      <c r="J131" s="2476">
        <v>2500</v>
      </c>
      <c r="K131" s="1958">
        <v>3955</v>
      </c>
      <c r="L131" s="2477">
        <f t="shared" si="34"/>
        <v>2410</v>
      </c>
      <c r="M131" s="2477">
        <f t="shared" si="34"/>
        <v>865</v>
      </c>
      <c r="N131" s="2477">
        <f t="shared" si="34"/>
        <v>-680</v>
      </c>
      <c r="O131" s="2477">
        <f t="shared" si="34"/>
        <v>-2225</v>
      </c>
      <c r="P131" s="2477">
        <f t="shared" si="34"/>
        <v>-3770</v>
      </c>
      <c r="Q131" s="2477">
        <f t="shared" si="34"/>
        <v>-5315</v>
      </c>
      <c r="R131" s="2477">
        <f t="shared" si="34"/>
        <v>-6860</v>
      </c>
      <c r="S131" s="2478">
        <f t="shared" si="34"/>
        <v>-8405</v>
      </c>
      <c r="T131" s="2508"/>
      <c r="U131" s="2509"/>
      <c r="V131" s="2510"/>
      <c r="W131" s="2509"/>
      <c r="X131" s="2510">
        <v>3000</v>
      </c>
      <c r="Y131" s="2511"/>
      <c r="Z131" s="2512"/>
      <c r="AA131" s="2513"/>
      <c r="AB131" s="2513"/>
      <c r="AC131" s="2509"/>
      <c r="AD131" s="2514"/>
      <c r="AE131" s="2515"/>
      <c r="AF131" s="2516"/>
      <c r="AG131" s="2509"/>
      <c r="AH131" s="2509"/>
      <c r="AI131" s="2509"/>
      <c r="AJ131" s="2514"/>
      <c r="AK131" s="2511"/>
      <c r="AL131" s="2517"/>
      <c r="AM131" s="2516"/>
      <c r="AN131" s="2516"/>
      <c r="AO131" s="2516"/>
      <c r="AP131" s="2510"/>
      <c r="AQ131" s="2518"/>
      <c r="AR131" s="2517"/>
      <c r="AS131" s="2516"/>
      <c r="AT131" s="2509"/>
      <c r="AU131" s="2509"/>
      <c r="AV131" s="2514"/>
      <c r="AW131" s="2514"/>
      <c r="AX131" s="2517"/>
      <c r="AY131" s="2516"/>
      <c r="AZ131" s="2516"/>
      <c r="BA131" s="2516"/>
      <c r="BB131" s="2510"/>
      <c r="BC131" s="2511"/>
      <c r="BD131" s="2517"/>
      <c r="BE131" s="2509"/>
      <c r="BF131" s="2509"/>
      <c r="BG131" s="2509"/>
      <c r="BH131" s="2510"/>
      <c r="BI131" s="2518"/>
      <c r="BJ131" s="2517"/>
      <c r="BK131" s="2509"/>
      <c r="BL131" s="2509"/>
      <c r="BM131" s="2514"/>
      <c r="BN131" s="2514"/>
      <c r="BO131" s="2511"/>
      <c r="BP131" s="2499"/>
      <c r="BQ131" s="2519"/>
      <c r="BR131" s="2492">
        <f t="shared" si="30"/>
        <v>2500</v>
      </c>
      <c r="BT131" s="2494">
        <f t="shared" si="31"/>
        <v>0</v>
      </c>
    </row>
    <row r="132" spans="1:72" ht="16.2" thickBot="1" x14ac:dyDescent="0.35">
      <c r="A132" s="444"/>
      <c r="B132" s="411"/>
      <c r="C132" s="432" t="s">
        <v>219</v>
      </c>
      <c r="D132" s="386" t="s">
        <v>209</v>
      </c>
      <c r="E132" s="448">
        <f>+E131</f>
        <v>3</v>
      </c>
      <c r="F132" s="449"/>
      <c r="G132" s="375"/>
      <c r="H132" s="844">
        <f t="shared" si="28"/>
        <v>0</v>
      </c>
      <c r="I132" s="386"/>
      <c r="J132" s="362"/>
      <c r="K132" s="1560">
        <f t="shared" si="34"/>
        <v>0</v>
      </c>
      <c r="L132" s="1273">
        <f t="shared" si="34"/>
        <v>0</v>
      </c>
      <c r="M132" s="1274">
        <f t="shared" si="34"/>
        <v>0</v>
      </c>
      <c r="N132" s="1273">
        <f t="shared" si="34"/>
        <v>0</v>
      </c>
      <c r="O132" s="1274">
        <f t="shared" si="34"/>
        <v>0</v>
      </c>
      <c r="P132" s="1273">
        <f t="shared" si="34"/>
        <v>0</v>
      </c>
      <c r="Q132" s="1274">
        <f t="shared" si="34"/>
        <v>0</v>
      </c>
      <c r="R132" s="1273">
        <f t="shared" si="34"/>
        <v>0</v>
      </c>
      <c r="S132" s="1565">
        <f>(R132-$H132)+BL132</f>
        <v>0</v>
      </c>
      <c r="T132" s="1847"/>
      <c r="U132" s="1183"/>
      <c r="V132" s="1273"/>
      <c r="W132" s="1183"/>
      <c r="X132" s="1273"/>
      <c r="Y132" s="1902"/>
      <c r="Z132" s="1198"/>
      <c r="AA132" s="1227"/>
      <c r="AB132" s="1227"/>
      <c r="AC132" s="1219"/>
      <c r="AD132" s="1233"/>
      <c r="AE132" s="1225"/>
      <c r="AF132" s="1218"/>
      <c r="AG132" s="1219"/>
      <c r="AH132" s="1219"/>
      <c r="AI132" s="1219"/>
      <c r="AJ132" s="1233"/>
      <c r="AK132" s="1787"/>
      <c r="AL132" s="1232"/>
      <c r="AM132" s="1218"/>
      <c r="AN132" s="1218"/>
      <c r="AO132" s="1218"/>
      <c r="AP132" s="1281"/>
      <c r="AQ132" s="1788"/>
      <c r="AR132" s="1232"/>
      <c r="AS132" s="1218"/>
      <c r="AT132" s="1219"/>
      <c r="AU132" s="1219"/>
      <c r="AV132" s="1233"/>
      <c r="AW132" s="1221"/>
      <c r="AX132" s="1232"/>
      <c r="AY132" s="1218"/>
      <c r="AZ132" s="1218"/>
      <c r="BA132" s="1218"/>
      <c r="BB132" s="1281"/>
      <c r="BC132" s="1787"/>
      <c r="BD132" s="1232"/>
      <c r="BE132" s="1219"/>
      <c r="BF132" s="1219"/>
      <c r="BG132" s="1219"/>
      <c r="BH132" s="1281"/>
      <c r="BI132" s="1788"/>
      <c r="BJ132" s="1232"/>
      <c r="BK132" s="1219"/>
      <c r="BL132" s="1219"/>
      <c r="BM132" s="1233"/>
      <c r="BN132" s="1233"/>
      <c r="BO132" s="1787"/>
      <c r="BP132" s="1786"/>
      <c r="BQ132" s="1753"/>
      <c r="BR132" s="1754">
        <f t="shared" si="30"/>
        <v>0</v>
      </c>
      <c r="BS132" s="1"/>
      <c r="BT132" s="1192">
        <f t="shared" si="31"/>
        <v>0</v>
      </c>
    </row>
    <row r="133" spans="1:72" ht="16.2" thickBot="1" x14ac:dyDescent="0.35">
      <c r="A133" s="444"/>
      <c r="B133" s="411"/>
      <c r="C133" s="405" t="s">
        <v>220</v>
      </c>
      <c r="D133" s="406" t="s">
        <v>209</v>
      </c>
      <c r="E133" s="452">
        <f>+E132</f>
        <v>3</v>
      </c>
      <c r="F133" s="424"/>
      <c r="G133" s="406"/>
      <c r="H133" s="843">
        <f t="shared" si="28"/>
        <v>0</v>
      </c>
      <c r="I133" s="406"/>
      <c r="J133" s="385"/>
      <c r="K133" s="1801">
        <f t="shared" si="34"/>
        <v>0</v>
      </c>
      <c r="L133" s="1590">
        <f t="shared" si="34"/>
        <v>0</v>
      </c>
      <c r="M133" s="1589">
        <f t="shared" si="34"/>
        <v>0</v>
      </c>
      <c r="N133" s="1590">
        <f t="shared" si="34"/>
        <v>0</v>
      </c>
      <c r="O133" s="1589">
        <f t="shared" si="34"/>
        <v>0</v>
      </c>
      <c r="P133" s="1590">
        <f t="shared" si="34"/>
        <v>0</v>
      </c>
      <c r="Q133" s="1589">
        <f t="shared" si="34"/>
        <v>0</v>
      </c>
      <c r="R133" s="1590">
        <f t="shared" si="34"/>
        <v>0</v>
      </c>
      <c r="S133" s="1596">
        <f>(R133-$H133)+BL133</f>
        <v>0</v>
      </c>
      <c r="T133" s="1864"/>
      <c r="U133" s="1894"/>
      <c r="V133" s="1590"/>
      <c r="W133" s="1894"/>
      <c r="X133" s="1590"/>
      <c r="Y133" s="1922"/>
      <c r="Z133" s="1838"/>
      <c r="AA133" s="1779"/>
      <c r="AB133" s="1779"/>
      <c r="AC133" s="1776"/>
      <c r="AD133" s="1777"/>
      <c r="AE133" s="1772"/>
      <c r="AF133" s="1770"/>
      <c r="AG133" s="1776"/>
      <c r="AH133" s="1776"/>
      <c r="AI133" s="1776"/>
      <c r="AJ133" s="1777"/>
      <c r="AK133" s="1773"/>
      <c r="AL133" s="1774"/>
      <c r="AM133" s="1770"/>
      <c r="AN133" s="1770"/>
      <c r="AO133" s="1770"/>
      <c r="AP133" s="1771"/>
      <c r="AQ133" s="1775"/>
      <c r="AR133" s="1774"/>
      <c r="AS133" s="1770"/>
      <c r="AT133" s="1776"/>
      <c r="AU133" s="1776"/>
      <c r="AV133" s="1777"/>
      <c r="AW133" s="1778"/>
      <c r="AX133" s="1774"/>
      <c r="AY133" s="1770"/>
      <c r="AZ133" s="1770"/>
      <c r="BA133" s="1770"/>
      <c r="BB133" s="1771"/>
      <c r="BC133" s="1773"/>
      <c r="BD133" s="1774"/>
      <c r="BE133" s="1776"/>
      <c r="BF133" s="1776"/>
      <c r="BG133" s="1776"/>
      <c r="BH133" s="1771"/>
      <c r="BI133" s="1775"/>
      <c r="BJ133" s="1774"/>
      <c r="BK133" s="1776"/>
      <c r="BL133" s="1776"/>
      <c r="BM133" s="1777"/>
      <c r="BN133" s="1777"/>
      <c r="BO133" s="1773"/>
      <c r="BP133" s="1267"/>
      <c r="BQ133" s="1269"/>
      <c r="BR133" s="1759">
        <f t="shared" si="30"/>
        <v>0</v>
      </c>
      <c r="BS133" s="1"/>
      <c r="BT133" s="1192">
        <f t="shared" si="31"/>
        <v>0</v>
      </c>
    </row>
    <row r="134" spans="1:72" ht="15.6" x14ac:dyDescent="0.3">
      <c r="A134" s="425"/>
      <c r="B134" s="394"/>
      <c r="C134" s="533" t="s">
        <v>221</v>
      </c>
      <c r="D134" s="534" t="s">
        <v>446</v>
      </c>
      <c r="E134" s="535">
        <v>2.2000000000000002</v>
      </c>
      <c r="F134" s="536" t="e">
        <f>(BR134/G134)/7</f>
        <v>#DIV/0!</v>
      </c>
      <c r="G134" s="385"/>
      <c r="H134" s="846">
        <f t="shared" si="28"/>
        <v>0</v>
      </c>
      <c r="I134" s="362"/>
      <c r="J134" s="392"/>
      <c r="K134" s="1243">
        <f t="shared" si="34"/>
        <v>0</v>
      </c>
      <c r="L134" s="1243">
        <f t="shared" si="34"/>
        <v>0</v>
      </c>
      <c r="M134" s="1243">
        <f t="shared" si="34"/>
        <v>0</v>
      </c>
      <c r="N134" s="1243">
        <f t="shared" si="34"/>
        <v>0</v>
      </c>
      <c r="O134" s="1243">
        <f t="shared" si="34"/>
        <v>0</v>
      </c>
      <c r="P134" s="1274">
        <f t="shared" si="34"/>
        <v>0</v>
      </c>
      <c r="Q134" s="1274">
        <f t="shared" si="34"/>
        <v>0</v>
      </c>
      <c r="R134" s="1273">
        <f t="shared" si="34"/>
        <v>0</v>
      </c>
      <c r="S134" s="1438">
        <f t="shared" si="34"/>
        <v>0</v>
      </c>
      <c r="T134" s="1848"/>
      <c r="U134" s="1885"/>
      <c r="V134" s="1222"/>
      <c r="W134" s="1885"/>
      <c r="X134" s="1222"/>
      <c r="Y134" s="1923"/>
      <c r="Z134" s="1356"/>
      <c r="AA134" s="1357"/>
      <c r="AB134" s="1357"/>
      <c r="AC134" s="1362"/>
      <c r="AD134" s="1369"/>
      <c r="AE134" s="1755"/>
      <c r="AF134" s="1451"/>
      <c r="AG134" s="1362"/>
      <c r="AH134" s="1362"/>
      <c r="AI134" s="1362"/>
      <c r="AJ134" s="1369"/>
      <c r="AK134" s="1756"/>
      <c r="AL134" s="1361"/>
      <c r="AM134" s="1451"/>
      <c r="AN134" s="1451"/>
      <c r="AO134" s="1451"/>
      <c r="AP134" s="1224"/>
      <c r="AQ134" s="1757"/>
      <c r="AR134" s="1361"/>
      <c r="AS134" s="1451"/>
      <c r="AT134" s="1362"/>
      <c r="AU134" s="1362"/>
      <c r="AV134" s="1369"/>
      <c r="AW134" s="1758"/>
      <c r="AX134" s="1361"/>
      <c r="AY134" s="1451"/>
      <c r="AZ134" s="1451"/>
      <c r="BA134" s="1451"/>
      <c r="BB134" s="1224"/>
      <c r="BC134" s="1756"/>
      <c r="BD134" s="1361"/>
      <c r="BE134" s="1362"/>
      <c r="BF134" s="1362"/>
      <c r="BG134" s="1362"/>
      <c r="BH134" s="1224"/>
      <c r="BI134" s="1757"/>
      <c r="BJ134" s="1361"/>
      <c r="BK134" s="1362"/>
      <c r="BL134" s="1362"/>
      <c r="BM134" s="1369"/>
      <c r="BN134" s="1369"/>
      <c r="BO134" s="1756"/>
      <c r="BP134" s="1765"/>
      <c r="BQ134" s="1766"/>
      <c r="BR134" s="1767">
        <f t="shared" si="30"/>
        <v>0</v>
      </c>
      <c r="BS134" s="1"/>
      <c r="BT134" s="1192">
        <f t="shared" si="31"/>
        <v>0</v>
      </c>
    </row>
    <row r="135" spans="1:72" ht="15.6" x14ac:dyDescent="0.3">
      <c r="A135" s="447"/>
      <c r="B135" s="401"/>
      <c r="C135" s="539" t="s">
        <v>222</v>
      </c>
      <c r="D135" s="540" t="s">
        <v>209</v>
      </c>
      <c r="E135" s="535">
        <f>+E134</f>
        <v>2.2000000000000002</v>
      </c>
      <c r="F135" s="541"/>
      <c r="G135" s="375"/>
      <c r="H135" s="842">
        <f t="shared" si="28"/>
        <v>0</v>
      </c>
      <c r="I135" s="375"/>
      <c r="J135" s="362"/>
      <c r="K135" s="1395">
        <f t="shared" si="34"/>
        <v>0</v>
      </c>
      <c r="L135" s="1222">
        <f t="shared" si="34"/>
        <v>0</v>
      </c>
      <c r="M135" s="1194">
        <f t="shared" si="34"/>
        <v>0</v>
      </c>
      <c r="N135" s="1273">
        <f t="shared" si="34"/>
        <v>0</v>
      </c>
      <c r="O135" s="1194">
        <f t="shared" si="34"/>
        <v>0</v>
      </c>
      <c r="P135" s="1273">
        <f t="shared" si="34"/>
        <v>0</v>
      </c>
      <c r="Q135" s="1194">
        <f t="shared" si="34"/>
        <v>0</v>
      </c>
      <c r="R135" s="1193">
        <f t="shared" si="34"/>
        <v>0</v>
      </c>
      <c r="S135" s="1342">
        <f>(R135-$H135)+AN135</f>
        <v>0</v>
      </c>
      <c r="T135" s="1854"/>
      <c r="U135" s="1114"/>
      <c r="V135" s="1193"/>
      <c r="W135" s="1114"/>
      <c r="X135" s="1193"/>
      <c r="Y135" s="1929"/>
      <c r="Z135" s="1198"/>
      <c r="AA135" s="1199"/>
      <c r="AB135" s="1199"/>
      <c r="AC135" s="1104"/>
      <c r="AD135" s="1205"/>
      <c r="AE135" s="1197"/>
      <c r="AF135" s="1103"/>
      <c r="AG135" s="1104"/>
      <c r="AH135" s="1104"/>
      <c r="AI135" s="1104"/>
      <c r="AJ135" s="1205"/>
      <c r="AK135" s="1768"/>
      <c r="AL135" s="1204"/>
      <c r="AM135" s="1103"/>
      <c r="AN135" s="1103"/>
      <c r="AO135" s="1103"/>
      <c r="AP135" s="1195"/>
      <c r="AQ135" s="1769"/>
      <c r="AR135" s="1204"/>
      <c r="AS135" s="1103"/>
      <c r="AT135" s="1104"/>
      <c r="AU135" s="1104"/>
      <c r="AV135" s="1205"/>
      <c r="AW135" s="1196"/>
      <c r="AX135" s="1204"/>
      <c r="AY135" s="1103"/>
      <c r="AZ135" s="1103"/>
      <c r="BA135" s="1103"/>
      <c r="BB135" s="1195"/>
      <c r="BC135" s="1768"/>
      <c r="BD135" s="1204"/>
      <c r="BE135" s="1104"/>
      <c r="BF135" s="1104"/>
      <c r="BG135" s="1104"/>
      <c r="BH135" s="1195"/>
      <c r="BI135" s="1769"/>
      <c r="BJ135" s="1204"/>
      <c r="BK135" s="1104"/>
      <c r="BL135" s="1104"/>
      <c r="BM135" s="1205"/>
      <c r="BN135" s="1205"/>
      <c r="BO135" s="1768"/>
      <c r="BP135" s="1786"/>
      <c r="BQ135" s="1802"/>
      <c r="BR135" s="1754">
        <f t="shared" si="30"/>
        <v>0</v>
      </c>
      <c r="BS135" s="1"/>
      <c r="BT135" s="1192">
        <f t="shared" si="31"/>
        <v>0</v>
      </c>
    </row>
    <row r="136" spans="1:72" ht="16.2" thickBot="1" x14ac:dyDescent="0.35">
      <c r="A136" s="420"/>
      <c r="B136" s="411"/>
      <c r="C136" s="544" t="s">
        <v>223</v>
      </c>
      <c r="D136" s="545" t="s">
        <v>209</v>
      </c>
      <c r="E136" s="546">
        <f>+E135</f>
        <v>2.2000000000000002</v>
      </c>
      <c r="F136" s="547"/>
      <c r="G136" s="458"/>
      <c r="H136" s="847">
        <f t="shared" si="28"/>
        <v>0</v>
      </c>
      <c r="I136" s="458"/>
      <c r="J136" s="459"/>
      <c r="K136" s="1803">
        <f t="shared" si="34"/>
        <v>0</v>
      </c>
      <c r="L136" s="1804">
        <f t="shared" si="34"/>
        <v>0</v>
      </c>
      <c r="M136" s="1805">
        <f t="shared" si="34"/>
        <v>0</v>
      </c>
      <c r="N136" s="1806">
        <f t="shared" si="34"/>
        <v>0</v>
      </c>
      <c r="O136" s="1698">
        <f t="shared" si="34"/>
        <v>0</v>
      </c>
      <c r="P136" s="1806">
        <f t="shared" si="34"/>
        <v>0</v>
      </c>
      <c r="Q136" s="1698">
        <f t="shared" si="34"/>
        <v>0</v>
      </c>
      <c r="R136" s="1804">
        <f t="shared" si="34"/>
        <v>0</v>
      </c>
      <c r="S136" s="1697">
        <f>(R136-$H136)+AN136</f>
        <v>0</v>
      </c>
      <c r="T136" s="1869"/>
      <c r="U136" s="1925"/>
      <c r="V136" s="1804"/>
      <c r="W136" s="1925"/>
      <c r="X136" s="1804"/>
      <c r="Y136" s="1926"/>
      <c r="Z136" s="1839"/>
      <c r="AA136" s="1807"/>
      <c r="AB136" s="1807"/>
      <c r="AC136" s="1808"/>
      <c r="AD136" s="1809"/>
      <c r="AE136" s="1810"/>
      <c r="AF136" s="1811"/>
      <c r="AG136" s="1812"/>
      <c r="AH136" s="1812"/>
      <c r="AI136" s="1812"/>
      <c r="AJ136" s="1813"/>
      <c r="AK136" s="1814"/>
      <c r="AL136" s="1815"/>
      <c r="AM136" s="1811"/>
      <c r="AN136" s="1811"/>
      <c r="AO136" s="1811"/>
      <c r="AP136" s="1816"/>
      <c r="AQ136" s="1817"/>
      <c r="AR136" s="1815"/>
      <c r="AS136" s="1811"/>
      <c r="AT136" s="1812"/>
      <c r="AU136" s="1812"/>
      <c r="AV136" s="1813"/>
      <c r="AW136" s="1818"/>
      <c r="AX136" s="1815"/>
      <c r="AY136" s="1811"/>
      <c r="AZ136" s="1811"/>
      <c r="BA136" s="1811"/>
      <c r="BB136" s="1816"/>
      <c r="BC136" s="1814"/>
      <c r="BD136" s="1815"/>
      <c r="BE136" s="1812"/>
      <c r="BF136" s="1812"/>
      <c r="BG136" s="1812"/>
      <c r="BH136" s="1816"/>
      <c r="BI136" s="1817"/>
      <c r="BJ136" s="1815"/>
      <c r="BK136" s="1812"/>
      <c r="BL136" s="1812"/>
      <c r="BM136" s="1813"/>
      <c r="BN136" s="1813"/>
      <c r="BO136" s="1814"/>
      <c r="BP136" s="1819"/>
      <c r="BQ136" s="1820"/>
      <c r="BR136" s="1821">
        <f t="shared" si="30"/>
        <v>0</v>
      </c>
      <c r="BS136" s="1"/>
      <c r="BT136" s="1192">
        <f t="shared" si="31"/>
        <v>0</v>
      </c>
    </row>
    <row r="137" spans="1:72" ht="15" thickTop="1" x14ac:dyDescent="0.3">
      <c r="A137" s="1"/>
      <c r="B137" s="1"/>
      <c r="C137" s="1"/>
      <c r="D137" s="1"/>
      <c r="E137" s="1"/>
      <c r="F137" s="1"/>
      <c r="G137" s="1"/>
      <c r="H137" s="1"/>
      <c r="I137" s="857"/>
      <c r="J137" s="1"/>
      <c r="K137" s="1085"/>
      <c r="L137" s="1085"/>
      <c r="M137" s="1822"/>
      <c r="N137" s="1823"/>
      <c r="O137" s="1085"/>
      <c r="P137" s="1085"/>
      <c r="Q137" s="1085"/>
      <c r="R137" s="1085"/>
      <c r="S137" s="1085"/>
      <c r="T137" s="1936"/>
      <c r="U137" s="1085"/>
      <c r="V137" s="1085"/>
      <c r="W137" s="1085"/>
      <c r="X137" s="1085"/>
      <c r="Y137" s="1085"/>
      <c r="Z137" s="1085"/>
      <c r="AA137" s="1085"/>
      <c r="AB137" s="1085"/>
      <c r="AC137" s="1824"/>
      <c r="AD137" s="1085"/>
      <c r="AE137" s="1085"/>
      <c r="AF137" s="1085"/>
      <c r="AG137" s="1085"/>
      <c r="AH137" s="1085"/>
      <c r="AI137" s="1085"/>
      <c r="AJ137" s="1085"/>
      <c r="AK137" s="1085"/>
      <c r="AL137" s="1085"/>
      <c r="AM137" s="1085"/>
      <c r="AN137" s="1085"/>
      <c r="AO137" s="1085"/>
      <c r="AP137" s="1085"/>
      <c r="AQ137" s="1085"/>
      <c r="AR137" s="1085"/>
      <c r="AS137" s="1085"/>
      <c r="AT137" s="1085"/>
      <c r="AU137" s="1085"/>
      <c r="AV137" s="1085"/>
      <c r="AW137" s="1085"/>
      <c r="AX137" s="1085"/>
      <c r="AY137" s="1085"/>
      <c r="AZ137" s="1085"/>
      <c r="BA137" s="1085"/>
      <c r="BB137" s="1085"/>
      <c r="BC137" s="1085"/>
      <c r="BD137" s="1085"/>
      <c r="BE137" s="1085"/>
      <c r="BF137" s="1085"/>
      <c r="BG137" s="1085"/>
      <c r="BH137" s="1085"/>
      <c r="BI137" s="1085"/>
      <c r="BJ137" s="1085"/>
      <c r="BK137" s="1085"/>
      <c r="BL137" s="1085"/>
      <c r="BM137" s="1085"/>
      <c r="BN137" s="1085"/>
      <c r="BO137" s="1085"/>
      <c r="BP137" s="1085"/>
      <c r="BQ137" s="1085"/>
      <c r="BR137" s="1085"/>
      <c r="BS137" s="1"/>
    </row>
    <row r="138" spans="1:72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085"/>
      <c r="L138" s="1085"/>
      <c r="M138" s="1085"/>
      <c r="N138" s="1085"/>
      <c r="O138" s="1085"/>
      <c r="P138" s="1085"/>
      <c r="Q138" s="1085"/>
      <c r="R138" s="1085"/>
      <c r="S138" s="1085"/>
      <c r="T138" s="1085"/>
      <c r="U138" s="1085"/>
      <c r="V138" s="1085"/>
      <c r="W138" s="1085"/>
      <c r="X138" s="1085"/>
      <c r="Y138" s="1085"/>
      <c r="Z138" s="1552"/>
      <c r="AA138" s="1552"/>
      <c r="AB138" s="1552"/>
      <c r="AC138" s="1552"/>
      <c r="AD138" s="1552"/>
      <c r="AE138" s="1552"/>
      <c r="AF138" s="1552"/>
      <c r="AG138" s="1552"/>
      <c r="AH138" s="1552"/>
      <c r="AI138" s="1552"/>
      <c r="AJ138" s="1552"/>
      <c r="AK138" s="1552"/>
      <c r="AL138" s="1552"/>
      <c r="AM138" s="1552"/>
      <c r="AN138" s="1552"/>
      <c r="AO138" s="1552"/>
      <c r="AP138" s="1552"/>
      <c r="AQ138" s="1552"/>
      <c r="AR138" s="1552"/>
      <c r="AS138" s="1552"/>
      <c r="AT138" s="1552"/>
      <c r="AU138" s="1552"/>
      <c r="AV138" s="1552"/>
      <c r="AW138" s="1552"/>
      <c r="AX138" s="1552"/>
      <c r="AY138" s="1552"/>
      <c r="AZ138" s="1552"/>
      <c r="BA138" s="1552"/>
      <c r="BB138" s="1552"/>
      <c r="BC138" s="1552"/>
      <c r="BD138" s="1552"/>
      <c r="BE138" s="1552"/>
      <c r="BF138" s="1552"/>
      <c r="BG138" s="1552"/>
      <c r="BH138" s="1552"/>
      <c r="BI138" s="1552"/>
      <c r="BJ138" s="1552"/>
      <c r="BK138" s="1552"/>
      <c r="BL138" s="1552"/>
      <c r="BM138" s="1552"/>
      <c r="BN138" s="1552"/>
      <c r="BO138" s="1552"/>
      <c r="BP138" s="1552"/>
      <c r="BQ138" s="1552"/>
      <c r="BR138" s="1552"/>
      <c r="BS138" s="1085"/>
      <c r="BT138" s="1192"/>
    </row>
    <row r="139" spans="1:72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085"/>
      <c r="L139" s="1085"/>
      <c r="M139" s="1085"/>
      <c r="N139" s="1085"/>
      <c r="O139" s="1085"/>
      <c r="P139" s="1085"/>
      <c r="Q139" s="1085"/>
      <c r="R139" s="1085"/>
      <c r="S139" s="1085"/>
      <c r="T139" s="1085"/>
      <c r="U139" s="1085"/>
      <c r="V139" s="1085"/>
      <c r="W139" s="1085"/>
      <c r="X139" s="1085"/>
      <c r="Y139" s="1085"/>
      <c r="Z139" s="1085"/>
      <c r="AA139" s="1085"/>
      <c r="AB139" s="1085"/>
      <c r="AC139" s="1085"/>
      <c r="AD139" s="1085"/>
      <c r="AE139" s="1085"/>
      <c r="AF139" s="1085"/>
      <c r="AG139" s="1085"/>
      <c r="AH139" s="1085"/>
      <c r="AI139" s="1085"/>
      <c r="AJ139" s="1085"/>
      <c r="AK139" s="1085"/>
      <c r="AL139" s="1085"/>
      <c r="AM139" s="1085"/>
      <c r="AN139" s="1085"/>
      <c r="AO139" s="1085"/>
      <c r="AP139" s="1085"/>
      <c r="AQ139" s="1085"/>
      <c r="AR139" s="1085"/>
      <c r="AS139" s="1085"/>
      <c r="AT139" s="1085"/>
      <c r="AU139" s="1085"/>
      <c r="AV139" s="1085"/>
      <c r="AW139" s="1085"/>
      <c r="AX139" s="1085"/>
      <c r="AY139" s="1085"/>
      <c r="AZ139" s="1085"/>
      <c r="BA139" s="1085"/>
      <c r="BB139" s="1085"/>
      <c r="BC139" s="1085"/>
      <c r="BD139" s="1085"/>
      <c r="BE139" s="1085"/>
      <c r="BF139" s="1085"/>
      <c r="BG139" s="1085"/>
      <c r="BH139" s="1085"/>
      <c r="BI139" s="1085"/>
      <c r="BJ139" s="1085"/>
      <c r="BK139" s="1085"/>
      <c r="BL139" s="1085"/>
      <c r="BM139" s="1085"/>
      <c r="BN139" s="1085"/>
      <c r="BO139" s="1085"/>
      <c r="BP139" s="1085"/>
      <c r="BQ139" s="1085"/>
      <c r="BR139" s="1085"/>
      <c r="BS139" s="1"/>
    </row>
    <row r="140" spans="1:72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085"/>
      <c r="L140" s="1085"/>
      <c r="M140" s="1085"/>
      <c r="N140" s="1085"/>
      <c r="O140" s="1085"/>
      <c r="P140" s="1085"/>
      <c r="Q140" s="1085"/>
      <c r="R140" s="1085"/>
      <c r="S140" s="1085"/>
      <c r="T140" s="1085"/>
      <c r="U140" s="1085"/>
      <c r="V140" s="1085"/>
      <c r="W140" s="1085"/>
      <c r="X140" s="1085"/>
      <c r="Y140" s="1085"/>
      <c r="Z140" s="1552"/>
      <c r="AA140" s="1552"/>
      <c r="AB140" s="1552"/>
      <c r="AC140" s="1552"/>
      <c r="AD140" s="1552"/>
      <c r="AE140" s="1552"/>
      <c r="AF140" s="1552"/>
      <c r="AG140" s="1552"/>
      <c r="AH140" s="1552"/>
      <c r="AI140" s="1552"/>
      <c r="AJ140" s="1552"/>
      <c r="AK140" s="1552"/>
      <c r="AL140" s="1552"/>
      <c r="AM140" s="1552"/>
      <c r="AN140" s="1552"/>
      <c r="AO140" s="1552"/>
      <c r="AP140" s="1552"/>
      <c r="AQ140" s="1552"/>
      <c r="AR140" s="1552"/>
      <c r="AS140" s="1552"/>
      <c r="AT140" s="1552"/>
      <c r="AU140" s="1552"/>
      <c r="AV140" s="1552"/>
      <c r="AW140" s="1552"/>
      <c r="AX140" s="1552"/>
      <c r="AY140" s="1552"/>
      <c r="AZ140" s="1552"/>
      <c r="BA140" s="1552"/>
      <c r="BB140" s="1552"/>
      <c r="BC140" s="1552"/>
      <c r="BD140" s="1552"/>
      <c r="BE140" s="1552"/>
      <c r="BF140" s="1552"/>
      <c r="BG140" s="1552"/>
      <c r="BH140" s="1552"/>
      <c r="BI140" s="1552"/>
      <c r="BJ140" s="1552"/>
      <c r="BK140" s="1552"/>
      <c r="BL140" s="1552"/>
      <c r="BM140" s="1552"/>
      <c r="BN140" s="1552"/>
      <c r="BO140" s="1552"/>
      <c r="BP140" s="1085"/>
      <c r="BQ140" s="1085"/>
      <c r="BR140" s="1085"/>
      <c r="BS140" s="1085"/>
      <c r="BT140" s="1192"/>
    </row>
  </sheetData>
  <mergeCells count="9">
    <mergeCell ref="A66:A67"/>
    <mergeCell ref="A9:D9"/>
    <mergeCell ref="A47:A49"/>
    <mergeCell ref="A50:A53"/>
    <mergeCell ref="A54:A56"/>
    <mergeCell ref="A57:A59"/>
    <mergeCell ref="B57:B59"/>
    <mergeCell ref="A60:A62"/>
    <mergeCell ref="B60:B62"/>
  </mergeCells>
  <pageMargins left="0.7" right="0.7" top="0.75" bottom="0.75" header="0.3" footer="0.3"/>
  <pageSetup orientation="portrait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0807E-1CD8-4E2A-8280-B99313A6B9F9}">
  <sheetPr>
    <pageSetUpPr fitToPage="1"/>
  </sheetPr>
  <dimension ref="A1:AF48"/>
  <sheetViews>
    <sheetView zoomScaleNormal="100" workbookViewId="0">
      <pane xSplit="1" topLeftCell="V1" activePane="topRight" state="frozen"/>
      <selection pane="topRight" sqref="A1:XFD1048576"/>
    </sheetView>
  </sheetViews>
  <sheetFormatPr defaultColWidth="9.109375" defaultRowHeight="14.4" x14ac:dyDescent="0.3"/>
  <cols>
    <col min="1" max="1" width="41.5546875" style="549" bestFit="1" customWidth="1"/>
    <col min="2" max="2" width="4.88671875" style="549" customWidth="1"/>
    <col min="3" max="3" width="20.6640625" style="549" bestFit="1" customWidth="1"/>
    <col min="4" max="4" width="23" style="549" bestFit="1" customWidth="1"/>
    <col min="5" max="5" width="19.33203125" style="549" bestFit="1" customWidth="1"/>
    <col min="6" max="6" width="16.33203125" style="549" bestFit="1" customWidth="1"/>
    <col min="7" max="7" width="20.6640625" style="549" bestFit="1" customWidth="1"/>
    <col min="8" max="8" width="11.33203125" style="549" bestFit="1" customWidth="1"/>
    <col min="9" max="9" width="23" style="549" bestFit="1" customWidth="1"/>
    <col min="10" max="10" width="16.33203125" style="549" bestFit="1" customWidth="1"/>
    <col min="11" max="11" width="20.6640625" style="549" bestFit="1" customWidth="1"/>
    <col min="12" max="12" width="11.33203125" style="549" bestFit="1" customWidth="1"/>
    <col min="13" max="13" width="23" style="549" bestFit="1" customWidth="1"/>
    <col min="14" max="14" width="16.33203125" style="549" customWidth="1"/>
    <col min="15" max="15" width="20.6640625" style="549" bestFit="1" customWidth="1"/>
    <col min="16" max="16" width="11.33203125" style="549" bestFit="1" customWidth="1"/>
    <col min="17" max="17" width="23" style="549" bestFit="1" customWidth="1"/>
    <col min="18" max="18" width="16.33203125" style="549" customWidth="1"/>
    <col min="19" max="19" width="20.6640625" style="549" bestFit="1" customWidth="1"/>
    <col min="20" max="20" width="11.33203125" style="550" bestFit="1" customWidth="1"/>
    <col min="21" max="21" width="23" style="549" bestFit="1" customWidth="1"/>
    <col min="22" max="22" width="16.33203125" style="549" bestFit="1" customWidth="1"/>
    <col min="23" max="23" width="20.6640625" style="549" bestFit="1" customWidth="1"/>
    <col min="24" max="24" width="11.33203125" style="549" bestFit="1" customWidth="1"/>
    <col min="25" max="25" width="23" style="549" bestFit="1" customWidth="1"/>
    <col min="26" max="26" width="16.33203125" style="549" bestFit="1" customWidth="1"/>
    <col min="27" max="27" width="20.6640625" style="549" bestFit="1" customWidth="1"/>
    <col min="28" max="28" width="11.33203125" style="549" bestFit="1" customWidth="1"/>
    <col min="29" max="29" width="23" style="549" bestFit="1" customWidth="1"/>
    <col min="30" max="30" width="16.33203125" style="549" bestFit="1" customWidth="1"/>
    <col min="31" max="32" width="11.33203125" style="549" bestFit="1" customWidth="1"/>
    <col min="33" max="16384" width="9.109375" style="549"/>
  </cols>
  <sheetData>
    <row r="1" spans="1:32" ht="15" thickBot="1" x14ac:dyDescent="0.35">
      <c r="C1" s="2724" t="s">
        <v>277</v>
      </c>
      <c r="D1" s="2725"/>
      <c r="E1" s="2725"/>
      <c r="F1" s="2726"/>
      <c r="G1" s="2724" t="s">
        <v>277</v>
      </c>
      <c r="H1" s="2725"/>
      <c r="I1" s="2725"/>
      <c r="J1" s="2726"/>
      <c r="K1" s="2724" t="s">
        <v>277</v>
      </c>
      <c r="L1" s="2725"/>
      <c r="M1" s="2725"/>
      <c r="N1" s="2726"/>
      <c r="O1" s="2724" t="s">
        <v>277</v>
      </c>
      <c r="P1" s="2725"/>
      <c r="Q1" s="2725"/>
      <c r="R1" s="2726"/>
      <c r="S1" s="2724" t="s">
        <v>277</v>
      </c>
      <c r="T1" s="2725"/>
      <c r="U1" s="2725"/>
      <c r="V1" s="2726"/>
      <c r="W1" s="2724" t="s">
        <v>277</v>
      </c>
      <c r="X1" s="2725"/>
      <c r="Y1" s="2725"/>
      <c r="Z1" s="2726"/>
      <c r="AA1" s="2724" t="s">
        <v>277</v>
      </c>
      <c r="AB1" s="2725"/>
      <c r="AC1" s="2725"/>
      <c r="AD1" s="2726"/>
    </row>
    <row r="2" spans="1:32" s="550" customFormat="1" ht="15" thickBot="1" x14ac:dyDescent="0.35">
      <c r="C2" s="572" t="s">
        <v>263</v>
      </c>
      <c r="D2" s="873"/>
      <c r="E2" s="550" t="s">
        <v>270</v>
      </c>
      <c r="F2" s="573"/>
      <c r="G2" s="572" t="s">
        <v>263</v>
      </c>
      <c r="H2" s="555"/>
      <c r="I2" s="550" t="s">
        <v>270</v>
      </c>
      <c r="J2" s="573"/>
      <c r="K2" s="572" t="s">
        <v>263</v>
      </c>
      <c r="L2" s="555">
        <v>34</v>
      </c>
      <c r="M2" s="550" t="s">
        <v>270</v>
      </c>
      <c r="N2" s="573"/>
      <c r="O2" s="572" t="s">
        <v>263</v>
      </c>
      <c r="P2" s="555"/>
      <c r="Q2" s="550" t="s">
        <v>270</v>
      </c>
      <c r="R2" s="573"/>
      <c r="S2" s="572" t="s">
        <v>263</v>
      </c>
      <c r="T2" s="555"/>
      <c r="U2" s="550" t="s">
        <v>270</v>
      </c>
      <c r="V2" s="573"/>
      <c r="W2" s="572" t="s">
        <v>263</v>
      </c>
      <c r="X2" s="555"/>
      <c r="Y2" s="550" t="s">
        <v>270</v>
      </c>
      <c r="Z2" s="573"/>
      <c r="AA2" s="572" t="s">
        <v>263</v>
      </c>
      <c r="AB2" s="555"/>
      <c r="AC2" s="550" t="s">
        <v>270</v>
      </c>
      <c r="AD2" s="573"/>
    </row>
    <row r="3" spans="1:32" ht="15" thickBot="1" x14ac:dyDescent="0.35">
      <c r="C3" s="572" t="s">
        <v>276</v>
      </c>
      <c r="D3" s="873">
        <v>34</v>
      </c>
      <c r="E3" s="550" t="s">
        <v>271</v>
      </c>
      <c r="F3" s="579"/>
      <c r="G3" s="572" t="s">
        <v>276</v>
      </c>
      <c r="H3" s="555">
        <v>34</v>
      </c>
      <c r="I3" s="550" t="s">
        <v>271</v>
      </c>
      <c r="J3" s="579"/>
      <c r="K3" s="572" t="s">
        <v>276</v>
      </c>
      <c r="L3" s="555"/>
      <c r="M3" s="550" t="s">
        <v>271</v>
      </c>
      <c r="N3" s="579"/>
      <c r="O3" s="572" t="s">
        <v>276</v>
      </c>
      <c r="P3" s="555"/>
      <c r="Q3" s="550" t="s">
        <v>271</v>
      </c>
      <c r="R3" s="579"/>
      <c r="S3" s="572" t="s">
        <v>276</v>
      </c>
      <c r="T3" s="555"/>
      <c r="U3" s="550" t="s">
        <v>271</v>
      </c>
      <c r="V3" s="579"/>
      <c r="W3" s="572" t="s">
        <v>276</v>
      </c>
      <c r="X3" s="555"/>
      <c r="Y3" s="550" t="s">
        <v>271</v>
      </c>
      <c r="Z3" s="579"/>
      <c r="AA3" s="572" t="s">
        <v>276</v>
      </c>
      <c r="AB3" s="555"/>
      <c r="AC3" s="550" t="s">
        <v>271</v>
      </c>
      <c r="AD3" s="579"/>
    </row>
    <row r="4" spans="1:32" s="550" customFormat="1" ht="15" thickBot="1" x14ac:dyDescent="0.35">
      <c r="C4" s="572" t="s">
        <v>269</v>
      </c>
      <c r="D4" s="874" t="s">
        <v>565</v>
      </c>
      <c r="E4" s="550" t="s">
        <v>272</v>
      </c>
      <c r="F4" s="579"/>
      <c r="G4" s="572" t="s">
        <v>269</v>
      </c>
      <c r="H4" s="874" t="s">
        <v>566</v>
      </c>
      <c r="I4" s="550" t="s">
        <v>272</v>
      </c>
      <c r="J4" s="579"/>
      <c r="K4" s="572" t="s">
        <v>269</v>
      </c>
      <c r="L4" s="874" t="s">
        <v>567</v>
      </c>
      <c r="M4" s="550" t="s">
        <v>272</v>
      </c>
      <c r="N4" s="579"/>
      <c r="O4" s="572" t="s">
        <v>269</v>
      </c>
      <c r="P4" s="874" t="s">
        <v>568</v>
      </c>
      <c r="Q4" s="550" t="s">
        <v>272</v>
      </c>
      <c r="R4" s="579"/>
      <c r="S4" s="572" t="s">
        <v>269</v>
      </c>
      <c r="T4" s="555"/>
      <c r="U4" s="550" t="s">
        <v>272</v>
      </c>
      <c r="V4" s="579"/>
      <c r="W4" s="572" t="s">
        <v>269</v>
      </c>
      <c r="X4" s="555"/>
      <c r="Y4" s="550" t="s">
        <v>272</v>
      </c>
      <c r="Z4" s="579"/>
      <c r="AA4" s="572" t="s">
        <v>269</v>
      </c>
      <c r="AB4" s="555"/>
      <c r="AC4" s="550" t="s">
        <v>272</v>
      </c>
      <c r="AD4" s="579"/>
    </row>
    <row r="5" spans="1:32" ht="15" thickBot="1" x14ac:dyDescent="0.35">
      <c r="C5" s="572" t="s">
        <v>275</v>
      </c>
      <c r="D5" s="555"/>
      <c r="E5" s="550" t="s">
        <v>278</v>
      </c>
      <c r="F5" s="579"/>
      <c r="G5" s="572" t="s">
        <v>275</v>
      </c>
      <c r="H5" s="555"/>
      <c r="I5" s="550" t="s">
        <v>278</v>
      </c>
      <c r="J5" s="579"/>
      <c r="K5" s="572" t="s">
        <v>275</v>
      </c>
      <c r="L5" s="555"/>
      <c r="M5" s="550" t="s">
        <v>278</v>
      </c>
      <c r="N5" s="579"/>
      <c r="O5" s="572" t="s">
        <v>275</v>
      </c>
      <c r="P5" s="555"/>
      <c r="Q5" s="550" t="s">
        <v>278</v>
      </c>
      <c r="R5" s="579"/>
      <c r="S5" s="572" t="s">
        <v>275</v>
      </c>
      <c r="T5" s="555"/>
      <c r="U5" s="550" t="s">
        <v>278</v>
      </c>
      <c r="V5" s="579"/>
      <c r="W5" s="572" t="s">
        <v>275</v>
      </c>
      <c r="X5" s="555"/>
      <c r="Y5" s="550" t="s">
        <v>278</v>
      </c>
      <c r="Z5" s="579"/>
      <c r="AA5" s="572" t="s">
        <v>275</v>
      </c>
      <c r="AB5" s="555"/>
      <c r="AC5" s="550" t="s">
        <v>278</v>
      </c>
      <c r="AD5" s="579"/>
    </row>
    <row r="6" spans="1:32" ht="15" thickBot="1" x14ac:dyDescent="0.35">
      <c r="A6" s="550"/>
      <c r="C6" s="572" t="s">
        <v>274</v>
      </c>
      <c r="D6" s="555"/>
      <c r="E6" s="550" t="s">
        <v>273</v>
      </c>
      <c r="F6" s="579"/>
      <c r="G6" s="572" t="s">
        <v>274</v>
      </c>
      <c r="H6" s="555"/>
      <c r="I6" s="550" t="s">
        <v>273</v>
      </c>
      <c r="J6" s="579"/>
      <c r="K6" s="572" t="s">
        <v>274</v>
      </c>
      <c r="L6" s="555"/>
      <c r="M6" s="550" t="s">
        <v>273</v>
      </c>
      <c r="N6" s="579"/>
      <c r="O6" s="572" t="s">
        <v>274</v>
      </c>
      <c r="P6" s="555"/>
      <c r="Q6" s="550" t="s">
        <v>273</v>
      </c>
      <c r="R6" s="579"/>
      <c r="S6" s="572" t="s">
        <v>274</v>
      </c>
      <c r="T6" s="555"/>
      <c r="U6" s="550" t="s">
        <v>273</v>
      </c>
      <c r="V6" s="579"/>
      <c r="W6" s="572" t="s">
        <v>274</v>
      </c>
      <c r="X6" s="555"/>
      <c r="Y6" s="550" t="s">
        <v>273</v>
      </c>
      <c r="Z6" s="579"/>
      <c r="AA6" s="572" t="s">
        <v>274</v>
      </c>
      <c r="AB6" s="555"/>
      <c r="AC6" s="550" t="s">
        <v>273</v>
      </c>
      <c r="AD6" s="579"/>
    </row>
    <row r="7" spans="1:32" ht="15" thickBot="1" x14ac:dyDescent="0.35">
      <c r="A7" s="581"/>
      <c r="C7" s="572" t="s">
        <v>279</v>
      </c>
      <c r="D7" s="555"/>
      <c r="E7" s="550" t="s">
        <v>280</v>
      </c>
      <c r="F7" s="579"/>
      <c r="G7" s="572" t="s">
        <v>279</v>
      </c>
      <c r="H7" s="555"/>
      <c r="I7" s="550" t="s">
        <v>280</v>
      </c>
      <c r="J7" s="579"/>
      <c r="K7" s="572" t="s">
        <v>279</v>
      </c>
      <c r="L7" s="555"/>
      <c r="M7" s="550" t="s">
        <v>280</v>
      </c>
      <c r="N7" s="579"/>
      <c r="O7" s="572" t="s">
        <v>279</v>
      </c>
      <c r="P7" s="555"/>
      <c r="Q7" s="550" t="s">
        <v>280</v>
      </c>
      <c r="R7" s="579"/>
      <c r="S7" s="572" t="s">
        <v>279</v>
      </c>
      <c r="T7" s="555"/>
      <c r="U7" s="550" t="s">
        <v>280</v>
      </c>
      <c r="V7" s="579"/>
      <c r="W7" s="572" t="s">
        <v>279</v>
      </c>
      <c r="X7" s="555"/>
      <c r="Y7" s="550" t="s">
        <v>280</v>
      </c>
      <c r="Z7" s="579"/>
      <c r="AA7" s="572" t="s">
        <v>279</v>
      </c>
      <c r="AB7" s="555"/>
      <c r="AC7" s="550" t="s">
        <v>280</v>
      </c>
      <c r="AD7" s="579"/>
    </row>
    <row r="8" spans="1:32" ht="15" thickBot="1" x14ac:dyDescent="0.35">
      <c r="A8" s="574"/>
      <c r="C8" s="575"/>
      <c r="D8" s="576"/>
      <c r="E8" s="576"/>
      <c r="F8" s="577"/>
      <c r="G8" s="575"/>
      <c r="H8" s="576"/>
      <c r="I8" s="576"/>
      <c r="J8" s="577"/>
      <c r="K8" s="575"/>
      <c r="L8" s="576"/>
      <c r="M8" s="576"/>
      <c r="N8" s="577"/>
      <c r="O8" s="575"/>
      <c r="P8" s="576"/>
      <c r="Q8" s="576"/>
      <c r="R8" s="577"/>
      <c r="S8" s="575"/>
      <c r="T8" s="576"/>
      <c r="U8" s="576"/>
      <c r="V8" s="577"/>
      <c r="W8" s="575"/>
      <c r="X8" s="576"/>
      <c r="Y8" s="576"/>
      <c r="Z8" s="577"/>
      <c r="AA8" s="575"/>
      <c r="AB8" s="576"/>
      <c r="AC8" s="576"/>
      <c r="AD8" s="577"/>
    </row>
    <row r="9" spans="1:32" s="550" customFormat="1" ht="14.4" customHeight="1" thickBot="1" x14ac:dyDescent="0.35">
      <c r="A9" s="2722" t="s">
        <v>30</v>
      </c>
      <c r="B9" s="561"/>
      <c r="C9" s="2724" t="s">
        <v>38</v>
      </c>
      <c r="D9" s="2725"/>
      <c r="E9" s="2725"/>
      <c r="F9" s="2726"/>
      <c r="G9" s="2724" t="s">
        <v>45</v>
      </c>
      <c r="H9" s="2725"/>
      <c r="I9" s="2725"/>
      <c r="J9" s="2726"/>
      <c r="K9" s="2724" t="s">
        <v>40</v>
      </c>
      <c r="L9" s="2725"/>
      <c r="M9" s="2725"/>
      <c r="N9" s="2726"/>
      <c r="O9" s="2724" t="s">
        <v>41</v>
      </c>
      <c r="P9" s="2725"/>
      <c r="Q9" s="2725"/>
      <c r="R9" s="2726"/>
      <c r="S9" s="2724" t="s">
        <v>42</v>
      </c>
      <c r="T9" s="2725"/>
      <c r="U9" s="2725"/>
      <c r="V9" s="2726"/>
      <c r="W9" s="2724" t="s">
        <v>43</v>
      </c>
      <c r="X9" s="2725"/>
      <c r="Y9" s="2725"/>
      <c r="Z9" s="2726"/>
      <c r="AA9" s="2724" t="s">
        <v>44</v>
      </c>
      <c r="AB9" s="2725"/>
      <c r="AC9" s="2725"/>
      <c r="AD9" s="2726"/>
      <c r="AE9" s="2725" t="s">
        <v>261</v>
      </c>
      <c r="AF9" s="2726"/>
    </row>
    <row r="10" spans="1:32" s="550" customFormat="1" ht="15" thickBot="1" x14ac:dyDescent="0.35">
      <c r="A10" s="2723"/>
      <c r="B10" s="561"/>
      <c r="C10" s="569" t="s">
        <v>224</v>
      </c>
      <c r="D10" s="570" t="s">
        <v>264</v>
      </c>
      <c r="E10" s="570" t="s">
        <v>259</v>
      </c>
      <c r="F10" s="563" t="s">
        <v>260</v>
      </c>
      <c r="G10" s="569" t="s">
        <v>224</v>
      </c>
      <c r="H10" s="570" t="s">
        <v>264</v>
      </c>
      <c r="I10" s="570" t="s">
        <v>259</v>
      </c>
      <c r="J10" s="563" t="s">
        <v>260</v>
      </c>
      <c r="K10" s="569" t="s">
        <v>224</v>
      </c>
      <c r="L10" s="570" t="s">
        <v>264</v>
      </c>
      <c r="M10" s="570" t="s">
        <v>259</v>
      </c>
      <c r="N10" s="563" t="s">
        <v>260</v>
      </c>
      <c r="O10" s="569" t="s">
        <v>224</v>
      </c>
      <c r="P10" s="570" t="s">
        <v>264</v>
      </c>
      <c r="Q10" s="570" t="s">
        <v>259</v>
      </c>
      <c r="R10" s="563" t="s">
        <v>260</v>
      </c>
      <c r="S10" s="569" t="s">
        <v>224</v>
      </c>
      <c r="T10" s="570" t="s">
        <v>264</v>
      </c>
      <c r="U10" s="570" t="s">
        <v>259</v>
      </c>
      <c r="V10" s="563" t="s">
        <v>260</v>
      </c>
      <c r="W10" s="569" t="s">
        <v>224</v>
      </c>
      <c r="X10" s="570" t="s">
        <v>264</v>
      </c>
      <c r="Y10" s="570" t="s">
        <v>259</v>
      </c>
      <c r="Z10" s="563" t="s">
        <v>260</v>
      </c>
      <c r="AA10" s="569" t="s">
        <v>224</v>
      </c>
      <c r="AB10" s="570" t="s">
        <v>264</v>
      </c>
      <c r="AC10" s="570" t="s">
        <v>259</v>
      </c>
      <c r="AD10" s="563" t="s">
        <v>260</v>
      </c>
      <c r="AE10" s="571" t="s">
        <v>264</v>
      </c>
      <c r="AF10" s="563" t="s">
        <v>262</v>
      </c>
    </row>
    <row r="11" spans="1:32" x14ac:dyDescent="0.3">
      <c r="A11" s="1072" t="s">
        <v>432</v>
      </c>
      <c r="C11" s="1073" t="s">
        <v>14</v>
      </c>
      <c r="D11" s="1074">
        <v>3000</v>
      </c>
      <c r="E11" s="858"/>
      <c r="F11" s="552"/>
      <c r="G11" s="551"/>
      <c r="H11" s="562"/>
      <c r="I11" s="562"/>
      <c r="J11" s="552"/>
      <c r="K11" s="553" t="s">
        <v>514</v>
      </c>
      <c r="L11" s="556">
        <v>1000</v>
      </c>
      <c r="M11" s="562"/>
      <c r="N11" s="552"/>
      <c r="O11" s="551" t="s">
        <v>514</v>
      </c>
      <c r="P11" s="562">
        <v>1000</v>
      </c>
      <c r="Q11" s="562"/>
      <c r="R11" s="552"/>
      <c r="S11" s="551"/>
      <c r="T11" s="562"/>
      <c r="U11" s="562"/>
      <c r="V11" s="552"/>
      <c r="W11" s="551"/>
      <c r="X11" s="562"/>
      <c r="Y11" s="562"/>
      <c r="Z11" s="552"/>
      <c r="AA11" s="551"/>
      <c r="AB11" s="562"/>
      <c r="AC11" s="562"/>
      <c r="AD11" s="552"/>
      <c r="AE11" s="578">
        <f>SUM(D11,H11,L11,P11,T11,X11,AB11)</f>
        <v>5000</v>
      </c>
      <c r="AF11" s="567">
        <f>SUM(E11,I11,M11,Q11,U11,Y11,AC11)</f>
        <v>0</v>
      </c>
    </row>
    <row r="12" spans="1:32" x14ac:dyDescent="0.3">
      <c r="A12" s="859" t="s">
        <v>433</v>
      </c>
      <c r="C12" s="551" t="s">
        <v>514</v>
      </c>
      <c r="D12" s="1075">
        <v>3000</v>
      </c>
      <c r="E12" s="556"/>
      <c r="F12" s="554"/>
      <c r="G12" s="553" t="s">
        <v>514</v>
      </c>
      <c r="H12" s="556">
        <v>1500</v>
      </c>
      <c r="I12" s="556"/>
      <c r="J12" s="554"/>
      <c r="K12" s="553" t="s">
        <v>514</v>
      </c>
      <c r="L12" s="556">
        <v>1000</v>
      </c>
      <c r="M12" s="556"/>
      <c r="N12" s="554"/>
      <c r="O12" s="553"/>
      <c r="P12" s="556"/>
      <c r="Q12" s="556"/>
      <c r="R12" s="554"/>
      <c r="S12" s="553"/>
      <c r="T12" s="556"/>
      <c r="U12" s="556"/>
      <c r="V12" s="554"/>
      <c r="W12" s="553"/>
      <c r="X12" s="556"/>
      <c r="Y12" s="556"/>
      <c r="Z12" s="554"/>
      <c r="AA12" s="553"/>
      <c r="AB12" s="556"/>
      <c r="AC12" s="556"/>
      <c r="AD12" s="554"/>
      <c r="AE12" s="578">
        <f t="shared" ref="AE12:AF40" si="0">SUM(D12,H12,L12,P12,T12,X12,AB12)</f>
        <v>5500</v>
      </c>
      <c r="AF12" s="567">
        <f t="shared" si="0"/>
        <v>0</v>
      </c>
    </row>
    <row r="13" spans="1:32" x14ac:dyDescent="0.3">
      <c r="A13" s="860" t="s">
        <v>419</v>
      </c>
      <c r="C13" s="553"/>
      <c r="D13" s="556"/>
      <c r="E13" s="556"/>
      <c r="F13" s="554"/>
      <c r="G13" s="553" t="s">
        <v>514</v>
      </c>
      <c r="H13" s="556">
        <v>1500</v>
      </c>
      <c r="I13" s="556"/>
      <c r="J13" s="554"/>
      <c r="K13" s="553" t="s">
        <v>514</v>
      </c>
      <c r="L13" s="556">
        <v>1000</v>
      </c>
      <c r="M13" s="556"/>
      <c r="N13" s="554"/>
      <c r="O13" s="553" t="s">
        <v>514</v>
      </c>
      <c r="P13" s="556">
        <v>2000</v>
      </c>
      <c r="Q13" s="556"/>
      <c r="R13" s="554"/>
      <c r="S13" s="553"/>
      <c r="T13" s="556"/>
      <c r="U13" s="556"/>
      <c r="V13" s="554"/>
      <c r="W13" s="553"/>
      <c r="X13" s="556"/>
      <c r="Y13" s="556"/>
      <c r="Z13" s="554"/>
      <c r="AA13" s="553"/>
      <c r="AB13" s="556"/>
      <c r="AC13" s="556"/>
      <c r="AD13" s="554"/>
      <c r="AE13" s="578">
        <f t="shared" si="0"/>
        <v>4500</v>
      </c>
      <c r="AF13" s="567">
        <f t="shared" si="0"/>
        <v>0</v>
      </c>
    </row>
    <row r="14" spans="1:32" x14ac:dyDescent="0.3">
      <c r="A14" s="860" t="s">
        <v>418</v>
      </c>
      <c r="C14" s="553"/>
      <c r="D14" s="556"/>
      <c r="E14" s="556"/>
      <c r="F14" s="554"/>
      <c r="G14" s="553"/>
      <c r="H14" s="556"/>
      <c r="I14" s="556"/>
      <c r="J14" s="554"/>
      <c r="K14" s="553"/>
      <c r="L14" s="1075"/>
      <c r="M14" s="556"/>
      <c r="N14" s="554"/>
      <c r="O14" s="553"/>
      <c r="P14" s="556"/>
      <c r="Q14" s="556"/>
      <c r="R14" s="554"/>
      <c r="S14" s="553"/>
      <c r="T14" s="556"/>
      <c r="U14" s="556"/>
      <c r="V14" s="554"/>
      <c r="W14" s="553"/>
      <c r="X14" s="556"/>
      <c r="Y14" s="556"/>
      <c r="Z14" s="554"/>
      <c r="AA14" s="553"/>
      <c r="AB14" s="556"/>
      <c r="AC14" s="556"/>
      <c r="AD14" s="554"/>
      <c r="AE14" s="578">
        <f t="shared" si="0"/>
        <v>0</v>
      </c>
      <c r="AF14" s="567">
        <f t="shared" si="0"/>
        <v>0</v>
      </c>
    </row>
    <row r="15" spans="1:32" x14ac:dyDescent="0.3">
      <c r="A15" s="860" t="s">
        <v>416</v>
      </c>
      <c r="C15" s="553" t="s">
        <v>14</v>
      </c>
      <c r="D15" s="556">
        <v>1500</v>
      </c>
      <c r="E15" s="556"/>
      <c r="F15" s="554"/>
      <c r="G15" s="553"/>
      <c r="H15" s="556"/>
      <c r="I15" s="556"/>
      <c r="J15" s="554"/>
      <c r="K15" s="553" t="s">
        <v>14</v>
      </c>
      <c r="L15" s="556">
        <v>1500</v>
      </c>
      <c r="M15" s="556"/>
      <c r="N15" s="554"/>
      <c r="O15" s="553" t="s">
        <v>14</v>
      </c>
      <c r="P15" s="556">
        <v>2000</v>
      </c>
      <c r="Q15" s="556"/>
      <c r="R15" s="554"/>
      <c r="S15" s="553"/>
      <c r="T15" s="556"/>
      <c r="U15" s="556"/>
      <c r="V15" s="554"/>
      <c r="W15" s="553"/>
      <c r="X15" s="556"/>
      <c r="Y15" s="556"/>
      <c r="Z15" s="554"/>
      <c r="AA15" s="553"/>
      <c r="AB15" s="556"/>
      <c r="AC15" s="556"/>
      <c r="AD15" s="554"/>
      <c r="AE15" s="578">
        <f t="shared" si="0"/>
        <v>5000</v>
      </c>
      <c r="AF15" s="567">
        <f t="shared" si="0"/>
        <v>0</v>
      </c>
    </row>
    <row r="16" spans="1:32" x14ac:dyDescent="0.3">
      <c r="A16" s="860" t="s">
        <v>415</v>
      </c>
      <c r="C16" s="553" t="s">
        <v>14</v>
      </c>
      <c r="D16" s="556">
        <v>1500</v>
      </c>
      <c r="E16" s="556"/>
      <c r="F16" s="554"/>
      <c r="G16" s="551"/>
      <c r="H16" s="562"/>
      <c r="I16" s="556"/>
      <c r="J16" s="554"/>
      <c r="K16" s="553" t="s">
        <v>14</v>
      </c>
      <c r="L16" s="556">
        <v>1500</v>
      </c>
      <c r="M16" s="556"/>
      <c r="N16" s="554"/>
      <c r="O16" s="553" t="s">
        <v>14</v>
      </c>
      <c r="P16" s="556">
        <v>1000</v>
      </c>
      <c r="Q16" s="556"/>
      <c r="R16" s="554"/>
      <c r="S16" s="553"/>
      <c r="T16" s="556"/>
      <c r="U16" s="556"/>
      <c r="V16" s="554"/>
      <c r="W16" s="553"/>
      <c r="X16" s="556"/>
      <c r="Y16" s="556"/>
      <c r="Z16" s="554"/>
      <c r="AA16" s="553"/>
      <c r="AB16" s="556"/>
      <c r="AC16" s="556"/>
      <c r="AD16" s="554"/>
      <c r="AE16" s="578">
        <f t="shared" si="0"/>
        <v>4000</v>
      </c>
      <c r="AF16" s="567">
        <f t="shared" si="0"/>
        <v>0</v>
      </c>
    </row>
    <row r="17" spans="1:32" x14ac:dyDescent="0.3">
      <c r="A17" s="860" t="s">
        <v>241</v>
      </c>
      <c r="C17" s="553"/>
      <c r="D17" s="556"/>
      <c r="E17" s="556"/>
      <c r="F17" s="554"/>
      <c r="G17" s="553"/>
      <c r="H17" s="556"/>
      <c r="I17" s="556"/>
      <c r="J17" s="554"/>
      <c r="K17" s="553"/>
      <c r="L17" s="556"/>
      <c r="M17" s="556"/>
      <c r="N17" s="554"/>
      <c r="O17" s="553"/>
      <c r="P17" s="556"/>
      <c r="Q17" s="556"/>
      <c r="R17" s="554"/>
      <c r="S17" s="553"/>
      <c r="T17" s="556"/>
      <c r="U17" s="556"/>
      <c r="V17" s="554"/>
      <c r="W17" s="553"/>
      <c r="X17" s="556"/>
      <c r="Y17" s="556"/>
      <c r="Z17" s="554"/>
      <c r="AA17" s="553"/>
      <c r="AB17" s="556"/>
      <c r="AC17" s="556"/>
      <c r="AD17" s="554"/>
      <c r="AE17" s="578">
        <f t="shared" si="0"/>
        <v>0</v>
      </c>
      <c r="AF17" s="567">
        <f t="shared" si="0"/>
        <v>0</v>
      </c>
    </row>
    <row r="18" spans="1:32" x14ac:dyDescent="0.3">
      <c r="A18" s="860" t="s">
        <v>242</v>
      </c>
      <c r="C18" s="553"/>
      <c r="D18" s="556"/>
      <c r="E18" s="556"/>
      <c r="F18" s="554"/>
      <c r="G18" s="553"/>
      <c r="H18" s="556"/>
      <c r="I18" s="556"/>
      <c r="J18" s="554"/>
      <c r="K18" s="553"/>
      <c r="L18" s="556"/>
      <c r="M18" s="556"/>
      <c r="N18" s="554"/>
      <c r="O18" s="553"/>
      <c r="P18" s="556"/>
      <c r="Q18" s="556"/>
      <c r="R18" s="554"/>
      <c r="S18" s="553"/>
      <c r="T18" s="556"/>
      <c r="U18" s="556"/>
      <c r="V18" s="554"/>
      <c r="W18" s="553"/>
      <c r="X18" s="556"/>
      <c r="Y18" s="556"/>
      <c r="Z18" s="554"/>
      <c r="AA18" s="553"/>
      <c r="AB18" s="556"/>
      <c r="AC18" s="556"/>
      <c r="AD18" s="554"/>
      <c r="AE18" s="578">
        <f t="shared" si="0"/>
        <v>0</v>
      </c>
      <c r="AF18" s="567">
        <f t="shared" si="0"/>
        <v>0</v>
      </c>
    </row>
    <row r="19" spans="1:32" x14ac:dyDescent="0.3">
      <c r="A19" s="860" t="s">
        <v>243</v>
      </c>
      <c r="C19" s="553"/>
      <c r="D19" s="556"/>
      <c r="E19" s="556"/>
      <c r="F19" s="554"/>
      <c r="G19" s="553"/>
      <c r="H19" s="556"/>
      <c r="I19" s="556"/>
      <c r="J19" s="554"/>
      <c r="K19" s="553"/>
      <c r="L19" s="556"/>
      <c r="M19" s="556"/>
      <c r="N19" s="554"/>
      <c r="O19" s="553"/>
      <c r="P19" s="556"/>
      <c r="Q19" s="556"/>
      <c r="R19" s="554"/>
      <c r="S19" s="553"/>
      <c r="T19" s="556"/>
      <c r="U19" s="556"/>
      <c r="V19" s="554"/>
      <c r="W19" s="553"/>
      <c r="X19" s="556"/>
      <c r="Y19" s="556"/>
      <c r="Z19" s="554"/>
      <c r="AA19" s="553"/>
      <c r="AB19" s="556"/>
      <c r="AC19" s="556"/>
      <c r="AD19" s="554"/>
      <c r="AE19" s="578">
        <f t="shared" si="0"/>
        <v>0</v>
      </c>
      <c r="AF19" s="567">
        <f t="shared" si="0"/>
        <v>0</v>
      </c>
    </row>
    <row r="20" spans="1:32" x14ac:dyDescent="0.3">
      <c r="A20" s="860" t="s">
        <v>183</v>
      </c>
      <c r="C20" s="553"/>
      <c r="D20" s="556"/>
      <c r="E20" s="556"/>
      <c r="F20" s="554"/>
      <c r="G20" s="553"/>
      <c r="H20" s="556"/>
      <c r="I20" s="556"/>
      <c r="J20" s="554"/>
      <c r="K20" s="553"/>
      <c r="L20" s="556"/>
      <c r="M20" s="556"/>
      <c r="N20" s="554"/>
      <c r="O20" s="553"/>
      <c r="P20" s="556"/>
      <c r="Q20" s="556"/>
      <c r="R20" s="554"/>
      <c r="S20" s="553"/>
      <c r="T20" s="556"/>
      <c r="U20" s="556"/>
      <c r="V20" s="554"/>
      <c r="W20" s="553"/>
      <c r="X20" s="556"/>
      <c r="Y20" s="556"/>
      <c r="Z20" s="554"/>
      <c r="AA20" s="553"/>
      <c r="AB20" s="556"/>
      <c r="AC20" s="556"/>
      <c r="AD20" s="554"/>
      <c r="AE20" s="578">
        <f t="shared" si="0"/>
        <v>0</v>
      </c>
      <c r="AF20" s="567">
        <f t="shared" si="0"/>
        <v>0</v>
      </c>
    </row>
    <row r="21" spans="1:32" x14ac:dyDescent="0.3">
      <c r="A21" s="860" t="s">
        <v>434</v>
      </c>
      <c r="C21" s="553" t="s">
        <v>209</v>
      </c>
      <c r="D21" s="556">
        <v>3000</v>
      </c>
      <c r="E21" s="556"/>
      <c r="F21" s="554"/>
      <c r="G21" s="553" t="s">
        <v>209</v>
      </c>
      <c r="H21" s="556">
        <v>3000</v>
      </c>
      <c r="I21" s="556"/>
      <c r="J21" s="554"/>
      <c r="K21" s="553" t="s">
        <v>209</v>
      </c>
      <c r="L21" s="556">
        <v>6000</v>
      </c>
      <c r="M21" s="556"/>
      <c r="N21" s="554"/>
      <c r="O21" s="553" t="s">
        <v>209</v>
      </c>
      <c r="P21" s="556">
        <v>2000</v>
      </c>
      <c r="Q21" s="556"/>
      <c r="R21" s="554"/>
      <c r="S21" s="553"/>
      <c r="T21" s="556"/>
      <c r="U21" s="556"/>
      <c r="V21" s="554"/>
      <c r="W21" s="553"/>
      <c r="X21" s="556"/>
      <c r="Y21" s="556"/>
      <c r="Z21" s="554"/>
      <c r="AA21" s="553"/>
      <c r="AB21" s="556"/>
      <c r="AC21" s="556"/>
      <c r="AD21" s="554"/>
      <c r="AE21" s="578">
        <f t="shared" si="0"/>
        <v>14000</v>
      </c>
      <c r="AF21" s="567">
        <f t="shared" si="0"/>
        <v>0</v>
      </c>
    </row>
    <row r="22" spans="1:32" x14ac:dyDescent="0.3">
      <c r="A22" s="860" t="s">
        <v>435</v>
      </c>
      <c r="C22" s="553" t="s">
        <v>209</v>
      </c>
      <c r="D22" s="556">
        <v>3000</v>
      </c>
      <c r="E22" s="556"/>
      <c r="F22" s="554"/>
      <c r="G22" s="553" t="s">
        <v>209</v>
      </c>
      <c r="H22" s="556">
        <v>3000</v>
      </c>
      <c r="I22" s="556"/>
      <c r="J22" s="554"/>
      <c r="K22" s="553" t="s">
        <v>209</v>
      </c>
      <c r="L22" s="556">
        <v>6000</v>
      </c>
      <c r="M22" s="556"/>
      <c r="N22" s="554"/>
      <c r="O22" s="553" t="s">
        <v>209</v>
      </c>
      <c r="P22" s="556">
        <v>2000</v>
      </c>
      <c r="Q22" s="556"/>
      <c r="R22" s="554"/>
      <c r="S22" s="553"/>
      <c r="T22" s="556"/>
      <c r="U22" s="556"/>
      <c r="V22" s="554"/>
      <c r="W22" s="553"/>
      <c r="X22" s="556"/>
      <c r="Y22" s="556"/>
      <c r="Z22" s="554"/>
      <c r="AA22" s="553"/>
      <c r="AB22" s="556"/>
      <c r="AC22" s="556"/>
      <c r="AD22" s="554"/>
      <c r="AE22" s="578">
        <f t="shared" si="0"/>
        <v>14000</v>
      </c>
      <c r="AF22" s="567">
        <f t="shared" si="0"/>
        <v>0</v>
      </c>
    </row>
    <row r="23" spans="1:32" x14ac:dyDescent="0.3">
      <c r="A23" s="860" t="s">
        <v>436</v>
      </c>
      <c r="C23" s="553" t="s">
        <v>209</v>
      </c>
      <c r="D23" s="556">
        <v>3000</v>
      </c>
      <c r="E23" s="556"/>
      <c r="F23" s="554"/>
      <c r="G23" s="553"/>
      <c r="H23" s="556"/>
      <c r="I23" s="556"/>
      <c r="J23" s="554"/>
      <c r="K23" s="553"/>
      <c r="L23" s="556"/>
      <c r="M23" s="556"/>
      <c r="N23" s="554"/>
      <c r="O23" s="553"/>
      <c r="P23" s="556"/>
      <c r="Q23" s="556"/>
      <c r="R23" s="554"/>
      <c r="S23" s="553"/>
      <c r="T23" s="556"/>
      <c r="U23" s="556"/>
      <c r="V23" s="554"/>
      <c r="W23" s="553"/>
      <c r="X23" s="556"/>
      <c r="Y23" s="556"/>
      <c r="Z23" s="554"/>
      <c r="AA23" s="553"/>
      <c r="AB23" s="556"/>
      <c r="AC23" s="556"/>
      <c r="AD23" s="554"/>
      <c r="AE23" s="578">
        <f t="shared" si="0"/>
        <v>3000</v>
      </c>
      <c r="AF23" s="567">
        <f t="shared" si="0"/>
        <v>0</v>
      </c>
    </row>
    <row r="24" spans="1:32" x14ac:dyDescent="0.3">
      <c r="A24" s="860" t="s">
        <v>247</v>
      </c>
      <c r="C24" s="553"/>
      <c r="D24" s="556"/>
      <c r="E24" s="556"/>
      <c r="F24" s="554"/>
      <c r="G24" s="553"/>
      <c r="H24" s="556"/>
      <c r="I24" s="556"/>
      <c r="J24" s="554"/>
      <c r="K24" s="553" t="s">
        <v>569</v>
      </c>
      <c r="L24" s="556">
        <v>3000</v>
      </c>
      <c r="M24" s="556"/>
      <c r="N24" s="554"/>
      <c r="O24" s="553" t="s">
        <v>569</v>
      </c>
      <c r="P24" s="556">
        <v>3000</v>
      </c>
      <c r="Q24" s="556"/>
      <c r="R24" s="554"/>
      <c r="S24" s="553"/>
      <c r="T24" s="556"/>
      <c r="U24" s="556"/>
      <c r="V24" s="554"/>
      <c r="W24" s="553"/>
      <c r="X24" s="556"/>
      <c r="Y24" s="556"/>
      <c r="Z24" s="554"/>
      <c r="AA24" s="553"/>
      <c r="AB24" s="556"/>
      <c r="AC24" s="556"/>
      <c r="AD24" s="554"/>
      <c r="AE24" s="578">
        <f t="shared" si="0"/>
        <v>6000</v>
      </c>
      <c r="AF24" s="567">
        <f t="shared" si="0"/>
        <v>0</v>
      </c>
    </row>
    <row r="25" spans="1:32" x14ac:dyDescent="0.3">
      <c r="A25" s="860" t="s">
        <v>437</v>
      </c>
      <c r="C25" s="553"/>
      <c r="D25" s="556"/>
      <c r="E25" s="556"/>
      <c r="F25" s="554"/>
      <c r="G25" s="553"/>
      <c r="H25" s="556"/>
      <c r="I25" s="556"/>
      <c r="J25" s="554"/>
      <c r="K25" s="553" t="s">
        <v>569</v>
      </c>
      <c r="L25" s="556">
        <v>3000</v>
      </c>
      <c r="M25" s="556"/>
      <c r="N25" s="554"/>
      <c r="O25" s="553"/>
      <c r="P25" s="556"/>
      <c r="Q25" s="556"/>
      <c r="R25" s="554"/>
      <c r="S25" s="553"/>
      <c r="T25" s="556"/>
      <c r="U25" s="556"/>
      <c r="V25" s="554"/>
      <c r="W25" s="553"/>
      <c r="X25" s="556"/>
      <c r="Y25" s="556"/>
      <c r="Z25" s="554"/>
      <c r="AA25" s="553"/>
      <c r="AB25" s="556"/>
      <c r="AC25" s="556"/>
      <c r="AD25" s="554"/>
      <c r="AE25" s="578">
        <f t="shared" si="0"/>
        <v>3000</v>
      </c>
      <c r="AF25" s="567">
        <f t="shared" si="0"/>
        <v>0</v>
      </c>
    </row>
    <row r="26" spans="1:32" x14ac:dyDescent="0.3">
      <c r="A26" s="860" t="s">
        <v>438</v>
      </c>
      <c r="C26" s="553"/>
      <c r="D26" s="556"/>
      <c r="E26" s="556"/>
      <c r="F26" s="554"/>
      <c r="G26" s="553"/>
      <c r="H26" s="556"/>
      <c r="I26" s="556"/>
      <c r="J26" s="554"/>
      <c r="K26" s="553" t="s">
        <v>446</v>
      </c>
      <c r="L26" s="556">
        <v>6000</v>
      </c>
      <c r="M26" s="556"/>
      <c r="N26" s="554"/>
      <c r="O26" s="553" t="s">
        <v>446</v>
      </c>
      <c r="P26" s="556">
        <v>3000</v>
      </c>
      <c r="Q26" s="556"/>
      <c r="R26" s="554"/>
      <c r="S26" s="553"/>
      <c r="T26" s="556"/>
      <c r="U26" s="556"/>
      <c r="V26" s="554"/>
      <c r="W26" s="553"/>
      <c r="X26" s="556"/>
      <c r="Y26" s="556"/>
      <c r="Z26" s="554"/>
      <c r="AA26" s="553"/>
      <c r="AB26" s="556"/>
      <c r="AC26" s="556"/>
      <c r="AD26" s="554"/>
      <c r="AE26" s="578">
        <f t="shared" si="0"/>
        <v>9000</v>
      </c>
      <c r="AF26" s="567">
        <f t="shared" si="0"/>
        <v>0</v>
      </c>
    </row>
    <row r="27" spans="1:32" x14ac:dyDescent="0.3">
      <c r="A27" s="860" t="s">
        <v>249</v>
      </c>
      <c r="C27" s="553"/>
      <c r="D27" s="556"/>
      <c r="E27" s="556"/>
      <c r="F27" s="554"/>
      <c r="G27" s="553" t="s">
        <v>511</v>
      </c>
      <c r="H27" s="556">
        <v>3000</v>
      </c>
      <c r="I27" s="556"/>
      <c r="J27" s="554"/>
      <c r="K27" s="553" t="s">
        <v>511</v>
      </c>
      <c r="L27" s="556">
        <v>3000</v>
      </c>
      <c r="M27" s="556"/>
      <c r="N27" s="554"/>
      <c r="O27" s="553" t="s">
        <v>511</v>
      </c>
      <c r="P27" s="556">
        <v>3000</v>
      </c>
      <c r="Q27" s="556"/>
      <c r="R27" s="554"/>
      <c r="S27" s="553"/>
      <c r="T27" s="556"/>
      <c r="U27" s="556"/>
      <c r="V27" s="554"/>
      <c r="W27" s="553"/>
      <c r="X27" s="556"/>
      <c r="Y27" s="556"/>
      <c r="Z27" s="554"/>
      <c r="AA27" s="553"/>
      <c r="AB27" s="556"/>
      <c r="AC27" s="556"/>
      <c r="AD27" s="554"/>
      <c r="AE27" s="578">
        <f t="shared" si="0"/>
        <v>9000</v>
      </c>
      <c r="AF27" s="567">
        <f t="shared" si="0"/>
        <v>0</v>
      </c>
    </row>
    <row r="28" spans="1:32" x14ac:dyDescent="0.3">
      <c r="A28" s="860" t="s">
        <v>250</v>
      </c>
      <c r="C28" s="553" t="s">
        <v>511</v>
      </c>
      <c r="D28" s="556">
        <v>3000</v>
      </c>
      <c r="E28" s="556"/>
      <c r="F28" s="554"/>
      <c r="G28" s="553" t="s">
        <v>511</v>
      </c>
      <c r="H28" s="556">
        <v>3000</v>
      </c>
      <c r="I28" s="556"/>
      <c r="J28" s="554"/>
      <c r="K28" s="553" t="s">
        <v>511</v>
      </c>
      <c r="L28" s="556">
        <v>6000</v>
      </c>
      <c r="M28" s="556"/>
      <c r="N28" s="554"/>
      <c r="O28" s="553"/>
      <c r="P28" s="556"/>
      <c r="Q28" s="556"/>
      <c r="R28" s="554"/>
      <c r="S28" s="553"/>
      <c r="T28" s="556"/>
      <c r="U28" s="556"/>
      <c r="V28" s="554"/>
      <c r="W28" s="553"/>
      <c r="X28" s="556"/>
      <c r="Y28" s="556"/>
      <c r="Z28" s="554"/>
      <c r="AA28" s="553"/>
      <c r="AB28" s="556"/>
      <c r="AC28" s="556"/>
      <c r="AD28" s="554"/>
      <c r="AE28" s="578">
        <f t="shared" si="0"/>
        <v>12000</v>
      </c>
      <c r="AF28" s="567">
        <f t="shared" si="0"/>
        <v>0</v>
      </c>
    </row>
    <row r="29" spans="1:32" x14ac:dyDescent="0.3">
      <c r="A29" s="860" t="s">
        <v>251</v>
      </c>
      <c r="C29" s="553" t="s">
        <v>512</v>
      </c>
      <c r="D29" s="556">
        <v>3000</v>
      </c>
      <c r="E29" s="556"/>
      <c r="F29" s="554"/>
      <c r="G29" s="553" t="s">
        <v>512</v>
      </c>
      <c r="H29" s="556">
        <v>6000</v>
      </c>
      <c r="I29" s="556"/>
      <c r="J29" s="554"/>
      <c r="K29" s="553" t="s">
        <v>512</v>
      </c>
      <c r="L29" s="556">
        <v>3000</v>
      </c>
      <c r="M29" s="556"/>
      <c r="N29" s="554"/>
      <c r="O29" s="553"/>
      <c r="P29" s="556"/>
      <c r="Q29" s="556"/>
      <c r="R29" s="554"/>
      <c r="S29" s="553"/>
      <c r="T29" s="556"/>
      <c r="U29" s="556"/>
      <c r="V29" s="554"/>
      <c r="W29" s="553"/>
      <c r="X29" s="556"/>
      <c r="Y29" s="556"/>
      <c r="Z29" s="554"/>
      <c r="AA29" s="553"/>
      <c r="AB29" s="556"/>
      <c r="AC29" s="556"/>
      <c r="AD29" s="554"/>
      <c r="AE29" s="578">
        <f t="shared" si="0"/>
        <v>12000</v>
      </c>
      <c r="AF29" s="567">
        <f t="shared" si="0"/>
        <v>0</v>
      </c>
    </row>
    <row r="30" spans="1:32" x14ac:dyDescent="0.3">
      <c r="A30" s="860" t="s">
        <v>252</v>
      </c>
      <c r="C30" s="553" t="s">
        <v>209</v>
      </c>
      <c r="D30" s="556">
        <v>3000</v>
      </c>
      <c r="E30" s="556"/>
      <c r="F30" s="554"/>
      <c r="G30" s="553" t="s">
        <v>209</v>
      </c>
      <c r="H30" s="556">
        <v>3000</v>
      </c>
      <c r="I30" s="556"/>
      <c r="J30" s="554"/>
      <c r="K30" s="553" t="s">
        <v>209</v>
      </c>
      <c r="L30" s="556">
        <v>6000</v>
      </c>
      <c r="M30" s="556"/>
      <c r="N30" s="554"/>
      <c r="O30" s="553"/>
      <c r="P30" s="556"/>
      <c r="Q30" s="556"/>
      <c r="R30" s="554"/>
      <c r="S30" s="553"/>
      <c r="T30" s="556"/>
      <c r="U30" s="556"/>
      <c r="V30" s="554"/>
      <c r="W30" s="553"/>
      <c r="X30" s="556"/>
      <c r="Y30" s="556"/>
      <c r="Z30" s="554"/>
      <c r="AA30" s="553"/>
      <c r="AB30" s="556"/>
      <c r="AC30" s="556"/>
      <c r="AD30" s="554"/>
      <c r="AE30" s="578">
        <f t="shared" si="0"/>
        <v>12000</v>
      </c>
      <c r="AF30" s="567">
        <f t="shared" si="0"/>
        <v>0</v>
      </c>
    </row>
    <row r="31" spans="1:32" x14ac:dyDescent="0.3">
      <c r="A31" s="860" t="s">
        <v>253</v>
      </c>
      <c r="C31" s="553" t="s">
        <v>209</v>
      </c>
      <c r="D31" s="556">
        <v>3000</v>
      </c>
      <c r="E31" s="556"/>
      <c r="F31" s="554"/>
      <c r="G31" s="553" t="s">
        <v>209</v>
      </c>
      <c r="H31" s="556">
        <v>3000</v>
      </c>
      <c r="I31" s="556"/>
      <c r="J31" s="554"/>
      <c r="K31" s="553" t="s">
        <v>209</v>
      </c>
      <c r="L31" s="556">
        <v>6000</v>
      </c>
      <c r="M31" s="556"/>
      <c r="N31" s="554"/>
      <c r="O31" s="553" t="s">
        <v>209</v>
      </c>
      <c r="P31" s="556">
        <v>2000</v>
      </c>
      <c r="Q31" s="556"/>
      <c r="R31" s="554"/>
      <c r="S31" s="553"/>
      <c r="T31" s="556"/>
      <c r="U31" s="556"/>
      <c r="V31" s="554"/>
      <c r="W31" s="553"/>
      <c r="X31" s="556"/>
      <c r="Y31" s="556"/>
      <c r="Z31" s="554"/>
      <c r="AA31" s="553"/>
      <c r="AB31" s="556"/>
      <c r="AC31" s="556"/>
      <c r="AD31" s="554"/>
      <c r="AE31" s="578">
        <f t="shared" si="0"/>
        <v>14000</v>
      </c>
      <c r="AF31" s="567">
        <f t="shared" si="0"/>
        <v>0</v>
      </c>
    </row>
    <row r="32" spans="1:32" x14ac:dyDescent="0.3">
      <c r="A32" s="860" t="s">
        <v>451</v>
      </c>
      <c r="C32" s="553"/>
      <c r="D32" s="556"/>
      <c r="E32" s="556"/>
      <c r="F32" s="554"/>
      <c r="G32" s="553" t="s">
        <v>103</v>
      </c>
      <c r="H32" s="556">
        <v>3000</v>
      </c>
      <c r="I32" s="556"/>
      <c r="J32" s="554"/>
      <c r="K32" s="553"/>
      <c r="L32" s="556"/>
      <c r="M32" s="556"/>
      <c r="N32" s="554"/>
      <c r="O32" s="553"/>
      <c r="P32" s="556"/>
      <c r="Q32" s="556"/>
      <c r="R32" s="554"/>
      <c r="S32" s="553"/>
      <c r="T32" s="556"/>
      <c r="U32" s="556"/>
      <c r="V32" s="554"/>
      <c r="W32" s="553"/>
      <c r="X32" s="556"/>
      <c r="Y32" s="556"/>
      <c r="Z32" s="554"/>
      <c r="AA32" s="553"/>
      <c r="AB32" s="556"/>
      <c r="AC32" s="556"/>
      <c r="AD32" s="554"/>
      <c r="AE32" s="578">
        <f t="shared" si="0"/>
        <v>3000</v>
      </c>
      <c r="AF32" s="567">
        <f t="shared" si="0"/>
        <v>0</v>
      </c>
    </row>
    <row r="33" spans="1:32" x14ac:dyDescent="0.3">
      <c r="A33" s="860" t="s">
        <v>453</v>
      </c>
      <c r="C33" s="553"/>
      <c r="D33" s="556"/>
      <c r="E33" s="556"/>
      <c r="F33" s="554"/>
      <c r="G33" s="553"/>
      <c r="H33" s="556"/>
      <c r="I33" s="556"/>
      <c r="J33" s="554"/>
      <c r="K33" s="553" t="s">
        <v>103</v>
      </c>
      <c r="L33" s="556">
        <v>1000</v>
      </c>
      <c r="M33" s="556"/>
      <c r="N33" s="554"/>
      <c r="O33" s="553" t="s">
        <v>103</v>
      </c>
      <c r="P33" s="556">
        <v>3000</v>
      </c>
      <c r="Q33" s="556"/>
      <c r="R33" s="554"/>
      <c r="S33" s="553"/>
      <c r="T33" s="556"/>
      <c r="U33" s="556"/>
      <c r="V33" s="554"/>
      <c r="W33" s="553"/>
      <c r="X33" s="556"/>
      <c r="Y33" s="556"/>
      <c r="Z33" s="554"/>
      <c r="AA33" s="553"/>
      <c r="AB33" s="556"/>
      <c r="AC33" s="556"/>
      <c r="AD33" s="554"/>
      <c r="AE33" s="578">
        <f t="shared" si="0"/>
        <v>4000</v>
      </c>
      <c r="AF33" s="567">
        <f t="shared" si="0"/>
        <v>0</v>
      </c>
    </row>
    <row r="34" spans="1:32" x14ac:dyDescent="0.3">
      <c r="A34" s="860" t="s">
        <v>452</v>
      </c>
      <c r="C34" s="553"/>
      <c r="D34" s="556"/>
      <c r="E34" s="556"/>
      <c r="F34" s="554"/>
      <c r="G34" s="553"/>
      <c r="H34" s="556"/>
      <c r="I34" s="556"/>
      <c r="J34" s="554"/>
      <c r="K34" s="553" t="s">
        <v>103</v>
      </c>
      <c r="L34" s="556">
        <v>1000</v>
      </c>
      <c r="M34" s="556"/>
      <c r="N34" s="554"/>
      <c r="O34" s="553" t="s">
        <v>103</v>
      </c>
      <c r="P34" s="556">
        <v>1000</v>
      </c>
      <c r="Q34" s="556"/>
      <c r="R34" s="554"/>
      <c r="S34" s="553"/>
      <c r="T34" s="556"/>
      <c r="U34" s="556"/>
      <c r="V34" s="554"/>
      <c r="W34" s="553"/>
      <c r="X34" s="556"/>
      <c r="Y34" s="556"/>
      <c r="Z34" s="554"/>
      <c r="AA34" s="553"/>
      <c r="AB34" s="556"/>
      <c r="AC34" s="556"/>
      <c r="AD34" s="554"/>
      <c r="AE34" s="578">
        <f t="shared" si="0"/>
        <v>2000</v>
      </c>
      <c r="AF34" s="567">
        <f t="shared" si="0"/>
        <v>0</v>
      </c>
    </row>
    <row r="35" spans="1:32" x14ac:dyDescent="0.3">
      <c r="A35" s="860" t="s">
        <v>454</v>
      </c>
      <c r="C35" s="553"/>
      <c r="D35" s="556"/>
      <c r="E35" s="556"/>
      <c r="F35" s="554"/>
      <c r="G35" s="553"/>
      <c r="H35" s="556"/>
      <c r="I35" s="556"/>
      <c r="J35" s="554"/>
      <c r="K35" s="553" t="s">
        <v>103</v>
      </c>
      <c r="L35" s="556">
        <v>1000</v>
      </c>
      <c r="M35" s="556"/>
      <c r="N35" s="554"/>
      <c r="O35" s="553" t="s">
        <v>103</v>
      </c>
      <c r="P35" s="556">
        <v>1000</v>
      </c>
      <c r="Q35" s="556"/>
      <c r="R35" s="554"/>
      <c r="S35" s="553"/>
      <c r="T35" s="556"/>
      <c r="U35" s="556"/>
      <c r="V35" s="554"/>
      <c r="W35" s="553"/>
      <c r="X35" s="556"/>
      <c r="Y35" s="556"/>
      <c r="Z35" s="554"/>
      <c r="AA35" s="553"/>
      <c r="AB35" s="556"/>
      <c r="AC35" s="556"/>
      <c r="AD35" s="554"/>
      <c r="AE35" s="578">
        <f t="shared" si="0"/>
        <v>2000</v>
      </c>
      <c r="AF35" s="567">
        <f t="shared" si="0"/>
        <v>0</v>
      </c>
    </row>
    <row r="36" spans="1:32" x14ac:dyDescent="0.3">
      <c r="A36" s="860" t="s">
        <v>237</v>
      </c>
      <c r="C36" s="553"/>
      <c r="D36" s="556"/>
      <c r="E36" s="556"/>
      <c r="F36" s="554"/>
      <c r="G36" s="553"/>
      <c r="H36" s="556"/>
      <c r="I36" s="556"/>
      <c r="J36" s="554"/>
      <c r="K36" s="553"/>
      <c r="L36" s="556"/>
      <c r="M36" s="556"/>
      <c r="N36" s="554"/>
      <c r="O36" s="553" t="s">
        <v>103</v>
      </c>
      <c r="P36" s="556">
        <v>1000</v>
      </c>
      <c r="Q36" s="556"/>
      <c r="R36" s="554"/>
      <c r="S36" s="553"/>
      <c r="T36" s="556"/>
      <c r="U36" s="556"/>
      <c r="V36" s="554"/>
      <c r="W36" s="553"/>
      <c r="X36" s="556"/>
      <c r="Y36" s="556"/>
      <c r="Z36" s="554"/>
      <c r="AA36" s="553"/>
      <c r="AB36" s="556"/>
      <c r="AC36" s="556"/>
      <c r="AD36" s="554"/>
      <c r="AE36" s="578">
        <f t="shared" si="0"/>
        <v>1000</v>
      </c>
      <c r="AF36" s="567">
        <f t="shared" si="0"/>
        <v>0</v>
      </c>
    </row>
    <row r="37" spans="1:32" x14ac:dyDescent="0.3">
      <c r="A37" s="860" t="s">
        <v>238</v>
      </c>
      <c r="C37" s="553"/>
      <c r="D37" s="556"/>
      <c r="E37" s="556"/>
      <c r="F37" s="554"/>
      <c r="G37" s="553"/>
      <c r="H37" s="556"/>
      <c r="I37" s="556"/>
      <c r="J37" s="554"/>
      <c r="K37" s="553"/>
      <c r="L37" s="556"/>
      <c r="M37" s="556"/>
      <c r="N37" s="554"/>
      <c r="O37" s="553"/>
      <c r="P37" s="556"/>
      <c r="Q37" s="556"/>
      <c r="R37" s="554"/>
      <c r="S37" s="553"/>
      <c r="T37" s="556"/>
      <c r="U37" s="556"/>
      <c r="V37" s="554"/>
      <c r="W37" s="553"/>
      <c r="X37" s="556"/>
      <c r="Y37" s="556"/>
      <c r="Z37" s="554"/>
      <c r="AA37" s="553"/>
      <c r="AB37" s="556"/>
      <c r="AC37" s="556"/>
      <c r="AD37" s="554"/>
      <c r="AE37" s="578">
        <f t="shared" si="0"/>
        <v>0</v>
      </c>
      <c r="AF37" s="567">
        <f t="shared" si="0"/>
        <v>0</v>
      </c>
    </row>
    <row r="38" spans="1:32" x14ac:dyDescent="0.3">
      <c r="A38" s="860" t="s">
        <v>74</v>
      </c>
      <c r="C38" s="553"/>
      <c r="D38" s="556"/>
      <c r="E38" s="556"/>
      <c r="F38" s="554"/>
      <c r="G38" s="553"/>
      <c r="H38" s="556"/>
      <c r="I38" s="556"/>
      <c r="J38" s="554"/>
      <c r="K38" s="553" t="s">
        <v>534</v>
      </c>
      <c r="L38" s="556">
        <v>1000</v>
      </c>
      <c r="M38" s="556"/>
      <c r="N38" s="554"/>
      <c r="O38" s="553" t="s">
        <v>534</v>
      </c>
      <c r="P38" s="556">
        <v>1000</v>
      </c>
      <c r="Q38" s="556"/>
      <c r="R38" s="554"/>
      <c r="S38" s="553"/>
      <c r="T38" s="556"/>
      <c r="U38" s="556"/>
      <c r="V38" s="554"/>
      <c r="W38" s="553"/>
      <c r="X38" s="556"/>
      <c r="Y38" s="556"/>
      <c r="Z38" s="554"/>
      <c r="AA38" s="553"/>
      <c r="AB38" s="556"/>
      <c r="AC38" s="556"/>
      <c r="AD38" s="554"/>
      <c r="AE38" s="578">
        <f t="shared" si="0"/>
        <v>2000</v>
      </c>
      <c r="AF38" s="567">
        <f t="shared" si="0"/>
        <v>0</v>
      </c>
    </row>
    <row r="39" spans="1:32" x14ac:dyDescent="0.3">
      <c r="A39" s="860" t="s">
        <v>79</v>
      </c>
      <c r="C39" s="553"/>
      <c r="D39" s="556"/>
      <c r="E39" s="556"/>
      <c r="F39" s="554"/>
      <c r="G39" s="553"/>
      <c r="H39" s="556"/>
      <c r="I39" s="556"/>
      <c r="J39" s="554"/>
      <c r="K39" s="553" t="s">
        <v>534</v>
      </c>
      <c r="L39" s="556">
        <v>1000</v>
      </c>
      <c r="M39" s="556"/>
      <c r="N39" s="554"/>
      <c r="O39" s="553" t="s">
        <v>534</v>
      </c>
      <c r="P39" s="556">
        <v>1000</v>
      </c>
      <c r="Q39" s="556"/>
      <c r="R39" s="554"/>
      <c r="S39" s="553"/>
      <c r="T39" s="556"/>
      <c r="U39" s="556"/>
      <c r="V39" s="554"/>
      <c r="W39" s="553"/>
      <c r="X39" s="556"/>
      <c r="Y39" s="556"/>
      <c r="Z39" s="554"/>
      <c r="AA39" s="553"/>
      <c r="AB39" s="556"/>
      <c r="AC39" s="556"/>
      <c r="AD39" s="554"/>
      <c r="AE39" s="578">
        <f t="shared" si="0"/>
        <v>2000</v>
      </c>
      <c r="AF39" s="567">
        <f t="shared" si="0"/>
        <v>0</v>
      </c>
    </row>
    <row r="40" spans="1:32" ht="15" thickBot="1" x14ac:dyDescent="0.35">
      <c r="A40" s="859" t="s">
        <v>76</v>
      </c>
      <c r="C40" s="553"/>
      <c r="D40" s="556"/>
      <c r="E40" s="558"/>
      <c r="F40" s="559"/>
      <c r="G40" s="557"/>
      <c r="H40" s="558"/>
      <c r="I40" s="558"/>
      <c r="J40" s="559"/>
      <c r="K40" s="553" t="s">
        <v>534</v>
      </c>
      <c r="L40" s="556">
        <v>1000</v>
      </c>
      <c r="M40" s="558"/>
      <c r="N40" s="559"/>
      <c r="O40" s="553" t="s">
        <v>534</v>
      </c>
      <c r="P40" s="556">
        <v>1000</v>
      </c>
      <c r="Q40" s="558"/>
      <c r="R40" s="559"/>
      <c r="S40" s="557"/>
      <c r="T40" s="558"/>
      <c r="U40" s="558"/>
      <c r="V40" s="559"/>
      <c r="W40" s="557"/>
      <c r="X40" s="558"/>
      <c r="Y40" s="558"/>
      <c r="Z40" s="559"/>
      <c r="AA40" s="557"/>
      <c r="AB40" s="558"/>
      <c r="AC40" s="558"/>
      <c r="AD40" s="559"/>
      <c r="AE40" s="578">
        <f t="shared" si="0"/>
        <v>2000</v>
      </c>
      <c r="AF40" s="567">
        <f t="shared" si="0"/>
        <v>0</v>
      </c>
    </row>
    <row r="41" spans="1:32" ht="15" thickBot="1" x14ac:dyDescent="0.35">
      <c r="A41" s="860" t="s">
        <v>439</v>
      </c>
      <c r="C41" s="1076"/>
      <c r="D41" s="1077"/>
      <c r="E41" s="1077"/>
      <c r="F41" s="1078"/>
      <c r="G41" s="1076"/>
      <c r="H41" s="1077"/>
      <c r="I41" s="1077"/>
      <c r="J41" s="1078"/>
      <c r="K41" s="1076"/>
      <c r="L41" s="1077"/>
      <c r="M41" s="1077"/>
      <c r="N41" s="1078"/>
      <c r="O41" s="1076"/>
      <c r="P41" s="1077"/>
      <c r="Q41" s="1077"/>
      <c r="R41" s="1078"/>
      <c r="S41" s="1076"/>
      <c r="T41" s="1077"/>
      <c r="U41" s="1077"/>
      <c r="V41" s="1078"/>
      <c r="W41" s="1076"/>
      <c r="X41" s="1077"/>
      <c r="Y41" s="1077"/>
      <c r="Z41" s="1078"/>
      <c r="AA41" s="1076"/>
      <c r="AB41" s="1077"/>
      <c r="AC41" s="1077"/>
      <c r="AD41" s="1078"/>
      <c r="AE41" s="1079"/>
      <c r="AF41" s="1080"/>
    </row>
    <row r="42" spans="1:32" ht="15" thickBot="1" x14ac:dyDescent="0.35">
      <c r="A42" s="861" t="s">
        <v>73</v>
      </c>
      <c r="C42" s="1076"/>
      <c r="D42" s="1077"/>
      <c r="E42" s="1077"/>
      <c r="F42" s="1078"/>
      <c r="G42" s="1076"/>
      <c r="H42" s="1077"/>
      <c r="I42" s="1077"/>
      <c r="J42" s="1078"/>
      <c r="K42" s="1076"/>
      <c r="L42" s="1077"/>
      <c r="M42" s="1077"/>
      <c r="N42" s="1078"/>
      <c r="O42" s="1076"/>
      <c r="P42" s="1077"/>
      <c r="Q42" s="1077"/>
      <c r="R42" s="1078"/>
      <c r="S42" s="1076"/>
      <c r="T42" s="1077"/>
      <c r="U42" s="1077"/>
      <c r="V42" s="1078"/>
      <c r="W42" s="1076"/>
      <c r="X42" s="1077"/>
      <c r="Y42" s="1077"/>
      <c r="Z42" s="1078"/>
      <c r="AA42" s="1076"/>
      <c r="AB42" s="1077"/>
      <c r="AC42" s="1077"/>
      <c r="AD42" s="1078"/>
      <c r="AE42" s="1079"/>
      <c r="AF42" s="1080"/>
    </row>
    <row r="43" spans="1:32" s="550" customFormat="1" ht="15" thickBot="1" x14ac:dyDescent="0.35">
      <c r="A43" s="581" t="s">
        <v>258</v>
      </c>
      <c r="C43" s="564"/>
      <c r="D43" s="872">
        <v>30000</v>
      </c>
      <c r="E43" s="565"/>
      <c r="F43" s="566"/>
      <c r="G43" s="564"/>
      <c r="H43" s="872">
        <v>30000</v>
      </c>
      <c r="I43" s="565"/>
      <c r="J43" s="566"/>
      <c r="K43" s="564"/>
      <c r="L43" s="872">
        <v>60000</v>
      </c>
      <c r="M43" s="565"/>
      <c r="N43" s="566"/>
      <c r="O43" s="564"/>
      <c r="P43" s="872">
        <v>30000</v>
      </c>
      <c r="Q43" s="565"/>
      <c r="R43" s="566"/>
      <c r="S43" s="564"/>
      <c r="T43" s="872"/>
      <c r="U43" s="565"/>
      <c r="V43" s="566"/>
      <c r="W43" s="564"/>
      <c r="X43" s="872"/>
      <c r="Y43" s="565"/>
      <c r="Z43" s="566"/>
      <c r="AA43" s="564"/>
      <c r="AB43" s="872"/>
      <c r="AC43" s="565"/>
      <c r="AD43" s="566"/>
      <c r="AE43" s="568">
        <f>SUM(AE11:AE40)</f>
        <v>150000</v>
      </c>
      <c r="AF43" s="564">
        <f>SUM(AF11:AF40)</f>
        <v>0</v>
      </c>
    </row>
    <row r="44" spans="1:32" s="550" customFormat="1" x14ac:dyDescent="0.3">
      <c r="A44" s="572"/>
      <c r="C44" s="572"/>
      <c r="D44" s="561"/>
      <c r="E44" s="561"/>
      <c r="F44" s="560"/>
      <c r="G44" s="572"/>
      <c r="H44" s="561"/>
      <c r="I44" s="561"/>
      <c r="J44" s="560"/>
      <c r="K44" s="572"/>
      <c r="L44" s="583"/>
      <c r="M44" s="561"/>
      <c r="N44" s="560"/>
      <c r="O44" s="572"/>
      <c r="P44" s="561"/>
      <c r="Q44" s="561"/>
      <c r="R44" s="560"/>
      <c r="S44" s="572"/>
      <c r="T44" s="561"/>
      <c r="U44" s="561"/>
      <c r="V44" s="560"/>
      <c r="W44" s="572"/>
      <c r="X44" s="561"/>
      <c r="Y44" s="561"/>
      <c r="Z44" s="560"/>
      <c r="AA44" s="572"/>
      <c r="AB44" s="583"/>
      <c r="AC44" s="561"/>
      <c r="AD44" s="560"/>
      <c r="AF44" s="561"/>
    </row>
    <row r="45" spans="1:32" ht="15" thickBot="1" x14ac:dyDescent="0.35">
      <c r="C45" s="574" t="s">
        <v>265</v>
      </c>
      <c r="D45" s="580"/>
      <c r="E45" s="549" t="s">
        <v>266</v>
      </c>
      <c r="F45" s="582"/>
      <c r="G45" s="574" t="s">
        <v>265</v>
      </c>
      <c r="H45" s="580"/>
      <c r="I45" s="549" t="s">
        <v>266</v>
      </c>
      <c r="J45" s="582"/>
      <c r="K45" s="574" t="s">
        <v>265</v>
      </c>
      <c r="L45" s="580"/>
      <c r="M45" s="549" t="s">
        <v>266</v>
      </c>
      <c r="N45" s="582"/>
      <c r="O45" s="574" t="s">
        <v>265</v>
      </c>
      <c r="P45" s="580"/>
      <c r="Q45" s="549" t="s">
        <v>266</v>
      </c>
      <c r="R45" s="582"/>
      <c r="S45" s="574" t="s">
        <v>265</v>
      </c>
      <c r="T45" s="580"/>
      <c r="U45" s="549" t="s">
        <v>266</v>
      </c>
      <c r="V45" s="582"/>
      <c r="W45" s="574" t="s">
        <v>265</v>
      </c>
      <c r="X45" s="580"/>
      <c r="Y45" s="549" t="s">
        <v>266</v>
      </c>
      <c r="Z45" s="582"/>
      <c r="AA45" s="574" t="s">
        <v>265</v>
      </c>
      <c r="AB45" s="580"/>
      <c r="AC45" s="549" t="s">
        <v>266</v>
      </c>
      <c r="AD45" s="582"/>
    </row>
    <row r="46" spans="1:32" ht="15" thickBot="1" x14ac:dyDescent="0.35">
      <c r="C46" s="574" t="s">
        <v>268</v>
      </c>
      <c r="D46" s="555"/>
      <c r="E46" s="549" t="s">
        <v>268</v>
      </c>
      <c r="F46" s="579"/>
      <c r="G46" s="574" t="s">
        <v>268</v>
      </c>
      <c r="H46" s="555"/>
      <c r="I46" s="549" t="s">
        <v>268</v>
      </c>
      <c r="J46" s="579"/>
      <c r="K46" s="574" t="s">
        <v>268</v>
      </c>
      <c r="L46" s="555"/>
      <c r="M46" s="549" t="s">
        <v>268</v>
      </c>
      <c r="N46" s="579"/>
      <c r="O46" s="574" t="s">
        <v>268</v>
      </c>
      <c r="P46" s="555"/>
      <c r="Q46" s="549" t="s">
        <v>268</v>
      </c>
      <c r="R46" s="579"/>
      <c r="S46" s="574" t="s">
        <v>268</v>
      </c>
      <c r="T46" s="555"/>
      <c r="U46" s="549" t="s">
        <v>268</v>
      </c>
      <c r="V46" s="579"/>
      <c r="W46" s="574" t="s">
        <v>268</v>
      </c>
      <c r="X46" s="555"/>
      <c r="Y46" s="549" t="s">
        <v>268</v>
      </c>
      <c r="Z46" s="579"/>
      <c r="AA46" s="574" t="s">
        <v>268</v>
      </c>
      <c r="AB46" s="555"/>
      <c r="AC46" s="549" t="s">
        <v>268</v>
      </c>
      <c r="AD46" s="579"/>
    </row>
    <row r="47" spans="1:32" ht="15" thickBot="1" x14ac:dyDescent="0.35">
      <c r="C47" s="574" t="s">
        <v>267</v>
      </c>
      <c r="D47" s="555"/>
      <c r="E47" s="549" t="s">
        <v>267</v>
      </c>
      <c r="F47" s="579"/>
      <c r="G47" s="574" t="s">
        <v>267</v>
      </c>
      <c r="H47" s="555"/>
      <c r="I47" s="549" t="s">
        <v>267</v>
      </c>
      <c r="J47" s="579"/>
      <c r="K47" s="574" t="s">
        <v>267</v>
      </c>
      <c r="L47" s="555"/>
      <c r="M47" s="549" t="s">
        <v>267</v>
      </c>
      <c r="N47" s="579"/>
      <c r="O47" s="574" t="s">
        <v>267</v>
      </c>
      <c r="P47" s="555"/>
      <c r="Q47" s="549" t="s">
        <v>267</v>
      </c>
      <c r="R47" s="579"/>
      <c r="S47" s="574" t="s">
        <v>267</v>
      </c>
      <c r="T47" s="555"/>
      <c r="U47" s="549" t="s">
        <v>267</v>
      </c>
      <c r="V47" s="579"/>
      <c r="W47" s="574" t="s">
        <v>267</v>
      </c>
      <c r="X47" s="555"/>
      <c r="Y47" s="549" t="s">
        <v>267</v>
      </c>
      <c r="Z47" s="579"/>
      <c r="AA47" s="574" t="s">
        <v>267</v>
      </c>
      <c r="AB47" s="555"/>
      <c r="AC47" s="549" t="s">
        <v>267</v>
      </c>
      <c r="AD47" s="579"/>
    </row>
    <row r="48" spans="1:32" ht="15" thickBot="1" x14ac:dyDescent="0.35">
      <c r="C48" s="575"/>
      <c r="D48" s="555"/>
      <c r="E48" s="576"/>
      <c r="F48" s="579"/>
      <c r="G48" s="575"/>
      <c r="H48" s="555"/>
      <c r="I48" s="576"/>
      <c r="J48" s="579"/>
      <c r="K48" s="575"/>
      <c r="L48" s="555"/>
      <c r="M48" s="576"/>
      <c r="N48" s="579"/>
      <c r="O48" s="575"/>
      <c r="P48" s="555"/>
      <c r="Q48" s="576"/>
      <c r="R48" s="579"/>
      <c r="S48" s="575"/>
      <c r="T48" s="555"/>
      <c r="U48" s="576"/>
      <c r="V48" s="579"/>
      <c r="W48" s="575"/>
      <c r="X48" s="555"/>
      <c r="Y48" s="576"/>
      <c r="Z48" s="579"/>
      <c r="AA48" s="575"/>
      <c r="AB48" s="555"/>
      <c r="AC48" s="576"/>
      <c r="AD48" s="579"/>
    </row>
  </sheetData>
  <mergeCells count="16">
    <mergeCell ref="AE9:AF9"/>
    <mergeCell ref="AA1:AD1"/>
    <mergeCell ref="A9:A10"/>
    <mergeCell ref="C9:F9"/>
    <mergeCell ref="G9:J9"/>
    <mergeCell ref="K9:N9"/>
    <mergeCell ref="O9:R9"/>
    <mergeCell ref="S9:V9"/>
    <mergeCell ref="W9:Z9"/>
    <mergeCell ref="AA9:AD9"/>
    <mergeCell ref="C1:F1"/>
    <mergeCell ref="G1:J1"/>
    <mergeCell ref="K1:N1"/>
    <mergeCell ref="O1:R1"/>
    <mergeCell ref="S1:V1"/>
    <mergeCell ref="W1:Z1"/>
  </mergeCells>
  <pageMargins left="0.51181102362204722" right="0.51181102362204722" top="0.55118110236220474" bottom="0.74803149606299213" header="0.31496062992125984" footer="0.31496062992125984"/>
  <pageSetup scale="46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556EAEE72D7747B3D0355DABB429F3" ma:contentTypeVersion="5" ma:contentTypeDescription="Create a new document." ma:contentTypeScope="" ma:versionID="510511ce609cd22d073012b858703f23">
  <xsd:schema xmlns:xsd="http://www.w3.org/2001/XMLSchema" xmlns:xs="http://www.w3.org/2001/XMLSchema" xmlns:p="http://schemas.microsoft.com/office/2006/metadata/properties" xmlns:ns2="7146d502-05f5-4fb7-b414-24f33b760985" targetNamespace="http://schemas.microsoft.com/office/2006/metadata/properties" ma:root="true" ma:fieldsID="dff61d6fb0c51ac950ba6c8675b4ac1a" ns2:_="">
    <xsd:import namespace="7146d502-05f5-4fb7-b414-24f33b76098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ReviewB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46d502-05f5-4fb7-b414-24f33b7609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ReviewBy" ma:index="11" nillable="true" ma:displayName="Review By" ma:format="Dropdown" ma:list="UserInfo" ma:SharePointGroup="0" ma:internalName="ReviewBy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viewBy xmlns="7146d502-05f5-4fb7-b414-24f33b760985">
      <UserInfo>
        <DisplayName/>
        <AccountId xsi:nil="true"/>
        <AccountType/>
      </UserInfo>
    </ReviewBy>
  </documentManagement>
</p:properties>
</file>

<file path=customXml/itemProps1.xml><?xml version="1.0" encoding="utf-8"?>
<ds:datastoreItem xmlns:ds="http://schemas.openxmlformats.org/officeDocument/2006/customXml" ds:itemID="{3BD1ACB0-336D-4B6D-88DF-49F948C09B8F}"/>
</file>

<file path=customXml/itemProps2.xml><?xml version="1.0" encoding="utf-8"?>
<ds:datastoreItem xmlns:ds="http://schemas.openxmlformats.org/officeDocument/2006/customXml" ds:itemID="{DAA08C5A-977A-4B99-8B84-AA23F90701CD}"/>
</file>

<file path=customXml/itemProps3.xml><?xml version="1.0" encoding="utf-8"?>
<ds:datastoreItem xmlns:ds="http://schemas.openxmlformats.org/officeDocument/2006/customXml" ds:itemID="{3661E904-1F56-4D44-B98D-12C16A57FF1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7</vt:i4>
      </vt:variant>
    </vt:vector>
  </HeadingPairs>
  <TitlesOfParts>
    <vt:vector size="25" baseType="lpstr">
      <vt:lpstr>Template Loading Instruction</vt:lpstr>
      <vt:lpstr>Template Feed Order</vt:lpstr>
      <vt:lpstr>Daily Dispatch Tracking</vt:lpstr>
      <vt:lpstr>Logistics Plan</vt:lpstr>
      <vt:lpstr>Daily Production Plan</vt:lpstr>
      <vt:lpstr>Feed Order Summary </vt:lpstr>
      <vt:lpstr>Porta Wk 34 </vt:lpstr>
      <vt:lpstr>Porta L. Instruction</vt:lpstr>
      <vt:lpstr>Lionshead Wk 34</vt:lpstr>
      <vt:lpstr>Lionshead L.instruction</vt:lpstr>
      <vt:lpstr>Grasmere Wk 34</vt:lpstr>
      <vt:lpstr>Grasmere L. instruction</vt:lpstr>
      <vt:lpstr>Multiplier Wk 34</vt:lpstr>
      <vt:lpstr>Multiplier L. Instruction</vt:lpstr>
      <vt:lpstr>Learig Wk 34</vt:lpstr>
      <vt:lpstr>Learig L. Instruction</vt:lpstr>
      <vt:lpstr>Richlands Wk 34</vt:lpstr>
      <vt:lpstr>Richlands L. instruction</vt:lpstr>
      <vt:lpstr>'Grasmere L. instruction'!Print_Area</vt:lpstr>
      <vt:lpstr>'Learig L. Instruction'!Print_Area</vt:lpstr>
      <vt:lpstr>'Lionshead L.instruction'!Print_Area</vt:lpstr>
      <vt:lpstr>'Multiplier L. Instruction'!Print_Area</vt:lpstr>
      <vt:lpstr>'Porta L. Instruction'!Print_Area</vt:lpstr>
      <vt:lpstr>'Richlands L. instruction'!Print_Area</vt:lpstr>
      <vt:lpstr>'Template Loading Instruction'!Print_Area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Hamadzashe Mudavose</cp:lastModifiedBy>
  <cp:lastPrinted>2026-04-27T13:18:04Z</cp:lastPrinted>
  <dcterms:created xsi:type="dcterms:W3CDTF">2026-03-08T06:31:28Z</dcterms:created>
  <dcterms:modified xsi:type="dcterms:W3CDTF">2026-08-21T19:23:42Z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0x010100F4556EAEE72D7747B3D0355DABB429F3</vt:lpwstr>
  </property>
</Properties>
</file>