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heme/themeOverride1.xml" ContentType="application/vnd.openxmlformats-officedocument.themeOverride+xml"/>
  <Override PartName="/xl/charts/chart6.xml" ContentType="application/vnd.openxmlformats-officedocument.drawingml.chart+xml"/>
  <Override PartName="/xl/theme/themeOverride2.xml" ContentType="application/vnd.openxmlformats-officedocument.themeOverride+xml"/>
  <Override PartName="/xl/charts/chart7.xml" ContentType="application/vnd.openxmlformats-officedocument.drawingml.chart+xml"/>
  <Override PartName="/xl/theme/themeOverride3.xml" ContentType="application/vnd.openxmlformats-officedocument.themeOverride+xml"/>
  <Override PartName="/xl/charts/chart8.xml" ContentType="application/vnd.openxmlformats-officedocument.drawingml.chart+xml"/>
  <Override PartName="/xl/theme/themeOverride4.xml" ContentType="application/vnd.openxmlformats-officedocument.themeOverride+xml"/>
  <Override PartName="/xl/charts/chart9.xml" ContentType="application/vnd.openxmlformats-officedocument.drawingml.chart+xml"/>
  <Override PartName="/xl/theme/themeOverride5.xml" ContentType="application/vnd.openxmlformats-officedocument.themeOverride+xml"/>
  <Override PartName="/xl/charts/chart10.xml" ContentType="application/vnd.openxmlformats-officedocument.drawingml.chart+xml"/>
  <Override PartName="/xl/theme/themeOverride6.xml" ContentType="application/vnd.openxmlformats-officedocument.themeOverride+xml"/>
  <Override PartName="/xl/charts/chart11.xml" ContentType="application/vnd.openxmlformats-officedocument.drawingml.chart+xml"/>
  <Override PartName="/xl/theme/themeOverride7.xml" ContentType="application/vnd.openxmlformats-officedocument.themeOverride+xml"/>
  <Override PartName="/xl/charts/chart12.xml" ContentType="application/vnd.openxmlformats-officedocument.drawingml.chart+xml"/>
  <Override PartName="/xl/theme/themeOverride8.xml" ContentType="application/vnd.openxmlformats-officedocument.themeOverride+xml"/>
  <Override PartName="/xl/charts/chart13.xml" ContentType="application/vnd.openxmlformats-officedocument.drawingml.chart+xml"/>
  <Override PartName="/xl/theme/themeOverride9.xml" ContentType="application/vnd.openxmlformats-officedocument.themeOverride+xml"/>
  <Override PartName="/xl/charts/chart14.xml" ContentType="application/vnd.openxmlformats-officedocument.drawingml.chart+xml"/>
  <Override PartName="/xl/theme/themeOverride10.xml" ContentType="application/vnd.openxmlformats-officedocument.themeOverride+xml"/>
  <Override PartName="/xl/charts/chart15.xml" ContentType="application/vnd.openxmlformats-officedocument.drawingml.chart+xml"/>
  <Override PartName="/xl/theme/themeOverride11.xml" ContentType="application/vnd.openxmlformats-officedocument.themeOverride+xml"/>
  <Override PartName="/xl/charts/chart16.xml" ContentType="application/vnd.openxmlformats-officedocument.drawingml.chart+xml"/>
  <Override PartName="/xl/theme/themeOverride12.xml" ContentType="application/vnd.openxmlformats-officedocument.themeOverride+xml"/>
  <Override PartName="/xl/charts/chart17.xml" ContentType="application/vnd.openxmlformats-officedocument.drawingml.chart+xml"/>
  <Override PartName="/xl/theme/themeOverride13.xml" ContentType="application/vnd.openxmlformats-officedocument.themeOverride+xml"/>
  <Override PartName="/xl/charts/chart18.xml" ContentType="application/vnd.openxmlformats-officedocument.drawingml.chart+xml"/>
  <Override PartName="/xl/theme/themeOverride14.xml" ContentType="application/vnd.openxmlformats-officedocument.themeOverride+xml"/>
  <Override PartName="/xl/charts/chart19.xml" ContentType="application/vnd.openxmlformats-officedocument.drawingml.chart+xml"/>
  <Override PartName="/xl/theme/themeOverride15.xml" ContentType="application/vnd.openxmlformats-officedocument.themeOverride+xml"/>
  <Override PartName="/xl/charts/chart20.xml" ContentType="application/vnd.openxmlformats-officedocument.drawingml.chart+xml"/>
  <Override PartName="/xl/theme/themeOverride16.xml" ContentType="application/vnd.openxmlformats-officedocument.themeOverride+xml"/>
  <Override PartName="/xl/charts/chart21.xml" ContentType="application/vnd.openxmlformats-officedocument.drawingml.chart+xml"/>
  <Override PartName="/xl/theme/themeOverride17.xml" ContentType="application/vnd.openxmlformats-officedocument.themeOverride+xml"/>
  <Override PartName="/xl/charts/chart22.xml" ContentType="application/vnd.openxmlformats-officedocument.drawingml.chart+xml"/>
  <Override PartName="/xl/theme/themeOverride18.xml" ContentType="application/vnd.openxmlformats-officedocument.themeOverride+xml"/>
  <Override PartName="/xl/drawings/drawing2.xml" ContentType="application/vnd.openxmlformats-officedocument.drawing+xml"/>
  <Override PartName="/xl/charts/chart2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04"/>
  <workbookPr/>
  <mc:AlternateContent xmlns:mc="http://schemas.openxmlformats.org/markup-compatibility/2006">
    <mc:Choice Requires="x15">
      <x15ac:absPath xmlns:x15ac="http://schemas.microsoft.com/office/spreadsheetml/2010/11/ac" url="C:\Users\terrence.GRASMERE\Dropbox\Triple C Pigs Production Folder\7. AI Station - good\"/>
    </mc:Choice>
  </mc:AlternateContent>
  <xr:revisionPtr revIDLastSave="5" documentId="13_ncr:1_{0D876F2D-B4F4-41F3-8619-118C211A95C2}" xr6:coauthVersionLast="47" xr6:coauthVersionMax="47" xr10:uidLastSave="{E46E836D-F164-46A0-8479-CEB9917E90C8}"/>
  <bookViews>
    <workbookView xWindow="-108" yWindow="-108" windowWidth="23256" windowHeight="12456" firstSheet="13" activeTab="13" xr2:uid="{AF66CA49-54D9-4C64-AA9B-B3943399BA79}"/>
  </bookViews>
  <sheets>
    <sheet name="Week 23" sheetId="4" r:id="rId1"/>
    <sheet name="Week 24" sheetId="3" r:id="rId2"/>
    <sheet name="Week 25" sheetId="2" r:id="rId3"/>
    <sheet name="Week 26 " sheetId="6" r:id="rId4"/>
    <sheet name="Week 27" sheetId="7" r:id="rId5"/>
    <sheet name="Week 28" sheetId="8" r:id="rId6"/>
    <sheet name="Week 29" sheetId="9" r:id="rId7"/>
    <sheet name="Week 30" sheetId="10" r:id="rId8"/>
    <sheet name="Week 31" sheetId="12" r:id="rId9"/>
    <sheet name="Week 32" sheetId="13" r:id="rId10"/>
    <sheet name="Week 33" sheetId="14" r:id="rId11"/>
    <sheet name="Week 34" sheetId="15" r:id="rId12"/>
    <sheet name="Week 35" sheetId="16" r:id="rId13"/>
    <sheet name="Z line boars manual" sheetId="11" r:id="rId14"/>
    <sheet name="Dashboard" sheetId="5" r:id="rId15"/>
  </sheets>
  <externalReferences>
    <externalReference r:id="rId16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6" i="16" l="1"/>
  <c r="L6" i="16" s="1"/>
  <c r="J6" i="16"/>
  <c r="H6" i="16"/>
  <c r="J5" i="16"/>
  <c r="K5" i="16" s="1"/>
  <c r="L5" i="16" s="1"/>
  <c r="H5" i="16"/>
  <c r="K4" i="16"/>
  <c r="L4" i="16" s="1"/>
  <c r="J4" i="16"/>
  <c r="H4" i="16"/>
  <c r="J3" i="16"/>
  <c r="K3" i="16" s="1"/>
  <c r="L3" i="16" s="1"/>
  <c r="H3" i="16"/>
  <c r="O2" i="16"/>
  <c r="E6" i="16" s="1"/>
  <c r="J6" i="15"/>
  <c r="K6" i="15" s="1"/>
  <c r="H6" i="15"/>
  <c r="J5" i="15"/>
  <c r="K5" i="15" s="1"/>
  <c r="H5" i="15"/>
  <c r="J4" i="15"/>
  <c r="K4" i="15" s="1"/>
  <c r="H4" i="15"/>
  <c r="J3" i="15"/>
  <c r="K3" i="15" s="1"/>
  <c r="L3" i="15" s="1"/>
  <c r="H3" i="15"/>
  <c r="O2" i="15"/>
  <c r="E5" i="15" s="1"/>
  <c r="O2" i="14"/>
  <c r="E3" i="14" s="1"/>
  <c r="J6" i="14"/>
  <c r="K6" i="14" s="1"/>
  <c r="H6" i="14"/>
  <c r="J5" i="14"/>
  <c r="K5" i="14" s="1"/>
  <c r="H5" i="14"/>
  <c r="J4" i="14"/>
  <c r="K4" i="14" s="1"/>
  <c r="H4" i="14"/>
  <c r="J3" i="14"/>
  <c r="K3" i="14" s="1"/>
  <c r="L3" i="14" s="1"/>
  <c r="H3" i="14"/>
  <c r="J6" i="13"/>
  <c r="K6" i="13" s="1"/>
  <c r="H6" i="13"/>
  <c r="E6" i="13"/>
  <c r="J5" i="13"/>
  <c r="K5" i="13" s="1"/>
  <c r="H5" i="13"/>
  <c r="E5" i="13"/>
  <c r="J4" i="13"/>
  <c r="K4" i="13" s="1"/>
  <c r="H4" i="13"/>
  <c r="E4" i="13"/>
  <c r="J3" i="13"/>
  <c r="K3" i="13" s="1"/>
  <c r="H3" i="13"/>
  <c r="E3" i="13"/>
  <c r="O2" i="13"/>
  <c r="J6" i="12"/>
  <c r="K6" i="12" s="1"/>
  <c r="H6" i="12"/>
  <c r="E6" i="12"/>
  <c r="J5" i="12"/>
  <c r="K5" i="12" s="1"/>
  <c r="H5" i="12"/>
  <c r="E5" i="12"/>
  <c r="J4" i="12"/>
  <c r="K4" i="12" s="1"/>
  <c r="L4" i="12" s="1"/>
  <c r="H4" i="12"/>
  <c r="E4" i="12"/>
  <c r="J3" i="12"/>
  <c r="K3" i="12" s="1"/>
  <c r="H3" i="12"/>
  <c r="E3" i="12"/>
  <c r="O2" i="12"/>
  <c r="E6" i="4"/>
  <c r="E5" i="4"/>
  <c r="E4" i="4"/>
  <c r="E3" i="4"/>
  <c r="E6" i="3"/>
  <c r="E5" i="3"/>
  <c r="E4" i="3"/>
  <c r="E3" i="3"/>
  <c r="E6" i="2"/>
  <c r="E5" i="2"/>
  <c r="E4" i="2"/>
  <c r="E3" i="2"/>
  <c r="E6" i="6"/>
  <c r="E5" i="6"/>
  <c r="E4" i="6"/>
  <c r="E3" i="6"/>
  <c r="E6" i="7"/>
  <c r="E5" i="7"/>
  <c r="E4" i="7"/>
  <c r="E3" i="7"/>
  <c r="H3" i="7"/>
  <c r="E6" i="8"/>
  <c r="E5" i="8"/>
  <c r="E4" i="8"/>
  <c r="E3" i="8"/>
  <c r="E6" i="9"/>
  <c r="E5" i="9"/>
  <c r="E4" i="9"/>
  <c r="E3" i="9"/>
  <c r="E6" i="10"/>
  <c r="E5" i="10"/>
  <c r="E4" i="10"/>
  <c r="E3" i="10"/>
  <c r="L5" i="15" l="1"/>
  <c r="L4" i="15"/>
  <c r="E5" i="16"/>
  <c r="E3" i="16"/>
  <c r="E4" i="16"/>
  <c r="L6" i="15"/>
  <c r="E4" i="15"/>
  <c r="E6" i="15"/>
  <c r="E3" i="15"/>
  <c r="E6" i="14"/>
  <c r="E4" i="14"/>
  <c r="E5" i="14"/>
  <c r="L6" i="12"/>
  <c r="L6" i="13"/>
  <c r="L5" i="13"/>
  <c r="L4" i="14"/>
  <c r="L6" i="14"/>
  <c r="L5" i="14"/>
  <c r="L4" i="13"/>
  <c r="L3" i="13"/>
  <c r="L5" i="12"/>
  <c r="L3" i="12"/>
  <c r="D135" i="11"/>
  <c r="E135" i="11" s="1"/>
  <c r="F135" i="11" s="1"/>
  <c r="G135" i="11" s="1"/>
  <c r="H135" i="11" s="1"/>
  <c r="I135" i="11" s="1"/>
  <c r="J135" i="11" s="1"/>
  <c r="K135" i="11" s="1"/>
  <c r="L135" i="11" s="1"/>
  <c r="M135" i="11" s="1"/>
  <c r="N135" i="11" s="1"/>
  <c r="O135" i="11" s="1"/>
  <c r="P135" i="11" s="1"/>
  <c r="Q135" i="11" s="1"/>
  <c r="R135" i="11" s="1"/>
  <c r="S135" i="11" s="1"/>
  <c r="T135" i="11" s="1"/>
  <c r="U135" i="11" s="1"/>
  <c r="V135" i="11" s="1"/>
  <c r="W135" i="11" s="1"/>
  <c r="X135" i="11" s="1"/>
  <c r="Y135" i="11" s="1"/>
  <c r="Z135" i="11" s="1"/>
  <c r="AA135" i="11" s="1"/>
  <c r="AB135" i="11" s="1"/>
  <c r="AC135" i="11" s="1"/>
  <c r="AD135" i="11" s="1"/>
  <c r="AE135" i="11" s="1"/>
  <c r="AF135" i="11" s="1"/>
  <c r="AG135" i="11" s="1"/>
  <c r="AH135" i="11" s="1"/>
  <c r="AI135" i="11" s="1"/>
  <c r="AJ135" i="11" s="1"/>
  <c r="AK135" i="11" s="1"/>
  <c r="AL135" i="11" s="1"/>
  <c r="AM135" i="11" s="1"/>
  <c r="AN135" i="11" s="1"/>
  <c r="AO135" i="11" s="1"/>
  <c r="AP135" i="11" s="1"/>
  <c r="AQ135" i="11" s="1"/>
  <c r="AR135" i="11" s="1"/>
  <c r="AS135" i="11" s="1"/>
  <c r="AT135" i="11" s="1"/>
  <c r="AU135" i="11" s="1"/>
  <c r="AV135" i="11" s="1"/>
  <c r="AW135" i="11" s="1"/>
  <c r="AX135" i="11" s="1"/>
  <c r="AY135" i="11" s="1"/>
  <c r="AZ135" i="11" s="1"/>
  <c r="BA135" i="11" s="1"/>
  <c r="C135" i="11"/>
  <c r="CO85" i="11"/>
  <c r="CO84" i="11"/>
  <c r="C40" i="11"/>
  <c r="D40" i="11" s="1"/>
  <c r="E40" i="11" s="1"/>
  <c r="F40" i="11" s="1"/>
  <c r="G40" i="11" s="1"/>
  <c r="H40" i="11" s="1"/>
  <c r="I40" i="11" s="1"/>
  <c r="J40" i="11" s="1"/>
  <c r="K40" i="11" s="1"/>
  <c r="L40" i="11" s="1"/>
  <c r="M40" i="11" s="1"/>
  <c r="N40" i="11" s="1"/>
  <c r="O40" i="11" s="1"/>
  <c r="P40" i="11" s="1"/>
  <c r="Q40" i="11" s="1"/>
  <c r="R40" i="11" s="1"/>
  <c r="S40" i="11" s="1"/>
  <c r="T40" i="11" s="1"/>
  <c r="U40" i="11" s="1"/>
  <c r="V40" i="11" s="1"/>
  <c r="W40" i="11" s="1"/>
  <c r="X40" i="11" s="1"/>
  <c r="Y40" i="11" s="1"/>
  <c r="Z40" i="11" s="1"/>
  <c r="AA40" i="11" s="1"/>
  <c r="AB40" i="11" s="1"/>
  <c r="AC40" i="11" s="1"/>
  <c r="AD40" i="11" s="1"/>
  <c r="AE40" i="11" s="1"/>
  <c r="AF40" i="11" s="1"/>
  <c r="AG40" i="11" s="1"/>
  <c r="AH40" i="11" s="1"/>
  <c r="AI40" i="11" s="1"/>
  <c r="AJ40" i="11" s="1"/>
  <c r="AK40" i="11" s="1"/>
  <c r="AL40" i="11" s="1"/>
  <c r="AM40" i="11" s="1"/>
  <c r="AN40" i="11" s="1"/>
  <c r="AO40" i="11" s="1"/>
  <c r="AP40" i="11" s="1"/>
  <c r="AQ40" i="11" s="1"/>
  <c r="AR40" i="11" s="1"/>
  <c r="AS40" i="11" s="1"/>
  <c r="AT40" i="11" s="1"/>
  <c r="AU40" i="11" s="1"/>
  <c r="AV40" i="11" s="1"/>
  <c r="AW40" i="11" s="1"/>
  <c r="AX40" i="11" s="1"/>
  <c r="AY40" i="11" s="1"/>
  <c r="AZ40" i="11" s="1"/>
  <c r="BA40" i="11" s="1"/>
  <c r="D24" i="11"/>
  <c r="E24" i="11" s="1"/>
  <c r="F24" i="11" s="1"/>
  <c r="G24" i="11" s="1"/>
  <c r="H24" i="11" s="1"/>
  <c r="I24" i="11" s="1"/>
  <c r="J24" i="11" s="1"/>
  <c r="K24" i="11" s="1"/>
  <c r="L24" i="11" s="1"/>
  <c r="M24" i="11" s="1"/>
  <c r="N24" i="11" s="1"/>
  <c r="O24" i="11" s="1"/>
  <c r="P24" i="11" s="1"/>
  <c r="Q24" i="11" s="1"/>
  <c r="R24" i="11" s="1"/>
  <c r="S24" i="11" s="1"/>
  <c r="T24" i="11" s="1"/>
  <c r="U24" i="11" s="1"/>
  <c r="V24" i="11" s="1"/>
  <c r="W24" i="11" s="1"/>
  <c r="X24" i="11" s="1"/>
  <c r="Y24" i="11" s="1"/>
  <c r="Z24" i="11" s="1"/>
  <c r="AA24" i="11" s="1"/>
  <c r="AB24" i="11" s="1"/>
  <c r="AC24" i="11" s="1"/>
  <c r="AD24" i="11" s="1"/>
  <c r="AE24" i="11" s="1"/>
  <c r="AF24" i="11" s="1"/>
  <c r="AG24" i="11" s="1"/>
  <c r="AH24" i="11" s="1"/>
  <c r="AI24" i="11" s="1"/>
  <c r="AJ24" i="11" s="1"/>
  <c r="AK24" i="11" s="1"/>
  <c r="AL24" i="11" s="1"/>
  <c r="AM24" i="11" s="1"/>
  <c r="AN24" i="11" s="1"/>
  <c r="AO24" i="11" s="1"/>
  <c r="AP24" i="11" s="1"/>
  <c r="AQ24" i="11" s="1"/>
  <c r="AR24" i="11" s="1"/>
  <c r="AS24" i="11" s="1"/>
  <c r="AT24" i="11" s="1"/>
  <c r="AU24" i="11" s="1"/>
  <c r="AV24" i="11" s="1"/>
  <c r="AW24" i="11" s="1"/>
  <c r="AX24" i="11" s="1"/>
  <c r="AY24" i="11" s="1"/>
  <c r="AZ24" i="11" s="1"/>
  <c r="BA24" i="11" s="1"/>
  <c r="C24" i="11"/>
  <c r="CO86" i="11" l="1"/>
  <c r="CO87" i="11" s="1"/>
  <c r="CO88" i="11" s="1"/>
  <c r="J6" i="9" l="1"/>
  <c r="K6" i="9" s="1"/>
  <c r="J5" i="9"/>
  <c r="K5" i="9" s="1"/>
  <c r="J4" i="9"/>
  <c r="K4" i="9" s="1"/>
  <c r="J3" i="9"/>
  <c r="K3" i="9" s="1"/>
  <c r="J6" i="8"/>
  <c r="K6" i="8" s="1"/>
  <c r="J5" i="8"/>
  <c r="K5" i="8" s="1"/>
  <c r="J4" i="8"/>
  <c r="K4" i="8" s="1"/>
  <c r="L4" i="8" s="1"/>
  <c r="J3" i="8"/>
  <c r="K3" i="8" s="1"/>
  <c r="J6" i="7"/>
  <c r="K6" i="7" s="1"/>
  <c r="J5" i="7"/>
  <c r="K5" i="7" s="1"/>
  <c r="J4" i="7"/>
  <c r="K4" i="7" s="1"/>
  <c r="J3" i="7"/>
  <c r="K3" i="7" s="1"/>
  <c r="J6" i="6"/>
  <c r="K6" i="6" s="1"/>
  <c r="J5" i="6"/>
  <c r="K5" i="6" s="1"/>
  <c r="J4" i="6"/>
  <c r="K4" i="6" s="1"/>
  <c r="J3" i="6"/>
  <c r="K3" i="6" s="1"/>
  <c r="H6" i="6"/>
  <c r="H5" i="6"/>
  <c r="H4" i="6"/>
  <c r="H3" i="6"/>
  <c r="H6" i="7"/>
  <c r="H5" i="7"/>
  <c r="H4" i="7"/>
  <c r="H6" i="8"/>
  <c r="H5" i="8"/>
  <c r="H4" i="8"/>
  <c r="H3" i="8"/>
  <c r="H6" i="9"/>
  <c r="H5" i="9"/>
  <c r="H4" i="9"/>
  <c r="H3" i="9"/>
  <c r="J4" i="10"/>
  <c r="K4" i="10" s="1"/>
  <c r="J5" i="10"/>
  <c r="K5" i="10" s="1"/>
  <c r="J6" i="10"/>
  <c r="K6" i="10" s="1"/>
  <c r="J3" i="10"/>
  <c r="K3" i="10" s="1"/>
  <c r="H4" i="10"/>
  <c r="H5" i="10"/>
  <c r="H6" i="10"/>
  <c r="H3" i="10"/>
  <c r="L3" i="10" l="1"/>
  <c r="L5" i="10"/>
  <c r="L4" i="10"/>
  <c r="L6" i="10"/>
  <c r="L5" i="6"/>
  <c r="L6" i="8"/>
  <c r="L3" i="8"/>
  <c r="L4" i="9"/>
  <c r="L3" i="9"/>
  <c r="L5" i="9"/>
  <c r="L6" i="9"/>
  <c r="L5" i="8"/>
  <c r="L5" i="7"/>
  <c r="L3" i="7"/>
  <c r="L6" i="7"/>
  <c r="L4" i="7"/>
  <c r="L3" i="6"/>
  <c r="L4" i="6"/>
  <c r="L6" i="6"/>
  <c r="O2" i="10" l="1"/>
  <c r="O2" i="9"/>
  <c r="O2" i="8"/>
  <c r="O2" i="7"/>
  <c r="O2" i="6"/>
  <c r="O2" i="4"/>
  <c r="O2" i="3"/>
  <c r="O2" i="2"/>
</calcChain>
</file>

<file path=xl/sharedStrings.xml><?xml version="1.0" encoding="utf-8"?>
<sst xmlns="http://schemas.openxmlformats.org/spreadsheetml/2006/main" count="556" uniqueCount="46">
  <si>
    <t>Collector ID</t>
  </si>
  <si>
    <t>Boar</t>
  </si>
  <si>
    <t>TSI</t>
  </si>
  <si>
    <t>DoB</t>
  </si>
  <si>
    <t xml:space="preserve">AGE </t>
  </si>
  <si>
    <t>Last recorded raw Semen collected (mls)</t>
  </si>
  <si>
    <t>Last recorded Doses</t>
  </si>
  <si>
    <t>Dose rank</t>
  </si>
  <si>
    <t>Last recorded Morphology</t>
  </si>
  <si>
    <t>Morphology  Rank</t>
  </si>
  <si>
    <t>Overal Grading</t>
  </si>
  <si>
    <t>Overal Rank</t>
  </si>
  <si>
    <t>BLXA9988</t>
  </si>
  <si>
    <t>BLXB0011</t>
  </si>
  <si>
    <t>BLXB0234</t>
  </si>
  <si>
    <t>AW</t>
  </si>
  <si>
    <t>BLXB0349</t>
  </si>
  <si>
    <t>COMMENT</t>
  </si>
  <si>
    <t xml:space="preserve">Not yet in use </t>
  </si>
  <si>
    <t>Male</t>
  </si>
  <si>
    <t>TZZZZ</t>
  </si>
  <si>
    <t>CM</t>
  </si>
  <si>
    <t>Rank</t>
  </si>
  <si>
    <t>level</t>
  </si>
  <si>
    <t xml:space="preserve">AVERAGE </t>
  </si>
  <si>
    <t>week</t>
  </si>
  <si>
    <t>morphology target top</t>
  </si>
  <si>
    <t>Actual</t>
  </si>
  <si>
    <t>boars avg # of doses</t>
  </si>
  <si>
    <t>doses actual</t>
  </si>
  <si>
    <t>comment</t>
  </si>
  <si>
    <t>Tenability - Day 1</t>
  </si>
  <si>
    <t>tenability - Day 2</t>
  </si>
  <si>
    <t>tenability - Day 3</t>
  </si>
  <si>
    <t>Target</t>
  </si>
  <si>
    <t>Max</t>
  </si>
  <si>
    <t>Min</t>
  </si>
  <si>
    <t>Diff</t>
  </si>
  <si>
    <t>Ratio</t>
  </si>
  <si>
    <t>`</t>
  </si>
  <si>
    <t xml:space="preserve">Week Number </t>
  </si>
  <si>
    <t>Raw Semen</t>
  </si>
  <si>
    <t>Doses</t>
  </si>
  <si>
    <t xml:space="preserve">Morphology </t>
  </si>
  <si>
    <t xml:space="preserve">Raw Semen </t>
  </si>
  <si>
    <t xml:space="preserve">Doses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</si>
</sst>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/yyyy"/>
  </numFmts>
  <fonts count="7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9"/>
      <color indexed="8"/>
      <name val="Arial"/>
      <family val="2"/>
    </font>
    <font>
      <sz val="10"/>
      <color theme="1"/>
      <name val="Arial"/>
      <family val="2"/>
      <charset val="1"/>
    </font>
    <font>
      <b/>
      <sz val="14"/>
      <color rgb="FF000000"/>
      <name val="Aptos Narrow"/>
      <family val="2"/>
      <scheme val="minor"/>
    </font>
    <font>
      <sz val="10"/>
      <color rgb="FF000000"/>
      <name val="Helvetica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theme="0"/>
        <bgColor indexed="64"/>
      </patternFill>
    </fill>
    <fill>
      <patternFill patternType="solid">
        <fgColor rgb="FFCFCDCD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7E6E6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0" fontId="1" fillId="0" borderId="0"/>
  </cellStyleXfs>
  <cellXfs count="108">
    <xf numFmtId="0" fontId="0" fillId="0" borderId="0" xfId="0"/>
    <xf numFmtId="0" fontId="2" fillId="4" borderId="4" xfId="1" applyFont="1" applyFill="1" applyBorder="1" applyAlignment="1">
      <alignment horizontal="center" vertical="center" wrapText="1"/>
    </xf>
    <xf numFmtId="0" fontId="1" fillId="2" borderId="0" xfId="1" applyFill="1" applyAlignment="1">
      <alignment horizontal="center"/>
    </xf>
    <xf numFmtId="0" fontId="1" fillId="0" borderId="0" xfId="1" applyAlignment="1">
      <alignment vertical="center"/>
    </xf>
    <xf numFmtId="0" fontId="2" fillId="4" borderId="11" xfId="1" applyFont="1" applyFill="1" applyBorder="1" applyAlignment="1">
      <alignment horizontal="center" vertical="center" wrapText="1"/>
    </xf>
    <xf numFmtId="14" fontId="1" fillId="0" borderId="0" xfId="1" applyNumberFormat="1" applyAlignment="1">
      <alignment vertical="center"/>
    </xf>
    <xf numFmtId="0" fontId="1" fillId="0" borderId="1" xfId="1" applyBorder="1" applyAlignment="1">
      <alignment horizontal="center" vertical="center"/>
    </xf>
    <xf numFmtId="0" fontId="0" fillId="4" borderId="3" xfId="1" applyFont="1" applyFill="1" applyBorder="1" applyAlignment="1">
      <alignment horizontal="center"/>
    </xf>
    <xf numFmtId="0" fontId="1" fillId="4" borderId="3" xfId="1" applyFill="1" applyBorder="1" applyAlignment="1">
      <alignment horizontal="center"/>
    </xf>
    <xf numFmtId="14" fontId="1" fillId="4" borderId="0" xfId="1" applyNumberFormat="1" applyFill="1" applyAlignment="1">
      <alignment horizontal="center"/>
    </xf>
    <xf numFmtId="0" fontId="1" fillId="4" borderId="16" xfId="1" applyFill="1" applyBorder="1" applyAlignment="1">
      <alignment horizontal="center"/>
    </xf>
    <xf numFmtId="0" fontId="1" fillId="4" borderId="17" xfId="1" applyFill="1" applyBorder="1" applyAlignment="1">
      <alignment horizontal="center"/>
    </xf>
    <xf numFmtId="0" fontId="1" fillId="4" borderId="8" xfId="1" applyFill="1" applyBorder="1" applyAlignment="1">
      <alignment horizontal="center"/>
    </xf>
    <xf numFmtId="0" fontId="1" fillId="3" borderId="0" xfId="1" applyFill="1" applyAlignment="1">
      <alignment horizontal="center"/>
    </xf>
    <xf numFmtId="0" fontId="1" fillId="3" borderId="8" xfId="1" applyFill="1" applyBorder="1" applyAlignment="1">
      <alignment horizontal="center"/>
    </xf>
    <xf numFmtId="164" fontId="1" fillId="4" borderId="8" xfId="1" applyNumberFormat="1" applyFill="1" applyBorder="1" applyAlignment="1">
      <alignment horizontal="center"/>
    </xf>
    <xf numFmtId="0" fontId="1" fillId="4" borderId="5" xfId="1" applyFill="1" applyBorder="1" applyAlignment="1">
      <alignment horizontal="center"/>
    </xf>
    <xf numFmtId="0" fontId="1" fillId="0" borderId="7" xfId="1" applyBorder="1" applyAlignment="1">
      <alignment horizontal="center" vertical="center"/>
    </xf>
    <xf numFmtId="0" fontId="1" fillId="4" borderId="9" xfId="1" applyFill="1" applyBorder="1" applyAlignment="1">
      <alignment horizontal="center"/>
    </xf>
    <xf numFmtId="1" fontId="1" fillId="4" borderId="15" xfId="1" applyNumberFormat="1" applyFill="1" applyBorder="1" applyAlignment="1">
      <alignment horizontal="center"/>
    </xf>
    <xf numFmtId="0" fontId="1" fillId="4" borderId="18" xfId="1" applyFill="1" applyBorder="1" applyAlignment="1">
      <alignment horizontal="center"/>
    </xf>
    <xf numFmtId="0" fontId="0" fillId="0" borderId="7" xfId="1" applyFont="1" applyBorder="1" applyAlignment="1">
      <alignment horizontal="center" vertical="center"/>
    </xf>
    <xf numFmtId="0" fontId="1" fillId="4" borderId="15" xfId="1" applyFill="1" applyBorder="1" applyAlignment="1">
      <alignment horizontal="center"/>
    </xf>
    <xf numFmtId="0" fontId="1" fillId="2" borderId="9" xfId="1" applyFill="1" applyBorder="1" applyAlignment="1">
      <alignment horizontal="center"/>
    </xf>
    <xf numFmtId="0" fontId="1" fillId="4" borderId="0" xfId="1" applyFill="1" applyAlignment="1">
      <alignment horizontal="center"/>
    </xf>
    <xf numFmtId="0" fontId="1" fillId="2" borderId="17" xfId="1" applyFill="1" applyBorder="1" applyAlignment="1">
      <alignment horizontal="center"/>
    </xf>
    <xf numFmtId="0" fontId="1" fillId="2" borderId="8" xfId="1" applyFill="1" applyBorder="1" applyAlignment="1">
      <alignment horizontal="center"/>
    </xf>
    <xf numFmtId="164" fontId="1" fillId="2" borderId="8" xfId="1" applyNumberFormat="1" applyFill="1" applyBorder="1" applyAlignment="1">
      <alignment horizontal="center"/>
    </xf>
    <xf numFmtId="0" fontId="1" fillId="2" borderId="18" xfId="1" applyFill="1" applyBorder="1" applyAlignment="1">
      <alignment horizontal="center"/>
    </xf>
    <xf numFmtId="0" fontId="0" fillId="0" borderId="10" xfId="1" applyFont="1" applyBorder="1" applyAlignment="1">
      <alignment horizontal="center" vertical="center"/>
    </xf>
    <xf numFmtId="0" fontId="1" fillId="4" borderId="19" xfId="1" applyFill="1" applyBorder="1" applyAlignment="1">
      <alignment horizontal="center"/>
    </xf>
    <xf numFmtId="0" fontId="1" fillId="2" borderId="19" xfId="1" applyFill="1" applyBorder="1" applyAlignment="1">
      <alignment horizontal="center"/>
    </xf>
    <xf numFmtId="0" fontId="1" fillId="4" borderId="21" xfId="1" applyFill="1" applyBorder="1" applyAlignment="1">
      <alignment horizontal="center"/>
    </xf>
    <xf numFmtId="0" fontId="1" fillId="4" borderId="20" xfId="1" applyFill="1" applyBorder="1" applyAlignment="1">
      <alignment horizontal="center"/>
    </xf>
    <xf numFmtId="0" fontId="1" fillId="2" borderId="11" xfId="1" applyFill="1" applyBorder="1" applyAlignment="1">
      <alignment horizontal="center"/>
    </xf>
    <xf numFmtId="0" fontId="1" fillId="2" borderId="12" xfId="1" applyFill="1" applyBorder="1" applyAlignment="1">
      <alignment horizontal="center"/>
    </xf>
    <xf numFmtId="0" fontId="1" fillId="3" borderId="21" xfId="1" applyFill="1" applyBorder="1" applyAlignment="1">
      <alignment horizontal="center"/>
    </xf>
    <xf numFmtId="0" fontId="1" fillId="3" borderId="12" xfId="1" applyFill="1" applyBorder="1" applyAlignment="1">
      <alignment horizontal="center"/>
    </xf>
    <xf numFmtId="164" fontId="1" fillId="2" borderId="12" xfId="1" applyNumberFormat="1" applyFill="1" applyBorder="1" applyAlignment="1">
      <alignment horizontal="center"/>
    </xf>
    <xf numFmtId="0" fontId="1" fillId="2" borderId="13" xfId="1" applyFill="1" applyBorder="1" applyAlignment="1">
      <alignment horizontal="center"/>
    </xf>
    <xf numFmtId="0" fontId="1" fillId="2" borderId="0" xfId="1" applyFill="1" applyAlignment="1">
      <alignment vertical="center"/>
    </xf>
    <xf numFmtId="0" fontId="1" fillId="2" borderId="0" xfId="1" applyFill="1"/>
    <xf numFmtId="0" fontId="1" fillId="6" borderId="0" xfId="1" applyFill="1" applyAlignment="1">
      <alignment vertical="center"/>
    </xf>
    <xf numFmtId="0" fontId="0" fillId="2" borderId="0" xfId="1" applyFont="1" applyFill="1" applyAlignment="1">
      <alignment vertical="center"/>
    </xf>
    <xf numFmtId="0" fontId="3" fillId="7" borderId="22" xfId="1" applyFont="1" applyFill="1" applyBorder="1" applyAlignment="1">
      <alignment horizontal="left" vertical="top" wrapText="1"/>
    </xf>
    <xf numFmtId="0" fontId="3" fillId="7" borderId="22" xfId="1" applyFont="1" applyFill="1" applyBorder="1" applyAlignment="1">
      <alignment horizontal="left" vertical="top"/>
    </xf>
    <xf numFmtId="165" fontId="3" fillId="7" borderId="22" xfId="1" applyNumberFormat="1" applyFont="1" applyFill="1" applyBorder="1" applyAlignment="1">
      <alignment horizontal="left" vertical="top"/>
    </xf>
    <xf numFmtId="0" fontId="0" fillId="0" borderId="24" xfId="0" applyBorder="1"/>
    <xf numFmtId="0" fontId="0" fillId="0" borderId="14" xfId="0" applyBorder="1"/>
    <xf numFmtId="0" fontId="0" fillId="0" borderId="25" xfId="0" applyBorder="1"/>
    <xf numFmtId="0" fontId="0" fillId="0" borderId="21" xfId="0" applyBorder="1"/>
    <xf numFmtId="0" fontId="0" fillId="0" borderId="26" xfId="0" applyBorder="1"/>
    <xf numFmtId="0" fontId="0" fillId="0" borderId="23" xfId="0" applyBorder="1"/>
    <xf numFmtId="164" fontId="1" fillId="4" borderId="5" xfId="1" applyNumberFormat="1" applyFill="1" applyBorder="1" applyAlignment="1">
      <alignment horizontal="center"/>
    </xf>
    <xf numFmtId="0" fontId="5" fillId="0" borderId="27" xfId="1" applyFont="1" applyBorder="1" applyAlignment="1">
      <alignment horizontal="center"/>
    </xf>
    <xf numFmtId="0" fontId="5" fillId="0" borderId="28" xfId="1" applyFont="1" applyBorder="1" applyAlignment="1">
      <alignment horizontal="center"/>
    </xf>
    <xf numFmtId="0" fontId="5" fillId="0" borderId="29" xfId="1" applyFont="1" applyBorder="1" applyAlignment="1">
      <alignment horizontal="center"/>
    </xf>
    <xf numFmtId="0" fontId="1" fillId="0" borderId="0" xfId="1"/>
    <xf numFmtId="0" fontId="5" fillId="0" borderId="0" xfId="1" applyFont="1" applyAlignment="1">
      <alignment horizontal="center"/>
    </xf>
    <xf numFmtId="0" fontId="5" fillId="0" borderId="9" xfId="1" applyFont="1" applyBorder="1" applyAlignment="1">
      <alignment horizontal="center"/>
    </xf>
    <xf numFmtId="0" fontId="5" fillId="0" borderId="17" xfId="1" applyFont="1" applyBorder="1" applyAlignment="1">
      <alignment horizontal="center"/>
    </xf>
    <xf numFmtId="0" fontId="2" fillId="0" borderId="27" xfId="1" applyFont="1" applyBorder="1"/>
    <xf numFmtId="0" fontId="1" fillId="0" borderId="28" xfId="1" applyBorder="1" applyAlignment="1">
      <alignment horizontal="center"/>
    </xf>
    <xf numFmtId="0" fontId="1" fillId="0" borderId="29" xfId="1" applyBorder="1" applyAlignment="1">
      <alignment horizontal="center"/>
    </xf>
    <xf numFmtId="0" fontId="2" fillId="8" borderId="9" xfId="1" applyFont="1" applyFill="1" applyBorder="1"/>
    <xf numFmtId="0" fontId="1" fillId="8" borderId="0" xfId="1" applyFill="1" applyAlignment="1">
      <alignment horizontal="center"/>
    </xf>
    <xf numFmtId="0" fontId="2" fillId="0" borderId="30" xfId="1" applyFont="1" applyBorder="1"/>
    <xf numFmtId="0" fontId="2" fillId="0" borderId="31" xfId="1" applyFont="1" applyBorder="1" applyAlignment="1">
      <alignment horizontal="center"/>
    </xf>
    <xf numFmtId="0" fontId="2" fillId="0" borderId="32" xfId="1" applyFont="1" applyBorder="1" applyAlignment="1">
      <alignment horizontal="center"/>
    </xf>
    <xf numFmtId="0" fontId="2" fillId="0" borderId="9" xfId="1" applyFont="1" applyBorder="1"/>
    <xf numFmtId="0" fontId="1" fillId="0" borderId="0" xfId="1" applyAlignment="1">
      <alignment horizontal="center"/>
    </xf>
    <xf numFmtId="0" fontId="1" fillId="0" borderId="17" xfId="1" applyBorder="1" applyAlignment="1">
      <alignment horizontal="center"/>
    </xf>
    <xf numFmtId="0" fontId="2" fillId="2" borderId="9" xfId="1" applyFont="1" applyFill="1" applyBorder="1"/>
    <xf numFmtId="1" fontId="1" fillId="8" borderId="0" xfId="1" applyNumberFormat="1" applyFill="1" applyAlignment="1">
      <alignment horizontal="center"/>
    </xf>
    <xf numFmtId="0" fontId="2" fillId="0" borderId="0" xfId="1" applyFont="1" applyAlignment="1">
      <alignment horizontal="center"/>
    </xf>
    <xf numFmtId="0" fontId="2" fillId="0" borderId="17" xfId="1" applyFont="1" applyBorder="1" applyAlignment="1">
      <alignment horizontal="center"/>
    </xf>
    <xf numFmtId="0" fontId="2" fillId="0" borderId="31" xfId="1" applyFont="1" applyBorder="1" applyAlignment="1">
      <alignment horizontal="center" wrapText="1"/>
    </xf>
    <xf numFmtId="0" fontId="1" fillId="0" borderId="31" xfId="1" applyBorder="1" applyAlignment="1">
      <alignment horizontal="center"/>
    </xf>
    <xf numFmtId="0" fontId="2" fillId="0" borderId="0" xfId="1" applyFont="1"/>
    <xf numFmtId="0" fontId="2" fillId="0" borderId="31" xfId="3" applyFont="1" applyBorder="1" applyAlignment="1">
      <alignment horizontal="center" wrapText="1"/>
    </xf>
    <xf numFmtId="0" fontId="0" fillId="0" borderId="0" xfId="1" applyFont="1"/>
    <xf numFmtId="1" fontId="1" fillId="0" borderId="0" xfId="1" applyNumberFormat="1"/>
    <xf numFmtId="9" fontId="1" fillId="0" borderId="0" xfId="1" applyNumberFormat="1"/>
    <xf numFmtId="14" fontId="1" fillId="4" borderId="16" xfId="1" applyNumberFormat="1" applyFill="1" applyBorder="1" applyAlignment="1">
      <alignment horizontal="center"/>
    </xf>
    <xf numFmtId="14" fontId="1" fillId="4" borderId="15" xfId="1" applyNumberFormat="1" applyFill="1" applyBorder="1" applyAlignment="1">
      <alignment horizontal="center"/>
    </xf>
    <xf numFmtId="0" fontId="1" fillId="4" borderId="6" xfId="1" applyFill="1" applyBorder="1" applyAlignment="1">
      <alignment horizontal="center"/>
    </xf>
    <xf numFmtId="1" fontId="1" fillId="4" borderId="14" xfId="1" applyNumberFormat="1" applyFill="1" applyBorder="1" applyAlignment="1">
      <alignment horizontal="center"/>
    </xf>
    <xf numFmtId="0" fontId="1" fillId="4" borderId="14" xfId="1" applyFill="1" applyBorder="1" applyAlignment="1">
      <alignment horizontal="center"/>
    </xf>
    <xf numFmtId="0" fontId="1" fillId="4" borderId="26" xfId="1" applyFill="1" applyBorder="1" applyAlignment="1">
      <alignment horizontal="center"/>
    </xf>
    <xf numFmtId="0" fontId="2" fillId="4" borderId="16" xfId="1" applyFont="1" applyFill="1" applyBorder="1" applyAlignment="1">
      <alignment horizontal="center" vertical="center" wrapText="1"/>
    </xf>
    <xf numFmtId="0" fontId="2" fillId="4" borderId="20" xfId="1" applyFont="1" applyFill="1" applyBorder="1" applyAlignment="1">
      <alignment horizontal="center" vertical="center" wrapText="1"/>
    </xf>
    <xf numFmtId="0" fontId="6" fillId="0" borderId="33" xfId="0" applyFont="1" applyBorder="1" applyAlignment="1">
      <alignment horizontal="right" wrapText="1"/>
    </xf>
    <xf numFmtId="0" fontId="2" fillId="2" borderId="6" xfId="1" applyFont="1" applyFill="1" applyBorder="1" applyAlignment="1">
      <alignment horizontal="center" vertical="center"/>
    </xf>
    <xf numFmtId="0" fontId="2" fillId="2" borderId="14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 wrapText="1"/>
    </xf>
    <xf numFmtId="0" fontId="2" fillId="2" borderId="12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2" fillId="5" borderId="2" xfId="1" applyFont="1" applyFill="1" applyBorder="1" applyAlignment="1">
      <alignment horizontal="center" vertical="center" wrapText="1"/>
    </xf>
    <xf numFmtId="0" fontId="2" fillId="5" borderId="12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/>
    </xf>
    <xf numFmtId="0" fontId="2" fillId="2" borderId="13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</cellXfs>
  <cellStyles count="4">
    <cellStyle name="Normal" xfId="0" builtinId="0"/>
    <cellStyle name="Normal 2" xfId="2" xr:uid="{853BC90D-00E5-4DE5-9052-863881F16632}"/>
    <cellStyle name="Normal 3" xfId="1" xr:uid="{B2B1B640-0735-4FC5-8820-FF533720C4AB}"/>
    <cellStyle name="Normal 5" xfId="3" xr:uid="{186F3C6E-02AF-4013-A6A4-1C29D90443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5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6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7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8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/>
              <a:t>MORPHOLOGY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'Z line boars manual'!$A$5</c:f>
              <c:strCache>
                <c:ptCount val="1"/>
                <c:pt idx="0">
                  <c:v>morphology target top</c:v>
                </c:pt>
              </c:strCache>
            </c:strRef>
          </c:tx>
          <c:marker>
            <c:symbol val="none"/>
          </c:marker>
          <c:val>
            <c:numRef>
              <c:f>'Z line boars manual'!$B$5:$BA$5</c:f>
              <c:numCache>
                <c:formatCode>General</c:formatCode>
                <c:ptCount val="52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85</c:v>
                </c:pt>
                <c:pt idx="7">
                  <c:v>85</c:v>
                </c:pt>
                <c:pt idx="8">
                  <c:v>85</c:v>
                </c:pt>
                <c:pt idx="9">
                  <c:v>85</c:v>
                </c:pt>
                <c:pt idx="10">
                  <c:v>85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85</c:v>
                </c:pt>
                <c:pt idx="18">
                  <c:v>85</c:v>
                </c:pt>
                <c:pt idx="19">
                  <c:v>85</c:v>
                </c:pt>
                <c:pt idx="20">
                  <c:v>85</c:v>
                </c:pt>
                <c:pt idx="21">
                  <c:v>85</c:v>
                </c:pt>
                <c:pt idx="22">
                  <c:v>85</c:v>
                </c:pt>
                <c:pt idx="23">
                  <c:v>85</c:v>
                </c:pt>
                <c:pt idx="24">
                  <c:v>85</c:v>
                </c:pt>
                <c:pt idx="25">
                  <c:v>85</c:v>
                </c:pt>
                <c:pt idx="26">
                  <c:v>85</c:v>
                </c:pt>
                <c:pt idx="27">
                  <c:v>85</c:v>
                </c:pt>
                <c:pt idx="28">
                  <c:v>85</c:v>
                </c:pt>
                <c:pt idx="29">
                  <c:v>85</c:v>
                </c:pt>
                <c:pt idx="30">
                  <c:v>85</c:v>
                </c:pt>
                <c:pt idx="31">
                  <c:v>85</c:v>
                </c:pt>
                <c:pt idx="32">
                  <c:v>85</c:v>
                </c:pt>
                <c:pt idx="33">
                  <c:v>85</c:v>
                </c:pt>
                <c:pt idx="34">
                  <c:v>85</c:v>
                </c:pt>
                <c:pt idx="35">
                  <c:v>85</c:v>
                </c:pt>
                <c:pt idx="36">
                  <c:v>85</c:v>
                </c:pt>
                <c:pt idx="37">
                  <c:v>85</c:v>
                </c:pt>
                <c:pt idx="38">
                  <c:v>85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85</c:v>
                </c:pt>
                <c:pt idx="44">
                  <c:v>85</c:v>
                </c:pt>
                <c:pt idx="45">
                  <c:v>85</c:v>
                </c:pt>
                <c:pt idx="46">
                  <c:v>85</c:v>
                </c:pt>
                <c:pt idx="47">
                  <c:v>85</c:v>
                </c:pt>
                <c:pt idx="48">
                  <c:v>85</c:v>
                </c:pt>
                <c:pt idx="49">
                  <c:v>85</c:v>
                </c:pt>
                <c:pt idx="50">
                  <c:v>85</c:v>
                </c:pt>
                <c:pt idx="51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E5-4CF7-A522-E86EF1BF476F}"/>
            </c:ext>
          </c:extLst>
        </c:ser>
        <c:ser>
          <c:idx val="1"/>
          <c:order val="1"/>
          <c:tx>
            <c:strRef>
              <c:f>'Z line boars manual'!$A$6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trendline>
            <c:spPr>
              <a:ln w="6350"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'Z line boars manual'!$B$6:$BA$6</c:f>
              <c:numCache>
                <c:formatCode>General</c:formatCode>
                <c:ptCount val="52"/>
                <c:pt idx="23">
                  <c:v>79</c:v>
                </c:pt>
                <c:pt idx="24">
                  <c:v>82</c:v>
                </c:pt>
                <c:pt idx="25">
                  <c:v>82</c:v>
                </c:pt>
                <c:pt idx="26">
                  <c:v>82</c:v>
                </c:pt>
                <c:pt idx="27">
                  <c:v>82</c:v>
                </c:pt>
                <c:pt idx="28">
                  <c:v>84</c:v>
                </c:pt>
                <c:pt idx="29">
                  <c:v>85</c:v>
                </c:pt>
                <c:pt idx="30">
                  <c:v>86</c:v>
                </c:pt>
                <c:pt idx="31">
                  <c:v>85</c:v>
                </c:pt>
                <c:pt idx="32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E5-4CF7-A522-E86EF1BF4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3945856"/>
        <c:axId val="1"/>
      </c:lineChart>
      <c:catAx>
        <c:axId val="1433945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  <c:max val="90"/>
          <c:min val="75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Morphology</a:t>
                </a:r>
                <a:r>
                  <a:rPr lang="en-US" baseline="0"/>
                  <a:t> Score %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33945856"/>
        <c:crosses val="autoZero"/>
        <c:crossBetween val="between"/>
        <c:majorUnit val="2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/>
              <a:t>SEMEN DOSES 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'Z line boars manual'!$A$8</c:f>
              <c:strCache>
                <c:ptCount val="1"/>
                <c:pt idx="0">
                  <c:v>boars avg # of doses</c:v>
                </c:pt>
              </c:strCache>
            </c:strRef>
          </c:tx>
          <c:marker>
            <c:symbol val="none"/>
          </c:marker>
          <c:val>
            <c:numRef>
              <c:f>'Z line boars manual'!$B$8:$BA$8</c:f>
              <c:numCache>
                <c:formatCode>0</c:formatCode>
                <c:ptCount val="52"/>
                <c:pt idx="0">
                  <c:v>68</c:v>
                </c:pt>
                <c:pt idx="1">
                  <c:v>68</c:v>
                </c:pt>
                <c:pt idx="2">
                  <c:v>68</c:v>
                </c:pt>
                <c:pt idx="3">
                  <c:v>68</c:v>
                </c:pt>
                <c:pt idx="4">
                  <c:v>68</c:v>
                </c:pt>
                <c:pt idx="5">
                  <c:v>68</c:v>
                </c:pt>
                <c:pt idx="6">
                  <c:v>68</c:v>
                </c:pt>
                <c:pt idx="7">
                  <c:v>68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68</c:v>
                </c:pt>
                <c:pt idx="15">
                  <c:v>68</c:v>
                </c:pt>
                <c:pt idx="16">
                  <c:v>68</c:v>
                </c:pt>
                <c:pt idx="17">
                  <c:v>68</c:v>
                </c:pt>
                <c:pt idx="18">
                  <c:v>68</c:v>
                </c:pt>
                <c:pt idx="19">
                  <c:v>68</c:v>
                </c:pt>
                <c:pt idx="20">
                  <c:v>68</c:v>
                </c:pt>
                <c:pt idx="21">
                  <c:v>68</c:v>
                </c:pt>
                <c:pt idx="22">
                  <c:v>68</c:v>
                </c:pt>
                <c:pt idx="23">
                  <c:v>68</c:v>
                </c:pt>
                <c:pt idx="24">
                  <c:v>68</c:v>
                </c:pt>
                <c:pt idx="25">
                  <c:v>68</c:v>
                </c:pt>
                <c:pt idx="26">
                  <c:v>68</c:v>
                </c:pt>
                <c:pt idx="27">
                  <c:v>68</c:v>
                </c:pt>
                <c:pt idx="28">
                  <c:v>68</c:v>
                </c:pt>
                <c:pt idx="29">
                  <c:v>68</c:v>
                </c:pt>
                <c:pt idx="30">
                  <c:v>68</c:v>
                </c:pt>
                <c:pt idx="31">
                  <c:v>68</c:v>
                </c:pt>
                <c:pt idx="32">
                  <c:v>68</c:v>
                </c:pt>
                <c:pt idx="33">
                  <c:v>68</c:v>
                </c:pt>
                <c:pt idx="34">
                  <c:v>68</c:v>
                </c:pt>
                <c:pt idx="35">
                  <c:v>68</c:v>
                </c:pt>
                <c:pt idx="36">
                  <c:v>68</c:v>
                </c:pt>
                <c:pt idx="37">
                  <c:v>68</c:v>
                </c:pt>
                <c:pt idx="38">
                  <c:v>68</c:v>
                </c:pt>
                <c:pt idx="39">
                  <c:v>68</c:v>
                </c:pt>
                <c:pt idx="40">
                  <c:v>68</c:v>
                </c:pt>
                <c:pt idx="41">
                  <c:v>68</c:v>
                </c:pt>
                <c:pt idx="42">
                  <c:v>68</c:v>
                </c:pt>
                <c:pt idx="43">
                  <c:v>68</c:v>
                </c:pt>
                <c:pt idx="44">
                  <c:v>68</c:v>
                </c:pt>
                <c:pt idx="45">
                  <c:v>68</c:v>
                </c:pt>
                <c:pt idx="46">
                  <c:v>68</c:v>
                </c:pt>
                <c:pt idx="47">
                  <c:v>68</c:v>
                </c:pt>
                <c:pt idx="48">
                  <c:v>68</c:v>
                </c:pt>
                <c:pt idx="49">
                  <c:v>68</c:v>
                </c:pt>
                <c:pt idx="50">
                  <c:v>68</c:v>
                </c:pt>
                <c:pt idx="5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94-49C6-85CD-E40F56B98099}"/>
            </c:ext>
          </c:extLst>
        </c:ser>
        <c:ser>
          <c:idx val="1"/>
          <c:order val="1"/>
          <c:tx>
            <c:strRef>
              <c:f>'Z line boars manual'!$A$9</c:f>
              <c:strCache>
                <c:ptCount val="1"/>
                <c:pt idx="0">
                  <c:v>doses actual</c:v>
                </c:pt>
              </c:strCache>
            </c:strRef>
          </c:tx>
          <c:marker>
            <c:symbol val="none"/>
          </c:marker>
          <c:trendline>
            <c:spPr>
              <a:ln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'Z line boars manual'!$B$9:$BA$9</c:f>
              <c:numCache>
                <c:formatCode>General</c:formatCode>
                <c:ptCount val="52"/>
                <c:pt idx="23">
                  <c:v>15</c:v>
                </c:pt>
                <c:pt idx="24">
                  <c:v>18</c:v>
                </c:pt>
                <c:pt idx="25">
                  <c:v>18</c:v>
                </c:pt>
                <c:pt idx="26">
                  <c:v>23</c:v>
                </c:pt>
                <c:pt idx="27">
                  <c:v>32</c:v>
                </c:pt>
                <c:pt idx="28">
                  <c:v>60</c:v>
                </c:pt>
                <c:pt idx="29">
                  <c:v>24</c:v>
                </c:pt>
                <c:pt idx="30">
                  <c:v>62</c:v>
                </c:pt>
                <c:pt idx="31">
                  <c:v>47</c:v>
                </c:pt>
                <c:pt idx="32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94-49C6-85CD-E40F56B98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3366160"/>
        <c:axId val="1"/>
      </c:lineChart>
      <c:catAx>
        <c:axId val="1753366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  <c:max val="80"/>
          <c:min val="5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Semen</a:t>
                </a:r>
                <a:r>
                  <a:rPr lang="en-US" baseline="0"/>
                  <a:t> Doses %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7533661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TENABILITY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[1]Sheet1!$A$1</c:f>
              <c:strCache>
                <c:ptCount val="1"/>
                <c:pt idx="0">
                  <c:v>#REF!</c:v>
                </c:pt>
              </c:strCache>
            </c:strRef>
          </c:cat>
          <c:val>
            <c:numRef>
              <c:f>''L line boars manual ''!#REF!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''L line boars manual ''!REF1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06C-4A8D-8CC2-D26BCC8BD47A}"/>
            </c:ext>
          </c:extLst>
        </c:ser>
        <c:ser>
          <c:idx val="1"/>
          <c:order val="1"/>
          <c:invertIfNegative val="1"/>
          <c:cat>
            <c:strRef>
              <c:f>[1]Sheet1!$A$1</c:f>
              <c:strCache>
                <c:ptCount val="1"/>
                <c:pt idx="0">
                  <c:v>#REF!</c:v>
                </c:pt>
              </c:strCache>
            </c:strRef>
          </c:cat>
          <c:val>
            <c:numRef>
              <c:f>''L line boars manual ''!#REF!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''L line boars manual ''!REF1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706C-4A8D-8CC2-D26BCC8BD47A}"/>
            </c:ext>
          </c:extLst>
        </c:ser>
        <c:ser>
          <c:idx val="2"/>
          <c:order val="2"/>
          <c:invertIfNegative val="1"/>
          <c:cat>
            <c:strRef>
              <c:f>[1]Sheet1!$A$1</c:f>
              <c:strCache>
                <c:ptCount val="1"/>
                <c:pt idx="0">
                  <c:v>#REF!</c:v>
                </c:pt>
              </c:strCache>
            </c:strRef>
          </c:cat>
          <c:val>
            <c:numRef>
              <c:f>''L line boars manual ''!#REF!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''L line boars manual ''!REF1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706C-4A8D-8CC2-D26BCC8BD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2194160"/>
        <c:axId val="1"/>
      </c:barChart>
      <c:catAx>
        <c:axId val="1222194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2221941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/>
              <a:t>Tenability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'Z line boars manual'!$A$11</c:f>
              <c:strCache>
                <c:ptCount val="1"/>
                <c:pt idx="0">
                  <c:v>Tenability - Day 1</c:v>
                </c:pt>
              </c:strCache>
            </c:strRef>
          </c:tx>
          <c:invertIfNegative val="0"/>
          <c:val>
            <c:numRef>
              <c:f>'Z line boars manual'!$B$11:$BA$11</c:f>
              <c:numCache>
                <c:formatCode>General</c:formatCode>
                <c:ptCount val="52"/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70-4A63-A6D7-8409C0039051}"/>
            </c:ext>
          </c:extLst>
        </c:ser>
        <c:ser>
          <c:idx val="1"/>
          <c:order val="1"/>
          <c:tx>
            <c:strRef>
              <c:f>'Z line boars manual'!$A$12</c:f>
              <c:strCache>
                <c:ptCount val="1"/>
                <c:pt idx="0">
                  <c:v>tenability - Day 2</c:v>
                </c:pt>
              </c:strCache>
            </c:strRef>
          </c:tx>
          <c:invertIfNegative val="0"/>
          <c:val>
            <c:numRef>
              <c:f>'Z line boars manual'!$B$12:$BA$12</c:f>
              <c:numCache>
                <c:formatCode>General</c:formatCode>
                <c:ptCount val="52"/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8</c:v>
                </c:pt>
                <c:pt idx="31">
                  <c:v>9</c:v>
                </c:pt>
                <c:pt idx="3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70-4A63-A6D7-8409C0039051}"/>
            </c:ext>
          </c:extLst>
        </c:ser>
        <c:ser>
          <c:idx val="2"/>
          <c:order val="2"/>
          <c:tx>
            <c:strRef>
              <c:f>'Z line boars manual'!$A$13</c:f>
              <c:strCache>
                <c:ptCount val="1"/>
                <c:pt idx="0">
                  <c:v>tenability - Day 3</c:v>
                </c:pt>
              </c:strCache>
            </c:strRef>
          </c:tx>
          <c:invertIfNegative val="0"/>
          <c:val>
            <c:numRef>
              <c:f>'Z line boars manual'!$B$13:$BA$13</c:f>
              <c:numCache>
                <c:formatCode>General</c:formatCode>
                <c:ptCount val="52"/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7</c:v>
                </c:pt>
                <c:pt idx="31">
                  <c:v>8</c:v>
                </c:pt>
                <c:pt idx="3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70-4A63-A6D7-8409C0039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2215280"/>
        <c:axId val="1"/>
      </c:barChart>
      <c:catAx>
        <c:axId val="1222215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  <a:r>
                  <a:rPr lang="en-US" baseline="0"/>
                  <a:t> %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2222152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MORPHOLOGY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'Z line boars manual'!$A$21</c:f>
              <c:strCache>
                <c:ptCount val="1"/>
                <c:pt idx="0">
                  <c:v>morphology target top</c:v>
                </c:pt>
              </c:strCache>
            </c:strRef>
          </c:tx>
          <c:marker>
            <c:symbol val="none"/>
          </c:marker>
          <c:val>
            <c:numRef>
              <c:f>'Z line boars manual'!$B$21:$BA$21</c:f>
              <c:numCache>
                <c:formatCode>General</c:formatCode>
                <c:ptCount val="52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85</c:v>
                </c:pt>
                <c:pt idx="7">
                  <c:v>85</c:v>
                </c:pt>
                <c:pt idx="8">
                  <c:v>85</c:v>
                </c:pt>
                <c:pt idx="9">
                  <c:v>85</c:v>
                </c:pt>
                <c:pt idx="10">
                  <c:v>85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85</c:v>
                </c:pt>
                <c:pt idx="18">
                  <c:v>85</c:v>
                </c:pt>
                <c:pt idx="19">
                  <c:v>85</c:v>
                </c:pt>
                <c:pt idx="20">
                  <c:v>85</c:v>
                </c:pt>
                <c:pt idx="21">
                  <c:v>85</c:v>
                </c:pt>
                <c:pt idx="22">
                  <c:v>85</c:v>
                </c:pt>
                <c:pt idx="23">
                  <c:v>85</c:v>
                </c:pt>
                <c:pt idx="24">
                  <c:v>85</c:v>
                </c:pt>
                <c:pt idx="25">
                  <c:v>85</c:v>
                </c:pt>
                <c:pt idx="26">
                  <c:v>85</c:v>
                </c:pt>
                <c:pt idx="27">
                  <c:v>85</c:v>
                </c:pt>
                <c:pt idx="28">
                  <c:v>85</c:v>
                </c:pt>
                <c:pt idx="29">
                  <c:v>85</c:v>
                </c:pt>
                <c:pt idx="30">
                  <c:v>85</c:v>
                </c:pt>
                <c:pt idx="31">
                  <c:v>85</c:v>
                </c:pt>
                <c:pt idx="32">
                  <c:v>85</c:v>
                </c:pt>
                <c:pt idx="33">
                  <c:v>85</c:v>
                </c:pt>
                <c:pt idx="34">
                  <c:v>85</c:v>
                </c:pt>
                <c:pt idx="35">
                  <c:v>85</c:v>
                </c:pt>
                <c:pt idx="36">
                  <c:v>85</c:v>
                </c:pt>
                <c:pt idx="37">
                  <c:v>85</c:v>
                </c:pt>
                <c:pt idx="38">
                  <c:v>85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85</c:v>
                </c:pt>
                <c:pt idx="44">
                  <c:v>85</c:v>
                </c:pt>
                <c:pt idx="45">
                  <c:v>85</c:v>
                </c:pt>
                <c:pt idx="46">
                  <c:v>85</c:v>
                </c:pt>
                <c:pt idx="47">
                  <c:v>85</c:v>
                </c:pt>
                <c:pt idx="48">
                  <c:v>85</c:v>
                </c:pt>
                <c:pt idx="49">
                  <c:v>85</c:v>
                </c:pt>
                <c:pt idx="50">
                  <c:v>85</c:v>
                </c:pt>
                <c:pt idx="51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63-4CEA-BBAB-2813D9DDC99B}"/>
            </c:ext>
          </c:extLst>
        </c:ser>
        <c:ser>
          <c:idx val="1"/>
          <c:order val="1"/>
          <c:tx>
            <c:strRef>
              <c:f>'Z line boars manual'!$A$22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trendline>
            <c:spPr>
              <a:ln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'Z line boars manual'!$B$22:$BA$22</c:f>
              <c:numCache>
                <c:formatCode>General</c:formatCode>
                <c:ptCount val="52"/>
                <c:pt idx="24">
                  <c:v>80</c:v>
                </c:pt>
                <c:pt idx="25">
                  <c:v>80</c:v>
                </c:pt>
                <c:pt idx="26">
                  <c:v>80</c:v>
                </c:pt>
                <c:pt idx="27">
                  <c:v>83</c:v>
                </c:pt>
                <c:pt idx="28">
                  <c:v>80</c:v>
                </c:pt>
                <c:pt idx="29">
                  <c:v>84</c:v>
                </c:pt>
                <c:pt idx="30">
                  <c:v>84</c:v>
                </c:pt>
                <c:pt idx="31">
                  <c:v>85</c:v>
                </c:pt>
                <c:pt idx="32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63-4CEA-BBAB-2813D9DDC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3945856"/>
        <c:axId val="1"/>
      </c:lineChart>
      <c:catAx>
        <c:axId val="1433945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  <c:max val="86"/>
          <c:min val="78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Morphology</a:t>
                </a:r>
                <a:r>
                  <a:rPr lang="en-US" baseline="0"/>
                  <a:t> Score %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33945856"/>
        <c:crosses val="autoZero"/>
        <c:crossBetween val="between"/>
        <c:majorUnit val="2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MORPHOLOGY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'Z line boars manual'!$A$37</c:f>
              <c:strCache>
                <c:ptCount val="1"/>
                <c:pt idx="0">
                  <c:v>morphology target top</c:v>
                </c:pt>
              </c:strCache>
            </c:strRef>
          </c:tx>
          <c:marker>
            <c:symbol val="none"/>
          </c:marker>
          <c:val>
            <c:numRef>
              <c:f>'Z line boars manual'!$B$37:$BA$37</c:f>
              <c:numCache>
                <c:formatCode>General</c:formatCode>
                <c:ptCount val="52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85</c:v>
                </c:pt>
                <c:pt idx="7">
                  <c:v>85</c:v>
                </c:pt>
                <c:pt idx="8">
                  <c:v>85</c:v>
                </c:pt>
                <c:pt idx="9">
                  <c:v>85</c:v>
                </c:pt>
                <c:pt idx="10">
                  <c:v>85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85</c:v>
                </c:pt>
                <c:pt idx="18">
                  <c:v>85</c:v>
                </c:pt>
                <c:pt idx="19">
                  <c:v>85</c:v>
                </c:pt>
                <c:pt idx="20">
                  <c:v>85</c:v>
                </c:pt>
                <c:pt idx="21">
                  <c:v>85</c:v>
                </c:pt>
                <c:pt idx="22">
                  <c:v>85</c:v>
                </c:pt>
                <c:pt idx="23">
                  <c:v>85</c:v>
                </c:pt>
                <c:pt idx="24">
                  <c:v>85</c:v>
                </c:pt>
                <c:pt idx="25">
                  <c:v>85</c:v>
                </c:pt>
                <c:pt idx="26">
                  <c:v>85</c:v>
                </c:pt>
                <c:pt idx="27">
                  <c:v>85</c:v>
                </c:pt>
                <c:pt idx="28">
                  <c:v>85</c:v>
                </c:pt>
                <c:pt idx="29">
                  <c:v>85</c:v>
                </c:pt>
                <c:pt idx="30">
                  <c:v>85</c:v>
                </c:pt>
                <c:pt idx="31">
                  <c:v>85</c:v>
                </c:pt>
                <c:pt idx="32">
                  <c:v>85</c:v>
                </c:pt>
                <c:pt idx="33">
                  <c:v>85</c:v>
                </c:pt>
                <c:pt idx="34">
                  <c:v>85</c:v>
                </c:pt>
                <c:pt idx="35">
                  <c:v>85</c:v>
                </c:pt>
                <c:pt idx="36">
                  <c:v>85</c:v>
                </c:pt>
                <c:pt idx="37">
                  <c:v>85</c:v>
                </c:pt>
                <c:pt idx="38">
                  <c:v>85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85</c:v>
                </c:pt>
                <c:pt idx="44">
                  <c:v>85</c:v>
                </c:pt>
                <c:pt idx="45">
                  <c:v>85</c:v>
                </c:pt>
                <c:pt idx="46">
                  <c:v>85</c:v>
                </c:pt>
                <c:pt idx="47">
                  <c:v>85</c:v>
                </c:pt>
                <c:pt idx="48">
                  <c:v>85</c:v>
                </c:pt>
                <c:pt idx="49">
                  <c:v>85</c:v>
                </c:pt>
                <c:pt idx="50">
                  <c:v>85</c:v>
                </c:pt>
                <c:pt idx="51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83-44AC-BE22-6A70D935A58F}"/>
            </c:ext>
          </c:extLst>
        </c:ser>
        <c:ser>
          <c:idx val="1"/>
          <c:order val="1"/>
          <c:tx>
            <c:strRef>
              <c:f>'Z line boars manual'!$A$38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trendline>
            <c:spPr>
              <a:ln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'Z line boars manual'!$B$38:$BA$38</c:f>
              <c:numCache>
                <c:formatCode>General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83-44AC-BE22-6A70D935A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3945856"/>
        <c:axId val="1"/>
      </c:lineChart>
      <c:catAx>
        <c:axId val="1433945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  <c:max val="92"/>
          <c:min val="84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Morphology</a:t>
                </a:r>
                <a:r>
                  <a:rPr lang="en-US" baseline="0"/>
                  <a:t> Score %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339458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MORPHOLOGY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'Z line boars manual'!$A$53</c:f>
              <c:strCache>
                <c:ptCount val="1"/>
                <c:pt idx="0">
                  <c:v>morphology target top</c:v>
                </c:pt>
              </c:strCache>
            </c:strRef>
          </c:tx>
          <c:marker>
            <c:symbol val="none"/>
          </c:marker>
          <c:val>
            <c:numRef>
              <c:f>'Z line boars manual'!$B$53:$BA$53</c:f>
              <c:numCache>
                <c:formatCode>General</c:formatCode>
                <c:ptCount val="52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85</c:v>
                </c:pt>
                <c:pt idx="7">
                  <c:v>85</c:v>
                </c:pt>
                <c:pt idx="8">
                  <c:v>85</c:v>
                </c:pt>
                <c:pt idx="9">
                  <c:v>85</c:v>
                </c:pt>
                <c:pt idx="10">
                  <c:v>85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85</c:v>
                </c:pt>
                <c:pt idx="18">
                  <c:v>85</c:v>
                </c:pt>
                <c:pt idx="19">
                  <c:v>85</c:v>
                </c:pt>
                <c:pt idx="20">
                  <c:v>85</c:v>
                </c:pt>
                <c:pt idx="21">
                  <c:v>85</c:v>
                </c:pt>
                <c:pt idx="22">
                  <c:v>85</c:v>
                </c:pt>
                <c:pt idx="23">
                  <c:v>85</c:v>
                </c:pt>
                <c:pt idx="24">
                  <c:v>85</c:v>
                </c:pt>
                <c:pt idx="25">
                  <c:v>85</c:v>
                </c:pt>
                <c:pt idx="26">
                  <c:v>85</c:v>
                </c:pt>
                <c:pt idx="27">
                  <c:v>85</c:v>
                </c:pt>
                <c:pt idx="28">
                  <c:v>85</c:v>
                </c:pt>
                <c:pt idx="29">
                  <c:v>85</c:v>
                </c:pt>
                <c:pt idx="30">
                  <c:v>85</c:v>
                </c:pt>
                <c:pt idx="31">
                  <c:v>85</c:v>
                </c:pt>
                <c:pt idx="32">
                  <c:v>85</c:v>
                </c:pt>
                <c:pt idx="33">
                  <c:v>85</c:v>
                </c:pt>
                <c:pt idx="34">
                  <c:v>85</c:v>
                </c:pt>
                <c:pt idx="35">
                  <c:v>85</c:v>
                </c:pt>
                <c:pt idx="36">
                  <c:v>85</c:v>
                </c:pt>
                <c:pt idx="37">
                  <c:v>85</c:v>
                </c:pt>
                <c:pt idx="38">
                  <c:v>85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85</c:v>
                </c:pt>
                <c:pt idx="44">
                  <c:v>85</c:v>
                </c:pt>
                <c:pt idx="45">
                  <c:v>85</c:v>
                </c:pt>
                <c:pt idx="46">
                  <c:v>85</c:v>
                </c:pt>
                <c:pt idx="47">
                  <c:v>85</c:v>
                </c:pt>
                <c:pt idx="48">
                  <c:v>85</c:v>
                </c:pt>
                <c:pt idx="49">
                  <c:v>85</c:v>
                </c:pt>
                <c:pt idx="50">
                  <c:v>85</c:v>
                </c:pt>
                <c:pt idx="51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E4-4721-9613-6304729343DB}"/>
            </c:ext>
          </c:extLst>
        </c:ser>
        <c:ser>
          <c:idx val="1"/>
          <c:order val="1"/>
          <c:tx>
            <c:strRef>
              <c:f>'Z line boars manual'!$A$54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val>
            <c:numRef>
              <c:f>'Z line boars manual'!$B$54:$BA$54</c:f>
              <c:numCache>
                <c:formatCode>General</c:formatCode>
                <c:ptCount val="52"/>
                <c:pt idx="22">
                  <c:v>80</c:v>
                </c:pt>
                <c:pt idx="23">
                  <c:v>78</c:v>
                </c:pt>
                <c:pt idx="24">
                  <c:v>80</c:v>
                </c:pt>
                <c:pt idx="25">
                  <c:v>80</c:v>
                </c:pt>
                <c:pt idx="26">
                  <c:v>80</c:v>
                </c:pt>
                <c:pt idx="27">
                  <c:v>84</c:v>
                </c:pt>
                <c:pt idx="28">
                  <c:v>84</c:v>
                </c:pt>
                <c:pt idx="29">
                  <c:v>85</c:v>
                </c:pt>
                <c:pt idx="30">
                  <c:v>85</c:v>
                </c:pt>
                <c:pt idx="31">
                  <c:v>85</c:v>
                </c:pt>
                <c:pt idx="32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E4-4721-9613-630472934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3945856"/>
        <c:axId val="1"/>
      </c:lineChart>
      <c:catAx>
        <c:axId val="1433945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Morphology</a:t>
                </a:r>
                <a:r>
                  <a:rPr lang="en-US" baseline="0"/>
                  <a:t> Score %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339458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MORPHOLOGY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'Z line boars manual'!$A$69</c:f>
              <c:strCache>
                <c:ptCount val="1"/>
                <c:pt idx="0">
                  <c:v>morphology target top</c:v>
                </c:pt>
              </c:strCache>
            </c:strRef>
          </c:tx>
          <c:marker>
            <c:symbol val="none"/>
          </c:marker>
          <c:val>
            <c:numRef>
              <c:f>'Z line boars manual'!$B$69:$BA$69</c:f>
              <c:numCache>
                <c:formatCode>General</c:formatCode>
                <c:ptCount val="52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85</c:v>
                </c:pt>
                <c:pt idx="7">
                  <c:v>85</c:v>
                </c:pt>
                <c:pt idx="8">
                  <c:v>85</c:v>
                </c:pt>
                <c:pt idx="9">
                  <c:v>85</c:v>
                </c:pt>
                <c:pt idx="10">
                  <c:v>85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85</c:v>
                </c:pt>
                <c:pt idx="18">
                  <c:v>85</c:v>
                </c:pt>
                <c:pt idx="19">
                  <c:v>85</c:v>
                </c:pt>
                <c:pt idx="20">
                  <c:v>85</c:v>
                </c:pt>
                <c:pt idx="21">
                  <c:v>85</c:v>
                </c:pt>
                <c:pt idx="22">
                  <c:v>85</c:v>
                </c:pt>
                <c:pt idx="23">
                  <c:v>85</c:v>
                </c:pt>
                <c:pt idx="24">
                  <c:v>85</c:v>
                </c:pt>
                <c:pt idx="25">
                  <c:v>85</c:v>
                </c:pt>
                <c:pt idx="26">
                  <c:v>85</c:v>
                </c:pt>
                <c:pt idx="27">
                  <c:v>85</c:v>
                </c:pt>
                <c:pt idx="28">
                  <c:v>85</c:v>
                </c:pt>
                <c:pt idx="29">
                  <c:v>85</c:v>
                </c:pt>
                <c:pt idx="30">
                  <c:v>85</c:v>
                </c:pt>
                <c:pt idx="31">
                  <c:v>85</c:v>
                </c:pt>
                <c:pt idx="32">
                  <c:v>85</c:v>
                </c:pt>
                <c:pt idx="33">
                  <c:v>85</c:v>
                </c:pt>
                <c:pt idx="34">
                  <c:v>85</c:v>
                </c:pt>
                <c:pt idx="35">
                  <c:v>85</c:v>
                </c:pt>
                <c:pt idx="36">
                  <c:v>85</c:v>
                </c:pt>
                <c:pt idx="37">
                  <c:v>85</c:v>
                </c:pt>
                <c:pt idx="38">
                  <c:v>85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85</c:v>
                </c:pt>
                <c:pt idx="44">
                  <c:v>85</c:v>
                </c:pt>
                <c:pt idx="45">
                  <c:v>85</c:v>
                </c:pt>
                <c:pt idx="46">
                  <c:v>85</c:v>
                </c:pt>
                <c:pt idx="47">
                  <c:v>85</c:v>
                </c:pt>
                <c:pt idx="48">
                  <c:v>85</c:v>
                </c:pt>
                <c:pt idx="49">
                  <c:v>85</c:v>
                </c:pt>
                <c:pt idx="50">
                  <c:v>85</c:v>
                </c:pt>
                <c:pt idx="51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4-49B9-8DC5-E76E9A0A4A30}"/>
            </c:ext>
          </c:extLst>
        </c:ser>
        <c:ser>
          <c:idx val="1"/>
          <c:order val="1"/>
          <c:tx>
            <c:strRef>
              <c:f>'Z line boars manual'!$A$70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trendline>
            <c:spPr>
              <a:ln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'Z line boars manual'!$B$70:$BA$70</c:f>
              <c:numCache>
                <c:formatCode>General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4-49B9-8DC5-E76E9A0A4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3945856"/>
        <c:axId val="1"/>
      </c:lineChart>
      <c:catAx>
        <c:axId val="1433945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  <c:max val="95"/>
          <c:min val="80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Morphology</a:t>
                </a:r>
                <a:r>
                  <a:rPr lang="en-US" baseline="0"/>
                  <a:t> Score %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339458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MORPHOLOGY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'Z line boars manual'!$A$85</c:f>
              <c:strCache>
                <c:ptCount val="1"/>
                <c:pt idx="0">
                  <c:v>morphology target top</c:v>
                </c:pt>
              </c:strCache>
            </c:strRef>
          </c:tx>
          <c:marker>
            <c:symbol val="none"/>
          </c:marker>
          <c:val>
            <c:numRef>
              <c:f>'Z line boars manual'!$B$85:$BA$85</c:f>
              <c:numCache>
                <c:formatCode>General</c:formatCode>
                <c:ptCount val="52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85</c:v>
                </c:pt>
                <c:pt idx="7">
                  <c:v>85</c:v>
                </c:pt>
                <c:pt idx="8">
                  <c:v>85</c:v>
                </c:pt>
                <c:pt idx="9">
                  <c:v>85</c:v>
                </c:pt>
                <c:pt idx="10">
                  <c:v>85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85</c:v>
                </c:pt>
                <c:pt idx="18">
                  <c:v>85</c:v>
                </c:pt>
                <c:pt idx="19">
                  <c:v>85</c:v>
                </c:pt>
                <c:pt idx="20">
                  <c:v>85</c:v>
                </c:pt>
                <c:pt idx="21">
                  <c:v>85</c:v>
                </c:pt>
                <c:pt idx="22">
                  <c:v>85</c:v>
                </c:pt>
                <c:pt idx="23">
                  <c:v>85</c:v>
                </c:pt>
                <c:pt idx="24">
                  <c:v>85</c:v>
                </c:pt>
                <c:pt idx="25">
                  <c:v>85</c:v>
                </c:pt>
                <c:pt idx="26">
                  <c:v>85</c:v>
                </c:pt>
                <c:pt idx="27">
                  <c:v>85</c:v>
                </c:pt>
                <c:pt idx="28">
                  <c:v>85</c:v>
                </c:pt>
                <c:pt idx="29">
                  <c:v>85</c:v>
                </c:pt>
                <c:pt idx="30">
                  <c:v>85</c:v>
                </c:pt>
                <c:pt idx="31">
                  <c:v>85</c:v>
                </c:pt>
                <c:pt idx="32">
                  <c:v>85</c:v>
                </c:pt>
                <c:pt idx="33">
                  <c:v>85</c:v>
                </c:pt>
                <c:pt idx="34">
                  <c:v>85</c:v>
                </c:pt>
                <c:pt idx="35">
                  <c:v>85</c:v>
                </c:pt>
                <c:pt idx="36">
                  <c:v>85</c:v>
                </c:pt>
                <c:pt idx="37">
                  <c:v>85</c:v>
                </c:pt>
                <c:pt idx="38">
                  <c:v>85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85</c:v>
                </c:pt>
                <c:pt idx="44">
                  <c:v>85</c:v>
                </c:pt>
                <c:pt idx="45">
                  <c:v>85</c:v>
                </c:pt>
                <c:pt idx="46">
                  <c:v>85</c:v>
                </c:pt>
                <c:pt idx="47">
                  <c:v>85</c:v>
                </c:pt>
                <c:pt idx="48">
                  <c:v>85</c:v>
                </c:pt>
                <c:pt idx="49">
                  <c:v>85</c:v>
                </c:pt>
                <c:pt idx="50">
                  <c:v>85</c:v>
                </c:pt>
                <c:pt idx="51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18-46F6-B677-F946E608F17B}"/>
            </c:ext>
          </c:extLst>
        </c:ser>
        <c:ser>
          <c:idx val="1"/>
          <c:order val="1"/>
          <c:tx>
            <c:strRef>
              <c:f>'Z line boars manual'!$A$86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trendline>
            <c:spPr>
              <a:ln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'Z line boars manual'!$B$86:$BA$86</c:f>
              <c:numCache>
                <c:formatCode>General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18-46F6-B677-F946E608F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3945856"/>
        <c:axId val="1"/>
      </c:lineChart>
      <c:catAx>
        <c:axId val="1433945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  <c:max val="90"/>
          <c:min val="70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Morphology</a:t>
                </a:r>
                <a:r>
                  <a:rPr lang="en-US" baseline="0"/>
                  <a:t> Score %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339458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MORPHOLOGY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'Z line boars manual'!$A$101</c:f>
              <c:strCache>
                <c:ptCount val="1"/>
                <c:pt idx="0">
                  <c:v>morphology target top</c:v>
                </c:pt>
              </c:strCache>
            </c:strRef>
          </c:tx>
          <c:marker>
            <c:symbol val="none"/>
          </c:marker>
          <c:val>
            <c:numRef>
              <c:f>'Z line boars manual'!$B$101:$BA$101</c:f>
              <c:numCache>
                <c:formatCode>General</c:formatCode>
                <c:ptCount val="52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85</c:v>
                </c:pt>
                <c:pt idx="7">
                  <c:v>85</c:v>
                </c:pt>
                <c:pt idx="8">
                  <c:v>85</c:v>
                </c:pt>
                <c:pt idx="9">
                  <c:v>85</c:v>
                </c:pt>
                <c:pt idx="10">
                  <c:v>85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85</c:v>
                </c:pt>
                <c:pt idx="18">
                  <c:v>85</c:v>
                </c:pt>
                <c:pt idx="19">
                  <c:v>85</c:v>
                </c:pt>
                <c:pt idx="20">
                  <c:v>85</c:v>
                </c:pt>
                <c:pt idx="21">
                  <c:v>85</c:v>
                </c:pt>
                <c:pt idx="22">
                  <c:v>85</c:v>
                </c:pt>
                <c:pt idx="23">
                  <c:v>85</c:v>
                </c:pt>
                <c:pt idx="24">
                  <c:v>85</c:v>
                </c:pt>
                <c:pt idx="25">
                  <c:v>85</c:v>
                </c:pt>
                <c:pt idx="26">
                  <c:v>85</c:v>
                </c:pt>
                <c:pt idx="27">
                  <c:v>85</c:v>
                </c:pt>
                <c:pt idx="28">
                  <c:v>85</c:v>
                </c:pt>
                <c:pt idx="29">
                  <c:v>85</c:v>
                </c:pt>
                <c:pt idx="30">
                  <c:v>85</c:v>
                </c:pt>
                <c:pt idx="31">
                  <c:v>85</c:v>
                </c:pt>
                <c:pt idx="32">
                  <c:v>85</c:v>
                </c:pt>
                <c:pt idx="33">
                  <c:v>85</c:v>
                </c:pt>
                <c:pt idx="34">
                  <c:v>85</c:v>
                </c:pt>
                <c:pt idx="35">
                  <c:v>85</c:v>
                </c:pt>
                <c:pt idx="36">
                  <c:v>85</c:v>
                </c:pt>
                <c:pt idx="37">
                  <c:v>85</c:v>
                </c:pt>
                <c:pt idx="38">
                  <c:v>85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85</c:v>
                </c:pt>
                <c:pt idx="44">
                  <c:v>85</c:v>
                </c:pt>
                <c:pt idx="45">
                  <c:v>85</c:v>
                </c:pt>
                <c:pt idx="46">
                  <c:v>85</c:v>
                </c:pt>
                <c:pt idx="47">
                  <c:v>85</c:v>
                </c:pt>
                <c:pt idx="48">
                  <c:v>85</c:v>
                </c:pt>
                <c:pt idx="49">
                  <c:v>85</c:v>
                </c:pt>
                <c:pt idx="50">
                  <c:v>85</c:v>
                </c:pt>
                <c:pt idx="51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17-4EF2-B074-E38674B2C70A}"/>
            </c:ext>
          </c:extLst>
        </c:ser>
        <c:ser>
          <c:idx val="1"/>
          <c:order val="1"/>
          <c:tx>
            <c:strRef>
              <c:f>'Z line boars manual'!$A$102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trendline>
            <c:spPr>
              <a:ln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'Z line boars manual'!$B$102:$BA$102</c:f>
              <c:numCache>
                <c:formatCode>General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17-4EF2-B074-E38674B2C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3945856"/>
        <c:axId val="1"/>
      </c:lineChart>
      <c:catAx>
        <c:axId val="1433945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 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  <c:min val="84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Morphology</a:t>
                </a:r>
                <a:r>
                  <a:rPr lang="en-US" baseline="0"/>
                  <a:t> Score %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33945856"/>
        <c:crosses val="autoZero"/>
        <c:crossBetween val="between"/>
        <c:majorUnit val="2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SEMEN DOSES 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'Z line boars manual'!$A$24</c:f>
              <c:strCache>
                <c:ptCount val="1"/>
                <c:pt idx="0">
                  <c:v>boars avg # of doses</c:v>
                </c:pt>
              </c:strCache>
            </c:strRef>
          </c:tx>
          <c:marker>
            <c:symbol val="none"/>
          </c:marker>
          <c:val>
            <c:numRef>
              <c:f>'Z line boars manual'!$B$24:$BA$24</c:f>
              <c:numCache>
                <c:formatCode>0</c:formatCode>
                <c:ptCount val="52"/>
                <c:pt idx="0">
                  <c:v>68</c:v>
                </c:pt>
                <c:pt idx="1">
                  <c:v>68</c:v>
                </c:pt>
                <c:pt idx="2">
                  <c:v>68</c:v>
                </c:pt>
                <c:pt idx="3">
                  <c:v>68</c:v>
                </c:pt>
                <c:pt idx="4">
                  <c:v>68</c:v>
                </c:pt>
                <c:pt idx="5">
                  <c:v>68</c:v>
                </c:pt>
                <c:pt idx="6">
                  <c:v>68</c:v>
                </c:pt>
                <c:pt idx="7">
                  <c:v>68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68</c:v>
                </c:pt>
                <c:pt idx="15">
                  <c:v>68</c:v>
                </c:pt>
                <c:pt idx="16">
                  <c:v>68</c:v>
                </c:pt>
                <c:pt idx="17">
                  <c:v>68</c:v>
                </c:pt>
                <c:pt idx="18">
                  <c:v>68</c:v>
                </c:pt>
                <c:pt idx="19">
                  <c:v>68</c:v>
                </c:pt>
                <c:pt idx="20">
                  <c:v>68</c:v>
                </c:pt>
                <c:pt idx="21">
                  <c:v>68</c:v>
                </c:pt>
                <c:pt idx="22">
                  <c:v>68</c:v>
                </c:pt>
                <c:pt idx="23">
                  <c:v>68</c:v>
                </c:pt>
                <c:pt idx="24">
                  <c:v>68</c:v>
                </c:pt>
                <c:pt idx="25">
                  <c:v>68</c:v>
                </c:pt>
                <c:pt idx="26">
                  <c:v>68</c:v>
                </c:pt>
                <c:pt idx="27">
                  <c:v>68</c:v>
                </c:pt>
                <c:pt idx="28">
                  <c:v>68</c:v>
                </c:pt>
                <c:pt idx="29">
                  <c:v>68</c:v>
                </c:pt>
                <c:pt idx="30">
                  <c:v>68</c:v>
                </c:pt>
                <c:pt idx="31">
                  <c:v>68</c:v>
                </c:pt>
                <c:pt idx="32">
                  <c:v>68</c:v>
                </c:pt>
                <c:pt idx="33">
                  <c:v>68</c:v>
                </c:pt>
                <c:pt idx="34">
                  <c:v>68</c:v>
                </c:pt>
                <c:pt idx="35">
                  <c:v>68</c:v>
                </c:pt>
                <c:pt idx="36">
                  <c:v>68</c:v>
                </c:pt>
                <c:pt idx="37">
                  <c:v>68</c:v>
                </c:pt>
                <c:pt idx="38">
                  <c:v>68</c:v>
                </c:pt>
                <c:pt idx="39">
                  <c:v>68</c:v>
                </c:pt>
                <c:pt idx="40">
                  <c:v>68</c:v>
                </c:pt>
                <c:pt idx="41">
                  <c:v>68</c:v>
                </c:pt>
                <c:pt idx="42">
                  <c:v>68</c:v>
                </c:pt>
                <c:pt idx="43">
                  <c:v>68</c:v>
                </c:pt>
                <c:pt idx="44">
                  <c:v>68</c:v>
                </c:pt>
                <c:pt idx="45">
                  <c:v>68</c:v>
                </c:pt>
                <c:pt idx="46">
                  <c:v>68</c:v>
                </c:pt>
                <c:pt idx="47">
                  <c:v>68</c:v>
                </c:pt>
                <c:pt idx="48">
                  <c:v>68</c:v>
                </c:pt>
                <c:pt idx="49">
                  <c:v>68</c:v>
                </c:pt>
                <c:pt idx="50">
                  <c:v>68</c:v>
                </c:pt>
                <c:pt idx="5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27-41D2-BD26-FAB6B9D59FB6}"/>
            </c:ext>
          </c:extLst>
        </c:ser>
        <c:ser>
          <c:idx val="1"/>
          <c:order val="1"/>
          <c:tx>
            <c:strRef>
              <c:f>'Z line boars manual'!$A$25</c:f>
              <c:strCache>
                <c:ptCount val="1"/>
                <c:pt idx="0">
                  <c:v>doses actual</c:v>
                </c:pt>
              </c:strCache>
            </c:strRef>
          </c:tx>
          <c:marker>
            <c:symbol val="none"/>
          </c:marker>
          <c:trendline>
            <c:spPr>
              <a:ln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'Z line boars manual'!$B$25:$BA$25</c:f>
              <c:numCache>
                <c:formatCode>General</c:formatCode>
                <c:ptCount val="52"/>
                <c:pt idx="24">
                  <c:v>20</c:v>
                </c:pt>
                <c:pt idx="25">
                  <c:v>20</c:v>
                </c:pt>
                <c:pt idx="26">
                  <c:v>61</c:v>
                </c:pt>
                <c:pt idx="27">
                  <c:v>80</c:v>
                </c:pt>
                <c:pt idx="28">
                  <c:v>64</c:v>
                </c:pt>
                <c:pt idx="29">
                  <c:v>77</c:v>
                </c:pt>
                <c:pt idx="30">
                  <c:v>44</c:v>
                </c:pt>
                <c:pt idx="31">
                  <c:v>52</c:v>
                </c:pt>
                <c:pt idx="32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27-41D2-BD26-FAB6B9D59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3366160"/>
        <c:axId val="1"/>
      </c:lineChart>
      <c:catAx>
        <c:axId val="1753366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  <c:max val="90"/>
          <c:min val="10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Semen</a:t>
                </a:r>
                <a:r>
                  <a:rPr lang="en-US" baseline="0"/>
                  <a:t> Doses %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7533661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SEMEN DOSES 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'Z line boars manual'!$A$40</c:f>
              <c:strCache>
                <c:ptCount val="1"/>
                <c:pt idx="0">
                  <c:v>boars avg # of doses</c:v>
                </c:pt>
              </c:strCache>
            </c:strRef>
          </c:tx>
          <c:marker>
            <c:symbol val="none"/>
          </c:marker>
          <c:val>
            <c:numRef>
              <c:f>'Z line boars manual'!$B$40:$BA$40</c:f>
              <c:numCache>
                <c:formatCode>0</c:formatCode>
                <c:ptCount val="52"/>
                <c:pt idx="0">
                  <c:v>68</c:v>
                </c:pt>
                <c:pt idx="1">
                  <c:v>68</c:v>
                </c:pt>
                <c:pt idx="2">
                  <c:v>68</c:v>
                </c:pt>
                <c:pt idx="3">
                  <c:v>68</c:v>
                </c:pt>
                <c:pt idx="4">
                  <c:v>68</c:v>
                </c:pt>
                <c:pt idx="5">
                  <c:v>68</c:v>
                </c:pt>
                <c:pt idx="6">
                  <c:v>68</c:v>
                </c:pt>
                <c:pt idx="7">
                  <c:v>68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68</c:v>
                </c:pt>
                <c:pt idx="15">
                  <c:v>68</c:v>
                </c:pt>
                <c:pt idx="16">
                  <c:v>68</c:v>
                </c:pt>
                <c:pt idx="17">
                  <c:v>68</c:v>
                </c:pt>
                <c:pt idx="18">
                  <c:v>68</c:v>
                </c:pt>
                <c:pt idx="19">
                  <c:v>68</c:v>
                </c:pt>
                <c:pt idx="20">
                  <c:v>68</c:v>
                </c:pt>
                <c:pt idx="21">
                  <c:v>68</c:v>
                </c:pt>
                <c:pt idx="22">
                  <c:v>68</c:v>
                </c:pt>
                <c:pt idx="23">
                  <c:v>68</c:v>
                </c:pt>
                <c:pt idx="24">
                  <c:v>68</c:v>
                </c:pt>
                <c:pt idx="25">
                  <c:v>68</c:v>
                </c:pt>
                <c:pt idx="26">
                  <c:v>68</c:v>
                </c:pt>
                <c:pt idx="27">
                  <c:v>68</c:v>
                </c:pt>
                <c:pt idx="28">
                  <c:v>68</c:v>
                </c:pt>
                <c:pt idx="29">
                  <c:v>68</c:v>
                </c:pt>
                <c:pt idx="30">
                  <c:v>68</c:v>
                </c:pt>
                <c:pt idx="31">
                  <c:v>68</c:v>
                </c:pt>
                <c:pt idx="32">
                  <c:v>68</c:v>
                </c:pt>
                <c:pt idx="33">
                  <c:v>68</c:v>
                </c:pt>
                <c:pt idx="34">
                  <c:v>68</c:v>
                </c:pt>
                <c:pt idx="35">
                  <c:v>68</c:v>
                </c:pt>
                <c:pt idx="36">
                  <c:v>68</c:v>
                </c:pt>
                <c:pt idx="37">
                  <c:v>68</c:v>
                </c:pt>
                <c:pt idx="38">
                  <c:v>68</c:v>
                </c:pt>
                <c:pt idx="39">
                  <c:v>68</c:v>
                </c:pt>
                <c:pt idx="40">
                  <c:v>68</c:v>
                </c:pt>
                <c:pt idx="41">
                  <c:v>68</c:v>
                </c:pt>
                <c:pt idx="42">
                  <c:v>68</c:v>
                </c:pt>
                <c:pt idx="43">
                  <c:v>68</c:v>
                </c:pt>
                <c:pt idx="44">
                  <c:v>68</c:v>
                </c:pt>
                <c:pt idx="45">
                  <c:v>68</c:v>
                </c:pt>
                <c:pt idx="46">
                  <c:v>68</c:v>
                </c:pt>
                <c:pt idx="47">
                  <c:v>68</c:v>
                </c:pt>
                <c:pt idx="48">
                  <c:v>68</c:v>
                </c:pt>
                <c:pt idx="49">
                  <c:v>68</c:v>
                </c:pt>
                <c:pt idx="50">
                  <c:v>68</c:v>
                </c:pt>
                <c:pt idx="5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F6-43AF-BD12-C28B8DDA6BDE}"/>
            </c:ext>
          </c:extLst>
        </c:ser>
        <c:ser>
          <c:idx val="1"/>
          <c:order val="1"/>
          <c:tx>
            <c:strRef>
              <c:f>'Z line boars manual'!$A$41</c:f>
              <c:strCache>
                <c:ptCount val="1"/>
                <c:pt idx="0">
                  <c:v>doses actual</c:v>
                </c:pt>
              </c:strCache>
            </c:strRef>
          </c:tx>
          <c:marker>
            <c:symbol val="none"/>
          </c:marker>
          <c:trendline>
            <c:spPr>
              <a:ln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'Z line boars manual'!$B$41:$BA$41</c:f>
              <c:numCache>
                <c:formatCode>General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F6-43AF-BD12-C28B8DDA6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3366160"/>
        <c:axId val="1"/>
      </c:lineChart>
      <c:catAx>
        <c:axId val="1753366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  <c:max val="80"/>
          <c:min val="10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Semen</a:t>
                </a:r>
                <a:r>
                  <a:rPr lang="en-US" baseline="0"/>
                  <a:t> Doses %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7533661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SEMEN DOSES 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'Z line boars manual'!$A$56</c:f>
              <c:strCache>
                <c:ptCount val="1"/>
                <c:pt idx="0">
                  <c:v>boars avg # of doses</c:v>
                </c:pt>
              </c:strCache>
            </c:strRef>
          </c:tx>
          <c:marker>
            <c:symbol val="none"/>
          </c:marker>
          <c:val>
            <c:numRef>
              <c:f>'Z line boars manual'!$B$56:$BA$56</c:f>
              <c:numCache>
                <c:formatCode>0</c:formatCode>
                <c:ptCount val="52"/>
                <c:pt idx="0">
                  <c:v>68</c:v>
                </c:pt>
                <c:pt idx="1">
                  <c:v>68</c:v>
                </c:pt>
                <c:pt idx="2">
                  <c:v>68</c:v>
                </c:pt>
                <c:pt idx="3">
                  <c:v>68</c:v>
                </c:pt>
                <c:pt idx="4">
                  <c:v>68</c:v>
                </c:pt>
                <c:pt idx="5">
                  <c:v>68</c:v>
                </c:pt>
                <c:pt idx="6">
                  <c:v>68</c:v>
                </c:pt>
                <c:pt idx="7">
                  <c:v>68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68</c:v>
                </c:pt>
                <c:pt idx="15">
                  <c:v>68</c:v>
                </c:pt>
                <c:pt idx="16">
                  <c:v>68</c:v>
                </c:pt>
                <c:pt idx="17">
                  <c:v>68</c:v>
                </c:pt>
                <c:pt idx="18">
                  <c:v>68</c:v>
                </c:pt>
                <c:pt idx="19">
                  <c:v>68</c:v>
                </c:pt>
                <c:pt idx="20">
                  <c:v>68</c:v>
                </c:pt>
                <c:pt idx="21">
                  <c:v>68</c:v>
                </c:pt>
                <c:pt idx="22">
                  <c:v>68</c:v>
                </c:pt>
                <c:pt idx="23">
                  <c:v>68</c:v>
                </c:pt>
                <c:pt idx="24">
                  <c:v>68</c:v>
                </c:pt>
                <c:pt idx="25">
                  <c:v>68</c:v>
                </c:pt>
                <c:pt idx="26">
                  <c:v>68</c:v>
                </c:pt>
                <c:pt idx="27">
                  <c:v>68</c:v>
                </c:pt>
                <c:pt idx="28">
                  <c:v>68</c:v>
                </c:pt>
                <c:pt idx="29">
                  <c:v>68</c:v>
                </c:pt>
                <c:pt idx="30">
                  <c:v>68</c:v>
                </c:pt>
                <c:pt idx="31">
                  <c:v>68</c:v>
                </c:pt>
                <c:pt idx="32">
                  <c:v>68</c:v>
                </c:pt>
                <c:pt idx="33">
                  <c:v>68</c:v>
                </c:pt>
                <c:pt idx="34">
                  <c:v>68</c:v>
                </c:pt>
                <c:pt idx="35">
                  <c:v>68</c:v>
                </c:pt>
                <c:pt idx="36">
                  <c:v>68</c:v>
                </c:pt>
                <c:pt idx="37">
                  <c:v>68</c:v>
                </c:pt>
                <c:pt idx="38">
                  <c:v>68</c:v>
                </c:pt>
                <c:pt idx="39">
                  <c:v>68</c:v>
                </c:pt>
                <c:pt idx="40">
                  <c:v>68</c:v>
                </c:pt>
                <c:pt idx="41">
                  <c:v>68</c:v>
                </c:pt>
                <c:pt idx="42">
                  <c:v>68</c:v>
                </c:pt>
                <c:pt idx="43">
                  <c:v>68</c:v>
                </c:pt>
                <c:pt idx="44">
                  <c:v>68</c:v>
                </c:pt>
                <c:pt idx="45">
                  <c:v>68</c:v>
                </c:pt>
                <c:pt idx="46">
                  <c:v>68</c:v>
                </c:pt>
                <c:pt idx="47">
                  <c:v>68</c:v>
                </c:pt>
                <c:pt idx="48">
                  <c:v>68</c:v>
                </c:pt>
                <c:pt idx="49">
                  <c:v>68</c:v>
                </c:pt>
                <c:pt idx="50">
                  <c:v>68</c:v>
                </c:pt>
                <c:pt idx="5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0E-4837-82F4-68923FC32098}"/>
            </c:ext>
          </c:extLst>
        </c:ser>
        <c:ser>
          <c:idx val="1"/>
          <c:order val="1"/>
          <c:tx>
            <c:strRef>
              <c:f>'Z line boars manual'!$A$57</c:f>
              <c:strCache>
                <c:ptCount val="1"/>
                <c:pt idx="0">
                  <c:v>doses actual</c:v>
                </c:pt>
              </c:strCache>
            </c:strRef>
          </c:tx>
          <c:marker>
            <c:symbol val="none"/>
          </c:marker>
          <c:val>
            <c:numRef>
              <c:f>'Z line boars manual'!$B$57:$BA$57</c:f>
              <c:numCache>
                <c:formatCode>General</c:formatCode>
                <c:ptCount val="52"/>
                <c:pt idx="22">
                  <c:v>16</c:v>
                </c:pt>
                <c:pt idx="23">
                  <c:v>28</c:v>
                </c:pt>
                <c:pt idx="24">
                  <c:v>47</c:v>
                </c:pt>
                <c:pt idx="25">
                  <c:v>47</c:v>
                </c:pt>
                <c:pt idx="26">
                  <c:v>43</c:v>
                </c:pt>
                <c:pt idx="27">
                  <c:v>55</c:v>
                </c:pt>
                <c:pt idx="28">
                  <c:v>61</c:v>
                </c:pt>
                <c:pt idx="29">
                  <c:v>64</c:v>
                </c:pt>
                <c:pt idx="30">
                  <c:v>27</c:v>
                </c:pt>
                <c:pt idx="31">
                  <c:v>30</c:v>
                </c:pt>
                <c:pt idx="32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0E-4837-82F4-68923FC32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3366160"/>
        <c:axId val="1"/>
      </c:lineChart>
      <c:catAx>
        <c:axId val="1753366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Semen</a:t>
                </a:r>
                <a:r>
                  <a:rPr lang="en-US" baseline="0"/>
                  <a:t> Doses %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7533661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SEMEN DOSES 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'Z line boars manual'!$A$72</c:f>
              <c:strCache>
                <c:ptCount val="1"/>
                <c:pt idx="0">
                  <c:v>boars avg # of doses</c:v>
                </c:pt>
              </c:strCache>
            </c:strRef>
          </c:tx>
          <c:marker>
            <c:symbol val="none"/>
          </c:marker>
          <c:val>
            <c:numRef>
              <c:f>'Z line boars manual'!$B$72:$BA$72</c:f>
              <c:numCache>
                <c:formatCode>0</c:formatCode>
                <c:ptCount val="52"/>
                <c:pt idx="0">
                  <c:v>68</c:v>
                </c:pt>
                <c:pt idx="1">
                  <c:v>68</c:v>
                </c:pt>
                <c:pt idx="2">
                  <c:v>68</c:v>
                </c:pt>
                <c:pt idx="3">
                  <c:v>68</c:v>
                </c:pt>
                <c:pt idx="4">
                  <c:v>68</c:v>
                </c:pt>
                <c:pt idx="5">
                  <c:v>68</c:v>
                </c:pt>
                <c:pt idx="6">
                  <c:v>68</c:v>
                </c:pt>
                <c:pt idx="7">
                  <c:v>68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68</c:v>
                </c:pt>
                <c:pt idx="15">
                  <c:v>68</c:v>
                </c:pt>
                <c:pt idx="16">
                  <c:v>68</c:v>
                </c:pt>
                <c:pt idx="17">
                  <c:v>68</c:v>
                </c:pt>
                <c:pt idx="18">
                  <c:v>68</c:v>
                </c:pt>
                <c:pt idx="19">
                  <c:v>68</c:v>
                </c:pt>
                <c:pt idx="20">
                  <c:v>68</c:v>
                </c:pt>
                <c:pt idx="21">
                  <c:v>68</c:v>
                </c:pt>
                <c:pt idx="22">
                  <c:v>68</c:v>
                </c:pt>
                <c:pt idx="23">
                  <c:v>68</c:v>
                </c:pt>
                <c:pt idx="24">
                  <c:v>68</c:v>
                </c:pt>
                <c:pt idx="25">
                  <c:v>68</c:v>
                </c:pt>
                <c:pt idx="26">
                  <c:v>68</c:v>
                </c:pt>
                <c:pt idx="27">
                  <c:v>68</c:v>
                </c:pt>
                <c:pt idx="28">
                  <c:v>68</c:v>
                </c:pt>
                <c:pt idx="29">
                  <c:v>68</c:v>
                </c:pt>
                <c:pt idx="30">
                  <c:v>68</c:v>
                </c:pt>
                <c:pt idx="31">
                  <c:v>68</c:v>
                </c:pt>
                <c:pt idx="32">
                  <c:v>68</c:v>
                </c:pt>
                <c:pt idx="33">
                  <c:v>68</c:v>
                </c:pt>
                <c:pt idx="34">
                  <c:v>68</c:v>
                </c:pt>
                <c:pt idx="35">
                  <c:v>68</c:v>
                </c:pt>
                <c:pt idx="36">
                  <c:v>68</c:v>
                </c:pt>
                <c:pt idx="37">
                  <c:v>68</c:v>
                </c:pt>
                <c:pt idx="38">
                  <c:v>68</c:v>
                </c:pt>
                <c:pt idx="39">
                  <c:v>68</c:v>
                </c:pt>
                <c:pt idx="40">
                  <c:v>68</c:v>
                </c:pt>
                <c:pt idx="41">
                  <c:v>68</c:v>
                </c:pt>
                <c:pt idx="42">
                  <c:v>68</c:v>
                </c:pt>
                <c:pt idx="43">
                  <c:v>68</c:v>
                </c:pt>
                <c:pt idx="44">
                  <c:v>68</c:v>
                </c:pt>
                <c:pt idx="45">
                  <c:v>68</c:v>
                </c:pt>
                <c:pt idx="46">
                  <c:v>68</c:v>
                </c:pt>
                <c:pt idx="47">
                  <c:v>68</c:v>
                </c:pt>
                <c:pt idx="48">
                  <c:v>68</c:v>
                </c:pt>
                <c:pt idx="49">
                  <c:v>68</c:v>
                </c:pt>
                <c:pt idx="50">
                  <c:v>68</c:v>
                </c:pt>
                <c:pt idx="5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70-4361-B33B-F139CC858540}"/>
            </c:ext>
          </c:extLst>
        </c:ser>
        <c:ser>
          <c:idx val="1"/>
          <c:order val="1"/>
          <c:tx>
            <c:strRef>
              <c:f>'Z line boars manual'!$A$73</c:f>
              <c:strCache>
                <c:ptCount val="1"/>
                <c:pt idx="0">
                  <c:v>doses actual</c:v>
                </c:pt>
              </c:strCache>
            </c:strRef>
          </c:tx>
          <c:marker>
            <c:symbol val="none"/>
          </c:marker>
          <c:trendline>
            <c:spPr>
              <a:ln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'Z line boars manual'!$B$73:$BA$73</c:f>
              <c:numCache>
                <c:formatCode>General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70-4361-B33B-F139CC85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3366160"/>
        <c:axId val="1"/>
      </c:lineChart>
      <c:catAx>
        <c:axId val="1753366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  <c:max val="80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Semen</a:t>
                </a:r>
                <a:r>
                  <a:rPr lang="en-US" baseline="0"/>
                  <a:t> Doses %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7533661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SEMEN DOSES 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'Z line boars manual'!$A$88</c:f>
              <c:strCache>
                <c:ptCount val="1"/>
                <c:pt idx="0">
                  <c:v>boars avg # of doses</c:v>
                </c:pt>
              </c:strCache>
            </c:strRef>
          </c:tx>
          <c:marker>
            <c:symbol val="none"/>
          </c:marker>
          <c:val>
            <c:numRef>
              <c:f>'Z line boars manual'!$B$88:$BA$88</c:f>
              <c:numCache>
                <c:formatCode>0</c:formatCode>
                <c:ptCount val="52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60</c:v>
                </c:pt>
                <c:pt idx="39">
                  <c:v>60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  <c:pt idx="47">
                  <c:v>60</c:v>
                </c:pt>
                <c:pt idx="48">
                  <c:v>60</c:v>
                </c:pt>
                <c:pt idx="49">
                  <c:v>60</c:v>
                </c:pt>
                <c:pt idx="50">
                  <c:v>60</c:v>
                </c:pt>
                <c:pt idx="51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25-43A7-8A2B-4E30BC1D01B0}"/>
            </c:ext>
          </c:extLst>
        </c:ser>
        <c:ser>
          <c:idx val="1"/>
          <c:order val="1"/>
          <c:tx>
            <c:strRef>
              <c:f>'Z line boars manual'!$A$89</c:f>
              <c:strCache>
                <c:ptCount val="1"/>
                <c:pt idx="0">
                  <c:v>doses actual</c:v>
                </c:pt>
              </c:strCache>
            </c:strRef>
          </c:tx>
          <c:marker>
            <c:symbol val="none"/>
          </c:marker>
          <c:trendline>
            <c:spPr>
              <a:ln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'Z line boars manual'!$B$89:$BA$89</c:f>
              <c:numCache>
                <c:formatCode>General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25-43A7-8A2B-4E30BC1D0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3366160"/>
        <c:axId val="1"/>
      </c:lineChart>
      <c:catAx>
        <c:axId val="1753366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  <c:min val="20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Semen</a:t>
                </a:r>
                <a:r>
                  <a:rPr lang="en-US" baseline="0"/>
                  <a:t> Doses %</a:t>
                </a:r>
              </a:p>
            </c:rich>
          </c:tx>
          <c:layout>
            <c:manualLayout>
              <c:xMode val="edge"/>
              <c:yMode val="edge"/>
              <c:x val="2.4763619990995047E-2"/>
              <c:y val="0.32467574100079954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crossAx val="17533661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SEMEN DOSES 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'Z line boars manual'!$A$104</c:f>
              <c:strCache>
                <c:ptCount val="1"/>
                <c:pt idx="0">
                  <c:v>boars avg # of doses</c:v>
                </c:pt>
              </c:strCache>
            </c:strRef>
          </c:tx>
          <c:marker>
            <c:symbol val="none"/>
          </c:marker>
          <c:val>
            <c:numRef>
              <c:f>'Z line boars manual'!$B$104:$BA$104</c:f>
              <c:numCache>
                <c:formatCode>0</c:formatCode>
                <c:ptCount val="52"/>
                <c:pt idx="0">
                  <c:v>68</c:v>
                </c:pt>
                <c:pt idx="1">
                  <c:v>68</c:v>
                </c:pt>
                <c:pt idx="2">
                  <c:v>68</c:v>
                </c:pt>
                <c:pt idx="3">
                  <c:v>68</c:v>
                </c:pt>
                <c:pt idx="4">
                  <c:v>68</c:v>
                </c:pt>
                <c:pt idx="5">
                  <c:v>68</c:v>
                </c:pt>
                <c:pt idx="6">
                  <c:v>68</c:v>
                </c:pt>
                <c:pt idx="7">
                  <c:v>68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68</c:v>
                </c:pt>
                <c:pt idx="15">
                  <c:v>68</c:v>
                </c:pt>
                <c:pt idx="16">
                  <c:v>68</c:v>
                </c:pt>
                <c:pt idx="17">
                  <c:v>68</c:v>
                </c:pt>
                <c:pt idx="18">
                  <c:v>68</c:v>
                </c:pt>
                <c:pt idx="19">
                  <c:v>68</c:v>
                </c:pt>
                <c:pt idx="20">
                  <c:v>68</c:v>
                </c:pt>
                <c:pt idx="21">
                  <c:v>68</c:v>
                </c:pt>
                <c:pt idx="22">
                  <c:v>68</c:v>
                </c:pt>
                <c:pt idx="23">
                  <c:v>68</c:v>
                </c:pt>
                <c:pt idx="24">
                  <c:v>68</c:v>
                </c:pt>
                <c:pt idx="25">
                  <c:v>68</c:v>
                </c:pt>
                <c:pt idx="26">
                  <c:v>68</c:v>
                </c:pt>
                <c:pt idx="27">
                  <c:v>68</c:v>
                </c:pt>
                <c:pt idx="28">
                  <c:v>68</c:v>
                </c:pt>
                <c:pt idx="29">
                  <c:v>68</c:v>
                </c:pt>
                <c:pt idx="30">
                  <c:v>68</c:v>
                </c:pt>
                <c:pt idx="31">
                  <c:v>68</c:v>
                </c:pt>
                <c:pt idx="32">
                  <c:v>68</c:v>
                </c:pt>
                <c:pt idx="33">
                  <c:v>68</c:v>
                </c:pt>
                <c:pt idx="34">
                  <c:v>68</c:v>
                </c:pt>
                <c:pt idx="35">
                  <c:v>68</c:v>
                </c:pt>
                <c:pt idx="36">
                  <c:v>68</c:v>
                </c:pt>
                <c:pt idx="37">
                  <c:v>68</c:v>
                </c:pt>
                <c:pt idx="38">
                  <c:v>68</c:v>
                </c:pt>
                <c:pt idx="39">
                  <c:v>68</c:v>
                </c:pt>
                <c:pt idx="40">
                  <c:v>68</c:v>
                </c:pt>
                <c:pt idx="41">
                  <c:v>68</c:v>
                </c:pt>
                <c:pt idx="42">
                  <c:v>68</c:v>
                </c:pt>
                <c:pt idx="43">
                  <c:v>68</c:v>
                </c:pt>
                <c:pt idx="44">
                  <c:v>68</c:v>
                </c:pt>
                <c:pt idx="45">
                  <c:v>68</c:v>
                </c:pt>
                <c:pt idx="46">
                  <c:v>68</c:v>
                </c:pt>
                <c:pt idx="47">
                  <c:v>68</c:v>
                </c:pt>
                <c:pt idx="48">
                  <c:v>68</c:v>
                </c:pt>
                <c:pt idx="49">
                  <c:v>68</c:v>
                </c:pt>
                <c:pt idx="50">
                  <c:v>68</c:v>
                </c:pt>
                <c:pt idx="5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23-489E-9025-21C667688423}"/>
            </c:ext>
          </c:extLst>
        </c:ser>
        <c:ser>
          <c:idx val="1"/>
          <c:order val="1"/>
          <c:tx>
            <c:strRef>
              <c:f>'Z line boars manual'!$A$105</c:f>
              <c:strCache>
                <c:ptCount val="1"/>
                <c:pt idx="0">
                  <c:v>doses actual</c:v>
                </c:pt>
              </c:strCache>
            </c:strRef>
          </c:tx>
          <c:marker>
            <c:symbol val="none"/>
          </c:marker>
          <c:trendline>
            <c:spPr>
              <a:ln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'Z line boars manual'!$B$105:$BA$105</c:f>
              <c:numCache>
                <c:formatCode>General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23-489E-9025-21C667688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3366160"/>
        <c:axId val="1"/>
      </c:lineChart>
      <c:catAx>
        <c:axId val="1753366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  <c:min val="20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Semen</a:t>
                </a:r>
                <a:r>
                  <a:rPr lang="en-US" baseline="0"/>
                  <a:t> Doses %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7533661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Tenability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'Z line boars manual'!$A$27</c:f>
              <c:strCache>
                <c:ptCount val="1"/>
                <c:pt idx="0">
                  <c:v>Tenability - Day 1</c:v>
                </c:pt>
              </c:strCache>
            </c:strRef>
          </c:tx>
          <c:invertIfNegative val="0"/>
          <c:val>
            <c:numRef>
              <c:f>'Z line boars manual'!$B$27:$BA$27</c:f>
              <c:numCache>
                <c:formatCode>General</c:formatCode>
                <c:ptCount val="52"/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20-48EA-B2AD-43CFAE5A326E}"/>
            </c:ext>
          </c:extLst>
        </c:ser>
        <c:ser>
          <c:idx val="1"/>
          <c:order val="1"/>
          <c:tx>
            <c:strRef>
              <c:f>'Z line boars manual'!$A$28</c:f>
              <c:strCache>
                <c:ptCount val="1"/>
                <c:pt idx="0">
                  <c:v>tenability - Day 2</c:v>
                </c:pt>
              </c:strCache>
            </c:strRef>
          </c:tx>
          <c:invertIfNegative val="0"/>
          <c:val>
            <c:numRef>
              <c:f>'Z line boars manual'!$B$28:$BA$28</c:f>
              <c:numCache>
                <c:formatCode>General</c:formatCode>
                <c:ptCount val="52"/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8</c:v>
                </c:pt>
                <c:pt idx="31">
                  <c:v>9</c:v>
                </c:pt>
                <c:pt idx="3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20-48EA-B2AD-43CFAE5A326E}"/>
            </c:ext>
          </c:extLst>
        </c:ser>
        <c:ser>
          <c:idx val="2"/>
          <c:order val="2"/>
          <c:tx>
            <c:strRef>
              <c:f>'Z line boars manual'!$A$29</c:f>
              <c:strCache>
                <c:ptCount val="1"/>
                <c:pt idx="0">
                  <c:v>tenability - Day 3</c:v>
                </c:pt>
              </c:strCache>
            </c:strRef>
          </c:tx>
          <c:invertIfNegative val="0"/>
          <c:val>
            <c:numRef>
              <c:f>'Z line boars manual'!$B$29:$BA$29</c:f>
              <c:numCache>
                <c:formatCode>General</c:formatCode>
                <c:ptCount val="52"/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20-48EA-B2AD-43CFAE5A3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2215280"/>
        <c:axId val="1"/>
      </c:barChart>
      <c:catAx>
        <c:axId val="1222215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  <a:r>
                  <a:rPr lang="en-US" baseline="0"/>
                  <a:t> %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2222152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Tenability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'Z line boars manual'!$A$43</c:f>
              <c:strCache>
                <c:ptCount val="1"/>
                <c:pt idx="0">
                  <c:v>Tenability - Day 1</c:v>
                </c:pt>
              </c:strCache>
            </c:strRef>
          </c:tx>
          <c:invertIfNegative val="0"/>
          <c:val>
            <c:numRef>
              <c:f>'Z line boars manual'!$B$43:$BA$43</c:f>
              <c:numCache>
                <c:formatCode>General</c:formatCode>
                <c:ptCount val="52"/>
              </c:numCache>
            </c:numRef>
          </c:val>
          <c:extLst>
            <c:ext xmlns:c16="http://schemas.microsoft.com/office/drawing/2014/chart" uri="{C3380CC4-5D6E-409C-BE32-E72D297353CC}">
              <c16:uniqueId val="{00000000-7EE1-4168-8BB5-0CFA211CC699}"/>
            </c:ext>
          </c:extLst>
        </c:ser>
        <c:ser>
          <c:idx val="1"/>
          <c:order val="1"/>
          <c:tx>
            <c:strRef>
              <c:f>'Z line boars manual'!$A$44</c:f>
              <c:strCache>
                <c:ptCount val="1"/>
                <c:pt idx="0">
                  <c:v>tenability - Day 2</c:v>
                </c:pt>
              </c:strCache>
            </c:strRef>
          </c:tx>
          <c:invertIfNegative val="0"/>
          <c:val>
            <c:numRef>
              <c:f>'Z line boars manual'!$B$44:$BA$44</c:f>
              <c:numCache>
                <c:formatCode>General</c:formatCode>
                <c:ptCount val="52"/>
              </c:numCache>
            </c:numRef>
          </c:val>
          <c:extLst>
            <c:ext xmlns:c16="http://schemas.microsoft.com/office/drawing/2014/chart" uri="{C3380CC4-5D6E-409C-BE32-E72D297353CC}">
              <c16:uniqueId val="{00000001-7EE1-4168-8BB5-0CFA211CC699}"/>
            </c:ext>
          </c:extLst>
        </c:ser>
        <c:ser>
          <c:idx val="2"/>
          <c:order val="2"/>
          <c:tx>
            <c:strRef>
              <c:f>'Z line boars manual'!$A$45</c:f>
              <c:strCache>
                <c:ptCount val="1"/>
                <c:pt idx="0">
                  <c:v>tenability - Day 3</c:v>
                </c:pt>
              </c:strCache>
            </c:strRef>
          </c:tx>
          <c:invertIfNegative val="0"/>
          <c:val>
            <c:numRef>
              <c:f>'Z line boars manual'!$B$45:$BA$45</c:f>
              <c:numCache>
                <c:formatCode>General</c:formatCode>
                <c:ptCount val="52"/>
              </c:numCache>
            </c:numRef>
          </c:val>
          <c:extLst>
            <c:ext xmlns:c16="http://schemas.microsoft.com/office/drawing/2014/chart" uri="{C3380CC4-5D6E-409C-BE32-E72D297353CC}">
              <c16:uniqueId val="{00000002-7EE1-4168-8BB5-0CFA211CC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2215280"/>
        <c:axId val="1"/>
      </c:barChart>
      <c:catAx>
        <c:axId val="1222215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  <a:r>
                  <a:rPr lang="en-US" baseline="0"/>
                  <a:t> %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2222152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Tenability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'Z line boars manual'!$A$59</c:f>
              <c:strCache>
                <c:ptCount val="1"/>
                <c:pt idx="0">
                  <c:v>Tenability - Day 1</c:v>
                </c:pt>
              </c:strCache>
            </c:strRef>
          </c:tx>
          <c:invertIfNegative val="0"/>
          <c:val>
            <c:numRef>
              <c:f>'Z line boars manual'!$B$59:$BA$59</c:f>
              <c:numCache>
                <c:formatCode>General</c:formatCode>
                <c:ptCount val="52"/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37-459B-B355-21BE4F031C31}"/>
            </c:ext>
          </c:extLst>
        </c:ser>
        <c:ser>
          <c:idx val="1"/>
          <c:order val="1"/>
          <c:tx>
            <c:strRef>
              <c:f>'Z line boars manual'!$A$60</c:f>
              <c:strCache>
                <c:ptCount val="1"/>
                <c:pt idx="0">
                  <c:v>tenability - Day 2</c:v>
                </c:pt>
              </c:strCache>
            </c:strRef>
          </c:tx>
          <c:invertIfNegative val="0"/>
          <c:val>
            <c:numRef>
              <c:f>'Z line boars manual'!$B$60:$BA$60</c:f>
              <c:numCache>
                <c:formatCode>General</c:formatCode>
                <c:ptCount val="52"/>
                <c:pt idx="27">
                  <c:v>8</c:v>
                </c:pt>
                <c:pt idx="28">
                  <c:v>8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37-459B-B355-21BE4F031C31}"/>
            </c:ext>
          </c:extLst>
        </c:ser>
        <c:ser>
          <c:idx val="2"/>
          <c:order val="2"/>
          <c:tx>
            <c:strRef>
              <c:f>'Z line boars manual'!$A$61</c:f>
              <c:strCache>
                <c:ptCount val="1"/>
                <c:pt idx="0">
                  <c:v>tenability - Day 3</c:v>
                </c:pt>
              </c:strCache>
            </c:strRef>
          </c:tx>
          <c:invertIfNegative val="0"/>
          <c:val>
            <c:numRef>
              <c:f>'Z line boars manual'!$B$61:$BA$61</c:f>
              <c:numCache>
                <c:formatCode>General</c:formatCode>
                <c:ptCount val="52"/>
                <c:pt idx="27">
                  <c:v>7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37-459B-B355-21BE4F031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2215280"/>
        <c:axId val="1"/>
      </c:barChart>
      <c:catAx>
        <c:axId val="1222215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  <a:r>
                  <a:rPr lang="en-US" baseline="0"/>
                  <a:t> %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2222152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Tenability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'Z line boars manual'!$A$75</c:f>
              <c:strCache>
                <c:ptCount val="1"/>
                <c:pt idx="0">
                  <c:v>Tenability - Day 1</c:v>
                </c:pt>
              </c:strCache>
            </c:strRef>
          </c:tx>
          <c:invertIfNegative val="0"/>
          <c:val>
            <c:numRef>
              <c:f>'Z line boars manual'!$B$75:$BA$75</c:f>
              <c:numCache>
                <c:formatCode>General</c:formatCode>
                <c:ptCount val="52"/>
              </c:numCache>
            </c:numRef>
          </c:val>
          <c:extLst>
            <c:ext xmlns:c16="http://schemas.microsoft.com/office/drawing/2014/chart" uri="{C3380CC4-5D6E-409C-BE32-E72D297353CC}">
              <c16:uniqueId val="{00000000-AC56-4F60-AE7B-84D4A80C09D3}"/>
            </c:ext>
          </c:extLst>
        </c:ser>
        <c:ser>
          <c:idx val="1"/>
          <c:order val="1"/>
          <c:tx>
            <c:strRef>
              <c:f>'Z line boars manual'!$A$76</c:f>
              <c:strCache>
                <c:ptCount val="1"/>
                <c:pt idx="0">
                  <c:v>tenability - Day 2</c:v>
                </c:pt>
              </c:strCache>
            </c:strRef>
          </c:tx>
          <c:invertIfNegative val="0"/>
          <c:val>
            <c:numRef>
              <c:f>'Z line boars manual'!$B$76:$BA$76</c:f>
              <c:numCache>
                <c:formatCode>General</c:formatCode>
                <c:ptCount val="52"/>
              </c:numCache>
            </c:numRef>
          </c:val>
          <c:extLst>
            <c:ext xmlns:c16="http://schemas.microsoft.com/office/drawing/2014/chart" uri="{C3380CC4-5D6E-409C-BE32-E72D297353CC}">
              <c16:uniqueId val="{00000001-AC56-4F60-AE7B-84D4A80C09D3}"/>
            </c:ext>
          </c:extLst>
        </c:ser>
        <c:ser>
          <c:idx val="2"/>
          <c:order val="2"/>
          <c:tx>
            <c:strRef>
              <c:f>'Z line boars manual'!$A$77</c:f>
              <c:strCache>
                <c:ptCount val="1"/>
                <c:pt idx="0">
                  <c:v>tenability - Day 3</c:v>
                </c:pt>
              </c:strCache>
            </c:strRef>
          </c:tx>
          <c:invertIfNegative val="0"/>
          <c:val>
            <c:numRef>
              <c:f>'Z line boars manual'!$B$77:$BA$77</c:f>
              <c:numCache>
                <c:formatCode>General</c:formatCode>
                <c:ptCount val="52"/>
              </c:numCache>
            </c:numRef>
          </c:val>
          <c:extLst>
            <c:ext xmlns:c16="http://schemas.microsoft.com/office/drawing/2014/chart" uri="{C3380CC4-5D6E-409C-BE32-E72D297353CC}">
              <c16:uniqueId val="{00000002-AC56-4F60-AE7B-84D4A80C0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2215280"/>
        <c:axId val="1"/>
      </c:barChart>
      <c:catAx>
        <c:axId val="1222215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  <a:r>
                  <a:rPr lang="en-US" baseline="0"/>
                  <a:t> %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2222152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Tenability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'Z line boars manual'!$A$91</c:f>
              <c:strCache>
                <c:ptCount val="1"/>
                <c:pt idx="0">
                  <c:v>Tenability - Day 1</c:v>
                </c:pt>
              </c:strCache>
            </c:strRef>
          </c:tx>
          <c:invertIfNegative val="0"/>
          <c:val>
            <c:numRef>
              <c:f>'Z line boars manual'!$B$91:$BA$91</c:f>
              <c:numCache>
                <c:formatCode>General</c:formatCode>
                <c:ptCount val="52"/>
              </c:numCache>
            </c:numRef>
          </c:val>
          <c:extLst>
            <c:ext xmlns:c16="http://schemas.microsoft.com/office/drawing/2014/chart" uri="{C3380CC4-5D6E-409C-BE32-E72D297353CC}">
              <c16:uniqueId val="{00000000-9159-4BA7-A56B-92C53F06ED82}"/>
            </c:ext>
          </c:extLst>
        </c:ser>
        <c:ser>
          <c:idx val="1"/>
          <c:order val="1"/>
          <c:tx>
            <c:strRef>
              <c:f>'Z line boars manual'!$A$92</c:f>
              <c:strCache>
                <c:ptCount val="1"/>
                <c:pt idx="0">
                  <c:v>tenability - Day 2</c:v>
                </c:pt>
              </c:strCache>
            </c:strRef>
          </c:tx>
          <c:invertIfNegative val="0"/>
          <c:val>
            <c:numRef>
              <c:f>'Z line boars manual'!$B$92:$BA$92</c:f>
              <c:numCache>
                <c:formatCode>General</c:formatCode>
                <c:ptCount val="52"/>
              </c:numCache>
            </c:numRef>
          </c:val>
          <c:extLst>
            <c:ext xmlns:c16="http://schemas.microsoft.com/office/drawing/2014/chart" uri="{C3380CC4-5D6E-409C-BE32-E72D297353CC}">
              <c16:uniqueId val="{00000001-9159-4BA7-A56B-92C53F06ED82}"/>
            </c:ext>
          </c:extLst>
        </c:ser>
        <c:ser>
          <c:idx val="2"/>
          <c:order val="2"/>
          <c:tx>
            <c:strRef>
              <c:f>'Z line boars manual'!$A$93</c:f>
              <c:strCache>
                <c:ptCount val="1"/>
                <c:pt idx="0">
                  <c:v>tenability - Day 3</c:v>
                </c:pt>
              </c:strCache>
            </c:strRef>
          </c:tx>
          <c:invertIfNegative val="0"/>
          <c:val>
            <c:numRef>
              <c:f>'Z line boars manual'!$B$93:$BA$93</c:f>
              <c:numCache>
                <c:formatCode>General</c:formatCode>
                <c:ptCount val="52"/>
              </c:numCache>
            </c:numRef>
          </c:val>
          <c:extLst>
            <c:ext xmlns:c16="http://schemas.microsoft.com/office/drawing/2014/chart" uri="{C3380CC4-5D6E-409C-BE32-E72D297353CC}">
              <c16:uniqueId val="{00000002-9159-4BA7-A56B-92C53F06E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2215280"/>
        <c:axId val="1"/>
      </c:barChart>
      <c:catAx>
        <c:axId val="1222215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  <a:r>
                  <a:rPr lang="en-US" baseline="0"/>
                  <a:t> %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2222152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Tenability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'Z line boars manual'!$A$107</c:f>
              <c:strCache>
                <c:ptCount val="1"/>
                <c:pt idx="0">
                  <c:v>Tenability - Day 1</c:v>
                </c:pt>
              </c:strCache>
            </c:strRef>
          </c:tx>
          <c:invertIfNegative val="0"/>
          <c:val>
            <c:numRef>
              <c:f>'Z line boars manual'!$B$107:$BA$107</c:f>
              <c:numCache>
                <c:formatCode>General</c:formatCode>
                <c:ptCount val="52"/>
              </c:numCache>
            </c:numRef>
          </c:val>
          <c:extLst>
            <c:ext xmlns:c16="http://schemas.microsoft.com/office/drawing/2014/chart" uri="{C3380CC4-5D6E-409C-BE32-E72D297353CC}">
              <c16:uniqueId val="{00000000-0E89-4827-B18B-3EB35FB6E820}"/>
            </c:ext>
          </c:extLst>
        </c:ser>
        <c:ser>
          <c:idx val="1"/>
          <c:order val="1"/>
          <c:tx>
            <c:strRef>
              <c:f>'Z line boars manual'!$A$108</c:f>
              <c:strCache>
                <c:ptCount val="1"/>
                <c:pt idx="0">
                  <c:v>tenability - Day 2</c:v>
                </c:pt>
              </c:strCache>
            </c:strRef>
          </c:tx>
          <c:invertIfNegative val="0"/>
          <c:val>
            <c:numRef>
              <c:f>'Z line boars manual'!$B$108:$BA$108</c:f>
              <c:numCache>
                <c:formatCode>General</c:formatCode>
                <c:ptCount val="52"/>
              </c:numCache>
            </c:numRef>
          </c:val>
          <c:extLst>
            <c:ext xmlns:c16="http://schemas.microsoft.com/office/drawing/2014/chart" uri="{C3380CC4-5D6E-409C-BE32-E72D297353CC}">
              <c16:uniqueId val="{00000001-0E89-4827-B18B-3EB35FB6E820}"/>
            </c:ext>
          </c:extLst>
        </c:ser>
        <c:ser>
          <c:idx val="2"/>
          <c:order val="2"/>
          <c:tx>
            <c:strRef>
              <c:f>'Z line boars manual'!$A$109</c:f>
              <c:strCache>
                <c:ptCount val="1"/>
                <c:pt idx="0">
                  <c:v>tenability - Day 3</c:v>
                </c:pt>
              </c:strCache>
            </c:strRef>
          </c:tx>
          <c:invertIfNegative val="0"/>
          <c:val>
            <c:numRef>
              <c:f>'Z line boars manual'!$B$109:$BA$109</c:f>
              <c:numCache>
                <c:formatCode>General</c:formatCode>
                <c:ptCount val="52"/>
              </c:numCache>
            </c:numRef>
          </c:val>
          <c:extLst>
            <c:ext xmlns:c16="http://schemas.microsoft.com/office/drawing/2014/chart" uri="{C3380CC4-5D6E-409C-BE32-E72D297353CC}">
              <c16:uniqueId val="{00000002-0E89-4827-B18B-3EB35FB6E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2215280"/>
        <c:axId val="1"/>
      </c:barChart>
      <c:catAx>
        <c:axId val="1222215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  <a:r>
                  <a:rPr lang="en-US" baseline="0"/>
                  <a:t> %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2222152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Raw</a:t>
            </a:r>
            <a:r>
              <a:rPr lang="en-US" baseline="0"/>
              <a:t> semen collected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2"/>
          <c:order val="0"/>
          <c:tx>
            <c:strRef>
              <c:f>Dashboard!$J$2</c:f>
              <c:strCache>
                <c:ptCount val="1"/>
                <c:pt idx="0">
                  <c:v>BLXA9988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Dashboard!$I$4:$I$7</c:f>
              <c:numCache>
                <c:formatCode>General</c:formatCode>
                <c:ptCount val="4"/>
                <c:pt idx="0">
                  <c:v>23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</c:numCache>
            </c:numRef>
          </c:cat>
          <c:val>
            <c:numRef>
              <c:f>Dashboard!$J$4:$J$7</c:f>
              <c:numCache>
                <c:formatCode>General</c:formatCode>
                <c:ptCount val="4"/>
                <c:pt idx="1">
                  <c:v>100</c:v>
                </c:pt>
                <c:pt idx="2">
                  <c:v>82</c:v>
                </c:pt>
                <c:pt idx="3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95-4ECC-82EA-BF872A8228AC}"/>
            </c:ext>
          </c:extLst>
        </c:ser>
        <c:ser>
          <c:idx val="3"/>
          <c:order val="1"/>
          <c:tx>
            <c:strRef>
              <c:f>Dashboard!$M$2</c:f>
              <c:strCache>
                <c:ptCount val="1"/>
                <c:pt idx="0">
                  <c:v>BLXB0011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Dashboard!$I$4:$I$7</c:f>
              <c:numCache>
                <c:formatCode>General</c:formatCode>
                <c:ptCount val="4"/>
                <c:pt idx="0">
                  <c:v>23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</c:numCache>
            </c:numRef>
          </c:cat>
          <c:val>
            <c:numRef>
              <c:f>Dashboard!$M$4:$M$7</c:f>
              <c:numCache>
                <c:formatCode>General</c:formatCode>
                <c:ptCount val="4"/>
                <c:pt idx="3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95-4ECC-82EA-BF872A8228AC}"/>
            </c:ext>
          </c:extLst>
        </c:ser>
        <c:ser>
          <c:idx val="4"/>
          <c:order val="2"/>
          <c:tx>
            <c:strRef>
              <c:f>Dashboard!$P$2</c:f>
              <c:strCache>
                <c:ptCount val="1"/>
                <c:pt idx="0">
                  <c:v>BLXB0234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Dashboard!$I$4:$I$7</c:f>
              <c:numCache>
                <c:formatCode>General</c:formatCode>
                <c:ptCount val="4"/>
                <c:pt idx="0">
                  <c:v>23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</c:numCache>
            </c:numRef>
          </c:cat>
          <c:val>
            <c:numRef>
              <c:f>Dashboard!$P$4:$P$7</c:f>
              <c:numCache>
                <c:formatCode>General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95-4ECC-82EA-BF872A8228AC}"/>
            </c:ext>
          </c:extLst>
        </c:ser>
        <c:ser>
          <c:idx val="0"/>
          <c:order val="3"/>
          <c:tx>
            <c:strRef>
              <c:f>Dashboard!$S$2</c:f>
              <c:strCache>
                <c:ptCount val="1"/>
                <c:pt idx="0">
                  <c:v>BLXB0349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Dashboard!$I$4:$I$7</c:f>
              <c:numCache>
                <c:formatCode>General</c:formatCode>
                <c:ptCount val="4"/>
                <c:pt idx="0">
                  <c:v>23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</c:numCache>
            </c:numRef>
          </c:cat>
          <c:val>
            <c:numRef>
              <c:f>Dashboard!$S$4:$S$7</c:f>
              <c:numCache>
                <c:formatCode>General</c:formatCode>
                <c:ptCount val="4"/>
                <c:pt idx="0">
                  <c:v>88</c:v>
                </c:pt>
                <c:pt idx="1">
                  <c:v>122</c:v>
                </c:pt>
                <c:pt idx="2">
                  <c:v>106</c:v>
                </c:pt>
                <c:pt idx="3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295-4ECC-82EA-BF872A822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8339375"/>
        <c:axId val="1028339855"/>
      </c:lineChart>
      <c:catAx>
        <c:axId val="1028339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339855"/>
        <c:crosses val="autoZero"/>
        <c:auto val="1"/>
        <c:lblAlgn val="ctr"/>
        <c:lblOffset val="100"/>
        <c:noMultiLvlLbl val="0"/>
      </c:catAx>
      <c:valAx>
        <c:axId val="102833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339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182880</xdr:colOff>
      <xdr:row>0</xdr:row>
      <xdr:rowOff>156210</xdr:rowOff>
    </xdr:from>
    <xdr:to>
      <xdr:col>63</xdr:col>
      <xdr:colOff>89535</xdr:colOff>
      <xdr:row>12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CC711D-93A8-40A2-867D-ED9F07DCB9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65</xdr:col>
      <xdr:colOff>34290</xdr:colOff>
      <xdr:row>0</xdr:row>
      <xdr:rowOff>81915</xdr:rowOff>
    </xdr:from>
    <xdr:to>
      <xdr:col>74</xdr:col>
      <xdr:colOff>120650</xdr:colOff>
      <xdr:row>11</xdr:row>
      <xdr:rowOff>22860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7CC6EF40-C72F-43E0-B638-8E03222B50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76</xdr:col>
      <xdr:colOff>0</xdr:colOff>
      <xdr:row>110</xdr:row>
      <xdr:rowOff>0</xdr:rowOff>
    </xdr:from>
    <xdr:to>
      <xdr:col>90</xdr:col>
      <xdr:colOff>26671</xdr:colOff>
      <xdr:row>110</xdr:row>
      <xdr:rowOff>49530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32CB87FC-30F1-4D77-90A5-024638BD21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91</xdr:col>
      <xdr:colOff>177800</xdr:colOff>
      <xdr:row>12</xdr:row>
      <xdr:rowOff>160020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95633703-0807-4D30-A291-AAFE0F5481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53</xdr:col>
      <xdr:colOff>213360</xdr:colOff>
      <xdr:row>15</xdr:row>
      <xdr:rowOff>175260</xdr:rowOff>
    </xdr:from>
    <xdr:to>
      <xdr:col>63</xdr:col>
      <xdr:colOff>120015</xdr:colOff>
      <xdr:row>29</xdr:row>
      <xdr:rowOff>163830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30C59F64-FD2C-4F0C-99EA-5F84DCCFE1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53</xdr:col>
      <xdr:colOff>236220</xdr:colOff>
      <xdr:row>32</xdr:row>
      <xdr:rowOff>175260</xdr:rowOff>
    </xdr:from>
    <xdr:to>
      <xdr:col>63</xdr:col>
      <xdr:colOff>142875</xdr:colOff>
      <xdr:row>46</xdr:row>
      <xdr:rowOff>163830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9A838C4C-420B-4AE3-92A4-FF49312C4F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53</xdr:col>
      <xdr:colOff>251460</xdr:colOff>
      <xdr:row>49</xdr:row>
      <xdr:rowOff>190500</xdr:rowOff>
    </xdr:from>
    <xdr:to>
      <xdr:col>63</xdr:col>
      <xdr:colOff>158115</xdr:colOff>
      <xdr:row>62</xdr:row>
      <xdr:rowOff>72390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FF74F641-1023-4F2C-AC29-1C1378863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53</xdr:col>
      <xdr:colOff>274320</xdr:colOff>
      <xdr:row>65</xdr:row>
      <xdr:rowOff>190500</xdr:rowOff>
    </xdr:from>
    <xdr:to>
      <xdr:col>63</xdr:col>
      <xdr:colOff>180975</xdr:colOff>
      <xdr:row>79</xdr:row>
      <xdr:rowOff>95250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806CE9D6-CDCA-4321-B75B-A9FED95556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53</xdr:col>
      <xdr:colOff>289560</xdr:colOff>
      <xdr:row>81</xdr:row>
      <xdr:rowOff>167640</xdr:rowOff>
    </xdr:from>
    <xdr:to>
      <xdr:col>63</xdr:col>
      <xdr:colOff>196215</xdr:colOff>
      <xdr:row>93</xdr:row>
      <xdr:rowOff>26670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F64BB707-62C8-49DA-80C6-F401738D0F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53</xdr:col>
      <xdr:colOff>251460</xdr:colOff>
      <xdr:row>96</xdr:row>
      <xdr:rowOff>121920</xdr:rowOff>
    </xdr:from>
    <xdr:to>
      <xdr:col>63</xdr:col>
      <xdr:colOff>304800</xdr:colOff>
      <xdr:row>110</xdr:row>
      <xdr:rowOff>26670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CB6D01BA-1354-4CF3-B348-70BB6EECCD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65</xdr:col>
      <xdr:colOff>22860</xdr:colOff>
      <xdr:row>15</xdr:row>
      <xdr:rowOff>83820</xdr:rowOff>
    </xdr:from>
    <xdr:to>
      <xdr:col>74</xdr:col>
      <xdr:colOff>109220</xdr:colOff>
      <xdr:row>29</xdr:row>
      <xdr:rowOff>106680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5EEA077F-E621-4EF1-9107-C13C471817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65</xdr:col>
      <xdr:colOff>60960</xdr:colOff>
      <xdr:row>32</xdr:row>
      <xdr:rowOff>129540</xdr:rowOff>
    </xdr:from>
    <xdr:to>
      <xdr:col>74</xdr:col>
      <xdr:colOff>147320</xdr:colOff>
      <xdr:row>45</xdr:row>
      <xdr:rowOff>55245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69B0A48D-6FDB-4B64-A1C8-A462C230BA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65</xdr:col>
      <xdr:colOff>114300</xdr:colOff>
      <xdr:row>49</xdr:row>
      <xdr:rowOff>144780</xdr:rowOff>
    </xdr:from>
    <xdr:to>
      <xdr:col>74</xdr:col>
      <xdr:colOff>200660</xdr:colOff>
      <xdr:row>60</xdr:row>
      <xdr:rowOff>154305</xdr:rowOff>
    </xdr:to>
    <xdr:graphicFrame macro="">
      <xdr:nvGraphicFramePr>
        <xdr:cNvPr id="14" name="Chart 1">
          <a:extLst>
            <a:ext uri="{FF2B5EF4-FFF2-40B4-BE49-F238E27FC236}">
              <a16:creationId xmlns:a16="http://schemas.microsoft.com/office/drawing/2014/main" id="{787C4F0B-E240-4963-A9BD-9ADBDF8EF4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65</xdr:col>
      <xdr:colOff>38100</xdr:colOff>
      <xdr:row>66</xdr:row>
      <xdr:rowOff>45720</xdr:rowOff>
    </xdr:from>
    <xdr:to>
      <xdr:col>74</xdr:col>
      <xdr:colOff>124460</xdr:colOff>
      <xdr:row>78</xdr:row>
      <xdr:rowOff>116205</xdr:rowOff>
    </xdr:to>
    <xdr:graphicFrame macro="">
      <xdr:nvGraphicFramePr>
        <xdr:cNvPr id="15" name="Chart 1">
          <a:extLst>
            <a:ext uri="{FF2B5EF4-FFF2-40B4-BE49-F238E27FC236}">
              <a16:creationId xmlns:a16="http://schemas.microsoft.com/office/drawing/2014/main" id="{47181EE9-E537-488C-8A3E-6E8A1A17A8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65</xdr:col>
      <xdr:colOff>0</xdr:colOff>
      <xdr:row>82</xdr:row>
      <xdr:rowOff>76200</xdr:rowOff>
    </xdr:from>
    <xdr:to>
      <xdr:col>74</xdr:col>
      <xdr:colOff>86360</xdr:colOff>
      <xdr:row>92</xdr:row>
      <xdr:rowOff>100965</xdr:rowOff>
    </xdr:to>
    <xdr:graphicFrame macro="">
      <xdr:nvGraphicFramePr>
        <xdr:cNvPr id="16" name="Chart 1">
          <a:extLst>
            <a:ext uri="{FF2B5EF4-FFF2-40B4-BE49-F238E27FC236}">
              <a16:creationId xmlns:a16="http://schemas.microsoft.com/office/drawing/2014/main" id="{79B1AF40-5244-46BE-B840-07D9C3A283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65</xdr:col>
      <xdr:colOff>0</xdr:colOff>
      <xdr:row>97</xdr:row>
      <xdr:rowOff>0</xdr:rowOff>
    </xdr:from>
    <xdr:to>
      <xdr:col>74</xdr:col>
      <xdr:colOff>86360</xdr:colOff>
      <xdr:row>109</xdr:row>
      <xdr:rowOff>24765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BF6EE693-9C0B-4A85-B90B-BD81C47EB5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76</xdr:col>
      <xdr:colOff>0</xdr:colOff>
      <xdr:row>17</xdr:row>
      <xdr:rowOff>0</xdr:rowOff>
    </xdr:from>
    <xdr:to>
      <xdr:col>91</xdr:col>
      <xdr:colOff>177800</xdr:colOff>
      <xdr:row>30</xdr:row>
      <xdr:rowOff>144780</xdr:rowOff>
    </xdr:to>
    <xdr:graphicFrame macro="">
      <xdr:nvGraphicFramePr>
        <xdr:cNvPr id="18" name="Chart 1">
          <a:extLst>
            <a:ext uri="{FF2B5EF4-FFF2-40B4-BE49-F238E27FC236}">
              <a16:creationId xmlns:a16="http://schemas.microsoft.com/office/drawing/2014/main" id="{E6652574-1844-43A2-AD1A-CE5D97C92E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76</xdr:col>
      <xdr:colOff>0</xdr:colOff>
      <xdr:row>33</xdr:row>
      <xdr:rowOff>0</xdr:rowOff>
    </xdr:from>
    <xdr:to>
      <xdr:col>91</xdr:col>
      <xdr:colOff>177800</xdr:colOff>
      <xdr:row>46</xdr:row>
      <xdr:rowOff>144780</xdr:rowOff>
    </xdr:to>
    <xdr:graphicFrame macro="">
      <xdr:nvGraphicFramePr>
        <xdr:cNvPr id="19" name="Chart 1">
          <a:extLst>
            <a:ext uri="{FF2B5EF4-FFF2-40B4-BE49-F238E27FC236}">
              <a16:creationId xmlns:a16="http://schemas.microsoft.com/office/drawing/2014/main" id="{5458C007-CC49-4B14-9769-8097092C22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76</xdr:col>
      <xdr:colOff>0</xdr:colOff>
      <xdr:row>49</xdr:row>
      <xdr:rowOff>0</xdr:rowOff>
    </xdr:from>
    <xdr:to>
      <xdr:col>91</xdr:col>
      <xdr:colOff>177800</xdr:colOff>
      <xdr:row>61</xdr:row>
      <xdr:rowOff>38100</xdr:rowOff>
    </xdr:to>
    <xdr:graphicFrame macro="">
      <xdr:nvGraphicFramePr>
        <xdr:cNvPr id="20" name="Chart 1">
          <a:extLst>
            <a:ext uri="{FF2B5EF4-FFF2-40B4-BE49-F238E27FC236}">
              <a16:creationId xmlns:a16="http://schemas.microsoft.com/office/drawing/2014/main" id="{2B7E5E0A-4631-40E0-80B5-3A2D96ADC7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76</xdr:col>
      <xdr:colOff>0</xdr:colOff>
      <xdr:row>65</xdr:row>
      <xdr:rowOff>0</xdr:rowOff>
    </xdr:from>
    <xdr:to>
      <xdr:col>91</xdr:col>
      <xdr:colOff>177800</xdr:colOff>
      <xdr:row>78</xdr:row>
      <xdr:rowOff>60960</xdr:rowOff>
    </xdr:to>
    <xdr:graphicFrame macro="">
      <xdr:nvGraphicFramePr>
        <xdr:cNvPr id="21" name="Chart 1">
          <a:extLst>
            <a:ext uri="{FF2B5EF4-FFF2-40B4-BE49-F238E27FC236}">
              <a16:creationId xmlns:a16="http://schemas.microsoft.com/office/drawing/2014/main" id="{54A26007-7C10-4A03-872A-D73BADDD21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76</xdr:col>
      <xdr:colOff>0</xdr:colOff>
      <xdr:row>81</xdr:row>
      <xdr:rowOff>0</xdr:rowOff>
    </xdr:from>
    <xdr:to>
      <xdr:col>91</xdr:col>
      <xdr:colOff>177800</xdr:colOff>
      <xdr:row>92</xdr:row>
      <xdr:rowOff>15240</xdr:rowOff>
    </xdr:to>
    <xdr:graphicFrame macro="">
      <xdr:nvGraphicFramePr>
        <xdr:cNvPr id="22" name="Chart 1">
          <a:extLst>
            <a:ext uri="{FF2B5EF4-FFF2-40B4-BE49-F238E27FC236}">
              <a16:creationId xmlns:a16="http://schemas.microsoft.com/office/drawing/2014/main" id="{EE341D5D-82D9-4A6E-9221-F7CCA23AA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76</xdr:col>
      <xdr:colOff>0</xdr:colOff>
      <xdr:row>97</xdr:row>
      <xdr:rowOff>0</xdr:rowOff>
    </xdr:from>
    <xdr:to>
      <xdr:col>91</xdr:col>
      <xdr:colOff>177800</xdr:colOff>
      <xdr:row>110</xdr:row>
      <xdr:rowOff>60960</xdr:rowOff>
    </xdr:to>
    <xdr:graphicFrame macro="">
      <xdr:nvGraphicFramePr>
        <xdr:cNvPr id="23" name="Chart 1">
          <a:extLst>
            <a:ext uri="{FF2B5EF4-FFF2-40B4-BE49-F238E27FC236}">
              <a16:creationId xmlns:a16="http://schemas.microsoft.com/office/drawing/2014/main" id="{815D81FA-2299-49F1-AAE5-0C31F90356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358140</xdr:colOff>
      <xdr:row>9</xdr:row>
      <xdr:rowOff>156210</xdr:rowOff>
    </xdr:from>
    <xdr:to>
      <xdr:col>17</xdr:col>
      <xdr:colOff>411480</xdr:colOff>
      <xdr:row>26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3E51DA-34BE-3429-0AD3-E8EC4F7E2D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80D2D-06AE-4F87-93A7-181674B3E0C6}">
  <dimension ref="A1:O31"/>
  <sheetViews>
    <sheetView workbookViewId="0">
      <selection activeCell="D1" sqref="D1:E1048576"/>
    </sheetView>
  </sheetViews>
  <sheetFormatPr defaultColWidth="9" defaultRowHeight="14.45"/>
  <cols>
    <col min="1" max="1" width="11.5703125" style="3" customWidth="1"/>
    <col min="2" max="3" width="10.5703125" style="3" customWidth="1"/>
    <col min="4" max="5" width="10.42578125" style="3" customWidth="1"/>
    <col min="6" max="6" width="12.85546875" style="40" customWidth="1"/>
    <col min="7" max="8" width="12.85546875" style="3" customWidth="1"/>
    <col min="9" max="9" width="15.85546875" style="3" customWidth="1"/>
    <col min="10" max="10" width="11.7109375" style="3" customWidth="1"/>
    <col min="11" max="11" width="14" style="3" customWidth="1"/>
    <col min="12" max="12" width="11.7109375" style="3" customWidth="1"/>
    <col min="13" max="13" width="9" style="3"/>
    <col min="14" max="14" width="4.140625" style="3" customWidth="1"/>
    <col min="15" max="15" width="17.140625" style="3" customWidth="1"/>
    <col min="16" max="16384" width="9" style="3"/>
  </cols>
  <sheetData>
    <row r="1" spans="1:15" ht="64.150000000000006" customHeight="1">
      <c r="A1" s="94" t="s">
        <v>0</v>
      </c>
      <c r="B1" s="96" t="s">
        <v>1</v>
      </c>
      <c r="C1" s="96" t="s">
        <v>2</v>
      </c>
      <c r="D1" s="1" t="s">
        <v>3</v>
      </c>
      <c r="E1" s="1" t="s">
        <v>4</v>
      </c>
      <c r="F1" s="98" t="s">
        <v>5</v>
      </c>
      <c r="G1" s="98" t="s">
        <v>6</v>
      </c>
      <c r="H1" s="100" t="s">
        <v>7</v>
      </c>
      <c r="I1" s="98" t="s">
        <v>8</v>
      </c>
      <c r="J1" s="102" t="s">
        <v>9</v>
      </c>
      <c r="K1" s="104" t="s">
        <v>10</v>
      </c>
      <c r="L1" s="92" t="s">
        <v>11</v>
      </c>
      <c r="M1" s="2"/>
    </row>
    <row r="2" spans="1:15" ht="19.899999999999999" customHeight="1" thickBot="1">
      <c r="A2" s="95"/>
      <c r="B2" s="97"/>
      <c r="C2" s="97"/>
      <c r="D2" s="4"/>
      <c r="E2" s="4"/>
      <c r="F2" s="99"/>
      <c r="G2" s="99"/>
      <c r="H2" s="101"/>
      <c r="I2" s="99"/>
      <c r="J2" s="103"/>
      <c r="K2" s="105"/>
      <c r="L2" s="93"/>
      <c r="M2" s="2"/>
      <c r="O2" s="5">
        <f ca="1">TODAY()</f>
        <v>46253</v>
      </c>
    </row>
    <row r="3" spans="1:15">
      <c r="A3" s="6"/>
      <c r="B3" s="7" t="s">
        <v>12</v>
      </c>
      <c r="C3" s="8">
        <v>119</v>
      </c>
      <c r="D3" s="9">
        <v>45936</v>
      </c>
      <c r="E3" s="10">
        <f>($O$4-D3)</f>
        <v>230</v>
      </c>
      <c r="F3" s="11"/>
      <c r="G3" s="12"/>
      <c r="H3" s="13"/>
      <c r="I3" s="12"/>
      <c r="J3" s="14"/>
      <c r="K3" s="15"/>
      <c r="L3" s="16"/>
      <c r="M3" s="2"/>
    </row>
    <row r="4" spans="1:15">
      <c r="A4" s="17"/>
      <c r="B4" s="18" t="s">
        <v>13</v>
      </c>
      <c r="C4" s="18">
        <v>122</v>
      </c>
      <c r="D4" s="9">
        <v>45938</v>
      </c>
      <c r="E4" s="19">
        <f t="shared" ref="E4:E6" si="0">($O$4-D4)</f>
        <v>228</v>
      </c>
      <c r="F4" s="11"/>
      <c r="G4" s="12"/>
      <c r="H4" s="13"/>
      <c r="I4" s="12"/>
      <c r="J4" s="14"/>
      <c r="K4" s="15"/>
      <c r="L4" s="20"/>
      <c r="M4" s="2"/>
      <c r="O4" s="5">
        <v>46166</v>
      </c>
    </row>
    <row r="5" spans="1:15">
      <c r="A5" s="21"/>
      <c r="B5" s="18" t="s">
        <v>14</v>
      </c>
      <c r="C5" s="18">
        <v>145</v>
      </c>
      <c r="D5" s="9">
        <v>45960</v>
      </c>
      <c r="E5" s="22">
        <f t="shared" si="0"/>
        <v>206</v>
      </c>
      <c r="F5" s="11"/>
      <c r="G5" s="12"/>
      <c r="H5" s="13"/>
      <c r="I5" s="12"/>
      <c r="J5" s="14"/>
      <c r="K5" s="15"/>
      <c r="L5" s="20"/>
      <c r="M5" s="2"/>
    </row>
    <row r="6" spans="1:15">
      <c r="A6" s="21" t="s">
        <v>15</v>
      </c>
      <c r="B6" s="18" t="s">
        <v>16</v>
      </c>
      <c r="C6" s="18">
        <v>127</v>
      </c>
      <c r="D6" s="9">
        <v>45966</v>
      </c>
      <c r="E6" s="22">
        <f t="shared" si="0"/>
        <v>200</v>
      </c>
      <c r="F6" s="11">
        <v>88</v>
      </c>
      <c r="G6" s="12">
        <v>16</v>
      </c>
      <c r="H6" s="13"/>
      <c r="I6" s="12">
        <v>80</v>
      </c>
      <c r="J6" s="14"/>
      <c r="K6" s="15"/>
      <c r="L6" s="20"/>
      <c r="M6" s="2"/>
    </row>
    <row r="7" spans="1:15">
      <c r="A7" s="21"/>
      <c r="B7" s="18"/>
      <c r="C7" s="23"/>
      <c r="D7" s="24"/>
      <c r="E7" s="22"/>
      <c r="F7" s="25"/>
      <c r="G7" s="26"/>
      <c r="H7" s="13"/>
      <c r="I7" s="26"/>
      <c r="J7" s="14"/>
      <c r="K7" s="27"/>
      <c r="L7" s="28"/>
      <c r="M7" s="2"/>
    </row>
    <row r="8" spans="1:15">
      <c r="A8" s="21"/>
      <c r="B8" s="18"/>
      <c r="C8" s="23"/>
      <c r="D8" s="24"/>
      <c r="E8" s="22"/>
      <c r="F8" s="25"/>
      <c r="G8" s="26"/>
      <c r="H8" s="13"/>
      <c r="I8" s="26"/>
      <c r="J8" s="14"/>
      <c r="K8" s="27"/>
      <c r="L8" s="28"/>
      <c r="M8" s="2"/>
    </row>
    <row r="9" spans="1:15">
      <c r="A9" s="21"/>
      <c r="B9" s="18"/>
      <c r="C9" s="23"/>
      <c r="D9" s="24"/>
      <c r="E9" s="22"/>
      <c r="F9" s="25"/>
      <c r="G9" s="26"/>
      <c r="H9" s="13"/>
      <c r="I9" s="26"/>
      <c r="J9" s="14"/>
      <c r="K9" s="27"/>
      <c r="L9" s="28"/>
      <c r="M9" s="2"/>
    </row>
    <row r="10" spans="1:15">
      <c r="A10" s="21"/>
      <c r="B10" s="18"/>
      <c r="C10" s="23"/>
      <c r="D10" s="24"/>
      <c r="E10" s="22"/>
      <c r="F10" s="25"/>
      <c r="G10" s="26"/>
      <c r="H10" s="13"/>
      <c r="I10" s="26"/>
      <c r="J10" s="14"/>
      <c r="K10" s="27"/>
      <c r="L10" s="28"/>
      <c r="M10" s="2"/>
    </row>
    <row r="11" spans="1:15">
      <c r="A11" s="21"/>
      <c r="B11" s="18"/>
      <c r="C11" s="23"/>
      <c r="D11" s="24"/>
      <c r="E11" s="22"/>
      <c r="F11" s="25"/>
      <c r="G11" s="26"/>
      <c r="H11" s="13"/>
      <c r="I11" s="26"/>
      <c r="J11" s="14"/>
      <c r="K11" s="27"/>
      <c r="L11" s="28"/>
      <c r="M11" s="2"/>
    </row>
    <row r="12" spans="1:15">
      <c r="A12" s="21"/>
      <c r="B12" s="18"/>
      <c r="C12" s="23"/>
      <c r="D12" s="24"/>
      <c r="E12" s="22"/>
      <c r="F12" s="25"/>
      <c r="G12" s="26"/>
      <c r="H12" s="13"/>
      <c r="I12" s="26"/>
      <c r="J12" s="14"/>
      <c r="K12" s="27"/>
      <c r="L12" s="28"/>
      <c r="M12" s="2"/>
    </row>
    <row r="13" spans="1:15">
      <c r="A13" s="21"/>
      <c r="B13" s="18"/>
      <c r="C13" s="23"/>
      <c r="D13" s="24"/>
      <c r="E13" s="22"/>
      <c r="F13" s="25"/>
      <c r="G13" s="26"/>
      <c r="H13" s="13"/>
      <c r="I13" s="26"/>
      <c r="J13" s="14"/>
      <c r="K13" s="27"/>
      <c r="L13" s="28"/>
    </row>
    <row r="14" spans="1:15">
      <c r="A14" s="21"/>
      <c r="B14" s="18"/>
      <c r="C14" s="23"/>
      <c r="D14" s="24"/>
      <c r="E14" s="22"/>
      <c r="F14" s="25"/>
      <c r="G14" s="26"/>
      <c r="H14" s="13"/>
      <c r="I14" s="26"/>
      <c r="J14" s="14"/>
      <c r="K14" s="27"/>
      <c r="L14" s="28"/>
    </row>
    <row r="15" spans="1:15">
      <c r="A15" s="21"/>
      <c r="B15" s="18"/>
      <c r="C15" s="23"/>
      <c r="D15" s="24"/>
      <c r="E15" s="22"/>
      <c r="F15" s="25"/>
      <c r="G15" s="26"/>
      <c r="H15" s="13"/>
      <c r="I15" s="26"/>
      <c r="J15" s="14"/>
      <c r="K15" s="27"/>
      <c r="L15" s="28"/>
    </row>
    <row r="16" spans="1:15" ht="15" thickBot="1">
      <c r="A16" s="29"/>
      <c r="B16" s="30"/>
      <c r="C16" s="31"/>
      <c r="D16" s="32"/>
      <c r="E16" s="33"/>
      <c r="F16" s="34"/>
      <c r="G16" s="35"/>
      <c r="H16" s="36"/>
      <c r="I16" s="35"/>
      <c r="J16" s="37"/>
      <c r="K16" s="38"/>
      <c r="L16" s="39"/>
    </row>
    <row r="17" spans="2:10">
      <c r="B17" s="40"/>
      <c r="C17" s="40"/>
      <c r="F17" s="3"/>
    </row>
    <row r="18" spans="2:10">
      <c r="F18" s="3"/>
    </row>
    <row r="19" spans="2:10">
      <c r="F19" s="3"/>
    </row>
    <row r="20" spans="2:10">
      <c r="F20" s="3"/>
    </row>
    <row r="21" spans="2:10">
      <c r="F21" s="3"/>
    </row>
    <row r="22" spans="2:10">
      <c r="F22" s="3"/>
    </row>
    <row r="23" spans="2:10">
      <c r="B23" s="41" t="s">
        <v>17</v>
      </c>
      <c r="C23" s="41"/>
      <c r="F23" s="3"/>
    </row>
    <row r="24" spans="2:10">
      <c r="B24" s="42"/>
      <c r="C24" s="43" t="s">
        <v>18</v>
      </c>
      <c r="D24" s="40"/>
      <c r="E24" s="40"/>
      <c r="F24" s="3"/>
    </row>
    <row r="25" spans="2:10">
      <c r="F25" s="3"/>
    </row>
    <row r="28" spans="2:10">
      <c r="B28" s="44" t="s">
        <v>12</v>
      </c>
      <c r="C28" s="44" t="s">
        <v>12</v>
      </c>
      <c r="D28" s="44"/>
      <c r="E28" s="44"/>
      <c r="F28" s="45" t="s">
        <v>19</v>
      </c>
      <c r="G28" s="46">
        <v>45936</v>
      </c>
      <c r="H28" s="46">
        <v>46063</v>
      </c>
      <c r="I28" s="45">
        <v>127</v>
      </c>
      <c r="J28" s="44" t="s">
        <v>20</v>
      </c>
    </row>
    <row r="29" spans="2:10">
      <c r="B29" s="44" t="s">
        <v>13</v>
      </c>
      <c r="C29" s="44" t="s">
        <v>13</v>
      </c>
      <c r="D29" s="44"/>
      <c r="E29" s="44"/>
      <c r="F29" s="45" t="s">
        <v>19</v>
      </c>
      <c r="G29" s="46">
        <v>45938</v>
      </c>
      <c r="H29" s="46">
        <v>46063</v>
      </c>
      <c r="I29" s="45">
        <v>125</v>
      </c>
      <c r="J29" s="44" t="s">
        <v>20</v>
      </c>
    </row>
    <row r="30" spans="2:10">
      <c r="B30" s="44" t="s">
        <v>14</v>
      </c>
      <c r="C30" s="44" t="s">
        <v>14</v>
      </c>
      <c r="D30" s="44"/>
      <c r="E30" s="44"/>
      <c r="F30" s="45" t="s">
        <v>19</v>
      </c>
      <c r="G30" s="46">
        <v>45960</v>
      </c>
      <c r="H30" s="46">
        <v>46063</v>
      </c>
      <c r="I30" s="45">
        <v>103</v>
      </c>
      <c r="J30" s="44" t="s">
        <v>20</v>
      </c>
    </row>
    <row r="31" spans="2:10">
      <c r="B31" s="44" t="s">
        <v>16</v>
      </c>
      <c r="C31" s="44" t="s">
        <v>16</v>
      </c>
      <c r="D31" s="44"/>
      <c r="E31" s="44"/>
      <c r="F31" s="45" t="s">
        <v>19</v>
      </c>
      <c r="G31" s="46">
        <v>45966</v>
      </c>
      <c r="H31" s="46">
        <v>46063</v>
      </c>
      <c r="I31" s="45">
        <v>97</v>
      </c>
      <c r="J31" s="44" t="s">
        <v>20</v>
      </c>
    </row>
  </sheetData>
  <mergeCells count="10">
    <mergeCell ref="L1:L2"/>
    <mergeCell ref="A1:A2"/>
    <mergeCell ref="B1:B2"/>
    <mergeCell ref="C1:C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B77F4-363B-46AB-B10D-28FD89D3CC60}">
  <dimension ref="A1:O31"/>
  <sheetViews>
    <sheetView workbookViewId="0">
      <selection activeCell="G20" sqref="G20"/>
    </sheetView>
  </sheetViews>
  <sheetFormatPr defaultColWidth="9" defaultRowHeight="14.45"/>
  <cols>
    <col min="1" max="1" width="11.5703125" style="3" customWidth="1"/>
    <col min="2" max="3" width="10.5703125" style="3" customWidth="1"/>
    <col min="4" max="5" width="10.42578125" style="3" customWidth="1"/>
    <col min="6" max="6" width="12.85546875" style="40" customWidth="1"/>
    <col min="7" max="8" width="12.85546875" style="3" customWidth="1"/>
    <col min="9" max="9" width="15.85546875" style="3" customWidth="1"/>
    <col min="10" max="10" width="11.7109375" style="3" customWidth="1"/>
    <col min="11" max="11" width="14" style="3" customWidth="1"/>
    <col min="12" max="12" width="11.7109375" style="3" customWidth="1"/>
    <col min="13" max="13" width="9" style="3"/>
    <col min="14" max="14" width="4.140625" style="3" customWidth="1"/>
    <col min="15" max="15" width="17.140625" style="3" customWidth="1"/>
    <col min="16" max="16384" width="9" style="3"/>
  </cols>
  <sheetData>
    <row r="1" spans="1:15" ht="64.150000000000006" customHeight="1">
      <c r="A1" s="94" t="s">
        <v>0</v>
      </c>
      <c r="B1" s="96" t="s">
        <v>1</v>
      </c>
      <c r="C1" s="96" t="s">
        <v>2</v>
      </c>
      <c r="D1" s="1" t="s">
        <v>3</v>
      </c>
      <c r="E1" s="1" t="s">
        <v>4</v>
      </c>
      <c r="F1" s="98" t="s">
        <v>5</v>
      </c>
      <c r="G1" s="98" t="s">
        <v>6</v>
      </c>
      <c r="H1" s="100" t="s">
        <v>7</v>
      </c>
      <c r="I1" s="98" t="s">
        <v>8</v>
      </c>
      <c r="J1" s="102" t="s">
        <v>9</v>
      </c>
      <c r="K1" s="104" t="s">
        <v>10</v>
      </c>
      <c r="L1" s="92" t="s">
        <v>11</v>
      </c>
      <c r="M1" s="2"/>
    </row>
    <row r="2" spans="1:15" ht="19.899999999999999" customHeight="1" thickBot="1">
      <c r="A2" s="95"/>
      <c r="B2" s="97"/>
      <c r="C2" s="97"/>
      <c r="D2" s="4"/>
      <c r="E2" s="4"/>
      <c r="F2" s="99"/>
      <c r="G2" s="99"/>
      <c r="H2" s="101"/>
      <c r="I2" s="99"/>
      <c r="J2" s="103"/>
      <c r="K2" s="105"/>
      <c r="L2" s="93"/>
      <c r="M2" s="2"/>
      <c r="O2" s="5">
        <f ca="1">TODAY()</f>
        <v>46253</v>
      </c>
    </row>
    <row r="3" spans="1:15">
      <c r="A3" s="6"/>
      <c r="B3" s="7" t="s">
        <v>12</v>
      </c>
      <c r="C3" s="8">
        <v>119</v>
      </c>
      <c r="D3" s="9">
        <v>45936</v>
      </c>
      <c r="E3" s="10">
        <f>($O$4-D3)</f>
        <v>238</v>
      </c>
      <c r="F3" s="11">
        <v>100</v>
      </c>
      <c r="G3" s="12">
        <v>15</v>
      </c>
      <c r="H3" s="13"/>
      <c r="I3" s="12">
        <v>79</v>
      </c>
      <c r="J3" s="14"/>
      <c r="K3" s="15"/>
      <c r="L3" s="16"/>
      <c r="M3" s="2"/>
    </row>
    <row r="4" spans="1:15">
      <c r="A4" s="17"/>
      <c r="B4" s="18" t="s">
        <v>13</v>
      </c>
      <c r="C4" s="18">
        <v>122</v>
      </c>
      <c r="D4" s="9">
        <v>45938</v>
      </c>
      <c r="E4" s="19">
        <f t="shared" ref="E4:E6" si="0">($O$4-D4)</f>
        <v>236</v>
      </c>
      <c r="F4" s="11"/>
      <c r="G4" s="12"/>
      <c r="H4" s="13"/>
      <c r="I4" s="12"/>
      <c r="J4" s="14"/>
      <c r="K4" s="15"/>
      <c r="L4" s="20"/>
      <c r="M4" s="2"/>
      <c r="O4" s="5">
        <v>46174</v>
      </c>
    </row>
    <row r="5" spans="1:15">
      <c r="A5" s="21"/>
      <c r="B5" s="18" t="s">
        <v>14</v>
      </c>
      <c r="C5" s="18">
        <v>145</v>
      </c>
      <c r="D5" s="9">
        <v>45960</v>
      </c>
      <c r="E5" s="22">
        <f t="shared" si="0"/>
        <v>214</v>
      </c>
      <c r="F5" s="11"/>
      <c r="G5" s="12"/>
      <c r="H5" s="13"/>
      <c r="I5" s="12"/>
      <c r="J5" s="14"/>
      <c r="K5" s="15"/>
      <c r="L5" s="20"/>
      <c r="M5" s="2"/>
    </row>
    <row r="6" spans="1:15">
      <c r="A6" s="21" t="s">
        <v>15</v>
      </c>
      <c r="B6" s="18" t="s">
        <v>16</v>
      </c>
      <c r="C6" s="18">
        <v>127</v>
      </c>
      <c r="D6" s="9">
        <v>45966</v>
      </c>
      <c r="E6" s="22">
        <f t="shared" si="0"/>
        <v>208</v>
      </c>
      <c r="F6" s="11">
        <v>122</v>
      </c>
      <c r="G6" s="12">
        <v>28</v>
      </c>
      <c r="H6" s="13"/>
      <c r="I6" s="12">
        <v>78</v>
      </c>
      <c r="J6" s="14"/>
      <c r="K6" s="15"/>
      <c r="L6" s="20"/>
      <c r="M6" s="2"/>
    </row>
    <row r="7" spans="1:15">
      <c r="A7" s="21"/>
      <c r="B7" s="18"/>
      <c r="C7" s="23"/>
      <c r="D7" s="24"/>
      <c r="E7" s="22"/>
      <c r="F7" s="25"/>
      <c r="G7" s="26"/>
      <c r="H7" s="13"/>
      <c r="I7" s="26"/>
      <c r="J7" s="14"/>
      <c r="K7" s="27"/>
      <c r="L7" s="28"/>
      <c r="M7" s="2"/>
    </row>
    <row r="8" spans="1:15">
      <c r="A8" s="21"/>
      <c r="B8" s="18"/>
      <c r="C8" s="23"/>
      <c r="D8" s="24"/>
      <c r="E8" s="22"/>
      <c r="F8" s="25"/>
      <c r="G8" s="26"/>
      <c r="H8" s="13"/>
      <c r="I8" s="26"/>
      <c r="J8" s="14"/>
      <c r="K8" s="27"/>
      <c r="L8" s="28"/>
      <c r="M8" s="2"/>
    </row>
    <row r="9" spans="1:15">
      <c r="A9" s="21"/>
      <c r="B9" s="18"/>
      <c r="C9" s="23"/>
      <c r="D9" s="24"/>
      <c r="E9" s="22"/>
      <c r="F9" s="25"/>
      <c r="G9" s="26"/>
      <c r="H9" s="13"/>
      <c r="I9" s="26"/>
      <c r="J9" s="14"/>
      <c r="K9" s="27"/>
      <c r="L9" s="28"/>
      <c r="M9" s="2"/>
    </row>
    <row r="10" spans="1:15">
      <c r="A10" s="21"/>
      <c r="B10" s="18"/>
      <c r="C10" s="23"/>
      <c r="D10" s="24"/>
      <c r="E10" s="22"/>
      <c r="F10" s="25"/>
      <c r="G10" s="26"/>
      <c r="H10" s="13"/>
      <c r="I10" s="26"/>
      <c r="J10" s="14"/>
      <c r="K10" s="27"/>
      <c r="L10" s="28"/>
      <c r="M10" s="2"/>
    </row>
    <row r="11" spans="1:15">
      <c r="A11" s="21"/>
      <c r="B11" s="18"/>
      <c r="C11" s="23"/>
      <c r="D11" s="24"/>
      <c r="E11" s="22"/>
      <c r="F11" s="25"/>
      <c r="G11" s="26"/>
      <c r="H11" s="13"/>
      <c r="I11" s="26"/>
      <c r="J11" s="14"/>
      <c r="K11" s="27"/>
      <c r="L11" s="28"/>
      <c r="M11" s="2"/>
    </row>
    <row r="12" spans="1:15">
      <c r="A12" s="21"/>
      <c r="B12" s="18"/>
      <c r="C12" s="23"/>
      <c r="D12" s="24"/>
      <c r="E12" s="22"/>
      <c r="F12" s="25"/>
      <c r="G12" s="26"/>
      <c r="H12" s="13"/>
      <c r="I12" s="26"/>
      <c r="J12" s="14"/>
      <c r="K12" s="27"/>
      <c r="L12" s="28"/>
      <c r="M12" s="2"/>
    </row>
    <row r="13" spans="1:15">
      <c r="A13" s="21"/>
      <c r="B13" s="18"/>
      <c r="C13" s="23"/>
      <c r="D13" s="24"/>
      <c r="E13" s="22"/>
      <c r="F13" s="25"/>
      <c r="G13" s="26"/>
      <c r="H13" s="13"/>
      <c r="I13" s="26"/>
      <c r="J13" s="14"/>
      <c r="K13" s="27"/>
      <c r="L13" s="28"/>
    </row>
    <row r="14" spans="1:15">
      <c r="A14" s="21"/>
      <c r="B14" s="18"/>
      <c r="C14" s="23"/>
      <c r="D14" s="24"/>
      <c r="E14" s="22"/>
      <c r="F14" s="25"/>
      <c r="G14" s="26"/>
      <c r="H14" s="13"/>
      <c r="I14" s="26"/>
      <c r="J14" s="14"/>
      <c r="K14" s="27"/>
      <c r="L14" s="28"/>
    </row>
    <row r="15" spans="1:15">
      <c r="A15" s="21"/>
      <c r="B15" s="18"/>
      <c r="C15" s="23"/>
      <c r="D15" s="24"/>
      <c r="E15" s="22"/>
      <c r="F15" s="25"/>
      <c r="G15" s="26"/>
      <c r="H15" s="13"/>
      <c r="I15" s="26"/>
      <c r="J15" s="14"/>
      <c r="K15" s="27"/>
      <c r="L15" s="28"/>
    </row>
    <row r="16" spans="1:15" ht="15" thickBot="1">
      <c r="A16" s="29"/>
      <c r="B16" s="30"/>
      <c r="C16" s="31"/>
      <c r="D16" s="32"/>
      <c r="E16" s="33"/>
      <c r="F16" s="34"/>
      <c r="G16" s="35"/>
      <c r="H16" s="36"/>
      <c r="I16" s="35"/>
      <c r="J16" s="37"/>
      <c r="K16" s="38"/>
      <c r="L16" s="39"/>
    </row>
    <row r="17" spans="2:10">
      <c r="B17" s="40"/>
      <c r="C17" s="40"/>
      <c r="F17" s="3"/>
    </row>
    <row r="18" spans="2:10">
      <c r="F18" s="3"/>
    </row>
    <row r="19" spans="2:10">
      <c r="F19" s="3"/>
    </row>
    <row r="20" spans="2:10">
      <c r="F20" s="3"/>
    </row>
    <row r="21" spans="2:10">
      <c r="F21" s="3"/>
    </row>
    <row r="22" spans="2:10">
      <c r="F22" s="3"/>
    </row>
    <row r="23" spans="2:10">
      <c r="B23" s="41" t="s">
        <v>17</v>
      </c>
      <c r="C23" s="41"/>
      <c r="F23" s="3"/>
    </row>
    <row r="24" spans="2:10">
      <c r="B24" s="42"/>
      <c r="C24" s="43" t="s">
        <v>18</v>
      </c>
      <c r="D24" s="40"/>
      <c r="E24" s="40"/>
      <c r="F24" s="3"/>
    </row>
    <row r="25" spans="2:10">
      <c r="F25" s="3"/>
    </row>
    <row r="28" spans="2:10">
      <c r="B28" s="44" t="s">
        <v>12</v>
      </c>
      <c r="C28" s="44" t="s">
        <v>12</v>
      </c>
      <c r="D28" s="44"/>
      <c r="E28" s="44"/>
      <c r="F28" s="45" t="s">
        <v>19</v>
      </c>
      <c r="G28" s="46">
        <v>45936</v>
      </c>
      <c r="H28" s="46">
        <v>46063</v>
      </c>
      <c r="I28" s="45">
        <v>127</v>
      </c>
      <c r="J28" s="44" t="s">
        <v>20</v>
      </c>
    </row>
    <row r="29" spans="2:10">
      <c r="B29" s="44" t="s">
        <v>13</v>
      </c>
      <c r="C29" s="44" t="s">
        <v>13</v>
      </c>
      <c r="D29" s="44"/>
      <c r="E29" s="44"/>
      <c r="F29" s="45" t="s">
        <v>19</v>
      </c>
      <c r="G29" s="46">
        <v>45938</v>
      </c>
      <c r="H29" s="46">
        <v>46063</v>
      </c>
      <c r="I29" s="45">
        <v>125</v>
      </c>
      <c r="J29" s="44" t="s">
        <v>20</v>
      </c>
    </row>
    <row r="30" spans="2:10">
      <c r="B30" s="44" t="s">
        <v>14</v>
      </c>
      <c r="C30" s="44" t="s">
        <v>14</v>
      </c>
      <c r="D30" s="44"/>
      <c r="E30" s="44"/>
      <c r="F30" s="45" t="s">
        <v>19</v>
      </c>
      <c r="G30" s="46">
        <v>45960</v>
      </c>
      <c r="H30" s="46">
        <v>46063</v>
      </c>
      <c r="I30" s="45">
        <v>103</v>
      </c>
      <c r="J30" s="44" t="s">
        <v>20</v>
      </c>
    </row>
    <row r="31" spans="2:10">
      <c r="B31" s="44" t="s">
        <v>16</v>
      </c>
      <c r="C31" s="44" t="s">
        <v>16</v>
      </c>
      <c r="D31" s="44"/>
      <c r="E31" s="44"/>
      <c r="F31" s="45" t="s">
        <v>19</v>
      </c>
      <c r="G31" s="46">
        <v>45966</v>
      </c>
      <c r="H31" s="46">
        <v>46063</v>
      </c>
      <c r="I31" s="45">
        <v>97</v>
      </c>
      <c r="J31" s="44" t="s">
        <v>20</v>
      </c>
    </row>
  </sheetData>
  <mergeCells count="10">
    <mergeCell ref="L1:L2"/>
    <mergeCell ref="A1:A2"/>
    <mergeCell ref="B1:B2"/>
    <mergeCell ref="C1:C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86B1A-50B2-42F2-AFD4-341823F59083}">
  <dimension ref="A1:O31"/>
  <sheetViews>
    <sheetView workbookViewId="0">
      <selection activeCell="F9" sqref="F9"/>
    </sheetView>
  </sheetViews>
  <sheetFormatPr defaultColWidth="9" defaultRowHeight="14.45"/>
  <cols>
    <col min="1" max="1" width="11.5703125" style="3" customWidth="1"/>
    <col min="2" max="3" width="10.5703125" style="3" customWidth="1"/>
    <col min="4" max="5" width="10.42578125" style="3" customWidth="1"/>
    <col min="6" max="6" width="12.85546875" style="40" customWidth="1"/>
    <col min="7" max="8" width="12.85546875" style="3" customWidth="1"/>
    <col min="9" max="9" width="15.85546875" style="3" customWidth="1"/>
    <col min="10" max="10" width="11.7109375" style="3" customWidth="1"/>
    <col min="11" max="11" width="14" style="3" customWidth="1"/>
    <col min="12" max="12" width="11.7109375" style="3" customWidth="1"/>
    <col min="13" max="13" width="9" style="3"/>
    <col min="14" max="14" width="4.140625" style="3" customWidth="1"/>
    <col min="15" max="15" width="17.140625" style="3" customWidth="1"/>
    <col min="16" max="16384" width="9" style="3"/>
  </cols>
  <sheetData>
    <row r="1" spans="1:15" ht="64.150000000000006" customHeight="1">
      <c r="A1" s="94" t="s">
        <v>0</v>
      </c>
      <c r="B1" s="96" t="s">
        <v>1</v>
      </c>
      <c r="C1" s="96" t="s">
        <v>2</v>
      </c>
      <c r="D1" s="1" t="s">
        <v>3</v>
      </c>
      <c r="E1" s="1" t="s">
        <v>4</v>
      </c>
      <c r="F1" s="98" t="s">
        <v>5</v>
      </c>
      <c r="G1" s="98" t="s">
        <v>6</v>
      </c>
      <c r="H1" s="100" t="s">
        <v>7</v>
      </c>
      <c r="I1" s="98" t="s">
        <v>8</v>
      </c>
      <c r="J1" s="102" t="s">
        <v>9</v>
      </c>
      <c r="K1" s="104" t="s">
        <v>10</v>
      </c>
      <c r="L1" s="92" t="s">
        <v>11</v>
      </c>
      <c r="M1" s="2"/>
    </row>
    <row r="2" spans="1:15" ht="19.899999999999999" customHeight="1" thickBot="1">
      <c r="A2" s="95"/>
      <c r="B2" s="97"/>
      <c r="C2" s="97"/>
      <c r="D2" s="4"/>
      <c r="E2" s="4"/>
      <c r="F2" s="99"/>
      <c r="G2" s="99"/>
      <c r="H2" s="101"/>
      <c r="I2" s="99"/>
      <c r="J2" s="103"/>
      <c r="K2" s="105"/>
      <c r="L2" s="93"/>
      <c r="M2" s="2"/>
      <c r="O2" s="5">
        <f ca="1">TODAY()</f>
        <v>46253</v>
      </c>
    </row>
    <row r="3" spans="1:15">
      <c r="A3" s="6" t="s">
        <v>21</v>
      </c>
      <c r="B3" s="7" t="s">
        <v>12</v>
      </c>
      <c r="C3" s="8">
        <v>119</v>
      </c>
      <c r="D3" s="83">
        <v>45936</v>
      </c>
      <c r="E3" s="10">
        <f>($O$4-D3)</f>
        <v>245</v>
      </c>
      <c r="F3" s="11">
        <v>82</v>
      </c>
      <c r="G3" s="12">
        <v>83</v>
      </c>
      <c r="H3" s="13"/>
      <c r="I3" s="12">
        <v>80</v>
      </c>
      <c r="J3" s="14"/>
      <c r="K3" s="15"/>
      <c r="L3" s="16"/>
      <c r="M3" s="2"/>
    </row>
    <row r="4" spans="1:15">
      <c r="A4" s="17"/>
      <c r="B4" s="18" t="s">
        <v>13</v>
      </c>
      <c r="C4" s="18">
        <v>122</v>
      </c>
      <c r="D4" s="84">
        <v>45938</v>
      </c>
      <c r="E4" s="19">
        <f t="shared" ref="E4:E6" si="0">($O$4-D4)</f>
        <v>243</v>
      </c>
      <c r="F4" s="11"/>
      <c r="G4" s="12"/>
      <c r="H4" s="13"/>
      <c r="I4" s="12"/>
      <c r="J4" s="14"/>
      <c r="K4" s="15"/>
      <c r="L4" s="20"/>
      <c r="M4" s="2"/>
      <c r="O4" s="5">
        <v>46181</v>
      </c>
    </row>
    <row r="5" spans="1:15">
      <c r="A5" s="21"/>
      <c r="B5" s="18" t="s">
        <v>14</v>
      </c>
      <c r="C5" s="18">
        <v>145</v>
      </c>
      <c r="D5" s="84">
        <v>45960</v>
      </c>
      <c r="E5" s="22">
        <f t="shared" si="0"/>
        <v>221</v>
      </c>
      <c r="F5" s="11"/>
      <c r="G5" s="12"/>
      <c r="H5" s="13"/>
      <c r="I5" s="12"/>
      <c r="J5" s="14"/>
      <c r="K5" s="15"/>
      <c r="L5" s="20"/>
      <c r="M5" s="2"/>
    </row>
    <row r="6" spans="1:15">
      <c r="A6" s="21" t="s">
        <v>15</v>
      </c>
      <c r="B6" s="18" t="s">
        <v>16</v>
      </c>
      <c r="C6" s="18">
        <v>127</v>
      </c>
      <c r="D6" s="84">
        <v>45966</v>
      </c>
      <c r="E6" s="22">
        <f t="shared" si="0"/>
        <v>215</v>
      </c>
      <c r="F6" s="11">
        <v>106</v>
      </c>
      <c r="G6" s="12">
        <v>42</v>
      </c>
      <c r="H6" s="13"/>
      <c r="I6" s="12">
        <v>78</v>
      </c>
      <c r="J6" s="14"/>
      <c r="K6" s="15"/>
      <c r="L6" s="20"/>
      <c r="M6" s="2"/>
    </row>
    <row r="7" spans="1:15">
      <c r="A7" s="21"/>
      <c r="B7" s="18"/>
      <c r="C7" s="23"/>
      <c r="D7" s="22"/>
      <c r="E7" s="22"/>
      <c r="F7" s="25"/>
      <c r="G7" s="26"/>
      <c r="H7" s="13"/>
      <c r="I7" s="26"/>
      <c r="J7" s="14"/>
      <c r="K7" s="27"/>
      <c r="L7" s="28"/>
      <c r="M7" s="2"/>
    </row>
    <row r="8" spans="1:15">
      <c r="A8" s="21"/>
      <c r="B8" s="18"/>
      <c r="C8" s="23"/>
      <c r="D8" s="22"/>
      <c r="E8" s="22"/>
      <c r="F8" s="25"/>
      <c r="G8" s="26"/>
      <c r="H8" s="13"/>
      <c r="I8" s="26"/>
      <c r="J8" s="14"/>
      <c r="K8" s="27"/>
      <c r="L8" s="28"/>
      <c r="M8" s="2"/>
    </row>
    <row r="9" spans="1:15">
      <c r="A9" s="21"/>
      <c r="B9" s="18"/>
      <c r="C9" s="23"/>
      <c r="D9" s="22"/>
      <c r="E9" s="22"/>
      <c r="F9" s="25"/>
      <c r="G9" s="26"/>
      <c r="H9" s="13"/>
      <c r="I9" s="26"/>
      <c r="J9" s="14"/>
      <c r="K9" s="27"/>
      <c r="L9" s="28"/>
      <c r="M9" s="2"/>
    </row>
    <row r="10" spans="1:15">
      <c r="A10" s="21"/>
      <c r="B10" s="18"/>
      <c r="C10" s="23"/>
      <c r="D10" s="22"/>
      <c r="E10" s="22"/>
      <c r="F10" s="25"/>
      <c r="G10" s="26"/>
      <c r="H10" s="13"/>
      <c r="I10" s="26"/>
      <c r="J10" s="14"/>
      <c r="K10" s="27"/>
      <c r="L10" s="28"/>
      <c r="M10" s="2"/>
    </row>
    <row r="11" spans="1:15">
      <c r="A11" s="21"/>
      <c r="B11" s="18"/>
      <c r="C11" s="23"/>
      <c r="D11" s="22"/>
      <c r="E11" s="22"/>
      <c r="F11" s="25"/>
      <c r="G11" s="26"/>
      <c r="H11" s="13"/>
      <c r="I11" s="26"/>
      <c r="J11" s="14"/>
      <c r="K11" s="27"/>
      <c r="L11" s="28"/>
      <c r="M11" s="2"/>
    </row>
    <row r="12" spans="1:15">
      <c r="A12" s="21"/>
      <c r="B12" s="18"/>
      <c r="C12" s="23"/>
      <c r="D12" s="22"/>
      <c r="E12" s="22"/>
      <c r="F12" s="25"/>
      <c r="G12" s="26"/>
      <c r="H12" s="13"/>
      <c r="I12" s="26"/>
      <c r="J12" s="14"/>
      <c r="K12" s="27"/>
      <c r="L12" s="28"/>
      <c r="M12" s="2"/>
    </row>
    <row r="13" spans="1:15">
      <c r="A13" s="21"/>
      <c r="B13" s="18"/>
      <c r="C13" s="23"/>
      <c r="D13" s="22"/>
      <c r="E13" s="22"/>
      <c r="F13" s="25"/>
      <c r="G13" s="26"/>
      <c r="H13" s="13"/>
      <c r="I13" s="26"/>
      <c r="J13" s="14"/>
      <c r="K13" s="27"/>
      <c r="L13" s="28"/>
    </row>
    <row r="14" spans="1:15">
      <c r="A14" s="21"/>
      <c r="B14" s="18"/>
      <c r="C14" s="23"/>
      <c r="D14" s="22"/>
      <c r="E14" s="22"/>
      <c r="F14" s="25"/>
      <c r="G14" s="26"/>
      <c r="H14" s="13"/>
      <c r="I14" s="26"/>
      <c r="J14" s="14"/>
      <c r="K14" s="27"/>
      <c r="L14" s="28"/>
    </row>
    <row r="15" spans="1:15">
      <c r="A15" s="21"/>
      <c r="B15" s="18"/>
      <c r="C15" s="23"/>
      <c r="D15" s="22"/>
      <c r="E15" s="22"/>
      <c r="F15" s="25"/>
      <c r="G15" s="26"/>
      <c r="H15" s="13"/>
      <c r="I15" s="26"/>
      <c r="J15" s="14"/>
      <c r="K15" s="27"/>
      <c r="L15" s="28"/>
    </row>
    <row r="16" spans="1:15" ht="15" thickBot="1">
      <c r="A16" s="29"/>
      <c r="B16" s="30"/>
      <c r="C16" s="31"/>
      <c r="D16" s="33"/>
      <c r="E16" s="33"/>
      <c r="F16" s="34"/>
      <c r="G16" s="35"/>
      <c r="H16" s="36"/>
      <c r="I16" s="35"/>
      <c r="J16" s="37"/>
      <c r="K16" s="38"/>
      <c r="L16" s="39"/>
    </row>
    <row r="17" spans="2:10">
      <c r="B17" s="40"/>
      <c r="C17" s="40"/>
      <c r="F17" s="3"/>
    </row>
    <row r="18" spans="2:10">
      <c r="F18" s="3"/>
    </row>
    <row r="19" spans="2:10">
      <c r="F19" s="3"/>
    </row>
    <row r="20" spans="2:10">
      <c r="F20" s="3"/>
    </row>
    <row r="21" spans="2:10">
      <c r="F21" s="3"/>
    </row>
    <row r="22" spans="2:10">
      <c r="F22" s="3"/>
    </row>
    <row r="23" spans="2:10">
      <c r="B23" s="41" t="s">
        <v>17</v>
      </c>
      <c r="C23" s="41"/>
      <c r="F23" s="3"/>
    </row>
    <row r="24" spans="2:10">
      <c r="B24" s="42"/>
      <c r="C24" s="43" t="s">
        <v>18</v>
      </c>
      <c r="D24" s="40"/>
      <c r="E24" s="40"/>
      <c r="F24" s="3"/>
    </row>
    <row r="25" spans="2:10">
      <c r="F25" s="3"/>
    </row>
    <row r="28" spans="2:10">
      <c r="B28" s="44" t="s">
        <v>12</v>
      </c>
      <c r="C28" s="44" t="s">
        <v>12</v>
      </c>
      <c r="D28" s="44"/>
      <c r="E28" s="44"/>
      <c r="F28" s="45" t="s">
        <v>19</v>
      </c>
      <c r="G28" s="46">
        <v>45936</v>
      </c>
      <c r="H28" s="46">
        <v>46063</v>
      </c>
      <c r="I28" s="45">
        <v>127</v>
      </c>
      <c r="J28" s="44" t="s">
        <v>20</v>
      </c>
    </row>
    <row r="29" spans="2:10">
      <c r="B29" s="44" t="s">
        <v>13</v>
      </c>
      <c r="C29" s="44" t="s">
        <v>13</v>
      </c>
      <c r="D29" s="44"/>
      <c r="E29" s="44"/>
      <c r="F29" s="45" t="s">
        <v>19</v>
      </c>
      <c r="G29" s="46">
        <v>45938</v>
      </c>
      <c r="H29" s="46">
        <v>46063</v>
      </c>
      <c r="I29" s="45">
        <v>125</v>
      </c>
      <c r="J29" s="44" t="s">
        <v>20</v>
      </c>
    </row>
    <row r="30" spans="2:10">
      <c r="B30" s="44" t="s">
        <v>14</v>
      </c>
      <c r="C30" s="44" t="s">
        <v>14</v>
      </c>
      <c r="D30" s="44"/>
      <c r="E30" s="44"/>
      <c r="F30" s="45" t="s">
        <v>19</v>
      </c>
      <c r="G30" s="46">
        <v>45960</v>
      </c>
      <c r="H30" s="46">
        <v>46063</v>
      </c>
      <c r="I30" s="45">
        <v>103</v>
      </c>
      <c r="J30" s="44" t="s">
        <v>20</v>
      </c>
    </row>
    <row r="31" spans="2:10">
      <c r="B31" s="44" t="s">
        <v>16</v>
      </c>
      <c r="C31" s="44" t="s">
        <v>16</v>
      </c>
      <c r="D31" s="44"/>
      <c r="E31" s="44"/>
      <c r="F31" s="45" t="s">
        <v>19</v>
      </c>
      <c r="G31" s="46">
        <v>45966</v>
      </c>
      <c r="H31" s="46">
        <v>46063</v>
      </c>
      <c r="I31" s="45">
        <v>97</v>
      </c>
      <c r="J31" s="44" t="s">
        <v>20</v>
      </c>
    </row>
  </sheetData>
  <mergeCells count="10">
    <mergeCell ref="L1:L2"/>
    <mergeCell ref="A1:A2"/>
    <mergeCell ref="B1:B2"/>
    <mergeCell ref="C1:C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C0CF3-34A5-4E7F-886A-6CF053699960}">
  <dimension ref="A1:O31"/>
  <sheetViews>
    <sheetView workbookViewId="0">
      <selection activeCell="F10" sqref="F10"/>
    </sheetView>
  </sheetViews>
  <sheetFormatPr defaultColWidth="9" defaultRowHeight="14.45"/>
  <cols>
    <col min="1" max="1" width="11.5703125" style="3" customWidth="1"/>
    <col min="2" max="3" width="10.5703125" style="3" customWidth="1"/>
    <col min="4" max="5" width="10.42578125" style="3" customWidth="1"/>
    <col min="6" max="6" width="12.85546875" style="40" customWidth="1"/>
    <col min="7" max="8" width="12.85546875" style="3" customWidth="1"/>
    <col min="9" max="9" width="15.85546875" style="3" customWidth="1"/>
    <col min="10" max="10" width="11.7109375" style="3" customWidth="1"/>
    <col min="11" max="11" width="14" style="3" customWidth="1"/>
    <col min="12" max="12" width="11.7109375" style="3" customWidth="1"/>
    <col min="13" max="13" width="9" style="3"/>
    <col min="14" max="14" width="4.140625" style="3" customWidth="1"/>
    <col min="15" max="15" width="11.7109375" style="3" customWidth="1"/>
    <col min="16" max="16384" width="9" style="3"/>
  </cols>
  <sheetData>
    <row r="1" spans="1:15" ht="64.150000000000006" customHeight="1">
      <c r="A1" s="94" t="s">
        <v>0</v>
      </c>
      <c r="B1" s="96" t="s">
        <v>1</v>
      </c>
      <c r="C1" s="106" t="s">
        <v>2</v>
      </c>
      <c r="D1" s="89" t="s">
        <v>3</v>
      </c>
      <c r="E1" s="1" t="s">
        <v>4</v>
      </c>
      <c r="F1" s="98" t="s">
        <v>5</v>
      </c>
      <c r="G1" s="98" t="s">
        <v>6</v>
      </c>
      <c r="H1" s="100" t="s">
        <v>7</v>
      </c>
      <c r="I1" s="98" t="s">
        <v>8</v>
      </c>
      <c r="J1" s="102" t="s">
        <v>9</v>
      </c>
      <c r="K1" s="104" t="s">
        <v>10</v>
      </c>
      <c r="L1" s="92" t="s">
        <v>11</v>
      </c>
      <c r="M1" s="2"/>
    </row>
    <row r="2" spans="1:15" ht="19.899999999999999" customHeight="1" thickBot="1">
      <c r="A2" s="95"/>
      <c r="B2" s="97"/>
      <c r="C2" s="107"/>
      <c r="D2" s="90"/>
      <c r="E2" s="4"/>
      <c r="F2" s="99"/>
      <c r="G2" s="99"/>
      <c r="H2" s="101"/>
      <c r="I2" s="99"/>
      <c r="J2" s="103"/>
      <c r="K2" s="105"/>
      <c r="L2" s="93"/>
      <c r="M2" s="2"/>
      <c r="O2" s="5">
        <f ca="1">TODAY()</f>
        <v>46253</v>
      </c>
    </row>
    <row r="3" spans="1:15">
      <c r="A3" s="6" t="s">
        <v>21</v>
      </c>
      <c r="B3" s="7" t="s">
        <v>12</v>
      </c>
      <c r="C3" s="8">
        <v>119</v>
      </c>
      <c r="D3" s="84">
        <v>45936</v>
      </c>
      <c r="E3" s="85">
        <f>($O$4-D3)</f>
        <v>252</v>
      </c>
      <c r="F3" s="11">
        <v>54</v>
      </c>
      <c r="G3" s="12">
        <v>18</v>
      </c>
      <c r="H3" s="13">
        <f>RANK(G3,$G$3:$G$6)+COUNTIF($G$3:G3,G3)-1</f>
        <v>3</v>
      </c>
      <c r="I3" s="12">
        <v>82</v>
      </c>
      <c r="J3" s="14">
        <f>RANK(I3,$I$3:$I$16)+COUNTIF($I$3:I3,I3)-1</f>
        <v>1</v>
      </c>
      <c r="K3" s="15" t="e">
        <f>(#REF!+J3)/2</f>
        <v>#REF!</v>
      </c>
      <c r="L3" s="16" t="e">
        <f>RANK(K3,$K$3:$K$16,1)+COUNTIF($K$3:K3,K3)-1</f>
        <v>#REF!</v>
      </c>
      <c r="M3" s="2"/>
    </row>
    <row r="4" spans="1:15">
      <c r="A4" s="17" t="s">
        <v>21</v>
      </c>
      <c r="B4" s="18" t="s">
        <v>13</v>
      </c>
      <c r="C4" s="18">
        <v>122</v>
      </c>
      <c r="D4" s="84">
        <v>45938</v>
      </c>
      <c r="E4" s="86">
        <f t="shared" ref="E4:E6" si="0">($O$4-D4)</f>
        <v>250</v>
      </c>
      <c r="F4" s="11">
        <v>150</v>
      </c>
      <c r="G4" s="12">
        <v>20</v>
      </c>
      <c r="H4" s="13">
        <f>RANK(G4,$G$3:$G$6)+COUNTIF($G$3:G4,G4)-1</f>
        <v>2</v>
      </c>
      <c r="I4" s="12">
        <v>80</v>
      </c>
      <c r="J4" s="14">
        <f>RANK(I4,$I$3:$I$16)+COUNTIF($I$3:I4,I4)-1</f>
        <v>2</v>
      </c>
      <c r="K4" s="15" t="e">
        <f>(#REF!+J4)/2</f>
        <v>#REF!</v>
      </c>
      <c r="L4" s="20" t="e">
        <f>RANK(K4,$K$3:$K$16,1)+COUNTIF($K$3:K4,K4)-1</f>
        <v>#REF!</v>
      </c>
      <c r="M4" s="2"/>
      <c r="O4" s="5">
        <v>46188</v>
      </c>
    </row>
    <row r="5" spans="1:15">
      <c r="A5" s="21"/>
      <c r="B5" s="18" t="s">
        <v>14</v>
      </c>
      <c r="C5" s="18">
        <v>145</v>
      </c>
      <c r="D5" s="84">
        <v>45960</v>
      </c>
      <c r="E5" s="87">
        <f t="shared" si="0"/>
        <v>228</v>
      </c>
      <c r="F5" s="11">
        <v>0</v>
      </c>
      <c r="G5" s="12">
        <v>0</v>
      </c>
      <c r="H5" s="13">
        <f>RANK(G5,$G$3:$G$6)+COUNTIF($G$3:G5,G5)-1</f>
        <v>4</v>
      </c>
      <c r="I5" s="12">
        <v>0</v>
      </c>
      <c r="J5" s="14">
        <f>RANK(I5,$I$3:$I$16)+COUNTIF($I$3:I5,I5)-1</f>
        <v>4</v>
      </c>
      <c r="K5" s="15" t="e">
        <f>(#REF!+J5)/2</f>
        <v>#REF!</v>
      </c>
      <c r="L5" s="20" t="e">
        <f>RANK(K5,$K$3:$K$16,1)+COUNTIF($K$3:K5,K5)-1</f>
        <v>#REF!</v>
      </c>
      <c r="M5" s="2"/>
    </row>
    <row r="6" spans="1:15">
      <c r="A6" s="21" t="s">
        <v>15</v>
      </c>
      <c r="B6" s="18" t="s">
        <v>16</v>
      </c>
      <c r="C6" s="18">
        <v>127</v>
      </c>
      <c r="D6" s="84">
        <v>45966</v>
      </c>
      <c r="E6" s="87">
        <f t="shared" si="0"/>
        <v>222</v>
      </c>
      <c r="F6" s="11">
        <v>60</v>
      </c>
      <c r="G6" s="12">
        <v>47</v>
      </c>
      <c r="H6" s="13">
        <f>RANK(G6,$G$3:$G$6)+COUNTIF($G$3:G6,G6)-1</f>
        <v>1</v>
      </c>
      <c r="I6" s="12">
        <v>80</v>
      </c>
      <c r="J6" s="14">
        <f>RANK(I6,$I$3:$I$16)+COUNTIF($I$3:I6,I6)-1</f>
        <v>3</v>
      </c>
      <c r="K6" s="15" t="e">
        <f>(#REF!+J6)/2</f>
        <v>#REF!</v>
      </c>
      <c r="L6" s="20" t="e">
        <f>RANK(K6,$K$3:$K$16,1)+COUNTIF($K$3:K6,K6)-1</f>
        <v>#REF!</v>
      </c>
      <c r="M6" s="2"/>
    </row>
    <row r="7" spans="1:15">
      <c r="A7" s="21"/>
      <c r="B7" s="18"/>
      <c r="C7" s="23"/>
      <c r="D7" s="22"/>
      <c r="E7" s="87"/>
      <c r="F7" s="25"/>
      <c r="G7" s="26"/>
      <c r="H7" s="13"/>
      <c r="I7" s="26"/>
      <c r="J7" s="14"/>
      <c r="K7" s="27"/>
      <c r="L7" s="28"/>
      <c r="M7" s="2"/>
    </row>
    <row r="8" spans="1:15">
      <c r="A8" s="21"/>
      <c r="B8" s="18"/>
      <c r="C8" s="23"/>
      <c r="D8" s="22"/>
      <c r="E8" s="87"/>
      <c r="F8" s="25"/>
      <c r="G8" s="26"/>
      <c r="H8" s="13"/>
      <c r="I8" s="26"/>
      <c r="J8" s="14"/>
      <c r="K8" s="27"/>
      <c r="L8" s="28"/>
      <c r="M8" s="2"/>
    </row>
    <row r="9" spans="1:15">
      <c r="A9" s="21"/>
      <c r="B9" s="18"/>
      <c r="C9" s="23"/>
      <c r="D9" s="22"/>
      <c r="E9" s="87"/>
      <c r="F9" s="25"/>
      <c r="G9" s="26"/>
      <c r="H9" s="13"/>
      <c r="I9" s="26"/>
      <c r="J9" s="14"/>
      <c r="K9" s="27"/>
      <c r="L9" s="28"/>
      <c r="M9" s="2"/>
    </row>
    <row r="10" spans="1:15">
      <c r="A10" s="21"/>
      <c r="B10" s="18"/>
      <c r="C10" s="23"/>
      <c r="D10" s="22"/>
      <c r="E10" s="87"/>
      <c r="F10" s="25"/>
      <c r="G10" s="26"/>
      <c r="H10" s="13"/>
      <c r="I10" s="26"/>
      <c r="J10" s="14"/>
      <c r="K10" s="27"/>
      <c r="L10" s="28"/>
      <c r="M10" s="2"/>
    </row>
    <row r="11" spans="1:15">
      <c r="A11" s="21"/>
      <c r="B11" s="18"/>
      <c r="C11" s="23"/>
      <c r="D11" s="22"/>
      <c r="E11" s="87"/>
      <c r="F11" s="25"/>
      <c r="G11" s="26"/>
      <c r="H11" s="13"/>
      <c r="I11" s="26"/>
      <c r="J11" s="14"/>
      <c r="K11" s="27"/>
      <c r="L11" s="28"/>
      <c r="M11" s="2"/>
    </row>
    <row r="12" spans="1:15">
      <c r="A12" s="21"/>
      <c r="B12" s="18"/>
      <c r="C12" s="23"/>
      <c r="D12" s="22"/>
      <c r="E12" s="87"/>
      <c r="F12" s="25"/>
      <c r="G12" s="26"/>
      <c r="H12" s="13"/>
      <c r="I12" s="26"/>
      <c r="J12" s="14"/>
      <c r="K12" s="27"/>
      <c r="L12" s="28"/>
      <c r="M12" s="2"/>
    </row>
    <row r="13" spans="1:15">
      <c r="A13" s="21"/>
      <c r="B13" s="18"/>
      <c r="C13" s="23"/>
      <c r="D13" s="22"/>
      <c r="E13" s="87"/>
      <c r="F13" s="25"/>
      <c r="G13" s="26"/>
      <c r="H13" s="13"/>
      <c r="I13" s="26"/>
      <c r="J13" s="14"/>
      <c r="K13" s="27"/>
      <c r="L13" s="28"/>
    </row>
    <row r="14" spans="1:15">
      <c r="A14" s="21"/>
      <c r="B14" s="18"/>
      <c r="C14" s="23"/>
      <c r="D14" s="22"/>
      <c r="E14" s="87"/>
      <c r="F14" s="25"/>
      <c r="G14" s="26"/>
      <c r="H14" s="13"/>
      <c r="I14" s="26"/>
      <c r="J14" s="14"/>
      <c r="K14" s="27"/>
      <c r="L14" s="28"/>
    </row>
    <row r="15" spans="1:15">
      <c r="A15" s="21"/>
      <c r="B15" s="18"/>
      <c r="C15" s="23"/>
      <c r="D15" s="22"/>
      <c r="E15" s="87"/>
      <c r="F15" s="25"/>
      <c r="G15" s="26"/>
      <c r="H15" s="13"/>
      <c r="I15" s="26"/>
      <c r="J15" s="14"/>
      <c r="K15" s="27"/>
      <c r="L15" s="28"/>
    </row>
    <row r="16" spans="1:15" ht="15" thickBot="1">
      <c r="A16" s="29"/>
      <c r="B16" s="30"/>
      <c r="C16" s="31"/>
      <c r="D16" s="33"/>
      <c r="E16" s="88"/>
      <c r="F16" s="34"/>
      <c r="G16" s="35"/>
      <c r="H16" s="36"/>
      <c r="I16" s="35"/>
      <c r="J16" s="37"/>
      <c r="K16" s="38"/>
      <c r="L16" s="39"/>
    </row>
    <row r="17" spans="2:10">
      <c r="B17" s="40"/>
      <c r="C17" s="40"/>
      <c r="F17" s="3"/>
    </row>
    <row r="18" spans="2:10">
      <c r="F18" s="3"/>
    </row>
    <row r="19" spans="2:10">
      <c r="F19" s="3"/>
    </row>
    <row r="20" spans="2:10">
      <c r="F20" s="3"/>
    </row>
    <row r="21" spans="2:10">
      <c r="F21" s="3"/>
    </row>
    <row r="22" spans="2:10">
      <c r="F22" s="3"/>
    </row>
    <row r="23" spans="2:10">
      <c r="B23" s="41" t="s">
        <v>17</v>
      </c>
      <c r="C23" s="41"/>
      <c r="F23" s="3"/>
    </row>
    <row r="24" spans="2:10">
      <c r="B24" s="42"/>
      <c r="C24" s="43" t="s">
        <v>18</v>
      </c>
      <c r="D24" s="40"/>
      <c r="E24" s="40"/>
      <c r="F24" s="3"/>
    </row>
    <row r="25" spans="2:10">
      <c r="F25" s="3"/>
    </row>
    <row r="28" spans="2:10">
      <c r="B28" s="44" t="s">
        <v>12</v>
      </c>
      <c r="C28" s="44" t="s">
        <v>12</v>
      </c>
      <c r="D28" s="44"/>
      <c r="E28" s="44"/>
      <c r="F28" s="45" t="s">
        <v>19</v>
      </c>
      <c r="G28" s="46">
        <v>45936</v>
      </c>
      <c r="H28" s="46">
        <v>46063</v>
      </c>
      <c r="I28" s="45">
        <v>127</v>
      </c>
      <c r="J28" s="44" t="s">
        <v>20</v>
      </c>
    </row>
    <row r="29" spans="2:10">
      <c r="B29" s="44" t="s">
        <v>13</v>
      </c>
      <c r="C29" s="44" t="s">
        <v>13</v>
      </c>
      <c r="D29" s="44"/>
      <c r="E29" s="44"/>
      <c r="F29" s="45" t="s">
        <v>19</v>
      </c>
      <c r="G29" s="46">
        <v>45938</v>
      </c>
      <c r="H29" s="46">
        <v>46063</v>
      </c>
      <c r="I29" s="45">
        <v>125</v>
      </c>
      <c r="J29" s="44" t="s">
        <v>20</v>
      </c>
    </row>
    <row r="30" spans="2:10">
      <c r="B30" s="44" t="s">
        <v>14</v>
      </c>
      <c r="C30" s="44" t="s">
        <v>14</v>
      </c>
      <c r="D30" s="44"/>
      <c r="E30" s="44"/>
      <c r="F30" s="45" t="s">
        <v>19</v>
      </c>
      <c r="G30" s="46">
        <v>45960</v>
      </c>
      <c r="H30" s="46">
        <v>46063</v>
      </c>
      <c r="I30" s="45">
        <v>103</v>
      </c>
      <c r="J30" s="44" t="s">
        <v>20</v>
      </c>
    </row>
    <row r="31" spans="2:10">
      <c r="B31" s="44" t="s">
        <v>16</v>
      </c>
      <c r="C31" s="44" t="s">
        <v>16</v>
      </c>
      <c r="D31" s="44"/>
      <c r="E31" s="44"/>
      <c r="F31" s="45" t="s">
        <v>19</v>
      </c>
      <c r="G31" s="46">
        <v>45966</v>
      </c>
      <c r="H31" s="46">
        <v>46063</v>
      </c>
      <c r="I31" s="45">
        <v>97</v>
      </c>
      <c r="J31" s="44" t="s">
        <v>20</v>
      </c>
    </row>
  </sheetData>
  <mergeCells count="10">
    <mergeCell ref="L1:L2"/>
    <mergeCell ref="A1:A2"/>
    <mergeCell ref="B1:B2"/>
    <mergeCell ref="C1:C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F329C-9FDF-4E75-8F63-992DDB91DBDB}">
  <dimension ref="A1:O31"/>
  <sheetViews>
    <sheetView workbookViewId="0">
      <selection activeCell="G18" sqref="G18"/>
    </sheetView>
  </sheetViews>
  <sheetFormatPr defaultColWidth="9" defaultRowHeight="14.45"/>
  <cols>
    <col min="1" max="1" width="11.5703125" style="3" customWidth="1"/>
    <col min="2" max="3" width="10.5703125" style="3" customWidth="1"/>
    <col min="4" max="5" width="10.42578125" style="3" customWidth="1"/>
    <col min="6" max="6" width="12.85546875" style="40" customWidth="1"/>
    <col min="7" max="8" width="12.85546875" style="3" customWidth="1"/>
    <col min="9" max="9" width="15.85546875" style="3" customWidth="1"/>
    <col min="10" max="10" width="11.7109375" style="3" customWidth="1"/>
    <col min="11" max="11" width="14" style="3" customWidth="1"/>
    <col min="12" max="12" width="11.7109375" style="3" customWidth="1"/>
    <col min="13" max="13" width="9" style="3"/>
    <col min="14" max="14" width="4.140625" style="3" customWidth="1"/>
    <col min="15" max="15" width="11.7109375" style="3" customWidth="1"/>
    <col min="16" max="16384" width="9" style="3"/>
  </cols>
  <sheetData>
    <row r="1" spans="1:15" ht="64.150000000000006" customHeight="1">
      <c r="A1" s="94" t="s">
        <v>0</v>
      </c>
      <c r="B1" s="96" t="s">
        <v>1</v>
      </c>
      <c r="C1" s="106" t="s">
        <v>2</v>
      </c>
      <c r="D1" s="89" t="s">
        <v>3</v>
      </c>
      <c r="E1" s="1" t="s">
        <v>4</v>
      </c>
      <c r="F1" s="98" t="s">
        <v>5</v>
      </c>
      <c r="G1" s="98" t="s">
        <v>6</v>
      </c>
      <c r="H1" s="100" t="s">
        <v>7</v>
      </c>
      <c r="I1" s="98" t="s">
        <v>8</v>
      </c>
      <c r="J1" s="102" t="s">
        <v>9</v>
      </c>
      <c r="K1" s="104" t="s">
        <v>10</v>
      </c>
      <c r="L1" s="92" t="s">
        <v>11</v>
      </c>
      <c r="M1" s="2"/>
    </row>
    <row r="2" spans="1:15" ht="19.899999999999999" customHeight="1" thickBot="1">
      <c r="A2" s="95"/>
      <c r="B2" s="97"/>
      <c r="C2" s="107"/>
      <c r="D2" s="90"/>
      <c r="E2" s="4"/>
      <c r="F2" s="99"/>
      <c r="G2" s="99"/>
      <c r="H2" s="101"/>
      <c r="I2" s="99"/>
      <c r="J2" s="103"/>
      <c r="K2" s="105"/>
      <c r="L2" s="93"/>
      <c r="M2" s="2"/>
      <c r="O2" s="5">
        <f ca="1">TODAY()</f>
        <v>46253</v>
      </c>
    </row>
    <row r="3" spans="1:15">
      <c r="A3" s="6" t="s">
        <v>21</v>
      </c>
      <c r="B3" s="7" t="s">
        <v>12</v>
      </c>
      <c r="C3" s="8">
        <v>119</v>
      </c>
      <c r="D3" s="84">
        <v>45936</v>
      </c>
      <c r="E3" s="85">
        <f>($O$4-D3)</f>
        <v>259</v>
      </c>
      <c r="F3" s="11">
        <v>54</v>
      </c>
      <c r="G3" s="12">
        <v>18</v>
      </c>
      <c r="H3" s="13">
        <f>RANK(G3,$G$3:$G$6)+COUNTIF($G$3:G3,G3)-1</f>
        <v>3</v>
      </c>
      <c r="I3" s="12">
        <v>82</v>
      </c>
      <c r="J3" s="14">
        <f>RANK(I3,$I$3:$I$16)+COUNTIF($I$3:I3,I3)-1</f>
        <v>1</v>
      </c>
      <c r="K3" s="15" t="e">
        <f>(#REF!+J3)/2</f>
        <v>#REF!</v>
      </c>
      <c r="L3" s="16" t="e">
        <f>RANK(K3,$K$3:$K$16,1)+COUNTIF($K$3:K3,K3)-1</f>
        <v>#REF!</v>
      </c>
      <c r="M3" s="2"/>
    </row>
    <row r="4" spans="1:15">
      <c r="A4" s="17" t="s">
        <v>21</v>
      </c>
      <c r="B4" s="18" t="s">
        <v>13</v>
      </c>
      <c r="C4" s="18">
        <v>122</v>
      </c>
      <c r="D4" s="84">
        <v>45938</v>
      </c>
      <c r="E4" s="86">
        <f t="shared" ref="E4:E6" si="0">($O$4-D4)</f>
        <v>257</v>
      </c>
      <c r="F4" s="11">
        <v>150</v>
      </c>
      <c r="G4" s="12">
        <v>20</v>
      </c>
      <c r="H4" s="13">
        <f>RANK(G4,$G$3:$G$6)+COUNTIF($G$3:G4,G4)-1</f>
        <v>2</v>
      </c>
      <c r="I4" s="12">
        <v>80</v>
      </c>
      <c r="J4" s="14">
        <f>RANK(I4,$I$3:$I$16)+COUNTIF($I$3:I4,I4)-1</f>
        <v>2</v>
      </c>
      <c r="K4" s="15" t="e">
        <f>(#REF!+J4)/2</f>
        <v>#REF!</v>
      </c>
      <c r="L4" s="20" t="e">
        <f>RANK(K4,$K$3:$K$16,1)+COUNTIF($K$3:K4,K4)-1</f>
        <v>#REF!</v>
      </c>
      <c r="M4" s="2"/>
      <c r="O4" s="5">
        <v>46195</v>
      </c>
    </row>
    <row r="5" spans="1:15">
      <c r="A5" s="21"/>
      <c r="B5" s="18" t="s">
        <v>14</v>
      </c>
      <c r="C5" s="18">
        <v>145</v>
      </c>
      <c r="D5" s="84">
        <v>45960</v>
      </c>
      <c r="E5" s="87">
        <f t="shared" si="0"/>
        <v>235</v>
      </c>
      <c r="F5" s="11">
        <v>0</v>
      </c>
      <c r="G5" s="12">
        <v>0</v>
      </c>
      <c r="H5" s="13">
        <f>RANK(G5,$G$3:$G$6)+COUNTIF($G$3:G5,G5)-1</f>
        <v>4</v>
      </c>
      <c r="I5" s="12">
        <v>0</v>
      </c>
      <c r="J5" s="14">
        <f>RANK(I5,$I$3:$I$16)+COUNTIF($I$3:I5,I5)-1</f>
        <v>4</v>
      </c>
      <c r="K5" s="15" t="e">
        <f>(#REF!+J5)/2</f>
        <v>#REF!</v>
      </c>
      <c r="L5" s="20" t="e">
        <f>RANK(K5,$K$3:$K$16,1)+COUNTIF($K$3:K5,K5)-1</f>
        <v>#REF!</v>
      </c>
      <c r="M5" s="2"/>
    </row>
    <row r="6" spans="1:15">
      <c r="A6" s="21" t="s">
        <v>15</v>
      </c>
      <c r="B6" s="18" t="s">
        <v>16</v>
      </c>
      <c r="C6" s="18">
        <v>127</v>
      </c>
      <c r="D6" s="84">
        <v>45966</v>
      </c>
      <c r="E6" s="87">
        <f t="shared" si="0"/>
        <v>229</v>
      </c>
      <c r="F6" s="11">
        <v>60</v>
      </c>
      <c r="G6" s="12">
        <v>47</v>
      </c>
      <c r="H6" s="13">
        <f>RANK(G6,$G$3:$G$6)+COUNTIF($G$3:G6,G6)-1</f>
        <v>1</v>
      </c>
      <c r="I6" s="12">
        <v>80</v>
      </c>
      <c r="J6" s="14">
        <f>RANK(I6,$I$3:$I$16)+COUNTIF($I$3:I6,I6)-1</f>
        <v>3</v>
      </c>
      <c r="K6" s="15" t="e">
        <f>(#REF!+J6)/2</f>
        <v>#REF!</v>
      </c>
      <c r="L6" s="20" t="e">
        <f>RANK(K6,$K$3:$K$16,1)+COUNTIF($K$3:K6,K6)-1</f>
        <v>#REF!</v>
      </c>
      <c r="M6" s="2"/>
    </row>
    <row r="7" spans="1:15">
      <c r="A7" s="21"/>
      <c r="B7" s="18"/>
      <c r="C7" s="23"/>
      <c r="D7" s="22"/>
      <c r="E7" s="87"/>
      <c r="F7" s="25"/>
      <c r="G7" s="26"/>
      <c r="H7" s="13"/>
      <c r="I7" s="26"/>
      <c r="J7" s="14"/>
      <c r="K7" s="27"/>
      <c r="L7" s="28"/>
      <c r="M7" s="2"/>
    </row>
    <row r="8" spans="1:15">
      <c r="A8" s="21"/>
      <c r="B8" s="18"/>
      <c r="C8" s="23"/>
      <c r="D8" s="22"/>
      <c r="E8" s="87"/>
      <c r="F8" s="25"/>
      <c r="G8" s="26"/>
      <c r="H8" s="13"/>
      <c r="I8" s="26"/>
      <c r="J8" s="14"/>
      <c r="K8" s="27"/>
      <c r="L8" s="28"/>
      <c r="M8" s="2"/>
    </row>
    <row r="9" spans="1:15">
      <c r="A9" s="21"/>
      <c r="B9" s="18"/>
      <c r="C9" s="23"/>
      <c r="D9" s="22"/>
      <c r="E9" s="87"/>
      <c r="F9" s="25"/>
      <c r="G9" s="26"/>
      <c r="H9" s="13"/>
      <c r="I9" s="26"/>
      <c r="J9" s="14"/>
      <c r="K9" s="27"/>
      <c r="L9" s="28"/>
      <c r="M9" s="2"/>
    </row>
    <row r="10" spans="1:15">
      <c r="A10" s="21"/>
      <c r="B10" s="18"/>
      <c r="C10" s="23"/>
      <c r="D10" s="22"/>
      <c r="E10" s="87"/>
      <c r="F10" s="25"/>
      <c r="G10" s="26"/>
      <c r="H10" s="13"/>
      <c r="I10" s="26"/>
      <c r="J10" s="14"/>
      <c r="K10" s="27"/>
      <c r="L10" s="28"/>
      <c r="M10" s="2"/>
    </row>
    <row r="11" spans="1:15">
      <c r="A11" s="21"/>
      <c r="B11" s="18"/>
      <c r="C11" s="23"/>
      <c r="D11" s="22"/>
      <c r="E11" s="87"/>
      <c r="F11" s="25"/>
      <c r="G11" s="26"/>
      <c r="H11" s="13"/>
      <c r="I11" s="26"/>
      <c r="J11" s="14"/>
      <c r="K11" s="27"/>
      <c r="L11" s="28"/>
      <c r="M11" s="2"/>
    </row>
    <row r="12" spans="1:15">
      <c r="A12" s="21"/>
      <c r="B12" s="18"/>
      <c r="C12" s="23"/>
      <c r="D12" s="22"/>
      <c r="E12" s="87"/>
      <c r="F12" s="25"/>
      <c r="G12" s="26"/>
      <c r="H12" s="13"/>
      <c r="I12" s="26"/>
      <c r="J12" s="14"/>
      <c r="K12" s="27"/>
      <c r="L12" s="28"/>
      <c r="M12" s="2"/>
    </row>
    <row r="13" spans="1:15">
      <c r="A13" s="21"/>
      <c r="B13" s="18"/>
      <c r="C13" s="23"/>
      <c r="D13" s="22"/>
      <c r="E13" s="87"/>
      <c r="F13" s="25"/>
      <c r="G13" s="26"/>
      <c r="H13" s="13"/>
      <c r="I13" s="26"/>
      <c r="J13" s="14"/>
      <c r="K13" s="27"/>
      <c r="L13" s="28"/>
    </row>
    <row r="14" spans="1:15">
      <c r="A14" s="21"/>
      <c r="B14" s="18"/>
      <c r="C14" s="23"/>
      <c r="D14" s="22"/>
      <c r="E14" s="87"/>
      <c r="F14" s="25"/>
      <c r="G14" s="26"/>
      <c r="H14" s="13"/>
      <c r="I14" s="26"/>
      <c r="J14" s="14"/>
      <c r="K14" s="27"/>
      <c r="L14" s="28"/>
    </row>
    <row r="15" spans="1:15">
      <c r="A15" s="21"/>
      <c r="B15" s="18"/>
      <c r="C15" s="23"/>
      <c r="D15" s="22"/>
      <c r="E15" s="87"/>
      <c r="F15" s="25"/>
      <c r="G15" s="26"/>
      <c r="H15" s="13"/>
      <c r="I15" s="26"/>
      <c r="J15" s="14"/>
      <c r="K15" s="27"/>
      <c r="L15" s="28"/>
    </row>
    <row r="16" spans="1:15" ht="15" thickBot="1">
      <c r="A16" s="29"/>
      <c r="B16" s="30"/>
      <c r="C16" s="31"/>
      <c r="D16" s="33"/>
      <c r="E16" s="88"/>
      <c r="F16" s="34"/>
      <c r="G16" s="35"/>
      <c r="H16" s="36"/>
      <c r="I16" s="35"/>
      <c r="J16" s="37"/>
      <c r="K16" s="38"/>
      <c r="L16" s="39"/>
    </row>
    <row r="17" spans="2:10">
      <c r="B17" s="40"/>
      <c r="C17" s="40"/>
      <c r="F17" s="3"/>
    </row>
    <row r="18" spans="2:10">
      <c r="F18" s="3"/>
    </row>
    <row r="19" spans="2:10">
      <c r="F19" s="3"/>
    </row>
    <row r="20" spans="2:10">
      <c r="F20" s="3"/>
    </row>
    <row r="21" spans="2:10">
      <c r="F21" s="3"/>
    </row>
    <row r="22" spans="2:10">
      <c r="F22" s="3"/>
    </row>
    <row r="23" spans="2:10">
      <c r="B23" s="41" t="s">
        <v>17</v>
      </c>
      <c r="C23" s="41"/>
      <c r="F23" s="3"/>
    </row>
    <row r="24" spans="2:10">
      <c r="B24" s="42"/>
      <c r="C24" s="43" t="s">
        <v>18</v>
      </c>
      <c r="D24" s="40"/>
      <c r="E24" s="40"/>
      <c r="F24" s="3"/>
    </row>
    <row r="25" spans="2:10">
      <c r="F25" s="3"/>
    </row>
    <row r="28" spans="2:10">
      <c r="B28" s="44" t="s">
        <v>12</v>
      </c>
      <c r="C28" s="44" t="s">
        <v>12</v>
      </c>
      <c r="D28" s="44"/>
      <c r="E28" s="44"/>
      <c r="F28" s="45" t="s">
        <v>19</v>
      </c>
      <c r="G28" s="46">
        <v>45936</v>
      </c>
      <c r="H28" s="46">
        <v>46063</v>
      </c>
      <c r="I28" s="45">
        <v>127</v>
      </c>
      <c r="J28" s="44" t="s">
        <v>20</v>
      </c>
    </row>
    <row r="29" spans="2:10">
      <c r="B29" s="44" t="s">
        <v>13</v>
      </c>
      <c r="C29" s="44" t="s">
        <v>13</v>
      </c>
      <c r="D29" s="44"/>
      <c r="E29" s="44"/>
      <c r="F29" s="45" t="s">
        <v>19</v>
      </c>
      <c r="G29" s="46">
        <v>45938</v>
      </c>
      <c r="H29" s="46">
        <v>46063</v>
      </c>
      <c r="I29" s="45">
        <v>125</v>
      </c>
      <c r="J29" s="44" t="s">
        <v>20</v>
      </c>
    </row>
    <row r="30" spans="2:10">
      <c r="B30" s="44" t="s">
        <v>14</v>
      </c>
      <c r="C30" s="44" t="s">
        <v>14</v>
      </c>
      <c r="D30" s="44"/>
      <c r="E30" s="44"/>
      <c r="F30" s="45" t="s">
        <v>19</v>
      </c>
      <c r="G30" s="46">
        <v>45960</v>
      </c>
      <c r="H30" s="46">
        <v>46063</v>
      </c>
      <c r="I30" s="45">
        <v>103</v>
      </c>
      <c r="J30" s="44" t="s">
        <v>20</v>
      </c>
    </row>
    <row r="31" spans="2:10">
      <c r="B31" s="44" t="s">
        <v>16</v>
      </c>
      <c r="C31" s="44" t="s">
        <v>16</v>
      </c>
      <c r="D31" s="44"/>
      <c r="E31" s="44"/>
      <c r="F31" s="45" t="s">
        <v>19</v>
      </c>
      <c r="G31" s="46">
        <v>45966</v>
      </c>
      <c r="H31" s="46">
        <v>46063</v>
      </c>
      <c r="I31" s="45">
        <v>97</v>
      </c>
      <c r="J31" s="44" t="s">
        <v>20</v>
      </c>
    </row>
  </sheetData>
  <mergeCells count="10">
    <mergeCell ref="L1:L2"/>
    <mergeCell ref="A1:A2"/>
    <mergeCell ref="B1:B2"/>
    <mergeCell ref="C1:C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D25D0-88E2-4D48-A31C-FC80F4F9C1E3}">
  <dimension ref="A1:O31"/>
  <sheetViews>
    <sheetView workbookViewId="0">
      <selection activeCell="G6" sqref="G6:G7"/>
    </sheetView>
  </sheetViews>
  <sheetFormatPr defaultColWidth="9" defaultRowHeight="14.45"/>
  <cols>
    <col min="1" max="1" width="11.5703125" style="3" customWidth="1"/>
    <col min="2" max="3" width="10.5703125" style="3" customWidth="1"/>
    <col min="4" max="5" width="10.42578125" style="3" customWidth="1"/>
    <col min="6" max="6" width="12.85546875" style="40" customWidth="1"/>
    <col min="7" max="8" width="12.85546875" style="3" customWidth="1"/>
    <col min="9" max="9" width="15.85546875" style="3" customWidth="1"/>
    <col min="10" max="10" width="11.7109375" style="3" customWidth="1"/>
    <col min="11" max="11" width="14" style="3" customWidth="1"/>
    <col min="12" max="12" width="11.7109375" style="3" customWidth="1"/>
    <col min="13" max="13" width="9" style="3"/>
    <col min="14" max="14" width="4.140625" style="3" customWidth="1"/>
    <col min="15" max="15" width="11.7109375" style="3" customWidth="1"/>
    <col min="16" max="16384" width="9" style="3"/>
  </cols>
  <sheetData>
    <row r="1" spans="1:15" ht="64.150000000000006" customHeight="1">
      <c r="A1" s="94" t="s">
        <v>0</v>
      </c>
      <c r="B1" s="96" t="s">
        <v>1</v>
      </c>
      <c r="C1" s="106" t="s">
        <v>2</v>
      </c>
      <c r="D1" s="89" t="s">
        <v>3</v>
      </c>
      <c r="E1" s="1" t="s">
        <v>4</v>
      </c>
      <c r="F1" s="98" t="s">
        <v>5</v>
      </c>
      <c r="G1" s="98" t="s">
        <v>6</v>
      </c>
      <c r="H1" s="100" t="s">
        <v>7</v>
      </c>
      <c r="I1" s="98" t="s">
        <v>8</v>
      </c>
      <c r="J1" s="102" t="s">
        <v>9</v>
      </c>
      <c r="K1" s="104" t="s">
        <v>10</v>
      </c>
      <c r="L1" s="92" t="s">
        <v>11</v>
      </c>
      <c r="M1" s="2"/>
    </row>
    <row r="2" spans="1:15" ht="19.899999999999999" customHeight="1" thickBot="1">
      <c r="A2" s="95"/>
      <c r="B2" s="97"/>
      <c r="C2" s="107"/>
      <c r="D2" s="90"/>
      <c r="E2" s="4"/>
      <c r="F2" s="99"/>
      <c r="G2" s="99"/>
      <c r="H2" s="101"/>
      <c r="I2" s="99"/>
      <c r="J2" s="103"/>
      <c r="K2" s="105"/>
      <c r="L2" s="93"/>
      <c r="M2" s="2"/>
      <c r="O2" s="5">
        <f ca="1">TODAY()</f>
        <v>46253</v>
      </c>
    </row>
    <row r="3" spans="1:15">
      <c r="A3" s="6" t="s">
        <v>21</v>
      </c>
      <c r="B3" s="7" t="s">
        <v>12</v>
      </c>
      <c r="C3" s="8">
        <v>119</v>
      </c>
      <c r="D3" s="84">
        <v>45936</v>
      </c>
      <c r="E3" s="85">
        <f>($O$4-D3)</f>
        <v>266</v>
      </c>
      <c r="F3" s="11">
        <v>86</v>
      </c>
      <c r="G3" s="12">
        <v>23</v>
      </c>
      <c r="H3" s="13">
        <f>RANK(G3,$G$3:$G$6)+COUNTIF($G$3:G3,G3)-1</f>
        <v>3</v>
      </c>
      <c r="I3" s="12">
        <v>82</v>
      </c>
      <c r="J3" s="14">
        <f>RANK(I3,$I$3:$I$16)+COUNTIF($I$3:I3,I3)-1</f>
        <v>2</v>
      </c>
      <c r="K3" s="15" t="e">
        <f>(#REF!+J3)/2</f>
        <v>#REF!</v>
      </c>
      <c r="L3" s="16" t="e">
        <f>RANK(K3,$K$3:$K$16,1)+COUNTIF($K$3:K3,K3)-1</f>
        <v>#REF!</v>
      </c>
      <c r="M3" s="2"/>
    </row>
    <row r="4" spans="1:15">
      <c r="A4" s="17" t="s">
        <v>15</v>
      </c>
      <c r="B4" s="18" t="s">
        <v>13</v>
      </c>
      <c r="C4" s="18">
        <v>122</v>
      </c>
      <c r="D4" s="84">
        <v>45938</v>
      </c>
      <c r="E4" s="86">
        <f t="shared" ref="E4:E6" si="0">($O$4-D4)</f>
        <v>264</v>
      </c>
      <c r="F4" s="11">
        <v>222</v>
      </c>
      <c r="G4" s="12">
        <v>61</v>
      </c>
      <c r="H4" s="13">
        <f>RANK(G4,$G$3:$G$6)+COUNTIF($G$3:G4,G4)-1</f>
        <v>1</v>
      </c>
      <c r="I4" s="12">
        <v>80</v>
      </c>
      <c r="J4" s="14">
        <f>RANK(I4,$I$3:$I$16)+COUNTIF($I$3:I4,I4)-1</f>
        <v>3</v>
      </c>
      <c r="K4" s="15" t="e">
        <f>(#REF!+J4)/2</f>
        <v>#REF!</v>
      </c>
      <c r="L4" s="20" t="e">
        <f>RANK(K4,$K$3:$K$16,1)+COUNTIF($K$3:K4,K4)-1</f>
        <v>#REF!</v>
      </c>
      <c r="M4" s="2"/>
      <c r="O4" s="5">
        <v>46202</v>
      </c>
    </row>
    <row r="5" spans="1:15">
      <c r="A5" s="21"/>
      <c r="B5" s="18" t="s">
        <v>14</v>
      </c>
      <c r="C5" s="18">
        <v>145</v>
      </c>
      <c r="D5" s="84">
        <v>45960</v>
      </c>
      <c r="E5" s="87">
        <f t="shared" si="0"/>
        <v>242</v>
      </c>
      <c r="F5" s="11">
        <v>0</v>
      </c>
      <c r="G5" s="12">
        <v>0</v>
      </c>
      <c r="H5" s="13">
        <f>RANK(G5,$G$3:$G$6)+COUNTIF($G$3:G5,G5)-1</f>
        <v>4</v>
      </c>
      <c r="I5" s="12">
        <v>0</v>
      </c>
      <c r="J5" s="14">
        <f>RANK(I5,$I$3:$I$16)+COUNTIF($I$3:I5,I5)-1</f>
        <v>4</v>
      </c>
      <c r="K5" s="15" t="e">
        <f>(#REF!+J5)/2</f>
        <v>#REF!</v>
      </c>
      <c r="L5" s="20" t="e">
        <f>RANK(K5,$K$3:$K$16,1)+COUNTIF($K$3:K5,K5)-1</f>
        <v>#REF!</v>
      </c>
      <c r="M5" s="2"/>
    </row>
    <row r="6" spans="1:15">
      <c r="A6" s="21" t="s">
        <v>15</v>
      </c>
      <c r="B6" s="18" t="s">
        <v>16</v>
      </c>
      <c r="C6" s="18">
        <v>127</v>
      </c>
      <c r="D6" s="84">
        <v>45966</v>
      </c>
      <c r="E6" s="87">
        <f t="shared" si="0"/>
        <v>236</v>
      </c>
      <c r="F6" s="11">
        <v>126</v>
      </c>
      <c r="G6" s="12">
        <v>43</v>
      </c>
      <c r="H6" s="13">
        <f>RANK(G6,$G$3:$G$6)+COUNTIF($G$3:G6,G6)-1</f>
        <v>2</v>
      </c>
      <c r="I6" s="12">
        <v>84</v>
      </c>
      <c r="J6" s="14">
        <f>RANK(I6,$I$3:$I$16)+COUNTIF($I$3:I6,I6)-1</f>
        <v>1</v>
      </c>
      <c r="K6" s="15" t="e">
        <f>(#REF!+J6)/2</f>
        <v>#REF!</v>
      </c>
      <c r="L6" s="20" t="e">
        <f>RANK(K6,$K$3:$K$16,1)+COUNTIF($K$3:K6,K6)-1</f>
        <v>#REF!</v>
      </c>
      <c r="M6" s="2"/>
    </row>
    <row r="7" spans="1:15">
      <c r="A7" s="21"/>
      <c r="B7" s="18"/>
      <c r="C7" s="23"/>
      <c r="D7" s="22"/>
      <c r="E7" s="87"/>
      <c r="F7" s="25"/>
      <c r="G7" s="26"/>
      <c r="H7" s="13"/>
      <c r="I7" s="26"/>
      <c r="J7" s="14"/>
      <c r="K7" s="27"/>
      <c r="L7" s="28"/>
      <c r="M7" s="2"/>
    </row>
    <row r="8" spans="1:15">
      <c r="A8" s="21"/>
      <c r="B8" s="18"/>
      <c r="C8" s="23"/>
      <c r="D8" s="22"/>
      <c r="E8" s="87"/>
      <c r="F8" s="25"/>
      <c r="G8" s="26"/>
      <c r="H8" s="13"/>
      <c r="I8" s="26"/>
      <c r="J8" s="14"/>
      <c r="K8" s="27"/>
      <c r="L8" s="28"/>
      <c r="M8" s="2"/>
    </row>
    <row r="9" spans="1:15">
      <c r="A9" s="21"/>
      <c r="B9" s="18"/>
      <c r="C9" s="23"/>
      <c r="D9" s="22"/>
      <c r="E9" s="87"/>
      <c r="F9" s="25"/>
      <c r="G9" s="26"/>
      <c r="H9" s="13"/>
      <c r="I9" s="26"/>
      <c r="J9" s="14"/>
      <c r="K9" s="27"/>
      <c r="L9" s="28"/>
      <c r="M9" s="2"/>
    </row>
    <row r="10" spans="1:15">
      <c r="A10" s="21"/>
      <c r="B10" s="18"/>
      <c r="C10" s="23"/>
      <c r="D10" s="22"/>
      <c r="E10" s="87"/>
      <c r="F10" s="25"/>
      <c r="G10" s="26"/>
      <c r="H10" s="13"/>
      <c r="I10" s="26"/>
      <c r="J10" s="14"/>
      <c r="K10" s="27"/>
      <c r="L10" s="28"/>
      <c r="M10" s="2"/>
    </row>
    <row r="11" spans="1:15">
      <c r="A11" s="21"/>
      <c r="B11" s="18"/>
      <c r="C11" s="23"/>
      <c r="D11" s="22"/>
      <c r="E11" s="87"/>
      <c r="F11" s="25"/>
      <c r="G11" s="26"/>
      <c r="H11" s="13"/>
      <c r="I11" s="26"/>
      <c r="J11" s="14"/>
      <c r="K11" s="27"/>
      <c r="L11" s="28"/>
      <c r="M11" s="2"/>
    </row>
    <row r="12" spans="1:15">
      <c r="A12" s="21"/>
      <c r="B12" s="18"/>
      <c r="C12" s="23"/>
      <c r="D12" s="22"/>
      <c r="E12" s="87"/>
      <c r="F12" s="25"/>
      <c r="G12" s="26"/>
      <c r="H12" s="13"/>
      <c r="I12" s="26"/>
      <c r="J12" s="14"/>
      <c r="K12" s="27"/>
      <c r="L12" s="28"/>
      <c r="M12" s="2"/>
    </row>
    <row r="13" spans="1:15">
      <c r="A13" s="21"/>
      <c r="B13" s="18"/>
      <c r="C13" s="23"/>
      <c r="D13" s="22"/>
      <c r="E13" s="87"/>
      <c r="F13" s="25"/>
      <c r="G13" s="26"/>
      <c r="H13" s="13"/>
      <c r="I13" s="26"/>
      <c r="J13" s="14"/>
      <c r="K13" s="27"/>
      <c r="L13" s="28"/>
    </row>
    <row r="14" spans="1:15">
      <c r="A14" s="21"/>
      <c r="B14" s="18"/>
      <c r="C14" s="23"/>
      <c r="D14" s="22"/>
      <c r="E14" s="87"/>
      <c r="F14" s="25"/>
      <c r="G14" s="26"/>
      <c r="H14" s="13"/>
      <c r="I14" s="26"/>
      <c r="J14" s="14"/>
      <c r="K14" s="27"/>
      <c r="L14" s="28"/>
    </row>
    <row r="15" spans="1:15">
      <c r="A15" s="21"/>
      <c r="B15" s="18"/>
      <c r="C15" s="23"/>
      <c r="D15" s="22"/>
      <c r="E15" s="87"/>
      <c r="F15" s="25"/>
      <c r="G15" s="26"/>
      <c r="H15" s="13"/>
      <c r="I15" s="26"/>
      <c r="J15" s="14"/>
      <c r="K15" s="27"/>
      <c r="L15" s="28"/>
    </row>
    <row r="16" spans="1:15" ht="15" thickBot="1">
      <c r="A16" s="29"/>
      <c r="B16" s="30"/>
      <c r="C16" s="31"/>
      <c r="D16" s="33"/>
      <c r="E16" s="88"/>
      <c r="F16" s="34"/>
      <c r="G16" s="35"/>
      <c r="H16" s="36"/>
      <c r="I16" s="35"/>
      <c r="J16" s="37"/>
      <c r="K16" s="38"/>
      <c r="L16" s="39"/>
    </row>
    <row r="17" spans="2:10">
      <c r="B17" s="40"/>
      <c r="C17" s="40"/>
      <c r="F17" s="3"/>
    </row>
    <row r="18" spans="2:10">
      <c r="F18" s="3"/>
    </row>
    <row r="19" spans="2:10">
      <c r="F19" s="3"/>
    </row>
    <row r="20" spans="2:10">
      <c r="F20" s="3"/>
    </row>
    <row r="21" spans="2:10">
      <c r="F21" s="3"/>
    </row>
    <row r="22" spans="2:10">
      <c r="F22" s="3"/>
    </row>
    <row r="23" spans="2:10">
      <c r="B23" s="41" t="s">
        <v>17</v>
      </c>
      <c r="C23" s="41"/>
      <c r="F23" s="3"/>
    </row>
    <row r="24" spans="2:10">
      <c r="B24" s="42"/>
      <c r="C24" s="43" t="s">
        <v>18</v>
      </c>
      <c r="D24" s="40"/>
      <c r="E24" s="40"/>
      <c r="F24" s="3"/>
    </row>
    <row r="25" spans="2:10">
      <c r="F25" s="3"/>
    </row>
    <row r="28" spans="2:10">
      <c r="B28" s="44" t="s">
        <v>12</v>
      </c>
      <c r="C28" s="44" t="s">
        <v>12</v>
      </c>
      <c r="D28" s="44"/>
      <c r="E28" s="44"/>
      <c r="F28" s="45" t="s">
        <v>19</v>
      </c>
      <c r="G28" s="46">
        <v>45936</v>
      </c>
      <c r="H28" s="46">
        <v>46063</v>
      </c>
      <c r="I28" s="45">
        <v>127</v>
      </c>
      <c r="J28" s="44" t="s">
        <v>20</v>
      </c>
    </row>
    <row r="29" spans="2:10">
      <c r="B29" s="44" t="s">
        <v>13</v>
      </c>
      <c r="C29" s="44" t="s">
        <v>13</v>
      </c>
      <c r="D29" s="44"/>
      <c r="E29" s="44"/>
      <c r="F29" s="45" t="s">
        <v>19</v>
      </c>
      <c r="G29" s="46">
        <v>45938</v>
      </c>
      <c r="H29" s="46">
        <v>46063</v>
      </c>
      <c r="I29" s="45">
        <v>125</v>
      </c>
      <c r="J29" s="44" t="s">
        <v>20</v>
      </c>
    </row>
    <row r="30" spans="2:10">
      <c r="B30" s="44" t="s">
        <v>14</v>
      </c>
      <c r="C30" s="44" t="s">
        <v>14</v>
      </c>
      <c r="D30" s="44"/>
      <c r="E30" s="44"/>
      <c r="F30" s="45" t="s">
        <v>19</v>
      </c>
      <c r="G30" s="46">
        <v>45960</v>
      </c>
      <c r="H30" s="46">
        <v>46063</v>
      </c>
      <c r="I30" s="45">
        <v>103</v>
      </c>
      <c r="J30" s="44" t="s">
        <v>20</v>
      </c>
    </row>
    <row r="31" spans="2:10">
      <c r="B31" s="44" t="s">
        <v>16</v>
      </c>
      <c r="C31" s="44" t="s">
        <v>16</v>
      </c>
      <c r="D31" s="44"/>
      <c r="E31" s="44"/>
      <c r="F31" s="45" t="s">
        <v>19</v>
      </c>
      <c r="G31" s="46">
        <v>45966</v>
      </c>
      <c r="H31" s="46">
        <v>46063</v>
      </c>
      <c r="I31" s="45">
        <v>97</v>
      </c>
      <c r="J31" s="44" t="s">
        <v>20</v>
      </c>
    </row>
  </sheetData>
  <mergeCells count="10">
    <mergeCell ref="L1:L2"/>
    <mergeCell ref="A1:A2"/>
    <mergeCell ref="B1:B2"/>
    <mergeCell ref="C1:C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7FD9A-932D-4C06-A752-A6E90D8A51AA}">
  <dimension ref="A1:O18"/>
  <sheetViews>
    <sheetView workbookViewId="0">
      <selection activeCell="G19" sqref="G19"/>
    </sheetView>
  </sheetViews>
  <sheetFormatPr defaultColWidth="9" defaultRowHeight="14.45"/>
  <cols>
    <col min="1" max="1" width="11.5703125" style="3" customWidth="1"/>
    <col min="2" max="3" width="10.5703125" style="3" customWidth="1"/>
    <col min="4" max="5" width="10.42578125" style="3" customWidth="1"/>
    <col min="6" max="6" width="12.85546875" style="40" customWidth="1"/>
    <col min="7" max="8" width="12.85546875" style="3" customWidth="1"/>
    <col min="9" max="9" width="15.85546875" style="3" customWidth="1"/>
    <col min="10" max="10" width="11.7109375" style="3" customWidth="1"/>
    <col min="11" max="11" width="14" style="3" customWidth="1"/>
    <col min="12" max="12" width="11.7109375" style="3" customWidth="1"/>
    <col min="13" max="13" width="9" style="3"/>
    <col min="14" max="14" width="4.140625" style="3" customWidth="1"/>
    <col min="15" max="15" width="11.7109375" style="3" customWidth="1"/>
    <col min="16" max="16384" width="9" style="3"/>
  </cols>
  <sheetData>
    <row r="1" spans="1:15" ht="64.150000000000006" customHeight="1">
      <c r="A1" s="94" t="s">
        <v>0</v>
      </c>
      <c r="B1" s="96" t="s">
        <v>1</v>
      </c>
      <c r="C1" s="106" t="s">
        <v>2</v>
      </c>
      <c r="D1" s="89" t="s">
        <v>3</v>
      </c>
      <c r="E1" s="1" t="s">
        <v>4</v>
      </c>
      <c r="F1" s="98" t="s">
        <v>5</v>
      </c>
      <c r="G1" s="98" t="s">
        <v>6</v>
      </c>
      <c r="H1" s="100" t="s">
        <v>7</v>
      </c>
      <c r="I1" s="98" t="s">
        <v>8</v>
      </c>
      <c r="J1" s="102" t="s">
        <v>9</v>
      </c>
      <c r="K1" s="104" t="s">
        <v>10</v>
      </c>
      <c r="L1" s="92" t="s">
        <v>11</v>
      </c>
      <c r="M1" s="2"/>
    </row>
    <row r="2" spans="1:15" ht="19.899999999999999" customHeight="1" thickBot="1">
      <c r="A2" s="95"/>
      <c r="B2" s="97"/>
      <c r="C2" s="107"/>
      <c r="D2" s="90"/>
      <c r="E2" s="4"/>
      <c r="F2" s="99"/>
      <c r="G2" s="99"/>
      <c r="H2" s="101"/>
      <c r="I2" s="99"/>
      <c r="J2" s="103"/>
      <c r="K2" s="105"/>
      <c r="L2" s="93"/>
      <c r="M2" s="2"/>
      <c r="O2" s="5">
        <f ca="1">TODAY()</f>
        <v>46253</v>
      </c>
    </row>
    <row r="3" spans="1:15">
      <c r="A3" s="6" t="s">
        <v>15</v>
      </c>
      <c r="B3" s="7" t="s">
        <v>12</v>
      </c>
      <c r="C3" s="8">
        <v>119</v>
      </c>
      <c r="D3" s="84">
        <v>45936</v>
      </c>
      <c r="E3" s="85">
        <f>($O$4-D3)</f>
        <v>273</v>
      </c>
      <c r="F3" s="11">
        <v>54</v>
      </c>
      <c r="G3" s="12">
        <v>32</v>
      </c>
      <c r="H3" s="13">
        <f>RANK(G3,$G$3:$G$6)+COUNTIF($G$3:G3,G3)-1</f>
        <v>3</v>
      </c>
      <c r="I3" s="12">
        <v>82</v>
      </c>
      <c r="J3" s="14">
        <f>RANK(I3,$I$3:$I$16)+COUNTIF($I$3:I3,I3)-1</f>
        <v>2</v>
      </c>
      <c r="K3" s="15" t="e">
        <f>(#REF!+J3)/2</f>
        <v>#REF!</v>
      </c>
      <c r="L3" s="16" t="e">
        <f>RANK(K3,$K$3:$K$16,1)+COUNTIF($K$3:K3,K3)-1</f>
        <v>#REF!</v>
      </c>
      <c r="M3" s="2"/>
    </row>
    <row r="4" spans="1:15">
      <c r="A4" s="17" t="s">
        <v>21</v>
      </c>
      <c r="B4" s="18" t="s">
        <v>13</v>
      </c>
      <c r="C4" s="18">
        <v>122</v>
      </c>
      <c r="D4" s="84">
        <v>45938</v>
      </c>
      <c r="E4" s="86">
        <f t="shared" ref="E4:E6" si="0">($O$4-D4)</f>
        <v>271</v>
      </c>
      <c r="F4" s="11">
        <v>328</v>
      </c>
      <c r="G4" s="12">
        <v>83</v>
      </c>
      <c r="H4" s="13">
        <f>RANK(G4,$G$3:$G$6)+COUNTIF($G$3:G4,G4)-1</f>
        <v>1</v>
      </c>
      <c r="I4" s="12">
        <v>80</v>
      </c>
      <c r="J4" s="14">
        <f>RANK(I4,$I$3:$I$16)+COUNTIF($I$3:I4,I4)-1</f>
        <v>3</v>
      </c>
      <c r="K4" s="15" t="e">
        <f>(#REF!+J4)/2</f>
        <v>#REF!</v>
      </c>
      <c r="L4" s="20" t="e">
        <f>RANK(K4,$K$3:$K$16,1)+COUNTIF($K$3:K4,K4)-1</f>
        <v>#REF!</v>
      </c>
      <c r="M4" s="2"/>
      <c r="O4" s="5">
        <v>46209</v>
      </c>
    </row>
    <row r="5" spans="1:15">
      <c r="A5" s="21"/>
      <c r="B5" s="18" t="s">
        <v>14</v>
      </c>
      <c r="C5" s="18">
        <v>145</v>
      </c>
      <c r="D5" s="84">
        <v>45960</v>
      </c>
      <c r="E5" s="87">
        <f t="shared" si="0"/>
        <v>249</v>
      </c>
      <c r="F5" s="11">
        <v>0</v>
      </c>
      <c r="G5" s="12">
        <v>0</v>
      </c>
      <c r="H5" s="13">
        <f>RANK(G5,$G$3:$G$6)+COUNTIF($G$3:G5,G5)-1</f>
        <v>4</v>
      </c>
      <c r="I5" s="12">
        <v>0</v>
      </c>
      <c r="J5" s="14">
        <f>RANK(I5,$I$3:$I$16)+COUNTIF($I$3:I5,I5)-1</f>
        <v>4</v>
      </c>
      <c r="K5" s="15" t="e">
        <f>(#REF!+J5)/2</f>
        <v>#REF!</v>
      </c>
      <c r="L5" s="20" t="e">
        <f>RANK(K5,$K$3:$K$16,1)+COUNTIF($K$3:K5,K5)-1</f>
        <v>#REF!</v>
      </c>
      <c r="M5" s="2"/>
    </row>
    <row r="6" spans="1:15">
      <c r="A6" s="21" t="s">
        <v>15</v>
      </c>
      <c r="B6" s="18" t="s">
        <v>16</v>
      </c>
      <c r="C6" s="18">
        <v>127</v>
      </c>
      <c r="D6" s="84">
        <v>45966</v>
      </c>
      <c r="E6" s="87">
        <f t="shared" si="0"/>
        <v>243</v>
      </c>
      <c r="F6" s="11">
        <v>188</v>
      </c>
      <c r="G6" s="12">
        <v>55</v>
      </c>
      <c r="H6" s="13">
        <f>RANK(G6,$G$3:$G$6)+COUNTIF($G$3:G6,G6)-1</f>
        <v>2</v>
      </c>
      <c r="I6" s="12">
        <v>84</v>
      </c>
      <c r="J6" s="14">
        <f>RANK(I6,$I$3:$I$16)+COUNTIF($I$3:I6,I6)-1</f>
        <v>1</v>
      </c>
      <c r="K6" s="15" t="e">
        <f>(#REF!+J6)/2</f>
        <v>#REF!</v>
      </c>
      <c r="L6" s="20" t="e">
        <f>RANK(K6,$K$3:$K$16,1)+COUNTIF($K$3:K6,K6)-1</f>
        <v>#REF!</v>
      </c>
      <c r="M6" s="2"/>
    </row>
    <row r="7" spans="1:15">
      <c r="A7" s="21"/>
      <c r="B7" s="18"/>
      <c r="C7" s="23"/>
      <c r="D7" s="22"/>
      <c r="E7" s="87"/>
      <c r="F7" s="25"/>
      <c r="G7" s="26"/>
      <c r="H7" s="13"/>
      <c r="I7" s="26"/>
      <c r="J7" s="14"/>
      <c r="K7" s="27"/>
      <c r="L7" s="28"/>
      <c r="M7" s="2"/>
    </row>
    <row r="8" spans="1:15">
      <c r="A8" s="21"/>
      <c r="B8" s="18"/>
      <c r="C8" s="23"/>
      <c r="D8" s="22"/>
      <c r="E8" s="87"/>
      <c r="F8" s="25"/>
      <c r="G8" s="26"/>
      <c r="H8" s="13"/>
      <c r="I8" s="26"/>
      <c r="J8" s="14"/>
      <c r="K8" s="27"/>
      <c r="L8" s="28"/>
      <c r="M8" s="2"/>
    </row>
    <row r="9" spans="1:15">
      <c r="A9" s="21"/>
      <c r="B9" s="18"/>
      <c r="C9" s="23"/>
      <c r="D9" s="22"/>
      <c r="E9" s="87"/>
      <c r="F9" s="25"/>
      <c r="G9" s="26"/>
      <c r="H9" s="13"/>
      <c r="I9" s="26"/>
      <c r="J9" s="14"/>
      <c r="K9" s="27"/>
      <c r="L9" s="28"/>
      <c r="M9" s="2"/>
    </row>
    <row r="10" spans="1:15">
      <c r="A10" s="21"/>
      <c r="B10" s="18"/>
      <c r="C10" s="23"/>
      <c r="D10" s="22"/>
      <c r="E10" s="87"/>
      <c r="F10" s="25"/>
      <c r="G10" s="26"/>
      <c r="H10" s="13"/>
      <c r="I10" s="26"/>
      <c r="J10" s="14"/>
      <c r="K10" s="27"/>
      <c r="L10" s="28"/>
      <c r="M10" s="2"/>
    </row>
    <row r="11" spans="1:15">
      <c r="A11" s="21"/>
      <c r="B11" s="18"/>
      <c r="C11" s="23"/>
      <c r="D11" s="22"/>
      <c r="E11" s="87"/>
      <c r="F11" s="25"/>
      <c r="G11" s="26"/>
      <c r="H11" s="13"/>
      <c r="I11" s="26"/>
      <c r="J11" s="14"/>
      <c r="K11" s="27"/>
      <c r="L11" s="28"/>
      <c r="M11" s="2"/>
    </row>
    <row r="12" spans="1:15">
      <c r="A12" s="21"/>
      <c r="B12" s="18"/>
      <c r="C12" s="23"/>
      <c r="D12" s="22"/>
      <c r="E12" s="87"/>
      <c r="F12" s="25"/>
      <c r="G12" s="26"/>
      <c r="H12" s="13"/>
      <c r="I12" s="26"/>
      <c r="J12" s="14"/>
      <c r="K12" s="27"/>
      <c r="L12" s="28"/>
      <c r="M12" s="2"/>
    </row>
    <row r="13" spans="1:15">
      <c r="A13" s="21"/>
      <c r="B13" s="18"/>
      <c r="C13" s="23"/>
      <c r="D13" s="22"/>
      <c r="E13" s="87"/>
      <c r="F13" s="25"/>
      <c r="G13" s="26"/>
      <c r="H13" s="13"/>
      <c r="I13" s="26"/>
      <c r="J13" s="14"/>
      <c r="K13" s="27"/>
      <c r="L13" s="28"/>
    </row>
    <row r="14" spans="1:15">
      <c r="A14" s="21"/>
      <c r="B14" s="18"/>
      <c r="C14" s="23"/>
      <c r="D14" s="22"/>
      <c r="E14" s="87"/>
      <c r="F14" s="25"/>
      <c r="G14" s="26"/>
      <c r="H14" s="13"/>
      <c r="I14" s="26"/>
      <c r="J14" s="14"/>
      <c r="K14" s="27"/>
      <c r="L14" s="28"/>
    </row>
    <row r="15" spans="1:15">
      <c r="A15" s="21"/>
      <c r="B15" s="18"/>
      <c r="C15" s="23"/>
      <c r="D15" s="22"/>
      <c r="E15" s="87"/>
      <c r="F15" s="25"/>
      <c r="G15" s="26"/>
      <c r="H15" s="13"/>
      <c r="I15" s="26"/>
      <c r="J15" s="14"/>
      <c r="K15" s="27"/>
      <c r="L15" s="28"/>
    </row>
    <row r="16" spans="1:15" ht="15" thickBot="1">
      <c r="A16" s="29"/>
      <c r="B16" s="30"/>
      <c r="C16" s="31"/>
      <c r="D16" s="33"/>
      <c r="E16" s="88"/>
      <c r="F16" s="34"/>
      <c r="G16" s="35"/>
      <c r="H16" s="36"/>
      <c r="I16" s="35"/>
      <c r="J16" s="37"/>
      <c r="K16" s="38"/>
      <c r="L16" s="39"/>
    </row>
    <row r="17" spans="2:6">
      <c r="B17" s="41" t="s">
        <v>17</v>
      </c>
      <c r="C17" s="41"/>
      <c r="F17" s="3"/>
    </row>
    <row r="18" spans="2:6">
      <c r="B18" s="42"/>
      <c r="C18" s="43" t="s">
        <v>18</v>
      </c>
      <c r="D18" s="40"/>
      <c r="E18" s="40"/>
      <c r="F18" s="3"/>
    </row>
  </sheetData>
  <mergeCells count="10">
    <mergeCell ref="L1:L2"/>
    <mergeCell ref="A1:A2"/>
    <mergeCell ref="B1:B2"/>
    <mergeCell ref="C1:C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B9F22-1E83-46E1-8F02-B272AAFB5F0C}">
  <dimension ref="A1:O20"/>
  <sheetViews>
    <sheetView workbookViewId="0">
      <selection activeCell="E11" sqref="E11"/>
    </sheetView>
  </sheetViews>
  <sheetFormatPr defaultColWidth="9" defaultRowHeight="14.45"/>
  <cols>
    <col min="1" max="1" width="11.5703125" style="3" customWidth="1"/>
    <col min="2" max="3" width="10.5703125" style="3" customWidth="1"/>
    <col min="4" max="5" width="10.42578125" style="3" customWidth="1"/>
    <col min="6" max="6" width="12.85546875" style="40" customWidth="1"/>
    <col min="7" max="8" width="12.85546875" style="3" customWidth="1"/>
    <col min="9" max="9" width="15.85546875" style="3" customWidth="1"/>
    <col min="10" max="10" width="11.7109375" style="3" customWidth="1"/>
    <col min="11" max="11" width="14" style="3" customWidth="1"/>
    <col min="12" max="12" width="11.7109375" style="3" customWidth="1"/>
    <col min="13" max="13" width="9" style="3"/>
    <col min="14" max="14" width="4.140625" style="3" customWidth="1"/>
    <col min="15" max="15" width="11.7109375" style="3" customWidth="1"/>
    <col min="16" max="16384" width="9" style="3"/>
  </cols>
  <sheetData>
    <row r="1" spans="1:15" ht="64.150000000000006" customHeight="1">
      <c r="A1" s="94" t="s">
        <v>0</v>
      </c>
      <c r="B1" s="96" t="s">
        <v>1</v>
      </c>
      <c r="C1" s="96" t="s">
        <v>2</v>
      </c>
      <c r="D1" s="1" t="s">
        <v>3</v>
      </c>
      <c r="E1" s="1" t="s">
        <v>4</v>
      </c>
      <c r="F1" s="98" t="s">
        <v>5</v>
      </c>
      <c r="G1" s="98" t="s">
        <v>6</v>
      </c>
      <c r="H1" s="100" t="s">
        <v>7</v>
      </c>
      <c r="I1" s="98" t="s">
        <v>8</v>
      </c>
      <c r="J1" s="102" t="s">
        <v>9</v>
      </c>
      <c r="K1" s="104" t="s">
        <v>10</v>
      </c>
      <c r="L1" s="92" t="s">
        <v>11</v>
      </c>
      <c r="M1" s="2"/>
    </row>
    <row r="2" spans="1:15" ht="19.899999999999999" customHeight="1" thickBot="1">
      <c r="A2" s="95"/>
      <c r="B2" s="97"/>
      <c r="C2" s="97"/>
      <c r="D2" s="4"/>
      <c r="E2" s="4"/>
      <c r="F2" s="99"/>
      <c r="G2" s="99"/>
      <c r="H2" s="101"/>
      <c r="I2" s="99"/>
      <c r="J2" s="103"/>
      <c r="K2" s="105"/>
      <c r="L2" s="93"/>
      <c r="M2" s="2"/>
      <c r="O2" s="5">
        <f ca="1">TODAY()</f>
        <v>46253</v>
      </c>
    </row>
    <row r="3" spans="1:15">
      <c r="A3" s="6" t="s">
        <v>21</v>
      </c>
      <c r="B3" s="7" t="s">
        <v>12</v>
      </c>
      <c r="C3" s="8">
        <v>119</v>
      </c>
      <c r="D3" s="83">
        <v>45936</v>
      </c>
      <c r="E3" s="10">
        <f>($O$4-D3)</f>
        <v>280</v>
      </c>
      <c r="F3" s="11">
        <v>60</v>
      </c>
      <c r="G3" s="12">
        <v>18</v>
      </c>
      <c r="H3" s="13">
        <f>RANK(G3,$G$3:$G$6)+COUNTIF($G$3:G3,G3)-1</f>
        <v>3</v>
      </c>
      <c r="I3" s="12">
        <v>84</v>
      </c>
      <c r="J3" s="14">
        <f>RANK(I3,$I$3:$I$16)+COUNTIF($I$3:I3,I3)-1</f>
        <v>1</v>
      </c>
      <c r="K3" s="15" t="e">
        <f>(#REF!+J3)/2</f>
        <v>#REF!</v>
      </c>
      <c r="L3" s="53" t="e">
        <f>RANK(K3,$K$3:$K$16,1)+COUNTIF($K$3:K3,K3)-1</f>
        <v>#REF!</v>
      </c>
      <c r="M3" s="2"/>
    </row>
    <row r="4" spans="1:15">
      <c r="A4" s="17" t="s">
        <v>21</v>
      </c>
      <c r="B4" s="18" t="s">
        <v>13</v>
      </c>
      <c r="C4" s="18">
        <v>122</v>
      </c>
      <c r="D4" s="84">
        <v>45938</v>
      </c>
      <c r="E4" s="19">
        <f t="shared" ref="E4:E6" si="0">($O$4-D4)</f>
        <v>278</v>
      </c>
      <c r="F4" s="11">
        <v>234</v>
      </c>
      <c r="G4" s="12">
        <v>64</v>
      </c>
      <c r="H4" s="13">
        <f>RANK(G4,$G$3:$G$6)+COUNTIF($G$3:G4,G4)-1</f>
        <v>1</v>
      </c>
      <c r="I4" s="12">
        <v>80</v>
      </c>
      <c r="J4" s="14">
        <f>RANK(I4,$I$3:$I$16)+COUNTIF($I$3:I4,I4)-1</f>
        <v>3</v>
      </c>
      <c r="K4" s="15" t="e">
        <f>(#REF!+J4)/2</f>
        <v>#REF!</v>
      </c>
      <c r="L4" s="20" t="e">
        <f>RANK(K4,$K$3:$K$16,1)+COUNTIF($K$3:K4,K4)-1</f>
        <v>#REF!</v>
      </c>
      <c r="M4" s="2"/>
      <c r="O4" s="5">
        <v>46216</v>
      </c>
    </row>
    <row r="5" spans="1:15">
      <c r="A5" s="21"/>
      <c r="B5" s="18" t="s">
        <v>14</v>
      </c>
      <c r="C5" s="18">
        <v>145</v>
      </c>
      <c r="D5" s="84">
        <v>45960</v>
      </c>
      <c r="E5" s="22">
        <f t="shared" si="0"/>
        <v>256</v>
      </c>
      <c r="F5" s="11">
        <v>0</v>
      </c>
      <c r="G5" s="12">
        <v>0</v>
      </c>
      <c r="H5" s="13">
        <f>RANK(G5,$G$3:$G$6)+COUNTIF($G$3:G5,G5)-1</f>
        <v>4</v>
      </c>
      <c r="I5" s="12">
        <v>0</v>
      </c>
      <c r="J5" s="14">
        <f>RANK(I5,$I$3:$I$16)+COUNTIF($I$3:I5,I5)-1</f>
        <v>4</v>
      </c>
      <c r="K5" s="15" t="e">
        <f>(#REF!+J5)/2</f>
        <v>#REF!</v>
      </c>
      <c r="L5" s="20" t="e">
        <f>RANK(K5,$K$3:$K$16,1)+COUNTIF($K$3:K5,K5)-1</f>
        <v>#REF!</v>
      </c>
      <c r="M5" s="2"/>
    </row>
    <row r="6" spans="1:15">
      <c r="A6" s="21" t="s">
        <v>15</v>
      </c>
      <c r="B6" s="18" t="s">
        <v>16</v>
      </c>
      <c r="C6" s="18">
        <v>127</v>
      </c>
      <c r="D6" s="84">
        <v>45966</v>
      </c>
      <c r="E6" s="22">
        <f t="shared" si="0"/>
        <v>250</v>
      </c>
      <c r="F6" s="11">
        <v>226</v>
      </c>
      <c r="G6" s="12">
        <v>61</v>
      </c>
      <c r="H6" s="13">
        <f>RANK(G6,$G$3:$G$6)+COUNTIF($G$3:G6,G6)-1</f>
        <v>2</v>
      </c>
      <c r="I6" s="12">
        <v>83</v>
      </c>
      <c r="J6" s="14">
        <f>RANK(I6,$I$3:$I$16)+COUNTIF($I$3:I6,I6)-1</f>
        <v>2</v>
      </c>
      <c r="K6" s="15" t="e">
        <f>(#REF!+J6)/2</f>
        <v>#REF!</v>
      </c>
      <c r="L6" s="20" t="e">
        <f>RANK(K6,$K$3:$K$16,1)+COUNTIF($K$3:K6,K6)-1</f>
        <v>#REF!</v>
      </c>
      <c r="M6" s="2"/>
    </row>
    <row r="7" spans="1:15">
      <c r="A7" s="21"/>
      <c r="B7" s="18"/>
      <c r="C7" s="23"/>
      <c r="D7" s="22"/>
      <c r="E7" s="22"/>
      <c r="F7" s="25"/>
      <c r="G7" s="26"/>
      <c r="H7" s="13"/>
      <c r="I7" s="26"/>
      <c r="J7" s="14"/>
      <c r="K7" s="27"/>
      <c r="L7" s="28"/>
      <c r="M7" s="2"/>
    </row>
    <row r="8" spans="1:15">
      <c r="A8" s="21"/>
      <c r="B8" s="18"/>
      <c r="C8" s="23"/>
      <c r="D8" s="22"/>
      <c r="E8" s="22"/>
      <c r="F8" s="25"/>
      <c r="G8" s="26"/>
      <c r="H8" s="13"/>
      <c r="I8" s="26"/>
      <c r="J8" s="14"/>
      <c r="K8" s="27"/>
      <c r="L8" s="28"/>
      <c r="M8" s="2"/>
    </row>
    <row r="9" spans="1:15">
      <c r="A9" s="21"/>
      <c r="B9" s="18"/>
      <c r="C9" s="23"/>
      <c r="D9" s="22"/>
      <c r="E9" s="22"/>
      <c r="F9" s="25"/>
      <c r="G9" s="26"/>
      <c r="H9" s="13"/>
      <c r="I9" s="26"/>
      <c r="J9" s="14"/>
      <c r="K9" s="27"/>
      <c r="L9" s="28"/>
      <c r="M9" s="2"/>
    </row>
    <row r="10" spans="1:15">
      <c r="A10" s="21"/>
      <c r="B10" s="18"/>
      <c r="C10" s="23"/>
      <c r="D10" s="22"/>
      <c r="E10" s="22"/>
      <c r="F10" s="25"/>
      <c r="G10" s="26"/>
      <c r="H10" s="13"/>
      <c r="I10" s="26"/>
      <c r="J10" s="14"/>
      <c r="K10" s="27"/>
      <c r="L10" s="28"/>
      <c r="M10" s="2"/>
    </row>
    <row r="11" spans="1:15">
      <c r="A11" s="21"/>
      <c r="B11" s="18"/>
      <c r="C11" s="23"/>
      <c r="D11" s="22"/>
      <c r="E11" s="22"/>
      <c r="F11" s="25"/>
      <c r="G11" s="26"/>
      <c r="H11" s="13"/>
      <c r="I11" s="26"/>
      <c r="J11" s="14"/>
      <c r="K11" s="27"/>
      <c r="L11" s="28"/>
      <c r="M11" s="2"/>
    </row>
    <row r="12" spans="1:15">
      <c r="A12" s="21"/>
      <c r="B12" s="18"/>
      <c r="C12" s="23"/>
      <c r="D12" s="22"/>
      <c r="E12" s="22"/>
      <c r="F12" s="25"/>
      <c r="G12" s="26"/>
      <c r="H12" s="13"/>
      <c r="I12" s="26"/>
      <c r="J12" s="14"/>
      <c r="K12" s="27"/>
      <c r="L12" s="28"/>
      <c r="M12" s="2"/>
    </row>
    <row r="13" spans="1:15">
      <c r="A13" s="21"/>
      <c r="B13" s="18"/>
      <c r="C13" s="23"/>
      <c r="D13" s="22"/>
      <c r="E13" s="22"/>
      <c r="F13" s="25"/>
      <c r="G13" s="26"/>
      <c r="H13" s="13"/>
      <c r="I13" s="26"/>
      <c r="J13" s="14"/>
      <c r="K13" s="27"/>
      <c r="L13" s="28"/>
    </row>
    <row r="14" spans="1:15">
      <c r="A14" s="21"/>
      <c r="B14" s="18"/>
      <c r="C14" s="23"/>
      <c r="D14" s="22"/>
      <c r="E14" s="22"/>
      <c r="F14" s="25"/>
      <c r="G14" s="26"/>
      <c r="H14" s="13"/>
      <c r="I14" s="26"/>
      <c r="J14" s="14"/>
      <c r="K14" s="27"/>
      <c r="L14" s="28"/>
    </row>
    <row r="15" spans="1:15">
      <c r="A15" s="21"/>
      <c r="B15" s="18"/>
      <c r="C15" s="23"/>
      <c r="D15" s="22"/>
      <c r="E15" s="22"/>
      <c r="F15" s="25"/>
      <c r="G15" s="26"/>
      <c r="H15" s="13"/>
      <c r="I15" s="26"/>
      <c r="J15" s="14"/>
      <c r="K15" s="27"/>
      <c r="L15" s="28"/>
    </row>
    <row r="16" spans="1:15" ht="15" thickBot="1">
      <c r="A16" s="29"/>
      <c r="B16" s="30"/>
      <c r="C16" s="31"/>
      <c r="D16" s="33"/>
      <c r="E16" s="33"/>
      <c r="F16" s="34"/>
      <c r="G16" s="35"/>
      <c r="H16" s="36"/>
      <c r="I16" s="35"/>
      <c r="J16" s="37"/>
      <c r="K16" s="38"/>
      <c r="L16" s="39"/>
    </row>
    <row r="17" spans="2:6">
      <c r="F17" s="3"/>
    </row>
    <row r="18" spans="2:6">
      <c r="B18" s="41" t="s">
        <v>17</v>
      </c>
      <c r="C18" s="41"/>
      <c r="F18" s="3"/>
    </row>
    <row r="19" spans="2:6">
      <c r="B19" s="42"/>
      <c r="C19" s="43" t="s">
        <v>18</v>
      </c>
      <c r="D19" s="40"/>
      <c r="E19" s="40"/>
      <c r="F19" s="3"/>
    </row>
    <row r="20" spans="2:6">
      <c r="F20" s="3"/>
    </row>
  </sheetData>
  <mergeCells count="10">
    <mergeCell ref="L1:L2"/>
    <mergeCell ref="A1:A2"/>
    <mergeCell ref="B1:B2"/>
    <mergeCell ref="C1:C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DF835-C5DF-49FF-957C-7A6FB0D8D16C}">
  <dimension ref="A1:O20"/>
  <sheetViews>
    <sheetView workbookViewId="0">
      <selection activeCell="F19" sqref="F19"/>
    </sheetView>
  </sheetViews>
  <sheetFormatPr defaultColWidth="9" defaultRowHeight="14.45"/>
  <cols>
    <col min="1" max="1" width="11.5703125" style="3" customWidth="1"/>
    <col min="2" max="3" width="10.5703125" style="3" customWidth="1"/>
    <col min="4" max="5" width="10.42578125" style="3" customWidth="1"/>
    <col min="6" max="6" width="12.85546875" style="40" customWidth="1"/>
    <col min="7" max="8" width="12.85546875" style="3" customWidth="1"/>
    <col min="9" max="9" width="15.85546875" style="3" customWidth="1"/>
    <col min="10" max="10" width="11.7109375" style="3" customWidth="1"/>
    <col min="11" max="11" width="14" style="3" customWidth="1"/>
    <col min="12" max="12" width="11.7109375" style="3" customWidth="1"/>
    <col min="13" max="13" width="9" style="3"/>
    <col min="14" max="14" width="4.140625" style="3" customWidth="1"/>
    <col min="15" max="15" width="11.7109375" style="3" customWidth="1"/>
    <col min="16" max="16384" width="9" style="3"/>
  </cols>
  <sheetData>
    <row r="1" spans="1:15" ht="64.150000000000006" customHeight="1">
      <c r="A1" s="94" t="s">
        <v>0</v>
      </c>
      <c r="B1" s="96" t="s">
        <v>1</v>
      </c>
      <c r="C1" s="96" t="s">
        <v>2</v>
      </c>
      <c r="D1" s="1" t="s">
        <v>3</v>
      </c>
      <c r="E1" s="1" t="s">
        <v>4</v>
      </c>
      <c r="F1" s="98" t="s">
        <v>5</v>
      </c>
      <c r="G1" s="98" t="s">
        <v>6</v>
      </c>
      <c r="H1" s="100" t="s">
        <v>7</v>
      </c>
      <c r="I1" s="98" t="s">
        <v>8</v>
      </c>
      <c r="J1" s="102" t="s">
        <v>9</v>
      </c>
      <c r="K1" s="104" t="s">
        <v>10</v>
      </c>
      <c r="L1" s="92" t="s">
        <v>11</v>
      </c>
      <c r="M1" s="2"/>
    </row>
    <row r="2" spans="1:15" ht="19.899999999999999" customHeight="1" thickBot="1">
      <c r="A2" s="95"/>
      <c r="B2" s="97"/>
      <c r="C2" s="97"/>
      <c r="D2" s="4"/>
      <c r="E2" s="4"/>
      <c r="F2" s="99"/>
      <c r="G2" s="99"/>
      <c r="H2" s="101"/>
      <c r="I2" s="99"/>
      <c r="J2" s="103"/>
      <c r="K2" s="105"/>
      <c r="L2" s="93"/>
      <c r="M2" s="2"/>
      <c r="O2" s="5">
        <f ca="1">TODAY()</f>
        <v>46253</v>
      </c>
    </row>
    <row r="3" spans="1:15">
      <c r="A3" s="6" t="s">
        <v>15</v>
      </c>
      <c r="B3" s="7" t="s">
        <v>12</v>
      </c>
      <c r="C3" s="8">
        <v>119</v>
      </c>
      <c r="D3" s="83">
        <v>45936</v>
      </c>
      <c r="E3" s="10">
        <f>($O$4-D3)</f>
        <v>280</v>
      </c>
      <c r="F3" s="11">
        <v>84</v>
      </c>
      <c r="G3" s="12">
        <v>24</v>
      </c>
      <c r="H3" s="13">
        <f>RANK(G3,$G$3:$G$6)+COUNTIF($G$3:G3,G3)-1</f>
        <v>3</v>
      </c>
      <c r="I3" s="12">
        <v>85</v>
      </c>
      <c r="J3" s="14">
        <f>RANK(I3,$I$3:$I$16)+COUNTIF($I$3:I3,I3)-1</f>
        <v>1</v>
      </c>
      <c r="K3" s="15" t="e">
        <f>(#REF!+J3)/2</f>
        <v>#REF!</v>
      </c>
      <c r="L3" s="53" t="e">
        <f>RANK(K3,$K$3:$K$16,1)+COUNTIF($K$3:K3,K3)-1</f>
        <v>#REF!</v>
      </c>
      <c r="M3" s="2"/>
    </row>
    <row r="4" spans="1:15">
      <c r="A4" s="17" t="s">
        <v>21</v>
      </c>
      <c r="B4" s="18" t="s">
        <v>13</v>
      </c>
      <c r="C4" s="18">
        <v>122</v>
      </c>
      <c r="D4" s="84">
        <v>45938</v>
      </c>
      <c r="E4" s="19">
        <f t="shared" ref="E4:E6" si="0">($O$4-D4)</f>
        <v>278</v>
      </c>
      <c r="F4" s="11">
        <v>226</v>
      </c>
      <c r="G4" s="12">
        <v>77</v>
      </c>
      <c r="H4" s="13">
        <f>RANK(G4,$G$3:$G$6)+COUNTIF($G$3:G4,G4)-1</f>
        <v>1</v>
      </c>
      <c r="I4" s="12">
        <v>84</v>
      </c>
      <c r="J4" s="14">
        <f>RANK(I4,$I$3:$I$16)+COUNTIF($I$3:I4,I4)-1</f>
        <v>3</v>
      </c>
      <c r="K4" s="15" t="e">
        <f>(#REF!+J4)/2</f>
        <v>#REF!</v>
      </c>
      <c r="L4" s="20" t="e">
        <f>RANK(K4,$K$3:$K$16,1)+COUNTIF($K$3:K4,K4)-1</f>
        <v>#REF!</v>
      </c>
      <c r="M4" s="2"/>
      <c r="O4" s="5">
        <v>46216</v>
      </c>
    </row>
    <row r="5" spans="1:15">
      <c r="A5" s="21"/>
      <c r="B5" s="18" t="s">
        <v>14</v>
      </c>
      <c r="C5" s="18">
        <v>145</v>
      </c>
      <c r="D5" s="84">
        <v>45960</v>
      </c>
      <c r="E5" s="22">
        <f t="shared" si="0"/>
        <v>256</v>
      </c>
      <c r="F5" s="11">
        <v>0</v>
      </c>
      <c r="G5" s="12">
        <v>0</v>
      </c>
      <c r="H5" s="13">
        <f>RANK(G5,$G$3:$G$6)+COUNTIF($G$3:G5,G5)-1</f>
        <v>4</v>
      </c>
      <c r="I5" s="12">
        <v>0</v>
      </c>
      <c r="J5" s="14">
        <f>RANK(I5,$I$3:$I$16)+COUNTIF($I$3:I5,I5)-1</f>
        <v>4</v>
      </c>
      <c r="K5" s="15" t="e">
        <f>(#REF!+J5)/2</f>
        <v>#REF!</v>
      </c>
      <c r="L5" s="20" t="e">
        <f>RANK(K5,$K$3:$K$16,1)+COUNTIF($K$3:K5,K5)-1</f>
        <v>#REF!</v>
      </c>
      <c r="M5" s="2"/>
    </row>
    <row r="6" spans="1:15">
      <c r="A6" s="21" t="s">
        <v>21</v>
      </c>
      <c r="B6" s="18" t="s">
        <v>16</v>
      </c>
      <c r="C6" s="18">
        <v>127</v>
      </c>
      <c r="D6" s="84">
        <v>45966</v>
      </c>
      <c r="E6" s="22">
        <f t="shared" si="0"/>
        <v>250</v>
      </c>
      <c r="F6" s="11">
        <v>154</v>
      </c>
      <c r="G6" s="12">
        <v>64</v>
      </c>
      <c r="H6" s="13">
        <f>RANK(G6,$G$3:$G$6)+COUNTIF($G$3:G6,G6)-1</f>
        <v>2</v>
      </c>
      <c r="I6" s="12">
        <v>85</v>
      </c>
      <c r="J6" s="14">
        <f>RANK(I6,$I$3:$I$16)+COUNTIF($I$3:I6,I6)-1</f>
        <v>2</v>
      </c>
      <c r="K6" s="15" t="e">
        <f>(#REF!+J6)/2</f>
        <v>#REF!</v>
      </c>
      <c r="L6" s="20" t="e">
        <f>RANK(K6,$K$3:$K$16,1)+COUNTIF($K$3:K6,K6)-1</f>
        <v>#REF!</v>
      </c>
      <c r="M6" s="2"/>
    </row>
    <row r="7" spans="1:15">
      <c r="A7" s="21"/>
      <c r="B7" s="18"/>
      <c r="C7" s="23"/>
      <c r="D7" s="22"/>
      <c r="E7" s="22"/>
      <c r="F7" s="25"/>
      <c r="G7" s="26"/>
      <c r="H7" s="13"/>
      <c r="I7" s="26"/>
      <c r="J7" s="14"/>
      <c r="K7" s="27"/>
      <c r="L7" s="28"/>
      <c r="M7" s="2"/>
    </row>
    <row r="8" spans="1:15">
      <c r="A8" s="21"/>
      <c r="B8" s="18"/>
      <c r="C8" s="23"/>
      <c r="D8" s="22"/>
      <c r="E8" s="22"/>
      <c r="F8" s="25"/>
      <c r="G8" s="26"/>
      <c r="H8" s="13"/>
      <c r="I8" s="26"/>
      <c r="J8" s="14"/>
      <c r="K8" s="27"/>
      <c r="L8" s="28"/>
      <c r="M8" s="2"/>
    </row>
    <row r="9" spans="1:15">
      <c r="A9" s="21"/>
      <c r="B9" s="18"/>
      <c r="C9" s="23"/>
      <c r="D9" s="22"/>
      <c r="E9" s="22"/>
      <c r="F9" s="25"/>
      <c r="G9" s="26"/>
      <c r="H9" s="13"/>
      <c r="I9" s="26"/>
      <c r="J9" s="14"/>
      <c r="K9" s="27"/>
      <c r="L9" s="28"/>
      <c r="M9" s="2"/>
    </row>
    <row r="10" spans="1:15">
      <c r="A10" s="21"/>
      <c r="B10" s="18"/>
      <c r="C10" s="23"/>
      <c r="D10" s="22"/>
      <c r="E10" s="22"/>
      <c r="F10" s="25"/>
      <c r="G10" s="26"/>
      <c r="H10" s="13"/>
      <c r="I10" s="26"/>
      <c r="J10" s="14"/>
      <c r="K10" s="27"/>
      <c r="L10" s="28"/>
      <c r="M10" s="2"/>
    </row>
    <row r="11" spans="1:15">
      <c r="A11" s="21"/>
      <c r="B11" s="18"/>
      <c r="C11" s="23"/>
      <c r="D11" s="22"/>
      <c r="E11" s="22"/>
      <c r="F11" s="25"/>
      <c r="G11" s="26"/>
      <c r="H11" s="13"/>
      <c r="I11" s="26"/>
      <c r="J11" s="14"/>
      <c r="K11" s="27"/>
      <c r="L11" s="28"/>
      <c r="M11" s="2"/>
    </row>
    <row r="12" spans="1:15">
      <c r="A12" s="21"/>
      <c r="B12" s="18"/>
      <c r="C12" s="23"/>
      <c r="D12" s="22"/>
      <c r="E12" s="22"/>
      <c r="F12" s="25"/>
      <c r="G12" s="26"/>
      <c r="H12" s="13"/>
      <c r="I12" s="26"/>
      <c r="J12" s="14"/>
      <c r="K12" s="27"/>
      <c r="L12" s="28"/>
      <c r="M12" s="2"/>
    </row>
    <row r="13" spans="1:15">
      <c r="A13" s="21"/>
      <c r="B13" s="18"/>
      <c r="C13" s="23"/>
      <c r="D13" s="22"/>
      <c r="E13" s="22"/>
      <c r="F13" s="25"/>
      <c r="G13" s="26"/>
      <c r="H13" s="13"/>
      <c r="I13" s="26"/>
      <c r="J13" s="14"/>
      <c r="K13" s="27"/>
      <c r="L13" s="28"/>
    </row>
    <row r="14" spans="1:15">
      <c r="A14" s="21"/>
      <c r="B14" s="18"/>
      <c r="C14" s="23"/>
      <c r="D14" s="22"/>
      <c r="E14" s="22"/>
      <c r="F14" s="25"/>
      <c r="G14" s="26"/>
      <c r="H14" s="13"/>
      <c r="I14" s="26"/>
      <c r="J14" s="14"/>
      <c r="K14" s="27"/>
      <c r="L14" s="28"/>
    </row>
    <row r="15" spans="1:15">
      <c r="A15" s="21"/>
      <c r="B15" s="18"/>
      <c r="C15" s="23"/>
      <c r="D15" s="22"/>
      <c r="E15" s="22"/>
      <c r="F15" s="25"/>
      <c r="G15" s="26"/>
      <c r="H15" s="13"/>
      <c r="I15" s="26"/>
      <c r="J15" s="14"/>
      <c r="K15" s="27"/>
      <c r="L15" s="28"/>
    </row>
    <row r="16" spans="1:15" ht="15" thickBot="1">
      <c r="A16" s="29"/>
      <c r="B16" s="30"/>
      <c r="C16" s="31"/>
      <c r="D16" s="33"/>
      <c r="E16" s="33"/>
      <c r="F16" s="34"/>
      <c r="G16" s="35"/>
      <c r="H16" s="36"/>
      <c r="I16" s="35"/>
      <c r="J16" s="37"/>
      <c r="K16" s="38"/>
      <c r="L16" s="39"/>
    </row>
    <row r="17" spans="2:6">
      <c r="F17" s="3"/>
    </row>
    <row r="18" spans="2:6">
      <c r="B18" s="41" t="s">
        <v>17</v>
      </c>
      <c r="C18" s="41"/>
      <c r="F18" s="3"/>
    </row>
    <row r="19" spans="2:6">
      <c r="B19" s="42"/>
      <c r="C19" s="43" t="s">
        <v>18</v>
      </c>
      <c r="D19" s="40"/>
      <c r="E19" s="40"/>
      <c r="F19" s="3"/>
    </row>
    <row r="20" spans="2:6">
      <c r="F20" s="3"/>
    </row>
  </sheetData>
  <mergeCells count="10">
    <mergeCell ref="L1:L2"/>
    <mergeCell ref="A1:A2"/>
    <mergeCell ref="B1:B2"/>
    <mergeCell ref="C1:C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CAAC6-3105-4BE4-8448-FB70E20F490C}">
  <dimension ref="A1:O20"/>
  <sheetViews>
    <sheetView workbookViewId="0">
      <selection activeCell="G18" sqref="G18"/>
    </sheetView>
  </sheetViews>
  <sheetFormatPr defaultColWidth="9" defaultRowHeight="14.45"/>
  <cols>
    <col min="1" max="1" width="11.5703125" style="3" customWidth="1"/>
    <col min="2" max="3" width="10.5703125" style="3" customWidth="1"/>
    <col min="4" max="5" width="10.42578125" style="3" customWidth="1"/>
    <col min="6" max="6" width="12.85546875" style="40" customWidth="1"/>
    <col min="7" max="8" width="12.85546875" style="3" customWidth="1"/>
    <col min="9" max="9" width="15.85546875" style="3" customWidth="1"/>
    <col min="10" max="10" width="11.7109375" style="3" customWidth="1"/>
    <col min="11" max="11" width="14" style="3" customWidth="1"/>
    <col min="12" max="12" width="11.7109375" style="3" customWidth="1"/>
    <col min="13" max="13" width="9" style="3"/>
    <col min="14" max="14" width="4.140625" style="3" customWidth="1"/>
    <col min="15" max="15" width="11.7109375" style="3" customWidth="1"/>
    <col min="16" max="16384" width="9" style="3"/>
  </cols>
  <sheetData>
    <row r="1" spans="1:15" ht="64.150000000000006" customHeight="1">
      <c r="A1" s="94" t="s">
        <v>0</v>
      </c>
      <c r="B1" s="96" t="s">
        <v>1</v>
      </c>
      <c r="C1" s="96" t="s">
        <v>2</v>
      </c>
      <c r="D1" s="1" t="s">
        <v>3</v>
      </c>
      <c r="E1" s="1" t="s">
        <v>4</v>
      </c>
      <c r="F1" s="98" t="s">
        <v>5</v>
      </c>
      <c r="G1" s="98" t="s">
        <v>6</v>
      </c>
      <c r="H1" s="100" t="s">
        <v>7</v>
      </c>
      <c r="I1" s="98" t="s">
        <v>8</v>
      </c>
      <c r="J1" s="102" t="s">
        <v>9</v>
      </c>
      <c r="K1" s="104" t="s">
        <v>10</v>
      </c>
      <c r="L1" s="92" t="s">
        <v>11</v>
      </c>
      <c r="M1" s="2"/>
    </row>
    <row r="2" spans="1:15" ht="19.899999999999999" customHeight="1" thickBot="1">
      <c r="A2" s="95"/>
      <c r="B2" s="97"/>
      <c r="C2" s="97"/>
      <c r="D2" s="4"/>
      <c r="E2" s="4"/>
      <c r="F2" s="99"/>
      <c r="G2" s="99"/>
      <c r="H2" s="101"/>
      <c r="I2" s="99"/>
      <c r="J2" s="103"/>
      <c r="K2" s="105"/>
      <c r="L2" s="93"/>
      <c r="M2" s="2"/>
      <c r="O2" s="5">
        <f ca="1">TODAY()</f>
        <v>46253</v>
      </c>
    </row>
    <row r="3" spans="1:15">
      <c r="A3" s="6" t="s">
        <v>15</v>
      </c>
      <c r="B3" s="7" t="s">
        <v>12</v>
      </c>
      <c r="C3" s="8">
        <v>119</v>
      </c>
      <c r="D3" s="83">
        <v>45936</v>
      </c>
      <c r="E3" s="10">
        <f>($O$4-D3)</f>
        <v>280</v>
      </c>
      <c r="F3" s="11">
        <v>192</v>
      </c>
      <c r="G3" s="12">
        <v>62</v>
      </c>
      <c r="H3" s="13">
        <f>RANK(G3,$G$3:$G$6)+COUNTIF($G$3:G3,G3)-1</f>
        <v>1</v>
      </c>
      <c r="I3" s="12">
        <v>86</v>
      </c>
      <c r="J3" s="14">
        <f>RANK(I3,$I$3:$I$16)+COUNTIF($I$3:I3,I3)-1</f>
        <v>1</v>
      </c>
      <c r="K3" s="15" t="e">
        <f>(#REF!+J3)/2</f>
        <v>#REF!</v>
      </c>
      <c r="L3" s="53" t="e">
        <f>RANK(K3,$K$3:$K$16,1)+COUNTIF($K$3:K3,K3)-1</f>
        <v>#REF!</v>
      </c>
      <c r="M3" s="2"/>
    </row>
    <row r="4" spans="1:15">
      <c r="A4" s="17" t="s">
        <v>15</v>
      </c>
      <c r="B4" s="18" t="s">
        <v>13</v>
      </c>
      <c r="C4" s="18">
        <v>122</v>
      </c>
      <c r="D4" s="84">
        <v>45938</v>
      </c>
      <c r="E4" s="19">
        <f t="shared" ref="E4:E6" si="0">($O$4-D4)</f>
        <v>278</v>
      </c>
      <c r="F4" s="11">
        <v>244</v>
      </c>
      <c r="G4" s="12">
        <v>44</v>
      </c>
      <c r="H4" s="13">
        <f>RANK(G4,$G$3:$G$6)+COUNTIF($G$3:G4,G4)-1</f>
        <v>2</v>
      </c>
      <c r="I4" s="12">
        <v>84</v>
      </c>
      <c r="J4" s="14">
        <f>RANK(I4,$I$3:$I$16)+COUNTIF($I$3:I4,I4)-1</f>
        <v>3</v>
      </c>
      <c r="K4" s="15" t="e">
        <f>(#REF!+J4)/2</f>
        <v>#REF!</v>
      </c>
      <c r="L4" s="20" t="e">
        <f>RANK(K4,$K$3:$K$16,1)+COUNTIF($K$3:K4,K4)-1</f>
        <v>#REF!</v>
      </c>
      <c r="M4" s="2"/>
      <c r="O4" s="5">
        <v>46216</v>
      </c>
    </row>
    <row r="5" spans="1:15">
      <c r="A5" s="21"/>
      <c r="B5" s="18" t="s">
        <v>14</v>
      </c>
      <c r="C5" s="18">
        <v>145</v>
      </c>
      <c r="D5" s="84">
        <v>45960</v>
      </c>
      <c r="E5" s="22">
        <f t="shared" si="0"/>
        <v>256</v>
      </c>
      <c r="F5" s="11">
        <v>0</v>
      </c>
      <c r="G5" s="12">
        <v>0</v>
      </c>
      <c r="H5" s="13">
        <f>RANK(G5,$G$3:$G$6)+COUNTIF($G$3:G5,G5)-1</f>
        <v>4</v>
      </c>
      <c r="I5" s="12">
        <v>0</v>
      </c>
      <c r="J5" s="14">
        <f>RANK(I5,$I$3:$I$16)+COUNTIF($I$3:I5,I5)-1</f>
        <v>4</v>
      </c>
      <c r="K5" s="15" t="e">
        <f>(#REF!+J5)/2</f>
        <v>#REF!</v>
      </c>
      <c r="L5" s="20" t="e">
        <f>RANK(K5,$K$3:$K$16,1)+COUNTIF($K$3:K5,K5)-1</f>
        <v>#REF!</v>
      </c>
      <c r="M5" s="2"/>
    </row>
    <row r="6" spans="1:15">
      <c r="A6" s="21" t="s">
        <v>21</v>
      </c>
      <c r="B6" s="18" t="s">
        <v>16</v>
      </c>
      <c r="C6" s="18">
        <v>127</v>
      </c>
      <c r="D6" s="84">
        <v>45966</v>
      </c>
      <c r="E6" s="22">
        <f t="shared" si="0"/>
        <v>250</v>
      </c>
      <c r="F6" s="11">
        <v>126</v>
      </c>
      <c r="G6" s="12">
        <v>27</v>
      </c>
      <c r="H6" s="13">
        <f>RANK(G6,$G$3:$G$6)+COUNTIF($G$3:G6,G6)-1</f>
        <v>3</v>
      </c>
      <c r="I6" s="12">
        <v>85</v>
      </c>
      <c r="J6" s="14">
        <f>RANK(I6,$I$3:$I$16)+COUNTIF($I$3:I6,I6)-1</f>
        <v>2</v>
      </c>
      <c r="K6" s="15" t="e">
        <f>(#REF!+J6)/2</f>
        <v>#REF!</v>
      </c>
      <c r="L6" s="20" t="e">
        <f>RANK(K6,$K$3:$K$16,1)+COUNTIF($K$3:K6,K6)-1</f>
        <v>#REF!</v>
      </c>
      <c r="M6" s="2"/>
    </row>
    <row r="7" spans="1:15">
      <c r="A7" s="21"/>
      <c r="B7" s="18"/>
      <c r="C7" s="23"/>
      <c r="D7" s="22"/>
      <c r="E7" s="22"/>
      <c r="F7" s="25"/>
      <c r="G7" s="26"/>
      <c r="H7" s="13"/>
      <c r="I7" s="26"/>
      <c r="J7" s="14"/>
      <c r="K7" s="27"/>
      <c r="L7" s="28"/>
      <c r="M7" s="2"/>
    </row>
    <row r="8" spans="1:15">
      <c r="A8" s="21"/>
      <c r="B8" s="18"/>
      <c r="C8" s="23"/>
      <c r="D8" s="22"/>
      <c r="E8" s="22"/>
      <c r="F8" s="25"/>
      <c r="G8" s="26"/>
      <c r="H8" s="13"/>
      <c r="I8" s="26"/>
      <c r="J8" s="14"/>
      <c r="K8" s="27"/>
      <c r="L8" s="28"/>
      <c r="M8" s="2"/>
    </row>
    <row r="9" spans="1:15">
      <c r="A9" s="21"/>
      <c r="B9" s="18"/>
      <c r="C9" s="23"/>
      <c r="D9" s="22"/>
      <c r="E9" s="22"/>
      <c r="F9" s="25"/>
      <c r="G9" s="26"/>
      <c r="H9" s="13"/>
      <c r="I9" s="26"/>
      <c r="J9" s="14"/>
      <c r="K9" s="27"/>
      <c r="L9" s="28"/>
      <c r="M9" s="2"/>
    </row>
    <row r="10" spans="1:15">
      <c r="A10" s="21"/>
      <c r="B10" s="18"/>
      <c r="C10" s="23"/>
      <c r="D10" s="22"/>
      <c r="E10" s="22"/>
      <c r="F10" s="25"/>
      <c r="G10" s="26"/>
      <c r="H10" s="13"/>
      <c r="I10" s="26"/>
      <c r="J10" s="14"/>
      <c r="K10" s="27"/>
      <c r="L10" s="28"/>
      <c r="M10" s="2"/>
    </row>
    <row r="11" spans="1:15">
      <c r="A11" s="21"/>
      <c r="B11" s="18"/>
      <c r="C11" s="23"/>
      <c r="D11" s="22"/>
      <c r="E11" s="22"/>
      <c r="F11" s="25"/>
      <c r="G11" s="26"/>
      <c r="H11" s="13"/>
      <c r="I11" s="26"/>
      <c r="J11" s="14"/>
      <c r="K11" s="27"/>
      <c r="L11" s="28"/>
      <c r="M11" s="2"/>
    </row>
    <row r="12" spans="1:15">
      <c r="A12" s="21"/>
      <c r="B12" s="18"/>
      <c r="C12" s="23"/>
      <c r="D12" s="22"/>
      <c r="E12" s="22"/>
      <c r="F12" s="25"/>
      <c r="G12" s="26"/>
      <c r="H12" s="13"/>
      <c r="I12" s="26"/>
      <c r="J12" s="14"/>
      <c r="K12" s="27"/>
      <c r="L12" s="28"/>
      <c r="M12" s="2"/>
    </row>
    <row r="13" spans="1:15">
      <c r="A13" s="21"/>
      <c r="B13" s="18"/>
      <c r="C13" s="23"/>
      <c r="D13" s="22"/>
      <c r="E13" s="22"/>
      <c r="F13" s="25"/>
      <c r="G13" s="26"/>
      <c r="H13" s="13"/>
      <c r="I13" s="26"/>
      <c r="J13" s="14"/>
      <c r="K13" s="27"/>
      <c r="L13" s="28"/>
    </row>
    <row r="14" spans="1:15">
      <c r="A14" s="21"/>
      <c r="B14" s="18"/>
      <c r="C14" s="23"/>
      <c r="D14" s="22"/>
      <c r="E14" s="22"/>
      <c r="F14" s="25"/>
      <c r="G14" s="26"/>
      <c r="H14" s="13"/>
      <c r="I14" s="26"/>
      <c r="J14" s="14"/>
      <c r="K14" s="27"/>
      <c r="L14" s="28"/>
    </row>
    <row r="15" spans="1:15">
      <c r="A15" s="21"/>
      <c r="B15" s="18"/>
      <c r="C15" s="23"/>
      <c r="D15" s="22"/>
      <c r="E15" s="22"/>
      <c r="F15" s="25"/>
      <c r="G15" s="26"/>
      <c r="H15" s="13"/>
      <c r="I15" s="26"/>
      <c r="J15" s="14"/>
      <c r="K15" s="27"/>
      <c r="L15" s="28"/>
    </row>
    <row r="16" spans="1:15" ht="15" thickBot="1">
      <c r="A16" s="29"/>
      <c r="B16" s="30"/>
      <c r="C16" s="31"/>
      <c r="D16" s="33"/>
      <c r="E16" s="33"/>
      <c r="F16" s="34"/>
      <c r="G16" s="35"/>
      <c r="H16" s="36"/>
      <c r="I16" s="35"/>
      <c r="J16" s="37"/>
      <c r="K16" s="38"/>
      <c r="L16" s="39"/>
    </row>
    <row r="17" spans="2:6">
      <c r="F17" s="3"/>
    </row>
    <row r="18" spans="2:6">
      <c r="B18" s="41" t="s">
        <v>17</v>
      </c>
      <c r="C18" s="41"/>
      <c r="F18" s="3"/>
    </row>
    <row r="19" spans="2:6">
      <c r="B19" s="42"/>
      <c r="C19" s="43" t="s">
        <v>18</v>
      </c>
      <c r="D19" s="40"/>
      <c r="E19" s="40"/>
      <c r="F19" s="3"/>
    </row>
    <row r="20" spans="2:6">
      <c r="F20" s="3"/>
    </row>
  </sheetData>
  <mergeCells count="10">
    <mergeCell ref="L1:L2"/>
    <mergeCell ref="A1:A2"/>
    <mergeCell ref="B1:B2"/>
    <mergeCell ref="C1:C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C295A-EF56-4508-9629-D839826AB53C}">
  <dimension ref="A1:P20"/>
  <sheetViews>
    <sheetView workbookViewId="0">
      <selection activeCell="I7" sqref="I7"/>
    </sheetView>
  </sheetViews>
  <sheetFormatPr defaultColWidth="9" defaultRowHeight="14.45"/>
  <cols>
    <col min="1" max="1" width="11.5703125" style="3" customWidth="1"/>
    <col min="2" max="3" width="10.5703125" style="3" customWidth="1"/>
    <col min="4" max="5" width="10.42578125" style="3" customWidth="1"/>
    <col min="6" max="6" width="12.85546875" style="40" customWidth="1"/>
    <col min="7" max="8" width="12.85546875" style="3" customWidth="1"/>
    <col min="9" max="9" width="15.85546875" style="3" customWidth="1"/>
    <col min="10" max="10" width="11.7109375" style="3" customWidth="1"/>
    <col min="11" max="11" width="14" style="3" customWidth="1"/>
    <col min="12" max="12" width="11.7109375" style="3" customWidth="1"/>
    <col min="13" max="13" width="9" style="3"/>
    <col min="14" max="14" width="4.140625" style="3" customWidth="1"/>
    <col min="15" max="15" width="11.7109375" style="3" customWidth="1"/>
    <col min="16" max="16" width="14.5703125" style="3" customWidth="1"/>
    <col min="17" max="16384" width="9" style="3"/>
  </cols>
  <sheetData>
    <row r="1" spans="1:16" ht="64.150000000000006" customHeight="1">
      <c r="A1" s="94" t="s">
        <v>0</v>
      </c>
      <c r="B1" s="96" t="s">
        <v>1</v>
      </c>
      <c r="C1" s="96" t="s">
        <v>2</v>
      </c>
      <c r="D1" s="1" t="s">
        <v>3</v>
      </c>
      <c r="E1" s="1" t="s">
        <v>4</v>
      </c>
      <c r="F1" s="98" t="s">
        <v>5</v>
      </c>
      <c r="G1" s="98" t="s">
        <v>6</v>
      </c>
      <c r="H1" s="100" t="s">
        <v>7</v>
      </c>
      <c r="I1" s="98" t="s">
        <v>8</v>
      </c>
      <c r="J1" s="102" t="s">
        <v>9</v>
      </c>
      <c r="K1" s="104" t="s">
        <v>10</v>
      </c>
      <c r="L1" s="92" t="s">
        <v>11</v>
      </c>
      <c r="M1" s="2"/>
    </row>
    <row r="2" spans="1:16" ht="19.899999999999999" customHeight="1" thickBot="1">
      <c r="A2" s="95"/>
      <c r="B2" s="97"/>
      <c r="C2" s="97"/>
      <c r="D2" s="4"/>
      <c r="E2" s="4"/>
      <c r="F2" s="99"/>
      <c r="G2" s="99"/>
      <c r="H2" s="101"/>
      <c r="I2" s="99"/>
      <c r="J2" s="103"/>
      <c r="K2" s="105"/>
      <c r="L2" s="93"/>
      <c r="M2" s="2"/>
      <c r="O2" s="5">
        <f ca="1">TODAY()</f>
        <v>46253</v>
      </c>
      <c r="P2" s="5">
        <v>46241</v>
      </c>
    </row>
    <row r="3" spans="1:16">
      <c r="A3" s="6" t="s">
        <v>21</v>
      </c>
      <c r="B3" s="7" t="s">
        <v>14</v>
      </c>
      <c r="C3" s="8">
        <v>144</v>
      </c>
      <c r="D3" s="83">
        <v>45960</v>
      </c>
      <c r="E3" s="10">
        <f ca="1">$O$2-D3</f>
        <v>293</v>
      </c>
      <c r="F3" s="11"/>
      <c r="G3" s="12"/>
      <c r="H3" s="13" t="e">
        <f>RANK(G3,$G$3:$G$6)+COUNTIF($G$3:G3,G3)-1</f>
        <v>#N/A</v>
      </c>
      <c r="I3" s="12"/>
      <c r="J3" s="14" t="e">
        <f>RANK(I3,$I$3:$I$16)+COUNTIF($I$3:I3,I3)-1</f>
        <v>#N/A</v>
      </c>
      <c r="K3" s="15" t="e">
        <f>(#REF!+J3)/2</f>
        <v>#REF!</v>
      </c>
      <c r="L3" s="53" t="e">
        <f>RANK(K3,$K$3:$K$16,1)+COUNTIF($K$3:K3,K3)-1</f>
        <v>#REF!</v>
      </c>
      <c r="M3" s="2"/>
    </row>
    <row r="4" spans="1:16">
      <c r="A4" s="17" t="s">
        <v>21</v>
      </c>
      <c r="B4" s="18" t="s">
        <v>16</v>
      </c>
      <c r="C4" s="18">
        <v>129</v>
      </c>
      <c r="D4" s="84">
        <v>45966</v>
      </c>
      <c r="E4" s="19">
        <f t="shared" ref="E4:E6" ca="1" si="0">$O$2-D4</f>
        <v>287</v>
      </c>
      <c r="F4" s="11">
        <v>101</v>
      </c>
      <c r="G4" s="12">
        <v>30</v>
      </c>
      <c r="H4" s="13">
        <f>RANK(G4,$G$3:$G$6)+COUNTIF($G$3:G4,G4)-1</f>
        <v>3</v>
      </c>
      <c r="I4" s="12">
        <v>85</v>
      </c>
      <c r="J4" s="14">
        <f>RANK(I4,$I$3:$I$16)+COUNTIF($I$3:I4,I4)-1</f>
        <v>1</v>
      </c>
      <c r="K4" s="15" t="e">
        <f>(#REF!+J4)/2</f>
        <v>#REF!</v>
      </c>
      <c r="L4" s="20" t="e">
        <f>RANK(K4,$K$3:$K$16,1)+COUNTIF($K$3:K4,K4)-1</f>
        <v>#REF!</v>
      </c>
      <c r="M4" s="2"/>
      <c r="O4" s="5"/>
    </row>
    <row r="5" spans="1:16">
      <c r="A5" s="21"/>
      <c r="B5" s="18" t="s">
        <v>13</v>
      </c>
      <c r="C5" s="18">
        <v>124</v>
      </c>
      <c r="D5" s="84">
        <v>45938</v>
      </c>
      <c r="E5" s="22">
        <f t="shared" ca="1" si="0"/>
        <v>315</v>
      </c>
      <c r="F5" s="11">
        <v>201</v>
      </c>
      <c r="G5" s="12">
        <v>52</v>
      </c>
      <c r="H5" s="13">
        <f>RANK(G5,$G$3:$G$6)+COUNTIF($G$3:G5,G5)-1</f>
        <v>1</v>
      </c>
      <c r="I5" s="12">
        <v>85</v>
      </c>
      <c r="J5" s="14">
        <f>RANK(I5,$I$3:$I$16)+COUNTIF($I$3:I5,I5)-1</f>
        <v>2</v>
      </c>
      <c r="K5" s="15" t="e">
        <f>(#REF!+J5)/2</f>
        <v>#REF!</v>
      </c>
      <c r="L5" s="20" t="e">
        <f>RANK(K5,$K$3:$K$16,1)+COUNTIF($K$3:K5,K5)-1</f>
        <v>#REF!</v>
      </c>
      <c r="M5" s="2"/>
    </row>
    <row r="6" spans="1:16">
      <c r="A6" s="21" t="s">
        <v>21</v>
      </c>
      <c r="B6" s="18" t="s">
        <v>12</v>
      </c>
      <c r="C6" s="18">
        <v>118</v>
      </c>
      <c r="D6" s="84">
        <v>45936</v>
      </c>
      <c r="E6" s="22">
        <f t="shared" ca="1" si="0"/>
        <v>317</v>
      </c>
      <c r="F6" s="11">
        <v>102</v>
      </c>
      <c r="G6" s="12">
        <v>47</v>
      </c>
      <c r="H6" s="13">
        <f>RANK(G6,$G$3:$G$6)+COUNTIF($G$3:G6,G6)-1</f>
        <v>2</v>
      </c>
      <c r="I6" s="12">
        <v>85</v>
      </c>
      <c r="J6" s="14">
        <f>RANK(I6,$I$3:$I$16)+COUNTIF($I$3:I6,I6)-1</f>
        <v>3</v>
      </c>
      <c r="K6" s="15" t="e">
        <f>(#REF!+J6)/2</f>
        <v>#REF!</v>
      </c>
      <c r="L6" s="20" t="e">
        <f>RANK(K6,$K$3:$K$16,1)+COUNTIF($K$3:K6,K6)-1</f>
        <v>#REF!</v>
      </c>
      <c r="M6" s="2"/>
    </row>
    <row r="7" spans="1:16">
      <c r="A7" s="21"/>
      <c r="B7" s="18"/>
      <c r="C7" s="23"/>
      <c r="D7" s="22"/>
      <c r="E7" s="22"/>
      <c r="F7" s="25"/>
      <c r="G7" s="26"/>
      <c r="H7" s="13"/>
      <c r="I7" s="26"/>
      <c r="J7" s="14"/>
      <c r="K7" s="27"/>
      <c r="L7" s="28"/>
      <c r="M7" s="2"/>
      <c r="O7" s="91"/>
      <c r="P7" s="5"/>
    </row>
    <row r="8" spans="1:16">
      <c r="A8" s="21"/>
      <c r="B8" s="18"/>
      <c r="C8" s="23"/>
      <c r="D8" s="22"/>
      <c r="E8" s="22"/>
      <c r="F8" s="25"/>
      <c r="G8" s="26"/>
      <c r="H8" s="13"/>
      <c r="I8" s="26"/>
      <c r="J8" s="14"/>
      <c r="K8" s="27"/>
      <c r="L8" s="28"/>
      <c r="M8" s="2"/>
      <c r="O8" s="91"/>
      <c r="P8" s="5"/>
    </row>
    <row r="9" spans="1:16">
      <c r="A9" s="21"/>
      <c r="B9" s="18"/>
      <c r="C9" s="23"/>
      <c r="D9" s="22"/>
      <c r="E9" s="22"/>
      <c r="F9" s="25"/>
      <c r="G9" s="26"/>
      <c r="H9" s="13"/>
      <c r="I9" s="26"/>
      <c r="J9" s="14"/>
      <c r="K9" s="27"/>
      <c r="L9" s="28"/>
      <c r="M9" s="2"/>
      <c r="O9" s="91"/>
      <c r="P9" s="5"/>
    </row>
    <row r="10" spans="1:16">
      <c r="A10" s="21"/>
      <c r="B10" s="18"/>
      <c r="C10" s="23"/>
      <c r="D10" s="22"/>
      <c r="E10" s="22"/>
      <c r="F10" s="25"/>
      <c r="G10" s="26"/>
      <c r="H10" s="13"/>
      <c r="I10" s="26"/>
      <c r="J10" s="14"/>
      <c r="K10" s="27"/>
      <c r="L10" s="28"/>
      <c r="M10" s="2"/>
      <c r="O10" s="91"/>
      <c r="P10" s="5"/>
    </row>
    <row r="11" spans="1:16">
      <c r="A11" s="21"/>
      <c r="B11" s="18"/>
      <c r="C11" s="23"/>
      <c r="D11" s="22"/>
      <c r="E11" s="22"/>
      <c r="F11" s="25"/>
      <c r="G11" s="26"/>
      <c r="H11" s="13"/>
      <c r="I11" s="26"/>
      <c r="J11" s="14"/>
      <c r="K11" s="27"/>
      <c r="L11" s="28"/>
      <c r="M11" s="2"/>
    </row>
    <row r="12" spans="1:16">
      <c r="A12" s="21"/>
      <c r="B12" s="18"/>
      <c r="C12" s="23"/>
      <c r="D12" s="22"/>
      <c r="E12" s="22"/>
      <c r="F12" s="25"/>
      <c r="G12" s="26"/>
      <c r="H12" s="13"/>
      <c r="I12" s="26"/>
      <c r="J12" s="14"/>
      <c r="K12" s="27"/>
      <c r="L12" s="28"/>
      <c r="M12" s="2"/>
    </row>
    <row r="13" spans="1:16">
      <c r="A13" s="21"/>
      <c r="B13" s="18"/>
      <c r="C13" s="23"/>
      <c r="D13" s="22"/>
      <c r="E13" s="22"/>
      <c r="F13" s="25"/>
      <c r="G13" s="26"/>
      <c r="H13" s="13"/>
      <c r="I13" s="26"/>
      <c r="J13" s="14"/>
      <c r="K13" s="27"/>
      <c r="L13" s="28"/>
    </row>
    <row r="14" spans="1:16">
      <c r="A14" s="21"/>
      <c r="B14" s="18"/>
      <c r="C14" s="23"/>
      <c r="D14" s="22"/>
      <c r="E14" s="22"/>
      <c r="F14" s="25"/>
      <c r="G14" s="26"/>
      <c r="H14" s="13"/>
      <c r="I14" s="26"/>
      <c r="J14" s="14"/>
      <c r="K14" s="27"/>
      <c r="L14" s="28"/>
    </row>
    <row r="15" spans="1:16">
      <c r="A15" s="21"/>
      <c r="B15" s="18"/>
      <c r="C15" s="23"/>
      <c r="D15" s="22"/>
      <c r="E15" s="22"/>
      <c r="F15" s="25"/>
      <c r="G15" s="26"/>
      <c r="H15" s="13"/>
      <c r="I15" s="26"/>
      <c r="J15" s="14"/>
      <c r="K15" s="27"/>
      <c r="L15" s="28"/>
    </row>
    <row r="16" spans="1:16" ht="15" thickBot="1">
      <c r="A16" s="29"/>
      <c r="B16" s="30"/>
      <c r="C16" s="31"/>
      <c r="D16" s="33"/>
      <c r="E16" s="33"/>
      <c r="F16" s="34"/>
      <c r="G16" s="35"/>
      <c r="H16" s="36"/>
      <c r="I16" s="35"/>
      <c r="J16" s="37"/>
      <c r="K16" s="38"/>
      <c r="L16" s="39"/>
    </row>
    <row r="17" spans="2:6">
      <c r="F17" s="3"/>
    </row>
    <row r="18" spans="2:6">
      <c r="B18" s="41" t="s">
        <v>17</v>
      </c>
      <c r="C18" s="41"/>
      <c r="F18" s="3"/>
    </row>
    <row r="19" spans="2:6">
      <c r="B19" s="42"/>
      <c r="C19" s="43" t="s">
        <v>18</v>
      </c>
      <c r="D19" s="40"/>
      <c r="E19" s="40"/>
      <c r="F19" s="3"/>
    </row>
    <row r="20" spans="2:6">
      <c r="F20" s="3"/>
    </row>
  </sheetData>
  <mergeCells count="10">
    <mergeCell ref="L1:L2"/>
    <mergeCell ref="A1:A2"/>
    <mergeCell ref="B1:B2"/>
    <mergeCell ref="C1:C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7CD0C-D8D9-4DD5-BB94-5E4323B08ED4}">
  <dimension ref="A1:P20"/>
  <sheetViews>
    <sheetView workbookViewId="0">
      <selection activeCell="I7" sqref="I7"/>
    </sheetView>
  </sheetViews>
  <sheetFormatPr defaultColWidth="9" defaultRowHeight="14.45"/>
  <cols>
    <col min="1" max="1" width="11.5703125" style="3" customWidth="1"/>
    <col min="2" max="3" width="10.5703125" style="3" customWidth="1"/>
    <col min="4" max="5" width="10.42578125" style="3" customWidth="1"/>
    <col min="6" max="6" width="12.85546875" style="40" customWidth="1"/>
    <col min="7" max="8" width="12.85546875" style="3" customWidth="1"/>
    <col min="9" max="9" width="15.85546875" style="3" customWidth="1"/>
    <col min="10" max="10" width="11.7109375" style="3" customWidth="1"/>
    <col min="11" max="11" width="14" style="3" customWidth="1"/>
    <col min="12" max="12" width="11.7109375" style="3" customWidth="1"/>
    <col min="13" max="13" width="9" style="3"/>
    <col min="14" max="14" width="4.140625" style="3" customWidth="1"/>
    <col min="15" max="15" width="11.7109375" style="3" customWidth="1"/>
    <col min="16" max="16" width="14.5703125" style="3" customWidth="1"/>
    <col min="17" max="16384" width="9" style="3"/>
  </cols>
  <sheetData>
    <row r="1" spans="1:16" ht="64.150000000000006" customHeight="1">
      <c r="A1" s="94" t="s">
        <v>0</v>
      </c>
      <c r="B1" s="96" t="s">
        <v>1</v>
      </c>
      <c r="C1" s="96" t="s">
        <v>2</v>
      </c>
      <c r="D1" s="1" t="s">
        <v>3</v>
      </c>
      <c r="E1" s="1" t="s">
        <v>4</v>
      </c>
      <c r="F1" s="98" t="s">
        <v>5</v>
      </c>
      <c r="G1" s="98" t="s">
        <v>6</v>
      </c>
      <c r="H1" s="100" t="s">
        <v>7</v>
      </c>
      <c r="I1" s="98" t="s">
        <v>8</v>
      </c>
      <c r="J1" s="102" t="s">
        <v>9</v>
      </c>
      <c r="K1" s="104" t="s">
        <v>10</v>
      </c>
      <c r="L1" s="92" t="s">
        <v>11</v>
      </c>
      <c r="M1" s="2"/>
    </row>
    <row r="2" spans="1:16" ht="19.899999999999999" customHeight="1" thickBot="1">
      <c r="A2" s="95"/>
      <c r="B2" s="97"/>
      <c r="C2" s="97"/>
      <c r="D2" s="4"/>
      <c r="E2" s="4"/>
      <c r="F2" s="99"/>
      <c r="G2" s="99"/>
      <c r="H2" s="101"/>
      <c r="I2" s="99"/>
      <c r="J2" s="103"/>
      <c r="K2" s="105"/>
      <c r="L2" s="93"/>
      <c r="M2" s="2"/>
      <c r="O2" s="5">
        <f ca="1">TODAY()</f>
        <v>46253</v>
      </c>
      <c r="P2" s="5">
        <v>46241</v>
      </c>
    </row>
    <row r="3" spans="1:16">
      <c r="A3" s="6"/>
      <c r="B3" s="7" t="s">
        <v>14</v>
      </c>
      <c r="C3" s="8">
        <v>144</v>
      </c>
      <c r="D3" s="83">
        <v>45960</v>
      </c>
      <c r="E3" s="10">
        <f ca="1">$O$2-D3</f>
        <v>293</v>
      </c>
      <c r="F3" s="11"/>
      <c r="G3" s="12"/>
      <c r="H3" s="13" t="e">
        <f>RANK(G3,$G$3:$G$6)+COUNTIF($G$3:G3,G3)-1</f>
        <v>#N/A</v>
      </c>
      <c r="I3" s="12"/>
      <c r="J3" s="14" t="e">
        <f>RANK(I3,$I$3:$I$16)+COUNTIF($I$3:I3,I3)-1</f>
        <v>#N/A</v>
      </c>
      <c r="K3" s="15" t="e">
        <f>(#REF!+J3)/2</f>
        <v>#REF!</v>
      </c>
      <c r="L3" s="53" t="e">
        <f>RANK(K3,$K$3:$K$16,1)+COUNTIF($K$3:K3,K3)-1</f>
        <v>#REF!</v>
      </c>
      <c r="M3" s="2"/>
    </row>
    <row r="4" spans="1:16">
      <c r="A4" s="17" t="s">
        <v>21</v>
      </c>
      <c r="B4" s="18" t="s">
        <v>16</v>
      </c>
      <c r="C4" s="18">
        <v>129</v>
      </c>
      <c r="D4" s="84">
        <v>45966</v>
      </c>
      <c r="E4" s="19">
        <f t="shared" ref="E4:E6" ca="1" si="0">$O$2-D4</f>
        <v>287</v>
      </c>
      <c r="F4" s="11">
        <v>194</v>
      </c>
      <c r="G4" s="12">
        <v>34</v>
      </c>
      <c r="H4" s="13">
        <f>RANK(G4,$G$3:$G$6)+COUNTIF($G$3:G4,G4)-1</f>
        <v>3</v>
      </c>
      <c r="I4" s="12">
        <v>84</v>
      </c>
      <c r="J4" s="14">
        <f>RANK(I4,$I$3:$I$16)+COUNTIF($I$3:I4,I4)-1</f>
        <v>3</v>
      </c>
      <c r="K4" s="15" t="e">
        <f>(#REF!+J4)/2</f>
        <v>#REF!</v>
      </c>
      <c r="L4" s="20" t="e">
        <f>RANK(K4,$K$3:$K$16,1)+COUNTIF($K$3:K4,K4)-1</f>
        <v>#REF!</v>
      </c>
      <c r="M4" s="2"/>
      <c r="O4" s="5"/>
    </row>
    <row r="5" spans="1:16">
      <c r="A5" s="21" t="s">
        <v>15</v>
      </c>
      <c r="B5" s="18" t="s">
        <v>13</v>
      </c>
      <c r="C5" s="18">
        <v>124</v>
      </c>
      <c r="D5" s="84">
        <v>45938</v>
      </c>
      <c r="E5" s="22">
        <f t="shared" ca="1" si="0"/>
        <v>315</v>
      </c>
      <c r="F5" s="11">
        <v>306</v>
      </c>
      <c r="G5" s="12">
        <v>81</v>
      </c>
      <c r="H5" s="13">
        <f>RANK(G5,$G$3:$G$6)+COUNTIF($G$3:G5,G5)-1</f>
        <v>1</v>
      </c>
      <c r="I5" s="12">
        <v>85</v>
      </c>
      <c r="J5" s="14">
        <f>RANK(I5,$I$3:$I$16)+COUNTIF($I$3:I5,I5)-1</f>
        <v>1</v>
      </c>
      <c r="K5" s="15" t="e">
        <f>(#REF!+J5)/2</f>
        <v>#REF!</v>
      </c>
      <c r="L5" s="20" t="e">
        <f>RANK(K5,$K$3:$K$16,1)+COUNTIF($K$3:K5,K5)-1</f>
        <v>#REF!</v>
      </c>
      <c r="M5" s="2"/>
    </row>
    <row r="6" spans="1:16">
      <c r="A6" s="21" t="s">
        <v>21</v>
      </c>
      <c r="B6" s="18" t="s">
        <v>12</v>
      </c>
      <c r="C6" s="18">
        <v>118</v>
      </c>
      <c r="D6" s="84">
        <v>45936</v>
      </c>
      <c r="E6" s="22">
        <f t="shared" ca="1" si="0"/>
        <v>317</v>
      </c>
      <c r="F6" s="11">
        <v>74</v>
      </c>
      <c r="G6" s="12">
        <v>35</v>
      </c>
      <c r="H6" s="13">
        <f>RANK(G6,$G$3:$G$6)+COUNTIF($G$3:G6,G6)-1</f>
        <v>2</v>
      </c>
      <c r="I6" s="12">
        <v>85</v>
      </c>
      <c r="J6" s="14">
        <f>RANK(I6,$I$3:$I$16)+COUNTIF($I$3:I6,I6)-1</f>
        <v>2</v>
      </c>
      <c r="K6" s="15" t="e">
        <f>(#REF!+J6)/2</f>
        <v>#REF!</v>
      </c>
      <c r="L6" s="20" t="e">
        <f>RANK(K6,$K$3:$K$16,1)+COUNTIF($K$3:K6,K6)-1</f>
        <v>#REF!</v>
      </c>
      <c r="M6" s="2"/>
    </row>
    <row r="7" spans="1:16">
      <c r="A7" s="21"/>
      <c r="B7" s="18"/>
      <c r="C7" s="23"/>
      <c r="D7" s="22"/>
      <c r="E7" s="22"/>
      <c r="F7" s="25"/>
      <c r="G7" s="26"/>
      <c r="H7" s="13"/>
      <c r="I7" s="26"/>
      <c r="J7" s="14"/>
      <c r="K7" s="27"/>
      <c r="L7" s="28"/>
      <c r="M7" s="2"/>
      <c r="O7" s="91"/>
      <c r="P7" s="5"/>
    </row>
    <row r="8" spans="1:16">
      <c r="A8" s="21"/>
      <c r="B8" s="18"/>
      <c r="C8" s="23"/>
      <c r="D8" s="22"/>
      <c r="E8" s="22"/>
      <c r="F8" s="25"/>
      <c r="G8" s="26"/>
      <c r="H8" s="13"/>
      <c r="I8" s="26"/>
      <c r="J8" s="14"/>
      <c r="K8" s="27"/>
      <c r="L8" s="28"/>
      <c r="M8" s="2"/>
      <c r="O8" s="91"/>
      <c r="P8" s="5"/>
    </row>
    <row r="9" spans="1:16">
      <c r="A9" s="21"/>
      <c r="B9" s="18"/>
      <c r="C9" s="23"/>
      <c r="D9" s="22"/>
      <c r="E9" s="22"/>
      <c r="F9" s="25"/>
      <c r="G9" s="26"/>
      <c r="H9" s="13"/>
      <c r="I9" s="26"/>
      <c r="J9" s="14"/>
      <c r="K9" s="27"/>
      <c r="L9" s="28"/>
      <c r="M9" s="2"/>
      <c r="O9" s="91"/>
      <c r="P9" s="5"/>
    </row>
    <row r="10" spans="1:16">
      <c r="A10" s="21"/>
      <c r="B10" s="18"/>
      <c r="C10" s="23"/>
      <c r="D10" s="22"/>
      <c r="E10" s="22"/>
      <c r="F10" s="25"/>
      <c r="G10" s="26"/>
      <c r="H10" s="13"/>
      <c r="I10" s="26"/>
      <c r="J10" s="14"/>
      <c r="K10" s="27"/>
      <c r="L10" s="28"/>
      <c r="M10" s="2"/>
      <c r="O10" s="91"/>
      <c r="P10" s="5"/>
    </row>
    <row r="11" spans="1:16">
      <c r="A11" s="21"/>
      <c r="B11" s="18"/>
      <c r="C11" s="23"/>
      <c r="D11" s="22"/>
      <c r="E11" s="22"/>
      <c r="F11" s="25"/>
      <c r="G11" s="26"/>
      <c r="H11" s="13"/>
      <c r="I11" s="26"/>
      <c r="J11" s="14"/>
      <c r="K11" s="27"/>
      <c r="L11" s="28"/>
      <c r="M11" s="2"/>
    </row>
    <row r="12" spans="1:16">
      <c r="A12" s="21"/>
      <c r="B12" s="18"/>
      <c r="C12" s="23"/>
      <c r="D12" s="22"/>
      <c r="E12" s="22"/>
      <c r="F12" s="25"/>
      <c r="G12" s="26"/>
      <c r="H12" s="13"/>
      <c r="I12" s="26"/>
      <c r="J12" s="14"/>
      <c r="K12" s="27"/>
      <c r="L12" s="28"/>
      <c r="M12" s="2"/>
    </row>
    <row r="13" spans="1:16">
      <c r="A13" s="21"/>
      <c r="B13" s="18"/>
      <c r="C13" s="23"/>
      <c r="D13" s="22"/>
      <c r="E13" s="22"/>
      <c r="F13" s="25"/>
      <c r="G13" s="26"/>
      <c r="H13" s="13"/>
      <c r="I13" s="26"/>
      <c r="J13" s="14"/>
      <c r="K13" s="27"/>
      <c r="L13" s="28"/>
    </row>
    <row r="14" spans="1:16">
      <c r="A14" s="21"/>
      <c r="B14" s="18"/>
      <c r="C14" s="23"/>
      <c r="D14" s="22"/>
      <c r="E14" s="22"/>
      <c r="F14" s="25"/>
      <c r="G14" s="26"/>
      <c r="H14" s="13"/>
      <c r="I14" s="26"/>
      <c r="J14" s="14"/>
      <c r="K14" s="27"/>
      <c r="L14" s="28"/>
    </row>
    <row r="15" spans="1:16">
      <c r="A15" s="21"/>
      <c r="B15" s="18"/>
      <c r="C15" s="23"/>
      <c r="D15" s="22"/>
      <c r="E15" s="22"/>
      <c r="F15" s="25"/>
      <c r="G15" s="26"/>
      <c r="H15" s="13"/>
      <c r="I15" s="26"/>
      <c r="J15" s="14"/>
      <c r="K15" s="27"/>
      <c r="L15" s="28"/>
    </row>
    <row r="16" spans="1:16" ht="15" thickBot="1">
      <c r="A16" s="29"/>
      <c r="B16" s="30"/>
      <c r="C16" s="31"/>
      <c r="D16" s="33"/>
      <c r="E16" s="33"/>
      <c r="F16" s="34"/>
      <c r="G16" s="35"/>
      <c r="H16" s="36"/>
      <c r="I16" s="35"/>
      <c r="J16" s="37"/>
      <c r="K16" s="38"/>
      <c r="L16" s="39"/>
    </row>
    <row r="17" spans="2:6">
      <c r="F17" s="3"/>
    </row>
    <row r="18" spans="2:6">
      <c r="B18" s="41" t="s">
        <v>17</v>
      </c>
      <c r="C18" s="41"/>
      <c r="F18" s="3"/>
    </row>
    <row r="19" spans="2:6">
      <c r="B19" s="42"/>
      <c r="C19" s="43" t="s">
        <v>18</v>
      </c>
      <c r="D19" s="40"/>
      <c r="E19" s="40"/>
      <c r="F19" s="3"/>
    </row>
    <row r="20" spans="2:6">
      <c r="F20" s="3"/>
    </row>
  </sheetData>
  <mergeCells count="10">
    <mergeCell ref="I1:I2"/>
    <mergeCell ref="J1:J2"/>
    <mergeCell ref="K1:K2"/>
    <mergeCell ref="L1:L2"/>
    <mergeCell ref="A1:A2"/>
    <mergeCell ref="B1:B2"/>
    <mergeCell ref="C1:C2"/>
    <mergeCell ref="F1:F2"/>
    <mergeCell ref="G1:G2"/>
    <mergeCell ref="H1:H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64D9E-38D1-4C10-B8DB-EFACF075B548}">
  <dimension ref="A1:P20"/>
  <sheetViews>
    <sheetView workbookViewId="0">
      <selection activeCell="H21" sqref="H21"/>
    </sheetView>
  </sheetViews>
  <sheetFormatPr defaultColWidth="9" defaultRowHeight="14.45"/>
  <cols>
    <col min="1" max="1" width="11.5703125" style="3" customWidth="1"/>
    <col min="2" max="3" width="10.5703125" style="3" customWidth="1"/>
    <col min="4" max="5" width="10.42578125" style="3" customWidth="1"/>
    <col min="6" max="6" width="12.85546875" style="40" customWidth="1"/>
    <col min="7" max="8" width="12.85546875" style="3" customWidth="1"/>
    <col min="9" max="9" width="15.85546875" style="3" customWidth="1"/>
    <col min="10" max="10" width="11.7109375" style="3" customWidth="1"/>
    <col min="11" max="11" width="14" style="3" customWidth="1"/>
    <col min="12" max="12" width="11.7109375" style="3" customWidth="1"/>
    <col min="13" max="13" width="9" style="3"/>
    <col min="14" max="14" width="4.140625" style="3" customWidth="1"/>
    <col min="15" max="15" width="11.7109375" style="3" customWidth="1"/>
    <col min="16" max="16" width="14.5703125" style="3" customWidth="1"/>
    <col min="17" max="16384" width="9" style="3"/>
  </cols>
  <sheetData>
    <row r="1" spans="1:16" ht="64.150000000000006" customHeight="1">
      <c r="A1" s="94" t="s">
        <v>0</v>
      </c>
      <c r="B1" s="96" t="s">
        <v>1</v>
      </c>
      <c r="C1" s="96" t="s">
        <v>2</v>
      </c>
      <c r="D1" s="1" t="s">
        <v>3</v>
      </c>
      <c r="E1" s="1" t="s">
        <v>4</v>
      </c>
      <c r="F1" s="98" t="s">
        <v>5</v>
      </c>
      <c r="G1" s="98" t="s">
        <v>6</v>
      </c>
      <c r="H1" s="100" t="s">
        <v>7</v>
      </c>
      <c r="I1" s="98" t="s">
        <v>8</v>
      </c>
      <c r="J1" s="102" t="s">
        <v>9</v>
      </c>
      <c r="K1" s="104" t="s">
        <v>10</v>
      </c>
      <c r="L1" s="92" t="s">
        <v>11</v>
      </c>
      <c r="M1" s="2"/>
    </row>
    <row r="2" spans="1:16" ht="19.899999999999999" customHeight="1" thickBot="1">
      <c r="A2" s="95"/>
      <c r="B2" s="97"/>
      <c r="C2" s="97"/>
      <c r="D2" s="4"/>
      <c r="E2" s="4"/>
      <c r="F2" s="99"/>
      <c r="G2" s="99"/>
      <c r="H2" s="101"/>
      <c r="I2" s="99"/>
      <c r="J2" s="103"/>
      <c r="K2" s="105"/>
      <c r="L2" s="93"/>
      <c r="M2" s="2"/>
      <c r="O2" s="5">
        <f ca="1">TODAY()</f>
        <v>46253</v>
      </c>
      <c r="P2" s="5">
        <v>46241</v>
      </c>
    </row>
    <row r="3" spans="1:16">
      <c r="A3" s="6" t="s">
        <v>21</v>
      </c>
      <c r="B3" s="7" t="s">
        <v>14</v>
      </c>
      <c r="C3" s="8">
        <v>144</v>
      </c>
      <c r="D3" s="83">
        <v>45960</v>
      </c>
      <c r="E3" s="10">
        <f ca="1">$O$2-D3</f>
        <v>293</v>
      </c>
      <c r="F3" s="11"/>
      <c r="G3" s="12"/>
      <c r="H3" s="13" t="e">
        <f>RANK(G3,$G$3:$G$6)+COUNTIF($G$3:G3,G3)-1</f>
        <v>#N/A</v>
      </c>
      <c r="I3" s="12"/>
      <c r="J3" s="14" t="e">
        <f>RANK(I3,$I$3:$I$16)+COUNTIF($I$3:I3,I3)-1</f>
        <v>#N/A</v>
      </c>
      <c r="K3" s="15" t="e">
        <f>(#REF!+J3)/2</f>
        <v>#REF!</v>
      </c>
      <c r="L3" s="53" t="e">
        <f>RANK(K3,$K$3:$K$16,1)+COUNTIF($K$3:K3,K3)-1</f>
        <v>#REF!</v>
      </c>
      <c r="M3" s="2"/>
    </row>
    <row r="4" spans="1:16">
      <c r="A4" s="17" t="s">
        <v>21</v>
      </c>
      <c r="B4" s="18" t="s">
        <v>16</v>
      </c>
      <c r="C4" s="18">
        <v>129</v>
      </c>
      <c r="D4" s="84">
        <v>45966</v>
      </c>
      <c r="E4" s="19">
        <f t="shared" ref="E4:E6" ca="1" si="0">$O$2-D4</f>
        <v>287</v>
      </c>
      <c r="F4" s="11"/>
      <c r="G4" s="12"/>
      <c r="H4" s="13" t="e">
        <f>RANK(G4,$G$3:$G$6)+COUNTIF($G$3:G4,G4)-1</f>
        <v>#N/A</v>
      </c>
      <c r="I4" s="12"/>
      <c r="J4" s="14" t="e">
        <f>RANK(I4,$I$3:$I$16)+COUNTIF($I$3:I4,I4)-1</f>
        <v>#N/A</v>
      </c>
      <c r="K4" s="15" t="e">
        <f>(#REF!+J4)/2</f>
        <v>#REF!</v>
      </c>
      <c r="L4" s="20" t="e">
        <f>RANK(K4,$K$3:$K$16,1)+COUNTIF($K$3:K4,K4)-1</f>
        <v>#REF!</v>
      </c>
      <c r="M4" s="2"/>
      <c r="O4" s="5"/>
    </row>
    <row r="5" spans="1:16">
      <c r="A5" s="21"/>
      <c r="B5" s="18" t="s">
        <v>13</v>
      </c>
      <c r="C5" s="18">
        <v>124</v>
      </c>
      <c r="D5" s="84">
        <v>45938</v>
      </c>
      <c r="E5" s="22">
        <f t="shared" ca="1" si="0"/>
        <v>315</v>
      </c>
      <c r="F5" s="11"/>
      <c r="G5" s="12"/>
      <c r="H5" s="13" t="e">
        <f>RANK(G5,$G$3:$G$6)+COUNTIF($G$3:G5,G5)-1</f>
        <v>#N/A</v>
      </c>
      <c r="I5" s="12"/>
      <c r="J5" s="14" t="e">
        <f>RANK(I5,$I$3:$I$16)+COUNTIF($I$3:I5,I5)-1</f>
        <v>#N/A</v>
      </c>
      <c r="K5" s="15" t="e">
        <f>(#REF!+J5)/2</f>
        <v>#REF!</v>
      </c>
      <c r="L5" s="20" t="e">
        <f>RANK(K5,$K$3:$K$16,1)+COUNTIF($K$3:K5,K5)-1</f>
        <v>#REF!</v>
      </c>
      <c r="M5" s="2"/>
    </row>
    <row r="6" spans="1:16">
      <c r="A6" s="21" t="s">
        <v>15</v>
      </c>
      <c r="B6" s="18" t="s">
        <v>12</v>
      </c>
      <c r="C6" s="18">
        <v>118</v>
      </c>
      <c r="D6" s="84">
        <v>45936</v>
      </c>
      <c r="E6" s="22">
        <f t="shared" ca="1" si="0"/>
        <v>317</v>
      </c>
      <c r="F6" s="11"/>
      <c r="G6" s="12"/>
      <c r="H6" s="13" t="e">
        <f>RANK(G6,$G$3:$G$6)+COUNTIF($G$3:G6,G6)-1</f>
        <v>#N/A</v>
      </c>
      <c r="I6" s="12"/>
      <c r="J6" s="14" t="e">
        <f>RANK(I6,$I$3:$I$16)+COUNTIF($I$3:I6,I6)-1</f>
        <v>#N/A</v>
      </c>
      <c r="K6" s="15" t="e">
        <f>(#REF!+J6)/2</f>
        <v>#REF!</v>
      </c>
      <c r="L6" s="20" t="e">
        <f>RANK(K6,$K$3:$K$16,1)+COUNTIF($K$3:K6,K6)-1</f>
        <v>#REF!</v>
      </c>
      <c r="M6" s="2"/>
    </row>
    <row r="7" spans="1:16">
      <c r="A7" s="21"/>
      <c r="B7" s="18"/>
      <c r="C7" s="23"/>
      <c r="D7" s="22"/>
      <c r="E7" s="22"/>
      <c r="F7" s="25"/>
      <c r="G7" s="26"/>
      <c r="H7" s="13"/>
      <c r="I7" s="26"/>
      <c r="J7" s="14"/>
      <c r="K7" s="27"/>
      <c r="L7" s="28"/>
      <c r="M7" s="2"/>
      <c r="O7" s="91"/>
      <c r="P7" s="5"/>
    </row>
    <row r="8" spans="1:16">
      <c r="A8" s="21"/>
      <c r="B8" s="18"/>
      <c r="C8" s="23"/>
      <c r="D8" s="22"/>
      <c r="E8" s="22"/>
      <c r="F8" s="25"/>
      <c r="G8" s="26"/>
      <c r="H8" s="13"/>
      <c r="I8" s="26"/>
      <c r="J8" s="14"/>
      <c r="K8" s="27"/>
      <c r="L8" s="28"/>
      <c r="M8" s="2"/>
      <c r="O8" s="91"/>
      <c r="P8" s="5"/>
    </row>
    <row r="9" spans="1:16">
      <c r="A9" s="21"/>
      <c r="B9" s="18"/>
      <c r="C9" s="23"/>
      <c r="D9" s="22"/>
      <c r="E9" s="22"/>
      <c r="F9" s="25"/>
      <c r="G9" s="26"/>
      <c r="H9" s="13"/>
      <c r="I9" s="26"/>
      <c r="J9" s="14"/>
      <c r="K9" s="27"/>
      <c r="L9" s="28"/>
      <c r="M9" s="2"/>
      <c r="O9" s="91"/>
      <c r="P9" s="5"/>
    </row>
    <row r="10" spans="1:16">
      <c r="A10" s="21"/>
      <c r="B10" s="18"/>
      <c r="C10" s="23"/>
      <c r="D10" s="22"/>
      <c r="E10" s="22"/>
      <c r="F10" s="25"/>
      <c r="G10" s="26"/>
      <c r="H10" s="13"/>
      <c r="I10" s="26"/>
      <c r="J10" s="14"/>
      <c r="K10" s="27"/>
      <c r="L10" s="28"/>
      <c r="M10" s="2"/>
      <c r="O10" s="91"/>
      <c r="P10" s="5"/>
    </row>
    <row r="11" spans="1:16">
      <c r="A11" s="21"/>
      <c r="B11" s="18"/>
      <c r="C11" s="23"/>
      <c r="D11" s="22"/>
      <c r="E11" s="22"/>
      <c r="F11" s="25"/>
      <c r="G11" s="26"/>
      <c r="H11" s="13"/>
      <c r="I11" s="26"/>
      <c r="J11" s="14"/>
      <c r="K11" s="27"/>
      <c r="L11" s="28"/>
      <c r="M11" s="2"/>
    </row>
    <row r="12" spans="1:16">
      <c r="A12" s="21"/>
      <c r="B12" s="18"/>
      <c r="C12" s="23"/>
      <c r="D12" s="22"/>
      <c r="E12" s="22"/>
      <c r="F12" s="25"/>
      <c r="G12" s="26"/>
      <c r="H12" s="13"/>
      <c r="I12" s="26"/>
      <c r="J12" s="14"/>
      <c r="K12" s="27"/>
      <c r="L12" s="28"/>
      <c r="M12" s="2"/>
    </row>
    <row r="13" spans="1:16">
      <c r="A13" s="21"/>
      <c r="B13" s="18"/>
      <c r="C13" s="23"/>
      <c r="D13" s="22"/>
      <c r="E13" s="22"/>
      <c r="F13" s="25"/>
      <c r="G13" s="26"/>
      <c r="H13" s="13"/>
      <c r="I13" s="26"/>
      <c r="J13" s="14"/>
      <c r="K13" s="27"/>
      <c r="L13" s="28"/>
    </row>
    <row r="14" spans="1:16">
      <c r="A14" s="21"/>
      <c r="B14" s="18"/>
      <c r="C14" s="23"/>
      <c r="D14" s="22"/>
      <c r="E14" s="22"/>
      <c r="F14" s="25"/>
      <c r="G14" s="26"/>
      <c r="H14" s="13"/>
      <c r="I14" s="26"/>
      <c r="J14" s="14"/>
      <c r="K14" s="27"/>
      <c r="L14" s="28"/>
    </row>
    <row r="15" spans="1:16">
      <c r="A15" s="21"/>
      <c r="B15" s="18"/>
      <c r="C15" s="23"/>
      <c r="D15" s="22"/>
      <c r="E15" s="22"/>
      <c r="F15" s="25"/>
      <c r="G15" s="26"/>
      <c r="H15" s="13"/>
      <c r="I15" s="26"/>
      <c r="J15" s="14"/>
      <c r="K15" s="27"/>
      <c r="L15" s="28"/>
    </row>
    <row r="16" spans="1:16" ht="15" thickBot="1">
      <c r="A16" s="29"/>
      <c r="B16" s="30"/>
      <c r="C16" s="31"/>
      <c r="D16" s="33"/>
      <c r="E16" s="33"/>
      <c r="F16" s="34"/>
      <c r="G16" s="35"/>
      <c r="H16" s="36"/>
      <c r="I16" s="35"/>
      <c r="J16" s="37"/>
      <c r="K16" s="38"/>
      <c r="L16" s="39"/>
    </row>
    <row r="17" spans="2:6">
      <c r="F17" s="3"/>
    </row>
    <row r="18" spans="2:6">
      <c r="B18" s="41" t="s">
        <v>17</v>
      </c>
      <c r="C18" s="41"/>
      <c r="F18" s="3"/>
    </row>
    <row r="19" spans="2:6">
      <c r="B19" s="42"/>
      <c r="C19" s="43" t="s">
        <v>18</v>
      </c>
      <c r="D19" s="40"/>
      <c r="E19" s="40"/>
      <c r="F19" s="3"/>
    </row>
    <row r="20" spans="2:6">
      <c r="F20" s="3"/>
    </row>
  </sheetData>
  <mergeCells count="10">
    <mergeCell ref="I1:I2"/>
    <mergeCell ref="J1:J2"/>
    <mergeCell ref="K1:K2"/>
    <mergeCell ref="L1:L2"/>
    <mergeCell ref="A1:A2"/>
    <mergeCell ref="B1:B2"/>
    <mergeCell ref="C1:C2"/>
    <mergeCell ref="F1:F2"/>
    <mergeCell ref="G1:G2"/>
    <mergeCell ref="H1:H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D9E9F-758A-4C5D-B11C-73931033E418}">
  <dimension ref="A1:CO329"/>
  <sheetViews>
    <sheetView tabSelected="1" topLeftCell="A45" workbookViewId="0">
      <pane xSplit="2" topLeftCell="C1" activePane="topRight" state="frozen"/>
      <selection pane="topRight" activeCell="A3" sqref="A3"/>
    </sheetView>
  </sheetViews>
  <sheetFormatPr defaultColWidth="9" defaultRowHeight="14.45"/>
  <cols>
    <col min="1" max="1" width="22.140625" style="57" customWidth="1"/>
    <col min="2" max="2" width="15.28515625" style="57" customWidth="1"/>
    <col min="3" max="3" width="17.140625" style="57" customWidth="1"/>
    <col min="4" max="4" width="17" style="57" customWidth="1"/>
    <col min="5" max="5" width="15.42578125" style="57" customWidth="1"/>
    <col min="6" max="15" width="9" style="57"/>
    <col min="16" max="16" width="12" style="57" customWidth="1"/>
    <col min="17" max="17" width="10.7109375" style="57" customWidth="1"/>
    <col min="18" max="18" width="18.42578125" style="57" customWidth="1"/>
    <col min="19" max="19" width="9" style="57"/>
    <col min="20" max="20" width="14.140625" style="57" customWidth="1"/>
    <col min="21" max="21" width="14.42578125" style="57" customWidth="1"/>
    <col min="22" max="27" width="9" style="57"/>
    <col min="28" max="28" width="23.140625" style="57" customWidth="1"/>
    <col min="29" max="29" width="22.5703125" style="57" customWidth="1"/>
    <col min="30" max="31" width="9" style="57"/>
    <col min="32" max="32" width="11.42578125" style="57" customWidth="1"/>
    <col min="33" max="33" width="9.5703125" style="57" customWidth="1"/>
    <col min="34" max="34" width="9" style="57"/>
    <col min="35" max="35" width="14.28515625" style="57" customWidth="1"/>
    <col min="36" max="37" width="9" style="57"/>
    <col min="38" max="38" width="21.140625" style="57" customWidth="1"/>
    <col min="39" max="40" width="9" style="57"/>
    <col min="41" max="41" width="8.7109375" style="57" customWidth="1"/>
    <col min="42" max="42" width="9" style="57"/>
    <col min="43" max="43" width="9.140625" style="57" customWidth="1"/>
    <col min="44" max="44" width="10" style="57" customWidth="1"/>
    <col min="45" max="45" width="9" style="57"/>
    <col min="46" max="46" width="15.7109375" style="57" customWidth="1"/>
    <col min="47" max="48" width="9" style="57"/>
    <col min="49" max="49" width="8.140625" style="57" customWidth="1"/>
    <col min="50" max="50" width="11.7109375" style="57" customWidth="1"/>
    <col min="51" max="51" width="10.42578125" style="57" customWidth="1"/>
    <col min="52" max="52" width="8.5703125" style="57" customWidth="1"/>
    <col min="53" max="16384" width="9" style="57"/>
  </cols>
  <sheetData>
    <row r="1" spans="1:53" ht="15" thickBot="1"/>
    <row r="2" spans="1:53" ht="18">
      <c r="A2" s="54" t="s">
        <v>1</v>
      </c>
      <c r="B2" s="55" t="s">
        <v>22</v>
      </c>
      <c r="C2" s="56" t="s">
        <v>23</v>
      </c>
      <c r="E2" s="58"/>
    </row>
    <row r="3" spans="1:53" ht="18.600000000000001" thickBot="1">
      <c r="A3" s="59" t="s">
        <v>12</v>
      </c>
      <c r="B3" s="58">
        <v>1</v>
      </c>
      <c r="C3" s="60" t="s">
        <v>24</v>
      </c>
      <c r="D3" s="41"/>
    </row>
    <row r="4" spans="1:53">
      <c r="A4" s="61" t="s">
        <v>25</v>
      </c>
      <c r="B4" s="62">
        <v>1</v>
      </c>
      <c r="C4" s="62">
        <v>2</v>
      </c>
      <c r="D4" s="62">
        <v>3</v>
      </c>
      <c r="E4" s="62">
        <v>4</v>
      </c>
      <c r="F4" s="62">
        <v>5</v>
      </c>
      <c r="G4" s="62">
        <v>6</v>
      </c>
      <c r="H4" s="62">
        <v>7</v>
      </c>
      <c r="I4" s="62">
        <v>8</v>
      </c>
      <c r="J4" s="62">
        <v>9</v>
      </c>
      <c r="K4" s="62">
        <v>10</v>
      </c>
      <c r="L4" s="62">
        <v>11</v>
      </c>
      <c r="M4" s="62">
        <v>12</v>
      </c>
      <c r="N4" s="62">
        <v>13</v>
      </c>
      <c r="O4" s="62">
        <v>14</v>
      </c>
      <c r="P4" s="62">
        <v>15</v>
      </c>
      <c r="Q4" s="62">
        <v>16</v>
      </c>
      <c r="R4" s="62">
        <v>17</v>
      </c>
      <c r="S4" s="62">
        <v>18</v>
      </c>
      <c r="T4" s="62">
        <v>19</v>
      </c>
      <c r="U4" s="62">
        <v>20</v>
      </c>
      <c r="V4" s="62">
        <v>21</v>
      </c>
      <c r="W4" s="62">
        <v>22</v>
      </c>
      <c r="X4" s="62">
        <v>23</v>
      </c>
      <c r="Y4" s="62">
        <v>24</v>
      </c>
      <c r="Z4" s="62">
        <v>25</v>
      </c>
      <c r="AA4" s="62">
        <v>26</v>
      </c>
      <c r="AB4" s="62">
        <v>27</v>
      </c>
      <c r="AC4" s="62">
        <v>28</v>
      </c>
      <c r="AD4" s="62">
        <v>29</v>
      </c>
      <c r="AE4" s="62">
        <v>30</v>
      </c>
      <c r="AF4" s="62">
        <v>31</v>
      </c>
      <c r="AG4" s="62">
        <v>32</v>
      </c>
      <c r="AH4" s="62">
        <v>33</v>
      </c>
      <c r="AI4" s="62">
        <v>34</v>
      </c>
      <c r="AJ4" s="62">
        <v>35</v>
      </c>
      <c r="AK4" s="62">
        <v>36</v>
      </c>
      <c r="AL4" s="62">
        <v>37</v>
      </c>
      <c r="AM4" s="62">
        <v>38</v>
      </c>
      <c r="AN4" s="62">
        <v>39</v>
      </c>
      <c r="AO4" s="62">
        <v>40</v>
      </c>
      <c r="AP4" s="62">
        <v>41</v>
      </c>
      <c r="AQ4" s="62">
        <v>42</v>
      </c>
      <c r="AR4" s="62">
        <v>43</v>
      </c>
      <c r="AS4" s="62">
        <v>44</v>
      </c>
      <c r="AT4" s="62">
        <v>45</v>
      </c>
      <c r="AU4" s="62">
        <v>46</v>
      </c>
      <c r="AV4" s="62">
        <v>47</v>
      </c>
      <c r="AW4" s="62">
        <v>48</v>
      </c>
      <c r="AX4" s="62">
        <v>49</v>
      </c>
      <c r="AY4" s="62">
        <v>50</v>
      </c>
      <c r="AZ4" s="62">
        <v>51</v>
      </c>
      <c r="BA4" s="63">
        <v>52</v>
      </c>
    </row>
    <row r="5" spans="1:53">
      <c r="A5" s="64" t="s">
        <v>26</v>
      </c>
      <c r="B5" s="65">
        <v>85</v>
      </c>
      <c r="C5" s="65">
        <v>85</v>
      </c>
      <c r="D5" s="65">
        <v>85</v>
      </c>
      <c r="E5" s="65">
        <v>85</v>
      </c>
      <c r="F5" s="65">
        <v>85</v>
      </c>
      <c r="G5" s="65">
        <v>85</v>
      </c>
      <c r="H5" s="65">
        <v>85</v>
      </c>
      <c r="I5" s="65">
        <v>85</v>
      </c>
      <c r="J5" s="65">
        <v>85</v>
      </c>
      <c r="K5" s="65">
        <v>85</v>
      </c>
      <c r="L5" s="65">
        <v>85</v>
      </c>
      <c r="M5" s="65">
        <v>85</v>
      </c>
      <c r="N5" s="65">
        <v>85</v>
      </c>
      <c r="O5" s="65">
        <v>85</v>
      </c>
      <c r="P5" s="65">
        <v>85</v>
      </c>
      <c r="Q5" s="65">
        <v>85</v>
      </c>
      <c r="R5" s="65">
        <v>85</v>
      </c>
      <c r="S5" s="65">
        <v>85</v>
      </c>
      <c r="T5" s="65">
        <v>85</v>
      </c>
      <c r="U5" s="65">
        <v>85</v>
      </c>
      <c r="V5" s="65">
        <v>85</v>
      </c>
      <c r="W5" s="65">
        <v>85</v>
      </c>
      <c r="X5" s="65">
        <v>85</v>
      </c>
      <c r="Y5" s="65">
        <v>85</v>
      </c>
      <c r="Z5" s="65">
        <v>85</v>
      </c>
      <c r="AA5" s="65">
        <v>85</v>
      </c>
      <c r="AB5" s="65">
        <v>85</v>
      </c>
      <c r="AC5" s="65">
        <v>85</v>
      </c>
      <c r="AD5" s="65">
        <v>85</v>
      </c>
      <c r="AE5" s="65">
        <v>85</v>
      </c>
      <c r="AF5" s="65">
        <v>85</v>
      </c>
      <c r="AG5" s="65">
        <v>85</v>
      </c>
      <c r="AH5" s="65">
        <v>85</v>
      </c>
      <c r="AI5" s="65">
        <v>85</v>
      </c>
      <c r="AJ5" s="65">
        <v>85</v>
      </c>
      <c r="AK5" s="65">
        <v>85</v>
      </c>
      <c r="AL5" s="65">
        <v>85</v>
      </c>
      <c r="AM5" s="65">
        <v>85</v>
      </c>
      <c r="AN5" s="65">
        <v>85</v>
      </c>
      <c r="AO5" s="65">
        <v>85</v>
      </c>
      <c r="AP5" s="65">
        <v>85</v>
      </c>
      <c r="AQ5" s="65">
        <v>85</v>
      </c>
      <c r="AR5" s="65">
        <v>85</v>
      </c>
      <c r="AS5" s="65">
        <v>85</v>
      </c>
      <c r="AT5" s="65">
        <v>85</v>
      </c>
      <c r="AU5" s="65">
        <v>85</v>
      </c>
      <c r="AV5" s="65">
        <v>85</v>
      </c>
      <c r="AW5" s="65">
        <v>85</v>
      </c>
      <c r="AX5" s="65">
        <v>85</v>
      </c>
      <c r="AY5" s="65">
        <v>85</v>
      </c>
      <c r="AZ5" s="65">
        <v>85</v>
      </c>
      <c r="BA5" s="65">
        <v>85</v>
      </c>
    </row>
    <row r="6" spans="1:53" ht="15" thickBot="1">
      <c r="A6" s="66" t="s">
        <v>27</v>
      </c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>
        <v>79</v>
      </c>
      <c r="Z6" s="67">
        <v>82</v>
      </c>
      <c r="AA6" s="67">
        <v>82</v>
      </c>
      <c r="AB6" s="67">
        <v>82</v>
      </c>
      <c r="AC6" s="67">
        <v>82</v>
      </c>
      <c r="AD6" s="67">
        <v>84</v>
      </c>
      <c r="AE6" s="67">
        <v>85</v>
      </c>
      <c r="AF6" s="67">
        <v>86</v>
      </c>
      <c r="AG6" s="67">
        <v>85</v>
      </c>
      <c r="AH6" s="67">
        <v>85</v>
      </c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8"/>
    </row>
    <row r="7" spans="1:53">
      <c r="A7" s="69" t="s">
        <v>25</v>
      </c>
      <c r="B7" s="70">
        <v>1</v>
      </c>
      <c r="C7" s="70">
        <v>2</v>
      </c>
      <c r="D7" s="70">
        <v>3</v>
      </c>
      <c r="E7" s="70">
        <v>4</v>
      </c>
      <c r="F7" s="70">
        <v>5</v>
      </c>
      <c r="G7" s="70">
        <v>6</v>
      </c>
      <c r="H7" s="70">
        <v>7</v>
      </c>
      <c r="I7" s="70">
        <v>8</v>
      </c>
      <c r="J7" s="70">
        <v>9</v>
      </c>
      <c r="K7" s="70">
        <v>10</v>
      </c>
      <c r="L7" s="70">
        <v>11</v>
      </c>
      <c r="M7" s="70">
        <v>12</v>
      </c>
      <c r="N7" s="70">
        <v>13</v>
      </c>
      <c r="O7" s="70">
        <v>14</v>
      </c>
      <c r="P7" s="70">
        <v>15</v>
      </c>
      <c r="Q7" s="70">
        <v>16</v>
      </c>
      <c r="R7" s="70">
        <v>17</v>
      </c>
      <c r="S7" s="70">
        <v>18</v>
      </c>
      <c r="T7" s="70">
        <v>19</v>
      </c>
      <c r="U7" s="70">
        <v>20</v>
      </c>
      <c r="V7" s="70">
        <v>21</v>
      </c>
      <c r="W7" s="70">
        <v>22</v>
      </c>
      <c r="X7" s="70">
        <v>23</v>
      </c>
      <c r="Y7" s="70">
        <v>24</v>
      </c>
      <c r="Z7" s="70">
        <v>25</v>
      </c>
      <c r="AA7" s="70">
        <v>26</v>
      </c>
      <c r="AB7" s="70">
        <v>27</v>
      </c>
      <c r="AC7" s="70">
        <v>28</v>
      </c>
      <c r="AD7" s="70">
        <v>29</v>
      </c>
      <c r="AE7" s="70">
        <v>30</v>
      </c>
      <c r="AF7" s="70">
        <v>31</v>
      </c>
      <c r="AG7" s="70">
        <v>32</v>
      </c>
      <c r="AH7" s="70">
        <v>33</v>
      </c>
      <c r="AI7" s="70">
        <v>34</v>
      </c>
      <c r="AJ7" s="70">
        <v>35</v>
      </c>
      <c r="AK7" s="70">
        <v>36</v>
      </c>
      <c r="AL7" s="70">
        <v>37</v>
      </c>
      <c r="AM7" s="70">
        <v>38</v>
      </c>
      <c r="AN7" s="70">
        <v>39</v>
      </c>
      <c r="AO7" s="70">
        <v>40</v>
      </c>
      <c r="AP7" s="70">
        <v>41</v>
      </c>
      <c r="AQ7" s="70">
        <v>42</v>
      </c>
      <c r="AR7" s="70">
        <v>43</v>
      </c>
      <c r="AS7" s="70">
        <v>44</v>
      </c>
      <c r="AT7" s="70">
        <v>45</v>
      </c>
      <c r="AU7" s="70">
        <v>46</v>
      </c>
      <c r="AV7" s="70">
        <v>47</v>
      </c>
      <c r="AW7" s="70">
        <v>48</v>
      </c>
      <c r="AX7" s="70">
        <v>49</v>
      </c>
      <c r="AY7" s="70">
        <v>50</v>
      </c>
      <c r="AZ7" s="70">
        <v>51</v>
      </c>
      <c r="BA7" s="71">
        <v>52</v>
      </c>
    </row>
    <row r="8" spans="1:53">
      <c r="A8" s="72" t="s">
        <v>28</v>
      </c>
      <c r="B8" s="73">
        <v>68</v>
      </c>
      <c r="C8" s="73">
        <v>68</v>
      </c>
      <c r="D8" s="73">
        <v>68</v>
      </c>
      <c r="E8" s="73">
        <v>68</v>
      </c>
      <c r="F8" s="73">
        <v>68</v>
      </c>
      <c r="G8" s="73">
        <v>68</v>
      </c>
      <c r="H8" s="73">
        <v>68</v>
      </c>
      <c r="I8" s="73">
        <v>68</v>
      </c>
      <c r="J8" s="73">
        <v>68</v>
      </c>
      <c r="K8" s="73">
        <v>68</v>
      </c>
      <c r="L8" s="73">
        <v>68</v>
      </c>
      <c r="M8" s="73">
        <v>68</v>
      </c>
      <c r="N8" s="73">
        <v>68</v>
      </c>
      <c r="O8" s="73">
        <v>68</v>
      </c>
      <c r="P8" s="73">
        <v>68</v>
      </c>
      <c r="Q8" s="73">
        <v>68</v>
      </c>
      <c r="R8" s="73">
        <v>68</v>
      </c>
      <c r="S8" s="73">
        <v>68</v>
      </c>
      <c r="T8" s="73">
        <v>68</v>
      </c>
      <c r="U8" s="73">
        <v>68</v>
      </c>
      <c r="V8" s="73">
        <v>68</v>
      </c>
      <c r="W8" s="73">
        <v>68</v>
      </c>
      <c r="X8" s="73">
        <v>68</v>
      </c>
      <c r="Y8" s="73">
        <v>68</v>
      </c>
      <c r="Z8" s="73">
        <v>68</v>
      </c>
      <c r="AA8" s="73">
        <v>68</v>
      </c>
      <c r="AB8" s="73">
        <v>68</v>
      </c>
      <c r="AC8" s="73">
        <v>68</v>
      </c>
      <c r="AD8" s="73">
        <v>68</v>
      </c>
      <c r="AE8" s="73">
        <v>68</v>
      </c>
      <c r="AF8" s="73">
        <v>68</v>
      </c>
      <c r="AG8" s="73">
        <v>68</v>
      </c>
      <c r="AH8" s="73">
        <v>68</v>
      </c>
      <c r="AI8" s="73">
        <v>68</v>
      </c>
      <c r="AJ8" s="73">
        <v>68</v>
      </c>
      <c r="AK8" s="73">
        <v>68</v>
      </c>
      <c r="AL8" s="73">
        <v>68</v>
      </c>
      <c r="AM8" s="73">
        <v>68</v>
      </c>
      <c r="AN8" s="73">
        <v>68</v>
      </c>
      <c r="AO8" s="73">
        <v>68</v>
      </c>
      <c r="AP8" s="73">
        <v>68</v>
      </c>
      <c r="AQ8" s="73">
        <v>68</v>
      </c>
      <c r="AR8" s="73">
        <v>68</v>
      </c>
      <c r="AS8" s="73">
        <v>68</v>
      </c>
      <c r="AT8" s="73">
        <v>68</v>
      </c>
      <c r="AU8" s="73">
        <v>68</v>
      </c>
      <c r="AV8" s="73">
        <v>68</v>
      </c>
      <c r="AW8" s="73">
        <v>68</v>
      </c>
      <c r="AX8" s="73">
        <v>68</v>
      </c>
      <c r="AY8" s="73">
        <v>68</v>
      </c>
      <c r="AZ8" s="73">
        <v>68</v>
      </c>
      <c r="BA8" s="73">
        <v>68</v>
      </c>
    </row>
    <row r="9" spans="1:53">
      <c r="A9" s="69" t="s">
        <v>29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>
        <v>15</v>
      </c>
      <c r="Z9" s="74">
        <v>18</v>
      </c>
      <c r="AA9" s="74">
        <v>18</v>
      </c>
      <c r="AB9" s="74">
        <v>23</v>
      </c>
      <c r="AC9" s="74">
        <v>32</v>
      </c>
      <c r="AD9" s="74">
        <v>60</v>
      </c>
      <c r="AE9" s="74">
        <v>24</v>
      </c>
      <c r="AF9" s="74">
        <v>62</v>
      </c>
      <c r="AG9" s="74">
        <v>47</v>
      </c>
      <c r="AH9" s="74">
        <v>35</v>
      </c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5"/>
    </row>
    <row r="10" spans="1:53" ht="69.75" customHeight="1" thickBot="1">
      <c r="A10" s="66" t="s">
        <v>30</v>
      </c>
      <c r="B10" s="67"/>
      <c r="C10" s="67"/>
      <c r="D10" s="76"/>
      <c r="E10" s="76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76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76"/>
      <c r="AC10" s="76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8"/>
    </row>
    <row r="11" spans="1:53">
      <c r="A11" s="61" t="s">
        <v>31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>
        <v>9</v>
      </c>
      <c r="Z11" s="62">
        <v>9</v>
      </c>
      <c r="AA11" s="62">
        <v>9</v>
      </c>
      <c r="AB11" s="62">
        <v>9</v>
      </c>
      <c r="AC11" s="62">
        <v>9</v>
      </c>
      <c r="AD11" s="62">
        <v>9</v>
      </c>
      <c r="AE11" s="62">
        <v>9</v>
      </c>
      <c r="AF11" s="62">
        <v>9</v>
      </c>
      <c r="AG11" s="62">
        <v>9</v>
      </c>
      <c r="AH11" s="62">
        <v>9</v>
      </c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</row>
    <row r="12" spans="1:53">
      <c r="A12" s="64" t="s">
        <v>32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>
        <v>9</v>
      </c>
      <c r="Z12" s="65">
        <v>9</v>
      </c>
      <c r="AA12" s="65">
        <v>9</v>
      </c>
      <c r="AB12" s="65">
        <v>9</v>
      </c>
      <c r="AC12" s="65">
        <v>9</v>
      </c>
      <c r="AD12" s="65">
        <v>9</v>
      </c>
      <c r="AE12" s="65">
        <v>9</v>
      </c>
      <c r="AF12" s="65">
        <v>8</v>
      </c>
      <c r="AG12" s="65">
        <v>9</v>
      </c>
      <c r="AH12" s="65">
        <v>8</v>
      </c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</row>
    <row r="13" spans="1:53" ht="15" thickBot="1">
      <c r="A13" s="66" t="s">
        <v>33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>
        <v>8</v>
      </c>
      <c r="Z13" s="77">
        <v>8</v>
      </c>
      <c r="AA13" s="77">
        <v>8</v>
      </c>
      <c r="AB13" s="77">
        <v>8</v>
      </c>
      <c r="AC13" s="77">
        <v>8</v>
      </c>
      <c r="AD13" s="77">
        <v>8</v>
      </c>
      <c r="AE13" s="77">
        <v>8</v>
      </c>
      <c r="AF13" s="77">
        <v>7</v>
      </c>
      <c r="AG13" s="77">
        <v>8</v>
      </c>
      <c r="AH13" s="77">
        <v>7</v>
      </c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</row>
    <row r="14" spans="1:53">
      <c r="A14" s="69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</row>
    <row r="15" spans="1:53">
      <c r="A15" s="69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</row>
    <row r="16" spans="1:53">
      <c r="A16" s="78"/>
      <c r="B16" s="70"/>
      <c r="AM16" s="70"/>
      <c r="AN16" s="70"/>
      <c r="AO16" s="70"/>
      <c r="AP16" s="70"/>
      <c r="AQ16" s="70"/>
      <c r="AR16" s="70"/>
      <c r="AS16" s="70"/>
      <c r="AT16" s="70"/>
      <c r="AU16" s="70"/>
      <c r="AW16" s="70"/>
      <c r="AX16" s="70"/>
      <c r="AY16" s="70"/>
    </row>
    <row r="18" spans="1:53" ht="18">
      <c r="A18" s="54" t="s">
        <v>1</v>
      </c>
      <c r="B18" s="55" t="s">
        <v>22</v>
      </c>
      <c r="C18" s="56" t="s">
        <v>23</v>
      </c>
      <c r="E18" s="58"/>
    </row>
    <row r="19" spans="1:53" ht="18.600000000000001" thickBot="1">
      <c r="A19" s="59" t="s">
        <v>13</v>
      </c>
      <c r="B19" s="58">
        <v>2</v>
      </c>
      <c r="C19" s="60" t="s">
        <v>24</v>
      </c>
    </row>
    <row r="20" spans="1:53">
      <c r="A20" s="61" t="s">
        <v>25</v>
      </c>
      <c r="B20" s="62">
        <v>1</v>
      </c>
      <c r="C20" s="62">
        <v>2</v>
      </c>
      <c r="D20" s="62">
        <v>3</v>
      </c>
      <c r="E20" s="62">
        <v>4</v>
      </c>
      <c r="F20" s="62">
        <v>5</v>
      </c>
      <c r="G20" s="62">
        <v>6</v>
      </c>
      <c r="H20" s="62">
        <v>7</v>
      </c>
      <c r="I20" s="62">
        <v>8</v>
      </c>
      <c r="J20" s="62">
        <v>9</v>
      </c>
      <c r="K20" s="62">
        <v>10</v>
      </c>
      <c r="L20" s="62">
        <v>11</v>
      </c>
      <c r="M20" s="62">
        <v>12</v>
      </c>
      <c r="N20" s="62">
        <v>13</v>
      </c>
      <c r="O20" s="62">
        <v>14</v>
      </c>
      <c r="P20" s="62">
        <v>15</v>
      </c>
      <c r="Q20" s="62">
        <v>16</v>
      </c>
      <c r="R20" s="62">
        <v>17</v>
      </c>
      <c r="S20" s="62">
        <v>18</v>
      </c>
      <c r="T20" s="62">
        <v>19</v>
      </c>
      <c r="U20" s="62">
        <v>20</v>
      </c>
      <c r="V20" s="62">
        <v>21</v>
      </c>
      <c r="W20" s="62">
        <v>22</v>
      </c>
      <c r="X20" s="62">
        <v>23</v>
      </c>
      <c r="Y20" s="62">
        <v>24</v>
      </c>
      <c r="Z20" s="62">
        <v>25</v>
      </c>
      <c r="AA20" s="62">
        <v>26</v>
      </c>
      <c r="AB20" s="62">
        <v>27</v>
      </c>
      <c r="AC20" s="62">
        <v>28</v>
      </c>
      <c r="AD20" s="62">
        <v>29</v>
      </c>
      <c r="AE20" s="62">
        <v>30</v>
      </c>
      <c r="AF20" s="62">
        <v>31</v>
      </c>
      <c r="AG20" s="62">
        <v>32</v>
      </c>
      <c r="AH20" s="62">
        <v>33</v>
      </c>
      <c r="AI20" s="62">
        <v>34</v>
      </c>
      <c r="AJ20" s="62">
        <v>35</v>
      </c>
      <c r="AK20" s="62">
        <v>36</v>
      </c>
      <c r="AL20" s="62">
        <v>37</v>
      </c>
      <c r="AM20" s="62">
        <v>38</v>
      </c>
      <c r="AN20" s="62">
        <v>39</v>
      </c>
      <c r="AO20" s="62">
        <v>40</v>
      </c>
      <c r="AP20" s="62">
        <v>41</v>
      </c>
      <c r="AQ20" s="62">
        <v>42</v>
      </c>
      <c r="AR20" s="62">
        <v>43</v>
      </c>
      <c r="AS20" s="62">
        <v>44</v>
      </c>
      <c r="AT20" s="62">
        <v>45</v>
      </c>
      <c r="AU20" s="62">
        <v>46</v>
      </c>
      <c r="AV20" s="62">
        <v>47</v>
      </c>
      <c r="AW20" s="62">
        <v>48</v>
      </c>
      <c r="AX20" s="62">
        <v>49</v>
      </c>
      <c r="AY20" s="62">
        <v>50</v>
      </c>
      <c r="AZ20" s="62">
        <v>51</v>
      </c>
      <c r="BA20" s="63">
        <v>52</v>
      </c>
    </row>
    <row r="21" spans="1:53">
      <c r="A21" s="64" t="s">
        <v>26</v>
      </c>
      <c r="B21" s="65">
        <v>85</v>
      </c>
      <c r="C21" s="65">
        <v>85</v>
      </c>
      <c r="D21" s="65">
        <v>85</v>
      </c>
      <c r="E21" s="65">
        <v>85</v>
      </c>
      <c r="F21" s="65">
        <v>85</v>
      </c>
      <c r="G21" s="65">
        <v>85</v>
      </c>
      <c r="H21" s="65">
        <v>85</v>
      </c>
      <c r="I21" s="65">
        <v>85</v>
      </c>
      <c r="J21" s="65">
        <v>85</v>
      </c>
      <c r="K21" s="65">
        <v>85</v>
      </c>
      <c r="L21" s="65">
        <v>85</v>
      </c>
      <c r="M21" s="65">
        <v>85</v>
      </c>
      <c r="N21" s="65">
        <v>85</v>
      </c>
      <c r="O21" s="65">
        <v>85</v>
      </c>
      <c r="P21" s="65">
        <v>85</v>
      </c>
      <c r="Q21" s="65">
        <v>85</v>
      </c>
      <c r="R21" s="65">
        <v>85</v>
      </c>
      <c r="S21" s="65">
        <v>85</v>
      </c>
      <c r="T21" s="65">
        <v>85</v>
      </c>
      <c r="U21" s="65">
        <v>85</v>
      </c>
      <c r="V21" s="65">
        <v>85</v>
      </c>
      <c r="W21" s="65">
        <v>85</v>
      </c>
      <c r="X21" s="65">
        <v>85</v>
      </c>
      <c r="Y21" s="65">
        <v>85</v>
      </c>
      <c r="Z21" s="65">
        <v>85</v>
      </c>
      <c r="AA21" s="65">
        <v>85</v>
      </c>
      <c r="AB21" s="65">
        <v>85</v>
      </c>
      <c r="AC21" s="65">
        <v>85</v>
      </c>
      <c r="AD21" s="65">
        <v>85</v>
      </c>
      <c r="AE21" s="65">
        <v>85</v>
      </c>
      <c r="AF21" s="65">
        <v>85</v>
      </c>
      <c r="AG21" s="65">
        <v>85</v>
      </c>
      <c r="AH21" s="65">
        <v>85</v>
      </c>
      <c r="AI21" s="65">
        <v>85</v>
      </c>
      <c r="AJ21" s="65">
        <v>85</v>
      </c>
      <c r="AK21" s="65">
        <v>85</v>
      </c>
      <c r="AL21" s="65">
        <v>85</v>
      </c>
      <c r="AM21" s="65">
        <v>85</v>
      </c>
      <c r="AN21" s="65">
        <v>85</v>
      </c>
      <c r="AO21" s="65">
        <v>85</v>
      </c>
      <c r="AP21" s="65">
        <v>85</v>
      </c>
      <c r="AQ21" s="65">
        <v>85</v>
      </c>
      <c r="AR21" s="65">
        <v>85</v>
      </c>
      <c r="AS21" s="65">
        <v>85</v>
      </c>
      <c r="AT21" s="65">
        <v>85</v>
      </c>
      <c r="AU21" s="65">
        <v>85</v>
      </c>
      <c r="AV21" s="65">
        <v>85</v>
      </c>
      <c r="AW21" s="65">
        <v>85</v>
      </c>
      <c r="AX21" s="65">
        <v>85</v>
      </c>
      <c r="AY21" s="65">
        <v>85</v>
      </c>
      <c r="AZ21" s="65">
        <v>85</v>
      </c>
      <c r="BA21" s="65">
        <v>85</v>
      </c>
    </row>
    <row r="22" spans="1:53" ht="15" thickBot="1">
      <c r="A22" s="66" t="s">
        <v>27</v>
      </c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>
        <v>80</v>
      </c>
      <c r="AA22" s="67">
        <v>80</v>
      </c>
      <c r="AB22" s="67">
        <v>80</v>
      </c>
      <c r="AC22" s="67">
        <v>83</v>
      </c>
      <c r="AD22" s="67">
        <v>80</v>
      </c>
      <c r="AE22" s="67">
        <v>84</v>
      </c>
      <c r="AF22" s="67">
        <v>84</v>
      </c>
      <c r="AG22" s="67">
        <v>85</v>
      </c>
      <c r="AH22" s="67">
        <v>85</v>
      </c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  <c r="BA22" s="67"/>
    </row>
    <row r="23" spans="1:53">
      <c r="A23" s="69" t="s">
        <v>25</v>
      </c>
      <c r="B23" s="70">
        <v>1</v>
      </c>
      <c r="C23" s="70">
        <v>2</v>
      </c>
      <c r="D23" s="70">
        <v>3</v>
      </c>
      <c r="E23" s="70">
        <v>4</v>
      </c>
      <c r="F23" s="70">
        <v>5</v>
      </c>
      <c r="G23" s="70">
        <v>6</v>
      </c>
      <c r="H23" s="70">
        <v>7</v>
      </c>
      <c r="I23" s="70">
        <v>8</v>
      </c>
      <c r="J23" s="70">
        <v>9</v>
      </c>
      <c r="K23" s="70">
        <v>10</v>
      </c>
      <c r="L23" s="70">
        <v>11</v>
      </c>
      <c r="M23" s="70">
        <v>12</v>
      </c>
      <c r="N23" s="70">
        <v>13</v>
      </c>
      <c r="O23" s="70">
        <v>14</v>
      </c>
      <c r="P23" s="70">
        <v>15</v>
      </c>
      <c r="Q23" s="70">
        <v>16</v>
      </c>
      <c r="R23" s="70">
        <v>17</v>
      </c>
      <c r="S23" s="70">
        <v>18</v>
      </c>
      <c r="T23" s="70">
        <v>19</v>
      </c>
      <c r="U23" s="70">
        <v>20</v>
      </c>
      <c r="V23" s="70">
        <v>21</v>
      </c>
      <c r="W23" s="70">
        <v>22</v>
      </c>
      <c r="X23" s="70">
        <v>23</v>
      </c>
      <c r="Y23" s="70">
        <v>24</v>
      </c>
      <c r="Z23" s="70">
        <v>25</v>
      </c>
      <c r="AA23" s="70">
        <v>26</v>
      </c>
      <c r="AB23" s="70">
        <v>27</v>
      </c>
      <c r="AC23" s="70">
        <v>28</v>
      </c>
      <c r="AD23" s="70">
        <v>29</v>
      </c>
      <c r="AE23" s="70">
        <v>30</v>
      </c>
      <c r="AF23" s="70">
        <v>31</v>
      </c>
      <c r="AG23" s="70">
        <v>32</v>
      </c>
      <c r="AH23" s="70">
        <v>33</v>
      </c>
      <c r="AI23" s="70">
        <v>34</v>
      </c>
      <c r="AJ23" s="70">
        <v>35</v>
      </c>
      <c r="AK23" s="70">
        <v>36</v>
      </c>
      <c r="AL23" s="70">
        <v>37</v>
      </c>
      <c r="AM23" s="70">
        <v>38</v>
      </c>
      <c r="AN23" s="70">
        <v>39</v>
      </c>
      <c r="AO23" s="70">
        <v>40</v>
      </c>
      <c r="AP23" s="70">
        <v>41</v>
      </c>
      <c r="AQ23" s="70">
        <v>42</v>
      </c>
      <c r="AR23" s="70">
        <v>43</v>
      </c>
      <c r="AS23" s="70">
        <v>44</v>
      </c>
      <c r="AT23" s="70">
        <v>45</v>
      </c>
      <c r="AU23" s="70">
        <v>46</v>
      </c>
      <c r="AV23" s="70">
        <v>47</v>
      </c>
      <c r="AW23" s="70">
        <v>48</v>
      </c>
      <c r="AX23" s="70">
        <v>49</v>
      </c>
      <c r="AY23" s="70">
        <v>50</v>
      </c>
      <c r="AZ23" s="70">
        <v>51</v>
      </c>
      <c r="BA23" s="71">
        <v>52</v>
      </c>
    </row>
    <row r="24" spans="1:53">
      <c r="A24" s="72" t="s">
        <v>28</v>
      </c>
      <c r="B24" s="73">
        <v>68</v>
      </c>
      <c r="C24" s="73">
        <f t="shared" ref="C24:BA24" si="0">B24</f>
        <v>68</v>
      </c>
      <c r="D24" s="73">
        <f t="shared" si="0"/>
        <v>68</v>
      </c>
      <c r="E24" s="73">
        <f t="shared" si="0"/>
        <v>68</v>
      </c>
      <c r="F24" s="73">
        <f t="shared" si="0"/>
        <v>68</v>
      </c>
      <c r="G24" s="73">
        <f t="shared" si="0"/>
        <v>68</v>
      </c>
      <c r="H24" s="73">
        <f t="shared" si="0"/>
        <v>68</v>
      </c>
      <c r="I24" s="73">
        <f t="shared" si="0"/>
        <v>68</v>
      </c>
      <c r="J24" s="73">
        <f t="shared" si="0"/>
        <v>68</v>
      </c>
      <c r="K24" s="73">
        <f t="shared" si="0"/>
        <v>68</v>
      </c>
      <c r="L24" s="73">
        <f t="shared" si="0"/>
        <v>68</v>
      </c>
      <c r="M24" s="73">
        <f t="shared" si="0"/>
        <v>68</v>
      </c>
      <c r="N24" s="73">
        <f t="shared" si="0"/>
        <v>68</v>
      </c>
      <c r="O24" s="73">
        <f t="shared" si="0"/>
        <v>68</v>
      </c>
      <c r="P24" s="73">
        <f t="shared" si="0"/>
        <v>68</v>
      </c>
      <c r="Q24" s="73">
        <f t="shared" si="0"/>
        <v>68</v>
      </c>
      <c r="R24" s="73">
        <f t="shared" si="0"/>
        <v>68</v>
      </c>
      <c r="S24" s="73">
        <f t="shared" si="0"/>
        <v>68</v>
      </c>
      <c r="T24" s="73">
        <f t="shared" si="0"/>
        <v>68</v>
      </c>
      <c r="U24" s="73">
        <f t="shared" si="0"/>
        <v>68</v>
      </c>
      <c r="V24" s="73">
        <f t="shared" si="0"/>
        <v>68</v>
      </c>
      <c r="W24" s="73">
        <f t="shared" si="0"/>
        <v>68</v>
      </c>
      <c r="X24" s="73">
        <f t="shared" si="0"/>
        <v>68</v>
      </c>
      <c r="Y24" s="73">
        <f t="shared" si="0"/>
        <v>68</v>
      </c>
      <c r="Z24" s="73">
        <f t="shared" si="0"/>
        <v>68</v>
      </c>
      <c r="AA24" s="73">
        <f t="shared" si="0"/>
        <v>68</v>
      </c>
      <c r="AB24" s="73">
        <f t="shared" si="0"/>
        <v>68</v>
      </c>
      <c r="AC24" s="73">
        <f t="shared" si="0"/>
        <v>68</v>
      </c>
      <c r="AD24" s="73">
        <f t="shared" si="0"/>
        <v>68</v>
      </c>
      <c r="AE24" s="73">
        <f t="shared" si="0"/>
        <v>68</v>
      </c>
      <c r="AF24" s="73">
        <f t="shared" si="0"/>
        <v>68</v>
      </c>
      <c r="AG24" s="73">
        <f t="shared" si="0"/>
        <v>68</v>
      </c>
      <c r="AH24" s="73">
        <f t="shared" si="0"/>
        <v>68</v>
      </c>
      <c r="AI24" s="73">
        <f t="shared" si="0"/>
        <v>68</v>
      </c>
      <c r="AJ24" s="73">
        <f t="shared" si="0"/>
        <v>68</v>
      </c>
      <c r="AK24" s="73">
        <f t="shared" si="0"/>
        <v>68</v>
      </c>
      <c r="AL24" s="73">
        <f t="shared" si="0"/>
        <v>68</v>
      </c>
      <c r="AM24" s="73">
        <f t="shared" si="0"/>
        <v>68</v>
      </c>
      <c r="AN24" s="73">
        <f t="shared" si="0"/>
        <v>68</v>
      </c>
      <c r="AO24" s="73">
        <f t="shared" si="0"/>
        <v>68</v>
      </c>
      <c r="AP24" s="73">
        <f t="shared" si="0"/>
        <v>68</v>
      </c>
      <c r="AQ24" s="73">
        <f t="shared" si="0"/>
        <v>68</v>
      </c>
      <c r="AR24" s="73">
        <f t="shared" si="0"/>
        <v>68</v>
      </c>
      <c r="AS24" s="73">
        <f t="shared" si="0"/>
        <v>68</v>
      </c>
      <c r="AT24" s="73">
        <f t="shared" si="0"/>
        <v>68</v>
      </c>
      <c r="AU24" s="73">
        <f t="shared" si="0"/>
        <v>68</v>
      </c>
      <c r="AV24" s="73">
        <f t="shared" si="0"/>
        <v>68</v>
      </c>
      <c r="AW24" s="73">
        <f t="shared" si="0"/>
        <v>68</v>
      </c>
      <c r="AX24" s="73">
        <f t="shared" si="0"/>
        <v>68</v>
      </c>
      <c r="AY24" s="73">
        <f t="shared" si="0"/>
        <v>68</v>
      </c>
      <c r="AZ24" s="73">
        <f t="shared" si="0"/>
        <v>68</v>
      </c>
      <c r="BA24" s="73">
        <f t="shared" si="0"/>
        <v>68</v>
      </c>
    </row>
    <row r="25" spans="1:53">
      <c r="A25" s="69" t="s">
        <v>29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>
        <v>20</v>
      </c>
      <c r="AA25" s="74">
        <v>20</v>
      </c>
      <c r="AB25" s="74">
        <v>61</v>
      </c>
      <c r="AC25" s="74">
        <v>80</v>
      </c>
      <c r="AD25" s="74">
        <v>64</v>
      </c>
      <c r="AE25" s="74">
        <v>77</v>
      </c>
      <c r="AF25" s="74">
        <v>44</v>
      </c>
      <c r="AG25" s="74">
        <v>52</v>
      </c>
      <c r="AH25" s="74">
        <v>81</v>
      </c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</row>
    <row r="26" spans="1:53" ht="42" customHeight="1" thickBot="1">
      <c r="A26" s="66" t="s">
        <v>30</v>
      </c>
      <c r="B26" s="67"/>
      <c r="C26" s="76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8"/>
    </row>
    <row r="27" spans="1:53">
      <c r="A27" s="61" t="s">
        <v>31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>
        <v>9</v>
      </c>
      <c r="AA27" s="62">
        <v>9</v>
      </c>
      <c r="AB27" s="62">
        <v>9</v>
      </c>
      <c r="AC27" s="62">
        <v>9</v>
      </c>
      <c r="AD27" s="62">
        <v>9</v>
      </c>
      <c r="AE27" s="62">
        <v>9</v>
      </c>
      <c r="AF27" s="62">
        <v>9</v>
      </c>
      <c r="AG27" s="62">
        <v>9</v>
      </c>
      <c r="AH27" s="62">
        <v>9</v>
      </c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</row>
    <row r="28" spans="1:53">
      <c r="A28" s="64" t="s">
        <v>32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>
        <v>9</v>
      </c>
      <c r="AA28" s="65">
        <v>9</v>
      </c>
      <c r="AB28" s="65">
        <v>9</v>
      </c>
      <c r="AC28" s="65">
        <v>9</v>
      </c>
      <c r="AD28" s="65">
        <v>9</v>
      </c>
      <c r="AE28" s="65">
        <v>9</v>
      </c>
      <c r="AF28" s="65">
        <v>8</v>
      </c>
      <c r="AG28" s="65">
        <v>9</v>
      </c>
      <c r="AH28" s="65">
        <v>8</v>
      </c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</row>
    <row r="29" spans="1:53" ht="15" thickBot="1">
      <c r="A29" s="66" t="s">
        <v>33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>
        <v>8</v>
      </c>
      <c r="AA29" s="77">
        <v>8</v>
      </c>
      <c r="AB29" s="77">
        <v>8</v>
      </c>
      <c r="AC29" s="77">
        <v>8</v>
      </c>
      <c r="AD29" s="77">
        <v>8</v>
      </c>
      <c r="AE29" s="77">
        <v>8</v>
      </c>
      <c r="AF29" s="77">
        <v>8</v>
      </c>
      <c r="AG29" s="77">
        <v>8</v>
      </c>
      <c r="AH29" s="77">
        <v>8</v>
      </c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</row>
    <row r="32" spans="1:53">
      <c r="A32" s="69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</row>
    <row r="33" spans="1:53" ht="15" thickBot="1">
      <c r="A33" s="69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</row>
    <row r="34" spans="1:53" ht="18">
      <c r="A34" s="54" t="s">
        <v>1</v>
      </c>
      <c r="B34" s="55" t="s">
        <v>22</v>
      </c>
      <c r="C34" s="56" t="s">
        <v>23</v>
      </c>
      <c r="E34" s="58"/>
    </row>
    <row r="35" spans="1:53" ht="18.600000000000001" thickBot="1">
      <c r="A35" s="59" t="s">
        <v>14</v>
      </c>
      <c r="B35" s="58">
        <v>3</v>
      </c>
      <c r="C35" s="60" t="s">
        <v>24</v>
      </c>
    </row>
    <row r="36" spans="1:53">
      <c r="A36" s="61" t="s">
        <v>25</v>
      </c>
      <c r="B36" s="62">
        <v>1</v>
      </c>
      <c r="C36" s="62">
        <v>2</v>
      </c>
      <c r="D36" s="62">
        <v>3</v>
      </c>
      <c r="E36" s="62">
        <v>4</v>
      </c>
      <c r="F36" s="62">
        <v>5</v>
      </c>
      <c r="G36" s="62">
        <v>6</v>
      </c>
      <c r="H36" s="62">
        <v>7</v>
      </c>
      <c r="I36" s="62">
        <v>8</v>
      </c>
      <c r="J36" s="62">
        <v>9</v>
      </c>
      <c r="K36" s="62">
        <v>10</v>
      </c>
      <c r="L36" s="62">
        <v>11</v>
      </c>
      <c r="M36" s="62">
        <v>12</v>
      </c>
      <c r="N36" s="62">
        <v>13</v>
      </c>
      <c r="O36" s="62">
        <v>14</v>
      </c>
      <c r="P36" s="62">
        <v>15</v>
      </c>
      <c r="Q36" s="62">
        <v>16</v>
      </c>
      <c r="R36" s="62">
        <v>17</v>
      </c>
      <c r="S36" s="62">
        <v>18</v>
      </c>
      <c r="T36" s="62">
        <v>19</v>
      </c>
      <c r="U36" s="62">
        <v>20</v>
      </c>
      <c r="V36" s="62">
        <v>21</v>
      </c>
      <c r="W36" s="62">
        <v>22</v>
      </c>
      <c r="X36" s="62">
        <v>23</v>
      </c>
      <c r="Y36" s="62">
        <v>24</v>
      </c>
      <c r="Z36" s="62">
        <v>25</v>
      </c>
      <c r="AA36" s="62">
        <v>26</v>
      </c>
      <c r="AB36" s="62">
        <v>27</v>
      </c>
      <c r="AC36" s="62">
        <v>28</v>
      </c>
      <c r="AD36" s="62">
        <v>29</v>
      </c>
      <c r="AE36" s="62">
        <v>30</v>
      </c>
      <c r="AF36" s="62">
        <v>31</v>
      </c>
      <c r="AG36" s="62">
        <v>32</v>
      </c>
      <c r="AH36" s="62">
        <v>33</v>
      </c>
      <c r="AI36" s="62">
        <v>34</v>
      </c>
      <c r="AJ36" s="62">
        <v>35</v>
      </c>
      <c r="AK36" s="62">
        <v>36</v>
      </c>
      <c r="AL36" s="62">
        <v>37</v>
      </c>
      <c r="AM36" s="62">
        <v>38</v>
      </c>
      <c r="AN36" s="62">
        <v>39</v>
      </c>
      <c r="AO36" s="62">
        <v>40</v>
      </c>
      <c r="AP36" s="62">
        <v>41</v>
      </c>
      <c r="AQ36" s="62">
        <v>42</v>
      </c>
      <c r="AR36" s="62">
        <v>43</v>
      </c>
      <c r="AS36" s="62">
        <v>44</v>
      </c>
      <c r="AT36" s="62">
        <v>45</v>
      </c>
      <c r="AU36" s="62">
        <v>46</v>
      </c>
      <c r="AV36" s="62">
        <v>47</v>
      </c>
      <c r="AW36" s="62">
        <v>48</v>
      </c>
      <c r="AX36" s="62">
        <v>49</v>
      </c>
      <c r="AY36" s="62">
        <v>50</v>
      </c>
      <c r="AZ36" s="62">
        <v>51</v>
      </c>
      <c r="BA36" s="63">
        <v>52</v>
      </c>
    </row>
    <row r="37" spans="1:53">
      <c r="A37" s="64" t="s">
        <v>26</v>
      </c>
      <c r="B37" s="65">
        <v>85</v>
      </c>
      <c r="C37" s="65">
        <v>85</v>
      </c>
      <c r="D37" s="65">
        <v>85</v>
      </c>
      <c r="E37" s="65">
        <v>85</v>
      </c>
      <c r="F37" s="65">
        <v>85</v>
      </c>
      <c r="G37" s="65">
        <v>85</v>
      </c>
      <c r="H37" s="65">
        <v>85</v>
      </c>
      <c r="I37" s="65">
        <v>85</v>
      </c>
      <c r="J37" s="65">
        <v>85</v>
      </c>
      <c r="K37" s="65">
        <v>85</v>
      </c>
      <c r="L37" s="65">
        <v>85</v>
      </c>
      <c r="M37" s="65">
        <v>85</v>
      </c>
      <c r="N37" s="65">
        <v>85</v>
      </c>
      <c r="O37" s="65">
        <v>85</v>
      </c>
      <c r="P37" s="65">
        <v>85</v>
      </c>
      <c r="Q37" s="65">
        <v>85</v>
      </c>
      <c r="R37" s="65">
        <v>85</v>
      </c>
      <c r="S37" s="65">
        <v>85</v>
      </c>
      <c r="T37" s="65">
        <v>85</v>
      </c>
      <c r="U37" s="65">
        <v>85</v>
      </c>
      <c r="V37" s="65">
        <v>85</v>
      </c>
      <c r="W37" s="65">
        <v>85</v>
      </c>
      <c r="X37" s="65">
        <v>85</v>
      </c>
      <c r="Y37" s="65">
        <v>85</v>
      </c>
      <c r="Z37" s="65">
        <v>85</v>
      </c>
      <c r="AA37" s="65">
        <v>85</v>
      </c>
      <c r="AB37" s="65">
        <v>85</v>
      </c>
      <c r="AC37" s="65">
        <v>85</v>
      </c>
      <c r="AD37" s="65">
        <v>85</v>
      </c>
      <c r="AE37" s="65">
        <v>85</v>
      </c>
      <c r="AF37" s="65">
        <v>85</v>
      </c>
      <c r="AG37" s="65">
        <v>85</v>
      </c>
      <c r="AH37" s="65">
        <v>85</v>
      </c>
      <c r="AI37" s="65">
        <v>85</v>
      </c>
      <c r="AJ37" s="65">
        <v>85</v>
      </c>
      <c r="AK37" s="65">
        <v>85</v>
      </c>
      <c r="AL37" s="65">
        <v>85</v>
      </c>
      <c r="AM37" s="65">
        <v>85</v>
      </c>
      <c r="AN37" s="65">
        <v>85</v>
      </c>
      <c r="AO37" s="65">
        <v>85</v>
      </c>
      <c r="AP37" s="65">
        <v>85</v>
      </c>
      <c r="AQ37" s="65">
        <v>85</v>
      </c>
      <c r="AR37" s="65">
        <v>85</v>
      </c>
      <c r="AS37" s="65">
        <v>85</v>
      </c>
      <c r="AT37" s="65">
        <v>85</v>
      </c>
      <c r="AU37" s="65">
        <v>85</v>
      </c>
      <c r="AV37" s="65">
        <v>85</v>
      </c>
      <c r="AW37" s="65">
        <v>85</v>
      </c>
      <c r="AX37" s="65">
        <v>85</v>
      </c>
      <c r="AY37" s="65">
        <v>85</v>
      </c>
      <c r="AZ37" s="65">
        <v>85</v>
      </c>
      <c r="BA37" s="65">
        <v>85</v>
      </c>
    </row>
    <row r="38" spans="1:53" ht="15" thickBot="1">
      <c r="A38" s="66" t="s">
        <v>27</v>
      </c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7"/>
    </row>
    <row r="39" spans="1:53">
      <c r="A39" s="69" t="s">
        <v>25</v>
      </c>
      <c r="B39" s="70">
        <v>1</v>
      </c>
      <c r="C39" s="70">
        <v>2</v>
      </c>
      <c r="D39" s="70">
        <v>3</v>
      </c>
      <c r="E39" s="70">
        <v>4</v>
      </c>
      <c r="F39" s="70">
        <v>5</v>
      </c>
      <c r="G39" s="70">
        <v>6</v>
      </c>
      <c r="H39" s="70">
        <v>7</v>
      </c>
      <c r="I39" s="70">
        <v>8</v>
      </c>
      <c r="J39" s="70">
        <v>9</v>
      </c>
      <c r="K39" s="70">
        <v>10</v>
      </c>
      <c r="L39" s="70">
        <v>11</v>
      </c>
      <c r="M39" s="70">
        <v>12</v>
      </c>
      <c r="N39" s="70">
        <v>13</v>
      </c>
      <c r="O39" s="70">
        <v>14</v>
      </c>
      <c r="P39" s="70">
        <v>15</v>
      </c>
      <c r="Q39" s="70">
        <v>16</v>
      </c>
      <c r="R39" s="70">
        <v>17</v>
      </c>
      <c r="S39" s="70">
        <v>18</v>
      </c>
      <c r="T39" s="70">
        <v>19</v>
      </c>
      <c r="U39" s="70">
        <v>20</v>
      </c>
      <c r="V39" s="70">
        <v>21</v>
      </c>
      <c r="W39" s="70">
        <v>22</v>
      </c>
      <c r="X39" s="70">
        <v>23</v>
      </c>
      <c r="Y39" s="70">
        <v>24</v>
      </c>
      <c r="Z39" s="70">
        <v>25</v>
      </c>
      <c r="AA39" s="70">
        <v>26</v>
      </c>
      <c r="AB39" s="70">
        <v>27</v>
      </c>
      <c r="AC39" s="70">
        <v>28</v>
      </c>
      <c r="AD39" s="70">
        <v>29</v>
      </c>
      <c r="AE39" s="70">
        <v>30</v>
      </c>
      <c r="AF39" s="70">
        <v>31</v>
      </c>
      <c r="AG39" s="70">
        <v>32</v>
      </c>
      <c r="AH39" s="70">
        <v>33</v>
      </c>
      <c r="AI39" s="70">
        <v>34</v>
      </c>
      <c r="AJ39" s="70">
        <v>35</v>
      </c>
      <c r="AK39" s="70">
        <v>36</v>
      </c>
      <c r="AL39" s="70">
        <v>37</v>
      </c>
      <c r="AM39" s="70">
        <v>38</v>
      </c>
      <c r="AN39" s="70">
        <v>39</v>
      </c>
      <c r="AO39" s="70">
        <v>40</v>
      </c>
      <c r="AP39" s="70">
        <v>41</v>
      </c>
      <c r="AQ39" s="70">
        <v>42</v>
      </c>
      <c r="AR39" s="70">
        <v>43</v>
      </c>
      <c r="AS39" s="70">
        <v>44</v>
      </c>
      <c r="AT39" s="70">
        <v>45</v>
      </c>
      <c r="AU39" s="70">
        <v>46</v>
      </c>
      <c r="AV39" s="70">
        <v>47</v>
      </c>
      <c r="AW39" s="70">
        <v>48</v>
      </c>
      <c r="AX39" s="70">
        <v>49</v>
      </c>
      <c r="AY39" s="70">
        <v>50</v>
      </c>
      <c r="AZ39" s="70">
        <v>51</v>
      </c>
      <c r="BA39" s="71">
        <v>52</v>
      </c>
    </row>
    <row r="40" spans="1:53">
      <c r="A40" s="72" t="s">
        <v>28</v>
      </c>
      <c r="B40" s="73">
        <v>68</v>
      </c>
      <c r="C40" s="73">
        <f t="shared" ref="C40:BA40" si="1">B40</f>
        <v>68</v>
      </c>
      <c r="D40" s="73">
        <f t="shared" si="1"/>
        <v>68</v>
      </c>
      <c r="E40" s="73">
        <f t="shared" si="1"/>
        <v>68</v>
      </c>
      <c r="F40" s="73">
        <f t="shared" si="1"/>
        <v>68</v>
      </c>
      <c r="G40" s="73">
        <f t="shared" si="1"/>
        <v>68</v>
      </c>
      <c r="H40" s="73">
        <f t="shared" si="1"/>
        <v>68</v>
      </c>
      <c r="I40" s="73">
        <f t="shared" si="1"/>
        <v>68</v>
      </c>
      <c r="J40" s="73">
        <f t="shared" si="1"/>
        <v>68</v>
      </c>
      <c r="K40" s="73">
        <f t="shared" si="1"/>
        <v>68</v>
      </c>
      <c r="L40" s="73">
        <f t="shared" si="1"/>
        <v>68</v>
      </c>
      <c r="M40" s="73">
        <f t="shared" si="1"/>
        <v>68</v>
      </c>
      <c r="N40" s="73">
        <f t="shared" si="1"/>
        <v>68</v>
      </c>
      <c r="O40" s="73">
        <f t="shared" si="1"/>
        <v>68</v>
      </c>
      <c r="P40" s="73">
        <f t="shared" si="1"/>
        <v>68</v>
      </c>
      <c r="Q40" s="73">
        <f t="shared" si="1"/>
        <v>68</v>
      </c>
      <c r="R40" s="73">
        <f t="shared" si="1"/>
        <v>68</v>
      </c>
      <c r="S40" s="73">
        <f t="shared" si="1"/>
        <v>68</v>
      </c>
      <c r="T40" s="73">
        <f t="shared" si="1"/>
        <v>68</v>
      </c>
      <c r="U40" s="73">
        <f t="shared" si="1"/>
        <v>68</v>
      </c>
      <c r="V40" s="73">
        <f t="shared" si="1"/>
        <v>68</v>
      </c>
      <c r="W40" s="73">
        <f t="shared" si="1"/>
        <v>68</v>
      </c>
      <c r="X40" s="73">
        <f t="shared" si="1"/>
        <v>68</v>
      </c>
      <c r="Y40" s="73">
        <f t="shared" si="1"/>
        <v>68</v>
      </c>
      <c r="Z40" s="73">
        <f t="shared" si="1"/>
        <v>68</v>
      </c>
      <c r="AA40" s="73">
        <f t="shared" si="1"/>
        <v>68</v>
      </c>
      <c r="AB40" s="73">
        <f t="shared" si="1"/>
        <v>68</v>
      </c>
      <c r="AC40" s="73">
        <f t="shared" si="1"/>
        <v>68</v>
      </c>
      <c r="AD40" s="73">
        <f t="shared" si="1"/>
        <v>68</v>
      </c>
      <c r="AE40" s="73">
        <f t="shared" si="1"/>
        <v>68</v>
      </c>
      <c r="AF40" s="73">
        <f t="shared" si="1"/>
        <v>68</v>
      </c>
      <c r="AG40" s="73">
        <f t="shared" si="1"/>
        <v>68</v>
      </c>
      <c r="AH40" s="73">
        <f t="shared" si="1"/>
        <v>68</v>
      </c>
      <c r="AI40" s="73">
        <f t="shared" si="1"/>
        <v>68</v>
      </c>
      <c r="AJ40" s="73">
        <f t="shared" si="1"/>
        <v>68</v>
      </c>
      <c r="AK40" s="73">
        <f t="shared" si="1"/>
        <v>68</v>
      </c>
      <c r="AL40" s="73">
        <f t="shared" si="1"/>
        <v>68</v>
      </c>
      <c r="AM40" s="73">
        <f t="shared" si="1"/>
        <v>68</v>
      </c>
      <c r="AN40" s="73">
        <f t="shared" si="1"/>
        <v>68</v>
      </c>
      <c r="AO40" s="73">
        <f t="shared" si="1"/>
        <v>68</v>
      </c>
      <c r="AP40" s="73">
        <f t="shared" si="1"/>
        <v>68</v>
      </c>
      <c r="AQ40" s="73">
        <f t="shared" si="1"/>
        <v>68</v>
      </c>
      <c r="AR40" s="73">
        <f t="shared" si="1"/>
        <v>68</v>
      </c>
      <c r="AS40" s="73">
        <f t="shared" si="1"/>
        <v>68</v>
      </c>
      <c r="AT40" s="73">
        <f t="shared" si="1"/>
        <v>68</v>
      </c>
      <c r="AU40" s="73">
        <f t="shared" si="1"/>
        <v>68</v>
      </c>
      <c r="AV40" s="73">
        <f t="shared" si="1"/>
        <v>68</v>
      </c>
      <c r="AW40" s="73">
        <f t="shared" si="1"/>
        <v>68</v>
      </c>
      <c r="AX40" s="73">
        <f t="shared" si="1"/>
        <v>68</v>
      </c>
      <c r="AY40" s="73">
        <f t="shared" si="1"/>
        <v>68</v>
      </c>
      <c r="AZ40" s="73">
        <f t="shared" si="1"/>
        <v>68</v>
      </c>
      <c r="BA40" s="73">
        <f t="shared" si="1"/>
        <v>68</v>
      </c>
    </row>
    <row r="41" spans="1:53">
      <c r="A41" s="69" t="s">
        <v>29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74"/>
      <c r="AX41" s="74"/>
      <c r="AY41" s="74"/>
      <c r="AZ41" s="74"/>
      <c r="BA41" s="74"/>
    </row>
    <row r="42" spans="1:53" ht="42" customHeight="1" thickBot="1">
      <c r="A42" s="66" t="s">
        <v>30</v>
      </c>
      <c r="B42" s="67"/>
      <c r="C42" s="76"/>
      <c r="D42" s="67"/>
      <c r="E42" s="76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7"/>
      <c r="AR42" s="67"/>
      <c r="AS42" s="67"/>
      <c r="AT42" s="67"/>
      <c r="AU42" s="67"/>
      <c r="AV42" s="67"/>
      <c r="AW42" s="67"/>
      <c r="AX42" s="67"/>
      <c r="AY42" s="67"/>
      <c r="AZ42" s="67"/>
      <c r="BA42" s="68"/>
    </row>
    <row r="43" spans="1:53">
      <c r="A43" s="61" t="s">
        <v>31</v>
      </c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s="62"/>
      <c r="AY43" s="62"/>
      <c r="AZ43" s="62"/>
      <c r="BA43" s="62"/>
    </row>
    <row r="44" spans="1:53">
      <c r="A44" s="64" t="s">
        <v>32</v>
      </c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</row>
    <row r="45" spans="1:53" ht="15" thickBot="1">
      <c r="A45" s="66" t="s">
        <v>33</v>
      </c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7"/>
      <c r="BA45" s="77"/>
    </row>
    <row r="46" spans="1:53">
      <c r="A46" s="78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</row>
    <row r="47" spans="1:53">
      <c r="A47" s="78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0"/>
      <c r="AX47" s="70"/>
      <c r="AY47" s="70"/>
      <c r="AZ47" s="70"/>
      <c r="BA47" s="70"/>
    </row>
    <row r="48" spans="1:53">
      <c r="A48" s="78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0"/>
      <c r="AX48" s="70"/>
      <c r="AY48" s="70"/>
      <c r="AZ48" s="70"/>
      <c r="BA48" s="70"/>
    </row>
    <row r="49" spans="1:55" ht="15" thickBot="1">
      <c r="A49" s="78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70"/>
      <c r="AX49" s="70"/>
      <c r="AY49" s="70"/>
      <c r="AZ49" s="70"/>
      <c r="BA49" s="70"/>
    </row>
    <row r="50" spans="1:55" ht="18">
      <c r="A50" s="54" t="s">
        <v>1</v>
      </c>
      <c r="B50" s="55" t="s">
        <v>22</v>
      </c>
      <c r="C50" s="56" t="s">
        <v>23</v>
      </c>
      <c r="E50" s="58"/>
    </row>
    <row r="51" spans="1:55" ht="18.600000000000001" thickBot="1">
      <c r="A51" s="59" t="s">
        <v>16</v>
      </c>
      <c r="B51" s="58">
        <v>4</v>
      </c>
      <c r="C51" s="60" t="s">
        <v>24</v>
      </c>
      <c r="D51" s="41"/>
    </row>
    <row r="52" spans="1:55">
      <c r="A52" s="61" t="s">
        <v>25</v>
      </c>
      <c r="B52" s="62">
        <v>1</v>
      </c>
      <c r="C52" s="62">
        <v>2</v>
      </c>
      <c r="D52" s="62">
        <v>3</v>
      </c>
      <c r="E52" s="62">
        <v>4</v>
      </c>
      <c r="F52" s="62">
        <v>5</v>
      </c>
      <c r="G52" s="62">
        <v>6</v>
      </c>
      <c r="H52" s="62">
        <v>7</v>
      </c>
      <c r="I52" s="62">
        <v>8</v>
      </c>
      <c r="J52" s="62">
        <v>9</v>
      </c>
      <c r="K52" s="62">
        <v>10</v>
      </c>
      <c r="L52" s="62">
        <v>11</v>
      </c>
      <c r="M52" s="62">
        <v>12</v>
      </c>
      <c r="N52" s="62">
        <v>13</v>
      </c>
      <c r="O52" s="62">
        <v>14</v>
      </c>
      <c r="P52" s="62">
        <v>15</v>
      </c>
      <c r="Q52" s="62">
        <v>16</v>
      </c>
      <c r="R52" s="62">
        <v>17</v>
      </c>
      <c r="S52" s="62">
        <v>18</v>
      </c>
      <c r="T52" s="62">
        <v>19</v>
      </c>
      <c r="U52" s="62">
        <v>20</v>
      </c>
      <c r="V52" s="62">
        <v>21</v>
      </c>
      <c r="W52" s="62">
        <v>22</v>
      </c>
      <c r="X52" s="62">
        <v>23</v>
      </c>
      <c r="Y52" s="62">
        <v>24</v>
      </c>
      <c r="Z52" s="62">
        <v>25</v>
      </c>
      <c r="AA52" s="62">
        <v>26</v>
      </c>
      <c r="AB52" s="62">
        <v>27</v>
      </c>
      <c r="AC52" s="62">
        <v>28</v>
      </c>
      <c r="AD52" s="62">
        <v>29</v>
      </c>
      <c r="AE52" s="62">
        <v>30</v>
      </c>
      <c r="AF52" s="62">
        <v>31</v>
      </c>
      <c r="AG52" s="62">
        <v>32</v>
      </c>
      <c r="AH52" s="62">
        <v>33</v>
      </c>
      <c r="AI52" s="62">
        <v>34</v>
      </c>
      <c r="AJ52" s="62">
        <v>35</v>
      </c>
      <c r="AK52" s="62">
        <v>36</v>
      </c>
      <c r="AL52" s="62">
        <v>37</v>
      </c>
      <c r="AM52" s="62">
        <v>38</v>
      </c>
      <c r="AN52" s="62">
        <v>39</v>
      </c>
      <c r="AO52" s="62">
        <v>40</v>
      </c>
      <c r="AP52" s="62">
        <v>41</v>
      </c>
      <c r="AQ52" s="62">
        <v>42</v>
      </c>
      <c r="AR52" s="62">
        <v>43</v>
      </c>
      <c r="AS52" s="62">
        <v>44</v>
      </c>
      <c r="AT52" s="62">
        <v>45</v>
      </c>
      <c r="AU52" s="62">
        <v>46</v>
      </c>
      <c r="AV52" s="62">
        <v>47</v>
      </c>
      <c r="AW52" s="62">
        <v>48</v>
      </c>
      <c r="AX52" s="62">
        <v>49</v>
      </c>
      <c r="AY52" s="62">
        <v>50</v>
      </c>
      <c r="AZ52" s="62">
        <v>51</v>
      </c>
      <c r="BA52" s="63">
        <v>52</v>
      </c>
    </row>
    <row r="53" spans="1:55">
      <c r="A53" s="64" t="s">
        <v>26</v>
      </c>
      <c r="B53" s="65">
        <v>85</v>
      </c>
      <c r="C53" s="65">
        <v>85</v>
      </c>
      <c r="D53" s="65">
        <v>85</v>
      </c>
      <c r="E53" s="65">
        <v>85</v>
      </c>
      <c r="F53" s="65">
        <v>85</v>
      </c>
      <c r="G53" s="65">
        <v>85</v>
      </c>
      <c r="H53" s="65">
        <v>85</v>
      </c>
      <c r="I53" s="65">
        <v>85</v>
      </c>
      <c r="J53" s="65">
        <v>85</v>
      </c>
      <c r="K53" s="65">
        <v>85</v>
      </c>
      <c r="L53" s="65">
        <v>85</v>
      </c>
      <c r="M53" s="65">
        <v>85</v>
      </c>
      <c r="N53" s="65">
        <v>85</v>
      </c>
      <c r="O53" s="65">
        <v>85</v>
      </c>
      <c r="P53" s="65">
        <v>85</v>
      </c>
      <c r="Q53" s="65">
        <v>85</v>
      </c>
      <c r="R53" s="65">
        <v>85</v>
      </c>
      <c r="S53" s="65">
        <v>85</v>
      </c>
      <c r="T53" s="65">
        <v>85</v>
      </c>
      <c r="U53" s="65">
        <v>85</v>
      </c>
      <c r="V53" s="65">
        <v>85</v>
      </c>
      <c r="W53" s="65">
        <v>85</v>
      </c>
      <c r="X53" s="65">
        <v>85</v>
      </c>
      <c r="Y53" s="65">
        <v>85</v>
      </c>
      <c r="Z53" s="65">
        <v>85</v>
      </c>
      <c r="AA53" s="65">
        <v>85</v>
      </c>
      <c r="AB53" s="65">
        <v>85</v>
      </c>
      <c r="AC53" s="65">
        <v>85</v>
      </c>
      <c r="AD53" s="65">
        <v>85</v>
      </c>
      <c r="AE53" s="65">
        <v>85</v>
      </c>
      <c r="AF53" s="65">
        <v>85</v>
      </c>
      <c r="AG53" s="65">
        <v>85</v>
      </c>
      <c r="AH53" s="65">
        <v>85</v>
      </c>
      <c r="AI53" s="65">
        <v>85</v>
      </c>
      <c r="AJ53" s="65">
        <v>85</v>
      </c>
      <c r="AK53" s="65">
        <v>85</v>
      </c>
      <c r="AL53" s="65">
        <v>85</v>
      </c>
      <c r="AM53" s="65">
        <v>85</v>
      </c>
      <c r="AN53" s="65">
        <v>85</v>
      </c>
      <c r="AO53" s="65">
        <v>85</v>
      </c>
      <c r="AP53" s="65">
        <v>85</v>
      </c>
      <c r="AQ53" s="65">
        <v>85</v>
      </c>
      <c r="AR53" s="65">
        <v>85</v>
      </c>
      <c r="AS53" s="65">
        <v>85</v>
      </c>
      <c r="AT53" s="65">
        <v>85</v>
      </c>
      <c r="AU53" s="65">
        <v>85</v>
      </c>
      <c r="AV53" s="65">
        <v>85</v>
      </c>
      <c r="AW53" s="65">
        <v>85</v>
      </c>
      <c r="AX53" s="65">
        <v>85</v>
      </c>
      <c r="AY53" s="65">
        <v>85</v>
      </c>
      <c r="AZ53" s="65">
        <v>85</v>
      </c>
      <c r="BA53" s="65">
        <v>85</v>
      </c>
    </row>
    <row r="54" spans="1:55" ht="15" thickBot="1">
      <c r="A54" s="66" t="s">
        <v>27</v>
      </c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>
        <v>80</v>
      </c>
      <c r="Y54" s="67">
        <v>78</v>
      </c>
      <c r="Z54" s="67">
        <v>80</v>
      </c>
      <c r="AA54" s="67">
        <v>80</v>
      </c>
      <c r="AB54" s="67">
        <v>80</v>
      </c>
      <c r="AC54" s="67">
        <v>84</v>
      </c>
      <c r="AD54" s="67">
        <v>84</v>
      </c>
      <c r="AE54" s="67">
        <v>85</v>
      </c>
      <c r="AF54" s="67">
        <v>85</v>
      </c>
      <c r="AG54" s="67">
        <v>85</v>
      </c>
      <c r="AH54" s="67">
        <v>84</v>
      </c>
      <c r="AI54" s="67"/>
      <c r="AJ54" s="67"/>
      <c r="AK54" s="67"/>
      <c r="AL54" s="67"/>
      <c r="AM54" s="67"/>
      <c r="AN54" s="67"/>
      <c r="AO54" s="67"/>
      <c r="AP54" s="67"/>
      <c r="AQ54" s="67"/>
      <c r="AR54" s="67"/>
      <c r="AS54" s="67"/>
      <c r="AT54" s="67"/>
      <c r="AU54" s="67"/>
      <c r="AV54" s="67"/>
      <c r="AW54" s="67"/>
      <c r="AX54" s="67"/>
      <c r="AY54" s="67"/>
      <c r="AZ54" s="67"/>
      <c r="BA54" s="68"/>
    </row>
    <row r="55" spans="1:55">
      <c r="A55" s="69" t="s">
        <v>25</v>
      </c>
      <c r="B55" s="70">
        <v>1</v>
      </c>
      <c r="C55" s="70">
        <v>2</v>
      </c>
      <c r="D55" s="70">
        <v>3</v>
      </c>
      <c r="E55" s="70">
        <v>4</v>
      </c>
      <c r="F55" s="70">
        <v>5</v>
      </c>
      <c r="G55" s="70">
        <v>6</v>
      </c>
      <c r="H55" s="70">
        <v>7</v>
      </c>
      <c r="I55" s="70">
        <v>8</v>
      </c>
      <c r="J55" s="70">
        <v>9</v>
      </c>
      <c r="K55" s="70">
        <v>10</v>
      </c>
      <c r="L55" s="70">
        <v>11</v>
      </c>
      <c r="M55" s="70">
        <v>12</v>
      </c>
      <c r="N55" s="70">
        <v>13</v>
      </c>
      <c r="O55" s="70">
        <v>14</v>
      </c>
      <c r="P55" s="70">
        <v>15</v>
      </c>
      <c r="Q55" s="70">
        <v>16</v>
      </c>
      <c r="R55" s="70">
        <v>17</v>
      </c>
      <c r="S55" s="70">
        <v>18</v>
      </c>
      <c r="T55" s="70">
        <v>19</v>
      </c>
      <c r="U55" s="70">
        <v>20</v>
      </c>
      <c r="V55" s="70">
        <v>21</v>
      </c>
      <c r="W55" s="70">
        <v>22</v>
      </c>
      <c r="X55" s="70">
        <v>23</v>
      </c>
      <c r="Y55" s="70">
        <v>24</v>
      </c>
      <c r="Z55" s="70">
        <v>25</v>
      </c>
      <c r="AA55" s="70">
        <v>26</v>
      </c>
      <c r="AB55" s="70">
        <v>27</v>
      </c>
      <c r="AC55" s="70">
        <v>28</v>
      </c>
      <c r="AD55" s="70">
        <v>29</v>
      </c>
      <c r="AE55" s="70">
        <v>30</v>
      </c>
      <c r="AF55" s="70">
        <v>31</v>
      </c>
      <c r="AG55" s="70">
        <v>32</v>
      </c>
      <c r="AH55" s="70">
        <v>33</v>
      </c>
      <c r="AI55" s="70">
        <v>34</v>
      </c>
      <c r="AJ55" s="70">
        <v>35</v>
      </c>
      <c r="AK55" s="70">
        <v>36</v>
      </c>
      <c r="AL55" s="70">
        <v>37</v>
      </c>
      <c r="AM55" s="70">
        <v>38</v>
      </c>
      <c r="AN55" s="70">
        <v>39</v>
      </c>
      <c r="AO55" s="70">
        <v>40</v>
      </c>
      <c r="AP55" s="70">
        <v>41</v>
      </c>
      <c r="AQ55" s="70">
        <v>42</v>
      </c>
      <c r="AR55" s="70">
        <v>43</v>
      </c>
      <c r="AS55" s="70">
        <v>44</v>
      </c>
      <c r="AT55" s="70">
        <v>45</v>
      </c>
      <c r="AU55" s="70">
        <v>46</v>
      </c>
      <c r="AV55" s="70">
        <v>47</v>
      </c>
      <c r="AW55" s="70">
        <v>48</v>
      </c>
      <c r="AX55" s="70">
        <v>49</v>
      </c>
      <c r="AY55" s="70">
        <v>50</v>
      </c>
      <c r="AZ55" s="70">
        <v>51</v>
      </c>
      <c r="BA55" s="71">
        <v>52</v>
      </c>
    </row>
    <row r="56" spans="1:55">
      <c r="A56" s="72" t="s">
        <v>28</v>
      </c>
      <c r="B56" s="73">
        <v>68</v>
      </c>
      <c r="C56" s="73">
        <v>68</v>
      </c>
      <c r="D56" s="73">
        <v>68</v>
      </c>
      <c r="E56" s="73">
        <v>68</v>
      </c>
      <c r="F56" s="73">
        <v>68</v>
      </c>
      <c r="G56" s="73">
        <v>68</v>
      </c>
      <c r="H56" s="73">
        <v>68</v>
      </c>
      <c r="I56" s="73">
        <v>68</v>
      </c>
      <c r="J56" s="73">
        <v>68</v>
      </c>
      <c r="K56" s="73">
        <v>68</v>
      </c>
      <c r="L56" s="73">
        <v>68</v>
      </c>
      <c r="M56" s="73">
        <v>68</v>
      </c>
      <c r="N56" s="73">
        <v>68</v>
      </c>
      <c r="O56" s="73">
        <v>68</v>
      </c>
      <c r="P56" s="73">
        <v>68</v>
      </c>
      <c r="Q56" s="73">
        <v>68</v>
      </c>
      <c r="R56" s="73">
        <v>68</v>
      </c>
      <c r="S56" s="73">
        <v>68</v>
      </c>
      <c r="T56" s="73">
        <v>68</v>
      </c>
      <c r="U56" s="73">
        <v>68</v>
      </c>
      <c r="V56" s="73">
        <v>68</v>
      </c>
      <c r="W56" s="73">
        <v>68</v>
      </c>
      <c r="X56" s="73">
        <v>68</v>
      </c>
      <c r="Y56" s="73">
        <v>68</v>
      </c>
      <c r="Z56" s="73">
        <v>68</v>
      </c>
      <c r="AA56" s="73">
        <v>68</v>
      </c>
      <c r="AB56" s="73">
        <v>68</v>
      </c>
      <c r="AC56" s="73">
        <v>68</v>
      </c>
      <c r="AD56" s="73">
        <v>68</v>
      </c>
      <c r="AE56" s="73">
        <v>68</v>
      </c>
      <c r="AF56" s="73">
        <v>68</v>
      </c>
      <c r="AG56" s="73">
        <v>68</v>
      </c>
      <c r="AH56" s="73">
        <v>68</v>
      </c>
      <c r="AI56" s="73">
        <v>68</v>
      </c>
      <c r="AJ56" s="73">
        <v>68</v>
      </c>
      <c r="AK56" s="73">
        <v>68</v>
      </c>
      <c r="AL56" s="73">
        <v>68</v>
      </c>
      <c r="AM56" s="73">
        <v>68</v>
      </c>
      <c r="AN56" s="73">
        <v>68</v>
      </c>
      <c r="AO56" s="73">
        <v>68</v>
      </c>
      <c r="AP56" s="73">
        <v>68</v>
      </c>
      <c r="AQ56" s="73">
        <v>68</v>
      </c>
      <c r="AR56" s="73">
        <v>68</v>
      </c>
      <c r="AS56" s="73">
        <v>68</v>
      </c>
      <c r="AT56" s="73">
        <v>68</v>
      </c>
      <c r="AU56" s="73">
        <v>68</v>
      </c>
      <c r="AV56" s="73">
        <v>68</v>
      </c>
      <c r="AW56" s="73">
        <v>68</v>
      </c>
      <c r="AX56" s="73">
        <v>68</v>
      </c>
      <c r="AY56" s="73">
        <v>68</v>
      </c>
      <c r="AZ56" s="73">
        <v>68</v>
      </c>
      <c r="BA56" s="73">
        <v>68</v>
      </c>
      <c r="BB56" s="73"/>
      <c r="BC56" s="73">
        <v>68</v>
      </c>
    </row>
    <row r="57" spans="1:55">
      <c r="A57" s="69" t="s">
        <v>29</v>
      </c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>
        <v>16</v>
      </c>
      <c r="Y57" s="74">
        <v>28</v>
      </c>
      <c r="Z57" s="74">
        <v>47</v>
      </c>
      <c r="AA57" s="74">
        <v>47</v>
      </c>
      <c r="AB57" s="74">
        <v>43</v>
      </c>
      <c r="AC57" s="74">
        <v>55</v>
      </c>
      <c r="AD57" s="74">
        <v>61</v>
      </c>
      <c r="AE57" s="74">
        <v>64</v>
      </c>
      <c r="AF57" s="74">
        <v>27</v>
      </c>
      <c r="AG57" s="74">
        <v>30</v>
      </c>
      <c r="AH57" s="74">
        <v>34</v>
      </c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5"/>
    </row>
    <row r="58" spans="1:55" ht="63" customHeight="1" thickBot="1">
      <c r="A58" s="66" t="s">
        <v>30</v>
      </c>
      <c r="B58" s="67"/>
      <c r="C58" s="67"/>
      <c r="D58" s="67"/>
      <c r="E58" s="76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76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76"/>
      <c r="AC58" s="76"/>
      <c r="AD58" s="67"/>
      <c r="AE58" s="67"/>
      <c r="AF58" s="79"/>
      <c r="AG58" s="67"/>
      <c r="AH58" s="67"/>
      <c r="AI58" s="67"/>
      <c r="AJ58" s="67"/>
      <c r="AK58" s="67"/>
      <c r="AL58" s="67"/>
      <c r="AM58" s="67"/>
      <c r="AN58" s="67"/>
      <c r="AO58" s="67"/>
      <c r="AP58" s="67"/>
      <c r="AQ58" s="67"/>
      <c r="AR58" s="67"/>
      <c r="AS58" s="67"/>
      <c r="AT58" s="67"/>
      <c r="AU58" s="67"/>
      <c r="AV58" s="67"/>
      <c r="AW58" s="67"/>
      <c r="AX58" s="67"/>
      <c r="AY58" s="67"/>
      <c r="AZ58" s="67"/>
      <c r="BA58" s="68"/>
    </row>
    <row r="59" spans="1:55">
      <c r="A59" s="61" t="s">
        <v>31</v>
      </c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>
        <v>9</v>
      </c>
      <c r="AD59" s="62">
        <v>9</v>
      </c>
      <c r="AE59" s="62">
        <v>9</v>
      </c>
      <c r="AF59" s="62">
        <v>9</v>
      </c>
      <c r="AG59" s="62">
        <v>9</v>
      </c>
      <c r="AH59" s="62">
        <v>9</v>
      </c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</row>
    <row r="60" spans="1:55">
      <c r="A60" s="64" t="s">
        <v>32</v>
      </c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>
        <v>8</v>
      </c>
      <c r="AD60" s="65">
        <v>8</v>
      </c>
      <c r="AE60" s="65">
        <v>9</v>
      </c>
      <c r="AF60" s="65">
        <v>9</v>
      </c>
      <c r="AG60" s="65">
        <v>9</v>
      </c>
      <c r="AH60" s="65">
        <v>9</v>
      </c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</row>
    <row r="61" spans="1:55" ht="15" thickBot="1">
      <c r="A61" s="66" t="s">
        <v>33</v>
      </c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>
        <v>7</v>
      </c>
      <c r="AD61" s="77">
        <v>8</v>
      </c>
      <c r="AE61" s="77">
        <v>8</v>
      </c>
      <c r="AF61" s="77">
        <v>8</v>
      </c>
      <c r="AG61" s="77">
        <v>8</v>
      </c>
      <c r="AH61" s="77">
        <v>8</v>
      </c>
      <c r="AI61" s="77"/>
      <c r="AJ61" s="77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  <c r="AX61" s="77"/>
      <c r="AY61" s="77"/>
      <c r="AZ61" s="77"/>
      <c r="BA61" s="77"/>
    </row>
    <row r="62" spans="1:55">
      <c r="A62" s="78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</row>
    <row r="63" spans="1:55">
      <c r="A63" s="78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</row>
    <row r="66" spans="1:55" ht="18">
      <c r="A66" s="54" t="s">
        <v>1</v>
      </c>
      <c r="B66" s="55" t="s">
        <v>22</v>
      </c>
      <c r="C66" s="56" t="s">
        <v>23</v>
      </c>
      <c r="E66" s="58"/>
    </row>
    <row r="67" spans="1:55" ht="18.600000000000001" thickBot="1">
      <c r="A67" s="59"/>
      <c r="B67" s="58"/>
      <c r="C67" s="60"/>
      <c r="D67" s="41"/>
    </row>
    <row r="68" spans="1:55">
      <c r="A68" s="61" t="s">
        <v>25</v>
      </c>
      <c r="B68" s="62">
        <v>1</v>
      </c>
      <c r="C68" s="62">
        <v>2</v>
      </c>
      <c r="D68" s="62">
        <v>3</v>
      </c>
      <c r="E68" s="62">
        <v>4</v>
      </c>
      <c r="F68" s="62">
        <v>5</v>
      </c>
      <c r="G68" s="62">
        <v>6</v>
      </c>
      <c r="H68" s="62">
        <v>7</v>
      </c>
      <c r="I68" s="62">
        <v>8</v>
      </c>
      <c r="J68" s="62">
        <v>9</v>
      </c>
      <c r="K68" s="62">
        <v>10</v>
      </c>
      <c r="L68" s="62">
        <v>11</v>
      </c>
      <c r="M68" s="62">
        <v>12</v>
      </c>
      <c r="N68" s="62">
        <v>13</v>
      </c>
      <c r="O68" s="62">
        <v>14</v>
      </c>
      <c r="P68" s="62">
        <v>15</v>
      </c>
      <c r="Q68" s="62">
        <v>16</v>
      </c>
      <c r="R68" s="62">
        <v>17</v>
      </c>
      <c r="S68" s="62">
        <v>18</v>
      </c>
      <c r="T68" s="62">
        <v>19</v>
      </c>
      <c r="U68" s="62">
        <v>20</v>
      </c>
      <c r="V68" s="62">
        <v>21</v>
      </c>
      <c r="W68" s="62">
        <v>22</v>
      </c>
      <c r="X68" s="62">
        <v>23</v>
      </c>
      <c r="Y68" s="62">
        <v>24</v>
      </c>
      <c r="Z68" s="62">
        <v>25</v>
      </c>
      <c r="AA68" s="62">
        <v>26</v>
      </c>
      <c r="AB68" s="62">
        <v>27</v>
      </c>
      <c r="AC68" s="62">
        <v>28</v>
      </c>
      <c r="AD68" s="62">
        <v>29</v>
      </c>
      <c r="AE68" s="62">
        <v>30</v>
      </c>
      <c r="AF68" s="62">
        <v>31</v>
      </c>
      <c r="AG68" s="62">
        <v>32</v>
      </c>
      <c r="AH68" s="62">
        <v>33</v>
      </c>
      <c r="AI68" s="62">
        <v>34</v>
      </c>
      <c r="AJ68" s="62">
        <v>35</v>
      </c>
      <c r="AK68" s="62">
        <v>36</v>
      </c>
      <c r="AL68" s="62">
        <v>37</v>
      </c>
      <c r="AM68" s="62">
        <v>38</v>
      </c>
      <c r="AN68" s="62">
        <v>39</v>
      </c>
      <c r="AO68" s="62">
        <v>40</v>
      </c>
      <c r="AP68" s="62">
        <v>41</v>
      </c>
      <c r="AQ68" s="62">
        <v>42</v>
      </c>
      <c r="AR68" s="62">
        <v>43</v>
      </c>
      <c r="AS68" s="62">
        <v>44</v>
      </c>
      <c r="AT68" s="62">
        <v>45</v>
      </c>
      <c r="AU68" s="62">
        <v>46</v>
      </c>
      <c r="AV68" s="62">
        <v>47</v>
      </c>
      <c r="AW68" s="62">
        <v>48</v>
      </c>
      <c r="AX68" s="62">
        <v>49</v>
      </c>
      <c r="AY68" s="62">
        <v>50</v>
      </c>
      <c r="AZ68" s="62">
        <v>51</v>
      </c>
      <c r="BA68" s="63">
        <v>52</v>
      </c>
    </row>
    <row r="69" spans="1:55">
      <c r="A69" s="64" t="s">
        <v>26</v>
      </c>
      <c r="B69" s="65">
        <v>85</v>
      </c>
      <c r="C69" s="65">
        <v>85</v>
      </c>
      <c r="D69" s="65">
        <v>85</v>
      </c>
      <c r="E69" s="65">
        <v>85</v>
      </c>
      <c r="F69" s="65">
        <v>85</v>
      </c>
      <c r="G69" s="65">
        <v>85</v>
      </c>
      <c r="H69" s="65">
        <v>85</v>
      </c>
      <c r="I69" s="65">
        <v>85</v>
      </c>
      <c r="J69" s="65">
        <v>85</v>
      </c>
      <c r="K69" s="65">
        <v>85</v>
      </c>
      <c r="L69" s="65">
        <v>85</v>
      </c>
      <c r="M69" s="65">
        <v>85</v>
      </c>
      <c r="N69" s="65">
        <v>85</v>
      </c>
      <c r="O69" s="65">
        <v>85</v>
      </c>
      <c r="P69" s="65">
        <v>85</v>
      </c>
      <c r="Q69" s="65">
        <v>85</v>
      </c>
      <c r="R69" s="65">
        <v>85</v>
      </c>
      <c r="S69" s="65">
        <v>85</v>
      </c>
      <c r="T69" s="65">
        <v>85</v>
      </c>
      <c r="U69" s="65">
        <v>85</v>
      </c>
      <c r="V69" s="65">
        <v>85</v>
      </c>
      <c r="W69" s="65">
        <v>85</v>
      </c>
      <c r="X69" s="65">
        <v>85</v>
      </c>
      <c r="Y69" s="65">
        <v>85</v>
      </c>
      <c r="Z69" s="65">
        <v>85</v>
      </c>
      <c r="AA69" s="65">
        <v>85</v>
      </c>
      <c r="AB69" s="65">
        <v>85</v>
      </c>
      <c r="AC69" s="65">
        <v>85</v>
      </c>
      <c r="AD69" s="65">
        <v>85</v>
      </c>
      <c r="AE69" s="65">
        <v>85</v>
      </c>
      <c r="AF69" s="65">
        <v>85</v>
      </c>
      <c r="AG69" s="65">
        <v>85</v>
      </c>
      <c r="AH69" s="65">
        <v>85</v>
      </c>
      <c r="AI69" s="65">
        <v>85</v>
      </c>
      <c r="AJ69" s="65">
        <v>85</v>
      </c>
      <c r="AK69" s="65">
        <v>85</v>
      </c>
      <c r="AL69" s="65">
        <v>85</v>
      </c>
      <c r="AM69" s="65">
        <v>85</v>
      </c>
      <c r="AN69" s="65">
        <v>85</v>
      </c>
      <c r="AO69" s="65">
        <v>85</v>
      </c>
      <c r="AP69" s="65">
        <v>85</v>
      </c>
      <c r="AQ69" s="65">
        <v>85</v>
      </c>
      <c r="AR69" s="65">
        <v>85</v>
      </c>
      <c r="AS69" s="65">
        <v>85</v>
      </c>
      <c r="AT69" s="65">
        <v>85</v>
      </c>
      <c r="AU69" s="65">
        <v>85</v>
      </c>
      <c r="AV69" s="65">
        <v>85</v>
      </c>
      <c r="AW69" s="65">
        <v>85</v>
      </c>
      <c r="AX69" s="65">
        <v>85</v>
      </c>
      <c r="AY69" s="65">
        <v>85</v>
      </c>
      <c r="AZ69" s="65">
        <v>85</v>
      </c>
      <c r="BA69" s="65">
        <v>85</v>
      </c>
    </row>
    <row r="70" spans="1:55" ht="15" thickBot="1">
      <c r="A70" s="66" t="s">
        <v>27</v>
      </c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/>
      <c r="AL70" s="67"/>
      <c r="AM70" s="67"/>
      <c r="AN70" s="67"/>
      <c r="AO70" s="67"/>
      <c r="AP70" s="67"/>
      <c r="AQ70" s="67"/>
      <c r="AR70" s="67"/>
      <c r="AS70" s="67"/>
      <c r="AT70" s="67"/>
      <c r="AU70" s="67"/>
      <c r="AV70" s="67"/>
      <c r="AW70" s="67"/>
      <c r="AX70" s="67"/>
      <c r="AY70" s="67"/>
      <c r="AZ70" s="67"/>
      <c r="BA70" s="68"/>
    </row>
    <row r="71" spans="1:55">
      <c r="A71" s="69" t="s">
        <v>25</v>
      </c>
      <c r="B71" s="70">
        <v>1</v>
      </c>
      <c r="C71" s="70">
        <v>2</v>
      </c>
      <c r="D71" s="70">
        <v>3</v>
      </c>
      <c r="E71" s="70">
        <v>4</v>
      </c>
      <c r="F71" s="70">
        <v>5</v>
      </c>
      <c r="G71" s="70">
        <v>6</v>
      </c>
      <c r="H71" s="70">
        <v>7</v>
      </c>
      <c r="I71" s="70">
        <v>8</v>
      </c>
      <c r="J71" s="70">
        <v>9</v>
      </c>
      <c r="K71" s="70">
        <v>10</v>
      </c>
      <c r="L71" s="70">
        <v>11</v>
      </c>
      <c r="M71" s="70">
        <v>12</v>
      </c>
      <c r="N71" s="70">
        <v>13</v>
      </c>
      <c r="O71" s="70">
        <v>14</v>
      </c>
      <c r="P71" s="70">
        <v>15</v>
      </c>
      <c r="Q71" s="70">
        <v>16</v>
      </c>
      <c r="R71" s="70">
        <v>17</v>
      </c>
      <c r="S71" s="70">
        <v>18</v>
      </c>
      <c r="T71" s="70">
        <v>19</v>
      </c>
      <c r="U71" s="70">
        <v>20</v>
      </c>
      <c r="V71" s="70">
        <v>21</v>
      </c>
      <c r="W71" s="70">
        <v>22</v>
      </c>
      <c r="X71" s="70">
        <v>23</v>
      </c>
      <c r="Y71" s="70">
        <v>24</v>
      </c>
      <c r="Z71" s="70">
        <v>25</v>
      </c>
      <c r="AA71" s="70">
        <v>26</v>
      </c>
      <c r="AB71" s="70">
        <v>27</v>
      </c>
      <c r="AC71" s="70">
        <v>28</v>
      </c>
      <c r="AD71" s="70">
        <v>29</v>
      </c>
      <c r="AE71" s="70">
        <v>30</v>
      </c>
      <c r="AF71" s="70">
        <v>31</v>
      </c>
      <c r="AG71" s="70">
        <v>32</v>
      </c>
      <c r="AH71" s="70">
        <v>33</v>
      </c>
      <c r="AI71" s="70">
        <v>34</v>
      </c>
      <c r="AJ71" s="70">
        <v>35</v>
      </c>
      <c r="AK71" s="70">
        <v>36</v>
      </c>
      <c r="AL71" s="70">
        <v>37</v>
      </c>
      <c r="AM71" s="70">
        <v>38</v>
      </c>
      <c r="AN71" s="70">
        <v>39</v>
      </c>
      <c r="AO71" s="70">
        <v>40</v>
      </c>
      <c r="AP71" s="70">
        <v>41</v>
      </c>
      <c r="AQ71" s="70">
        <v>42</v>
      </c>
      <c r="AR71" s="70">
        <v>43</v>
      </c>
      <c r="AS71" s="70">
        <v>44</v>
      </c>
      <c r="AT71" s="70">
        <v>45</v>
      </c>
      <c r="AU71" s="70">
        <v>46</v>
      </c>
      <c r="AV71" s="70">
        <v>47</v>
      </c>
      <c r="AW71" s="70">
        <v>48</v>
      </c>
      <c r="AX71" s="70">
        <v>49</v>
      </c>
      <c r="AY71" s="70">
        <v>50</v>
      </c>
      <c r="AZ71" s="70">
        <v>51</v>
      </c>
      <c r="BA71" s="71">
        <v>52</v>
      </c>
    </row>
    <row r="72" spans="1:55">
      <c r="A72" s="72" t="s">
        <v>28</v>
      </c>
      <c r="B72" s="73">
        <v>68</v>
      </c>
      <c r="C72" s="73">
        <v>68</v>
      </c>
      <c r="D72" s="73">
        <v>68</v>
      </c>
      <c r="E72" s="73">
        <v>68</v>
      </c>
      <c r="F72" s="73">
        <v>68</v>
      </c>
      <c r="G72" s="73">
        <v>68</v>
      </c>
      <c r="H72" s="73">
        <v>68</v>
      </c>
      <c r="I72" s="73">
        <v>68</v>
      </c>
      <c r="J72" s="73">
        <v>68</v>
      </c>
      <c r="K72" s="73">
        <v>68</v>
      </c>
      <c r="L72" s="73">
        <v>68</v>
      </c>
      <c r="M72" s="73">
        <v>68</v>
      </c>
      <c r="N72" s="73">
        <v>68</v>
      </c>
      <c r="O72" s="73">
        <v>68</v>
      </c>
      <c r="P72" s="73">
        <v>68</v>
      </c>
      <c r="Q72" s="73">
        <v>68</v>
      </c>
      <c r="R72" s="73">
        <v>68</v>
      </c>
      <c r="S72" s="73">
        <v>68</v>
      </c>
      <c r="T72" s="73">
        <v>68</v>
      </c>
      <c r="U72" s="73">
        <v>68</v>
      </c>
      <c r="V72" s="73">
        <v>68</v>
      </c>
      <c r="W72" s="73">
        <v>68</v>
      </c>
      <c r="X72" s="73">
        <v>68</v>
      </c>
      <c r="Y72" s="73">
        <v>68</v>
      </c>
      <c r="Z72" s="73">
        <v>68</v>
      </c>
      <c r="AA72" s="73">
        <v>68</v>
      </c>
      <c r="AB72" s="73">
        <v>68</v>
      </c>
      <c r="AC72" s="73">
        <v>68</v>
      </c>
      <c r="AD72" s="73">
        <v>68</v>
      </c>
      <c r="AE72" s="73">
        <v>68</v>
      </c>
      <c r="AF72" s="73">
        <v>68</v>
      </c>
      <c r="AG72" s="73">
        <v>68</v>
      </c>
      <c r="AH72" s="73">
        <v>68</v>
      </c>
      <c r="AI72" s="73">
        <v>68</v>
      </c>
      <c r="AJ72" s="73">
        <v>68</v>
      </c>
      <c r="AK72" s="73">
        <v>68</v>
      </c>
      <c r="AL72" s="73">
        <v>68</v>
      </c>
      <c r="AM72" s="73">
        <v>68</v>
      </c>
      <c r="AN72" s="73">
        <v>68</v>
      </c>
      <c r="AO72" s="73">
        <v>68</v>
      </c>
      <c r="AP72" s="73">
        <v>68</v>
      </c>
      <c r="AQ72" s="73">
        <v>68</v>
      </c>
      <c r="AR72" s="73">
        <v>68</v>
      </c>
      <c r="AS72" s="73">
        <v>68</v>
      </c>
      <c r="AT72" s="73">
        <v>68</v>
      </c>
      <c r="AU72" s="73">
        <v>68</v>
      </c>
      <c r="AV72" s="73">
        <v>68</v>
      </c>
      <c r="AW72" s="73">
        <v>68</v>
      </c>
      <c r="AX72" s="73">
        <v>68</v>
      </c>
      <c r="AY72" s="73">
        <v>68</v>
      </c>
      <c r="AZ72" s="73">
        <v>68</v>
      </c>
      <c r="BA72" s="73">
        <v>68</v>
      </c>
      <c r="BB72" s="73"/>
      <c r="BC72" s="73">
        <v>68</v>
      </c>
    </row>
    <row r="73" spans="1:55">
      <c r="A73" s="69" t="s">
        <v>29</v>
      </c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  <c r="AM73" s="74"/>
      <c r="AN73" s="74"/>
      <c r="AO73" s="74"/>
      <c r="AP73" s="74"/>
      <c r="AQ73" s="74"/>
      <c r="AR73" s="74"/>
      <c r="AS73" s="74"/>
      <c r="AT73" s="74"/>
      <c r="AU73" s="74"/>
      <c r="AV73" s="74"/>
      <c r="AW73" s="74"/>
      <c r="AX73" s="74"/>
      <c r="AY73" s="74"/>
      <c r="AZ73" s="74"/>
      <c r="BA73" s="75"/>
    </row>
    <row r="74" spans="1:55" ht="48.75" customHeight="1" thickBot="1">
      <c r="A74" s="66" t="s">
        <v>30</v>
      </c>
      <c r="B74" s="67"/>
      <c r="C74" s="67"/>
      <c r="D74" s="67"/>
      <c r="E74" s="76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76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76"/>
      <c r="AC74" s="76"/>
      <c r="AD74" s="67"/>
      <c r="AE74" s="67"/>
      <c r="AF74" s="67"/>
      <c r="AG74" s="67"/>
      <c r="AH74" s="67"/>
      <c r="AI74" s="67"/>
      <c r="AJ74" s="67"/>
      <c r="AK74" s="67"/>
      <c r="AL74" s="67"/>
      <c r="AM74" s="67"/>
      <c r="AN74" s="67"/>
      <c r="AO74" s="67"/>
      <c r="AP74" s="67"/>
      <c r="AQ74" s="67"/>
      <c r="AR74" s="67"/>
      <c r="AS74" s="67"/>
      <c r="AT74" s="67"/>
      <c r="AU74" s="67"/>
      <c r="AV74" s="67"/>
      <c r="AW74" s="67"/>
      <c r="AX74" s="67"/>
      <c r="AY74" s="67"/>
      <c r="AZ74" s="67"/>
      <c r="BA74" s="68"/>
    </row>
    <row r="75" spans="1:55">
      <c r="A75" s="61" t="s">
        <v>31</v>
      </c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  <c r="AW75" s="62"/>
      <c r="AX75" s="62"/>
      <c r="AY75" s="62"/>
      <c r="AZ75" s="62"/>
      <c r="BA75" s="62"/>
    </row>
    <row r="76" spans="1:55">
      <c r="A76" s="64" t="s">
        <v>32</v>
      </c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  <c r="BA76" s="65"/>
    </row>
    <row r="77" spans="1:55" ht="15" thickBot="1">
      <c r="A77" s="66" t="s">
        <v>33</v>
      </c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7"/>
      <c r="AK77" s="77"/>
      <c r="AL77" s="77"/>
      <c r="AM77" s="77"/>
      <c r="AN77" s="77"/>
      <c r="AO77" s="77"/>
      <c r="AP77" s="77"/>
      <c r="AQ77" s="77"/>
      <c r="AR77" s="77"/>
      <c r="AS77" s="77"/>
      <c r="AT77" s="77"/>
      <c r="AU77" s="77"/>
      <c r="AV77" s="77"/>
      <c r="AW77" s="77"/>
      <c r="AX77" s="77"/>
      <c r="AY77" s="77"/>
      <c r="AZ77" s="77"/>
      <c r="BA77" s="77"/>
    </row>
    <row r="82" spans="1:93" ht="18">
      <c r="A82" s="54" t="s">
        <v>1</v>
      </c>
      <c r="B82" s="55" t="s">
        <v>22</v>
      </c>
      <c r="C82" s="56" t="s">
        <v>23</v>
      </c>
      <c r="E82" s="58"/>
    </row>
    <row r="83" spans="1:93" ht="18.600000000000001" thickBot="1">
      <c r="A83" s="59"/>
      <c r="B83" s="58"/>
      <c r="C83" s="60"/>
      <c r="D83" s="41"/>
    </row>
    <row r="84" spans="1:93">
      <c r="A84" s="61" t="s">
        <v>25</v>
      </c>
      <c r="B84" s="62">
        <v>1</v>
      </c>
      <c r="C84" s="62">
        <v>2</v>
      </c>
      <c r="D84" s="62">
        <v>3</v>
      </c>
      <c r="E84" s="62">
        <v>4</v>
      </c>
      <c r="F84" s="62">
        <v>5</v>
      </c>
      <c r="G84" s="62">
        <v>6</v>
      </c>
      <c r="H84" s="62">
        <v>7</v>
      </c>
      <c r="I84" s="62">
        <v>8</v>
      </c>
      <c r="J84" s="62">
        <v>9</v>
      </c>
      <c r="K84" s="62">
        <v>10</v>
      </c>
      <c r="L84" s="62">
        <v>11</v>
      </c>
      <c r="M84" s="62">
        <v>12</v>
      </c>
      <c r="N84" s="62">
        <v>13</v>
      </c>
      <c r="O84" s="62">
        <v>14</v>
      </c>
      <c r="P84" s="62">
        <v>15</v>
      </c>
      <c r="Q84" s="62">
        <v>16</v>
      </c>
      <c r="R84" s="62">
        <v>17</v>
      </c>
      <c r="S84" s="62">
        <v>18</v>
      </c>
      <c r="T84" s="62">
        <v>19</v>
      </c>
      <c r="U84" s="62">
        <v>20</v>
      </c>
      <c r="V84" s="62">
        <v>21</v>
      </c>
      <c r="W84" s="62">
        <v>22</v>
      </c>
      <c r="X84" s="62">
        <v>23</v>
      </c>
      <c r="Y84" s="62">
        <v>24</v>
      </c>
      <c r="Z84" s="62">
        <v>25</v>
      </c>
      <c r="AA84" s="62">
        <v>26</v>
      </c>
      <c r="AB84" s="62">
        <v>27</v>
      </c>
      <c r="AC84" s="62">
        <v>28</v>
      </c>
      <c r="AD84" s="62">
        <v>29</v>
      </c>
      <c r="AE84" s="62">
        <v>30</v>
      </c>
      <c r="AF84" s="62">
        <v>31</v>
      </c>
      <c r="AG84" s="62">
        <v>32</v>
      </c>
      <c r="AH84" s="62">
        <v>33</v>
      </c>
      <c r="AI84" s="62">
        <v>34</v>
      </c>
      <c r="AJ84" s="62">
        <v>35</v>
      </c>
      <c r="AK84" s="62">
        <v>36</v>
      </c>
      <c r="AL84" s="62">
        <v>37</v>
      </c>
      <c r="AM84" s="62">
        <v>38</v>
      </c>
      <c r="AN84" s="62">
        <v>39</v>
      </c>
      <c r="AO84" s="62">
        <v>40</v>
      </c>
      <c r="AP84" s="62">
        <v>41</v>
      </c>
      <c r="AQ84" s="62">
        <v>42</v>
      </c>
      <c r="AR84" s="62">
        <v>43</v>
      </c>
      <c r="AS84" s="62">
        <v>44</v>
      </c>
      <c r="AT84" s="62">
        <v>45</v>
      </c>
      <c r="AU84" s="62">
        <v>46</v>
      </c>
      <c r="AV84" s="62">
        <v>47</v>
      </c>
      <c r="AW84" s="62">
        <v>48</v>
      </c>
      <c r="AX84" s="62">
        <v>49</v>
      </c>
      <c r="AY84" s="62">
        <v>50</v>
      </c>
      <c r="AZ84" s="62">
        <v>51</v>
      </c>
      <c r="BA84" s="63">
        <v>52</v>
      </c>
      <c r="CN84" s="80" t="s">
        <v>34</v>
      </c>
      <c r="CO84" s="81">
        <f>B88</f>
        <v>60</v>
      </c>
    </row>
    <row r="85" spans="1:93">
      <c r="A85" s="64" t="s">
        <v>26</v>
      </c>
      <c r="B85" s="65">
        <v>85</v>
      </c>
      <c r="C85" s="65">
        <v>85</v>
      </c>
      <c r="D85" s="65">
        <v>85</v>
      </c>
      <c r="E85" s="65">
        <v>85</v>
      </c>
      <c r="F85" s="65">
        <v>85</v>
      </c>
      <c r="G85" s="65">
        <v>85</v>
      </c>
      <c r="H85" s="65">
        <v>85</v>
      </c>
      <c r="I85" s="65">
        <v>85</v>
      </c>
      <c r="J85" s="65">
        <v>85</v>
      </c>
      <c r="K85" s="65">
        <v>85</v>
      </c>
      <c r="L85" s="65">
        <v>85</v>
      </c>
      <c r="M85" s="65">
        <v>85</v>
      </c>
      <c r="N85" s="65">
        <v>85</v>
      </c>
      <c r="O85" s="65">
        <v>85</v>
      </c>
      <c r="P85" s="65">
        <v>85</v>
      </c>
      <c r="Q85" s="65">
        <v>85</v>
      </c>
      <c r="R85" s="65">
        <v>85</v>
      </c>
      <c r="S85" s="65">
        <v>85</v>
      </c>
      <c r="T85" s="65">
        <v>85</v>
      </c>
      <c r="U85" s="65">
        <v>85</v>
      </c>
      <c r="V85" s="65">
        <v>85</v>
      </c>
      <c r="W85" s="65">
        <v>85</v>
      </c>
      <c r="X85" s="65">
        <v>85</v>
      </c>
      <c r="Y85" s="65">
        <v>85</v>
      </c>
      <c r="Z85" s="65">
        <v>85</v>
      </c>
      <c r="AA85" s="65">
        <v>85</v>
      </c>
      <c r="AB85" s="65">
        <v>85</v>
      </c>
      <c r="AC85" s="65">
        <v>85</v>
      </c>
      <c r="AD85" s="65">
        <v>85</v>
      </c>
      <c r="AE85" s="65">
        <v>85</v>
      </c>
      <c r="AF85" s="65">
        <v>85</v>
      </c>
      <c r="AG85" s="65">
        <v>85</v>
      </c>
      <c r="AH85" s="65">
        <v>85</v>
      </c>
      <c r="AI85" s="65">
        <v>85</v>
      </c>
      <c r="AJ85" s="65">
        <v>85</v>
      </c>
      <c r="AK85" s="65">
        <v>85</v>
      </c>
      <c r="AL85" s="65">
        <v>85</v>
      </c>
      <c r="AM85" s="65">
        <v>85</v>
      </c>
      <c r="AN85" s="65">
        <v>85</v>
      </c>
      <c r="AO85" s="65">
        <v>85</v>
      </c>
      <c r="AP85" s="65">
        <v>85</v>
      </c>
      <c r="AQ85" s="65">
        <v>85</v>
      </c>
      <c r="AR85" s="65">
        <v>85</v>
      </c>
      <c r="AS85" s="65">
        <v>85</v>
      </c>
      <c r="AT85" s="65">
        <v>85</v>
      </c>
      <c r="AU85" s="65">
        <v>85</v>
      </c>
      <c r="AV85" s="65">
        <v>85</v>
      </c>
      <c r="AW85" s="65">
        <v>85</v>
      </c>
      <c r="AX85" s="65">
        <v>85</v>
      </c>
      <c r="AY85" s="65">
        <v>85</v>
      </c>
      <c r="AZ85" s="65">
        <v>85</v>
      </c>
      <c r="BA85" s="65">
        <v>85</v>
      </c>
      <c r="CN85" s="80" t="s">
        <v>35</v>
      </c>
      <c r="CO85" s="57">
        <f>MAX(B89:BA89)</f>
        <v>0</v>
      </c>
    </row>
    <row r="86" spans="1:93" ht="15" thickBot="1">
      <c r="A86" s="66" t="s">
        <v>27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/>
      <c r="AL86" s="67"/>
      <c r="AM86" s="67"/>
      <c r="AN86" s="67"/>
      <c r="AO86" s="67"/>
      <c r="AP86" s="67"/>
      <c r="AQ86" s="67"/>
      <c r="AR86" s="67"/>
      <c r="AS86" s="67"/>
      <c r="AT86" s="67"/>
      <c r="AU86" s="67"/>
      <c r="AV86" s="67"/>
      <c r="AW86" s="67"/>
      <c r="AX86" s="67"/>
      <c r="AY86" s="67"/>
      <c r="AZ86" s="67"/>
      <c r="BA86" s="68"/>
      <c r="CN86" s="80" t="s">
        <v>36</v>
      </c>
      <c r="CO86" s="57">
        <f>MIN(B89:BA89)</f>
        <v>0</v>
      </c>
    </row>
    <row r="87" spans="1:93">
      <c r="A87" s="69" t="s">
        <v>25</v>
      </c>
      <c r="B87" s="70">
        <v>1</v>
      </c>
      <c r="C87" s="70">
        <v>2</v>
      </c>
      <c r="D87" s="70">
        <v>3</v>
      </c>
      <c r="E87" s="70">
        <v>4</v>
      </c>
      <c r="F87" s="70">
        <v>5</v>
      </c>
      <c r="G87" s="70">
        <v>6</v>
      </c>
      <c r="H87" s="70">
        <v>7</v>
      </c>
      <c r="I87" s="70">
        <v>8</v>
      </c>
      <c r="J87" s="70">
        <v>9</v>
      </c>
      <c r="K87" s="70">
        <v>10</v>
      </c>
      <c r="L87" s="70">
        <v>11</v>
      </c>
      <c r="M87" s="70">
        <v>12</v>
      </c>
      <c r="N87" s="70">
        <v>13</v>
      </c>
      <c r="O87" s="70">
        <v>14</v>
      </c>
      <c r="P87" s="70">
        <v>15</v>
      </c>
      <c r="Q87" s="70">
        <v>16</v>
      </c>
      <c r="R87" s="70">
        <v>17</v>
      </c>
      <c r="S87" s="70">
        <v>18</v>
      </c>
      <c r="T87" s="70">
        <v>19</v>
      </c>
      <c r="U87" s="70">
        <v>20</v>
      </c>
      <c r="V87" s="70">
        <v>21</v>
      </c>
      <c r="W87" s="70">
        <v>22</v>
      </c>
      <c r="X87" s="70">
        <v>23</v>
      </c>
      <c r="Y87" s="70">
        <v>24</v>
      </c>
      <c r="Z87" s="70">
        <v>25</v>
      </c>
      <c r="AA87" s="70">
        <v>26</v>
      </c>
      <c r="AB87" s="70">
        <v>27</v>
      </c>
      <c r="AC87" s="70">
        <v>28</v>
      </c>
      <c r="AD87" s="70">
        <v>29</v>
      </c>
      <c r="AE87" s="70">
        <v>30</v>
      </c>
      <c r="AF87" s="70">
        <v>31</v>
      </c>
      <c r="AG87" s="70">
        <v>32</v>
      </c>
      <c r="AH87" s="70">
        <v>33</v>
      </c>
      <c r="AI87" s="70">
        <v>34</v>
      </c>
      <c r="AJ87" s="70">
        <v>35</v>
      </c>
      <c r="AK87" s="70">
        <v>36</v>
      </c>
      <c r="AL87" s="70">
        <v>37</v>
      </c>
      <c r="AM87" s="70">
        <v>38</v>
      </c>
      <c r="AN87" s="70">
        <v>39</v>
      </c>
      <c r="AO87" s="70">
        <v>40</v>
      </c>
      <c r="AP87" s="70">
        <v>41</v>
      </c>
      <c r="AQ87" s="70">
        <v>42</v>
      </c>
      <c r="AR87" s="70">
        <v>43</v>
      </c>
      <c r="AS87" s="70">
        <v>44</v>
      </c>
      <c r="AT87" s="70">
        <v>45</v>
      </c>
      <c r="AU87" s="70">
        <v>46</v>
      </c>
      <c r="AV87" s="70">
        <v>47</v>
      </c>
      <c r="AW87" s="70">
        <v>48</v>
      </c>
      <c r="AX87" s="70">
        <v>49</v>
      </c>
      <c r="AY87" s="70">
        <v>50</v>
      </c>
      <c r="AZ87" s="70">
        <v>51</v>
      </c>
      <c r="BA87" s="71">
        <v>52</v>
      </c>
      <c r="CN87" s="80" t="s">
        <v>37</v>
      </c>
      <c r="CO87" s="57">
        <f>CO85-CO86</f>
        <v>0</v>
      </c>
    </row>
    <row r="88" spans="1:93">
      <c r="A88" s="72" t="s">
        <v>28</v>
      </c>
      <c r="B88" s="73">
        <v>60</v>
      </c>
      <c r="C88" s="73">
        <v>60</v>
      </c>
      <c r="D88" s="73">
        <v>60</v>
      </c>
      <c r="E88" s="73">
        <v>60</v>
      </c>
      <c r="F88" s="73">
        <v>60</v>
      </c>
      <c r="G88" s="73">
        <v>60</v>
      </c>
      <c r="H88" s="73">
        <v>60</v>
      </c>
      <c r="I88" s="73">
        <v>60</v>
      </c>
      <c r="J88" s="73">
        <v>60</v>
      </c>
      <c r="K88" s="73">
        <v>60</v>
      </c>
      <c r="L88" s="73">
        <v>60</v>
      </c>
      <c r="M88" s="73">
        <v>60</v>
      </c>
      <c r="N88" s="73">
        <v>60</v>
      </c>
      <c r="O88" s="73">
        <v>60</v>
      </c>
      <c r="P88" s="73">
        <v>60</v>
      </c>
      <c r="Q88" s="73">
        <v>60</v>
      </c>
      <c r="R88" s="73">
        <v>60</v>
      </c>
      <c r="S88" s="73">
        <v>60</v>
      </c>
      <c r="T88" s="73">
        <v>60</v>
      </c>
      <c r="U88" s="73">
        <v>60</v>
      </c>
      <c r="V88" s="73">
        <v>60</v>
      </c>
      <c r="W88" s="73">
        <v>60</v>
      </c>
      <c r="X88" s="73">
        <v>60</v>
      </c>
      <c r="Y88" s="73">
        <v>60</v>
      </c>
      <c r="Z88" s="73">
        <v>60</v>
      </c>
      <c r="AA88" s="73">
        <v>60</v>
      </c>
      <c r="AB88" s="73">
        <v>60</v>
      </c>
      <c r="AC88" s="73">
        <v>60</v>
      </c>
      <c r="AD88" s="73">
        <v>60</v>
      </c>
      <c r="AE88" s="73">
        <v>60</v>
      </c>
      <c r="AF88" s="73">
        <v>60</v>
      </c>
      <c r="AG88" s="73">
        <v>60</v>
      </c>
      <c r="AH88" s="73">
        <v>60</v>
      </c>
      <c r="AI88" s="73">
        <v>60</v>
      </c>
      <c r="AJ88" s="73">
        <v>60</v>
      </c>
      <c r="AK88" s="73">
        <v>60</v>
      </c>
      <c r="AL88" s="73">
        <v>60</v>
      </c>
      <c r="AM88" s="73">
        <v>60</v>
      </c>
      <c r="AN88" s="73">
        <v>60</v>
      </c>
      <c r="AO88" s="73">
        <v>60</v>
      </c>
      <c r="AP88" s="73">
        <v>60</v>
      </c>
      <c r="AQ88" s="73">
        <v>60</v>
      </c>
      <c r="AR88" s="73">
        <v>60</v>
      </c>
      <c r="AS88" s="73">
        <v>60</v>
      </c>
      <c r="AT88" s="73">
        <v>60</v>
      </c>
      <c r="AU88" s="73">
        <v>60</v>
      </c>
      <c r="AV88" s="73">
        <v>60</v>
      </c>
      <c r="AW88" s="73">
        <v>60</v>
      </c>
      <c r="AX88" s="73">
        <v>60</v>
      </c>
      <c r="AY88" s="73">
        <v>60</v>
      </c>
      <c r="AZ88" s="73">
        <v>60</v>
      </c>
      <c r="BA88" s="73">
        <v>60</v>
      </c>
      <c r="CN88" s="80" t="s">
        <v>38</v>
      </c>
      <c r="CO88" s="82" t="e">
        <f>CO84/CO87</f>
        <v>#DIV/0!</v>
      </c>
    </row>
    <row r="89" spans="1:93">
      <c r="A89" s="69" t="s">
        <v>29</v>
      </c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4"/>
      <c r="AO89" s="74"/>
      <c r="AP89" s="74"/>
      <c r="AQ89" s="74"/>
      <c r="AR89" s="74"/>
      <c r="AS89" s="74"/>
      <c r="AT89" s="74"/>
      <c r="AU89" s="74"/>
      <c r="AV89" s="74"/>
      <c r="AW89" s="74"/>
      <c r="AX89" s="74"/>
      <c r="AY89" s="74"/>
      <c r="AZ89" s="74"/>
      <c r="BA89" s="75"/>
    </row>
    <row r="90" spans="1:93" ht="81" customHeight="1" thickBot="1">
      <c r="A90" s="66" t="s">
        <v>30</v>
      </c>
      <c r="B90" s="67"/>
      <c r="C90" s="67"/>
      <c r="D90" s="67"/>
      <c r="E90" s="76"/>
      <c r="F90" s="76"/>
      <c r="G90" s="67"/>
      <c r="H90" s="67"/>
      <c r="I90" s="67"/>
      <c r="J90" s="67"/>
      <c r="K90" s="67"/>
      <c r="L90" s="67"/>
      <c r="M90" s="67"/>
      <c r="N90" s="67"/>
      <c r="O90" s="67"/>
      <c r="P90" s="76"/>
      <c r="Q90" s="67"/>
      <c r="R90" s="67"/>
      <c r="S90" s="67"/>
      <c r="T90" s="76"/>
      <c r="U90" s="76"/>
      <c r="V90" s="67"/>
      <c r="W90" s="67"/>
      <c r="X90" s="67"/>
      <c r="Y90" s="67"/>
      <c r="Z90" s="67"/>
      <c r="AA90" s="67"/>
      <c r="AB90" s="76"/>
      <c r="AC90" s="76"/>
      <c r="AD90" s="67"/>
      <c r="AE90" s="67"/>
      <c r="AF90" s="67"/>
      <c r="AG90" s="67"/>
      <c r="AH90" s="67"/>
      <c r="AI90" s="79"/>
      <c r="AJ90" s="67"/>
      <c r="AK90" s="67"/>
      <c r="AL90" s="67"/>
      <c r="AM90" s="67"/>
      <c r="AN90" s="67"/>
      <c r="AO90" s="67"/>
      <c r="AP90" s="67"/>
      <c r="AQ90" s="67"/>
      <c r="AR90" s="67"/>
      <c r="AS90" s="67"/>
      <c r="AT90" s="76"/>
      <c r="AU90" s="67"/>
      <c r="AV90" s="67"/>
      <c r="AW90" s="67"/>
      <c r="AX90" s="67"/>
      <c r="AY90" s="67"/>
      <c r="AZ90" s="67"/>
      <c r="BA90" s="68"/>
    </row>
    <row r="91" spans="1:93">
      <c r="A91" s="61" t="s">
        <v>31</v>
      </c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</row>
    <row r="92" spans="1:93">
      <c r="A92" s="64" t="s">
        <v>32</v>
      </c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</row>
    <row r="93" spans="1:93" ht="15" thickBot="1">
      <c r="A93" s="66" t="s">
        <v>33</v>
      </c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77"/>
      <c r="AJ93" s="77"/>
      <c r="AK93" s="77"/>
      <c r="AL93" s="77"/>
      <c r="AM93" s="77"/>
      <c r="AN93" s="77"/>
      <c r="AO93" s="77"/>
      <c r="AP93" s="77"/>
      <c r="AQ93" s="77"/>
      <c r="AR93" s="77"/>
      <c r="AS93" s="77"/>
      <c r="AT93" s="77"/>
      <c r="AU93" s="77"/>
      <c r="AV93" s="77"/>
      <c r="AW93" s="77"/>
      <c r="AX93" s="77"/>
      <c r="AY93" s="77"/>
      <c r="AZ93" s="77"/>
      <c r="BA93" s="77"/>
    </row>
    <row r="95" spans="1:93">
      <c r="A95" s="78"/>
      <c r="C95" s="70"/>
      <c r="D95" s="70"/>
      <c r="AM95" s="70"/>
      <c r="AN95" s="70"/>
    </row>
    <row r="96" spans="1:93">
      <c r="A96" s="78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</row>
    <row r="98" spans="1:55" ht="18">
      <c r="A98" s="54" t="s">
        <v>1</v>
      </c>
      <c r="B98" s="55" t="s">
        <v>22</v>
      </c>
      <c r="C98" s="56" t="s">
        <v>23</v>
      </c>
      <c r="E98" s="58"/>
    </row>
    <row r="99" spans="1:55" ht="18.600000000000001" thickBot="1">
      <c r="A99" s="59"/>
      <c r="B99" s="58"/>
      <c r="C99" s="60"/>
      <c r="D99" s="41"/>
    </row>
    <row r="100" spans="1:55">
      <c r="A100" s="61" t="s">
        <v>25</v>
      </c>
      <c r="B100" s="62">
        <v>1</v>
      </c>
      <c r="C100" s="62">
        <v>2</v>
      </c>
      <c r="D100" s="62">
        <v>3</v>
      </c>
      <c r="E100" s="62">
        <v>4</v>
      </c>
      <c r="F100" s="62">
        <v>5</v>
      </c>
      <c r="G100" s="62">
        <v>6</v>
      </c>
      <c r="H100" s="62">
        <v>7</v>
      </c>
      <c r="I100" s="62">
        <v>8</v>
      </c>
      <c r="J100" s="62">
        <v>9</v>
      </c>
      <c r="K100" s="62">
        <v>10</v>
      </c>
      <c r="L100" s="62">
        <v>11</v>
      </c>
      <c r="M100" s="62">
        <v>12</v>
      </c>
      <c r="N100" s="62">
        <v>13</v>
      </c>
      <c r="O100" s="62">
        <v>14</v>
      </c>
      <c r="P100" s="62">
        <v>15</v>
      </c>
      <c r="Q100" s="62">
        <v>16</v>
      </c>
      <c r="R100" s="62">
        <v>17</v>
      </c>
      <c r="S100" s="62">
        <v>18</v>
      </c>
      <c r="T100" s="62">
        <v>19</v>
      </c>
      <c r="U100" s="62">
        <v>20</v>
      </c>
      <c r="V100" s="62">
        <v>21</v>
      </c>
      <c r="W100" s="62">
        <v>22</v>
      </c>
      <c r="X100" s="62">
        <v>23</v>
      </c>
      <c r="Y100" s="62">
        <v>24</v>
      </c>
      <c r="Z100" s="62">
        <v>25</v>
      </c>
      <c r="AA100" s="62">
        <v>26</v>
      </c>
      <c r="AB100" s="62">
        <v>27</v>
      </c>
      <c r="AC100" s="62">
        <v>28</v>
      </c>
      <c r="AD100" s="62">
        <v>29</v>
      </c>
      <c r="AE100" s="62">
        <v>30</v>
      </c>
      <c r="AF100" s="62">
        <v>31</v>
      </c>
      <c r="AG100" s="62">
        <v>32</v>
      </c>
      <c r="AH100" s="62">
        <v>33</v>
      </c>
      <c r="AI100" s="62">
        <v>34</v>
      </c>
      <c r="AJ100" s="62">
        <v>35</v>
      </c>
      <c r="AK100" s="62">
        <v>36</v>
      </c>
      <c r="AL100" s="62">
        <v>37</v>
      </c>
      <c r="AM100" s="62">
        <v>38</v>
      </c>
      <c r="AN100" s="62">
        <v>39</v>
      </c>
      <c r="AO100" s="62">
        <v>40</v>
      </c>
      <c r="AP100" s="62">
        <v>41</v>
      </c>
      <c r="AQ100" s="62">
        <v>42</v>
      </c>
      <c r="AR100" s="62">
        <v>43</v>
      </c>
      <c r="AS100" s="62">
        <v>44</v>
      </c>
      <c r="AT100" s="62">
        <v>45</v>
      </c>
      <c r="AU100" s="62">
        <v>46</v>
      </c>
      <c r="AV100" s="62">
        <v>47</v>
      </c>
      <c r="AW100" s="62">
        <v>48</v>
      </c>
      <c r="AX100" s="62">
        <v>49</v>
      </c>
      <c r="AY100" s="62">
        <v>50</v>
      </c>
      <c r="AZ100" s="62">
        <v>51</v>
      </c>
      <c r="BA100" s="63">
        <v>52</v>
      </c>
    </row>
    <row r="101" spans="1:55">
      <c r="A101" s="64" t="s">
        <v>26</v>
      </c>
      <c r="B101" s="65">
        <v>85</v>
      </c>
      <c r="C101" s="65">
        <v>85</v>
      </c>
      <c r="D101" s="65">
        <v>85</v>
      </c>
      <c r="E101" s="65">
        <v>85</v>
      </c>
      <c r="F101" s="65">
        <v>85</v>
      </c>
      <c r="G101" s="65">
        <v>85</v>
      </c>
      <c r="H101" s="65">
        <v>85</v>
      </c>
      <c r="I101" s="65">
        <v>85</v>
      </c>
      <c r="J101" s="65">
        <v>85</v>
      </c>
      <c r="K101" s="65">
        <v>85</v>
      </c>
      <c r="L101" s="65">
        <v>85</v>
      </c>
      <c r="M101" s="65">
        <v>85</v>
      </c>
      <c r="N101" s="65">
        <v>85</v>
      </c>
      <c r="O101" s="65">
        <v>85</v>
      </c>
      <c r="P101" s="65">
        <v>85</v>
      </c>
      <c r="Q101" s="65">
        <v>85</v>
      </c>
      <c r="R101" s="65">
        <v>85</v>
      </c>
      <c r="S101" s="65">
        <v>85</v>
      </c>
      <c r="T101" s="65">
        <v>85</v>
      </c>
      <c r="U101" s="65">
        <v>85</v>
      </c>
      <c r="V101" s="65">
        <v>85</v>
      </c>
      <c r="W101" s="65">
        <v>85</v>
      </c>
      <c r="X101" s="65">
        <v>85</v>
      </c>
      <c r="Y101" s="65">
        <v>85</v>
      </c>
      <c r="Z101" s="65">
        <v>85</v>
      </c>
      <c r="AA101" s="65">
        <v>85</v>
      </c>
      <c r="AB101" s="65">
        <v>85</v>
      </c>
      <c r="AC101" s="65">
        <v>85</v>
      </c>
      <c r="AD101" s="65">
        <v>85</v>
      </c>
      <c r="AE101" s="65">
        <v>85</v>
      </c>
      <c r="AF101" s="65">
        <v>85</v>
      </c>
      <c r="AG101" s="65">
        <v>85</v>
      </c>
      <c r="AH101" s="65">
        <v>85</v>
      </c>
      <c r="AI101" s="65">
        <v>85</v>
      </c>
      <c r="AJ101" s="65">
        <v>85</v>
      </c>
      <c r="AK101" s="65">
        <v>85</v>
      </c>
      <c r="AL101" s="65">
        <v>85</v>
      </c>
      <c r="AM101" s="65">
        <v>85</v>
      </c>
      <c r="AN101" s="65">
        <v>85</v>
      </c>
      <c r="AO101" s="65">
        <v>85</v>
      </c>
      <c r="AP101" s="65">
        <v>85</v>
      </c>
      <c r="AQ101" s="65">
        <v>85</v>
      </c>
      <c r="AR101" s="65">
        <v>85</v>
      </c>
      <c r="AS101" s="65">
        <v>85</v>
      </c>
      <c r="AT101" s="65">
        <v>85</v>
      </c>
      <c r="AU101" s="65">
        <v>85</v>
      </c>
      <c r="AV101" s="65">
        <v>85</v>
      </c>
      <c r="AW101" s="65">
        <v>85</v>
      </c>
      <c r="AX101" s="65">
        <v>85</v>
      </c>
      <c r="AY101" s="65">
        <v>85</v>
      </c>
      <c r="AZ101" s="65">
        <v>85</v>
      </c>
      <c r="BA101" s="65">
        <v>85</v>
      </c>
    </row>
    <row r="102" spans="1:55" ht="15" thickBot="1">
      <c r="A102" s="66" t="s">
        <v>27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67"/>
      <c r="AJ102" s="67"/>
      <c r="AK102" s="67"/>
      <c r="AL102" s="67"/>
      <c r="AM102" s="67"/>
      <c r="AN102" s="67"/>
      <c r="AO102" s="67"/>
      <c r="AP102" s="67"/>
      <c r="AQ102" s="67"/>
      <c r="AR102" s="67"/>
      <c r="AS102" s="67"/>
      <c r="AT102" s="67"/>
      <c r="AU102" s="67"/>
      <c r="AV102" s="67"/>
      <c r="AW102" s="67"/>
      <c r="AX102" s="67"/>
      <c r="AY102" s="67"/>
      <c r="AZ102" s="67"/>
      <c r="BA102" s="68"/>
    </row>
    <row r="103" spans="1:55">
      <c r="A103" s="69" t="s">
        <v>25</v>
      </c>
      <c r="B103" s="70">
        <v>1</v>
      </c>
      <c r="C103" s="70">
        <v>2</v>
      </c>
      <c r="D103" s="70">
        <v>3</v>
      </c>
      <c r="E103" s="70">
        <v>4</v>
      </c>
      <c r="F103" s="70">
        <v>5</v>
      </c>
      <c r="G103" s="70">
        <v>6</v>
      </c>
      <c r="H103" s="70">
        <v>7</v>
      </c>
      <c r="I103" s="70">
        <v>8</v>
      </c>
      <c r="J103" s="70">
        <v>9</v>
      </c>
      <c r="K103" s="70">
        <v>10</v>
      </c>
      <c r="L103" s="70">
        <v>11</v>
      </c>
      <c r="M103" s="70">
        <v>12</v>
      </c>
      <c r="N103" s="70">
        <v>13</v>
      </c>
      <c r="O103" s="70">
        <v>14</v>
      </c>
      <c r="P103" s="70">
        <v>15</v>
      </c>
      <c r="Q103" s="70">
        <v>16</v>
      </c>
      <c r="R103" s="70">
        <v>17</v>
      </c>
      <c r="S103" s="70">
        <v>18</v>
      </c>
      <c r="T103" s="70">
        <v>19</v>
      </c>
      <c r="U103" s="70">
        <v>20</v>
      </c>
      <c r="V103" s="70">
        <v>21</v>
      </c>
      <c r="W103" s="70">
        <v>22</v>
      </c>
      <c r="X103" s="70">
        <v>23</v>
      </c>
      <c r="Y103" s="70">
        <v>24</v>
      </c>
      <c r="Z103" s="70">
        <v>25</v>
      </c>
      <c r="AA103" s="70">
        <v>26</v>
      </c>
      <c r="AB103" s="70">
        <v>27</v>
      </c>
      <c r="AC103" s="70">
        <v>28</v>
      </c>
      <c r="AD103" s="70">
        <v>29</v>
      </c>
      <c r="AE103" s="70">
        <v>30</v>
      </c>
      <c r="AF103" s="70">
        <v>31</v>
      </c>
      <c r="AG103" s="70">
        <v>32</v>
      </c>
      <c r="AH103" s="70">
        <v>33</v>
      </c>
      <c r="AI103" s="70">
        <v>34</v>
      </c>
      <c r="AJ103" s="70">
        <v>35</v>
      </c>
      <c r="AK103" s="70">
        <v>36</v>
      </c>
      <c r="AL103" s="70">
        <v>37</v>
      </c>
      <c r="AM103" s="70">
        <v>38</v>
      </c>
      <c r="AN103" s="70">
        <v>39</v>
      </c>
      <c r="AO103" s="70">
        <v>40</v>
      </c>
      <c r="AP103" s="70">
        <v>41</v>
      </c>
      <c r="AQ103" s="70">
        <v>42</v>
      </c>
      <c r="AR103" s="70">
        <v>43</v>
      </c>
      <c r="AS103" s="70">
        <v>44</v>
      </c>
      <c r="AT103" s="70">
        <v>45</v>
      </c>
      <c r="AU103" s="70">
        <v>46</v>
      </c>
      <c r="AV103" s="70">
        <v>47</v>
      </c>
      <c r="AW103" s="70">
        <v>48</v>
      </c>
      <c r="AX103" s="70">
        <v>49</v>
      </c>
      <c r="AY103" s="70">
        <v>50</v>
      </c>
      <c r="AZ103" s="70">
        <v>51</v>
      </c>
      <c r="BA103" s="71">
        <v>52</v>
      </c>
    </row>
    <row r="104" spans="1:55">
      <c r="A104" s="72" t="s">
        <v>28</v>
      </c>
      <c r="B104" s="73">
        <v>68</v>
      </c>
      <c r="C104" s="73">
        <v>68</v>
      </c>
      <c r="D104" s="73">
        <v>68</v>
      </c>
      <c r="E104" s="73">
        <v>68</v>
      </c>
      <c r="F104" s="73">
        <v>68</v>
      </c>
      <c r="G104" s="73">
        <v>68</v>
      </c>
      <c r="H104" s="73">
        <v>68</v>
      </c>
      <c r="I104" s="73">
        <v>68</v>
      </c>
      <c r="J104" s="73">
        <v>68</v>
      </c>
      <c r="K104" s="73">
        <v>68</v>
      </c>
      <c r="L104" s="73">
        <v>68</v>
      </c>
      <c r="M104" s="73">
        <v>68</v>
      </c>
      <c r="N104" s="73">
        <v>68</v>
      </c>
      <c r="O104" s="73">
        <v>68</v>
      </c>
      <c r="P104" s="73">
        <v>68</v>
      </c>
      <c r="Q104" s="73">
        <v>68</v>
      </c>
      <c r="R104" s="73">
        <v>68</v>
      </c>
      <c r="S104" s="73">
        <v>68</v>
      </c>
      <c r="T104" s="73">
        <v>68</v>
      </c>
      <c r="U104" s="73">
        <v>68</v>
      </c>
      <c r="V104" s="73">
        <v>68</v>
      </c>
      <c r="W104" s="73">
        <v>68</v>
      </c>
      <c r="X104" s="73">
        <v>68</v>
      </c>
      <c r="Y104" s="73">
        <v>68</v>
      </c>
      <c r="Z104" s="73">
        <v>68</v>
      </c>
      <c r="AA104" s="73">
        <v>68</v>
      </c>
      <c r="AB104" s="73">
        <v>68</v>
      </c>
      <c r="AC104" s="73">
        <v>68</v>
      </c>
      <c r="AD104" s="73">
        <v>68</v>
      </c>
      <c r="AE104" s="73">
        <v>68</v>
      </c>
      <c r="AF104" s="73">
        <v>68</v>
      </c>
      <c r="AG104" s="73">
        <v>68</v>
      </c>
      <c r="AH104" s="73">
        <v>68</v>
      </c>
      <c r="AI104" s="73">
        <v>68</v>
      </c>
      <c r="AJ104" s="73">
        <v>68</v>
      </c>
      <c r="AK104" s="73">
        <v>68</v>
      </c>
      <c r="AL104" s="73">
        <v>68</v>
      </c>
      <c r="AM104" s="73">
        <v>68</v>
      </c>
      <c r="AN104" s="73">
        <v>68</v>
      </c>
      <c r="AO104" s="73">
        <v>68</v>
      </c>
      <c r="AP104" s="73">
        <v>68</v>
      </c>
      <c r="AQ104" s="73">
        <v>68</v>
      </c>
      <c r="AR104" s="73">
        <v>68</v>
      </c>
      <c r="AS104" s="73">
        <v>68</v>
      </c>
      <c r="AT104" s="73">
        <v>68</v>
      </c>
      <c r="AU104" s="73">
        <v>68</v>
      </c>
      <c r="AV104" s="73">
        <v>68</v>
      </c>
      <c r="AW104" s="73">
        <v>68</v>
      </c>
      <c r="AX104" s="73">
        <v>68</v>
      </c>
      <c r="AY104" s="73">
        <v>68</v>
      </c>
      <c r="AZ104" s="73">
        <v>68</v>
      </c>
      <c r="BA104" s="73">
        <v>68</v>
      </c>
      <c r="BB104" s="73"/>
      <c r="BC104" s="73">
        <v>68</v>
      </c>
    </row>
    <row r="105" spans="1:55">
      <c r="A105" s="69" t="s">
        <v>29</v>
      </c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74"/>
      <c r="AM105" s="74"/>
      <c r="AN105" s="74"/>
      <c r="AO105" s="74"/>
      <c r="AP105" s="74"/>
      <c r="AQ105" s="74"/>
      <c r="AR105" s="74"/>
      <c r="AS105" s="74"/>
      <c r="AT105" s="74"/>
      <c r="AU105" s="74"/>
      <c r="AV105" s="74"/>
      <c r="AW105" s="74"/>
      <c r="AX105" s="74"/>
      <c r="AY105" s="74"/>
      <c r="AZ105" s="74"/>
      <c r="BA105" s="75"/>
    </row>
    <row r="106" spans="1:55" ht="48.75" customHeight="1" thickBot="1">
      <c r="A106" s="66" t="s">
        <v>30</v>
      </c>
      <c r="B106" s="67"/>
      <c r="C106" s="67"/>
      <c r="D106" s="67"/>
      <c r="E106" s="76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76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76"/>
      <c r="AC106" s="76"/>
      <c r="AD106" s="67"/>
      <c r="AE106" s="67"/>
      <c r="AF106" s="67"/>
      <c r="AG106" s="67"/>
      <c r="AH106" s="67"/>
      <c r="AI106" s="79"/>
      <c r="AJ106" s="67"/>
      <c r="AK106" s="67"/>
      <c r="AL106" s="67"/>
      <c r="AM106" s="67"/>
      <c r="AN106" s="67"/>
      <c r="AO106" s="67"/>
      <c r="AP106" s="67"/>
      <c r="AQ106" s="67"/>
      <c r="AR106" s="67"/>
      <c r="AS106" s="67"/>
      <c r="AT106" s="67"/>
      <c r="AU106" s="67"/>
      <c r="AV106" s="67"/>
      <c r="AW106" s="67"/>
      <c r="AX106" s="67"/>
      <c r="AY106" s="67"/>
      <c r="AZ106" s="67"/>
      <c r="BA106" s="68"/>
    </row>
    <row r="107" spans="1:55">
      <c r="A107" s="61" t="s">
        <v>31</v>
      </c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  <c r="AN107" s="62"/>
      <c r="AO107" s="62"/>
      <c r="AP107" s="62"/>
      <c r="AQ107" s="62"/>
      <c r="AR107" s="62"/>
      <c r="AS107" s="62"/>
      <c r="AT107" s="62"/>
      <c r="AU107" s="62"/>
      <c r="AV107" s="62"/>
      <c r="AW107" s="62"/>
      <c r="AX107" s="62"/>
      <c r="AY107" s="62"/>
      <c r="AZ107" s="62"/>
      <c r="BA107" s="62"/>
    </row>
    <row r="108" spans="1:55">
      <c r="A108" s="64" t="s">
        <v>32</v>
      </c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  <c r="AZ108" s="65"/>
      <c r="BA108" s="65"/>
    </row>
    <row r="109" spans="1:55" ht="15" thickBot="1">
      <c r="A109" s="66" t="s">
        <v>33</v>
      </c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</row>
    <row r="110" spans="1:55">
      <c r="A110" s="78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</row>
    <row r="111" spans="1:55">
      <c r="A111" s="78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</row>
    <row r="113" spans="1:55" ht="18">
      <c r="A113" s="54" t="s">
        <v>1</v>
      </c>
      <c r="B113" s="55" t="s">
        <v>22</v>
      </c>
      <c r="C113" s="56" t="s">
        <v>23</v>
      </c>
      <c r="E113" s="58"/>
    </row>
    <row r="114" spans="1:55" ht="18.600000000000001" thickBot="1">
      <c r="A114" s="59"/>
      <c r="B114" s="58"/>
      <c r="C114" s="60"/>
      <c r="D114" s="41"/>
    </row>
    <row r="115" spans="1:55">
      <c r="A115" s="61" t="s">
        <v>25</v>
      </c>
      <c r="B115" s="62">
        <v>1</v>
      </c>
      <c r="C115" s="62">
        <v>2</v>
      </c>
      <c r="D115" s="62">
        <v>3</v>
      </c>
      <c r="E115" s="62">
        <v>4</v>
      </c>
      <c r="F115" s="62">
        <v>5</v>
      </c>
      <c r="G115" s="62">
        <v>6</v>
      </c>
      <c r="H115" s="62">
        <v>7</v>
      </c>
      <c r="I115" s="62">
        <v>8</v>
      </c>
      <c r="J115" s="62">
        <v>9</v>
      </c>
      <c r="K115" s="62">
        <v>10</v>
      </c>
      <c r="L115" s="62">
        <v>11</v>
      </c>
      <c r="M115" s="62">
        <v>12</v>
      </c>
      <c r="N115" s="62">
        <v>13</v>
      </c>
      <c r="O115" s="62">
        <v>14</v>
      </c>
      <c r="P115" s="62">
        <v>15</v>
      </c>
      <c r="Q115" s="62">
        <v>16</v>
      </c>
      <c r="R115" s="62">
        <v>17</v>
      </c>
      <c r="S115" s="62">
        <v>18</v>
      </c>
      <c r="T115" s="62">
        <v>19</v>
      </c>
      <c r="U115" s="62">
        <v>20</v>
      </c>
      <c r="V115" s="62">
        <v>21</v>
      </c>
      <c r="W115" s="62">
        <v>22</v>
      </c>
      <c r="X115" s="62">
        <v>23</v>
      </c>
      <c r="Y115" s="62">
        <v>24</v>
      </c>
      <c r="Z115" s="62">
        <v>25</v>
      </c>
      <c r="AA115" s="62">
        <v>26</v>
      </c>
      <c r="AB115" s="62">
        <v>27</v>
      </c>
      <c r="AC115" s="62">
        <v>28</v>
      </c>
      <c r="AD115" s="62">
        <v>29</v>
      </c>
      <c r="AE115" s="62">
        <v>30</v>
      </c>
      <c r="AF115" s="62">
        <v>31</v>
      </c>
      <c r="AG115" s="62">
        <v>32</v>
      </c>
      <c r="AH115" s="62">
        <v>33</v>
      </c>
      <c r="AI115" s="62">
        <v>34</v>
      </c>
      <c r="AJ115" s="62">
        <v>35</v>
      </c>
      <c r="AK115" s="62">
        <v>36</v>
      </c>
      <c r="AL115" s="62">
        <v>37</v>
      </c>
      <c r="AM115" s="62">
        <v>38</v>
      </c>
      <c r="AN115" s="62">
        <v>39</v>
      </c>
      <c r="AO115" s="62">
        <v>40</v>
      </c>
      <c r="AP115" s="62">
        <v>41</v>
      </c>
      <c r="AQ115" s="62">
        <v>42</v>
      </c>
      <c r="AR115" s="62">
        <v>43</v>
      </c>
      <c r="AS115" s="62">
        <v>44</v>
      </c>
      <c r="AT115" s="62">
        <v>45</v>
      </c>
      <c r="AU115" s="62">
        <v>46</v>
      </c>
      <c r="AV115" s="62">
        <v>47</v>
      </c>
      <c r="AW115" s="62">
        <v>48</v>
      </c>
      <c r="AX115" s="62">
        <v>49</v>
      </c>
      <c r="AY115" s="62">
        <v>50</v>
      </c>
      <c r="AZ115" s="62">
        <v>51</v>
      </c>
      <c r="BA115" s="63">
        <v>52</v>
      </c>
    </row>
    <row r="116" spans="1:55">
      <c r="A116" s="64" t="s">
        <v>26</v>
      </c>
      <c r="B116" s="65">
        <v>85</v>
      </c>
      <c r="C116" s="65">
        <v>85</v>
      </c>
      <c r="D116" s="65">
        <v>85</v>
      </c>
      <c r="E116" s="65">
        <v>85</v>
      </c>
      <c r="F116" s="65">
        <v>85</v>
      </c>
      <c r="G116" s="65">
        <v>85</v>
      </c>
      <c r="H116" s="65">
        <v>85</v>
      </c>
      <c r="I116" s="65">
        <v>85</v>
      </c>
      <c r="J116" s="65">
        <v>85</v>
      </c>
      <c r="K116" s="65">
        <v>85</v>
      </c>
      <c r="L116" s="65">
        <v>85</v>
      </c>
      <c r="M116" s="65">
        <v>85</v>
      </c>
      <c r="N116" s="65">
        <v>85</v>
      </c>
      <c r="O116" s="65">
        <v>85</v>
      </c>
      <c r="P116" s="65">
        <v>85</v>
      </c>
      <c r="Q116" s="65">
        <v>85</v>
      </c>
      <c r="R116" s="65">
        <v>85</v>
      </c>
      <c r="S116" s="65">
        <v>85</v>
      </c>
      <c r="T116" s="65">
        <v>85</v>
      </c>
      <c r="U116" s="65">
        <v>85</v>
      </c>
      <c r="V116" s="65">
        <v>85</v>
      </c>
      <c r="W116" s="65">
        <v>85</v>
      </c>
      <c r="X116" s="65">
        <v>85</v>
      </c>
      <c r="Y116" s="65">
        <v>85</v>
      </c>
      <c r="Z116" s="65">
        <v>85</v>
      </c>
      <c r="AA116" s="65">
        <v>85</v>
      </c>
      <c r="AB116" s="65">
        <v>85</v>
      </c>
      <c r="AC116" s="65">
        <v>85</v>
      </c>
      <c r="AD116" s="65">
        <v>85</v>
      </c>
      <c r="AE116" s="65">
        <v>85</v>
      </c>
      <c r="AF116" s="65">
        <v>85</v>
      </c>
      <c r="AG116" s="65">
        <v>85</v>
      </c>
      <c r="AH116" s="65">
        <v>85</v>
      </c>
      <c r="AI116" s="65">
        <v>85</v>
      </c>
      <c r="AJ116" s="65">
        <v>85</v>
      </c>
      <c r="AK116" s="65">
        <v>85</v>
      </c>
      <c r="AL116" s="65">
        <v>85</v>
      </c>
      <c r="AM116" s="65">
        <v>85</v>
      </c>
      <c r="AN116" s="65">
        <v>85</v>
      </c>
      <c r="AO116" s="65">
        <v>85</v>
      </c>
      <c r="AP116" s="65">
        <v>85</v>
      </c>
      <c r="AQ116" s="65">
        <v>85</v>
      </c>
      <c r="AR116" s="65">
        <v>85</v>
      </c>
      <c r="AS116" s="65">
        <v>85</v>
      </c>
      <c r="AT116" s="65">
        <v>85</v>
      </c>
      <c r="AU116" s="65">
        <v>85</v>
      </c>
      <c r="AV116" s="65">
        <v>85</v>
      </c>
      <c r="AW116" s="65">
        <v>85</v>
      </c>
      <c r="AX116" s="65">
        <v>85</v>
      </c>
      <c r="AY116" s="65">
        <v>85</v>
      </c>
      <c r="AZ116" s="65">
        <v>85</v>
      </c>
      <c r="BA116" s="65">
        <v>85</v>
      </c>
    </row>
    <row r="117" spans="1:55" ht="15" thickBot="1">
      <c r="A117" s="66" t="s">
        <v>27</v>
      </c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67"/>
      <c r="AQ117" s="67"/>
      <c r="AR117" s="67"/>
      <c r="AS117" s="67"/>
      <c r="AT117" s="67"/>
      <c r="AU117" s="67"/>
      <c r="AV117" s="67"/>
      <c r="AW117" s="67"/>
      <c r="AX117" s="67"/>
      <c r="AY117" s="67"/>
      <c r="AZ117" s="67"/>
      <c r="BA117" s="68"/>
    </row>
    <row r="118" spans="1:55">
      <c r="A118" s="69" t="s">
        <v>25</v>
      </c>
      <c r="B118" s="70">
        <v>1</v>
      </c>
      <c r="C118" s="70">
        <v>2</v>
      </c>
      <c r="D118" s="70">
        <v>3</v>
      </c>
      <c r="E118" s="70">
        <v>4</v>
      </c>
      <c r="F118" s="70">
        <v>5</v>
      </c>
      <c r="G118" s="70">
        <v>6</v>
      </c>
      <c r="H118" s="70">
        <v>7</v>
      </c>
      <c r="I118" s="70">
        <v>8</v>
      </c>
      <c r="J118" s="70">
        <v>9</v>
      </c>
      <c r="K118" s="70">
        <v>10</v>
      </c>
      <c r="L118" s="70">
        <v>11</v>
      </c>
      <c r="M118" s="70">
        <v>12</v>
      </c>
      <c r="N118" s="70">
        <v>13</v>
      </c>
      <c r="O118" s="70">
        <v>14</v>
      </c>
      <c r="P118" s="70">
        <v>15</v>
      </c>
      <c r="Q118" s="70">
        <v>16</v>
      </c>
      <c r="R118" s="70">
        <v>17</v>
      </c>
      <c r="S118" s="70">
        <v>18</v>
      </c>
      <c r="T118" s="70">
        <v>19</v>
      </c>
      <c r="U118" s="70">
        <v>20</v>
      </c>
      <c r="V118" s="70">
        <v>21</v>
      </c>
      <c r="W118" s="70">
        <v>22</v>
      </c>
      <c r="X118" s="70">
        <v>23</v>
      </c>
      <c r="Y118" s="70">
        <v>24</v>
      </c>
      <c r="Z118" s="70">
        <v>25</v>
      </c>
      <c r="AA118" s="70">
        <v>26</v>
      </c>
      <c r="AB118" s="70">
        <v>27</v>
      </c>
      <c r="AC118" s="70">
        <v>28</v>
      </c>
      <c r="AD118" s="70">
        <v>29</v>
      </c>
      <c r="AE118" s="70">
        <v>30</v>
      </c>
      <c r="AF118" s="70">
        <v>31</v>
      </c>
      <c r="AG118" s="70">
        <v>32</v>
      </c>
      <c r="AH118" s="70">
        <v>33</v>
      </c>
      <c r="AI118" s="70">
        <v>34</v>
      </c>
      <c r="AJ118" s="70">
        <v>35</v>
      </c>
      <c r="AK118" s="70">
        <v>36</v>
      </c>
      <c r="AL118" s="70">
        <v>37</v>
      </c>
      <c r="AM118" s="70">
        <v>38</v>
      </c>
      <c r="AN118" s="70">
        <v>39</v>
      </c>
      <c r="AO118" s="70">
        <v>40</v>
      </c>
      <c r="AP118" s="70">
        <v>41</v>
      </c>
      <c r="AQ118" s="70">
        <v>42</v>
      </c>
      <c r="AR118" s="70">
        <v>43</v>
      </c>
      <c r="AS118" s="70">
        <v>44</v>
      </c>
      <c r="AT118" s="70">
        <v>45</v>
      </c>
      <c r="AU118" s="70">
        <v>46</v>
      </c>
      <c r="AV118" s="70">
        <v>47</v>
      </c>
      <c r="AW118" s="70">
        <v>48</v>
      </c>
      <c r="AX118" s="70">
        <v>49</v>
      </c>
      <c r="AY118" s="70">
        <v>50</v>
      </c>
      <c r="AZ118" s="70">
        <v>51</v>
      </c>
      <c r="BA118" s="71">
        <v>52</v>
      </c>
    </row>
    <row r="119" spans="1:55">
      <c r="A119" s="72" t="s">
        <v>28</v>
      </c>
      <c r="B119" s="73">
        <v>68</v>
      </c>
      <c r="C119" s="73">
        <v>68</v>
      </c>
      <c r="D119" s="73">
        <v>68</v>
      </c>
      <c r="E119" s="73">
        <v>68</v>
      </c>
      <c r="F119" s="73">
        <v>68</v>
      </c>
      <c r="G119" s="73">
        <v>68</v>
      </c>
      <c r="H119" s="73">
        <v>68</v>
      </c>
      <c r="I119" s="73">
        <v>68</v>
      </c>
      <c r="J119" s="73">
        <v>68</v>
      </c>
      <c r="K119" s="73">
        <v>68</v>
      </c>
      <c r="L119" s="73">
        <v>68</v>
      </c>
      <c r="M119" s="73">
        <v>68</v>
      </c>
      <c r="N119" s="73">
        <v>68</v>
      </c>
      <c r="O119" s="73">
        <v>68</v>
      </c>
      <c r="P119" s="73">
        <v>68</v>
      </c>
      <c r="Q119" s="73">
        <v>68</v>
      </c>
      <c r="R119" s="73">
        <v>68</v>
      </c>
      <c r="S119" s="73">
        <v>68</v>
      </c>
      <c r="T119" s="73">
        <v>68</v>
      </c>
      <c r="U119" s="73">
        <v>68</v>
      </c>
      <c r="V119" s="73">
        <v>68</v>
      </c>
      <c r="W119" s="73">
        <v>68</v>
      </c>
      <c r="X119" s="73">
        <v>68</v>
      </c>
      <c r="Y119" s="73">
        <v>68</v>
      </c>
      <c r="Z119" s="73">
        <v>68</v>
      </c>
      <c r="AA119" s="73">
        <v>68</v>
      </c>
      <c r="AB119" s="73">
        <v>68</v>
      </c>
      <c r="AC119" s="73">
        <v>68</v>
      </c>
      <c r="AD119" s="73">
        <v>68</v>
      </c>
      <c r="AE119" s="73">
        <v>68</v>
      </c>
      <c r="AF119" s="73">
        <v>68</v>
      </c>
      <c r="AG119" s="73">
        <v>68</v>
      </c>
      <c r="AH119" s="73">
        <v>68</v>
      </c>
      <c r="AI119" s="73">
        <v>68</v>
      </c>
      <c r="AJ119" s="73">
        <v>68</v>
      </c>
      <c r="AK119" s="73">
        <v>68</v>
      </c>
      <c r="AL119" s="73">
        <v>68</v>
      </c>
      <c r="AM119" s="73">
        <v>68</v>
      </c>
      <c r="AN119" s="73">
        <v>68</v>
      </c>
      <c r="AO119" s="73">
        <v>68</v>
      </c>
      <c r="AP119" s="73">
        <v>68</v>
      </c>
      <c r="AQ119" s="73">
        <v>68</v>
      </c>
      <c r="AR119" s="73">
        <v>68</v>
      </c>
      <c r="AS119" s="73">
        <v>68</v>
      </c>
      <c r="AT119" s="73">
        <v>68</v>
      </c>
      <c r="AU119" s="73">
        <v>68</v>
      </c>
      <c r="AV119" s="73">
        <v>68</v>
      </c>
      <c r="AW119" s="73">
        <v>68</v>
      </c>
      <c r="AX119" s="73">
        <v>68</v>
      </c>
      <c r="AY119" s="73">
        <v>68</v>
      </c>
      <c r="AZ119" s="73">
        <v>68</v>
      </c>
      <c r="BA119" s="73">
        <v>68</v>
      </c>
      <c r="BB119" s="73"/>
      <c r="BC119" s="73"/>
    </row>
    <row r="120" spans="1:55">
      <c r="A120" s="69" t="s">
        <v>29</v>
      </c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  <c r="AX120" s="74"/>
      <c r="AY120" s="74"/>
      <c r="AZ120" s="74"/>
      <c r="BA120" s="75"/>
    </row>
    <row r="121" spans="1:55" ht="63" customHeight="1" thickBot="1">
      <c r="A121" s="66" t="s">
        <v>30</v>
      </c>
      <c r="B121" s="67"/>
      <c r="C121" s="67"/>
      <c r="D121" s="67"/>
      <c r="E121" s="76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76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76"/>
      <c r="AC121" s="76"/>
      <c r="AD121" s="67"/>
      <c r="AE121" s="67"/>
      <c r="AF121" s="79"/>
      <c r="AG121" s="67"/>
      <c r="AH121" s="67"/>
      <c r="AI121" s="67"/>
      <c r="AJ121" s="67"/>
      <c r="AK121" s="67"/>
      <c r="AL121" s="67"/>
      <c r="AM121" s="67"/>
      <c r="AN121" s="67"/>
      <c r="AO121" s="67"/>
      <c r="AP121" s="67"/>
      <c r="AQ121" s="67"/>
      <c r="AR121" s="67"/>
      <c r="AS121" s="67"/>
      <c r="AT121" s="67"/>
      <c r="AU121" s="67"/>
      <c r="AV121" s="67"/>
      <c r="AW121" s="67"/>
      <c r="AX121" s="67"/>
      <c r="AY121" s="67"/>
      <c r="AZ121" s="67"/>
      <c r="BA121" s="68"/>
    </row>
    <row r="122" spans="1:55">
      <c r="A122" s="61" t="s">
        <v>31</v>
      </c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  <c r="AV122" s="62"/>
      <c r="AW122" s="62"/>
      <c r="AX122" s="62"/>
      <c r="AY122" s="62"/>
      <c r="AZ122" s="62"/>
      <c r="BA122" s="62"/>
    </row>
    <row r="123" spans="1:55">
      <c r="A123" s="64" t="s">
        <v>32</v>
      </c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</row>
    <row r="124" spans="1:55" ht="15" thickBot="1">
      <c r="A124" s="66" t="s">
        <v>33</v>
      </c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  <c r="AJ124" s="77"/>
      <c r="AK124" s="77"/>
      <c r="AL124" s="77"/>
      <c r="AM124" s="77"/>
      <c r="AN124" s="77"/>
      <c r="AO124" s="77"/>
      <c r="AP124" s="77"/>
      <c r="AQ124" s="77"/>
      <c r="AR124" s="77"/>
      <c r="AS124" s="77"/>
      <c r="AT124" s="77"/>
      <c r="AU124" s="77"/>
      <c r="AV124" s="77"/>
      <c r="AW124" s="77"/>
      <c r="AX124" s="77"/>
      <c r="AY124" s="77"/>
      <c r="AZ124" s="77"/>
      <c r="BA124" s="77"/>
    </row>
    <row r="125" spans="1:55">
      <c r="A125" s="78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</row>
    <row r="126" spans="1:55">
      <c r="A126" s="78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</row>
    <row r="129" spans="1:53" ht="18">
      <c r="A129" s="54" t="s">
        <v>1</v>
      </c>
      <c r="B129" s="55" t="s">
        <v>22</v>
      </c>
      <c r="C129" s="56" t="s">
        <v>23</v>
      </c>
      <c r="E129" s="58"/>
    </row>
    <row r="130" spans="1:53" ht="18.600000000000001" thickBot="1">
      <c r="A130" s="59"/>
      <c r="B130" s="58"/>
      <c r="C130" s="60"/>
    </row>
    <row r="131" spans="1:53">
      <c r="A131" s="61" t="s">
        <v>25</v>
      </c>
      <c r="B131" s="62">
        <v>1</v>
      </c>
      <c r="C131" s="62">
        <v>2</v>
      </c>
      <c r="D131" s="62">
        <v>3</v>
      </c>
      <c r="E131" s="62">
        <v>4</v>
      </c>
      <c r="F131" s="62">
        <v>5</v>
      </c>
      <c r="G131" s="62">
        <v>6</v>
      </c>
      <c r="H131" s="62">
        <v>7</v>
      </c>
      <c r="I131" s="62">
        <v>8</v>
      </c>
      <c r="J131" s="62">
        <v>9</v>
      </c>
      <c r="K131" s="62">
        <v>10</v>
      </c>
      <c r="L131" s="62">
        <v>11</v>
      </c>
      <c r="M131" s="62">
        <v>12</v>
      </c>
      <c r="N131" s="62">
        <v>13</v>
      </c>
      <c r="O131" s="62">
        <v>14</v>
      </c>
      <c r="P131" s="62">
        <v>15</v>
      </c>
      <c r="Q131" s="62">
        <v>16</v>
      </c>
      <c r="R131" s="62">
        <v>17</v>
      </c>
      <c r="S131" s="62">
        <v>18</v>
      </c>
      <c r="T131" s="62">
        <v>19</v>
      </c>
      <c r="U131" s="62">
        <v>20</v>
      </c>
      <c r="V131" s="62">
        <v>21</v>
      </c>
      <c r="W131" s="62">
        <v>22</v>
      </c>
      <c r="X131" s="62">
        <v>23</v>
      </c>
      <c r="Y131" s="62">
        <v>24</v>
      </c>
      <c r="Z131" s="62">
        <v>25</v>
      </c>
      <c r="AA131" s="62">
        <v>26</v>
      </c>
      <c r="AB131" s="62">
        <v>27</v>
      </c>
      <c r="AC131" s="62">
        <v>28</v>
      </c>
      <c r="AD131" s="62">
        <v>29</v>
      </c>
      <c r="AE131" s="62">
        <v>30</v>
      </c>
      <c r="AF131" s="62">
        <v>31</v>
      </c>
      <c r="AG131" s="62">
        <v>32</v>
      </c>
      <c r="AH131" s="62">
        <v>33</v>
      </c>
      <c r="AI131" s="62">
        <v>34</v>
      </c>
      <c r="AJ131" s="62">
        <v>35</v>
      </c>
      <c r="AK131" s="62">
        <v>36</v>
      </c>
      <c r="AL131" s="62">
        <v>37</v>
      </c>
      <c r="AM131" s="62">
        <v>38</v>
      </c>
      <c r="AN131" s="62">
        <v>39</v>
      </c>
      <c r="AO131" s="62">
        <v>40</v>
      </c>
      <c r="AP131" s="62">
        <v>41</v>
      </c>
      <c r="AQ131" s="62">
        <v>42</v>
      </c>
      <c r="AR131" s="62">
        <v>43</v>
      </c>
      <c r="AS131" s="62">
        <v>44</v>
      </c>
      <c r="AT131" s="62">
        <v>45</v>
      </c>
      <c r="AU131" s="62">
        <v>46</v>
      </c>
      <c r="AV131" s="62">
        <v>47</v>
      </c>
      <c r="AW131" s="62">
        <v>48</v>
      </c>
      <c r="AX131" s="62">
        <v>49</v>
      </c>
      <c r="AY131" s="62">
        <v>50</v>
      </c>
      <c r="AZ131" s="62">
        <v>51</v>
      </c>
      <c r="BA131" s="63">
        <v>52</v>
      </c>
    </row>
    <row r="132" spans="1:53">
      <c r="A132" s="64" t="s">
        <v>26</v>
      </c>
      <c r="B132" s="65">
        <v>85</v>
      </c>
      <c r="C132" s="65">
        <v>85</v>
      </c>
      <c r="D132" s="65">
        <v>85</v>
      </c>
      <c r="E132" s="65">
        <v>85</v>
      </c>
      <c r="F132" s="65">
        <v>85</v>
      </c>
      <c r="G132" s="65">
        <v>85</v>
      </c>
      <c r="H132" s="65">
        <v>85</v>
      </c>
      <c r="I132" s="65">
        <v>85</v>
      </c>
      <c r="J132" s="65">
        <v>85</v>
      </c>
      <c r="K132" s="65">
        <v>85</v>
      </c>
      <c r="L132" s="65">
        <v>85</v>
      </c>
      <c r="M132" s="65">
        <v>85</v>
      </c>
      <c r="N132" s="65">
        <v>85</v>
      </c>
      <c r="O132" s="65">
        <v>85</v>
      </c>
      <c r="P132" s="65">
        <v>85</v>
      </c>
      <c r="Q132" s="65">
        <v>85</v>
      </c>
      <c r="R132" s="65">
        <v>85</v>
      </c>
      <c r="S132" s="65">
        <v>85</v>
      </c>
      <c r="T132" s="65">
        <v>85</v>
      </c>
      <c r="U132" s="65">
        <v>85</v>
      </c>
      <c r="V132" s="65">
        <v>85</v>
      </c>
      <c r="W132" s="65">
        <v>85</v>
      </c>
      <c r="X132" s="65">
        <v>85</v>
      </c>
      <c r="Y132" s="65">
        <v>85</v>
      </c>
      <c r="Z132" s="65">
        <v>85</v>
      </c>
      <c r="AA132" s="65">
        <v>85</v>
      </c>
      <c r="AB132" s="65">
        <v>85</v>
      </c>
      <c r="AC132" s="65">
        <v>85</v>
      </c>
      <c r="AD132" s="65">
        <v>85</v>
      </c>
      <c r="AE132" s="65">
        <v>85</v>
      </c>
      <c r="AF132" s="65">
        <v>85</v>
      </c>
      <c r="AG132" s="65">
        <v>85</v>
      </c>
      <c r="AH132" s="65">
        <v>85</v>
      </c>
      <c r="AI132" s="65">
        <v>85</v>
      </c>
      <c r="AJ132" s="65">
        <v>85</v>
      </c>
      <c r="AK132" s="65">
        <v>85</v>
      </c>
      <c r="AL132" s="65">
        <v>85</v>
      </c>
      <c r="AM132" s="65">
        <v>85</v>
      </c>
      <c r="AN132" s="65">
        <v>85</v>
      </c>
      <c r="AO132" s="65">
        <v>85</v>
      </c>
      <c r="AP132" s="65">
        <v>85</v>
      </c>
      <c r="AQ132" s="65">
        <v>85</v>
      </c>
      <c r="AR132" s="65">
        <v>85</v>
      </c>
      <c r="AS132" s="65">
        <v>85</v>
      </c>
      <c r="AT132" s="65">
        <v>85</v>
      </c>
      <c r="AU132" s="65">
        <v>85</v>
      </c>
      <c r="AV132" s="65">
        <v>85</v>
      </c>
      <c r="AW132" s="65">
        <v>85</v>
      </c>
      <c r="AX132" s="65">
        <v>85</v>
      </c>
      <c r="AY132" s="65">
        <v>85</v>
      </c>
      <c r="AZ132" s="65">
        <v>85</v>
      </c>
      <c r="BA132" s="65">
        <v>85</v>
      </c>
    </row>
    <row r="133" spans="1:53" ht="15" thickBot="1">
      <c r="A133" s="66" t="s">
        <v>27</v>
      </c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67"/>
      <c r="AQ133" s="67"/>
      <c r="AR133" s="67"/>
      <c r="AS133" s="67"/>
      <c r="AT133" s="67"/>
      <c r="AU133" s="67"/>
      <c r="AV133" s="67"/>
      <c r="AW133" s="67"/>
      <c r="AX133" s="67"/>
      <c r="AY133" s="67"/>
      <c r="AZ133" s="67"/>
      <c r="BA133" s="67"/>
    </row>
    <row r="134" spans="1:53">
      <c r="A134" s="69" t="s">
        <v>25</v>
      </c>
      <c r="B134" s="70">
        <v>1</v>
      </c>
      <c r="C134" s="70">
        <v>2</v>
      </c>
      <c r="D134" s="70">
        <v>3</v>
      </c>
      <c r="E134" s="70">
        <v>4</v>
      </c>
      <c r="F134" s="70">
        <v>5</v>
      </c>
      <c r="G134" s="70">
        <v>6</v>
      </c>
      <c r="H134" s="70">
        <v>7</v>
      </c>
      <c r="I134" s="70">
        <v>8</v>
      </c>
      <c r="J134" s="70">
        <v>9</v>
      </c>
      <c r="K134" s="70">
        <v>10</v>
      </c>
      <c r="L134" s="70">
        <v>11</v>
      </c>
      <c r="M134" s="70">
        <v>12</v>
      </c>
      <c r="N134" s="70">
        <v>13</v>
      </c>
      <c r="O134" s="70">
        <v>14</v>
      </c>
      <c r="P134" s="70">
        <v>15</v>
      </c>
      <c r="Q134" s="70">
        <v>16</v>
      </c>
      <c r="R134" s="70">
        <v>17</v>
      </c>
      <c r="S134" s="70">
        <v>18</v>
      </c>
      <c r="T134" s="70">
        <v>19</v>
      </c>
      <c r="U134" s="70">
        <v>20</v>
      </c>
      <c r="V134" s="70">
        <v>21</v>
      </c>
      <c r="W134" s="70">
        <v>22</v>
      </c>
      <c r="X134" s="70">
        <v>23</v>
      </c>
      <c r="Y134" s="70">
        <v>24</v>
      </c>
      <c r="Z134" s="70">
        <v>25</v>
      </c>
      <c r="AA134" s="70">
        <v>26</v>
      </c>
      <c r="AB134" s="70">
        <v>27</v>
      </c>
      <c r="AC134" s="70">
        <v>28</v>
      </c>
      <c r="AD134" s="70">
        <v>29</v>
      </c>
      <c r="AE134" s="70">
        <v>30</v>
      </c>
      <c r="AF134" s="70">
        <v>31</v>
      </c>
      <c r="AG134" s="70">
        <v>32</v>
      </c>
      <c r="AH134" s="70">
        <v>33</v>
      </c>
      <c r="AI134" s="70">
        <v>34</v>
      </c>
      <c r="AJ134" s="70">
        <v>35</v>
      </c>
      <c r="AK134" s="70">
        <v>36</v>
      </c>
      <c r="AL134" s="70">
        <v>37</v>
      </c>
      <c r="AM134" s="70">
        <v>38</v>
      </c>
      <c r="AN134" s="70">
        <v>39</v>
      </c>
      <c r="AO134" s="70">
        <v>40</v>
      </c>
      <c r="AP134" s="70">
        <v>41</v>
      </c>
      <c r="AQ134" s="70">
        <v>42</v>
      </c>
      <c r="AR134" s="70">
        <v>43</v>
      </c>
      <c r="AS134" s="70">
        <v>44</v>
      </c>
      <c r="AT134" s="70">
        <v>45</v>
      </c>
      <c r="AU134" s="70">
        <v>46</v>
      </c>
      <c r="AV134" s="70">
        <v>47</v>
      </c>
      <c r="AW134" s="70">
        <v>48</v>
      </c>
      <c r="AX134" s="70">
        <v>49</v>
      </c>
      <c r="AY134" s="70">
        <v>50</v>
      </c>
      <c r="AZ134" s="70">
        <v>51</v>
      </c>
      <c r="BA134" s="71">
        <v>52</v>
      </c>
    </row>
    <row r="135" spans="1:53">
      <c r="A135" s="72" t="s">
        <v>28</v>
      </c>
      <c r="B135" s="73">
        <v>68</v>
      </c>
      <c r="C135" s="73">
        <f t="shared" ref="C135:BA135" si="2">B135</f>
        <v>68</v>
      </c>
      <c r="D135" s="73">
        <f t="shared" si="2"/>
        <v>68</v>
      </c>
      <c r="E135" s="73">
        <f t="shared" si="2"/>
        <v>68</v>
      </c>
      <c r="F135" s="73">
        <f t="shared" si="2"/>
        <v>68</v>
      </c>
      <c r="G135" s="73">
        <f t="shared" si="2"/>
        <v>68</v>
      </c>
      <c r="H135" s="73">
        <f t="shared" si="2"/>
        <v>68</v>
      </c>
      <c r="I135" s="73">
        <f t="shared" si="2"/>
        <v>68</v>
      </c>
      <c r="J135" s="73">
        <f t="shared" si="2"/>
        <v>68</v>
      </c>
      <c r="K135" s="73">
        <f t="shared" si="2"/>
        <v>68</v>
      </c>
      <c r="L135" s="73">
        <f t="shared" si="2"/>
        <v>68</v>
      </c>
      <c r="M135" s="73">
        <f t="shared" si="2"/>
        <v>68</v>
      </c>
      <c r="N135" s="73">
        <f t="shared" si="2"/>
        <v>68</v>
      </c>
      <c r="O135" s="73">
        <f t="shared" si="2"/>
        <v>68</v>
      </c>
      <c r="P135" s="73">
        <f t="shared" si="2"/>
        <v>68</v>
      </c>
      <c r="Q135" s="73">
        <f t="shared" si="2"/>
        <v>68</v>
      </c>
      <c r="R135" s="73">
        <f t="shared" si="2"/>
        <v>68</v>
      </c>
      <c r="S135" s="73">
        <f t="shared" si="2"/>
        <v>68</v>
      </c>
      <c r="T135" s="73">
        <f t="shared" si="2"/>
        <v>68</v>
      </c>
      <c r="U135" s="73">
        <f t="shared" si="2"/>
        <v>68</v>
      </c>
      <c r="V135" s="73">
        <f t="shared" si="2"/>
        <v>68</v>
      </c>
      <c r="W135" s="73">
        <f t="shared" si="2"/>
        <v>68</v>
      </c>
      <c r="X135" s="73">
        <f t="shared" si="2"/>
        <v>68</v>
      </c>
      <c r="Y135" s="73">
        <f t="shared" si="2"/>
        <v>68</v>
      </c>
      <c r="Z135" s="73">
        <f t="shared" si="2"/>
        <v>68</v>
      </c>
      <c r="AA135" s="73">
        <f t="shared" si="2"/>
        <v>68</v>
      </c>
      <c r="AB135" s="73">
        <f t="shared" si="2"/>
        <v>68</v>
      </c>
      <c r="AC135" s="73">
        <f t="shared" si="2"/>
        <v>68</v>
      </c>
      <c r="AD135" s="73">
        <f t="shared" si="2"/>
        <v>68</v>
      </c>
      <c r="AE135" s="73">
        <f t="shared" si="2"/>
        <v>68</v>
      </c>
      <c r="AF135" s="73">
        <f t="shared" si="2"/>
        <v>68</v>
      </c>
      <c r="AG135" s="73">
        <f t="shared" si="2"/>
        <v>68</v>
      </c>
      <c r="AH135" s="73">
        <f t="shared" si="2"/>
        <v>68</v>
      </c>
      <c r="AI135" s="73">
        <f t="shared" si="2"/>
        <v>68</v>
      </c>
      <c r="AJ135" s="73">
        <f t="shared" si="2"/>
        <v>68</v>
      </c>
      <c r="AK135" s="73">
        <f t="shared" si="2"/>
        <v>68</v>
      </c>
      <c r="AL135" s="73">
        <f t="shared" si="2"/>
        <v>68</v>
      </c>
      <c r="AM135" s="73">
        <f t="shared" si="2"/>
        <v>68</v>
      </c>
      <c r="AN135" s="73">
        <f t="shared" si="2"/>
        <v>68</v>
      </c>
      <c r="AO135" s="73">
        <f t="shared" si="2"/>
        <v>68</v>
      </c>
      <c r="AP135" s="73">
        <f t="shared" si="2"/>
        <v>68</v>
      </c>
      <c r="AQ135" s="73">
        <f t="shared" si="2"/>
        <v>68</v>
      </c>
      <c r="AR135" s="73">
        <f t="shared" si="2"/>
        <v>68</v>
      </c>
      <c r="AS135" s="73">
        <f t="shared" si="2"/>
        <v>68</v>
      </c>
      <c r="AT135" s="73">
        <f t="shared" si="2"/>
        <v>68</v>
      </c>
      <c r="AU135" s="73">
        <f t="shared" si="2"/>
        <v>68</v>
      </c>
      <c r="AV135" s="73">
        <f t="shared" si="2"/>
        <v>68</v>
      </c>
      <c r="AW135" s="73">
        <f t="shared" si="2"/>
        <v>68</v>
      </c>
      <c r="AX135" s="73">
        <f t="shared" si="2"/>
        <v>68</v>
      </c>
      <c r="AY135" s="73">
        <f t="shared" si="2"/>
        <v>68</v>
      </c>
      <c r="AZ135" s="73">
        <f t="shared" si="2"/>
        <v>68</v>
      </c>
      <c r="BA135" s="73">
        <f t="shared" si="2"/>
        <v>68</v>
      </c>
    </row>
    <row r="136" spans="1:53">
      <c r="A136" s="69" t="s">
        <v>29</v>
      </c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  <c r="AS136" s="74"/>
      <c r="AT136" s="74"/>
      <c r="AU136" s="74"/>
      <c r="AV136" s="74"/>
      <c r="AW136" s="74"/>
      <c r="AX136" s="74"/>
      <c r="AY136" s="74"/>
      <c r="AZ136" s="74"/>
      <c r="BA136" s="74"/>
    </row>
    <row r="137" spans="1:53" ht="42" customHeight="1" thickBot="1">
      <c r="A137" s="66" t="s">
        <v>30</v>
      </c>
      <c r="B137" s="67"/>
      <c r="C137" s="76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  <c r="AP137" s="67"/>
      <c r="AQ137" s="67"/>
      <c r="AR137" s="67"/>
      <c r="AS137" s="67"/>
      <c r="AT137" s="67"/>
      <c r="AU137" s="67"/>
      <c r="AV137" s="67"/>
      <c r="AW137" s="67"/>
      <c r="AX137" s="67"/>
      <c r="AY137" s="67"/>
      <c r="AZ137" s="67"/>
      <c r="BA137" s="68"/>
    </row>
    <row r="138" spans="1:53">
      <c r="A138" s="61" t="s">
        <v>31</v>
      </c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  <c r="BA138" s="62"/>
    </row>
    <row r="139" spans="1:53">
      <c r="A139" s="64" t="s">
        <v>32</v>
      </c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/>
      <c r="AL139" s="65"/>
      <c r="AM139" s="65"/>
      <c r="AN139" s="65"/>
      <c r="AO139" s="65"/>
      <c r="AP139" s="65"/>
      <c r="AQ139" s="65"/>
      <c r="AR139" s="65"/>
      <c r="AS139" s="65"/>
      <c r="AT139" s="65"/>
      <c r="AU139" s="65"/>
      <c r="AV139" s="65"/>
      <c r="AW139" s="65"/>
      <c r="AX139" s="65"/>
      <c r="AY139" s="65"/>
      <c r="AZ139" s="65"/>
      <c r="BA139" s="65"/>
    </row>
    <row r="140" spans="1:53" ht="15" thickBot="1">
      <c r="A140" s="66" t="s">
        <v>33</v>
      </c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  <c r="AI140" s="77"/>
      <c r="AJ140" s="77"/>
      <c r="AK140" s="77"/>
      <c r="AL140" s="77"/>
      <c r="AM140" s="77"/>
      <c r="AN140" s="77"/>
      <c r="AO140" s="77"/>
      <c r="AP140" s="77"/>
      <c r="AQ140" s="77"/>
      <c r="AR140" s="77"/>
      <c r="AS140" s="77"/>
      <c r="AT140" s="77"/>
      <c r="AU140" s="77"/>
      <c r="AV140" s="77"/>
      <c r="AW140" s="77"/>
      <c r="AX140" s="77"/>
      <c r="AY140" s="77"/>
      <c r="AZ140" s="77"/>
      <c r="BA140" s="77"/>
    </row>
    <row r="141" spans="1:53">
      <c r="A141" s="78"/>
      <c r="B141" s="70"/>
      <c r="AM141" s="70"/>
      <c r="AN141" s="70"/>
      <c r="AO141" s="70"/>
      <c r="AP141" s="70"/>
      <c r="AQ141" s="70"/>
      <c r="AR141" s="70"/>
      <c r="AS141" s="70"/>
      <c r="AT141" s="70"/>
      <c r="AU141" s="70"/>
      <c r="AW141" s="70"/>
      <c r="AX141" s="70"/>
      <c r="AY141" s="70"/>
    </row>
    <row r="142" spans="1:53">
      <c r="A142" s="78"/>
      <c r="B142" s="70"/>
      <c r="AM142" s="70"/>
      <c r="AN142" s="70"/>
      <c r="AO142" s="70"/>
      <c r="AP142" s="70"/>
      <c r="AQ142" s="70"/>
      <c r="AR142" s="70"/>
      <c r="AS142" s="70"/>
      <c r="AT142" s="70"/>
      <c r="AU142" s="70"/>
      <c r="AW142" s="70"/>
      <c r="AX142" s="70"/>
      <c r="AY142" s="70"/>
    </row>
    <row r="329" spans="33:33">
      <c r="AG329" s="57" t="s">
        <v>39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9F5A5-EA28-4511-B430-18C242F48F9A}">
  <dimension ref="A1:U26"/>
  <sheetViews>
    <sheetView workbookViewId="0">
      <selection activeCell="J2" sqref="J2:U7"/>
    </sheetView>
  </sheetViews>
  <sheetFormatPr defaultRowHeight="14.45"/>
  <cols>
    <col min="1" max="1" width="12.7109375" bestFit="1" customWidth="1"/>
    <col min="3" max="3" width="10.28515625" bestFit="1" customWidth="1"/>
    <col min="5" max="5" width="10.5703125" bestFit="1" customWidth="1"/>
    <col min="9" max="9" width="12.7109375" bestFit="1" customWidth="1"/>
    <col min="10" max="10" width="11.5703125" bestFit="1" customWidth="1"/>
    <col min="11" max="11" width="9.85546875" bestFit="1" customWidth="1"/>
    <col min="12" max="13" width="11.5703125" bestFit="1" customWidth="1"/>
    <col min="14" max="14" width="9.85546875" bestFit="1" customWidth="1"/>
    <col min="15" max="15" width="10.5703125" bestFit="1" customWidth="1"/>
    <col min="16" max="16" width="10.7109375" bestFit="1" customWidth="1"/>
    <col min="17" max="17" width="6.28515625" bestFit="1" customWidth="1"/>
    <col min="18" max="18" width="10.5703125" bestFit="1" customWidth="1"/>
    <col min="19" max="19" width="10.7109375" bestFit="1" customWidth="1"/>
    <col min="20" max="20" width="6.28515625" bestFit="1" customWidth="1"/>
    <col min="21" max="21" width="10.5703125" bestFit="1" customWidth="1"/>
  </cols>
  <sheetData>
    <row r="1" spans="1:21" ht="15" thickBot="1">
      <c r="A1" t="s">
        <v>40</v>
      </c>
      <c r="B1" t="s">
        <v>1</v>
      </c>
      <c r="C1" t="s">
        <v>41</v>
      </c>
      <c r="D1" t="s">
        <v>42</v>
      </c>
      <c r="E1" t="s">
        <v>43</v>
      </c>
    </row>
    <row r="2" spans="1:21">
      <c r="A2">
        <v>23</v>
      </c>
      <c r="B2" t="s">
        <v>12</v>
      </c>
      <c r="J2" s="52" t="s">
        <v>12</v>
      </c>
      <c r="K2" s="52" t="s">
        <v>12</v>
      </c>
      <c r="L2" s="52" t="s">
        <v>12</v>
      </c>
      <c r="M2" s="52" t="s">
        <v>13</v>
      </c>
      <c r="N2" s="52" t="s">
        <v>13</v>
      </c>
      <c r="O2" s="52" t="s">
        <v>13</v>
      </c>
      <c r="P2" s="52" t="s">
        <v>14</v>
      </c>
      <c r="Q2" s="52" t="s">
        <v>14</v>
      </c>
      <c r="R2" s="52" t="s">
        <v>14</v>
      </c>
      <c r="S2" s="52" t="s">
        <v>16</v>
      </c>
      <c r="T2" s="52" t="s">
        <v>16</v>
      </c>
      <c r="U2" s="52" t="s">
        <v>16</v>
      </c>
    </row>
    <row r="3" spans="1:21">
      <c r="B3" t="s">
        <v>13</v>
      </c>
      <c r="I3" t="s">
        <v>40</v>
      </c>
      <c r="J3" s="47" t="s">
        <v>44</v>
      </c>
      <c r="K3" t="s">
        <v>45</v>
      </c>
      <c r="L3" s="48" t="s">
        <v>43</v>
      </c>
      <c r="M3" s="47" t="s">
        <v>44</v>
      </c>
      <c r="N3" t="s">
        <v>45</v>
      </c>
      <c r="O3" s="48" t="s">
        <v>43</v>
      </c>
      <c r="P3" s="47" t="s">
        <v>44</v>
      </c>
      <c r="Q3" t="s">
        <v>45</v>
      </c>
      <c r="R3" s="48" t="s">
        <v>43</v>
      </c>
      <c r="S3" s="47" t="s">
        <v>44</v>
      </c>
      <c r="T3" t="s">
        <v>45</v>
      </c>
      <c r="U3" s="48" t="s">
        <v>43</v>
      </c>
    </row>
    <row r="4" spans="1:21">
      <c r="B4" t="s">
        <v>14</v>
      </c>
      <c r="I4">
        <v>23</v>
      </c>
      <c r="J4" s="47"/>
      <c r="L4" s="48"/>
      <c r="M4" s="47"/>
      <c r="O4" s="48"/>
      <c r="P4" s="47"/>
      <c r="R4" s="48"/>
      <c r="S4" s="47">
        <v>88</v>
      </c>
      <c r="T4">
        <v>16</v>
      </c>
      <c r="U4" s="48">
        <v>80</v>
      </c>
    </row>
    <row r="5" spans="1:21">
      <c r="B5" t="s">
        <v>16</v>
      </c>
      <c r="C5">
        <v>88</v>
      </c>
      <c r="D5">
        <v>16</v>
      </c>
      <c r="E5">
        <v>80</v>
      </c>
      <c r="I5">
        <v>24</v>
      </c>
      <c r="J5" s="47">
        <v>100</v>
      </c>
      <c r="K5">
        <v>15</v>
      </c>
      <c r="L5" s="48">
        <v>79</v>
      </c>
      <c r="M5" s="47"/>
      <c r="O5" s="48"/>
      <c r="P5" s="47"/>
      <c r="R5" s="48"/>
      <c r="S5" s="47">
        <v>122</v>
      </c>
      <c r="T5">
        <v>28</v>
      </c>
      <c r="U5" s="48">
        <v>78</v>
      </c>
    </row>
    <row r="6" spans="1:21">
      <c r="I6">
        <v>25</v>
      </c>
      <c r="J6" s="47">
        <v>82</v>
      </c>
      <c r="K6">
        <v>83</v>
      </c>
      <c r="L6" s="48">
        <v>80</v>
      </c>
      <c r="M6" s="47"/>
      <c r="O6" s="48"/>
      <c r="P6" s="47"/>
      <c r="R6" s="48"/>
      <c r="S6" s="47">
        <v>106</v>
      </c>
      <c r="T6">
        <v>42</v>
      </c>
      <c r="U6" s="48">
        <v>78</v>
      </c>
    </row>
    <row r="7" spans="1:21" ht="15" thickBot="1">
      <c r="I7">
        <v>26</v>
      </c>
      <c r="J7" s="49">
        <v>54</v>
      </c>
      <c r="K7" s="50">
        <v>18</v>
      </c>
      <c r="L7" s="51">
        <v>82</v>
      </c>
      <c r="M7" s="49">
        <v>150</v>
      </c>
      <c r="N7" s="50">
        <v>20</v>
      </c>
      <c r="O7" s="51">
        <v>80</v>
      </c>
      <c r="P7" s="49"/>
      <c r="Q7" s="50"/>
      <c r="R7" s="51"/>
      <c r="S7" s="49">
        <v>60</v>
      </c>
      <c r="T7" s="50">
        <v>47</v>
      </c>
      <c r="U7" s="51">
        <v>80</v>
      </c>
    </row>
    <row r="8" spans="1:21">
      <c r="A8" t="s">
        <v>40</v>
      </c>
      <c r="B8" t="s">
        <v>1</v>
      </c>
      <c r="C8" t="s">
        <v>41</v>
      </c>
      <c r="D8" t="s">
        <v>42</v>
      </c>
      <c r="E8" t="s">
        <v>43</v>
      </c>
    </row>
    <row r="9" spans="1:21">
      <c r="A9">
        <v>24</v>
      </c>
      <c r="B9" t="s">
        <v>12</v>
      </c>
      <c r="C9">
        <v>100</v>
      </c>
      <c r="D9">
        <v>15</v>
      </c>
      <c r="F9">
        <v>79</v>
      </c>
    </row>
    <row r="10" spans="1:21">
      <c r="B10" t="s">
        <v>13</v>
      </c>
    </row>
    <row r="11" spans="1:21">
      <c r="B11" t="s">
        <v>14</v>
      </c>
    </row>
    <row r="12" spans="1:21">
      <c r="B12" t="s">
        <v>16</v>
      </c>
      <c r="C12">
        <v>122</v>
      </c>
      <c r="D12">
        <v>28</v>
      </c>
      <c r="F12">
        <v>78</v>
      </c>
    </row>
    <row r="15" spans="1:21">
      <c r="A15" t="s">
        <v>40</v>
      </c>
      <c r="B15" t="s">
        <v>1</v>
      </c>
      <c r="C15" t="s">
        <v>41</v>
      </c>
      <c r="D15" t="s">
        <v>42</v>
      </c>
      <c r="E15" t="s">
        <v>43</v>
      </c>
    </row>
    <row r="16" spans="1:21">
      <c r="A16">
        <v>25</v>
      </c>
      <c r="B16" t="s">
        <v>12</v>
      </c>
      <c r="C16">
        <v>82</v>
      </c>
      <c r="D16">
        <v>83</v>
      </c>
      <c r="F16">
        <v>80</v>
      </c>
    </row>
    <row r="17" spans="1:6">
      <c r="B17" t="s">
        <v>13</v>
      </c>
    </row>
    <row r="18" spans="1:6">
      <c r="B18" t="s">
        <v>14</v>
      </c>
    </row>
    <row r="19" spans="1:6">
      <c r="B19" t="s">
        <v>16</v>
      </c>
      <c r="C19">
        <v>106</v>
      </c>
      <c r="D19">
        <v>42</v>
      </c>
      <c r="F19">
        <v>78</v>
      </c>
    </row>
    <row r="22" spans="1:6">
      <c r="A22" t="s">
        <v>40</v>
      </c>
      <c r="B22" t="s">
        <v>1</v>
      </c>
      <c r="C22" t="s">
        <v>41</v>
      </c>
      <c r="D22" t="s">
        <v>42</v>
      </c>
      <c r="E22" t="s">
        <v>43</v>
      </c>
    </row>
    <row r="23" spans="1:6">
      <c r="A23">
        <v>26</v>
      </c>
      <c r="B23" t="s">
        <v>12</v>
      </c>
      <c r="C23">
        <v>54</v>
      </c>
      <c r="D23">
        <v>18</v>
      </c>
      <c r="F23">
        <v>82</v>
      </c>
    </row>
    <row r="24" spans="1:6">
      <c r="B24" t="s">
        <v>13</v>
      </c>
      <c r="C24">
        <v>150</v>
      </c>
      <c r="D24">
        <v>20</v>
      </c>
      <c r="F24">
        <v>80</v>
      </c>
    </row>
    <row r="25" spans="1:6">
      <c r="B25" t="s">
        <v>14</v>
      </c>
    </row>
    <row r="26" spans="1:6">
      <c r="B26" t="s">
        <v>16</v>
      </c>
      <c r="C26">
        <v>60</v>
      </c>
      <c r="D26">
        <v>47</v>
      </c>
      <c r="F26">
        <v>80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27B35B-DE42-4F2A-A82B-F2473CD6B7F5}"/>
</file>

<file path=customXml/itemProps2.xml><?xml version="1.0" encoding="utf-8"?>
<ds:datastoreItem xmlns:ds="http://schemas.openxmlformats.org/officeDocument/2006/customXml" ds:itemID="{8ED96A5F-663E-41FE-8489-1DDA477E881F}"/>
</file>

<file path=customXml/itemProps3.xml><?xml version="1.0" encoding="utf-8"?>
<ds:datastoreItem xmlns:ds="http://schemas.openxmlformats.org/officeDocument/2006/customXml" ds:itemID="{EEE141D4-F99B-4B86-A480-13DCFFEDE9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Terrence Burekeni</dc:creator>
  <cp:keywords/>
  <dc:description/>
  <cp:lastModifiedBy>Mukul Joshi</cp:lastModifiedBy>
  <cp:revision/>
  <dcterms:created xsi:type="dcterms:W3CDTF">2026-06-17T13:44:28Z</dcterms:created>
  <dcterms:modified xsi:type="dcterms:W3CDTF">2026-08-19T20:10:59Z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