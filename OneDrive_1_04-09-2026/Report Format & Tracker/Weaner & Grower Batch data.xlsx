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olors10.xml" ContentType="application/vnd.ms-office.chartcolorstyl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harts/style10.xml" ContentType="application/vnd.ms-office.chartstyle+xml"/>
  <Override PartName="/xl/charts/chart12.xml" ContentType="application/vnd.openxmlformats-officedocument.drawingml.chart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worksheets/sheet1.xml" ContentType="application/vnd.openxmlformats-officedocument.spreadsheetml.worksheet+xml"/>
  <Override PartName="/xl/charts/chart9.xml" ContentType="application/vnd.openxmlformats-officedocument.drawingml.chart+xml"/>
  <Override PartName="/xl/charts/style7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1.xml" ContentType="application/vnd.ms-office.chart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7.xml" ContentType="application/vnd.ms-office.chartcolorstyle+xml"/>
  <Override PartName="/xl/charts/style3.xml" ContentType="application/vnd.ms-office.chartstyle+xml"/>
  <Override PartName="/xl/charts/chart5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olors3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lcom\Dropbox\1) Triple C Pigs Production Folder\2. Weaner &amp; Grower Data sheets - good\Richlands\Weaner &amp; Grower Data sheets\"/>
    </mc:Choice>
  </mc:AlternateContent>
  <xr:revisionPtr revIDLastSave="0" documentId="13_ncr:1_{CD02CD58-9C3B-4088-BE39-AF002269498A}" xr6:coauthVersionLast="36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Weaner" sheetId="14" r:id="rId1"/>
    <sheet name="Grower" sheetId="13" r:id="rId2"/>
    <sheet name="Weaner Graphs" sheetId="15" r:id="rId3"/>
    <sheet name="Grower Graphs" sheetId="16" r:id="rId4"/>
  </sheets>
  <definedNames>
    <definedName name="_xlnm._FilterDatabase" localSheetId="1" hidden="1">Grower!$A$1:$I$1</definedName>
  </definedNames>
  <calcPr calcId="191029"/>
</workbook>
</file>

<file path=xl/calcChain.xml><?xml version="1.0" encoding="utf-8"?>
<calcChain xmlns="http://schemas.openxmlformats.org/spreadsheetml/2006/main">
  <c r="AM153" i="14" l="1"/>
  <c r="AL153" i="14"/>
  <c r="AK153" i="14"/>
  <c r="AM152" i="14"/>
  <c r="AL152" i="14"/>
  <c r="AK152" i="14"/>
  <c r="AM151" i="14"/>
  <c r="AL151" i="14"/>
  <c r="AK151" i="14"/>
  <c r="AM150" i="14"/>
  <c r="AL150" i="14"/>
  <c r="AK150" i="14"/>
  <c r="AM149" i="14"/>
  <c r="AL149" i="14"/>
  <c r="AK149" i="14"/>
  <c r="AM148" i="14"/>
  <c r="AL148" i="14"/>
  <c r="AK148" i="14"/>
  <c r="AM147" i="14"/>
  <c r="AL147" i="14"/>
  <c r="AK147" i="14"/>
  <c r="AM146" i="14"/>
  <c r="AL146" i="14"/>
  <c r="AK146" i="14"/>
  <c r="AM145" i="14"/>
  <c r="AL145" i="14"/>
  <c r="AK145" i="14"/>
  <c r="AM144" i="14"/>
  <c r="AL144" i="14"/>
  <c r="AK144" i="14"/>
  <c r="AM143" i="14"/>
  <c r="AL143" i="14"/>
  <c r="AK143" i="14"/>
  <c r="AM142" i="14"/>
  <c r="AL142" i="14"/>
  <c r="AK142" i="14"/>
  <c r="U155" i="14" l="1"/>
  <c r="V155" i="14"/>
  <c r="AG155" i="14"/>
  <c r="L155" i="14"/>
  <c r="S155" i="14"/>
  <c r="J155" i="14"/>
  <c r="H155" i="14"/>
  <c r="U154" i="14"/>
  <c r="AG154" i="14"/>
  <c r="T155" i="13" l="1"/>
  <c r="K155" i="13"/>
  <c r="M155" i="13" s="1"/>
  <c r="O155" i="13"/>
  <c r="R155" i="13"/>
  <c r="J155" i="13"/>
  <c r="G155" i="13"/>
  <c r="U155" i="13" l="1"/>
  <c r="Q155" i="13"/>
  <c r="N155" i="13"/>
  <c r="AG155" i="13"/>
  <c r="P155" i="13"/>
  <c r="T154" i="13"/>
  <c r="R154" i="13"/>
  <c r="K154" i="13"/>
  <c r="M154" i="13"/>
  <c r="N154" i="13"/>
  <c r="P154" i="13"/>
  <c r="O154" i="13"/>
  <c r="J154" i="13"/>
  <c r="G154" i="13"/>
  <c r="T153" i="13"/>
  <c r="K153" i="13"/>
  <c r="O153" i="13"/>
  <c r="R153" i="13"/>
  <c r="J153" i="13"/>
  <c r="G153" i="13"/>
  <c r="AI155" i="13" l="1"/>
  <c r="AI154" i="13"/>
  <c r="AG154" i="13"/>
  <c r="U154" i="13"/>
  <c r="Q154" i="13"/>
  <c r="M153" i="13"/>
  <c r="U153" i="13"/>
  <c r="P153" i="13"/>
  <c r="AG153" i="13"/>
  <c r="AI153" i="13" s="1"/>
  <c r="Q153" i="13"/>
  <c r="N153" i="13"/>
  <c r="U153" i="14"/>
  <c r="AG153" i="14"/>
  <c r="T152" i="13" l="1"/>
  <c r="R152" i="13"/>
  <c r="G152" i="13"/>
  <c r="J152" i="13"/>
  <c r="O152" i="13"/>
  <c r="K152" i="13"/>
  <c r="O151" i="13"/>
  <c r="R151" i="13"/>
  <c r="O150" i="13"/>
  <c r="R150" i="13"/>
  <c r="M152" i="13" l="1"/>
  <c r="P152" i="13"/>
  <c r="AG152" i="13"/>
  <c r="AI152" i="13" s="1"/>
  <c r="N152" i="13"/>
  <c r="U152" i="13"/>
  <c r="Q152" i="13"/>
  <c r="U152" i="14"/>
  <c r="AG152" i="14"/>
  <c r="AG151" i="14" l="1"/>
  <c r="U150" i="14" l="1"/>
  <c r="AG150" i="14"/>
  <c r="U149" i="14"/>
  <c r="AG149" i="14"/>
  <c r="R149" i="13" l="1"/>
  <c r="O149" i="13"/>
  <c r="O148" i="13"/>
  <c r="R148" i="13"/>
  <c r="U148" i="14" l="1"/>
  <c r="AG148" i="14"/>
  <c r="U147" i="14" l="1"/>
  <c r="AG147" i="14"/>
  <c r="O147" i="13" l="1"/>
  <c r="R147" i="13"/>
  <c r="U146" i="14" l="1"/>
  <c r="AG146" i="14"/>
  <c r="O146" i="13" l="1"/>
  <c r="R146" i="13"/>
  <c r="U145" i="14" l="1"/>
  <c r="AG145" i="14"/>
  <c r="V154" i="14" l="1"/>
  <c r="V153" i="14"/>
  <c r="V152" i="14"/>
  <c r="V151" i="14"/>
  <c r="V150" i="14"/>
  <c r="V149" i="14"/>
  <c r="V148" i="14"/>
  <c r="V147" i="14"/>
  <c r="V146" i="14"/>
  <c r="V145" i="14"/>
  <c r="J154" i="14"/>
  <c r="J153" i="14"/>
  <c r="J152" i="14"/>
  <c r="J151" i="14"/>
  <c r="J150" i="14"/>
  <c r="J149" i="14"/>
  <c r="J148" i="14"/>
  <c r="J147" i="14"/>
  <c r="J146" i="14"/>
  <c r="J145" i="14"/>
  <c r="H154" i="14"/>
  <c r="H153" i="14"/>
  <c r="H152" i="14"/>
  <c r="H151" i="14"/>
  <c r="H150" i="14"/>
  <c r="H149" i="14"/>
  <c r="H148" i="14"/>
  <c r="H147" i="14"/>
  <c r="H146" i="14"/>
  <c r="H145" i="14"/>
  <c r="L154" i="14"/>
  <c r="L153" i="14"/>
  <c r="L152" i="14"/>
  <c r="L151" i="14"/>
  <c r="L150" i="14"/>
  <c r="L149" i="14"/>
  <c r="L148" i="14"/>
  <c r="L147" i="14"/>
  <c r="L146" i="14"/>
  <c r="T155" i="14"/>
  <c r="U144" i="14"/>
  <c r="V144" i="14"/>
  <c r="AG144" i="14"/>
  <c r="J144" i="14"/>
  <c r="H144" i="14"/>
  <c r="T154" i="14" l="1"/>
  <c r="T153" i="14"/>
  <c r="T152" i="14"/>
  <c r="T151" i="14"/>
  <c r="T150" i="14"/>
  <c r="T149" i="14"/>
  <c r="T148" i="14"/>
  <c r="T147" i="14"/>
  <c r="T146" i="14"/>
  <c r="T145" i="14"/>
  <c r="S154" i="14"/>
  <c r="S153" i="14"/>
  <c r="S152" i="14"/>
  <c r="S151" i="14"/>
  <c r="S150" i="14"/>
  <c r="S149" i="14"/>
  <c r="S148" i="14"/>
  <c r="S147" i="14"/>
  <c r="S146" i="14"/>
  <c r="T144" i="14"/>
  <c r="O145" i="13"/>
  <c r="R145" i="13"/>
  <c r="O144" i="13" l="1"/>
  <c r="R144" i="13"/>
  <c r="U143" i="14" l="1"/>
  <c r="V143" i="14"/>
  <c r="AG143" i="14"/>
  <c r="J143" i="14"/>
  <c r="H143" i="14"/>
  <c r="T143" i="14" l="1"/>
  <c r="AG147" i="13"/>
  <c r="AG146" i="13"/>
  <c r="AG145" i="13"/>
  <c r="AG144" i="13"/>
  <c r="AG143" i="13"/>
  <c r="U147" i="13"/>
  <c r="U146" i="13"/>
  <c r="U145" i="13"/>
  <c r="U144" i="13"/>
  <c r="U143" i="13"/>
  <c r="T151" i="13"/>
  <c r="T150" i="13"/>
  <c r="T149" i="13"/>
  <c r="T148" i="13"/>
  <c r="T147" i="13"/>
  <c r="T146" i="13"/>
  <c r="T145" i="13"/>
  <c r="T144" i="13"/>
  <c r="T143" i="13"/>
  <c r="Q149" i="13"/>
  <c r="Q147" i="13"/>
  <c r="Q146" i="13"/>
  <c r="Q143" i="13"/>
  <c r="P147" i="13"/>
  <c r="P146" i="13"/>
  <c r="P145" i="13"/>
  <c r="P144" i="13"/>
  <c r="P143" i="13"/>
  <c r="N149" i="13"/>
  <c r="N146" i="13"/>
  <c r="N145" i="13"/>
  <c r="N144" i="13"/>
  <c r="N143" i="13"/>
  <c r="G151" i="13"/>
  <c r="G150" i="13"/>
  <c r="G149" i="13"/>
  <c r="G148" i="13"/>
  <c r="G147" i="13"/>
  <c r="G146" i="13"/>
  <c r="G145" i="13"/>
  <c r="G144" i="13"/>
  <c r="J151" i="13"/>
  <c r="J150" i="13"/>
  <c r="J149" i="13"/>
  <c r="J148" i="13"/>
  <c r="J147" i="13"/>
  <c r="J146" i="13"/>
  <c r="J145" i="13"/>
  <c r="J144" i="13"/>
  <c r="M149" i="13"/>
  <c r="M147" i="13"/>
  <c r="M146" i="13"/>
  <c r="M145" i="13"/>
  <c r="M144" i="13"/>
  <c r="M143" i="13"/>
  <c r="K151" i="13"/>
  <c r="K150" i="13"/>
  <c r="K149" i="13"/>
  <c r="K148" i="13"/>
  <c r="K147" i="13"/>
  <c r="K146" i="13"/>
  <c r="K145" i="13"/>
  <c r="K144" i="13"/>
  <c r="K143" i="13"/>
  <c r="O143" i="13"/>
  <c r="R143" i="13"/>
  <c r="J143" i="13"/>
  <c r="G143" i="13"/>
  <c r="AI143" i="13" l="1"/>
  <c r="AG151" i="13"/>
  <c r="Q150" i="13"/>
  <c r="P149" i="13"/>
  <c r="N148" i="13"/>
  <c r="N147" i="13"/>
  <c r="Q145" i="13"/>
  <c r="Q144" i="13"/>
  <c r="M151" i="13"/>
  <c r="N151" i="13"/>
  <c r="Q151" i="13"/>
  <c r="P151" i="13"/>
  <c r="U151" i="13"/>
  <c r="AI151" i="13"/>
  <c r="U150" i="13"/>
  <c r="P150" i="13"/>
  <c r="N150" i="13"/>
  <c r="AG150" i="13"/>
  <c r="M150" i="13"/>
  <c r="AG149" i="13"/>
  <c r="AI149" i="13" s="1"/>
  <c r="U149" i="13"/>
  <c r="Q148" i="13"/>
  <c r="U148" i="13"/>
  <c r="AG148" i="13"/>
  <c r="AI148" i="13" s="1"/>
  <c r="P148" i="13"/>
  <c r="M148" i="13"/>
  <c r="AI147" i="13"/>
  <c r="AI146" i="13"/>
  <c r="AI145" i="13"/>
  <c r="AI144" i="13"/>
  <c r="U142" i="14"/>
  <c r="V142" i="14"/>
  <c r="AG142" i="14"/>
  <c r="J142" i="14"/>
  <c r="H142" i="14"/>
  <c r="AI150" i="13" l="1"/>
  <c r="T142" i="14"/>
  <c r="T142" i="13" l="1"/>
  <c r="K142" i="13"/>
  <c r="M142" i="13"/>
  <c r="N142" i="13"/>
  <c r="P142" i="13"/>
  <c r="O142" i="13"/>
  <c r="R142" i="13"/>
  <c r="J142" i="13"/>
  <c r="X142" i="13"/>
  <c r="G142" i="13"/>
  <c r="AK142" i="13"/>
  <c r="AL142" i="13"/>
  <c r="AM142" i="13"/>
  <c r="AN142" i="13"/>
  <c r="AO142" i="13"/>
  <c r="Q142" i="13" l="1"/>
  <c r="U142" i="13"/>
  <c r="AG142" i="13"/>
  <c r="AI142" i="13"/>
  <c r="U141" i="14"/>
  <c r="V141" i="14"/>
  <c r="AG141" i="14"/>
  <c r="J141" i="14"/>
  <c r="H141" i="14"/>
  <c r="AM141" i="14" l="1"/>
  <c r="AL141" i="14"/>
  <c r="AK141" i="14"/>
  <c r="T141" i="13"/>
  <c r="K141" i="13"/>
  <c r="Q141" i="13"/>
  <c r="O141" i="13"/>
  <c r="R141" i="13"/>
  <c r="J141" i="13"/>
  <c r="X141" i="13"/>
  <c r="G141" i="13"/>
  <c r="AK141" i="13"/>
  <c r="AL141" i="13"/>
  <c r="AM141" i="13"/>
  <c r="AN141" i="13"/>
  <c r="AO141" i="13"/>
  <c r="M141" i="13" l="1"/>
  <c r="U141" i="13"/>
  <c r="P141" i="13"/>
  <c r="AG141" i="13"/>
  <c r="AI141" i="13"/>
  <c r="N141" i="13"/>
  <c r="U140" i="14" l="1"/>
  <c r="V140" i="14"/>
  <c r="AG140" i="14"/>
  <c r="J140" i="14"/>
  <c r="H140" i="14"/>
  <c r="AM140" i="14" l="1"/>
  <c r="AL140" i="14"/>
  <c r="AK140" i="14"/>
  <c r="T140" i="13"/>
  <c r="K140" i="13"/>
  <c r="O140" i="13"/>
  <c r="R140" i="13"/>
  <c r="J140" i="13"/>
  <c r="X140" i="13"/>
  <c r="G140" i="13"/>
  <c r="AK140" i="13"/>
  <c r="AL140" i="13"/>
  <c r="AM140" i="13"/>
  <c r="AN140" i="13"/>
  <c r="AO140" i="13"/>
  <c r="M140" i="13" l="1"/>
  <c r="AG140" i="13"/>
  <c r="N140" i="13"/>
  <c r="Q140" i="13"/>
  <c r="P140" i="13"/>
  <c r="AI140" i="13" l="1"/>
  <c r="U139" i="14"/>
  <c r="V139" i="14"/>
  <c r="AG139" i="14"/>
  <c r="L145" i="14"/>
  <c r="L144" i="14"/>
  <c r="L143" i="14"/>
  <c r="L142" i="14"/>
  <c r="L141" i="14"/>
  <c r="L140" i="14"/>
  <c r="L139" i="14"/>
  <c r="J139" i="14"/>
  <c r="H139" i="14"/>
  <c r="S145" i="14" l="1"/>
  <c r="S144" i="14"/>
  <c r="S143" i="14"/>
  <c r="S142" i="14"/>
  <c r="S141" i="14"/>
  <c r="S140" i="14"/>
  <c r="S139" i="14"/>
  <c r="AM139" i="14"/>
  <c r="AL139" i="14"/>
  <c r="AK139" i="14"/>
  <c r="T139" i="14"/>
  <c r="T139" i="13" l="1"/>
  <c r="K139" i="13"/>
  <c r="O139" i="13"/>
  <c r="R139" i="13"/>
  <c r="J139" i="13"/>
  <c r="X139" i="13"/>
  <c r="G139" i="13"/>
  <c r="AK139" i="13"/>
  <c r="AL139" i="13"/>
  <c r="AM139" i="13"/>
  <c r="AN139" i="13"/>
  <c r="AO139" i="13"/>
  <c r="M139" i="13" l="1"/>
  <c r="P139" i="13"/>
  <c r="U139" i="13"/>
  <c r="Q139" i="13"/>
  <c r="N139" i="13"/>
  <c r="AG139" i="13"/>
  <c r="AI139" i="13"/>
  <c r="U138" i="14"/>
  <c r="V138" i="14"/>
  <c r="AG138" i="14"/>
  <c r="L138" i="14"/>
  <c r="J138" i="14"/>
  <c r="H138" i="14"/>
  <c r="S138" i="14" l="1"/>
  <c r="AL138" i="14"/>
  <c r="AM138" i="14"/>
  <c r="AK138" i="14"/>
  <c r="T138" i="14"/>
  <c r="T138" i="13"/>
  <c r="U138" i="13"/>
  <c r="R138" i="13"/>
  <c r="K138" i="13"/>
  <c r="N138" i="13"/>
  <c r="P138" i="13"/>
  <c r="O138" i="13"/>
  <c r="J138" i="13"/>
  <c r="X138" i="13"/>
  <c r="G138" i="13"/>
  <c r="AK138" i="13"/>
  <c r="AL138" i="13"/>
  <c r="AM138" i="13"/>
  <c r="AN138" i="13"/>
  <c r="AO138" i="13"/>
  <c r="T137" i="13"/>
  <c r="K137" i="13"/>
  <c r="O137" i="13"/>
  <c r="R137" i="13"/>
  <c r="J137" i="13"/>
  <c r="X137" i="13"/>
  <c r="G137" i="13"/>
  <c r="AK137" i="13"/>
  <c r="AL137" i="13"/>
  <c r="AM137" i="13"/>
  <c r="AN137" i="13"/>
  <c r="AO137" i="13"/>
  <c r="M138" i="13" l="1"/>
  <c r="Q138" i="13"/>
  <c r="AG138" i="13"/>
  <c r="AI138" i="13"/>
  <c r="Q137" i="13"/>
  <c r="U137" i="13"/>
  <c r="M137" i="13"/>
  <c r="N137" i="13"/>
  <c r="P137" i="13"/>
  <c r="AG137" i="13"/>
  <c r="AI137" i="13"/>
  <c r="AG137" i="14"/>
  <c r="J137" i="14"/>
  <c r="H137" i="14"/>
  <c r="AL137" i="14" l="1"/>
  <c r="AK137" i="14"/>
  <c r="AM137" i="14"/>
  <c r="AG136" i="14"/>
  <c r="J136" i="14"/>
  <c r="H136" i="14"/>
  <c r="AK136" i="14" l="1"/>
  <c r="AM136" i="14"/>
  <c r="AL136" i="14"/>
  <c r="T136" i="13"/>
  <c r="K136" i="13"/>
  <c r="M136" i="13"/>
  <c r="N136" i="13"/>
  <c r="P136" i="13"/>
  <c r="O136" i="13"/>
  <c r="R136" i="13"/>
  <c r="J136" i="13"/>
  <c r="X136" i="13"/>
  <c r="G136" i="13"/>
  <c r="AK136" i="13"/>
  <c r="AL136" i="13"/>
  <c r="AM136" i="13"/>
  <c r="AN136" i="13"/>
  <c r="AO136" i="13"/>
  <c r="Q136" i="13" l="1"/>
  <c r="U136" i="13"/>
  <c r="AG136" i="13"/>
  <c r="AI136" i="13" s="1"/>
  <c r="AG135" i="14"/>
  <c r="J135" i="14"/>
  <c r="H135" i="14"/>
  <c r="AG134" i="14"/>
  <c r="J134" i="14"/>
  <c r="H134" i="14"/>
  <c r="AK135" i="14" l="1"/>
  <c r="AM135" i="14"/>
  <c r="AL135" i="14"/>
  <c r="AK134" i="14"/>
  <c r="AL134" i="14"/>
  <c r="AM134" i="14"/>
  <c r="T135" i="13"/>
  <c r="K135" i="13"/>
  <c r="O135" i="13"/>
  <c r="R135" i="13"/>
  <c r="J135" i="13"/>
  <c r="X135" i="13"/>
  <c r="G135" i="13"/>
  <c r="AK135" i="13"/>
  <c r="AL135" i="13"/>
  <c r="AM135" i="13"/>
  <c r="AN135" i="13"/>
  <c r="AO135" i="13"/>
  <c r="N135" i="13" l="1"/>
  <c r="AG135" i="13"/>
  <c r="M135" i="13"/>
  <c r="Q135" i="13"/>
  <c r="P135" i="13"/>
  <c r="T134" i="13"/>
  <c r="K134" i="13"/>
  <c r="O134" i="13"/>
  <c r="R134" i="13"/>
  <c r="J134" i="13"/>
  <c r="X134" i="13"/>
  <c r="G134" i="13"/>
  <c r="AK134" i="13"/>
  <c r="AL134" i="13"/>
  <c r="AM134" i="13"/>
  <c r="AN134" i="13"/>
  <c r="AO134" i="13"/>
  <c r="AI135" i="13" l="1"/>
  <c r="P134" i="13"/>
  <c r="Q134" i="13"/>
  <c r="U134" i="13"/>
  <c r="N134" i="13"/>
  <c r="AG134" i="13"/>
  <c r="AI134" i="13" s="1"/>
  <c r="M134" i="13"/>
  <c r="AG133" i="14"/>
  <c r="J133" i="14"/>
  <c r="H133" i="14"/>
  <c r="AG132" i="14"/>
  <c r="J132" i="14"/>
  <c r="H132" i="14"/>
  <c r="AL133" i="14" l="1"/>
  <c r="AM133" i="14"/>
  <c r="AK133" i="14"/>
  <c r="AL132" i="14"/>
  <c r="AM132" i="14"/>
  <c r="AK132" i="14"/>
  <c r="T133" i="13"/>
  <c r="K133" i="13"/>
  <c r="O133" i="13"/>
  <c r="R133" i="13"/>
  <c r="J133" i="13"/>
  <c r="X133" i="13"/>
  <c r="G133" i="13"/>
  <c r="AK133" i="13"/>
  <c r="AL133" i="13"/>
  <c r="AM133" i="13"/>
  <c r="AN133" i="13"/>
  <c r="AO133" i="13"/>
  <c r="Q133" i="13" l="1"/>
  <c r="U133" i="13"/>
  <c r="AG133" i="13"/>
  <c r="P133" i="13"/>
  <c r="N133" i="13"/>
  <c r="M133" i="13"/>
  <c r="T132" i="13"/>
  <c r="K132" i="13"/>
  <c r="O132" i="13"/>
  <c r="R132" i="13"/>
  <c r="J132" i="13"/>
  <c r="X132" i="13"/>
  <c r="G132" i="13"/>
  <c r="AK132" i="13"/>
  <c r="AL132" i="13"/>
  <c r="AM132" i="13"/>
  <c r="AN132" i="13"/>
  <c r="AO132" i="13"/>
  <c r="AI133" i="13" l="1"/>
  <c r="M132" i="13"/>
  <c r="U132" i="13"/>
  <c r="N132" i="13"/>
  <c r="P132" i="13"/>
  <c r="AG132" i="13"/>
  <c r="AI132" i="13" s="1"/>
  <c r="Q132" i="13"/>
  <c r="AG131" i="14"/>
  <c r="V137" i="14"/>
  <c r="V136" i="14"/>
  <c r="V135" i="14"/>
  <c r="V134" i="14"/>
  <c r="V133" i="14"/>
  <c r="V132" i="14"/>
  <c r="V131" i="14"/>
  <c r="U131" i="14"/>
  <c r="U137" i="14"/>
  <c r="U136" i="14"/>
  <c r="U135" i="14"/>
  <c r="U134" i="14"/>
  <c r="U133" i="14"/>
  <c r="U132" i="14"/>
  <c r="T137" i="14"/>
  <c r="T136" i="14"/>
  <c r="T135" i="14"/>
  <c r="T134" i="14"/>
  <c r="T133" i="14"/>
  <c r="T132" i="14"/>
  <c r="L137" i="14"/>
  <c r="L136" i="14"/>
  <c r="L135" i="14"/>
  <c r="L134" i="14"/>
  <c r="L133" i="14"/>
  <c r="L132" i="14"/>
  <c r="L131" i="14"/>
  <c r="J131" i="14"/>
  <c r="H131" i="14"/>
  <c r="S137" i="14" l="1"/>
  <c r="S136" i="14"/>
  <c r="S135" i="14"/>
  <c r="S134" i="14"/>
  <c r="S133" i="14"/>
  <c r="S132" i="14"/>
  <c r="S131" i="14"/>
  <c r="AM131" i="14"/>
  <c r="AK131" i="14"/>
  <c r="AL131" i="14"/>
  <c r="T131" i="14"/>
  <c r="T131" i="13"/>
  <c r="R131" i="13"/>
  <c r="K131" i="13"/>
  <c r="M131" i="13"/>
  <c r="N131" i="13"/>
  <c r="P131" i="13"/>
  <c r="O131" i="13"/>
  <c r="J131" i="13"/>
  <c r="X131" i="13"/>
  <c r="G131" i="13"/>
  <c r="AK131" i="13"/>
  <c r="AL131" i="13"/>
  <c r="AM131" i="13"/>
  <c r="AN131" i="13"/>
  <c r="AO131" i="13"/>
  <c r="U131" i="13" l="1"/>
  <c r="Q131" i="13"/>
  <c r="AG131" i="13"/>
  <c r="AI131" i="13" s="1"/>
  <c r="U130" i="14"/>
  <c r="V130" i="14"/>
  <c r="AG130" i="14"/>
  <c r="J130" i="14"/>
  <c r="H130" i="14"/>
  <c r="AK130" i="14" l="1"/>
  <c r="AL130" i="14"/>
  <c r="AM130" i="14"/>
  <c r="T130" i="14"/>
  <c r="T130" i="13"/>
  <c r="K130" i="13"/>
  <c r="M130" i="13"/>
  <c r="N130" i="13"/>
  <c r="P130" i="13"/>
  <c r="O130" i="13"/>
  <c r="R130" i="13"/>
  <c r="J130" i="13"/>
  <c r="X130" i="13"/>
  <c r="G130" i="13"/>
  <c r="AK130" i="13"/>
  <c r="AL130" i="13"/>
  <c r="AM130" i="13"/>
  <c r="AN130" i="13"/>
  <c r="AO130" i="13"/>
  <c r="Q130" i="13" l="1"/>
  <c r="U130" i="13"/>
  <c r="AG130" i="13"/>
  <c r="AI130" i="13"/>
  <c r="U129" i="14"/>
  <c r="V129" i="14"/>
  <c r="AG129" i="14"/>
  <c r="J129" i="14"/>
  <c r="H129" i="14"/>
  <c r="AL129" i="14" l="1"/>
  <c r="AK129" i="14"/>
  <c r="AM129" i="14"/>
  <c r="T129" i="14"/>
  <c r="T129" i="13" l="1"/>
  <c r="K129" i="13"/>
  <c r="O129" i="13"/>
  <c r="R129" i="13"/>
  <c r="J129" i="13"/>
  <c r="X129" i="13"/>
  <c r="G129" i="13"/>
  <c r="AK129" i="13"/>
  <c r="AL129" i="13"/>
  <c r="AM129" i="13"/>
  <c r="AN129" i="13"/>
  <c r="AO129" i="13"/>
  <c r="Q129" i="13" l="1"/>
  <c r="AG129" i="13"/>
  <c r="P129" i="13"/>
  <c r="U129" i="13"/>
  <c r="N129" i="13"/>
  <c r="M129" i="13"/>
  <c r="AG126" i="14"/>
  <c r="AG127" i="14"/>
  <c r="Z128" i="14"/>
  <c r="Z127" i="14"/>
  <c r="Z126" i="14"/>
  <c r="Z125" i="14"/>
  <c r="Z124" i="14"/>
  <c r="Z123" i="14"/>
  <c r="Z122" i="14"/>
  <c r="Z121" i="14"/>
  <c r="Z120" i="14"/>
  <c r="Z119" i="14"/>
  <c r="Z118" i="14"/>
  <c r="Z117" i="14"/>
  <c r="Z116" i="14"/>
  <c r="Z115" i="14"/>
  <c r="AI129" i="13" l="1"/>
  <c r="U128" i="14"/>
  <c r="V128" i="14"/>
  <c r="AG128" i="14"/>
  <c r="L130" i="14"/>
  <c r="L129" i="14"/>
  <c r="L128" i="14"/>
  <c r="J128" i="14"/>
  <c r="H128" i="14"/>
  <c r="S130" i="14" l="1"/>
  <c r="S129" i="14"/>
  <c r="S128" i="14"/>
  <c r="AM128" i="14"/>
  <c r="AL128" i="14"/>
  <c r="AK128" i="14"/>
  <c r="T128" i="14"/>
  <c r="T128" i="13"/>
  <c r="K128" i="13"/>
  <c r="M128" i="13"/>
  <c r="N128" i="13"/>
  <c r="P128" i="13"/>
  <c r="O128" i="13"/>
  <c r="R128" i="13"/>
  <c r="J128" i="13"/>
  <c r="X128" i="13"/>
  <c r="G128" i="13"/>
  <c r="AK128" i="13"/>
  <c r="AL128" i="13"/>
  <c r="AM128" i="13"/>
  <c r="AN128" i="13"/>
  <c r="AO128" i="13"/>
  <c r="Q128" i="13" l="1"/>
  <c r="U128" i="13"/>
  <c r="AG128" i="13"/>
  <c r="AI128" i="13" s="1"/>
  <c r="U127" i="14"/>
  <c r="V127" i="14"/>
  <c r="L127" i="14"/>
  <c r="J127" i="14"/>
  <c r="H127" i="14"/>
  <c r="S127" i="14" l="1"/>
  <c r="AM127" i="14"/>
  <c r="AL127" i="14"/>
  <c r="AK127" i="14"/>
  <c r="T127" i="14"/>
  <c r="S126" i="14"/>
  <c r="T126" i="14"/>
  <c r="U126" i="14"/>
  <c r="V126" i="14"/>
  <c r="L126" i="14"/>
  <c r="J126" i="14"/>
  <c r="H126" i="14"/>
  <c r="AM126" i="14" l="1"/>
  <c r="AL126" i="14"/>
  <c r="AK126" i="14"/>
  <c r="T127" i="13"/>
  <c r="O127" i="13"/>
  <c r="K127" i="13"/>
  <c r="R127" i="13"/>
  <c r="J127" i="13"/>
  <c r="X127" i="13"/>
  <c r="G127" i="13"/>
  <c r="AK127" i="13"/>
  <c r="AL127" i="13"/>
  <c r="AM127" i="13"/>
  <c r="AN127" i="13"/>
  <c r="AO127" i="13"/>
  <c r="M127" i="13" l="1"/>
  <c r="AG127" i="13"/>
  <c r="AI127" i="13" s="1"/>
  <c r="P127" i="13"/>
  <c r="Q127" i="13"/>
  <c r="N127" i="13"/>
  <c r="T126" i="13"/>
  <c r="T125" i="13"/>
  <c r="R126" i="13"/>
  <c r="R125" i="13"/>
  <c r="O126" i="13"/>
  <c r="O125" i="13"/>
  <c r="K126" i="13"/>
  <c r="K125" i="13"/>
  <c r="J126" i="13"/>
  <c r="X126" i="13"/>
  <c r="G126" i="13"/>
  <c r="AK126" i="13"/>
  <c r="AL126" i="13"/>
  <c r="AM126" i="13"/>
  <c r="AN126" i="13"/>
  <c r="AO126" i="13"/>
  <c r="Q126" i="13" l="1"/>
  <c r="M126" i="13"/>
  <c r="U126" i="13"/>
  <c r="P126" i="13"/>
  <c r="N126" i="13"/>
  <c r="AG126" i="13"/>
  <c r="AI126" i="13" s="1"/>
  <c r="Q125" i="13"/>
  <c r="P125" i="13"/>
  <c r="U125" i="13"/>
  <c r="N125" i="13"/>
  <c r="M125" i="13"/>
  <c r="AG125" i="13"/>
  <c r="AI125" i="13" s="1"/>
  <c r="U125" i="14"/>
  <c r="V125" i="14"/>
  <c r="AG125" i="14"/>
  <c r="L125" i="14"/>
  <c r="J125" i="14"/>
  <c r="H125" i="14"/>
  <c r="S125" i="14" l="1"/>
  <c r="AM125" i="14"/>
  <c r="AL125" i="14"/>
  <c r="AK125" i="14"/>
  <c r="T125" i="14"/>
  <c r="X125" i="13"/>
  <c r="G125" i="13"/>
  <c r="AK125" i="13"/>
  <c r="AL125" i="13"/>
  <c r="AM125" i="13"/>
  <c r="AN125" i="13"/>
  <c r="AO125" i="13"/>
  <c r="V124" i="14" l="1"/>
  <c r="U124" i="14"/>
  <c r="AG124" i="14"/>
  <c r="L124" i="14"/>
  <c r="J124" i="14"/>
  <c r="H124" i="14"/>
  <c r="S124" i="14" l="1"/>
  <c r="AM124" i="14"/>
  <c r="AL124" i="14"/>
  <c r="AK124" i="14"/>
  <c r="T124" i="14"/>
  <c r="T124" i="13"/>
  <c r="O124" i="13" l="1"/>
  <c r="K124" i="13"/>
  <c r="AG124" i="13" l="1"/>
  <c r="AI124" i="13" s="1"/>
  <c r="M124" i="13"/>
  <c r="U124" i="13"/>
  <c r="N124" i="13"/>
  <c r="P124" i="13"/>
  <c r="Q124" i="13"/>
  <c r="R124" i="13"/>
  <c r="X124" i="13"/>
  <c r="G124" i="13"/>
  <c r="AK124" i="13"/>
  <c r="AL124" i="13"/>
  <c r="AM124" i="13"/>
  <c r="AN124" i="13"/>
  <c r="AO124" i="13"/>
  <c r="V123" i="14" l="1"/>
  <c r="U123" i="14"/>
  <c r="AG123" i="14"/>
  <c r="L123" i="14"/>
  <c r="J123" i="14"/>
  <c r="H123" i="14"/>
  <c r="S123" i="14" l="1"/>
  <c r="AM123" i="14"/>
  <c r="AL123" i="14"/>
  <c r="AK123" i="14"/>
  <c r="T123" i="14"/>
  <c r="U122" i="14"/>
  <c r="V122" i="14"/>
  <c r="AG122" i="14"/>
  <c r="L122" i="14"/>
  <c r="J122" i="14"/>
  <c r="H122" i="14"/>
  <c r="S122" i="14" l="1"/>
  <c r="AM122" i="14"/>
  <c r="AL122" i="14"/>
  <c r="AK122" i="14"/>
  <c r="T122" i="14"/>
  <c r="T123" i="13"/>
  <c r="K123" i="13"/>
  <c r="M123" i="13"/>
  <c r="N123" i="13"/>
  <c r="P123" i="13"/>
  <c r="O123" i="13"/>
  <c r="R123" i="13"/>
  <c r="X123" i="13"/>
  <c r="G123" i="13"/>
  <c r="AK123" i="13"/>
  <c r="AL123" i="13"/>
  <c r="AM123" i="13"/>
  <c r="AN123" i="13"/>
  <c r="AO123" i="13"/>
  <c r="T122" i="13"/>
  <c r="K122" i="13"/>
  <c r="O122" i="13"/>
  <c r="R122" i="13"/>
  <c r="X122" i="13"/>
  <c r="G122" i="13"/>
  <c r="AK122" i="13"/>
  <c r="AL122" i="13"/>
  <c r="AM122" i="13"/>
  <c r="AN122" i="13"/>
  <c r="AO122" i="13"/>
  <c r="AG123" i="13" l="1"/>
  <c r="AI123" i="13" s="1"/>
  <c r="M122" i="13"/>
  <c r="AG122" i="13"/>
  <c r="Q123" i="13"/>
  <c r="U123" i="13"/>
  <c r="U122" i="13"/>
  <c r="Q122" i="13"/>
  <c r="P122" i="13"/>
  <c r="N122" i="13"/>
  <c r="U121" i="14"/>
  <c r="V121" i="14"/>
  <c r="AG121" i="14"/>
  <c r="L121" i="14"/>
  <c r="J121" i="14"/>
  <c r="H121" i="14"/>
  <c r="AI122" i="13" l="1"/>
  <c r="S121" i="14"/>
  <c r="AM121" i="14"/>
  <c r="AL121" i="14"/>
  <c r="AK121" i="14"/>
  <c r="T121" i="14"/>
  <c r="T121" i="13"/>
  <c r="K121" i="13"/>
  <c r="P121" i="13"/>
  <c r="O121" i="13"/>
  <c r="R121" i="13"/>
  <c r="X121" i="13"/>
  <c r="G121" i="13"/>
  <c r="AK121" i="13"/>
  <c r="AL121" i="13"/>
  <c r="AM121" i="13"/>
  <c r="AN121" i="13"/>
  <c r="AO121" i="13"/>
  <c r="Q121" i="13" l="1"/>
  <c r="AG121" i="13"/>
  <c r="AI121" i="13"/>
  <c r="N121" i="13"/>
  <c r="U121" i="13"/>
  <c r="M121" i="13"/>
  <c r="AG120" i="14"/>
  <c r="T120" i="13" l="1"/>
  <c r="K120" i="13"/>
  <c r="O120" i="13"/>
  <c r="Q120" i="13" l="1"/>
  <c r="AG120" i="13"/>
  <c r="U120" i="13"/>
  <c r="P120" i="13"/>
  <c r="N120" i="13"/>
  <c r="M120" i="13"/>
  <c r="AI120" i="13" l="1"/>
  <c r="R120" i="13"/>
  <c r="X120" i="13"/>
  <c r="G120" i="13"/>
  <c r="AK120" i="13"/>
  <c r="AL120" i="13"/>
  <c r="AM120" i="13"/>
  <c r="AN120" i="13"/>
  <c r="AO120" i="13"/>
  <c r="AG119" i="14" l="1"/>
  <c r="T119" i="13" l="1"/>
  <c r="K119" i="13"/>
  <c r="N119" i="13"/>
  <c r="P119" i="13"/>
  <c r="O119" i="13"/>
  <c r="R119" i="13"/>
  <c r="X119" i="13"/>
  <c r="G119" i="13"/>
  <c r="AK119" i="13"/>
  <c r="AL119" i="13"/>
  <c r="AM119" i="13"/>
  <c r="AN119" i="13"/>
  <c r="AO119" i="13"/>
  <c r="Q119" i="13" l="1"/>
  <c r="AG119" i="13"/>
  <c r="AI119" i="13"/>
  <c r="U119" i="13"/>
  <c r="M119" i="13"/>
  <c r="AG118" i="14"/>
  <c r="T118" i="13" l="1"/>
  <c r="K118" i="13"/>
  <c r="M118" i="13"/>
  <c r="N118" i="13"/>
  <c r="O118" i="13"/>
  <c r="R118" i="13"/>
  <c r="X118" i="13"/>
  <c r="J125" i="13"/>
  <c r="J124" i="13"/>
  <c r="J123" i="13"/>
  <c r="J122" i="13"/>
  <c r="J121" i="13"/>
  <c r="J120" i="13"/>
  <c r="J119" i="13"/>
  <c r="G118" i="13"/>
  <c r="AK118" i="13"/>
  <c r="AL118" i="13"/>
  <c r="AM118" i="13"/>
  <c r="AN118" i="13"/>
  <c r="AO118" i="13"/>
  <c r="J117" i="13"/>
  <c r="X117" i="13"/>
  <c r="AK117" i="13"/>
  <c r="AL117" i="13"/>
  <c r="AM117" i="13"/>
  <c r="AN117" i="13"/>
  <c r="AO117" i="13"/>
  <c r="P118" i="13" l="1"/>
  <c r="U118" i="13"/>
  <c r="AG118" i="13"/>
  <c r="AI118" i="13" s="1"/>
  <c r="Q118" i="13"/>
  <c r="AG117" i="14"/>
  <c r="AG116" i="14" l="1"/>
  <c r="X116" i="13" l="1"/>
  <c r="AK116" i="13"/>
  <c r="AL116" i="13"/>
  <c r="AM116" i="13"/>
  <c r="AN116" i="13"/>
  <c r="AO116" i="13"/>
  <c r="AG115" i="14" l="1"/>
  <c r="X115" i="13" l="1"/>
  <c r="AK115" i="13"/>
  <c r="AL115" i="13"/>
  <c r="AM115" i="13"/>
  <c r="AN115" i="13"/>
  <c r="AO115" i="13"/>
  <c r="AG114" i="14" l="1"/>
  <c r="Z114" i="14"/>
  <c r="V120" i="14"/>
  <c r="V119" i="14"/>
  <c r="V118" i="14"/>
  <c r="V117" i="14"/>
  <c r="V114" i="14"/>
  <c r="U120" i="14"/>
  <c r="U119" i="14"/>
  <c r="U118" i="14"/>
  <c r="U117" i="14"/>
  <c r="U116" i="14"/>
  <c r="U115" i="14"/>
  <c r="U114" i="14"/>
  <c r="L120" i="14"/>
  <c r="L119" i="14"/>
  <c r="L118" i="14"/>
  <c r="L117" i="14"/>
  <c r="L116" i="14"/>
  <c r="L115" i="14"/>
  <c r="L114" i="14"/>
  <c r="J120" i="14"/>
  <c r="J119" i="14"/>
  <c r="J118" i="14"/>
  <c r="J117" i="14"/>
  <c r="J116" i="14"/>
  <c r="J115" i="14"/>
  <c r="J114" i="14"/>
  <c r="H120" i="14"/>
  <c r="H119" i="14"/>
  <c r="H118" i="14"/>
  <c r="H117" i="14"/>
  <c r="H116" i="14"/>
  <c r="H115" i="14"/>
  <c r="H114" i="14"/>
  <c r="S120" i="14" l="1"/>
  <c r="S119" i="14"/>
  <c r="S118" i="14"/>
  <c r="S117" i="14"/>
  <c r="S116" i="14"/>
  <c r="S115" i="14"/>
  <c r="S114" i="14"/>
  <c r="AM120" i="14"/>
  <c r="AL120" i="14"/>
  <c r="AK120" i="14"/>
  <c r="AM119" i="14"/>
  <c r="AL119" i="14"/>
  <c r="AK119" i="14"/>
  <c r="AL118" i="14"/>
  <c r="AK118" i="14"/>
  <c r="AM118" i="14"/>
  <c r="AM117" i="14"/>
  <c r="AL117" i="14"/>
  <c r="AK117" i="14"/>
  <c r="AM116" i="14"/>
  <c r="AL116" i="14"/>
  <c r="AK116" i="14"/>
  <c r="AK115" i="14"/>
  <c r="T120" i="14"/>
  <c r="T119" i="14"/>
  <c r="T118" i="14"/>
  <c r="T117" i="14"/>
  <c r="T116" i="14"/>
  <c r="T115" i="14"/>
  <c r="T114" i="14"/>
  <c r="AM114" i="14"/>
  <c r="AL114" i="14"/>
  <c r="AK114" i="14"/>
  <c r="AL115" i="14"/>
  <c r="AM115" i="14"/>
  <c r="X114" i="13"/>
  <c r="AK114" i="13"/>
  <c r="AL114" i="13"/>
  <c r="AM114" i="13"/>
  <c r="AN114" i="13"/>
  <c r="AO114" i="13"/>
  <c r="X113" i="13"/>
  <c r="AK113" i="13"/>
  <c r="AL113" i="13"/>
  <c r="AM113" i="13"/>
  <c r="AN113" i="13"/>
  <c r="AO113" i="13"/>
  <c r="U113" i="14" l="1"/>
  <c r="V113" i="14"/>
  <c r="AG113" i="14"/>
  <c r="L113" i="14"/>
  <c r="Z113" i="14"/>
  <c r="J113" i="14"/>
  <c r="H113" i="14"/>
  <c r="S113" i="14" l="1"/>
  <c r="AK113" i="14"/>
  <c r="T113" i="14"/>
  <c r="AL113" i="14"/>
  <c r="AM113" i="14"/>
  <c r="V112" i="14"/>
  <c r="AG112" i="14"/>
  <c r="Z112" i="14"/>
  <c r="X112" i="13" l="1"/>
  <c r="T117" i="13"/>
  <c r="T116" i="13"/>
  <c r="T115" i="13"/>
  <c r="T114" i="13"/>
  <c r="T113" i="13"/>
  <c r="T112" i="13"/>
  <c r="R117" i="13"/>
  <c r="R116" i="13"/>
  <c r="R115" i="13"/>
  <c r="R114" i="13"/>
  <c r="R113" i="13"/>
  <c r="R112" i="13"/>
  <c r="O117" i="13"/>
  <c r="O116" i="13"/>
  <c r="O115" i="13"/>
  <c r="O114" i="13"/>
  <c r="O113" i="13"/>
  <c r="O112" i="13"/>
  <c r="K117" i="13"/>
  <c r="K116" i="13"/>
  <c r="K115" i="13"/>
  <c r="K114" i="13"/>
  <c r="K113" i="13"/>
  <c r="K112" i="13"/>
  <c r="J116" i="13"/>
  <c r="J115" i="13"/>
  <c r="J114" i="13"/>
  <c r="J113" i="13"/>
  <c r="J112" i="13"/>
  <c r="G117" i="13"/>
  <c r="G116" i="13"/>
  <c r="G115" i="13"/>
  <c r="G114" i="13"/>
  <c r="G113" i="13"/>
  <c r="G112" i="13"/>
  <c r="AK112" i="13"/>
  <c r="AL112" i="13"/>
  <c r="AM112" i="13"/>
  <c r="AN112" i="13"/>
  <c r="AO112" i="13"/>
  <c r="AI117" i="13" l="1"/>
  <c r="AG117" i="13"/>
  <c r="P113" i="13"/>
  <c r="N117" i="13"/>
  <c r="Q113" i="13"/>
  <c r="AG113" i="13"/>
  <c r="AI113" i="13" s="1"/>
  <c r="M112" i="13"/>
  <c r="AG112" i="13"/>
  <c r="P114" i="13"/>
  <c r="AG114" i="13"/>
  <c r="AI114" i="13" s="1"/>
  <c r="U116" i="13"/>
  <c r="AG116" i="13"/>
  <c r="AI116" i="13" s="1"/>
  <c r="U115" i="13"/>
  <c r="AG115" i="13"/>
  <c r="P117" i="13"/>
  <c r="M113" i="13"/>
  <c r="Q117" i="13"/>
  <c r="M115" i="13"/>
  <c r="U113" i="13"/>
  <c r="M117" i="13"/>
  <c r="U117" i="13"/>
  <c r="P116" i="13"/>
  <c r="M116" i="13"/>
  <c r="Q116" i="13"/>
  <c r="N116" i="13"/>
  <c r="N115" i="13"/>
  <c r="Q115" i="13"/>
  <c r="P115" i="13"/>
  <c r="U114" i="13"/>
  <c r="N114" i="13"/>
  <c r="Q114" i="13"/>
  <c r="M114" i="13"/>
  <c r="N113" i="13"/>
  <c r="Q112" i="13"/>
  <c r="N112" i="13"/>
  <c r="P112" i="13"/>
  <c r="U112" i="13"/>
  <c r="V111" i="14"/>
  <c r="AG111" i="14"/>
  <c r="Z111" i="14"/>
  <c r="AI112" i="13" l="1"/>
  <c r="AI115" i="13"/>
  <c r="O111" i="13"/>
  <c r="J111" i="13"/>
  <c r="X111" i="13"/>
  <c r="G111" i="13"/>
  <c r="AK111" i="13"/>
  <c r="AL111" i="13"/>
  <c r="AM111" i="13"/>
  <c r="AN111" i="13"/>
  <c r="AO111" i="13"/>
  <c r="V110" i="14" l="1"/>
  <c r="AG110" i="14"/>
  <c r="Z110" i="14"/>
  <c r="O110" i="13" l="1"/>
  <c r="J110" i="13"/>
  <c r="X110" i="13"/>
  <c r="G110" i="13"/>
  <c r="AK110" i="13"/>
  <c r="AL110" i="13"/>
  <c r="AM110" i="13"/>
  <c r="AN110" i="13"/>
  <c r="AO110" i="13"/>
  <c r="O109" i="13"/>
  <c r="J109" i="13"/>
  <c r="X109" i="13"/>
  <c r="G109" i="13"/>
  <c r="AK109" i="13"/>
  <c r="AL109" i="13"/>
  <c r="AM109" i="13"/>
  <c r="AN109" i="13"/>
  <c r="AO109" i="13"/>
  <c r="V109" i="14" l="1"/>
  <c r="AG109" i="14"/>
  <c r="Z109" i="14"/>
  <c r="V108" i="14" l="1"/>
  <c r="AG108" i="14"/>
  <c r="Z108" i="14"/>
  <c r="O108" i="13" l="1"/>
  <c r="J108" i="13"/>
  <c r="X108" i="13"/>
  <c r="G108" i="13"/>
  <c r="AK108" i="13"/>
  <c r="AL108" i="13"/>
  <c r="AM108" i="13"/>
  <c r="AN108" i="13"/>
  <c r="AO108" i="13"/>
  <c r="O107" i="13" l="1"/>
  <c r="J107" i="13"/>
  <c r="X107" i="13"/>
  <c r="G107" i="13"/>
  <c r="AK107" i="13"/>
  <c r="AL107" i="13"/>
  <c r="AM107" i="13"/>
  <c r="AN107" i="13"/>
  <c r="AO107" i="13"/>
  <c r="U108" i="14" l="1"/>
  <c r="U112" i="14"/>
  <c r="U111" i="14"/>
  <c r="U110" i="14"/>
  <c r="U109" i="14"/>
  <c r="J112" i="14"/>
  <c r="J111" i="14"/>
  <c r="J110" i="14"/>
  <c r="J109" i="14"/>
  <c r="J108" i="14"/>
  <c r="J107" i="14"/>
  <c r="J106" i="14"/>
  <c r="L112" i="14"/>
  <c r="L111" i="14"/>
  <c r="L110" i="14"/>
  <c r="L109" i="14"/>
  <c r="L108" i="14"/>
  <c r="H112" i="14"/>
  <c r="H111" i="14"/>
  <c r="H110" i="14"/>
  <c r="H109" i="14"/>
  <c r="H108" i="14"/>
  <c r="H107" i="14"/>
  <c r="H106" i="14"/>
  <c r="S112" i="14" l="1"/>
  <c r="S111" i="14"/>
  <c r="S110" i="14"/>
  <c r="S109" i="14"/>
  <c r="S108" i="14"/>
  <c r="T112" i="14"/>
  <c r="T111" i="14"/>
  <c r="T110" i="14"/>
  <c r="T109" i="14"/>
  <c r="T108" i="14"/>
  <c r="T111" i="13"/>
  <c r="T110" i="13"/>
  <c r="T109" i="13"/>
  <c r="T108" i="13"/>
  <c r="T107" i="13"/>
  <c r="T106" i="13"/>
  <c r="R111" i="13"/>
  <c r="R110" i="13"/>
  <c r="R109" i="13"/>
  <c r="R108" i="13"/>
  <c r="R107" i="13"/>
  <c r="K111" i="13"/>
  <c r="K110" i="13"/>
  <c r="K109" i="13"/>
  <c r="K108" i="13"/>
  <c r="K107" i="13"/>
  <c r="K106" i="13"/>
  <c r="O106" i="13"/>
  <c r="R106" i="13"/>
  <c r="J106" i="13"/>
  <c r="X106" i="13"/>
  <c r="G106" i="13"/>
  <c r="AK106" i="13"/>
  <c r="AL106" i="13"/>
  <c r="AM106" i="13"/>
  <c r="AN106" i="13"/>
  <c r="AO106" i="13"/>
  <c r="P111" i="13" l="1"/>
  <c r="Q111" i="13"/>
  <c r="M108" i="13"/>
  <c r="AG106" i="13"/>
  <c r="M106" i="13"/>
  <c r="N106" i="13"/>
  <c r="N108" i="13"/>
  <c r="N111" i="13"/>
  <c r="M111" i="13"/>
  <c r="P106" i="13"/>
  <c r="P107" i="13"/>
  <c r="AG107" i="13"/>
  <c r="P108" i="13"/>
  <c r="AG108" i="13"/>
  <c r="AI108" i="13" s="1"/>
  <c r="Q106" i="13"/>
  <c r="U109" i="13"/>
  <c r="AG109" i="13"/>
  <c r="Q108" i="13"/>
  <c r="M110" i="13"/>
  <c r="AG110" i="13"/>
  <c r="U111" i="13"/>
  <c r="AG111" i="13"/>
  <c r="AI111" i="13" s="1"/>
  <c r="U106" i="13"/>
  <c r="N110" i="13"/>
  <c r="P110" i="13"/>
  <c r="Q110" i="13"/>
  <c r="U110" i="13"/>
  <c r="P109" i="13"/>
  <c r="M109" i="13"/>
  <c r="Q109" i="13"/>
  <c r="N109" i="13"/>
  <c r="U108" i="13"/>
  <c r="N107" i="13"/>
  <c r="Q107" i="13"/>
  <c r="M107" i="13"/>
  <c r="U107" i="13"/>
  <c r="J105" i="14"/>
  <c r="H105" i="14"/>
  <c r="AI106" i="13" l="1"/>
  <c r="AI109" i="13"/>
  <c r="AI110" i="13"/>
  <c r="AI107" i="13"/>
  <c r="T105" i="13"/>
  <c r="K105" i="13"/>
  <c r="O105" i="13"/>
  <c r="R105" i="13"/>
  <c r="J105" i="13"/>
  <c r="X105" i="13"/>
  <c r="G105" i="13"/>
  <c r="AK105" i="13"/>
  <c r="AL105" i="13"/>
  <c r="AM105" i="13"/>
  <c r="AN105" i="13"/>
  <c r="AO105" i="13"/>
  <c r="N105" i="13" l="1"/>
  <c r="P105" i="13"/>
  <c r="U105" i="13"/>
  <c r="Q105" i="13"/>
  <c r="M105" i="13"/>
  <c r="AG105" i="13"/>
  <c r="AI105" i="13" l="1"/>
  <c r="J104" i="14"/>
  <c r="H104" i="14"/>
  <c r="AM42" i="14" l="1"/>
  <c r="AM104" i="14"/>
  <c r="AM105" i="14"/>
  <c r="AM106" i="14"/>
  <c r="AM107" i="14"/>
  <c r="AM108" i="14"/>
  <c r="AM109" i="14"/>
  <c r="AM110" i="14"/>
  <c r="AM111" i="14"/>
  <c r="AM112" i="14"/>
  <c r="AL42" i="14"/>
  <c r="AL104" i="14"/>
  <c r="AL105" i="14"/>
  <c r="AL106" i="14"/>
  <c r="AL107" i="14"/>
  <c r="AL108" i="14"/>
  <c r="AL109" i="14"/>
  <c r="AL110" i="14"/>
  <c r="AL111" i="14"/>
  <c r="AL112" i="14"/>
  <c r="AK42" i="14"/>
  <c r="AK104" i="14"/>
  <c r="AK105" i="14"/>
  <c r="AK106" i="14"/>
  <c r="AK107" i="14"/>
  <c r="AK108" i="14"/>
  <c r="AK109" i="14"/>
  <c r="AK110" i="14"/>
  <c r="AK111" i="14"/>
  <c r="AK112" i="14"/>
  <c r="AG103" i="14"/>
  <c r="AK102" i="13" l="1"/>
  <c r="AL102" i="13"/>
  <c r="AM102" i="13"/>
  <c r="AN102" i="13"/>
  <c r="AO102" i="13"/>
  <c r="AK103" i="13"/>
  <c r="AL103" i="13"/>
  <c r="AM103" i="13"/>
  <c r="AN103" i="13"/>
  <c r="AO103" i="13"/>
  <c r="AK104" i="13"/>
  <c r="AL104" i="13"/>
  <c r="AM104" i="13"/>
  <c r="AN104" i="13"/>
  <c r="AO104" i="13"/>
  <c r="AO3" i="13"/>
  <c r="AO4" i="13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7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2" i="13"/>
  <c r="AN9" i="13"/>
  <c r="AN3" i="13"/>
  <c r="AN4" i="13"/>
  <c r="AN5" i="13"/>
  <c r="AN6" i="13"/>
  <c r="AN7" i="13"/>
  <c r="AN8" i="13"/>
  <c r="AN10" i="13"/>
  <c r="AN11" i="13"/>
  <c r="AN12" i="13"/>
  <c r="AN13" i="13"/>
  <c r="AN14" i="13"/>
  <c r="AN15" i="13"/>
  <c r="AN16" i="13"/>
  <c r="AN17" i="13"/>
  <c r="AN18" i="13"/>
  <c r="AN19" i="13"/>
  <c r="AN20" i="13"/>
  <c r="AN21" i="13"/>
  <c r="AN22" i="13"/>
  <c r="AN23" i="13"/>
  <c r="AN24" i="13"/>
  <c r="AN25" i="13"/>
  <c r="AN26" i="13"/>
  <c r="AN27" i="13"/>
  <c r="AN28" i="13"/>
  <c r="AN29" i="13"/>
  <c r="AN30" i="13"/>
  <c r="AN31" i="13"/>
  <c r="AN32" i="13"/>
  <c r="AN33" i="13"/>
  <c r="AN34" i="13"/>
  <c r="AN35" i="13"/>
  <c r="AN36" i="13"/>
  <c r="AN37" i="13"/>
  <c r="AN38" i="13"/>
  <c r="AN39" i="13"/>
  <c r="AN40" i="13"/>
  <c r="AN41" i="13"/>
  <c r="AN42" i="13"/>
  <c r="AN43" i="13"/>
  <c r="AN44" i="13"/>
  <c r="AN45" i="13"/>
  <c r="AN46" i="13"/>
  <c r="AN47" i="13"/>
  <c r="AN48" i="13"/>
  <c r="AN49" i="13"/>
  <c r="AN50" i="13"/>
  <c r="AN51" i="13"/>
  <c r="AN52" i="13"/>
  <c r="AN53" i="13"/>
  <c r="AN54" i="13"/>
  <c r="AN55" i="13"/>
  <c r="AN56" i="13"/>
  <c r="AN57" i="13"/>
  <c r="AN58" i="13"/>
  <c r="AN59" i="13"/>
  <c r="AN60" i="13"/>
  <c r="AN61" i="13"/>
  <c r="AN62" i="13"/>
  <c r="AN63" i="13"/>
  <c r="AN64" i="13"/>
  <c r="AN65" i="13"/>
  <c r="AN66" i="13"/>
  <c r="AN67" i="13"/>
  <c r="AN68" i="13"/>
  <c r="AN69" i="13"/>
  <c r="AN70" i="13"/>
  <c r="AN71" i="13"/>
  <c r="AN72" i="13"/>
  <c r="AN73" i="13"/>
  <c r="AN74" i="13"/>
  <c r="AN75" i="13"/>
  <c r="AN76" i="13"/>
  <c r="AN77" i="13"/>
  <c r="AN78" i="13"/>
  <c r="AN79" i="13"/>
  <c r="AN80" i="13"/>
  <c r="AN81" i="13"/>
  <c r="AN82" i="13"/>
  <c r="AN83" i="13"/>
  <c r="AN84" i="13"/>
  <c r="AN85" i="13"/>
  <c r="AN86" i="13"/>
  <c r="AN87" i="13"/>
  <c r="AN88" i="13"/>
  <c r="AN89" i="13"/>
  <c r="AN90" i="13"/>
  <c r="AN91" i="13"/>
  <c r="AN92" i="13"/>
  <c r="AN93" i="13"/>
  <c r="AN94" i="13"/>
  <c r="AN95" i="13"/>
  <c r="AN96" i="13"/>
  <c r="AN97" i="13"/>
  <c r="AN98" i="13"/>
  <c r="AN99" i="13"/>
  <c r="AN100" i="13"/>
  <c r="AN101" i="13"/>
  <c r="AN2" i="13"/>
  <c r="AM3" i="13"/>
  <c r="AM4" i="13"/>
  <c r="AM5" i="13"/>
  <c r="AM6" i="13"/>
  <c r="AM7" i="13"/>
  <c r="AM8" i="13"/>
  <c r="AM9" i="13"/>
  <c r="AM10" i="13"/>
  <c r="AM11" i="13"/>
  <c r="AM12" i="13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AM33" i="13"/>
  <c r="AM34" i="13"/>
  <c r="AM35" i="13"/>
  <c r="AM36" i="13"/>
  <c r="AM37" i="13"/>
  <c r="AM38" i="13"/>
  <c r="AM39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M64" i="13"/>
  <c r="AM65" i="13"/>
  <c r="AM66" i="13"/>
  <c r="AM67" i="13"/>
  <c r="AM68" i="13"/>
  <c r="AM69" i="13"/>
  <c r="AM70" i="13"/>
  <c r="AM71" i="13"/>
  <c r="AM72" i="13"/>
  <c r="AM73" i="13"/>
  <c r="AM74" i="13"/>
  <c r="AM75" i="13"/>
  <c r="AM76" i="13"/>
  <c r="AM77" i="13"/>
  <c r="AM78" i="13"/>
  <c r="AM79" i="13"/>
  <c r="AM80" i="13"/>
  <c r="AM81" i="13"/>
  <c r="AM82" i="13"/>
  <c r="AM83" i="13"/>
  <c r="AM84" i="13"/>
  <c r="AM85" i="13"/>
  <c r="AM86" i="13"/>
  <c r="AM87" i="13"/>
  <c r="AM88" i="13"/>
  <c r="AM89" i="13"/>
  <c r="AM90" i="13"/>
  <c r="AM91" i="13"/>
  <c r="AM92" i="13"/>
  <c r="AM93" i="13"/>
  <c r="AM94" i="13"/>
  <c r="AM95" i="13"/>
  <c r="AM96" i="13"/>
  <c r="AM97" i="13"/>
  <c r="AM98" i="13"/>
  <c r="AM99" i="13"/>
  <c r="AM100" i="13"/>
  <c r="AM101" i="13"/>
  <c r="AM2" i="13"/>
  <c r="AL3" i="13"/>
  <c r="AL4" i="13"/>
  <c r="AL5" i="13"/>
  <c r="AL6" i="13"/>
  <c r="AL7" i="13"/>
  <c r="AL8" i="13"/>
  <c r="AL9" i="13"/>
  <c r="AL10" i="13"/>
  <c r="AL11" i="13"/>
  <c r="AL12" i="13"/>
  <c r="AL13" i="13"/>
  <c r="AL14" i="13"/>
  <c r="AL15" i="13"/>
  <c r="AL16" i="13"/>
  <c r="AL17" i="13"/>
  <c r="AL18" i="13"/>
  <c r="AL19" i="13"/>
  <c r="AL20" i="13"/>
  <c r="AL21" i="13"/>
  <c r="AL22" i="13"/>
  <c r="AL23" i="13"/>
  <c r="AL24" i="13"/>
  <c r="AL25" i="13"/>
  <c r="AL26" i="13"/>
  <c r="AL27" i="13"/>
  <c r="AL28" i="13"/>
  <c r="AL29" i="13"/>
  <c r="AL30" i="13"/>
  <c r="AL31" i="13"/>
  <c r="AL32" i="13"/>
  <c r="AL33" i="13"/>
  <c r="AL34" i="13"/>
  <c r="AL35" i="13"/>
  <c r="AL36" i="13"/>
  <c r="AL37" i="13"/>
  <c r="AL38" i="13"/>
  <c r="AL39" i="13"/>
  <c r="AL40" i="13"/>
  <c r="AL41" i="13"/>
  <c r="AL42" i="13"/>
  <c r="AL43" i="13"/>
  <c r="AL44" i="13"/>
  <c r="AL45" i="13"/>
  <c r="AL46" i="13"/>
  <c r="AL47" i="13"/>
  <c r="AL48" i="13"/>
  <c r="AL49" i="13"/>
  <c r="AL50" i="13"/>
  <c r="AL51" i="13"/>
  <c r="AL52" i="13"/>
  <c r="AL53" i="13"/>
  <c r="AL54" i="13"/>
  <c r="AL55" i="13"/>
  <c r="AL56" i="13"/>
  <c r="AL57" i="13"/>
  <c r="AL58" i="13"/>
  <c r="AL59" i="13"/>
  <c r="AL60" i="13"/>
  <c r="AL61" i="13"/>
  <c r="AL62" i="13"/>
  <c r="AL63" i="13"/>
  <c r="AL64" i="13"/>
  <c r="AL65" i="13"/>
  <c r="AL66" i="13"/>
  <c r="AL67" i="13"/>
  <c r="AL68" i="13"/>
  <c r="AL69" i="13"/>
  <c r="AL70" i="13"/>
  <c r="AL71" i="13"/>
  <c r="AL72" i="13"/>
  <c r="AL73" i="13"/>
  <c r="AL74" i="13"/>
  <c r="AL75" i="13"/>
  <c r="AL76" i="13"/>
  <c r="AL77" i="13"/>
  <c r="AL78" i="13"/>
  <c r="AL79" i="13"/>
  <c r="AL80" i="13"/>
  <c r="AL81" i="13"/>
  <c r="AL82" i="13"/>
  <c r="AL83" i="13"/>
  <c r="AL84" i="13"/>
  <c r="AL85" i="13"/>
  <c r="AL86" i="13"/>
  <c r="AL87" i="13"/>
  <c r="AL88" i="13"/>
  <c r="AL89" i="13"/>
  <c r="AL90" i="13"/>
  <c r="AL91" i="13"/>
  <c r="AL92" i="13"/>
  <c r="AL93" i="13"/>
  <c r="AL94" i="13"/>
  <c r="AL95" i="13"/>
  <c r="AL96" i="13"/>
  <c r="AL97" i="13"/>
  <c r="AL98" i="13"/>
  <c r="AL99" i="13"/>
  <c r="AL100" i="13"/>
  <c r="AL101" i="13"/>
  <c r="AL2" i="13"/>
  <c r="AK3" i="13"/>
  <c r="AK4" i="13"/>
  <c r="AK5" i="13"/>
  <c r="AK6" i="13"/>
  <c r="AK7" i="13"/>
  <c r="AK8" i="13"/>
  <c r="AK9" i="13"/>
  <c r="AK10" i="13"/>
  <c r="AK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39" i="13"/>
  <c r="AK40" i="13"/>
  <c r="AK41" i="13"/>
  <c r="AK42" i="13"/>
  <c r="AK43" i="13"/>
  <c r="AK44" i="13"/>
  <c r="AK45" i="13"/>
  <c r="AK46" i="13"/>
  <c r="AK47" i="13"/>
  <c r="AK48" i="13"/>
  <c r="AK49" i="13"/>
  <c r="AK50" i="13"/>
  <c r="AK51" i="13"/>
  <c r="AK52" i="13"/>
  <c r="AK53" i="13"/>
  <c r="AK54" i="13"/>
  <c r="AK55" i="13"/>
  <c r="AK56" i="13"/>
  <c r="AK57" i="13"/>
  <c r="AK58" i="13"/>
  <c r="AK59" i="13"/>
  <c r="AK60" i="13"/>
  <c r="AK61" i="13"/>
  <c r="AK62" i="13"/>
  <c r="AK63" i="13"/>
  <c r="AK64" i="13"/>
  <c r="AK65" i="13"/>
  <c r="AK66" i="13"/>
  <c r="AK67" i="13"/>
  <c r="AK68" i="13"/>
  <c r="AK69" i="13"/>
  <c r="AK70" i="13"/>
  <c r="AK71" i="13"/>
  <c r="AK72" i="13"/>
  <c r="AK73" i="13"/>
  <c r="AK74" i="13"/>
  <c r="AK75" i="13"/>
  <c r="AK76" i="13"/>
  <c r="AK77" i="13"/>
  <c r="AK78" i="13"/>
  <c r="AK79" i="13"/>
  <c r="AK80" i="13"/>
  <c r="AK81" i="13"/>
  <c r="AK82" i="13"/>
  <c r="AK83" i="13"/>
  <c r="AK84" i="13"/>
  <c r="AK85" i="13"/>
  <c r="AK86" i="13"/>
  <c r="AK87" i="13"/>
  <c r="AK88" i="13"/>
  <c r="AK89" i="13"/>
  <c r="AK90" i="13"/>
  <c r="AK91" i="13"/>
  <c r="AK92" i="13"/>
  <c r="AK93" i="13"/>
  <c r="AK94" i="13"/>
  <c r="AK95" i="13"/>
  <c r="AK96" i="13"/>
  <c r="AK97" i="13"/>
  <c r="AK98" i="13"/>
  <c r="AK99" i="13"/>
  <c r="AK100" i="13"/>
  <c r="AK101" i="13"/>
  <c r="AK2" i="13"/>
  <c r="J103" i="14" l="1"/>
  <c r="H103" i="14"/>
  <c r="AL103" i="14" l="1"/>
  <c r="AM103" i="14"/>
  <c r="AK103" i="14"/>
  <c r="X103" i="13"/>
  <c r="X104" i="13"/>
  <c r="AG107" i="14" l="1"/>
  <c r="AG106" i="14"/>
  <c r="AG105" i="14"/>
  <c r="AG104" i="14"/>
  <c r="Z107" i="14"/>
  <c r="Z106" i="14"/>
  <c r="Z105" i="14"/>
  <c r="Z104" i="14"/>
  <c r="Z103" i="14"/>
  <c r="AG102" i="14"/>
  <c r="AG101" i="14"/>
  <c r="AG100" i="14"/>
  <c r="AG99" i="14"/>
  <c r="AG98" i="14"/>
  <c r="AG97" i="14"/>
  <c r="AG96" i="14"/>
  <c r="AG95" i="14"/>
  <c r="AG94" i="14"/>
  <c r="AG93" i="14"/>
  <c r="AG92" i="14"/>
  <c r="AG91" i="14"/>
  <c r="R102" i="13" l="1"/>
  <c r="V102" i="14"/>
  <c r="V107" i="14"/>
  <c r="V106" i="14"/>
  <c r="V105" i="14"/>
  <c r="V104" i="14"/>
  <c r="V103" i="14"/>
  <c r="U107" i="14"/>
  <c r="U106" i="14"/>
  <c r="U105" i="14"/>
  <c r="U104" i="14"/>
  <c r="U103" i="14"/>
  <c r="U102" i="14"/>
  <c r="T107" i="14"/>
  <c r="T106" i="14"/>
  <c r="T105" i="14"/>
  <c r="T104" i="14"/>
  <c r="T103" i="14"/>
  <c r="L107" i="14"/>
  <c r="L106" i="14"/>
  <c r="L105" i="14"/>
  <c r="L104" i="14"/>
  <c r="L103" i="14"/>
  <c r="L102" i="14"/>
  <c r="Z102" i="14"/>
  <c r="J102" i="14"/>
  <c r="H102" i="14"/>
  <c r="S107" i="14" l="1"/>
  <c r="S106" i="14"/>
  <c r="S105" i="14"/>
  <c r="S104" i="14"/>
  <c r="S103" i="14"/>
  <c r="S102" i="14"/>
  <c r="T102" i="14"/>
  <c r="AL102" i="14"/>
  <c r="AK102" i="14"/>
  <c r="AM102" i="14"/>
  <c r="X102" i="13"/>
  <c r="U101" i="14" l="1"/>
  <c r="V101" i="14"/>
  <c r="L101" i="14"/>
  <c r="Z101" i="14"/>
  <c r="J101" i="14"/>
  <c r="H101" i="14"/>
  <c r="S101" i="14" l="1"/>
  <c r="T101" i="14"/>
  <c r="AM101" i="14"/>
  <c r="AK101" i="14"/>
  <c r="AL101" i="14"/>
  <c r="X101" i="13"/>
  <c r="U100" i="14" l="1"/>
  <c r="V100" i="14"/>
  <c r="L100" i="14"/>
  <c r="Z100" i="14"/>
  <c r="J100" i="14"/>
  <c r="H100" i="14"/>
  <c r="S100" i="14" l="1"/>
  <c r="T100" i="14"/>
  <c r="AM100" i="14"/>
  <c r="AK100" i="14"/>
  <c r="AL100" i="14"/>
  <c r="X100" i="13"/>
  <c r="Z99" i="14" l="1"/>
  <c r="G104" i="13" l="1"/>
  <c r="G103" i="13"/>
  <c r="G102" i="13"/>
  <c r="G101" i="13"/>
  <c r="G100" i="13"/>
  <c r="J104" i="13"/>
  <c r="J103" i="13"/>
  <c r="J102" i="13"/>
  <c r="J101" i="13"/>
  <c r="J100" i="13"/>
  <c r="K104" i="13"/>
  <c r="K103" i="13"/>
  <c r="K102" i="13"/>
  <c r="K101" i="13"/>
  <c r="K100" i="13"/>
  <c r="O104" i="13"/>
  <c r="O103" i="13"/>
  <c r="O102" i="13"/>
  <c r="O101" i="13"/>
  <c r="O100" i="13"/>
  <c r="R104" i="13"/>
  <c r="R103" i="13"/>
  <c r="R101" i="13"/>
  <c r="R100" i="13"/>
  <c r="T104" i="13"/>
  <c r="T103" i="13"/>
  <c r="T102" i="13"/>
  <c r="T101" i="13"/>
  <c r="T100" i="13"/>
  <c r="T99" i="13"/>
  <c r="X99" i="13"/>
  <c r="P104" i="13" l="1"/>
  <c r="AG104" i="13"/>
  <c r="AI104" i="13" s="1"/>
  <c r="Q103" i="13"/>
  <c r="AG103" i="13"/>
  <c r="Q104" i="13"/>
  <c r="P103" i="13"/>
  <c r="P100" i="13"/>
  <c r="AG100" i="13"/>
  <c r="N101" i="13"/>
  <c r="AG101" i="13"/>
  <c r="N102" i="13"/>
  <c r="AG102" i="13"/>
  <c r="Q102" i="13"/>
  <c r="U103" i="13"/>
  <c r="U104" i="13"/>
  <c r="N103" i="13"/>
  <c r="N104" i="13"/>
  <c r="M103" i="13"/>
  <c r="M104" i="13"/>
  <c r="M102" i="13"/>
  <c r="U102" i="13"/>
  <c r="P102" i="13"/>
  <c r="Q101" i="13"/>
  <c r="M101" i="13"/>
  <c r="P101" i="13"/>
  <c r="Q100" i="13"/>
  <c r="M100" i="13"/>
  <c r="U101" i="13"/>
  <c r="N100" i="13"/>
  <c r="U100" i="13"/>
  <c r="Z98" i="14"/>
  <c r="AI101" i="13" l="1"/>
  <c r="AI100" i="13"/>
  <c r="AI103" i="13"/>
  <c r="AI102" i="13"/>
  <c r="T98" i="13"/>
  <c r="X98" i="13" l="1"/>
  <c r="Z97" i="14" l="1"/>
  <c r="T97" i="13" l="1"/>
  <c r="X97" i="13"/>
  <c r="Z96" i="14" l="1"/>
  <c r="X96" i="13" l="1"/>
  <c r="Z95" i="14" l="1"/>
  <c r="X95" i="13" l="1"/>
  <c r="G95" i="13"/>
  <c r="T96" i="13"/>
  <c r="T95" i="13"/>
  <c r="R99" i="13"/>
  <c r="R98" i="13"/>
  <c r="R97" i="13"/>
  <c r="R96" i="13"/>
  <c r="R95" i="13"/>
  <c r="O99" i="13"/>
  <c r="O98" i="13"/>
  <c r="O97" i="13"/>
  <c r="O96" i="13"/>
  <c r="O95" i="13"/>
  <c r="K99" i="13"/>
  <c r="K98" i="13"/>
  <c r="K97" i="13"/>
  <c r="K96" i="13"/>
  <c r="K95" i="13"/>
  <c r="J99" i="13"/>
  <c r="J98" i="13"/>
  <c r="J97" i="13"/>
  <c r="J96" i="13"/>
  <c r="J95" i="13"/>
  <c r="G99" i="13"/>
  <c r="G98" i="13"/>
  <c r="G97" i="13"/>
  <c r="G96" i="13"/>
  <c r="AG99" i="13" l="1"/>
  <c r="AG98" i="13"/>
  <c r="P95" i="13"/>
  <c r="N95" i="13"/>
  <c r="AG95" i="13"/>
  <c r="M96" i="13"/>
  <c r="AG96" i="13"/>
  <c r="U97" i="13"/>
  <c r="AG97" i="13"/>
  <c r="AI95" i="13"/>
  <c r="N98" i="13"/>
  <c r="U98" i="13"/>
  <c r="P99" i="13"/>
  <c r="U99" i="13"/>
  <c r="M95" i="13"/>
  <c r="M99" i="13"/>
  <c r="Q99" i="13"/>
  <c r="N99" i="13"/>
  <c r="M98" i="13"/>
  <c r="Q98" i="13"/>
  <c r="P98" i="13"/>
  <c r="M97" i="13"/>
  <c r="P97" i="13"/>
  <c r="N97" i="13"/>
  <c r="Q97" i="13"/>
  <c r="P96" i="13"/>
  <c r="N96" i="13"/>
  <c r="Q96" i="13"/>
  <c r="U96" i="13"/>
  <c r="U95" i="13"/>
  <c r="Q95" i="13"/>
  <c r="V99" i="14"/>
  <c r="V98" i="14"/>
  <c r="V97" i="14"/>
  <c r="V96" i="14"/>
  <c r="V95" i="14"/>
  <c r="V94" i="14"/>
  <c r="U99" i="14"/>
  <c r="U98" i="14"/>
  <c r="U97" i="14"/>
  <c r="U96" i="14"/>
  <c r="U95" i="14"/>
  <c r="U94" i="14"/>
  <c r="L99" i="14"/>
  <c r="L98" i="14"/>
  <c r="L97" i="14"/>
  <c r="L96" i="14"/>
  <c r="L95" i="14"/>
  <c r="L94" i="14"/>
  <c r="Z94" i="14"/>
  <c r="J99" i="14"/>
  <c r="J98" i="14"/>
  <c r="J97" i="14"/>
  <c r="J96" i="14"/>
  <c r="J95" i="14"/>
  <c r="J94" i="14"/>
  <c r="H99" i="14"/>
  <c r="H98" i="14"/>
  <c r="H97" i="14"/>
  <c r="H96" i="14"/>
  <c r="H95" i="14"/>
  <c r="H94" i="14"/>
  <c r="AI99" i="13" l="1"/>
  <c r="AI98" i="13"/>
  <c r="S99" i="14"/>
  <c r="S98" i="14"/>
  <c r="S97" i="14"/>
  <c r="S96" i="14"/>
  <c r="S95" i="14"/>
  <c r="S94" i="14"/>
  <c r="T99" i="14"/>
  <c r="T98" i="14"/>
  <c r="T97" i="14"/>
  <c r="T96" i="14"/>
  <c r="T95" i="14"/>
  <c r="T94" i="14"/>
  <c r="AM94" i="14"/>
  <c r="AK94" i="14"/>
  <c r="AL94" i="14"/>
  <c r="AK96" i="14"/>
  <c r="AM96" i="14"/>
  <c r="AL96" i="14"/>
  <c r="AL99" i="14"/>
  <c r="AK99" i="14"/>
  <c r="AM99" i="14"/>
  <c r="AK95" i="14"/>
  <c r="AM95" i="14"/>
  <c r="AL95" i="14"/>
  <c r="AK97" i="14"/>
  <c r="AL97" i="14"/>
  <c r="AM97" i="14"/>
  <c r="AL98" i="14"/>
  <c r="AK98" i="14"/>
  <c r="AM98" i="14"/>
  <c r="AI96" i="13"/>
  <c r="AI97" i="13"/>
  <c r="U93" i="14"/>
  <c r="V93" i="14"/>
  <c r="Z93" i="14"/>
  <c r="L93" i="14"/>
  <c r="J93" i="14"/>
  <c r="H93" i="14"/>
  <c r="S93" i="14" l="1"/>
  <c r="T93" i="14"/>
  <c r="AM93" i="14"/>
  <c r="AL93" i="14"/>
  <c r="AK93" i="14"/>
  <c r="T94" i="13"/>
  <c r="J94" i="13"/>
  <c r="X94" i="13" l="1"/>
  <c r="G94" i="13"/>
  <c r="T93" i="13"/>
  <c r="X93" i="13"/>
  <c r="R94" i="13"/>
  <c r="R93" i="13"/>
  <c r="O94" i="13"/>
  <c r="O93" i="13"/>
  <c r="O92" i="13"/>
  <c r="K94" i="13"/>
  <c r="K93" i="13"/>
  <c r="J93" i="13"/>
  <c r="G93" i="13"/>
  <c r="M93" i="13" l="1"/>
  <c r="AG93" i="13"/>
  <c r="P94" i="13"/>
  <c r="AG94" i="13"/>
  <c r="P93" i="13"/>
  <c r="Q93" i="13"/>
  <c r="M94" i="13"/>
  <c r="U94" i="13"/>
  <c r="U93" i="13"/>
  <c r="N93" i="13"/>
  <c r="Q94" i="13"/>
  <c r="N94" i="13"/>
  <c r="U92" i="14"/>
  <c r="V92" i="14"/>
  <c r="L92" i="14"/>
  <c r="Z92" i="14"/>
  <c r="J92" i="14"/>
  <c r="H92" i="14"/>
  <c r="S92" i="14" l="1"/>
  <c r="T92" i="14"/>
  <c r="AM92" i="14"/>
  <c r="AL92" i="14"/>
  <c r="AK92" i="14"/>
  <c r="AI94" i="13"/>
  <c r="AI93" i="13"/>
  <c r="V89" i="14"/>
  <c r="Z89" i="14"/>
  <c r="K92" i="13"/>
  <c r="J92" i="13"/>
  <c r="X92" i="13"/>
  <c r="T92" i="13"/>
  <c r="R92" i="13"/>
  <c r="G92" i="13"/>
  <c r="T91" i="13"/>
  <c r="Q92" i="13" l="1"/>
  <c r="U92" i="13"/>
  <c r="P92" i="13"/>
  <c r="AG92" i="13"/>
  <c r="M92" i="13"/>
  <c r="N92" i="13"/>
  <c r="AI92" i="13" l="1"/>
  <c r="Z91" i="14" l="1"/>
  <c r="H91" i="14"/>
  <c r="V91" i="14"/>
  <c r="U91" i="14"/>
  <c r="L91" i="14"/>
  <c r="J91" i="14"/>
  <c r="T91" i="14" l="1"/>
  <c r="S91" i="14"/>
  <c r="AL91" i="14"/>
  <c r="AM91" i="14"/>
  <c r="AK91" i="14"/>
  <c r="AG90" i="14"/>
  <c r="Z90" i="14"/>
  <c r="V90" i="14"/>
  <c r="U90" i="14"/>
  <c r="L90" i="14"/>
  <c r="J90" i="14"/>
  <c r="H90" i="14"/>
  <c r="J91" i="13"/>
  <c r="G91" i="13"/>
  <c r="S90" i="14" l="1"/>
  <c r="T90" i="14"/>
  <c r="AK90" i="14"/>
  <c r="AM90" i="14"/>
  <c r="AL90" i="14"/>
  <c r="T90" i="13"/>
  <c r="J90" i="13"/>
  <c r="G90" i="13"/>
  <c r="T89" i="13"/>
  <c r="J89" i="13"/>
  <c r="G89" i="13"/>
  <c r="T88" i="13"/>
  <c r="X91" i="13"/>
  <c r="X90" i="13"/>
  <c r="X89" i="13"/>
  <c r="X88" i="13"/>
  <c r="R91" i="13"/>
  <c r="R90" i="13"/>
  <c r="R89" i="13"/>
  <c r="R88" i="13"/>
  <c r="O91" i="13"/>
  <c r="O90" i="13"/>
  <c r="O89" i="13"/>
  <c r="O88" i="13"/>
  <c r="K91" i="13"/>
  <c r="K90" i="13"/>
  <c r="K89" i="13"/>
  <c r="K88" i="13"/>
  <c r="J88" i="13"/>
  <c r="G88" i="13"/>
  <c r="P90" i="13" l="1"/>
  <c r="Q89" i="13"/>
  <c r="U88" i="13"/>
  <c r="AG88" i="13"/>
  <c r="AG90" i="13"/>
  <c r="AI90" i="13" s="1"/>
  <c r="N89" i="13"/>
  <c r="Q88" i="13"/>
  <c r="Q90" i="13"/>
  <c r="N88" i="13"/>
  <c r="M91" i="13"/>
  <c r="U91" i="13"/>
  <c r="M88" i="13"/>
  <c r="N90" i="13"/>
  <c r="P88" i="13"/>
  <c r="M90" i="13"/>
  <c r="U89" i="13"/>
  <c r="U90" i="13"/>
  <c r="Q91" i="13"/>
  <c r="AG91" i="13"/>
  <c r="P91" i="13"/>
  <c r="N91" i="13"/>
  <c r="P89" i="13"/>
  <c r="AG89" i="13"/>
  <c r="M89" i="13"/>
  <c r="T87" i="13"/>
  <c r="R87" i="13"/>
  <c r="O87" i="13"/>
  <c r="K87" i="13"/>
  <c r="J87" i="13"/>
  <c r="X87" i="13"/>
  <c r="G87" i="13"/>
  <c r="Q87" i="13" l="1"/>
  <c r="AG87" i="13"/>
  <c r="U87" i="13"/>
  <c r="AI88" i="13"/>
  <c r="AI91" i="13"/>
  <c r="M87" i="13"/>
  <c r="N87" i="13"/>
  <c r="P87" i="13"/>
  <c r="AI89" i="13"/>
  <c r="Z85" i="14"/>
  <c r="AI87" i="13" l="1"/>
  <c r="T86" i="13"/>
  <c r="K86" i="13"/>
  <c r="O86" i="13"/>
  <c r="R86" i="13"/>
  <c r="J86" i="13"/>
  <c r="X86" i="13"/>
  <c r="G86" i="13"/>
  <c r="Q86" i="13" l="1"/>
  <c r="M86" i="13"/>
  <c r="P86" i="13"/>
  <c r="N86" i="13"/>
  <c r="U86" i="13"/>
  <c r="AG86" i="13"/>
  <c r="AI86" i="13" l="1"/>
  <c r="T85" i="13"/>
  <c r="R85" i="13"/>
  <c r="K85" i="13"/>
  <c r="O85" i="13"/>
  <c r="J85" i="13"/>
  <c r="X85" i="13"/>
  <c r="G85" i="13"/>
  <c r="Q85" i="13" l="1"/>
  <c r="U85" i="13"/>
  <c r="AG85" i="13"/>
  <c r="P85" i="13"/>
  <c r="N85" i="13"/>
  <c r="M85" i="13"/>
  <c r="AI85" i="13" l="1"/>
  <c r="T84" i="13"/>
  <c r="K84" i="13"/>
  <c r="O84" i="13"/>
  <c r="R84" i="13"/>
  <c r="J84" i="13"/>
  <c r="X84" i="13"/>
  <c r="G84" i="13"/>
  <c r="Q84" i="13" l="1"/>
  <c r="P84" i="13"/>
  <c r="N84" i="13"/>
  <c r="U84" i="13"/>
  <c r="M84" i="13"/>
  <c r="AG84" i="13"/>
  <c r="AI84" i="13" l="1"/>
  <c r="T83" i="13"/>
  <c r="K83" i="13"/>
  <c r="O83" i="13"/>
  <c r="R83" i="13"/>
  <c r="J83" i="13"/>
  <c r="X83" i="13"/>
  <c r="G83" i="13"/>
  <c r="P83" i="13" l="1"/>
  <c r="U83" i="13"/>
  <c r="N83" i="13"/>
  <c r="M83" i="13"/>
  <c r="AG83" i="13"/>
  <c r="AI83" i="13" s="1"/>
  <c r="Q83" i="13"/>
  <c r="AG89" i="14"/>
  <c r="AG88" i="14"/>
  <c r="AG87" i="14"/>
  <c r="AG86" i="14"/>
  <c r="AG85" i="14"/>
  <c r="AG84" i="14"/>
  <c r="AG83" i="14"/>
  <c r="AG82" i="14"/>
  <c r="AG81" i="14"/>
  <c r="AG80" i="14"/>
  <c r="Z88" i="14"/>
  <c r="Z87" i="14"/>
  <c r="Z86" i="14"/>
  <c r="Z84" i="14"/>
  <c r="V88" i="14"/>
  <c r="V87" i="14"/>
  <c r="V86" i="14"/>
  <c r="V85" i="14"/>
  <c r="V84" i="14"/>
  <c r="U89" i="14"/>
  <c r="U88" i="14"/>
  <c r="U87" i="14"/>
  <c r="U86" i="14"/>
  <c r="U85" i="14"/>
  <c r="U84" i="14"/>
  <c r="L89" i="14"/>
  <c r="L88" i="14"/>
  <c r="L87" i="14"/>
  <c r="L86" i="14"/>
  <c r="L85" i="14"/>
  <c r="L84" i="14"/>
  <c r="H89" i="14"/>
  <c r="H88" i="14"/>
  <c r="H87" i="14"/>
  <c r="H86" i="14"/>
  <c r="H85" i="14"/>
  <c r="H84" i="14"/>
  <c r="Z83" i="14"/>
  <c r="U83" i="14"/>
  <c r="V83" i="14"/>
  <c r="L83" i="14"/>
  <c r="J89" i="14"/>
  <c r="J88" i="14"/>
  <c r="J87" i="14"/>
  <c r="J86" i="14"/>
  <c r="J85" i="14"/>
  <c r="J84" i="14"/>
  <c r="J83" i="14"/>
  <c r="H83" i="14"/>
  <c r="S89" i="14" l="1"/>
  <c r="S88" i="14"/>
  <c r="S87" i="14"/>
  <c r="S86" i="14"/>
  <c r="S85" i="14"/>
  <c r="S84" i="14"/>
  <c r="T89" i="14"/>
  <c r="T88" i="14"/>
  <c r="T87" i="14"/>
  <c r="T86" i="14"/>
  <c r="T85" i="14"/>
  <c r="T84" i="14"/>
  <c r="S83" i="14"/>
  <c r="T83" i="14"/>
  <c r="AK84" i="14"/>
  <c r="AL84" i="14"/>
  <c r="AM84" i="14"/>
  <c r="AK83" i="14"/>
  <c r="AM83" i="14"/>
  <c r="AL83" i="14"/>
  <c r="AK85" i="14"/>
  <c r="AM85" i="14"/>
  <c r="AL85" i="14"/>
  <c r="AL86" i="14"/>
  <c r="AK86" i="14"/>
  <c r="AM86" i="14"/>
  <c r="AM89" i="14"/>
  <c r="AL89" i="14"/>
  <c r="AK89" i="14"/>
  <c r="AL87" i="14"/>
  <c r="AK87" i="14"/>
  <c r="AM87" i="14"/>
  <c r="AM88" i="14"/>
  <c r="AL88" i="14"/>
  <c r="AK88" i="14"/>
  <c r="Z82" i="14"/>
  <c r="U82" i="14"/>
  <c r="V82" i="14"/>
  <c r="L82" i="14"/>
  <c r="J82" i="14"/>
  <c r="H82" i="14"/>
  <c r="S82" i="14" l="1"/>
  <c r="T82" i="14"/>
  <c r="AM82" i="14"/>
  <c r="AL82" i="14"/>
  <c r="AK82" i="14"/>
  <c r="T82" i="13"/>
  <c r="K82" i="13"/>
  <c r="O82" i="13"/>
  <c r="R82" i="13"/>
  <c r="J82" i="13"/>
  <c r="X82" i="13"/>
  <c r="G82" i="13"/>
  <c r="AG82" i="13" l="1"/>
  <c r="N82" i="13"/>
  <c r="Q82" i="13"/>
  <c r="P82" i="13"/>
  <c r="M82" i="13"/>
  <c r="U82" i="13"/>
  <c r="Z81" i="14"/>
  <c r="U81" i="14"/>
  <c r="V81" i="14"/>
  <c r="L81" i="14"/>
  <c r="J81" i="14"/>
  <c r="H81" i="14"/>
  <c r="AI82" i="13" l="1"/>
  <c r="S81" i="14"/>
  <c r="T81" i="14"/>
  <c r="AM81" i="14"/>
  <c r="AL81" i="14"/>
  <c r="AK81" i="14"/>
  <c r="X81" i="13"/>
  <c r="T81" i="13"/>
  <c r="R81" i="13"/>
  <c r="O81" i="13"/>
  <c r="K81" i="13"/>
  <c r="J81" i="13"/>
  <c r="G81" i="13"/>
  <c r="AG81" i="13" l="1"/>
  <c r="Q81" i="13"/>
  <c r="N81" i="13"/>
  <c r="P81" i="13"/>
  <c r="U81" i="13"/>
  <c r="Z80" i="14"/>
  <c r="U80" i="14"/>
  <c r="V80" i="14"/>
  <c r="L80" i="14"/>
  <c r="J80" i="14"/>
  <c r="H80" i="14"/>
  <c r="AI81" i="13" l="1"/>
  <c r="S80" i="14"/>
  <c r="T80" i="14"/>
  <c r="AL80" i="14"/>
  <c r="AM80" i="14"/>
  <c r="AK80" i="14"/>
  <c r="AG79" i="14"/>
  <c r="Z79" i="14"/>
  <c r="V79" i="14"/>
  <c r="U79" i="14"/>
  <c r="L79" i="14"/>
  <c r="J79" i="14"/>
  <c r="H79" i="14"/>
  <c r="S79" i="14" l="1"/>
  <c r="T79" i="14"/>
  <c r="AM79" i="14"/>
  <c r="AL79" i="14"/>
  <c r="AK79" i="14"/>
  <c r="X80" i="13"/>
  <c r="T80" i="13"/>
  <c r="R80" i="13"/>
  <c r="R79" i="13"/>
  <c r="O80" i="13"/>
  <c r="K80" i="13"/>
  <c r="J80" i="13"/>
  <c r="G80" i="13"/>
  <c r="AG80" i="13" l="1"/>
  <c r="Q80" i="13"/>
  <c r="U80" i="13"/>
  <c r="N80" i="13"/>
  <c r="M80" i="13"/>
  <c r="P80" i="13"/>
  <c r="T79" i="13"/>
  <c r="G79" i="13"/>
  <c r="AI80" i="13" l="1"/>
  <c r="AG78" i="14"/>
  <c r="AG77" i="14"/>
  <c r="Z78" i="14"/>
  <c r="V78" i="14"/>
  <c r="U78" i="14"/>
  <c r="L78" i="14"/>
  <c r="J78" i="14"/>
  <c r="H78" i="14"/>
  <c r="S78" i="14" l="1"/>
  <c r="T78" i="14"/>
  <c r="AK78" i="14"/>
  <c r="AM78" i="14"/>
  <c r="AL78" i="14"/>
  <c r="T78" i="13"/>
  <c r="Z77" i="14" l="1"/>
  <c r="V77" i="14"/>
  <c r="U77" i="14"/>
  <c r="L77" i="14"/>
  <c r="J77" i="14"/>
  <c r="H77" i="14"/>
  <c r="S77" i="14" l="1"/>
  <c r="T77" i="14"/>
  <c r="AL77" i="14"/>
  <c r="AK77" i="14"/>
  <c r="AM77" i="14"/>
  <c r="X79" i="13"/>
  <c r="X78" i="13"/>
  <c r="X77" i="13"/>
  <c r="X76" i="13"/>
  <c r="X75" i="13"/>
  <c r="X74" i="13"/>
  <c r="X73" i="13"/>
  <c r="X72" i="13"/>
  <c r="X71" i="13"/>
  <c r="AG76" i="14" l="1"/>
  <c r="Z76" i="14"/>
  <c r="V76" i="14"/>
  <c r="U76" i="14"/>
  <c r="L76" i="14"/>
  <c r="J76" i="14"/>
  <c r="H76" i="14"/>
  <c r="S76" i="14" l="1"/>
  <c r="T76" i="14"/>
  <c r="AM76" i="14"/>
  <c r="AL76" i="14"/>
  <c r="AK76" i="14"/>
  <c r="U75" i="14"/>
  <c r="V75" i="14"/>
  <c r="AG75" i="14"/>
  <c r="L75" i="14"/>
  <c r="Z75" i="14"/>
  <c r="J75" i="14"/>
  <c r="H75" i="14"/>
  <c r="S75" i="14" l="1"/>
  <c r="T75" i="14"/>
  <c r="AL75" i="14"/>
  <c r="AK75" i="14"/>
  <c r="AM75" i="14"/>
  <c r="U74" i="14"/>
  <c r="V74" i="14"/>
  <c r="AG74" i="14"/>
  <c r="L74" i="14"/>
  <c r="J74" i="14"/>
  <c r="Z74" i="14"/>
  <c r="H74" i="14"/>
  <c r="S74" i="14" l="1"/>
  <c r="T74" i="14"/>
  <c r="AL74" i="14"/>
  <c r="AK74" i="14"/>
  <c r="AM74" i="14"/>
  <c r="U73" i="14"/>
  <c r="V73" i="14"/>
  <c r="AG73" i="14"/>
  <c r="L73" i="14"/>
  <c r="Z73" i="14"/>
  <c r="S73" i="14" l="1"/>
  <c r="H73" i="14"/>
  <c r="J73" i="14"/>
  <c r="T73" i="14" l="1"/>
  <c r="AK73" i="14"/>
  <c r="AL73" i="14"/>
  <c r="AM73" i="14"/>
  <c r="T73" i="13"/>
  <c r="G73" i="13"/>
  <c r="T72" i="13"/>
  <c r="R78" i="13"/>
  <c r="R77" i="13"/>
  <c r="R76" i="13"/>
  <c r="R75" i="13"/>
  <c r="R74" i="13"/>
  <c r="R73" i="13"/>
  <c r="R72" i="13"/>
  <c r="G72" i="13"/>
  <c r="T77" i="13"/>
  <c r="T76" i="13"/>
  <c r="T75" i="13"/>
  <c r="T74" i="13"/>
  <c r="O79" i="13"/>
  <c r="O78" i="13"/>
  <c r="O77" i="13"/>
  <c r="O76" i="13"/>
  <c r="O75" i="13"/>
  <c r="O74" i="13"/>
  <c r="O73" i="13"/>
  <c r="O72" i="13"/>
  <c r="K79" i="13"/>
  <c r="K78" i="13"/>
  <c r="K77" i="13"/>
  <c r="K76" i="13"/>
  <c r="K75" i="13"/>
  <c r="K74" i="13"/>
  <c r="K73" i="13"/>
  <c r="K72" i="13"/>
  <c r="G78" i="13"/>
  <c r="G77" i="13"/>
  <c r="G76" i="13"/>
  <c r="G75" i="13"/>
  <c r="G74" i="13"/>
  <c r="J79" i="13"/>
  <c r="J78" i="13"/>
  <c r="J77" i="13"/>
  <c r="J76" i="13"/>
  <c r="J75" i="13"/>
  <c r="J74" i="13"/>
  <c r="J73" i="13"/>
  <c r="J72" i="13"/>
  <c r="AG77" i="13" l="1"/>
  <c r="M75" i="13"/>
  <c r="AG73" i="13"/>
  <c r="M72" i="13"/>
  <c r="M73" i="13"/>
  <c r="U73" i="13"/>
  <c r="AG78" i="13"/>
  <c r="U78" i="13"/>
  <c r="AG79" i="13"/>
  <c r="U79" i="13"/>
  <c r="Q79" i="13"/>
  <c r="Q78" i="13"/>
  <c r="M78" i="13"/>
  <c r="Q72" i="13"/>
  <c r="AG72" i="13"/>
  <c r="M79" i="13"/>
  <c r="P72" i="13"/>
  <c r="U72" i="13"/>
  <c r="N72" i="13"/>
  <c r="P73" i="13"/>
  <c r="M74" i="13"/>
  <c r="AG74" i="13"/>
  <c r="N78" i="13"/>
  <c r="P78" i="13"/>
  <c r="M76" i="13"/>
  <c r="AG76" i="13"/>
  <c r="Q75" i="13"/>
  <c r="AG75" i="13"/>
  <c r="N79" i="13"/>
  <c r="P79" i="13"/>
  <c r="Q77" i="13"/>
  <c r="M77" i="13"/>
  <c r="N77" i="13"/>
  <c r="P77" i="13"/>
  <c r="U77" i="13"/>
  <c r="P76" i="13"/>
  <c r="U76" i="13"/>
  <c r="Q76" i="13"/>
  <c r="N76" i="13"/>
  <c r="N75" i="13"/>
  <c r="P75" i="13"/>
  <c r="U75" i="13"/>
  <c r="Q74" i="13"/>
  <c r="N74" i="13"/>
  <c r="U74" i="13"/>
  <c r="P74" i="13"/>
  <c r="N73" i="13"/>
  <c r="Q73" i="13"/>
  <c r="AI76" i="13" l="1"/>
  <c r="AI75" i="13"/>
  <c r="AI73" i="13"/>
  <c r="AI78" i="13"/>
  <c r="AI77" i="13"/>
  <c r="AI74" i="13"/>
  <c r="AI72" i="13"/>
  <c r="AI79" i="13"/>
  <c r="U72" i="14"/>
  <c r="V72" i="14"/>
  <c r="AG72" i="14"/>
  <c r="L72" i="14"/>
  <c r="Z72" i="14"/>
  <c r="J72" i="14"/>
  <c r="H72" i="14"/>
  <c r="S72" i="14" l="1"/>
  <c r="T72" i="14"/>
  <c r="AK72" i="14"/>
  <c r="AM72" i="14"/>
  <c r="AL72" i="14"/>
  <c r="T71" i="13"/>
  <c r="O71" i="13"/>
  <c r="K71" i="13"/>
  <c r="J71" i="13"/>
  <c r="G71" i="13"/>
  <c r="T70" i="13"/>
  <c r="K70" i="13"/>
  <c r="O70" i="13"/>
  <c r="J70" i="13"/>
  <c r="X70" i="13"/>
  <c r="G70" i="13"/>
  <c r="U71" i="14"/>
  <c r="V71" i="14"/>
  <c r="AG71" i="14"/>
  <c r="L71" i="14"/>
  <c r="Z71" i="14"/>
  <c r="J71" i="14"/>
  <c r="H71" i="14"/>
  <c r="N71" i="13" l="1"/>
  <c r="AG70" i="13"/>
  <c r="S71" i="14"/>
  <c r="T71" i="14"/>
  <c r="AM71" i="14"/>
  <c r="AK71" i="14"/>
  <c r="AL71" i="14"/>
  <c r="M70" i="13"/>
  <c r="Q70" i="13"/>
  <c r="P71" i="13"/>
  <c r="AG71" i="13"/>
  <c r="Q71" i="13"/>
  <c r="P70" i="13"/>
  <c r="U70" i="13"/>
  <c r="N70" i="13"/>
  <c r="U71" i="13"/>
  <c r="M71" i="13"/>
  <c r="H69" i="14"/>
  <c r="AI70" i="13" l="1"/>
  <c r="AI71" i="13"/>
  <c r="T68" i="13"/>
  <c r="G68" i="13"/>
  <c r="J69" i="13" l="1"/>
  <c r="T69" i="13"/>
  <c r="X69" i="13"/>
  <c r="O69" i="13"/>
  <c r="K69" i="13"/>
  <c r="G69" i="13"/>
  <c r="Q69" i="13" l="1"/>
  <c r="AG69" i="13"/>
  <c r="M69" i="13"/>
  <c r="U69" i="13"/>
  <c r="P69" i="13"/>
  <c r="N69" i="13"/>
  <c r="AI69" i="13" l="1"/>
  <c r="X68" i="13"/>
  <c r="O68" i="13"/>
  <c r="K68" i="13"/>
  <c r="J68" i="13"/>
  <c r="AG68" i="13" l="1"/>
  <c r="U68" i="13"/>
  <c r="P68" i="13"/>
  <c r="Q68" i="13"/>
  <c r="M68" i="13"/>
  <c r="N68" i="13"/>
  <c r="T67" i="13"/>
  <c r="K67" i="13"/>
  <c r="O67" i="13"/>
  <c r="J67" i="13"/>
  <c r="G67" i="13"/>
  <c r="AI68" i="13" l="1"/>
  <c r="Q67" i="13"/>
  <c r="AG67" i="13"/>
  <c r="U67" i="13"/>
  <c r="P67" i="13"/>
  <c r="N67" i="13"/>
  <c r="M67" i="13"/>
  <c r="AI67" i="13" l="1"/>
  <c r="AG70" i="14"/>
  <c r="Z70" i="14"/>
  <c r="V70" i="14"/>
  <c r="U70" i="14"/>
  <c r="L70" i="14"/>
  <c r="J70" i="14"/>
  <c r="H70" i="14"/>
  <c r="AG69" i="14"/>
  <c r="Z69" i="14"/>
  <c r="V69" i="14"/>
  <c r="U69" i="14"/>
  <c r="L69" i="14"/>
  <c r="J69" i="14"/>
  <c r="T69" i="14"/>
  <c r="AG68" i="14"/>
  <c r="Z68" i="14"/>
  <c r="V68" i="14"/>
  <c r="U68" i="14"/>
  <c r="L68" i="14"/>
  <c r="J68" i="14"/>
  <c r="H68" i="14"/>
  <c r="AG67" i="14"/>
  <c r="Z67" i="14"/>
  <c r="V67" i="14"/>
  <c r="U67" i="14"/>
  <c r="L67" i="14"/>
  <c r="J67" i="14"/>
  <c r="H67" i="14"/>
  <c r="AG66" i="14"/>
  <c r="Z66" i="14"/>
  <c r="V66" i="14"/>
  <c r="U66" i="14"/>
  <c r="L66" i="14"/>
  <c r="J66" i="14"/>
  <c r="H66" i="14"/>
  <c r="S70" i="14" l="1"/>
  <c r="T70" i="14"/>
  <c r="S69" i="14"/>
  <c r="S68" i="14"/>
  <c r="T68" i="14"/>
  <c r="S67" i="14"/>
  <c r="T67" i="14"/>
  <c r="S66" i="14"/>
  <c r="T66" i="14"/>
  <c r="AM68" i="14"/>
  <c r="AL68" i="14"/>
  <c r="AK68" i="14"/>
  <c r="AL67" i="14"/>
  <c r="AM67" i="14"/>
  <c r="AK67" i="14"/>
  <c r="AM70" i="14"/>
  <c r="AK70" i="14"/>
  <c r="AL70" i="14"/>
  <c r="AL66" i="14"/>
  <c r="AM66" i="14"/>
  <c r="AK66" i="14"/>
  <c r="AM69" i="14"/>
  <c r="AL69" i="14"/>
  <c r="AK69" i="14"/>
  <c r="T66" i="13"/>
  <c r="K66" i="13"/>
  <c r="O66" i="13"/>
  <c r="J66" i="13"/>
  <c r="G66" i="13"/>
  <c r="N66" i="13" l="1"/>
  <c r="Q66" i="13"/>
  <c r="AG66" i="13"/>
  <c r="P66" i="13"/>
  <c r="M66" i="13"/>
  <c r="U66" i="13"/>
  <c r="AG65" i="14"/>
  <c r="V65" i="14"/>
  <c r="U65" i="14"/>
  <c r="L65" i="14"/>
  <c r="Z65" i="14"/>
  <c r="J65" i="14"/>
  <c r="H65" i="14"/>
  <c r="S65" i="14" l="1"/>
  <c r="T65" i="14"/>
  <c r="AM65" i="14"/>
  <c r="AL65" i="14"/>
  <c r="AK65" i="14"/>
  <c r="AI66" i="13"/>
  <c r="T65" i="13"/>
  <c r="K65" i="13"/>
  <c r="O65" i="13"/>
  <c r="J65" i="13"/>
  <c r="G65" i="13"/>
  <c r="M65" i="13" l="1"/>
  <c r="AG65" i="13"/>
  <c r="Q65" i="13"/>
  <c r="P65" i="13"/>
  <c r="N65" i="13"/>
  <c r="U65" i="13"/>
  <c r="T64" i="13"/>
  <c r="K64" i="13"/>
  <c r="O64" i="13"/>
  <c r="J64" i="13"/>
  <c r="G64" i="13"/>
  <c r="AI65" i="13" l="1"/>
  <c r="Q64" i="13"/>
  <c r="AG64" i="13"/>
  <c r="P64" i="13"/>
  <c r="N64" i="13"/>
  <c r="M64" i="13"/>
  <c r="R63" i="13"/>
  <c r="T63" i="13"/>
  <c r="K63" i="13"/>
  <c r="O63" i="13"/>
  <c r="J63" i="13"/>
  <c r="G63" i="13"/>
  <c r="AI64" i="13" l="1"/>
  <c r="Q63" i="13"/>
  <c r="AG63" i="13"/>
  <c r="M63" i="13"/>
  <c r="P63" i="13"/>
  <c r="N63" i="13"/>
  <c r="U63" i="13"/>
  <c r="T62" i="13"/>
  <c r="K62" i="13"/>
  <c r="O62" i="13"/>
  <c r="J62" i="13"/>
  <c r="G62" i="13"/>
  <c r="N62" i="13" l="1"/>
  <c r="AI63" i="13"/>
  <c r="P62" i="13"/>
  <c r="AG62" i="13"/>
  <c r="U62" i="13"/>
  <c r="M62" i="13"/>
  <c r="Q62" i="13"/>
  <c r="AI62" i="13" l="1"/>
  <c r="T61" i="13"/>
  <c r="R61" i="13"/>
  <c r="O61" i="13"/>
  <c r="K61" i="13"/>
  <c r="J61" i="13"/>
  <c r="G61" i="13"/>
  <c r="M61" i="13" l="1"/>
  <c r="AG61" i="13"/>
  <c r="N61" i="13"/>
  <c r="P61" i="13"/>
  <c r="Q61" i="13"/>
  <c r="U61" i="13"/>
  <c r="R60" i="13"/>
  <c r="T60" i="13"/>
  <c r="K60" i="13"/>
  <c r="O60" i="13"/>
  <c r="J60" i="13"/>
  <c r="G60" i="13"/>
  <c r="N60" i="13" l="1"/>
  <c r="AI61" i="13"/>
  <c r="M60" i="13"/>
  <c r="U60" i="13"/>
  <c r="Q60" i="13"/>
  <c r="AG60" i="13"/>
  <c r="P60" i="13"/>
  <c r="T59" i="13"/>
  <c r="K59" i="13"/>
  <c r="O59" i="13"/>
  <c r="J59" i="13"/>
  <c r="G59" i="13"/>
  <c r="M59" i="13" l="1"/>
  <c r="AI60" i="13"/>
  <c r="Q59" i="13"/>
  <c r="U59" i="13"/>
  <c r="P59" i="13"/>
  <c r="N59" i="13"/>
  <c r="AG59" i="13"/>
  <c r="K58" i="13"/>
  <c r="O58" i="13"/>
  <c r="J58" i="13"/>
  <c r="G58" i="13"/>
  <c r="T58" i="13"/>
  <c r="T57" i="13"/>
  <c r="K57" i="13"/>
  <c r="O57" i="13"/>
  <c r="J57" i="13"/>
  <c r="Q58" i="13" l="1"/>
  <c r="Q57" i="13"/>
  <c r="AI59" i="13"/>
  <c r="U57" i="13"/>
  <c r="P58" i="13"/>
  <c r="N58" i="13"/>
  <c r="M58" i="13"/>
  <c r="U58" i="13"/>
  <c r="AG58" i="13"/>
  <c r="P57" i="13"/>
  <c r="N57" i="13"/>
  <c r="M57" i="13"/>
  <c r="AG57" i="13"/>
  <c r="G57" i="13"/>
  <c r="AI57" i="13" l="1"/>
  <c r="AI58" i="13"/>
  <c r="V55" i="14"/>
  <c r="V56" i="14"/>
  <c r="X3" i="13" l="1"/>
  <c r="X4" i="13"/>
  <c r="X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67" i="13"/>
  <c r="X2" i="13"/>
  <c r="AG24" i="14"/>
  <c r="Z4" i="14"/>
  <c r="Z3" i="14"/>
  <c r="Z5" i="14"/>
  <c r="Z6" i="14"/>
  <c r="Z7" i="14"/>
  <c r="Z8" i="14"/>
  <c r="Z9" i="14"/>
  <c r="Z10" i="14"/>
  <c r="Z11" i="14"/>
  <c r="Z12" i="14"/>
  <c r="Z13" i="14"/>
  <c r="Z14" i="14"/>
  <c r="Z15" i="14"/>
  <c r="Z16" i="14"/>
  <c r="Z17" i="14"/>
  <c r="Z18" i="14"/>
  <c r="Z19" i="14"/>
  <c r="Z20" i="14"/>
  <c r="Z21" i="14"/>
  <c r="Z22" i="14"/>
  <c r="Z23" i="14"/>
  <c r="Z24" i="14"/>
  <c r="Z25" i="14"/>
  <c r="Z26" i="14"/>
  <c r="Z27" i="14"/>
  <c r="Z28" i="14"/>
  <c r="Z29" i="14"/>
  <c r="Z31" i="14"/>
  <c r="Z32" i="14"/>
  <c r="Z33" i="14"/>
  <c r="Z34" i="14"/>
  <c r="Z35" i="14"/>
  <c r="Z36" i="14"/>
  <c r="Z37" i="14"/>
  <c r="Z38" i="14"/>
  <c r="Z39" i="14"/>
  <c r="Z40" i="14"/>
  <c r="Z41" i="14"/>
  <c r="Z42" i="14"/>
  <c r="Z43" i="14"/>
  <c r="Z44" i="14"/>
  <c r="Z45" i="14"/>
  <c r="Z46" i="14"/>
  <c r="Z47" i="14"/>
  <c r="Z48" i="14"/>
  <c r="Z49" i="14"/>
  <c r="Z50" i="14"/>
  <c r="Z51" i="14"/>
  <c r="Z52" i="14"/>
  <c r="Z53" i="14"/>
  <c r="Z54" i="14"/>
  <c r="Z55" i="14"/>
  <c r="Z56" i="14"/>
  <c r="Z57" i="14"/>
  <c r="Z58" i="14"/>
  <c r="Z59" i="14"/>
  <c r="Z60" i="14"/>
  <c r="Z61" i="14"/>
  <c r="Z62" i="14"/>
  <c r="Z63" i="14"/>
  <c r="Z64" i="14"/>
  <c r="Z30" i="14"/>
  <c r="G45" i="13"/>
  <c r="J45" i="13"/>
  <c r="K45" i="13"/>
  <c r="O45" i="13"/>
  <c r="R45" i="13"/>
  <c r="T45" i="13"/>
  <c r="M45" i="13" l="1"/>
  <c r="Q45" i="13"/>
  <c r="AG45" i="13"/>
  <c r="U45" i="13"/>
  <c r="P45" i="13"/>
  <c r="N45" i="13"/>
  <c r="T56" i="13"/>
  <c r="K56" i="13"/>
  <c r="O56" i="13"/>
  <c r="R56" i="13"/>
  <c r="J56" i="13"/>
  <c r="G56" i="13"/>
  <c r="M56" i="13" l="1"/>
  <c r="U56" i="13"/>
  <c r="AG56" i="13"/>
  <c r="Q56" i="13"/>
  <c r="P56" i="13"/>
  <c r="N56" i="13"/>
  <c r="AI56" i="13" l="1"/>
  <c r="T55" i="13"/>
  <c r="K55" i="13"/>
  <c r="O55" i="13"/>
  <c r="R55" i="13"/>
  <c r="J55" i="13"/>
  <c r="G55" i="13"/>
  <c r="M55" i="13" l="1"/>
  <c r="P55" i="13"/>
  <c r="AG55" i="13"/>
  <c r="Q55" i="13"/>
  <c r="N55" i="13"/>
  <c r="U55" i="13"/>
  <c r="T54" i="13"/>
  <c r="K54" i="13"/>
  <c r="O54" i="13"/>
  <c r="R54" i="13"/>
  <c r="J54" i="13"/>
  <c r="G54" i="13"/>
  <c r="T53" i="13"/>
  <c r="K53" i="13"/>
  <c r="O53" i="13"/>
  <c r="R53" i="13"/>
  <c r="J53" i="13"/>
  <c r="G53" i="13"/>
  <c r="M54" i="13" l="1"/>
  <c r="M53" i="13"/>
  <c r="AI55" i="13"/>
  <c r="U53" i="13"/>
  <c r="U54" i="13"/>
  <c r="AG54" i="13"/>
  <c r="Q54" i="13"/>
  <c r="P54" i="13"/>
  <c r="N54" i="13"/>
  <c r="AG53" i="13"/>
  <c r="Q53" i="13"/>
  <c r="P53" i="13"/>
  <c r="N53" i="13"/>
  <c r="AI53" i="13" l="1"/>
  <c r="AI54" i="13"/>
  <c r="H53" i="14"/>
  <c r="J53" i="14"/>
  <c r="H54" i="14"/>
  <c r="J54" i="14"/>
  <c r="H55" i="14"/>
  <c r="J55" i="14"/>
  <c r="H56" i="14"/>
  <c r="J56" i="14"/>
  <c r="H57" i="14"/>
  <c r="J57" i="14"/>
  <c r="H58" i="14"/>
  <c r="J58" i="14"/>
  <c r="H59" i="14"/>
  <c r="J59" i="14"/>
  <c r="H60" i="14"/>
  <c r="J60" i="14"/>
  <c r="H61" i="14"/>
  <c r="J61" i="14"/>
  <c r="H62" i="14"/>
  <c r="J62" i="14"/>
  <c r="H63" i="14"/>
  <c r="J63" i="14"/>
  <c r="H64" i="14"/>
  <c r="J64" i="14"/>
  <c r="L53" i="14"/>
  <c r="U53" i="14"/>
  <c r="L54" i="14"/>
  <c r="U54" i="14"/>
  <c r="L55" i="14"/>
  <c r="U55" i="14"/>
  <c r="L56" i="14"/>
  <c r="U56" i="14"/>
  <c r="L57" i="14"/>
  <c r="U57" i="14"/>
  <c r="L58" i="14"/>
  <c r="U58" i="14"/>
  <c r="L59" i="14"/>
  <c r="U59" i="14"/>
  <c r="L60" i="14"/>
  <c r="U60" i="14"/>
  <c r="L61" i="14"/>
  <c r="U61" i="14"/>
  <c r="L62" i="14"/>
  <c r="U62" i="14"/>
  <c r="L63" i="14"/>
  <c r="U63" i="14"/>
  <c r="L64" i="14"/>
  <c r="U64" i="14"/>
  <c r="AG64" i="14"/>
  <c r="V64" i="14"/>
  <c r="AG63" i="14"/>
  <c r="V63" i="14"/>
  <c r="AG62" i="14"/>
  <c r="V62" i="14"/>
  <c r="AG61" i="14"/>
  <c r="V61" i="14"/>
  <c r="AG60" i="14"/>
  <c r="V60" i="14"/>
  <c r="AG59" i="14"/>
  <c r="V59" i="14"/>
  <c r="AG58" i="14"/>
  <c r="V58" i="14"/>
  <c r="AG57" i="14"/>
  <c r="V57" i="14"/>
  <c r="AG56" i="14"/>
  <c r="AG55" i="14"/>
  <c r="AG54" i="14"/>
  <c r="V54" i="14"/>
  <c r="AG53" i="14"/>
  <c r="V53" i="14"/>
  <c r="J52" i="13"/>
  <c r="T53" i="14" l="1"/>
  <c r="T54" i="14"/>
  <c r="T55" i="14"/>
  <c r="T56" i="14"/>
  <c r="T57" i="14"/>
  <c r="T58" i="14"/>
  <c r="T59" i="14"/>
  <c r="T60" i="14"/>
  <c r="T61" i="14"/>
  <c r="T62" i="14"/>
  <c r="T63" i="14"/>
  <c r="T64" i="14"/>
  <c r="E53" i="14"/>
  <c r="S56" i="14"/>
  <c r="S57" i="14"/>
  <c r="S59" i="14"/>
  <c r="S60" i="14"/>
  <c r="S61" i="14"/>
  <c r="S62" i="14"/>
  <c r="S63" i="14"/>
  <c r="S64" i="14"/>
  <c r="AK63" i="14"/>
  <c r="AL63" i="14"/>
  <c r="AM63" i="14"/>
  <c r="AM56" i="14"/>
  <c r="AL56" i="14"/>
  <c r="AK56" i="14"/>
  <c r="AK61" i="14"/>
  <c r="AM61" i="14"/>
  <c r="AL61" i="14"/>
  <c r="AL54" i="14"/>
  <c r="AK54" i="14"/>
  <c r="AM54" i="14"/>
  <c r="AM57" i="14"/>
  <c r="AL57" i="14"/>
  <c r="AK57" i="14"/>
  <c r="AM55" i="14"/>
  <c r="AL55" i="14"/>
  <c r="AK55" i="14"/>
  <c r="AK60" i="14"/>
  <c r="AL60" i="14"/>
  <c r="AM60" i="14"/>
  <c r="AM59" i="14"/>
  <c r="AL59" i="14"/>
  <c r="AK59" i="14"/>
  <c r="AM53" i="14"/>
  <c r="AL53" i="14"/>
  <c r="AK53" i="14"/>
  <c r="AM64" i="14"/>
  <c r="AK64" i="14"/>
  <c r="AL64" i="14"/>
  <c r="AM58" i="14"/>
  <c r="AL58" i="14"/>
  <c r="AK58" i="14"/>
  <c r="AL62" i="14"/>
  <c r="AK62" i="14"/>
  <c r="AM62" i="14"/>
  <c r="S54" i="14"/>
  <c r="E54" i="14"/>
  <c r="S55" i="14"/>
  <c r="E55" i="14"/>
  <c r="S58" i="14"/>
  <c r="S53" i="14"/>
  <c r="T49" i="13"/>
  <c r="V42" i="14" l="1"/>
  <c r="K43" i="13" l="1"/>
  <c r="J4" i="14" l="1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3" i="14"/>
  <c r="J44" i="14"/>
  <c r="J45" i="14"/>
  <c r="J46" i="14"/>
  <c r="J47" i="14"/>
  <c r="J48" i="14"/>
  <c r="J49" i="14"/>
  <c r="J50" i="14"/>
  <c r="J51" i="14"/>
  <c r="J52" i="14"/>
  <c r="J3" i="14"/>
  <c r="AL15" i="14" l="1"/>
  <c r="AK15" i="14"/>
  <c r="AM15" i="14"/>
  <c r="AK27" i="14"/>
  <c r="AL27" i="14"/>
  <c r="AM27" i="14"/>
  <c r="AK37" i="14"/>
  <c r="AM37" i="14"/>
  <c r="AL37" i="14"/>
  <c r="AK36" i="14"/>
  <c r="AM36" i="14"/>
  <c r="AL36" i="14"/>
  <c r="AM35" i="14"/>
  <c r="AK35" i="14"/>
  <c r="AL35" i="14"/>
  <c r="AM10" i="14"/>
  <c r="AK10" i="14"/>
  <c r="AL10" i="14"/>
  <c r="AL7" i="14"/>
  <c r="AM7" i="14"/>
  <c r="AK7" i="14"/>
  <c r="AM52" i="14"/>
  <c r="AK52" i="14"/>
  <c r="AL52" i="14"/>
  <c r="AL51" i="14"/>
  <c r="AK51" i="14"/>
  <c r="AM51" i="14"/>
  <c r="AK25" i="14"/>
  <c r="AM25" i="14"/>
  <c r="AL25" i="14"/>
  <c r="AK24" i="14"/>
  <c r="AL24" i="14"/>
  <c r="AM24" i="14"/>
  <c r="AM23" i="14"/>
  <c r="AL23" i="14"/>
  <c r="AK23" i="14"/>
  <c r="AM34" i="14"/>
  <c r="AL34" i="14"/>
  <c r="AK34" i="14"/>
  <c r="AM21" i="14"/>
  <c r="AL21" i="14"/>
  <c r="AK21" i="14"/>
  <c r="AM32" i="14"/>
  <c r="AL32" i="14"/>
  <c r="AK32" i="14"/>
  <c r="AK6" i="14"/>
  <c r="AM6" i="14"/>
  <c r="AL6" i="14"/>
  <c r="AL39" i="14"/>
  <c r="AK39" i="14"/>
  <c r="AM39" i="14"/>
  <c r="AL38" i="14"/>
  <c r="AK38" i="14"/>
  <c r="AM38" i="14"/>
  <c r="AL14" i="14"/>
  <c r="AK14" i="14"/>
  <c r="AM14" i="14"/>
  <c r="AK13" i="14"/>
  <c r="AL13" i="14"/>
  <c r="AM13" i="14"/>
  <c r="AK12" i="14"/>
  <c r="AM12" i="14"/>
  <c r="AL12" i="14"/>
  <c r="AM11" i="14"/>
  <c r="AK11" i="14"/>
  <c r="AL11" i="14"/>
  <c r="AK47" i="14"/>
  <c r="AM47" i="14"/>
  <c r="AL47" i="14"/>
  <c r="AM22" i="14"/>
  <c r="AK22" i="14"/>
  <c r="AL22" i="14"/>
  <c r="AM46" i="14"/>
  <c r="AK46" i="14"/>
  <c r="AL46" i="14"/>
  <c r="AM9" i="14"/>
  <c r="AL9" i="14"/>
  <c r="AK9" i="14"/>
  <c r="AM45" i="14"/>
  <c r="AL45" i="14"/>
  <c r="AK45" i="14"/>
  <c r="AM8" i="14"/>
  <c r="AL8" i="14"/>
  <c r="AK8" i="14"/>
  <c r="AL31" i="14"/>
  <c r="AM31" i="14"/>
  <c r="AK31" i="14"/>
  <c r="AM19" i="14"/>
  <c r="AL19" i="14"/>
  <c r="AK19" i="14"/>
  <c r="AK30" i="14"/>
  <c r="AM30" i="14"/>
  <c r="AL30" i="14"/>
  <c r="AM41" i="14"/>
  <c r="AL41" i="14"/>
  <c r="AK41" i="14"/>
  <c r="AM29" i="14"/>
  <c r="AL29" i="14"/>
  <c r="AK29" i="14"/>
  <c r="AL17" i="14"/>
  <c r="AK17" i="14"/>
  <c r="AM17" i="14"/>
  <c r="AM5" i="14"/>
  <c r="AL5" i="14"/>
  <c r="AK5" i="14"/>
  <c r="AL26" i="14"/>
  <c r="AK26" i="14"/>
  <c r="AM26" i="14"/>
  <c r="AL50" i="14"/>
  <c r="AK50" i="14"/>
  <c r="AM50" i="14"/>
  <c r="AK49" i="14"/>
  <c r="AL49" i="14"/>
  <c r="AM49" i="14"/>
  <c r="AK48" i="14"/>
  <c r="AM48" i="14"/>
  <c r="AL48" i="14"/>
  <c r="AM33" i="14"/>
  <c r="AL33" i="14"/>
  <c r="AK33" i="14"/>
  <c r="AM20" i="14"/>
  <c r="AL20" i="14"/>
  <c r="AK20" i="14"/>
  <c r="AL44" i="14"/>
  <c r="AM44" i="14"/>
  <c r="AK44" i="14"/>
  <c r="AM43" i="14"/>
  <c r="AL43" i="14"/>
  <c r="AK43" i="14"/>
  <c r="AL18" i="14"/>
  <c r="AM18" i="14"/>
  <c r="AK18" i="14"/>
  <c r="AM3" i="14"/>
  <c r="AK3" i="14"/>
  <c r="AL3" i="14"/>
  <c r="AM40" i="14"/>
  <c r="AL40" i="14"/>
  <c r="AK40" i="14"/>
  <c r="AM28" i="14"/>
  <c r="AL28" i="14"/>
  <c r="AK28" i="14"/>
  <c r="AM16" i="14"/>
  <c r="AL16" i="14"/>
  <c r="AK16" i="14"/>
  <c r="AM4" i="14"/>
  <c r="AK4" i="14"/>
  <c r="AL4" i="14"/>
  <c r="T25" i="13"/>
  <c r="T26" i="13" l="1"/>
  <c r="G26" i="13" l="1"/>
  <c r="H22" i="14" l="1"/>
  <c r="H17" i="14" l="1"/>
  <c r="T15" i="13" l="1"/>
  <c r="G14" i="13" l="1"/>
  <c r="V3" i="14"/>
  <c r="L52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3" i="14"/>
  <c r="G12" i="13"/>
  <c r="T11" i="13"/>
  <c r="T10" i="13"/>
  <c r="R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P43" i="13"/>
  <c r="K44" i="13"/>
  <c r="K46" i="13"/>
  <c r="K47" i="13"/>
  <c r="K48" i="13"/>
  <c r="K49" i="13"/>
  <c r="K50" i="13"/>
  <c r="K51" i="13"/>
  <c r="K52" i="13"/>
  <c r="K3" i="13"/>
  <c r="K4" i="13"/>
  <c r="K5" i="13"/>
  <c r="K6" i="13"/>
  <c r="K7" i="13"/>
  <c r="K8" i="13"/>
  <c r="K9" i="13"/>
  <c r="K2" i="13"/>
  <c r="AG2" i="13" s="1"/>
  <c r="T9" i="13"/>
  <c r="H7" i="14"/>
  <c r="O2" i="13"/>
  <c r="AG4" i="14"/>
  <c r="AG5" i="14"/>
  <c r="AG6" i="14"/>
  <c r="AG7" i="14"/>
  <c r="AG8" i="14"/>
  <c r="AG9" i="14"/>
  <c r="AG10" i="14"/>
  <c r="AG11" i="14"/>
  <c r="AG12" i="14"/>
  <c r="AG13" i="14"/>
  <c r="AG14" i="14"/>
  <c r="AG15" i="14"/>
  <c r="AG16" i="14"/>
  <c r="AG17" i="14"/>
  <c r="AG18" i="14"/>
  <c r="AG19" i="14"/>
  <c r="AG20" i="14"/>
  <c r="AG21" i="14"/>
  <c r="AG22" i="14"/>
  <c r="AG23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43" i="14"/>
  <c r="AG44" i="14"/>
  <c r="AG45" i="14"/>
  <c r="AG46" i="14"/>
  <c r="AG47" i="14"/>
  <c r="AG48" i="14"/>
  <c r="AG49" i="14"/>
  <c r="AG50" i="14"/>
  <c r="AG51" i="14"/>
  <c r="AG52" i="14"/>
  <c r="AG3" i="14"/>
  <c r="V52" i="14"/>
  <c r="U52" i="14"/>
  <c r="H52" i="14"/>
  <c r="V51" i="14"/>
  <c r="U51" i="14"/>
  <c r="H51" i="14"/>
  <c r="V50" i="14"/>
  <c r="U50" i="14"/>
  <c r="H50" i="14"/>
  <c r="V49" i="14"/>
  <c r="U49" i="14"/>
  <c r="H49" i="14"/>
  <c r="V48" i="14"/>
  <c r="U48" i="14"/>
  <c r="H48" i="14"/>
  <c r="V47" i="14"/>
  <c r="U47" i="14"/>
  <c r="H47" i="14"/>
  <c r="V46" i="14"/>
  <c r="U46" i="14"/>
  <c r="H46" i="14"/>
  <c r="V45" i="14"/>
  <c r="U45" i="14"/>
  <c r="H45" i="14"/>
  <c r="V44" i="14"/>
  <c r="U44" i="14"/>
  <c r="H44" i="14"/>
  <c r="V43" i="14"/>
  <c r="U43" i="14"/>
  <c r="H43" i="14"/>
  <c r="U42" i="14"/>
  <c r="H42" i="14"/>
  <c r="V41" i="14"/>
  <c r="U41" i="14"/>
  <c r="H41" i="14"/>
  <c r="V40" i="14"/>
  <c r="U40" i="14"/>
  <c r="H40" i="14"/>
  <c r="V39" i="14"/>
  <c r="U39" i="14"/>
  <c r="H39" i="14"/>
  <c r="V38" i="14"/>
  <c r="U38" i="14"/>
  <c r="S38" i="14"/>
  <c r="H38" i="14"/>
  <c r="V37" i="14"/>
  <c r="U37" i="14"/>
  <c r="H37" i="14"/>
  <c r="V36" i="14"/>
  <c r="U36" i="14"/>
  <c r="H36" i="14"/>
  <c r="V35" i="14"/>
  <c r="U35" i="14"/>
  <c r="H35" i="14"/>
  <c r="V34" i="14"/>
  <c r="U34" i="14"/>
  <c r="H34" i="14"/>
  <c r="V33" i="14"/>
  <c r="U33" i="14"/>
  <c r="H33" i="14"/>
  <c r="V32" i="14"/>
  <c r="U32" i="14"/>
  <c r="H32" i="14"/>
  <c r="V31" i="14"/>
  <c r="U31" i="14"/>
  <c r="H31" i="14"/>
  <c r="V30" i="14"/>
  <c r="U30" i="14"/>
  <c r="H30" i="14"/>
  <c r="V29" i="14"/>
  <c r="U29" i="14"/>
  <c r="H29" i="14"/>
  <c r="V28" i="14"/>
  <c r="U28" i="14"/>
  <c r="H28" i="14"/>
  <c r="V27" i="14"/>
  <c r="U27" i="14"/>
  <c r="H27" i="14"/>
  <c r="V26" i="14"/>
  <c r="U26" i="14"/>
  <c r="S26" i="14"/>
  <c r="H26" i="14"/>
  <c r="V25" i="14"/>
  <c r="U25" i="14"/>
  <c r="H25" i="14"/>
  <c r="U24" i="14"/>
  <c r="H24" i="14"/>
  <c r="U23" i="14"/>
  <c r="H23" i="14"/>
  <c r="U22" i="14"/>
  <c r="T22" i="14"/>
  <c r="V21" i="14"/>
  <c r="U21" i="14"/>
  <c r="H21" i="14"/>
  <c r="V20" i="14"/>
  <c r="U20" i="14"/>
  <c r="H20" i="14"/>
  <c r="V19" i="14"/>
  <c r="U19" i="14"/>
  <c r="H19" i="14"/>
  <c r="V18" i="14"/>
  <c r="U18" i="14"/>
  <c r="H18" i="14"/>
  <c r="V17" i="14"/>
  <c r="U17" i="14"/>
  <c r="T17" i="14"/>
  <c r="V16" i="14"/>
  <c r="U16" i="14"/>
  <c r="H16" i="14"/>
  <c r="V15" i="14"/>
  <c r="U15" i="14"/>
  <c r="H15" i="14"/>
  <c r="V14" i="14"/>
  <c r="U14" i="14"/>
  <c r="H14" i="14"/>
  <c r="V13" i="14"/>
  <c r="U13" i="14"/>
  <c r="R13" i="14"/>
  <c r="H13" i="14"/>
  <c r="V12" i="14"/>
  <c r="U12" i="14"/>
  <c r="H12" i="14"/>
  <c r="V11" i="14"/>
  <c r="U11" i="14"/>
  <c r="R11" i="14"/>
  <c r="H11" i="14"/>
  <c r="V10" i="14"/>
  <c r="U10" i="14"/>
  <c r="H10" i="14"/>
  <c r="V9" i="14"/>
  <c r="U9" i="14"/>
  <c r="H9" i="14"/>
  <c r="V8" i="14"/>
  <c r="U8" i="14"/>
  <c r="H8" i="14"/>
  <c r="V7" i="14"/>
  <c r="U7" i="14"/>
  <c r="V6" i="14"/>
  <c r="U6" i="14"/>
  <c r="H6" i="14"/>
  <c r="V5" i="14"/>
  <c r="U5" i="14"/>
  <c r="H5" i="14"/>
  <c r="V4" i="14"/>
  <c r="U4" i="14"/>
  <c r="H4" i="14"/>
  <c r="U3" i="14"/>
  <c r="H3" i="14"/>
  <c r="G18" i="13"/>
  <c r="J18" i="13"/>
  <c r="O18" i="13"/>
  <c r="R18" i="13"/>
  <c r="G19" i="13"/>
  <c r="J19" i="13"/>
  <c r="O19" i="13"/>
  <c r="R19" i="13"/>
  <c r="T19" i="13"/>
  <c r="J20" i="13"/>
  <c r="O20" i="13"/>
  <c r="R20" i="13"/>
  <c r="T20" i="13"/>
  <c r="G21" i="13"/>
  <c r="J21" i="13"/>
  <c r="O21" i="13"/>
  <c r="R21" i="13"/>
  <c r="T21" i="13"/>
  <c r="G22" i="13"/>
  <c r="J22" i="13"/>
  <c r="O22" i="13"/>
  <c r="R22" i="13"/>
  <c r="T22" i="13"/>
  <c r="G23" i="13"/>
  <c r="J23" i="13"/>
  <c r="O23" i="13"/>
  <c r="R23" i="13"/>
  <c r="T23" i="13"/>
  <c r="G24" i="13"/>
  <c r="J24" i="13"/>
  <c r="O24" i="13"/>
  <c r="R24" i="13"/>
  <c r="T24" i="13"/>
  <c r="G25" i="13"/>
  <c r="J25" i="13"/>
  <c r="O25" i="13"/>
  <c r="R25" i="13"/>
  <c r="J26" i="13"/>
  <c r="O26" i="13"/>
  <c r="R26" i="13"/>
  <c r="G27" i="13"/>
  <c r="J27" i="13"/>
  <c r="O27" i="13"/>
  <c r="R27" i="13"/>
  <c r="T27" i="13"/>
  <c r="G28" i="13"/>
  <c r="J28" i="13"/>
  <c r="O28" i="13"/>
  <c r="R28" i="13"/>
  <c r="T28" i="13"/>
  <c r="G29" i="13"/>
  <c r="J29" i="13"/>
  <c r="O29" i="13"/>
  <c r="R29" i="13"/>
  <c r="T29" i="13"/>
  <c r="G30" i="13"/>
  <c r="J30" i="13"/>
  <c r="O30" i="13"/>
  <c r="R30" i="13"/>
  <c r="T30" i="13"/>
  <c r="G31" i="13"/>
  <c r="J31" i="13"/>
  <c r="O31" i="13"/>
  <c r="R31" i="13"/>
  <c r="G32" i="13"/>
  <c r="J32" i="13"/>
  <c r="O32" i="13"/>
  <c r="R32" i="13"/>
  <c r="T32" i="13"/>
  <c r="G33" i="13"/>
  <c r="O33" i="13"/>
  <c r="R33" i="13"/>
  <c r="T33" i="13"/>
  <c r="G34" i="13"/>
  <c r="J34" i="13"/>
  <c r="O34" i="13"/>
  <c r="R34" i="13"/>
  <c r="T34" i="13"/>
  <c r="G35" i="13"/>
  <c r="J35" i="13"/>
  <c r="O35" i="13"/>
  <c r="R35" i="13"/>
  <c r="T35" i="13"/>
  <c r="G36" i="13"/>
  <c r="J36" i="13"/>
  <c r="O36" i="13"/>
  <c r="R36" i="13"/>
  <c r="T36" i="13"/>
  <c r="G37" i="13"/>
  <c r="J37" i="13"/>
  <c r="O37" i="13"/>
  <c r="R37" i="13"/>
  <c r="T37" i="13"/>
  <c r="G38" i="13"/>
  <c r="J38" i="13"/>
  <c r="O38" i="13"/>
  <c r="R38" i="13"/>
  <c r="T38" i="13"/>
  <c r="G39" i="13"/>
  <c r="J39" i="13"/>
  <c r="O39" i="13"/>
  <c r="R39" i="13"/>
  <c r="T39" i="13"/>
  <c r="G40" i="13"/>
  <c r="J40" i="13"/>
  <c r="O40" i="13"/>
  <c r="R40" i="13"/>
  <c r="T40" i="13"/>
  <c r="G41" i="13"/>
  <c r="J41" i="13"/>
  <c r="O41" i="13"/>
  <c r="R41" i="13"/>
  <c r="T41" i="13"/>
  <c r="G42" i="13"/>
  <c r="J42" i="13"/>
  <c r="O42" i="13"/>
  <c r="R42" i="13"/>
  <c r="T42" i="13"/>
  <c r="G43" i="13"/>
  <c r="J43" i="13"/>
  <c r="M43" i="13"/>
  <c r="N43" i="13"/>
  <c r="O43" i="13"/>
  <c r="R43" i="13"/>
  <c r="T43" i="13"/>
  <c r="G44" i="13"/>
  <c r="J44" i="13"/>
  <c r="O44" i="13"/>
  <c r="R44" i="13"/>
  <c r="T44" i="13"/>
  <c r="G46" i="13"/>
  <c r="J46" i="13"/>
  <c r="O46" i="13"/>
  <c r="R46" i="13"/>
  <c r="T46" i="13"/>
  <c r="G47" i="13"/>
  <c r="O47" i="13"/>
  <c r="R47" i="13"/>
  <c r="T47" i="13"/>
  <c r="G48" i="13"/>
  <c r="J48" i="13"/>
  <c r="O48" i="13"/>
  <c r="R48" i="13"/>
  <c r="T48" i="13"/>
  <c r="G49" i="13"/>
  <c r="J49" i="13"/>
  <c r="O49" i="13"/>
  <c r="R49" i="13"/>
  <c r="G50" i="13"/>
  <c r="J50" i="13"/>
  <c r="O50" i="13"/>
  <c r="R50" i="13"/>
  <c r="T50" i="13"/>
  <c r="G51" i="13"/>
  <c r="J51" i="13"/>
  <c r="O51" i="13"/>
  <c r="R51" i="13"/>
  <c r="T51" i="13"/>
  <c r="G52" i="13"/>
  <c r="O52" i="13"/>
  <c r="R52" i="13"/>
  <c r="T52" i="13"/>
  <c r="T17" i="13"/>
  <c r="R17" i="13"/>
  <c r="O17" i="13"/>
  <c r="J17" i="13"/>
  <c r="G17" i="13"/>
  <c r="R16" i="13"/>
  <c r="O16" i="13"/>
  <c r="J16" i="13"/>
  <c r="G16" i="13"/>
  <c r="R15" i="13"/>
  <c r="O15" i="13"/>
  <c r="J15" i="13"/>
  <c r="T14" i="13"/>
  <c r="R14" i="13"/>
  <c r="O14" i="13"/>
  <c r="J14" i="13"/>
  <c r="T13" i="13"/>
  <c r="R13" i="13"/>
  <c r="O13" i="13"/>
  <c r="J13" i="13"/>
  <c r="G13" i="13"/>
  <c r="T12" i="13"/>
  <c r="R12" i="13"/>
  <c r="O12" i="13"/>
  <c r="J12" i="13"/>
  <c r="R11" i="13"/>
  <c r="O11" i="13"/>
  <c r="J11" i="13"/>
  <c r="G11" i="13"/>
  <c r="R10" i="13"/>
  <c r="O10" i="13"/>
  <c r="J10" i="13"/>
  <c r="G10" i="13"/>
  <c r="O9" i="13"/>
  <c r="J9" i="13"/>
  <c r="G9" i="13"/>
  <c r="T8" i="13"/>
  <c r="R8" i="13"/>
  <c r="O8" i="13"/>
  <c r="J8" i="13"/>
  <c r="G8" i="13"/>
  <c r="T7" i="13"/>
  <c r="R7" i="13"/>
  <c r="O7" i="13"/>
  <c r="J7" i="13"/>
  <c r="G7" i="13"/>
  <c r="T6" i="13"/>
  <c r="R6" i="13"/>
  <c r="O6" i="13"/>
  <c r="J6" i="13"/>
  <c r="G6" i="13"/>
  <c r="T5" i="13"/>
  <c r="R5" i="13"/>
  <c r="O5" i="13"/>
  <c r="J5" i="13"/>
  <c r="G5" i="13"/>
  <c r="T4" i="13"/>
  <c r="R4" i="13"/>
  <c r="O4" i="13"/>
  <c r="J4" i="13"/>
  <c r="G4" i="13"/>
  <c r="T3" i="13"/>
  <c r="R3" i="13"/>
  <c r="O3" i="13"/>
  <c r="J3" i="13"/>
  <c r="G3" i="13"/>
  <c r="T2" i="13"/>
  <c r="R2" i="13"/>
  <c r="J2" i="13"/>
  <c r="G2" i="13"/>
  <c r="E52" i="14" l="1"/>
  <c r="E4" i="14"/>
  <c r="S5" i="14"/>
  <c r="S6" i="14"/>
  <c r="S7" i="14"/>
  <c r="S8" i="14"/>
  <c r="E9" i="14"/>
  <c r="S10" i="14"/>
  <c r="E11" i="14"/>
  <c r="S12" i="14"/>
  <c r="S13" i="14"/>
  <c r="S14" i="14"/>
  <c r="S15" i="14"/>
  <c r="S16" i="14"/>
  <c r="S17" i="14"/>
  <c r="S18" i="14"/>
  <c r="S19" i="14"/>
  <c r="S20" i="14"/>
  <c r="S21" i="14"/>
  <c r="E22" i="14"/>
  <c r="S23" i="14"/>
  <c r="S24" i="14"/>
  <c r="S25" i="14"/>
  <c r="E26" i="14"/>
  <c r="E27" i="14"/>
  <c r="S28" i="14"/>
  <c r="S29" i="14"/>
  <c r="S30" i="14"/>
  <c r="S31" i="14"/>
  <c r="E32" i="14"/>
  <c r="S33" i="14"/>
  <c r="E34" i="14"/>
  <c r="S35" i="14"/>
  <c r="S36" i="14"/>
  <c r="E37" i="14"/>
  <c r="E38" i="14"/>
  <c r="S39" i="14"/>
  <c r="S40" i="14"/>
  <c r="S41" i="14"/>
  <c r="S42" i="14"/>
  <c r="S43" i="14"/>
  <c r="S44" i="14"/>
  <c r="E45" i="14"/>
  <c r="E46" i="14"/>
  <c r="S47" i="14"/>
  <c r="E48" i="14"/>
  <c r="S49" i="14"/>
  <c r="E50" i="14"/>
  <c r="E51" i="14"/>
  <c r="S3" i="14"/>
  <c r="U10" i="13"/>
  <c r="M11" i="13"/>
  <c r="U12" i="13"/>
  <c r="AG13" i="13"/>
  <c r="Q14" i="13"/>
  <c r="P15" i="13"/>
  <c r="AG16" i="13"/>
  <c r="N17" i="13"/>
  <c r="AG18" i="13"/>
  <c r="P19" i="13"/>
  <c r="M20" i="13"/>
  <c r="AG21" i="13"/>
  <c r="M22" i="13"/>
  <c r="P23" i="13"/>
  <c r="Q24" i="13"/>
  <c r="AG25" i="13"/>
  <c r="M26" i="13"/>
  <c r="P27" i="13"/>
  <c r="P28" i="13"/>
  <c r="P29" i="13"/>
  <c r="Q30" i="13"/>
  <c r="P31" i="13"/>
  <c r="U32" i="13"/>
  <c r="P33" i="13"/>
  <c r="U34" i="13"/>
  <c r="P35" i="13"/>
  <c r="N36" i="13"/>
  <c r="AG37" i="13"/>
  <c r="P38" i="13"/>
  <c r="P39" i="13"/>
  <c r="AG40" i="13"/>
  <c r="M41" i="13"/>
  <c r="Q42" i="13"/>
  <c r="M44" i="13"/>
  <c r="P46" i="13"/>
  <c r="P47" i="13"/>
  <c r="P48" i="13"/>
  <c r="P50" i="13"/>
  <c r="P51" i="13"/>
  <c r="AG52" i="13"/>
  <c r="P3" i="13"/>
  <c r="P4" i="13"/>
  <c r="P5" i="13"/>
  <c r="M6" i="13"/>
  <c r="P7" i="13"/>
  <c r="AG8" i="13"/>
  <c r="U9" i="13"/>
  <c r="T7" i="14"/>
  <c r="T52" i="14"/>
  <c r="T51" i="14"/>
  <c r="T50" i="14"/>
  <c r="T49" i="14"/>
  <c r="T48" i="14"/>
  <c r="T47" i="14"/>
  <c r="T46" i="14"/>
  <c r="T45" i="14"/>
  <c r="T44" i="14"/>
  <c r="T43" i="14"/>
  <c r="T42" i="14"/>
  <c r="T41" i="14"/>
  <c r="T40" i="14"/>
  <c r="T39" i="14"/>
  <c r="T38" i="14"/>
  <c r="T37" i="14"/>
  <c r="T36" i="14"/>
  <c r="T35" i="14"/>
  <c r="T34" i="14"/>
  <c r="T33" i="14"/>
  <c r="T32" i="14"/>
  <c r="T31" i="14"/>
  <c r="T30" i="14"/>
  <c r="T29" i="14"/>
  <c r="T28" i="14"/>
  <c r="T27" i="14"/>
  <c r="T26" i="14"/>
  <c r="T24" i="14"/>
  <c r="T23" i="14"/>
  <c r="T21" i="14"/>
  <c r="T20" i="14"/>
  <c r="T19" i="14"/>
  <c r="T18" i="14"/>
  <c r="T16" i="14"/>
  <c r="T15" i="14"/>
  <c r="T14" i="14"/>
  <c r="T12" i="14"/>
  <c r="T10" i="14"/>
  <c r="T9" i="14"/>
  <c r="T8" i="14"/>
  <c r="T6" i="14"/>
  <c r="T5" i="14"/>
  <c r="T4" i="14"/>
  <c r="T3" i="14"/>
  <c r="Q38" i="13"/>
  <c r="U38" i="13"/>
  <c r="Q26" i="13"/>
  <c r="N26" i="13"/>
  <c r="M38" i="13"/>
  <c r="Q52" i="13"/>
  <c r="N16" i="13"/>
  <c r="N52" i="13"/>
  <c r="M39" i="13"/>
  <c r="E25" i="14"/>
  <c r="N38" i="13"/>
  <c r="AG38" i="13"/>
  <c r="N27" i="13"/>
  <c r="M27" i="13"/>
  <c r="M15" i="13"/>
  <c r="U52" i="13"/>
  <c r="Q40" i="13"/>
  <c r="N3" i="13"/>
  <c r="M52" i="13"/>
  <c r="M5" i="13"/>
  <c r="N30" i="13"/>
  <c r="M30" i="13"/>
  <c r="M19" i="13"/>
  <c r="M4" i="13"/>
  <c r="N5" i="13"/>
  <c r="N42" i="13"/>
  <c r="AG30" i="13"/>
  <c r="M42" i="13"/>
  <c r="N31" i="13"/>
  <c r="AG4" i="13"/>
  <c r="Q21" i="13"/>
  <c r="N18" i="13"/>
  <c r="Q16" i="13"/>
  <c r="M31" i="13"/>
  <c r="E30" i="14"/>
  <c r="E6" i="14"/>
  <c r="E18" i="14"/>
  <c r="E14" i="14"/>
  <c r="S52" i="14"/>
  <c r="E42" i="14"/>
  <c r="E17" i="14"/>
  <c r="N50" i="13"/>
  <c r="AG50" i="13"/>
  <c r="AI50" i="13" s="1"/>
  <c r="U22" i="13"/>
  <c r="AG5" i="13"/>
  <c r="N7" i="13"/>
  <c r="E19" i="14"/>
  <c r="AG3" i="13"/>
  <c r="AG49" i="13"/>
  <c r="U49" i="13"/>
  <c r="Q50" i="13"/>
  <c r="M50" i="13"/>
  <c r="M7" i="13"/>
  <c r="N10" i="13"/>
  <c r="U50" i="13"/>
  <c r="S50" i="14"/>
  <c r="M51" i="13"/>
  <c r="N51" i="13"/>
  <c r="E49" i="14"/>
  <c r="S9" i="14"/>
  <c r="E7" i="14"/>
  <c r="E43" i="14"/>
  <c r="E8" i="14"/>
  <c r="N9" i="13"/>
  <c r="S51" i="14"/>
  <c r="U3" i="13"/>
  <c r="Q7" i="13"/>
  <c r="N21" i="13"/>
  <c r="Q15" i="13"/>
  <c r="M21" i="13"/>
  <c r="Q41" i="13"/>
  <c r="Q33" i="13"/>
  <c r="E21" i="14"/>
  <c r="M16" i="13"/>
  <c r="N39" i="13"/>
  <c r="E41" i="14"/>
  <c r="E40" i="14"/>
  <c r="N40" i="13"/>
  <c r="M40" i="13"/>
  <c r="P40" i="13"/>
  <c r="U40" i="13"/>
  <c r="E39" i="14"/>
  <c r="S37" i="14"/>
  <c r="E33" i="14"/>
  <c r="N33" i="13"/>
  <c r="E31" i="14"/>
  <c r="AG29" i="13"/>
  <c r="Q29" i="13"/>
  <c r="Q28" i="13"/>
  <c r="AG28" i="13"/>
  <c r="U28" i="13"/>
  <c r="M28" i="13"/>
  <c r="N28" i="13"/>
  <c r="N4" i="13"/>
  <c r="Q49" i="13"/>
  <c r="AG42" i="13"/>
  <c r="P49" i="13"/>
  <c r="M33" i="13"/>
  <c r="U29" i="13"/>
  <c r="Q18" i="13"/>
  <c r="S4" i="14"/>
  <c r="AG41" i="13"/>
  <c r="P42" i="13"/>
  <c r="S48" i="14"/>
  <c r="U41" i="13"/>
  <c r="M3" i="13"/>
  <c r="Q4" i="13"/>
  <c r="U7" i="13"/>
  <c r="M10" i="13"/>
  <c r="S45" i="14"/>
  <c r="P41" i="13"/>
  <c r="U13" i="13"/>
  <c r="M18" i="13"/>
  <c r="Q3" i="13"/>
  <c r="U4" i="13"/>
  <c r="Q10" i="13"/>
  <c r="M13" i="13"/>
  <c r="U21" i="13"/>
  <c r="P30" i="13"/>
  <c r="N41" i="13"/>
  <c r="N29" i="13"/>
  <c r="AG7" i="13"/>
  <c r="U42" i="13"/>
  <c r="U30" i="13"/>
  <c r="Q13" i="13"/>
  <c r="U33" i="13"/>
  <c r="M29" i="13"/>
  <c r="E3" i="14"/>
  <c r="P26" i="13"/>
  <c r="U26" i="13"/>
  <c r="AG26" i="13"/>
  <c r="E29" i="14"/>
  <c r="E28" i="14"/>
  <c r="S27" i="14"/>
  <c r="Q25" i="13"/>
  <c r="N25" i="13"/>
  <c r="M25" i="13"/>
  <c r="U37" i="13"/>
  <c r="N49" i="13"/>
  <c r="M49" i="13"/>
  <c r="Q37" i="13"/>
  <c r="N13" i="13"/>
  <c r="U25" i="13"/>
  <c r="N37" i="13"/>
  <c r="S11" i="14"/>
  <c r="M37" i="13"/>
  <c r="P13" i="13"/>
  <c r="P52" i="13"/>
  <c r="M36" i="13"/>
  <c r="U11" i="13"/>
  <c r="N11" i="13"/>
  <c r="N46" i="13"/>
  <c r="AG33" i="13"/>
  <c r="P24" i="13"/>
  <c r="Q11" i="13"/>
  <c r="M46" i="13"/>
  <c r="P22" i="13"/>
  <c r="P21" i="13"/>
  <c r="M8" i="13"/>
  <c r="Q34" i="13"/>
  <c r="AG46" i="13"/>
  <c r="AG10" i="13"/>
  <c r="N19" i="13"/>
  <c r="P18" i="13"/>
  <c r="T11" i="14"/>
  <c r="N8" i="13"/>
  <c r="N34" i="13"/>
  <c r="Q22" i="13"/>
  <c r="AG24" i="13"/>
  <c r="AG48" i="13"/>
  <c r="U48" i="13"/>
  <c r="N47" i="13"/>
  <c r="M34" i="13"/>
  <c r="E36" i="14"/>
  <c r="AG22" i="13"/>
  <c r="Q8" i="13"/>
  <c r="M12" i="13"/>
  <c r="M47" i="13"/>
  <c r="N22" i="13"/>
  <c r="E47" i="14"/>
  <c r="E24" i="14"/>
  <c r="S46" i="14"/>
  <c r="Q2" i="13"/>
  <c r="P36" i="13"/>
  <c r="P12" i="13"/>
  <c r="N24" i="13"/>
  <c r="N12" i="13"/>
  <c r="U36" i="13"/>
  <c r="N35" i="13"/>
  <c r="E35" i="14"/>
  <c r="E12" i="14"/>
  <c r="S22" i="14"/>
  <c r="S34" i="14"/>
  <c r="P2" i="13"/>
  <c r="P34" i="13"/>
  <c r="P11" i="13"/>
  <c r="N2" i="13"/>
  <c r="Q48" i="13"/>
  <c r="M35" i="13"/>
  <c r="E23" i="14"/>
  <c r="AG12" i="13"/>
  <c r="P10" i="13"/>
  <c r="M2" i="13"/>
  <c r="U8" i="13"/>
  <c r="Q12" i="13"/>
  <c r="U46" i="13"/>
  <c r="U24" i="13"/>
  <c r="N23" i="13"/>
  <c r="U2" i="13"/>
  <c r="AG36" i="13"/>
  <c r="AG11" i="13"/>
  <c r="P8" i="13"/>
  <c r="N48" i="13"/>
  <c r="Q36" i="13"/>
  <c r="M23" i="13"/>
  <c r="E10" i="14"/>
  <c r="AG34" i="13"/>
  <c r="M24" i="13"/>
  <c r="M48" i="13"/>
  <c r="T13" i="14"/>
  <c r="AG9" i="13"/>
  <c r="M9" i="13"/>
  <c r="Q46" i="13"/>
  <c r="N44" i="13"/>
  <c r="N6" i="13"/>
  <c r="AG20" i="13"/>
  <c r="P25" i="13"/>
  <c r="P6" i="13"/>
  <c r="E44" i="14"/>
  <c r="AG32" i="13"/>
  <c r="P37" i="13"/>
  <c r="N32" i="13"/>
  <c r="P20" i="13"/>
  <c r="U44" i="13"/>
  <c r="M32" i="13"/>
  <c r="U20" i="13"/>
  <c r="E20" i="14"/>
  <c r="Q6" i="13"/>
  <c r="AG44" i="13"/>
  <c r="Q32" i="13"/>
  <c r="P32" i="13"/>
  <c r="AG6" i="13"/>
  <c r="U6" i="13"/>
  <c r="Q44" i="13"/>
  <c r="Q20" i="13"/>
  <c r="S32" i="14"/>
  <c r="P44" i="13"/>
  <c r="P9" i="13"/>
  <c r="N20" i="13"/>
  <c r="E16" i="14"/>
  <c r="Q17" i="13"/>
  <c r="U17" i="13"/>
  <c r="P17" i="13"/>
  <c r="AG17" i="13"/>
  <c r="M17" i="13"/>
  <c r="P16" i="13"/>
  <c r="E15" i="14"/>
  <c r="U5" i="13"/>
  <c r="N15" i="13"/>
  <c r="Q51" i="13"/>
  <c r="Q47" i="13"/>
  <c r="Q43" i="13"/>
  <c r="Q39" i="13"/>
  <c r="Q35" i="13"/>
  <c r="Q31" i="13"/>
  <c r="Q27" i="13"/>
  <c r="Q23" i="13"/>
  <c r="Q19" i="13"/>
  <c r="Q5" i="13"/>
  <c r="Q9" i="13"/>
  <c r="U51" i="13"/>
  <c r="U47" i="13"/>
  <c r="U43" i="13"/>
  <c r="U39" i="13"/>
  <c r="U35" i="13"/>
  <c r="U27" i="13"/>
  <c r="U23" i="13"/>
  <c r="U19" i="13"/>
  <c r="AG51" i="13"/>
  <c r="AI51" i="13" s="1"/>
  <c r="AG47" i="13"/>
  <c r="AG43" i="13"/>
  <c r="AG39" i="13"/>
  <c r="AG35" i="13"/>
  <c r="AG31" i="13"/>
  <c r="AG27" i="13"/>
  <c r="AG23" i="13"/>
  <c r="AG19" i="13"/>
  <c r="AG15" i="13"/>
  <c r="U14" i="13"/>
  <c r="AG14" i="13"/>
  <c r="M14" i="13"/>
  <c r="N14" i="13"/>
  <c r="P14" i="13"/>
  <c r="E13" i="14"/>
  <c r="AI52" i="13" l="1"/>
</calcChain>
</file>

<file path=xl/sharedStrings.xml><?xml version="1.0" encoding="utf-8"?>
<sst xmlns="http://schemas.openxmlformats.org/spreadsheetml/2006/main" count="433" uniqueCount="121">
  <si>
    <t>Batch #</t>
  </si>
  <si>
    <t># at Entry</t>
  </si>
  <si>
    <t>Date in</t>
  </si>
  <si>
    <t>Mortality</t>
  </si>
  <si>
    <t>Total weigth in</t>
  </si>
  <si>
    <t>ADG</t>
  </si>
  <si>
    <t>Total animal days</t>
  </si>
  <si>
    <t>Total feed</t>
  </si>
  <si>
    <t>FCR</t>
  </si>
  <si>
    <t>House nr</t>
  </si>
  <si>
    <t>Number at slaughter</t>
  </si>
  <si>
    <t>Total live weight</t>
  </si>
  <si>
    <t>Total slaughter weight</t>
  </si>
  <si>
    <t>Slaughter %</t>
  </si>
  <si>
    <t>Slaughter age</t>
  </si>
  <si>
    <t>Age at entry</t>
  </si>
  <si>
    <t>avg Weight in</t>
  </si>
  <si>
    <t>avg live weight</t>
  </si>
  <si>
    <t>avgrage feed intake</t>
  </si>
  <si>
    <t>avg carcass weight</t>
  </si>
  <si>
    <t>Age at Weaning</t>
  </si>
  <si>
    <t>Date out</t>
  </si>
  <si>
    <t>avg days present</t>
  </si>
  <si>
    <t>Total feed used</t>
  </si>
  <si>
    <t>Total transfer weight</t>
  </si>
  <si>
    <t xml:space="preserve">avg age at transfer
</t>
  </si>
  <si>
    <t>Comments</t>
  </si>
  <si>
    <t>Max Temp</t>
  </si>
  <si>
    <t>Cost/per kg gain</t>
  </si>
  <si>
    <t>Feed cost per batch</t>
  </si>
  <si>
    <t>Min Temp</t>
  </si>
  <si>
    <t>Water usage per pig(L)</t>
  </si>
  <si>
    <t>Total Feed cost per batch</t>
  </si>
  <si>
    <t>Avg gain/pig</t>
  </si>
  <si>
    <t>Avg gain per pig</t>
  </si>
  <si>
    <t>W1A</t>
  </si>
  <si>
    <t>W1B</t>
  </si>
  <si>
    <t>W2A</t>
  </si>
  <si>
    <t>W2B</t>
  </si>
  <si>
    <t>W3A</t>
  </si>
  <si>
    <t>W3B</t>
  </si>
  <si>
    <t>GH3</t>
  </si>
  <si>
    <t>GH4</t>
  </si>
  <si>
    <t>GH5</t>
  </si>
  <si>
    <t>GH6</t>
  </si>
  <si>
    <t>GH7</t>
  </si>
  <si>
    <t>GH8</t>
  </si>
  <si>
    <t>GH9</t>
  </si>
  <si>
    <t>Medicated feed (zinc, wheatbran,nemovit)</t>
  </si>
  <si>
    <t>The whole batch delayed to be moved to Grower</t>
  </si>
  <si>
    <t>GH10A</t>
  </si>
  <si>
    <t xml:space="preserve">Left over of 5 growers </t>
  </si>
  <si>
    <t>GH11</t>
  </si>
  <si>
    <t>GH12&amp;10B</t>
  </si>
  <si>
    <t>GH1</t>
  </si>
  <si>
    <t>GH2</t>
  </si>
  <si>
    <t xml:space="preserve">Number transferred to ext </t>
  </si>
  <si>
    <t>Avg transfer weight to extension</t>
  </si>
  <si>
    <t>avg transfer weight to grower</t>
  </si>
  <si>
    <t>Left over of 6 growers</t>
  </si>
  <si>
    <t>G12&amp;10B</t>
  </si>
  <si>
    <t xml:space="preserve">Number of pigs transferred </t>
  </si>
  <si>
    <t>Number remaining in weaner</t>
  </si>
  <si>
    <t>G10B &amp;12</t>
  </si>
  <si>
    <t xml:space="preserve">GH3 </t>
  </si>
  <si>
    <t>Reason</t>
  </si>
  <si>
    <t>Reason*</t>
  </si>
  <si>
    <t>Oedema</t>
  </si>
  <si>
    <t>Bran to normal</t>
  </si>
  <si>
    <t>Bactofos in creep</t>
  </si>
  <si>
    <t>Advocin treatment (all gilts)-oedema prevention</t>
  </si>
  <si>
    <t>OTC in creep</t>
  </si>
  <si>
    <t>122 pigs delayed to slaughter</t>
  </si>
  <si>
    <t>Combined with week 20 slaughter</t>
  </si>
  <si>
    <t>Colcm slaughtered only 152 pigs, balance remaining 300</t>
  </si>
  <si>
    <t>Combined with 300 from week 22</t>
  </si>
  <si>
    <t>Whole batch delayed to slaughter only 122 pigs slaughtered</t>
  </si>
  <si>
    <t>Sent to slaughter at 22 weeks</t>
  </si>
  <si>
    <t>120 pigs sent to slaughter at 22 weeks</t>
  </si>
  <si>
    <t>282 pigs sent to slaughter at 22 weeks</t>
  </si>
  <si>
    <t>Total Feed live pigs transferred</t>
  </si>
  <si>
    <t>Feed/live pig transferred</t>
  </si>
  <si>
    <t xml:space="preserve">Total feed usage ext pigs </t>
  </si>
  <si>
    <t>Total Feed for live pigs sold</t>
  </si>
  <si>
    <t>Feed/live pig sold</t>
  </si>
  <si>
    <t>Price/kg carcass</t>
  </si>
  <si>
    <t>Margin over feed</t>
  </si>
  <si>
    <t>GH10B &amp;12</t>
  </si>
  <si>
    <t>Whole batch delayed to slaughter.</t>
  </si>
  <si>
    <t>Slaughtered a week later</t>
  </si>
  <si>
    <t>Creep 2/pig</t>
  </si>
  <si>
    <t>Creep 3/pig</t>
  </si>
  <si>
    <t>Wean 1/pig</t>
  </si>
  <si>
    <t>Total wean 1</t>
  </si>
  <si>
    <t>Total Grower 1</t>
  </si>
  <si>
    <t>Total Grower 2</t>
  </si>
  <si>
    <t>Total Grower 3</t>
  </si>
  <si>
    <t xml:space="preserve">Total Finisher </t>
  </si>
  <si>
    <t>Grower 1/pig</t>
  </si>
  <si>
    <t>Grower 2/pig</t>
  </si>
  <si>
    <t>Grower 3/pig</t>
  </si>
  <si>
    <t>Finsiher/pig</t>
  </si>
  <si>
    <t xml:space="preserve">Creep 3/pig </t>
  </si>
  <si>
    <t xml:space="preserve">Wean 1/pig </t>
  </si>
  <si>
    <t>G10A</t>
  </si>
  <si>
    <t>MIXED (WHITE &amp; RED) SORGHUM GROWER 2&amp;3</t>
  </si>
  <si>
    <t>THE BATCH SENT TO COLCOM EARLIER,</t>
  </si>
  <si>
    <t>MIXED WHITE &amp; RED SORGHUM GROWER 3</t>
  </si>
  <si>
    <t>MIXED WHITE &amp; RED SORGHUM IN GROWER 3</t>
  </si>
  <si>
    <t>MIXED (WHITE &amp; RED) SORGHUM GROWER 2</t>
  </si>
  <si>
    <t xml:space="preserve">HIGH MORTALITY DUE TO OEDEMA CONTRIBUTED (41.6%) </t>
  </si>
  <si>
    <t xml:space="preserve">HIGH MORTALITY DUE TO OEDEMA CONTRIBUTED (81.2%) </t>
  </si>
  <si>
    <t xml:space="preserve">HIGH MORTALITY DUE TO OEDEMA(33.3%) &amp; SCOURS(33.3%) </t>
  </si>
  <si>
    <t xml:space="preserve">HIGH MORTALITY DUE TO OEDEMA CONTRIBUTED (46.1%) </t>
  </si>
  <si>
    <t>THE BATCH DELAYED TO COLCOM</t>
  </si>
  <si>
    <t>INTRODUCED ACID PAK</t>
  </si>
  <si>
    <t xml:space="preserve">INTRODUCED ACID PAK/HIGH MORTALITY DUE TO OEDEMA </t>
  </si>
  <si>
    <t>HIGH MORTALITY RATE DUE TO DOAs and DIPs</t>
  </si>
  <si>
    <t>HIGH MORTALITY RATE DUE TO DIPs</t>
  </si>
  <si>
    <t>HIGH MOTALITY FROM 4-7 WEEKS OF AGE IN SMALLS DUE TO AN OVERDOSE OF GENTAMYCIN IN FARROWING HOUSE</t>
  </si>
  <si>
    <t>DELAYED MOVEMENT TO GROWER DUE TO UNAVAILABLE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</si>
</sst>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  <xf numFmtId="14" fontId="0" fillId="2" borderId="1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>
      <alignment horizontal="center"/>
    </xf>
    <xf numFmtId="0" fontId="0" fillId="3" borderId="2" xfId="0" applyFill="1" applyBorder="1" applyProtection="1">
      <protection locked="0"/>
    </xf>
    <xf numFmtId="10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>
      <alignment horizontal="center"/>
    </xf>
    <xf numFmtId="16" fontId="0" fillId="2" borderId="1" xfId="0" applyNumberFormat="1" applyFill="1" applyBorder="1" applyAlignment="1" applyProtection="1">
      <alignment horizontal="center"/>
      <protection locked="0"/>
    </xf>
    <xf numFmtId="2" fontId="0" fillId="0" borderId="2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 vertical="center" wrapText="1"/>
    </xf>
    <xf numFmtId="9" fontId="0" fillId="0" borderId="2" xfId="1" applyFont="1" applyBorder="1" applyAlignment="1">
      <alignment horizontal="center"/>
    </xf>
    <xf numFmtId="0" fontId="0" fillId="3" borderId="2" xfId="0" applyFill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2" fontId="0" fillId="4" borderId="1" xfId="0" applyNumberForma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5" borderId="2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" fontId="0" fillId="0" borderId="1" xfId="0" applyNumberFormat="1" applyBorder="1" applyAlignment="1">
      <alignment horizontal="center"/>
    </xf>
  </cellXfs>
  <cellStyles count="3">
    <cellStyle name="Comma 2" xfId="2" xr:uid="{00000000-0005-0000-0000-000000000000}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0066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015791594515435E-2"/>
          <c:y val="0.11420438978992167"/>
          <c:w val="0.88968754424369156"/>
          <c:h val="0.75632964206167452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poly"/>
            <c:order val="3"/>
            <c:dispRSqr val="0"/>
            <c:dispEq val="0"/>
          </c:trendline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EA4-42AE-8F73-E742A3E62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443136"/>
        <c:axId val="148444672"/>
      </c:lineChart>
      <c:catAx>
        <c:axId val="148443136"/>
        <c:scaling>
          <c:orientation val="minMax"/>
        </c:scaling>
        <c:delete val="0"/>
        <c:axPos val="b"/>
        <c:majorTickMark val="out"/>
        <c:minorTickMark val="none"/>
        <c:tickLblPos val="nextTo"/>
        <c:crossAx val="148444672"/>
        <c:crosses val="autoZero"/>
        <c:auto val="1"/>
        <c:lblAlgn val="ctr"/>
        <c:lblOffset val="100"/>
        <c:noMultiLvlLbl val="0"/>
      </c:catAx>
      <c:valAx>
        <c:axId val="148444672"/>
        <c:scaling>
          <c:orientation val="minMax"/>
          <c:max val="550"/>
          <c:min val="450"/>
        </c:scaling>
        <c:delete val="0"/>
        <c:axPos val="l"/>
        <c:numFmt formatCode="General" sourceLinked="1"/>
        <c:majorTickMark val="out"/>
        <c:minorTickMark val="none"/>
        <c:tickLblPos val="nextTo"/>
        <c:crossAx val="1484431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Grower</a:t>
            </a:r>
            <a:r>
              <a:rPr lang="en-ZA" baseline="0"/>
              <a:t> mortality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Grower!$A$58:$A$117</c:f>
              <c:numCache>
                <c:formatCode>General</c:formatCode>
                <c:ptCount val="60"/>
                <c:pt idx="0">
                  <c:v>2418</c:v>
                </c:pt>
                <c:pt idx="1">
                  <c:v>2419</c:v>
                </c:pt>
                <c:pt idx="2">
                  <c:v>2420</c:v>
                </c:pt>
                <c:pt idx="3">
                  <c:v>2421</c:v>
                </c:pt>
                <c:pt idx="4">
                  <c:v>2422</c:v>
                </c:pt>
                <c:pt idx="5">
                  <c:v>2423</c:v>
                </c:pt>
                <c:pt idx="6">
                  <c:v>2424</c:v>
                </c:pt>
                <c:pt idx="7">
                  <c:v>2425</c:v>
                </c:pt>
                <c:pt idx="8">
                  <c:v>2426</c:v>
                </c:pt>
                <c:pt idx="9">
                  <c:v>2427</c:v>
                </c:pt>
                <c:pt idx="10">
                  <c:v>2428</c:v>
                </c:pt>
                <c:pt idx="11">
                  <c:v>2429</c:v>
                </c:pt>
                <c:pt idx="12">
                  <c:v>2430</c:v>
                </c:pt>
                <c:pt idx="13">
                  <c:v>2431</c:v>
                </c:pt>
                <c:pt idx="14">
                  <c:v>2432</c:v>
                </c:pt>
                <c:pt idx="15">
                  <c:v>2433</c:v>
                </c:pt>
                <c:pt idx="16">
                  <c:v>2434</c:v>
                </c:pt>
                <c:pt idx="17">
                  <c:v>2435</c:v>
                </c:pt>
                <c:pt idx="18">
                  <c:v>2436</c:v>
                </c:pt>
                <c:pt idx="19">
                  <c:v>2437</c:v>
                </c:pt>
                <c:pt idx="20">
                  <c:v>2438</c:v>
                </c:pt>
                <c:pt idx="21">
                  <c:v>2439</c:v>
                </c:pt>
                <c:pt idx="22">
                  <c:v>2440</c:v>
                </c:pt>
                <c:pt idx="23">
                  <c:v>2441</c:v>
                </c:pt>
                <c:pt idx="24">
                  <c:v>2442</c:v>
                </c:pt>
                <c:pt idx="25">
                  <c:v>2443</c:v>
                </c:pt>
                <c:pt idx="26">
                  <c:v>2444</c:v>
                </c:pt>
                <c:pt idx="27">
                  <c:v>2445</c:v>
                </c:pt>
                <c:pt idx="28">
                  <c:v>2446</c:v>
                </c:pt>
                <c:pt idx="29">
                  <c:v>2447</c:v>
                </c:pt>
                <c:pt idx="30">
                  <c:v>2448</c:v>
                </c:pt>
                <c:pt idx="31">
                  <c:v>2449</c:v>
                </c:pt>
                <c:pt idx="32">
                  <c:v>2450</c:v>
                </c:pt>
                <c:pt idx="33">
                  <c:v>2451</c:v>
                </c:pt>
                <c:pt idx="34">
                  <c:v>2452</c:v>
                </c:pt>
                <c:pt idx="35">
                  <c:v>2501</c:v>
                </c:pt>
                <c:pt idx="36">
                  <c:v>2502</c:v>
                </c:pt>
                <c:pt idx="37">
                  <c:v>2503</c:v>
                </c:pt>
                <c:pt idx="38">
                  <c:v>2504</c:v>
                </c:pt>
                <c:pt idx="39">
                  <c:v>2505</c:v>
                </c:pt>
                <c:pt idx="40">
                  <c:v>2506</c:v>
                </c:pt>
                <c:pt idx="41">
                  <c:v>2507</c:v>
                </c:pt>
                <c:pt idx="42">
                  <c:v>2508</c:v>
                </c:pt>
                <c:pt idx="43">
                  <c:v>2509</c:v>
                </c:pt>
                <c:pt idx="44">
                  <c:v>2510</c:v>
                </c:pt>
                <c:pt idx="45">
                  <c:v>2511</c:v>
                </c:pt>
                <c:pt idx="46">
                  <c:v>2512</c:v>
                </c:pt>
                <c:pt idx="47">
                  <c:v>2513</c:v>
                </c:pt>
                <c:pt idx="48">
                  <c:v>2514</c:v>
                </c:pt>
                <c:pt idx="49">
                  <c:v>2515</c:v>
                </c:pt>
                <c:pt idx="50">
                  <c:v>2516</c:v>
                </c:pt>
                <c:pt idx="51">
                  <c:v>2517</c:v>
                </c:pt>
                <c:pt idx="52">
                  <c:v>2518</c:v>
                </c:pt>
                <c:pt idx="53">
                  <c:v>2519</c:v>
                </c:pt>
                <c:pt idx="54">
                  <c:v>2520</c:v>
                </c:pt>
                <c:pt idx="55">
                  <c:v>2521</c:v>
                </c:pt>
                <c:pt idx="56">
                  <c:v>2522</c:v>
                </c:pt>
                <c:pt idx="57">
                  <c:v>2523</c:v>
                </c:pt>
                <c:pt idx="58">
                  <c:v>2524</c:v>
                </c:pt>
                <c:pt idx="59">
                  <c:v>2525</c:v>
                </c:pt>
              </c:numCache>
            </c:numRef>
          </c:cat>
          <c:val>
            <c:numRef>
              <c:f>Grower!$A$58:$A$117</c:f>
              <c:numCache>
                <c:formatCode>General</c:formatCode>
                <c:ptCount val="60"/>
                <c:pt idx="0">
                  <c:v>2418</c:v>
                </c:pt>
                <c:pt idx="1">
                  <c:v>2419</c:v>
                </c:pt>
                <c:pt idx="2">
                  <c:v>2420</c:v>
                </c:pt>
                <c:pt idx="3">
                  <c:v>2421</c:v>
                </c:pt>
                <c:pt idx="4">
                  <c:v>2422</c:v>
                </c:pt>
                <c:pt idx="5">
                  <c:v>2423</c:v>
                </c:pt>
                <c:pt idx="6">
                  <c:v>2424</c:v>
                </c:pt>
                <c:pt idx="7">
                  <c:v>2425</c:v>
                </c:pt>
                <c:pt idx="8">
                  <c:v>2426</c:v>
                </c:pt>
                <c:pt idx="9">
                  <c:v>2427</c:v>
                </c:pt>
                <c:pt idx="10">
                  <c:v>2428</c:v>
                </c:pt>
                <c:pt idx="11">
                  <c:v>2429</c:v>
                </c:pt>
                <c:pt idx="12">
                  <c:v>2430</c:v>
                </c:pt>
                <c:pt idx="13">
                  <c:v>2431</c:v>
                </c:pt>
                <c:pt idx="14">
                  <c:v>2432</c:v>
                </c:pt>
                <c:pt idx="15">
                  <c:v>2433</c:v>
                </c:pt>
                <c:pt idx="16">
                  <c:v>2434</c:v>
                </c:pt>
                <c:pt idx="17">
                  <c:v>2435</c:v>
                </c:pt>
                <c:pt idx="18">
                  <c:v>2436</c:v>
                </c:pt>
                <c:pt idx="19">
                  <c:v>2437</c:v>
                </c:pt>
                <c:pt idx="20">
                  <c:v>2438</c:v>
                </c:pt>
                <c:pt idx="21">
                  <c:v>2439</c:v>
                </c:pt>
                <c:pt idx="22">
                  <c:v>2440</c:v>
                </c:pt>
                <c:pt idx="23">
                  <c:v>2441</c:v>
                </c:pt>
                <c:pt idx="24">
                  <c:v>2442</c:v>
                </c:pt>
                <c:pt idx="25">
                  <c:v>2443</c:v>
                </c:pt>
                <c:pt idx="26">
                  <c:v>2444</c:v>
                </c:pt>
                <c:pt idx="27">
                  <c:v>2445</c:v>
                </c:pt>
                <c:pt idx="28">
                  <c:v>2446</c:v>
                </c:pt>
                <c:pt idx="29">
                  <c:v>2447</c:v>
                </c:pt>
                <c:pt idx="30">
                  <c:v>2448</c:v>
                </c:pt>
                <c:pt idx="31">
                  <c:v>2449</c:v>
                </c:pt>
                <c:pt idx="32">
                  <c:v>2450</c:v>
                </c:pt>
                <c:pt idx="33">
                  <c:v>2451</c:v>
                </c:pt>
                <c:pt idx="34">
                  <c:v>2452</c:v>
                </c:pt>
                <c:pt idx="35">
                  <c:v>2501</c:v>
                </c:pt>
                <c:pt idx="36">
                  <c:v>2502</c:v>
                </c:pt>
                <c:pt idx="37">
                  <c:v>2503</c:v>
                </c:pt>
                <c:pt idx="38">
                  <c:v>2504</c:v>
                </c:pt>
                <c:pt idx="39">
                  <c:v>2505</c:v>
                </c:pt>
                <c:pt idx="40">
                  <c:v>2506</c:v>
                </c:pt>
                <c:pt idx="41">
                  <c:v>2507</c:v>
                </c:pt>
                <c:pt idx="42">
                  <c:v>2508</c:v>
                </c:pt>
                <c:pt idx="43">
                  <c:v>2509</c:v>
                </c:pt>
                <c:pt idx="44">
                  <c:v>2510</c:v>
                </c:pt>
                <c:pt idx="45">
                  <c:v>2511</c:v>
                </c:pt>
                <c:pt idx="46">
                  <c:v>2512</c:v>
                </c:pt>
                <c:pt idx="47">
                  <c:v>2513</c:v>
                </c:pt>
                <c:pt idx="48">
                  <c:v>2514</c:v>
                </c:pt>
                <c:pt idx="49">
                  <c:v>2515</c:v>
                </c:pt>
                <c:pt idx="50">
                  <c:v>2516</c:v>
                </c:pt>
                <c:pt idx="51">
                  <c:v>2517</c:v>
                </c:pt>
                <c:pt idx="52">
                  <c:v>2518</c:v>
                </c:pt>
                <c:pt idx="53">
                  <c:v>2519</c:v>
                </c:pt>
                <c:pt idx="54">
                  <c:v>2520</c:v>
                </c:pt>
                <c:pt idx="55">
                  <c:v>2521</c:v>
                </c:pt>
                <c:pt idx="56">
                  <c:v>2522</c:v>
                </c:pt>
                <c:pt idx="57">
                  <c:v>2523</c:v>
                </c:pt>
                <c:pt idx="58">
                  <c:v>2524</c:v>
                </c:pt>
                <c:pt idx="59">
                  <c:v>2525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0-4B07-837A-67DDA330F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16928"/>
        <c:axId val="148735488"/>
      </c:lineChart>
      <c:catAx>
        <c:axId val="14871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35488"/>
        <c:crosses val="autoZero"/>
        <c:auto val="1"/>
        <c:lblAlgn val="ctr"/>
        <c:lblOffset val="100"/>
        <c:noMultiLvlLbl val="0"/>
      </c:catAx>
      <c:valAx>
        <c:axId val="14873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/>
              <a:t>Weaner</a:t>
            </a:r>
            <a:r>
              <a:rPr lang="af-ZA" baseline="0"/>
              <a:t> ADG</a:t>
            </a:r>
            <a:endParaRPr lang="af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Weaner!$U$2</c:f>
              <c:strCache>
                <c:ptCount val="1"/>
                <c:pt idx="0">
                  <c:v>ADG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Weaner!$A$80:$A$180</c:f>
              <c:numCache>
                <c:formatCode>General</c:formatCode>
                <c:ptCount val="101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2513</c:v>
                </c:pt>
                <c:pt idx="13">
                  <c:v>2514</c:v>
                </c:pt>
                <c:pt idx="14">
                  <c:v>2515</c:v>
                </c:pt>
                <c:pt idx="15">
                  <c:v>2516</c:v>
                </c:pt>
                <c:pt idx="16">
                  <c:v>2517</c:v>
                </c:pt>
                <c:pt idx="17">
                  <c:v>2518</c:v>
                </c:pt>
                <c:pt idx="18">
                  <c:v>2519</c:v>
                </c:pt>
                <c:pt idx="19">
                  <c:v>2520</c:v>
                </c:pt>
                <c:pt idx="20">
                  <c:v>2521</c:v>
                </c:pt>
                <c:pt idx="21">
                  <c:v>2522</c:v>
                </c:pt>
                <c:pt idx="22">
                  <c:v>2523</c:v>
                </c:pt>
                <c:pt idx="23">
                  <c:v>2524</c:v>
                </c:pt>
                <c:pt idx="24">
                  <c:v>2525</c:v>
                </c:pt>
                <c:pt idx="25">
                  <c:v>2526</c:v>
                </c:pt>
                <c:pt idx="26">
                  <c:v>2527</c:v>
                </c:pt>
                <c:pt idx="27">
                  <c:v>2528</c:v>
                </c:pt>
                <c:pt idx="28">
                  <c:v>2529</c:v>
                </c:pt>
                <c:pt idx="29">
                  <c:v>2530</c:v>
                </c:pt>
                <c:pt idx="30">
                  <c:v>2531</c:v>
                </c:pt>
                <c:pt idx="31">
                  <c:v>2532</c:v>
                </c:pt>
                <c:pt idx="32">
                  <c:v>2533</c:v>
                </c:pt>
                <c:pt idx="33">
                  <c:v>2534</c:v>
                </c:pt>
                <c:pt idx="34">
                  <c:v>2535</c:v>
                </c:pt>
                <c:pt idx="35">
                  <c:v>2536</c:v>
                </c:pt>
                <c:pt idx="36">
                  <c:v>2537</c:v>
                </c:pt>
                <c:pt idx="37">
                  <c:v>2538</c:v>
                </c:pt>
                <c:pt idx="38">
                  <c:v>2539</c:v>
                </c:pt>
                <c:pt idx="39">
                  <c:v>2540</c:v>
                </c:pt>
                <c:pt idx="40">
                  <c:v>2541</c:v>
                </c:pt>
                <c:pt idx="41">
                  <c:v>2542</c:v>
                </c:pt>
                <c:pt idx="42">
                  <c:v>2543</c:v>
                </c:pt>
                <c:pt idx="43">
                  <c:v>2544</c:v>
                </c:pt>
                <c:pt idx="44">
                  <c:v>2545</c:v>
                </c:pt>
                <c:pt idx="45">
                  <c:v>2546</c:v>
                </c:pt>
                <c:pt idx="46">
                  <c:v>2547</c:v>
                </c:pt>
                <c:pt idx="47">
                  <c:v>2548</c:v>
                </c:pt>
                <c:pt idx="48">
                  <c:v>2549</c:v>
                </c:pt>
                <c:pt idx="49">
                  <c:v>2550</c:v>
                </c:pt>
                <c:pt idx="50">
                  <c:v>2551</c:v>
                </c:pt>
                <c:pt idx="51">
                  <c:v>2552</c:v>
                </c:pt>
                <c:pt idx="52">
                  <c:v>2601</c:v>
                </c:pt>
                <c:pt idx="53">
                  <c:v>2602</c:v>
                </c:pt>
                <c:pt idx="54">
                  <c:v>2603</c:v>
                </c:pt>
                <c:pt idx="55">
                  <c:v>2604</c:v>
                </c:pt>
                <c:pt idx="56">
                  <c:v>2605</c:v>
                </c:pt>
                <c:pt idx="57">
                  <c:v>2606</c:v>
                </c:pt>
                <c:pt idx="58">
                  <c:v>2607</c:v>
                </c:pt>
                <c:pt idx="59">
                  <c:v>2608</c:v>
                </c:pt>
                <c:pt idx="60">
                  <c:v>2609</c:v>
                </c:pt>
                <c:pt idx="61">
                  <c:v>2610</c:v>
                </c:pt>
                <c:pt idx="62">
                  <c:v>2611</c:v>
                </c:pt>
                <c:pt idx="63">
                  <c:v>2612</c:v>
                </c:pt>
                <c:pt idx="64">
                  <c:v>2613</c:v>
                </c:pt>
                <c:pt idx="65">
                  <c:v>2614</c:v>
                </c:pt>
                <c:pt idx="66">
                  <c:v>2615</c:v>
                </c:pt>
                <c:pt idx="67">
                  <c:v>2616</c:v>
                </c:pt>
                <c:pt idx="68">
                  <c:v>2617</c:v>
                </c:pt>
                <c:pt idx="69">
                  <c:v>2618</c:v>
                </c:pt>
                <c:pt idx="70">
                  <c:v>2619</c:v>
                </c:pt>
                <c:pt idx="71">
                  <c:v>2620</c:v>
                </c:pt>
                <c:pt idx="72">
                  <c:v>2621</c:v>
                </c:pt>
                <c:pt idx="73">
                  <c:v>2622</c:v>
                </c:pt>
                <c:pt idx="74">
                  <c:v>2623</c:v>
                </c:pt>
                <c:pt idx="75">
                  <c:v>2624</c:v>
                </c:pt>
              </c:numCache>
            </c:numRef>
          </c:cat>
          <c:val>
            <c:numRef>
              <c:f>Weaner!$U$80:$U$180</c:f>
              <c:numCache>
                <c:formatCode>0</c:formatCode>
                <c:ptCount val="101"/>
                <c:pt idx="0">
                  <c:v>510.40006538351525</c:v>
                </c:pt>
                <c:pt idx="1">
                  <c:v>548.3281086729362</c:v>
                </c:pt>
                <c:pt idx="2">
                  <c:v>529.27504697853817</c:v>
                </c:pt>
                <c:pt idx="3">
                  <c:v>544.53449298280293</c:v>
                </c:pt>
                <c:pt idx="4">
                  <c:v>541.91465752042768</c:v>
                </c:pt>
                <c:pt idx="5">
                  <c:v>547.26978364323213</c:v>
                </c:pt>
                <c:pt idx="6">
                  <c:v>549.52773068539591</c:v>
                </c:pt>
                <c:pt idx="7">
                  <c:v>531.46504438017348</c:v>
                </c:pt>
                <c:pt idx="8">
                  <c:v>552.71466280213247</c:v>
                </c:pt>
                <c:pt idx="9">
                  <c:v>558.27444362409028</c:v>
                </c:pt>
                <c:pt idx="10">
                  <c:v>545.36489151873764</c:v>
                </c:pt>
                <c:pt idx="11">
                  <c:v>548.4527889534595</c:v>
                </c:pt>
                <c:pt idx="12">
                  <c:v>535.94611742886423</c:v>
                </c:pt>
                <c:pt idx="13">
                  <c:v>579.55052835243339</c:v>
                </c:pt>
                <c:pt idx="14">
                  <c:v>580.73312706486968</c:v>
                </c:pt>
                <c:pt idx="15">
                  <c:v>537.24785300579197</c:v>
                </c:pt>
                <c:pt idx="16">
                  <c:v>555.71442658514934</c:v>
                </c:pt>
                <c:pt idx="17">
                  <c:v>523.99403874813709</c:v>
                </c:pt>
                <c:pt idx="18">
                  <c:v>531.85407683736253</c:v>
                </c:pt>
                <c:pt idx="19">
                  <c:v>536.3854458216714</c:v>
                </c:pt>
                <c:pt idx="20">
                  <c:v>536.00159896067555</c:v>
                </c:pt>
                <c:pt idx="21">
                  <c:v>568.95522388059703</c:v>
                </c:pt>
                <c:pt idx="22">
                  <c:v>523.58017258679513</c:v>
                </c:pt>
                <c:pt idx="23">
                  <c:v>554.28776094965201</c:v>
                </c:pt>
                <c:pt idx="24">
                  <c:v>542.77620396600571</c:v>
                </c:pt>
                <c:pt idx="25">
                  <c:v>565.88128223278386</c:v>
                </c:pt>
                <c:pt idx="26">
                  <c:v>532.90838265796526</c:v>
                </c:pt>
                <c:pt idx="27">
                  <c:v>553.57320841223952</c:v>
                </c:pt>
                <c:pt idx="28">
                  <c:v>522.75080108454517</c:v>
                </c:pt>
                <c:pt idx="29">
                  <c:v>569.53961972782554</c:v>
                </c:pt>
                <c:pt idx="30">
                  <c:v>553.65189403317652</c:v>
                </c:pt>
                <c:pt idx="31">
                  <c:v>564.61607098597131</c:v>
                </c:pt>
                <c:pt idx="32">
                  <c:v>546.12472604104403</c:v>
                </c:pt>
                <c:pt idx="33">
                  <c:v>532.56150506512301</c:v>
                </c:pt>
                <c:pt idx="34">
                  <c:v>543.45533965958725</c:v>
                </c:pt>
                <c:pt idx="35">
                  <c:v>514.10580593980865</c:v>
                </c:pt>
                <c:pt idx="36">
                  <c:v>499.6782337508044</c:v>
                </c:pt>
                <c:pt idx="37">
                  <c:v>565.90434617574488</c:v>
                </c:pt>
                <c:pt idx="38">
                  <c:v>543.98941902615854</c:v>
                </c:pt>
                <c:pt idx="39">
                  <c:v>530.2196464228316</c:v>
                </c:pt>
                <c:pt idx="40">
                  <c:v>515.85697970657998</c:v>
                </c:pt>
                <c:pt idx="41">
                  <c:v>500.20457335091152</c:v>
                </c:pt>
                <c:pt idx="42">
                  <c:v>476.769394261424</c:v>
                </c:pt>
                <c:pt idx="43">
                  <c:v>536.40867451860163</c:v>
                </c:pt>
                <c:pt idx="44">
                  <c:v>527.79301061867488</c:v>
                </c:pt>
                <c:pt idx="45">
                  <c:v>509.78921936182621</c:v>
                </c:pt>
                <c:pt idx="46">
                  <c:v>528.50072908841855</c:v>
                </c:pt>
                <c:pt idx="47">
                  <c:v>531.04403677427479</c:v>
                </c:pt>
                <c:pt idx="48">
                  <c:v>531.14646815820686</c:v>
                </c:pt>
                <c:pt idx="49">
                  <c:v>508.30039525691694</c:v>
                </c:pt>
                <c:pt idx="50">
                  <c:v>495.05958666465534</c:v>
                </c:pt>
                <c:pt idx="51">
                  <c:v>497.21657004645448</c:v>
                </c:pt>
                <c:pt idx="52">
                  <c:v>492.52531747307506</c:v>
                </c:pt>
                <c:pt idx="53">
                  <c:v>536.86083071322184</c:v>
                </c:pt>
                <c:pt idx="54">
                  <c:v>528.7119823425985</c:v>
                </c:pt>
                <c:pt idx="55">
                  <c:v>519.36722112364771</c:v>
                </c:pt>
                <c:pt idx="56">
                  <c:v>532.50678031770622</c:v>
                </c:pt>
                <c:pt idx="57">
                  <c:v>524.3204876623106</c:v>
                </c:pt>
                <c:pt idx="58">
                  <c:v>523.39144081095981</c:v>
                </c:pt>
                <c:pt idx="59">
                  <c:v>514.55903331375339</c:v>
                </c:pt>
                <c:pt idx="60">
                  <c:v>516.88043028547781</c:v>
                </c:pt>
                <c:pt idx="61">
                  <c:v>522.18991022885325</c:v>
                </c:pt>
                <c:pt idx="62">
                  <c:v>486.48285739862138</c:v>
                </c:pt>
                <c:pt idx="63">
                  <c:v>529.1900420757363</c:v>
                </c:pt>
                <c:pt idx="64">
                  <c:v>521.54682168583349</c:v>
                </c:pt>
                <c:pt idx="65">
                  <c:v>532.55579795267658</c:v>
                </c:pt>
                <c:pt idx="66">
                  <c:v>541.46273248496709</c:v>
                </c:pt>
                <c:pt idx="67">
                  <c:v>542.11176834113189</c:v>
                </c:pt>
                <c:pt idx="68">
                  <c:v>533.4884129213483</c:v>
                </c:pt>
                <c:pt idx="69">
                  <c:v>513.30813766484391</c:v>
                </c:pt>
                <c:pt idx="70">
                  <c:v>542.86639938444091</c:v>
                </c:pt>
                <c:pt idx="71">
                  <c:v>545</c:v>
                </c:pt>
                <c:pt idx="72">
                  <c:v>532.9355421213786</c:v>
                </c:pt>
                <c:pt idx="73">
                  <c:v>522.1659278024066</c:v>
                </c:pt>
                <c:pt idx="74">
                  <c:v>521.85165087448354</c:v>
                </c:pt>
                <c:pt idx="75">
                  <c:v>531.92802963485622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A-423D-B124-BA516D445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00256"/>
        <c:axId val="150806528"/>
      </c:lineChart>
      <c:catAx>
        <c:axId val="1508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06528"/>
        <c:crosses val="autoZero"/>
        <c:auto val="1"/>
        <c:lblAlgn val="ctr"/>
        <c:lblOffset val="100"/>
        <c:noMultiLvlLbl val="0"/>
      </c:catAx>
      <c:valAx>
        <c:axId val="150806528"/>
        <c:scaling>
          <c:orientation val="minMax"/>
          <c:max val="600"/>
          <c:min val="4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0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Weaner!$V$2</c:f>
              <c:strCache>
                <c:ptCount val="1"/>
                <c:pt idx="0">
                  <c:v>FCR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Weaner!$A$80:$A$180</c:f>
              <c:numCache>
                <c:formatCode>General</c:formatCode>
                <c:ptCount val="101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2513</c:v>
                </c:pt>
                <c:pt idx="13">
                  <c:v>2514</c:v>
                </c:pt>
                <c:pt idx="14">
                  <c:v>2515</c:v>
                </c:pt>
                <c:pt idx="15">
                  <c:v>2516</c:v>
                </c:pt>
                <c:pt idx="16">
                  <c:v>2517</c:v>
                </c:pt>
                <c:pt idx="17">
                  <c:v>2518</c:v>
                </c:pt>
                <c:pt idx="18">
                  <c:v>2519</c:v>
                </c:pt>
                <c:pt idx="19">
                  <c:v>2520</c:v>
                </c:pt>
                <c:pt idx="20">
                  <c:v>2521</c:v>
                </c:pt>
                <c:pt idx="21">
                  <c:v>2522</c:v>
                </c:pt>
                <c:pt idx="22">
                  <c:v>2523</c:v>
                </c:pt>
                <c:pt idx="23">
                  <c:v>2524</c:v>
                </c:pt>
                <c:pt idx="24">
                  <c:v>2525</c:v>
                </c:pt>
                <c:pt idx="25">
                  <c:v>2526</c:v>
                </c:pt>
                <c:pt idx="26">
                  <c:v>2527</c:v>
                </c:pt>
                <c:pt idx="27">
                  <c:v>2528</c:v>
                </c:pt>
                <c:pt idx="28">
                  <c:v>2529</c:v>
                </c:pt>
                <c:pt idx="29">
                  <c:v>2530</c:v>
                </c:pt>
                <c:pt idx="30">
                  <c:v>2531</c:v>
                </c:pt>
                <c:pt idx="31">
                  <c:v>2532</c:v>
                </c:pt>
                <c:pt idx="32">
                  <c:v>2533</c:v>
                </c:pt>
                <c:pt idx="33">
                  <c:v>2534</c:v>
                </c:pt>
                <c:pt idx="34">
                  <c:v>2535</c:v>
                </c:pt>
                <c:pt idx="35">
                  <c:v>2536</c:v>
                </c:pt>
                <c:pt idx="36">
                  <c:v>2537</c:v>
                </c:pt>
                <c:pt idx="37">
                  <c:v>2538</c:v>
                </c:pt>
                <c:pt idx="38">
                  <c:v>2539</c:v>
                </c:pt>
                <c:pt idx="39">
                  <c:v>2540</c:v>
                </c:pt>
                <c:pt idx="40">
                  <c:v>2541</c:v>
                </c:pt>
                <c:pt idx="41">
                  <c:v>2542</c:v>
                </c:pt>
                <c:pt idx="42">
                  <c:v>2543</c:v>
                </c:pt>
                <c:pt idx="43">
                  <c:v>2544</c:v>
                </c:pt>
                <c:pt idx="44">
                  <c:v>2545</c:v>
                </c:pt>
                <c:pt idx="45">
                  <c:v>2546</c:v>
                </c:pt>
                <c:pt idx="46">
                  <c:v>2547</c:v>
                </c:pt>
                <c:pt idx="47">
                  <c:v>2548</c:v>
                </c:pt>
                <c:pt idx="48">
                  <c:v>2549</c:v>
                </c:pt>
                <c:pt idx="49">
                  <c:v>2550</c:v>
                </c:pt>
                <c:pt idx="50">
                  <c:v>2551</c:v>
                </c:pt>
                <c:pt idx="51">
                  <c:v>2552</c:v>
                </c:pt>
                <c:pt idx="52">
                  <c:v>2601</c:v>
                </c:pt>
                <c:pt idx="53">
                  <c:v>2602</c:v>
                </c:pt>
                <c:pt idx="54">
                  <c:v>2603</c:v>
                </c:pt>
                <c:pt idx="55">
                  <c:v>2604</c:v>
                </c:pt>
                <c:pt idx="56">
                  <c:v>2605</c:v>
                </c:pt>
                <c:pt idx="57">
                  <c:v>2606</c:v>
                </c:pt>
                <c:pt idx="58">
                  <c:v>2607</c:v>
                </c:pt>
                <c:pt idx="59">
                  <c:v>2608</c:v>
                </c:pt>
                <c:pt idx="60">
                  <c:v>2609</c:v>
                </c:pt>
                <c:pt idx="61">
                  <c:v>2610</c:v>
                </c:pt>
                <c:pt idx="62">
                  <c:v>2611</c:v>
                </c:pt>
                <c:pt idx="63">
                  <c:v>2612</c:v>
                </c:pt>
                <c:pt idx="64">
                  <c:v>2613</c:v>
                </c:pt>
                <c:pt idx="65">
                  <c:v>2614</c:v>
                </c:pt>
                <c:pt idx="66">
                  <c:v>2615</c:v>
                </c:pt>
                <c:pt idx="67">
                  <c:v>2616</c:v>
                </c:pt>
                <c:pt idx="68">
                  <c:v>2617</c:v>
                </c:pt>
                <c:pt idx="69">
                  <c:v>2618</c:v>
                </c:pt>
                <c:pt idx="70">
                  <c:v>2619</c:v>
                </c:pt>
                <c:pt idx="71">
                  <c:v>2620</c:v>
                </c:pt>
                <c:pt idx="72">
                  <c:v>2621</c:v>
                </c:pt>
                <c:pt idx="73">
                  <c:v>2622</c:v>
                </c:pt>
                <c:pt idx="74">
                  <c:v>2623</c:v>
                </c:pt>
                <c:pt idx="75">
                  <c:v>2624</c:v>
                </c:pt>
              </c:numCache>
            </c:numRef>
          </c:cat>
          <c:val>
            <c:numRef>
              <c:f>Weaner!$V$80:$V$180</c:f>
              <c:numCache>
                <c:formatCode>0.00</c:formatCode>
                <c:ptCount val="101"/>
                <c:pt idx="0">
                  <c:v>1.5532425940752601</c:v>
                </c:pt>
                <c:pt idx="1">
                  <c:v>1.5571051149898221</c:v>
                </c:pt>
                <c:pt idx="2">
                  <c:v>1.5883397178361207</c:v>
                </c:pt>
                <c:pt idx="3">
                  <c:v>1.5609118629301582</c:v>
                </c:pt>
                <c:pt idx="4">
                  <c:v>1.5776247207743856</c:v>
                </c:pt>
                <c:pt idx="5">
                  <c:v>1.6136261766024205</c:v>
                </c:pt>
                <c:pt idx="6">
                  <c:v>1.6306743058616131</c:v>
                </c:pt>
                <c:pt idx="7">
                  <c:v>1.5387502345655846</c:v>
                </c:pt>
                <c:pt idx="8">
                  <c:v>1.5919093548085026</c:v>
                </c:pt>
                <c:pt idx="9">
                  <c:v>1.558662384281126</c:v>
                </c:pt>
                <c:pt idx="10">
                  <c:v>1.5958408679927667</c:v>
                </c:pt>
                <c:pt idx="11">
                  <c:v>1.5848578156131137</c:v>
                </c:pt>
                <c:pt idx="12">
                  <c:v>1.5936617794372097</c:v>
                </c:pt>
                <c:pt idx="13">
                  <c:v>1.5408320493066257</c:v>
                </c:pt>
                <c:pt idx="14">
                  <c:v>1.5802781289506953</c:v>
                </c:pt>
                <c:pt idx="15">
                  <c:v>1.533457249070632</c:v>
                </c:pt>
                <c:pt idx="16">
                  <c:v>1.5526572619998225</c:v>
                </c:pt>
                <c:pt idx="17">
                  <c:v>1.5737580583996966</c:v>
                </c:pt>
                <c:pt idx="18">
                  <c:v>1.5212242667152487</c:v>
                </c:pt>
                <c:pt idx="19">
                  <c:v>1.5095042862467387</c:v>
                </c:pt>
                <c:pt idx="20">
                  <c:v>1.5614803766197445</c:v>
                </c:pt>
                <c:pt idx="21">
                  <c:v>1.5477439664218258</c:v>
                </c:pt>
                <c:pt idx="22">
                  <c:v>1.6002299731697969</c:v>
                </c:pt>
                <c:pt idx="23">
                  <c:v>1.5692790547401458</c:v>
                </c:pt>
                <c:pt idx="24">
                  <c:v>1.5752514708673373</c:v>
                </c:pt>
                <c:pt idx="25">
                  <c:v>1.5278770550393137</c:v>
                </c:pt>
                <c:pt idx="26">
                  <c:v>1.552116954623125</c:v>
                </c:pt>
                <c:pt idx="27">
                  <c:v>1.5934461649261793</c:v>
                </c:pt>
                <c:pt idx="28">
                  <c:v>1.6031686156167484</c:v>
                </c:pt>
                <c:pt idx="29">
                  <c:v>1.5421115065243178</c:v>
                </c:pt>
                <c:pt idx="30">
                  <c:v>1.5830426616581701</c:v>
                </c:pt>
                <c:pt idx="31">
                  <c:v>1.5539947322212466</c:v>
                </c:pt>
                <c:pt idx="32">
                  <c:v>1.6098139365195183</c:v>
                </c:pt>
                <c:pt idx="33">
                  <c:v>1.5690743338008415</c:v>
                </c:pt>
                <c:pt idx="34">
                  <c:v>1.5428677014042869</c:v>
                </c:pt>
                <c:pt idx="35">
                  <c:v>1.57</c:v>
                </c:pt>
                <c:pt idx="36">
                  <c:v>1.59</c:v>
                </c:pt>
                <c:pt idx="37">
                  <c:v>1.567871216567452</c:v>
                </c:pt>
                <c:pt idx="38">
                  <c:v>1.5938766321476812</c:v>
                </c:pt>
                <c:pt idx="39">
                  <c:v>1.5614953614402498</c:v>
                </c:pt>
                <c:pt idx="40">
                  <c:v>1.651907356948229</c:v>
                </c:pt>
                <c:pt idx="41">
                  <c:v>1.6222848314096157</c:v>
                </c:pt>
                <c:pt idx="42">
                  <c:v>1.6494293865905849</c:v>
                </c:pt>
                <c:pt idx="43">
                  <c:v>1.5397752025790712</c:v>
                </c:pt>
                <c:pt idx="44">
                  <c:v>1.5299896098989327</c:v>
                </c:pt>
                <c:pt idx="45">
                  <c:v>1.5523778395162608</c:v>
                </c:pt>
                <c:pt idx="46">
                  <c:v>1.5853852263701351</c:v>
                </c:pt>
                <c:pt idx="47">
                  <c:v>1.5375494071146245</c:v>
                </c:pt>
                <c:pt idx="48">
                  <c:v>1.5324195287232405</c:v>
                </c:pt>
                <c:pt idx="49">
                  <c:v>1.5590979782270606</c:v>
                </c:pt>
                <c:pt idx="50">
                  <c:v>1.580711510626952</c:v>
                </c:pt>
                <c:pt idx="51">
                  <c:v>1.5558644120145162</c:v>
                </c:pt>
                <c:pt idx="52">
                  <c:v>1.5461814621409922</c:v>
                </c:pt>
                <c:pt idx="53">
                  <c:v>1.5315558295445788</c:v>
                </c:pt>
                <c:pt idx="54">
                  <c:v>1.5545177952310196</c:v>
                </c:pt>
                <c:pt idx="55">
                  <c:v>1.5541620007465473</c:v>
                </c:pt>
                <c:pt idx="56">
                  <c:v>1.5715948777648427</c:v>
                </c:pt>
                <c:pt idx="57">
                  <c:v>1.5629877369007803</c:v>
                </c:pt>
                <c:pt idx="58">
                  <c:v>1.5478119935170178</c:v>
                </c:pt>
                <c:pt idx="59">
                  <c:v>1.5655577299412915</c:v>
                </c:pt>
                <c:pt idx="60">
                  <c:v>1.5536700552309293</c:v>
                </c:pt>
                <c:pt idx="61">
                  <c:v>1.5738498789346247</c:v>
                </c:pt>
                <c:pt idx="62">
                  <c:v>1.6192842027785446</c:v>
                </c:pt>
                <c:pt idx="63">
                  <c:v>1.5819115454696042</c:v>
                </c:pt>
                <c:pt idx="64">
                  <c:v>1.5628786043130602</c:v>
                </c:pt>
                <c:pt idx="65">
                  <c:v>1.5440365527020639</c:v>
                </c:pt>
                <c:pt idx="66">
                  <c:v>1.5668044077134986</c:v>
                </c:pt>
                <c:pt idx="67">
                  <c:v>1.5471052845859459</c:v>
                </c:pt>
                <c:pt idx="68">
                  <c:v>1.5878239407651171</c:v>
                </c:pt>
                <c:pt idx="69">
                  <c:v>1.5822041199968668</c:v>
                </c:pt>
                <c:pt idx="70">
                  <c:v>1.5292801193584484</c:v>
                </c:pt>
                <c:pt idx="71">
                  <c:v>1.549849641452695</c:v>
                </c:pt>
                <c:pt idx="72">
                  <c:v>1.5897908073070124</c:v>
                </c:pt>
                <c:pt idx="73">
                  <c:v>1.5539721043056398</c:v>
                </c:pt>
                <c:pt idx="74">
                  <c:v>1.5917453207486802</c:v>
                </c:pt>
                <c:pt idx="75">
                  <c:v>1.5171613331122533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A-4C2E-9DE3-C53570F97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43392"/>
        <c:axId val="150845312"/>
      </c:lineChart>
      <c:catAx>
        <c:axId val="15084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5312"/>
        <c:crosses val="autoZero"/>
        <c:auto val="1"/>
        <c:lblAlgn val="ctr"/>
        <c:lblOffset val="100"/>
        <c:noMultiLvlLbl val="0"/>
      </c:catAx>
      <c:valAx>
        <c:axId val="150845312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ADG</a:t>
            </a:r>
            <a:r>
              <a:rPr lang="en-GB" baseline="0"/>
              <a:t> vs Number in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Weaner!$U$2</c:f>
              <c:strCache>
                <c:ptCount val="1"/>
                <c:pt idx="0">
                  <c:v>ADG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Weaner!$A$3:$A$100</c:f>
              <c:numCache>
                <c:formatCode>General</c:formatCode>
                <c:ptCount val="98"/>
                <c:pt idx="0">
                  <c:v>2328</c:v>
                </c:pt>
                <c:pt idx="1">
                  <c:v>2329</c:v>
                </c:pt>
                <c:pt idx="2">
                  <c:v>2330</c:v>
                </c:pt>
                <c:pt idx="3">
                  <c:v>2331</c:v>
                </c:pt>
                <c:pt idx="4">
                  <c:v>2332</c:v>
                </c:pt>
                <c:pt idx="5">
                  <c:v>2333</c:v>
                </c:pt>
                <c:pt idx="6">
                  <c:v>2334</c:v>
                </c:pt>
                <c:pt idx="7">
                  <c:v>2335</c:v>
                </c:pt>
                <c:pt idx="8">
                  <c:v>2336</c:v>
                </c:pt>
                <c:pt idx="9">
                  <c:v>2337</c:v>
                </c:pt>
                <c:pt idx="10">
                  <c:v>2338</c:v>
                </c:pt>
                <c:pt idx="11">
                  <c:v>2339</c:v>
                </c:pt>
                <c:pt idx="12">
                  <c:v>2340</c:v>
                </c:pt>
                <c:pt idx="13">
                  <c:v>2341</c:v>
                </c:pt>
                <c:pt idx="14">
                  <c:v>2342</c:v>
                </c:pt>
                <c:pt idx="15">
                  <c:v>2343</c:v>
                </c:pt>
                <c:pt idx="16">
                  <c:v>2344</c:v>
                </c:pt>
                <c:pt idx="17">
                  <c:v>2345</c:v>
                </c:pt>
                <c:pt idx="18">
                  <c:v>2346</c:v>
                </c:pt>
                <c:pt idx="19">
                  <c:v>2347</c:v>
                </c:pt>
                <c:pt idx="20">
                  <c:v>2348</c:v>
                </c:pt>
                <c:pt idx="21">
                  <c:v>2349</c:v>
                </c:pt>
                <c:pt idx="22">
                  <c:v>2350</c:v>
                </c:pt>
                <c:pt idx="23">
                  <c:v>2351</c:v>
                </c:pt>
                <c:pt idx="24">
                  <c:v>2352</c:v>
                </c:pt>
                <c:pt idx="25">
                  <c:v>2401</c:v>
                </c:pt>
                <c:pt idx="26">
                  <c:v>2402</c:v>
                </c:pt>
                <c:pt idx="27">
                  <c:v>2403</c:v>
                </c:pt>
                <c:pt idx="28">
                  <c:v>2404</c:v>
                </c:pt>
                <c:pt idx="29">
                  <c:v>2405</c:v>
                </c:pt>
                <c:pt idx="30">
                  <c:v>2406</c:v>
                </c:pt>
                <c:pt idx="31">
                  <c:v>2407</c:v>
                </c:pt>
                <c:pt idx="32">
                  <c:v>2408</c:v>
                </c:pt>
                <c:pt idx="33">
                  <c:v>2409</c:v>
                </c:pt>
                <c:pt idx="34">
                  <c:v>2410</c:v>
                </c:pt>
                <c:pt idx="35">
                  <c:v>2411</c:v>
                </c:pt>
                <c:pt idx="36">
                  <c:v>2412</c:v>
                </c:pt>
                <c:pt idx="37">
                  <c:v>2413</c:v>
                </c:pt>
                <c:pt idx="38">
                  <c:v>2414</c:v>
                </c:pt>
                <c:pt idx="39">
                  <c:v>2415</c:v>
                </c:pt>
                <c:pt idx="40">
                  <c:v>2416</c:v>
                </c:pt>
                <c:pt idx="41">
                  <c:v>2417</c:v>
                </c:pt>
                <c:pt idx="42">
                  <c:v>2418</c:v>
                </c:pt>
                <c:pt idx="43">
                  <c:v>2419</c:v>
                </c:pt>
                <c:pt idx="44">
                  <c:v>2420</c:v>
                </c:pt>
                <c:pt idx="45">
                  <c:v>2421</c:v>
                </c:pt>
                <c:pt idx="46">
                  <c:v>2422</c:v>
                </c:pt>
                <c:pt idx="47">
                  <c:v>2423</c:v>
                </c:pt>
                <c:pt idx="48">
                  <c:v>2424</c:v>
                </c:pt>
                <c:pt idx="49">
                  <c:v>2425</c:v>
                </c:pt>
                <c:pt idx="50">
                  <c:v>2426</c:v>
                </c:pt>
                <c:pt idx="51">
                  <c:v>2427</c:v>
                </c:pt>
                <c:pt idx="52">
                  <c:v>2428</c:v>
                </c:pt>
                <c:pt idx="53">
                  <c:v>2429</c:v>
                </c:pt>
                <c:pt idx="54">
                  <c:v>2430</c:v>
                </c:pt>
                <c:pt idx="55">
                  <c:v>2431</c:v>
                </c:pt>
                <c:pt idx="56">
                  <c:v>2432</c:v>
                </c:pt>
                <c:pt idx="57">
                  <c:v>2433</c:v>
                </c:pt>
                <c:pt idx="58">
                  <c:v>2434</c:v>
                </c:pt>
                <c:pt idx="59">
                  <c:v>2435</c:v>
                </c:pt>
                <c:pt idx="60">
                  <c:v>2436</c:v>
                </c:pt>
                <c:pt idx="61">
                  <c:v>2437</c:v>
                </c:pt>
                <c:pt idx="62">
                  <c:v>2438</c:v>
                </c:pt>
                <c:pt idx="63">
                  <c:v>2439</c:v>
                </c:pt>
                <c:pt idx="64">
                  <c:v>2440</c:v>
                </c:pt>
                <c:pt idx="65">
                  <c:v>2441</c:v>
                </c:pt>
                <c:pt idx="66">
                  <c:v>2442</c:v>
                </c:pt>
                <c:pt idx="67">
                  <c:v>2443</c:v>
                </c:pt>
                <c:pt idx="68">
                  <c:v>2444</c:v>
                </c:pt>
                <c:pt idx="69">
                  <c:v>2445</c:v>
                </c:pt>
                <c:pt idx="70">
                  <c:v>2446</c:v>
                </c:pt>
                <c:pt idx="71">
                  <c:v>2447</c:v>
                </c:pt>
                <c:pt idx="72">
                  <c:v>2448</c:v>
                </c:pt>
                <c:pt idx="73">
                  <c:v>2449</c:v>
                </c:pt>
                <c:pt idx="74">
                  <c:v>2450</c:v>
                </c:pt>
                <c:pt idx="75">
                  <c:v>2451</c:v>
                </c:pt>
                <c:pt idx="76">
                  <c:v>2452</c:v>
                </c:pt>
                <c:pt idx="77">
                  <c:v>2501</c:v>
                </c:pt>
                <c:pt idx="78">
                  <c:v>2502</c:v>
                </c:pt>
                <c:pt idx="79">
                  <c:v>2503</c:v>
                </c:pt>
                <c:pt idx="80">
                  <c:v>2504</c:v>
                </c:pt>
                <c:pt idx="81">
                  <c:v>2505</c:v>
                </c:pt>
                <c:pt idx="82">
                  <c:v>2506</c:v>
                </c:pt>
                <c:pt idx="83">
                  <c:v>2507</c:v>
                </c:pt>
                <c:pt idx="84">
                  <c:v>2508</c:v>
                </c:pt>
                <c:pt idx="85">
                  <c:v>2509</c:v>
                </c:pt>
                <c:pt idx="86">
                  <c:v>2510</c:v>
                </c:pt>
                <c:pt idx="87">
                  <c:v>2511</c:v>
                </c:pt>
                <c:pt idx="88">
                  <c:v>2512</c:v>
                </c:pt>
                <c:pt idx="89">
                  <c:v>2513</c:v>
                </c:pt>
                <c:pt idx="90">
                  <c:v>2514</c:v>
                </c:pt>
                <c:pt idx="91">
                  <c:v>2515</c:v>
                </c:pt>
                <c:pt idx="92">
                  <c:v>2516</c:v>
                </c:pt>
                <c:pt idx="93">
                  <c:v>2517</c:v>
                </c:pt>
                <c:pt idx="94">
                  <c:v>2518</c:v>
                </c:pt>
                <c:pt idx="95">
                  <c:v>2519</c:v>
                </c:pt>
                <c:pt idx="96">
                  <c:v>2520</c:v>
                </c:pt>
                <c:pt idx="97">
                  <c:v>2521</c:v>
                </c:pt>
              </c:numCache>
            </c:numRef>
          </c:cat>
          <c:val>
            <c:numRef>
              <c:f>Weaner!$U$3:$U$130</c:f>
              <c:numCache>
                <c:formatCode>0</c:formatCode>
                <c:ptCount val="128"/>
                <c:pt idx="0">
                  <c:v>550.54033676803215</c:v>
                </c:pt>
                <c:pt idx="1">
                  <c:v>526.52472031757486</c:v>
                </c:pt>
                <c:pt idx="2">
                  <c:v>486.4650827933765</c:v>
                </c:pt>
                <c:pt idx="3">
                  <c:v>507.85714285714289</c:v>
                </c:pt>
                <c:pt idx="4">
                  <c:v>509.29899856938488</c:v>
                </c:pt>
                <c:pt idx="5">
                  <c:v>543.77475806047232</c:v>
                </c:pt>
                <c:pt idx="6">
                  <c:v>538.40027873177041</c:v>
                </c:pt>
                <c:pt idx="7">
                  <c:v>447.0561502726722</c:v>
                </c:pt>
                <c:pt idx="8">
                  <c:v>482.95147917382133</c:v>
                </c:pt>
                <c:pt idx="9">
                  <c:v>472.77392378599257</c:v>
                </c:pt>
                <c:pt idx="10">
                  <c:v>494.02019409861782</c:v>
                </c:pt>
                <c:pt idx="11">
                  <c:v>493.64147713377355</c:v>
                </c:pt>
                <c:pt idx="12">
                  <c:v>491.22935243385467</c:v>
                </c:pt>
                <c:pt idx="13">
                  <c:v>532.56081689858843</c:v>
                </c:pt>
                <c:pt idx="14">
                  <c:v>491.62544688770265</c:v>
                </c:pt>
                <c:pt idx="15">
                  <c:v>510.62945948587623</c:v>
                </c:pt>
                <c:pt idx="16">
                  <c:v>526.09082373869637</c:v>
                </c:pt>
                <c:pt idx="17">
                  <c:v>472.66070749334347</c:v>
                </c:pt>
                <c:pt idx="18">
                  <c:v>511.00037608123353</c:v>
                </c:pt>
                <c:pt idx="19">
                  <c:v>516.4837763693123</c:v>
                </c:pt>
                <c:pt idx="20">
                  <c:v>499.14326511185146</c:v>
                </c:pt>
                <c:pt idx="21">
                  <c:v>493.30443159922925</c:v>
                </c:pt>
                <c:pt idx="22">
                  <c:v>468.11750835134603</c:v>
                </c:pt>
                <c:pt idx="23">
                  <c:v>475.06499645473883</c:v>
                </c:pt>
                <c:pt idx="24">
                  <c:v>516.20271234832262</c:v>
                </c:pt>
                <c:pt idx="25">
                  <c:v>485.64693801344288</c:v>
                </c:pt>
                <c:pt idx="26">
                  <c:v>455.06074811059028</c:v>
                </c:pt>
                <c:pt idx="27">
                  <c:v>463.75286916602909</c:v>
                </c:pt>
                <c:pt idx="28">
                  <c:v>500.3382132676233</c:v>
                </c:pt>
                <c:pt idx="29">
                  <c:v>514.42354076218044</c:v>
                </c:pt>
                <c:pt idx="30">
                  <c:v>534.99320520287324</c:v>
                </c:pt>
                <c:pt idx="31">
                  <c:v>544.93093181041638</c:v>
                </c:pt>
                <c:pt idx="32">
                  <c:v>544.60808786819769</c:v>
                </c:pt>
                <c:pt idx="33">
                  <c:v>571.67451516532481</c:v>
                </c:pt>
                <c:pt idx="34">
                  <c:v>510.1234567901235</c:v>
                </c:pt>
                <c:pt idx="35">
                  <c:v>536.62318483878914</c:v>
                </c:pt>
                <c:pt idx="36">
                  <c:v>547.41193901448173</c:v>
                </c:pt>
                <c:pt idx="37">
                  <c:v>556.77112742330132</c:v>
                </c:pt>
                <c:pt idx="38">
                  <c:v>542.25457820474332</c:v>
                </c:pt>
                <c:pt idx="39">
                  <c:v>516.57350201039526</c:v>
                </c:pt>
                <c:pt idx="40">
                  <c:v>561.28685278443254</c:v>
                </c:pt>
                <c:pt idx="41">
                  <c:v>548.61600639127778</c:v>
                </c:pt>
                <c:pt idx="42">
                  <c:v>527.23218521681372</c:v>
                </c:pt>
                <c:pt idx="43">
                  <c:v>528.43579169463897</c:v>
                </c:pt>
                <c:pt idx="44">
                  <c:v>543.77372639077657</c:v>
                </c:pt>
                <c:pt idx="45">
                  <c:v>564.18270413939069</c:v>
                </c:pt>
                <c:pt idx="46">
                  <c:v>562.97864243923323</c:v>
                </c:pt>
                <c:pt idx="47">
                  <c:v>520.24952015355086</c:v>
                </c:pt>
                <c:pt idx="48">
                  <c:v>556.97245927075255</c:v>
                </c:pt>
                <c:pt idx="49">
                  <c:v>548.19334540947659</c:v>
                </c:pt>
                <c:pt idx="50">
                  <c:v>537.91637136782424</c:v>
                </c:pt>
                <c:pt idx="51">
                  <c:v>531.10442546583852</c:v>
                </c:pt>
                <c:pt idx="52">
                  <c:v>546.62908151280237</c:v>
                </c:pt>
                <c:pt idx="53">
                  <c:v>569.24900014812613</c:v>
                </c:pt>
                <c:pt idx="54">
                  <c:v>556.28941749019225</c:v>
                </c:pt>
                <c:pt idx="55">
                  <c:v>533.23848304960018</c:v>
                </c:pt>
                <c:pt idx="56">
                  <c:v>550.94522539990305</c:v>
                </c:pt>
                <c:pt idx="57">
                  <c:v>543.5235614492068</c:v>
                </c:pt>
                <c:pt idx="58">
                  <c:v>540.80479536186306</c:v>
                </c:pt>
                <c:pt idx="59">
                  <c:v>544.47496802917635</c:v>
                </c:pt>
                <c:pt idx="60">
                  <c:v>545.35777098953997</c:v>
                </c:pt>
                <c:pt idx="61">
                  <c:v>537.32759418679996</c:v>
                </c:pt>
                <c:pt idx="62">
                  <c:v>544.74415637672575</c:v>
                </c:pt>
                <c:pt idx="63">
                  <c:v>549.57786546755995</c:v>
                </c:pt>
                <c:pt idx="64">
                  <c:v>525.40834845735026</c:v>
                </c:pt>
                <c:pt idx="65">
                  <c:v>495.13310394784497</c:v>
                </c:pt>
                <c:pt idx="66">
                  <c:v>505.702494009053</c:v>
                </c:pt>
                <c:pt idx="67">
                  <c:v>521.4924039320822</c:v>
                </c:pt>
                <c:pt idx="68">
                  <c:v>542.24177860120426</c:v>
                </c:pt>
                <c:pt idx="69">
                  <c:v>537.58868694722514</c:v>
                </c:pt>
                <c:pt idx="70">
                  <c:v>548.34306157032574</c:v>
                </c:pt>
                <c:pt idx="71">
                  <c:v>533.70558375634516</c:v>
                </c:pt>
                <c:pt idx="72">
                  <c:v>524.10590319337393</c:v>
                </c:pt>
                <c:pt idx="73">
                  <c:v>513.48616744906792</c:v>
                </c:pt>
                <c:pt idx="74">
                  <c:v>506.78557580457539</c:v>
                </c:pt>
                <c:pt idx="75">
                  <c:v>525.17947635135135</c:v>
                </c:pt>
                <c:pt idx="76">
                  <c:v>522.69445017536623</c:v>
                </c:pt>
                <c:pt idx="77">
                  <c:v>510.40006538351525</c:v>
                </c:pt>
                <c:pt idx="78">
                  <c:v>548.3281086729362</c:v>
                </c:pt>
                <c:pt idx="79">
                  <c:v>529.27504697853817</c:v>
                </c:pt>
                <c:pt idx="80">
                  <c:v>544.53449298280293</c:v>
                </c:pt>
                <c:pt idx="81">
                  <c:v>541.91465752042768</c:v>
                </c:pt>
                <c:pt idx="82">
                  <c:v>547.26978364323213</c:v>
                </c:pt>
                <c:pt idx="83">
                  <c:v>549.52773068539591</c:v>
                </c:pt>
                <c:pt idx="84">
                  <c:v>531.46504438017348</c:v>
                </c:pt>
                <c:pt idx="85">
                  <c:v>552.71466280213247</c:v>
                </c:pt>
                <c:pt idx="86">
                  <c:v>558.27444362409028</c:v>
                </c:pt>
                <c:pt idx="87">
                  <c:v>545.36489151873764</c:v>
                </c:pt>
                <c:pt idx="88">
                  <c:v>548.4527889534595</c:v>
                </c:pt>
                <c:pt idx="89">
                  <c:v>535.94611742886423</c:v>
                </c:pt>
                <c:pt idx="90">
                  <c:v>579.55052835243339</c:v>
                </c:pt>
                <c:pt idx="91">
                  <c:v>580.73312706486968</c:v>
                </c:pt>
                <c:pt idx="92">
                  <c:v>537.24785300579197</c:v>
                </c:pt>
                <c:pt idx="93">
                  <c:v>555.71442658514934</c:v>
                </c:pt>
                <c:pt idx="94">
                  <c:v>523.99403874813709</c:v>
                </c:pt>
                <c:pt idx="95">
                  <c:v>531.85407683736253</c:v>
                </c:pt>
                <c:pt idx="96">
                  <c:v>536.3854458216714</c:v>
                </c:pt>
                <c:pt idx="97">
                  <c:v>536.00159896067555</c:v>
                </c:pt>
                <c:pt idx="98">
                  <c:v>568.95522388059703</c:v>
                </c:pt>
                <c:pt idx="99">
                  <c:v>523.58017258679513</c:v>
                </c:pt>
                <c:pt idx="100">
                  <c:v>554.28776094965201</c:v>
                </c:pt>
                <c:pt idx="101">
                  <c:v>542.77620396600571</c:v>
                </c:pt>
                <c:pt idx="102">
                  <c:v>565.88128223278386</c:v>
                </c:pt>
                <c:pt idx="103">
                  <c:v>532.90838265796526</c:v>
                </c:pt>
                <c:pt idx="104">
                  <c:v>553.57320841223952</c:v>
                </c:pt>
                <c:pt idx="105">
                  <c:v>522.75080108454517</c:v>
                </c:pt>
                <c:pt idx="106">
                  <c:v>569.53961972782554</c:v>
                </c:pt>
                <c:pt idx="107">
                  <c:v>553.65189403317652</c:v>
                </c:pt>
                <c:pt idx="108">
                  <c:v>564.61607098597131</c:v>
                </c:pt>
                <c:pt idx="109">
                  <c:v>546.12472604104403</c:v>
                </c:pt>
                <c:pt idx="110">
                  <c:v>532.56150506512301</c:v>
                </c:pt>
                <c:pt idx="111">
                  <c:v>543.45533965958725</c:v>
                </c:pt>
                <c:pt idx="112">
                  <c:v>514.10580593980865</c:v>
                </c:pt>
                <c:pt idx="113">
                  <c:v>499.6782337508044</c:v>
                </c:pt>
                <c:pt idx="114">
                  <c:v>565.90434617574488</c:v>
                </c:pt>
                <c:pt idx="115">
                  <c:v>543.98941902615854</c:v>
                </c:pt>
                <c:pt idx="116">
                  <c:v>530.2196464228316</c:v>
                </c:pt>
                <c:pt idx="117">
                  <c:v>515.85697970657998</c:v>
                </c:pt>
                <c:pt idx="118">
                  <c:v>500.20457335091152</c:v>
                </c:pt>
                <c:pt idx="119">
                  <c:v>476.769394261424</c:v>
                </c:pt>
                <c:pt idx="120">
                  <c:v>536.40867451860163</c:v>
                </c:pt>
                <c:pt idx="121">
                  <c:v>527.79301061867488</c:v>
                </c:pt>
                <c:pt idx="122">
                  <c:v>509.78921936182621</c:v>
                </c:pt>
                <c:pt idx="123">
                  <c:v>528.50072908841855</c:v>
                </c:pt>
                <c:pt idx="124">
                  <c:v>531.04403677427479</c:v>
                </c:pt>
                <c:pt idx="125">
                  <c:v>531.14646815820686</c:v>
                </c:pt>
                <c:pt idx="126">
                  <c:v>508.30039525691694</c:v>
                </c:pt>
                <c:pt idx="127">
                  <c:v>495.05958666465534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6-41E4-9040-E6AF5D658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31008"/>
        <c:axId val="152333312"/>
      </c:lineChart>
      <c:lineChart>
        <c:grouping val="standard"/>
        <c:varyColors val="0"/>
        <c:ser>
          <c:idx val="1"/>
          <c:order val="1"/>
          <c:tx>
            <c:v>Number 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Weaner!$A$3:$A$130</c:f>
              <c:numCache>
                <c:formatCode>General</c:formatCode>
                <c:ptCount val="128"/>
                <c:pt idx="0">
                  <c:v>2328</c:v>
                </c:pt>
                <c:pt idx="1">
                  <c:v>2329</c:v>
                </c:pt>
                <c:pt idx="2">
                  <c:v>2330</c:v>
                </c:pt>
                <c:pt idx="3">
                  <c:v>2331</c:v>
                </c:pt>
                <c:pt idx="4">
                  <c:v>2332</c:v>
                </c:pt>
                <c:pt idx="5">
                  <c:v>2333</c:v>
                </c:pt>
                <c:pt idx="6">
                  <c:v>2334</c:v>
                </c:pt>
                <c:pt idx="7">
                  <c:v>2335</c:v>
                </c:pt>
                <c:pt idx="8">
                  <c:v>2336</c:v>
                </c:pt>
                <c:pt idx="9">
                  <c:v>2337</c:v>
                </c:pt>
                <c:pt idx="10">
                  <c:v>2338</c:v>
                </c:pt>
                <c:pt idx="11">
                  <c:v>2339</c:v>
                </c:pt>
                <c:pt idx="12">
                  <c:v>2340</c:v>
                </c:pt>
                <c:pt idx="13">
                  <c:v>2341</c:v>
                </c:pt>
                <c:pt idx="14">
                  <c:v>2342</c:v>
                </c:pt>
                <c:pt idx="15">
                  <c:v>2343</c:v>
                </c:pt>
                <c:pt idx="16">
                  <c:v>2344</c:v>
                </c:pt>
                <c:pt idx="17">
                  <c:v>2345</c:v>
                </c:pt>
                <c:pt idx="18">
                  <c:v>2346</c:v>
                </c:pt>
                <c:pt idx="19">
                  <c:v>2347</c:v>
                </c:pt>
                <c:pt idx="20">
                  <c:v>2348</c:v>
                </c:pt>
                <c:pt idx="21">
                  <c:v>2349</c:v>
                </c:pt>
                <c:pt idx="22">
                  <c:v>2350</c:v>
                </c:pt>
                <c:pt idx="23">
                  <c:v>2351</c:v>
                </c:pt>
                <c:pt idx="24">
                  <c:v>2352</c:v>
                </c:pt>
                <c:pt idx="25">
                  <c:v>2401</c:v>
                </c:pt>
                <c:pt idx="26">
                  <c:v>2402</c:v>
                </c:pt>
                <c:pt idx="27">
                  <c:v>2403</c:v>
                </c:pt>
                <c:pt idx="28">
                  <c:v>2404</c:v>
                </c:pt>
                <c:pt idx="29">
                  <c:v>2405</c:v>
                </c:pt>
                <c:pt idx="30">
                  <c:v>2406</c:v>
                </c:pt>
                <c:pt idx="31">
                  <c:v>2407</c:v>
                </c:pt>
                <c:pt idx="32">
                  <c:v>2408</c:v>
                </c:pt>
                <c:pt idx="33">
                  <c:v>2409</c:v>
                </c:pt>
                <c:pt idx="34">
                  <c:v>2410</c:v>
                </c:pt>
                <c:pt idx="35">
                  <c:v>2411</c:v>
                </c:pt>
                <c:pt idx="36">
                  <c:v>2412</c:v>
                </c:pt>
                <c:pt idx="37">
                  <c:v>2413</c:v>
                </c:pt>
                <c:pt idx="38">
                  <c:v>2414</c:v>
                </c:pt>
                <c:pt idx="39">
                  <c:v>2415</c:v>
                </c:pt>
                <c:pt idx="40">
                  <c:v>2416</c:v>
                </c:pt>
                <c:pt idx="41">
                  <c:v>2417</c:v>
                </c:pt>
                <c:pt idx="42">
                  <c:v>2418</c:v>
                </c:pt>
                <c:pt idx="43">
                  <c:v>2419</c:v>
                </c:pt>
                <c:pt idx="44">
                  <c:v>2420</c:v>
                </c:pt>
                <c:pt idx="45">
                  <c:v>2421</c:v>
                </c:pt>
                <c:pt idx="46">
                  <c:v>2422</c:v>
                </c:pt>
                <c:pt idx="47">
                  <c:v>2423</c:v>
                </c:pt>
                <c:pt idx="48">
                  <c:v>2424</c:v>
                </c:pt>
                <c:pt idx="49">
                  <c:v>2425</c:v>
                </c:pt>
                <c:pt idx="50">
                  <c:v>2426</c:v>
                </c:pt>
                <c:pt idx="51">
                  <c:v>2427</c:v>
                </c:pt>
                <c:pt idx="52">
                  <c:v>2428</c:v>
                </c:pt>
                <c:pt idx="53">
                  <c:v>2429</c:v>
                </c:pt>
                <c:pt idx="54">
                  <c:v>2430</c:v>
                </c:pt>
                <c:pt idx="55">
                  <c:v>2431</c:v>
                </c:pt>
                <c:pt idx="56">
                  <c:v>2432</c:v>
                </c:pt>
                <c:pt idx="57">
                  <c:v>2433</c:v>
                </c:pt>
                <c:pt idx="58">
                  <c:v>2434</c:v>
                </c:pt>
                <c:pt idx="59">
                  <c:v>2435</c:v>
                </c:pt>
                <c:pt idx="60">
                  <c:v>2436</c:v>
                </c:pt>
                <c:pt idx="61">
                  <c:v>2437</c:v>
                </c:pt>
                <c:pt idx="62">
                  <c:v>2438</c:v>
                </c:pt>
                <c:pt idx="63">
                  <c:v>2439</c:v>
                </c:pt>
                <c:pt idx="64">
                  <c:v>2440</c:v>
                </c:pt>
                <c:pt idx="65">
                  <c:v>2441</c:v>
                </c:pt>
                <c:pt idx="66">
                  <c:v>2442</c:v>
                </c:pt>
                <c:pt idx="67">
                  <c:v>2443</c:v>
                </c:pt>
                <c:pt idx="68">
                  <c:v>2444</c:v>
                </c:pt>
                <c:pt idx="69">
                  <c:v>2445</c:v>
                </c:pt>
                <c:pt idx="70">
                  <c:v>2446</c:v>
                </c:pt>
                <c:pt idx="71">
                  <c:v>2447</c:v>
                </c:pt>
                <c:pt idx="72">
                  <c:v>2448</c:v>
                </c:pt>
                <c:pt idx="73">
                  <c:v>2449</c:v>
                </c:pt>
                <c:pt idx="74">
                  <c:v>2450</c:v>
                </c:pt>
                <c:pt idx="75">
                  <c:v>2451</c:v>
                </c:pt>
                <c:pt idx="76">
                  <c:v>2452</c:v>
                </c:pt>
                <c:pt idx="77">
                  <c:v>2501</c:v>
                </c:pt>
                <c:pt idx="78">
                  <c:v>2502</c:v>
                </c:pt>
                <c:pt idx="79">
                  <c:v>2503</c:v>
                </c:pt>
                <c:pt idx="80">
                  <c:v>2504</c:v>
                </c:pt>
                <c:pt idx="81">
                  <c:v>2505</c:v>
                </c:pt>
                <c:pt idx="82">
                  <c:v>2506</c:v>
                </c:pt>
                <c:pt idx="83">
                  <c:v>2507</c:v>
                </c:pt>
                <c:pt idx="84">
                  <c:v>2508</c:v>
                </c:pt>
                <c:pt idx="85">
                  <c:v>2509</c:v>
                </c:pt>
                <c:pt idx="86">
                  <c:v>2510</c:v>
                </c:pt>
                <c:pt idx="87">
                  <c:v>2511</c:v>
                </c:pt>
                <c:pt idx="88">
                  <c:v>2512</c:v>
                </c:pt>
                <c:pt idx="89">
                  <c:v>2513</c:v>
                </c:pt>
                <c:pt idx="90">
                  <c:v>2514</c:v>
                </c:pt>
                <c:pt idx="91">
                  <c:v>2515</c:v>
                </c:pt>
                <c:pt idx="92">
                  <c:v>2516</c:v>
                </c:pt>
                <c:pt idx="93">
                  <c:v>2517</c:v>
                </c:pt>
                <c:pt idx="94">
                  <c:v>2518</c:v>
                </c:pt>
                <c:pt idx="95">
                  <c:v>2519</c:v>
                </c:pt>
                <c:pt idx="96">
                  <c:v>2520</c:v>
                </c:pt>
                <c:pt idx="97">
                  <c:v>2521</c:v>
                </c:pt>
                <c:pt idx="98">
                  <c:v>2522</c:v>
                </c:pt>
                <c:pt idx="99">
                  <c:v>2523</c:v>
                </c:pt>
                <c:pt idx="100">
                  <c:v>2524</c:v>
                </c:pt>
                <c:pt idx="101">
                  <c:v>2525</c:v>
                </c:pt>
                <c:pt idx="102">
                  <c:v>2526</c:v>
                </c:pt>
                <c:pt idx="103">
                  <c:v>2527</c:v>
                </c:pt>
                <c:pt idx="104">
                  <c:v>2528</c:v>
                </c:pt>
                <c:pt idx="105">
                  <c:v>2529</c:v>
                </c:pt>
                <c:pt idx="106">
                  <c:v>2530</c:v>
                </c:pt>
                <c:pt idx="107">
                  <c:v>2531</c:v>
                </c:pt>
                <c:pt idx="108">
                  <c:v>2532</c:v>
                </c:pt>
                <c:pt idx="109">
                  <c:v>2533</c:v>
                </c:pt>
                <c:pt idx="110">
                  <c:v>2534</c:v>
                </c:pt>
                <c:pt idx="111">
                  <c:v>2535</c:v>
                </c:pt>
                <c:pt idx="112">
                  <c:v>2536</c:v>
                </c:pt>
                <c:pt idx="113">
                  <c:v>2537</c:v>
                </c:pt>
                <c:pt idx="114">
                  <c:v>2538</c:v>
                </c:pt>
                <c:pt idx="115">
                  <c:v>2539</c:v>
                </c:pt>
                <c:pt idx="116">
                  <c:v>2540</c:v>
                </c:pt>
                <c:pt idx="117">
                  <c:v>2541</c:v>
                </c:pt>
                <c:pt idx="118">
                  <c:v>2542</c:v>
                </c:pt>
                <c:pt idx="119">
                  <c:v>2543</c:v>
                </c:pt>
                <c:pt idx="120">
                  <c:v>2544</c:v>
                </c:pt>
                <c:pt idx="121">
                  <c:v>2545</c:v>
                </c:pt>
                <c:pt idx="122">
                  <c:v>2546</c:v>
                </c:pt>
                <c:pt idx="123">
                  <c:v>2547</c:v>
                </c:pt>
                <c:pt idx="124">
                  <c:v>2548</c:v>
                </c:pt>
                <c:pt idx="125">
                  <c:v>2549</c:v>
                </c:pt>
                <c:pt idx="126">
                  <c:v>2550</c:v>
                </c:pt>
                <c:pt idx="127">
                  <c:v>2551</c:v>
                </c:pt>
              </c:numCache>
            </c:numRef>
          </c:cat>
          <c:val>
            <c:numRef>
              <c:f>Weaner!$J$3:$J$130</c:f>
              <c:numCache>
                <c:formatCode>0</c:formatCode>
                <c:ptCount val="128"/>
                <c:pt idx="0">
                  <c:v>514</c:v>
                </c:pt>
                <c:pt idx="1">
                  <c:v>511</c:v>
                </c:pt>
                <c:pt idx="2">
                  <c:v>517</c:v>
                </c:pt>
                <c:pt idx="3">
                  <c:v>518</c:v>
                </c:pt>
                <c:pt idx="4">
                  <c:v>516</c:v>
                </c:pt>
                <c:pt idx="5">
                  <c:v>510</c:v>
                </c:pt>
                <c:pt idx="6">
                  <c:v>511</c:v>
                </c:pt>
                <c:pt idx="7">
                  <c:v>517</c:v>
                </c:pt>
                <c:pt idx="8">
                  <c:v>514</c:v>
                </c:pt>
                <c:pt idx="9">
                  <c:v>525</c:v>
                </c:pt>
                <c:pt idx="10">
                  <c:v>518</c:v>
                </c:pt>
                <c:pt idx="11">
                  <c:v>509</c:v>
                </c:pt>
                <c:pt idx="12">
                  <c:v>513</c:v>
                </c:pt>
                <c:pt idx="13">
                  <c:v>520</c:v>
                </c:pt>
                <c:pt idx="14">
                  <c:v>511</c:v>
                </c:pt>
                <c:pt idx="15">
                  <c:v>518</c:v>
                </c:pt>
                <c:pt idx="16">
                  <c:v>517</c:v>
                </c:pt>
                <c:pt idx="17">
                  <c:v>484</c:v>
                </c:pt>
                <c:pt idx="18">
                  <c:v>525</c:v>
                </c:pt>
                <c:pt idx="19">
                  <c:v>509</c:v>
                </c:pt>
                <c:pt idx="20">
                  <c:v>522</c:v>
                </c:pt>
                <c:pt idx="21">
                  <c:v>511</c:v>
                </c:pt>
                <c:pt idx="22">
                  <c:v>516</c:v>
                </c:pt>
                <c:pt idx="23">
                  <c:v>529</c:v>
                </c:pt>
                <c:pt idx="24">
                  <c:v>522</c:v>
                </c:pt>
                <c:pt idx="25">
                  <c:v>525</c:v>
                </c:pt>
                <c:pt idx="26">
                  <c:v>520</c:v>
                </c:pt>
                <c:pt idx="27">
                  <c:v>518</c:v>
                </c:pt>
                <c:pt idx="28">
                  <c:v>520</c:v>
                </c:pt>
                <c:pt idx="29">
                  <c:v>509</c:v>
                </c:pt>
                <c:pt idx="30">
                  <c:v>510</c:v>
                </c:pt>
                <c:pt idx="31">
                  <c:v>511</c:v>
                </c:pt>
                <c:pt idx="32">
                  <c:v>503</c:v>
                </c:pt>
                <c:pt idx="33">
                  <c:v>503</c:v>
                </c:pt>
                <c:pt idx="34">
                  <c:v>517</c:v>
                </c:pt>
                <c:pt idx="35">
                  <c:v>518</c:v>
                </c:pt>
                <c:pt idx="36">
                  <c:v>525</c:v>
                </c:pt>
                <c:pt idx="37">
                  <c:v>510</c:v>
                </c:pt>
                <c:pt idx="38">
                  <c:v>509</c:v>
                </c:pt>
                <c:pt idx="39">
                  <c:v>523</c:v>
                </c:pt>
                <c:pt idx="40">
                  <c:v>524</c:v>
                </c:pt>
                <c:pt idx="41">
                  <c:v>531</c:v>
                </c:pt>
                <c:pt idx="42">
                  <c:v>531</c:v>
                </c:pt>
                <c:pt idx="43">
                  <c:v>531</c:v>
                </c:pt>
                <c:pt idx="44">
                  <c:v>565</c:v>
                </c:pt>
                <c:pt idx="45">
                  <c:v>516</c:v>
                </c:pt>
                <c:pt idx="46">
                  <c:v>529</c:v>
                </c:pt>
                <c:pt idx="47">
                  <c:v>530</c:v>
                </c:pt>
                <c:pt idx="48">
                  <c:v>536</c:v>
                </c:pt>
                <c:pt idx="49">
                  <c:v>532</c:v>
                </c:pt>
                <c:pt idx="50">
                  <c:v>536</c:v>
                </c:pt>
                <c:pt idx="51">
                  <c:v>518</c:v>
                </c:pt>
                <c:pt idx="52">
                  <c:v>536</c:v>
                </c:pt>
                <c:pt idx="53">
                  <c:v>514</c:v>
                </c:pt>
                <c:pt idx="54">
                  <c:v>509</c:v>
                </c:pt>
                <c:pt idx="55">
                  <c:v>519</c:v>
                </c:pt>
                <c:pt idx="56">
                  <c:v>519</c:v>
                </c:pt>
                <c:pt idx="57">
                  <c:v>535</c:v>
                </c:pt>
                <c:pt idx="58">
                  <c:v>520</c:v>
                </c:pt>
                <c:pt idx="59">
                  <c:v>532</c:v>
                </c:pt>
                <c:pt idx="60">
                  <c:v>545</c:v>
                </c:pt>
                <c:pt idx="61">
                  <c:v>554</c:v>
                </c:pt>
                <c:pt idx="62">
                  <c:v>550</c:v>
                </c:pt>
                <c:pt idx="63">
                  <c:v>556</c:v>
                </c:pt>
                <c:pt idx="64">
                  <c:v>562</c:v>
                </c:pt>
                <c:pt idx="65">
                  <c:v>565</c:v>
                </c:pt>
                <c:pt idx="66">
                  <c:v>582</c:v>
                </c:pt>
                <c:pt idx="67">
                  <c:v>580</c:v>
                </c:pt>
                <c:pt idx="68" formatCode="General">
                  <c:v>558</c:v>
                </c:pt>
                <c:pt idx="69" formatCode="General">
                  <c:v>526</c:v>
                </c:pt>
                <c:pt idx="70" formatCode="General">
                  <c:v>562</c:v>
                </c:pt>
                <c:pt idx="71" formatCode="General">
                  <c:v>523</c:v>
                </c:pt>
                <c:pt idx="72" formatCode="General">
                  <c:v>551</c:v>
                </c:pt>
                <c:pt idx="73" formatCode="General">
                  <c:v>580</c:v>
                </c:pt>
                <c:pt idx="74" formatCode="General">
                  <c:v>548</c:v>
                </c:pt>
                <c:pt idx="75" formatCode="General">
                  <c:v>502</c:v>
                </c:pt>
                <c:pt idx="76" formatCode="General">
                  <c:v>513</c:v>
                </c:pt>
                <c:pt idx="77" formatCode="General">
                  <c:v>644</c:v>
                </c:pt>
                <c:pt idx="78" formatCode="General">
                  <c:v>554</c:v>
                </c:pt>
                <c:pt idx="79" formatCode="General">
                  <c:v>401</c:v>
                </c:pt>
                <c:pt idx="80" formatCode="General">
                  <c:v>535</c:v>
                </c:pt>
                <c:pt idx="81" formatCode="General">
                  <c:v>524</c:v>
                </c:pt>
                <c:pt idx="82" formatCode="General">
                  <c:v>540</c:v>
                </c:pt>
                <c:pt idx="83" formatCode="General">
                  <c:v>549</c:v>
                </c:pt>
                <c:pt idx="84" formatCode="General">
                  <c:v>528</c:v>
                </c:pt>
                <c:pt idx="85" formatCode="General">
                  <c:v>510</c:v>
                </c:pt>
                <c:pt idx="86" formatCode="General">
                  <c:v>499</c:v>
                </c:pt>
                <c:pt idx="87" formatCode="General">
                  <c:v>537</c:v>
                </c:pt>
                <c:pt idx="88" formatCode="General">
                  <c:v>532</c:v>
                </c:pt>
                <c:pt idx="89" formatCode="General">
                  <c:v>543</c:v>
                </c:pt>
                <c:pt idx="90" formatCode="General">
                  <c:v>531</c:v>
                </c:pt>
                <c:pt idx="91" formatCode="General">
                  <c:v>503</c:v>
                </c:pt>
                <c:pt idx="92" formatCode="General">
                  <c:v>529</c:v>
                </c:pt>
                <c:pt idx="93" formatCode="General">
                  <c:v>538</c:v>
                </c:pt>
                <c:pt idx="94" formatCode="General">
                  <c:v>535</c:v>
                </c:pt>
                <c:pt idx="95" formatCode="General">
                  <c:v>545</c:v>
                </c:pt>
                <c:pt idx="96" formatCode="General">
                  <c:v>529</c:v>
                </c:pt>
                <c:pt idx="97" formatCode="General">
                  <c:v>529</c:v>
                </c:pt>
                <c:pt idx="98" formatCode="General">
                  <c:v>530</c:v>
                </c:pt>
                <c:pt idx="99" formatCode="General">
                  <c:v>529</c:v>
                </c:pt>
                <c:pt idx="100" formatCode="General">
                  <c:v>516</c:v>
                </c:pt>
                <c:pt idx="101" formatCode="General">
                  <c:v>515</c:v>
                </c:pt>
                <c:pt idx="102" formatCode="General">
                  <c:v>522</c:v>
                </c:pt>
                <c:pt idx="103" formatCode="General">
                  <c:v>523</c:v>
                </c:pt>
                <c:pt idx="104" formatCode="General">
                  <c:v>533</c:v>
                </c:pt>
                <c:pt idx="105" formatCode="General">
                  <c:v>537</c:v>
                </c:pt>
                <c:pt idx="106" formatCode="General">
                  <c:v>546</c:v>
                </c:pt>
                <c:pt idx="107" formatCode="General">
                  <c:v>533</c:v>
                </c:pt>
                <c:pt idx="108" formatCode="General">
                  <c:v>534</c:v>
                </c:pt>
                <c:pt idx="109" formatCode="General">
                  <c:v>533</c:v>
                </c:pt>
                <c:pt idx="110" formatCode="General">
                  <c:v>566</c:v>
                </c:pt>
                <c:pt idx="111" formatCode="@">
                  <c:v>527</c:v>
                </c:pt>
                <c:pt idx="112" formatCode="@">
                  <c:v>534</c:v>
                </c:pt>
                <c:pt idx="113" formatCode="General">
                  <c:v>536</c:v>
                </c:pt>
                <c:pt idx="114" formatCode="General">
                  <c:v>558</c:v>
                </c:pt>
                <c:pt idx="115" formatCode="General">
                  <c:v>541</c:v>
                </c:pt>
                <c:pt idx="116" formatCode="General">
                  <c:v>541</c:v>
                </c:pt>
                <c:pt idx="117" formatCode="General">
                  <c:v>603</c:v>
                </c:pt>
                <c:pt idx="118" formatCode="General">
                  <c:v>585</c:v>
                </c:pt>
                <c:pt idx="119" formatCode="General">
                  <c:v>624</c:v>
                </c:pt>
                <c:pt idx="120" formatCode="General">
                  <c:v>568</c:v>
                </c:pt>
                <c:pt idx="121" formatCode="General">
                  <c:v>537</c:v>
                </c:pt>
                <c:pt idx="122" formatCode="General">
                  <c:v>529</c:v>
                </c:pt>
                <c:pt idx="123" formatCode="General">
                  <c:v>526</c:v>
                </c:pt>
                <c:pt idx="124" formatCode="General">
                  <c:v>549</c:v>
                </c:pt>
                <c:pt idx="125" formatCode="General">
                  <c:v>541</c:v>
                </c:pt>
                <c:pt idx="126" formatCode="General">
                  <c:v>555</c:v>
                </c:pt>
                <c:pt idx="127" formatCode="General">
                  <c:v>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6-41E4-9040-E6AF5D658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53792"/>
        <c:axId val="152351872"/>
      </c:lineChart>
      <c:catAx>
        <c:axId val="15233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33312"/>
        <c:crosses val="autoZero"/>
        <c:auto val="1"/>
        <c:lblAlgn val="ctr"/>
        <c:lblOffset val="100"/>
        <c:noMultiLvlLbl val="0"/>
      </c:catAx>
      <c:valAx>
        <c:axId val="152333312"/>
        <c:scaling>
          <c:orientation val="minMax"/>
          <c:min val="4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31008"/>
        <c:crosses val="autoZero"/>
        <c:crossBetween val="between"/>
      </c:valAx>
      <c:valAx>
        <c:axId val="152351872"/>
        <c:scaling>
          <c:orientation val="minMax"/>
          <c:min val="48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in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3792"/>
        <c:crosses val="max"/>
        <c:crossBetween val="between"/>
      </c:valAx>
      <c:catAx>
        <c:axId val="152353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351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ADG</a:t>
            </a:r>
            <a:r>
              <a:rPr lang="en-GB" baseline="0"/>
              <a:t> vs Weight in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Weaner!$U$2</c:f>
              <c:strCache>
                <c:ptCount val="1"/>
                <c:pt idx="0">
                  <c:v>ADG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Weaner!$A$3:$A$130</c:f>
              <c:numCache>
                <c:formatCode>General</c:formatCode>
                <c:ptCount val="128"/>
                <c:pt idx="0">
                  <c:v>2328</c:v>
                </c:pt>
                <c:pt idx="1">
                  <c:v>2329</c:v>
                </c:pt>
                <c:pt idx="2">
                  <c:v>2330</c:v>
                </c:pt>
                <c:pt idx="3">
                  <c:v>2331</c:v>
                </c:pt>
                <c:pt idx="4">
                  <c:v>2332</c:v>
                </c:pt>
                <c:pt idx="5">
                  <c:v>2333</c:v>
                </c:pt>
                <c:pt idx="6">
                  <c:v>2334</c:v>
                </c:pt>
                <c:pt idx="7">
                  <c:v>2335</c:v>
                </c:pt>
                <c:pt idx="8">
                  <c:v>2336</c:v>
                </c:pt>
                <c:pt idx="9">
                  <c:v>2337</c:v>
                </c:pt>
                <c:pt idx="10">
                  <c:v>2338</c:v>
                </c:pt>
                <c:pt idx="11">
                  <c:v>2339</c:v>
                </c:pt>
                <c:pt idx="12">
                  <c:v>2340</c:v>
                </c:pt>
                <c:pt idx="13">
                  <c:v>2341</c:v>
                </c:pt>
                <c:pt idx="14">
                  <c:v>2342</c:v>
                </c:pt>
                <c:pt idx="15">
                  <c:v>2343</c:v>
                </c:pt>
                <c:pt idx="16">
                  <c:v>2344</c:v>
                </c:pt>
                <c:pt idx="17">
                  <c:v>2345</c:v>
                </c:pt>
                <c:pt idx="18">
                  <c:v>2346</c:v>
                </c:pt>
                <c:pt idx="19">
                  <c:v>2347</c:v>
                </c:pt>
                <c:pt idx="20">
                  <c:v>2348</c:v>
                </c:pt>
                <c:pt idx="21">
                  <c:v>2349</c:v>
                </c:pt>
                <c:pt idx="22">
                  <c:v>2350</c:v>
                </c:pt>
                <c:pt idx="23">
                  <c:v>2351</c:v>
                </c:pt>
                <c:pt idx="24">
                  <c:v>2352</c:v>
                </c:pt>
                <c:pt idx="25">
                  <c:v>2401</c:v>
                </c:pt>
                <c:pt idx="26">
                  <c:v>2402</c:v>
                </c:pt>
                <c:pt idx="27">
                  <c:v>2403</c:v>
                </c:pt>
                <c:pt idx="28">
                  <c:v>2404</c:v>
                </c:pt>
                <c:pt idx="29">
                  <c:v>2405</c:v>
                </c:pt>
                <c:pt idx="30">
                  <c:v>2406</c:v>
                </c:pt>
                <c:pt idx="31">
                  <c:v>2407</c:v>
                </c:pt>
                <c:pt idx="32">
                  <c:v>2408</c:v>
                </c:pt>
                <c:pt idx="33">
                  <c:v>2409</c:v>
                </c:pt>
                <c:pt idx="34">
                  <c:v>2410</c:v>
                </c:pt>
                <c:pt idx="35">
                  <c:v>2411</c:v>
                </c:pt>
                <c:pt idx="36">
                  <c:v>2412</c:v>
                </c:pt>
                <c:pt idx="37">
                  <c:v>2413</c:v>
                </c:pt>
                <c:pt idx="38">
                  <c:v>2414</c:v>
                </c:pt>
                <c:pt idx="39">
                  <c:v>2415</c:v>
                </c:pt>
                <c:pt idx="40">
                  <c:v>2416</c:v>
                </c:pt>
                <c:pt idx="41">
                  <c:v>2417</c:v>
                </c:pt>
                <c:pt idx="42">
                  <c:v>2418</c:v>
                </c:pt>
                <c:pt idx="43">
                  <c:v>2419</c:v>
                </c:pt>
                <c:pt idx="44">
                  <c:v>2420</c:v>
                </c:pt>
                <c:pt idx="45">
                  <c:v>2421</c:v>
                </c:pt>
                <c:pt idx="46">
                  <c:v>2422</c:v>
                </c:pt>
                <c:pt idx="47">
                  <c:v>2423</c:v>
                </c:pt>
                <c:pt idx="48">
                  <c:v>2424</c:v>
                </c:pt>
                <c:pt idx="49">
                  <c:v>2425</c:v>
                </c:pt>
                <c:pt idx="50">
                  <c:v>2426</c:v>
                </c:pt>
                <c:pt idx="51">
                  <c:v>2427</c:v>
                </c:pt>
                <c:pt idx="52">
                  <c:v>2428</c:v>
                </c:pt>
                <c:pt idx="53">
                  <c:v>2429</c:v>
                </c:pt>
                <c:pt idx="54">
                  <c:v>2430</c:v>
                </c:pt>
                <c:pt idx="55">
                  <c:v>2431</c:v>
                </c:pt>
                <c:pt idx="56">
                  <c:v>2432</c:v>
                </c:pt>
                <c:pt idx="57">
                  <c:v>2433</c:v>
                </c:pt>
                <c:pt idx="58">
                  <c:v>2434</c:v>
                </c:pt>
                <c:pt idx="59">
                  <c:v>2435</c:v>
                </c:pt>
                <c:pt idx="60">
                  <c:v>2436</c:v>
                </c:pt>
                <c:pt idx="61">
                  <c:v>2437</c:v>
                </c:pt>
                <c:pt idx="62">
                  <c:v>2438</c:v>
                </c:pt>
                <c:pt idx="63">
                  <c:v>2439</c:v>
                </c:pt>
                <c:pt idx="64">
                  <c:v>2440</c:v>
                </c:pt>
                <c:pt idx="65">
                  <c:v>2441</c:v>
                </c:pt>
                <c:pt idx="66">
                  <c:v>2442</c:v>
                </c:pt>
                <c:pt idx="67">
                  <c:v>2443</c:v>
                </c:pt>
                <c:pt idx="68">
                  <c:v>2444</c:v>
                </c:pt>
                <c:pt idx="69">
                  <c:v>2445</c:v>
                </c:pt>
                <c:pt idx="70">
                  <c:v>2446</c:v>
                </c:pt>
                <c:pt idx="71">
                  <c:v>2447</c:v>
                </c:pt>
                <c:pt idx="72">
                  <c:v>2448</c:v>
                </c:pt>
                <c:pt idx="73">
                  <c:v>2449</c:v>
                </c:pt>
                <c:pt idx="74">
                  <c:v>2450</c:v>
                </c:pt>
                <c:pt idx="75">
                  <c:v>2451</c:v>
                </c:pt>
                <c:pt idx="76">
                  <c:v>2452</c:v>
                </c:pt>
                <c:pt idx="77">
                  <c:v>2501</c:v>
                </c:pt>
                <c:pt idx="78">
                  <c:v>2502</c:v>
                </c:pt>
                <c:pt idx="79">
                  <c:v>2503</c:v>
                </c:pt>
                <c:pt idx="80">
                  <c:v>2504</c:v>
                </c:pt>
                <c:pt idx="81">
                  <c:v>2505</c:v>
                </c:pt>
                <c:pt idx="82">
                  <c:v>2506</c:v>
                </c:pt>
                <c:pt idx="83">
                  <c:v>2507</c:v>
                </c:pt>
                <c:pt idx="84">
                  <c:v>2508</c:v>
                </c:pt>
                <c:pt idx="85">
                  <c:v>2509</c:v>
                </c:pt>
                <c:pt idx="86">
                  <c:v>2510</c:v>
                </c:pt>
                <c:pt idx="87">
                  <c:v>2511</c:v>
                </c:pt>
                <c:pt idx="88">
                  <c:v>2512</c:v>
                </c:pt>
                <c:pt idx="89">
                  <c:v>2513</c:v>
                </c:pt>
                <c:pt idx="90">
                  <c:v>2514</c:v>
                </c:pt>
                <c:pt idx="91">
                  <c:v>2515</c:v>
                </c:pt>
                <c:pt idx="92">
                  <c:v>2516</c:v>
                </c:pt>
                <c:pt idx="93">
                  <c:v>2517</c:v>
                </c:pt>
                <c:pt idx="94">
                  <c:v>2518</c:v>
                </c:pt>
                <c:pt idx="95">
                  <c:v>2519</c:v>
                </c:pt>
                <c:pt idx="96">
                  <c:v>2520</c:v>
                </c:pt>
                <c:pt idx="97">
                  <c:v>2521</c:v>
                </c:pt>
                <c:pt idx="98">
                  <c:v>2522</c:v>
                </c:pt>
                <c:pt idx="99">
                  <c:v>2523</c:v>
                </c:pt>
                <c:pt idx="100">
                  <c:v>2524</c:v>
                </c:pt>
                <c:pt idx="101">
                  <c:v>2525</c:v>
                </c:pt>
                <c:pt idx="102">
                  <c:v>2526</c:v>
                </c:pt>
                <c:pt idx="103">
                  <c:v>2527</c:v>
                </c:pt>
                <c:pt idx="104">
                  <c:v>2528</c:v>
                </c:pt>
                <c:pt idx="105">
                  <c:v>2529</c:v>
                </c:pt>
                <c:pt idx="106">
                  <c:v>2530</c:v>
                </c:pt>
                <c:pt idx="107">
                  <c:v>2531</c:v>
                </c:pt>
                <c:pt idx="108">
                  <c:v>2532</c:v>
                </c:pt>
                <c:pt idx="109">
                  <c:v>2533</c:v>
                </c:pt>
                <c:pt idx="110">
                  <c:v>2534</c:v>
                </c:pt>
                <c:pt idx="111">
                  <c:v>2535</c:v>
                </c:pt>
                <c:pt idx="112">
                  <c:v>2536</c:v>
                </c:pt>
                <c:pt idx="113">
                  <c:v>2537</c:v>
                </c:pt>
                <c:pt idx="114">
                  <c:v>2538</c:v>
                </c:pt>
                <c:pt idx="115">
                  <c:v>2539</c:v>
                </c:pt>
                <c:pt idx="116">
                  <c:v>2540</c:v>
                </c:pt>
                <c:pt idx="117">
                  <c:v>2541</c:v>
                </c:pt>
                <c:pt idx="118">
                  <c:v>2542</c:v>
                </c:pt>
                <c:pt idx="119">
                  <c:v>2543</c:v>
                </c:pt>
                <c:pt idx="120">
                  <c:v>2544</c:v>
                </c:pt>
                <c:pt idx="121">
                  <c:v>2545</c:v>
                </c:pt>
                <c:pt idx="122">
                  <c:v>2546</c:v>
                </c:pt>
                <c:pt idx="123">
                  <c:v>2547</c:v>
                </c:pt>
                <c:pt idx="124">
                  <c:v>2548</c:v>
                </c:pt>
                <c:pt idx="125">
                  <c:v>2549</c:v>
                </c:pt>
                <c:pt idx="126">
                  <c:v>2550</c:v>
                </c:pt>
                <c:pt idx="127">
                  <c:v>2551</c:v>
                </c:pt>
              </c:numCache>
            </c:numRef>
          </c:cat>
          <c:val>
            <c:numRef>
              <c:f>Weaner!$U$3:$U$130</c:f>
              <c:numCache>
                <c:formatCode>0</c:formatCode>
                <c:ptCount val="128"/>
                <c:pt idx="0">
                  <c:v>550.54033676803215</c:v>
                </c:pt>
                <c:pt idx="1">
                  <c:v>526.52472031757486</c:v>
                </c:pt>
                <c:pt idx="2">
                  <c:v>486.4650827933765</c:v>
                </c:pt>
                <c:pt idx="3">
                  <c:v>507.85714285714289</c:v>
                </c:pt>
                <c:pt idx="4">
                  <c:v>509.29899856938488</c:v>
                </c:pt>
                <c:pt idx="5">
                  <c:v>543.77475806047232</c:v>
                </c:pt>
                <c:pt idx="6">
                  <c:v>538.40027873177041</c:v>
                </c:pt>
                <c:pt idx="7">
                  <c:v>447.0561502726722</c:v>
                </c:pt>
                <c:pt idx="8">
                  <c:v>482.95147917382133</c:v>
                </c:pt>
                <c:pt idx="9">
                  <c:v>472.77392378599257</c:v>
                </c:pt>
                <c:pt idx="10">
                  <c:v>494.02019409861782</c:v>
                </c:pt>
                <c:pt idx="11">
                  <c:v>493.64147713377355</c:v>
                </c:pt>
                <c:pt idx="12">
                  <c:v>491.22935243385467</c:v>
                </c:pt>
                <c:pt idx="13">
                  <c:v>532.56081689858843</c:v>
                </c:pt>
                <c:pt idx="14">
                  <c:v>491.62544688770265</c:v>
                </c:pt>
                <c:pt idx="15">
                  <c:v>510.62945948587623</c:v>
                </c:pt>
                <c:pt idx="16">
                  <c:v>526.09082373869637</c:v>
                </c:pt>
                <c:pt idx="17">
                  <c:v>472.66070749334347</c:v>
                </c:pt>
                <c:pt idx="18">
                  <c:v>511.00037608123353</c:v>
                </c:pt>
                <c:pt idx="19">
                  <c:v>516.4837763693123</c:v>
                </c:pt>
                <c:pt idx="20">
                  <c:v>499.14326511185146</c:v>
                </c:pt>
                <c:pt idx="21">
                  <c:v>493.30443159922925</c:v>
                </c:pt>
                <c:pt idx="22">
                  <c:v>468.11750835134603</c:v>
                </c:pt>
                <c:pt idx="23">
                  <c:v>475.06499645473883</c:v>
                </c:pt>
                <c:pt idx="24">
                  <c:v>516.20271234832262</c:v>
                </c:pt>
                <c:pt idx="25">
                  <c:v>485.64693801344288</c:v>
                </c:pt>
                <c:pt idx="26">
                  <c:v>455.06074811059028</c:v>
                </c:pt>
                <c:pt idx="27">
                  <c:v>463.75286916602909</c:v>
                </c:pt>
                <c:pt idx="28">
                  <c:v>500.3382132676233</c:v>
                </c:pt>
                <c:pt idx="29">
                  <c:v>514.42354076218044</c:v>
                </c:pt>
                <c:pt idx="30">
                  <c:v>534.99320520287324</c:v>
                </c:pt>
                <c:pt idx="31">
                  <c:v>544.93093181041638</c:v>
                </c:pt>
                <c:pt idx="32">
                  <c:v>544.60808786819769</c:v>
                </c:pt>
                <c:pt idx="33">
                  <c:v>571.67451516532481</c:v>
                </c:pt>
                <c:pt idx="34">
                  <c:v>510.1234567901235</c:v>
                </c:pt>
                <c:pt idx="35">
                  <c:v>536.62318483878914</c:v>
                </c:pt>
                <c:pt idx="36">
                  <c:v>547.41193901448173</c:v>
                </c:pt>
                <c:pt idx="37">
                  <c:v>556.77112742330132</c:v>
                </c:pt>
                <c:pt idx="38">
                  <c:v>542.25457820474332</c:v>
                </c:pt>
                <c:pt idx="39">
                  <c:v>516.57350201039526</c:v>
                </c:pt>
                <c:pt idx="40">
                  <c:v>561.28685278443254</c:v>
                </c:pt>
                <c:pt idx="41">
                  <c:v>548.61600639127778</c:v>
                </c:pt>
                <c:pt idx="42">
                  <c:v>527.23218521681372</c:v>
                </c:pt>
                <c:pt idx="43">
                  <c:v>528.43579169463897</c:v>
                </c:pt>
                <c:pt idx="44">
                  <c:v>543.77372639077657</c:v>
                </c:pt>
                <c:pt idx="45">
                  <c:v>564.18270413939069</c:v>
                </c:pt>
                <c:pt idx="46">
                  <c:v>562.97864243923323</c:v>
                </c:pt>
                <c:pt idx="47">
                  <c:v>520.24952015355086</c:v>
                </c:pt>
                <c:pt idx="48">
                  <c:v>556.97245927075255</c:v>
                </c:pt>
                <c:pt idx="49">
                  <c:v>548.19334540947659</c:v>
                </c:pt>
                <c:pt idx="50">
                  <c:v>537.91637136782424</c:v>
                </c:pt>
                <c:pt idx="51">
                  <c:v>531.10442546583852</c:v>
                </c:pt>
                <c:pt idx="52">
                  <c:v>546.62908151280237</c:v>
                </c:pt>
                <c:pt idx="53">
                  <c:v>569.24900014812613</c:v>
                </c:pt>
                <c:pt idx="54">
                  <c:v>556.28941749019225</c:v>
                </c:pt>
                <c:pt idx="55">
                  <c:v>533.23848304960018</c:v>
                </c:pt>
                <c:pt idx="56">
                  <c:v>550.94522539990305</c:v>
                </c:pt>
                <c:pt idx="57">
                  <c:v>543.5235614492068</c:v>
                </c:pt>
                <c:pt idx="58">
                  <c:v>540.80479536186306</c:v>
                </c:pt>
                <c:pt idx="59">
                  <c:v>544.47496802917635</c:v>
                </c:pt>
                <c:pt idx="60">
                  <c:v>545.35777098953997</c:v>
                </c:pt>
                <c:pt idx="61">
                  <c:v>537.32759418679996</c:v>
                </c:pt>
                <c:pt idx="62">
                  <c:v>544.74415637672575</c:v>
                </c:pt>
                <c:pt idx="63">
                  <c:v>549.57786546755995</c:v>
                </c:pt>
                <c:pt idx="64">
                  <c:v>525.40834845735026</c:v>
                </c:pt>
                <c:pt idx="65">
                  <c:v>495.13310394784497</c:v>
                </c:pt>
                <c:pt idx="66">
                  <c:v>505.702494009053</c:v>
                </c:pt>
                <c:pt idx="67">
                  <c:v>521.4924039320822</c:v>
                </c:pt>
                <c:pt idx="68">
                  <c:v>542.24177860120426</c:v>
                </c:pt>
                <c:pt idx="69">
                  <c:v>537.58868694722514</c:v>
                </c:pt>
                <c:pt idx="70">
                  <c:v>548.34306157032574</c:v>
                </c:pt>
                <c:pt idx="71">
                  <c:v>533.70558375634516</c:v>
                </c:pt>
                <c:pt idx="72">
                  <c:v>524.10590319337393</c:v>
                </c:pt>
                <c:pt idx="73">
                  <c:v>513.48616744906792</c:v>
                </c:pt>
                <c:pt idx="74">
                  <c:v>506.78557580457539</c:v>
                </c:pt>
                <c:pt idx="75">
                  <c:v>525.17947635135135</c:v>
                </c:pt>
                <c:pt idx="76">
                  <c:v>522.69445017536623</c:v>
                </c:pt>
                <c:pt idx="77">
                  <c:v>510.40006538351525</c:v>
                </c:pt>
                <c:pt idx="78">
                  <c:v>548.3281086729362</c:v>
                </c:pt>
                <c:pt idx="79">
                  <c:v>529.27504697853817</c:v>
                </c:pt>
                <c:pt idx="80">
                  <c:v>544.53449298280293</c:v>
                </c:pt>
                <c:pt idx="81">
                  <c:v>541.91465752042768</c:v>
                </c:pt>
                <c:pt idx="82">
                  <c:v>547.26978364323213</c:v>
                </c:pt>
                <c:pt idx="83">
                  <c:v>549.52773068539591</c:v>
                </c:pt>
                <c:pt idx="84">
                  <c:v>531.46504438017348</c:v>
                </c:pt>
                <c:pt idx="85">
                  <c:v>552.71466280213247</c:v>
                </c:pt>
                <c:pt idx="86">
                  <c:v>558.27444362409028</c:v>
                </c:pt>
                <c:pt idx="87">
                  <c:v>545.36489151873764</c:v>
                </c:pt>
                <c:pt idx="88">
                  <c:v>548.4527889534595</c:v>
                </c:pt>
                <c:pt idx="89">
                  <c:v>535.94611742886423</c:v>
                </c:pt>
                <c:pt idx="90">
                  <c:v>579.55052835243339</c:v>
                </c:pt>
                <c:pt idx="91">
                  <c:v>580.73312706486968</c:v>
                </c:pt>
                <c:pt idx="92">
                  <c:v>537.24785300579197</c:v>
                </c:pt>
                <c:pt idx="93">
                  <c:v>555.71442658514934</c:v>
                </c:pt>
                <c:pt idx="94">
                  <c:v>523.99403874813709</c:v>
                </c:pt>
                <c:pt idx="95">
                  <c:v>531.85407683736253</c:v>
                </c:pt>
                <c:pt idx="96">
                  <c:v>536.3854458216714</c:v>
                </c:pt>
                <c:pt idx="97">
                  <c:v>536.00159896067555</c:v>
                </c:pt>
                <c:pt idx="98">
                  <c:v>568.95522388059703</c:v>
                </c:pt>
                <c:pt idx="99">
                  <c:v>523.58017258679513</c:v>
                </c:pt>
                <c:pt idx="100">
                  <c:v>554.28776094965201</c:v>
                </c:pt>
                <c:pt idx="101">
                  <c:v>542.77620396600571</c:v>
                </c:pt>
                <c:pt idx="102">
                  <c:v>565.88128223278386</c:v>
                </c:pt>
                <c:pt idx="103">
                  <c:v>532.90838265796526</c:v>
                </c:pt>
                <c:pt idx="104">
                  <c:v>553.57320841223952</c:v>
                </c:pt>
                <c:pt idx="105">
                  <c:v>522.75080108454517</c:v>
                </c:pt>
                <c:pt idx="106">
                  <c:v>569.53961972782554</c:v>
                </c:pt>
                <c:pt idx="107">
                  <c:v>553.65189403317652</c:v>
                </c:pt>
                <c:pt idx="108">
                  <c:v>564.61607098597131</c:v>
                </c:pt>
                <c:pt idx="109">
                  <c:v>546.12472604104403</c:v>
                </c:pt>
                <c:pt idx="110">
                  <c:v>532.56150506512301</c:v>
                </c:pt>
                <c:pt idx="111">
                  <c:v>543.45533965958725</c:v>
                </c:pt>
                <c:pt idx="112">
                  <c:v>514.10580593980865</c:v>
                </c:pt>
                <c:pt idx="113">
                  <c:v>499.6782337508044</c:v>
                </c:pt>
                <c:pt idx="114">
                  <c:v>565.90434617574488</c:v>
                </c:pt>
                <c:pt idx="115">
                  <c:v>543.98941902615854</c:v>
                </c:pt>
                <c:pt idx="116">
                  <c:v>530.2196464228316</c:v>
                </c:pt>
                <c:pt idx="117">
                  <c:v>515.85697970657998</c:v>
                </c:pt>
                <c:pt idx="118">
                  <c:v>500.20457335091152</c:v>
                </c:pt>
                <c:pt idx="119">
                  <c:v>476.769394261424</c:v>
                </c:pt>
                <c:pt idx="120">
                  <c:v>536.40867451860163</c:v>
                </c:pt>
                <c:pt idx="121">
                  <c:v>527.79301061867488</c:v>
                </c:pt>
                <c:pt idx="122">
                  <c:v>509.78921936182621</c:v>
                </c:pt>
                <c:pt idx="123">
                  <c:v>528.50072908841855</c:v>
                </c:pt>
                <c:pt idx="124">
                  <c:v>531.04403677427479</c:v>
                </c:pt>
                <c:pt idx="125">
                  <c:v>531.14646815820686</c:v>
                </c:pt>
                <c:pt idx="126">
                  <c:v>508.30039525691694</c:v>
                </c:pt>
                <c:pt idx="127">
                  <c:v>495.05958666465534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45-44BA-91F7-7E1959D5F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20576"/>
        <c:axId val="152527232"/>
      </c:lineChart>
      <c:lineChart>
        <c:grouping val="standard"/>
        <c:varyColors val="0"/>
        <c:ser>
          <c:idx val="1"/>
          <c:order val="1"/>
          <c:tx>
            <c:v>Weight 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Weaner!$A$3:$A$130</c:f>
              <c:numCache>
                <c:formatCode>General</c:formatCode>
                <c:ptCount val="128"/>
                <c:pt idx="0">
                  <c:v>2328</c:v>
                </c:pt>
                <c:pt idx="1">
                  <c:v>2329</c:v>
                </c:pt>
                <c:pt idx="2">
                  <c:v>2330</c:v>
                </c:pt>
                <c:pt idx="3">
                  <c:v>2331</c:v>
                </c:pt>
                <c:pt idx="4">
                  <c:v>2332</c:v>
                </c:pt>
                <c:pt idx="5">
                  <c:v>2333</c:v>
                </c:pt>
                <c:pt idx="6">
                  <c:v>2334</c:v>
                </c:pt>
                <c:pt idx="7">
                  <c:v>2335</c:v>
                </c:pt>
                <c:pt idx="8">
                  <c:v>2336</c:v>
                </c:pt>
                <c:pt idx="9">
                  <c:v>2337</c:v>
                </c:pt>
                <c:pt idx="10">
                  <c:v>2338</c:v>
                </c:pt>
                <c:pt idx="11">
                  <c:v>2339</c:v>
                </c:pt>
                <c:pt idx="12">
                  <c:v>2340</c:v>
                </c:pt>
                <c:pt idx="13">
                  <c:v>2341</c:v>
                </c:pt>
                <c:pt idx="14">
                  <c:v>2342</c:v>
                </c:pt>
                <c:pt idx="15">
                  <c:v>2343</c:v>
                </c:pt>
                <c:pt idx="16">
                  <c:v>2344</c:v>
                </c:pt>
                <c:pt idx="17">
                  <c:v>2345</c:v>
                </c:pt>
                <c:pt idx="18">
                  <c:v>2346</c:v>
                </c:pt>
                <c:pt idx="19">
                  <c:v>2347</c:v>
                </c:pt>
                <c:pt idx="20">
                  <c:v>2348</c:v>
                </c:pt>
                <c:pt idx="21">
                  <c:v>2349</c:v>
                </c:pt>
                <c:pt idx="22">
                  <c:v>2350</c:v>
                </c:pt>
                <c:pt idx="23">
                  <c:v>2351</c:v>
                </c:pt>
                <c:pt idx="24">
                  <c:v>2352</c:v>
                </c:pt>
                <c:pt idx="25">
                  <c:v>2401</c:v>
                </c:pt>
                <c:pt idx="26">
                  <c:v>2402</c:v>
                </c:pt>
                <c:pt idx="27">
                  <c:v>2403</c:v>
                </c:pt>
                <c:pt idx="28">
                  <c:v>2404</c:v>
                </c:pt>
                <c:pt idx="29">
                  <c:v>2405</c:v>
                </c:pt>
                <c:pt idx="30">
                  <c:v>2406</c:v>
                </c:pt>
                <c:pt idx="31">
                  <c:v>2407</c:v>
                </c:pt>
                <c:pt idx="32">
                  <c:v>2408</c:v>
                </c:pt>
                <c:pt idx="33">
                  <c:v>2409</c:v>
                </c:pt>
                <c:pt idx="34">
                  <c:v>2410</c:v>
                </c:pt>
                <c:pt idx="35">
                  <c:v>2411</c:v>
                </c:pt>
                <c:pt idx="36">
                  <c:v>2412</c:v>
                </c:pt>
                <c:pt idx="37">
                  <c:v>2413</c:v>
                </c:pt>
                <c:pt idx="38">
                  <c:v>2414</c:v>
                </c:pt>
                <c:pt idx="39">
                  <c:v>2415</c:v>
                </c:pt>
                <c:pt idx="40">
                  <c:v>2416</c:v>
                </c:pt>
                <c:pt idx="41">
                  <c:v>2417</c:v>
                </c:pt>
                <c:pt idx="42">
                  <c:v>2418</c:v>
                </c:pt>
                <c:pt idx="43">
                  <c:v>2419</c:v>
                </c:pt>
                <c:pt idx="44">
                  <c:v>2420</c:v>
                </c:pt>
                <c:pt idx="45">
                  <c:v>2421</c:v>
                </c:pt>
                <c:pt idx="46">
                  <c:v>2422</c:v>
                </c:pt>
                <c:pt idx="47">
                  <c:v>2423</c:v>
                </c:pt>
                <c:pt idx="48">
                  <c:v>2424</c:v>
                </c:pt>
                <c:pt idx="49">
                  <c:v>2425</c:v>
                </c:pt>
                <c:pt idx="50">
                  <c:v>2426</c:v>
                </c:pt>
                <c:pt idx="51">
                  <c:v>2427</c:v>
                </c:pt>
                <c:pt idx="52">
                  <c:v>2428</c:v>
                </c:pt>
                <c:pt idx="53">
                  <c:v>2429</c:v>
                </c:pt>
                <c:pt idx="54">
                  <c:v>2430</c:v>
                </c:pt>
                <c:pt idx="55">
                  <c:v>2431</c:v>
                </c:pt>
                <c:pt idx="56">
                  <c:v>2432</c:v>
                </c:pt>
                <c:pt idx="57">
                  <c:v>2433</c:v>
                </c:pt>
                <c:pt idx="58">
                  <c:v>2434</c:v>
                </c:pt>
                <c:pt idx="59">
                  <c:v>2435</c:v>
                </c:pt>
                <c:pt idx="60">
                  <c:v>2436</c:v>
                </c:pt>
                <c:pt idx="61">
                  <c:v>2437</c:v>
                </c:pt>
                <c:pt idx="62">
                  <c:v>2438</c:v>
                </c:pt>
                <c:pt idx="63">
                  <c:v>2439</c:v>
                </c:pt>
                <c:pt idx="64">
                  <c:v>2440</c:v>
                </c:pt>
                <c:pt idx="65">
                  <c:v>2441</c:v>
                </c:pt>
                <c:pt idx="66">
                  <c:v>2442</c:v>
                </c:pt>
                <c:pt idx="67">
                  <c:v>2443</c:v>
                </c:pt>
                <c:pt idx="68">
                  <c:v>2444</c:v>
                </c:pt>
                <c:pt idx="69">
                  <c:v>2445</c:v>
                </c:pt>
                <c:pt idx="70">
                  <c:v>2446</c:v>
                </c:pt>
                <c:pt idx="71">
                  <c:v>2447</c:v>
                </c:pt>
                <c:pt idx="72">
                  <c:v>2448</c:v>
                </c:pt>
                <c:pt idx="73">
                  <c:v>2449</c:v>
                </c:pt>
                <c:pt idx="74">
                  <c:v>2450</c:v>
                </c:pt>
                <c:pt idx="75">
                  <c:v>2451</c:v>
                </c:pt>
                <c:pt idx="76">
                  <c:v>2452</c:v>
                </c:pt>
                <c:pt idx="77">
                  <c:v>2501</c:v>
                </c:pt>
                <c:pt idx="78">
                  <c:v>2502</c:v>
                </c:pt>
                <c:pt idx="79">
                  <c:v>2503</c:v>
                </c:pt>
                <c:pt idx="80">
                  <c:v>2504</c:v>
                </c:pt>
                <c:pt idx="81">
                  <c:v>2505</c:v>
                </c:pt>
                <c:pt idx="82">
                  <c:v>2506</c:v>
                </c:pt>
                <c:pt idx="83">
                  <c:v>2507</c:v>
                </c:pt>
                <c:pt idx="84">
                  <c:v>2508</c:v>
                </c:pt>
                <c:pt idx="85">
                  <c:v>2509</c:v>
                </c:pt>
                <c:pt idx="86">
                  <c:v>2510</c:v>
                </c:pt>
                <c:pt idx="87">
                  <c:v>2511</c:v>
                </c:pt>
                <c:pt idx="88">
                  <c:v>2512</c:v>
                </c:pt>
                <c:pt idx="89">
                  <c:v>2513</c:v>
                </c:pt>
                <c:pt idx="90">
                  <c:v>2514</c:v>
                </c:pt>
                <c:pt idx="91">
                  <c:v>2515</c:v>
                </c:pt>
                <c:pt idx="92">
                  <c:v>2516</c:v>
                </c:pt>
                <c:pt idx="93">
                  <c:v>2517</c:v>
                </c:pt>
                <c:pt idx="94">
                  <c:v>2518</c:v>
                </c:pt>
                <c:pt idx="95">
                  <c:v>2519</c:v>
                </c:pt>
                <c:pt idx="96">
                  <c:v>2520</c:v>
                </c:pt>
                <c:pt idx="97">
                  <c:v>2521</c:v>
                </c:pt>
                <c:pt idx="98">
                  <c:v>2522</c:v>
                </c:pt>
                <c:pt idx="99">
                  <c:v>2523</c:v>
                </c:pt>
                <c:pt idx="100">
                  <c:v>2524</c:v>
                </c:pt>
                <c:pt idx="101">
                  <c:v>2525</c:v>
                </c:pt>
                <c:pt idx="102">
                  <c:v>2526</c:v>
                </c:pt>
                <c:pt idx="103">
                  <c:v>2527</c:v>
                </c:pt>
                <c:pt idx="104">
                  <c:v>2528</c:v>
                </c:pt>
                <c:pt idx="105">
                  <c:v>2529</c:v>
                </c:pt>
                <c:pt idx="106">
                  <c:v>2530</c:v>
                </c:pt>
                <c:pt idx="107">
                  <c:v>2531</c:v>
                </c:pt>
                <c:pt idx="108">
                  <c:v>2532</c:v>
                </c:pt>
                <c:pt idx="109">
                  <c:v>2533</c:v>
                </c:pt>
                <c:pt idx="110">
                  <c:v>2534</c:v>
                </c:pt>
                <c:pt idx="111">
                  <c:v>2535</c:v>
                </c:pt>
                <c:pt idx="112">
                  <c:v>2536</c:v>
                </c:pt>
                <c:pt idx="113">
                  <c:v>2537</c:v>
                </c:pt>
                <c:pt idx="114">
                  <c:v>2538</c:v>
                </c:pt>
                <c:pt idx="115">
                  <c:v>2539</c:v>
                </c:pt>
                <c:pt idx="116">
                  <c:v>2540</c:v>
                </c:pt>
                <c:pt idx="117">
                  <c:v>2541</c:v>
                </c:pt>
                <c:pt idx="118">
                  <c:v>2542</c:v>
                </c:pt>
                <c:pt idx="119">
                  <c:v>2543</c:v>
                </c:pt>
                <c:pt idx="120">
                  <c:v>2544</c:v>
                </c:pt>
                <c:pt idx="121">
                  <c:v>2545</c:v>
                </c:pt>
                <c:pt idx="122">
                  <c:v>2546</c:v>
                </c:pt>
                <c:pt idx="123">
                  <c:v>2547</c:v>
                </c:pt>
                <c:pt idx="124">
                  <c:v>2548</c:v>
                </c:pt>
                <c:pt idx="125">
                  <c:v>2549</c:v>
                </c:pt>
                <c:pt idx="126">
                  <c:v>2550</c:v>
                </c:pt>
                <c:pt idx="127">
                  <c:v>2551</c:v>
                </c:pt>
              </c:numCache>
            </c:numRef>
          </c:cat>
          <c:val>
            <c:numRef>
              <c:f>Weaner!$H$3:$H$130</c:f>
              <c:numCache>
                <c:formatCode>0.00</c:formatCode>
                <c:ptCount val="128"/>
                <c:pt idx="0">
                  <c:v>7.2948960302457468</c:v>
                </c:pt>
                <c:pt idx="1">
                  <c:v>6.7883548983364141</c:v>
                </c:pt>
                <c:pt idx="2">
                  <c:v>6.9761146496815289</c:v>
                </c:pt>
                <c:pt idx="3">
                  <c:v>6.9003267973856213</c:v>
                </c:pt>
                <c:pt idx="4">
                  <c:v>7.3353765323992999</c:v>
                </c:pt>
                <c:pt idx="5">
                  <c:v>7.2366220735785953</c:v>
                </c:pt>
                <c:pt idx="6">
                  <c:v>6.7081260364842459</c:v>
                </c:pt>
                <c:pt idx="7">
                  <c:v>7.5811475409836069</c:v>
                </c:pt>
                <c:pt idx="8">
                  <c:v>7.1171749598715888</c:v>
                </c:pt>
                <c:pt idx="9">
                  <c:v>7.0619266055045875</c:v>
                </c:pt>
                <c:pt idx="10">
                  <c:v>6.4915682967959532</c:v>
                </c:pt>
                <c:pt idx="11">
                  <c:v>7.3341384863123995</c:v>
                </c:pt>
                <c:pt idx="12">
                  <c:v>6.7449922958397535</c:v>
                </c:pt>
                <c:pt idx="13">
                  <c:v>7.1255850234009364</c:v>
                </c:pt>
                <c:pt idx="14">
                  <c:v>6.7009419152276299</c:v>
                </c:pt>
                <c:pt idx="15">
                  <c:v>6.6394389438943895</c:v>
                </c:pt>
                <c:pt idx="16">
                  <c:v>6.309485530546624</c:v>
                </c:pt>
                <c:pt idx="17">
                  <c:v>6.3349056603773581</c:v>
                </c:pt>
                <c:pt idx="18">
                  <c:v>6.4069423929098965</c:v>
                </c:pt>
                <c:pt idx="19">
                  <c:v>6.3665689149560114</c:v>
                </c:pt>
                <c:pt idx="20">
                  <c:v>6.8179012345679011</c:v>
                </c:pt>
                <c:pt idx="21">
                  <c:v>6.5707692307692307</c:v>
                </c:pt>
                <c:pt idx="22">
                  <c:v>6.3904220779220777</c:v>
                </c:pt>
                <c:pt idx="23">
                  <c:v>6.0588235294117645</c:v>
                </c:pt>
                <c:pt idx="24">
                  <c:v>6.4983948635634032</c:v>
                </c:pt>
                <c:pt idx="25">
                  <c:v>6.3807692307692312</c:v>
                </c:pt>
                <c:pt idx="26">
                  <c:v>6.3430930930930929</c:v>
                </c:pt>
                <c:pt idx="27">
                  <c:v>6.7392273402674592</c:v>
                </c:pt>
                <c:pt idx="28">
                  <c:v>6.7776119402985078</c:v>
                </c:pt>
                <c:pt idx="29">
                  <c:v>6.6972477064220186</c:v>
                </c:pt>
                <c:pt idx="30">
                  <c:v>6.3266871165644174</c:v>
                </c:pt>
                <c:pt idx="31">
                  <c:v>6.8054226475279105</c:v>
                </c:pt>
                <c:pt idx="32">
                  <c:v>6.483009708737864</c:v>
                </c:pt>
                <c:pt idx="33">
                  <c:v>6.7462057335581784</c:v>
                </c:pt>
                <c:pt idx="34">
                  <c:v>6.891268533772652</c:v>
                </c:pt>
                <c:pt idx="35">
                  <c:v>7.3440594059405937</c:v>
                </c:pt>
                <c:pt idx="36">
                  <c:v>7.2700156985871276</c:v>
                </c:pt>
                <c:pt idx="37">
                  <c:v>6.8875192604006159</c:v>
                </c:pt>
                <c:pt idx="38">
                  <c:v>6.8274706867671693</c:v>
                </c:pt>
                <c:pt idx="39">
                  <c:v>6.7073578595317729</c:v>
                </c:pt>
                <c:pt idx="40">
                  <c:v>7.0168350168350164</c:v>
                </c:pt>
                <c:pt idx="41">
                  <c:v>7.6879699248120303</c:v>
                </c:pt>
                <c:pt idx="42">
                  <c:v>7.4349470499243573</c:v>
                </c:pt>
                <c:pt idx="43">
                  <c:v>7.0995370370370372</c:v>
                </c:pt>
                <c:pt idx="44">
                  <c:v>7.0120772946859899</c:v>
                </c:pt>
                <c:pt idx="45">
                  <c:v>7.0719008264462806</c:v>
                </c:pt>
                <c:pt idx="46">
                  <c:v>7.1940993788819876</c:v>
                </c:pt>
                <c:pt idx="47">
                  <c:v>7.0273865414710484</c:v>
                </c:pt>
                <c:pt idx="48">
                  <c:v>7.1884550084889645</c:v>
                </c:pt>
                <c:pt idx="49">
                  <c:v>6.6645569620253164</c:v>
                </c:pt>
                <c:pt idx="50">
                  <c:v>7.0959752321981426</c:v>
                </c:pt>
                <c:pt idx="51">
                  <c:v>6.8996913580246915</c:v>
                </c:pt>
                <c:pt idx="52">
                  <c:v>7.1163859111791732</c:v>
                </c:pt>
                <c:pt idx="53">
                  <c:v>7.8550488599348531</c:v>
                </c:pt>
                <c:pt idx="54">
                  <c:v>7.4696223316912969</c:v>
                </c:pt>
                <c:pt idx="55">
                  <c:v>7.9465776293823041</c:v>
                </c:pt>
                <c:pt idx="56">
                  <c:v>7.2178060413354528</c:v>
                </c:pt>
                <c:pt idx="57">
                  <c:v>7.4763779527559056</c:v>
                </c:pt>
                <c:pt idx="58">
                  <c:v>7.1203389830508472</c:v>
                </c:pt>
                <c:pt idx="59">
                  <c:v>7.1978193146417446</c:v>
                </c:pt>
                <c:pt idx="60">
                  <c:v>7.2769230769230768</c:v>
                </c:pt>
                <c:pt idx="61">
                  <c:v>7.177884615384615</c:v>
                </c:pt>
                <c:pt idx="62">
                  <c:v>7.2952871870397642</c:v>
                </c:pt>
                <c:pt idx="63">
                  <c:v>7.0190548780487809</c:v>
                </c:pt>
                <c:pt idx="64">
                  <c:v>7.1152647975077885</c:v>
                </c:pt>
                <c:pt idx="65">
                  <c:v>6.6054263565891471</c:v>
                </c:pt>
                <c:pt idx="66">
                  <c:v>6.4238618524332809</c:v>
                </c:pt>
                <c:pt idx="67">
                  <c:v>6.6984126984126986</c:v>
                </c:pt>
                <c:pt idx="68">
                  <c:v>6.9315286624203818</c:v>
                </c:pt>
                <c:pt idx="69">
                  <c:v>7.2571202531645573</c:v>
                </c:pt>
                <c:pt idx="70">
                  <c:v>6.6253776435045317</c:v>
                </c:pt>
                <c:pt idx="71">
                  <c:v>6.7352445193929178</c:v>
                </c:pt>
                <c:pt idx="72">
                  <c:v>6.4831625183016106</c:v>
                </c:pt>
                <c:pt idx="73">
                  <c:v>6.0817647058823532</c:v>
                </c:pt>
                <c:pt idx="74">
                  <c:v>6.1200607902735564</c:v>
                </c:pt>
                <c:pt idx="75">
                  <c:v>6.2392638036809815</c:v>
                </c:pt>
                <c:pt idx="76">
                  <c:v>6.8434650455927049</c:v>
                </c:pt>
                <c:pt idx="77">
                  <c:v>6.7997118155619596</c:v>
                </c:pt>
                <c:pt idx="78">
                  <c:v>6.7102446483180431</c:v>
                </c:pt>
                <c:pt idx="79">
                  <c:v>6.5988023952095807</c:v>
                </c:pt>
                <c:pt idx="80">
                  <c:v>6.2601550387596898</c:v>
                </c:pt>
                <c:pt idx="81">
                  <c:v>6.3850931677018634</c:v>
                </c:pt>
                <c:pt idx="82">
                  <c:v>6.5</c:v>
                </c:pt>
                <c:pt idx="83">
                  <c:v>6.2878120411160054</c:v>
                </c:pt>
                <c:pt idx="84">
                  <c:v>6.1990131578947372</c:v>
                </c:pt>
                <c:pt idx="85">
                  <c:v>6.5412698412698411</c:v>
                </c:pt>
                <c:pt idx="86">
                  <c:v>6.647746243739566</c:v>
                </c:pt>
                <c:pt idx="87">
                  <c:v>6.1904047976011993</c:v>
                </c:pt>
                <c:pt idx="88">
                  <c:v>6.5361635220125782</c:v>
                </c:pt>
                <c:pt idx="89">
                  <c:v>6.1564417177914113</c:v>
                </c:pt>
                <c:pt idx="90">
                  <c:v>6.7173579109062977</c:v>
                </c:pt>
                <c:pt idx="91">
                  <c:v>6.4679943100995736</c:v>
                </c:pt>
                <c:pt idx="92">
                  <c:v>6.0262725779967159</c:v>
                </c:pt>
                <c:pt idx="93">
                  <c:v>6.783950617283951</c:v>
                </c:pt>
                <c:pt idx="94">
                  <c:v>6.4755905511811021</c:v>
                </c:pt>
                <c:pt idx="95">
                  <c:v>6.6368</c:v>
                </c:pt>
                <c:pt idx="96">
                  <c:v>6.9170579029733963</c:v>
                </c:pt>
                <c:pt idx="97">
                  <c:v>6.2926447574334894</c:v>
                </c:pt>
                <c:pt idx="98">
                  <c:v>6.5177419354838708</c:v>
                </c:pt>
                <c:pt idx="99">
                  <c:v>6.220657276995305</c:v>
                </c:pt>
                <c:pt idx="100">
                  <c:v>7.1731448763250887</c:v>
                </c:pt>
                <c:pt idx="101">
                  <c:v>6.4916666666666663</c:v>
                </c:pt>
                <c:pt idx="102">
                  <c:v>6.5996677740863792</c:v>
                </c:pt>
                <c:pt idx="103">
                  <c:v>6.6815286624203818</c:v>
                </c:pt>
                <c:pt idx="104">
                  <c:v>6.5987261146496818</c:v>
                </c:pt>
                <c:pt idx="105">
                  <c:v>7.2260596546310829</c:v>
                </c:pt>
                <c:pt idx="106">
                  <c:v>7.2043343653250771</c:v>
                </c:pt>
                <c:pt idx="107">
                  <c:v>6.9509001636661214</c:v>
                </c:pt>
                <c:pt idx="108">
                  <c:v>6.830275229357798</c:v>
                </c:pt>
                <c:pt idx="109">
                  <c:v>6.8388625592417061</c:v>
                </c:pt>
                <c:pt idx="110">
                  <c:v>6.5564853556485359</c:v>
                </c:pt>
                <c:pt idx="111">
                  <c:v>6.7856173677069203</c:v>
                </c:pt>
                <c:pt idx="112">
                  <c:v>6.8280757097791795</c:v>
                </c:pt>
                <c:pt idx="113">
                  <c:v>6.492260061919505</c:v>
                </c:pt>
                <c:pt idx="114">
                  <c:v>6.7836676217765044</c:v>
                </c:pt>
                <c:pt idx="115">
                  <c:v>6.8986784140969162</c:v>
                </c:pt>
                <c:pt idx="116">
                  <c:v>6.6930983847283407</c:v>
                </c:pt>
                <c:pt idx="117">
                  <c:v>6.8269525267993876</c:v>
                </c:pt>
                <c:pt idx="118">
                  <c:v>6.7246153846153849</c:v>
                </c:pt>
                <c:pt idx="119">
                  <c:v>6.4006024096385543</c:v>
                </c:pt>
                <c:pt idx="120">
                  <c:v>6.8888888888888893</c:v>
                </c:pt>
                <c:pt idx="121">
                  <c:v>6.990115321252059</c:v>
                </c:pt>
                <c:pt idx="122">
                  <c:v>6.5038520801232664</c:v>
                </c:pt>
                <c:pt idx="123">
                  <c:v>6.5194805194805197</c:v>
                </c:pt>
                <c:pt idx="124">
                  <c:v>6.1658841940532083</c:v>
                </c:pt>
                <c:pt idx="125">
                  <c:v>6.1936459909228443</c:v>
                </c:pt>
                <c:pt idx="126">
                  <c:v>6.4367647058823527</c:v>
                </c:pt>
                <c:pt idx="127">
                  <c:v>6.0423728813559325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45-44BA-91F7-7E1959D5F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47712"/>
        <c:axId val="152529152"/>
      </c:lineChart>
      <c:catAx>
        <c:axId val="15252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Batch</a:t>
                </a:r>
                <a:r>
                  <a:rPr lang="en-GB" baseline="0"/>
                  <a:t> No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27232"/>
        <c:crosses val="autoZero"/>
        <c:auto val="1"/>
        <c:lblAlgn val="ctr"/>
        <c:lblOffset val="100"/>
        <c:noMultiLvlLbl val="0"/>
      </c:catAx>
      <c:valAx>
        <c:axId val="152527232"/>
        <c:scaling>
          <c:orientation val="minMax"/>
          <c:min val="4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20576"/>
        <c:crosses val="autoZero"/>
        <c:crossBetween val="between"/>
      </c:valAx>
      <c:valAx>
        <c:axId val="152529152"/>
        <c:scaling>
          <c:orientation val="minMax"/>
          <c:min val="5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Weight</a:t>
                </a:r>
                <a:r>
                  <a:rPr lang="en-GB" baseline="0"/>
                  <a:t> in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47712"/>
        <c:crosses val="max"/>
        <c:crossBetween val="between"/>
      </c:valAx>
      <c:catAx>
        <c:axId val="152547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529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/>
              <a:t>Weaner</a:t>
            </a:r>
            <a:r>
              <a:rPr lang="af-ZA" baseline="0"/>
              <a:t> Mortality</a:t>
            </a:r>
            <a:endParaRPr lang="af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Weaner!$O$2</c:f>
              <c:strCache>
                <c:ptCount val="1"/>
                <c:pt idx="0">
                  <c:v>Mortality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Weaner!$A$80:$A$180</c:f>
              <c:numCache>
                <c:formatCode>General</c:formatCode>
                <c:ptCount val="101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2513</c:v>
                </c:pt>
                <c:pt idx="13">
                  <c:v>2514</c:v>
                </c:pt>
                <c:pt idx="14">
                  <c:v>2515</c:v>
                </c:pt>
                <c:pt idx="15">
                  <c:v>2516</c:v>
                </c:pt>
                <c:pt idx="16">
                  <c:v>2517</c:v>
                </c:pt>
                <c:pt idx="17">
                  <c:v>2518</c:v>
                </c:pt>
                <c:pt idx="18">
                  <c:v>2519</c:v>
                </c:pt>
                <c:pt idx="19">
                  <c:v>2520</c:v>
                </c:pt>
                <c:pt idx="20">
                  <c:v>2521</c:v>
                </c:pt>
                <c:pt idx="21">
                  <c:v>2522</c:v>
                </c:pt>
                <c:pt idx="22">
                  <c:v>2523</c:v>
                </c:pt>
                <c:pt idx="23">
                  <c:v>2524</c:v>
                </c:pt>
                <c:pt idx="24">
                  <c:v>2525</c:v>
                </c:pt>
                <c:pt idx="25">
                  <c:v>2526</c:v>
                </c:pt>
                <c:pt idx="26">
                  <c:v>2527</c:v>
                </c:pt>
                <c:pt idx="27">
                  <c:v>2528</c:v>
                </c:pt>
                <c:pt idx="28">
                  <c:v>2529</c:v>
                </c:pt>
                <c:pt idx="29">
                  <c:v>2530</c:v>
                </c:pt>
                <c:pt idx="30">
                  <c:v>2531</c:v>
                </c:pt>
                <c:pt idx="31">
                  <c:v>2532</c:v>
                </c:pt>
                <c:pt idx="32">
                  <c:v>2533</c:v>
                </c:pt>
                <c:pt idx="33">
                  <c:v>2534</c:v>
                </c:pt>
                <c:pt idx="34">
                  <c:v>2535</c:v>
                </c:pt>
                <c:pt idx="35">
                  <c:v>2536</c:v>
                </c:pt>
                <c:pt idx="36">
                  <c:v>2537</c:v>
                </c:pt>
                <c:pt idx="37">
                  <c:v>2538</c:v>
                </c:pt>
                <c:pt idx="38">
                  <c:v>2539</c:v>
                </c:pt>
                <c:pt idx="39">
                  <c:v>2540</c:v>
                </c:pt>
                <c:pt idx="40">
                  <c:v>2541</c:v>
                </c:pt>
                <c:pt idx="41">
                  <c:v>2542</c:v>
                </c:pt>
                <c:pt idx="42">
                  <c:v>2543</c:v>
                </c:pt>
                <c:pt idx="43">
                  <c:v>2544</c:v>
                </c:pt>
                <c:pt idx="44">
                  <c:v>2545</c:v>
                </c:pt>
                <c:pt idx="45">
                  <c:v>2546</c:v>
                </c:pt>
                <c:pt idx="46">
                  <c:v>2547</c:v>
                </c:pt>
                <c:pt idx="47">
                  <c:v>2548</c:v>
                </c:pt>
                <c:pt idx="48">
                  <c:v>2549</c:v>
                </c:pt>
                <c:pt idx="49">
                  <c:v>2550</c:v>
                </c:pt>
                <c:pt idx="50">
                  <c:v>2551</c:v>
                </c:pt>
                <c:pt idx="51">
                  <c:v>2552</c:v>
                </c:pt>
                <c:pt idx="52">
                  <c:v>2601</c:v>
                </c:pt>
                <c:pt idx="53">
                  <c:v>2602</c:v>
                </c:pt>
                <c:pt idx="54">
                  <c:v>2603</c:v>
                </c:pt>
                <c:pt idx="55">
                  <c:v>2604</c:v>
                </c:pt>
                <c:pt idx="56">
                  <c:v>2605</c:v>
                </c:pt>
                <c:pt idx="57">
                  <c:v>2606</c:v>
                </c:pt>
                <c:pt idx="58">
                  <c:v>2607</c:v>
                </c:pt>
                <c:pt idx="59">
                  <c:v>2608</c:v>
                </c:pt>
                <c:pt idx="60">
                  <c:v>2609</c:v>
                </c:pt>
                <c:pt idx="61">
                  <c:v>2610</c:v>
                </c:pt>
                <c:pt idx="62">
                  <c:v>2611</c:v>
                </c:pt>
                <c:pt idx="63">
                  <c:v>2612</c:v>
                </c:pt>
                <c:pt idx="64">
                  <c:v>2613</c:v>
                </c:pt>
                <c:pt idx="65">
                  <c:v>2614</c:v>
                </c:pt>
                <c:pt idx="66">
                  <c:v>2615</c:v>
                </c:pt>
                <c:pt idx="67">
                  <c:v>2616</c:v>
                </c:pt>
                <c:pt idx="68">
                  <c:v>2617</c:v>
                </c:pt>
                <c:pt idx="69">
                  <c:v>2618</c:v>
                </c:pt>
                <c:pt idx="70">
                  <c:v>2619</c:v>
                </c:pt>
                <c:pt idx="71">
                  <c:v>2620</c:v>
                </c:pt>
                <c:pt idx="72">
                  <c:v>2621</c:v>
                </c:pt>
                <c:pt idx="73">
                  <c:v>2622</c:v>
                </c:pt>
                <c:pt idx="74">
                  <c:v>2623</c:v>
                </c:pt>
                <c:pt idx="75">
                  <c:v>2624</c:v>
                </c:pt>
              </c:numCache>
            </c:numRef>
          </c:cat>
          <c:val>
            <c:numRef>
              <c:f>Weaner!$O$80:$O$180</c:f>
              <c:numCache>
                <c:formatCode>0.00%</c:formatCode>
                <c:ptCount val="101"/>
                <c:pt idx="0">
                  <c:v>1.6000000000000001E-3</c:v>
                </c:pt>
                <c:pt idx="1">
                  <c:v>3.5999999999999999E-3</c:v>
                </c:pt>
                <c:pt idx="2">
                  <c:v>9.4999999999999998E-3</c:v>
                </c:pt>
                <c:pt idx="3">
                  <c:v>5.0000000000000001E-3</c:v>
                </c:pt>
                <c:pt idx="4">
                  <c:v>8.8999999999999999E-3</c:v>
                </c:pt>
                <c:pt idx="5">
                  <c:v>8.3000000000000001E-3</c:v>
                </c:pt>
                <c:pt idx="6">
                  <c:v>1.29E-2</c:v>
                </c:pt>
                <c:pt idx="7">
                  <c:v>1.9E-3</c:v>
                </c:pt>
                <c:pt idx="8">
                  <c:v>5.4999999999999997E-3</c:v>
                </c:pt>
                <c:pt idx="9">
                  <c:v>0</c:v>
                </c:pt>
                <c:pt idx="10">
                  <c:v>6.4000000000000003E-3</c:v>
                </c:pt>
                <c:pt idx="11">
                  <c:v>1.1299999999999999E-2</c:v>
                </c:pt>
                <c:pt idx="12">
                  <c:v>1.23E-2</c:v>
                </c:pt>
                <c:pt idx="13">
                  <c:v>1.9E-3</c:v>
                </c:pt>
                <c:pt idx="14">
                  <c:v>5.4000000000000003E-3</c:v>
                </c:pt>
                <c:pt idx="15">
                  <c:v>9.4999999999999998E-3</c:v>
                </c:pt>
                <c:pt idx="16">
                  <c:v>1.21E-2</c:v>
                </c:pt>
                <c:pt idx="17">
                  <c:v>1.47E-2</c:v>
                </c:pt>
                <c:pt idx="18">
                  <c:v>9.1999999999999998E-3</c:v>
                </c:pt>
                <c:pt idx="19">
                  <c:v>8.8000000000000005E-3</c:v>
                </c:pt>
                <c:pt idx="20">
                  <c:v>5.0000000000000001E-3</c:v>
                </c:pt>
                <c:pt idx="21">
                  <c:v>3.8E-3</c:v>
                </c:pt>
                <c:pt idx="22">
                  <c:v>1.4800000000000001E-2</c:v>
                </c:pt>
                <c:pt idx="23">
                  <c:v>3.7000000000000002E-3</c:v>
                </c:pt>
                <c:pt idx="24">
                  <c:v>1.09E-2</c:v>
                </c:pt>
                <c:pt idx="25">
                  <c:v>7.7000000000000002E-3</c:v>
                </c:pt>
                <c:pt idx="26">
                  <c:v>7.0000000000000001E-3</c:v>
                </c:pt>
                <c:pt idx="27">
                  <c:v>1.26E-2</c:v>
                </c:pt>
                <c:pt idx="28">
                  <c:v>1.46E-2</c:v>
                </c:pt>
                <c:pt idx="29">
                  <c:v>3.7000000000000002E-3</c:v>
                </c:pt>
                <c:pt idx="30">
                  <c:v>7.4999999999999997E-3</c:v>
                </c:pt>
                <c:pt idx="31">
                  <c:v>1.09E-2</c:v>
                </c:pt>
                <c:pt idx="32">
                  <c:v>1.23E-2</c:v>
                </c:pt>
                <c:pt idx="33">
                  <c:v>4.8999999999999998E-3</c:v>
                </c:pt>
                <c:pt idx="34">
                  <c:v>8.3999999999999995E-3</c:v>
                </c:pt>
                <c:pt idx="35">
                  <c:v>8.8000000000000005E-3</c:v>
                </c:pt>
                <c:pt idx="36">
                  <c:v>1.6199999999999999E-2</c:v>
                </c:pt>
                <c:pt idx="37">
                  <c:v>1.2200000000000001E-2</c:v>
                </c:pt>
                <c:pt idx="38">
                  <c:v>1.37E-2</c:v>
                </c:pt>
                <c:pt idx="39">
                  <c:v>5.4999999999999997E-3</c:v>
                </c:pt>
                <c:pt idx="40">
                  <c:v>1.14E-2</c:v>
                </c:pt>
                <c:pt idx="41">
                  <c:v>1.44E-2</c:v>
                </c:pt>
                <c:pt idx="42">
                  <c:v>1.9099999999999999E-2</c:v>
                </c:pt>
                <c:pt idx="43">
                  <c:v>1.55E-2</c:v>
                </c:pt>
                <c:pt idx="44">
                  <c:v>2.12E-2</c:v>
                </c:pt>
                <c:pt idx="45">
                  <c:v>1.54E-2</c:v>
                </c:pt>
                <c:pt idx="46">
                  <c:v>2.8400000000000002E-2</c:v>
                </c:pt>
                <c:pt idx="47">
                  <c:v>8.6E-3</c:v>
                </c:pt>
                <c:pt idx="48">
                  <c:v>1.2E-2</c:v>
                </c:pt>
                <c:pt idx="49">
                  <c:v>1.3299999999999999E-2</c:v>
                </c:pt>
                <c:pt idx="50">
                  <c:v>1.95E-2</c:v>
                </c:pt>
                <c:pt idx="51">
                  <c:v>1.41E-2</c:v>
                </c:pt>
                <c:pt idx="52">
                  <c:v>1.34E-2</c:v>
                </c:pt>
                <c:pt idx="53">
                  <c:v>1.0800000000000001E-2</c:v>
                </c:pt>
                <c:pt idx="54">
                  <c:v>5.5999999999999999E-3</c:v>
                </c:pt>
                <c:pt idx="55">
                  <c:v>7.7000000000000002E-3</c:v>
                </c:pt>
                <c:pt idx="56">
                  <c:v>4.3E-3</c:v>
                </c:pt>
                <c:pt idx="57">
                  <c:v>1.32E-2</c:v>
                </c:pt>
                <c:pt idx="58">
                  <c:v>9.4999999999999998E-3</c:v>
                </c:pt>
                <c:pt idx="59">
                  <c:v>1.2200000000000001E-2</c:v>
                </c:pt>
                <c:pt idx="60">
                  <c:v>9.4000000000000004E-3</c:v>
                </c:pt>
                <c:pt idx="61">
                  <c:v>1.5900000000000001E-2</c:v>
                </c:pt>
                <c:pt idx="62">
                  <c:v>8.2799999999999999E-2</c:v>
                </c:pt>
                <c:pt idx="63">
                  <c:v>2.12E-2</c:v>
                </c:pt>
                <c:pt idx="64">
                  <c:v>9.4000000000000004E-3</c:v>
                </c:pt>
                <c:pt idx="65">
                  <c:v>9.4000000000000004E-3</c:v>
                </c:pt>
                <c:pt idx="66">
                  <c:v>1.2999999999999999E-2</c:v>
                </c:pt>
                <c:pt idx="67">
                  <c:v>0.01</c:v>
                </c:pt>
                <c:pt idx="68">
                  <c:v>1.15E-2</c:v>
                </c:pt>
                <c:pt idx="69">
                  <c:v>1.6400000000000001E-2</c:v>
                </c:pt>
                <c:pt idx="70">
                  <c:v>6.0000000000000001E-3</c:v>
                </c:pt>
                <c:pt idx="71">
                  <c:v>4.4999999999999997E-3</c:v>
                </c:pt>
                <c:pt idx="72">
                  <c:v>1.0999999999999999E-2</c:v>
                </c:pt>
                <c:pt idx="73">
                  <c:v>8.8999999999999999E-3</c:v>
                </c:pt>
                <c:pt idx="74">
                  <c:v>2.6599999999999999E-2</c:v>
                </c:pt>
                <c:pt idx="75">
                  <c:v>9.9000000000000008E-3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5D-4147-8F5F-DA0B9FF6C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66784"/>
        <c:axId val="152650880"/>
      </c:lineChart>
      <c:catAx>
        <c:axId val="1525667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50880"/>
        <c:crosses val="autoZero"/>
        <c:auto val="1"/>
        <c:lblAlgn val="ctr"/>
        <c:lblOffset val="100"/>
        <c:noMultiLvlLbl val="0"/>
      </c:catAx>
      <c:valAx>
        <c:axId val="152650880"/>
        <c:scaling>
          <c:orientation val="minMax"/>
          <c:max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6784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Grower Mortality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Grower!$J$1</c:f>
              <c:strCache>
                <c:ptCount val="1"/>
                <c:pt idx="0">
                  <c:v>Mortality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Grower!$A$80:$A$180</c:f>
              <c:numCache>
                <c:formatCode>General</c:formatCode>
                <c:ptCount val="101"/>
                <c:pt idx="0">
                  <c:v>2440</c:v>
                </c:pt>
                <c:pt idx="1">
                  <c:v>2441</c:v>
                </c:pt>
                <c:pt idx="2">
                  <c:v>2442</c:v>
                </c:pt>
                <c:pt idx="3">
                  <c:v>2443</c:v>
                </c:pt>
                <c:pt idx="4">
                  <c:v>2444</c:v>
                </c:pt>
                <c:pt idx="5">
                  <c:v>2445</c:v>
                </c:pt>
                <c:pt idx="6">
                  <c:v>2446</c:v>
                </c:pt>
                <c:pt idx="7">
                  <c:v>2447</c:v>
                </c:pt>
                <c:pt idx="8">
                  <c:v>2448</c:v>
                </c:pt>
                <c:pt idx="9">
                  <c:v>2449</c:v>
                </c:pt>
                <c:pt idx="10">
                  <c:v>2450</c:v>
                </c:pt>
                <c:pt idx="11">
                  <c:v>2451</c:v>
                </c:pt>
                <c:pt idx="12">
                  <c:v>2452</c:v>
                </c:pt>
                <c:pt idx="13">
                  <c:v>2501</c:v>
                </c:pt>
                <c:pt idx="14">
                  <c:v>2502</c:v>
                </c:pt>
                <c:pt idx="15">
                  <c:v>2503</c:v>
                </c:pt>
                <c:pt idx="16">
                  <c:v>2504</c:v>
                </c:pt>
                <c:pt idx="17">
                  <c:v>2505</c:v>
                </c:pt>
                <c:pt idx="18">
                  <c:v>2506</c:v>
                </c:pt>
                <c:pt idx="19">
                  <c:v>2507</c:v>
                </c:pt>
                <c:pt idx="20">
                  <c:v>2508</c:v>
                </c:pt>
                <c:pt idx="21">
                  <c:v>2509</c:v>
                </c:pt>
                <c:pt idx="22">
                  <c:v>2510</c:v>
                </c:pt>
                <c:pt idx="23">
                  <c:v>2511</c:v>
                </c:pt>
                <c:pt idx="24">
                  <c:v>2512</c:v>
                </c:pt>
                <c:pt idx="25">
                  <c:v>2513</c:v>
                </c:pt>
                <c:pt idx="26">
                  <c:v>2514</c:v>
                </c:pt>
                <c:pt idx="27">
                  <c:v>2515</c:v>
                </c:pt>
                <c:pt idx="28">
                  <c:v>2516</c:v>
                </c:pt>
                <c:pt idx="29">
                  <c:v>2517</c:v>
                </c:pt>
                <c:pt idx="30">
                  <c:v>2518</c:v>
                </c:pt>
                <c:pt idx="31">
                  <c:v>2519</c:v>
                </c:pt>
                <c:pt idx="32">
                  <c:v>2520</c:v>
                </c:pt>
                <c:pt idx="33">
                  <c:v>2521</c:v>
                </c:pt>
                <c:pt idx="34">
                  <c:v>2522</c:v>
                </c:pt>
                <c:pt idx="35">
                  <c:v>2523</c:v>
                </c:pt>
                <c:pt idx="36">
                  <c:v>2524</c:v>
                </c:pt>
                <c:pt idx="37">
                  <c:v>2525</c:v>
                </c:pt>
                <c:pt idx="38">
                  <c:v>2526</c:v>
                </c:pt>
                <c:pt idx="39">
                  <c:v>2527</c:v>
                </c:pt>
                <c:pt idx="40">
                  <c:v>2528</c:v>
                </c:pt>
                <c:pt idx="41">
                  <c:v>2529</c:v>
                </c:pt>
                <c:pt idx="42">
                  <c:v>2530</c:v>
                </c:pt>
                <c:pt idx="43">
                  <c:v>2531</c:v>
                </c:pt>
                <c:pt idx="44">
                  <c:v>2532</c:v>
                </c:pt>
                <c:pt idx="45">
                  <c:v>2533</c:v>
                </c:pt>
                <c:pt idx="46">
                  <c:v>2534</c:v>
                </c:pt>
                <c:pt idx="47">
                  <c:v>2535</c:v>
                </c:pt>
                <c:pt idx="48">
                  <c:v>2536</c:v>
                </c:pt>
                <c:pt idx="49">
                  <c:v>2537</c:v>
                </c:pt>
                <c:pt idx="50">
                  <c:v>2538</c:v>
                </c:pt>
                <c:pt idx="51">
                  <c:v>2539</c:v>
                </c:pt>
                <c:pt idx="52">
                  <c:v>2540</c:v>
                </c:pt>
                <c:pt idx="53">
                  <c:v>2541</c:v>
                </c:pt>
                <c:pt idx="54">
                  <c:v>2542</c:v>
                </c:pt>
                <c:pt idx="55">
                  <c:v>2543</c:v>
                </c:pt>
                <c:pt idx="56">
                  <c:v>2544</c:v>
                </c:pt>
                <c:pt idx="57">
                  <c:v>2545</c:v>
                </c:pt>
                <c:pt idx="58">
                  <c:v>2546</c:v>
                </c:pt>
                <c:pt idx="59">
                  <c:v>2547</c:v>
                </c:pt>
                <c:pt idx="60">
                  <c:v>2548</c:v>
                </c:pt>
                <c:pt idx="61">
                  <c:v>2549</c:v>
                </c:pt>
                <c:pt idx="62">
                  <c:v>2550</c:v>
                </c:pt>
                <c:pt idx="63">
                  <c:v>2551</c:v>
                </c:pt>
                <c:pt idx="64">
                  <c:v>2552</c:v>
                </c:pt>
                <c:pt idx="65">
                  <c:v>2601</c:v>
                </c:pt>
                <c:pt idx="66">
                  <c:v>2602</c:v>
                </c:pt>
                <c:pt idx="67">
                  <c:v>2603</c:v>
                </c:pt>
                <c:pt idx="68">
                  <c:v>2604</c:v>
                </c:pt>
                <c:pt idx="69">
                  <c:v>2605</c:v>
                </c:pt>
                <c:pt idx="70">
                  <c:v>2606</c:v>
                </c:pt>
                <c:pt idx="71">
                  <c:v>2607</c:v>
                </c:pt>
                <c:pt idx="72">
                  <c:v>2608</c:v>
                </c:pt>
                <c:pt idx="73">
                  <c:v>2609</c:v>
                </c:pt>
                <c:pt idx="74">
                  <c:v>2610</c:v>
                </c:pt>
                <c:pt idx="75">
                  <c:v>2611</c:v>
                </c:pt>
              </c:numCache>
            </c:numRef>
          </c:cat>
          <c:val>
            <c:numRef>
              <c:f>Grower!$J$80:$J$180</c:f>
              <c:numCache>
                <c:formatCode>0.00%</c:formatCode>
                <c:ptCount val="101"/>
                <c:pt idx="0">
                  <c:v>1.8587360594795488E-2</c:v>
                </c:pt>
                <c:pt idx="1">
                  <c:v>2.3985239852398532E-2</c:v>
                </c:pt>
                <c:pt idx="2">
                  <c:v>1.4184397163120588E-2</c:v>
                </c:pt>
                <c:pt idx="3">
                  <c:v>1.2499999999999956E-2</c:v>
                </c:pt>
                <c:pt idx="4">
                  <c:v>1.4545454545454528E-2</c:v>
                </c:pt>
                <c:pt idx="5">
                  <c:v>1.3592233009708687E-2</c:v>
                </c:pt>
                <c:pt idx="6">
                  <c:v>1.9927536231884035E-2</c:v>
                </c:pt>
                <c:pt idx="7">
                  <c:v>1.5779092702169595E-2</c:v>
                </c:pt>
                <c:pt idx="8">
                  <c:v>1.8621973929236479E-2</c:v>
                </c:pt>
                <c:pt idx="9">
                  <c:v>2.1276595744680882E-2</c:v>
                </c:pt>
                <c:pt idx="10">
                  <c:v>1.3257575757575801E-2</c:v>
                </c:pt>
                <c:pt idx="11">
                  <c:v>1.2295081967213073E-2</c:v>
                </c:pt>
                <c:pt idx="12">
                  <c:v>1.2396694214875992E-2</c:v>
                </c:pt>
                <c:pt idx="13">
                  <c:v>1.7656500802568198E-2</c:v>
                </c:pt>
                <c:pt idx="14">
                  <c:v>1.6917293233082664E-2</c:v>
                </c:pt>
                <c:pt idx="15">
                  <c:v>2.0533880903490731E-2</c:v>
                </c:pt>
                <c:pt idx="16">
                  <c:v>1.3461538461538414E-2</c:v>
                </c:pt>
                <c:pt idx="17">
                  <c:v>1.5355086372360827E-2</c:v>
                </c:pt>
                <c:pt idx="18">
                  <c:v>1.1494252873563204E-2</c:v>
                </c:pt>
                <c:pt idx="19">
                  <c:v>1.7077798861480087E-2</c:v>
                </c:pt>
                <c:pt idx="20">
                  <c:v>3.8986354775828458E-3</c:v>
                </c:pt>
                <c:pt idx="21">
                  <c:v>1.619433198380571E-2</c:v>
                </c:pt>
                <c:pt idx="22">
                  <c:v>1.4314928425357865E-2</c:v>
                </c:pt>
                <c:pt idx="23">
                  <c:v>1.5444015444015413E-2</c:v>
                </c:pt>
                <c:pt idx="24">
                  <c:v>2.3483365949119372E-2</c:v>
                </c:pt>
                <c:pt idx="25">
                  <c:v>2.6515151515151492E-2</c:v>
                </c:pt>
                <c:pt idx="26">
                  <c:v>1.3435700575815779E-2</c:v>
                </c:pt>
                <c:pt idx="27">
                  <c:v>2.0533880903490731E-2</c:v>
                </c:pt>
                <c:pt idx="28">
                  <c:v>2.1526418786692814E-2</c:v>
                </c:pt>
                <c:pt idx="29">
                  <c:v>2.1194605009633882E-2</c:v>
                </c:pt>
                <c:pt idx="30">
                  <c:v>7.7220077220077066E-3</c:v>
                </c:pt>
                <c:pt idx="31">
                  <c:v>9.4696969696970168E-3</c:v>
                </c:pt>
                <c:pt idx="32">
                  <c:v>2.34375E-2</c:v>
                </c:pt>
                <c:pt idx="33">
                  <c:v>1.9417475728155109E-3</c:v>
                </c:pt>
                <c:pt idx="34">
                  <c:v>1.744186046511631E-2</c:v>
                </c:pt>
                <c:pt idx="35">
                  <c:v>1.1764705882352899E-2</c:v>
                </c:pt>
                <c:pt idx="36">
                  <c:v>2.1956087824351322E-2</c:v>
                </c:pt>
                <c:pt idx="37">
                  <c:v>2.0040080160320661E-2</c:v>
                </c:pt>
                <c:pt idx="38">
                  <c:v>1.9800000000000002E-2</c:v>
                </c:pt>
                <c:pt idx="39">
                  <c:v>1.5748031496062964E-2</c:v>
                </c:pt>
                <c:pt idx="40">
                  <c:v>1.5594541910331383E-2</c:v>
                </c:pt>
                <c:pt idx="41">
                  <c:v>1.9379844961240345E-2</c:v>
                </c:pt>
                <c:pt idx="42">
                  <c:v>1.883239171374762E-2</c:v>
                </c:pt>
                <c:pt idx="43">
                  <c:v>9.6711798839458352E-3</c:v>
                </c:pt>
                <c:pt idx="44">
                  <c:v>1.737451737451734E-2</c:v>
                </c:pt>
                <c:pt idx="45">
                  <c:v>1.5564202334630295E-2</c:v>
                </c:pt>
                <c:pt idx="46">
                  <c:v>3.6231884057971175E-3</c:v>
                </c:pt>
                <c:pt idx="47">
                  <c:v>1.7612524461839585E-2</c:v>
                </c:pt>
                <c:pt idx="48">
                  <c:v>9.6711798839458352E-3</c:v>
                </c:pt>
                <c:pt idx="49">
                  <c:v>2.8957528957529011E-2</c:v>
                </c:pt>
                <c:pt idx="50">
                  <c:v>1.2962962962962954E-2</c:v>
                </c:pt>
                <c:pt idx="51">
                  <c:v>2.1359223300970842E-2</c:v>
                </c:pt>
                <c:pt idx="52">
                  <c:v>1.5180265654648917E-2</c:v>
                </c:pt>
                <c:pt idx="53">
                  <c:v>8.5763293310463506E-3</c:v>
                </c:pt>
                <c:pt idx="54">
                  <c:v>1.9538188277087087E-2</c:v>
                </c:pt>
                <c:pt idx="55">
                  <c:v>1.6694490818030094E-2</c:v>
                </c:pt>
                <c:pt idx="56">
                  <c:v>2.0146520146520186E-2</c:v>
                </c:pt>
                <c:pt idx="57">
                  <c:v>1.5625E-2</c:v>
                </c:pt>
                <c:pt idx="58">
                  <c:v>1.1811023622047223E-2</c:v>
                </c:pt>
                <c:pt idx="59">
                  <c:v>1.2096774193548376E-2</c:v>
                </c:pt>
                <c:pt idx="60">
                  <c:v>1.3207547169811318E-2</c:v>
                </c:pt>
                <c:pt idx="61">
                  <c:v>1.3461538461538414E-2</c:v>
                </c:pt>
                <c:pt idx="62">
                  <c:v>1.310861423220977E-2</c:v>
                </c:pt>
                <c:pt idx="63">
                  <c:v>2.2012578616352196E-2</c:v>
                </c:pt>
                <c:pt idx="64">
                  <c:v>1.2110726643598579E-2</c:v>
                </c:pt>
                <c:pt idx="65">
                  <c:v>7.1556350626118537E-3</c:v>
                </c:pt>
                <c:pt idx="66">
                  <c:v>1.2367491166077715E-2</c:v>
                </c:pt>
                <c:pt idx="67">
                  <c:v>1.5437392795883409E-2</c:v>
                </c:pt>
                <c:pt idx="68">
                  <c:v>1.415929203539823E-2</c:v>
                </c:pt>
                <c:pt idx="69">
                  <c:v>2.2530329289428108E-2</c:v>
                </c:pt>
                <c:pt idx="70">
                  <c:v>1.243339253996445E-2</c:v>
                </c:pt>
                <c:pt idx="71">
                  <c:v>1.446654611211573E-2</c:v>
                </c:pt>
                <c:pt idx="72">
                  <c:v>2.6365348399246757E-2</c:v>
                </c:pt>
                <c:pt idx="73">
                  <c:v>8.0385852090032461E-3</c:v>
                </c:pt>
                <c:pt idx="74">
                  <c:v>1.3223140495867813E-2</c:v>
                </c:pt>
                <c:pt idx="75">
                  <c:v>1.7730496453900679E-2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6-4F11-8D5C-3DBEB3CEB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92608"/>
        <c:axId val="152838144"/>
      </c:lineChart>
      <c:catAx>
        <c:axId val="1526926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8144"/>
        <c:crosses val="autoZero"/>
        <c:auto val="1"/>
        <c:lblAlgn val="ctr"/>
        <c:lblOffset val="100"/>
        <c:noMultiLvlLbl val="0"/>
      </c:catAx>
      <c:valAx>
        <c:axId val="15283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9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/>
              <a:t>Grower ADG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Grower!$Q$1</c:f>
              <c:strCache>
                <c:ptCount val="1"/>
                <c:pt idx="0">
                  <c:v>ADG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66E-46A7-A8F8-5458E1C4FE5E}"/>
              </c:ext>
            </c:extLst>
          </c:dPt>
          <c:dPt>
            <c:idx val="12"/>
            <c:marker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66E-46A7-A8F8-5458E1C4FE5E}"/>
              </c:ext>
            </c:extLst>
          </c:dPt>
          <c:cat>
            <c:numRef>
              <c:f>Grower!$A$80:$A$180</c:f>
              <c:numCache>
                <c:formatCode>General</c:formatCode>
                <c:ptCount val="101"/>
                <c:pt idx="0">
                  <c:v>2440</c:v>
                </c:pt>
                <c:pt idx="1">
                  <c:v>2441</c:v>
                </c:pt>
                <c:pt idx="2">
                  <c:v>2442</c:v>
                </c:pt>
                <c:pt idx="3">
                  <c:v>2443</c:v>
                </c:pt>
                <c:pt idx="4">
                  <c:v>2444</c:v>
                </c:pt>
                <c:pt idx="5">
                  <c:v>2445</c:v>
                </c:pt>
                <c:pt idx="6">
                  <c:v>2446</c:v>
                </c:pt>
                <c:pt idx="7">
                  <c:v>2447</c:v>
                </c:pt>
                <c:pt idx="8">
                  <c:v>2448</c:v>
                </c:pt>
                <c:pt idx="9">
                  <c:v>2449</c:v>
                </c:pt>
                <c:pt idx="10">
                  <c:v>2450</c:v>
                </c:pt>
                <c:pt idx="11">
                  <c:v>2451</c:v>
                </c:pt>
                <c:pt idx="12">
                  <c:v>2452</c:v>
                </c:pt>
                <c:pt idx="13">
                  <c:v>2501</c:v>
                </c:pt>
                <c:pt idx="14">
                  <c:v>2502</c:v>
                </c:pt>
                <c:pt idx="15">
                  <c:v>2503</c:v>
                </c:pt>
                <c:pt idx="16">
                  <c:v>2504</c:v>
                </c:pt>
                <c:pt idx="17">
                  <c:v>2505</c:v>
                </c:pt>
                <c:pt idx="18">
                  <c:v>2506</c:v>
                </c:pt>
                <c:pt idx="19">
                  <c:v>2507</c:v>
                </c:pt>
                <c:pt idx="20">
                  <c:v>2508</c:v>
                </c:pt>
                <c:pt idx="21">
                  <c:v>2509</c:v>
                </c:pt>
                <c:pt idx="22">
                  <c:v>2510</c:v>
                </c:pt>
                <c:pt idx="23">
                  <c:v>2511</c:v>
                </c:pt>
                <c:pt idx="24">
                  <c:v>2512</c:v>
                </c:pt>
                <c:pt idx="25">
                  <c:v>2513</c:v>
                </c:pt>
                <c:pt idx="26">
                  <c:v>2514</c:v>
                </c:pt>
                <c:pt idx="27">
                  <c:v>2515</c:v>
                </c:pt>
                <c:pt idx="28">
                  <c:v>2516</c:v>
                </c:pt>
                <c:pt idx="29">
                  <c:v>2517</c:v>
                </c:pt>
                <c:pt idx="30">
                  <c:v>2518</c:v>
                </c:pt>
                <c:pt idx="31">
                  <c:v>2519</c:v>
                </c:pt>
                <c:pt idx="32">
                  <c:v>2520</c:v>
                </c:pt>
                <c:pt idx="33">
                  <c:v>2521</c:v>
                </c:pt>
                <c:pt idx="34">
                  <c:v>2522</c:v>
                </c:pt>
                <c:pt idx="35">
                  <c:v>2523</c:v>
                </c:pt>
                <c:pt idx="36">
                  <c:v>2524</c:v>
                </c:pt>
                <c:pt idx="37">
                  <c:v>2525</c:v>
                </c:pt>
                <c:pt idx="38">
                  <c:v>2526</c:v>
                </c:pt>
                <c:pt idx="39">
                  <c:v>2527</c:v>
                </c:pt>
                <c:pt idx="40">
                  <c:v>2528</c:v>
                </c:pt>
                <c:pt idx="41">
                  <c:v>2529</c:v>
                </c:pt>
                <c:pt idx="42">
                  <c:v>2530</c:v>
                </c:pt>
                <c:pt idx="43">
                  <c:v>2531</c:v>
                </c:pt>
                <c:pt idx="44">
                  <c:v>2532</c:v>
                </c:pt>
                <c:pt idx="45">
                  <c:v>2533</c:v>
                </c:pt>
                <c:pt idx="46">
                  <c:v>2534</c:v>
                </c:pt>
                <c:pt idx="47">
                  <c:v>2535</c:v>
                </c:pt>
                <c:pt idx="48">
                  <c:v>2536</c:v>
                </c:pt>
                <c:pt idx="49">
                  <c:v>2537</c:v>
                </c:pt>
                <c:pt idx="50">
                  <c:v>2538</c:v>
                </c:pt>
                <c:pt idx="51">
                  <c:v>2539</c:v>
                </c:pt>
                <c:pt idx="52">
                  <c:v>2540</c:v>
                </c:pt>
                <c:pt idx="53">
                  <c:v>2541</c:v>
                </c:pt>
                <c:pt idx="54">
                  <c:v>2542</c:v>
                </c:pt>
                <c:pt idx="55">
                  <c:v>2543</c:v>
                </c:pt>
                <c:pt idx="56">
                  <c:v>2544</c:v>
                </c:pt>
                <c:pt idx="57">
                  <c:v>2545</c:v>
                </c:pt>
                <c:pt idx="58">
                  <c:v>2546</c:v>
                </c:pt>
                <c:pt idx="59">
                  <c:v>2547</c:v>
                </c:pt>
                <c:pt idx="60">
                  <c:v>2548</c:v>
                </c:pt>
                <c:pt idx="61">
                  <c:v>2549</c:v>
                </c:pt>
                <c:pt idx="62">
                  <c:v>2550</c:v>
                </c:pt>
                <c:pt idx="63">
                  <c:v>2551</c:v>
                </c:pt>
                <c:pt idx="64">
                  <c:v>2552</c:v>
                </c:pt>
                <c:pt idx="65">
                  <c:v>2601</c:v>
                </c:pt>
                <c:pt idx="66">
                  <c:v>2602</c:v>
                </c:pt>
                <c:pt idx="67">
                  <c:v>2603</c:v>
                </c:pt>
                <c:pt idx="68">
                  <c:v>2604</c:v>
                </c:pt>
                <c:pt idx="69">
                  <c:v>2605</c:v>
                </c:pt>
                <c:pt idx="70">
                  <c:v>2606</c:v>
                </c:pt>
                <c:pt idx="71">
                  <c:v>2607</c:v>
                </c:pt>
                <c:pt idx="72">
                  <c:v>2608</c:v>
                </c:pt>
                <c:pt idx="73">
                  <c:v>2609</c:v>
                </c:pt>
                <c:pt idx="74">
                  <c:v>2610</c:v>
                </c:pt>
                <c:pt idx="75">
                  <c:v>2611</c:v>
                </c:pt>
              </c:numCache>
            </c:numRef>
          </c:cat>
          <c:val>
            <c:numRef>
              <c:f>Grower!$Q$80:$Q$180</c:f>
              <c:numCache>
                <c:formatCode>0</c:formatCode>
                <c:ptCount val="101"/>
                <c:pt idx="0">
                  <c:v>1067.1938608394553</c:v>
                </c:pt>
                <c:pt idx="1">
                  <c:v>1087.6517138289598</c:v>
                </c:pt>
                <c:pt idx="2">
                  <c:v>1053.3425631310065</c:v>
                </c:pt>
                <c:pt idx="3">
                  <c:v>1063.6602754491716</c:v>
                </c:pt>
                <c:pt idx="4">
                  <c:v>1061.0520877482631</c:v>
                </c:pt>
                <c:pt idx="5">
                  <c:v>1061.4266685695256</c:v>
                </c:pt>
                <c:pt idx="6">
                  <c:v>1016.7832597500117</c:v>
                </c:pt>
                <c:pt idx="7">
                  <c:v>1082.1989367320896</c:v>
                </c:pt>
                <c:pt idx="8">
                  <c:v>954.30572477311921</c:v>
                </c:pt>
                <c:pt idx="9">
                  <c:v>1053.9174755592667</c:v>
                </c:pt>
                <c:pt idx="10">
                  <c:v>1024.8850218449213</c:v>
                </c:pt>
                <c:pt idx="11">
                  <c:v>1102.3176120479754</c:v>
                </c:pt>
                <c:pt idx="12">
                  <c:v>1119.7078468896291</c:v>
                </c:pt>
                <c:pt idx="13">
                  <c:v>1100.1644134090257</c:v>
                </c:pt>
                <c:pt idx="14">
                  <c:v>1113.7644373212565</c:v>
                </c:pt>
                <c:pt idx="15">
                  <c:v>1065.6587197949473</c:v>
                </c:pt>
                <c:pt idx="16">
                  <c:v>1144.6248327288672</c:v>
                </c:pt>
                <c:pt idx="17">
                  <c:v>1059.7489838928193</c:v>
                </c:pt>
                <c:pt idx="18">
                  <c:v>1121.0469486297923</c:v>
                </c:pt>
                <c:pt idx="19">
                  <c:v>1079.2378701665643</c:v>
                </c:pt>
                <c:pt idx="20">
                  <c:v>1149.5986360280019</c:v>
                </c:pt>
                <c:pt idx="21">
                  <c:v>1137.6163566142634</c:v>
                </c:pt>
                <c:pt idx="22">
                  <c:v>1144.4207596410952</c:v>
                </c:pt>
                <c:pt idx="23">
                  <c:v>1134.6607264167337</c:v>
                </c:pt>
                <c:pt idx="24">
                  <c:v>1182.901839311842</c:v>
                </c:pt>
                <c:pt idx="25">
                  <c:v>1079.196857752971</c:v>
                </c:pt>
                <c:pt idx="26">
                  <c:v>1147.3428815049192</c:v>
                </c:pt>
                <c:pt idx="27">
                  <c:v>1084.0661957430368</c:v>
                </c:pt>
                <c:pt idx="28">
                  <c:v>1123.4386991894835</c:v>
                </c:pt>
                <c:pt idx="29">
                  <c:v>1065.505546955136</c:v>
                </c:pt>
                <c:pt idx="30">
                  <c:v>1100.9538511741155</c:v>
                </c:pt>
                <c:pt idx="31">
                  <c:v>1074.5582268687717</c:v>
                </c:pt>
                <c:pt idx="32">
                  <c:v>1105.3220203074311</c:v>
                </c:pt>
                <c:pt idx="33">
                  <c:v>1103.7719052345269</c:v>
                </c:pt>
                <c:pt idx="34">
                  <c:v>1060.1425771120662</c:v>
                </c:pt>
                <c:pt idx="35">
                  <c:v>1092.7953923664004</c:v>
                </c:pt>
                <c:pt idx="36">
                  <c:v>1075.0848885598305</c:v>
                </c:pt>
                <c:pt idx="37">
                  <c:v>1045.2019862840527</c:v>
                </c:pt>
                <c:pt idx="38">
                  <c:v>1054.4894505568664</c:v>
                </c:pt>
                <c:pt idx="39">
                  <c:v>1084.4241738756716</c:v>
                </c:pt>
                <c:pt idx="40">
                  <c:v>1099.9344331520228</c:v>
                </c:pt>
                <c:pt idx="41">
                  <c:v>1049.2449962815663</c:v>
                </c:pt>
                <c:pt idx="42">
                  <c:v>1060.7935667164249</c:v>
                </c:pt>
                <c:pt idx="43">
                  <c:v>1135.2621349166109</c:v>
                </c:pt>
                <c:pt idx="44">
                  <c:v>1100.0505153462802</c:v>
                </c:pt>
                <c:pt idx="45">
                  <c:v>1070.5743368475532</c:v>
                </c:pt>
                <c:pt idx="46">
                  <c:v>1040.0146739034351</c:v>
                </c:pt>
                <c:pt idx="47">
                  <c:v>1078.5957637235329</c:v>
                </c:pt>
                <c:pt idx="48">
                  <c:v>1079.6147634084518</c:v>
                </c:pt>
                <c:pt idx="49">
                  <c:v>1009.6153846153848</c:v>
                </c:pt>
                <c:pt idx="50">
                  <c:v>1047.7086209158745</c:v>
                </c:pt>
                <c:pt idx="51">
                  <c:v>1096.8844063804484</c:v>
                </c:pt>
                <c:pt idx="52">
                  <c:v>1035.7952611500982</c:v>
                </c:pt>
                <c:pt idx="53">
                  <c:v>1014.9887972888447</c:v>
                </c:pt>
                <c:pt idx="54">
                  <c:v>1018.2171718564692</c:v>
                </c:pt>
                <c:pt idx="55">
                  <c:v>1007.9655571725133</c:v>
                </c:pt>
                <c:pt idx="56">
                  <c:v>1031.8583912005886</c:v>
                </c:pt>
                <c:pt idx="57">
                  <c:v>1070.481545101549</c:v>
                </c:pt>
                <c:pt idx="58">
                  <c:v>1149.2607853576856</c:v>
                </c:pt>
                <c:pt idx="59">
                  <c:v>1038.7862874966684</c:v>
                </c:pt>
                <c:pt idx="60">
                  <c:v>1062.5482823059108</c:v>
                </c:pt>
                <c:pt idx="61">
                  <c:v>1094.4063147578684</c:v>
                </c:pt>
                <c:pt idx="62">
                  <c:v>1075.3214607467537</c:v>
                </c:pt>
                <c:pt idx="63">
                  <c:v>1042.522054579932</c:v>
                </c:pt>
                <c:pt idx="64">
                  <c:v>1065.2536728807916</c:v>
                </c:pt>
                <c:pt idx="65">
                  <c:v>1115.5575384062029</c:v>
                </c:pt>
                <c:pt idx="66">
                  <c:v>1081.6064905162893</c:v>
                </c:pt>
                <c:pt idx="67">
                  <c:v>1095.0727722019335</c:v>
                </c:pt>
                <c:pt idx="68">
                  <c:v>1143.5995478505599</c:v>
                </c:pt>
                <c:pt idx="69">
                  <c:v>1077.2782472656145</c:v>
                </c:pt>
                <c:pt idx="70">
                  <c:v>1081.9184817780133</c:v>
                </c:pt>
                <c:pt idx="71">
                  <c:v>1097.3134370700293</c:v>
                </c:pt>
                <c:pt idx="72">
                  <c:v>1082.5216137791799</c:v>
                </c:pt>
                <c:pt idx="73">
                  <c:v>1078.1069283093575</c:v>
                </c:pt>
                <c:pt idx="74">
                  <c:v>1076.0937190575862</c:v>
                </c:pt>
                <c:pt idx="75">
                  <c:v>1087.6938984082674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6E-46A7-A8F8-5458E1C4F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72832"/>
        <c:axId val="152874368"/>
      </c:lineChart>
      <c:catAx>
        <c:axId val="15287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74368"/>
        <c:crosses val="autoZero"/>
        <c:auto val="1"/>
        <c:lblAlgn val="ctr"/>
        <c:lblOffset val="100"/>
        <c:noMultiLvlLbl val="0"/>
      </c:catAx>
      <c:valAx>
        <c:axId val="152874368"/>
        <c:scaling>
          <c:orientation val="minMax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7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Grower!$U$1</c:f>
              <c:strCache>
                <c:ptCount val="1"/>
                <c:pt idx="0">
                  <c:v>FCR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Grower!$A$80:$A$180</c:f>
              <c:numCache>
                <c:formatCode>General</c:formatCode>
                <c:ptCount val="101"/>
                <c:pt idx="0">
                  <c:v>2440</c:v>
                </c:pt>
                <c:pt idx="1">
                  <c:v>2441</c:v>
                </c:pt>
                <c:pt idx="2">
                  <c:v>2442</c:v>
                </c:pt>
                <c:pt idx="3">
                  <c:v>2443</c:v>
                </c:pt>
                <c:pt idx="4">
                  <c:v>2444</c:v>
                </c:pt>
                <c:pt idx="5">
                  <c:v>2445</c:v>
                </c:pt>
                <c:pt idx="6">
                  <c:v>2446</c:v>
                </c:pt>
                <c:pt idx="7">
                  <c:v>2447</c:v>
                </c:pt>
                <c:pt idx="8">
                  <c:v>2448</c:v>
                </c:pt>
                <c:pt idx="9">
                  <c:v>2449</c:v>
                </c:pt>
                <c:pt idx="10">
                  <c:v>2450</c:v>
                </c:pt>
                <c:pt idx="11">
                  <c:v>2451</c:v>
                </c:pt>
                <c:pt idx="12">
                  <c:v>2452</c:v>
                </c:pt>
                <c:pt idx="13">
                  <c:v>2501</c:v>
                </c:pt>
                <c:pt idx="14">
                  <c:v>2502</c:v>
                </c:pt>
                <c:pt idx="15">
                  <c:v>2503</c:v>
                </c:pt>
                <c:pt idx="16">
                  <c:v>2504</c:v>
                </c:pt>
                <c:pt idx="17">
                  <c:v>2505</c:v>
                </c:pt>
                <c:pt idx="18">
                  <c:v>2506</c:v>
                </c:pt>
                <c:pt idx="19">
                  <c:v>2507</c:v>
                </c:pt>
                <c:pt idx="20">
                  <c:v>2508</c:v>
                </c:pt>
                <c:pt idx="21">
                  <c:v>2509</c:v>
                </c:pt>
                <c:pt idx="22">
                  <c:v>2510</c:v>
                </c:pt>
                <c:pt idx="23">
                  <c:v>2511</c:v>
                </c:pt>
                <c:pt idx="24">
                  <c:v>2512</c:v>
                </c:pt>
                <c:pt idx="25">
                  <c:v>2513</c:v>
                </c:pt>
                <c:pt idx="26">
                  <c:v>2514</c:v>
                </c:pt>
                <c:pt idx="27">
                  <c:v>2515</c:v>
                </c:pt>
                <c:pt idx="28">
                  <c:v>2516</c:v>
                </c:pt>
                <c:pt idx="29">
                  <c:v>2517</c:v>
                </c:pt>
                <c:pt idx="30">
                  <c:v>2518</c:v>
                </c:pt>
                <c:pt idx="31">
                  <c:v>2519</c:v>
                </c:pt>
                <c:pt idx="32">
                  <c:v>2520</c:v>
                </c:pt>
                <c:pt idx="33">
                  <c:v>2521</c:v>
                </c:pt>
                <c:pt idx="34">
                  <c:v>2522</c:v>
                </c:pt>
                <c:pt idx="35">
                  <c:v>2523</c:v>
                </c:pt>
                <c:pt idx="36">
                  <c:v>2524</c:v>
                </c:pt>
                <c:pt idx="37">
                  <c:v>2525</c:v>
                </c:pt>
                <c:pt idx="38">
                  <c:v>2526</c:v>
                </c:pt>
                <c:pt idx="39">
                  <c:v>2527</c:v>
                </c:pt>
                <c:pt idx="40">
                  <c:v>2528</c:v>
                </c:pt>
                <c:pt idx="41">
                  <c:v>2529</c:v>
                </c:pt>
                <c:pt idx="42">
                  <c:v>2530</c:v>
                </c:pt>
                <c:pt idx="43">
                  <c:v>2531</c:v>
                </c:pt>
                <c:pt idx="44">
                  <c:v>2532</c:v>
                </c:pt>
                <c:pt idx="45">
                  <c:v>2533</c:v>
                </c:pt>
                <c:pt idx="46">
                  <c:v>2534</c:v>
                </c:pt>
                <c:pt idx="47">
                  <c:v>2535</c:v>
                </c:pt>
                <c:pt idx="48">
                  <c:v>2536</c:v>
                </c:pt>
                <c:pt idx="49">
                  <c:v>2537</c:v>
                </c:pt>
                <c:pt idx="50">
                  <c:v>2538</c:v>
                </c:pt>
                <c:pt idx="51">
                  <c:v>2539</c:v>
                </c:pt>
                <c:pt idx="52">
                  <c:v>2540</c:v>
                </c:pt>
                <c:pt idx="53">
                  <c:v>2541</c:v>
                </c:pt>
                <c:pt idx="54">
                  <c:v>2542</c:v>
                </c:pt>
                <c:pt idx="55">
                  <c:v>2543</c:v>
                </c:pt>
                <c:pt idx="56">
                  <c:v>2544</c:v>
                </c:pt>
                <c:pt idx="57">
                  <c:v>2545</c:v>
                </c:pt>
                <c:pt idx="58">
                  <c:v>2546</c:v>
                </c:pt>
                <c:pt idx="59">
                  <c:v>2547</c:v>
                </c:pt>
                <c:pt idx="60">
                  <c:v>2548</c:v>
                </c:pt>
                <c:pt idx="61">
                  <c:v>2549</c:v>
                </c:pt>
                <c:pt idx="62">
                  <c:v>2550</c:v>
                </c:pt>
                <c:pt idx="63">
                  <c:v>2551</c:v>
                </c:pt>
                <c:pt idx="64">
                  <c:v>2552</c:v>
                </c:pt>
                <c:pt idx="65">
                  <c:v>2601</c:v>
                </c:pt>
                <c:pt idx="66">
                  <c:v>2602</c:v>
                </c:pt>
                <c:pt idx="67">
                  <c:v>2603</c:v>
                </c:pt>
                <c:pt idx="68">
                  <c:v>2604</c:v>
                </c:pt>
                <c:pt idx="69">
                  <c:v>2605</c:v>
                </c:pt>
                <c:pt idx="70">
                  <c:v>2606</c:v>
                </c:pt>
                <c:pt idx="71">
                  <c:v>2607</c:v>
                </c:pt>
                <c:pt idx="72">
                  <c:v>2608</c:v>
                </c:pt>
                <c:pt idx="73">
                  <c:v>2609</c:v>
                </c:pt>
                <c:pt idx="74">
                  <c:v>2610</c:v>
                </c:pt>
                <c:pt idx="75">
                  <c:v>2611</c:v>
                </c:pt>
              </c:numCache>
            </c:numRef>
          </c:cat>
          <c:val>
            <c:numRef>
              <c:f>Grower!$U$80:$U$180</c:f>
              <c:numCache>
                <c:formatCode>0.00</c:formatCode>
                <c:ptCount val="101"/>
                <c:pt idx="0">
                  <c:v>2.4005787696759766</c:v>
                </c:pt>
                <c:pt idx="1">
                  <c:v>2.4461657586749519</c:v>
                </c:pt>
                <c:pt idx="2">
                  <c:v>2.3917040596325618</c:v>
                </c:pt>
                <c:pt idx="3">
                  <c:v>2.3863523709863967</c:v>
                </c:pt>
                <c:pt idx="4">
                  <c:v>2.3834739566068794</c:v>
                </c:pt>
                <c:pt idx="5">
                  <c:v>2.3918888078356768</c:v>
                </c:pt>
                <c:pt idx="6">
                  <c:v>2.4496135201420994</c:v>
                </c:pt>
                <c:pt idx="7">
                  <c:v>2.3965972060183001</c:v>
                </c:pt>
                <c:pt idx="8">
                  <c:v>2.4013873290842227</c:v>
                </c:pt>
                <c:pt idx="9">
                  <c:v>2.4203811142930243</c:v>
                </c:pt>
                <c:pt idx="10">
                  <c:v>2.3824442327682065</c:v>
                </c:pt>
                <c:pt idx="11">
                  <c:v>2.4023655515196469</c:v>
                </c:pt>
                <c:pt idx="12">
                  <c:v>2.3899594393857551</c:v>
                </c:pt>
                <c:pt idx="13">
                  <c:v>2.4230351789342182</c:v>
                </c:pt>
                <c:pt idx="14">
                  <c:v>2.3973860199926564</c:v>
                </c:pt>
                <c:pt idx="15">
                  <c:v>2.4412751916552775</c:v>
                </c:pt>
                <c:pt idx="16">
                  <c:v>2.415460923054662</c:v>
                </c:pt>
                <c:pt idx="17">
                  <c:v>2.377515345538741</c:v>
                </c:pt>
                <c:pt idx="18">
                  <c:v>2.3817159174249252</c:v>
                </c:pt>
                <c:pt idx="19">
                  <c:v>2.4021524391086309</c:v>
                </c:pt>
                <c:pt idx="20">
                  <c:v>2.375985755663538</c:v>
                </c:pt>
                <c:pt idx="21">
                  <c:v>2.4225083869164106</c:v>
                </c:pt>
                <c:pt idx="22">
                  <c:v>2.389558068886962</c:v>
                </c:pt>
                <c:pt idx="23">
                  <c:v>2.4142648726786264</c:v>
                </c:pt>
                <c:pt idx="24">
                  <c:v>2.4569491045606768</c:v>
                </c:pt>
                <c:pt idx="25">
                  <c:v>2.4667190381401913</c:v>
                </c:pt>
                <c:pt idx="26">
                  <c:v>2.3897137232384549</c:v>
                </c:pt>
                <c:pt idx="27">
                  <c:v>2.4346334347968743</c:v>
                </c:pt>
                <c:pt idx="28">
                  <c:v>2.4160451313365772</c:v>
                </c:pt>
                <c:pt idx="29">
                  <c:v>2.4129191081524164</c:v>
                </c:pt>
                <c:pt idx="30">
                  <c:v>2.3972448920266256</c:v>
                </c:pt>
                <c:pt idx="31">
                  <c:v>2.3935990493614909</c:v>
                </c:pt>
                <c:pt idx="32">
                  <c:v>2.4254152276158907</c:v>
                </c:pt>
                <c:pt idx="33">
                  <c:v>2.3758329143378818</c:v>
                </c:pt>
                <c:pt idx="34">
                  <c:v>2.4183432338152291</c:v>
                </c:pt>
                <c:pt idx="35">
                  <c:v>2.3919001244757183</c:v>
                </c:pt>
                <c:pt idx="36">
                  <c:v>2.4222274994063167</c:v>
                </c:pt>
                <c:pt idx="37">
                  <c:v>2.4395429329508382</c:v>
                </c:pt>
                <c:pt idx="38">
                  <c:v>2.4070533549033013</c:v>
                </c:pt>
                <c:pt idx="39">
                  <c:v>2.3947999646401392</c:v>
                </c:pt>
                <c:pt idx="40">
                  <c:v>2.4014472861072793</c:v>
                </c:pt>
                <c:pt idx="41">
                  <c:v>2.424907096891145</c:v>
                </c:pt>
                <c:pt idx="42">
                  <c:v>2.4081345468576227</c:v>
                </c:pt>
                <c:pt idx="43">
                  <c:v>2.2381890862768947</c:v>
                </c:pt>
                <c:pt idx="44">
                  <c:v>2.3511459545580897</c:v>
                </c:pt>
                <c:pt idx="45">
                  <c:v>2.4390214931085334</c:v>
                </c:pt>
                <c:pt idx="46">
                  <c:v>2.3712163001784066</c:v>
                </c:pt>
                <c:pt idx="47">
                  <c:v>2.36</c:v>
                </c:pt>
                <c:pt idx="48">
                  <c:v>2.3830191919675769</c:v>
                </c:pt>
                <c:pt idx="49">
                  <c:v>2.437962435970404</c:v>
                </c:pt>
                <c:pt idx="50">
                  <c:v>2.3790135718560439</c:v>
                </c:pt>
                <c:pt idx="51">
                  <c:v>2.4092003786507785</c:v>
                </c:pt>
                <c:pt idx="52">
                  <c:v>2.4394579860150909</c:v>
                </c:pt>
                <c:pt idx="53">
                  <c:v>2.3737479131886476</c:v>
                </c:pt>
                <c:pt idx="54">
                  <c:v>2.4319428455339609</c:v>
                </c:pt>
                <c:pt idx="55">
                  <c:v>2.41</c:v>
                </c:pt>
                <c:pt idx="56">
                  <c:v>2.430160068861781</c:v>
                </c:pt>
                <c:pt idx="57">
                  <c:v>2.3884249879483139</c:v>
                </c:pt>
                <c:pt idx="58">
                  <c:v>2.4002833341446181</c:v>
                </c:pt>
                <c:pt idx="59">
                  <c:v>2.3964636482500685</c:v>
                </c:pt>
                <c:pt idx="60">
                  <c:v>2.37</c:v>
                </c:pt>
                <c:pt idx="61">
                  <c:v>2.4284104033854677</c:v>
                </c:pt>
                <c:pt idx="62">
                  <c:v>2.4093224785471286</c:v>
                </c:pt>
                <c:pt idx="63">
                  <c:v>2.4173075782439359</c:v>
                </c:pt>
                <c:pt idx="64">
                  <c:v>2.3556408352405138</c:v>
                </c:pt>
                <c:pt idx="65">
                  <c:v>2.3818898248072449</c:v>
                </c:pt>
                <c:pt idx="66">
                  <c:v>2.3518048114073475</c:v>
                </c:pt>
                <c:pt idx="67">
                  <c:v>2.3585570468938752</c:v>
                </c:pt>
                <c:pt idx="68">
                  <c:v>2.3798080923561211</c:v>
                </c:pt>
                <c:pt idx="69">
                  <c:v>2.4193612198509582</c:v>
                </c:pt>
                <c:pt idx="70">
                  <c:v>2.387248677106629</c:v>
                </c:pt>
                <c:pt idx="71">
                  <c:v>2.4156696979685757</c:v>
                </c:pt>
                <c:pt idx="72">
                  <c:v>2.5161982953509261</c:v>
                </c:pt>
                <c:pt idx="73">
                  <c:v>2.3897175036837832</c:v>
                </c:pt>
                <c:pt idx="74">
                  <c:v>2.4054023019053172</c:v>
                </c:pt>
                <c:pt idx="75">
                  <c:v>2.4229662230701354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D-44A4-9BD7-B3383F4C3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964096"/>
        <c:axId val="152986752"/>
      </c:lineChart>
      <c:catAx>
        <c:axId val="15296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86752"/>
        <c:crosses val="autoZero"/>
        <c:auto val="1"/>
        <c:lblAlgn val="ctr"/>
        <c:lblOffset val="100"/>
        <c:noMultiLvlLbl val="0"/>
      </c:catAx>
      <c:valAx>
        <c:axId val="152986752"/>
        <c:scaling>
          <c:orientation val="minMax"/>
          <c:max val="2.5499999999999998"/>
          <c:min val="2.29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6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CDM</a:t>
            </a:r>
            <a:r>
              <a:rPr lang="en-ZA" baseline="0"/>
              <a:t> 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Grower!$O$1</c:f>
              <c:strCache>
                <c:ptCount val="1"/>
                <c:pt idx="0">
                  <c:v>avg carcass weight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Grower!$A$80:$A$180</c:f>
              <c:numCache>
                <c:formatCode>General</c:formatCode>
                <c:ptCount val="101"/>
                <c:pt idx="0">
                  <c:v>2440</c:v>
                </c:pt>
                <c:pt idx="1">
                  <c:v>2441</c:v>
                </c:pt>
                <c:pt idx="2">
                  <c:v>2442</c:v>
                </c:pt>
                <c:pt idx="3">
                  <c:v>2443</c:v>
                </c:pt>
                <c:pt idx="4">
                  <c:v>2444</c:v>
                </c:pt>
                <c:pt idx="5">
                  <c:v>2445</c:v>
                </c:pt>
                <c:pt idx="6">
                  <c:v>2446</c:v>
                </c:pt>
                <c:pt idx="7">
                  <c:v>2447</c:v>
                </c:pt>
                <c:pt idx="8">
                  <c:v>2448</c:v>
                </c:pt>
                <c:pt idx="9">
                  <c:v>2449</c:v>
                </c:pt>
                <c:pt idx="10">
                  <c:v>2450</c:v>
                </c:pt>
                <c:pt idx="11">
                  <c:v>2451</c:v>
                </c:pt>
                <c:pt idx="12">
                  <c:v>2452</c:v>
                </c:pt>
                <c:pt idx="13">
                  <c:v>2501</c:v>
                </c:pt>
                <c:pt idx="14">
                  <c:v>2502</c:v>
                </c:pt>
                <c:pt idx="15">
                  <c:v>2503</c:v>
                </c:pt>
                <c:pt idx="16">
                  <c:v>2504</c:v>
                </c:pt>
                <c:pt idx="17">
                  <c:v>2505</c:v>
                </c:pt>
                <c:pt idx="18">
                  <c:v>2506</c:v>
                </c:pt>
                <c:pt idx="19">
                  <c:v>2507</c:v>
                </c:pt>
                <c:pt idx="20">
                  <c:v>2508</c:v>
                </c:pt>
                <c:pt idx="21">
                  <c:v>2509</c:v>
                </c:pt>
                <c:pt idx="22">
                  <c:v>2510</c:v>
                </c:pt>
                <c:pt idx="23">
                  <c:v>2511</c:v>
                </c:pt>
                <c:pt idx="24">
                  <c:v>2512</c:v>
                </c:pt>
                <c:pt idx="25">
                  <c:v>2513</c:v>
                </c:pt>
                <c:pt idx="26">
                  <c:v>2514</c:v>
                </c:pt>
                <c:pt idx="27">
                  <c:v>2515</c:v>
                </c:pt>
                <c:pt idx="28">
                  <c:v>2516</c:v>
                </c:pt>
                <c:pt idx="29">
                  <c:v>2517</c:v>
                </c:pt>
                <c:pt idx="30">
                  <c:v>2518</c:v>
                </c:pt>
                <c:pt idx="31">
                  <c:v>2519</c:v>
                </c:pt>
                <c:pt idx="32">
                  <c:v>2520</c:v>
                </c:pt>
                <c:pt idx="33">
                  <c:v>2521</c:v>
                </c:pt>
                <c:pt idx="34">
                  <c:v>2522</c:v>
                </c:pt>
                <c:pt idx="35">
                  <c:v>2523</c:v>
                </c:pt>
                <c:pt idx="36">
                  <c:v>2524</c:v>
                </c:pt>
                <c:pt idx="37">
                  <c:v>2525</c:v>
                </c:pt>
                <c:pt idx="38">
                  <c:v>2526</c:v>
                </c:pt>
                <c:pt idx="39">
                  <c:v>2527</c:v>
                </c:pt>
                <c:pt idx="40">
                  <c:v>2528</c:v>
                </c:pt>
                <c:pt idx="41">
                  <c:v>2529</c:v>
                </c:pt>
                <c:pt idx="42">
                  <c:v>2530</c:v>
                </c:pt>
                <c:pt idx="43">
                  <c:v>2531</c:v>
                </c:pt>
                <c:pt idx="44">
                  <c:v>2532</c:v>
                </c:pt>
                <c:pt idx="45">
                  <c:v>2533</c:v>
                </c:pt>
                <c:pt idx="46">
                  <c:v>2534</c:v>
                </c:pt>
                <c:pt idx="47">
                  <c:v>2535</c:v>
                </c:pt>
                <c:pt idx="48">
                  <c:v>2536</c:v>
                </c:pt>
                <c:pt idx="49">
                  <c:v>2537</c:v>
                </c:pt>
                <c:pt idx="50">
                  <c:v>2538</c:v>
                </c:pt>
                <c:pt idx="51">
                  <c:v>2539</c:v>
                </c:pt>
                <c:pt idx="52">
                  <c:v>2540</c:v>
                </c:pt>
                <c:pt idx="53">
                  <c:v>2541</c:v>
                </c:pt>
                <c:pt idx="54">
                  <c:v>2542</c:v>
                </c:pt>
                <c:pt idx="55">
                  <c:v>2543</c:v>
                </c:pt>
                <c:pt idx="56">
                  <c:v>2544</c:v>
                </c:pt>
                <c:pt idx="57">
                  <c:v>2545</c:v>
                </c:pt>
                <c:pt idx="58">
                  <c:v>2546</c:v>
                </c:pt>
                <c:pt idx="59">
                  <c:v>2547</c:v>
                </c:pt>
                <c:pt idx="60">
                  <c:v>2548</c:v>
                </c:pt>
                <c:pt idx="61">
                  <c:v>2549</c:v>
                </c:pt>
                <c:pt idx="62">
                  <c:v>2550</c:v>
                </c:pt>
                <c:pt idx="63">
                  <c:v>2551</c:v>
                </c:pt>
                <c:pt idx="64">
                  <c:v>2552</c:v>
                </c:pt>
                <c:pt idx="65">
                  <c:v>2601</c:v>
                </c:pt>
                <c:pt idx="66">
                  <c:v>2602</c:v>
                </c:pt>
                <c:pt idx="67">
                  <c:v>2603</c:v>
                </c:pt>
                <c:pt idx="68">
                  <c:v>2604</c:v>
                </c:pt>
                <c:pt idx="69">
                  <c:v>2605</c:v>
                </c:pt>
                <c:pt idx="70">
                  <c:v>2606</c:v>
                </c:pt>
                <c:pt idx="71">
                  <c:v>2607</c:v>
                </c:pt>
                <c:pt idx="72">
                  <c:v>2608</c:v>
                </c:pt>
                <c:pt idx="73">
                  <c:v>2609</c:v>
                </c:pt>
                <c:pt idx="74">
                  <c:v>2610</c:v>
                </c:pt>
                <c:pt idx="75">
                  <c:v>2611</c:v>
                </c:pt>
              </c:numCache>
            </c:numRef>
          </c:cat>
          <c:val>
            <c:numRef>
              <c:f>Grower!$O$80:$O$180</c:f>
              <c:numCache>
                <c:formatCode>0.00</c:formatCode>
                <c:ptCount val="101"/>
                <c:pt idx="0">
                  <c:v>89.44</c:v>
                </c:pt>
                <c:pt idx="1">
                  <c:v>89.080340264650289</c:v>
                </c:pt>
                <c:pt idx="2">
                  <c:v>86.12</c:v>
                </c:pt>
                <c:pt idx="3">
                  <c:v>87.055913200723325</c:v>
                </c:pt>
                <c:pt idx="4">
                  <c:v>88.318819188191881</c:v>
                </c:pt>
                <c:pt idx="5">
                  <c:v>89.14</c:v>
                </c:pt>
                <c:pt idx="6">
                  <c:v>85.578558225508317</c:v>
                </c:pt>
                <c:pt idx="7">
                  <c:v>89.469018036072143</c:v>
                </c:pt>
                <c:pt idx="8">
                  <c:v>86.48</c:v>
                </c:pt>
                <c:pt idx="9">
                  <c:v>86.48</c:v>
                </c:pt>
                <c:pt idx="10">
                  <c:v>83.76</c:v>
                </c:pt>
                <c:pt idx="11">
                  <c:v>89.28</c:v>
                </c:pt>
                <c:pt idx="12">
                  <c:v>90.8</c:v>
                </c:pt>
                <c:pt idx="13">
                  <c:v>89.189836601307192</c:v>
                </c:pt>
                <c:pt idx="14">
                  <c:v>91.59</c:v>
                </c:pt>
                <c:pt idx="15">
                  <c:v>88.45</c:v>
                </c:pt>
                <c:pt idx="16">
                  <c:v>92.490000000000009</c:v>
                </c:pt>
                <c:pt idx="17">
                  <c:v>89.11999999999999</c:v>
                </c:pt>
                <c:pt idx="18">
                  <c:v>91.204457364341081</c:v>
                </c:pt>
                <c:pt idx="19">
                  <c:v>88.629961389961395</c:v>
                </c:pt>
                <c:pt idx="20">
                  <c:v>91.75</c:v>
                </c:pt>
                <c:pt idx="21">
                  <c:v>92.63</c:v>
                </c:pt>
                <c:pt idx="22">
                  <c:v>93.22</c:v>
                </c:pt>
                <c:pt idx="23">
                  <c:v>91.825666666666663</c:v>
                </c:pt>
                <c:pt idx="24">
                  <c:v>96.81462925851703</c:v>
                </c:pt>
                <c:pt idx="25">
                  <c:v>90.44873540856031</c:v>
                </c:pt>
                <c:pt idx="26">
                  <c:v>93.929999999999993</c:v>
                </c:pt>
                <c:pt idx="27">
                  <c:v>91.059077568134171</c:v>
                </c:pt>
                <c:pt idx="28">
                  <c:v>91.536199999999994</c:v>
                </c:pt>
                <c:pt idx="29">
                  <c:v>88.95</c:v>
                </c:pt>
                <c:pt idx="30">
                  <c:v>89.14</c:v>
                </c:pt>
                <c:pt idx="31">
                  <c:v>87.898661567877625</c:v>
                </c:pt>
                <c:pt idx="32">
                  <c:v>91.17</c:v>
                </c:pt>
                <c:pt idx="33">
                  <c:v>89.025291828793769</c:v>
                </c:pt>
                <c:pt idx="34">
                  <c:v>89.221696252465492</c:v>
                </c:pt>
                <c:pt idx="35">
                  <c:v>88</c:v>
                </c:pt>
                <c:pt idx="36">
                  <c:v>89.7</c:v>
                </c:pt>
                <c:pt idx="37">
                  <c:v>86.63</c:v>
                </c:pt>
                <c:pt idx="38">
                  <c:v>88.449797570850194</c:v>
                </c:pt>
                <c:pt idx="39">
                  <c:v>88.841440000000006</c:v>
                </c:pt>
                <c:pt idx="40">
                  <c:v>90.603960396039611</c:v>
                </c:pt>
                <c:pt idx="41">
                  <c:v>87.27000000000001</c:v>
                </c:pt>
                <c:pt idx="42">
                  <c:v>89.078694817658345</c:v>
                </c:pt>
                <c:pt idx="43">
                  <c:v>87.227617187500002</c:v>
                </c:pt>
                <c:pt idx="44">
                  <c:v>90.171709233791745</c:v>
                </c:pt>
                <c:pt idx="45">
                  <c:v>88.608695652173907</c:v>
                </c:pt>
                <c:pt idx="46">
                  <c:v>85.334890909090916</c:v>
                </c:pt>
                <c:pt idx="47">
                  <c:v>89.02</c:v>
                </c:pt>
                <c:pt idx="48">
                  <c:v>88.749218749999997</c:v>
                </c:pt>
                <c:pt idx="49">
                  <c:v>84.600000000000009</c:v>
                </c:pt>
                <c:pt idx="50">
                  <c:v>87.639774859287058</c:v>
                </c:pt>
                <c:pt idx="51">
                  <c:v>90.72999999999999</c:v>
                </c:pt>
                <c:pt idx="52">
                  <c:v>86.484393063583823</c:v>
                </c:pt>
                <c:pt idx="53">
                  <c:v>84.600000000000009</c:v>
                </c:pt>
                <c:pt idx="54">
                  <c:v>84.88000000000001</c:v>
                </c:pt>
                <c:pt idx="55">
                  <c:v>82.610016977928694</c:v>
                </c:pt>
                <c:pt idx="56">
                  <c:v>86.500934579439246</c:v>
                </c:pt>
                <c:pt idx="57">
                  <c:v>92.36</c:v>
                </c:pt>
                <c:pt idx="58">
                  <c:v>92.359960159362544</c:v>
                </c:pt>
                <c:pt idx="59">
                  <c:v>85.946938775510205</c:v>
                </c:pt>
                <c:pt idx="60">
                  <c:v>87.01</c:v>
                </c:pt>
                <c:pt idx="61">
                  <c:v>88.834307992202724</c:v>
                </c:pt>
                <c:pt idx="62">
                  <c:v>88.269449715370015</c:v>
                </c:pt>
                <c:pt idx="63">
                  <c:v>85.431189710610923</c:v>
                </c:pt>
                <c:pt idx="64">
                  <c:v>86.47</c:v>
                </c:pt>
                <c:pt idx="65">
                  <c:v>90.168648648648642</c:v>
                </c:pt>
                <c:pt idx="66">
                  <c:v>88.644007155635066</c:v>
                </c:pt>
                <c:pt idx="67">
                  <c:v>89.2020905923345</c:v>
                </c:pt>
                <c:pt idx="68">
                  <c:v>92.16804308797127</c:v>
                </c:pt>
                <c:pt idx="69">
                  <c:v>88.849290780141843</c:v>
                </c:pt>
                <c:pt idx="70">
                  <c:v>88.239208633093526</c:v>
                </c:pt>
                <c:pt idx="71">
                  <c:v>89.669724770642205</c:v>
                </c:pt>
                <c:pt idx="72">
                  <c:v>88.700193423597682</c:v>
                </c:pt>
                <c:pt idx="73">
                  <c:v>87.021069692058347</c:v>
                </c:pt>
                <c:pt idx="74">
                  <c:v>87.519262981574542</c:v>
                </c:pt>
                <c:pt idx="75">
                  <c:v>86.070397111913351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2-4D65-BD53-D073BCB58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25920"/>
        <c:axId val="153110016"/>
      </c:lineChart>
      <c:catAx>
        <c:axId val="15302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10016"/>
        <c:crosses val="autoZero"/>
        <c:auto val="1"/>
        <c:lblAlgn val="ctr"/>
        <c:lblOffset val="100"/>
        <c:noMultiLvlLbl val="0"/>
      </c:catAx>
      <c:valAx>
        <c:axId val="153110016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2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ADG</a:t>
            </a:r>
            <a:r>
              <a:rPr lang="en-GB" baseline="0"/>
              <a:t> vs Weight in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Grower!$Q$1</c:f>
              <c:strCache>
                <c:ptCount val="1"/>
                <c:pt idx="0">
                  <c:v>ADG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Grower!$A$2:$A$130</c:f>
              <c:numCache>
                <c:formatCode>General</c:formatCode>
                <c:ptCount val="129"/>
                <c:pt idx="0">
                  <c:v>2314</c:v>
                </c:pt>
                <c:pt idx="1">
                  <c:v>2315</c:v>
                </c:pt>
                <c:pt idx="2">
                  <c:v>2316</c:v>
                </c:pt>
                <c:pt idx="3">
                  <c:v>2317</c:v>
                </c:pt>
                <c:pt idx="4">
                  <c:v>2318</c:v>
                </c:pt>
                <c:pt idx="5">
                  <c:v>2319</c:v>
                </c:pt>
                <c:pt idx="6">
                  <c:v>2320</c:v>
                </c:pt>
                <c:pt idx="7">
                  <c:v>2321</c:v>
                </c:pt>
                <c:pt idx="8">
                  <c:v>2322</c:v>
                </c:pt>
                <c:pt idx="9">
                  <c:v>2323</c:v>
                </c:pt>
                <c:pt idx="10">
                  <c:v>2324</c:v>
                </c:pt>
                <c:pt idx="11">
                  <c:v>2325</c:v>
                </c:pt>
                <c:pt idx="12">
                  <c:v>2326</c:v>
                </c:pt>
                <c:pt idx="13">
                  <c:v>2327</c:v>
                </c:pt>
                <c:pt idx="14">
                  <c:v>2328</c:v>
                </c:pt>
                <c:pt idx="15">
                  <c:v>2329</c:v>
                </c:pt>
                <c:pt idx="16">
                  <c:v>2330</c:v>
                </c:pt>
                <c:pt idx="17">
                  <c:v>2331</c:v>
                </c:pt>
                <c:pt idx="18">
                  <c:v>2332</c:v>
                </c:pt>
                <c:pt idx="19">
                  <c:v>2333</c:v>
                </c:pt>
                <c:pt idx="20">
                  <c:v>2334</c:v>
                </c:pt>
                <c:pt idx="21">
                  <c:v>2335</c:v>
                </c:pt>
                <c:pt idx="22">
                  <c:v>2336</c:v>
                </c:pt>
                <c:pt idx="23">
                  <c:v>2337</c:v>
                </c:pt>
                <c:pt idx="24">
                  <c:v>2338</c:v>
                </c:pt>
                <c:pt idx="25">
                  <c:v>2339</c:v>
                </c:pt>
                <c:pt idx="26">
                  <c:v>2340</c:v>
                </c:pt>
                <c:pt idx="27">
                  <c:v>2341</c:v>
                </c:pt>
                <c:pt idx="28">
                  <c:v>2342</c:v>
                </c:pt>
                <c:pt idx="29">
                  <c:v>2343</c:v>
                </c:pt>
                <c:pt idx="30">
                  <c:v>2344</c:v>
                </c:pt>
                <c:pt idx="31">
                  <c:v>2445</c:v>
                </c:pt>
                <c:pt idx="32">
                  <c:v>2446</c:v>
                </c:pt>
                <c:pt idx="33">
                  <c:v>2447</c:v>
                </c:pt>
                <c:pt idx="34">
                  <c:v>2348</c:v>
                </c:pt>
                <c:pt idx="35">
                  <c:v>2349</c:v>
                </c:pt>
                <c:pt idx="36">
                  <c:v>2350</c:v>
                </c:pt>
                <c:pt idx="37">
                  <c:v>2351</c:v>
                </c:pt>
                <c:pt idx="38">
                  <c:v>2352</c:v>
                </c:pt>
                <c:pt idx="39">
                  <c:v>2401</c:v>
                </c:pt>
                <c:pt idx="40">
                  <c:v>2402</c:v>
                </c:pt>
                <c:pt idx="41">
                  <c:v>2403</c:v>
                </c:pt>
                <c:pt idx="42">
                  <c:v>2404</c:v>
                </c:pt>
                <c:pt idx="43">
                  <c:v>2405</c:v>
                </c:pt>
                <c:pt idx="44">
                  <c:v>2406</c:v>
                </c:pt>
                <c:pt idx="45">
                  <c:v>2407</c:v>
                </c:pt>
                <c:pt idx="46">
                  <c:v>2408</c:v>
                </c:pt>
                <c:pt idx="47">
                  <c:v>2409</c:v>
                </c:pt>
                <c:pt idx="48">
                  <c:v>2410</c:v>
                </c:pt>
                <c:pt idx="49">
                  <c:v>2411</c:v>
                </c:pt>
                <c:pt idx="50">
                  <c:v>2412</c:v>
                </c:pt>
                <c:pt idx="51">
                  <c:v>2413</c:v>
                </c:pt>
                <c:pt idx="52">
                  <c:v>2414</c:v>
                </c:pt>
                <c:pt idx="53">
                  <c:v>2415</c:v>
                </c:pt>
                <c:pt idx="54">
                  <c:v>2416</c:v>
                </c:pt>
                <c:pt idx="55">
                  <c:v>2417</c:v>
                </c:pt>
                <c:pt idx="56">
                  <c:v>2418</c:v>
                </c:pt>
                <c:pt idx="57">
                  <c:v>2419</c:v>
                </c:pt>
                <c:pt idx="58">
                  <c:v>2420</c:v>
                </c:pt>
                <c:pt idx="59">
                  <c:v>2421</c:v>
                </c:pt>
                <c:pt idx="60">
                  <c:v>2422</c:v>
                </c:pt>
                <c:pt idx="61">
                  <c:v>2423</c:v>
                </c:pt>
                <c:pt idx="62">
                  <c:v>2424</c:v>
                </c:pt>
                <c:pt idx="63">
                  <c:v>2425</c:v>
                </c:pt>
                <c:pt idx="64">
                  <c:v>2426</c:v>
                </c:pt>
                <c:pt idx="65">
                  <c:v>2427</c:v>
                </c:pt>
                <c:pt idx="66">
                  <c:v>2428</c:v>
                </c:pt>
                <c:pt idx="67">
                  <c:v>2429</c:v>
                </c:pt>
                <c:pt idx="68">
                  <c:v>2430</c:v>
                </c:pt>
                <c:pt idx="69">
                  <c:v>2431</c:v>
                </c:pt>
                <c:pt idx="70">
                  <c:v>2432</c:v>
                </c:pt>
                <c:pt idx="71">
                  <c:v>2433</c:v>
                </c:pt>
                <c:pt idx="72">
                  <c:v>2434</c:v>
                </c:pt>
                <c:pt idx="73">
                  <c:v>2435</c:v>
                </c:pt>
                <c:pt idx="74">
                  <c:v>2436</c:v>
                </c:pt>
                <c:pt idx="75">
                  <c:v>2437</c:v>
                </c:pt>
                <c:pt idx="76">
                  <c:v>2438</c:v>
                </c:pt>
                <c:pt idx="77">
                  <c:v>2439</c:v>
                </c:pt>
                <c:pt idx="78">
                  <c:v>2440</c:v>
                </c:pt>
                <c:pt idx="79">
                  <c:v>2441</c:v>
                </c:pt>
                <c:pt idx="80">
                  <c:v>2442</c:v>
                </c:pt>
                <c:pt idx="81">
                  <c:v>2443</c:v>
                </c:pt>
                <c:pt idx="82">
                  <c:v>2444</c:v>
                </c:pt>
                <c:pt idx="83">
                  <c:v>2445</c:v>
                </c:pt>
                <c:pt idx="84">
                  <c:v>2446</c:v>
                </c:pt>
                <c:pt idx="85">
                  <c:v>2447</c:v>
                </c:pt>
                <c:pt idx="86">
                  <c:v>2448</c:v>
                </c:pt>
                <c:pt idx="87">
                  <c:v>2449</c:v>
                </c:pt>
                <c:pt idx="88">
                  <c:v>2450</c:v>
                </c:pt>
                <c:pt idx="89">
                  <c:v>2451</c:v>
                </c:pt>
                <c:pt idx="90">
                  <c:v>2452</c:v>
                </c:pt>
                <c:pt idx="91">
                  <c:v>2501</c:v>
                </c:pt>
                <c:pt idx="92">
                  <c:v>2502</c:v>
                </c:pt>
                <c:pt idx="93">
                  <c:v>2503</c:v>
                </c:pt>
                <c:pt idx="94">
                  <c:v>2504</c:v>
                </c:pt>
                <c:pt idx="95">
                  <c:v>2505</c:v>
                </c:pt>
                <c:pt idx="96">
                  <c:v>2506</c:v>
                </c:pt>
                <c:pt idx="97">
                  <c:v>2507</c:v>
                </c:pt>
                <c:pt idx="98">
                  <c:v>2508</c:v>
                </c:pt>
                <c:pt idx="99">
                  <c:v>2509</c:v>
                </c:pt>
                <c:pt idx="100">
                  <c:v>2510</c:v>
                </c:pt>
                <c:pt idx="101">
                  <c:v>2511</c:v>
                </c:pt>
                <c:pt idx="102">
                  <c:v>2512</c:v>
                </c:pt>
                <c:pt idx="103">
                  <c:v>2513</c:v>
                </c:pt>
                <c:pt idx="104">
                  <c:v>2514</c:v>
                </c:pt>
                <c:pt idx="105">
                  <c:v>2515</c:v>
                </c:pt>
                <c:pt idx="106">
                  <c:v>2516</c:v>
                </c:pt>
                <c:pt idx="107">
                  <c:v>2517</c:v>
                </c:pt>
                <c:pt idx="108">
                  <c:v>2518</c:v>
                </c:pt>
                <c:pt idx="109">
                  <c:v>2519</c:v>
                </c:pt>
                <c:pt idx="110">
                  <c:v>2520</c:v>
                </c:pt>
                <c:pt idx="111">
                  <c:v>2521</c:v>
                </c:pt>
                <c:pt idx="112">
                  <c:v>2522</c:v>
                </c:pt>
                <c:pt idx="113">
                  <c:v>2523</c:v>
                </c:pt>
                <c:pt idx="114">
                  <c:v>2524</c:v>
                </c:pt>
                <c:pt idx="115">
                  <c:v>2525</c:v>
                </c:pt>
                <c:pt idx="116">
                  <c:v>2526</c:v>
                </c:pt>
                <c:pt idx="117">
                  <c:v>2527</c:v>
                </c:pt>
                <c:pt idx="118">
                  <c:v>2528</c:v>
                </c:pt>
                <c:pt idx="119">
                  <c:v>2529</c:v>
                </c:pt>
                <c:pt idx="120">
                  <c:v>2530</c:v>
                </c:pt>
                <c:pt idx="121">
                  <c:v>2531</c:v>
                </c:pt>
                <c:pt idx="122">
                  <c:v>2532</c:v>
                </c:pt>
                <c:pt idx="123">
                  <c:v>2533</c:v>
                </c:pt>
                <c:pt idx="124">
                  <c:v>2534</c:v>
                </c:pt>
                <c:pt idx="125">
                  <c:v>2535</c:v>
                </c:pt>
                <c:pt idx="126">
                  <c:v>2536</c:v>
                </c:pt>
                <c:pt idx="127">
                  <c:v>2537</c:v>
                </c:pt>
                <c:pt idx="128">
                  <c:v>2538</c:v>
                </c:pt>
              </c:numCache>
            </c:numRef>
          </c:cat>
          <c:val>
            <c:numRef>
              <c:f>Grower!$Q$2:$Q$130</c:f>
              <c:numCache>
                <c:formatCode>0</c:formatCode>
                <c:ptCount val="129"/>
                <c:pt idx="0">
                  <c:v>1058.9938083851926</c:v>
                </c:pt>
                <c:pt idx="1">
                  <c:v>1056.1686892751118</c:v>
                </c:pt>
                <c:pt idx="2">
                  <c:v>993.33447399745728</c:v>
                </c:pt>
                <c:pt idx="3">
                  <c:v>1071.9366211209815</c:v>
                </c:pt>
                <c:pt idx="4">
                  <c:v>1035.7466880810623</c:v>
                </c:pt>
                <c:pt idx="5">
                  <c:v>791.67858490317701</c:v>
                </c:pt>
                <c:pt idx="6">
                  <c:v>935.85346113032961</c:v>
                </c:pt>
                <c:pt idx="7">
                  <c:v>1035.82281615444</c:v>
                </c:pt>
                <c:pt idx="8">
                  <c:v>1019.9705818071136</c:v>
                </c:pt>
                <c:pt idx="9">
                  <c:v>979.63761223429708</c:v>
                </c:pt>
                <c:pt idx="10">
                  <c:v>1029.0437388403391</c:v>
                </c:pt>
                <c:pt idx="11">
                  <c:v>1043.462296450446</c:v>
                </c:pt>
                <c:pt idx="12">
                  <c:v>867.7809942914505</c:v>
                </c:pt>
                <c:pt idx="13">
                  <c:v>1029.8288178184355</c:v>
                </c:pt>
                <c:pt idx="14">
                  <c:v>1031.5150449536452</c:v>
                </c:pt>
                <c:pt idx="15">
                  <c:v>1007.9281151810187</c:v>
                </c:pt>
                <c:pt idx="16">
                  <c:v>1009.1637506045495</c:v>
                </c:pt>
                <c:pt idx="17">
                  <c:v>1032.7450700010857</c:v>
                </c:pt>
                <c:pt idx="18">
                  <c:v>1001.7536754227707</c:v>
                </c:pt>
                <c:pt idx="19">
                  <c:v>999.89425754268052</c:v>
                </c:pt>
                <c:pt idx="20">
                  <c:v>1007.7139058186701</c:v>
                </c:pt>
                <c:pt idx="21">
                  <c:v>1030.5491256254786</c:v>
                </c:pt>
                <c:pt idx="22">
                  <c:v>1047.3669856449803</c:v>
                </c:pt>
                <c:pt idx="23">
                  <c:v>1018.1743202847347</c:v>
                </c:pt>
                <c:pt idx="24">
                  <c:v>942.85326731775717</c:v>
                </c:pt>
                <c:pt idx="25">
                  <c:v>988.62379426452162</c:v>
                </c:pt>
                <c:pt idx="26">
                  <c:v>1018.037662359719</c:v>
                </c:pt>
                <c:pt idx="27">
                  <c:v>948.69436702981147</c:v>
                </c:pt>
                <c:pt idx="28">
                  <c:v>988.52488084956337</c:v>
                </c:pt>
                <c:pt idx="29">
                  <c:v>1011.2852096200635</c:v>
                </c:pt>
                <c:pt idx="30">
                  <c:v>990.0048239074714</c:v>
                </c:pt>
                <c:pt idx="31">
                  <c:v>1021.8705496531726</c:v>
                </c:pt>
                <c:pt idx="32">
                  <c:v>955.31400115560041</c:v>
                </c:pt>
                <c:pt idx="33">
                  <c:v>1026.9288749735676</c:v>
                </c:pt>
                <c:pt idx="34">
                  <c:v>1017.364099166296</c:v>
                </c:pt>
                <c:pt idx="35">
                  <c:v>1000.7879755327365</c:v>
                </c:pt>
                <c:pt idx="36">
                  <c:v>1060.7244451006447</c:v>
                </c:pt>
                <c:pt idx="37">
                  <c:v>952.26596379405669</c:v>
                </c:pt>
                <c:pt idx="38">
                  <c:v>960.97868753950718</c:v>
                </c:pt>
                <c:pt idx="39">
                  <c:v>1092.573190425753</c:v>
                </c:pt>
                <c:pt idx="40">
                  <c:v>954.17710596282018</c:v>
                </c:pt>
                <c:pt idx="41">
                  <c:v>1052.9421587374607</c:v>
                </c:pt>
                <c:pt idx="42">
                  <c:v>1017.4009843742286</c:v>
                </c:pt>
                <c:pt idx="43">
                  <c:v>1076.3383985264888</c:v>
                </c:pt>
                <c:pt idx="44">
                  <c:v>1033.9463246278267</c:v>
                </c:pt>
                <c:pt idx="45">
                  <c:v>1047.1438845225255</c:v>
                </c:pt>
                <c:pt idx="46">
                  <c:v>1094.1355213027407</c:v>
                </c:pt>
                <c:pt idx="47">
                  <c:v>1090.3376993158445</c:v>
                </c:pt>
                <c:pt idx="48">
                  <c:v>1170.4510168062009</c:v>
                </c:pt>
                <c:pt idx="49">
                  <c:v>1148.1069952232838</c:v>
                </c:pt>
                <c:pt idx="50">
                  <c:v>1084.6795269624315</c:v>
                </c:pt>
                <c:pt idx="51">
                  <c:v>1022.8336207559396</c:v>
                </c:pt>
                <c:pt idx="52">
                  <c:v>1134.856371698477</c:v>
                </c:pt>
                <c:pt idx="53">
                  <c:v>1128.615868748439</c:v>
                </c:pt>
                <c:pt idx="54">
                  <c:v>1097.2776725768115</c:v>
                </c:pt>
                <c:pt idx="55">
                  <c:v>1149.6834924322775</c:v>
                </c:pt>
                <c:pt idx="56">
                  <c:v>1116.3224520717438</c:v>
                </c:pt>
                <c:pt idx="57">
                  <c:v>1138.3798929726984</c:v>
                </c:pt>
                <c:pt idx="58">
                  <c:v>1103.8701990081754</c:v>
                </c:pt>
                <c:pt idx="59">
                  <c:v>1162.4817358293981</c:v>
                </c:pt>
                <c:pt idx="60">
                  <c:v>1166.9858376272848</c:v>
                </c:pt>
                <c:pt idx="61">
                  <c:v>1129.2507557649383</c:v>
                </c:pt>
                <c:pt idx="62">
                  <c:v>1120.9487192027418</c:v>
                </c:pt>
                <c:pt idx="63">
                  <c:v>1086.0446449533308</c:v>
                </c:pt>
                <c:pt idx="64">
                  <c:v>1071.3359002259981</c:v>
                </c:pt>
                <c:pt idx="65">
                  <c:v>1041.0533166749758</c:v>
                </c:pt>
                <c:pt idx="66">
                  <c:v>1028.3086597019358</c:v>
                </c:pt>
                <c:pt idx="67">
                  <c:v>1051.7818141064733</c:v>
                </c:pt>
                <c:pt idx="68">
                  <c:v>1067.965106946642</c:v>
                </c:pt>
                <c:pt idx="69">
                  <c:v>1085.3290259147411</c:v>
                </c:pt>
                <c:pt idx="70">
                  <c:v>1099.9251146681643</c:v>
                </c:pt>
                <c:pt idx="71">
                  <c:v>1132.4511813484289</c:v>
                </c:pt>
                <c:pt idx="72">
                  <c:v>1143.1357649442755</c:v>
                </c:pt>
                <c:pt idx="73">
                  <c:v>1086.0967101257106</c:v>
                </c:pt>
                <c:pt idx="74">
                  <c:v>1094.4739590086865</c:v>
                </c:pt>
                <c:pt idx="75">
                  <c:v>1110.6157218753879</c:v>
                </c:pt>
                <c:pt idx="76">
                  <c:v>1082.1675755625556</c:v>
                </c:pt>
                <c:pt idx="77">
                  <c:v>1115.3790855937889</c:v>
                </c:pt>
                <c:pt idx="78">
                  <c:v>1067.1938608394553</c:v>
                </c:pt>
                <c:pt idx="79">
                  <c:v>1087.6517138289598</c:v>
                </c:pt>
                <c:pt idx="80">
                  <c:v>1053.3425631310065</c:v>
                </c:pt>
                <c:pt idx="81">
                  <c:v>1063.6602754491716</c:v>
                </c:pt>
                <c:pt idx="82">
                  <c:v>1061.0520877482631</c:v>
                </c:pt>
                <c:pt idx="83">
                  <c:v>1061.4266685695256</c:v>
                </c:pt>
                <c:pt idx="84">
                  <c:v>1016.7832597500117</c:v>
                </c:pt>
                <c:pt idx="85">
                  <c:v>1082.1989367320896</c:v>
                </c:pt>
                <c:pt idx="86">
                  <c:v>954.30572477311921</c:v>
                </c:pt>
                <c:pt idx="87">
                  <c:v>1053.9174755592667</c:v>
                </c:pt>
                <c:pt idx="88">
                  <c:v>1024.8850218449213</c:v>
                </c:pt>
                <c:pt idx="89">
                  <c:v>1102.3176120479754</c:v>
                </c:pt>
                <c:pt idx="90">
                  <c:v>1119.7078468896291</c:v>
                </c:pt>
                <c:pt idx="91">
                  <c:v>1100.1644134090257</c:v>
                </c:pt>
                <c:pt idx="92">
                  <c:v>1113.7644373212565</c:v>
                </c:pt>
                <c:pt idx="93">
                  <c:v>1065.6587197949473</c:v>
                </c:pt>
                <c:pt idx="94">
                  <c:v>1144.6248327288672</c:v>
                </c:pt>
                <c:pt idx="95">
                  <c:v>1059.7489838928193</c:v>
                </c:pt>
                <c:pt idx="96">
                  <c:v>1121.0469486297923</c:v>
                </c:pt>
                <c:pt idx="97">
                  <c:v>1079.2378701665643</c:v>
                </c:pt>
                <c:pt idx="98">
                  <c:v>1149.5986360280019</c:v>
                </c:pt>
                <c:pt idx="99">
                  <c:v>1137.6163566142634</c:v>
                </c:pt>
                <c:pt idx="100">
                  <c:v>1144.4207596410952</c:v>
                </c:pt>
                <c:pt idx="101">
                  <c:v>1134.6607264167337</c:v>
                </c:pt>
                <c:pt idx="102">
                  <c:v>1182.901839311842</c:v>
                </c:pt>
                <c:pt idx="103">
                  <c:v>1079.196857752971</c:v>
                </c:pt>
                <c:pt idx="104">
                  <c:v>1147.3428815049192</c:v>
                </c:pt>
                <c:pt idx="105">
                  <c:v>1084.0661957430368</c:v>
                </c:pt>
                <c:pt idx="106">
                  <c:v>1123.4386991894835</c:v>
                </c:pt>
                <c:pt idx="107">
                  <c:v>1065.505546955136</c:v>
                </c:pt>
                <c:pt idx="108">
                  <c:v>1100.9538511741155</c:v>
                </c:pt>
                <c:pt idx="109">
                  <c:v>1074.5582268687717</c:v>
                </c:pt>
                <c:pt idx="110">
                  <c:v>1105.3220203074311</c:v>
                </c:pt>
                <c:pt idx="111">
                  <c:v>1103.7719052345269</c:v>
                </c:pt>
                <c:pt idx="112">
                  <c:v>1060.1425771120662</c:v>
                </c:pt>
                <c:pt idx="113">
                  <c:v>1092.7953923664004</c:v>
                </c:pt>
                <c:pt idx="114">
                  <c:v>1075.0848885598305</c:v>
                </c:pt>
                <c:pt idx="115">
                  <c:v>1045.2019862840527</c:v>
                </c:pt>
                <c:pt idx="116">
                  <c:v>1054.4894505568664</c:v>
                </c:pt>
                <c:pt idx="117">
                  <c:v>1084.4241738756716</c:v>
                </c:pt>
                <c:pt idx="118">
                  <c:v>1099.9344331520228</c:v>
                </c:pt>
                <c:pt idx="119">
                  <c:v>1049.2449962815663</c:v>
                </c:pt>
                <c:pt idx="120">
                  <c:v>1060.7935667164249</c:v>
                </c:pt>
                <c:pt idx="121">
                  <c:v>1135.2621349166109</c:v>
                </c:pt>
                <c:pt idx="122">
                  <c:v>1100.0505153462802</c:v>
                </c:pt>
                <c:pt idx="123">
                  <c:v>1070.5743368475532</c:v>
                </c:pt>
                <c:pt idx="124">
                  <c:v>1040.0146739034351</c:v>
                </c:pt>
                <c:pt idx="125">
                  <c:v>1078.5957637235329</c:v>
                </c:pt>
                <c:pt idx="126">
                  <c:v>1079.6147634084518</c:v>
                </c:pt>
                <c:pt idx="127">
                  <c:v>1009.6153846153848</c:v>
                </c:pt>
                <c:pt idx="128">
                  <c:v>1047.7086209158745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D-4D94-8157-A7429F6A6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40224"/>
        <c:axId val="153155072"/>
      </c:lineChart>
      <c:lineChart>
        <c:grouping val="standard"/>
        <c:varyColors val="0"/>
        <c:ser>
          <c:idx val="1"/>
          <c:order val="1"/>
          <c:tx>
            <c:v>Weight 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Grower!$A$2:$A$130</c:f>
              <c:numCache>
                <c:formatCode>General</c:formatCode>
                <c:ptCount val="129"/>
                <c:pt idx="0">
                  <c:v>2314</c:v>
                </c:pt>
                <c:pt idx="1">
                  <c:v>2315</c:v>
                </c:pt>
                <c:pt idx="2">
                  <c:v>2316</c:v>
                </c:pt>
                <c:pt idx="3">
                  <c:v>2317</c:v>
                </c:pt>
                <c:pt idx="4">
                  <c:v>2318</c:v>
                </c:pt>
                <c:pt idx="5">
                  <c:v>2319</c:v>
                </c:pt>
                <c:pt idx="6">
                  <c:v>2320</c:v>
                </c:pt>
                <c:pt idx="7">
                  <c:v>2321</c:v>
                </c:pt>
                <c:pt idx="8">
                  <c:v>2322</c:v>
                </c:pt>
                <c:pt idx="9">
                  <c:v>2323</c:v>
                </c:pt>
                <c:pt idx="10">
                  <c:v>2324</c:v>
                </c:pt>
                <c:pt idx="11">
                  <c:v>2325</c:v>
                </c:pt>
                <c:pt idx="12">
                  <c:v>2326</c:v>
                </c:pt>
                <c:pt idx="13">
                  <c:v>2327</c:v>
                </c:pt>
                <c:pt idx="14">
                  <c:v>2328</c:v>
                </c:pt>
                <c:pt idx="15">
                  <c:v>2329</c:v>
                </c:pt>
                <c:pt idx="16">
                  <c:v>2330</c:v>
                </c:pt>
                <c:pt idx="17">
                  <c:v>2331</c:v>
                </c:pt>
                <c:pt idx="18">
                  <c:v>2332</c:v>
                </c:pt>
                <c:pt idx="19">
                  <c:v>2333</c:v>
                </c:pt>
                <c:pt idx="20">
                  <c:v>2334</c:v>
                </c:pt>
                <c:pt idx="21">
                  <c:v>2335</c:v>
                </c:pt>
                <c:pt idx="22">
                  <c:v>2336</c:v>
                </c:pt>
                <c:pt idx="23">
                  <c:v>2337</c:v>
                </c:pt>
                <c:pt idx="24">
                  <c:v>2338</c:v>
                </c:pt>
                <c:pt idx="25">
                  <c:v>2339</c:v>
                </c:pt>
                <c:pt idx="26">
                  <c:v>2340</c:v>
                </c:pt>
                <c:pt idx="27">
                  <c:v>2341</c:v>
                </c:pt>
                <c:pt idx="28">
                  <c:v>2342</c:v>
                </c:pt>
                <c:pt idx="29">
                  <c:v>2343</c:v>
                </c:pt>
                <c:pt idx="30">
                  <c:v>2344</c:v>
                </c:pt>
                <c:pt idx="31">
                  <c:v>2445</c:v>
                </c:pt>
                <c:pt idx="32">
                  <c:v>2446</c:v>
                </c:pt>
                <c:pt idx="33">
                  <c:v>2447</c:v>
                </c:pt>
                <c:pt idx="34">
                  <c:v>2348</c:v>
                </c:pt>
                <c:pt idx="35">
                  <c:v>2349</c:v>
                </c:pt>
                <c:pt idx="36">
                  <c:v>2350</c:v>
                </c:pt>
                <c:pt idx="37">
                  <c:v>2351</c:v>
                </c:pt>
                <c:pt idx="38">
                  <c:v>2352</c:v>
                </c:pt>
                <c:pt idx="39">
                  <c:v>2401</c:v>
                </c:pt>
                <c:pt idx="40">
                  <c:v>2402</c:v>
                </c:pt>
                <c:pt idx="41">
                  <c:v>2403</c:v>
                </c:pt>
                <c:pt idx="42">
                  <c:v>2404</c:v>
                </c:pt>
                <c:pt idx="43">
                  <c:v>2405</c:v>
                </c:pt>
                <c:pt idx="44">
                  <c:v>2406</c:v>
                </c:pt>
                <c:pt idx="45">
                  <c:v>2407</c:v>
                </c:pt>
                <c:pt idx="46">
                  <c:v>2408</c:v>
                </c:pt>
                <c:pt idx="47">
                  <c:v>2409</c:v>
                </c:pt>
                <c:pt idx="48">
                  <c:v>2410</c:v>
                </c:pt>
                <c:pt idx="49">
                  <c:v>2411</c:v>
                </c:pt>
                <c:pt idx="50">
                  <c:v>2412</c:v>
                </c:pt>
                <c:pt idx="51">
                  <c:v>2413</c:v>
                </c:pt>
                <c:pt idx="52">
                  <c:v>2414</c:v>
                </c:pt>
                <c:pt idx="53">
                  <c:v>2415</c:v>
                </c:pt>
                <c:pt idx="54">
                  <c:v>2416</c:v>
                </c:pt>
                <c:pt idx="55">
                  <c:v>2417</c:v>
                </c:pt>
                <c:pt idx="56">
                  <c:v>2418</c:v>
                </c:pt>
                <c:pt idx="57">
                  <c:v>2419</c:v>
                </c:pt>
                <c:pt idx="58">
                  <c:v>2420</c:v>
                </c:pt>
                <c:pt idx="59">
                  <c:v>2421</c:v>
                </c:pt>
                <c:pt idx="60">
                  <c:v>2422</c:v>
                </c:pt>
                <c:pt idx="61">
                  <c:v>2423</c:v>
                </c:pt>
                <c:pt idx="62">
                  <c:v>2424</c:v>
                </c:pt>
                <c:pt idx="63">
                  <c:v>2425</c:v>
                </c:pt>
                <c:pt idx="64">
                  <c:v>2426</c:v>
                </c:pt>
                <c:pt idx="65">
                  <c:v>2427</c:v>
                </c:pt>
                <c:pt idx="66">
                  <c:v>2428</c:v>
                </c:pt>
                <c:pt idx="67">
                  <c:v>2429</c:v>
                </c:pt>
                <c:pt idx="68">
                  <c:v>2430</c:v>
                </c:pt>
                <c:pt idx="69">
                  <c:v>2431</c:v>
                </c:pt>
                <c:pt idx="70">
                  <c:v>2432</c:v>
                </c:pt>
                <c:pt idx="71">
                  <c:v>2433</c:v>
                </c:pt>
                <c:pt idx="72">
                  <c:v>2434</c:v>
                </c:pt>
                <c:pt idx="73">
                  <c:v>2435</c:v>
                </c:pt>
                <c:pt idx="74">
                  <c:v>2436</c:v>
                </c:pt>
                <c:pt idx="75">
                  <c:v>2437</c:v>
                </c:pt>
                <c:pt idx="76">
                  <c:v>2438</c:v>
                </c:pt>
                <c:pt idx="77">
                  <c:v>2439</c:v>
                </c:pt>
                <c:pt idx="78">
                  <c:v>2440</c:v>
                </c:pt>
                <c:pt idx="79">
                  <c:v>2441</c:v>
                </c:pt>
                <c:pt idx="80">
                  <c:v>2442</c:v>
                </c:pt>
                <c:pt idx="81">
                  <c:v>2443</c:v>
                </c:pt>
                <c:pt idx="82">
                  <c:v>2444</c:v>
                </c:pt>
                <c:pt idx="83">
                  <c:v>2445</c:v>
                </c:pt>
                <c:pt idx="84">
                  <c:v>2446</c:v>
                </c:pt>
                <c:pt idx="85">
                  <c:v>2447</c:v>
                </c:pt>
                <c:pt idx="86">
                  <c:v>2448</c:v>
                </c:pt>
                <c:pt idx="87">
                  <c:v>2449</c:v>
                </c:pt>
                <c:pt idx="88">
                  <c:v>2450</c:v>
                </c:pt>
                <c:pt idx="89">
                  <c:v>2451</c:v>
                </c:pt>
                <c:pt idx="90">
                  <c:v>2452</c:v>
                </c:pt>
                <c:pt idx="91">
                  <c:v>2501</c:v>
                </c:pt>
                <c:pt idx="92">
                  <c:v>2502</c:v>
                </c:pt>
                <c:pt idx="93">
                  <c:v>2503</c:v>
                </c:pt>
                <c:pt idx="94">
                  <c:v>2504</c:v>
                </c:pt>
                <c:pt idx="95">
                  <c:v>2505</c:v>
                </c:pt>
                <c:pt idx="96">
                  <c:v>2506</c:v>
                </c:pt>
                <c:pt idx="97">
                  <c:v>2507</c:v>
                </c:pt>
                <c:pt idx="98">
                  <c:v>2508</c:v>
                </c:pt>
                <c:pt idx="99">
                  <c:v>2509</c:v>
                </c:pt>
                <c:pt idx="100">
                  <c:v>2510</c:v>
                </c:pt>
                <c:pt idx="101">
                  <c:v>2511</c:v>
                </c:pt>
                <c:pt idx="102">
                  <c:v>2512</c:v>
                </c:pt>
                <c:pt idx="103">
                  <c:v>2513</c:v>
                </c:pt>
                <c:pt idx="104">
                  <c:v>2514</c:v>
                </c:pt>
                <c:pt idx="105">
                  <c:v>2515</c:v>
                </c:pt>
                <c:pt idx="106">
                  <c:v>2516</c:v>
                </c:pt>
                <c:pt idx="107">
                  <c:v>2517</c:v>
                </c:pt>
                <c:pt idx="108">
                  <c:v>2518</c:v>
                </c:pt>
                <c:pt idx="109">
                  <c:v>2519</c:v>
                </c:pt>
                <c:pt idx="110">
                  <c:v>2520</c:v>
                </c:pt>
                <c:pt idx="111">
                  <c:v>2521</c:v>
                </c:pt>
                <c:pt idx="112">
                  <c:v>2522</c:v>
                </c:pt>
                <c:pt idx="113">
                  <c:v>2523</c:v>
                </c:pt>
                <c:pt idx="114">
                  <c:v>2524</c:v>
                </c:pt>
                <c:pt idx="115">
                  <c:v>2525</c:v>
                </c:pt>
                <c:pt idx="116">
                  <c:v>2526</c:v>
                </c:pt>
                <c:pt idx="117">
                  <c:v>2527</c:v>
                </c:pt>
                <c:pt idx="118">
                  <c:v>2528</c:v>
                </c:pt>
                <c:pt idx="119">
                  <c:v>2529</c:v>
                </c:pt>
                <c:pt idx="120">
                  <c:v>2530</c:v>
                </c:pt>
                <c:pt idx="121">
                  <c:v>2531</c:v>
                </c:pt>
                <c:pt idx="122">
                  <c:v>2532</c:v>
                </c:pt>
                <c:pt idx="123">
                  <c:v>2533</c:v>
                </c:pt>
                <c:pt idx="124">
                  <c:v>2534</c:v>
                </c:pt>
                <c:pt idx="125">
                  <c:v>2535</c:v>
                </c:pt>
                <c:pt idx="126">
                  <c:v>2536</c:v>
                </c:pt>
                <c:pt idx="127">
                  <c:v>2537</c:v>
                </c:pt>
                <c:pt idx="128">
                  <c:v>2538</c:v>
                </c:pt>
              </c:numCache>
            </c:numRef>
          </c:cat>
          <c:val>
            <c:numRef>
              <c:f>Grower!$G$2:$G$130</c:f>
              <c:numCache>
                <c:formatCode>0.00</c:formatCode>
                <c:ptCount val="129"/>
                <c:pt idx="0">
                  <c:v>27.049295774647888</c:v>
                </c:pt>
                <c:pt idx="1">
                  <c:v>27.144602851323828</c:v>
                </c:pt>
                <c:pt idx="2">
                  <c:v>27.134020618556701</c:v>
                </c:pt>
                <c:pt idx="3">
                  <c:v>27.59156378600823</c:v>
                </c:pt>
                <c:pt idx="4">
                  <c:v>29.385858585858585</c:v>
                </c:pt>
                <c:pt idx="5">
                  <c:v>28.463562753036438</c:v>
                </c:pt>
                <c:pt idx="6">
                  <c:v>28.599397590361445</c:v>
                </c:pt>
                <c:pt idx="7">
                  <c:v>29.051020408163264</c:v>
                </c:pt>
                <c:pt idx="8">
                  <c:v>28.738955823293171</c:v>
                </c:pt>
                <c:pt idx="9">
                  <c:v>27.728194726166329</c:v>
                </c:pt>
                <c:pt idx="10">
                  <c:v>28.671717171717173</c:v>
                </c:pt>
                <c:pt idx="11">
                  <c:v>27.600198412698411</c:v>
                </c:pt>
                <c:pt idx="12">
                  <c:v>29.869521912350599</c:v>
                </c:pt>
                <c:pt idx="13">
                  <c:v>28.6</c:v>
                </c:pt>
                <c:pt idx="14">
                  <c:v>29.099182004089979</c:v>
                </c:pt>
                <c:pt idx="15">
                  <c:v>27.59156378600823</c:v>
                </c:pt>
                <c:pt idx="16">
                  <c:v>27.08061224489796</c:v>
                </c:pt>
                <c:pt idx="17">
                  <c:v>27.358606557377048</c:v>
                </c:pt>
                <c:pt idx="18">
                  <c:v>28</c:v>
                </c:pt>
                <c:pt idx="19">
                  <c:v>28.874233128834355</c:v>
                </c:pt>
                <c:pt idx="20">
                  <c:v>27.767820773930755</c:v>
                </c:pt>
                <c:pt idx="21">
                  <c:v>26.38012958963283</c:v>
                </c:pt>
                <c:pt idx="22">
                  <c:v>26.262195121951219</c:v>
                </c:pt>
                <c:pt idx="23">
                  <c:v>26.36182902584493</c:v>
                </c:pt>
                <c:pt idx="24">
                  <c:v>25.806451612903224</c:v>
                </c:pt>
                <c:pt idx="25">
                  <c:v>27.4435318275154</c:v>
                </c:pt>
                <c:pt idx="26">
                  <c:v>26.190711462450594</c:v>
                </c:pt>
                <c:pt idx="27">
                  <c:v>29.076331360946746</c:v>
                </c:pt>
                <c:pt idx="28">
                  <c:v>26.736625514403293</c:v>
                </c:pt>
                <c:pt idx="29">
                  <c:v>26.447420634920636</c:v>
                </c:pt>
                <c:pt idx="30">
                  <c:v>26.899797570850204</c:v>
                </c:pt>
                <c:pt idx="31">
                  <c:v>25.160117878192533</c:v>
                </c:pt>
                <c:pt idx="32">
                  <c:v>27.157852882703775</c:v>
                </c:pt>
                <c:pt idx="33">
                  <c:v>27.162217659137578</c:v>
                </c:pt>
                <c:pt idx="34">
                  <c:v>26.486000000000001</c:v>
                </c:pt>
                <c:pt idx="35">
                  <c:v>26.199186991869919</c:v>
                </c:pt>
                <c:pt idx="36">
                  <c:v>25.200203252032519</c:v>
                </c:pt>
                <c:pt idx="37">
                  <c:v>24.956140350877192</c:v>
                </c:pt>
                <c:pt idx="38">
                  <c:v>28.108767676767677</c:v>
                </c:pt>
                <c:pt idx="39">
                  <c:v>26.081349206349206</c:v>
                </c:pt>
                <c:pt idx="40">
                  <c:v>24.5</c:v>
                </c:pt>
                <c:pt idx="41">
                  <c:v>25.52016129032258</c:v>
                </c:pt>
                <c:pt idx="42">
                  <c:v>26.794949494949496</c:v>
                </c:pt>
                <c:pt idx="43">
                  <c:v>27.118902439024389</c:v>
                </c:pt>
                <c:pt idx="44">
                  <c:v>27.542510121457489</c:v>
                </c:pt>
                <c:pt idx="45">
                  <c:v>29.161067193675891</c:v>
                </c:pt>
                <c:pt idx="46">
                  <c:v>28.371165644171779</c:v>
                </c:pt>
                <c:pt idx="47">
                  <c:v>29.228215767634854</c:v>
                </c:pt>
                <c:pt idx="48">
                  <c:v>27.24239350912779</c:v>
                </c:pt>
                <c:pt idx="49">
                  <c:v>28.731854838709676</c:v>
                </c:pt>
                <c:pt idx="50">
                  <c:v>29.021999999999998</c:v>
                </c:pt>
                <c:pt idx="51">
                  <c:v>29.917682926829269</c:v>
                </c:pt>
                <c:pt idx="52">
                  <c:v>28.299591002044991</c:v>
                </c:pt>
                <c:pt idx="53">
                  <c:v>27.031872509960159</c:v>
                </c:pt>
                <c:pt idx="54">
                  <c:v>28.754545454545454</c:v>
                </c:pt>
                <c:pt idx="55">
                  <c:v>29.98</c:v>
                </c:pt>
                <c:pt idx="56">
                  <c:v>28.759999999999998</c:v>
                </c:pt>
                <c:pt idx="57">
                  <c:v>28.449203187250998</c:v>
                </c:pt>
                <c:pt idx="58">
                  <c:v>28.388157894736842</c:v>
                </c:pt>
                <c:pt idx="59">
                  <c:v>29.070281124497992</c:v>
                </c:pt>
                <c:pt idx="60">
                  <c:v>30.0849609375</c:v>
                </c:pt>
                <c:pt idx="61">
                  <c:v>27.875739644970412</c:v>
                </c:pt>
                <c:pt idx="62">
                  <c:v>29.036468330134358</c:v>
                </c:pt>
                <c:pt idx="63">
                  <c:v>28.227184466019416</c:v>
                </c:pt>
                <c:pt idx="64">
                  <c:v>28.412331406551061</c:v>
                </c:pt>
                <c:pt idx="65">
                  <c:v>28.181451612903224</c:v>
                </c:pt>
                <c:pt idx="66">
                  <c:v>28.930232558139537</c:v>
                </c:pt>
                <c:pt idx="67">
                  <c:v>30.147117296222664</c:v>
                </c:pt>
                <c:pt idx="68">
                  <c:v>29.574380165289256</c:v>
                </c:pt>
                <c:pt idx="69">
                  <c:v>29.184584178498987</c:v>
                </c:pt>
                <c:pt idx="70">
                  <c:v>29.129482071713149</c:v>
                </c:pt>
                <c:pt idx="71">
                  <c:v>29.12156862745098</c:v>
                </c:pt>
                <c:pt idx="72">
                  <c:v>28.271825396825395</c:v>
                </c:pt>
                <c:pt idx="73">
                  <c:v>28.904109589041095</c:v>
                </c:pt>
                <c:pt idx="74">
                  <c:v>28.81957773512476</c:v>
                </c:pt>
                <c:pt idx="75">
                  <c:v>28.351606805293006</c:v>
                </c:pt>
                <c:pt idx="76">
                  <c:v>29.097328244274809</c:v>
                </c:pt>
                <c:pt idx="77">
                  <c:v>28.762711864406779</c:v>
                </c:pt>
                <c:pt idx="78">
                  <c:v>27.750929368029741</c:v>
                </c:pt>
                <c:pt idx="79">
                  <c:v>26.236162361623617</c:v>
                </c:pt>
                <c:pt idx="80">
                  <c:v>26.037234042553191</c:v>
                </c:pt>
                <c:pt idx="81">
                  <c:v>27.078571428571429</c:v>
                </c:pt>
                <c:pt idx="82">
                  <c:v>27.9</c:v>
                </c:pt>
                <c:pt idx="83">
                  <c:v>28.300970873786408</c:v>
                </c:pt>
                <c:pt idx="84">
                  <c:v>27.585144927536231</c:v>
                </c:pt>
                <c:pt idx="85">
                  <c:v>27.714003944773175</c:v>
                </c:pt>
                <c:pt idx="86">
                  <c:v>26.452513966480446</c:v>
                </c:pt>
                <c:pt idx="87">
                  <c:v>25.881205673758867</c:v>
                </c:pt>
                <c:pt idx="88">
                  <c:v>25.511363636363637</c:v>
                </c:pt>
                <c:pt idx="89">
                  <c:v>26.348360655737704</c:v>
                </c:pt>
                <c:pt idx="90">
                  <c:v>27.09090909090909</c:v>
                </c:pt>
                <c:pt idx="91">
                  <c:v>26.208667736757626</c:v>
                </c:pt>
                <c:pt idx="92">
                  <c:v>27.81766917293233</c:v>
                </c:pt>
                <c:pt idx="93">
                  <c:v>27.798767967145789</c:v>
                </c:pt>
                <c:pt idx="94">
                  <c:v>27.015384615384615</c:v>
                </c:pt>
                <c:pt idx="95">
                  <c:v>29.349328214971209</c:v>
                </c:pt>
                <c:pt idx="96">
                  <c:v>27.509578544061302</c:v>
                </c:pt>
                <c:pt idx="97">
                  <c:v>27.165085388994306</c:v>
                </c:pt>
                <c:pt idx="98">
                  <c:v>26.512670565302145</c:v>
                </c:pt>
                <c:pt idx="99">
                  <c:v>27.714574898785425</c:v>
                </c:pt>
                <c:pt idx="100">
                  <c:v>27.942740286298569</c:v>
                </c:pt>
                <c:pt idx="101">
                  <c:v>27.02895752895753</c:v>
                </c:pt>
                <c:pt idx="102">
                  <c:v>27.61839530332681</c:v>
                </c:pt>
                <c:pt idx="103">
                  <c:v>28.998106060606062</c:v>
                </c:pt>
                <c:pt idx="104">
                  <c:v>28.808061420345489</c:v>
                </c:pt>
                <c:pt idx="105">
                  <c:v>28.655030800821354</c:v>
                </c:pt>
                <c:pt idx="106">
                  <c:v>26.540117416829744</c:v>
                </c:pt>
                <c:pt idx="107">
                  <c:v>28.175337186897881</c:v>
                </c:pt>
                <c:pt idx="108">
                  <c:v>26.555984555984555</c:v>
                </c:pt>
                <c:pt idx="109">
                  <c:v>27.109848484848484</c:v>
                </c:pt>
                <c:pt idx="110">
                  <c:v>27.578125</c:v>
                </c:pt>
                <c:pt idx="111">
                  <c:v>26.871844660194174</c:v>
                </c:pt>
                <c:pt idx="112">
                  <c:v>28.488372093023255</c:v>
                </c:pt>
                <c:pt idx="113">
                  <c:v>25.58235294117647</c:v>
                </c:pt>
                <c:pt idx="114">
                  <c:v>28.423153692614772</c:v>
                </c:pt>
                <c:pt idx="115">
                  <c:v>27.266533066132265</c:v>
                </c:pt>
                <c:pt idx="116">
                  <c:v>28.357707509881422</c:v>
                </c:pt>
                <c:pt idx="117">
                  <c:v>27.029527559055119</c:v>
                </c:pt>
                <c:pt idx="118">
                  <c:v>27.898635477582847</c:v>
                </c:pt>
                <c:pt idx="119">
                  <c:v>27.478682170542637</c:v>
                </c:pt>
                <c:pt idx="120">
                  <c:v>29.07909604519774</c:v>
                </c:pt>
                <c:pt idx="121">
                  <c:v>28.131528046421664</c:v>
                </c:pt>
                <c:pt idx="122">
                  <c:v>28.654440154440156</c:v>
                </c:pt>
                <c:pt idx="123">
                  <c:v>27.838521400778209</c:v>
                </c:pt>
                <c:pt idx="124">
                  <c:v>27.030797101449274</c:v>
                </c:pt>
                <c:pt idx="125">
                  <c:v>27.700587084148729</c:v>
                </c:pt>
                <c:pt idx="126">
                  <c:v>27.779497098646036</c:v>
                </c:pt>
                <c:pt idx="127">
                  <c:v>27.046332046332047</c:v>
                </c:pt>
                <c:pt idx="128">
                  <c:v>28.624074074074073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D-4D94-8157-A7429F6A6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67360"/>
        <c:axId val="153156992"/>
      </c:lineChart>
      <c:catAx>
        <c:axId val="15314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Batch</a:t>
                </a:r>
                <a:r>
                  <a:rPr lang="en-GB" baseline="0"/>
                  <a:t> No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5072"/>
        <c:crosses val="autoZero"/>
        <c:auto val="1"/>
        <c:lblAlgn val="ctr"/>
        <c:lblOffset val="100"/>
        <c:noMultiLvlLbl val="0"/>
      </c:catAx>
      <c:valAx>
        <c:axId val="153155072"/>
        <c:scaling>
          <c:orientation val="minMax"/>
          <c:min val="7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40224"/>
        <c:crosses val="autoZero"/>
        <c:crossBetween val="between"/>
      </c:valAx>
      <c:valAx>
        <c:axId val="153156992"/>
        <c:scaling>
          <c:orientation val="minMax"/>
          <c:min val="2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Weight</a:t>
                </a:r>
                <a:r>
                  <a:rPr lang="en-GB" baseline="0"/>
                  <a:t> in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67360"/>
        <c:crosses val="max"/>
        <c:crossBetween val="between"/>
      </c:valAx>
      <c:catAx>
        <c:axId val="153167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156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581025</xdr:colOff>
      <xdr:row>1</xdr:row>
      <xdr:rowOff>323850</xdr:rowOff>
    </xdr:from>
    <xdr:to>
      <xdr:col>57</xdr:col>
      <xdr:colOff>285751</xdr:colOff>
      <xdr:row>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EDDE3-052A-47BE-87EA-02FB73F19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186971</xdr:colOff>
      <xdr:row>34</xdr:row>
      <xdr:rowOff>187678</xdr:rowOff>
    </xdr:from>
    <xdr:to>
      <xdr:col>15</xdr:col>
      <xdr:colOff>67028</xdr:colOff>
      <xdr:row>49</xdr:row>
      <xdr:rowOff>179211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724B2-3336-CFFF-7385-0E0495711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254000</xdr:colOff>
      <xdr:row>0</xdr:row>
      <xdr:rowOff>0</xdr:rowOff>
    </xdr:from>
    <xdr:to>
      <xdr:col>20</xdr:col>
      <xdr:colOff>520700</xdr:colOff>
      <xdr:row>19</xdr:row>
      <xdr:rowOff>31751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CB9C16-E61E-4BAC-8F1C-2B15E5EE1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9</xdr:col>
      <xdr:colOff>381000</xdr:colOff>
      <xdr:row>41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08F114-F0F1-43F0-9605-9EB7C1FD2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21</xdr:row>
      <xdr:rowOff>190499</xdr:rowOff>
    </xdr:from>
    <xdr:to>
      <xdr:col>20</xdr:col>
      <xdr:colOff>419100</xdr:colOff>
      <xdr:row>41</xdr:row>
      <xdr:rowOff>66674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5D0797-2436-4086-A001-8BF68C9A6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10</xdr:col>
      <xdr:colOff>439211</xdr:colOff>
      <xdr:row>61</xdr:row>
      <xdr:rowOff>186267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5E5075-A754-4A3A-BDCF-2FB351C36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9</xdr:col>
      <xdr:colOff>488950</xdr:colOff>
      <xdr:row>19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DCD1F0-6436-4518-9526-5235A112C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53977</xdr:colOff>
      <xdr:row>16</xdr:row>
      <xdr:rowOff>190494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204763-50C7-404F-B8FD-8D037E984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20</xdr:col>
      <xdr:colOff>164042</xdr:colOff>
      <xdr:row>18</xdr:row>
      <xdr:rowOff>179910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5557DA-62E5-45D1-839A-C5E0491D1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9</xdr:col>
      <xdr:colOff>117475</xdr:colOff>
      <xdr:row>36</xdr:row>
      <xdr:rowOff>74078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2B6622-DB84-4C9C-889E-50F45FDA5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19</xdr:col>
      <xdr:colOff>392643</xdr:colOff>
      <xdr:row>38</xdr:row>
      <xdr:rowOff>42325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4A00FD-EF63-4196-9DBA-DB6FBA98C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10</xdr:col>
      <xdr:colOff>65690</xdr:colOff>
      <xdr:row>58</xdr:row>
      <xdr:rowOff>109483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0E6C7D-3EB2-4CBF-BE88-A478381E4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36"/>
  <sheetViews>
    <sheetView tabSelected="1" topLeftCell="B1" zoomScale="90" zoomScaleNormal="90" zoomScaleSheetLayoutView="100" workbookViewId="0">
      <pane ySplit="2" topLeftCell="A124" activePane="bottomLeft" state="frozen"/>
      <selection pane="bottomLeft" activeCell="AJ133" sqref="AJ133"/>
    </sheetView>
  </sheetViews>
  <sheetFormatPr defaultColWidth="9.140625" defaultRowHeight="15" x14ac:dyDescent="0.25"/>
  <cols>
    <col min="1" max="7" width="13.42578125" style="1" customWidth="1"/>
    <col min="8" max="10" width="13.42578125" style="2" customWidth="1"/>
    <col min="11" max="11" width="13.42578125" style="11" customWidth="1"/>
    <col min="12" max="14" width="13.42578125" style="1" customWidth="1"/>
    <col min="15" max="15" width="13.42578125" style="2" customWidth="1"/>
    <col min="16" max="17" width="13.42578125" style="11" customWidth="1"/>
    <col min="18" max="20" width="13.42578125" style="2" customWidth="1"/>
    <col min="21" max="21" width="13.42578125" style="11" customWidth="1"/>
    <col min="22" max="23" width="9.140625" style="1"/>
    <col min="24" max="24" width="12.7109375" style="1" bestFit="1" customWidth="1"/>
    <col min="25" max="25" width="14.42578125" style="1" bestFit="1" customWidth="1"/>
    <col min="26" max="26" width="14.42578125" style="1" customWidth="1"/>
    <col min="27" max="28" width="9.140625" style="1"/>
    <col min="29" max="29" width="12" style="1" bestFit="1" customWidth="1"/>
    <col min="30" max="32" width="12" style="1" customWidth="1"/>
    <col min="33" max="33" width="9.140625" style="1"/>
    <col min="34" max="34" width="7.140625" style="25" customWidth="1"/>
    <col min="35" max="35" width="9.140625" style="1" hidden="1" customWidth="1"/>
    <col min="36" max="36" width="101.5703125" style="1" customWidth="1"/>
    <col min="37" max="37" width="8.28515625" style="1" customWidth="1"/>
    <col min="38" max="16384" width="9.140625" style="1"/>
  </cols>
  <sheetData>
    <row r="1" spans="1:39" ht="6.75" customHeight="1" x14ac:dyDescent="0.25">
      <c r="H1" s="1"/>
      <c r="I1" s="1"/>
      <c r="J1" s="1"/>
      <c r="K1" s="1"/>
      <c r="O1" s="1"/>
      <c r="P1" s="1"/>
      <c r="Q1" s="1"/>
      <c r="R1" s="1"/>
      <c r="S1" s="1"/>
      <c r="T1" s="1"/>
      <c r="U1" s="1"/>
    </row>
    <row r="2" spans="1:39" s="3" customFormat="1" ht="39.75" customHeight="1" x14ac:dyDescent="0.25">
      <c r="A2" s="3" t="s">
        <v>0</v>
      </c>
      <c r="B2" s="3" t="s">
        <v>9</v>
      </c>
      <c r="C2" s="3" t="s">
        <v>20</v>
      </c>
      <c r="D2" s="3" t="s">
        <v>2</v>
      </c>
      <c r="E2" s="3" t="s">
        <v>21</v>
      </c>
      <c r="F2" s="3" t="s">
        <v>1</v>
      </c>
      <c r="G2" s="3" t="s">
        <v>4</v>
      </c>
      <c r="H2" s="4" t="s">
        <v>16</v>
      </c>
      <c r="I2" s="4" t="s">
        <v>56</v>
      </c>
      <c r="J2" s="4" t="s">
        <v>62</v>
      </c>
      <c r="K2" s="5" t="s">
        <v>61</v>
      </c>
      <c r="L2" s="3" t="s">
        <v>22</v>
      </c>
      <c r="M2" s="3" t="s">
        <v>6</v>
      </c>
      <c r="N2" s="3" t="s">
        <v>23</v>
      </c>
      <c r="O2" s="4" t="s">
        <v>3</v>
      </c>
      <c r="P2" s="5" t="s">
        <v>24</v>
      </c>
      <c r="Q2" s="5" t="s">
        <v>57</v>
      </c>
      <c r="R2" s="4" t="s">
        <v>58</v>
      </c>
      <c r="S2" s="4" t="s">
        <v>25</v>
      </c>
      <c r="T2" s="4" t="s">
        <v>34</v>
      </c>
      <c r="U2" s="5" t="s">
        <v>5</v>
      </c>
      <c r="V2" s="3" t="s">
        <v>8</v>
      </c>
      <c r="W2" s="3" t="s">
        <v>29</v>
      </c>
      <c r="X2" s="3" t="s">
        <v>82</v>
      </c>
      <c r="Y2" s="3" t="s">
        <v>80</v>
      </c>
      <c r="Z2" s="3" t="s">
        <v>81</v>
      </c>
      <c r="AA2" s="3" t="s">
        <v>30</v>
      </c>
      <c r="AB2" s="3" t="s">
        <v>27</v>
      </c>
      <c r="AC2" s="3" t="s">
        <v>31</v>
      </c>
      <c r="AD2" s="3" t="s">
        <v>90</v>
      </c>
      <c r="AE2" s="3" t="s">
        <v>91</v>
      </c>
      <c r="AF2" s="3" t="s">
        <v>92</v>
      </c>
      <c r="AG2" s="3" t="s">
        <v>28</v>
      </c>
      <c r="AH2" s="26" t="s">
        <v>65</v>
      </c>
      <c r="AI2" s="3" t="s">
        <v>66</v>
      </c>
      <c r="AJ2" s="3" t="s">
        <v>26</v>
      </c>
      <c r="AK2" s="3" t="s">
        <v>90</v>
      </c>
      <c r="AL2" s="3" t="s">
        <v>102</v>
      </c>
      <c r="AM2" s="3" t="s">
        <v>103</v>
      </c>
    </row>
    <row r="3" spans="1:39" x14ac:dyDescent="0.25">
      <c r="A3" s="21">
        <v>2328</v>
      </c>
      <c r="B3" s="14" t="s">
        <v>35</v>
      </c>
      <c r="C3" s="14">
        <v>27.5</v>
      </c>
      <c r="D3" s="15">
        <v>45148</v>
      </c>
      <c r="E3" s="13">
        <f t="shared" ref="E3:E55" si="0">D3+L3</f>
        <v>45187.099009900987</v>
      </c>
      <c r="F3" s="14">
        <v>529</v>
      </c>
      <c r="G3" s="14">
        <v>3859</v>
      </c>
      <c r="H3" s="2">
        <f t="shared" ref="H3:H52" si="1">G3/F3</f>
        <v>7.2948960302457468</v>
      </c>
      <c r="I3" s="8">
        <v>15</v>
      </c>
      <c r="J3" s="11">
        <f>F3-I3</f>
        <v>514</v>
      </c>
      <c r="K3" s="16">
        <v>505</v>
      </c>
      <c r="L3" s="9">
        <f>((M3)-(I3*10))/K3</f>
        <v>39.099009900990097</v>
      </c>
      <c r="M3" s="14">
        <v>19895</v>
      </c>
      <c r="N3" s="14">
        <v>16850</v>
      </c>
      <c r="O3" s="20">
        <v>1.7299999999999999E-2</v>
      </c>
      <c r="P3" s="16">
        <v>14812</v>
      </c>
      <c r="Q3" s="17">
        <v>8.6</v>
      </c>
      <c r="R3" s="18">
        <v>29.07</v>
      </c>
      <c r="S3" s="2">
        <f>C3+L3</f>
        <v>66.599009900990097</v>
      </c>
      <c r="T3" s="2">
        <f>R3-H3</f>
        <v>21.775103969754255</v>
      </c>
      <c r="U3" s="11">
        <f t="shared" ref="U3:U52" si="2">((P3-G3)/M3)*1000</f>
        <v>550.54033676803215</v>
      </c>
      <c r="V3" s="2">
        <f>N3/(P3-G3)</f>
        <v>1.5383913083173559</v>
      </c>
      <c r="W3" s="17">
        <v>9712.9350000000013</v>
      </c>
      <c r="X3" s="17"/>
      <c r="Y3" s="17"/>
      <c r="Z3" s="29">
        <f>Y3/K3</f>
        <v>0</v>
      </c>
      <c r="AA3" s="17"/>
      <c r="AB3" s="17"/>
      <c r="AC3" s="17"/>
      <c r="AD3" s="17"/>
      <c r="AE3" s="17"/>
      <c r="AF3" s="17"/>
      <c r="AG3" s="2">
        <f>W3/(P3-G3)</f>
        <v>0.8867830731306493</v>
      </c>
      <c r="AH3" s="27"/>
      <c r="AI3" s="24"/>
      <c r="AJ3" s="19" t="s">
        <v>49</v>
      </c>
      <c r="AK3" s="2">
        <f>AD3/J3</f>
        <v>0</v>
      </c>
      <c r="AL3" s="2">
        <f>AE3/J3</f>
        <v>0</v>
      </c>
      <c r="AM3" s="2">
        <f>AF3/J3</f>
        <v>0</v>
      </c>
    </row>
    <row r="4" spans="1:39" x14ac:dyDescent="0.25">
      <c r="A4" s="21">
        <v>2329</v>
      </c>
      <c r="B4" s="14" t="s">
        <v>36</v>
      </c>
      <c r="C4" s="14">
        <v>26.8</v>
      </c>
      <c r="D4" s="15">
        <v>45155</v>
      </c>
      <c r="E4" s="13">
        <f t="shared" si="0"/>
        <v>45193.194000000003</v>
      </c>
      <c r="F4" s="14">
        <v>541</v>
      </c>
      <c r="G4" s="14">
        <v>3672.5</v>
      </c>
      <c r="H4" s="2">
        <f t="shared" si="1"/>
        <v>6.7883548983364141</v>
      </c>
      <c r="I4" s="8">
        <v>30</v>
      </c>
      <c r="J4" s="11">
        <f t="shared" ref="J4:J52" si="3">F4-I4</f>
        <v>511</v>
      </c>
      <c r="K4" s="16">
        <v>500</v>
      </c>
      <c r="L4" s="9">
        <f t="shared" ref="L4:L51" si="4">((M4)-(I4*10))/K4</f>
        <v>38.194000000000003</v>
      </c>
      <c r="M4" s="14">
        <v>19397</v>
      </c>
      <c r="N4" s="14">
        <v>16100</v>
      </c>
      <c r="O4" s="20">
        <v>2.1399999999999999E-2</v>
      </c>
      <c r="P4" s="16">
        <v>13885.5</v>
      </c>
      <c r="Q4" s="17">
        <v>8.6</v>
      </c>
      <c r="R4" s="18">
        <v>27.26</v>
      </c>
      <c r="S4" s="2">
        <f t="shared" ref="S4:S52" si="5">C4+L4</f>
        <v>64.994</v>
      </c>
      <c r="T4" s="2">
        <f t="shared" ref="T4:T52" si="6">R4-H4</f>
        <v>20.471645101663587</v>
      </c>
      <c r="U4" s="11">
        <f t="shared" si="2"/>
        <v>526.52472031757486</v>
      </c>
      <c r="V4" s="2">
        <f t="shared" ref="V4:V52" si="7">N4/(P4-G4)</f>
        <v>1.5764222069910898</v>
      </c>
      <c r="W4" s="17">
        <v>9366.18</v>
      </c>
      <c r="X4" s="17"/>
      <c r="Y4" s="17"/>
      <c r="Z4" s="29">
        <f>Y4/K4</f>
        <v>0</v>
      </c>
      <c r="AA4" s="17"/>
      <c r="AB4" s="17"/>
      <c r="AC4" s="17"/>
      <c r="AD4" s="17"/>
      <c r="AE4" s="17"/>
      <c r="AF4" s="17"/>
      <c r="AG4" s="2">
        <f t="shared" ref="AG4:AG52" si="8">W4/(P4-G4)</f>
        <v>0.91708410848918054</v>
      </c>
      <c r="AI4" s="2"/>
      <c r="AJ4" s="14"/>
      <c r="AK4" s="2">
        <f t="shared" ref="AK4:AK67" si="9">AD4/J4</f>
        <v>0</v>
      </c>
      <c r="AL4" s="2">
        <f t="shared" ref="AL4:AL67" si="10">AE4/J4</f>
        <v>0</v>
      </c>
      <c r="AM4" s="2">
        <f t="shared" ref="AM4:AM67" si="11">AF4/J4</f>
        <v>0</v>
      </c>
    </row>
    <row r="5" spans="1:39" x14ac:dyDescent="0.25">
      <c r="A5" s="21">
        <v>2330</v>
      </c>
      <c r="B5" s="14" t="s">
        <v>37</v>
      </c>
      <c r="C5" s="14">
        <v>27.5</v>
      </c>
      <c r="D5" s="15">
        <v>45162</v>
      </c>
      <c r="E5" s="13">
        <v>45201</v>
      </c>
      <c r="F5" s="14">
        <v>628</v>
      </c>
      <c r="G5" s="14">
        <v>4381</v>
      </c>
      <c r="H5" s="2">
        <f t="shared" si="1"/>
        <v>6.9761146496815289</v>
      </c>
      <c r="I5" s="8">
        <v>111</v>
      </c>
      <c r="J5" s="11">
        <f t="shared" si="3"/>
        <v>517</v>
      </c>
      <c r="K5" s="16">
        <v>505</v>
      </c>
      <c r="L5" s="9">
        <f t="shared" si="4"/>
        <v>39.059405940594061</v>
      </c>
      <c r="M5" s="14">
        <v>20835</v>
      </c>
      <c r="N5" s="14">
        <v>15700</v>
      </c>
      <c r="O5" s="20">
        <v>2.29E-2</v>
      </c>
      <c r="P5" s="16">
        <v>14516.5</v>
      </c>
      <c r="Q5" s="17">
        <v>8</v>
      </c>
      <c r="R5" s="18">
        <v>26.99</v>
      </c>
      <c r="S5" s="2">
        <f t="shared" si="5"/>
        <v>66.559405940594061</v>
      </c>
      <c r="T5" s="2">
        <f t="shared" si="6"/>
        <v>20.013885350318468</v>
      </c>
      <c r="U5" s="11">
        <f t="shared" si="2"/>
        <v>486.4650827933765</v>
      </c>
      <c r="V5" s="2">
        <f t="shared" si="7"/>
        <v>1.5490109022741847</v>
      </c>
      <c r="W5" s="17">
        <v>9043.9500000000007</v>
      </c>
      <c r="X5" s="17"/>
      <c r="Y5" s="17"/>
      <c r="Z5" s="29">
        <f t="shared" ref="Z5:Z29" si="12">Y5/K5</f>
        <v>0</v>
      </c>
      <c r="AA5" s="17"/>
      <c r="AB5" s="17"/>
      <c r="AC5" s="17"/>
      <c r="AD5" s="17"/>
      <c r="AE5" s="17"/>
      <c r="AF5" s="17"/>
      <c r="AG5" s="2">
        <f t="shared" si="8"/>
        <v>0.89230427704602644</v>
      </c>
      <c r="AI5" s="2"/>
      <c r="AJ5" s="14"/>
      <c r="AK5" s="2">
        <f t="shared" si="9"/>
        <v>0</v>
      </c>
      <c r="AL5" s="2">
        <f t="shared" si="10"/>
        <v>0</v>
      </c>
      <c r="AM5" s="2">
        <f t="shared" si="11"/>
        <v>0</v>
      </c>
    </row>
    <row r="6" spans="1:39" x14ac:dyDescent="0.25">
      <c r="A6" s="21">
        <v>2331</v>
      </c>
      <c r="B6" s="14" t="s">
        <v>38</v>
      </c>
      <c r="C6" s="14">
        <v>27.4</v>
      </c>
      <c r="D6" s="15">
        <v>45169</v>
      </c>
      <c r="E6" s="13">
        <f t="shared" si="0"/>
        <v>45207.33663366337</v>
      </c>
      <c r="F6" s="14">
        <v>612</v>
      </c>
      <c r="G6" s="14">
        <v>4223</v>
      </c>
      <c r="H6" s="2">
        <f t="shared" si="1"/>
        <v>6.9003267973856213</v>
      </c>
      <c r="I6" s="8">
        <v>94</v>
      </c>
      <c r="J6" s="11">
        <f t="shared" si="3"/>
        <v>518</v>
      </c>
      <c r="K6" s="16">
        <v>505</v>
      </c>
      <c r="L6" s="9">
        <f t="shared" si="4"/>
        <v>38.336633663366335</v>
      </c>
      <c r="M6" s="14">
        <v>20300</v>
      </c>
      <c r="N6" s="14">
        <v>18150</v>
      </c>
      <c r="O6" s="20">
        <v>2.4299999999999999E-2</v>
      </c>
      <c r="P6" s="16">
        <v>14532.5</v>
      </c>
      <c r="Q6" s="17">
        <v>8</v>
      </c>
      <c r="R6" s="18">
        <v>27.29</v>
      </c>
      <c r="S6" s="2">
        <f t="shared" si="5"/>
        <v>65.736633663366334</v>
      </c>
      <c r="T6" s="2">
        <f t="shared" si="6"/>
        <v>20.389673202614379</v>
      </c>
      <c r="U6" s="11">
        <f t="shared" si="2"/>
        <v>507.85714285714289</v>
      </c>
      <c r="V6" s="2">
        <f t="shared" si="7"/>
        <v>1.7605121489887967</v>
      </c>
      <c r="W6" s="17">
        <v>10048.17</v>
      </c>
      <c r="X6" s="17"/>
      <c r="Y6" s="17"/>
      <c r="Z6" s="29">
        <f t="shared" si="12"/>
        <v>0</v>
      </c>
      <c r="AA6" s="17"/>
      <c r="AB6" s="17"/>
      <c r="AC6" s="17"/>
      <c r="AD6" s="17"/>
      <c r="AE6" s="17"/>
      <c r="AF6" s="17"/>
      <c r="AG6" s="2">
        <f t="shared" si="8"/>
        <v>0.97465153499199764</v>
      </c>
      <c r="AI6" s="2"/>
      <c r="AJ6" s="14"/>
      <c r="AK6" s="2">
        <f t="shared" si="9"/>
        <v>0</v>
      </c>
      <c r="AL6" s="2">
        <f t="shared" si="10"/>
        <v>0</v>
      </c>
      <c r="AM6" s="2">
        <f t="shared" si="11"/>
        <v>0</v>
      </c>
    </row>
    <row r="7" spans="1:39" x14ac:dyDescent="0.25">
      <c r="A7" s="21">
        <v>2332</v>
      </c>
      <c r="B7" s="14" t="s">
        <v>39</v>
      </c>
      <c r="C7" s="14">
        <v>27.4</v>
      </c>
      <c r="D7" s="15">
        <v>45176</v>
      </c>
      <c r="E7" s="13">
        <f t="shared" si="0"/>
        <v>45215.206759443339</v>
      </c>
      <c r="F7" s="14">
        <v>571</v>
      </c>
      <c r="G7" s="14">
        <v>4188.5</v>
      </c>
      <c r="H7" s="2">
        <f t="shared" si="1"/>
        <v>7.3353765323992999</v>
      </c>
      <c r="I7" s="8">
        <v>55</v>
      </c>
      <c r="J7" s="11">
        <f t="shared" si="3"/>
        <v>516</v>
      </c>
      <c r="K7" s="16">
        <v>503</v>
      </c>
      <c r="L7" s="9">
        <f t="shared" si="4"/>
        <v>39.206759443339962</v>
      </c>
      <c r="M7" s="14">
        <v>20271</v>
      </c>
      <c r="N7" s="14">
        <v>16300</v>
      </c>
      <c r="O7" s="20">
        <v>2.47E-2</v>
      </c>
      <c r="P7" s="16">
        <v>14512.5</v>
      </c>
      <c r="Q7" s="17">
        <v>8.9700000000000006</v>
      </c>
      <c r="R7" s="18">
        <v>27.87</v>
      </c>
      <c r="S7" s="2">
        <f t="shared" si="5"/>
        <v>66.606759443339968</v>
      </c>
      <c r="T7" s="2">
        <f t="shared" si="6"/>
        <v>20.534623467600703</v>
      </c>
      <c r="U7" s="11">
        <f t="shared" si="2"/>
        <v>509.29899856938488</v>
      </c>
      <c r="V7" s="2">
        <f t="shared" si="7"/>
        <v>1.578845408756296</v>
      </c>
      <c r="W7" s="17">
        <v>9095.34</v>
      </c>
      <c r="X7" s="17"/>
      <c r="Y7" s="17"/>
      <c r="Z7" s="29">
        <f t="shared" si="12"/>
        <v>0</v>
      </c>
      <c r="AA7" s="17">
        <v>19</v>
      </c>
      <c r="AB7" s="17">
        <v>41</v>
      </c>
      <c r="AC7" s="17"/>
      <c r="AD7" s="17"/>
      <c r="AE7" s="17"/>
      <c r="AF7" s="17"/>
      <c r="AG7" s="2">
        <f t="shared" si="8"/>
        <v>0.88098992638512208</v>
      </c>
      <c r="AI7" s="2"/>
      <c r="AJ7" s="14"/>
      <c r="AK7" s="2">
        <f t="shared" si="9"/>
        <v>0</v>
      </c>
      <c r="AL7" s="2">
        <f t="shared" si="10"/>
        <v>0</v>
      </c>
      <c r="AM7" s="2">
        <f t="shared" si="11"/>
        <v>0</v>
      </c>
    </row>
    <row r="8" spans="1:39" x14ac:dyDescent="0.25">
      <c r="A8" s="21">
        <v>2333</v>
      </c>
      <c r="B8" s="14" t="s">
        <v>40</v>
      </c>
      <c r="C8" s="14">
        <v>28</v>
      </c>
      <c r="D8" s="15">
        <v>45183</v>
      </c>
      <c r="E8" s="13">
        <f t="shared" si="0"/>
        <v>45221.0499001996</v>
      </c>
      <c r="F8" s="14">
        <v>598</v>
      </c>
      <c r="G8" s="14">
        <v>4327.5</v>
      </c>
      <c r="H8" s="2">
        <f t="shared" si="1"/>
        <v>7.2366220735785953</v>
      </c>
      <c r="I8" s="8">
        <v>88</v>
      </c>
      <c r="J8" s="11">
        <f t="shared" si="3"/>
        <v>510</v>
      </c>
      <c r="K8" s="16">
        <v>501</v>
      </c>
      <c r="L8" s="9">
        <f t="shared" si="4"/>
        <v>38.049900199600799</v>
      </c>
      <c r="M8" s="14">
        <v>19943</v>
      </c>
      <c r="N8" s="14">
        <v>17400</v>
      </c>
      <c r="O8" s="20">
        <v>1.7100000000000001E-2</v>
      </c>
      <c r="P8" s="16">
        <v>15172</v>
      </c>
      <c r="Q8" s="17">
        <v>8.4</v>
      </c>
      <c r="R8" s="18">
        <v>28.81</v>
      </c>
      <c r="S8" s="2">
        <f t="shared" si="5"/>
        <v>66.049900199600799</v>
      </c>
      <c r="T8" s="2">
        <f t="shared" si="6"/>
        <v>21.573377926421404</v>
      </c>
      <c r="U8" s="11">
        <f t="shared" si="2"/>
        <v>543.77475806047232</v>
      </c>
      <c r="V8" s="2">
        <f t="shared" si="7"/>
        <v>1.6044999769468393</v>
      </c>
      <c r="W8" s="17">
        <v>10203.799999999999</v>
      </c>
      <c r="X8" s="17"/>
      <c r="Y8" s="17"/>
      <c r="Z8" s="29">
        <f t="shared" si="12"/>
        <v>0</v>
      </c>
      <c r="AA8" s="17">
        <v>21</v>
      </c>
      <c r="AB8" s="17">
        <v>39</v>
      </c>
      <c r="AC8" s="17"/>
      <c r="AD8" s="17"/>
      <c r="AE8" s="17"/>
      <c r="AF8" s="17"/>
      <c r="AG8" s="2">
        <f t="shared" si="8"/>
        <v>0.94091936004426202</v>
      </c>
      <c r="AH8" s="27"/>
      <c r="AI8" s="24">
        <v>600</v>
      </c>
      <c r="AJ8" s="19" t="s">
        <v>48</v>
      </c>
      <c r="AK8" s="2">
        <f t="shared" si="9"/>
        <v>0</v>
      </c>
      <c r="AL8" s="2">
        <f t="shared" si="10"/>
        <v>0</v>
      </c>
      <c r="AM8" s="2">
        <f t="shared" si="11"/>
        <v>0</v>
      </c>
    </row>
    <row r="9" spans="1:39" x14ac:dyDescent="0.25">
      <c r="A9" s="21">
        <v>2334</v>
      </c>
      <c r="B9" s="14" t="s">
        <v>35</v>
      </c>
      <c r="C9" s="14">
        <v>28.3</v>
      </c>
      <c r="D9" s="15">
        <v>45190</v>
      </c>
      <c r="E9" s="13">
        <f t="shared" si="0"/>
        <v>45228.0376984127</v>
      </c>
      <c r="F9" s="14">
        <v>603</v>
      </c>
      <c r="G9" s="14">
        <v>4045</v>
      </c>
      <c r="H9" s="2">
        <f t="shared" si="1"/>
        <v>6.7081260364842459</v>
      </c>
      <c r="I9" s="8">
        <v>92</v>
      </c>
      <c r="J9" s="11">
        <f t="shared" si="3"/>
        <v>511</v>
      </c>
      <c r="K9" s="16">
        <v>504</v>
      </c>
      <c r="L9" s="9">
        <f t="shared" si="4"/>
        <v>38.037698412698411</v>
      </c>
      <c r="M9" s="14">
        <v>20091</v>
      </c>
      <c r="N9" s="14">
        <v>17000</v>
      </c>
      <c r="O9" s="20">
        <v>1.34E-2</v>
      </c>
      <c r="P9" s="16">
        <v>14862</v>
      </c>
      <c r="Q9" s="17">
        <v>8.36</v>
      </c>
      <c r="R9" s="18">
        <v>27.96</v>
      </c>
      <c r="S9" s="2">
        <f t="shared" si="5"/>
        <v>66.337698412698415</v>
      </c>
      <c r="T9" s="2">
        <f t="shared" si="6"/>
        <v>21.251873963515756</v>
      </c>
      <c r="U9" s="11">
        <f t="shared" si="2"/>
        <v>538.40027873177041</v>
      </c>
      <c r="V9" s="2">
        <f t="shared" si="7"/>
        <v>1.5716002588518074</v>
      </c>
      <c r="W9" s="17">
        <v>9985.98</v>
      </c>
      <c r="X9" s="17"/>
      <c r="Y9" s="17"/>
      <c r="Z9" s="29">
        <f t="shared" si="12"/>
        <v>0</v>
      </c>
      <c r="AA9" s="17"/>
      <c r="AB9" s="17"/>
      <c r="AC9" s="17"/>
      <c r="AD9" s="17"/>
      <c r="AE9" s="17"/>
      <c r="AF9" s="17"/>
      <c r="AG9" s="2">
        <f t="shared" si="8"/>
        <v>0.92317463252288057</v>
      </c>
      <c r="AI9" s="2"/>
      <c r="AJ9" s="14"/>
      <c r="AK9" s="2">
        <f t="shared" si="9"/>
        <v>0</v>
      </c>
      <c r="AL9" s="2">
        <f t="shared" si="10"/>
        <v>0</v>
      </c>
      <c r="AM9" s="2">
        <f t="shared" si="11"/>
        <v>0</v>
      </c>
    </row>
    <row r="10" spans="1:39" x14ac:dyDescent="0.25">
      <c r="A10" s="21">
        <v>2335</v>
      </c>
      <c r="B10" s="14" t="s">
        <v>36</v>
      </c>
      <c r="C10" s="14">
        <v>27.3</v>
      </c>
      <c r="D10" s="15">
        <v>45197</v>
      </c>
      <c r="E10" s="13">
        <f t="shared" si="0"/>
        <v>45236.076604554866</v>
      </c>
      <c r="F10" s="14">
        <v>610</v>
      </c>
      <c r="G10" s="14">
        <v>4624.5</v>
      </c>
      <c r="H10" s="2">
        <f t="shared" si="1"/>
        <v>7.5811475409836069</v>
      </c>
      <c r="I10" s="8">
        <v>93</v>
      </c>
      <c r="J10" s="11">
        <f t="shared" si="3"/>
        <v>517</v>
      </c>
      <c r="K10" s="16">
        <v>483</v>
      </c>
      <c r="L10" s="9">
        <f t="shared" si="4"/>
        <v>39.076604554865426</v>
      </c>
      <c r="M10" s="14">
        <v>19804</v>
      </c>
      <c r="N10" s="14">
        <v>16925.5</v>
      </c>
      <c r="O10" s="20">
        <v>8.2600000000000007E-2</v>
      </c>
      <c r="P10" s="16">
        <v>13478</v>
      </c>
      <c r="Q10" s="17">
        <v>8.74</v>
      </c>
      <c r="R10" s="18">
        <v>26.22</v>
      </c>
      <c r="S10" s="2">
        <f t="shared" si="5"/>
        <v>66.376604554865423</v>
      </c>
      <c r="T10" s="2">
        <f t="shared" si="6"/>
        <v>18.638852459016391</v>
      </c>
      <c r="U10" s="11">
        <f t="shared" si="2"/>
        <v>447.0561502726722</v>
      </c>
      <c r="V10" s="2">
        <f t="shared" si="7"/>
        <v>1.9117298243632461</v>
      </c>
      <c r="W10" s="17">
        <v>9968.0100500000008</v>
      </c>
      <c r="X10" s="17"/>
      <c r="Y10" s="17"/>
      <c r="Z10" s="29">
        <f t="shared" si="12"/>
        <v>0</v>
      </c>
      <c r="AA10" s="17"/>
      <c r="AB10" s="17"/>
      <c r="AC10" s="17"/>
      <c r="AD10" s="17"/>
      <c r="AE10" s="17"/>
      <c r="AF10" s="17"/>
      <c r="AG10" s="2">
        <f t="shared" si="8"/>
        <v>1.1258835545264585</v>
      </c>
      <c r="AH10" s="25">
        <v>0.09</v>
      </c>
      <c r="AI10" s="2">
        <v>600</v>
      </c>
      <c r="AJ10" s="14" t="s">
        <v>67</v>
      </c>
      <c r="AK10" s="2">
        <f t="shared" si="9"/>
        <v>0</v>
      </c>
      <c r="AL10" s="2">
        <f t="shared" si="10"/>
        <v>0</v>
      </c>
      <c r="AM10" s="2">
        <f t="shared" si="11"/>
        <v>0</v>
      </c>
    </row>
    <row r="11" spans="1:39" x14ac:dyDescent="0.25">
      <c r="A11" s="21">
        <v>2336</v>
      </c>
      <c r="B11" s="14" t="s">
        <v>37</v>
      </c>
      <c r="C11" s="14">
        <v>27.5</v>
      </c>
      <c r="D11" s="15">
        <v>45204</v>
      </c>
      <c r="E11" s="13">
        <f t="shared" si="0"/>
        <v>45242.053254437873</v>
      </c>
      <c r="F11" s="14">
        <v>623</v>
      </c>
      <c r="G11" s="14">
        <v>4434</v>
      </c>
      <c r="H11" s="2">
        <f t="shared" si="1"/>
        <v>7.1171749598715888</v>
      </c>
      <c r="I11" s="8">
        <v>109</v>
      </c>
      <c r="J11" s="11">
        <f t="shared" si="3"/>
        <v>514</v>
      </c>
      <c r="K11" s="16">
        <v>507</v>
      </c>
      <c r="L11" s="9">
        <f t="shared" si="4"/>
        <v>38.053254437869825</v>
      </c>
      <c r="M11" s="14">
        <v>20383</v>
      </c>
      <c r="N11" s="14">
        <v>14725</v>
      </c>
      <c r="O11" s="20">
        <v>0.02</v>
      </c>
      <c r="P11" s="16">
        <v>14278</v>
      </c>
      <c r="Q11" s="17">
        <v>8.8699999999999992</v>
      </c>
      <c r="R11" s="18">
        <f t="shared" ref="R11:R13" si="13">P11/K11</f>
        <v>28.161735700197237</v>
      </c>
      <c r="S11" s="2">
        <f t="shared" si="5"/>
        <v>65.553254437869825</v>
      </c>
      <c r="T11" s="2">
        <f t="shared" si="6"/>
        <v>21.04456074032565</v>
      </c>
      <c r="U11" s="11">
        <f t="shared" si="2"/>
        <v>482.95147917382133</v>
      </c>
      <c r="V11" s="2">
        <f t="shared" si="7"/>
        <v>1.4958350264120277</v>
      </c>
      <c r="W11" s="17">
        <v>7951.6599500000002</v>
      </c>
      <c r="X11" s="17"/>
      <c r="Y11" s="17"/>
      <c r="Z11" s="29">
        <f t="shared" si="12"/>
        <v>0</v>
      </c>
      <c r="AA11" s="17"/>
      <c r="AB11" s="17"/>
      <c r="AC11" s="17"/>
      <c r="AD11" s="17"/>
      <c r="AE11" s="17"/>
      <c r="AF11" s="17"/>
      <c r="AG11" s="2">
        <f t="shared" si="8"/>
        <v>0.80776716273872406</v>
      </c>
      <c r="AI11" s="2"/>
      <c r="AJ11" s="14"/>
      <c r="AK11" s="2">
        <f t="shared" si="9"/>
        <v>0</v>
      </c>
      <c r="AL11" s="2">
        <f t="shared" si="10"/>
        <v>0</v>
      </c>
      <c r="AM11" s="2">
        <f t="shared" si="11"/>
        <v>0</v>
      </c>
    </row>
    <row r="12" spans="1:39" x14ac:dyDescent="0.25">
      <c r="A12" s="21">
        <v>2337</v>
      </c>
      <c r="B12" s="14" t="s">
        <v>38</v>
      </c>
      <c r="C12" s="14">
        <v>28.5</v>
      </c>
      <c r="D12" s="15">
        <v>45211</v>
      </c>
      <c r="E12" s="13">
        <f t="shared" si="0"/>
        <v>45249.212765957447</v>
      </c>
      <c r="F12" s="14">
        <v>654</v>
      </c>
      <c r="G12" s="14">
        <v>4618.5</v>
      </c>
      <c r="H12" s="2">
        <f t="shared" si="1"/>
        <v>7.0619266055045875</v>
      </c>
      <c r="I12" s="8">
        <v>129</v>
      </c>
      <c r="J12" s="11">
        <f t="shared" si="3"/>
        <v>525</v>
      </c>
      <c r="K12" s="16">
        <v>517</v>
      </c>
      <c r="L12" s="9">
        <f t="shared" si="4"/>
        <v>38.212765957446805</v>
      </c>
      <c r="M12" s="14">
        <v>21046</v>
      </c>
      <c r="N12" s="14">
        <v>15650</v>
      </c>
      <c r="O12" s="20">
        <v>1.7100000000000001E-2</v>
      </c>
      <c r="P12" s="16">
        <v>14568.5</v>
      </c>
      <c r="Q12" s="17">
        <v>7.65</v>
      </c>
      <c r="R12" s="18">
        <v>26.27</v>
      </c>
      <c r="S12" s="2">
        <f t="shared" si="5"/>
        <v>66.712765957446805</v>
      </c>
      <c r="T12" s="2">
        <f t="shared" si="6"/>
        <v>19.208073394495411</v>
      </c>
      <c r="U12" s="11">
        <f t="shared" si="2"/>
        <v>472.77392378599257</v>
      </c>
      <c r="V12" s="2">
        <f t="shared" si="7"/>
        <v>1.5728643216080402</v>
      </c>
      <c r="W12" s="17">
        <v>8208.375</v>
      </c>
      <c r="X12" s="17"/>
      <c r="Y12" s="17"/>
      <c r="Z12" s="29">
        <f t="shared" si="12"/>
        <v>0</v>
      </c>
      <c r="AA12" s="17"/>
      <c r="AB12" s="17"/>
      <c r="AC12" s="17"/>
      <c r="AD12" s="17"/>
      <c r="AE12" s="17"/>
      <c r="AF12" s="17"/>
      <c r="AG12" s="2">
        <f t="shared" si="8"/>
        <v>0.82496231155778899</v>
      </c>
      <c r="AI12" s="2"/>
      <c r="AJ12" s="14"/>
      <c r="AK12" s="2">
        <f t="shared" si="9"/>
        <v>0</v>
      </c>
      <c r="AL12" s="2">
        <f t="shared" si="10"/>
        <v>0</v>
      </c>
      <c r="AM12" s="2">
        <f t="shared" si="11"/>
        <v>0</v>
      </c>
    </row>
    <row r="13" spans="1:39" x14ac:dyDescent="0.25">
      <c r="A13" s="21">
        <v>2338</v>
      </c>
      <c r="B13" s="14" t="s">
        <v>39</v>
      </c>
      <c r="C13" s="14">
        <v>27.4</v>
      </c>
      <c r="D13" s="15">
        <v>45218</v>
      </c>
      <c r="E13" s="13">
        <f t="shared" si="0"/>
        <v>45256.533333333333</v>
      </c>
      <c r="F13" s="14">
        <v>593</v>
      </c>
      <c r="G13" s="14">
        <v>3849.5</v>
      </c>
      <c r="H13" s="2">
        <f t="shared" si="1"/>
        <v>6.4915682967959532</v>
      </c>
      <c r="I13" s="8">
        <v>75</v>
      </c>
      <c r="J13" s="11">
        <f t="shared" si="3"/>
        <v>518</v>
      </c>
      <c r="K13" s="16">
        <v>510</v>
      </c>
      <c r="L13" s="9">
        <f t="shared" si="4"/>
        <v>38.533333333333331</v>
      </c>
      <c r="M13" s="14">
        <v>20402</v>
      </c>
      <c r="N13" s="14">
        <v>15000</v>
      </c>
      <c r="O13" s="20">
        <v>1.4200000000000001E-2</v>
      </c>
      <c r="P13" s="16">
        <v>13928.5</v>
      </c>
      <c r="Q13" s="17">
        <v>8.5</v>
      </c>
      <c r="R13" s="18">
        <f t="shared" si="13"/>
        <v>27.310784313725492</v>
      </c>
      <c r="S13" s="2">
        <f t="shared" si="5"/>
        <v>65.933333333333337</v>
      </c>
      <c r="T13" s="2">
        <f t="shared" si="6"/>
        <v>20.819216016929538</v>
      </c>
      <c r="U13" s="11">
        <f t="shared" si="2"/>
        <v>494.02019409861782</v>
      </c>
      <c r="V13" s="2">
        <f t="shared" si="7"/>
        <v>1.488242881238218</v>
      </c>
      <c r="W13" s="17">
        <v>9014.5</v>
      </c>
      <c r="X13" s="17"/>
      <c r="Y13" s="17"/>
      <c r="Z13" s="29">
        <f t="shared" si="12"/>
        <v>0</v>
      </c>
      <c r="AA13" s="17"/>
      <c r="AB13" s="17"/>
      <c r="AC13" s="17"/>
      <c r="AD13" s="17"/>
      <c r="AE13" s="17"/>
      <c r="AF13" s="17"/>
      <c r="AG13" s="2">
        <f t="shared" si="8"/>
        <v>0.89438436352812778</v>
      </c>
      <c r="AI13" s="2"/>
      <c r="AJ13" s="14"/>
      <c r="AK13" s="2">
        <f t="shared" si="9"/>
        <v>0</v>
      </c>
      <c r="AL13" s="2">
        <f t="shared" si="10"/>
        <v>0</v>
      </c>
      <c r="AM13" s="2">
        <f t="shared" si="11"/>
        <v>0</v>
      </c>
    </row>
    <row r="14" spans="1:39" x14ac:dyDescent="0.25">
      <c r="A14" s="21">
        <v>2339</v>
      </c>
      <c r="B14" s="14" t="s">
        <v>40</v>
      </c>
      <c r="C14" s="14">
        <v>27.5</v>
      </c>
      <c r="D14" s="15">
        <v>45225</v>
      </c>
      <c r="E14" s="13">
        <f t="shared" si="0"/>
        <v>45263.572854291415</v>
      </c>
      <c r="F14" s="14">
        <v>621</v>
      </c>
      <c r="G14" s="14">
        <v>4554.5</v>
      </c>
      <c r="H14" s="2">
        <f t="shared" si="1"/>
        <v>7.3341384863123995</v>
      </c>
      <c r="I14" s="8">
        <v>112</v>
      </c>
      <c r="J14" s="11">
        <f t="shared" si="3"/>
        <v>509</v>
      </c>
      <c r="K14" s="16">
        <v>501</v>
      </c>
      <c r="L14" s="9">
        <f t="shared" si="4"/>
        <v>38.572854291417165</v>
      </c>
      <c r="M14" s="14">
        <v>20445</v>
      </c>
      <c r="N14" s="14">
        <v>15700</v>
      </c>
      <c r="O14" s="20">
        <v>2.1434319526627218E-2</v>
      </c>
      <c r="P14" s="16">
        <v>14647</v>
      </c>
      <c r="Q14" s="17">
        <v>8.5</v>
      </c>
      <c r="R14" s="18">
        <v>27.335329341317365</v>
      </c>
      <c r="S14" s="2">
        <f t="shared" si="5"/>
        <v>66.072854291417173</v>
      </c>
      <c r="T14" s="2">
        <f t="shared" si="6"/>
        <v>20.001190855004964</v>
      </c>
      <c r="U14" s="11">
        <f t="shared" si="2"/>
        <v>493.64147713377355</v>
      </c>
      <c r="V14" s="2">
        <f t="shared" si="7"/>
        <v>1.5556106019321279</v>
      </c>
      <c r="W14" s="17">
        <v>9522.6249999999982</v>
      </c>
      <c r="X14" s="17"/>
      <c r="Y14" s="17"/>
      <c r="Z14" s="29">
        <f t="shared" si="12"/>
        <v>0</v>
      </c>
      <c r="AA14" s="17"/>
      <c r="AB14" s="17"/>
      <c r="AC14" s="17"/>
      <c r="AD14" s="17"/>
      <c r="AE14" s="17"/>
      <c r="AF14" s="17"/>
      <c r="AG14" s="2">
        <f t="shared" si="8"/>
        <v>0.94353480307158766</v>
      </c>
      <c r="AI14" s="2"/>
      <c r="AJ14" s="14"/>
      <c r="AK14" s="2">
        <f t="shared" si="9"/>
        <v>0</v>
      </c>
      <c r="AL14" s="2">
        <f t="shared" si="10"/>
        <v>0</v>
      </c>
      <c r="AM14" s="2">
        <f t="shared" si="11"/>
        <v>0</v>
      </c>
    </row>
    <row r="15" spans="1:39" x14ac:dyDescent="0.25">
      <c r="A15" s="21">
        <v>2340</v>
      </c>
      <c r="B15" s="14" t="s">
        <v>35</v>
      </c>
      <c r="C15" s="14">
        <v>28</v>
      </c>
      <c r="D15" s="15">
        <v>45232</v>
      </c>
      <c r="E15" s="13">
        <f t="shared" si="0"/>
        <v>45270.173306772907</v>
      </c>
      <c r="F15" s="14">
        <v>649</v>
      </c>
      <c r="G15" s="14">
        <v>4377.5</v>
      </c>
      <c r="H15" s="2">
        <f t="shared" si="1"/>
        <v>6.7449922958397535</v>
      </c>
      <c r="I15" s="8">
        <v>136</v>
      </c>
      <c r="J15" s="11">
        <f t="shared" si="3"/>
        <v>513</v>
      </c>
      <c r="K15" s="16">
        <v>502</v>
      </c>
      <c r="L15" s="9">
        <f t="shared" si="4"/>
        <v>38.173306772908369</v>
      </c>
      <c r="M15" s="14">
        <v>20523</v>
      </c>
      <c r="N15" s="14">
        <v>16398</v>
      </c>
      <c r="O15" s="20">
        <v>7.7999999999999996E-3</v>
      </c>
      <c r="P15" s="16">
        <v>14459</v>
      </c>
      <c r="Q15" s="17">
        <v>7.82</v>
      </c>
      <c r="R15" s="18">
        <v>26.32</v>
      </c>
      <c r="S15" s="2">
        <f t="shared" si="5"/>
        <v>66.173306772908376</v>
      </c>
      <c r="T15" s="2">
        <f t="shared" si="6"/>
        <v>19.575007704160246</v>
      </c>
      <c r="U15" s="11">
        <f t="shared" si="2"/>
        <v>491.22935243385467</v>
      </c>
      <c r="V15" s="2">
        <f t="shared" si="7"/>
        <v>1.6265436690968607</v>
      </c>
      <c r="W15" s="17">
        <v>10038.350400000001</v>
      </c>
      <c r="X15" s="17"/>
      <c r="Y15" s="17"/>
      <c r="Z15" s="29">
        <f t="shared" si="12"/>
        <v>0</v>
      </c>
      <c r="AA15" s="17"/>
      <c r="AB15" s="17"/>
      <c r="AC15" s="17"/>
      <c r="AD15" s="17"/>
      <c r="AE15" s="17"/>
      <c r="AF15" s="17"/>
      <c r="AG15" s="2">
        <f t="shared" si="8"/>
        <v>0.99571992263056108</v>
      </c>
      <c r="AI15" s="2"/>
      <c r="AJ15" s="14"/>
      <c r="AK15" s="2">
        <f t="shared" si="9"/>
        <v>0</v>
      </c>
      <c r="AL15" s="2">
        <f t="shared" si="10"/>
        <v>0</v>
      </c>
      <c r="AM15" s="2">
        <f t="shared" si="11"/>
        <v>0</v>
      </c>
    </row>
    <row r="16" spans="1:39" x14ac:dyDescent="0.25">
      <c r="A16" s="21">
        <v>2341</v>
      </c>
      <c r="B16" s="14" t="s">
        <v>36</v>
      </c>
      <c r="C16" s="14">
        <v>27.8</v>
      </c>
      <c r="D16" s="15">
        <v>45239</v>
      </c>
      <c r="E16" s="13">
        <f t="shared" si="0"/>
        <v>45276.915151515153</v>
      </c>
      <c r="F16" s="14">
        <v>641</v>
      </c>
      <c r="G16" s="14">
        <v>4567.5</v>
      </c>
      <c r="H16" s="2">
        <f t="shared" si="1"/>
        <v>7.1255850234009364</v>
      </c>
      <c r="I16" s="8">
        <v>121</v>
      </c>
      <c r="J16" s="11">
        <f t="shared" si="3"/>
        <v>520</v>
      </c>
      <c r="K16" s="16">
        <v>495</v>
      </c>
      <c r="L16" s="9">
        <f t="shared" si="4"/>
        <v>37.915151515151514</v>
      </c>
      <c r="M16" s="14">
        <v>19978</v>
      </c>
      <c r="N16" s="14">
        <v>17452</v>
      </c>
      <c r="O16" s="20">
        <v>9.2671914969084321E-3</v>
      </c>
      <c r="P16" s="16">
        <v>15207</v>
      </c>
      <c r="Q16" s="17">
        <v>8.3057851239669418</v>
      </c>
      <c r="R16" s="18">
        <v>27.576699029126214</v>
      </c>
      <c r="S16" s="2">
        <f t="shared" si="5"/>
        <v>65.715151515151518</v>
      </c>
      <c r="T16" s="2">
        <f t="shared" si="6"/>
        <v>20.451114005725277</v>
      </c>
      <c r="U16" s="11">
        <f t="shared" si="2"/>
        <v>532.56081689858843</v>
      </c>
      <c r="V16" s="2">
        <f t="shared" si="7"/>
        <v>1.6403026458010246</v>
      </c>
      <c r="W16" s="17">
        <v>10136.464599999999</v>
      </c>
      <c r="X16" s="17"/>
      <c r="Y16" s="17"/>
      <c r="Z16" s="29">
        <f t="shared" si="12"/>
        <v>0</v>
      </c>
      <c r="AA16" s="17"/>
      <c r="AB16" s="17"/>
      <c r="AC16" s="17"/>
      <c r="AD16" s="17"/>
      <c r="AE16" s="17"/>
      <c r="AF16" s="17"/>
      <c r="AG16" s="2">
        <f t="shared" si="8"/>
        <v>0.95272001503830062</v>
      </c>
      <c r="AI16" s="2">
        <v>600</v>
      </c>
      <c r="AJ16" s="14" t="s">
        <v>68</v>
      </c>
      <c r="AK16" s="2">
        <f t="shared" si="9"/>
        <v>0</v>
      </c>
      <c r="AL16" s="2">
        <f t="shared" si="10"/>
        <v>0</v>
      </c>
      <c r="AM16" s="2">
        <f t="shared" si="11"/>
        <v>0</v>
      </c>
    </row>
    <row r="17" spans="1:39" x14ac:dyDescent="0.25">
      <c r="A17" s="21">
        <v>2342</v>
      </c>
      <c r="B17" s="14" t="s">
        <v>37</v>
      </c>
      <c r="C17" s="14">
        <v>28.2</v>
      </c>
      <c r="D17" s="15">
        <v>45246</v>
      </c>
      <c r="E17" s="13">
        <f t="shared" si="0"/>
        <v>45285.42181069959</v>
      </c>
      <c r="F17" s="14">
        <v>637</v>
      </c>
      <c r="G17" s="14">
        <v>4268.5</v>
      </c>
      <c r="H17" s="2">
        <f t="shared" si="1"/>
        <v>6.7009419152276299</v>
      </c>
      <c r="I17" s="8">
        <v>126</v>
      </c>
      <c r="J17" s="11">
        <f t="shared" si="3"/>
        <v>511</v>
      </c>
      <c r="K17" s="16">
        <v>486</v>
      </c>
      <c r="L17" s="9">
        <f t="shared" si="4"/>
        <v>39.421810699588477</v>
      </c>
      <c r="M17" s="14">
        <v>20419</v>
      </c>
      <c r="N17" s="14">
        <v>16450</v>
      </c>
      <c r="O17" s="20">
        <v>0.02</v>
      </c>
      <c r="P17" s="16">
        <v>14307</v>
      </c>
      <c r="Q17" s="17">
        <v>7.8</v>
      </c>
      <c r="R17" s="18">
        <v>26.65</v>
      </c>
      <c r="S17" s="2">
        <f t="shared" si="5"/>
        <v>67.62181069958848</v>
      </c>
      <c r="T17" s="2">
        <f t="shared" si="6"/>
        <v>19.949058084772368</v>
      </c>
      <c r="U17" s="11">
        <f t="shared" si="2"/>
        <v>491.62544688770265</v>
      </c>
      <c r="V17" s="2">
        <f t="shared" si="7"/>
        <v>1.638691039497933</v>
      </c>
      <c r="W17" s="17">
        <v>9922.1450000000004</v>
      </c>
      <c r="X17" s="17">
        <v>526.67999999999995</v>
      </c>
      <c r="Y17" s="17">
        <v>15850</v>
      </c>
      <c r="Z17" s="29">
        <f t="shared" si="12"/>
        <v>32.613168724279838</v>
      </c>
      <c r="AA17" s="17"/>
      <c r="AB17" s="17"/>
      <c r="AC17" s="17"/>
      <c r="AD17" s="17"/>
      <c r="AE17" s="17"/>
      <c r="AF17" s="17"/>
      <c r="AG17" s="2">
        <f t="shared" si="8"/>
        <v>0.98840912486925336</v>
      </c>
      <c r="AI17" s="2"/>
      <c r="AJ17" s="14"/>
      <c r="AK17" s="2">
        <f t="shared" si="9"/>
        <v>0</v>
      </c>
      <c r="AL17" s="2">
        <f t="shared" si="10"/>
        <v>0</v>
      </c>
      <c r="AM17" s="2">
        <f t="shared" si="11"/>
        <v>0</v>
      </c>
    </row>
    <row r="18" spans="1:39" x14ac:dyDescent="0.25">
      <c r="A18" s="21">
        <v>2343</v>
      </c>
      <c r="B18" s="14" t="s">
        <v>38</v>
      </c>
      <c r="C18" s="14">
        <v>28</v>
      </c>
      <c r="D18" s="15">
        <v>45253</v>
      </c>
      <c r="E18" s="13">
        <f t="shared" si="0"/>
        <v>45291.853174603173</v>
      </c>
      <c r="F18" s="14">
        <v>606</v>
      </c>
      <c r="G18" s="14">
        <v>4023.5</v>
      </c>
      <c r="H18" s="2">
        <f t="shared" si="1"/>
        <v>6.6394389438943895</v>
      </c>
      <c r="I18" s="8">
        <v>88</v>
      </c>
      <c r="J18" s="11">
        <f t="shared" si="3"/>
        <v>518</v>
      </c>
      <c r="K18" s="16">
        <v>504</v>
      </c>
      <c r="L18" s="9">
        <f t="shared" si="4"/>
        <v>38.853174603174601</v>
      </c>
      <c r="M18" s="14">
        <v>20462</v>
      </c>
      <c r="N18" s="14">
        <v>16050</v>
      </c>
      <c r="O18" s="20">
        <v>0</v>
      </c>
      <c r="P18" s="16">
        <v>14472</v>
      </c>
      <c r="Q18" s="17">
        <v>8.6300000000000008</v>
      </c>
      <c r="R18" s="18">
        <v>26.47</v>
      </c>
      <c r="S18" s="2">
        <f t="shared" si="5"/>
        <v>66.853174603174608</v>
      </c>
      <c r="T18" s="2">
        <f t="shared" si="6"/>
        <v>19.830561056105608</v>
      </c>
      <c r="U18" s="11">
        <f t="shared" si="2"/>
        <v>510.62945948587623</v>
      </c>
      <c r="V18" s="2">
        <f t="shared" si="7"/>
        <v>1.5361056610996793</v>
      </c>
      <c r="W18" s="17">
        <v>9392.5400000000009</v>
      </c>
      <c r="X18" s="17">
        <v>264</v>
      </c>
      <c r="Y18" s="17">
        <v>15786</v>
      </c>
      <c r="Z18" s="29">
        <f t="shared" si="12"/>
        <v>31.321428571428573</v>
      </c>
      <c r="AA18" s="17"/>
      <c r="AB18" s="17"/>
      <c r="AC18" s="17"/>
      <c r="AD18" s="17"/>
      <c r="AE18" s="17"/>
      <c r="AF18" s="17"/>
      <c r="AG18" s="2">
        <f t="shared" si="8"/>
        <v>0.89893668947695848</v>
      </c>
      <c r="AI18" s="2"/>
      <c r="AJ18" s="14"/>
      <c r="AK18" s="2">
        <f t="shared" si="9"/>
        <v>0</v>
      </c>
      <c r="AL18" s="2">
        <f t="shared" si="10"/>
        <v>0</v>
      </c>
      <c r="AM18" s="2">
        <f t="shared" si="11"/>
        <v>0</v>
      </c>
    </row>
    <row r="19" spans="1:39" x14ac:dyDescent="0.25">
      <c r="A19" s="21">
        <v>2344</v>
      </c>
      <c r="B19" s="14" t="s">
        <v>39</v>
      </c>
      <c r="C19" s="14">
        <v>28</v>
      </c>
      <c r="D19" s="15">
        <v>45260</v>
      </c>
      <c r="E19" s="13">
        <f t="shared" si="0"/>
        <v>45298.840080971662</v>
      </c>
      <c r="F19" s="14">
        <v>622</v>
      </c>
      <c r="G19" s="14">
        <v>3924.5</v>
      </c>
      <c r="H19" s="2">
        <f t="shared" si="1"/>
        <v>6.309485530546624</v>
      </c>
      <c r="I19" s="8">
        <v>105</v>
      </c>
      <c r="J19" s="11">
        <f t="shared" si="3"/>
        <v>517</v>
      </c>
      <c r="K19" s="16">
        <v>494</v>
      </c>
      <c r="L19" s="9">
        <f t="shared" si="4"/>
        <v>38.840080971659916</v>
      </c>
      <c r="M19" s="14">
        <v>20237</v>
      </c>
      <c r="N19" s="14">
        <v>16500</v>
      </c>
      <c r="O19" s="20">
        <v>1.6500000000000001E-2</v>
      </c>
      <c r="P19" s="16">
        <v>14571</v>
      </c>
      <c r="Q19" s="17">
        <v>8.3000000000000007</v>
      </c>
      <c r="R19" s="18">
        <v>26.97</v>
      </c>
      <c r="S19" s="2">
        <f t="shared" si="5"/>
        <v>66.840080971659916</v>
      </c>
      <c r="T19" s="2">
        <f t="shared" si="6"/>
        <v>20.660514469453375</v>
      </c>
      <c r="U19" s="11">
        <f t="shared" si="2"/>
        <v>526.09082373869637</v>
      </c>
      <c r="V19" s="2">
        <f t="shared" si="7"/>
        <v>1.5498051002676936</v>
      </c>
      <c r="W19" s="17">
        <v>9799.9500000000007</v>
      </c>
      <c r="X19" s="17">
        <v>283.5</v>
      </c>
      <c r="Y19" s="17">
        <v>16179.06</v>
      </c>
      <c r="Z19" s="29">
        <f t="shared" si="12"/>
        <v>32.751133603238863</v>
      </c>
      <c r="AA19" s="17"/>
      <c r="AB19" s="17"/>
      <c r="AC19" s="17"/>
      <c r="AD19" s="17"/>
      <c r="AE19" s="17"/>
      <c r="AF19" s="17"/>
      <c r="AG19" s="2">
        <f t="shared" si="8"/>
        <v>0.9204856055980839</v>
      </c>
      <c r="AI19" s="2"/>
      <c r="AJ19" s="14"/>
      <c r="AK19" s="2">
        <f t="shared" si="9"/>
        <v>0</v>
      </c>
      <c r="AL19" s="2">
        <f t="shared" si="10"/>
        <v>0</v>
      </c>
      <c r="AM19" s="2">
        <f t="shared" si="11"/>
        <v>0</v>
      </c>
    </row>
    <row r="20" spans="1:39" x14ac:dyDescent="0.25">
      <c r="A20" s="21">
        <v>2345</v>
      </c>
      <c r="B20" s="14" t="s">
        <v>40</v>
      </c>
      <c r="C20" s="14">
        <v>27.4</v>
      </c>
      <c r="D20" s="15">
        <v>45267</v>
      </c>
      <c r="E20" s="13">
        <f t="shared" si="0"/>
        <v>45305.33398821218</v>
      </c>
      <c r="F20" s="14">
        <v>636</v>
      </c>
      <c r="G20" s="14">
        <v>4029</v>
      </c>
      <c r="H20" s="2">
        <f t="shared" si="1"/>
        <v>6.3349056603773581</v>
      </c>
      <c r="I20" s="8">
        <v>152</v>
      </c>
      <c r="J20" s="11">
        <f t="shared" si="3"/>
        <v>484</v>
      </c>
      <c r="K20" s="16">
        <v>509</v>
      </c>
      <c r="L20" s="9">
        <f t="shared" si="4"/>
        <v>38.333988212180749</v>
      </c>
      <c r="M20" s="14">
        <v>21032</v>
      </c>
      <c r="N20" s="14">
        <v>16000</v>
      </c>
      <c r="O20" s="20">
        <v>1.6400000000000001E-2</v>
      </c>
      <c r="P20" s="16">
        <v>13970</v>
      </c>
      <c r="Q20" s="17">
        <v>8.0500000000000007</v>
      </c>
      <c r="R20" s="18">
        <v>25.11</v>
      </c>
      <c r="S20" s="2">
        <f t="shared" si="5"/>
        <v>65.733988212180748</v>
      </c>
      <c r="T20" s="2">
        <f t="shared" si="6"/>
        <v>18.77509433962264</v>
      </c>
      <c r="U20" s="11">
        <f t="shared" si="2"/>
        <v>472.66070749334347</v>
      </c>
      <c r="V20" s="2">
        <f t="shared" si="7"/>
        <v>1.6094960265566844</v>
      </c>
      <c r="W20" s="17">
        <v>9060.9000000000015</v>
      </c>
      <c r="X20" s="17">
        <v>434.7</v>
      </c>
      <c r="Y20" s="17">
        <v>15510.64</v>
      </c>
      <c r="Z20" s="29">
        <f t="shared" si="12"/>
        <v>30.472770137524556</v>
      </c>
      <c r="AA20" s="17"/>
      <c r="AB20" s="17"/>
      <c r="AC20" s="17"/>
      <c r="AD20" s="17"/>
      <c r="AE20" s="17"/>
      <c r="AF20" s="17"/>
      <c r="AG20" s="2">
        <f t="shared" si="8"/>
        <v>0.91146765918921657</v>
      </c>
      <c r="AI20" s="2"/>
      <c r="AJ20" s="14"/>
      <c r="AK20" s="2">
        <f t="shared" si="9"/>
        <v>0</v>
      </c>
      <c r="AL20" s="2">
        <f t="shared" si="10"/>
        <v>0</v>
      </c>
      <c r="AM20" s="2">
        <f t="shared" si="11"/>
        <v>0</v>
      </c>
    </row>
    <row r="21" spans="1:39" x14ac:dyDescent="0.25">
      <c r="A21" s="21">
        <v>2346</v>
      </c>
      <c r="B21" s="14" t="s">
        <v>35</v>
      </c>
      <c r="C21" s="14">
        <v>27.5</v>
      </c>
      <c r="D21" s="15">
        <v>45274</v>
      </c>
      <c r="E21" s="13">
        <f t="shared" si="0"/>
        <v>45311.839080459773</v>
      </c>
      <c r="F21" s="14">
        <v>677</v>
      </c>
      <c r="G21" s="14">
        <v>4337.5</v>
      </c>
      <c r="H21" s="2">
        <f t="shared" si="1"/>
        <v>6.4069423929098965</v>
      </c>
      <c r="I21" s="8">
        <v>152</v>
      </c>
      <c r="J21" s="11">
        <f t="shared" si="3"/>
        <v>525</v>
      </c>
      <c r="K21" s="16">
        <v>522</v>
      </c>
      <c r="L21" s="9">
        <f t="shared" si="4"/>
        <v>37.839080459770116</v>
      </c>
      <c r="M21" s="14">
        <v>21272</v>
      </c>
      <c r="N21" s="14">
        <v>16275</v>
      </c>
      <c r="O21" s="20">
        <v>5.3E-3</v>
      </c>
      <c r="P21" s="16">
        <v>15207.5</v>
      </c>
      <c r="Q21" s="17">
        <v>8.0500000000000007</v>
      </c>
      <c r="R21" s="18">
        <v>26.79</v>
      </c>
      <c r="S21" s="2">
        <f t="shared" si="5"/>
        <v>65.339080459770116</v>
      </c>
      <c r="T21" s="2">
        <f t="shared" si="6"/>
        <v>20.383057607090102</v>
      </c>
      <c r="U21" s="11">
        <f t="shared" si="2"/>
        <v>511.00037608123353</v>
      </c>
      <c r="V21" s="2">
        <f t="shared" si="7"/>
        <v>1.4972401103955841</v>
      </c>
      <c r="W21" s="17">
        <v>9328.3125</v>
      </c>
      <c r="X21" s="17">
        <v>456</v>
      </c>
      <c r="Y21" s="17">
        <v>15779.58</v>
      </c>
      <c r="Z21" s="29">
        <f t="shared" si="12"/>
        <v>30.229080459770113</v>
      </c>
      <c r="AA21" s="17"/>
      <c r="AB21" s="17"/>
      <c r="AC21" s="17"/>
      <c r="AD21" s="17"/>
      <c r="AE21" s="17"/>
      <c r="AF21" s="17"/>
      <c r="AG21" s="2">
        <f t="shared" si="8"/>
        <v>0.85817042318307268</v>
      </c>
      <c r="AI21" s="2"/>
      <c r="AJ21" s="14"/>
      <c r="AK21" s="2">
        <f t="shared" si="9"/>
        <v>0</v>
      </c>
      <c r="AL21" s="2">
        <f t="shared" si="10"/>
        <v>0</v>
      </c>
      <c r="AM21" s="2">
        <f t="shared" si="11"/>
        <v>0</v>
      </c>
    </row>
    <row r="22" spans="1:39" x14ac:dyDescent="0.25">
      <c r="A22" s="21">
        <v>2347</v>
      </c>
      <c r="B22" s="14" t="s">
        <v>36</v>
      </c>
      <c r="C22" s="14">
        <v>27.9</v>
      </c>
      <c r="D22" s="15">
        <v>45281</v>
      </c>
      <c r="E22" s="13">
        <f t="shared" si="0"/>
        <v>45319.212598425198</v>
      </c>
      <c r="F22" s="14">
        <v>682</v>
      </c>
      <c r="G22" s="14">
        <v>4342</v>
      </c>
      <c r="H22" s="2">
        <f t="shared" si="1"/>
        <v>6.3665689149560114</v>
      </c>
      <c r="I22" s="8">
        <v>173</v>
      </c>
      <c r="J22" s="11">
        <f t="shared" si="3"/>
        <v>509</v>
      </c>
      <c r="K22" s="16">
        <v>508</v>
      </c>
      <c r="L22" s="9">
        <f t="shared" si="4"/>
        <v>38.212598425196852</v>
      </c>
      <c r="M22" s="14">
        <v>21142</v>
      </c>
      <c r="N22" s="14">
        <v>16705</v>
      </c>
      <c r="O22" s="20">
        <v>1.55E-2</v>
      </c>
      <c r="P22" s="16">
        <v>15261.5</v>
      </c>
      <c r="Q22" s="17">
        <v>8.5</v>
      </c>
      <c r="R22" s="18">
        <v>27.15</v>
      </c>
      <c r="S22" s="2">
        <f t="shared" si="5"/>
        <v>66.11259842519685</v>
      </c>
      <c r="T22" s="2">
        <f t="shared" si="6"/>
        <v>20.783431085043986</v>
      </c>
      <c r="U22" s="11">
        <f t="shared" si="2"/>
        <v>516.4837763693123</v>
      </c>
      <c r="V22" s="2">
        <v>1.56</v>
      </c>
      <c r="W22" s="17">
        <v>9904.4174999999996</v>
      </c>
      <c r="X22" s="17">
        <v>723.14</v>
      </c>
      <c r="Y22" s="17">
        <v>15916.6</v>
      </c>
      <c r="Z22" s="29">
        <f t="shared" si="12"/>
        <v>31.331889763779529</v>
      </c>
      <c r="AA22" s="17"/>
      <c r="AB22" s="17"/>
      <c r="AC22" s="17"/>
      <c r="AD22" s="17"/>
      <c r="AE22" s="17"/>
      <c r="AF22" s="17"/>
      <c r="AG22" s="2">
        <f t="shared" si="8"/>
        <v>0.90703947067173396</v>
      </c>
      <c r="AI22" s="2"/>
      <c r="AJ22" s="14"/>
      <c r="AK22" s="2">
        <f t="shared" si="9"/>
        <v>0</v>
      </c>
      <c r="AL22" s="2">
        <f t="shared" si="10"/>
        <v>0</v>
      </c>
      <c r="AM22" s="2">
        <f t="shared" si="11"/>
        <v>0</v>
      </c>
    </row>
    <row r="23" spans="1:39" x14ac:dyDescent="0.25">
      <c r="A23" s="21">
        <v>2348</v>
      </c>
      <c r="B23" s="14" t="s">
        <v>37</v>
      </c>
      <c r="C23" s="14">
        <v>28.5</v>
      </c>
      <c r="D23" s="15">
        <v>45288</v>
      </c>
      <c r="E23" s="13">
        <f t="shared" si="0"/>
        <v>45325.835249042146</v>
      </c>
      <c r="F23" s="14">
        <v>648</v>
      </c>
      <c r="G23" s="14">
        <v>4418</v>
      </c>
      <c r="H23" s="2">
        <f t="shared" si="1"/>
        <v>6.8179012345679011</v>
      </c>
      <c r="I23" s="8">
        <v>126</v>
      </c>
      <c r="J23" s="11">
        <f t="shared" si="3"/>
        <v>522</v>
      </c>
      <c r="K23" s="16">
        <v>522</v>
      </c>
      <c r="L23" s="9">
        <f t="shared" si="4"/>
        <v>37.835249042145591</v>
      </c>
      <c r="M23" s="14">
        <v>21010</v>
      </c>
      <c r="N23" s="14">
        <v>16220</v>
      </c>
      <c r="O23" s="20">
        <v>1.15E-2</v>
      </c>
      <c r="P23" s="16">
        <v>14905</v>
      </c>
      <c r="Q23" s="17">
        <v>8.73</v>
      </c>
      <c r="R23" s="18">
        <v>26.45</v>
      </c>
      <c r="S23" s="2">
        <f t="shared" si="5"/>
        <v>66.335249042145591</v>
      </c>
      <c r="T23" s="2">
        <f t="shared" si="6"/>
        <v>19.632098765432097</v>
      </c>
      <c r="U23" s="11">
        <f t="shared" si="2"/>
        <v>499.14326511185146</v>
      </c>
      <c r="V23" s="2">
        <v>1.57</v>
      </c>
      <c r="W23" s="17">
        <v>10628.46</v>
      </c>
      <c r="X23" s="17">
        <v>378</v>
      </c>
      <c r="Y23" s="17">
        <v>15809.43</v>
      </c>
      <c r="Z23" s="29">
        <f t="shared" si="12"/>
        <v>30.286264367816091</v>
      </c>
      <c r="AA23" s="17"/>
      <c r="AB23" s="17"/>
      <c r="AC23" s="17"/>
      <c r="AD23" s="17"/>
      <c r="AE23" s="17"/>
      <c r="AF23" s="17"/>
      <c r="AG23" s="2">
        <f t="shared" si="8"/>
        <v>1.0134890817202249</v>
      </c>
      <c r="AI23" s="2"/>
      <c r="AJ23" s="14"/>
      <c r="AK23" s="2">
        <f t="shared" si="9"/>
        <v>0</v>
      </c>
      <c r="AL23" s="2">
        <f t="shared" si="10"/>
        <v>0</v>
      </c>
      <c r="AM23" s="2">
        <f t="shared" si="11"/>
        <v>0</v>
      </c>
    </row>
    <row r="24" spans="1:39" x14ac:dyDescent="0.25">
      <c r="A24" s="21">
        <v>2349</v>
      </c>
      <c r="B24" s="14" t="s">
        <v>38</v>
      </c>
      <c r="C24" s="14">
        <v>28.5</v>
      </c>
      <c r="D24" s="15">
        <v>45295</v>
      </c>
      <c r="E24" s="13">
        <f t="shared" si="0"/>
        <v>45332.83203125</v>
      </c>
      <c r="F24" s="14">
        <v>650</v>
      </c>
      <c r="G24" s="14">
        <v>4271</v>
      </c>
      <c r="H24" s="2">
        <f t="shared" si="1"/>
        <v>6.5707692307692307</v>
      </c>
      <c r="I24" s="8">
        <v>139</v>
      </c>
      <c r="J24" s="11">
        <f t="shared" si="3"/>
        <v>511</v>
      </c>
      <c r="K24" s="16">
        <v>512</v>
      </c>
      <c r="L24" s="9">
        <f t="shared" si="4"/>
        <v>37.83203125</v>
      </c>
      <c r="M24" s="14">
        <v>20760</v>
      </c>
      <c r="N24" s="14">
        <v>16000</v>
      </c>
      <c r="O24" s="20">
        <v>1.15E-2</v>
      </c>
      <c r="P24" s="16">
        <v>14512</v>
      </c>
      <c r="Q24" s="17">
        <v>8.24</v>
      </c>
      <c r="R24" s="18">
        <v>26.11</v>
      </c>
      <c r="S24" s="2">
        <f t="shared" si="5"/>
        <v>66.33203125</v>
      </c>
      <c r="T24" s="2">
        <f t="shared" si="6"/>
        <v>19.53923076923077</v>
      </c>
      <c r="U24" s="11">
        <f t="shared" si="2"/>
        <v>493.30443159922925</v>
      </c>
      <c r="V24" s="2">
        <v>1.59</v>
      </c>
      <c r="W24" s="17">
        <v>9502.9</v>
      </c>
      <c r="X24" s="17">
        <v>417</v>
      </c>
      <c r="Y24" s="17">
        <v>15568</v>
      </c>
      <c r="Z24" s="29">
        <f t="shared" si="12"/>
        <v>30.40625</v>
      </c>
      <c r="AA24" s="17"/>
      <c r="AB24" s="17"/>
      <c r="AC24" s="17"/>
      <c r="AD24" s="17"/>
      <c r="AE24" s="17"/>
      <c r="AF24" s="17"/>
      <c r="AG24" s="2">
        <f>W24/(P24-G24)</f>
        <v>0.92792696025778731</v>
      </c>
      <c r="AI24" s="2"/>
      <c r="AJ24" s="14"/>
      <c r="AK24" s="2">
        <f t="shared" si="9"/>
        <v>0</v>
      </c>
      <c r="AL24" s="2">
        <f t="shared" si="10"/>
        <v>0</v>
      </c>
      <c r="AM24" s="2">
        <f t="shared" si="11"/>
        <v>0</v>
      </c>
    </row>
    <row r="25" spans="1:39" x14ac:dyDescent="0.25">
      <c r="A25" s="21">
        <v>2350</v>
      </c>
      <c r="B25" s="14" t="s">
        <v>39</v>
      </c>
      <c r="C25" s="14">
        <v>28.1</v>
      </c>
      <c r="D25" s="15">
        <v>45302</v>
      </c>
      <c r="E25" s="13">
        <f t="shared" si="0"/>
        <v>45340.027504911588</v>
      </c>
      <c r="F25" s="14">
        <v>616</v>
      </c>
      <c r="G25" s="14">
        <v>3936.5</v>
      </c>
      <c r="H25" s="2">
        <f t="shared" si="1"/>
        <v>6.3904220779220777</v>
      </c>
      <c r="I25" s="8">
        <v>100</v>
      </c>
      <c r="J25" s="11">
        <f t="shared" si="3"/>
        <v>516</v>
      </c>
      <c r="K25" s="16">
        <v>509</v>
      </c>
      <c r="L25" s="9">
        <f t="shared" si="4"/>
        <v>38.027504911591357</v>
      </c>
      <c r="M25" s="14">
        <v>20356</v>
      </c>
      <c r="N25" s="14">
        <v>16100</v>
      </c>
      <c r="O25" s="20">
        <v>1.2699999999999999E-2</v>
      </c>
      <c r="P25" s="16">
        <v>13465.5</v>
      </c>
      <c r="Q25" s="17">
        <v>7.32</v>
      </c>
      <c r="R25" s="18">
        <v>25.2</v>
      </c>
      <c r="S25" s="2">
        <f t="shared" si="5"/>
        <v>66.127504911591359</v>
      </c>
      <c r="T25" s="2">
        <v>19</v>
      </c>
      <c r="U25" s="11">
        <f t="shared" si="2"/>
        <v>468.11750835134603</v>
      </c>
      <c r="V25" s="2">
        <f t="shared" si="7"/>
        <v>1.6895791793472557</v>
      </c>
      <c r="W25" s="17">
        <v>9353</v>
      </c>
      <c r="X25" s="17">
        <v>300</v>
      </c>
      <c r="Y25" s="17">
        <v>15738.66</v>
      </c>
      <c r="Z25" s="29">
        <f t="shared" si="12"/>
        <v>30.920746561886052</v>
      </c>
      <c r="AA25" s="17"/>
      <c r="AB25" s="17"/>
      <c r="AC25" s="17"/>
      <c r="AD25" s="17"/>
      <c r="AE25" s="17"/>
      <c r="AF25" s="17"/>
      <c r="AG25" s="2">
        <f t="shared" si="8"/>
        <v>0.98153006611396787</v>
      </c>
      <c r="AI25" s="2"/>
      <c r="AJ25" s="14"/>
      <c r="AK25" s="2">
        <f t="shared" si="9"/>
        <v>0</v>
      </c>
      <c r="AL25" s="2">
        <f t="shared" si="10"/>
        <v>0</v>
      </c>
      <c r="AM25" s="2">
        <f t="shared" si="11"/>
        <v>0</v>
      </c>
    </row>
    <row r="26" spans="1:39" x14ac:dyDescent="0.25">
      <c r="A26" s="21">
        <v>2351</v>
      </c>
      <c r="B26" s="14" t="s">
        <v>40</v>
      </c>
      <c r="C26" s="14">
        <v>27.5</v>
      </c>
      <c r="D26" s="15">
        <v>45309</v>
      </c>
      <c r="E26" s="13">
        <f t="shared" si="0"/>
        <v>45347.24478178368</v>
      </c>
      <c r="F26" s="14">
        <v>629</v>
      </c>
      <c r="G26" s="14">
        <v>3811</v>
      </c>
      <c r="H26" s="2">
        <f t="shared" si="1"/>
        <v>6.0588235294117645</v>
      </c>
      <c r="I26" s="8">
        <v>100</v>
      </c>
      <c r="J26" s="11">
        <f t="shared" si="3"/>
        <v>529</v>
      </c>
      <c r="K26" s="16">
        <v>527</v>
      </c>
      <c r="L26" s="9">
        <f t="shared" si="4"/>
        <v>38.244781783681212</v>
      </c>
      <c r="M26" s="14">
        <v>21155</v>
      </c>
      <c r="N26" s="14">
        <v>16900</v>
      </c>
      <c r="O26" s="20">
        <v>7.0000000000000001E-3</v>
      </c>
      <c r="P26" s="16">
        <v>13861</v>
      </c>
      <c r="Q26" s="17">
        <v>7.67</v>
      </c>
      <c r="R26" s="18">
        <v>24.85</v>
      </c>
      <c r="S26" s="2">
        <f t="shared" si="5"/>
        <v>65.744781783681219</v>
      </c>
      <c r="T26" s="2">
        <f t="shared" si="6"/>
        <v>18.791176470588237</v>
      </c>
      <c r="U26" s="11">
        <f t="shared" si="2"/>
        <v>475.06499645473883</v>
      </c>
      <c r="V26" s="2">
        <f t="shared" si="7"/>
        <v>1.6815920398009949</v>
      </c>
      <c r="W26" s="17">
        <v>9041.2199999999993</v>
      </c>
      <c r="X26" s="17">
        <v>456</v>
      </c>
      <c r="Y26" s="17">
        <v>16426.28</v>
      </c>
      <c r="Z26" s="29">
        <f t="shared" si="12"/>
        <v>31.169411764705881</v>
      </c>
      <c r="AA26" s="17"/>
      <c r="AB26" s="17"/>
      <c r="AC26" s="17"/>
      <c r="AD26" s="17"/>
      <c r="AE26" s="17"/>
      <c r="AF26" s="17"/>
      <c r="AG26" s="2">
        <f t="shared" si="8"/>
        <v>0.89962388059701481</v>
      </c>
      <c r="AI26" s="2"/>
      <c r="AJ26" s="14"/>
      <c r="AK26" s="2">
        <f t="shared" si="9"/>
        <v>0</v>
      </c>
      <c r="AL26" s="2">
        <f t="shared" si="10"/>
        <v>0</v>
      </c>
      <c r="AM26" s="2">
        <f t="shared" si="11"/>
        <v>0</v>
      </c>
    </row>
    <row r="27" spans="1:39" x14ac:dyDescent="0.25">
      <c r="A27" s="21">
        <v>2352</v>
      </c>
      <c r="B27" s="14" t="s">
        <v>35</v>
      </c>
      <c r="C27" s="14">
        <v>28.3</v>
      </c>
      <c r="D27" s="15">
        <v>45316</v>
      </c>
      <c r="E27" s="13">
        <f t="shared" si="0"/>
        <v>45354.996101364522</v>
      </c>
      <c r="F27" s="14">
        <v>623</v>
      </c>
      <c r="G27" s="14">
        <v>4048.5</v>
      </c>
      <c r="H27" s="2">
        <f t="shared" si="1"/>
        <v>6.4983948635634032</v>
      </c>
      <c r="I27" s="8">
        <v>101</v>
      </c>
      <c r="J27" s="11">
        <f t="shared" si="3"/>
        <v>522</v>
      </c>
      <c r="K27" s="16">
        <v>513</v>
      </c>
      <c r="L27" s="9">
        <f t="shared" si="4"/>
        <v>38.996101364522417</v>
      </c>
      <c r="M27" s="14">
        <v>21015</v>
      </c>
      <c r="N27" s="14">
        <v>17200</v>
      </c>
      <c r="O27" s="20">
        <v>1.5800000000000002E-2</v>
      </c>
      <c r="P27" s="16">
        <v>14896.5</v>
      </c>
      <c r="Q27" s="17">
        <v>7.42</v>
      </c>
      <c r="R27" s="18">
        <v>27.58</v>
      </c>
      <c r="S27" s="2">
        <f t="shared" si="5"/>
        <v>67.296101364522414</v>
      </c>
      <c r="T27" s="2">
        <f t="shared" si="6"/>
        <v>21.081605136436593</v>
      </c>
      <c r="U27" s="11">
        <f t="shared" si="2"/>
        <v>516.20271234832262</v>
      </c>
      <c r="V27" s="2">
        <f t="shared" si="7"/>
        <v>1.5855457227138643</v>
      </c>
      <c r="W27" s="17">
        <v>9398.33</v>
      </c>
      <c r="X27" s="17">
        <v>303</v>
      </c>
      <c r="Y27" s="17">
        <v>16849.68</v>
      </c>
      <c r="Z27" s="29">
        <f t="shared" si="12"/>
        <v>32.845380116959063</v>
      </c>
      <c r="AA27" s="17"/>
      <c r="AB27" s="17"/>
      <c r="AC27" s="17"/>
      <c r="AD27" s="17"/>
      <c r="AE27" s="17"/>
      <c r="AF27" s="17"/>
      <c r="AG27" s="2">
        <f t="shared" si="8"/>
        <v>0.86636522861356935</v>
      </c>
      <c r="AI27" s="2"/>
      <c r="AJ27" s="14"/>
      <c r="AK27" s="2">
        <f t="shared" si="9"/>
        <v>0</v>
      </c>
      <c r="AL27" s="2">
        <f t="shared" si="10"/>
        <v>0</v>
      </c>
      <c r="AM27" s="2">
        <f t="shared" si="11"/>
        <v>0</v>
      </c>
    </row>
    <row r="28" spans="1:39" x14ac:dyDescent="0.25">
      <c r="A28" s="21">
        <v>2401</v>
      </c>
      <c r="B28" s="14" t="s">
        <v>36</v>
      </c>
      <c r="C28" s="14">
        <v>28.5</v>
      </c>
      <c r="D28" s="15">
        <v>45323</v>
      </c>
      <c r="E28" s="13">
        <f t="shared" si="0"/>
        <v>45361.796153846153</v>
      </c>
      <c r="F28" s="14">
        <v>650</v>
      </c>
      <c r="G28" s="14">
        <v>4147.5</v>
      </c>
      <c r="H28" s="2">
        <f t="shared" si="1"/>
        <v>6.3807692307692312</v>
      </c>
      <c r="I28" s="8">
        <v>125</v>
      </c>
      <c r="J28" s="11">
        <f t="shared" si="3"/>
        <v>525</v>
      </c>
      <c r="K28" s="16">
        <v>520</v>
      </c>
      <c r="L28" s="9">
        <f t="shared" si="4"/>
        <v>38.79615384615385</v>
      </c>
      <c r="M28" s="14">
        <v>21424</v>
      </c>
      <c r="N28" s="14">
        <v>16800</v>
      </c>
      <c r="O28" s="20">
        <v>2.1700000000000001E-2</v>
      </c>
      <c r="P28" s="16">
        <v>14552</v>
      </c>
      <c r="Q28" s="17">
        <v>7.55</v>
      </c>
      <c r="R28" s="18">
        <v>26.17</v>
      </c>
      <c r="S28" s="2">
        <f t="shared" si="5"/>
        <v>67.296153846153857</v>
      </c>
      <c r="T28" s="2">
        <f t="shared" si="6"/>
        <v>19.78923076923077</v>
      </c>
      <c r="U28" s="11">
        <f t="shared" si="2"/>
        <v>485.64693801344288</v>
      </c>
      <c r="V28" s="2">
        <f t="shared" si="7"/>
        <v>1.6146859531933297</v>
      </c>
      <c r="W28" s="17">
        <v>9235.239999999998</v>
      </c>
      <c r="X28" s="17">
        <v>337.5</v>
      </c>
      <c r="Y28" s="17">
        <v>16382.22</v>
      </c>
      <c r="Z28" s="29">
        <f t="shared" si="12"/>
        <v>31.504269230769228</v>
      </c>
      <c r="AA28" s="17"/>
      <c r="AB28" s="17"/>
      <c r="AC28" s="17"/>
      <c r="AD28" s="17"/>
      <c r="AE28" s="17"/>
      <c r="AF28" s="17"/>
      <c r="AG28" s="2">
        <f t="shared" si="8"/>
        <v>0.8876197799029264</v>
      </c>
      <c r="AI28" s="2"/>
      <c r="AJ28" s="14"/>
      <c r="AK28" s="2">
        <f t="shared" si="9"/>
        <v>0</v>
      </c>
      <c r="AL28" s="2">
        <f t="shared" si="10"/>
        <v>0</v>
      </c>
      <c r="AM28" s="2">
        <f t="shared" si="11"/>
        <v>0</v>
      </c>
    </row>
    <row r="29" spans="1:39" x14ac:dyDescent="0.25">
      <c r="A29" s="21">
        <v>2402</v>
      </c>
      <c r="B29" s="14" t="s">
        <v>37</v>
      </c>
      <c r="C29" s="14">
        <v>29.1</v>
      </c>
      <c r="D29" s="15">
        <v>45330</v>
      </c>
      <c r="E29" s="13">
        <f t="shared" si="0"/>
        <v>45367.613152804639</v>
      </c>
      <c r="F29" s="14">
        <v>666</v>
      </c>
      <c r="G29" s="14">
        <v>4224.5</v>
      </c>
      <c r="H29" s="2">
        <f t="shared" si="1"/>
        <v>6.3430930930930929</v>
      </c>
      <c r="I29" s="8">
        <v>146</v>
      </c>
      <c r="J29" s="11">
        <f t="shared" si="3"/>
        <v>520</v>
      </c>
      <c r="K29" s="16">
        <v>517</v>
      </c>
      <c r="L29" s="9">
        <f t="shared" si="4"/>
        <v>37.613152804642169</v>
      </c>
      <c r="M29" s="14">
        <v>20906</v>
      </c>
      <c r="N29" s="14">
        <v>16000</v>
      </c>
      <c r="O29" s="20">
        <v>1.2800000000000001E-2</v>
      </c>
      <c r="P29" s="16">
        <v>13738</v>
      </c>
      <c r="Q29" s="17">
        <v>7.23</v>
      </c>
      <c r="R29" s="18">
        <v>24.53</v>
      </c>
      <c r="S29" s="2">
        <f t="shared" si="5"/>
        <v>66.713152804642164</v>
      </c>
      <c r="T29" s="2">
        <f t="shared" si="6"/>
        <v>18.186906906906909</v>
      </c>
      <c r="U29" s="11">
        <f t="shared" si="2"/>
        <v>455.06074811059028</v>
      </c>
      <c r="V29" s="2">
        <f t="shared" si="7"/>
        <v>1.6818205707678562</v>
      </c>
      <c r="W29" s="17">
        <v>8624.9</v>
      </c>
      <c r="X29" s="17">
        <v>394.2</v>
      </c>
      <c r="Y29" s="17">
        <v>15571.38</v>
      </c>
      <c r="Z29" s="29">
        <f t="shared" si="12"/>
        <v>30.118723404255316</v>
      </c>
      <c r="AA29" s="17"/>
      <c r="AB29" s="17"/>
      <c r="AC29" s="17"/>
      <c r="AD29" s="17"/>
      <c r="AE29" s="17"/>
      <c r="AF29" s="17"/>
      <c r="AG29" s="2">
        <f t="shared" si="8"/>
        <v>0.90659589005098018</v>
      </c>
      <c r="AI29" s="2"/>
      <c r="AJ29" s="14"/>
      <c r="AK29" s="2">
        <f t="shared" si="9"/>
        <v>0</v>
      </c>
      <c r="AL29" s="2">
        <f t="shared" si="10"/>
        <v>0</v>
      </c>
      <c r="AM29" s="2">
        <f t="shared" si="11"/>
        <v>0</v>
      </c>
    </row>
    <row r="30" spans="1:39" x14ac:dyDescent="0.25">
      <c r="A30" s="21">
        <v>2403</v>
      </c>
      <c r="B30" s="14" t="s">
        <v>38</v>
      </c>
      <c r="C30" s="14">
        <v>29.2</v>
      </c>
      <c r="D30" s="15">
        <v>45337</v>
      </c>
      <c r="E30" s="13">
        <f t="shared" si="0"/>
        <v>45374.964705882354</v>
      </c>
      <c r="F30" s="14">
        <v>673</v>
      </c>
      <c r="G30" s="14">
        <v>4535.5</v>
      </c>
      <c r="H30" s="2">
        <f t="shared" si="1"/>
        <v>6.7392273402674592</v>
      </c>
      <c r="I30" s="8">
        <v>155</v>
      </c>
      <c r="J30" s="11">
        <f t="shared" si="3"/>
        <v>518</v>
      </c>
      <c r="K30" s="16">
        <v>510</v>
      </c>
      <c r="L30" s="9">
        <f t="shared" si="4"/>
        <v>37.964705882352938</v>
      </c>
      <c r="M30" s="14">
        <v>20912</v>
      </c>
      <c r="N30" s="14">
        <v>15300</v>
      </c>
      <c r="O30" s="20">
        <v>1.46E-2</v>
      </c>
      <c r="P30" s="16">
        <v>14233.5</v>
      </c>
      <c r="Q30" s="17">
        <v>7.9</v>
      </c>
      <c r="R30" s="18">
        <v>25.51</v>
      </c>
      <c r="S30" s="2">
        <f t="shared" si="5"/>
        <v>67.164705882352933</v>
      </c>
      <c r="T30" s="2">
        <f t="shared" si="6"/>
        <v>18.770772659732543</v>
      </c>
      <c r="U30" s="11">
        <f t="shared" si="2"/>
        <v>463.75286916602909</v>
      </c>
      <c r="V30" s="2">
        <f t="shared" si="7"/>
        <v>1.5776448752320067</v>
      </c>
      <c r="W30" s="17">
        <v>8391.2699999999986</v>
      </c>
      <c r="X30" s="17">
        <v>465</v>
      </c>
      <c r="Y30" s="17">
        <v>14762</v>
      </c>
      <c r="Z30" s="29">
        <f>Y30/K30</f>
        <v>28.945098039215686</v>
      </c>
      <c r="AA30" s="17"/>
      <c r="AB30" s="17"/>
      <c r="AC30" s="17"/>
      <c r="AD30" s="17"/>
      <c r="AE30" s="17"/>
      <c r="AF30" s="17"/>
      <c r="AG30" s="2">
        <f t="shared" si="8"/>
        <v>0.86525778511033191</v>
      </c>
      <c r="AI30" s="2"/>
      <c r="AJ30" s="14"/>
      <c r="AK30" s="2">
        <f t="shared" si="9"/>
        <v>0</v>
      </c>
      <c r="AL30" s="2">
        <f t="shared" si="10"/>
        <v>0</v>
      </c>
      <c r="AM30" s="2">
        <f t="shared" si="11"/>
        <v>0</v>
      </c>
    </row>
    <row r="31" spans="1:39" x14ac:dyDescent="0.25">
      <c r="A31" s="21">
        <v>2404</v>
      </c>
      <c r="B31" s="14" t="s">
        <v>39</v>
      </c>
      <c r="C31" s="14">
        <v>29.1</v>
      </c>
      <c r="D31" s="15">
        <v>45344</v>
      </c>
      <c r="E31" s="13">
        <f t="shared" si="0"/>
        <v>45381.131528046419</v>
      </c>
      <c r="F31" s="14">
        <v>670</v>
      </c>
      <c r="G31" s="14">
        <v>4541</v>
      </c>
      <c r="H31" s="2">
        <f t="shared" si="1"/>
        <v>6.7776119402985078</v>
      </c>
      <c r="I31" s="8">
        <v>150</v>
      </c>
      <c r="J31" s="11">
        <f t="shared" si="3"/>
        <v>520</v>
      </c>
      <c r="K31" s="16">
        <v>517</v>
      </c>
      <c r="L31" s="9">
        <f t="shared" si="4"/>
        <v>37.131528046421664</v>
      </c>
      <c r="M31" s="14">
        <v>20697</v>
      </c>
      <c r="N31" s="14">
        <v>16871.5</v>
      </c>
      <c r="O31" s="20">
        <v>4.4999999999999997E-3</v>
      </c>
      <c r="P31" s="16">
        <v>14896.5</v>
      </c>
      <c r="Q31" s="17">
        <v>7.01</v>
      </c>
      <c r="R31" s="18">
        <v>26.78</v>
      </c>
      <c r="S31" s="2">
        <f t="shared" si="5"/>
        <v>66.231528046421658</v>
      </c>
      <c r="T31" s="2">
        <f t="shared" si="6"/>
        <v>20.002388059701495</v>
      </c>
      <c r="U31" s="11">
        <f t="shared" si="2"/>
        <v>500.3382132676233</v>
      </c>
      <c r="V31" s="2">
        <f t="shared" si="7"/>
        <v>1.6292308435131089</v>
      </c>
      <c r="W31" s="17">
        <v>9021.4128999999994</v>
      </c>
      <c r="X31" s="17">
        <v>345</v>
      </c>
      <c r="Y31" s="17">
        <v>16524.2</v>
      </c>
      <c r="Z31" s="29">
        <f t="shared" ref="Z31:Z66" si="14">Y31/K31</f>
        <v>31.961702127659574</v>
      </c>
      <c r="AA31" s="17"/>
      <c r="AB31" s="17"/>
      <c r="AC31" s="17"/>
      <c r="AD31" s="17"/>
      <c r="AE31" s="17"/>
      <c r="AF31" s="17"/>
      <c r="AG31" s="2">
        <f t="shared" si="8"/>
        <v>0.87117115542465351</v>
      </c>
      <c r="AI31" s="2"/>
      <c r="AJ31" s="14"/>
      <c r="AK31" s="2">
        <f t="shared" si="9"/>
        <v>0</v>
      </c>
      <c r="AL31" s="2">
        <f t="shared" si="10"/>
        <v>0</v>
      </c>
      <c r="AM31" s="2">
        <f t="shared" si="11"/>
        <v>0</v>
      </c>
    </row>
    <row r="32" spans="1:39" x14ac:dyDescent="0.25">
      <c r="A32" s="21">
        <v>2405</v>
      </c>
      <c r="B32" s="14" t="s">
        <v>40</v>
      </c>
      <c r="C32" s="14">
        <v>28.7</v>
      </c>
      <c r="D32" s="15">
        <v>45351</v>
      </c>
      <c r="E32" s="13">
        <f t="shared" si="0"/>
        <v>45388.582846003897</v>
      </c>
      <c r="F32" s="14">
        <v>654</v>
      </c>
      <c r="G32" s="14">
        <v>4380</v>
      </c>
      <c r="H32" s="2">
        <f t="shared" si="1"/>
        <v>6.6972477064220186</v>
      </c>
      <c r="I32" s="8">
        <v>145</v>
      </c>
      <c r="J32" s="11">
        <f t="shared" si="3"/>
        <v>509</v>
      </c>
      <c r="K32" s="16">
        <v>513</v>
      </c>
      <c r="L32" s="9">
        <f t="shared" si="4"/>
        <v>37.582846003898638</v>
      </c>
      <c r="M32" s="14">
        <v>20730</v>
      </c>
      <c r="N32" s="14">
        <v>17478.5</v>
      </c>
      <c r="O32" s="20">
        <v>6.8999999999999999E-3</v>
      </c>
      <c r="P32" s="16">
        <v>15044</v>
      </c>
      <c r="Q32" s="17">
        <v>7.91</v>
      </c>
      <c r="R32" s="18">
        <v>27.09</v>
      </c>
      <c r="S32" s="2">
        <f t="shared" si="5"/>
        <v>66.282846003898641</v>
      </c>
      <c r="T32" s="2">
        <f t="shared" si="6"/>
        <v>20.392752293577981</v>
      </c>
      <c r="U32" s="11">
        <f t="shared" si="2"/>
        <v>514.42354076218044</v>
      </c>
      <c r="V32" s="2">
        <f t="shared" si="7"/>
        <v>1.6390191297824457</v>
      </c>
      <c r="W32" s="17">
        <v>9763.0971000000009</v>
      </c>
      <c r="X32" s="17">
        <v>391.5</v>
      </c>
      <c r="Y32" s="17">
        <v>17067.900000000001</v>
      </c>
      <c r="Z32" s="29">
        <f t="shared" si="14"/>
        <v>33.270760233918132</v>
      </c>
      <c r="AA32" s="17"/>
      <c r="AB32" s="17"/>
      <c r="AC32" s="17"/>
      <c r="AD32" s="17"/>
      <c r="AE32" s="17"/>
      <c r="AF32" s="17"/>
      <c r="AG32" s="2">
        <f t="shared" si="8"/>
        <v>0.91551923293323334</v>
      </c>
      <c r="AI32" s="2"/>
      <c r="AJ32" s="14"/>
      <c r="AK32" s="2">
        <f t="shared" si="9"/>
        <v>0</v>
      </c>
      <c r="AL32" s="2">
        <f t="shared" si="10"/>
        <v>0</v>
      </c>
      <c r="AM32" s="2">
        <f t="shared" si="11"/>
        <v>0</v>
      </c>
    </row>
    <row r="33" spans="1:39" x14ac:dyDescent="0.25">
      <c r="A33" s="21">
        <v>2406</v>
      </c>
      <c r="B33" s="14" t="s">
        <v>35</v>
      </c>
      <c r="C33" s="14">
        <v>29.1</v>
      </c>
      <c r="D33" s="15">
        <v>45358</v>
      </c>
      <c r="E33" s="13">
        <f t="shared" si="0"/>
        <v>45395.178294573641</v>
      </c>
      <c r="F33" s="14">
        <v>652</v>
      </c>
      <c r="G33" s="14">
        <v>4125</v>
      </c>
      <c r="H33" s="2">
        <f t="shared" si="1"/>
        <v>6.3266871165644174</v>
      </c>
      <c r="I33" s="8">
        <v>142</v>
      </c>
      <c r="J33" s="11">
        <f t="shared" si="3"/>
        <v>510</v>
      </c>
      <c r="K33" s="16">
        <v>516</v>
      </c>
      <c r="L33" s="9">
        <f t="shared" si="4"/>
        <v>37.178294573643413</v>
      </c>
      <c r="M33" s="14">
        <v>20604</v>
      </c>
      <c r="N33" s="14">
        <v>17550</v>
      </c>
      <c r="O33" s="20">
        <v>3.0000000000000001E-3</v>
      </c>
      <c r="P33" s="16">
        <v>15148</v>
      </c>
      <c r="Q33" s="17">
        <v>7.35</v>
      </c>
      <c r="R33" s="18">
        <v>27.39</v>
      </c>
      <c r="S33" s="2">
        <f t="shared" si="5"/>
        <v>66.278294573643421</v>
      </c>
      <c r="T33" s="2">
        <f t="shared" si="6"/>
        <v>21.063312883435582</v>
      </c>
      <c r="U33" s="11">
        <f t="shared" si="2"/>
        <v>534.99320520287324</v>
      </c>
      <c r="V33" s="2">
        <f t="shared" si="7"/>
        <v>1.5921255556563549</v>
      </c>
      <c r="W33" s="17">
        <v>9620.48</v>
      </c>
      <c r="X33" s="17">
        <v>326.60000000000002</v>
      </c>
      <c r="Y33" s="17">
        <v>17221.5</v>
      </c>
      <c r="Z33" s="29">
        <f t="shared" si="14"/>
        <v>33.375</v>
      </c>
      <c r="AA33" s="17"/>
      <c r="AB33" s="17"/>
      <c r="AC33" s="17"/>
      <c r="AD33" s="17"/>
      <c r="AE33" s="17"/>
      <c r="AF33" s="17"/>
      <c r="AG33" s="2">
        <f t="shared" si="8"/>
        <v>0.87276422026671496</v>
      </c>
      <c r="AI33" s="2"/>
      <c r="AJ33" s="28" t="s">
        <v>71</v>
      </c>
      <c r="AK33" s="2">
        <f t="shared" si="9"/>
        <v>0</v>
      </c>
      <c r="AL33" s="2">
        <f t="shared" si="10"/>
        <v>0</v>
      </c>
      <c r="AM33" s="2">
        <f t="shared" si="11"/>
        <v>0</v>
      </c>
    </row>
    <row r="34" spans="1:39" x14ac:dyDescent="0.25">
      <c r="A34" s="21">
        <v>2407</v>
      </c>
      <c r="B34" s="14" t="s">
        <v>36</v>
      </c>
      <c r="C34" s="14">
        <v>29.2</v>
      </c>
      <c r="D34" s="15">
        <v>45365</v>
      </c>
      <c r="E34" s="13">
        <f t="shared" si="0"/>
        <v>45402.674463937619</v>
      </c>
      <c r="F34" s="14">
        <v>627</v>
      </c>
      <c r="G34" s="14">
        <v>4267</v>
      </c>
      <c r="H34" s="2">
        <f t="shared" si="1"/>
        <v>6.8054226475279105</v>
      </c>
      <c r="I34" s="8">
        <v>116</v>
      </c>
      <c r="J34" s="11">
        <f t="shared" si="3"/>
        <v>511</v>
      </c>
      <c r="K34" s="16">
        <v>513</v>
      </c>
      <c r="L34" s="9">
        <f t="shared" si="4"/>
        <v>37.67446393762183</v>
      </c>
      <c r="M34" s="14">
        <v>20487</v>
      </c>
      <c r="N34" s="14">
        <v>18100</v>
      </c>
      <c r="O34" s="20">
        <v>8.9999999999999993E-3</v>
      </c>
      <c r="P34" s="16">
        <v>15431</v>
      </c>
      <c r="Q34" s="17">
        <v>7.91</v>
      </c>
      <c r="R34" s="18">
        <v>28.29</v>
      </c>
      <c r="S34" s="2">
        <f t="shared" si="5"/>
        <v>66.874463937621826</v>
      </c>
      <c r="T34" s="2">
        <f t="shared" si="6"/>
        <v>21.484577352472087</v>
      </c>
      <c r="U34" s="11">
        <f t="shared" si="2"/>
        <v>544.93093181041638</v>
      </c>
      <c r="V34" s="2">
        <f t="shared" si="7"/>
        <v>1.621282694374776</v>
      </c>
      <c r="W34" s="17">
        <v>9924.16</v>
      </c>
      <c r="X34" s="17">
        <v>313</v>
      </c>
      <c r="Y34" s="17">
        <v>17769.240000000002</v>
      </c>
      <c r="Z34" s="29">
        <f t="shared" si="14"/>
        <v>34.637894736842107</v>
      </c>
      <c r="AA34" s="17"/>
      <c r="AB34" s="17"/>
      <c r="AC34" s="17"/>
      <c r="AD34" s="17"/>
      <c r="AE34" s="17"/>
      <c r="AF34" s="17"/>
      <c r="AG34" s="2">
        <f t="shared" si="8"/>
        <v>0.8889430311716231</v>
      </c>
      <c r="AI34" s="2"/>
      <c r="AJ34" s="14"/>
      <c r="AK34" s="2">
        <f t="shared" si="9"/>
        <v>0</v>
      </c>
      <c r="AL34" s="2">
        <f t="shared" si="10"/>
        <v>0</v>
      </c>
      <c r="AM34" s="2">
        <f t="shared" si="11"/>
        <v>0</v>
      </c>
    </row>
    <row r="35" spans="1:39" x14ac:dyDescent="0.25">
      <c r="A35" s="21">
        <v>2408</v>
      </c>
      <c r="B35" s="14" t="s">
        <v>37</v>
      </c>
      <c r="C35" s="14">
        <v>28.5</v>
      </c>
      <c r="D35" s="15">
        <v>45372</v>
      </c>
      <c r="E35" s="13">
        <f t="shared" si="0"/>
        <v>45409.835671342684</v>
      </c>
      <c r="F35" s="14">
        <v>618</v>
      </c>
      <c r="G35" s="14">
        <v>4006.5</v>
      </c>
      <c r="H35" s="2">
        <f t="shared" si="1"/>
        <v>6.483009708737864</v>
      </c>
      <c r="I35" s="8">
        <v>115</v>
      </c>
      <c r="J35" s="11">
        <f t="shared" si="3"/>
        <v>503</v>
      </c>
      <c r="K35" s="16">
        <v>499</v>
      </c>
      <c r="L35" s="9">
        <f t="shared" si="4"/>
        <v>37.835671342685373</v>
      </c>
      <c r="M35" s="14">
        <v>20030</v>
      </c>
      <c r="N35" s="14">
        <v>18000</v>
      </c>
      <c r="O35" s="20">
        <v>7.1999999999999998E-3</v>
      </c>
      <c r="P35" s="16">
        <v>14915</v>
      </c>
      <c r="Q35" s="17">
        <v>7.64</v>
      </c>
      <c r="R35" s="18">
        <v>28.13</v>
      </c>
      <c r="S35" s="2">
        <f t="shared" si="5"/>
        <v>66.335671342685373</v>
      </c>
      <c r="T35" s="2">
        <f t="shared" si="6"/>
        <v>21.646990291262135</v>
      </c>
      <c r="U35" s="11">
        <f t="shared" si="2"/>
        <v>544.60808786819769</v>
      </c>
      <c r="V35" s="2">
        <f t="shared" si="7"/>
        <v>1.650089379841408</v>
      </c>
      <c r="W35" s="17">
        <v>9573.6</v>
      </c>
      <c r="X35" s="17">
        <v>345</v>
      </c>
      <c r="Y35" s="17">
        <v>17645.7</v>
      </c>
      <c r="Z35" s="29">
        <f t="shared" si="14"/>
        <v>35.362124248496997</v>
      </c>
      <c r="AA35" s="17"/>
      <c r="AB35" s="17"/>
      <c r="AC35" s="17"/>
      <c r="AD35" s="17"/>
      <c r="AE35" s="17"/>
      <c r="AF35" s="17"/>
      <c r="AG35" s="2">
        <f t="shared" si="8"/>
        <v>0.87762753815831696</v>
      </c>
      <c r="AI35" s="2"/>
      <c r="AJ35" s="28" t="s">
        <v>70</v>
      </c>
      <c r="AK35" s="2">
        <f t="shared" si="9"/>
        <v>0</v>
      </c>
      <c r="AL35" s="2">
        <f t="shared" si="10"/>
        <v>0</v>
      </c>
      <c r="AM35" s="2">
        <f t="shared" si="11"/>
        <v>0</v>
      </c>
    </row>
    <row r="36" spans="1:39" x14ac:dyDescent="0.25">
      <c r="A36" s="21">
        <v>2409</v>
      </c>
      <c r="B36" s="14" t="s">
        <v>38</v>
      </c>
      <c r="C36" s="14">
        <v>28.6</v>
      </c>
      <c r="D36" s="15">
        <v>45379</v>
      </c>
      <c r="E36" s="13">
        <f t="shared" si="0"/>
        <v>45417.310975609755</v>
      </c>
      <c r="F36" s="14">
        <v>593</v>
      </c>
      <c r="G36" s="14">
        <v>4000.5</v>
      </c>
      <c r="H36" s="2">
        <f t="shared" si="1"/>
        <v>6.7462057335581784</v>
      </c>
      <c r="I36" s="8">
        <v>90</v>
      </c>
      <c r="J36" s="11">
        <f t="shared" si="3"/>
        <v>503</v>
      </c>
      <c r="K36" s="16">
        <v>492</v>
      </c>
      <c r="L36" s="9">
        <f t="shared" si="4"/>
        <v>38.310975609756099</v>
      </c>
      <c r="M36" s="14">
        <v>19749</v>
      </c>
      <c r="N36" s="14">
        <v>19000</v>
      </c>
      <c r="O36" s="20">
        <v>6.0000000000000001E-3</v>
      </c>
      <c r="P36" s="16">
        <v>15290.5</v>
      </c>
      <c r="Q36" s="17">
        <v>7.49</v>
      </c>
      <c r="R36" s="18">
        <v>29.23</v>
      </c>
      <c r="S36" s="2">
        <f t="shared" si="5"/>
        <v>66.910975609756093</v>
      </c>
      <c r="T36" s="2">
        <f t="shared" si="6"/>
        <v>22.483794266441823</v>
      </c>
      <c r="U36" s="11">
        <f t="shared" si="2"/>
        <v>571.67451516532481</v>
      </c>
      <c r="V36" s="2">
        <f t="shared" si="7"/>
        <v>1.6829052258635961</v>
      </c>
      <c r="W36" s="17">
        <v>9885.2999999999993</v>
      </c>
      <c r="X36" s="17">
        <v>243</v>
      </c>
      <c r="Y36" s="17">
        <v>18723</v>
      </c>
      <c r="Z36" s="29">
        <f t="shared" si="14"/>
        <v>38.054878048780488</v>
      </c>
      <c r="AA36" s="17"/>
      <c r="AB36" s="17"/>
      <c r="AC36" s="17"/>
      <c r="AD36" s="17"/>
      <c r="AE36" s="17"/>
      <c r="AF36" s="17"/>
      <c r="AG36" s="2">
        <f t="shared" si="8"/>
        <v>0.87558015943312661</v>
      </c>
      <c r="AI36" s="2"/>
      <c r="AJ36" s="28" t="s">
        <v>70</v>
      </c>
      <c r="AK36" s="2">
        <f t="shared" si="9"/>
        <v>0</v>
      </c>
      <c r="AL36" s="2">
        <f t="shared" si="10"/>
        <v>0</v>
      </c>
      <c r="AM36" s="2">
        <f t="shared" si="11"/>
        <v>0</v>
      </c>
    </row>
    <row r="37" spans="1:39" x14ac:dyDescent="0.25">
      <c r="A37" s="21">
        <v>2410</v>
      </c>
      <c r="B37" s="14" t="s">
        <v>39</v>
      </c>
      <c r="C37" s="14">
        <v>28.2</v>
      </c>
      <c r="D37" s="15">
        <v>45386</v>
      </c>
      <c r="E37" s="13">
        <f t="shared" si="0"/>
        <v>45424.015717092341</v>
      </c>
      <c r="F37" s="14">
        <v>607</v>
      </c>
      <c r="G37" s="14">
        <v>4183</v>
      </c>
      <c r="H37" s="2">
        <f t="shared" si="1"/>
        <v>6.891268533772652</v>
      </c>
      <c r="I37" s="8">
        <v>90</v>
      </c>
      <c r="J37" s="11">
        <f t="shared" si="3"/>
        <v>517</v>
      </c>
      <c r="K37" s="16">
        <v>509</v>
      </c>
      <c r="L37" s="9">
        <f t="shared" si="4"/>
        <v>38.015717092337916</v>
      </c>
      <c r="M37" s="14">
        <v>20250</v>
      </c>
      <c r="N37" s="14">
        <v>17500</v>
      </c>
      <c r="O37" s="20">
        <v>7.1999999999999998E-3</v>
      </c>
      <c r="P37" s="16">
        <v>14513</v>
      </c>
      <c r="Q37" s="17">
        <v>8</v>
      </c>
      <c r="R37" s="18">
        <v>26.89</v>
      </c>
      <c r="S37" s="2">
        <f t="shared" si="5"/>
        <v>66.215717092337911</v>
      </c>
      <c r="T37" s="2">
        <f t="shared" si="6"/>
        <v>19.998731466227348</v>
      </c>
      <c r="U37" s="11">
        <f t="shared" si="2"/>
        <v>510.1234567901235</v>
      </c>
      <c r="V37" s="2">
        <f t="shared" si="7"/>
        <v>1.6940948693126816</v>
      </c>
      <c r="W37" s="17">
        <v>9526.2999999999993</v>
      </c>
      <c r="X37" s="17">
        <v>243</v>
      </c>
      <c r="Y37" s="17">
        <v>17242.72</v>
      </c>
      <c r="Z37" s="29">
        <f t="shared" si="14"/>
        <v>33.875677799607075</v>
      </c>
      <c r="AA37" s="17"/>
      <c r="AB37" s="17"/>
      <c r="AC37" s="17"/>
      <c r="AD37" s="17"/>
      <c r="AE37" s="17"/>
      <c r="AF37" s="17"/>
      <c r="AG37" s="2">
        <f t="shared" si="8"/>
        <v>0.92219748305905125</v>
      </c>
      <c r="AI37" s="2"/>
      <c r="AJ37" s="28" t="s">
        <v>70</v>
      </c>
      <c r="AK37" s="2">
        <f t="shared" si="9"/>
        <v>0</v>
      </c>
      <c r="AL37" s="2">
        <f t="shared" si="10"/>
        <v>0</v>
      </c>
      <c r="AM37" s="2">
        <f t="shared" si="11"/>
        <v>0</v>
      </c>
    </row>
    <row r="38" spans="1:39" x14ac:dyDescent="0.25">
      <c r="A38" s="21">
        <v>2411</v>
      </c>
      <c r="B38" s="14" t="s">
        <v>40</v>
      </c>
      <c r="C38" s="14">
        <v>28.5</v>
      </c>
      <c r="D38" s="15">
        <v>45393</v>
      </c>
      <c r="E38" s="13">
        <f t="shared" si="0"/>
        <v>45430.884990253413</v>
      </c>
      <c r="F38" s="14">
        <v>606</v>
      </c>
      <c r="G38" s="14">
        <v>4450.5</v>
      </c>
      <c r="H38" s="2">
        <f t="shared" si="1"/>
        <v>7.3440594059405937</v>
      </c>
      <c r="I38" s="8">
        <v>88</v>
      </c>
      <c r="J38" s="11">
        <f t="shared" si="3"/>
        <v>518</v>
      </c>
      <c r="K38" s="16">
        <v>513</v>
      </c>
      <c r="L38" s="9">
        <f t="shared" si="4"/>
        <v>37.884990253411303</v>
      </c>
      <c r="M38" s="14">
        <v>20315</v>
      </c>
      <c r="N38" s="14">
        <v>18800</v>
      </c>
      <c r="O38" s="20">
        <v>9.4000000000000004E-3</v>
      </c>
      <c r="P38" s="16">
        <v>15352</v>
      </c>
      <c r="Q38" s="17">
        <v>8.01</v>
      </c>
      <c r="R38" s="18">
        <v>28.55</v>
      </c>
      <c r="S38" s="2">
        <f t="shared" si="5"/>
        <v>66.384990253411303</v>
      </c>
      <c r="T38" s="2">
        <f t="shared" si="6"/>
        <v>21.205940594059406</v>
      </c>
      <c r="U38" s="11">
        <f t="shared" si="2"/>
        <v>536.62318483878914</v>
      </c>
      <c r="V38" s="2">
        <f t="shared" si="7"/>
        <v>1.7245333211026006</v>
      </c>
      <c r="W38" s="17">
        <v>10259.549999999999</v>
      </c>
      <c r="X38" s="17">
        <v>237.6</v>
      </c>
      <c r="Y38" s="17">
        <v>18510.36</v>
      </c>
      <c r="Z38" s="29">
        <f t="shared" si="14"/>
        <v>36.082573099415207</v>
      </c>
      <c r="AA38" s="17"/>
      <c r="AB38" s="17"/>
      <c r="AC38" s="17"/>
      <c r="AD38" s="17"/>
      <c r="AE38" s="17"/>
      <c r="AF38" s="17"/>
      <c r="AG38" s="2">
        <f t="shared" si="8"/>
        <v>0.94111360821905232</v>
      </c>
      <c r="AI38" s="2"/>
      <c r="AJ38" s="28" t="s">
        <v>70</v>
      </c>
      <c r="AK38" s="2">
        <f t="shared" si="9"/>
        <v>0</v>
      </c>
      <c r="AL38" s="2">
        <f t="shared" si="10"/>
        <v>0</v>
      </c>
      <c r="AM38" s="2">
        <f t="shared" si="11"/>
        <v>0</v>
      </c>
    </row>
    <row r="39" spans="1:39" x14ac:dyDescent="0.25">
      <c r="A39" s="21">
        <v>2412</v>
      </c>
      <c r="B39" s="14" t="s">
        <v>35</v>
      </c>
      <c r="C39" s="14">
        <v>28.7</v>
      </c>
      <c r="D39" s="15">
        <v>45400</v>
      </c>
      <c r="E39" s="13">
        <f t="shared" si="0"/>
        <v>45438.082692307689</v>
      </c>
      <c r="F39" s="14">
        <v>637</v>
      </c>
      <c r="G39" s="14">
        <v>4631</v>
      </c>
      <c r="H39" s="2">
        <f t="shared" si="1"/>
        <v>7.2700156985871276</v>
      </c>
      <c r="I39" s="8">
        <v>112</v>
      </c>
      <c r="J39" s="11">
        <f t="shared" si="3"/>
        <v>525</v>
      </c>
      <c r="K39" s="16">
        <v>520</v>
      </c>
      <c r="L39" s="9">
        <f t="shared" si="4"/>
        <v>38.082692307692305</v>
      </c>
      <c r="M39" s="14">
        <v>20923</v>
      </c>
      <c r="N39" s="14">
        <v>19200</v>
      </c>
      <c r="O39" s="20">
        <v>9.1999999999999998E-3</v>
      </c>
      <c r="P39" s="16">
        <v>16084.5</v>
      </c>
      <c r="Q39" s="17">
        <v>9.39</v>
      </c>
      <c r="R39" s="18">
        <v>28.91</v>
      </c>
      <c r="S39" s="2">
        <f t="shared" si="5"/>
        <v>66.782692307692301</v>
      </c>
      <c r="T39" s="2">
        <f t="shared" si="6"/>
        <v>21.639984301412873</v>
      </c>
      <c r="U39" s="11">
        <f t="shared" si="2"/>
        <v>547.41193901448173</v>
      </c>
      <c r="V39" s="2">
        <f t="shared" si="7"/>
        <v>1.6763434757934257</v>
      </c>
      <c r="W39" s="17">
        <v>10626.06</v>
      </c>
      <c r="X39" s="17">
        <v>336</v>
      </c>
      <c r="Y39" s="17">
        <v>18794.86</v>
      </c>
      <c r="Z39" s="29">
        <f t="shared" si="14"/>
        <v>36.143961538461539</v>
      </c>
      <c r="AA39" s="17"/>
      <c r="AB39" s="17"/>
      <c r="AC39" s="17"/>
      <c r="AD39" s="17"/>
      <c r="AE39" s="17"/>
      <c r="AF39" s="17"/>
      <c r="AG39" s="2">
        <f t="shared" si="8"/>
        <v>0.92775658095778579</v>
      </c>
      <c r="AI39" s="2"/>
      <c r="AJ39" s="28" t="s">
        <v>70</v>
      </c>
      <c r="AK39" s="2">
        <f t="shared" si="9"/>
        <v>0</v>
      </c>
      <c r="AL39" s="2">
        <f t="shared" si="10"/>
        <v>0</v>
      </c>
      <c r="AM39" s="2">
        <f t="shared" si="11"/>
        <v>0</v>
      </c>
    </row>
    <row r="40" spans="1:39" x14ac:dyDescent="0.25">
      <c r="A40" s="21">
        <v>2413</v>
      </c>
      <c r="B40" s="14" t="s">
        <v>36</v>
      </c>
      <c r="C40" s="14">
        <v>28.7</v>
      </c>
      <c r="D40" s="15">
        <v>45407</v>
      </c>
      <c r="E40" s="13">
        <f t="shared" si="0"/>
        <v>45446.25296442688</v>
      </c>
      <c r="F40" s="14">
        <v>649</v>
      </c>
      <c r="G40" s="14">
        <v>4470</v>
      </c>
      <c r="H40" s="2">
        <f t="shared" si="1"/>
        <v>6.8875192604006159</v>
      </c>
      <c r="I40" s="8">
        <v>139</v>
      </c>
      <c r="J40" s="11">
        <f t="shared" si="3"/>
        <v>510</v>
      </c>
      <c r="K40" s="16">
        <v>506</v>
      </c>
      <c r="L40" s="9">
        <f t="shared" si="4"/>
        <v>39.252964426877469</v>
      </c>
      <c r="M40" s="14">
        <v>21252</v>
      </c>
      <c r="N40" s="14">
        <v>18000</v>
      </c>
      <c r="O40" s="20">
        <v>1.3599999999999999E-2</v>
      </c>
      <c r="P40" s="16">
        <v>16302.5</v>
      </c>
      <c r="Q40" s="17">
        <v>8.5299999999999994</v>
      </c>
      <c r="R40" s="18">
        <v>29.87</v>
      </c>
      <c r="S40" s="2">
        <f t="shared" si="5"/>
        <v>67.952964426877472</v>
      </c>
      <c r="T40" s="2">
        <f t="shared" si="6"/>
        <v>22.982480739599385</v>
      </c>
      <c r="U40" s="11">
        <f t="shared" si="2"/>
        <v>556.77112742330132</v>
      </c>
      <c r="V40" s="2">
        <f t="shared" si="7"/>
        <v>1.5212338897105431</v>
      </c>
      <c r="W40" s="17">
        <v>10210.299999999999</v>
      </c>
      <c r="X40" s="17">
        <v>581.02</v>
      </c>
      <c r="Y40" s="17">
        <v>17354.82</v>
      </c>
      <c r="Z40" s="29">
        <f t="shared" si="14"/>
        <v>34.298063241106718</v>
      </c>
      <c r="AA40" s="17"/>
      <c r="AB40" s="17"/>
      <c r="AC40" s="17"/>
      <c r="AD40" s="17"/>
      <c r="AE40" s="17"/>
      <c r="AF40" s="17"/>
      <c r="AG40" s="2">
        <f t="shared" si="8"/>
        <v>0.8629030213395309</v>
      </c>
      <c r="AI40" s="2"/>
      <c r="AJ40" s="14"/>
      <c r="AK40" s="2">
        <f t="shared" si="9"/>
        <v>0</v>
      </c>
      <c r="AL40" s="2">
        <f t="shared" si="10"/>
        <v>0</v>
      </c>
      <c r="AM40" s="2">
        <f t="shared" si="11"/>
        <v>0</v>
      </c>
    </row>
    <row r="41" spans="1:39" x14ac:dyDescent="0.25">
      <c r="A41" s="21">
        <v>2414</v>
      </c>
      <c r="B41" s="14" t="s">
        <v>37</v>
      </c>
      <c r="C41" s="14">
        <v>27.1</v>
      </c>
      <c r="D41" s="15">
        <v>45414</v>
      </c>
      <c r="E41" s="13">
        <f t="shared" si="0"/>
        <v>45451.984095427433</v>
      </c>
      <c r="F41" s="14">
        <v>597</v>
      </c>
      <c r="G41" s="14">
        <v>4076</v>
      </c>
      <c r="H41" s="2">
        <f t="shared" si="1"/>
        <v>6.8274706867671693</v>
      </c>
      <c r="I41" s="8">
        <v>88</v>
      </c>
      <c r="J41" s="11">
        <f t="shared" si="3"/>
        <v>509</v>
      </c>
      <c r="K41" s="16">
        <v>503</v>
      </c>
      <c r="L41" s="9">
        <f t="shared" si="4"/>
        <v>37.984095427435385</v>
      </c>
      <c r="M41" s="14">
        <v>19986</v>
      </c>
      <c r="N41" s="14">
        <v>16600</v>
      </c>
      <c r="O41" s="20">
        <v>1.0999999999999999E-2</v>
      </c>
      <c r="P41" s="16">
        <v>14913.5</v>
      </c>
      <c r="Q41" s="17">
        <v>7.8</v>
      </c>
      <c r="R41" s="18">
        <v>28.29</v>
      </c>
      <c r="S41" s="2">
        <f t="shared" si="5"/>
        <v>65.084095427435386</v>
      </c>
      <c r="T41" s="2">
        <f t="shared" si="6"/>
        <v>21.462529313232828</v>
      </c>
      <c r="U41" s="11">
        <f t="shared" si="2"/>
        <v>542.25457820474332</v>
      </c>
      <c r="V41" s="2">
        <f t="shared" si="7"/>
        <v>1.5317185697808535</v>
      </c>
      <c r="W41" s="17">
        <v>9252.36</v>
      </c>
      <c r="X41" s="17">
        <v>264</v>
      </c>
      <c r="Y41" s="17">
        <v>16310.22</v>
      </c>
      <c r="Z41" s="29">
        <f t="shared" si="14"/>
        <v>32.425884691848907</v>
      </c>
      <c r="AA41" s="17"/>
      <c r="AB41" s="17"/>
      <c r="AC41" s="17"/>
      <c r="AD41" s="17"/>
      <c r="AE41" s="17"/>
      <c r="AF41" s="17"/>
      <c r="AG41" s="2">
        <f t="shared" si="8"/>
        <v>0.85373564013840841</v>
      </c>
      <c r="AI41" s="2"/>
      <c r="AJ41" s="28" t="s">
        <v>69</v>
      </c>
      <c r="AK41" s="2">
        <f t="shared" si="9"/>
        <v>0</v>
      </c>
      <c r="AL41" s="2">
        <f t="shared" si="10"/>
        <v>0</v>
      </c>
      <c r="AM41" s="2">
        <f t="shared" si="11"/>
        <v>0</v>
      </c>
    </row>
    <row r="42" spans="1:39" x14ac:dyDescent="0.25">
      <c r="A42" s="21">
        <v>2415</v>
      </c>
      <c r="B42" s="14" t="s">
        <v>38</v>
      </c>
      <c r="C42" s="14">
        <v>27.4</v>
      </c>
      <c r="D42" s="15">
        <v>45421</v>
      </c>
      <c r="E42" s="13">
        <f t="shared" si="0"/>
        <v>45459.069767441862</v>
      </c>
      <c r="F42" s="14">
        <v>598</v>
      </c>
      <c r="G42" s="14">
        <v>4011</v>
      </c>
      <c r="H42" s="2">
        <f t="shared" si="1"/>
        <v>6.7073578595317729</v>
      </c>
      <c r="I42" s="8">
        <v>75</v>
      </c>
      <c r="J42" s="11">
        <v>523</v>
      </c>
      <c r="K42" s="16">
        <v>516</v>
      </c>
      <c r="L42" s="9">
        <f t="shared" si="4"/>
        <v>38.069767441860463</v>
      </c>
      <c r="M42" s="14">
        <v>20394</v>
      </c>
      <c r="N42" s="14">
        <v>17800</v>
      </c>
      <c r="O42" s="20">
        <v>1.2699999999999999E-2</v>
      </c>
      <c r="P42" s="16">
        <v>14546</v>
      </c>
      <c r="Q42" s="17">
        <v>8.0399999999999991</v>
      </c>
      <c r="R42" s="18">
        <v>27.02</v>
      </c>
      <c r="S42" s="2">
        <f t="shared" si="5"/>
        <v>65.469767441860455</v>
      </c>
      <c r="T42" s="2">
        <f t="shared" si="6"/>
        <v>20.312642140468228</v>
      </c>
      <c r="U42" s="11">
        <f t="shared" si="2"/>
        <v>516.57350201039526</v>
      </c>
      <c r="V42" s="2">
        <f>N42/(P42-G42)</f>
        <v>1.6896060749881348</v>
      </c>
      <c r="W42" s="17">
        <v>10059.290000000001</v>
      </c>
      <c r="X42" s="17">
        <v>225</v>
      </c>
      <c r="Y42" s="17">
        <v>17536.54</v>
      </c>
      <c r="Z42" s="29">
        <f t="shared" si="14"/>
        <v>33.985542635658916</v>
      </c>
      <c r="AA42" s="17"/>
      <c r="AB42" s="17"/>
      <c r="AC42" s="17"/>
      <c r="AD42" s="17"/>
      <c r="AE42" s="17"/>
      <c r="AF42" s="17"/>
      <c r="AG42" s="2">
        <f t="shared" si="8"/>
        <v>0.95484480303749419</v>
      </c>
      <c r="AI42" s="2"/>
      <c r="AJ42" s="28" t="s">
        <v>69</v>
      </c>
      <c r="AK42" s="2">
        <f t="shared" si="9"/>
        <v>0</v>
      </c>
      <c r="AL42" s="2">
        <f t="shared" si="10"/>
        <v>0</v>
      </c>
      <c r="AM42" s="2">
        <f t="shared" si="11"/>
        <v>0</v>
      </c>
    </row>
    <row r="43" spans="1:39" x14ac:dyDescent="0.25">
      <c r="A43" s="21">
        <v>2416</v>
      </c>
      <c r="B43" s="14" t="s">
        <v>39</v>
      </c>
      <c r="C43" s="14">
        <v>30</v>
      </c>
      <c r="D43" s="15">
        <v>45428</v>
      </c>
      <c r="E43" s="13">
        <f t="shared" si="0"/>
        <v>45465.98653846154</v>
      </c>
      <c r="F43" s="14">
        <v>594</v>
      </c>
      <c r="G43" s="14">
        <v>4168</v>
      </c>
      <c r="H43" s="2">
        <f t="shared" si="1"/>
        <v>7.0168350168350164</v>
      </c>
      <c r="I43" s="8">
        <v>70</v>
      </c>
      <c r="J43" s="11">
        <f t="shared" si="3"/>
        <v>524</v>
      </c>
      <c r="K43" s="16">
        <v>520</v>
      </c>
      <c r="L43" s="9">
        <f t="shared" si="4"/>
        <v>37.986538461538458</v>
      </c>
      <c r="M43" s="14">
        <v>20453</v>
      </c>
      <c r="N43" s="14">
        <v>18400</v>
      </c>
      <c r="O43" s="20">
        <v>6.7000000000000002E-3</v>
      </c>
      <c r="P43" s="16">
        <v>15648</v>
      </c>
      <c r="Q43" s="17">
        <v>9.39</v>
      </c>
      <c r="R43" s="18">
        <v>28.83</v>
      </c>
      <c r="S43" s="2">
        <f t="shared" si="5"/>
        <v>67.986538461538458</v>
      </c>
      <c r="T43" s="2">
        <f t="shared" si="6"/>
        <v>21.813164983164981</v>
      </c>
      <c r="U43" s="11">
        <f t="shared" si="2"/>
        <v>561.28685278443254</v>
      </c>
      <c r="V43" s="2">
        <f t="shared" si="7"/>
        <v>1.602787456445993</v>
      </c>
      <c r="W43" s="17">
        <v>9985.7000000000007</v>
      </c>
      <c r="X43" s="17">
        <v>210</v>
      </c>
      <c r="Y43" s="17">
        <v>18181.099999999999</v>
      </c>
      <c r="Z43" s="29">
        <f t="shared" si="14"/>
        <v>34.963653846153846</v>
      </c>
      <c r="AA43" s="17"/>
      <c r="AB43" s="17"/>
      <c r="AC43" s="17"/>
      <c r="AD43" s="17"/>
      <c r="AE43" s="17"/>
      <c r="AF43" s="17"/>
      <c r="AG43" s="2">
        <f t="shared" si="8"/>
        <v>0.86983449477351926</v>
      </c>
      <c r="AI43" s="2"/>
      <c r="AJ43" s="14"/>
      <c r="AK43" s="2">
        <f t="shared" si="9"/>
        <v>0</v>
      </c>
      <c r="AL43" s="2">
        <f t="shared" si="10"/>
        <v>0</v>
      </c>
      <c r="AM43" s="2">
        <f t="shared" si="11"/>
        <v>0</v>
      </c>
    </row>
    <row r="44" spans="1:39" x14ac:dyDescent="0.25">
      <c r="A44" s="21">
        <v>2417</v>
      </c>
      <c r="B44" s="14" t="s">
        <v>40</v>
      </c>
      <c r="C44" s="14">
        <v>28</v>
      </c>
      <c r="D44" s="15">
        <v>45435</v>
      </c>
      <c r="E44" s="13">
        <f t="shared" si="0"/>
        <v>45473.051526717558</v>
      </c>
      <c r="F44" s="14">
        <v>665</v>
      </c>
      <c r="G44" s="14">
        <v>5112.5</v>
      </c>
      <c r="H44" s="2">
        <f t="shared" si="1"/>
        <v>7.6879699248120303</v>
      </c>
      <c r="I44" s="8">
        <v>134</v>
      </c>
      <c r="J44" s="11">
        <f t="shared" si="3"/>
        <v>531</v>
      </c>
      <c r="K44" s="16">
        <v>524</v>
      </c>
      <c r="L44" s="9">
        <f t="shared" si="4"/>
        <v>38.051526717557252</v>
      </c>
      <c r="M44" s="14">
        <v>21279</v>
      </c>
      <c r="N44" s="14">
        <v>18081.3</v>
      </c>
      <c r="O44" s="20">
        <v>1.2500000000000001E-2</v>
      </c>
      <c r="P44" s="16">
        <v>16786.5</v>
      </c>
      <c r="Q44" s="17">
        <v>8.0500000000000007</v>
      </c>
      <c r="R44" s="18">
        <v>29.98</v>
      </c>
      <c r="S44" s="2">
        <f t="shared" si="5"/>
        <v>66.051526717557252</v>
      </c>
      <c r="T44" s="2">
        <f t="shared" si="6"/>
        <v>22.29203007518797</v>
      </c>
      <c r="U44" s="11">
        <f t="shared" si="2"/>
        <v>548.61600639127778</v>
      </c>
      <c r="V44" s="2">
        <f t="shared" si="7"/>
        <v>1.5488521500770944</v>
      </c>
      <c r="W44" s="17">
        <v>10678.792648999997</v>
      </c>
      <c r="X44" s="17">
        <v>402</v>
      </c>
      <c r="Y44" s="17">
        <v>17591.5</v>
      </c>
      <c r="Z44" s="29">
        <f t="shared" si="14"/>
        <v>33.57156488549618</v>
      </c>
      <c r="AA44" s="17"/>
      <c r="AB44" s="17"/>
      <c r="AC44" s="17"/>
      <c r="AD44" s="17"/>
      <c r="AE44" s="17"/>
      <c r="AF44" s="17"/>
      <c r="AG44" s="2">
        <f t="shared" si="8"/>
        <v>0.91475009842384758</v>
      </c>
      <c r="AI44" s="2"/>
      <c r="AJ44" s="14"/>
      <c r="AK44" s="2">
        <f t="shared" si="9"/>
        <v>0</v>
      </c>
      <c r="AL44" s="2">
        <f t="shared" si="10"/>
        <v>0</v>
      </c>
      <c r="AM44" s="2">
        <f t="shared" si="11"/>
        <v>0</v>
      </c>
    </row>
    <row r="45" spans="1:39" x14ac:dyDescent="0.25">
      <c r="A45" s="21">
        <v>2418</v>
      </c>
      <c r="B45" s="14" t="s">
        <v>35</v>
      </c>
      <c r="C45" s="14">
        <v>27.9</v>
      </c>
      <c r="D45" s="15">
        <v>45442</v>
      </c>
      <c r="E45" s="13">
        <f t="shared" si="0"/>
        <v>45480.034615384619</v>
      </c>
      <c r="F45" s="14">
        <v>661</v>
      </c>
      <c r="G45" s="14">
        <v>4914.5</v>
      </c>
      <c r="H45" s="2">
        <f t="shared" si="1"/>
        <v>7.4349470499243573</v>
      </c>
      <c r="I45" s="8">
        <v>130</v>
      </c>
      <c r="J45" s="11">
        <f t="shared" si="3"/>
        <v>531</v>
      </c>
      <c r="K45" s="16">
        <v>520</v>
      </c>
      <c r="L45" s="9">
        <f t="shared" si="4"/>
        <v>38.034615384615385</v>
      </c>
      <c r="M45" s="14">
        <v>21078</v>
      </c>
      <c r="N45" s="14">
        <v>17693.7</v>
      </c>
      <c r="O45" s="20">
        <v>1.9E-2</v>
      </c>
      <c r="P45" s="16">
        <v>16027.5</v>
      </c>
      <c r="Q45" s="17">
        <v>8.25</v>
      </c>
      <c r="R45" s="18">
        <v>28.76</v>
      </c>
      <c r="S45" s="2">
        <f t="shared" si="5"/>
        <v>65.934615384615384</v>
      </c>
      <c r="T45" s="2">
        <f t="shared" si="6"/>
        <v>21.325052950075644</v>
      </c>
      <c r="U45" s="11">
        <f t="shared" si="2"/>
        <v>527.23218521681372</v>
      </c>
      <c r="V45" s="2">
        <f t="shared" si="7"/>
        <v>1.5921623324034915</v>
      </c>
      <c r="W45" s="17">
        <v>10137.019600999998</v>
      </c>
      <c r="X45" s="17">
        <v>390</v>
      </c>
      <c r="Y45" s="17">
        <v>17234.32</v>
      </c>
      <c r="Z45" s="29">
        <f t="shared" si="14"/>
        <v>33.142923076923076</v>
      </c>
      <c r="AA45" s="17"/>
      <c r="AB45" s="17"/>
      <c r="AC45" s="17"/>
      <c r="AD45" s="17"/>
      <c r="AE45" s="17"/>
      <c r="AF45" s="17"/>
      <c r="AG45" s="2">
        <f t="shared" si="8"/>
        <v>0.91217669405201096</v>
      </c>
      <c r="AI45" s="2"/>
      <c r="AJ45" s="14"/>
      <c r="AK45" s="2">
        <f t="shared" si="9"/>
        <v>0</v>
      </c>
      <c r="AL45" s="2">
        <f t="shared" si="10"/>
        <v>0</v>
      </c>
      <c r="AM45" s="2">
        <f t="shared" si="11"/>
        <v>0</v>
      </c>
    </row>
    <row r="46" spans="1:39" x14ac:dyDescent="0.25">
      <c r="A46" s="21">
        <v>2419</v>
      </c>
      <c r="B46" s="14" t="s">
        <v>36</v>
      </c>
      <c r="C46" s="14">
        <v>28.8</v>
      </c>
      <c r="D46" s="15">
        <v>45449</v>
      </c>
      <c r="E46" s="13">
        <f t="shared" si="0"/>
        <v>45487.147286821702</v>
      </c>
      <c r="F46" s="14">
        <v>648</v>
      </c>
      <c r="G46" s="14">
        <v>4600.5</v>
      </c>
      <c r="H46" s="2">
        <f t="shared" si="1"/>
        <v>7.0995370370370372</v>
      </c>
      <c r="I46" s="8">
        <v>117</v>
      </c>
      <c r="J46" s="11">
        <f t="shared" si="3"/>
        <v>531</v>
      </c>
      <c r="K46" s="16">
        <v>516</v>
      </c>
      <c r="L46" s="9">
        <f t="shared" si="4"/>
        <v>38.147286821705428</v>
      </c>
      <c r="M46" s="14">
        <v>20854</v>
      </c>
      <c r="N46" s="14">
        <v>17425</v>
      </c>
      <c r="O46" s="20">
        <v>2.3099999999999999E-2</v>
      </c>
      <c r="P46" s="16">
        <v>15620.5</v>
      </c>
      <c r="Q46" s="17">
        <v>8.02</v>
      </c>
      <c r="R46" s="18">
        <v>28.45</v>
      </c>
      <c r="S46" s="2">
        <f t="shared" si="5"/>
        <v>66.947286821705433</v>
      </c>
      <c r="T46" s="2">
        <f t="shared" si="6"/>
        <v>21.350462962962961</v>
      </c>
      <c r="U46" s="11">
        <f t="shared" si="2"/>
        <v>528.43579169463897</v>
      </c>
      <c r="V46" s="2">
        <f t="shared" si="7"/>
        <v>1.5812159709618874</v>
      </c>
      <c r="W46" s="17">
        <v>10093.865750000001</v>
      </c>
      <c r="X46" s="17">
        <v>489.06</v>
      </c>
      <c r="Y46" s="17">
        <v>16910.09</v>
      </c>
      <c r="Z46" s="29">
        <f t="shared" si="14"/>
        <v>32.771492248062017</v>
      </c>
      <c r="AA46" s="17"/>
      <c r="AB46" s="17"/>
      <c r="AC46" s="17"/>
      <c r="AD46" s="17"/>
      <c r="AE46" s="17"/>
      <c r="AF46" s="17"/>
      <c r="AG46" s="2">
        <f t="shared" si="8"/>
        <v>0.91595877949183313</v>
      </c>
      <c r="AI46" s="2"/>
      <c r="AJ46" s="14"/>
      <c r="AK46" s="2">
        <f t="shared" si="9"/>
        <v>0</v>
      </c>
      <c r="AL46" s="2">
        <f t="shared" si="10"/>
        <v>0</v>
      </c>
      <c r="AM46" s="2">
        <f t="shared" si="11"/>
        <v>0</v>
      </c>
    </row>
    <row r="47" spans="1:39" x14ac:dyDescent="0.25">
      <c r="A47" s="21">
        <v>2420</v>
      </c>
      <c r="B47" s="14" t="s">
        <v>37</v>
      </c>
      <c r="C47" s="14">
        <v>28.2</v>
      </c>
      <c r="D47" s="15">
        <v>45456</v>
      </c>
      <c r="E47" s="13">
        <f t="shared" si="0"/>
        <v>45494.053113553113</v>
      </c>
      <c r="F47" s="14">
        <v>621</v>
      </c>
      <c r="G47" s="14">
        <v>4354.5</v>
      </c>
      <c r="H47" s="2">
        <f t="shared" si="1"/>
        <v>7.0120772946859899</v>
      </c>
      <c r="I47" s="8">
        <v>56</v>
      </c>
      <c r="J47" s="11">
        <f t="shared" si="3"/>
        <v>565</v>
      </c>
      <c r="K47" s="16">
        <v>546</v>
      </c>
      <c r="L47" s="9">
        <f t="shared" si="4"/>
        <v>38.053113553113555</v>
      </c>
      <c r="M47" s="14">
        <v>21337</v>
      </c>
      <c r="N47" s="14">
        <v>17400</v>
      </c>
      <c r="O47" s="20">
        <v>3.0800000000000001E-2</v>
      </c>
      <c r="P47" s="16">
        <v>15957</v>
      </c>
      <c r="Q47" s="17">
        <v>7.95</v>
      </c>
      <c r="R47" s="18">
        <v>28.41</v>
      </c>
      <c r="S47" s="2">
        <f t="shared" si="5"/>
        <v>66.25311355311355</v>
      </c>
      <c r="T47" s="2">
        <f t="shared" si="6"/>
        <v>21.397922705314009</v>
      </c>
      <c r="U47" s="11">
        <f t="shared" si="2"/>
        <v>543.77372639077657</v>
      </c>
      <c r="V47" s="2">
        <f t="shared" si="7"/>
        <v>1.4996767937944409</v>
      </c>
      <c r="W47" s="17">
        <v>9993.1939999999977</v>
      </c>
      <c r="X47" s="17">
        <v>168</v>
      </c>
      <c r="Y47" s="17">
        <v>17201.34</v>
      </c>
      <c r="Z47" s="29">
        <f t="shared" si="14"/>
        <v>31.504285714285714</v>
      </c>
      <c r="AA47" s="17"/>
      <c r="AB47" s="17"/>
      <c r="AC47" s="17"/>
      <c r="AD47" s="17"/>
      <c r="AE47" s="17"/>
      <c r="AF47" s="17"/>
      <c r="AG47" s="2">
        <f t="shared" si="8"/>
        <v>0.86129661710838157</v>
      </c>
      <c r="AI47" s="2"/>
      <c r="AJ47" s="14"/>
      <c r="AK47" s="2">
        <f t="shared" si="9"/>
        <v>0</v>
      </c>
      <c r="AL47" s="2">
        <f t="shared" si="10"/>
        <v>0</v>
      </c>
      <c r="AM47" s="2">
        <f t="shared" si="11"/>
        <v>0</v>
      </c>
    </row>
    <row r="48" spans="1:39" x14ac:dyDescent="0.25">
      <c r="A48" s="21">
        <v>2421</v>
      </c>
      <c r="B48" s="14" t="s">
        <v>38</v>
      </c>
      <c r="C48" s="14">
        <v>28.8</v>
      </c>
      <c r="D48" s="15">
        <v>45463</v>
      </c>
      <c r="E48" s="13">
        <f t="shared" si="0"/>
        <v>45501.017612524462</v>
      </c>
      <c r="F48" s="14">
        <v>605</v>
      </c>
      <c r="G48" s="14">
        <v>4278.5</v>
      </c>
      <c r="H48" s="2">
        <f t="shared" si="1"/>
        <v>7.0719008264462806</v>
      </c>
      <c r="I48" s="8">
        <v>89</v>
      </c>
      <c r="J48" s="11">
        <f t="shared" si="3"/>
        <v>516</v>
      </c>
      <c r="K48" s="16">
        <v>511</v>
      </c>
      <c r="L48" s="9">
        <f t="shared" si="4"/>
        <v>38.017612524461839</v>
      </c>
      <c r="M48" s="14">
        <v>20317</v>
      </c>
      <c r="N48" s="14">
        <v>17100</v>
      </c>
      <c r="O48" s="20">
        <v>9.4000000000000004E-3</v>
      </c>
      <c r="P48" s="16">
        <v>15741</v>
      </c>
      <c r="Q48" s="17">
        <v>9.5399999999999991</v>
      </c>
      <c r="R48" s="18">
        <v>29.14</v>
      </c>
      <c r="S48" s="2">
        <f t="shared" si="5"/>
        <v>66.817612524461836</v>
      </c>
      <c r="T48" s="2">
        <f t="shared" si="6"/>
        <v>22.068099173553719</v>
      </c>
      <c r="U48" s="11">
        <f t="shared" si="2"/>
        <v>564.18270413939069</v>
      </c>
      <c r="V48" s="2">
        <f t="shared" si="7"/>
        <v>1.4918211559432935</v>
      </c>
      <c r="W48" s="17">
        <v>10017.905999999999</v>
      </c>
      <c r="X48" s="17">
        <v>267</v>
      </c>
      <c r="Y48" s="17">
        <v>16786.560000000001</v>
      </c>
      <c r="Z48" s="29">
        <f t="shared" si="14"/>
        <v>32.850410958904114</v>
      </c>
      <c r="AA48" s="17"/>
      <c r="AB48" s="17"/>
      <c r="AC48" s="17"/>
      <c r="AD48" s="17"/>
      <c r="AE48" s="17"/>
      <c r="AF48" s="17"/>
      <c r="AG48" s="2">
        <f t="shared" si="8"/>
        <v>0.87397217011995632</v>
      </c>
      <c r="AI48" s="2"/>
      <c r="AJ48" s="14"/>
      <c r="AK48" s="2">
        <f t="shared" si="9"/>
        <v>0</v>
      </c>
      <c r="AL48" s="2">
        <f t="shared" si="10"/>
        <v>0</v>
      </c>
      <c r="AM48" s="2">
        <f t="shared" si="11"/>
        <v>0</v>
      </c>
    </row>
    <row r="49" spans="1:39" x14ac:dyDescent="0.25">
      <c r="A49" s="21">
        <v>2422</v>
      </c>
      <c r="B49" s="14" t="s">
        <v>39</v>
      </c>
      <c r="C49" s="14">
        <v>29</v>
      </c>
      <c r="D49" s="15">
        <v>45470</v>
      </c>
      <c r="E49" s="13">
        <f t="shared" si="0"/>
        <v>45507.853333333333</v>
      </c>
      <c r="F49" s="14">
        <v>644</v>
      </c>
      <c r="G49" s="14">
        <v>4633</v>
      </c>
      <c r="H49" s="2">
        <f t="shared" si="1"/>
        <v>7.1940993788819876</v>
      </c>
      <c r="I49" s="8">
        <v>115</v>
      </c>
      <c r="J49" s="11">
        <f t="shared" si="3"/>
        <v>529</v>
      </c>
      <c r="K49" s="16">
        <v>525</v>
      </c>
      <c r="L49" s="9">
        <f t="shared" si="4"/>
        <v>37.853333333333332</v>
      </c>
      <c r="M49" s="14">
        <v>21023</v>
      </c>
      <c r="N49" s="14">
        <v>18200</v>
      </c>
      <c r="O49" s="20">
        <v>6.6E-3</v>
      </c>
      <c r="P49" s="16">
        <v>16468.5</v>
      </c>
      <c r="Q49" s="17">
        <v>7.88</v>
      </c>
      <c r="R49" s="18">
        <v>29.64</v>
      </c>
      <c r="S49" s="2">
        <f t="shared" si="5"/>
        <v>66.853333333333325</v>
      </c>
      <c r="T49" s="2">
        <f t="shared" si="6"/>
        <v>22.445900621118014</v>
      </c>
      <c r="U49" s="11">
        <f t="shared" si="2"/>
        <v>562.97864243923323</v>
      </c>
      <c r="V49" s="2">
        <f t="shared" si="7"/>
        <v>1.5377466097756749</v>
      </c>
      <c r="W49" s="17">
        <v>9224.5455000000002</v>
      </c>
      <c r="X49" s="17">
        <v>345</v>
      </c>
      <c r="Y49" s="17">
        <v>17838.439999999999</v>
      </c>
      <c r="Z49" s="29">
        <f t="shared" si="14"/>
        <v>33.977980952380953</v>
      </c>
      <c r="AA49" s="17"/>
      <c r="AB49" s="17"/>
      <c r="AC49" s="17"/>
      <c r="AD49" s="17"/>
      <c r="AE49" s="17"/>
      <c r="AF49" s="17"/>
      <c r="AG49" s="2">
        <f t="shared" si="8"/>
        <v>0.77939634996409113</v>
      </c>
      <c r="AI49" s="2"/>
      <c r="AJ49" s="14"/>
      <c r="AK49" s="2">
        <f t="shared" si="9"/>
        <v>0</v>
      </c>
      <c r="AL49" s="2">
        <f t="shared" si="10"/>
        <v>0</v>
      </c>
      <c r="AM49" s="2">
        <f t="shared" si="11"/>
        <v>0</v>
      </c>
    </row>
    <row r="50" spans="1:39" x14ac:dyDescent="0.25">
      <c r="A50" s="21">
        <v>2423</v>
      </c>
      <c r="B50" s="14" t="s">
        <v>40</v>
      </c>
      <c r="C50" s="14">
        <v>28.8</v>
      </c>
      <c r="D50" s="15">
        <v>45477</v>
      </c>
      <c r="E50" s="13">
        <f t="shared" si="0"/>
        <v>45514.980769230766</v>
      </c>
      <c r="F50" s="14">
        <v>639</v>
      </c>
      <c r="G50" s="14">
        <v>4490.5</v>
      </c>
      <c r="H50" s="2">
        <f t="shared" si="1"/>
        <v>7.0273865414710484</v>
      </c>
      <c r="I50" s="8">
        <v>109</v>
      </c>
      <c r="J50" s="11">
        <f t="shared" si="3"/>
        <v>530</v>
      </c>
      <c r="K50" s="16">
        <v>520</v>
      </c>
      <c r="L50" s="9">
        <f t="shared" si="4"/>
        <v>37.980769230769234</v>
      </c>
      <c r="M50" s="14">
        <v>20840</v>
      </c>
      <c r="N50" s="14">
        <v>17400</v>
      </c>
      <c r="O50" s="20">
        <v>1.67E-2</v>
      </c>
      <c r="P50" s="16">
        <v>15332.5</v>
      </c>
      <c r="Q50" s="17">
        <v>7.5</v>
      </c>
      <c r="R50" s="18">
        <v>27.91</v>
      </c>
      <c r="S50" s="2">
        <f t="shared" si="5"/>
        <v>66.780769230769238</v>
      </c>
      <c r="T50" s="2">
        <f t="shared" si="6"/>
        <v>20.882613458528951</v>
      </c>
      <c r="U50" s="11">
        <f t="shared" si="2"/>
        <v>520.24952015355086</v>
      </c>
      <c r="V50" s="2">
        <f t="shared" si="7"/>
        <v>1.6048699501936912</v>
      </c>
      <c r="W50" s="17">
        <v>9901.2969999999987</v>
      </c>
      <c r="X50" s="17">
        <v>327</v>
      </c>
      <c r="Y50" s="17">
        <v>17026.45</v>
      </c>
      <c r="Z50" s="29">
        <f t="shared" si="14"/>
        <v>32.743173076923078</v>
      </c>
      <c r="AA50" s="17"/>
      <c r="AB50" s="17"/>
      <c r="AC50" s="17"/>
      <c r="AD50" s="17"/>
      <c r="AE50" s="17"/>
      <c r="AF50" s="17"/>
      <c r="AG50" s="2">
        <f t="shared" si="8"/>
        <v>0.91323528869212311</v>
      </c>
      <c r="AI50" s="2"/>
      <c r="AJ50" s="14"/>
      <c r="AK50" s="2">
        <f t="shared" si="9"/>
        <v>0</v>
      </c>
      <c r="AL50" s="2">
        <f t="shared" si="10"/>
        <v>0</v>
      </c>
      <c r="AM50" s="2">
        <f t="shared" si="11"/>
        <v>0</v>
      </c>
    </row>
    <row r="51" spans="1:39" x14ac:dyDescent="0.25">
      <c r="A51" s="21">
        <v>2424</v>
      </c>
      <c r="B51" s="14" t="s">
        <v>35</v>
      </c>
      <c r="C51" s="14">
        <v>29.3</v>
      </c>
      <c r="D51" s="15">
        <v>45484</v>
      </c>
      <c r="E51" s="13">
        <f t="shared" si="0"/>
        <v>45518.407534246573</v>
      </c>
      <c r="F51" s="14">
        <v>589</v>
      </c>
      <c r="G51" s="14">
        <v>4234</v>
      </c>
      <c r="H51" s="2">
        <f t="shared" si="1"/>
        <v>7.1884550084889645</v>
      </c>
      <c r="I51" s="8">
        <v>53</v>
      </c>
      <c r="J51" s="11">
        <f t="shared" si="3"/>
        <v>536</v>
      </c>
      <c r="K51" s="16">
        <v>584</v>
      </c>
      <c r="L51" s="9">
        <f t="shared" si="4"/>
        <v>34.407534246575345</v>
      </c>
      <c r="M51" s="14">
        <v>20624</v>
      </c>
      <c r="N51" s="14">
        <v>17900</v>
      </c>
      <c r="O51" s="20">
        <v>8.6999999999999994E-3</v>
      </c>
      <c r="P51" s="16">
        <v>15721</v>
      </c>
      <c r="Q51" s="17">
        <v>7.91</v>
      </c>
      <c r="R51" s="18">
        <v>28.82</v>
      </c>
      <c r="S51" s="2">
        <f t="shared" si="5"/>
        <v>63.707534246575349</v>
      </c>
      <c r="T51" s="2">
        <f t="shared" si="6"/>
        <v>21.631544991511035</v>
      </c>
      <c r="U51" s="11">
        <f t="shared" si="2"/>
        <v>556.97245927075255</v>
      </c>
      <c r="V51" s="2">
        <f t="shared" si="7"/>
        <v>1.5582832767476278</v>
      </c>
      <c r="W51" s="17">
        <v>10327.013999999997</v>
      </c>
      <c r="X51" s="17">
        <v>143.1</v>
      </c>
      <c r="Y51" s="17">
        <v>17749.04</v>
      </c>
      <c r="Z51" s="29">
        <f t="shared" si="14"/>
        <v>30.392191780821918</v>
      </c>
      <c r="AA51" s="17"/>
      <c r="AB51" s="17"/>
      <c r="AC51" s="17"/>
      <c r="AD51" s="17"/>
      <c r="AE51" s="17"/>
      <c r="AF51" s="17"/>
      <c r="AG51" s="2">
        <f t="shared" si="8"/>
        <v>0.89901749804126385</v>
      </c>
      <c r="AI51" s="2"/>
      <c r="AJ51" s="14"/>
      <c r="AK51" s="2">
        <f t="shared" si="9"/>
        <v>0</v>
      </c>
      <c r="AL51" s="2">
        <f t="shared" si="10"/>
        <v>0</v>
      </c>
      <c r="AM51" s="2">
        <f t="shared" si="11"/>
        <v>0</v>
      </c>
    </row>
    <row r="52" spans="1:39" x14ac:dyDescent="0.25">
      <c r="A52" s="21">
        <v>2425</v>
      </c>
      <c r="B52" s="14" t="s">
        <v>36</v>
      </c>
      <c r="C52" s="14">
        <v>28.6</v>
      </c>
      <c r="D52" s="15">
        <v>45491</v>
      </c>
      <c r="E52" s="13">
        <f t="shared" si="0"/>
        <v>45528.908918406072</v>
      </c>
      <c r="F52" s="14">
        <v>632</v>
      </c>
      <c r="G52" s="14">
        <v>4212</v>
      </c>
      <c r="H52" s="2">
        <f t="shared" si="1"/>
        <v>6.6645569620253164</v>
      </c>
      <c r="I52" s="8">
        <v>100</v>
      </c>
      <c r="J52" s="11">
        <f t="shared" si="3"/>
        <v>532</v>
      </c>
      <c r="K52" s="16">
        <v>527</v>
      </c>
      <c r="L52" s="9">
        <f>((M52)-(I52*10))/K52</f>
        <v>37.908918406072104</v>
      </c>
      <c r="M52" s="14">
        <v>20978</v>
      </c>
      <c r="N52" s="14">
        <v>17650</v>
      </c>
      <c r="O52" s="20">
        <v>8.5000000000000006E-3</v>
      </c>
      <c r="P52" s="16">
        <v>15712</v>
      </c>
      <c r="Q52" s="17">
        <v>8.2200000000000006</v>
      </c>
      <c r="R52" s="18">
        <v>28.25</v>
      </c>
      <c r="S52" s="2">
        <f t="shared" si="5"/>
        <v>66.508918406072098</v>
      </c>
      <c r="T52" s="2">
        <f t="shared" si="6"/>
        <v>21.585443037974684</v>
      </c>
      <c r="U52" s="11">
        <f t="shared" si="2"/>
        <v>548.19334540947659</v>
      </c>
      <c r="V52" s="2">
        <f t="shared" si="7"/>
        <v>1.5347826086956522</v>
      </c>
      <c r="W52" s="17">
        <v>10204.6</v>
      </c>
      <c r="X52" s="17">
        <v>300</v>
      </c>
      <c r="Y52" s="17">
        <v>17329.88</v>
      </c>
      <c r="Z52" s="29">
        <f t="shared" si="14"/>
        <v>32.884022770398481</v>
      </c>
      <c r="AA52" s="17"/>
      <c r="AB52" s="17"/>
      <c r="AC52" s="17"/>
      <c r="AD52" s="17"/>
      <c r="AE52" s="17"/>
      <c r="AF52" s="17"/>
      <c r="AG52" s="2">
        <f t="shared" si="8"/>
        <v>0.88735652173913049</v>
      </c>
      <c r="AI52" s="2"/>
      <c r="AJ52" s="14"/>
      <c r="AK52" s="2">
        <f t="shared" si="9"/>
        <v>0</v>
      </c>
      <c r="AL52" s="2">
        <f t="shared" si="10"/>
        <v>0</v>
      </c>
      <c r="AM52" s="2">
        <f t="shared" si="11"/>
        <v>0</v>
      </c>
    </row>
    <row r="53" spans="1:39" x14ac:dyDescent="0.25">
      <c r="A53" s="21">
        <v>2426</v>
      </c>
      <c r="B53" s="14" t="s">
        <v>37</v>
      </c>
      <c r="C53" s="14">
        <v>28.2</v>
      </c>
      <c r="D53" s="15">
        <v>45498</v>
      </c>
      <c r="E53" s="13">
        <f t="shared" si="0"/>
        <v>45535.645403377108</v>
      </c>
      <c r="F53" s="14">
        <v>646</v>
      </c>
      <c r="G53" s="14">
        <v>4584</v>
      </c>
      <c r="H53" s="2">
        <f t="shared" ref="H53:H66" si="15">G53/F53</f>
        <v>7.0959752321981426</v>
      </c>
      <c r="I53" s="8">
        <v>110</v>
      </c>
      <c r="J53" s="11">
        <f t="shared" ref="J53:J66" si="16">F53-I53</f>
        <v>536</v>
      </c>
      <c r="K53" s="16">
        <v>533</v>
      </c>
      <c r="L53" s="9">
        <f t="shared" ref="L53:L66" si="17">((M53)-(I53*10))/K53</f>
        <v>37.645403377110696</v>
      </c>
      <c r="M53" s="14">
        <v>21165</v>
      </c>
      <c r="N53" s="14">
        <v>18450</v>
      </c>
      <c r="O53" s="20">
        <v>5.0000000000000001E-3</v>
      </c>
      <c r="P53" s="16">
        <v>15969</v>
      </c>
      <c r="Q53" s="17">
        <v>7.8</v>
      </c>
      <c r="R53" s="18">
        <v>28.35</v>
      </c>
      <c r="S53" s="2">
        <f t="shared" ref="S53:S66" si="18">C53+L53</f>
        <v>65.845403377110699</v>
      </c>
      <c r="T53" s="2">
        <f t="shared" ref="T53:T66" si="19">R53-H53</f>
        <v>21.254024767801859</v>
      </c>
      <c r="U53" s="11">
        <f t="shared" ref="U53:U66" si="20">((P53-G53)/M53)*1000</f>
        <v>537.91637136782424</v>
      </c>
      <c r="V53" s="2">
        <f t="shared" ref="V53:V66" si="21">N53/(P53-G53)</f>
        <v>1.6205533596837944</v>
      </c>
      <c r="W53" s="17">
        <v>10545.335999999999</v>
      </c>
      <c r="X53" s="17">
        <v>297</v>
      </c>
      <c r="Y53" s="17">
        <v>18141.34</v>
      </c>
      <c r="Z53" s="29">
        <f t="shared" si="14"/>
        <v>34.036285178236398</v>
      </c>
      <c r="AA53" s="17"/>
      <c r="AB53" s="17"/>
      <c r="AC53" s="17"/>
      <c r="AD53" s="17"/>
      <c r="AE53" s="17"/>
      <c r="AF53" s="17"/>
      <c r="AG53" s="2">
        <f t="shared" ref="AG53:AG65" si="22">W53/(P53-G53)</f>
        <v>0.92624822134387341</v>
      </c>
      <c r="AI53" s="2"/>
      <c r="AJ53" s="14"/>
      <c r="AK53" s="2">
        <f t="shared" si="9"/>
        <v>0</v>
      </c>
      <c r="AL53" s="2">
        <f t="shared" si="10"/>
        <v>0</v>
      </c>
      <c r="AM53" s="2">
        <f t="shared" si="11"/>
        <v>0</v>
      </c>
    </row>
    <row r="54" spans="1:39" x14ac:dyDescent="0.25">
      <c r="A54" s="21">
        <v>2427</v>
      </c>
      <c r="B54" s="14" t="s">
        <v>38</v>
      </c>
      <c r="C54" s="14">
        <v>27.9</v>
      </c>
      <c r="D54" s="15">
        <v>45505</v>
      </c>
      <c r="E54" s="13">
        <f t="shared" si="0"/>
        <v>45542.56420233463</v>
      </c>
      <c r="F54" s="14">
        <v>648</v>
      </c>
      <c r="G54" s="14">
        <v>4471</v>
      </c>
      <c r="H54" s="2">
        <f t="shared" si="15"/>
        <v>6.8996913580246915</v>
      </c>
      <c r="I54" s="8">
        <v>130</v>
      </c>
      <c r="J54" s="11">
        <f t="shared" si="16"/>
        <v>518</v>
      </c>
      <c r="K54" s="16">
        <v>514</v>
      </c>
      <c r="L54" s="9">
        <f t="shared" si="17"/>
        <v>37.564202334630352</v>
      </c>
      <c r="M54" s="14">
        <v>20608</v>
      </c>
      <c r="N54" s="14">
        <v>17400</v>
      </c>
      <c r="O54" s="20">
        <v>4.0000000000000001E-3</v>
      </c>
      <c r="P54" s="16">
        <v>15416</v>
      </c>
      <c r="Q54" s="17">
        <v>7.84</v>
      </c>
      <c r="R54" s="18">
        <v>28.01</v>
      </c>
      <c r="S54" s="2">
        <f t="shared" si="18"/>
        <v>65.464202334630357</v>
      </c>
      <c r="T54" s="2">
        <f t="shared" si="19"/>
        <v>21.110308641975308</v>
      </c>
      <c r="U54" s="11">
        <f t="shared" si="20"/>
        <v>531.10442546583852</v>
      </c>
      <c r="V54" s="2">
        <f t="shared" si="21"/>
        <v>1.5897670169026954</v>
      </c>
      <c r="W54" s="17">
        <v>10059.42</v>
      </c>
      <c r="X54" s="17">
        <v>351</v>
      </c>
      <c r="Y54" s="17">
        <v>17035.13</v>
      </c>
      <c r="Z54" s="29">
        <f t="shared" si="14"/>
        <v>33.142276264591445</v>
      </c>
      <c r="AA54" s="17"/>
      <c r="AB54" s="17"/>
      <c r="AC54" s="17"/>
      <c r="AD54" s="17"/>
      <c r="AE54" s="17"/>
      <c r="AF54" s="17"/>
      <c r="AG54" s="2">
        <f t="shared" si="22"/>
        <v>0.91908816811329375</v>
      </c>
      <c r="AI54" s="2"/>
      <c r="AJ54" s="14"/>
      <c r="AK54" s="2">
        <f t="shared" si="9"/>
        <v>0</v>
      </c>
      <c r="AL54" s="2">
        <f t="shared" si="10"/>
        <v>0</v>
      </c>
      <c r="AM54" s="2">
        <f t="shared" si="11"/>
        <v>0</v>
      </c>
    </row>
    <row r="55" spans="1:39" x14ac:dyDescent="0.25">
      <c r="A55" s="21">
        <v>2428</v>
      </c>
      <c r="B55" s="14" t="s">
        <v>39</v>
      </c>
      <c r="C55" s="14">
        <v>28.5</v>
      </c>
      <c r="D55" s="15">
        <v>45512</v>
      </c>
      <c r="E55" s="13">
        <f t="shared" si="0"/>
        <v>45549.881355932201</v>
      </c>
      <c r="F55" s="14">
        <v>653</v>
      </c>
      <c r="G55" s="14">
        <v>4647</v>
      </c>
      <c r="H55" s="2">
        <f t="shared" si="15"/>
        <v>7.1163859111791732</v>
      </c>
      <c r="I55" s="8">
        <v>117</v>
      </c>
      <c r="J55" s="11">
        <f t="shared" si="16"/>
        <v>536</v>
      </c>
      <c r="K55" s="16">
        <v>531</v>
      </c>
      <c r="L55" s="9">
        <f t="shared" si="17"/>
        <v>37.881355932203391</v>
      </c>
      <c r="M55" s="14">
        <v>21285</v>
      </c>
      <c r="N55" s="14">
        <v>18400</v>
      </c>
      <c r="O55" s="20">
        <v>8.3000000000000001E-3</v>
      </c>
      <c r="P55" s="16">
        <v>16282</v>
      </c>
      <c r="Q55" s="17">
        <v>7.12</v>
      </c>
      <c r="R55" s="18">
        <v>28.88</v>
      </c>
      <c r="S55" s="2">
        <f t="shared" si="18"/>
        <v>66.381355932203391</v>
      </c>
      <c r="T55" s="2">
        <f t="shared" si="19"/>
        <v>21.763614088820827</v>
      </c>
      <c r="U55" s="11">
        <f t="shared" si="20"/>
        <v>546.62908151280237</v>
      </c>
      <c r="V55" s="2">
        <f t="shared" si="21"/>
        <v>1.5814353244520842</v>
      </c>
      <c r="W55" s="17">
        <v>10479</v>
      </c>
      <c r="X55" s="17">
        <v>351</v>
      </c>
      <c r="Y55" s="17">
        <v>18029.560000000001</v>
      </c>
      <c r="Z55" s="29">
        <f t="shared" si="14"/>
        <v>33.953973634651604</v>
      </c>
      <c r="AA55" s="17"/>
      <c r="AB55" s="17"/>
      <c r="AC55" s="17"/>
      <c r="AD55" s="17"/>
      <c r="AE55" s="17"/>
      <c r="AF55" s="17"/>
      <c r="AG55" s="2">
        <f t="shared" si="22"/>
        <v>0.90064460678985814</v>
      </c>
      <c r="AI55" s="2"/>
      <c r="AJ55" s="14"/>
      <c r="AK55" s="2">
        <f t="shared" si="9"/>
        <v>0</v>
      </c>
      <c r="AL55" s="2">
        <f t="shared" si="10"/>
        <v>0</v>
      </c>
      <c r="AM55" s="2">
        <f t="shared" si="11"/>
        <v>0</v>
      </c>
    </row>
    <row r="56" spans="1:39" x14ac:dyDescent="0.25">
      <c r="A56" s="21">
        <v>2429</v>
      </c>
      <c r="B56" s="14" t="s">
        <v>40</v>
      </c>
      <c r="C56" s="14">
        <v>28.5</v>
      </c>
      <c r="D56" s="15">
        <v>45519</v>
      </c>
      <c r="E56" s="13">
        <v>45558</v>
      </c>
      <c r="F56" s="14">
        <v>614</v>
      </c>
      <c r="G56" s="14">
        <v>4823</v>
      </c>
      <c r="H56" s="2">
        <f t="shared" si="15"/>
        <v>7.8550488599348531</v>
      </c>
      <c r="I56" s="8">
        <v>100</v>
      </c>
      <c r="J56" s="11">
        <f t="shared" si="16"/>
        <v>514</v>
      </c>
      <c r="K56" s="16">
        <v>508</v>
      </c>
      <c r="L56" s="9">
        <f t="shared" si="17"/>
        <v>37.8996062992126</v>
      </c>
      <c r="M56" s="14">
        <v>20253</v>
      </c>
      <c r="N56" s="14">
        <v>18150</v>
      </c>
      <c r="O56" s="20">
        <v>1.01E-2</v>
      </c>
      <c r="P56" s="16">
        <v>16352</v>
      </c>
      <c r="Q56" s="17">
        <v>10.46</v>
      </c>
      <c r="R56" s="18">
        <v>30.13</v>
      </c>
      <c r="S56" s="2">
        <f t="shared" si="18"/>
        <v>66.399606299212593</v>
      </c>
      <c r="T56" s="2">
        <f t="shared" si="19"/>
        <v>22.274951140065145</v>
      </c>
      <c r="U56" s="11">
        <f t="shared" si="20"/>
        <v>569.24900014812613</v>
      </c>
      <c r="V56" s="2">
        <f>N56/(P56-G56)</f>
        <v>1.5742909185532137</v>
      </c>
      <c r="W56" s="17">
        <v>10617.840682127668</v>
      </c>
      <c r="X56" s="17">
        <v>300</v>
      </c>
      <c r="Y56" s="17">
        <v>17824.39</v>
      </c>
      <c r="Z56" s="29">
        <f t="shared" si="14"/>
        <v>35.087381889763776</v>
      </c>
      <c r="AA56" s="17"/>
      <c r="AB56" s="17"/>
      <c r="AC56" s="17"/>
      <c r="AD56" s="17"/>
      <c r="AE56" s="17"/>
      <c r="AF56" s="17"/>
      <c r="AG56" s="2">
        <f t="shared" si="22"/>
        <v>0.92096805292112649</v>
      </c>
      <c r="AI56" s="2"/>
      <c r="AJ56" s="14"/>
      <c r="AK56" s="2">
        <f t="shared" si="9"/>
        <v>0</v>
      </c>
      <c r="AL56" s="2">
        <f t="shared" si="10"/>
        <v>0</v>
      </c>
      <c r="AM56" s="2">
        <f t="shared" si="11"/>
        <v>0</v>
      </c>
    </row>
    <row r="57" spans="1:39" x14ac:dyDescent="0.25">
      <c r="A57" s="21">
        <v>2430</v>
      </c>
      <c r="B57" s="14" t="s">
        <v>35</v>
      </c>
      <c r="C57" s="14">
        <v>28.3</v>
      </c>
      <c r="D57" s="15">
        <v>45526</v>
      </c>
      <c r="E57" s="13">
        <v>45565</v>
      </c>
      <c r="F57" s="14">
        <v>609</v>
      </c>
      <c r="G57" s="14">
        <v>4549</v>
      </c>
      <c r="H57" s="2">
        <f t="shared" si="15"/>
        <v>7.4696223316912969</v>
      </c>
      <c r="I57" s="8">
        <v>100</v>
      </c>
      <c r="J57" s="11">
        <f t="shared" si="16"/>
        <v>509</v>
      </c>
      <c r="K57" s="16">
        <v>507</v>
      </c>
      <c r="L57" s="9">
        <f t="shared" si="17"/>
        <v>37.745562130177518</v>
      </c>
      <c r="M57" s="14">
        <v>20137</v>
      </c>
      <c r="N57" s="14">
        <v>18100</v>
      </c>
      <c r="O57" s="20">
        <v>3.8999999999999998E-3</v>
      </c>
      <c r="P57" s="16">
        <v>15751</v>
      </c>
      <c r="Q57" s="17">
        <v>8.9600000000000009</v>
      </c>
      <c r="R57" s="18">
        <v>29.3</v>
      </c>
      <c r="S57" s="2">
        <f t="shared" si="18"/>
        <v>66.045562130177515</v>
      </c>
      <c r="T57" s="2">
        <f t="shared" si="19"/>
        <v>21.830377668308703</v>
      </c>
      <c r="U57" s="11">
        <f t="shared" si="20"/>
        <v>556.28941749019225</v>
      </c>
      <c r="V57" s="2">
        <f t="shared" si="21"/>
        <v>1.6157828959114444</v>
      </c>
      <c r="W57" s="17">
        <v>10305.828156831974</v>
      </c>
      <c r="X57" s="17">
        <v>300</v>
      </c>
      <c r="Y57" s="17">
        <v>17787.02</v>
      </c>
      <c r="Z57" s="29">
        <f t="shared" si="14"/>
        <v>35.082879684418145</v>
      </c>
      <c r="AA57" s="17"/>
      <c r="AB57" s="17"/>
      <c r="AC57" s="17"/>
      <c r="AD57" s="17"/>
      <c r="AE57" s="17"/>
      <c r="AF57" s="17"/>
      <c r="AG57" s="2">
        <f t="shared" si="22"/>
        <v>0.9199989427630757</v>
      </c>
      <c r="AI57" s="2"/>
      <c r="AJ57" s="14"/>
      <c r="AK57" s="2">
        <f t="shared" si="9"/>
        <v>0</v>
      </c>
      <c r="AL57" s="2">
        <f t="shared" si="10"/>
        <v>0</v>
      </c>
      <c r="AM57" s="2">
        <f t="shared" si="11"/>
        <v>0</v>
      </c>
    </row>
    <row r="58" spans="1:39" x14ac:dyDescent="0.25">
      <c r="A58" s="21">
        <v>2431</v>
      </c>
      <c r="B58" s="14" t="s">
        <v>36</v>
      </c>
      <c r="C58" s="14">
        <v>28</v>
      </c>
      <c r="D58" s="15">
        <v>45533</v>
      </c>
      <c r="E58" s="13">
        <v>45572</v>
      </c>
      <c r="F58" s="14">
        <v>599</v>
      </c>
      <c r="G58" s="14">
        <v>4760</v>
      </c>
      <c r="H58" s="2">
        <f t="shared" si="15"/>
        <v>7.9465776293823041</v>
      </c>
      <c r="I58" s="8">
        <v>80</v>
      </c>
      <c r="J58" s="11">
        <f t="shared" si="16"/>
        <v>519</v>
      </c>
      <c r="K58" s="16">
        <v>514</v>
      </c>
      <c r="L58" s="9">
        <f t="shared" si="17"/>
        <v>38.099221789883266</v>
      </c>
      <c r="M58" s="14">
        <v>20383</v>
      </c>
      <c r="N58" s="14">
        <v>18000</v>
      </c>
      <c r="O58" s="20">
        <v>9.5999999999999992E-3</v>
      </c>
      <c r="P58" s="16">
        <v>15629</v>
      </c>
      <c r="Q58" s="17">
        <v>8.8000000000000007</v>
      </c>
      <c r="R58" s="18">
        <v>29.04</v>
      </c>
      <c r="S58" s="2">
        <f t="shared" si="18"/>
        <v>66.099221789883273</v>
      </c>
      <c r="T58" s="2">
        <f t="shared" si="19"/>
        <v>21.093422370617695</v>
      </c>
      <c r="U58" s="11">
        <f t="shared" si="20"/>
        <v>533.23848304960018</v>
      </c>
      <c r="V58" s="2">
        <f t="shared" si="21"/>
        <v>1.6560861164780569</v>
      </c>
      <c r="W58" s="17">
        <v>10294.941954253223</v>
      </c>
      <c r="X58" s="17">
        <v>240</v>
      </c>
      <c r="Y58" s="17">
        <v>17690.5</v>
      </c>
      <c r="Z58" s="29">
        <f t="shared" si="14"/>
        <v>34.417315175097279</v>
      </c>
      <c r="AA58" s="17"/>
      <c r="AB58" s="17"/>
      <c r="AC58" s="17"/>
      <c r="AD58" s="17"/>
      <c r="AE58" s="17"/>
      <c r="AF58" s="17"/>
      <c r="AG58" s="2">
        <f t="shared" si="22"/>
        <v>0.94718391335479102</v>
      </c>
      <c r="AI58" s="2"/>
      <c r="AJ58" s="14"/>
      <c r="AK58" s="2">
        <f t="shared" si="9"/>
        <v>0</v>
      </c>
      <c r="AL58" s="2">
        <f t="shared" si="10"/>
        <v>0</v>
      </c>
      <c r="AM58" s="2">
        <f t="shared" si="11"/>
        <v>0</v>
      </c>
    </row>
    <row r="59" spans="1:39" x14ac:dyDescent="0.25">
      <c r="A59" s="21">
        <v>2432</v>
      </c>
      <c r="B59" s="14" t="s">
        <v>37</v>
      </c>
      <c r="C59" s="14">
        <v>27.8</v>
      </c>
      <c r="D59" s="15">
        <v>45540</v>
      </c>
      <c r="E59" s="13">
        <v>45579</v>
      </c>
      <c r="F59" s="14">
        <v>629</v>
      </c>
      <c r="G59" s="14">
        <v>4540</v>
      </c>
      <c r="H59" s="2">
        <f t="shared" si="15"/>
        <v>7.2178060413354528</v>
      </c>
      <c r="I59" s="8">
        <v>110</v>
      </c>
      <c r="J59" s="11">
        <f t="shared" si="16"/>
        <v>519</v>
      </c>
      <c r="K59" s="16">
        <v>516</v>
      </c>
      <c r="L59" s="9">
        <f t="shared" si="17"/>
        <v>37.848837209302324</v>
      </c>
      <c r="M59" s="14">
        <v>20630</v>
      </c>
      <c r="N59" s="14">
        <v>18400</v>
      </c>
      <c r="O59" s="20">
        <v>5.4999999999999997E-3</v>
      </c>
      <c r="P59" s="16">
        <v>15906</v>
      </c>
      <c r="Q59" s="17">
        <v>8.5</v>
      </c>
      <c r="R59" s="18">
        <v>29.01</v>
      </c>
      <c r="S59" s="2">
        <f t="shared" si="18"/>
        <v>65.648837209302329</v>
      </c>
      <c r="T59" s="2">
        <f t="shared" si="19"/>
        <v>21.792193958664548</v>
      </c>
      <c r="U59" s="11">
        <f t="shared" si="20"/>
        <v>550.94522539990305</v>
      </c>
      <c r="V59" s="2">
        <f t="shared" si="21"/>
        <v>1.6188632764385007</v>
      </c>
      <c r="W59" s="17">
        <v>10691.162605026084</v>
      </c>
      <c r="X59" s="17">
        <v>330</v>
      </c>
      <c r="Y59" s="17">
        <v>18059.16</v>
      </c>
      <c r="Z59" s="29">
        <f t="shared" si="14"/>
        <v>34.998372093023256</v>
      </c>
      <c r="AA59" s="17"/>
      <c r="AB59" s="17"/>
      <c r="AC59" s="17"/>
      <c r="AD59" s="17"/>
      <c r="AE59" s="17"/>
      <c r="AF59" s="17"/>
      <c r="AG59" s="2">
        <f t="shared" si="22"/>
        <v>0.94062665889724473</v>
      </c>
      <c r="AI59" s="2"/>
      <c r="AJ59" s="14"/>
      <c r="AK59" s="2">
        <f t="shared" si="9"/>
        <v>0</v>
      </c>
      <c r="AL59" s="2">
        <f t="shared" si="10"/>
        <v>0</v>
      </c>
      <c r="AM59" s="2">
        <f t="shared" si="11"/>
        <v>0</v>
      </c>
    </row>
    <row r="60" spans="1:39" x14ac:dyDescent="0.25">
      <c r="A60" s="21">
        <v>2433</v>
      </c>
      <c r="B60" s="14" t="s">
        <v>38</v>
      </c>
      <c r="C60" s="14">
        <v>27.4</v>
      </c>
      <c r="D60" s="15">
        <v>45547</v>
      </c>
      <c r="E60" s="13">
        <v>45586</v>
      </c>
      <c r="F60" s="14">
        <v>635</v>
      </c>
      <c r="G60" s="14">
        <v>4747.5</v>
      </c>
      <c r="H60" s="2">
        <f t="shared" si="15"/>
        <v>7.4763779527559056</v>
      </c>
      <c r="I60" s="8">
        <v>100</v>
      </c>
      <c r="J60" s="11">
        <f t="shared" si="16"/>
        <v>535</v>
      </c>
      <c r="K60" s="16">
        <v>530</v>
      </c>
      <c r="L60" s="9">
        <f t="shared" si="17"/>
        <v>37.952830188679243</v>
      </c>
      <c r="M60" s="14">
        <v>21115</v>
      </c>
      <c r="N60" s="14">
        <v>19200</v>
      </c>
      <c r="O60" s="20">
        <v>8.8000000000000005E-3</v>
      </c>
      <c r="P60" s="16">
        <v>16224</v>
      </c>
      <c r="Q60" s="17">
        <v>8.75</v>
      </c>
      <c r="R60" s="18">
        <v>28.96</v>
      </c>
      <c r="S60" s="2">
        <f t="shared" si="18"/>
        <v>65.352830188679235</v>
      </c>
      <c r="T60" s="2">
        <f t="shared" si="19"/>
        <v>21.483622047244097</v>
      </c>
      <c r="U60" s="11">
        <f t="shared" si="20"/>
        <v>543.5235614492068</v>
      </c>
      <c r="V60" s="2">
        <f t="shared" si="21"/>
        <v>1.6729839236701085</v>
      </c>
      <c r="W60" s="17">
        <v>11006.15</v>
      </c>
      <c r="X60" s="17">
        <v>300</v>
      </c>
      <c r="Y60" s="17">
        <v>18864.5</v>
      </c>
      <c r="Z60" s="29">
        <f t="shared" si="14"/>
        <v>35.593396226415095</v>
      </c>
      <c r="AA60" s="17"/>
      <c r="AB60" s="17"/>
      <c r="AC60" s="17"/>
      <c r="AD60" s="17"/>
      <c r="AE60" s="17"/>
      <c r="AF60" s="17"/>
      <c r="AG60" s="2">
        <f t="shared" si="22"/>
        <v>0.95901625059905016</v>
      </c>
      <c r="AI60" s="2"/>
      <c r="AJ60" s="14"/>
      <c r="AK60" s="2">
        <f t="shared" si="9"/>
        <v>0</v>
      </c>
      <c r="AL60" s="2">
        <f t="shared" si="10"/>
        <v>0</v>
      </c>
      <c r="AM60" s="2">
        <f t="shared" si="11"/>
        <v>0</v>
      </c>
    </row>
    <row r="61" spans="1:39" x14ac:dyDescent="0.25">
      <c r="A61" s="21">
        <v>2434</v>
      </c>
      <c r="B61" s="14" t="s">
        <v>39</v>
      </c>
      <c r="C61" s="14">
        <v>27.7</v>
      </c>
      <c r="D61" s="15">
        <v>45554</v>
      </c>
      <c r="E61" s="13">
        <v>45593</v>
      </c>
      <c r="F61" s="14">
        <v>590</v>
      </c>
      <c r="G61" s="14">
        <v>4201</v>
      </c>
      <c r="H61" s="2">
        <f t="shared" si="15"/>
        <v>7.1203389830508472</v>
      </c>
      <c r="I61" s="8">
        <v>70</v>
      </c>
      <c r="J61" s="11">
        <f>F61-I61</f>
        <v>520</v>
      </c>
      <c r="K61" s="16">
        <v>518</v>
      </c>
      <c r="L61" s="9">
        <f t="shared" si="17"/>
        <v>37.940154440154437</v>
      </c>
      <c r="M61" s="14">
        <v>20353</v>
      </c>
      <c r="N61" s="14">
        <v>17900</v>
      </c>
      <c r="O61" s="20">
        <v>3.5999999999999999E-3</v>
      </c>
      <c r="P61" s="16">
        <v>15208</v>
      </c>
      <c r="Q61" s="17">
        <v>8.6999999999999993</v>
      </c>
      <c r="R61" s="18">
        <v>28.18</v>
      </c>
      <c r="S61" s="2">
        <f t="shared" si="18"/>
        <v>65.640154440154433</v>
      </c>
      <c r="T61" s="2">
        <f t="shared" si="19"/>
        <v>21.059661016949153</v>
      </c>
      <c r="U61" s="11">
        <f t="shared" si="20"/>
        <v>540.80479536186306</v>
      </c>
      <c r="V61" s="2">
        <f t="shared" si="21"/>
        <v>1.6262378486417735</v>
      </c>
      <c r="W61" s="17">
        <v>9423.7099999999991</v>
      </c>
      <c r="X61" s="17">
        <v>210</v>
      </c>
      <c r="Y61" s="17">
        <v>17667.54</v>
      </c>
      <c r="Z61" s="29">
        <f t="shared" si="14"/>
        <v>34.107220077220077</v>
      </c>
      <c r="AA61" s="17"/>
      <c r="AB61" s="17"/>
      <c r="AC61" s="17"/>
      <c r="AD61" s="17"/>
      <c r="AE61" s="17"/>
      <c r="AF61" s="17"/>
      <c r="AG61" s="2">
        <f t="shared" si="22"/>
        <v>0.85615608249295894</v>
      </c>
      <c r="AI61" s="2"/>
      <c r="AJ61" s="14"/>
      <c r="AK61" s="2">
        <f t="shared" si="9"/>
        <v>0</v>
      </c>
      <c r="AL61" s="2">
        <f t="shared" si="10"/>
        <v>0</v>
      </c>
      <c r="AM61" s="2">
        <f t="shared" si="11"/>
        <v>0</v>
      </c>
    </row>
    <row r="62" spans="1:39" x14ac:dyDescent="0.25">
      <c r="A62" s="21">
        <v>2435</v>
      </c>
      <c r="B62" s="14" t="s">
        <v>40</v>
      </c>
      <c r="C62" s="14">
        <v>27.5</v>
      </c>
      <c r="D62" s="15">
        <v>45561</v>
      </c>
      <c r="E62" s="13">
        <v>45600</v>
      </c>
      <c r="F62" s="14">
        <v>642</v>
      </c>
      <c r="G62" s="14">
        <v>4621</v>
      </c>
      <c r="H62" s="2">
        <f t="shared" si="15"/>
        <v>7.1978193146417446</v>
      </c>
      <c r="I62" s="8">
        <v>110</v>
      </c>
      <c r="J62" s="11">
        <f t="shared" si="16"/>
        <v>532</v>
      </c>
      <c r="K62" s="16">
        <v>525</v>
      </c>
      <c r="L62" s="9">
        <f t="shared" si="17"/>
        <v>38.119999999999997</v>
      </c>
      <c r="M62" s="14">
        <v>21113</v>
      </c>
      <c r="N62" s="14">
        <v>18900</v>
      </c>
      <c r="O62" s="20">
        <v>1.29E-2</v>
      </c>
      <c r="P62" s="16">
        <v>16116.5</v>
      </c>
      <c r="Q62" s="17">
        <v>8.9</v>
      </c>
      <c r="R62" s="18">
        <v>28.83</v>
      </c>
      <c r="S62" s="2">
        <f t="shared" si="18"/>
        <v>65.62</v>
      </c>
      <c r="T62" s="2">
        <f t="shared" si="19"/>
        <v>21.632180685358254</v>
      </c>
      <c r="U62" s="11">
        <f t="shared" si="20"/>
        <v>544.47496802917635</v>
      </c>
      <c r="V62" s="2">
        <f t="shared" si="21"/>
        <v>1.6441216128050107</v>
      </c>
      <c r="W62" s="17">
        <v>10788.6</v>
      </c>
      <c r="X62" s="17">
        <v>330</v>
      </c>
      <c r="Y62" s="17">
        <v>18480.099999999999</v>
      </c>
      <c r="Z62" s="29">
        <f t="shared" si="14"/>
        <v>35.200190476190471</v>
      </c>
      <c r="AA62" s="17"/>
      <c r="AB62" s="17"/>
      <c r="AC62" s="17"/>
      <c r="AD62" s="17"/>
      <c r="AE62" s="17"/>
      <c r="AF62" s="17"/>
      <c r="AG62" s="2">
        <f t="shared" si="22"/>
        <v>0.93850637205863163</v>
      </c>
      <c r="AI62" s="2"/>
      <c r="AJ62" s="14"/>
      <c r="AK62" s="2">
        <f t="shared" si="9"/>
        <v>0</v>
      </c>
      <c r="AL62" s="2">
        <f t="shared" si="10"/>
        <v>0</v>
      </c>
      <c r="AM62" s="2">
        <f t="shared" si="11"/>
        <v>0</v>
      </c>
    </row>
    <row r="63" spans="1:39" x14ac:dyDescent="0.25">
      <c r="A63" s="21">
        <v>2436</v>
      </c>
      <c r="B63" s="14" t="s">
        <v>35</v>
      </c>
      <c r="C63" s="14">
        <v>27.7</v>
      </c>
      <c r="D63" s="15">
        <v>45568</v>
      </c>
      <c r="E63" s="13">
        <v>45607</v>
      </c>
      <c r="F63" s="14">
        <v>650</v>
      </c>
      <c r="G63" s="14">
        <v>4730</v>
      </c>
      <c r="H63" s="2">
        <f t="shared" si="15"/>
        <v>7.2769230769230768</v>
      </c>
      <c r="I63" s="8">
        <v>105</v>
      </c>
      <c r="J63" s="11">
        <f t="shared" si="16"/>
        <v>545</v>
      </c>
      <c r="K63" s="16">
        <v>542</v>
      </c>
      <c r="L63" s="9">
        <f t="shared" si="17"/>
        <v>37.926199261992622</v>
      </c>
      <c r="M63" s="14">
        <v>21606</v>
      </c>
      <c r="N63" s="14">
        <v>18575</v>
      </c>
      <c r="O63" s="20">
        <v>5.4999999999999997E-3</v>
      </c>
      <c r="P63" s="16">
        <v>16513</v>
      </c>
      <c r="Q63" s="17">
        <v>9.2200000000000006</v>
      </c>
      <c r="R63" s="18">
        <v>28.68</v>
      </c>
      <c r="S63" s="2">
        <f t="shared" si="18"/>
        <v>65.626199261992625</v>
      </c>
      <c r="T63" s="2">
        <f t="shared" si="19"/>
        <v>21.403076923076924</v>
      </c>
      <c r="U63" s="11">
        <f t="shared" si="20"/>
        <v>545.35777098953997</v>
      </c>
      <c r="V63" s="2">
        <f t="shared" si="21"/>
        <v>1.5764236612068234</v>
      </c>
      <c r="W63" s="17">
        <v>10732.980807984171</v>
      </c>
      <c r="X63" s="17">
        <v>315</v>
      </c>
      <c r="Y63" s="17">
        <v>18231.68</v>
      </c>
      <c r="Z63" s="29">
        <f t="shared" si="14"/>
        <v>33.637785977859778</v>
      </c>
      <c r="AA63" s="17"/>
      <c r="AB63" s="17"/>
      <c r="AC63" s="17"/>
      <c r="AD63" s="17"/>
      <c r="AE63" s="17"/>
      <c r="AF63" s="17"/>
      <c r="AG63" s="2">
        <f t="shared" si="22"/>
        <v>0.91088693948775112</v>
      </c>
      <c r="AI63" s="2"/>
      <c r="AJ63" s="14"/>
      <c r="AK63" s="2">
        <f t="shared" si="9"/>
        <v>0</v>
      </c>
      <c r="AL63" s="2">
        <f t="shared" si="10"/>
        <v>0</v>
      </c>
      <c r="AM63" s="2">
        <f t="shared" si="11"/>
        <v>0</v>
      </c>
    </row>
    <row r="64" spans="1:39" x14ac:dyDescent="0.25">
      <c r="A64" s="21">
        <v>2437</v>
      </c>
      <c r="B64" s="14" t="s">
        <v>36</v>
      </c>
      <c r="C64" s="14">
        <v>28.1</v>
      </c>
      <c r="D64" s="15">
        <v>45575</v>
      </c>
      <c r="E64" s="13">
        <v>45614</v>
      </c>
      <c r="F64" s="14">
        <v>624</v>
      </c>
      <c r="G64" s="14">
        <v>4479</v>
      </c>
      <c r="H64" s="2">
        <f t="shared" si="15"/>
        <v>7.177884615384615</v>
      </c>
      <c r="I64" s="8">
        <v>70</v>
      </c>
      <c r="J64" s="11">
        <f t="shared" si="16"/>
        <v>554</v>
      </c>
      <c r="K64" s="16">
        <v>549</v>
      </c>
      <c r="L64" s="9">
        <f t="shared" si="17"/>
        <v>38.080145719489984</v>
      </c>
      <c r="M64" s="14">
        <v>21606</v>
      </c>
      <c r="N64" s="14">
        <v>18725</v>
      </c>
      <c r="O64" s="20">
        <v>8.8000000000000005E-3</v>
      </c>
      <c r="P64" s="16">
        <v>16088.5</v>
      </c>
      <c r="Q64" s="17">
        <v>8.11</v>
      </c>
      <c r="R64" s="18">
        <v>28.47</v>
      </c>
      <c r="S64" s="2">
        <f t="shared" si="18"/>
        <v>66.180145719489985</v>
      </c>
      <c r="T64" s="2">
        <f t="shared" si="19"/>
        <v>21.292115384615386</v>
      </c>
      <c r="U64" s="11">
        <f t="shared" si="20"/>
        <v>537.32759418679996</v>
      </c>
      <c r="V64" s="2">
        <f t="shared" si="21"/>
        <v>1.6129032258064515</v>
      </c>
      <c r="W64" s="17">
        <v>10777.977300117076</v>
      </c>
      <c r="X64" s="17">
        <v>210</v>
      </c>
      <c r="Y64" s="17">
        <v>18456.16</v>
      </c>
      <c r="Z64" s="29">
        <f t="shared" si="14"/>
        <v>33.617777777777775</v>
      </c>
      <c r="AA64" s="17"/>
      <c r="AB64" s="17"/>
      <c r="AC64" s="17"/>
      <c r="AD64" s="17"/>
      <c r="AE64" s="17"/>
      <c r="AF64" s="17"/>
      <c r="AG64" s="2">
        <f t="shared" si="22"/>
        <v>0.92837566649012238</v>
      </c>
      <c r="AI64" s="2"/>
      <c r="AJ64" s="14"/>
      <c r="AK64" s="2">
        <f t="shared" si="9"/>
        <v>0</v>
      </c>
      <c r="AL64" s="2">
        <f t="shared" si="10"/>
        <v>0</v>
      </c>
      <c r="AM64" s="2">
        <f t="shared" si="11"/>
        <v>0</v>
      </c>
    </row>
    <row r="65" spans="1:39" x14ac:dyDescent="0.25">
      <c r="A65" s="21">
        <v>2438</v>
      </c>
      <c r="B65" s="14" t="s">
        <v>37</v>
      </c>
      <c r="C65" s="14">
        <v>28.4</v>
      </c>
      <c r="D65" s="15">
        <v>45582</v>
      </c>
      <c r="E65" s="13">
        <v>45621</v>
      </c>
      <c r="F65" s="14">
        <v>679</v>
      </c>
      <c r="G65" s="14">
        <v>4953.5</v>
      </c>
      <c r="H65" s="2">
        <f t="shared" si="15"/>
        <v>7.2952871870397642</v>
      </c>
      <c r="I65" s="8">
        <v>129</v>
      </c>
      <c r="J65" s="11">
        <f t="shared" si="16"/>
        <v>550</v>
      </c>
      <c r="K65" s="16">
        <v>544</v>
      </c>
      <c r="L65" s="9">
        <f t="shared" si="17"/>
        <v>37.972426470588232</v>
      </c>
      <c r="M65" s="14">
        <v>21947</v>
      </c>
      <c r="N65" s="14">
        <v>20100</v>
      </c>
      <c r="O65" s="20">
        <v>1.0200000000000001E-2</v>
      </c>
      <c r="P65" s="16">
        <v>16909</v>
      </c>
      <c r="Q65" s="17">
        <v>8.9</v>
      </c>
      <c r="R65" s="18">
        <v>28.97</v>
      </c>
      <c r="S65" s="2">
        <f t="shared" si="18"/>
        <v>66.372426470588238</v>
      </c>
      <c r="T65" s="2">
        <f t="shared" si="19"/>
        <v>21.674712812960234</v>
      </c>
      <c r="U65" s="11">
        <f t="shared" si="20"/>
        <v>544.74415637672575</v>
      </c>
      <c r="V65" s="2">
        <f t="shared" si="21"/>
        <v>1.6812345782275939</v>
      </c>
      <c r="W65" s="17">
        <v>11684.706381493359</v>
      </c>
      <c r="X65" s="17">
        <v>387</v>
      </c>
      <c r="Y65" s="17">
        <v>19656.36</v>
      </c>
      <c r="Z65" s="29">
        <f t="shared" si="14"/>
        <v>36.133014705882353</v>
      </c>
      <c r="AA65" s="17"/>
      <c r="AB65" s="17"/>
      <c r="AC65" s="17"/>
      <c r="AD65" s="17"/>
      <c r="AE65" s="17"/>
      <c r="AF65" s="17"/>
      <c r="AG65" s="2">
        <f t="shared" si="22"/>
        <v>0.9773498708956847</v>
      </c>
      <c r="AI65" s="2"/>
      <c r="AJ65" s="14"/>
      <c r="AK65" s="2">
        <f t="shared" si="9"/>
        <v>0</v>
      </c>
      <c r="AL65" s="2">
        <f t="shared" si="10"/>
        <v>0</v>
      </c>
      <c r="AM65" s="2">
        <f t="shared" si="11"/>
        <v>0</v>
      </c>
    </row>
    <row r="66" spans="1:39" x14ac:dyDescent="0.25">
      <c r="A66" s="21">
        <v>2439</v>
      </c>
      <c r="B66" s="14" t="s">
        <v>38</v>
      </c>
      <c r="C66" s="14">
        <v>28</v>
      </c>
      <c r="D66" s="15">
        <v>45589</v>
      </c>
      <c r="E66" s="13">
        <v>45628</v>
      </c>
      <c r="F66" s="14">
        <v>656</v>
      </c>
      <c r="G66" s="14">
        <v>4604.5</v>
      </c>
      <c r="H66" s="2">
        <f t="shared" si="15"/>
        <v>7.0190548780487809</v>
      </c>
      <c r="I66" s="8">
        <v>100</v>
      </c>
      <c r="J66" s="11">
        <f t="shared" si="16"/>
        <v>556</v>
      </c>
      <c r="K66" s="16">
        <v>551</v>
      </c>
      <c r="L66" s="9">
        <f t="shared" si="17"/>
        <v>37.738656987295826</v>
      </c>
      <c r="M66" s="14">
        <v>21794</v>
      </c>
      <c r="N66" s="14">
        <v>18850</v>
      </c>
      <c r="O66" s="20">
        <v>8.5000000000000006E-3</v>
      </c>
      <c r="P66" s="16">
        <v>16582</v>
      </c>
      <c r="Q66" s="17">
        <v>7.5</v>
      </c>
      <c r="R66" s="18">
        <v>28.73</v>
      </c>
      <c r="S66" s="2">
        <f t="shared" si="18"/>
        <v>65.738656987295826</v>
      </c>
      <c r="T66" s="2">
        <f t="shared" si="19"/>
        <v>21.71094512195122</v>
      </c>
      <c r="U66" s="11">
        <f t="shared" si="20"/>
        <v>549.57786546755995</v>
      </c>
      <c r="V66" s="2">
        <f t="shared" si="21"/>
        <v>1.5737841786683364</v>
      </c>
      <c r="W66" s="17">
        <v>10882.603785609499</v>
      </c>
      <c r="X66" s="17">
        <v>270</v>
      </c>
      <c r="Y66" s="17">
        <v>18557.02</v>
      </c>
      <c r="Z66" s="29">
        <f t="shared" si="14"/>
        <v>33.678802177858437</v>
      </c>
      <c r="AA66" s="17"/>
      <c r="AB66" s="17"/>
      <c r="AC66" s="17"/>
      <c r="AD66" s="17"/>
      <c r="AE66" s="17"/>
      <c r="AF66" s="17"/>
      <c r="AG66" s="2">
        <f>W66/(P66-G66)</f>
        <v>0.90858724989434347</v>
      </c>
      <c r="AI66" s="2"/>
      <c r="AJ66" s="14"/>
      <c r="AK66" s="2">
        <f t="shared" si="9"/>
        <v>0</v>
      </c>
      <c r="AL66" s="2">
        <f t="shared" si="10"/>
        <v>0</v>
      </c>
      <c r="AM66" s="2">
        <f t="shared" si="11"/>
        <v>0</v>
      </c>
    </row>
    <row r="67" spans="1:39" x14ac:dyDescent="0.25">
      <c r="A67" s="21">
        <v>2440</v>
      </c>
      <c r="B67" s="14" t="s">
        <v>39</v>
      </c>
      <c r="C67" s="14">
        <v>28.7</v>
      </c>
      <c r="D67" s="15">
        <v>45596</v>
      </c>
      <c r="E67" s="13">
        <v>45635</v>
      </c>
      <c r="F67" s="14">
        <v>642</v>
      </c>
      <c r="G67" s="14">
        <v>4568</v>
      </c>
      <c r="H67" s="2">
        <f t="shared" ref="H67:H89" si="23">G67/F67</f>
        <v>7.1152647975077885</v>
      </c>
      <c r="I67" s="8">
        <v>80</v>
      </c>
      <c r="J67" s="11">
        <f t="shared" ref="J67:J89" si="24">F67-I67</f>
        <v>562</v>
      </c>
      <c r="K67" s="16">
        <v>558</v>
      </c>
      <c r="L67" s="9">
        <f t="shared" ref="L67:L89" si="25">((M67)-(I67*10))/K67</f>
        <v>38.064516129032256</v>
      </c>
      <c r="M67" s="14">
        <v>22040</v>
      </c>
      <c r="N67" s="14">
        <v>18450</v>
      </c>
      <c r="O67" s="20">
        <v>6.8999999999999999E-3</v>
      </c>
      <c r="P67" s="16">
        <v>16148</v>
      </c>
      <c r="Q67" s="17">
        <v>7.83</v>
      </c>
      <c r="R67" s="18">
        <v>27.82</v>
      </c>
      <c r="S67" s="2">
        <f t="shared" ref="S67:S70" si="26">C67+L67</f>
        <v>66.764516129032259</v>
      </c>
      <c r="T67" s="2">
        <f t="shared" ref="T67:T89" si="27">R67-H67</f>
        <v>20.704735202492213</v>
      </c>
      <c r="U67" s="11">
        <f t="shared" ref="U67:U78" si="28">((P67-G67)/M67)*1000</f>
        <v>525.40834845735026</v>
      </c>
      <c r="V67" s="2">
        <f t="shared" ref="V67:V78" si="29">N67/(P67-G67)</f>
        <v>1.5932642487046633</v>
      </c>
      <c r="W67" s="17">
        <v>10704.515038248004</v>
      </c>
      <c r="X67" s="17">
        <v>240</v>
      </c>
      <c r="Y67" s="17">
        <v>18143.12</v>
      </c>
      <c r="Z67" s="29">
        <f t="shared" ref="Z67:Z88" si="30">Y67/K67</f>
        <v>32.514551971326163</v>
      </c>
      <c r="AA67" s="17"/>
      <c r="AB67" s="17"/>
      <c r="AC67" s="17"/>
      <c r="AD67" s="17"/>
      <c r="AE67" s="17"/>
      <c r="AF67" s="17"/>
      <c r="AG67" s="2">
        <f t="shared" ref="AG67:AG76" si="31">W67/(P67-G67)</f>
        <v>0.92439680813886049</v>
      </c>
      <c r="AI67" s="2"/>
      <c r="AJ67" s="14"/>
      <c r="AK67" s="2">
        <f t="shared" si="9"/>
        <v>0</v>
      </c>
      <c r="AL67" s="2">
        <f t="shared" si="10"/>
        <v>0</v>
      </c>
      <c r="AM67" s="2">
        <f t="shared" si="11"/>
        <v>0</v>
      </c>
    </row>
    <row r="68" spans="1:39" x14ac:dyDescent="0.25">
      <c r="A68" s="21">
        <v>2441</v>
      </c>
      <c r="B68" s="14" t="s">
        <v>40</v>
      </c>
      <c r="C68" s="14">
        <v>27.8</v>
      </c>
      <c r="D68" s="15">
        <v>45603</v>
      </c>
      <c r="E68" s="13">
        <v>45642</v>
      </c>
      <c r="F68" s="14">
        <v>645</v>
      </c>
      <c r="G68" s="14">
        <v>4260.5</v>
      </c>
      <c r="H68" s="2">
        <f t="shared" si="23"/>
        <v>6.6054263565891471</v>
      </c>
      <c r="I68" s="8">
        <v>80</v>
      </c>
      <c r="J68" s="11">
        <f t="shared" si="24"/>
        <v>565</v>
      </c>
      <c r="K68" s="16">
        <v>560</v>
      </c>
      <c r="L68" s="9">
        <f t="shared" si="25"/>
        <v>38.014285714285712</v>
      </c>
      <c r="M68" s="14">
        <v>22088</v>
      </c>
      <c r="N68" s="14">
        <v>17100</v>
      </c>
      <c r="O68" s="20">
        <v>8.3999999999999995E-3</v>
      </c>
      <c r="P68" s="16">
        <v>15197</v>
      </c>
      <c r="Q68" s="17">
        <v>7.96</v>
      </c>
      <c r="R68" s="18">
        <v>26</v>
      </c>
      <c r="S68" s="2">
        <f t="shared" si="26"/>
        <v>65.814285714285717</v>
      </c>
      <c r="T68" s="2">
        <f t="shared" si="27"/>
        <v>19.394573643410851</v>
      </c>
      <c r="U68" s="11">
        <f t="shared" si="28"/>
        <v>495.13310394784497</v>
      </c>
      <c r="V68" s="2">
        <f t="shared" si="29"/>
        <v>1.5635715265395693</v>
      </c>
      <c r="W68" s="17">
        <v>10083.710801601357</v>
      </c>
      <c r="X68" s="17">
        <v>240</v>
      </c>
      <c r="Y68" s="17">
        <v>16816.740000000002</v>
      </c>
      <c r="Z68" s="29">
        <f t="shared" si="30"/>
        <v>30.029892857142858</v>
      </c>
      <c r="AA68" s="17"/>
      <c r="AB68" s="17"/>
      <c r="AC68" s="17"/>
      <c r="AD68" s="17"/>
      <c r="AE68" s="17"/>
      <c r="AF68" s="17"/>
      <c r="AG68" s="2">
        <f t="shared" si="31"/>
        <v>0.92202357258733203</v>
      </c>
      <c r="AI68" s="2"/>
      <c r="AJ68" s="14"/>
      <c r="AK68" s="2">
        <f t="shared" ref="AK68:AK114" si="32">AD68/J68</f>
        <v>0</v>
      </c>
      <c r="AL68" s="2">
        <f t="shared" ref="AL68:AL153" si="33">AE68/J68</f>
        <v>0</v>
      </c>
      <c r="AM68" s="2">
        <f t="shared" ref="AM68:AM153" si="34">AF68/J68</f>
        <v>0</v>
      </c>
    </row>
    <row r="69" spans="1:39" x14ac:dyDescent="0.25">
      <c r="A69" s="21">
        <v>2442</v>
      </c>
      <c r="B69" s="14" t="s">
        <v>35</v>
      </c>
      <c r="C69" s="14">
        <v>27.7</v>
      </c>
      <c r="D69" s="15">
        <v>45610</v>
      </c>
      <c r="E69" s="13">
        <v>45649</v>
      </c>
      <c r="F69" s="14">
        <v>637</v>
      </c>
      <c r="G69" s="14">
        <v>4092</v>
      </c>
      <c r="H69" s="2">
        <f t="shared" si="23"/>
        <v>6.4238618524332809</v>
      </c>
      <c r="I69" s="8">
        <v>55</v>
      </c>
      <c r="J69" s="11">
        <f t="shared" si="24"/>
        <v>582</v>
      </c>
      <c r="K69" s="16">
        <v>578</v>
      </c>
      <c r="L69" s="9">
        <f t="shared" si="25"/>
        <v>38.034602076124564</v>
      </c>
      <c r="M69" s="14">
        <v>22534</v>
      </c>
      <c r="N69" s="14">
        <v>18100</v>
      </c>
      <c r="O69" s="20">
        <v>6.4000000000000003E-3</v>
      </c>
      <c r="P69" s="16">
        <v>15487.5</v>
      </c>
      <c r="Q69" s="17">
        <v>7.3</v>
      </c>
      <c r="R69" s="18">
        <v>26.1</v>
      </c>
      <c r="S69" s="2">
        <f t="shared" si="26"/>
        <v>65.73460207612456</v>
      </c>
      <c r="T69" s="2">
        <f t="shared" si="27"/>
        <v>19.676138147566721</v>
      </c>
      <c r="U69" s="11">
        <f t="shared" si="28"/>
        <v>505.702494009053</v>
      </c>
      <c r="V69" s="2">
        <f t="shared" si="29"/>
        <v>1.5883462770391821</v>
      </c>
      <c r="W69" s="17">
        <v>10718.273198909501</v>
      </c>
      <c r="X69" s="17">
        <v>224</v>
      </c>
      <c r="Y69" s="17">
        <v>17867.14</v>
      </c>
      <c r="Z69" s="29">
        <f t="shared" si="30"/>
        <v>30.912006920415223</v>
      </c>
      <c r="AA69" s="17"/>
      <c r="AB69" s="17"/>
      <c r="AC69" s="17"/>
      <c r="AD69" s="17"/>
      <c r="AE69" s="17"/>
      <c r="AF69" s="17"/>
      <c r="AG69" s="2">
        <f t="shared" si="31"/>
        <v>0.94057068131363264</v>
      </c>
      <c r="AI69" s="2"/>
      <c r="AJ69" s="14"/>
      <c r="AK69" s="2">
        <f t="shared" si="32"/>
        <v>0</v>
      </c>
      <c r="AL69" s="2">
        <f t="shared" si="33"/>
        <v>0</v>
      </c>
      <c r="AM69" s="2">
        <f t="shared" si="34"/>
        <v>0</v>
      </c>
    </row>
    <row r="70" spans="1:39" x14ac:dyDescent="0.25">
      <c r="A70" s="21">
        <v>2443</v>
      </c>
      <c r="B70" s="14" t="s">
        <v>36</v>
      </c>
      <c r="C70" s="14">
        <v>27.9</v>
      </c>
      <c r="D70" s="15">
        <v>45617</v>
      </c>
      <c r="E70" s="13">
        <v>45656</v>
      </c>
      <c r="F70" s="14">
        <v>630</v>
      </c>
      <c r="G70" s="14">
        <v>4220</v>
      </c>
      <c r="H70" s="2">
        <f t="shared" si="23"/>
        <v>6.6984126984126986</v>
      </c>
      <c r="I70" s="8">
        <v>50</v>
      </c>
      <c r="J70" s="11">
        <f t="shared" si="24"/>
        <v>580</v>
      </c>
      <c r="K70" s="16">
        <v>574</v>
      </c>
      <c r="L70" s="9">
        <f t="shared" si="25"/>
        <v>38.118466898954701</v>
      </c>
      <c r="M70" s="14">
        <v>22380</v>
      </c>
      <c r="N70" s="14">
        <v>19000</v>
      </c>
      <c r="O70" s="20">
        <v>1.01E-2</v>
      </c>
      <c r="P70" s="16">
        <v>15891</v>
      </c>
      <c r="Q70" s="17">
        <v>7.62</v>
      </c>
      <c r="R70" s="18">
        <v>27.02</v>
      </c>
      <c r="S70" s="2">
        <f t="shared" si="26"/>
        <v>66.018466898954699</v>
      </c>
      <c r="T70" s="2">
        <f t="shared" si="27"/>
        <v>20.3215873015873</v>
      </c>
      <c r="U70" s="11">
        <f t="shared" si="28"/>
        <v>521.4924039320822</v>
      </c>
      <c r="V70" s="2">
        <f t="shared" si="29"/>
        <v>1.6279667552052095</v>
      </c>
      <c r="W70" s="17">
        <v>10982.35403766235</v>
      </c>
      <c r="X70" s="17">
        <v>150</v>
      </c>
      <c r="Y70" s="17">
        <v>18796.66</v>
      </c>
      <c r="Z70" s="29">
        <f t="shared" si="30"/>
        <v>32.74679442508711</v>
      </c>
      <c r="AA70" s="17"/>
      <c r="AB70" s="17"/>
      <c r="AC70" s="17"/>
      <c r="AD70" s="17"/>
      <c r="AE70" s="17"/>
      <c r="AF70" s="17"/>
      <c r="AG70" s="2">
        <f t="shared" si="31"/>
        <v>0.94099511932673718</v>
      </c>
      <c r="AI70" s="2"/>
      <c r="AJ70" s="14"/>
      <c r="AK70" s="2">
        <f t="shared" si="32"/>
        <v>0</v>
      </c>
      <c r="AL70" s="2">
        <f t="shared" si="33"/>
        <v>0</v>
      </c>
      <c r="AM70" s="2">
        <f t="shared" si="34"/>
        <v>0</v>
      </c>
    </row>
    <row r="71" spans="1:39" x14ac:dyDescent="0.25">
      <c r="A71" s="22">
        <v>2444</v>
      </c>
      <c r="B71" s="7" t="s">
        <v>37</v>
      </c>
      <c r="C71" s="7">
        <v>28.3</v>
      </c>
      <c r="D71" s="32">
        <v>45624</v>
      </c>
      <c r="E71" s="13">
        <v>45663</v>
      </c>
      <c r="F71" s="7">
        <v>628</v>
      </c>
      <c r="G71" s="7">
        <v>4353</v>
      </c>
      <c r="H71" s="2">
        <f t="shared" si="23"/>
        <v>6.9315286624203818</v>
      </c>
      <c r="I71" s="7">
        <v>70</v>
      </c>
      <c r="J71" s="1">
        <f t="shared" si="24"/>
        <v>558</v>
      </c>
      <c r="K71" s="8">
        <v>557</v>
      </c>
      <c r="L71" s="2">
        <f t="shared" si="25"/>
        <v>37.504488330341111</v>
      </c>
      <c r="M71" s="7">
        <v>21590</v>
      </c>
      <c r="N71" s="7">
        <v>18550</v>
      </c>
      <c r="O71" s="20">
        <v>1.6000000000000001E-3</v>
      </c>
      <c r="P71" s="8">
        <v>16060</v>
      </c>
      <c r="Q71" s="7">
        <v>7.5</v>
      </c>
      <c r="R71" s="18">
        <v>27.89</v>
      </c>
      <c r="S71" s="2">
        <f t="shared" ref="S71:S89" si="35">C71+L71</f>
        <v>65.804488330341115</v>
      </c>
      <c r="T71" s="2">
        <f t="shared" si="27"/>
        <v>20.958471337579617</v>
      </c>
      <c r="U71" s="11">
        <f t="shared" si="28"/>
        <v>542.24177860120426</v>
      </c>
      <c r="V71" s="2">
        <f t="shared" si="29"/>
        <v>1.5845220808063551</v>
      </c>
      <c r="W71" s="18">
        <v>10750.468037662349</v>
      </c>
      <c r="X71" s="18">
        <v>147</v>
      </c>
      <c r="Y71" s="18">
        <v>18401.599999999999</v>
      </c>
      <c r="Z71" s="2">
        <f t="shared" si="30"/>
        <v>33.03698384201077</v>
      </c>
      <c r="AA71" s="7"/>
      <c r="AB71" s="7"/>
      <c r="AC71" s="7"/>
      <c r="AD71" s="7"/>
      <c r="AE71" s="7"/>
      <c r="AF71" s="7"/>
      <c r="AG71" s="2">
        <f t="shared" si="31"/>
        <v>0.91829401534657462</v>
      </c>
      <c r="AJ71" s="7"/>
      <c r="AK71" s="2">
        <f t="shared" si="32"/>
        <v>0</v>
      </c>
      <c r="AL71" s="2">
        <f t="shared" si="33"/>
        <v>0</v>
      </c>
      <c r="AM71" s="2">
        <f t="shared" si="34"/>
        <v>0</v>
      </c>
    </row>
    <row r="72" spans="1:39" x14ac:dyDescent="0.25">
      <c r="A72" s="22">
        <v>2445</v>
      </c>
      <c r="B72" s="7" t="s">
        <v>38</v>
      </c>
      <c r="C72" s="7">
        <v>28.1</v>
      </c>
      <c r="D72" s="32">
        <v>45631</v>
      </c>
      <c r="E72" s="13">
        <v>45670</v>
      </c>
      <c r="F72" s="7">
        <v>632</v>
      </c>
      <c r="G72" s="7">
        <v>4586.5</v>
      </c>
      <c r="H72" s="2">
        <f t="shared" si="23"/>
        <v>7.2571202531645573</v>
      </c>
      <c r="I72" s="7">
        <v>106</v>
      </c>
      <c r="J72" s="1">
        <f t="shared" si="24"/>
        <v>526</v>
      </c>
      <c r="K72" s="8">
        <v>524</v>
      </c>
      <c r="L72" s="2">
        <f t="shared" si="25"/>
        <v>37.248091603053432</v>
      </c>
      <c r="M72" s="7">
        <v>20578</v>
      </c>
      <c r="N72" s="7">
        <v>17000</v>
      </c>
      <c r="O72" s="20">
        <v>3.5000000000000001E-3</v>
      </c>
      <c r="P72" s="8">
        <v>15649</v>
      </c>
      <c r="Q72" s="34">
        <v>7.7</v>
      </c>
      <c r="R72" s="18">
        <v>28.31</v>
      </c>
      <c r="S72" s="2">
        <f t="shared" si="35"/>
        <v>65.348091603053433</v>
      </c>
      <c r="T72" s="2">
        <f t="shared" si="27"/>
        <v>21.05287974683544</v>
      </c>
      <c r="U72" s="11">
        <f t="shared" si="28"/>
        <v>537.58868694722514</v>
      </c>
      <c r="V72" s="2">
        <f t="shared" si="29"/>
        <v>1.536723163841808</v>
      </c>
      <c r="W72" s="18">
        <v>10249.797999999999</v>
      </c>
      <c r="X72" s="18">
        <v>222.6</v>
      </c>
      <c r="Y72" s="18">
        <v>16864.84</v>
      </c>
      <c r="Z72" s="2">
        <f t="shared" si="30"/>
        <v>32.184809160305342</v>
      </c>
      <c r="AA72" s="7"/>
      <c r="AB72" s="7"/>
      <c r="AC72" s="7"/>
      <c r="AD72" s="7"/>
      <c r="AE72" s="7"/>
      <c r="AF72" s="7"/>
      <c r="AG72" s="2">
        <f t="shared" si="31"/>
        <v>0.92653541242937842</v>
      </c>
      <c r="AJ72" s="7"/>
      <c r="AK72" s="2">
        <f t="shared" si="32"/>
        <v>0</v>
      </c>
      <c r="AL72" s="2">
        <f t="shared" si="33"/>
        <v>0</v>
      </c>
      <c r="AM72" s="2">
        <f t="shared" si="34"/>
        <v>0</v>
      </c>
    </row>
    <row r="73" spans="1:39" x14ac:dyDescent="0.25">
      <c r="A73" s="22">
        <v>2446</v>
      </c>
      <c r="B73" s="7" t="s">
        <v>39</v>
      </c>
      <c r="C73" s="7">
        <v>27.9</v>
      </c>
      <c r="D73" s="32">
        <v>45638</v>
      </c>
      <c r="E73" s="13">
        <v>45677</v>
      </c>
      <c r="F73" s="7">
        <v>662</v>
      </c>
      <c r="G73" s="7">
        <v>4386</v>
      </c>
      <c r="H73" s="2">
        <f t="shared" si="23"/>
        <v>6.6253776435045317</v>
      </c>
      <c r="I73" s="7">
        <v>100</v>
      </c>
      <c r="J73" s="1">
        <f t="shared" si="24"/>
        <v>562</v>
      </c>
      <c r="K73" s="8">
        <v>558</v>
      </c>
      <c r="L73" s="2">
        <f t="shared" si="25"/>
        <v>36.27956989247312</v>
      </c>
      <c r="M73" s="7">
        <v>21244</v>
      </c>
      <c r="N73" s="7">
        <v>19150</v>
      </c>
      <c r="O73" s="20">
        <v>6.3E-3</v>
      </c>
      <c r="P73" s="8">
        <v>16035</v>
      </c>
      <c r="Q73" s="34">
        <v>6.6</v>
      </c>
      <c r="R73" s="18">
        <v>27.55</v>
      </c>
      <c r="S73" s="2">
        <f t="shared" si="35"/>
        <v>64.179569892473125</v>
      </c>
      <c r="T73" s="2">
        <f t="shared" si="27"/>
        <v>20.924622356495469</v>
      </c>
      <c r="U73" s="11">
        <f t="shared" si="28"/>
        <v>548.34306157032574</v>
      </c>
      <c r="V73" s="2">
        <f t="shared" si="29"/>
        <v>1.6439179328697742</v>
      </c>
      <c r="W73" s="18">
        <v>11364.334499999999</v>
      </c>
      <c r="X73" s="18">
        <v>25</v>
      </c>
      <c r="Y73" s="18">
        <v>19109.04</v>
      </c>
      <c r="Z73" s="2">
        <f t="shared" si="30"/>
        <v>34.245591397849466</v>
      </c>
      <c r="AA73" s="7"/>
      <c r="AB73" s="7"/>
      <c r="AC73" s="7"/>
      <c r="AD73" s="7"/>
      <c r="AE73" s="7"/>
      <c r="AF73" s="7"/>
      <c r="AG73" s="2">
        <f t="shared" si="31"/>
        <v>0.9755630955446819</v>
      </c>
      <c r="AJ73" s="7"/>
      <c r="AK73" s="2">
        <f t="shared" si="32"/>
        <v>0</v>
      </c>
      <c r="AL73" s="2">
        <f t="shared" si="33"/>
        <v>0</v>
      </c>
      <c r="AM73" s="2">
        <f t="shared" si="34"/>
        <v>0</v>
      </c>
    </row>
    <row r="74" spans="1:39" x14ac:dyDescent="0.25">
      <c r="A74" s="22">
        <v>2447</v>
      </c>
      <c r="B74" s="7" t="s">
        <v>40</v>
      </c>
      <c r="C74" s="7">
        <v>27.9</v>
      </c>
      <c r="D74" s="32">
        <v>45645</v>
      </c>
      <c r="E74" s="13">
        <v>45684</v>
      </c>
      <c r="F74" s="7">
        <v>593</v>
      </c>
      <c r="G74" s="7">
        <v>3994</v>
      </c>
      <c r="H74" s="2">
        <f t="shared" si="23"/>
        <v>6.7352445193929178</v>
      </c>
      <c r="I74" s="7">
        <v>70</v>
      </c>
      <c r="J74" s="1">
        <f t="shared" si="24"/>
        <v>523</v>
      </c>
      <c r="K74" s="8">
        <v>507</v>
      </c>
      <c r="L74" s="2">
        <f t="shared" si="25"/>
        <v>37.475345167652861</v>
      </c>
      <c r="M74" s="7">
        <v>19700</v>
      </c>
      <c r="N74" s="7">
        <v>16550</v>
      </c>
      <c r="O74" s="20">
        <v>1.06E-2</v>
      </c>
      <c r="P74" s="8">
        <v>14508</v>
      </c>
      <c r="Q74" s="34">
        <v>6.53</v>
      </c>
      <c r="R74" s="18">
        <v>27.18</v>
      </c>
      <c r="S74" s="2">
        <f t="shared" si="35"/>
        <v>65.375345167652853</v>
      </c>
      <c r="T74" s="2">
        <f t="shared" si="27"/>
        <v>20.444755480607082</v>
      </c>
      <c r="U74" s="11">
        <f t="shared" si="28"/>
        <v>533.70558375634516</v>
      </c>
      <c r="V74" s="2">
        <f t="shared" si="29"/>
        <v>1.5740916872741106</v>
      </c>
      <c r="W74" s="18">
        <v>9327.7564999999995</v>
      </c>
      <c r="X74" s="18">
        <v>17.5</v>
      </c>
      <c r="Y74" s="18">
        <v>16008.73</v>
      </c>
      <c r="Z74" s="2">
        <f t="shared" si="30"/>
        <v>31.575404339250493</v>
      </c>
      <c r="AA74" s="7"/>
      <c r="AB74" s="7"/>
      <c r="AC74" s="7"/>
      <c r="AD74" s="7"/>
      <c r="AE74" s="7"/>
      <c r="AF74" s="7"/>
      <c r="AG74" s="2">
        <f t="shared" si="31"/>
        <v>0.88717486208864371</v>
      </c>
      <c r="AJ74" s="7"/>
      <c r="AK74" s="2">
        <f t="shared" si="32"/>
        <v>0</v>
      </c>
      <c r="AL74" s="2">
        <f t="shared" si="33"/>
        <v>0</v>
      </c>
      <c r="AM74" s="2">
        <f t="shared" si="34"/>
        <v>0</v>
      </c>
    </row>
    <row r="75" spans="1:39" x14ac:dyDescent="0.25">
      <c r="A75" s="22">
        <v>2448</v>
      </c>
      <c r="B75" s="7" t="s">
        <v>35</v>
      </c>
      <c r="C75" s="7">
        <v>28.2</v>
      </c>
      <c r="D75" s="32">
        <v>45652</v>
      </c>
      <c r="E75" s="13">
        <v>45691</v>
      </c>
      <c r="F75" s="7">
        <v>683</v>
      </c>
      <c r="G75" s="7">
        <v>4428</v>
      </c>
      <c r="H75" s="2">
        <f t="shared" si="23"/>
        <v>6.4831625183016106</v>
      </c>
      <c r="I75" s="7">
        <v>132</v>
      </c>
      <c r="J75" s="1">
        <f t="shared" si="24"/>
        <v>551</v>
      </c>
      <c r="K75" s="8">
        <v>548</v>
      </c>
      <c r="L75" s="2">
        <f t="shared" si="25"/>
        <v>35.706204379562045</v>
      </c>
      <c r="M75" s="7">
        <v>20887</v>
      </c>
      <c r="N75" s="7">
        <v>17300</v>
      </c>
      <c r="O75" s="20">
        <v>5.1000000000000004E-3</v>
      </c>
      <c r="P75" s="8">
        <v>15375</v>
      </c>
      <c r="Q75" s="34">
        <v>6.5</v>
      </c>
      <c r="R75" s="18">
        <v>26.49</v>
      </c>
      <c r="S75" s="2">
        <f t="shared" si="35"/>
        <v>63.906204379562041</v>
      </c>
      <c r="T75" s="2">
        <f t="shared" si="27"/>
        <v>20.006837481698387</v>
      </c>
      <c r="U75" s="11">
        <f t="shared" si="28"/>
        <v>524.10590319337393</v>
      </c>
      <c r="V75" s="2">
        <f t="shared" si="29"/>
        <v>1.5803416461130904</v>
      </c>
      <c r="W75" s="18">
        <v>10027.890000000001</v>
      </c>
      <c r="X75" s="18">
        <v>33</v>
      </c>
      <c r="Y75" s="18">
        <v>17236.18</v>
      </c>
      <c r="Z75" s="2">
        <f t="shared" si="30"/>
        <v>31.452883211678834</v>
      </c>
      <c r="AA75" s="7"/>
      <c r="AB75" s="7"/>
      <c r="AC75" s="7"/>
      <c r="AD75" s="7"/>
      <c r="AE75" s="7"/>
      <c r="AF75" s="7"/>
      <c r="AG75" s="2">
        <f t="shared" si="31"/>
        <v>0.91604001096190746</v>
      </c>
      <c r="AJ75" s="7"/>
      <c r="AK75" s="2">
        <f t="shared" si="32"/>
        <v>0</v>
      </c>
      <c r="AL75" s="2">
        <f t="shared" si="33"/>
        <v>0</v>
      </c>
      <c r="AM75" s="2">
        <f t="shared" si="34"/>
        <v>0</v>
      </c>
    </row>
    <row r="76" spans="1:39" x14ac:dyDescent="0.25">
      <c r="A76" s="22">
        <v>2449</v>
      </c>
      <c r="B76" s="7" t="s">
        <v>36</v>
      </c>
      <c r="C76" s="7">
        <v>27.9</v>
      </c>
      <c r="D76" s="32">
        <v>45659</v>
      </c>
      <c r="E76" s="13">
        <v>45698</v>
      </c>
      <c r="F76" s="7">
        <v>680</v>
      </c>
      <c r="G76" s="7">
        <v>4135.6000000000004</v>
      </c>
      <c r="H76" s="2">
        <f t="shared" si="23"/>
        <v>6.0817647058823532</v>
      </c>
      <c r="I76" s="7">
        <v>100</v>
      </c>
      <c r="J76" s="1">
        <f t="shared" si="24"/>
        <v>580</v>
      </c>
      <c r="K76" s="8">
        <v>574</v>
      </c>
      <c r="L76" s="2">
        <f t="shared" si="25"/>
        <v>36.482578397212542</v>
      </c>
      <c r="M76" s="7">
        <v>21941</v>
      </c>
      <c r="N76" s="7">
        <v>17800</v>
      </c>
      <c r="O76" s="20">
        <v>6.1000000000000004E-3</v>
      </c>
      <c r="P76" s="8">
        <v>15402</v>
      </c>
      <c r="Q76" s="34">
        <v>5.4</v>
      </c>
      <c r="R76" s="18">
        <v>25.89</v>
      </c>
      <c r="S76" s="2">
        <f t="shared" si="35"/>
        <v>64.382578397212541</v>
      </c>
      <c r="T76" s="2">
        <f t="shared" si="27"/>
        <v>19.808235294117647</v>
      </c>
      <c r="U76" s="11">
        <f t="shared" si="28"/>
        <v>513.48616744906792</v>
      </c>
      <c r="V76" s="2">
        <f t="shared" si="29"/>
        <v>1.5799190513384933</v>
      </c>
      <c r="W76" s="18">
        <v>10180.206</v>
      </c>
      <c r="X76" s="18">
        <v>25</v>
      </c>
      <c r="Y76" s="18">
        <v>17763.439999999999</v>
      </c>
      <c r="Z76" s="2">
        <f t="shared" si="30"/>
        <v>30.94675958188153</v>
      </c>
      <c r="AA76" s="7"/>
      <c r="AB76" s="7"/>
      <c r="AC76" s="7"/>
      <c r="AD76" s="7"/>
      <c r="AE76" s="7"/>
      <c r="AF76" s="7"/>
      <c r="AG76" s="2">
        <f t="shared" si="31"/>
        <v>0.9035899666264291</v>
      </c>
      <c r="AJ76" s="7"/>
      <c r="AK76" s="2">
        <f t="shared" si="32"/>
        <v>0</v>
      </c>
      <c r="AL76" s="2">
        <f t="shared" si="33"/>
        <v>0</v>
      </c>
      <c r="AM76" s="2">
        <f t="shared" si="34"/>
        <v>0</v>
      </c>
    </row>
    <row r="77" spans="1:39" x14ac:dyDescent="0.25">
      <c r="A77" s="22">
        <v>2450</v>
      </c>
      <c r="B77" s="7" t="s">
        <v>37</v>
      </c>
      <c r="C77" s="7">
        <v>27.8</v>
      </c>
      <c r="D77" s="32">
        <v>45666</v>
      </c>
      <c r="E77" s="13">
        <v>45705</v>
      </c>
      <c r="F77" s="7">
        <v>658</v>
      </c>
      <c r="G77" s="7">
        <v>4027</v>
      </c>
      <c r="H77" s="2">
        <f t="shared" si="23"/>
        <v>6.1200607902735564</v>
      </c>
      <c r="I77" s="7">
        <v>110</v>
      </c>
      <c r="J77" s="1">
        <f t="shared" si="24"/>
        <v>548</v>
      </c>
      <c r="K77" s="8">
        <v>540</v>
      </c>
      <c r="L77" s="2">
        <f t="shared" si="25"/>
        <v>36.170370370370371</v>
      </c>
      <c r="M77" s="7">
        <v>20632</v>
      </c>
      <c r="N77" s="7">
        <v>16690</v>
      </c>
      <c r="O77" s="20">
        <v>1.34E-2</v>
      </c>
      <c r="P77" s="8">
        <v>14483</v>
      </c>
      <c r="Q77" s="34">
        <v>6.1</v>
      </c>
      <c r="R77" s="18">
        <v>25.57</v>
      </c>
      <c r="S77" s="2">
        <f t="shared" si="35"/>
        <v>63.970370370370375</v>
      </c>
      <c r="T77" s="2">
        <f t="shared" si="27"/>
        <v>19.449939209726445</v>
      </c>
      <c r="U77" s="11">
        <f t="shared" si="28"/>
        <v>506.78557580457539</v>
      </c>
      <c r="V77" s="2">
        <f t="shared" si="29"/>
        <v>1.596212700841622</v>
      </c>
      <c r="W77" s="18">
        <v>10095.265999999998</v>
      </c>
      <c r="X77" s="18">
        <v>27.5</v>
      </c>
      <c r="Y77" s="18">
        <v>16609.14</v>
      </c>
      <c r="Z77" s="2">
        <f t="shared" si="30"/>
        <v>30.757666666666665</v>
      </c>
      <c r="AA77" s="7"/>
      <c r="AB77" s="7"/>
      <c r="AC77" s="7"/>
      <c r="AD77" s="7"/>
      <c r="AE77" s="7"/>
      <c r="AF77" s="7"/>
      <c r="AG77" s="2">
        <f>W77/(P77-G77)</f>
        <v>0.96549980872226449</v>
      </c>
      <c r="AJ77" s="7"/>
      <c r="AK77" s="2">
        <f t="shared" si="32"/>
        <v>0</v>
      </c>
      <c r="AL77" s="2">
        <f t="shared" si="33"/>
        <v>0</v>
      </c>
      <c r="AM77" s="2">
        <f t="shared" si="34"/>
        <v>0</v>
      </c>
    </row>
    <row r="78" spans="1:39" x14ac:dyDescent="0.25">
      <c r="A78" s="22">
        <v>2451</v>
      </c>
      <c r="B78" s="7" t="s">
        <v>38</v>
      </c>
      <c r="C78" s="7">
        <v>27.7</v>
      </c>
      <c r="D78" s="32">
        <v>45673</v>
      </c>
      <c r="E78" s="13">
        <v>45712</v>
      </c>
      <c r="F78" s="7">
        <v>652</v>
      </c>
      <c r="G78" s="7">
        <v>4068</v>
      </c>
      <c r="H78" s="2">
        <f t="shared" si="23"/>
        <v>6.2392638036809815</v>
      </c>
      <c r="I78" s="7">
        <v>150</v>
      </c>
      <c r="J78" s="1">
        <f t="shared" si="24"/>
        <v>502</v>
      </c>
      <c r="K78" s="8">
        <v>498</v>
      </c>
      <c r="L78" s="2">
        <f t="shared" si="25"/>
        <v>35.028112449799195</v>
      </c>
      <c r="M78" s="7">
        <v>18944</v>
      </c>
      <c r="N78" s="7">
        <v>16000</v>
      </c>
      <c r="O78" s="20">
        <v>6.1000000000000004E-3</v>
      </c>
      <c r="P78" s="8">
        <v>14017</v>
      </c>
      <c r="Q78" s="34">
        <v>5.85</v>
      </c>
      <c r="R78" s="18">
        <v>26.38</v>
      </c>
      <c r="S78" s="2">
        <f t="shared" si="35"/>
        <v>62.728112449799198</v>
      </c>
      <c r="T78" s="2">
        <f t="shared" si="27"/>
        <v>20.140736196319018</v>
      </c>
      <c r="U78" s="11">
        <f t="shared" si="28"/>
        <v>525.17947635135135</v>
      </c>
      <c r="V78" s="2">
        <f t="shared" si="29"/>
        <v>1.6082018293295808</v>
      </c>
      <c r="W78" s="18">
        <v>9415.9599999999991</v>
      </c>
      <c r="X78" s="18">
        <v>37.5</v>
      </c>
      <c r="Y78" s="18">
        <v>15955.65</v>
      </c>
      <c r="Z78" s="2">
        <f t="shared" si="30"/>
        <v>32.039457831325301</v>
      </c>
      <c r="AA78" s="7"/>
      <c r="AB78" s="7"/>
      <c r="AC78" s="7"/>
      <c r="AD78" s="7"/>
      <c r="AE78" s="7"/>
      <c r="AF78" s="7"/>
      <c r="AG78" s="2">
        <f>W78/(P78-G78)</f>
        <v>0.94642275605588488</v>
      </c>
      <c r="AJ78" s="7"/>
      <c r="AK78" s="2">
        <f t="shared" si="32"/>
        <v>0</v>
      </c>
      <c r="AL78" s="2">
        <f t="shared" si="33"/>
        <v>0</v>
      </c>
      <c r="AM78" s="2">
        <f t="shared" si="34"/>
        <v>0</v>
      </c>
    </row>
    <row r="79" spans="1:39" x14ac:dyDescent="0.25">
      <c r="A79" s="22">
        <v>2452</v>
      </c>
      <c r="B79" s="7" t="s">
        <v>39</v>
      </c>
      <c r="C79" s="7">
        <v>27.9</v>
      </c>
      <c r="D79" s="32">
        <v>45680</v>
      </c>
      <c r="E79" s="13">
        <v>45719</v>
      </c>
      <c r="F79" s="7">
        <v>658</v>
      </c>
      <c r="G79" s="7">
        <v>4503</v>
      </c>
      <c r="H79" s="2">
        <f t="shared" si="23"/>
        <v>6.8434650455927049</v>
      </c>
      <c r="I79" s="7">
        <v>145</v>
      </c>
      <c r="J79" s="1">
        <f t="shared" si="24"/>
        <v>513</v>
      </c>
      <c r="K79" s="8">
        <v>508</v>
      </c>
      <c r="L79" s="2">
        <f t="shared" si="25"/>
        <v>35.311023622047244</v>
      </c>
      <c r="M79" s="7">
        <v>19388</v>
      </c>
      <c r="N79" s="7">
        <v>16000</v>
      </c>
      <c r="O79" s="20">
        <v>8.8999999999999999E-3</v>
      </c>
      <c r="P79" s="8">
        <v>14637</v>
      </c>
      <c r="Q79" s="34">
        <v>6.1655172413793107</v>
      </c>
      <c r="R79" s="18">
        <v>27.05</v>
      </c>
      <c r="S79" s="2">
        <f t="shared" si="35"/>
        <v>63.211023622047243</v>
      </c>
      <c r="T79" s="2">
        <f t="shared" si="27"/>
        <v>20.206534954407296</v>
      </c>
      <c r="U79" s="11">
        <f>((P79-G79)/M79)*1000</f>
        <v>522.69445017536623</v>
      </c>
      <c r="V79" s="2">
        <f>N79/(P79-G79)</f>
        <v>1.5788434971383463</v>
      </c>
      <c r="W79" s="18">
        <v>9638.4500000000007</v>
      </c>
      <c r="X79" s="18">
        <v>36.25</v>
      </c>
      <c r="Y79" s="18">
        <v>15927.87</v>
      </c>
      <c r="Z79" s="2">
        <f t="shared" si="30"/>
        <v>31.354074803149608</v>
      </c>
      <c r="AA79" s="7"/>
      <c r="AB79" s="7"/>
      <c r="AC79" s="7"/>
      <c r="AD79" s="7"/>
      <c r="AE79" s="7"/>
      <c r="AF79" s="7"/>
      <c r="AG79" s="2">
        <f>W79/(P79-G79)</f>
        <v>0.95110025656206831</v>
      </c>
      <c r="AJ79" s="7"/>
      <c r="AK79" s="2">
        <f t="shared" si="32"/>
        <v>0</v>
      </c>
      <c r="AL79" s="2">
        <f t="shared" si="33"/>
        <v>0</v>
      </c>
      <c r="AM79" s="2">
        <f t="shared" si="34"/>
        <v>0</v>
      </c>
    </row>
    <row r="80" spans="1:39" x14ac:dyDescent="0.25">
      <c r="A80" s="22">
        <v>2501</v>
      </c>
      <c r="B80" s="7" t="s">
        <v>40</v>
      </c>
      <c r="C80" s="7">
        <v>28.1</v>
      </c>
      <c r="D80" s="32">
        <v>45687</v>
      </c>
      <c r="E80" s="13">
        <v>45726</v>
      </c>
      <c r="F80" s="7">
        <v>694</v>
      </c>
      <c r="G80" s="7">
        <v>4719</v>
      </c>
      <c r="H80" s="2">
        <f t="shared" si="23"/>
        <v>6.7997118155619596</v>
      </c>
      <c r="I80" s="7">
        <v>50</v>
      </c>
      <c r="J80" s="1">
        <f t="shared" si="24"/>
        <v>644</v>
      </c>
      <c r="K80" s="8">
        <v>643</v>
      </c>
      <c r="L80" s="2">
        <f t="shared" si="25"/>
        <v>37.279937791601867</v>
      </c>
      <c r="M80" s="7">
        <v>24471</v>
      </c>
      <c r="N80" s="7">
        <v>19400</v>
      </c>
      <c r="O80" s="33">
        <v>1.6000000000000001E-3</v>
      </c>
      <c r="P80" s="8">
        <v>17209</v>
      </c>
      <c r="Q80" s="17">
        <v>6.56</v>
      </c>
      <c r="R80" s="18">
        <v>26.25</v>
      </c>
      <c r="S80" s="2">
        <f t="shared" si="35"/>
        <v>65.379937791601861</v>
      </c>
      <c r="T80" s="2">
        <f t="shared" si="27"/>
        <v>19.45028818443804</v>
      </c>
      <c r="U80" s="11">
        <f>((P80-G80)/M80)*1000</f>
        <v>510.40006538351525</v>
      </c>
      <c r="V80" s="2">
        <f>N80/(P80-G80)</f>
        <v>1.5532425940752601</v>
      </c>
      <c r="W80" s="18">
        <v>11395.907999999998</v>
      </c>
      <c r="X80" s="18">
        <v>12.5</v>
      </c>
      <c r="Y80" s="18">
        <v>19365.14</v>
      </c>
      <c r="Z80" s="2">
        <f t="shared" si="30"/>
        <v>30.116858475894244</v>
      </c>
      <c r="AA80" s="7"/>
      <c r="AB80" s="7"/>
      <c r="AC80" s="7"/>
      <c r="AD80" s="7"/>
      <c r="AE80" s="7"/>
      <c r="AF80" s="7"/>
      <c r="AG80" s="2">
        <f t="shared" ref="AG80:AG89" si="36">W80/(P80-G80)</f>
        <v>0.91240256204963954</v>
      </c>
      <c r="AJ80" s="7"/>
      <c r="AK80" s="2">
        <f t="shared" si="32"/>
        <v>0</v>
      </c>
      <c r="AL80" s="2">
        <f t="shared" si="33"/>
        <v>0</v>
      </c>
      <c r="AM80" s="2">
        <f t="shared" si="34"/>
        <v>0</v>
      </c>
    </row>
    <row r="81" spans="1:39" x14ac:dyDescent="0.25">
      <c r="A81" s="22">
        <v>2502</v>
      </c>
      <c r="B81" s="7" t="s">
        <v>35</v>
      </c>
      <c r="C81" s="7">
        <v>28.6</v>
      </c>
      <c r="D81" s="32">
        <v>45694</v>
      </c>
      <c r="E81" s="13">
        <v>45733</v>
      </c>
      <c r="F81" s="7">
        <v>654</v>
      </c>
      <c r="G81" s="7">
        <v>4388.5</v>
      </c>
      <c r="H81" s="2">
        <f t="shared" si="23"/>
        <v>6.7102446483180431</v>
      </c>
      <c r="I81" s="7">
        <v>100</v>
      </c>
      <c r="J81" s="1">
        <f t="shared" si="24"/>
        <v>554</v>
      </c>
      <c r="K81" s="8">
        <v>552</v>
      </c>
      <c r="L81" s="2">
        <f t="shared" si="25"/>
        <v>36.329710144927539</v>
      </c>
      <c r="M81" s="7">
        <v>21054</v>
      </c>
      <c r="N81" s="7">
        <v>17976</v>
      </c>
      <c r="O81" s="33">
        <v>3.5999999999999999E-3</v>
      </c>
      <c r="P81" s="8">
        <v>15933</v>
      </c>
      <c r="Q81" s="34">
        <v>5.73</v>
      </c>
      <c r="R81" s="18">
        <v>27.83</v>
      </c>
      <c r="S81" s="2">
        <f t="shared" si="35"/>
        <v>64.92971014492754</v>
      </c>
      <c r="T81" s="2">
        <f t="shared" si="27"/>
        <v>21.119755351681956</v>
      </c>
      <c r="U81" s="11">
        <f>((P81-G81)/M81)*1000</f>
        <v>548.3281086729362</v>
      </c>
      <c r="V81" s="2">
        <f>N81/(P81-G81)</f>
        <v>1.5571051149898221</v>
      </c>
      <c r="W81" s="18">
        <v>10497.390400000002</v>
      </c>
      <c r="X81" s="18">
        <v>25</v>
      </c>
      <c r="Y81" s="18">
        <v>17911.080000000002</v>
      </c>
      <c r="Z81" s="2">
        <f t="shared" si="30"/>
        <v>32.447608695652178</v>
      </c>
      <c r="AA81" s="7"/>
      <c r="AB81" s="7"/>
      <c r="AC81" s="7"/>
      <c r="AD81" s="7"/>
      <c r="AE81" s="7"/>
      <c r="AF81" s="7"/>
      <c r="AG81" s="2">
        <f t="shared" si="36"/>
        <v>0.90929796872969826</v>
      </c>
      <c r="AJ81" s="7"/>
      <c r="AK81" s="2">
        <f t="shared" si="32"/>
        <v>0</v>
      </c>
      <c r="AL81" s="2">
        <f t="shared" si="33"/>
        <v>0</v>
      </c>
      <c r="AM81" s="2">
        <f t="shared" si="34"/>
        <v>0</v>
      </c>
    </row>
    <row r="82" spans="1:39" x14ac:dyDescent="0.25">
      <c r="A82" s="22">
        <v>2503</v>
      </c>
      <c r="B82" s="7" t="s">
        <v>36</v>
      </c>
      <c r="C82" s="7">
        <v>28.2</v>
      </c>
      <c r="D82" s="32">
        <v>45701</v>
      </c>
      <c r="E82" s="13">
        <v>45740</v>
      </c>
      <c r="F82" s="7">
        <v>501</v>
      </c>
      <c r="G82" s="7">
        <v>3306</v>
      </c>
      <c r="H82" s="2">
        <f t="shared" si="23"/>
        <v>6.5988023952095807</v>
      </c>
      <c r="I82" s="7">
        <v>100</v>
      </c>
      <c r="J82" s="1">
        <f t="shared" si="24"/>
        <v>401</v>
      </c>
      <c r="K82" s="8">
        <v>497</v>
      </c>
      <c r="L82" s="2">
        <f t="shared" si="25"/>
        <v>38.676056338028168</v>
      </c>
      <c r="M82" s="7">
        <v>20222</v>
      </c>
      <c r="N82" s="7">
        <v>17000</v>
      </c>
      <c r="O82" s="33">
        <v>9.4999999999999998E-3</v>
      </c>
      <c r="P82" s="8">
        <v>14009</v>
      </c>
      <c r="Q82" s="34">
        <v>5.84</v>
      </c>
      <c r="R82" s="18">
        <v>27.01</v>
      </c>
      <c r="S82" s="2">
        <f t="shared" si="35"/>
        <v>66.876056338028164</v>
      </c>
      <c r="T82" s="2">
        <f t="shared" si="27"/>
        <v>20.41119760479042</v>
      </c>
      <c r="U82" s="11">
        <f>((P82-G82)/M82)*1000</f>
        <v>529.27504697853817</v>
      </c>
      <c r="V82" s="2">
        <f>N82/(P82-G82)</f>
        <v>1.5883397178361207</v>
      </c>
      <c r="W82" s="18">
        <v>10112</v>
      </c>
      <c r="X82" s="18">
        <v>0</v>
      </c>
      <c r="Y82" s="18">
        <v>16974.580000000002</v>
      </c>
      <c r="Z82" s="2">
        <f t="shared" si="30"/>
        <v>34.154084507042256</v>
      </c>
      <c r="AA82" s="7"/>
      <c r="AB82" s="7"/>
      <c r="AC82" s="7"/>
      <c r="AD82" s="7"/>
      <c r="AE82" s="7"/>
      <c r="AF82" s="7"/>
      <c r="AG82" s="2">
        <f t="shared" si="36"/>
        <v>0.94478183686816786</v>
      </c>
      <c r="AJ82" s="7"/>
      <c r="AK82" s="2">
        <f t="shared" si="32"/>
        <v>0</v>
      </c>
      <c r="AL82" s="2">
        <f t="shared" si="33"/>
        <v>0</v>
      </c>
      <c r="AM82" s="2">
        <f t="shared" si="34"/>
        <v>0</v>
      </c>
    </row>
    <row r="83" spans="1:39" x14ac:dyDescent="0.25">
      <c r="A83" s="22">
        <v>2504</v>
      </c>
      <c r="B83" s="7" t="s">
        <v>37</v>
      </c>
      <c r="C83" s="7">
        <v>27</v>
      </c>
      <c r="D83" s="32">
        <v>45708</v>
      </c>
      <c r="E83" s="13">
        <v>45747</v>
      </c>
      <c r="F83" s="7">
        <v>645</v>
      </c>
      <c r="G83" s="7">
        <v>4037.8</v>
      </c>
      <c r="H83" s="2">
        <f t="shared" si="23"/>
        <v>6.2601550387596898</v>
      </c>
      <c r="I83" s="7">
        <v>110</v>
      </c>
      <c r="J83" s="1">
        <f t="shared" si="24"/>
        <v>535</v>
      </c>
      <c r="K83" s="8">
        <v>532</v>
      </c>
      <c r="L83" s="2">
        <f t="shared" si="25"/>
        <v>35.969924812030072</v>
      </c>
      <c r="M83" s="7">
        <v>20236</v>
      </c>
      <c r="N83" s="7">
        <v>17200</v>
      </c>
      <c r="O83" s="33">
        <v>5.0000000000000001E-3</v>
      </c>
      <c r="P83" s="8">
        <v>15057</v>
      </c>
      <c r="Q83" s="18">
        <v>6.09</v>
      </c>
      <c r="R83" s="18">
        <v>27</v>
      </c>
      <c r="S83" s="2">
        <f t="shared" si="35"/>
        <v>62.969924812030072</v>
      </c>
      <c r="T83" s="2">
        <f t="shared" si="27"/>
        <v>20.739844961240308</v>
      </c>
      <c r="U83" s="11">
        <f>((P83-G83)/M83)*1000</f>
        <v>544.53449298280293</v>
      </c>
      <c r="V83" s="2">
        <f>N83/(P83-G83)</f>
        <v>1.5609118629301582</v>
      </c>
      <c r="W83" s="18">
        <v>9780.880000000001</v>
      </c>
      <c r="X83" s="18">
        <v>27.5</v>
      </c>
      <c r="Y83" s="18">
        <v>17165.78</v>
      </c>
      <c r="Z83" s="2">
        <f t="shared" si="30"/>
        <v>32.266503759398496</v>
      </c>
      <c r="AA83" s="7"/>
      <c r="AB83" s="7"/>
      <c r="AC83" s="7"/>
      <c r="AD83" s="7"/>
      <c r="AE83" s="7"/>
      <c r="AF83" s="7"/>
      <c r="AG83" s="2">
        <f t="shared" si="36"/>
        <v>0.88762160592420503</v>
      </c>
      <c r="AJ83" s="7"/>
      <c r="AK83" s="2">
        <f t="shared" si="32"/>
        <v>0</v>
      </c>
      <c r="AL83" s="2">
        <f t="shared" si="33"/>
        <v>0</v>
      </c>
      <c r="AM83" s="2">
        <f t="shared" si="34"/>
        <v>0</v>
      </c>
    </row>
    <row r="84" spans="1:39" x14ac:dyDescent="0.25">
      <c r="A84" s="22">
        <v>2505</v>
      </c>
      <c r="B84" s="7" t="s">
        <v>38</v>
      </c>
      <c r="C84" s="7">
        <v>27.1</v>
      </c>
      <c r="D84" s="32">
        <v>45715</v>
      </c>
      <c r="E84" s="13">
        <v>45754</v>
      </c>
      <c r="F84" s="7">
        <v>644</v>
      </c>
      <c r="G84" s="7">
        <v>4112</v>
      </c>
      <c r="H84" s="2">
        <f t="shared" si="23"/>
        <v>6.3850931677018634</v>
      </c>
      <c r="I84" s="7">
        <v>120</v>
      </c>
      <c r="J84" s="1">
        <f t="shared" si="24"/>
        <v>524</v>
      </c>
      <c r="K84" s="8">
        <v>519</v>
      </c>
      <c r="L84" s="2">
        <f t="shared" si="25"/>
        <v>35.888246628131022</v>
      </c>
      <c r="M84" s="7">
        <v>19826</v>
      </c>
      <c r="N84" s="7">
        <v>16950</v>
      </c>
      <c r="O84" s="33">
        <v>8.8999999999999999E-3</v>
      </c>
      <c r="P84" s="8">
        <v>14856</v>
      </c>
      <c r="Q84" s="18">
        <v>5.5</v>
      </c>
      <c r="R84" s="18">
        <v>27.35</v>
      </c>
      <c r="S84" s="2">
        <f t="shared" si="35"/>
        <v>62.988246628131023</v>
      </c>
      <c r="T84" s="2">
        <f t="shared" si="27"/>
        <v>20.964906832298137</v>
      </c>
      <c r="U84" s="11">
        <f t="shared" ref="U84:U89" si="37">((P84-G84)/M84)*1000</f>
        <v>541.91465752042768</v>
      </c>
      <c r="V84" s="2">
        <f t="shared" ref="V84:V88" si="38">N84/(P84-G84)</f>
        <v>1.5776247207743856</v>
      </c>
      <c r="W84" s="18">
        <v>10857.03</v>
      </c>
      <c r="X84" s="18">
        <v>32.49</v>
      </c>
      <c r="Y84" s="18">
        <v>16865.12</v>
      </c>
      <c r="Z84" s="2">
        <f t="shared" si="30"/>
        <v>32.495414258188823</v>
      </c>
      <c r="AA84" s="7"/>
      <c r="AB84" s="7"/>
      <c r="AC84" s="7"/>
      <c r="AD84" s="7"/>
      <c r="AE84" s="7"/>
      <c r="AF84" s="7"/>
      <c r="AG84" s="2">
        <f t="shared" si="36"/>
        <v>1.0105202903946389</v>
      </c>
      <c r="AJ84" s="7"/>
      <c r="AK84" s="2">
        <f t="shared" si="32"/>
        <v>0</v>
      </c>
      <c r="AL84" s="2">
        <f t="shared" si="33"/>
        <v>0</v>
      </c>
      <c r="AM84" s="2">
        <f t="shared" si="34"/>
        <v>0</v>
      </c>
    </row>
    <row r="85" spans="1:39" x14ac:dyDescent="0.25">
      <c r="A85" s="22">
        <v>2506</v>
      </c>
      <c r="B85" s="7" t="s">
        <v>39</v>
      </c>
      <c r="C85" s="7">
        <v>27.8</v>
      </c>
      <c r="D85" s="32">
        <v>45722</v>
      </c>
      <c r="E85" s="13">
        <v>45761</v>
      </c>
      <c r="F85" s="7">
        <v>620</v>
      </c>
      <c r="G85" s="7">
        <v>4030</v>
      </c>
      <c r="H85" s="2">
        <f t="shared" si="23"/>
        <v>6.5</v>
      </c>
      <c r="I85" s="7">
        <v>80</v>
      </c>
      <c r="J85" s="1">
        <f t="shared" si="24"/>
        <v>540</v>
      </c>
      <c r="K85" s="8">
        <v>535</v>
      </c>
      <c r="L85" s="2">
        <f t="shared" si="25"/>
        <v>36.603738317757006</v>
      </c>
      <c r="M85" s="7">
        <v>20383</v>
      </c>
      <c r="N85" s="7">
        <v>18000</v>
      </c>
      <c r="O85" s="33">
        <v>8.3000000000000001E-3</v>
      </c>
      <c r="P85" s="8">
        <v>15185</v>
      </c>
      <c r="Q85" s="18">
        <v>5.88</v>
      </c>
      <c r="R85" s="18">
        <v>27.5</v>
      </c>
      <c r="S85" s="2">
        <f t="shared" si="35"/>
        <v>64.403738317757004</v>
      </c>
      <c r="T85" s="2">
        <f t="shared" si="27"/>
        <v>21</v>
      </c>
      <c r="U85" s="11">
        <f t="shared" si="37"/>
        <v>547.26978364323213</v>
      </c>
      <c r="V85" s="2">
        <f t="shared" si="38"/>
        <v>1.6136261766024205</v>
      </c>
      <c r="W85" s="18">
        <v>10674.85</v>
      </c>
      <c r="X85" s="18">
        <v>20</v>
      </c>
      <c r="Y85" s="18">
        <v>18451.14</v>
      </c>
      <c r="Z85" s="2">
        <f>Y85/K85</f>
        <v>34.488112149532711</v>
      </c>
      <c r="AA85" s="7"/>
      <c r="AB85" s="7"/>
      <c r="AC85" s="7"/>
      <c r="AD85" s="7"/>
      <c r="AE85" s="7"/>
      <c r="AF85" s="7"/>
      <c r="AG85" s="2">
        <f t="shared" si="36"/>
        <v>0.95695652173913048</v>
      </c>
      <c r="AJ85" s="7"/>
      <c r="AK85" s="2">
        <f t="shared" si="32"/>
        <v>0</v>
      </c>
      <c r="AL85" s="2">
        <f t="shared" si="33"/>
        <v>0</v>
      </c>
      <c r="AM85" s="2">
        <f t="shared" si="34"/>
        <v>0</v>
      </c>
    </row>
    <row r="86" spans="1:39" x14ac:dyDescent="0.25">
      <c r="A86" s="22">
        <v>2507</v>
      </c>
      <c r="B86" s="7" t="s">
        <v>40</v>
      </c>
      <c r="C86" s="7">
        <v>27.5</v>
      </c>
      <c r="D86" s="32">
        <v>45729</v>
      </c>
      <c r="E86" s="13">
        <v>45768</v>
      </c>
      <c r="F86" s="7">
        <v>681</v>
      </c>
      <c r="G86" s="7">
        <v>4282</v>
      </c>
      <c r="H86" s="2">
        <f t="shared" si="23"/>
        <v>6.2878120411160054</v>
      </c>
      <c r="I86" s="7">
        <v>132</v>
      </c>
      <c r="J86" s="1">
        <f t="shared" si="24"/>
        <v>549</v>
      </c>
      <c r="K86" s="8">
        <v>541</v>
      </c>
      <c r="L86" s="2">
        <f t="shared" si="25"/>
        <v>35.720887245841034</v>
      </c>
      <c r="M86" s="7">
        <v>20645</v>
      </c>
      <c r="N86" s="7">
        <v>18500</v>
      </c>
      <c r="O86" s="33">
        <v>1.29E-2</v>
      </c>
      <c r="P86" s="8">
        <v>15627</v>
      </c>
      <c r="Q86" s="18">
        <v>6.89</v>
      </c>
      <c r="R86" s="18">
        <v>27.2</v>
      </c>
      <c r="S86" s="2">
        <f t="shared" si="35"/>
        <v>63.220887245841034</v>
      </c>
      <c r="T86" s="2">
        <f t="shared" si="27"/>
        <v>20.912187958883994</v>
      </c>
      <c r="U86" s="11">
        <f t="shared" si="37"/>
        <v>549.52773068539591</v>
      </c>
      <c r="V86" s="2">
        <f t="shared" si="38"/>
        <v>1.6306743058616131</v>
      </c>
      <c r="W86" s="18">
        <v>10593.15</v>
      </c>
      <c r="X86" s="18">
        <v>33</v>
      </c>
      <c r="Y86" s="18">
        <v>17930.66</v>
      </c>
      <c r="Z86" s="2">
        <f t="shared" si="30"/>
        <v>33.143548983364141</v>
      </c>
      <c r="AA86" s="7"/>
      <c r="AB86" s="7"/>
      <c r="AC86" s="7"/>
      <c r="AD86" s="7"/>
      <c r="AE86" s="7"/>
      <c r="AF86" s="7"/>
      <c r="AG86" s="2">
        <f t="shared" si="36"/>
        <v>0.93372851476421326</v>
      </c>
      <c r="AJ86" s="7"/>
      <c r="AK86" s="2">
        <f t="shared" si="32"/>
        <v>0</v>
      </c>
      <c r="AL86" s="2">
        <f t="shared" si="33"/>
        <v>0</v>
      </c>
      <c r="AM86" s="2">
        <f t="shared" si="34"/>
        <v>0</v>
      </c>
    </row>
    <row r="87" spans="1:39" x14ac:dyDescent="0.25">
      <c r="A87" s="22">
        <v>2508</v>
      </c>
      <c r="B87" s="7" t="s">
        <v>35</v>
      </c>
      <c r="C87" s="7">
        <v>27.9</v>
      </c>
      <c r="D87" s="32">
        <v>45736</v>
      </c>
      <c r="E87" s="13">
        <v>45775</v>
      </c>
      <c r="F87" s="7">
        <v>608</v>
      </c>
      <c r="G87" s="7">
        <v>3769</v>
      </c>
      <c r="H87" s="2">
        <f t="shared" si="23"/>
        <v>6.1990131578947372</v>
      </c>
      <c r="I87" s="7">
        <v>80</v>
      </c>
      <c r="J87" s="1">
        <f t="shared" si="24"/>
        <v>528</v>
      </c>
      <c r="K87" s="8">
        <v>527</v>
      </c>
      <c r="L87" s="2">
        <f t="shared" si="25"/>
        <v>36.535104364326372</v>
      </c>
      <c r="M87" s="7">
        <v>20054</v>
      </c>
      <c r="N87" s="7">
        <v>16400</v>
      </c>
      <c r="O87" s="33">
        <v>1.9E-3</v>
      </c>
      <c r="P87" s="8">
        <v>14427</v>
      </c>
      <c r="Q87" s="18">
        <v>6.04</v>
      </c>
      <c r="R87" s="18">
        <v>26.46</v>
      </c>
      <c r="S87" s="2">
        <f t="shared" si="35"/>
        <v>64.435104364326378</v>
      </c>
      <c r="T87" s="2">
        <f t="shared" si="27"/>
        <v>20.260986842105265</v>
      </c>
      <c r="U87" s="11">
        <f t="shared" si="37"/>
        <v>531.46504438017348</v>
      </c>
      <c r="V87" s="2">
        <f t="shared" si="38"/>
        <v>1.5387502345655846</v>
      </c>
      <c r="W87" s="18">
        <v>9803.41</v>
      </c>
      <c r="X87" s="18">
        <v>20</v>
      </c>
      <c r="Y87" s="7">
        <v>16366.24</v>
      </c>
      <c r="Z87" s="2">
        <f t="shared" si="30"/>
        <v>31.055483870967741</v>
      </c>
      <c r="AA87" s="7"/>
      <c r="AB87" s="7"/>
      <c r="AC87" s="7"/>
      <c r="AD87" s="7"/>
      <c r="AE87" s="7"/>
      <c r="AF87" s="7"/>
      <c r="AG87" s="2">
        <f t="shared" si="36"/>
        <v>0.91981703884406074</v>
      </c>
      <c r="AJ87" s="7"/>
      <c r="AK87" s="2">
        <f t="shared" si="32"/>
        <v>0</v>
      </c>
      <c r="AL87" s="2">
        <f t="shared" si="33"/>
        <v>0</v>
      </c>
      <c r="AM87" s="2">
        <f t="shared" si="34"/>
        <v>0</v>
      </c>
    </row>
    <row r="88" spans="1:39" x14ac:dyDescent="0.25">
      <c r="A88" s="22">
        <v>2509</v>
      </c>
      <c r="B88" s="7" t="s">
        <v>36</v>
      </c>
      <c r="C88" s="7">
        <v>27.4</v>
      </c>
      <c r="D88" s="32">
        <v>45743</v>
      </c>
      <c r="E88" s="13">
        <v>45782</v>
      </c>
      <c r="F88" s="7">
        <v>630</v>
      </c>
      <c r="G88" s="7">
        <v>4121</v>
      </c>
      <c r="H88" s="2">
        <f t="shared" si="23"/>
        <v>6.5412698412698411</v>
      </c>
      <c r="I88" s="7">
        <v>120</v>
      </c>
      <c r="J88" s="1">
        <f t="shared" si="24"/>
        <v>510</v>
      </c>
      <c r="K88" s="8">
        <v>507</v>
      </c>
      <c r="L88" s="2">
        <f t="shared" si="25"/>
        <v>35.741617357001971</v>
      </c>
      <c r="M88" s="7">
        <v>19321</v>
      </c>
      <c r="N88" s="7">
        <v>17000</v>
      </c>
      <c r="O88" s="33">
        <v>5.4999999999999997E-3</v>
      </c>
      <c r="P88" s="8">
        <v>14800</v>
      </c>
      <c r="Q88" s="18">
        <v>5.82</v>
      </c>
      <c r="R88" s="18">
        <v>27.81</v>
      </c>
      <c r="S88" s="2">
        <f t="shared" si="35"/>
        <v>63.141617357001969</v>
      </c>
      <c r="T88" s="2">
        <f t="shared" si="27"/>
        <v>21.268730158730158</v>
      </c>
      <c r="U88" s="11">
        <f t="shared" si="37"/>
        <v>552.71466280213247</v>
      </c>
      <c r="V88" s="2">
        <f t="shared" si="38"/>
        <v>1.5919093548085026</v>
      </c>
      <c r="W88" s="18">
        <v>10121.299999999999</v>
      </c>
      <c r="X88" s="18">
        <v>30</v>
      </c>
      <c r="Y88" s="7">
        <v>16945.080000000002</v>
      </c>
      <c r="Z88" s="2">
        <f t="shared" si="30"/>
        <v>33.422248520710063</v>
      </c>
      <c r="AA88" s="7"/>
      <c r="AB88" s="7"/>
      <c r="AC88" s="7"/>
      <c r="AD88" s="7"/>
      <c r="AE88" s="7"/>
      <c r="AF88" s="7"/>
      <c r="AG88" s="2">
        <f t="shared" si="36"/>
        <v>0.94777600898960568</v>
      </c>
      <c r="AJ88" s="7"/>
      <c r="AK88" s="2">
        <f t="shared" si="32"/>
        <v>0</v>
      </c>
      <c r="AL88" s="2">
        <f t="shared" si="33"/>
        <v>0</v>
      </c>
      <c r="AM88" s="2">
        <f t="shared" si="34"/>
        <v>0</v>
      </c>
    </row>
    <row r="89" spans="1:39" x14ac:dyDescent="0.25">
      <c r="A89" s="22">
        <v>2510</v>
      </c>
      <c r="B89" s="7" t="s">
        <v>37</v>
      </c>
      <c r="C89" s="7">
        <v>27.2</v>
      </c>
      <c r="D89" s="32">
        <v>45750</v>
      </c>
      <c r="E89" s="13">
        <v>45789</v>
      </c>
      <c r="F89" s="7">
        <v>599</v>
      </c>
      <c r="G89" s="7">
        <v>3982</v>
      </c>
      <c r="H89" s="2">
        <f t="shared" si="23"/>
        <v>6.647746243739566</v>
      </c>
      <c r="I89" s="7">
        <v>100</v>
      </c>
      <c r="J89" s="1">
        <f t="shared" si="24"/>
        <v>499</v>
      </c>
      <c r="K89" s="8">
        <v>499</v>
      </c>
      <c r="L89" s="2">
        <f t="shared" si="25"/>
        <v>35.995991983967933</v>
      </c>
      <c r="M89" s="7">
        <v>18962</v>
      </c>
      <c r="N89" s="7">
        <v>16500</v>
      </c>
      <c r="O89" s="33">
        <v>0</v>
      </c>
      <c r="P89" s="8">
        <v>14568</v>
      </c>
      <c r="Q89" s="7">
        <v>6.32</v>
      </c>
      <c r="R89" s="18">
        <v>27.94</v>
      </c>
      <c r="S89" s="2">
        <f t="shared" si="35"/>
        <v>63.195991983967929</v>
      </c>
      <c r="T89" s="2">
        <f t="shared" si="27"/>
        <v>21.292253756260436</v>
      </c>
      <c r="U89" s="11">
        <f t="shared" si="37"/>
        <v>558.27444362409028</v>
      </c>
      <c r="V89" s="2">
        <f>N89/(P89-G89)</f>
        <v>1.558662384281126</v>
      </c>
      <c r="W89" s="18">
        <v>9899</v>
      </c>
      <c r="X89" s="18">
        <v>25</v>
      </c>
      <c r="Y89" s="18">
        <v>16475</v>
      </c>
      <c r="Z89" s="2">
        <f>Y89/K89</f>
        <v>33.016032064128254</v>
      </c>
      <c r="AA89" s="7"/>
      <c r="AB89" s="7"/>
      <c r="AC89" s="7"/>
      <c r="AD89" s="7"/>
      <c r="AE89" s="7"/>
      <c r="AF89" s="7"/>
      <c r="AG89" s="2">
        <f t="shared" si="36"/>
        <v>0.93510296618174948</v>
      </c>
      <c r="AJ89" s="7"/>
      <c r="AK89" s="2">
        <f t="shared" si="32"/>
        <v>0</v>
      </c>
      <c r="AL89" s="2">
        <f t="shared" si="33"/>
        <v>0</v>
      </c>
      <c r="AM89" s="2">
        <f t="shared" si="34"/>
        <v>0</v>
      </c>
    </row>
    <row r="90" spans="1:39" x14ac:dyDescent="0.25">
      <c r="A90" s="22">
        <v>2511</v>
      </c>
      <c r="B90" s="7" t="s">
        <v>38</v>
      </c>
      <c r="C90" s="7">
        <v>27.3</v>
      </c>
      <c r="D90" s="32">
        <v>45757</v>
      </c>
      <c r="E90" s="13">
        <v>45796</v>
      </c>
      <c r="F90" s="7">
        <v>667</v>
      </c>
      <c r="G90" s="7">
        <v>4129</v>
      </c>
      <c r="H90" s="2">
        <f t="shared" ref="H90:H153" si="39">G90/F90</f>
        <v>6.1904047976011993</v>
      </c>
      <c r="I90" s="7">
        <v>130</v>
      </c>
      <c r="J90" s="1">
        <f t="shared" ref="J90:J124" si="40">F90-I90</f>
        <v>537</v>
      </c>
      <c r="K90" s="8">
        <v>533</v>
      </c>
      <c r="L90" s="2">
        <f t="shared" ref="L90:L121" si="41">((M90)-(I90*10))/K90</f>
        <v>35.609756097560975</v>
      </c>
      <c r="M90" s="7">
        <v>20280</v>
      </c>
      <c r="N90" s="7">
        <v>17650</v>
      </c>
      <c r="O90" s="20">
        <v>6.4000000000000003E-3</v>
      </c>
      <c r="P90" s="8">
        <v>15189</v>
      </c>
      <c r="Q90" s="7">
        <v>5.9</v>
      </c>
      <c r="R90" s="18">
        <v>27.06</v>
      </c>
      <c r="S90" s="2">
        <f t="shared" ref="S90:S153" si="42">C90+L90</f>
        <v>62.909756097560972</v>
      </c>
      <c r="T90" s="2">
        <f t="shared" ref="T90" si="43">R90-H90</f>
        <v>20.869595202398799</v>
      </c>
      <c r="U90" s="11">
        <f t="shared" ref="U90" si="44">((P90-G90)/M90)*1000</f>
        <v>545.36489151873764</v>
      </c>
      <c r="V90" s="2">
        <f t="shared" ref="V90:V153" si="45">N90/(P90-G90)</f>
        <v>1.5958408679927667</v>
      </c>
      <c r="W90" s="18">
        <v>10476.42</v>
      </c>
      <c r="X90" s="18">
        <v>32.5</v>
      </c>
      <c r="Y90" s="18">
        <v>17608.66</v>
      </c>
      <c r="Z90" s="2">
        <f t="shared" ref="Z90:Z128" si="46">Y90/K90</f>
        <v>33.036885553470917</v>
      </c>
      <c r="AA90" s="7"/>
      <c r="AB90" s="7"/>
      <c r="AC90" s="7"/>
      <c r="AD90" s="7"/>
      <c r="AE90" s="7"/>
      <c r="AF90" s="7"/>
      <c r="AG90" s="2">
        <f t="shared" ref="AG90:AG155" si="47">W90/(P90-G90)</f>
        <v>0.94723508137432189</v>
      </c>
      <c r="AJ90" s="7"/>
      <c r="AK90" s="2">
        <f t="shared" si="32"/>
        <v>0</v>
      </c>
      <c r="AL90" s="2">
        <f t="shared" si="33"/>
        <v>0</v>
      </c>
      <c r="AM90" s="2">
        <f t="shared" si="34"/>
        <v>0</v>
      </c>
    </row>
    <row r="91" spans="1:39" x14ac:dyDescent="0.25">
      <c r="A91" s="22">
        <v>2512</v>
      </c>
      <c r="B91" s="7" t="s">
        <v>39</v>
      </c>
      <c r="C91" s="7">
        <v>27</v>
      </c>
      <c r="D91" s="32">
        <v>45764</v>
      </c>
      <c r="E91" s="13">
        <v>45803</v>
      </c>
      <c r="F91" s="7">
        <v>636</v>
      </c>
      <c r="G91" s="7">
        <v>4157</v>
      </c>
      <c r="H91" s="2">
        <f t="shared" si="39"/>
        <v>6.5361635220125782</v>
      </c>
      <c r="I91" s="7">
        <v>104</v>
      </c>
      <c r="J91" s="1">
        <f t="shared" si="40"/>
        <v>532</v>
      </c>
      <c r="K91" s="8">
        <v>526</v>
      </c>
      <c r="L91" s="2">
        <f t="shared" si="41"/>
        <v>36.298479087452471</v>
      </c>
      <c r="M91" s="7">
        <v>20133</v>
      </c>
      <c r="N91" s="7">
        <v>17500</v>
      </c>
      <c r="O91" s="33">
        <v>1.1299999999999999E-2</v>
      </c>
      <c r="P91" s="8">
        <v>15199</v>
      </c>
      <c r="Q91" s="18">
        <v>6.4615384615384617</v>
      </c>
      <c r="R91" s="18">
        <v>27.62</v>
      </c>
      <c r="S91" s="2">
        <f t="shared" si="42"/>
        <v>63.298479087452471</v>
      </c>
      <c r="T91" s="2">
        <f>R91-H91</f>
        <v>21.083836477987422</v>
      </c>
      <c r="U91" s="11">
        <f>((P91-G91)/M91)*1000</f>
        <v>548.4527889534595</v>
      </c>
      <c r="V91" s="2">
        <f t="shared" si="45"/>
        <v>1.5848578156131137</v>
      </c>
      <c r="W91" s="18">
        <v>10468.699999999999</v>
      </c>
      <c r="X91" s="18">
        <v>26</v>
      </c>
      <c r="Y91" s="18">
        <v>17403.759999999998</v>
      </c>
      <c r="Z91" s="2">
        <f t="shared" si="46"/>
        <v>33.086996197718626</v>
      </c>
      <c r="AA91" s="7"/>
      <c r="AB91" s="7"/>
      <c r="AC91" s="7"/>
      <c r="AD91" s="7"/>
      <c r="AE91" s="7"/>
      <c r="AF91" s="7"/>
      <c r="AG91" s="2">
        <f t="shared" si="47"/>
        <v>0.94808005796051431</v>
      </c>
      <c r="AJ91" s="7"/>
      <c r="AK91" s="2">
        <f t="shared" si="32"/>
        <v>0</v>
      </c>
      <c r="AL91" s="2">
        <f t="shared" si="33"/>
        <v>0</v>
      </c>
      <c r="AM91" s="2">
        <f t="shared" si="34"/>
        <v>0</v>
      </c>
    </row>
    <row r="92" spans="1:39" x14ac:dyDescent="0.25">
      <c r="A92" s="22">
        <v>2513</v>
      </c>
      <c r="B92" s="7" t="s">
        <v>40</v>
      </c>
      <c r="C92" s="7">
        <v>26.5</v>
      </c>
      <c r="D92" s="32">
        <v>45771</v>
      </c>
      <c r="E92" s="13">
        <v>45810</v>
      </c>
      <c r="F92" s="7">
        <v>652</v>
      </c>
      <c r="G92" s="7">
        <v>4014</v>
      </c>
      <c r="H92" s="2">
        <f t="shared" si="39"/>
        <v>6.1564417177914113</v>
      </c>
      <c r="I92" s="7">
        <v>109</v>
      </c>
      <c r="J92" s="1">
        <f t="shared" si="40"/>
        <v>543</v>
      </c>
      <c r="K92" s="8">
        <v>536</v>
      </c>
      <c r="L92" s="2">
        <f t="shared" si="41"/>
        <v>36.192164179104481</v>
      </c>
      <c r="M92" s="7">
        <v>20489</v>
      </c>
      <c r="N92" s="7">
        <v>17500</v>
      </c>
      <c r="O92" s="20">
        <v>1.23E-2</v>
      </c>
      <c r="P92" s="8">
        <v>14995</v>
      </c>
      <c r="Q92" s="7">
        <v>5.52</v>
      </c>
      <c r="R92" s="18">
        <v>26.85</v>
      </c>
      <c r="S92" s="2">
        <f t="shared" si="42"/>
        <v>62.692164179104481</v>
      </c>
      <c r="T92" s="2">
        <f>R92-H92</f>
        <v>20.693558282208592</v>
      </c>
      <c r="U92" s="11">
        <f>((P92-G92)/M92)*1000</f>
        <v>535.94611742886423</v>
      </c>
      <c r="V92" s="2">
        <f t="shared" si="45"/>
        <v>1.5936617794372097</v>
      </c>
      <c r="W92" s="18">
        <v>10565.65</v>
      </c>
      <c r="X92" s="18">
        <v>27.25</v>
      </c>
      <c r="Y92" s="18">
        <v>17414.900000000001</v>
      </c>
      <c r="Z92" s="2">
        <f t="shared" si="46"/>
        <v>32.490485074626868</v>
      </c>
      <c r="AA92" s="7"/>
      <c r="AB92" s="7"/>
      <c r="AC92" s="7"/>
      <c r="AD92" s="7"/>
      <c r="AE92" s="7"/>
      <c r="AF92" s="7"/>
      <c r="AG92" s="2">
        <f t="shared" si="47"/>
        <v>0.96217557599490022</v>
      </c>
      <c r="AJ92" s="7"/>
      <c r="AK92" s="2">
        <f t="shared" si="32"/>
        <v>0</v>
      </c>
      <c r="AL92" s="2">
        <f t="shared" si="33"/>
        <v>0</v>
      </c>
      <c r="AM92" s="2">
        <f t="shared" si="34"/>
        <v>0</v>
      </c>
    </row>
    <row r="93" spans="1:39" x14ac:dyDescent="0.25">
      <c r="A93" s="22">
        <v>2514</v>
      </c>
      <c r="B93" s="7" t="s">
        <v>35</v>
      </c>
      <c r="C93" s="7">
        <v>27.7</v>
      </c>
      <c r="D93" s="32">
        <v>45778</v>
      </c>
      <c r="E93" s="13">
        <v>45817</v>
      </c>
      <c r="F93" s="7">
        <v>651</v>
      </c>
      <c r="G93" s="7">
        <v>4373</v>
      </c>
      <c r="H93" s="2">
        <f t="shared" si="39"/>
        <v>6.7173579109062977</v>
      </c>
      <c r="I93" s="7">
        <v>120</v>
      </c>
      <c r="J93" s="1">
        <f t="shared" si="40"/>
        <v>531</v>
      </c>
      <c r="K93" s="8">
        <v>530</v>
      </c>
      <c r="L93" s="2">
        <f t="shared" si="41"/>
        <v>35.76792452830189</v>
      </c>
      <c r="M93" s="7">
        <v>20157</v>
      </c>
      <c r="N93" s="7">
        <v>18000</v>
      </c>
      <c r="O93" s="20">
        <v>1.9E-3</v>
      </c>
      <c r="P93" s="8">
        <v>16055</v>
      </c>
      <c r="Q93" s="7">
        <v>6.18</v>
      </c>
      <c r="R93" s="18">
        <v>28.89</v>
      </c>
      <c r="S93" s="2">
        <f t="shared" si="42"/>
        <v>63.467924528301893</v>
      </c>
      <c r="T93" s="2">
        <f>R93-H93</f>
        <v>22.172642089093703</v>
      </c>
      <c r="U93" s="11">
        <f t="shared" ref="U93:U155" si="48">((P93-G93)/M93)*1000</f>
        <v>579.55052835243339</v>
      </c>
      <c r="V93" s="2">
        <f t="shared" si="45"/>
        <v>1.5408320493066257</v>
      </c>
      <c r="W93" s="18">
        <v>10765.300000000001</v>
      </c>
      <c r="X93" s="18">
        <v>30</v>
      </c>
      <c r="Y93" s="18">
        <v>17963.84</v>
      </c>
      <c r="Z93" s="2">
        <f t="shared" si="46"/>
        <v>33.894037735849054</v>
      </c>
      <c r="AA93" s="7"/>
      <c r="AB93" s="7"/>
      <c r="AC93" s="7"/>
      <c r="AD93" s="7"/>
      <c r="AE93" s="7"/>
      <c r="AF93" s="7"/>
      <c r="AG93" s="2">
        <f t="shared" si="47"/>
        <v>0.9215288478000343</v>
      </c>
      <c r="AJ93" s="7"/>
      <c r="AK93" s="2">
        <f t="shared" si="32"/>
        <v>0</v>
      </c>
      <c r="AL93" s="2">
        <f t="shared" si="33"/>
        <v>0</v>
      </c>
      <c r="AM93" s="2">
        <f t="shared" si="34"/>
        <v>0</v>
      </c>
    </row>
    <row r="94" spans="1:39" x14ac:dyDescent="0.25">
      <c r="A94" s="22">
        <v>2515</v>
      </c>
      <c r="B94" s="7" t="s">
        <v>36</v>
      </c>
      <c r="C94" s="7">
        <v>27.1</v>
      </c>
      <c r="D94" s="32">
        <v>45785</v>
      </c>
      <c r="E94" s="13">
        <v>45824</v>
      </c>
      <c r="F94" s="7">
        <v>703</v>
      </c>
      <c r="G94" s="7">
        <v>4547</v>
      </c>
      <c r="H94" s="2">
        <f t="shared" si="39"/>
        <v>6.4679943100995736</v>
      </c>
      <c r="I94" s="7">
        <v>200</v>
      </c>
      <c r="J94" s="1">
        <f t="shared" si="40"/>
        <v>503</v>
      </c>
      <c r="K94" s="8">
        <v>500</v>
      </c>
      <c r="L94" s="2">
        <f t="shared" si="41"/>
        <v>34.137999999999998</v>
      </c>
      <c r="M94" s="7">
        <v>19069</v>
      </c>
      <c r="N94" s="7">
        <v>17500</v>
      </c>
      <c r="O94" s="20">
        <v>5.4000000000000003E-3</v>
      </c>
      <c r="P94" s="8">
        <v>15621</v>
      </c>
      <c r="Q94" s="18">
        <v>6.09</v>
      </c>
      <c r="R94" s="18">
        <v>28.81</v>
      </c>
      <c r="S94" s="2">
        <f t="shared" si="42"/>
        <v>61.238</v>
      </c>
      <c r="T94" s="2">
        <f t="shared" ref="T94:T139" si="49">R94-H94</f>
        <v>22.342005689900425</v>
      </c>
      <c r="U94" s="11">
        <f t="shared" si="48"/>
        <v>580.73312706486968</v>
      </c>
      <c r="V94" s="2">
        <f t="shared" si="45"/>
        <v>1.5802781289506953</v>
      </c>
      <c r="W94" s="18">
        <v>10278.009999999998</v>
      </c>
      <c r="X94" s="18">
        <v>50</v>
      </c>
      <c r="Y94" s="18">
        <v>17513.580000000002</v>
      </c>
      <c r="Z94" s="2">
        <f t="shared" si="46"/>
        <v>35.027160000000002</v>
      </c>
      <c r="AA94" s="7"/>
      <c r="AB94" s="7"/>
      <c r="AC94" s="7"/>
      <c r="AD94" s="7"/>
      <c r="AE94" s="7"/>
      <c r="AF94" s="7"/>
      <c r="AG94" s="2">
        <f t="shared" si="47"/>
        <v>0.92812082355065906</v>
      </c>
      <c r="AJ94" s="7"/>
      <c r="AK94" s="2">
        <f t="shared" si="32"/>
        <v>0</v>
      </c>
      <c r="AL94" s="2">
        <f t="shared" si="33"/>
        <v>0</v>
      </c>
      <c r="AM94" s="2">
        <f t="shared" si="34"/>
        <v>0</v>
      </c>
    </row>
    <row r="95" spans="1:39" x14ac:dyDescent="0.25">
      <c r="A95" s="22">
        <v>2516</v>
      </c>
      <c r="B95" s="7" t="s">
        <v>37</v>
      </c>
      <c r="C95" s="7">
        <v>26.6</v>
      </c>
      <c r="D95" s="32">
        <v>45792</v>
      </c>
      <c r="E95" s="13">
        <v>45831</v>
      </c>
      <c r="F95" s="7">
        <v>609</v>
      </c>
      <c r="G95" s="7">
        <v>3670</v>
      </c>
      <c r="H95" s="2">
        <f t="shared" si="39"/>
        <v>6.0262725779967159</v>
      </c>
      <c r="I95" s="7">
        <v>80</v>
      </c>
      <c r="J95" s="1">
        <f t="shared" si="40"/>
        <v>529</v>
      </c>
      <c r="K95" s="8">
        <v>524</v>
      </c>
      <c r="L95" s="2">
        <f t="shared" si="41"/>
        <v>36.694656488549619</v>
      </c>
      <c r="M95" s="7">
        <v>20028</v>
      </c>
      <c r="N95" s="7">
        <v>16500</v>
      </c>
      <c r="O95" s="20">
        <v>9.4999999999999998E-3</v>
      </c>
      <c r="P95" s="8">
        <v>14430</v>
      </c>
      <c r="Q95" s="18">
        <v>6</v>
      </c>
      <c r="R95" s="18">
        <v>26.62</v>
      </c>
      <c r="S95" s="2">
        <f t="shared" si="42"/>
        <v>63.29465648854962</v>
      </c>
      <c r="T95" s="2">
        <f t="shared" si="49"/>
        <v>20.593727422003283</v>
      </c>
      <c r="U95" s="11">
        <f t="shared" si="48"/>
        <v>537.24785300579197</v>
      </c>
      <c r="V95" s="2">
        <f t="shared" si="45"/>
        <v>1.533457249070632</v>
      </c>
      <c r="W95" s="18">
        <v>9838.130000000001</v>
      </c>
      <c r="X95" s="18">
        <v>20</v>
      </c>
      <c r="Y95" s="18">
        <v>16624.599999999999</v>
      </c>
      <c r="Z95" s="2">
        <f t="shared" si="46"/>
        <v>31.726335877862592</v>
      </c>
      <c r="AA95" s="7"/>
      <c r="AB95" s="7"/>
      <c r="AC95" s="7"/>
      <c r="AD95" s="7"/>
      <c r="AE95" s="7"/>
      <c r="AF95" s="7"/>
      <c r="AG95" s="2">
        <f t="shared" si="47"/>
        <v>0.91432434944237928</v>
      </c>
      <c r="AJ95" s="7"/>
      <c r="AK95" s="2">
        <f t="shared" si="32"/>
        <v>0</v>
      </c>
      <c r="AL95" s="2">
        <f t="shared" si="33"/>
        <v>0</v>
      </c>
      <c r="AM95" s="2">
        <f t="shared" si="34"/>
        <v>0</v>
      </c>
    </row>
    <row r="96" spans="1:39" x14ac:dyDescent="0.25">
      <c r="A96" s="22">
        <v>2517</v>
      </c>
      <c r="B96" s="7" t="s">
        <v>38</v>
      </c>
      <c r="C96" s="7">
        <v>27.2</v>
      </c>
      <c r="D96" s="32">
        <v>45799</v>
      </c>
      <c r="E96" s="13">
        <v>45838</v>
      </c>
      <c r="F96" s="7">
        <v>648</v>
      </c>
      <c r="G96" s="7">
        <v>4396</v>
      </c>
      <c r="H96" s="2">
        <f t="shared" si="39"/>
        <v>6.783950617283951</v>
      </c>
      <c r="I96" s="7">
        <v>110</v>
      </c>
      <c r="J96" s="1">
        <f t="shared" si="40"/>
        <v>538</v>
      </c>
      <c r="K96" s="8">
        <v>531</v>
      </c>
      <c r="L96" s="2">
        <f t="shared" si="41"/>
        <v>36.124293785310734</v>
      </c>
      <c r="M96" s="7">
        <v>20282</v>
      </c>
      <c r="N96" s="7">
        <v>17500</v>
      </c>
      <c r="O96" s="20">
        <v>1.21E-2</v>
      </c>
      <c r="P96" s="7">
        <v>15667</v>
      </c>
      <c r="Q96" s="18">
        <v>6.07</v>
      </c>
      <c r="R96" s="18">
        <v>28.25</v>
      </c>
      <c r="S96" s="2">
        <f t="shared" si="42"/>
        <v>63.324293785310729</v>
      </c>
      <c r="T96" s="2">
        <f t="shared" si="49"/>
        <v>21.466049382716051</v>
      </c>
      <c r="U96" s="11">
        <f t="shared" si="48"/>
        <v>555.71442658514934</v>
      </c>
      <c r="V96" s="2">
        <f t="shared" si="45"/>
        <v>1.5526572619998225</v>
      </c>
      <c r="W96" s="18">
        <v>10174.019999999999</v>
      </c>
      <c r="X96" s="18">
        <v>27.5</v>
      </c>
      <c r="Y96" s="18">
        <v>17628.48</v>
      </c>
      <c r="Z96" s="2">
        <f t="shared" si="46"/>
        <v>33.198644067796607</v>
      </c>
      <c r="AA96" s="7"/>
      <c r="AB96" s="7"/>
      <c r="AC96" s="7"/>
      <c r="AD96" s="7">
        <v>2200</v>
      </c>
      <c r="AE96" s="7">
        <v>6500</v>
      </c>
      <c r="AF96" s="7">
        <v>9000</v>
      </c>
      <c r="AG96" s="2">
        <f t="shared" si="47"/>
        <v>0.90267234495608184</v>
      </c>
      <c r="AJ96" s="7"/>
      <c r="AK96" s="2">
        <f t="shared" si="32"/>
        <v>4.0892193308550189</v>
      </c>
      <c r="AL96" s="2">
        <f t="shared" si="33"/>
        <v>12.0817843866171</v>
      </c>
      <c r="AM96" s="2">
        <f t="shared" si="34"/>
        <v>16.728624535315983</v>
      </c>
    </row>
    <row r="97" spans="1:39" x14ac:dyDescent="0.25">
      <c r="A97" s="22">
        <v>2518</v>
      </c>
      <c r="B97" s="7" t="s">
        <v>39</v>
      </c>
      <c r="C97" s="7">
        <v>27.2</v>
      </c>
      <c r="D97" s="32">
        <v>45806</v>
      </c>
      <c r="E97" s="13">
        <v>45845</v>
      </c>
      <c r="F97" s="7">
        <v>635</v>
      </c>
      <c r="G97" s="7">
        <v>4112</v>
      </c>
      <c r="H97" s="2">
        <f t="shared" si="39"/>
        <v>6.4755905511811021</v>
      </c>
      <c r="I97" s="7">
        <v>100</v>
      </c>
      <c r="J97" s="1">
        <f t="shared" si="40"/>
        <v>535</v>
      </c>
      <c r="K97" s="8">
        <v>527</v>
      </c>
      <c r="L97" s="2">
        <f t="shared" si="41"/>
        <v>36.299810246679314</v>
      </c>
      <c r="M97" s="7">
        <v>20130</v>
      </c>
      <c r="N97" s="7">
        <v>16600</v>
      </c>
      <c r="O97" s="20">
        <v>1.47E-2</v>
      </c>
      <c r="P97" s="8">
        <v>14660</v>
      </c>
      <c r="Q97" s="18">
        <v>6.14</v>
      </c>
      <c r="R97" s="18">
        <v>26.65</v>
      </c>
      <c r="S97" s="2">
        <f t="shared" si="42"/>
        <v>63.499810246679317</v>
      </c>
      <c r="T97" s="2">
        <f t="shared" si="49"/>
        <v>20.174409448818896</v>
      </c>
      <c r="U97" s="11">
        <f t="shared" si="48"/>
        <v>523.99403874813709</v>
      </c>
      <c r="V97" s="2">
        <f t="shared" si="45"/>
        <v>1.5737580583996966</v>
      </c>
      <c r="W97" s="18">
        <v>9610.7199999999975</v>
      </c>
      <c r="X97" s="18">
        <v>25</v>
      </c>
      <c r="Y97" s="18">
        <v>16537.77</v>
      </c>
      <c r="Z97" s="2">
        <f t="shared" si="46"/>
        <v>31.380967741935486</v>
      </c>
      <c r="AA97" s="7"/>
      <c r="AB97" s="7"/>
      <c r="AC97" s="7"/>
      <c r="AD97" s="7">
        <v>2200</v>
      </c>
      <c r="AE97" s="7">
        <v>6500</v>
      </c>
      <c r="AF97" s="7">
        <v>7900</v>
      </c>
      <c r="AG97" s="2">
        <f t="shared" si="47"/>
        <v>0.91114144861585111</v>
      </c>
      <c r="AJ97" s="7"/>
      <c r="AK97" s="2">
        <f t="shared" si="32"/>
        <v>4.1121495327102799</v>
      </c>
      <c r="AL97" s="2">
        <f t="shared" si="33"/>
        <v>12.149532710280374</v>
      </c>
      <c r="AM97" s="2">
        <f t="shared" si="34"/>
        <v>14.766355140186915</v>
      </c>
    </row>
    <row r="98" spans="1:39" x14ac:dyDescent="0.25">
      <c r="A98" s="22">
        <v>2519</v>
      </c>
      <c r="B98" s="7" t="s">
        <v>40</v>
      </c>
      <c r="C98" s="7">
        <v>26.7</v>
      </c>
      <c r="D98" s="32">
        <v>45813</v>
      </c>
      <c r="E98" s="13">
        <v>45852</v>
      </c>
      <c r="F98" s="7">
        <v>625</v>
      </c>
      <c r="G98" s="7">
        <v>4148</v>
      </c>
      <c r="H98" s="2">
        <f t="shared" si="39"/>
        <v>6.6368</v>
      </c>
      <c r="I98" s="7">
        <v>80</v>
      </c>
      <c r="J98" s="1">
        <f t="shared" si="40"/>
        <v>545</v>
      </c>
      <c r="K98" s="8">
        <v>540</v>
      </c>
      <c r="L98" s="2">
        <f t="shared" si="41"/>
        <v>36.742592592592594</v>
      </c>
      <c r="M98" s="7">
        <v>20641</v>
      </c>
      <c r="N98" s="7">
        <v>16700</v>
      </c>
      <c r="O98" s="20">
        <v>9.1999999999999998E-3</v>
      </c>
      <c r="P98" s="8">
        <v>15126</v>
      </c>
      <c r="Q98" s="18">
        <v>6.1</v>
      </c>
      <c r="R98" s="18">
        <v>27.11</v>
      </c>
      <c r="S98" s="2">
        <f t="shared" si="42"/>
        <v>63.44259259259259</v>
      </c>
      <c r="T98" s="2">
        <f t="shared" si="49"/>
        <v>20.473199999999999</v>
      </c>
      <c r="U98" s="11">
        <f t="shared" si="48"/>
        <v>531.85407683736253</v>
      </c>
      <c r="V98" s="2">
        <f t="shared" si="45"/>
        <v>1.5212242667152487</v>
      </c>
      <c r="W98" s="18">
        <v>9703.8799999999992</v>
      </c>
      <c r="X98" s="18">
        <v>20</v>
      </c>
      <c r="Y98" s="18">
        <v>16622.8</v>
      </c>
      <c r="Z98" s="2">
        <f t="shared" si="46"/>
        <v>30.782962962962962</v>
      </c>
      <c r="AA98" s="7"/>
      <c r="AB98" s="7"/>
      <c r="AC98" s="7"/>
      <c r="AD98" s="7">
        <v>2200</v>
      </c>
      <c r="AE98" s="7">
        <v>7000</v>
      </c>
      <c r="AF98" s="7">
        <v>7500</v>
      </c>
      <c r="AG98" s="2">
        <f t="shared" si="47"/>
        <v>0.88393878666423753</v>
      </c>
      <c r="AJ98" s="7"/>
      <c r="AK98" s="2">
        <f t="shared" si="32"/>
        <v>4.0366972477064218</v>
      </c>
      <c r="AL98" s="2">
        <f t="shared" si="33"/>
        <v>12.844036697247706</v>
      </c>
      <c r="AM98" s="2">
        <f t="shared" si="34"/>
        <v>13.761467889908257</v>
      </c>
    </row>
    <row r="99" spans="1:39" x14ac:dyDescent="0.25">
      <c r="A99" s="22">
        <v>2520</v>
      </c>
      <c r="B99" s="7" t="s">
        <v>35</v>
      </c>
      <c r="C99" s="7">
        <v>26.5</v>
      </c>
      <c r="D99" s="32">
        <v>45820</v>
      </c>
      <c r="E99" s="13">
        <v>45859</v>
      </c>
      <c r="F99" s="7">
        <v>639</v>
      </c>
      <c r="G99" s="7">
        <v>4420</v>
      </c>
      <c r="H99" s="2">
        <f t="shared" si="39"/>
        <v>6.9170579029733963</v>
      </c>
      <c r="I99" s="7">
        <v>110</v>
      </c>
      <c r="J99" s="1">
        <f t="shared" si="40"/>
        <v>529</v>
      </c>
      <c r="K99" s="8">
        <v>524</v>
      </c>
      <c r="L99" s="2">
        <f t="shared" si="41"/>
        <v>36.083969465648856</v>
      </c>
      <c r="M99" s="7">
        <v>20008</v>
      </c>
      <c r="N99" s="7">
        <v>16200</v>
      </c>
      <c r="O99" s="20">
        <v>8.8000000000000005E-3</v>
      </c>
      <c r="P99" s="8">
        <v>15152</v>
      </c>
      <c r="Q99" s="18">
        <v>6.27</v>
      </c>
      <c r="R99" s="18">
        <v>27.6</v>
      </c>
      <c r="S99" s="2">
        <f t="shared" si="42"/>
        <v>62.583969465648856</v>
      </c>
      <c r="T99" s="2">
        <f t="shared" si="49"/>
        <v>20.682942097026604</v>
      </c>
      <c r="U99" s="11">
        <f t="shared" si="48"/>
        <v>536.3854458216714</v>
      </c>
      <c r="V99" s="2">
        <f t="shared" si="45"/>
        <v>1.5095042862467387</v>
      </c>
      <c r="W99" s="18">
        <v>9441.57</v>
      </c>
      <c r="X99" s="18">
        <v>27.5</v>
      </c>
      <c r="Y99" s="18">
        <v>16125.86</v>
      </c>
      <c r="Z99" s="2">
        <f t="shared" si="46"/>
        <v>30.774541984732824</v>
      </c>
      <c r="AA99" s="7"/>
      <c r="AB99" s="7"/>
      <c r="AC99" s="7"/>
      <c r="AD99" s="7">
        <v>2150</v>
      </c>
      <c r="AE99" s="7">
        <v>7050</v>
      </c>
      <c r="AF99" s="7">
        <v>7000</v>
      </c>
      <c r="AG99" s="2">
        <f t="shared" si="47"/>
        <v>0.8797586656727544</v>
      </c>
      <c r="AJ99" s="7"/>
      <c r="AK99" s="2">
        <f t="shared" si="32"/>
        <v>4.064272211720227</v>
      </c>
      <c r="AL99" s="2">
        <f t="shared" si="33"/>
        <v>13.32703213610586</v>
      </c>
      <c r="AM99" s="2">
        <f t="shared" si="34"/>
        <v>13.232514177693762</v>
      </c>
    </row>
    <row r="100" spans="1:39" x14ac:dyDescent="0.25">
      <c r="A100" s="22">
        <v>2521</v>
      </c>
      <c r="B100" s="7" t="s">
        <v>36</v>
      </c>
      <c r="C100" s="7">
        <v>26.3</v>
      </c>
      <c r="D100" s="32">
        <v>45827</v>
      </c>
      <c r="E100" s="13">
        <v>45866</v>
      </c>
      <c r="F100" s="7">
        <v>639</v>
      </c>
      <c r="G100" s="7">
        <v>4021</v>
      </c>
      <c r="H100" s="2">
        <f t="shared" si="39"/>
        <v>6.2926447574334894</v>
      </c>
      <c r="I100" s="7">
        <v>110</v>
      </c>
      <c r="J100" s="1">
        <f t="shared" si="40"/>
        <v>529</v>
      </c>
      <c r="K100" s="8">
        <v>526</v>
      </c>
      <c r="L100" s="2">
        <f t="shared" si="41"/>
        <v>35.956273764258555</v>
      </c>
      <c r="M100" s="7">
        <v>20013</v>
      </c>
      <c r="N100" s="7">
        <v>16750</v>
      </c>
      <c r="O100" s="20">
        <v>5.0000000000000001E-3</v>
      </c>
      <c r="P100" s="8">
        <v>14748</v>
      </c>
      <c r="Q100" s="18">
        <v>5.52</v>
      </c>
      <c r="R100" s="18">
        <v>26.88</v>
      </c>
      <c r="S100" s="2">
        <f t="shared" si="42"/>
        <v>62.256273764258552</v>
      </c>
      <c r="T100" s="2">
        <f t="shared" si="49"/>
        <v>20.58735524256651</v>
      </c>
      <c r="U100" s="11">
        <f t="shared" si="48"/>
        <v>536.00159896067555</v>
      </c>
      <c r="V100" s="2">
        <f t="shared" si="45"/>
        <v>1.5614803766197445</v>
      </c>
      <c r="W100" s="18">
        <v>9891.8225000000002</v>
      </c>
      <c r="X100" s="18">
        <v>27.5</v>
      </c>
      <c r="Y100" s="18">
        <v>16713.84</v>
      </c>
      <c r="Z100" s="2">
        <f t="shared" si="46"/>
        <v>31.775361216730037</v>
      </c>
      <c r="AA100" s="7">
        <v>14.4</v>
      </c>
      <c r="AB100" s="7">
        <v>28</v>
      </c>
      <c r="AC100" s="7"/>
      <c r="AD100" s="7">
        <v>2500</v>
      </c>
      <c r="AE100" s="7">
        <v>8000</v>
      </c>
      <c r="AF100" s="7">
        <v>6250</v>
      </c>
      <c r="AG100" s="2">
        <f t="shared" si="47"/>
        <v>0.92214249091078593</v>
      </c>
      <c r="AJ100" s="7"/>
      <c r="AK100" s="2">
        <f t="shared" si="32"/>
        <v>4.7258979206049148</v>
      </c>
      <c r="AL100" s="2">
        <f t="shared" si="33"/>
        <v>15.122873345935728</v>
      </c>
      <c r="AM100" s="2">
        <f t="shared" si="34"/>
        <v>11.814744801512287</v>
      </c>
    </row>
    <row r="101" spans="1:39" x14ac:dyDescent="0.25">
      <c r="A101" s="22">
        <v>2522</v>
      </c>
      <c r="B101" s="7" t="s">
        <v>37</v>
      </c>
      <c r="C101" s="7">
        <v>26.4</v>
      </c>
      <c r="D101" s="32">
        <v>45834</v>
      </c>
      <c r="E101" s="13">
        <v>45873</v>
      </c>
      <c r="F101" s="7">
        <v>620</v>
      </c>
      <c r="G101" s="7">
        <v>4041</v>
      </c>
      <c r="H101" s="2">
        <f t="shared" si="39"/>
        <v>6.5177419354838708</v>
      </c>
      <c r="I101" s="7">
        <v>90</v>
      </c>
      <c r="J101" s="1">
        <f t="shared" si="40"/>
        <v>530</v>
      </c>
      <c r="K101" s="8">
        <v>528</v>
      </c>
      <c r="L101" s="2">
        <f t="shared" si="41"/>
        <v>36.363636363636367</v>
      </c>
      <c r="M101" s="7">
        <v>20100</v>
      </c>
      <c r="N101" s="7">
        <v>17700</v>
      </c>
      <c r="O101" s="20">
        <v>3.8E-3</v>
      </c>
      <c r="P101" s="8">
        <v>15477</v>
      </c>
      <c r="Q101" s="18">
        <v>4.9800000000000004</v>
      </c>
      <c r="R101" s="18">
        <v>28.46</v>
      </c>
      <c r="S101" s="2">
        <f t="shared" si="42"/>
        <v>62.763636363636365</v>
      </c>
      <c r="T101" s="2">
        <f t="shared" si="49"/>
        <v>21.942258064516132</v>
      </c>
      <c r="U101" s="11">
        <f t="shared" si="48"/>
        <v>568.95522388059703</v>
      </c>
      <c r="V101" s="2">
        <f t="shared" si="45"/>
        <v>1.5477439664218258</v>
      </c>
      <c r="W101" s="18">
        <v>10311.915000000001</v>
      </c>
      <c r="X101" s="18">
        <v>22.5</v>
      </c>
      <c r="Y101" s="18">
        <v>17662.48</v>
      </c>
      <c r="Z101" s="2">
        <f t="shared" si="46"/>
        <v>33.451666666666668</v>
      </c>
      <c r="AA101" s="7">
        <v>16.5</v>
      </c>
      <c r="AB101" s="7">
        <v>33.700000000000003</v>
      </c>
      <c r="AC101" s="7"/>
      <c r="AD101" s="7">
        <v>2200</v>
      </c>
      <c r="AE101" s="7">
        <v>8000</v>
      </c>
      <c r="AF101" s="7">
        <v>7500</v>
      </c>
      <c r="AG101" s="2">
        <f t="shared" si="47"/>
        <v>0.9017064533053516</v>
      </c>
      <c r="AJ101" s="7"/>
      <c r="AK101" s="2">
        <f t="shared" si="32"/>
        <v>4.1509433962264151</v>
      </c>
      <c r="AL101" s="2">
        <f t="shared" si="33"/>
        <v>15.09433962264151</v>
      </c>
      <c r="AM101" s="2">
        <f t="shared" si="34"/>
        <v>14.150943396226415</v>
      </c>
    </row>
    <row r="102" spans="1:39" x14ac:dyDescent="0.25">
      <c r="A102" s="22">
        <v>2523</v>
      </c>
      <c r="B102" s="7" t="s">
        <v>38</v>
      </c>
      <c r="C102" s="7">
        <v>26.4</v>
      </c>
      <c r="D102" s="32">
        <v>45841</v>
      </c>
      <c r="E102" s="13">
        <v>45880</v>
      </c>
      <c r="F102" s="7">
        <v>639</v>
      </c>
      <c r="G102" s="7">
        <v>3975</v>
      </c>
      <c r="H102" s="2">
        <f t="shared" si="39"/>
        <v>6.220657276995305</v>
      </c>
      <c r="I102" s="7">
        <v>110</v>
      </c>
      <c r="J102" s="1">
        <f t="shared" si="40"/>
        <v>529</v>
      </c>
      <c r="K102" s="8">
        <v>521</v>
      </c>
      <c r="L102" s="2">
        <f t="shared" si="41"/>
        <v>36.145873320537426</v>
      </c>
      <c r="M102" s="7">
        <v>19932</v>
      </c>
      <c r="N102" s="7">
        <v>16700</v>
      </c>
      <c r="O102" s="20">
        <v>1.4800000000000001E-2</v>
      </c>
      <c r="P102" s="8">
        <v>14411</v>
      </c>
      <c r="Q102" s="18">
        <v>5.64</v>
      </c>
      <c r="R102" s="18">
        <v>26.47</v>
      </c>
      <c r="S102" s="2">
        <f>C102+L102</f>
        <v>62.545873320537424</v>
      </c>
      <c r="T102" s="2">
        <f t="shared" si="49"/>
        <v>20.249342723004695</v>
      </c>
      <c r="U102" s="11">
        <f t="shared" si="48"/>
        <v>523.58017258679513</v>
      </c>
      <c r="V102" s="2">
        <f>N102/(P102-G102)</f>
        <v>1.6002299731697969</v>
      </c>
      <c r="W102" s="18">
        <v>9711.2700000000023</v>
      </c>
      <c r="X102" s="18">
        <v>27.5</v>
      </c>
      <c r="Y102" s="18">
        <v>16616.5</v>
      </c>
      <c r="Z102" s="2">
        <f t="shared" si="46"/>
        <v>31.893474088291747</v>
      </c>
      <c r="AA102" s="7">
        <v>13.8</v>
      </c>
      <c r="AB102" s="7">
        <v>32.299999999999997</v>
      </c>
      <c r="AC102" s="7"/>
      <c r="AD102" s="7">
        <v>2200</v>
      </c>
      <c r="AE102" s="7">
        <v>7000</v>
      </c>
      <c r="AF102" s="7">
        <v>7500</v>
      </c>
      <c r="AG102" s="2">
        <f t="shared" si="47"/>
        <v>0.93055481027213516</v>
      </c>
      <c r="AJ102" s="7"/>
      <c r="AK102" s="2">
        <f t="shared" si="32"/>
        <v>4.1587901701323249</v>
      </c>
      <c r="AL102" s="2">
        <f t="shared" si="33"/>
        <v>13.232514177693762</v>
      </c>
      <c r="AM102" s="2">
        <f t="shared" si="34"/>
        <v>14.177693761814744</v>
      </c>
    </row>
    <row r="103" spans="1:39" x14ac:dyDescent="0.25">
      <c r="A103" s="22">
        <v>2524</v>
      </c>
      <c r="B103" s="7" t="s">
        <v>39</v>
      </c>
      <c r="C103" s="7">
        <v>26.2</v>
      </c>
      <c r="D103" s="32">
        <v>45848</v>
      </c>
      <c r="E103" s="13">
        <v>45887</v>
      </c>
      <c r="F103" s="7">
        <v>566</v>
      </c>
      <c r="G103" s="7">
        <v>4060</v>
      </c>
      <c r="H103" s="2">
        <f t="shared" si="39"/>
        <v>7.1731448763250887</v>
      </c>
      <c r="I103" s="7">
        <v>50</v>
      </c>
      <c r="J103" s="1">
        <f t="shared" si="40"/>
        <v>516</v>
      </c>
      <c r="K103" s="8">
        <v>514</v>
      </c>
      <c r="L103" s="2">
        <f t="shared" si="41"/>
        <v>37.050583657587552</v>
      </c>
      <c r="M103" s="7">
        <v>19544</v>
      </c>
      <c r="N103" s="7">
        <v>17000</v>
      </c>
      <c r="O103" s="33">
        <v>3.7000000000000002E-3</v>
      </c>
      <c r="P103" s="8">
        <v>14893</v>
      </c>
      <c r="Q103" s="18">
        <v>6.4</v>
      </c>
      <c r="R103" s="18">
        <v>28.35</v>
      </c>
      <c r="S103" s="2">
        <f t="shared" si="42"/>
        <v>63.250583657587555</v>
      </c>
      <c r="T103" s="2">
        <f t="shared" si="49"/>
        <v>21.176855123674912</v>
      </c>
      <c r="U103" s="11">
        <f t="shared" si="48"/>
        <v>554.28776094965201</v>
      </c>
      <c r="V103" s="2">
        <f t="shared" si="45"/>
        <v>1.5692790547401458</v>
      </c>
      <c r="W103" s="7">
        <v>9997.1899999999987</v>
      </c>
      <c r="X103" s="18">
        <v>12.5</v>
      </c>
      <c r="Y103" s="18">
        <v>16983.419999999998</v>
      </c>
      <c r="Z103" s="2">
        <f t="shared" si="46"/>
        <v>33.04167315175097</v>
      </c>
      <c r="AA103" s="7">
        <v>19.100000000000001</v>
      </c>
      <c r="AB103" s="7">
        <v>33.299999999999997</v>
      </c>
      <c r="AC103" s="7"/>
      <c r="AD103" s="7">
        <v>2500</v>
      </c>
      <c r="AE103" s="7">
        <v>7000</v>
      </c>
      <c r="AF103" s="7">
        <v>7500</v>
      </c>
      <c r="AG103" s="2">
        <f>W103/(P103-G103)</f>
        <v>0.9228459337210374</v>
      </c>
      <c r="AJ103" s="7"/>
      <c r="AK103" s="2">
        <f t="shared" si="32"/>
        <v>4.8449612403100772</v>
      </c>
      <c r="AL103" s="2">
        <f t="shared" si="33"/>
        <v>13.565891472868216</v>
      </c>
      <c r="AM103" s="2">
        <f t="shared" si="34"/>
        <v>14.534883720930232</v>
      </c>
    </row>
    <row r="104" spans="1:39" x14ac:dyDescent="0.25">
      <c r="A104" s="22">
        <v>2525</v>
      </c>
      <c r="B104" s="7" t="s">
        <v>40</v>
      </c>
      <c r="C104" s="7">
        <v>25.8</v>
      </c>
      <c r="D104" s="32">
        <v>45855</v>
      </c>
      <c r="E104" s="13">
        <v>45894</v>
      </c>
      <c r="F104" s="7">
        <v>600</v>
      </c>
      <c r="G104" s="7">
        <v>3895</v>
      </c>
      <c r="H104" s="2">
        <f t="shared" si="39"/>
        <v>6.4916666666666663</v>
      </c>
      <c r="I104" s="7">
        <v>85</v>
      </c>
      <c r="J104" s="1">
        <f t="shared" si="40"/>
        <v>515</v>
      </c>
      <c r="K104" s="8">
        <v>509</v>
      </c>
      <c r="L104" s="2">
        <f t="shared" si="41"/>
        <v>36.473477406679763</v>
      </c>
      <c r="M104" s="7">
        <v>19415</v>
      </c>
      <c r="N104" s="7">
        <v>16600</v>
      </c>
      <c r="O104" s="20">
        <v>1.09E-2</v>
      </c>
      <c r="P104" s="8">
        <v>14433</v>
      </c>
      <c r="Q104" s="18">
        <v>5.68</v>
      </c>
      <c r="R104" s="18">
        <v>27.41</v>
      </c>
      <c r="S104" s="2">
        <f t="shared" si="42"/>
        <v>62.27347740667976</v>
      </c>
      <c r="T104" s="2">
        <f t="shared" si="49"/>
        <v>20.918333333333333</v>
      </c>
      <c r="U104" s="11">
        <f t="shared" si="48"/>
        <v>542.77620396600571</v>
      </c>
      <c r="V104" s="2">
        <f t="shared" si="45"/>
        <v>1.5752514708673373</v>
      </c>
      <c r="W104" s="7">
        <v>9107.76</v>
      </c>
      <c r="X104" s="18">
        <v>21.25</v>
      </c>
      <c r="Y104" s="18">
        <v>16544.43</v>
      </c>
      <c r="Z104" s="2">
        <f t="shared" si="46"/>
        <v>32.503791748526524</v>
      </c>
      <c r="AA104" s="7"/>
      <c r="AB104" s="7"/>
      <c r="AC104" s="7"/>
      <c r="AD104" s="7">
        <v>2100</v>
      </c>
      <c r="AE104" s="7">
        <v>7000</v>
      </c>
      <c r="AF104" s="7">
        <v>7500</v>
      </c>
      <c r="AG104" s="2">
        <f t="shared" si="47"/>
        <v>0.86427785158474091</v>
      </c>
      <c r="AJ104" s="7"/>
      <c r="AK104" s="2">
        <f t="shared" si="32"/>
        <v>4.0776699029126213</v>
      </c>
      <c r="AL104" s="2">
        <f t="shared" si="33"/>
        <v>13.592233009708737</v>
      </c>
      <c r="AM104" s="2">
        <f t="shared" si="34"/>
        <v>14.563106796116505</v>
      </c>
    </row>
    <row r="105" spans="1:39" x14ac:dyDescent="0.25">
      <c r="A105" s="22">
        <v>2526</v>
      </c>
      <c r="B105" s="7" t="s">
        <v>35</v>
      </c>
      <c r="C105" s="7">
        <v>26.1</v>
      </c>
      <c r="D105" s="32">
        <v>45862</v>
      </c>
      <c r="E105" s="13">
        <v>45901</v>
      </c>
      <c r="F105" s="7">
        <v>602</v>
      </c>
      <c r="G105" s="7">
        <v>3973</v>
      </c>
      <c r="H105" s="2">
        <f t="shared" si="39"/>
        <v>6.5996677740863792</v>
      </c>
      <c r="I105" s="7">
        <v>80</v>
      </c>
      <c r="J105" s="1">
        <f t="shared" si="40"/>
        <v>522</v>
      </c>
      <c r="K105" s="8">
        <v>518</v>
      </c>
      <c r="L105" s="2">
        <f t="shared" si="41"/>
        <v>36.637065637065639</v>
      </c>
      <c r="M105" s="7">
        <v>19778</v>
      </c>
      <c r="N105" s="7">
        <v>17100</v>
      </c>
      <c r="O105" s="20">
        <v>7.7000000000000002E-3</v>
      </c>
      <c r="P105" s="8">
        <v>15165</v>
      </c>
      <c r="Q105" s="18">
        <v>6.08</v>
      </c>
      <c r="R105" s="18">
        <v>28.34</v>
      </c>
      <c r="S105" s="2">
        <f t="shared" si="42"/>
        <v>62.737065637065641</v>
      </c>
      <c r="T105" s="2">
        <f t="shared" si="49"/>
        <v>21.740332225913619</v>
      </c>
      <c r="U105" s="11">
        <f t="shared" si="48"/>
        <v>565.88128223278386</v>
      </c>
      <c r="V105" s="2">
        <f t="shared" si="45"/>
        <v>1.5278770550393137</v>
      </c>
      <c r="W105" s="7">
        <v>10036.240000000002</v>
      </c>
      <c r="X105" s="18">
        <v>20</v>
      </c>
      <c r="Y105" s="18">
        <v>17032.439999999999</v>
      </c>
      <c r="Z105" s="2">
        <f t="shared" si="46"/>
        <v>32.881158301158301</v>
      </c>
      <c r="AA105" s="7"/>
      <c r="AB105" s="7"/>
      <c r="AC105" s="7"/>
      <c r="AD105" s="7">
        <v>2100</v>
      </c>
      <c r="AE105" s="7">
        <v>7000</v>
      </c>
      <c r="AF105" s="7">
        <v>8000</v>
      </c>
      <c r="AG105" s="2">
        <f t="shared" si="47"/>
        <v>0.89673338098641897</v>
      </c>
      <c r="AJ105" s="7"/>
      <c r="AK105" s="2">
        <f t="shared" si="32"/>
        <v>4.0229885057471266</v>
      </c>
      <c r="AL105" s="2">
        <f t="shared" si="33"/>
        <v>13.409961685823754</v>
      </c>
      <c r="AM105" s="2">
        <f t="shared" si="34"/>
        <v>15.325670498084291</v>
      </c>
    </row>
    <row r="106" spans="1:39" x14ac:dyDescent="0.25">
      <c r="A106" s="22">
        <v>2527</v>
      </c>
      <c r="B106" s="7" t="s">
        <v>36</v>
      </c>
      <c r="C106" s="7">
        <v>26.7</v>
      </c>
      <c r="D106" s="32">
        <v>45869</v>
      </c>
      <c r="E106" s="13">
        <v>45908</v>
      </c>
      <c r="F106" s="7">
        <v>628</v>
      </c>
      <c r="G106" s="7">
        <v>4196</v>
      </c>
      <c r="H106" s="2">
        <f t="shared" si="39"/>
        <v>6.6815286624203818</v>
      </c>
      <c r="I106" s="7">
        <v>105</v>
      </c>
      <c r="J106" s="1">
        <f t="shared" si="40"/>
        <v>523</v>
      </c>
      <c r="K106" s="8">
        <v>519</v>
      </c>
      <c r="L106" s="2">
        <f t="shared" si="41"/>
        <v>36.063583815028899</v>
      </c>
      <c r="M106" s="7">
        <v>19767</v>
      </c>
      <c r="N106" s="7">
        <v>16350</v>
      </c>
      <c r="O106" s="20">
        <v>7.0000000000000001E-3</v>
      </c>
      <c r="P106" s="8">
        <v>14730</v>
      </c>
      <c r="Q106" s="18">
        <v>5.55</v>
      </c>
      <c r="R106" s="18">
        <v>27.26</v>
      </c>
      <c r="S106" s="2">
        <f t="shared" si="42"/>
        <v>62.763583815028895</v>
      </c>
      <c r="T106" s="2">
        <f t="shared" si="49"/>
        <v>20.578471337579622</v>
      </c>
      <c r="U106" s="11">
        <f t="shared" si="48"/>
        <v>532.90838265796526</v>
      </c>
      <c r="V106" s="2">
        <f t="shared" si="45"/>
        <v>1.552116954623125</v>
      </c>
      <c r="W106" s="7">
        <v>9637.8362499999985</v>
      </c>
      <c r="X106" s="18">
        <v>26.25</v>
      </c>
      <c r="Y106" s="18">
        <v>16304.55</v>
      </c>
      <c r="Z106" s="2">
        <f t="shared" si="46"/>
        <v>31.415317919075143</v>
      </c>
      <c r="AA106" s="7"/>
      <c r="AB106" s="7"/>
      <c r="AC106" s="7"/>
      <c r="AD106" s="7">
        <v>2100</v>
      </c>
      <c r="AE106" s="7">
        <v>7000</v>
      </c>
      <c r="AF106" s="7">
        <v>7250</v>
      </c>
      <c r="AG106" s="2">
        <f t="shared" si="47"/>
        <v>0.91492654737041945</v>
      </c>
      <c r="AJ106" s="7"/>
      <c r="AK106" s="2">
        <f t="shared" si="32"/>
        <v>4.0152963671128106</v>
      </c>
      <c r="AL106" s="2">
        <f t="shared" si="33"/>
        <v>13.384321223709369</v>
      </c>
      <c r="AM106" s="2">
        <f t="shared" si="34"/>
        <v>13.862332695984703</v>
      </c>
    </row>
    <row r="107" spans="1:39" x14ac:dyDescent="0.25">
      <c r="A107" s="22">
        <v>2528</v>
      </c>
      <c r="B107" s="7" t="s">
        <v>37</v>
      </c>
      <c r="C107" s="7">
        <v>27.8</v>
      </c>
      <c r="D107" s="32">
        <v>45876</v>
      </c>
      <c r="E107" s="13">
        <v>45915</v>
      </c>
      <c r="F107" s="7">
        <v>628</v>
      </c>
      <c r="G107" s="7">
        <v>4144</v>
      </c>
      <c r="H107" s="2">
        <f t="shared" si="39"/>
        <v>6.5987261146496818</v>
      </c>
      <c r="I107" s="7">
        <v>95</v>
      </c>
      <c r="J107" s="1">
        <f t="shared" si="40"/>
        <v>533</v>
      </c>
      <c r="K107" s="8">
        <v>526</v>
      </c>
      <c r="L107" s="2">
        <f t="shared" si="41"/>
        <v>36.342205323193916</v>
      </c>
      <c r="M107" s="7">
        <v>20066</v>
      </c>
      <c r="N107" s="7">
        <v>17700</v>
      </c>
      <c r="O107" s="20">
        <v>1.26E-2</v>
      </c>
      <c r="P107" s="8">
        <v>15252</v>
      </c>
      <c r="Q107" s="18">
        <v>5.55</v>
      </c>
      <c r="R107" s="18">
        <v>27.99</v>
      </c>
      <c r="S107" s="2">
        <f t="shared" si="42"/>
        <v>64.14220532319392</v>
      </c>
      <c r="T107" s="2">
        <f t="shared" si="49"/>
        <v>21.391273885350316</v>
      </c>
      <c r="U107" s="11">
        <f t="shared" si="48"/>
        <v>553.57320841223952</v>
      </c>
      <c r="V107" s="2">
        <f t="shared" si="45"/>
        <v>1.5934461649261793</v>
      </c>
      <c r="W107" s="7">
        <v>10379.407100000002</v>
      </c>
      <c r="X107" s="18">
        <v>23.75</v>
      </c>
      <c r="Y107" s="18">
        <v>17650.25</v>
      </c>
      <c r="Z107" s="2">
        <f t="shared" si="46"/>
        <v>33.555608365019012</v>
      </c>
      <c r="AA107" s="7"/>
      <c r="AB107" s="7"/>
      <c r="AC107" s="7"/>
      <c r="AD107" s="7">
        <v>2200</v>
      </c>
      <c r="AE107" s="7">
        <v>7000</v>
      </c>
      <c r="AF107" s="7">
        <v>8500</v>
      </c>
      <c r="AG107" s="2">
        <f t="shared" si="47"/>
        <v>0.93440827331652887</v>
      </c>
      <c r="AJ107" s="7"/>
      <c r="AK107" s="2">
        <f t="shared" si="32"/>
        <v>4.1275797373358349</v>
      </c>
      <c r="AL107" s="2">
        <f t="shared" si="33"/>
        <v>13.133208255159476</v>
      </c>
      <c r="AM107" s="2">
        <f t="shared" si="34"/>
        <v>15.947467166979362</v>
      </c>
    </row>
    <row r="108" spans="1:39" x14ac:dyDescent="0.25">
      <c r="A108" s="22">
        <v>2529</v>
      </c>
      <c r="B108" s="7" t="s">
        <v>38</v>
      </c>
      <c r="C108" s="7">
        <v>27.1</v>
      </c>
      <c r="D108" s="32">
        <v>45883</v>
      </c>
      <c r="E108" s="13">
        <v>45922</v>
      </c>
      <c r="F108" s="7">
        <v>637</v>
      </c>
      <c r="G108" s="7">
        <v>4603</v>
      </c>
      <c r="H108" s="2">
        <f t="shared" si="39"/>
        <v>7.2260596546310829</v>
      </c>
      <c r="I108" s="7">
        <v>100</v>
      </c>
      <c r="J108" s="1">
        <f t="shared" si="40"/>
        <v>537</v>
      </c>
      <c r="K108" s="8">
        <v>529</v>
      </c>
      <c r="L108" s="2">
        <f t="shared" si="41"/>
        <v>36.455576559546316</v>
      </c>
      <c r="M108" s="7">
        <v>20285</v>
      </c>
      <c r="N108" s="7">
        <v>17000</v>
      </c>
      <c r="O108" s="20">
        <v>1.46E-2</v>
      </c>
      <c r="P108" s="8">
        <v>15207</v>
      </c>
      <c r="Q108" s="18">
        <v>6.68</v>
      </c>
      <c r="R108" s="18">
        <v>27.48</v>
      </c>
      <c r="S108" s="2">
        <f>C108+L108</f>
        <v>63.555576559546317</v>
      </c>
      <c r="T108" s="2">
        <f t="shared" si="49"/>
        <v>20.253940345368918</v>
      </c>
      <c r="U108" s="11">
        <f>((P108-G108)/M108)*1000</f>
        <v>522.75080108454517</v>
      </c>
      <c r="V108" s="2">
        <f t="shared" si="45"/>
        <v>1.6031686156167484</v>
      </c>
      <c r="W108" s="7">
        <v>10080.674400000002</v>
      </c>
      <c r="X108" s="18">
        <v>25</v>
      </c>
      <c r="Y108" s="18">
        <v>16884.599999999999</v>
      </c>
      <c r="Z108" s="2">
        <f t="shared" si="46"/>
        <v>31.917958412098297</v>
      </c>
      <c r="AA108" s="7"/>
      <c r="AB108" s="7"/>
      <c r="AC108" s="7"/>
      <c r="AD108" s="7">
        <v>2200</v>
      </c>
      <c r="AE108" s="7">
        <v>7800</v>
      </c>
      <c r="AF108" s="7">
        <v>7000</v>
      </c>
      <c r="AG108" s="2">
        <f t="shared" si="47"/>
        <v>0.95064828366654108</v>
      </c>
      <c r="AJ108" s="7"/>
      <c r="AK108" s="2">
        <f t="shared" si="32"/>
        <v>4.0968342644320295</v>
      </c>
      <c r="AL108" s="2">
        <f t="shared" si="33"/>
        <v>14.525139664804469</v>
      </c>
      <c r="AM108" s="2">
        <f t="shared" si="34"/>
        <v>13.035381750465548</v>
      </c>
    </row>
    <row r="109" spans="1:39" x14ac:dyDescent="0.25">
      <c r="A109" s="22">
        <v>2530</v>
      </c>
      <c r="B109" s="7" t="s">
        <v>39</v>
      </c>
      <c r="C109" s="7">
        <v>26.8</v>
      </c>
      <c r="D109" s="32">
        <v>45890</v>
      </c>
      <c r="E109" s="13">
        <v>45929</v>
      </c>
      <c r="F109" s="7">
        <v>646</v>
      </c>
      <c r="G109" s="7">
        <v>4654</v>
      </c>
      <c r="H109" s="2">
        <f t="shared" si="39"/>
        <v>7.2043343653250771</v>
      </c>
      <c r="I109" s="7">
        <v>100</v>
      </c>
      <c r="J109" s="1">
        <f t="shared" si="40"/>
        <v>546</v>
      </c>
      <c r="K109" s="8">
        <v>544</v>
      </c>
      <c r="L109" s="2">
        <f t="shared" si="41"/>
        <v>36.253676470588232</v>
      </c>
      <c r="M109" s="7">
        <v>20722</v>
      </c>
      <c r="N109" s="7">
        <v>18200</v>
      </c>
      <c r="O109" s="20">
        <v>3.7000000000000002E-3</v>
      </c>
      <c r="P109" s="8">
        <v>16456</v>
      </c>
      <c r="Q109" s="18">
        <v>6.38</v>
      </c>
      <c r="R109" s="18">
        <v>29.08</v>
      </c>
      <c r="S109" s="2">
        <f t="shared" si="42"/>
        <v>63.053676470588229</v>
      </c>
      <c r="T109" s="2">
        <f t="shared" si="49"/>
        <v>21.87566563467492</v>
      </c>
      <c r="U109" s="11">
        <f t="shared" si="48"/>
        <v>569.53961972782554</v>
      </c>
      <c r="V109" s="2">
        <f t="shared" si="45"/>
        <v>1.5421115065243178</v>
      </c>
      <c r="W109" s="7">
        <v>10665.518100000001</v>
      </c>
      <c r="X109" s="18">
        <v>25</v>
      </c>
      <c r="Y109" s="18">
        <v>18152.28</v>
      </c>
      <c r="Z109" s="2">
        <f t="shared" si="46"/>
        <v>33.368161764705881</v>
      </c>
      <c r="AA109" s="7"/>
      <c r="AB109" s="7"/>
      <c r="AC109" s="7"/>
      <c r="AD109" s="7">
        <v>2200</v>
      </c>
      <c r="AE109" s="7">
        <v>7500</v>
      </c>
      <c r="AF109" s="7">
        <v>8500</v>
      </c>
      <c r="AG109" s="2">
        <f t="shared" si="47"/>
        <v>0.90370429588205403</v>
      </c>
      <c r="AJ109" s="7"/>
      <c r="AK109" s="2">
        <f t="shared" si="32"/>
        <v>4.0293040293040292</v>
      </c>
      <c r="AL109" s="2">
        <f t="shared" si="33"/>
        <v>13.736263736263735</v>
      </c>
      <c r="AM109" s="2">
        <f t="shared" si="34"/>
        <v>15.567765567765568</v>
      </c>
    </row>
    <row r="110" spans="1:39" x14ac:dyDescent="0.25">
      <c r="A110" s="22">
        <v>2531</v>
      </c>
      <c r="B110" s="7" t="s">
        <v>40</v>
      </c>
      <c r="C110" s="7">
        <v>26.8</v>
      </c>
      <c r="D110" s="32">
        <v>45897</v>
      </c>
      <c r="E110" s="13">
        <v>45936</v>
      </c>
      <c r="F110" s="7">
        <v>611</v>
      </c>
      <c r="G110" s="7">
        <v>4247</v>
      </c>
      <c r="H110" s="2">
        <f t="shared" si="39"/>
        <v>6.9509001636661214</v>
      </c>
      <c r="I110" s="7">
        <v>78</v>
      </c>
      <c r="J110" s="1">
        <f t="shared" si="40"/>
        <v>533</v>
      </c>
      <c r="K110" s="8">
        <v>529</v>
      </c>
      <c r="L110" s="2">
        <f t="shared" si="41"/>
        <v>36.701323251417769</v>
      </c>
      <c r="M110" s="7">
        <v>20195</v>
      </c>
      <c r="N110" s="7">
        <v>17700</v>
      </c>
      <c r="O110" s="20">
        <v>7.4999999999999997E-3</v>
      </c>
      <c r="P110" s="8">
        <v>15428</v>
      </c>
      <c r="Q110" s="18">
        <v>6.17</v>
      </c>
      <c r="R110" s="18">
        <v>28.26</v>
      </c>
      <c r="S110" s="2">
        <f t="shared" si="42"/>
        <v>63.501323251417773</v>
      </c>
      <c r="T110" s="2">
        <f t="shared" si="49"/>
        <v>21.309099836333878</v>
      </c>
      <c r="U110" s="11">
        <f t="shared" si="48"/>
        <v>553.65189403317652</v>
      </c>
      <c r="V110" s="2">
        <f t="shared" si="45"/>
        <v>1.5830426616581701</v>
      </c>
      <c r="W110" s="7">
        <v>11126.795099999999</v>
      </c>
      <c r="X110" s="18">
        <v>19.5</v>
      </c>
      <c r="Y110" s="18">
        <v>17638.060000000001</v>
      </c>
      <c r="Z110" s="2">
        <f t="shared" si="46"/>
        <v>33.342268431001891</v>
      </c>
      <c r="AA110" s="7"/>
      <c r="AB110" s="7"/>
      <c r="AC110" s="7"/>
      <c r="AD110" s="7">
        <v>2200</v>
      </c>
      <c r="AE110" s="7">
        <v>6500</v>
      </c>
      <c r="AF110" s="7">
        <v>9000</v>
      </c>
      <c r="AG110" s="2">
        <f t="shared" si="47"/>
        <v>0.9951520525892138</v>
      </c>
      <c r="AJ110" s="7"/>
      <c r="AK110" s="2">
        <f t="shared" si="32"/>
        <v>4.1275797373358349</v>
      </c>
      <c r="AL110" s="2">
        <f t="shared" si="33"/>
        <v>12.195121951219512</v>
      </c>
      <c r="AM110" s="2">
        <f t="shared" si="34"/>
        <v>16.885553470919323</v>
      </c>
    </row>
    <row r="111" spans="1:39" x14ac:dyDescent="0.25">
      <c r="A111" s="22">
        <v>2532</v>
      </c>
      <c r="B111" s="7" t="s">
        <v>35</v>
      </c>
      <c r="C111" s="7">
        <v>27</v>
      </c>
      <c r="D111" s="32">
        <v>45904</v>
      </c>
      <c r="E111" s="13">
        <v>45943</v>
      </c>
      <c r="F111" s="7">
        <v>654</v>
      </c>
      <c r="G111" s="7">
        <v>4467</v>
      </c>
      <c r="H111" s="2">
        <f t="shared" si="39"/>
        <v>6.830275229357798</v>
      </c>
      <c r="I111" s="7">
        <v>120</v>
      </c>
      <c r="J111" s="1">
        <f t="shared" si="40"/>
        <v>534</v>
      </c>
      <c r="K111" s="8">
        <v>530</v>
      </c>
      <c r="L111" s="2">
        <f t="shared" si="41"/>
        <v>35.798113207547168</v>
      </c>
      <c r="M111" s="7">
        <v>20173</v>
      </c>
      <c r="N111" s="7">
        <v>17700</v>
      </c>
      <c r="O111" s="20">
        <v>1.09E-2</v>
      </c>
      <c r="P111" s="8">
        <v>15857</v>
      </c>
      <c r="Q111" s="18">
        <v>6.17</v>
      </c>
      <c r="R111" s="18">
        <v>28.63</v>
      </c>
      <c r="S111" s="2">
        <f t="shared" si="42"/>
        <v>62.798113207547168</v>
      </c>
      <c r="T111" s="2">
        <f t="shared" si="49"/>
        <v>21.7997247706422</v>
      </c>
      <c r="U111" s="11">
        <f t="shared" si="48"/>
        <v>564.61607098597131</v>
      </c>
      <c r="V111" s="2">
        <f t="shared" si="45"/>
        <v>1.5539947322212466</v>
      </c>
      <c r="W111" s="7">
        <v>10398.278199999999</v>
      </c>
      <c r="X111" s="18">
        <v>30</v>
      </c>
      <c r="Y111" s="18">
        <v>17620.88</v>
      </c>
      <c r="Z111" s="2">
        <f t="shared" si="46"/>
        <v>33.24694339622642</v>
      </c>
      <c r="AA111" s="7"/>
      <c r="AB111" s="7"/>
      <c r="AC111" s="7"/>
      <c r="AD111" s="7">
        <v>2200</v>
      </c>
      <c r="AE111" s="7">
        <v>7500</v>
      </c>
      <c r="AF111" s="7">
        <v>8000</v>
      </c>
      <c r="AG111" s="2">
        <f t="shared" si="47"/>
        <v>0.9129304828797189</v>
      </c>
      <c r="AJ111" s="7"/>
      <c r="AK111" s="2">
        <f t="shared" si="32"/>
        <v>4.1198501872659179</v>
      </c>
      <c r="AL111" s="2">
        <f t="shared" si="33"/>
        <v>14.044943820224718</v>
      </c>
      <c r="AM111" s="2">
        <f t="shared" si="34"/>
        <v>14.9812734082397</v>
      </c>
    </row>
    <row r="112" spans="1:39" x14ac:dyDescent="0.25">
      <c r="A112" s="22">
        <v>2533</v>
      </c>
      <c r="B112" s="7" t="s">
        <v>36</v>
      </c>
      <c r="C112" s="7">
        <v>26.8</v>
      </c>
      <c r="D112" s="32">
        <v>45911</v>
      </c>
      <c r="E112" s="13">
        <v>45950</v>
      </c>
      <c r="F112" s="7">
        <v>633</v>
      </c>
      <c r="G112" s="7">
        <v>4329</v>
      </c>
      <c r="H112" s="2">
        <f t="shared" si="39"/>
        <v>6.8388625592417061</v>
      </c>
      <c r="I112" s="7">
        <v>100</v>
      </c>
      <c r="J112" s="1">
        <f t="shared" si="40"/>
        <v>533</v>
      </c>
      <c r="K112" s="8">
        <v>526</v>
      </c>
      <c r="L112" s="2">
        <f t="shared" si="41"/>
        <v>36.266159695817493</v>
      </c>
      <c r="M112" s="7">
        <v>20076</v>
      </c>
      <c r="N112" s="7">
        <v>17650</v>
      </c>
      <c r="O112" s="20">
        <v>1.23E-2</v>
      </c>
      <c r="P112" s="8">
        <v>15293</v>
      </c>
      <c r="Q112" s="18">
        <v>6.33</v>
      </c>
      <c r="R112" s="18">
        <v>27.87</v>
      </c>
      <c r="S112" s="2">
        <f t="shared" si="42"/>
        <v>63.06615969581749</v>
      </c>
      <c r="T112" s="2">
        <f t="shared" si="49"/>
        <v>21.031137440758293</v>
      </c>
      <c r="U112" s="11">
        <f t="shared" si="48"/>
        <v>546.12472604104403</v>
      </c>
      <c r="V112" s="2">
        <f t="shared" si="45"/>
        <v>1.6098139365195183</v>
      </c>
      <c r="W112" s="7">
        <v>10322.43115</v>
      </c>
      <c r="X112" s="18">
        <v>25</v>
      </c>
      <c r="Y112" s="18">
        <v>17590.759999999998</v>
      </c>
      <c r="Z112" s="2">
        <f t="shared" si="46"/>
        <v>33.44250950570342</v>
      </c>
      <c r="AA112" s="7"/>
      <c r="AB112" s="7"/>
      <c r="AC112" s="7"/>
      <c r="AD112" s="7">
        <v>2200</v>
      </c>
      <c r="AE112" s="7">
        <v>7000</v>
      </c>
      <c r="AF112" s="7">
        <v>8450</v>
      </c>
      <c r="AG112" s="2">
        <f t="shared" si="47"/>
        <v>0.9414840523531558</v>
      </c>
      <c r="AJ112" s="7"/>
      <c r="AK112" s="2">
        <f t="shared" si="32"/>
        <v>4.1275797373358349</v>
      </c>
      <c r="AL112" s="2">
        <f t="shared" si="33"/>
        <v>13.133208255159476</v>
      </c>
      <c r="AM112" s="2">
        <f t="shared" si="34"/>
        <v>15.853658536585366</v>
      </c>
    </row>
    <row r="113" spans="1:39" x14ac:dyDescent="0.25">
      <c r="A113" s="22">
        <v>2534</v>
      </c>
      <c r="B113" s="7" t="s">
        <v>37</v>
      </c>
      <c r="C113" s="7">
        <v>27.8</v>
      </c>
      <c r="D113" s="32">
        <v>45918</v>
      </c>
      <c r="E113" s="13">
        <v>45957</v>
      </c>
      <c r="F113" s="7">
        <v>717</v>
      </c>
      <c r="G113" s="7">
        <v>4701</v>
      </c>
      <c r="H113" s="2">
        <f t="shared" si="39"/>
        <v>6.5564853556485359</v>
      </c>
      <c r="I113" s="7">
        <v>151</v>
      </c>
      <c r="J113" s="1">
        <f t="shared" si="40"/>
        <v>566</v>
      </c>
      <c r="K113" s="8">
        <v>563</v>
      </c>
      <c r="L113" s="2">
        <f t="shared" si="41"/>
        <v>35.365896980461812</v>
      </c>
      <c r="M113" s="7">
        <v>21421</v>
      </c>
      <c r="N113" s="7">
        <v>17900</v>
      </c>
      <c r="O113" s="20">
        <v>4.8999999999999998E-3</v>
      </c>
      <c r="P113" s="8">
        <v>16109</v>
      </c>
      <c r="Q113" s="18">
        <v>5.65</v>
      </c>
      <c r="R113" s="18">
        <v>27.1</v>
      </c>
      <c r="S113" s="2">
        <f t="shared" si="42"/>
        <v>63.16589698046181</v>
      </c>
      <c r="T113" s="2">
        <f t="shared" si="49"/>
        <v>20.543514644351465</v>
      </c>
      <c r="U113" s="11">
        <f t="shared" si="48"/>
        <v>532.56150506512301</v>
      </c>
      <c r="V113" s="2">
        <f t="shared" si="45"/>
        <v>1.5690743338008415</v>
      </c>
      <c r="W113" s="7">
        <v>10407.5319</v>
      </c>
      <c r="X113" s="18">
        <v>37.75</v>
      </c>
      <c r="Y113" s="18">
        <v>17852.810000000001</v>
      </c>
      <c r="Z113" s="2">
        <f t="shared" si="46"/>
        <v>31.710142095914744</v>
      </c>
      <c r="AA113" s="7"/>
      <c r="AB113" s="7"/>
      <c r="AC113" s="7"/>
      <c r="AD113" s="7">
        <v>2300</v>
      </c>
      <c r="AE113" s="7">
        <v>7000</v>
      </c>
      <c r="AF113" s="7">
        <v>8600</v>
      </c>
      <c r="AG113" s="2">
        <f t="shared" si="47"/>
        <v>0.91230118338008415</v>
      </c>
      <c r="AJ113" s="7"/>
      <c r="AK113" s="2">
        <f t="shared" si="32"/>
        <v>4.0636042402826851</v>
      </c>
      <c r="AL113" s="2">
        <f t="shared" si="33"/>
        <v>12.367491166077739</v>
      </c>
      <c r="AM113" s="2">
        <f t="shared" si="34"/>
        <v>15.19434628975265</v>
      </c>
    </row>
    <row r="114" spans="1:39" x14ac:dyDescent="0.25">
      <c r="A114" s="22">
        <v>2535</v>
      </c>
      <c r="B114" s="7" t="s">
        <v>38</v>
      </c>
      <c r="C114" s="7">
        <v>27.3</v>
      </c>
      <c r="D114" s="32">
        <v>45925</v>
      </c>
      <c r="E114" s="13">
        <v>45964</v>
      </c>
      <c r="F114" s="7">
        <v>737</v>
      </c>
      <c r="G114" s="7">
        <v>5001</v>
      </c>
      <c r="H114" s="2">
        <f t="shared" si="39"/>
        <v>6.7856173677069203</v>
      </c>
      <c r="I114" s="36">
        <v>210</v>
      </c>
      <c r="J114" s="35">
        <f t="shared" si="40"/>
        <v>527</v>
      </c>
      <c r="K114" s="8">
        <v>522</v>
      </c>
      <c r="L114" s="2">
        <f t="shared" si="41"/>
        <v>34.132183908045974</v>
      </c>
      <c r="M114" s="7">
        <v>19917</v>
      </c>
      <c r="N114" s="7">
        <v>16700</v>
      </c>
      <c r="O114" s="20">
        <v>8.3999999999999995E-3</v>
      </c>
      <c r="P114" s="8">
        <v>15825</v>
      </c>
      <c r="Q114" s="18">
        <v>6.3</v>
      </c>
      <c r="R114" s="18">
        <v>27.78</v>
      </c>
      <c r="S114" s="2">
        <f t="shared" si="42"/>
        <v>61.432183908045971</v>
      </c>
      <c r="T114" s="2">
        <f t="shared" si="49"/>
        <v>20.994382632293082</v>
      </c>
      <c r="U114" s="11">
        <f t="shared" si="48"/>
        <v>543.45533965958725</v>
      </c>
      <c r="V114" s="2">
        <f t="shared" si="45"/>
        <v>1.5428677014042869</v>
      </c>
      <c r="W114" s="7">
        <v>10407.5319</v>
      </c>
      <c r="X114" s="18">
        <v>52.5</v>
      </c>
      <c r="Y114" s="18">
        <v>16611.72</v>
      </c>
      <c r="Z114" s="2">
        <f t="shared" si="46"/>
        <v>31.823218390804598</v>
      </c>
      <c r="AA114" s="7"/>
      <c r="AB114" s="7"/>
      <c r="AC114" s="7"/>
      <c r="AD114" s="7">
        <v>2200</v>
      </c>
      <c r="AE114" s="7">
        <v>6000</v>
      </c>
      <c r="AF114" s="7">
        <v>8500</v>
      </c>
      <c r="AG114" s="2">
        <f t="shared" si="47"/>
        <v>0.96152364190687356</v>
      </c>
      <c r="AJ114" s="7"/>
      <c r="AK114" s="2">
        <f t="shared" si="32"/>
        <v>4.1745730550284632</v>
      </c>
      <c r="AL114" s="2">
        <f t="shared" si="33"/>
        <v>11.385199240986717</v>
      </c>
      <c r="AM114" s="2">
        <f t="shared" si="34"/>
        <v>16.129032258064516</v>
      </c>
    </row>
    <row r="115" spans="1:39" x14ac:dyDescent="0.25">
      <c r="A115" s="22">
        <v>2536</v>
      </c>
      <c r="B115" s="7" t="s">
        <v>39</v>
      </c>
      <c r="C115" s="7">
        <v>27.3</v>
      </c>
      <c r="D115" s="32">
        <v>45932</v>
      </c>
      <c r="E115" s="13">
        <v>45971</v>
      </c>
      <c r="F115" s="7">
        <v>634</v>
      </c>
      <c r="G115" s="7">
        <v>4329</v>
      </c>
      <c r="H115" s="2">
        <f t="shared" si="39"/>
        <v>6.8280757097791795</v>
      </c>
      <c r="I115" s="36">
        <v>100</v>
      </c>
      <c r="J115" s="35">
        <f t="shared" si="40"/>
        <v>534</v>
      </c>
      <c r="K115" s="8">
        <v>529</v>
      </c>
      <c r="L115" s="2">
        <f t="shared" si="41"/>
        <v>36.236294896030245</v>
      </c>
      <c r="M115" s="7">
        <v>20169</v>
      </c>
      <c r="N115" s="7">
        <v>17000</v>
      </c>
      <c r="O115" s="20">
        <v>8.8000000000000005E-3</v>
      </c>
      <c r="P115" s="8">
        <v>14698</v>
      </c>
      <c r="Q115" s="18">
        <v>6.19</v>
      </c>
      <c r="R115" s="18">
        <v>27.78</v>
      </c>
      <c r="S115" s="2">
        <f t="shared" si="42"/>
        <v>63.536294896030242</v>
      </c>
      <c r="T115" s="2">
        <f t="shared" si="49"/>
        <v>20.951924290220823</v>
      </c>
      <c r="U115" s="11">
        <f t="shared" si="48"/>
        <v>514.10580593980865</v>
      </c>
      <c r="V115" s="2">
        <v>1.57</v>
      </c>
      <c r="W115" s="7">
        <v>9904.428100000001</v>
      </c>
      <c r="X115" s="18">
        <v>25</v>
      </c>
      <c r="Y115" s="18">
        <v>17146.47</v>
      </c>
      <c r="Z115" s="2">
        <f t="shared" si="46"/>
        <v>32.412986767485826</v>
      </c>
      <c r="AA115" s="7"/>
      <c r="AB115" s="7"/>
      <c r="AC115" s="7"/>
      <c r="AD115" s="7">
        <v>2200</v>
      </c>
      <c r="AE115" s="7">
        <v>6500</v>
      </c>
      <c r="AF115" s="7">
        <v>8500</v>
      </c>
      <c r="AG115" s="2">
        <f t="shared" si="47"/>
        <v>0.95519607483846092</v>
      </c>
      <c r="AJ115" s="7"/>
      <c r="AK115" s="2">
        <f t="shared" ref="AK115:AK153" si="50">AD115/J115</f>
        <v>4.1198501872659179</v>
      </c>
      <c r="AL115" s="2">
        <f t="shared" si="33"/>
        <v>12.172284644194757</v>
      </c>
      <c r="AM115" s="2">
        <f t="shared" si="34"/>
        <v>15.917602996254681</v>
      </c>
    </row>
    <row r="116" spans="1:39" x14ac:dyDescent="0.25">
      <c r="A116" s="22">
        <v>2537</v>
      </c>
      <c r="B116" s="7" t="s">
        <v>40</v>
      </c>
      <c r="C116" s="7">
        <v>26.9</v>
      </c>
      <c r="D116" s="32">
        <v>45939</v>
      </c>
      <c r="E116" s="13">
        <v>45978</v>
      </c>
      <c r="F116" s="7">
        <v>646</v>
      </c>
      <c r="G116" s="7">
        <v>4194</v>
      </c>
      <c r="H116" s="2">
        <f t="shared" si="39"/>
        <v>6.492260061919505</v>
      </c>
      <c r="I116" s="7">
        <v>110</v>
      </c>
      <c r="J116" s="1">
        <f t="shared" si="40"/>
        <v>536</v>
      </c>
      <c r="K116" s="8">
        <v>527</v>
      </c>
      <c r="L116" s="2">
        <f t="shared" si="41"/>
        <v>36.244781783681212</v>
      </c>
      <c r="M116" s="7">
        <v>20201</v>
      </c>
      <c r="N116" s="7">
        <v>17100</v>
      </c>
      <c r="O116" s="20">
        <v>1.6199999999999999E-2</v>
      </c>
      <c r="P116" s="8">
        <v>14288</v>
      </c>
      <c r="Q116" s="18">
        <v>5.91</v>
      </c>
      <c r="R116" s="18">
        <v>27.11</v>
      </c>
      <c r="S116" s="2">
        <f t="shared" si="42"/>
        <v>63.144781783681211</v>
      </c>
      <c r="T116" s="2">
        <f t="shared" si="49"/>
        <v>20.617739938080494</v>
      </c>
      <c r="U116" s="11">
        <f t="shared" si="48"/>
        <v>499.6782337508044</v>
      </c>
      <c r="V116" s="2">
        <v>1.59</v>
      </c>
      <c r="W116" s="7">
        <v>9904.428100000001</v>
      </c>
      <c r="X116" s="7">
        <v>27.5</v>
      </c>
      <c r="Y116" s="7">
        <v>17003.84</v>
      </c>
      <c r="Z116" s="2">
        <f t="shared" si="46"/>
        <v>32.265351043643264</v>
      </c>
      <c r="AA116" s="7"/>
      <c r="AB116" s="7"/>
      <c r="AC116" s="7"/>
      <c r="AD116" s="7">
        <v>2200</v>
      </c>
      <c r="AE116" s="7">
        <v>7000</v>
      </c>
      <c r="AF116" s="7">
        <v>7900</v>
      </c>
      <c r="AG116" s="2">
        <f t="shared" si="47"/>
        <v>0.9812193481276007</v>
      </c>
      <c r="AJ116" s="7"/>
      <c r="AK116" s="2">
        <f t="shared" si="50"/>
        <v>4.1044776119402986</v>
      </c>
      <c r="AL116" s="2">
        <f t="shared" si="33"/>
        <v>13.059701492537313</v>
      </c>
      <c r="AM116" s="2">
        <f t="shared" si="34"/>
        <v>14.738805970149254</v>
      </c>
    </row>
    <row r="117" spans="1:39" x14ac:dyDescent="0.25">
      <c r="A117" s="22">
        <v>2538</v>
      </c>
      <c r="B117" s="7" t="s">
        <v>35</v>
      </c>
      <c r="C117" s="7">
        <v>27.3</v>
      </c>
      <c r="D117" s="32">
        <v>45946</v>
      </c>
      <c r="E117" s="13">
        <v>45985</v>
      </c>
      <c r="F117" s="7">
        <v>698</v>
      </c>
      <c r="G117" s="7">
        <v>4735</v>
      </c>
      <c r="H117" s="2">
        <f t="shared" si="39"/>
        <v>6.7836676217765044</v>
      </c>
      <c r="I117" s="7">
        <v>140</v>
      </c>
      <c r="J117" s="1">
        <f t="shared" si="40"/>
        <v>558</v>
      </c>
      <c r="K117" s="8">
        <v>691</v>
      </c>
      <c r="L117" s="2">
        <f t="shared" si="41"/>
        <v>28.474674384949349</v>
      </c>
      <c r="M117" s="7">
        <v>21076</v>
      </c>
      <c r="N117" s="7">
        <v>18700</v>
      </c>
      <c r="O117" s="20">
        <v>1.2200000000000001E-2</v>
      </c>
      <c r="P117" s="8">
        <v>16662</v>
      </c>
      <c r="Q117" s="18">
        <v>6.09</v>
      </c>
      <c r="R117" s="18">
        <v>28.69</v>
      </c>
      <c r="S117" s="2">
        <f t="shared" si="42"/>
        <v>55.77467438494935</v>
      </c>
      <c r="T117" s="2">
        <f t="shared" si="49"/>
        <v>21.906332378223496</v>
      </c>
      <c r="U117" s="11">
        <f t="shared" si="48"/>
        <v>565.90434617574488</v>
      </c>
      <c r="V117" s="2">
        <f t="shared" si="45"/>
        <v>1.567871216567452</v>
      </c>
      <c r="W117" s="7">
        <v>10825.1566</v>
      </c>
      <c r="X117" s="7">
        <v>35</v>
      </c>
      <c r="Y117" s="7">
        <v>18601.82</v>
      </c>
      <c r="Z117" s="2">
        <f t="shared" si="46"/>
        <v>26.920144717800287</v>
      </c>
      <c r="AA117" s="7"/>
      <c r="AB117" s="7"/>
      <c r="AC117" s="7"/>
      <c r="AD117" s="7">
        <v>2200</v>
      </c>
      <c r="AE117" s="7">
        <v>8000</v>
      </c>
      <c r="AF117" s="7">
        <v>8500</v>
      </c>
      <c r="AG117" s="2">
        <f t="shared" si="47"/>
        <v>0.90761772449065148</v>
      </c>
      <c r="AJ117" s="7"/>
      <c r="AK117" s="2">
        <f t="shared" si="50"/>
        <v>3.9426523297491038</v>
      </c>
      <c r="AL117" s="2">
        <f t="shared" si="33"/>
        <v>14.336917562724015</v>
      </c>
      <c r="AM117" s="2">
        <f t="shared" si="34"/>
        <v>15.232974910394265</v>
      </c>
    </row>
    <row r="118" spans="1:39" x14ac:dyDescent="0.25">
      <c r="A118" s="22">
        <v>2539</v>
      </c>
      <c r="B118" s="7" t="s">
        <v>36</v>
      </c>
      <c r="C118" s="7">
        <v>26.5</v>
      </c>
      <c r="D118" s="32">
        <v>45953</v>
      </c>
      <c r="E118" s="13">
        <v>45992</v>
      </c>
      <c r="F118" s="7">
        <v>681</v>
      </c>
      <c r="G118" s="7">
        <v>4698</v>
      </c>
      <c r="H118" s="2">
        <f t="shared" si="39"/>
        <v>6.8986784140969162</v>
      </c>
      <c r="I118" s="7">
        <v>140</v>
      </c>
      <c r="J118" s="1">
        <f t="shared" si="40"/>
        <v>541</v>
      </c>
      <c r="K118" s="8">
        <v>533</v>
      </c>
      <c r="L118" s="2">
        <f t="shared" si="41"/>
        <v>35.673545966228893</v>
      </c>
      <c r="M118" s="7">
        <v>20414</v>
      </c>
      <c r="N118" s="7">
        <v>17700</v>
      </c>
      <c r="O118" s="20">
        <v>1.37E-2</v>
      </c>
      <c r="P118" s="8">
        <v>15803</v>
      </c>
      <c r="Q118" s="18">
        <v>6.11</v>
      </c>
      <c r="R118" s="18">
        <v>28.05</v>
      </c>
      <c r="S118" s="2">
        <f t="shared" si="42"/>
        <v>62.173545966228893</v>
      </c>
      <c r="T118" s="2">
        <f t="shared" si="49"/>
        <v>21.151321585903084</v>
      </c>
      <c r="U118" s="11">
        <f t="shared" si="48"/>
        <v>543.98941902615854</v>
      </c>
      <c r="V118" s="2">
        <f t="shared" si="45"/>
        <v>1.5938766321476812</v>
      </c>
      <c r="W118" s="7">
        <v>10269.2166</v>
      </c>
      <c r="X118" s="7">
        <v>35</v>
      </c>
      <c r="Y118" s="7">
        <v>17593.099999999999</v>
      </c>
      <c r="Z118" s="2">
        <f t="shared" si="46"/>
        <v>33.007692307692302</v>
      </c>
      <c r="AA118" s="7"/>
      <c r="AB118" s="7"/>
      <c r="AC118" s="7"/>
      <c r="AD118" s="7">
        <v>2200</v>
      </c>
      <c r="AE118" s="7">
        <v>7000</v>
      </c>
      <c r="AF118" s="7">
        <v>8500</v>
      </c>
      <c r="AG118" s="2">
        <f t="shared" si="47"/>
        <v>0.92473809995497525</v>
      </c>
      <c r="AJ118" s="7"/>
      <c r="AK118" s="2">
        <f t="shared" si="50"/>
        <v>4.066543438077634</v>
      </c>
      <c r="AL118" s="2">
        <f t="shared" si="33"/>
        <v>12.939001848428836</v>
      </c>
      <c r="AM118" s="2">
        <f t="shared" si="34"/>
        <v>15.711645101663587</v>
      </c>
    </row>
    <row r="119" spans="1:39" x14ac:dyDescent="0.25">
      <c r="A119" s="22">
        <v>2540</v>
      </c>
      <c r="B119" s="7" t="s">
        <v>37</v>
      </c>
      <c r="C119" s="7">
        <v>27.3</v>
      </c>
      <c r="D119" s="32">
        <v>45960</v>
      </c>
      <c r="E119" s="13">
        <v>45999</v>
      </c>
      <c r="F119" s="7">
        <v>681</v>
      </c>
      <c r="G119" s="7">
        <v>4558</v>
      </c>
      <c r="H119" s="2">
        <f t="shared" si="39"/>
        <v>6.6930983847283407</v>
      </c>
      <c r="I119" s="7">
        <v>140</v>
      </c>
      <c r="J119" s="1">
        <f t="shared" si="40"/>
        <v>541</v>
      </c>
      <c r="K119" s="8">
        <v>538</v>
      </c>
      <c r="L119" s="2">
        <f t="shared" si="41"/>
        <v>35.563197026022301</v>
      </c>
      <c r="M119" s="7">
        <v>20533</v>
      </c>
      <c r="N119" s="7">
        <v>17000</v>
      </c>
      <c r="O119" s="20">
        <v>5.4999999999999997E-3</v>
      </c>
      <c r="P119" s="8">
        <v>15445</v>
      </c>
      <c r="Q119" s="18">
        <v>5.83</v>
      </c>
      <c r="R119" s="18">
        <v>27.19</v>
      </c>
      <c r="S119" s="2">
        <f t="shared" si="42"/>
        <v>62.863197026022306</v>
      </c>
      <c r="T119" s="2">
        <f t="shared" si="49"/>
        <v>20.496901615271661</v>
      </c>
      <c r="U119" s="11">
        <f t="shared" si="48"/>
        <v>530.2196464228316</v>
      </c>
      <c r="V119" s="2">
        <f t="shared" si="45"/>
        <v>1.5614953614402498</v>
      </c>
      <c r="W119" s="7">
        <v>10011.116599999999</v>
      </c>
      <c r="X119" s="7">
        <v>35</v>
      </c>
      <c r="Y119" s="7">
        <v>16917.919999999998</v>
      </c>
      <c r="Z119" s="2">
        <f t="shared" si="46"/>
        <v>31.445947955390331</v>
      </c>
      <c r="AA119" s="7"/>
      <c r="AB119" s="7"/>
      <c r="AC119" s="7"/>
      <c r="AD119" s="7">
        <v>2200</v>
      </c>
      <c r="AE119" s="7">
        <v>8000</v>
      </c>
      <c r="AF119" s="7">
        <v>6800</v>
      </c>
      <c r="AG119" s="2">
        <f t="shared" si="47"/>
        <v>0.91954777257279319</v>
      </c>
      <c r="AJ119" s="7"/>
      <c r="AK119" s="2">
        <f t="shared" si="50"/>
        <v>4.066543438077634</v>
      </c>
      <c r="AL119" s="2">
        <f t="shared" si="33"/>
        <v>14.78743068391867</v>
      </c>
      <c r="AM119" s="2">
        <f t="shared" si="34"/>
        <v>12.569316081330868</v>
      </c>
    </row>
    <row r="120" spans="1:39" x14ac:dyDescent="0.25">
      <c r="A120" s="22">
        <v>2541</v>
      </c>
      <c r="B120" s="7" t="s">
        <v>38</v>
      </c>
      <c r="C120" s="7">
        <v>26.8</v>
      </c>
      <c r="D120" s="32">
        <v>45967</v>
      </c>
      <c r="E120" s="13">
        <v>46006</v>
      </c>
      <c r="F120" s="7">
        <v>653</v>
      </c>
      <c r="G120" s="7">
        <v>4458</v>
      </c>
      <c r="H120" s="2">
        <f t="shared" si="39"/>
        <v>6.8269525267993876</v>
      </c>
      <c r="I120" s="7">
        <v>50</v>
      </c>
      <c r="J120" s="1">
        <f t="shared" si="40"/>
        <v>603</v>
      </c>
      <c r="K120" s="8">
        <v>596</v>
      </c>
      <c r="L120" s="2">
        <f t="shared" si="41"/>
        <v>37.359060402684563</v>
      </c>
      <c r="M120" s="7">
        <v>22766</v>
      </c>
      <c r="N120" s="7">
        <v>19400</v>
      </c>
      <c r="O120" s="20">
        <v>1.14E-2</v>
      </c>
      <c r="P120" s="8">
        <v>16202</v>
      </c>
      <c r="Q120" s="18">
        <v>6.54</v>
      </c>
      <c r="R120" s="18">
        <v>26.64</v>
      </c>
      <c r="S120" s="2">
        <f t="shared" si="42"/>
        <v>64.15906040268456</v>
      </c>
      <c r="T120" s="2">
        <f t="shared" si="49"/>
        <v>19.813047473200612</v>
      </c>
      <c r="U120" s="11">
        <f t="shared" si="48"/>
        <v>515.85697970657998</v>
      </c>
      <c r="V120" s="2">
        <f t="shared" si="45"/>
        <v>1.651907356948229</v>
      </c>
      <c r="W120" s="7">
        <v>11372.2</v>
      </c>
      <c r="X120" s="7">
        <v>12.5</v>
      </c>
      <c r="Y120" s="7">
        <v>19333.88</v>
      </c>
      <c r="Z120" s="2">
        <f t="shared" si="46"/>
        <v>32.439395973154362</v>
      </c>
      <c r="AA120" s="7"/>
      <c r="AB120" s="7"/>
      <c r="AC120" s="7"/>
      <c r="AD120" s="7">
        <v>2400</v>
      </c>
      <c r="AE120" s="7">
        <v>8000</v>
      </c>
      <c r="AF120" s="7">
        <v>9000</v>
      </c>
      <c r="AG120" s="2">
        <f t="shared" si="47"/>
        <v>0.96834128065395098</v>
      </c>
      <c r="AJ120" s="7"/>
      <c r="AK120" s="2">
        <f t="shared" si="50"/>
        <v>3.9800995024875623</v>
      </c>
      <c r="AL120" s="2">
        <f t="shared" si="33"/>
        <v>13.266998341625207</v>
      </c>
      <c r="AM120" s="2">
        <f t="shared" si="34"/>
        <v>14.925373134328359</v>
      </c>
    </row>
    <row r="121" spans="1:39" x14ac:dyDescent="0.25">
      <c r="A121" s="22">
        <v>2542</v>
      </c>
      <c r="B121" s="7" t="s">
        <v>39</v>
      </c>
      <c r="C121" s="7">
        <v>27.5</v>
      </c>
      <c r="D121" s="32">
        <v>45974</v>
      </c>
      <c r="E121" s="13">
        <v>46013</v>
      </c>
      <c r="F121" s="7">
        <v>650</v>
      </c>
      <c r="G121" s="7">
        <v>4371</v>
      </c>
      <c r="H121" s="2">
        <f t="shared" si="39"/>
        <v>6.7246153846153849</v>
      </c>
      <c r="I121" s="7">
        <v>65</v>
      </c>
      <c r="J121" s="1">
        <f t="shared" si="40"/>
        <v>585</v>
      </c>
      <c r="K121" s="8">
        <v>576</v>
      </c>
      <c r="L121" s="2">
        <f t="shared" si="41"/>
        <v>37.060763888888886</v>
      </c>
      <c r="M121" s="7">
        <v>21997</v>
      </c>
      <c r="N121" s="7">
        <v>17850</v>
      </c>
      <c r="O121" s="20">
        <v>1.44E-2</v>
      </c>
      <c r="P121" s="8">
        <v>15374</v>
      </c>
      <c r="Q121" s="18">
        <v>6.17</v>
      </c>
      <c r="R121" s="18">
        <v>25.99</v>
      </c>
      <c r="S121" s="2">
        <f t="shared" si="42"/>
        <v>64.560763888888886</v>
      </c>
      <c r="T121" s="2">
        <f t="shared" si="49"/>
        <v>19.265384615384612</v>
      </c>
      <c r="U121" s="11">
        <f t="shared" si="48"/>
        <v>500.20457335091152</v>
      </c>
      <c r="V121" s="2">
        <f t="shared" si="45"/>
        <v>1.6222848314096157</v>
      </c>
      <c r="W121" s="7">
        <v>10630.05</v>
      </c>
      <c r="X121" s="7">
        <v>16.25</v>
      </c>
      <c r="Y121" s="7">
        <v>17788.25</v>
      </c>
      <c r="Z121" s="2">
        <f t="shared" si="46"/>
        <v>30.882378472222221</v>
      </c>
      <c r="AA121" s="7"/>
      <c r="AB121" s="7"/>
      <c r="AC121" s="7"/>
      <c r="AD121" s="7">
        <v>2350</v>
      </c>
      <c r="AE121" s="7">
        <v>8000</v>
      </c>
      <c r="AF121" s="7">
        <v>7500</v>
      </c>
      <c r="AG121" s="2">
        <f t="shared" si="47"/>
        <v>0.96610469871853122</v>
      </c>
      <c r="AJ121" s="7"/>
      <c r="AK121" s="2">
        <f t="shared" si="50"/>
        <v>4.017094017094017</v>
      </c>
      <c r="AL121" s="2">
        <f t="shared" si="33"/>
        <v>13.675213675213675</v>
      </c>
      <c r="AM121" s="2">
        <f t="shared" si="34"/>
        <v>12.820512820512821</v>
      </c>
    </row>
    <row r="122" spans="1:39" x14ac:dyDescent="0.25">
      <c r="A122" s="22">
        <v>2543</v>
      </c>
      <c r="B122" s="7" t="s">
        <v>40</v>
      </c>
      <c r="C122" s="7">
        <v>26.5</v>
      </c>
      <c r="D122" s="32">
        <v>45981</v>
      </c>
      <c r="E122" s="13">
        <v>46020</v>
      </c>
      <c r="F122" s="7">
        <v>664</v>
      </c>
      <c r="G122" s="7">
        <v>4250</v>
      </c>
      <c r="H122" s="2">
        <f t="shared" si="39"/>
        <v>6.4006024096385543</v>
      </c>
      <c r="I122" s="7">
        <v>40</v>
      </c>
      <c r="J122" s="1">
        <f t="shared" si="40"/>
        <v>624</v>
      </c>
      <c r="K122" s="8">
        <v>599</v>
      </c>
      <c r="L122" s="2">
        <f t="shared" ref="L122:L155" si="51">((M122)-(I122*10))/K122</f>
        <v>38.606010016694491</v>
      </c>
      <c r="M122" s="7">
        <v>23525</v>
      </c>
      <c r="N122" s="7">
        <v>18500</v>
      </c>
      <c r="O122" s="20">
        <v>1.9099999999999999E-2</v>
      </c>
      <c r="P122" s="8">
        <v>15466</v>
      </c>
      <c r="Q122" s="18">
        <v>5.78</v>
      </c>
      <c r="R122" s="18">
        <v>24.89</v>
      </c>
      <c r="S122" s="2">
        <f t="shared" si="42"/>
        <v>65.106010016694484</v>
      </c>
      <c r="T122" s="2">
        <f t="shared" si="49"/>
        <v>18.489397590361445</v>
      </c>
      <c r="U122" s="11">
        <f t="shared" si="48"/>
        <v>476.769394261424</v>
      </c>
      <c r="V122" s="2">
        <f t="shared" si="45"/>
        <v>1.6494293865905849</v>
      </c>
      <c r="W122" s="7">
        <v>11105.5</v>
      </c>
      <c r="X122" s="7">
        <v>10</v>
      </c>
      <c r="Y122" s="7">
        <v>18357.72</v>
      </c>
      <c r="Z122" s="2">
        <f t="shared" si="46"/>
        <v>30.647278797996663</v>
      </c>
      <c r="AA122" s="7"/>
      <c r="AB122" s="7"/>
      <c r="AC122" s="7"/>
      <c r="AD122" s="7">
        <v>2500</v>
      </c>
      <c r="AE122" s="7">
        <v>8000</v>
      </c>
      <c r="AF122" s="7">
        <v>8000</v>
      </c>
      <c r="AG122" s="2">
        <f t="shared" si="47"/>
        <v>0.99014800285306703</v>
      </c>
      <c r="AJ122" s="7" t="s">
        <v>112</v>
      </c>
      <c r="AK122" s="2">
        <f t="shared" si="50"/>
        <v>4.0064102564102564</v>
      </c>
      <c r="AL122" s="2">
        <f t="shared" si="33"/>
        <v>12.820512820512821</v>
      </c>
      <c r="AM122" s="2">
        <f t="shared" si="34"/>
        <v>12.820512820512821</v>
      </c>
    </row>
    <row r="123" spans="1:39" x14ac:dyDescent="0.25">
      <c r="A123" s="22">
        <v>2544</v>
      </c>
      <c r="B123" s="7" t="s">
        <v>35</v>
      </c>
      <c r="C123" s="7">
        <v>26.8</v>
      </c>
      <c r="D123" s="32">
        <v>45988</v>
      </c>
      <c r="E123" s="13">
        <v>46027</v>
      </c>
      <c r="F123" s="7">
        <v>648</v>
      </c>
      <c r="G123" s="7">
        <v>4464</v>
      </c>
      <c r="H123" s="2">
        <f t="shared" si="39"/>
        <v>6.8888888888888893</v>
      </c>
      <c r="I123" s="7">
        <v>80</v>
      </c>
      <c r="J123" s="1">
        <f t="shared" si="40"/>
        <v>568</v>
      </c>
      <c r="K123" s="8">
        <v>546</v>
      </c>
      <c r="L123" s="2">
        <f t="shared" si="51"/>
        <v>37.721611721611723</v>
      </c>
      <c r="M123" s="7">
        <v>21396</v>
      </c>
      <c r="N123" s="7">
        <v>17672</v>
      </c>
      <c r="O123" s="20">
        <v>1.55E-2</v>
      </c>
      <c r="P123" s="8">
        <v>15941</v>
      </c>
      <c r="Q123" s="18">
        <v>6.08</v>
      </c>
      <c r="R123" s="18">
        <v>27.65</v>
      </c>
      <c r="S123" s="2">
        <f t="shared" si="42"/>
        <v>64.52161172161172</v>
      </c>
      <c r="T123" s="2">
        <f t="shared" si="49"/>
        <v>20.761111111111109</v>
      </c>
      <c r="U123" s="11">
        <f t="shared" si="48"/>
        <v>536.40867451860163</v>
      </c>
      <c r="V123" s="2">
        <f t="shared" si="45"/>
        <v>1.5397752025790712</v>
      </c>
      <c r="W123" s="7">
        <v>10617.565999999999</v>
      </c>
      <c r="X123" s="7">
        <v>20</v>
      </c>
      <c r="Y123" s="7">
        <v>17581.34</v>
      </c>
      <c r="Z123" s="2">
        <f t="shared" si="46"/>
        <v>32.200256410256408</v>
      </c>
      <c r="AA123" s="7"/>
      <c r="AB123" s="7"/>
      <c r="AC123" s="7"/>
      <c r="AD123" s="7">
        <v>2702</v>
      </c>
      <c r="AE123" s="7">
        <v>7000</v>
      </c>
      <c r="AF123" s="7">
        <v>7970</v>
      </c>
      <c r="AG123" s="2">
        <f t="shared" si="47"/>
        <v>0.92511684238041292</v>
      </c>
      <c r="AJ123" s="7"/>
      <c r="AK123" s="2">
        <f t="shared" si="50"/>
        <v>4.757042253521127</v>
      </c>
      <c r="AL123" s="2">
        <f t="shared" si="33"/>
        <v>12.32394366197183</v>
      </c>
      <c r="AM123" s="2">
        <f t="shared" si="34"/>
        <v>14.03169014084507</v>
      </c>
    </row>
    <row r="124" spans="1:39" x14ac:dyDescent="0.25">
      <c r="A124" s="22">
        <v>2545</v>
      </c>
      <c r="B124" s="7" t="s">
        <v>36</v>
      </c>
      <c r="C124" s="7">
        <v>26.9</v>
      </c>
      <c r="D124" s="32">
        <v>45995</v>
      </c>
      <c r="E124" s="13">
        <v>46034</v>
      </c>
      <c r="F124" s="7">
        <v>607</v>
      </c>
      <c r="G124" s="7">
        <v>4243</v>
      </c>
      <c r="H124" s="2">
        <f t="shared" si="39"/>
        <v>6.990115321252059</v>
      </c>
      <c r="I124" s="7">
        <v>70</v>
      </c>
      <c r="J124" s="1">
        <f t="shared" si="40"/>
        <v>537</v>
      </c>
      <c r="K124" s="8">
        <v>525</v>
      </c>
      <c r="L124" s="2">
        <f t="shared" si="51"/>
        <v>36.874285714285712</v>
      </c>
      <c r="M124" s="7">
        <v>20059</v>
      </c>
      <c r="N124" s="7">
        <v>16198</v>
      </c>
      <c r="O124" s="20">
        <v>2.12E-2</v>
      </c>
      <c r="P124" s="8">
        <v>14830</v>
      </c>
      <c r="Q124" s="18">
        <v>6.16</v>
      </c>
      <c r="R124" s="18">
        <v>27.43</v>
      </c>
      <c r="S124" s="2">
        <f t="shared" si="42"/>
        <v>63.77428571428571</v>
      </c>
      <c r="T124" s="2">
        <f t="shared" si="49"/>
        <v>20.439884678747941</v>
      </c>
      <c r="U124" s="11">
        <f t="shared" si="48"/>
        <v>527.79301061867488</v>
      </c>
      <c r="V124" s="2">
        <f t="shared" si="45"/>
        <v>1.5299896098989327</v>
      </c>
      <c r="W124" s="7">
        <v>9847.344000000001</v>
      </c>
      <c r="X124" s="7">
        <v>17.5</v>
      </c>
      <c r="Y124" s="7">
        <v>16138.3</v>
      </c>
      <c r="Z124" s="2">
        <f t="shared" si="46"/>
        <v>30.739619047619048</v>
      </c>
      <c r="AA124" s="7"/>
      <c r="AB124" s="7"/>
      <c r="AC124" s="7"/>
      <c r="AD124" s="7">
        <v>2668</v>
      </c>
      <c r="AE124" s="7">
        <v>7000</v>
      </c>
      <c r="AF124" s="7">
        <v>6530</v>
      </c>
      <c r="AG124" s="2">
        <f t="shared" si="47"/>
        <v>0.93013544913573254</v>
      </c>
      <c r="AJ124" s="7" t="s">
        <v>110</v>
      </c>
      <c r="AK124" s="2">
        <f t="shared" si="50"/>
        <v>4.9683426443202983</v>
      </c>
      <c r="AL124" s="2">
        <f t="shared" si="33"/>
        <v>13.035381750465548</v>
      </c>
      <c r="AM124" s="2">
        <f t="shared" si="34"/>
        <v>12.160148975791435</v>
      </c>
    </row>
    <row r="125" spans="1:39" x14ac:dyDescent="0.25">
      <c r="A125" s="22">
        <v>2546</v>
      </c>
      <c r="B125" s="7" t="s">
        <v>37</v>
      </c>
      <c r="C125" s="7">
        <v>27.1</v>
      </c>
      <c r="D125" s="32">
        <v>46002</v>
      </c>
      <c r="E125" s="13">
        <v>46041</v>
      </c>
      <c r="F125" s="7">
        <v>649</v>
      </c>
      <c r="G125" s="7">
        <v>4221</v>
      </c>
      <c r="H125" s="2">
        <f t="shared" si="39"/>
        <v>6.5038520801232664</v>
      </c>
      <c r="I125" s="7">
        <v>120</v>
      </c>
      <c r="J125" s="1">
        <f t="shared" ref="J125:J155" si="52">F125-I125</f>
        <v>529</v>
      </c>
      <c r="K125" s="8">
        <v>519</v>
      </c>
      <c r="L125" s="2">
        <f t="shared" si="51"/>
        <v>43.942196531791907</v>
      </c>
      <c r="M125" s="7">
        <v>24006</v>
      </c>
      <c r="N125" s="7">
        <v>18998</v>
      </c>
      <c r="O125" s="20">
        <v>1.54E-2</v>
      </c>
      <c r="P125" s="8">
        <v>16459</v>
      </c>
      <c r="Q125" s="18">
        <v>20.95</v>
      </c>
      <c r="R125" s="18">
        <v>26.9</v>
      </c>
      <c r="S125" s="2">
        <f t="shared" si="42"/>
        <v>71.042196531791916</v>
      </c>
      <c r="T125" s="2">
        <f t="shared" si="49"/>
        <v>20.396147919876732</v>
      </c>
      <c r="U125" s="11">
        <f t="shared" si="48"/>
        <v>509.78921936182621</v>
      </c>
      <c r="V125" s="2">
        <f t="shared" si="45"/>
        <v>1.5523778395162608</v>
      </c>
      <c r="W125" s="7">
        <v>11614.18</v>
      </c>
      <c r="X125" s="7"/>
      <c r="Y125" s="7">
        <v>18910</v>
      </c>
      <c r="Z125" s="2">
        <f t="shared" si="46"/>
        <v>36.435452793834294</v>
      </c>
      <c r="AA125" s="7"/>
      <c r="AB125" s="7"/>
      <c r="AC125" s="7"/>
      <c r="AD125" s="7">
        <v>2904</v>
      </c>
      <c r="AE125" s="7">
        <v>8500</v>
      </c>
      <c r="AF125" s="7">
        <v>7594</v>
      </c>
      <c r="AG125" s="2">
        <f t="shared" si="47"/>
        <v>0.9490259846380128</v>
      </c>
      <c r="AJ125" s="7"/>
      <c r="AK125" s="2">
        <f t="shared" si="50"/>
        <v>5.4896030245746692</v>
      </c>
      <c r="AL125" s="2">
        <f t="shared" si="33"/>
        <v>16.068052930056712</v>
      </c>
      <c r="AM125" s="2">
        <f t="shared" si="34"/>
        <v>14.35538752362949</v>
      </c>
    </row>
    <row r="126" spans="1:39" x14ac:dyDescent="0.25">
      <c r="A126" s="22">
        <v>2547</v>
      </c>
      <c r="B126" s="7" t="s">
        <v>38</v>
      </c>
      <c r="C126" s="7">
        <v>26.5</v>
      </c>
      <c r="D126" s="32">
        <v>46009</v>
      </c>
      <c r="E126" s="13">
        <v>46048</v>
      </c>
      <c r="F126" s="7">
        <v>616</v>
      </c>
      <c r="G126" s="7">
        <v>4016</v>
      </c>
      <c r="H126" s="2">
        <f t="shared" si="39"/>
        <v>6.5194805194805197</v>
      </c>
      <c r="I126" s="7">
        <v>90</v>
      </c>
      <c r="J126" s="1">
        <f t="shared" si="52"/>
        <v>526</v>
      </c>
      <c r="K126" s="8">
        <v>510</v>
      </c>
      <c r="L126" s="2">
        <f t="shared" si="51"/>
        <v>42.609803921568627</v>
      </c>
      <c r="M126" s="7">
        <v>22631</v>
      </c>
      <c r="N126" s="7">
        <v>18962</v>
      </c>
      <c r="O126" s="20">
        <v>2.8400000000000002E-2</v>
      </c>
      <c r="P126" s="8">
        <v>15976.5</v>
      </c>
      <c r="Q126" s="18">
        <v>22.5</v>
      </c>
      <c r="R126" s="18">
        <v>27.25</v>
      </c>
      <c r="S126" s="2">
        <f t="shared" si="42"/>
        <v>69.109803921568627</v>
      </c>
      <c r="T126" s="2">
        <f t="shared" si="49"/>
        <v>20.730519480519479</v>
      </c>
      <c r="U126" s="11">
        <f t="shared" si="48"/>
        <v>528.50072908841855</v>
      </c>
      <c r="V126" s="2">
        <f t="shared" si="45"/>
        <v>1.5853852263701351</v>
      </c>
      <c r="W126" s="7">
        <v>11460.88</v>
      </c>
      <c r="X126" s="7"/>
      <c r="Y126" s="7">
        <v>18885.900000000001</v>
      </c>
      <c r="Z126" s="2">
        <f t="shared" si="46"/>
        <v>37.031176470588235</v>
      </c>
      <c r="AA126" s="7"/>
      <c r="AB126" s="7"/>
      <c r="AC126" s="7"/>
      <c r="AD126" s="7">
        <v>2756</v>
      </c>
      <c r="AE126" s="7">
        <v>8000</v>
      </c>
      <c r="AF126" s="7">
        <v>8206</v>
      </c>
      <c r="AG126" s="2">
        <f>W126/(P126-G126)</f>
        <v>0.9582274988503825</v>
      </c>
      <c r="AJ126" s="7" t="s">
        <v>111</v>
      </c>
      <c r="AK126" s="2">
        <f t="shared" si="50"/>
        <v>5.2395437262357412</v>
      </c>
      <c r="AL126" s="2">
        <f t="shared" si="33"/>
        <v>15.209125475285171</v>
      </c>
      <c r="AM126" s="2">
        <f t="shared" si="34"/>
        <v>15.600760456273765</v>
      </c>
    </row>
    <row r="127" spans="1:39" x14ac:dyDescent="0.25">
      <c r="A127" s="22">
        <v>2548</v>
      </c>
      <c r="B127" s="7" t="s">
        <v>39</v>
      </c>
      <c r="C127" s="7">
        <v>26.3</v>
      </c>
      <c r="D127" s="32">
        <v>46016</v>
      </c>
      <c r="E127" s="13">
        <v>46055</v>
      </c>
      <c r="F127" s="7">
        <v>639</v>
      </c>
      <c r="G127" s="7">
        <v>3940</v>
      </c>
      <c r="H127" s="2">
        <f t="shared" si="39"/>
        <v>6.1658841940532083</v>
      </c>
      <c r="I127" s="7">
        <v>90</v>
      </c>
      <c r="J127" s="1">
        <f t="shared" si="52"/>
        <v>549</v>
      </c>
      <c r="K127" s="8">
        <v>544</v>
      </c>
      <c r="L127" s="2">
        <f t="shared" si="51"/>
        <v>42.134191176470587</v>
      </c>
      <c r="M127" s="7">
        <v>23821</v>
      </c>
      <c r="N127" s="7">
        <v>19450</v>
      </c>
      <c r="O127" s="20">
        <v>8.6E-3</v>
      </c>
      <c r="P127" s="8">
        <v>16590</v>
      </c>
      <c r="Q127" s="18">
        <v>22.94</v>
      </c>
      <c r="R127" s="18">
        <v>26.7</v>
      </c>
      <c r="S127" s="2">
        <f t="shared" si="42"/>
        <v>68.434191176470591</v>
      </c>
      <c r="T127" s="2">
        <f t="shared" si="49"/>
        <v>20.53411580594679</v>
      </c>
      <c r="U127" s="11">
        <f t="shared" si="48"/>
        <v>531.04403677427479</v>
      </c>
      <c r="V127" s="2">
        <f t="shared" si="45"/>
        <v>1.5375494071146245</v>
      </c>
      <c r="W127" s="7">
        <v>11757.599999999999</v>
      </c>
      <c r="X127" s="7"/>
      <c r="Y127" s="7">
        <v>19407.099999999999</v>
      </c>
      <c r="Z127" s="2">
        <f t="shared" si="46"/>
        <v>35.674816176470586</v>
      </c>
      <c r="AA127" s="7"/>
      <c r="AB127" s="7"/>
      <c r="AC127" s="7"/>
      <c r="AD127" s="7">
        <v>2900</v>
      </c>
      <c r="AE127" s="7">
        <v>8550</v>
      </c>
      <c r="AF127" s="7">
        <v>8000</v>
      </c>
      <c r="AG127" s="2">
        <f>W127/(P127-G127)</f>
        <v>0.92945454545454531</v>
      </c>
      <c r="AJ127" s="7"/>
      <c r="AK127" s="2">
        <f t="shared" si="50"/>
        <v>5.2823315118397085</v>
      </c>
      <c r="AL127" s="2">
        <f t="shared" si="33"/>
        <v>15.573770491803279</v>
      </c>
      <c r="AM127" s="2">
        <f t="shared" si="34"/>
        <v>14.571948998178506</v>
      </c>
    </row>
    <row r="128" spans="1:39" x14ac:dyDescent="0.25">
      <c r="A128" s="22">
        <v>2549</v>
      </c>
      <c r="B128" s="7" t="s">
        <v>40</v>
      </c>
      <c r="C128" s="7">
        <v>27</v>
      </c>
      <c r="D128" s="32">
        <v>46023</v>
      </c>
      <c r="E128" s="13">
        <v>46062</v>
      </c>
      <c r="F128" s="7">
        <v>661</v>
      </c>
      <c r="G128" s="7">
        <v>4094</v>
      </c>
      <c r="H128" s="2">
        <f t="shared" si="39"/>
        <v>6.1936459909228443</v>
      </c>
      <c r="I128" s="7">
        <v>120</v>
      </c>
      <c r="J128" s="1">
        <f t="shared" si="52"/>
        <v>541</v>
      </c>
      <c r="K128" s="8">
        <v>534</v>
      </c>
      <c r="L128" s="2">
        <f t="shared" si="51"/>
        <v>43.537453183520597</v>
      </c>
      <c r="M128" s="7">
        <v>24449</v>
      </c>
      <c r="N128" s="7">
        <v>19900</v>
      </c>
      <c r="O128" s="33">
        <v>1.2E-2</v>
      </c>
      <c r="P128" s="8">
        <v>17080</v>
      </c>
      <c r="Q128" s="18">
        <v>21.43</v>
      </c>
      <c r="R128" s="18">
        <v>27.17</v>
      </c>
      <c r="S128" s="2">
        <f t="shared" si="42"/>
        <v>70.537453183520597</v>
      </c>
      <c r="T128" s="2">
        <f t="shared" si="49"/>
        <v>20.976354009077156</v>
      </c>
      <c r="U128" s="11">
        <f t="shared" si="48"/>
        <v>531.14646815820686</v>
      </c>
      <c r="V128" s="2">
        <f t="shared" si="45"/>
        <v>1.5324195287232405</v>
      </c>
      <c r="W128" s="7">
        <v>11868.1</v>
      </c>
      <c r="X128" s="7"/>
      <c r="Y128" s="7">
        <v>19864.16</v>
      </c>
      <c r="Z128" s="2">
        <f t="shared" si="46"/>
        <v>37.198801498127338</v>
      </c>
      <c r="AA128" s="7"/>
      <c r="AB128" s="7"/>
      <c r="AC128" s="7"/>
      <c r="AD128" s="7">
        <v>2900</v>
      </c>
      <c r="AE128" s="7">
        <v>8500</v>
      </c>
      <c r="AF128" s="7">
        <v>8500</v>
      </c>
      <c r="AG128" s="2">
        <f t="shared" si="47"/>
        <v>0.91391498536885885</v>
      </c>
      <c r="AJ128" s="7"/>
      <c r="AK128" s="2">
        <f t="shared" si="50"/>
        <v>5.3604436229205179</v>
      </c>
      <c r="AL128" s="2">
        <f t="shared" si="33"/>
        <v>15.711645101663587</v>
      </c>
      <c r="AM128" s="2">
        <f t="shared" si="34"/>
        <v>15.711645101663587</v>
      </c>
    </row>
    <row r="129" spans="1:39" x14ac:dyDescent="0.25">
      <c r="A129" s="22">
        <v>2550</v>
      </c>
      <c r="B129" s="7" t="s">
        <v>35</v>
      </c>
      <c r="C129" s="7">
        <v>27.8</v>
      </c>
      <c r="D129" s="32">
        <v>46030</v>
      </c>
      <c r="E129" s="13">
        <v>46069</v>
      </c>
      <c r="F129" s="7">
        <v>680</v>
      </c>
      <c r="G129" s="7">
        <v>4377</v>
      </c>
      <c r="H129" s="2">
        <f t="shared" si="39"/>
        <v>6.4367647058823527</v>
      </c>
      <c r="I129" s="7">
        <v>125</v>
      </c>
      <c r="J129" s="1">
        <f t="shared" si="52"/>
        <v>555</v>
      </c>
      <c r="K129" s="8">
        <v>546</v>
      </c>
      <c r="L129" s="2">
        <f t="shared" si="51"/>
        <v>44.047619047619051</v>
      </c>
      <c r="M129" s="7">
        <v>25300</v>
      </c>
      <c r="N129" s="7">
        <v>20050</v>
      </c>
      <c r="O129" s="33">
        <v>1.3299999999999999E-2</v>
      </c>
      <c r="P129" s="8">
        <v>17237</v>
      </c>
      <c r="Q129" s="18">
        <v>21.88</v>
      </c>
      <c r="R129" s="18">
        <v>26.63</v>
      </c>
      <c r="S129" s="2">
        <f t="shared" si="42"/>
        <v>71.847619047619048</v>
      </c>
      <c r="T129" s="2">
        <f t="shared" si="49"/>
        <v>20.193235294117645</v>
      </c>
      <c r="U129" s="11">
        <f t="shared" si="48"/>
        <v>508.30039525691694</v>
      </c>
      <c r="V129" s="2">
        <f t="shared" si="45"/>
        <v>1.5590979782270606</v>
      </c>
      <c r="W129" s="7">
        <v>12030.2</v>
      </c>
      <c r="X129" s="7"/>
      <c r="Y129" s="7">
        <v>19968.12</v>
      </c>
      <c r="Z129" s="2">
        <v>29.758748137108793</v>
      </c>
      <c r="AA129" s="7"/>
      <c r="AB129" s="7"/>
      <c r="AC129" s="7"/>
      <c r="AD129" s="7">
        <v>3050</v>
      </c>
      <c r="AE129" s="7">
        <v>9000</v>
      </c>
      <c r="AF129" s="7">
        <v>8000</v>
      </c>
      <c r="AG129" s="2">
        <f t="shared" si="47"/>
        <v>0.93547433903576993</v>
      </c>
      <c r="AJ129" s="7"/>
      <c r="AK129" s="2">
        <f t="shared" si="50"/>
        <v>5.4954954954954953</v>
      </c>
      <c r="AL129" s="2">
        <f t="shared" si="33"/>
        <v>16.216216216216218</v>
      </c>
      <c r="AM129" s="2">
        <f t="shared" si="34"/>
        <v>14.414414414414415</v>
      </c>
    </row>
    <row r="130" spans="1:39" x14ac:dyDescent="0.25">
      <c r="A130" s="22">
        <v>2551</v>
      </c>
      <c r="B130" s="7" t="s">
        <v>36</v>
      </c>
      <c r="C130" s="7">
        <v>27.4</v>
      </c>
      <c r="D130" s="32">
        <v>46037</v>
      </c>
      <c r="E130" s="13">
        <v>46076</v>
      </c>
      <c r="F130" s="7">
        <v>708</v>
      </c>
      <c r="G130" s="7">
        <v>4278</v>
      </c>
      <c r="H130" s="2">
        <f t="shared" si="39"/>
        <v>6.0423728813559325</v>
      </c>
      <c r="I130" s="7">
        <v>45</v>
      </c>
      <c r="J130" s="1">
        <f t="shared" si="52"/>
        <v>663</v>
      </c>
      <c r="K130" s="8">
        <v>695</v>
      </c>
      <c r="L130" s="2">
        <f t="shared" si="51"/>
        <v>37.505035971223023</v>
      </c>
      <c r="M130" s="7">
        <v>26516</v>
      </c>
      <c r="N130" s="7">
        <v>20750</v>
      </c>
      <c r="O130" s="20">
        <v>1.95E-2</v>
      </c>
      <c r="P130" s="8">
        <v>17405</v>
      </c>
      <c r="Q130" s="18">
        <v>17.78</v>
      </c>
      <c r="R130" s="18">
        <v>25.55</v>
      </c>
      <c r="S130" s="2">
        <f t="shared" si="42"/>
        <v>64.905035971223015</v>
      </c>
      <c r="T130" s="2">
        <f t="shared" si="49"/>
        <v>19.507627118644066</v>
      </c>
      <c r="U130" s="11">
        <f t="shared" si="48"/>
        <v>495.05958666465534</v>
      </c>
      <c r="V130" s="2">
        <f t="shared" si="45"/>
        <v>1.580711510626952</v>
      </c>
      <c r="W130" s="7">
        <v>12470.5</v>
      </c>
      <c r="X130" s="7"/>
      <c r="Y130" s="7">
        <v>20610.82</v>
      </c>
      <c r="Z130" s="2">
        <v>31.708953846153847</v>
      </c>
      <c r="AA130" s="7"/>
      <c r="AB130" s="7"/>
      <c r="AC130" s="7"/>
      <c r="AD130" s="7">
        <v>3250</v>
      </c>
      <c r="AE130" s="7">
        <v>9000</v>
      </c>
      <c r="AF130" s="7">
        <v>8500</v>
      </c>
      <c r="AG130" s="2">
        <f t="shared" si="47"/>
        <v>0.94998857316980267</v>
      </c>
      <c r="AJ130" s="7" t="s">
        <v>113</v>
      </c>
      <c r="AK130" s="2">
        <f t="shared" si="50"/>
        <v>4.9019607843137258</v>
      </c>
      <c r="AL130" s="2">
        <f t="shared" si="33"/>
        <v>13.574660633484163</v>
      </c>
      <c r="AM130" s="2">
        <f t="shared" si="34"/>
        <v>12.820512820512821</v>
      </c>
    </row>
    <row r="131" spans="1:39" x14ac:dyDescent="0.25">
      <c r="A131" s="22">
        <v>2552</v>
      </c>
      <c r="B131" s="7" t="s">
        <v>37</v>
      </c>
      <c r="C131" s="7">
        <v>27.4</v>
      </c>
      <c r="D131" s="32">
        <v>46044</v>
      </c>
      <c r="E131" s="13">
        <v>46083</v>
      </c>
      <c r="F131" s="7">
        <v>702</v>
      </c>
      <c r="G131" s="7">
        <v>4256</v>
      </c>
      <c r="H131" s="2">
        <f t="shared" si="39"/>
        <v>6.0626780626780628</v>
      </c>
      <c r="I131" s="7">
        <v>100</v>
      </c>
      <c r="J131" s="1">
        <f t="shared" si="52"/>
        <v>602</v>
      </c>
      <c r="K131" s="8">
        <v>593</v>
      </c>
      <c r="L131" s="2">
        <f t="shared" si="51"/>
        <v>42.237774030354132</v>
      </c>
      <c r="M131" s="7">
        <v>26047</v>
      </c>
      <c r="N131" s="7">
        <v>20150</v>
      </c>
      <c r="O131" s="20">
        <v>1.41E-2</v>
      </c>
      <c r="P131" s="8">
        <v>17207</v>
      </c>
      <c r="Q131" s="18">
        <v>19.14</v>
      </c>
      <c r="R131" s="18">
        <v>25.79</v>
      </c>
      <c r="S131" s="2">
        <f t="shared" si="42"/>
        <v>69.637774030354137</v>
      </c>
      <c r="T131" s="2">
        <f t="shared" si="49"/>
        <v>19.727321937321936</v>
      </c>
      <c r="U131" s="11">
        <f>((P131-G131)/M131)*1000</f>
        <v>497.21657004645448</v>
      </c>
      <c r="V131" s="2">
        <f t="shared" si="45"/>
        <v>1.5558644120145162</v>
      </c>
      <c r="W131" s="7">
        <v>12183.6</v>
      </c>
      <c r="X131" s="7"/>
      <c r="Y131" s="7">
        <v>20097.400000000001</v>
      </c>
      <c r="Z131" s="2">
        <v>33.891062394603715</v>
      </c>
      <c r="AA131" s="7"/>
      <c r="AB131" s="7"/>
      <c r="AC131" s="7"/>
      <c r="AD131" s="7">
        <v>3150</v>
      </c>
      <c r="AE131" s="7">
        <v>9000</v>
      </c>
      <c r="AF131" s="7">
        <v>8000</v>
      </c>
      <c r="AG131" s="2">
        <f t="shared" si="47"/>
        <v>0.94074588834839012</v>
      </c>
      <c r="AJ131" s="7"/>
      <c r="AK131" s="2">
        <f t="shared" si="50"/>
        <v>5.2325581395348841</v>
      </c>
      <c r="AL131" s="2">
        <f t="shared" si="33"/>
        <v>14.950166112956811</v>
      </c>
      <c r="AM131" s="2">
        <f t="shared" si="34"/>
        <v>13.289036544850498</v>
      </c>
    </row>
    <row r="132" spans="1:39" x14ac:dyDescent="0.25">
      <c r="A132" s="22">
        <v>2601</v>
      </c>
      <c r="B132" s="7" t="s">
        <v>38</v>
      </c>
      <c r="C132" s="7">
        <v>26.3</v>
      </c>
      <c r="D132" s="32">
        <v>46051</v>
      </c>
      <c r="E132" s="13">
        <v>46090</v>
      </c>
      <c r="F132" s="7">
        <v>668</v>
      </c>
      <c r="G132" s="7">
        <v>4244</v>
      </c>
      <c r="H132" s="2">
        <f t="shared" si="39"/>
        <v>6.3532934131736525</v>
      </c>
      <c r="I132" s="7">
        <v>88</v>
      </c>
      <c r="J132" s="1">
        <f t="shared" si="52"/>
        <v>580</v>
      </c>
      <c r="K132" s="8">
        <v>572</v>
      </c>
      <c r="L132" s="2">
        <f t="shared" si="51"/>
        <v>41.965034965034967</v>
      </c>
      <c r="M132" s="7">
        <v>24884</v>
      </c>
      <c r="N132" s="7">
        <v>18950</v>
      </c>
      <c r="O132" s="20">
        <v>1.34E-2</v>
      </c>
      <c r="P132" s="8">
        <v>16500</v>
      </c>
      <c r="Q132" s="18">
        <v>18.5</v>
      </c>
      <c r="R132" s="18">
        <v>26</v>
      </c>
      <c r="S132" s="2">
        <f t="shared" si="42"/>
        <v>68.265034965034971</v>
      </c>
      <c r="T132" s="2">
        <f t="shared" si="49"/>
        <v>19.646706586826348</v>
      </c>
      <c r="U132" s="11">
        <f t="shared" si="48"/>
        <v>492.52531747307506</v>
      </c>
      <c r="V132" s="2">
        <f t="shared" si="45"/>
        <v>1.5461814621409922</v>
      </c>
      <c r="W132" s="7">
        <v>11529.5</v>
      </c>
      <c r="X132" s="7"/>
      <c r="Y132" s="7">
        <v>18879.64</v>
      </c>
      <c r="Z132" s="2">
        <v>33.006363636363638</v>
      </c>
      <c r="AA132" s="7"/>
      <c r="AB132" s="7"/>
      <c r="AC132" s="7"/>
      <c r="AD132" s="7">
        <v>3050</v>
      </c>
      <c r="AE132" s="7">
        <v>9000</v>
      </c>
      <c r="AF132" s="7">
        <v>6900</v>
      </c>
      <c r="AG132" s="2">
        <f t="shared" si="47"/>
        <v>0.94072291122715401</v>
      </c>
      <c r="AJ132" s="7"/>
      <c r="AK132" s="2">
        <f t="shared" si="50"/>
        <v>5.2586206896551726</v>
      </c>
      <c r="AL132" s="2">
        <f t="shared" si="33"/>
        <v>15.517241379310345</v>
      </c>
      <c r="AM132" s="2">
        <f t="shared" si="34"/>
        <v>11.896551724137931</v>
      </c>
    </row>
    <row r="133" spans="1:39" x14ac:dyDescent="0.25">
      <c r="A133" s="22">
        <v>2602</v>
      </c>
      <c r="B133" s="7" t="s">
        <v>39</v>
      </c>
      <c r="C133" s="7">
        <v>26.9</v>
      </c>
      <c r="D133" s="32">
        <v>46058</v>
      </c>
      <c r="E133" s="13">
        <v>46097</v>
      </c>
      <c r="F133" s="7">
        <v>647</v>
      </c>
      <c r="G133" s="7">
        <v>4173</v>
      </c>
      <c r="H133" s="2">
        <f t="shared" si="39"/>
        <v>6.4497681607418853</v>
      </c>
      <c r="I133" s="7">
        <v>60</v>
      </c>
      <c r="J133" s="1">
        <f t="shared" si="52"/>
        <v>587</v>
      </c>
      <c r="K133" s="8">
        <v>580</v>
      </c>
      <c r="L133" s="2">
        <f t="shared" si="51"/>
        <v>40.641379310344824</v>
      </c>
      <c r="M133" s="7">
        <v>24172</v>
      </c>
      <c r="N133" s="7">
        <v>19875</v>
      </c>
      <c r="O133" s="20">
        <v>1.0800000000000001E-2</v>
      </c>
      <c r="P133" s="8">
        <v>17150</v>
      </c>
      <c r="Q133" s="18">
        <v>21.48</v>
      </c>
      <c r="R133" s="18">
        <v>27.35</v>
      </c>
      <c r="S133" s="2">
        <f t="shared" si="42"/>
        <v>67.541379310344823</v>
      </c>
      <c r="T133" s="2">
        <f t="shared" si="49"/>
        <v>20.900231839258115</v>
      </c>
      <c r="U133" s="11">
        <f t="shared" si="48"/>
        <v>536.86083071322184</v>
      </c>
      <c r="V133" s="2">
        <f t="shared" si="45"/>
        <v>1.5315558295445788</v>
      </c>
      <c r="W133" s="7">
        <v>12070.625</v>
      </c>
      <c r="X133" s="7"/>
      <c r="Y133" s="7">
        <v>19837.240000000002</v>
      </c>
      <c r="Z133" s="2">
        <v>30.995687500000003</v>
      </c>
      <c r="AA133" s="7"/>
      <c r="AB133" s="7"/>
      <c r="AC133" s="7"/>
      <c r="AD133" s="7">
        <v>2875</v>
      </c>
      <c r="AE133" s="7">
        <v>8000</v>
      </c>
      <c r="AF133" s="7">
        <v>9000</v>
      </c>
      <c r="AG133" s="2">
        <f t="shared" si="47"/>
        <v>0.9301552747168067</v>
      </c>
      <c r="AJ133" s="7"/>
      <c r="AK133" s="2">
        <f t="shared" si="50"/>
        <v>4.8977853492333905</v>
      </c>
      <c r="AL133" s="2">
        <f t="shared" si="33"/>
        <v>13.628620102214651</v>
      </c>
      <c r="AM133" s="2">
        <f t="shared" si="34"/>
        <v>15.332197614991482</v>
      </c>
    </row>
    <row r="134" spans="1:39" x14ac:dyDescent="0.25">
      <c r="A134" s="22">
        <v>2603</v>
      </c>
      <c r="B134" s="7" t="s">
        <v>40</v>
      </c>
      <c r="C134" s="7">
        <v>27.3</v>
      </c>
      <c r="D134" s="32">
        <v>46065</v>
      </c>
      <c r="E134" s="13">
        <v>46104</v>
      </c>
      <c r="F134" s="7">
        <v>718</v>
      </c>
      <c r="G134" s="7">
        <v>4404</v>
      </c>
      <c r="H134" s="2">
        <f t="shared" si="39"/>
        <v>6.1337047353760443</v>
      </c>
      <c r="I134" s="7">
        <v>119</v>
      </c>
      <c r="J134" s="1">
        <f t="shared" si="52"/>
        <v>599</v>
      </c>
      <c r="K134" s="8">
        <v>595</v>
      </c>
      <c r="L134" s="2">
        <f t="shared" si="51"/>
        <v>42.926050420168067</v>
      </c>
      <c r="M134" s="7">
        <v>26731</v>
      </c>
      <c r="N134" s="7">
        <v>21970</v>
      </c>
      <c r="O134" s="20">
        <v>5.5999999999999999E-3</v>
      </c>
      <c r="P134" s="8">
        <v>18537</v>
      </c>
      <c r="Q134" s="18">
        <v>21.82</v>
      </c>
      <c r="R134" s="18">
        <v>26.78</v>
      </c>
      <c r="S134" s="2">
        <f t="shared" si="42"/>
        <v>70.226050420168065</v>
      </c>
      <c r="T134" s="2">
        <f t="shared" si="49"/>
        <v>20.646295264623959</v>
      </c>
      <c r="U134" s="11">
        <f t="shared" si="48"/>
        <v>528.7119823425985</v>
      </c>
      <c r="V134" s="2">
        <f t="shared" si="45"/>
        <v>1.5545177952310196</v>
      </c>
      <c r="W134" s="7">
        <v>13326.310000000001</v>
      </c>
      <c r="X134" s="7"/>
      <c r="Y134" s="7">
        <v>21932.720000000001</v>
      </c>
      <c r="Z134" s="2">
        <v>30.718095238095241</v>
      </c>
      <c r="AA134" s="7"/>
      <c r="AB134" s="7"/>
      <c r="AC134" s="7"/>
      <c r="AD134" s="7">
        <v>3170</v>
      </c>
      <c r="AE134" s="7">
        <v>7500</v>
      </c>
      <c r="AF134" s="7">
        <v>11300</v>
      </c>
      <c r="AG134" s="2">
        <f t="shared" si="47"/>
        <v>0.942921531168188</v>
      </c>
      <c r="AJ134" s="7"/>
      <c r="AK134" s="2">
        <f t="shared" si="50"/>
        <v>5.292153589315526</v>
      </c>
      <c r="AL134" s="2">
        <f t="shared" si="33"/>
        <v>12.520868113522537</v>
      </c>
      <c r="AM134" s="2">
        <f t="shared" si="34"/>
        <v>18.864774624373958</v>
      </c>
    </row>
    <row r="135" spans="1:39" x14ac:dyDescent="0.25">
      <c r="A135" s="22">
        <v>2604</v>
      </c>
      <c r="B135" s="7" t="s">
        <v>35</v>
      </c>
      <c r="C135" s="7">
        <v>28.2</v>
      </c>
      <c r="D135" s="32">
        <v>46072</v>
      </c>
      <c r="E135" s="13">
        <v>46111</v>
      </c>
      <c r="F135" s="7">
        <v>693</v>
      </c>
      <c r="G135" s="7">
        <v>4181</v>
      </c>
      <c r="H135" s="2">
        <f t="shared" si="39"/>
        <v>6.033189033189033</v>
      </c>
      <c r="I135" s="7">
        <v>100</v>
      </c>
      <c r="J135" s="1">
        <f t="shared" si="52"/>
        <v>593</v>
      </c>
      <c r="K135" s="8">
        <v>588</v>
      </c>
      <c r="L135" s="2">
        <f t="shared" si="51"/>
        <v>42.161564625850339</v>
      </c>
      <c r="M135" s="7">
        <v>25791</v>
      </c>
      <c r="N135" s="7">
        <v>20818</v>
      </c>
      <c r="O135" s="20">
        <v>7.7000000000000002E-3</v>
      </c>
      <c r="P135" s="8">
        <v>17576</v>
      </c>
      <c r="Q135" s="18">
        <v>19.940000000000001</v>
      </c>
      <c r="R135" s="18">
        <v>26.5</v>
      </c>
      <c r="S135" s="2">
        <f t="shared" si="42"/>
        <v>70.361564625850335</v>
      </c>
      <c r="T135" s="2">
        <f t="shared" si="49"/>
        <v>20.466810966810968</v>
      </c>
      <c r="U135" s="11">
        <f t="shared" si="48"/>
        <v>519.36722112364771</v>
      </c>
      <c r="V135" s="2">
        <f t="shared" si="45"/>
        <v>1.5541620007465473</v>
      </c>
      <c r="W135" s="7">
        <v>12111.846000000001</v>
      </c>
      <c r="X135" s="7"/>
      <c r="Y135" s="7">
        <v>20801.5</v>
      </c>
      <c r="Z135" s="2">
        <v>35.376700680272108</v>
      </c>
      <c r="AA135" s="7"/>
      <c r="AB135" s="7"/>
      <c r="AC135" s="7"/>
      <c r="AD135" s="7">
        <v>2760</v>
      </c>
      <c r="AE135" s="7">
        <v>8000</v>
      </c>
      <c r="AF135" s="7">
        <v>10300</v>
      </c>
      <c r="AG135" s="2">
        <f t="shared" si="47"/>
        <v>0.90420649496080641</v>
      </c>
      <c r="AJ135" s="7"/>
      <c r="AK135" s="2">
        <f t="shared" si="50"/>
        <v>4.6543001686340641</v>
      </c>
      <c r="AL135" s="2">
        <f t="shared" si="33"/>
        <v>13.490725126475548</v>
      </c>
      <c r="AM135" s="2">
        <f t="shared" si="34"/>
        <v>17.36930860033727</v>
      </c>
    </row>
    <row r="136" spans="1:39" x14ac:dyDescent="0.25">
      <c r="A136" s="22">
        <v>2605</v>
      </c>
      <c r="B136" s="7" t="s">
        <v>36</v>
      </c>
      <c r="C136" s="7">
        <v>28</v>
      </c>
      <c r="D136" s="32">
        <v>46079</v>
      </c>
      <c r="E136" s="13">
        <v>46087</v>
      </c>
      <c r="F136" s="7">
        <v>692</v>
      </c>
      <c r="G136" s="7">
        <v>4326</v>
      </c>
      <c r="H136" s="2">
        <f t="shared" si="39"/>
        <v>6.2514450867052025</v>
      </c>
      <c r="I136" s="7">
        <v>100</v>
      </c>
      <c r="J136" s="1">
        <f t="shared" si="52"/>
        <v>592</v>
      </c>
      <c r="K136" s="8">
        <v>589</v>
      </c>
      <c r="L136" s="2">
        <f t="shared" si="51"/>
        <v>42.122241086587437</v>
      </c>
      <c r="M136" s="7">
        <v>25810</v>
      </c>
      <c r="N136" s="7">
        <v>21600</v>
      </c>
      <c r="O136" s="20">
        <v>4.3E-3</v>
      </c>
      <c r="P136" s="8">
        <v>18070</v>
      </c>
      <c r="Q136" s="18">
        <v>21.08</v>
      </c>
      <c r="R136" s="18">
        <v>27.1</v>
      </c>
      <c r="S136" s="2">
        <f t="shared" si="42"/>
        <v>70.122241086587437</v>
      </c>
      <c r="T136" s="2">
        <f t="shared" si="49"/>
        <v>20.848554913294798</v>
      </c>
      <c r="U136" s="11">
        <f t="shared" si="48"/>
        <v>532.50678031770622</v>
      </c>
      <c r="V136" s="2">
        <f t="shared" si="45"/>
        <v>1.5715948777648427</v>
      </c>
      <c r="W136" s="7">
        <v>12007.9</v>
      </c>
      <c r="X136" s="7"/>
      <c r="Y136" s="7">
        <v>21590.52</v>
      </c>
      <c r="Z136" s="2">
        <v>31.336023222060959</v>
      </c>
      <c r="AA136" s="7"/>
      <c r="AB136" s="7"/>
      <c r="AC136" s="7"/>
      <c r="AD136" s="7">
        <v>2800</v>
      </c>
      <c r="AE136" s="7">
        <v>9000</v>
      </c>
      <c r="AF136" s="7">
        <v>9800</v>
      </c>
      <c r="AG136" s="2">
        <f t="shared" si="47"/>
        <v>0.87368306169965071</v>
      </c>
      <c r="AJ136" s="7"/>
      <c r="AK136" s="2">
        <f t="shared" si="50"/>
        <v>4.7297297297297298</v>
      </c>
      <c r="AL136" s="2">
        <f t="shared" si="33"/>
        <v>15.202702702702704</v>
      </c>
      <c r="AM136" s="2">
        <f t="shared" si="34"/>
        <v>16.554054054054053</v>
      </c>
    </row>
    <row r="137" spans="1:39" x14ac:dyDescent="0.25">
      <c r="A137" s="22">
        <v>2606</v>
      </c>
      <c r="B137" s="7" t="s">
        <v>37</v>
      </c>
      <c r="C137" s="7">
        <v>27.5</v>
      </c>
      <c r="D137" s="32">
        <v>46086</v>
      </c>
      <c r="E137" s="13">
        <v>46125</v>
      </c>
      <c r="F137" s="7">
        <v>640</v>
      </c>
      <c r="G137" s="7">
        <v>4155</v>
      </c>
      <c r="H137" s="2">
        <f t="shared" si="39"/>
        <v>6.4921875</v>
      </c>
      <c r="I137" s="7">
        <v>50</v>
      </c>
      <c r="J137" s="1">
        <f t="shared" si="52"/>
        <v>590</v>
      </c>
      <c r="K137" s="8">
        <v>582</v>
      </c>
      <c r="L137" s="2">
        <f t="shared" si="51"/>
        <v>40.293814432989691</v>
      </c>
      <c r="M137" s="7">
        <v>23951</v>
      </c>
      <c r="N137" s="7">
        <v>19628</v>
      </c>
      <c r="O137" s="20">
        <v>1.32E-2</v>
      </c>
      <c r="P137" s="8">
        <v>16713</v>
      </c>
      <c r="Q137" s="18">
        <v>21.14</v>
      </c>
      <c r="R137" s="18">
        <v>26.9</v>
      </c>
      <c r="S137" s="2">
        <f t="shared" si="42"/>
        <v>67.793814432989691</v>
      </c>
      <c r="T137" s="2">
        <f t="shared" si="49"/>
        <v>20.407812499999999</v>
      </c>
      <c r="U137" s="11">
        <f t="shared" si="48"/>
        <v>524.3204876623106</v>
      </c>
      <c r="V137" s="2">
        <f t="shared" si="45"/>
        <v>1.5629877369007803</v>
      </c>
      <c r="W137" s="7">
        <v>12063.748</v>
      </c>
      <c r="X137" s="7"/>
      <c r="Y137" s="7">
        <v>19564.759999999998</v>
      </c>
      <c r="Z137" s="2">
        <v>33.616426116838483</v>
      </c>
      <c r="AA137" s="7"/>
      <c r="AB137" s="7"/>
      <c r="AC137" s="7"/>
      <c r="AD137" s="7">
        <v>2628</v>
      </c>
      <c r="AE137" s="7">
        <v>8000</v>
      </c>
      <c r="AF137" s="7">
        <v>9000</v>
      </c>
      <c r="AG137" s="2">
        <f t="shared" si="47"/>
        <v>0.960642458990285</v>
      </c>
      <c r="AJ137" s="7"/>
      <c r="AK137" s="2">
        <f t="shared" si="50"/>
        <v>4.4542372881355936</v>
      </c>
      <c r="AL137" s="2">
        <f t="shared" si="33"/>
        <v>13.559322033898304</v>
      </c>
      <c r="AM137" s="2">
        <f t="shared" si="34"/>
        <v>15.254237288135593</v>
      </c>
    </row>
    <row r="138" spans="1:39" x14ac:dyDescent="0.25">
      <c r="A138" s="22">
        <v>2607</v>
      </c>
      <c r="B138" s="7" t="s">
        <v>38</v>
      </c>
      <c r="C138" s="7">
        <v>27.5</v>
      </c>
      <c r="D138" s="32">
        <v>46093</v>
      </c>
      <c r="E138" s="13">
        <v>46132</v>
      </c>
      <c r="F138" s="7">
        <v>630</v>
      </c>
      <c r="G138" s="7">
        <v>4038</v>
      </c>
      <c r="H138" s="2">
        <f t="shared" si="39"/>
        <v>6.4095238095238098</v>
      </c>
      <c r="I138" s="7">
        <v>58</v>
      </c>
      <c r="J138" s="1">
        <f t="shared" si="52"/>
        <v>572</v>
      </c>
      <c r="K138" s="8">
        <v>566</v>
      </c>
      <c r="L138" s="2">
        <f t="shared" si="51"/>
        <v>40.630742049469966</v>
      </c>
      <c r="M138" s="7">
        <v>23577</v>
      </c>
      <c r="N138" s="7">
        <v>19100</v>
      </c>
      <c r="O138" s="20">
        <v>9.4999999999999998E-3</v>
      </c>
      <c r="P138" s="8">
        <v>16378</v>
      </c>
      <c r="Q138" s="18">
        <v>16.86</v>
      </c>
      <c r="R138" s="18">
        <v>27.21</v>
      </c>
      <c r="S138" s="2">
        <f t="shared" si="42"/>
        <v>68.130742049469973</v>
      </c>
      <c r="T138" s="2">
        <f t="shared" si="49"/>
        <v>20.800476190476189</v>
      </c>
      <c r="U138" s="11">
        <f t="shared" si="48"/>
        <v>523.39144081095981</v>
      </c>
      <c r="V138" s="2">
        <f t="shared" si="45"/>
        <v>1.5478119935170178</v>
      </c>
      <c r="W138" s="7">
        <v>11779.599999999999</v>
      </c>
      <c r="X138" s="7"/>
      <c r="Y138" s="7">
        <v>19053.18</v>
      </c>
      <c r="Z138" s="2">
        <v>30.533942307692307</v>
      </c>
      <c r="AA138" s="7"/>
      <c r="AB138" s="7"/>
      <c r="AC138" s="7"/>
      <c r="AD138" s="7">
        <v>2800</v>
      </c>
      <c r="AE138" s="7">
        <v>8000</v>
      </c>
      <c r="AF138" s="7">
        <v>8300</v>
      </c>
      <c r="AG138" s="2">
        <f t="shared" si="47"/>
        <v>0.9545867098865477</v>
      </c>
      <c r="AJ138" s="7"/>
      <c r="AK138" s="2">
        <f t="shared" si="50"/>
        <v>4.895104895104895</v>
      </c>
      <c r="AL138" s="2">
        <f t="shared" si="33"/>
        <v>13.986013986013987</v>
      </c>
      <c r="AM138" s="2">
        <f t="shared" si="34"/>
        <v>14.51048951048951</v>
      </c>
    </row>
    <row r="139" spans="1:39" x14ac:dyDescent="0.25">
      <c r="A139" s="22">
        <v>2608</v>
      </c>
      <c r="B139" s="7" t="s">
        <v>39</v>
      </c>
      <c r="C139" s="7">
        <v>27.4</v>
      </c>
      <c r="D139" s="32">
        <v>46100</v>
      </c>
      <c r="E139" s="13">
        <v>46139</v>
      </c>
      <c r="F139" s="7">
        <v>640</v>
      </c>
      <c r="G139" s="7">
        <v>3942</v>
      </c>
      <c r="H139" s="2">
        <f t="shared" si="39"/>
        <v>6.1593749999999998</v>
      </c>
      <c r="I139" s="7">
        <v>90</v>
      </c>
      <c r="J139" s="1">
        <f t="shared" si="52"/>
        <v>550</v>
      </c>
      <c r="K139" s="8">
        <v>543</v>
      </c>
      <c r="L139" s="2">
        <f t="shared" si="51"/>
        <v>42.235727440147329</v>
      </c>
      <c r="M139" s="7">
        <v>23834</v>
      </c>
      <c r="N139" s="7">
        <v>19200</v>
      </c>
      <c r="O139" s="20">
        <v>1.2200000000000001E-2</v>
      </c>
      <c r="P139" s="8">
        <v>16206</v>
      </c>
      <c r="Q139" s="18">
        <v>20.07</v>
      </c>
      <c r="R139" s="18">
        <v>26.52</v>
      </c>
      <c r="S139" s="2">
        <f t="shared" si="42"/>
        <v>69.635727440147321</v>
      </c>
      <c r="T139" s="2">
        <f t="shared" si="49"/>
        <v>20.360624999999999</v>
      </c>
      <c r="U139" s="11">
        <f t="shared" si="48"/>
        <v>514.55903331375339</v>
      </c>
      <c r="V139" s="2">
        <f t="shared" si="45"/>
        <v>1.5655577299412915</v>
      </c>
      <c r="W139" s="7">
        <v>11899.199999999999</v>
      </c>
      <c r="X139" s="7"/>
      <c r="Y139" s="7">
        <v>19130.96</v>
      </c>
      <c r="Z139" s="2">
        <v>35.23197053406998</v>
      </c>
      <c r="AA139" s="7"/>
      <c r="AB139" s="7"/>
      <c r="AC139" s="7"/>
      <c r="AD139" s="7">
        <v>2900</v>
      </c>
      <c r="AE139" s="7">
        <v>8500</v>
      </c>
      <c r="AF139" s="7">
        <v>7800</v>
      </c>
      <c r="AG139" s="2">
        <f t="shared" si="47"/>
        <v>0.97025440313111533</v>
      </c>
      <c r="AJ139" s="7"/>
      <c r="AK139" s="2">
        <f t="shared" si="50"/>
        <v>5.2727272727272725</v>
      </c>
      <c r="AL139" s="2">
        <f t="shared" si="33"/>
        <v>15.454545454545455</v>
      </c>
      <c r="AM139" s="2">
        <f t="shared" si="34"/>
        <v>14.181818181818182</v>
      </c>
    </row>
    <row r="140" spans="1:39" x14ac:dyDescent="0.25">
      <c r="A140" s="22">
        <v>2609</v>
      </c>
      <c r="B140" s="7" t="s">
        <v>40</v>
      </c>
      <c r="C140" s="7">
        <v>27.8</v>
      </c>
      <c r="D140" s="32">
        <v>46107</v>
      </c>
      <c r="E140" s="13">
        <v>46146</v>
      </c>
      <c r="F140" s="7">
        <v>639</v>
      </c>
      <c r="G140" s="7">
        <v>3952</v>
      </c>
      <c r="H140" s="2">
        <f t="shared" si="39"/>
        <v>6.1846635367762124</v>
      </c>
      <c r="I140" s="7">
        <v>0</v>
      </c>
      <c r="J140" s="1">
        <f t="shared" si="52"/>
        <v>639</v>
      </c>
      <c r="K140" s="8">
        <v>633</v>
      </c>
      <c r="L140" s="2">
        <f t="shared" si="51"/>
        <v>38.183254344391784</v>
      </c>
      <c r="M140" s="7">
        <v>24170</v>
      </c>
      <c r="N140" s="7">
        <v>19410</v>
      </c>
      <c r="O140" s="20">
        <v>9.4000000000000004E-3</v>
      </c>
      <c r="P140" s="8">
        <v>16445</v>
      </c>
      <c r="Q140" s="8">
        <v>0</v>
      </c>
      <c r="R140" s="18">
        <v>25.9</v>
      </c>
      <c r="S140" s="2">
        <f t="shared" si="42"/>
        <v>65.983254344391781</v>
      </c>
      <c r="T140" s="2">
        <v>19.8</v>
      </c>
      <c r="U140" s="11">
        <f t="shared" si="48"/>
        <v>516.88043028547781</v>
      </c>
      <c r="V140" s="2">
        <f t="shared" si="45"/>
        <v>1.5536700552309293</v>
      </c>
      <c r="W140" s="7">
        <v>12083.76</v>
      </c>
      <c r="X140" s="7"/>
      <c r="Y140" s="7">
        <v>19357.8</v>
      </c>
      <c r="Z140" s="2">
        <v>30.581042654028433</v>
      </c>
      <c r="AA140" s="7"/>
      <c r="AB140" s="7"/>
      <c r="AC140" s="7"/>
      <c r="AD140" s="7">
        <v>2900</v>
      </c>
      <c r="AE140" s="7">
        <v>9500</v>
      </c>
      <c r="AF140" s="7">
        <v>7010</v>
      </c>
      <c r="AG140" s="2">
        <f t="shared" si="47"/>
        <v>0.96724245577523416</v>
      </c>
      <c r="AJ140" s="7" t="s">
        <v>115</v>
      </c>
      <c r="AK140" s="2">
        <f t="shared" si="50"/>
        <v>4.5383411580594677</v>
      </c>
      <c r="AL140" s="2">
        <f t="shared" si="33"/>
        <v>14.866979655712051</v>
      </c>
      <c r="AM140" s="2">
        <f t="shared" si="34"/>
        <v>10.970266040688577</v>
      </c>
    </row>
    <row r="141" spans="1:39" x14ac:dyDescent="0.25">
      <c r="A141" s="22">
        <v>2610</v>
      </c>
      <c r="B141" s="7" t="s">
        <v>35</v>
      </c>
      <c r="C141" s="7">
        <v>27.9</v>
      </c>
      <c r="D141" s="32">
        <v>46114</v>
      </c>
      <c r="E141" s="13">
        <v>46153</v>
      </c>
      <c r="F141" s="7">
        <v>631</v>
      </c>
      <c r="G141" s="7">
        <v>3880</v>
      </c>
      <c r="H141" s="2">
        <f t="shared" si="39"/>
        <v>6.1489698890649764</v>
      </c>
      <c r="I141" s="7">
        <v>0</v>
      </c>
      <c r="J141" s="1">
        <f t="shared" si="52"/>
        <v>631</v>
      </c>
      <c r="K141" s="8">
        <v>621</v>
      </c>
      <c r="L141" s="2">
        <f t="shared" si="51"/>
        <v>38.207729468599034</v>
      </c>
      <c r="M141" s="7">
        <v>23727</v>
      </c>
      <c r="N141" s="7">
        <v>19500</v>
      </c>
      <c r="O141" s="20">
        <v>1.5900000000000001E-2</v>
      </c>
      <c r="P141" s="8">
        <v>16270</v>
      </c>
      <c r="Q141" s="8">
        <v>0</v>
      </c>
      <c r="R141" s="18">
        <v>26.2</v>
      </c>
      <c r="S141" s="2">
        <f t="shared" si="42"/>
        <v>66.107729468599032</v>
      </c>
      <c r="T141" s="2">
        <v>20.100000000000001</v>
      </c>
      <c r="U141" s="11">
        <f t="shared" si="48"/>
        <v>522.18991022885325</v>
      </c>
      <c r="V141" s="2">
        <f t="shared" si="45"/>
        <v>1.5738498789346247</v>
      </c>
      <c r="W141" s="7">
        <v>11696.5</v>
      </c>
      <c r="X141" s="7"/>
      <c r="Y141" s="7">
        <v>19443.439999999999</v>
      </c>
      <c r="Z141" s="2">
        <v>31.309887278582927</v>
      </c>
      <c r="AA141" s="7"/>
      <c r="AB141" s="7"/>
      <c r="AC141" s="7"/>
      <c r="AD141" s="7">
        <v>2500</v>
      </c>
      <c r="AE141" s="7">
        <v>8000</v>
      </c>
      <c r="AF141" s="7">
        <v>9000</v>
      </c>
      <c r="AG141" s="2">
        <f t="shared" si="47"/>
        <v>0.94402744148506856</v>
      </c>
      <c r="AJ141" s="7" t="s">
        <v>115</v>
      </c>
      <c r="AK141" s="2">
        <f t="shared" si="50"/>
        <v>3.9619651347068148</v>
      </c>
      <c r="AL141" s="2">
        <f t="shared" si="33"/>
        <v>12.678288431061807</v>
      </c>
      <c r="AM141" s="2">
        <f t="shared" si="34"/>
        <v>14.263074484944532</v>
      </c>
    </row>
    <row r="142" spans="1:39" x14ac:dyDescent="0.25">
      <c r="A142" s="22">
        <v>2611</v>
      </c>
      <c r="B142" s="7" t="s">
        <v>36</v>
      </c>
      <c r="C142" s="7">
        <v>27.3</v>
      </c>
      <c r="D142" s="32">
        <v>46121</v>
      </c>
      <c r="E142" s="13">
        <v>46160</v>
      </c>
      <c r="F142" s="7">
        <v>626</v>
      </c>
      <c r="G142" s="7">
        <v>3909</v>
      </c>
      <c r="H142" s="2">
        <f t="shared" si="39"/>
        <v>6.2444089456869012</v>
      </c>
      <c r="I142" s="7">
        <v>0</v>
      </c>
      <c r="J142" s="1">
        <f t="shared" si="52"/>
        <v>626</v>
      </c>
      <c r="K142" s="8">
        <v>575</v>
      </c>
      <c r="L142" s="2">
        <f t="shared" si="51"/>
        <v>38.855652173913043</v>
      </c>
      <c r="M142" s="7">
        <v>22342</v>
      </c>
      <c r="N142" s="7">
        <v>17600</v>
      </c>
      <c r="O142" s="20">
        <v>8.2799999999999999E-2</v>
      </c>
      <c r="P142" s="8">
        <v>14778</v>
      </c>
      <c r="Q142" s="8">
        <v>0</v>
      </c>
      <c r="R142" s="18">
        <v>25.7</v>
      </c>
      <c r="S142" s="2">
        <f t="shared" si="42"/>
        <v>66.15565217391304</v>
      </c>
      <c r="T142" s="2">
        <f t="shared" ref="T142:T155" si="53">R142-H142</f>
        <v>19.455591054313096</v>
      </c>
      <c r="U142" s="11">
        <f t="shared" si="48"/>
        <v>486.48285739862138</v>
      </c>
      <c r="V142" s="2">
        <f t="shared" si="45"/>
        <v>1.6192842027785446</v>
      </c>
      <c r="W142" s="7">
        <v>10439.549999999999</v>
      </c>
      <c r="X142" s="7"/>
      <c r="Y142" s="7">
        <v>17407.080000000002</v>
      </c>
      <c r="Z142" s="2">
        <v>30.273182608695656</v>
      </c>
      <c r="AA142" s="7"/>
      <c r="AB142" s="7"/>
      <c r="AC142" s="7"/>
      <c r="AD142" s="7">
        <v>2500</v>
      </c>
      <c r="AE142" s="7">
        <v>7000</v>
      </c>
      <c r="AF142" s="7">
        <v>7840</v>
      </c>
      <c r="AG142" s="2">
        <f t="shared" si="47"/>
        <v>0.9604885454043609</v>
      </c>
      <c r="AJ142" s="7" t="s">
        <v>116</v>
      </c>
      <c r="AK142" s="2">
        <f t="shared" si="50"/>
        <v>3.9936102236421727</v>
      </c>
      <c r="AL142" s="2">
        <f t="shared" si="33"/>
        <v>11.182108626198083</v>
      </c>
      <c r="AM142" s="2">
        <f t="shared" si="34"/>
        <v>12.523961661341852</v>
      </c>
    </row>
    <row r="143" spans="1:39" x14ac:dyDescent="0.25">
      <c r="A143" s="22">
        <v>2612</v>
      </c>
      <c r="B143" s="7" t="s">
        <v>37</v>
      </c>
      <c r="C143" s="7">
        <v>27.4</v>
      </c>
      <c r="D143" s="32">
        <v>46128</v>
      </c>
      <c r="E143" s="13">
        <v>43976</v>
      </c>
      <c r="F143" s="7">
        <v>615</v>
      </c>
      <c r="G143" s="7">
        <v>4250</v>
      </c>
      <c r="H143" s="2">
        <f t="shared" si="39"/>
        <v>6.9105691056910565</v>
      </c>
      <c r="I143" s="7">
        <v>70</v>
      </c>
      <c r="J143" s="1">
        <f t="shared" si="52"/>
        <v>545</v>
      </c>
      <c r="K143" s="8">
        <v>532</v>
      </c>
      <c r="L143" s="2">
        <f t="shared" si="51"/>
        <v>41.571428571428569</v>
      </c>
      <c r="M143" s="7">
        <v>22816</v>
      </c>
      <c r="N143" s="7">
        <v>19100</v>
      </c>
      <c r="O143" s="20">
        <v>2.12E-2</v>
      </c>
      <c r="P143" s="8">
        <v>16324</v>
      </c>
      <c r="Q143" s="18">
        <v>22.67</v>
      </c>
      <c r="R143" s="18">
        <v>27.71</v>
      </c>
      <c r="S143" s="2">
        <f t="shared" si="42"/>
        <v>68.971428571428561</v>
      </c>
      <c r="T143" s="2">
        <f t="shared" si="53"/>
        <v>20.799430894308944</v>
      </c>
      <c r="U143" s="11">
        <f t="shared" si="48"/>
        <v>529.1900420757363</v>
      </c>
      <c r="V143" s="2">
        <f t="shared" si="45"/>
        <v>1.5819115454696042</v>
      </c>
      <c r="W143" s="7">
        <v>11403.3</v>
      </c>
      <c r="X143" s="7"/>
      <c r="Y143" s="7">
        <v>19000.68</v>
      </c>
      <c r="Z143" s="2">
        <v>31.562591362126245</v>
      </c>
      <c r="AA143" s="7"/>
      <c r="AB143" s="7"/>
      <c r="AC143" s="7"/>
      <c r="AD143" s="7">
        <v>2600</v>
      </c>
      <c r="AE143" s="7">
        <v>8500</v>
      </c>
      <c r="AF143" s="7">
        <v>8000</v>
      </c>
      <c r="AG143" s="2">
        <f t="shared" si="47"/>
        <v>0.94445088620175577</v>
      </c>
      <c r="AJ143" s="7"/>
      <c r="AK143" s="2">
        <f t="shared" si="50"/>
        <v>4.7706422018348622</v>
      </c>
      <c r="AL143" s="2">
        <f t="shared" si="33"/>
        <v>15.596330275229358</v>
      </c>
      <c r="AM143" s="2">
        <f t="shared" si="34"/>
        <v>14.678899082568808</v>
      </c>
    </row>
    <row r="144" spans="1:39" x14ac:dyDescent="0.25">
      <c r="A144" s="22">
        <v>2613</v>
      </c>
      <c r="B144" s="7" t="s">
        <v>38</v>
      </c>
      <c r="C144" s="7">
        <v>27.2</v>
      </c>
      <c r="D144" s="32">
        <v>46135</v>
      </c>
      <c r="E144" s="13">
        <v>46174</v>
      </c>
      <c r="F144" s="7">
        <v>639</v>
      </c>
      <c r="G144" s="7">
        <v>4262</v>
      </c>
      <c r="H144" s="2">
        <f t="shared" si="39"/>
        <v>6.6697965571205007</v>
      </c>
      <c r="I144" s="7">
        <v>100</v>
      </c>
      <c r="J144" s="1">
        <f t="shared" si="52"/>
        <v>539</v>
      </c>
      <c r="K144" s="8">
        <v>533</v>
      </c>
      <c r="L144" s="2">
        <f t="shared" si="51"/>
        <v>42.66228893058161</v>
      </c>
      <c r="M144" s="7">
        <v>23739</v>
      </c>
      <c r="N144" s="7">
        <v>19350</v>
      </c>
      <c r="O144" s="20">
        <v>9.4000000000000004E-3</v>
      </c>
      <c r="P144" s="8">
        <v>16643</v>
      </c>
      <c r="Q144" s="18">
        <v>20.41</v>
      </c>
      <c r="R144" s="18">
        <v>27.4</v>
      </c>
      <c r="S144" s="2">
        <f t="shared" si="42"/>
        <v>69.862288930581613</v>
      </c>
      <c r="T144" s="2">
        <f t="shared" si="53"/>
        <v>20.7302034428795</v>
      </c>
      <c r="U144" s="11">
        <f t="shared" si="48"/>
        <v>521.54682168583349</v>
      </c>
      <c r="V144" s="2">
        <f t="shared" si="45"/>
        <v>1.5628786043130602</v>
      </c>
      <c r="W144" s="7">
        <v>11722.55</v>
      </c>
      <c r="X144" s="7"/>
      <c r="Y144" s="7">
        <v>19464.439999999999</v>
      </c>
      <c r="Z144" s="2">
        <v>30.7495102685624</v>
      </c>
      <c r="AA144" s="7"/>
      <c r="AB144" s="7"/>
      <c r="AC144" s="7"/>
      <c r="AD144" s="7">
        <v>2600</v>
      </c>
      <c r="AE144" s="7">
        <v>10000</v>
      </c>
      <c r="AF144" s="7">
        <v>6900</v>
      </c>
      <c r="AG144" s="2">
        <f t="shared" si="47"/>
        <v>0.9468177045472902</v>
      </c>
      <c r="AJ144" s="7"/>
      <c r="AK144" s="2">
        <f t="shared" si="50"/>
        <v>4.8237476808905377</v>
      </c>
      <c r="AL144" s="2">
        <f t="shared" si="33"/>
        <v>18.552875695732837</v>
      </c>
      <c r="AM144" s="2">
        <f t="shared" si="34"/>
        <v>12.801484230055658</v>
      </c>
    </row>
    <row r="145" spans="1:39" x14ac:dyDescent="0.25">
      <c r="A145" s="22">
        <v>2614</v>
      </c>
      <c r="B145" s="7" t="s">
        <v>39</v>
      </c>
      <c r="C145" s="7">
        <v>27.2</v>
      </c>
      <c r="D145" s="32">
        <v>46142</v>
      </c>
      <c r="E145" s="13">
        <v>46181</v>
      </c>
      <c r="F145" s="7">
        <v>640</v>
      </c>
      <c r="G145" s="7">
        <v>4078</v>
      </c>
      <c r="H145" s="2">
        <f t="shared" si="39"/>
        <v>6.3718750000000002</v>
      </c>
      <c r="I145" s="7">
        <v>90</v>
      </c>
      <c r="J145" s="1">
        <f t="shared" si="52"/>
        <v>550</v>
      </c>
      <c r="K145" s="8">
        <v>544</v>
      </c>
      <c r="L145" s="2">
        <f t="shared" si="51"/>
        <v>42.161764705882355</v>
      </c>
      <c r="M145" s="7">
        <v>23836</v>
      </c>
      <c r="N145" s="7">
        <v>19600</v>
      </c>
      <c r="O145" s="20">
        <v>9.4000000000000004E-3</v>
      </c>
      <c r="P145" s="8">
        <v>16772</v>
      </c>
      <c r="Q145" s="18">
        <v>21.33</v>
      </c>
      <c r="R145" s="18">
        <v>27.3</v>
      </c>
      <c r="S145" s="2">
        <f t="shared" si="42"/>
        <v>69.361764705882351</v>
      </c>
      <c r="T145" s="2">
        <f t="shared" si="53"/>
        <v>20.928125000000001</v>
      </c>
      <c r="U145" s="11">
        <f t="shared" si="48"/>
        <v>532.55579795267658</v>
      </c>
      <c r="V145" s="2">
        <f t="shared" si="45"/>
        <v>1.5440365527020639</v>
      </c>
      <c r="W145" s="7">
        <v>11638.3</v>
      </c>
      <c r="X145" s="7"/>
      <c r="Y145" s="7">
        <v>19552.939999999999</v>
      </c>
      <c r="Z145" s="2">
        <v>30.840599369085172</v>
      </c>
      <c r="AA145" s="7"/>
      <c r="AB145" s="7"/>
      <c r="AC145" s="7"/>
      <c r="AD145" s="7">
        <v>2600</v>
      </c>
      <c r="AE145" s="7">
        <v>9000</v>
      </c>
      <c r="AF145" s="7">
        <v>8000</v>
      </c>
      <c r="AG145" s="2">
        <f t="shared" si="47"/>
        <v>0.91683472506696073</v>
      </c>
      <c r="AJ145" s="7"/>
      <c r="AK145" s="2">
        <f t="shared" si="50"/>
        <v>4.7272727272727275</v>
      </c>
      <c r="AL145" s="2">
        <f t="shared" si="33"/>
        <v>16.363636363636363</v>
      </c>
      <c r="AM145" s="2">
        <f t="shared" si="34"/>
        <v>14.545454545454545</v>
      </c>
    </row>
    <row r="146" spans="1:39" x14ac:dyDescent="0.25">
      <c r="A146" s="22">
        <v>2615</v>
      </c>
      <c r="B146" s="7" t="s">
        <v>40</v>
      </c>
      <c r="C146" s="7">
        <v>26.7</v>
      </c>
      <c r="D146" s="32">
        <v>46149</v>
      </c>
      <c r="E146" s="13">
        <v>46188</v>
      </c>
      <c r="F146" s="7">
        <v>575</v>
      </c>
      <c r="G146" s="7">
        <v>3966</v>
      </c>
      <c r="H146" s="2">
        <f t="shared" si="39"/>
        <v>6.8973913043478259</v>
      </c>
      <c r="I146" s="7">
        <v>60</v>
      </c>
      <c r="J146" s="1">
        <f t="shared" si="52"/>
        <v>515</v>
      </c>
      <c r="K146" s="8">
        <v>568</v>
      </c>
      <c r="L146" s="2">
        <f t="shared" si="51"/>
        <v>36.713028169014088</v>
      </c>
      <c r="M146" s="7">
        <v>21453</v>
      </c>
      <c r="N146" s="7">
        <v>18200</v>
      </c>
      <c r="O146" s="20">
        <v>1.2999999999999999E-2</v>
      </c>
      <c r="P146" s="8">
        <v>15582</v>
      </c>
      <c r="Q146" s="18">
        <v>21.78</v>
      </c>
      <c r="R146" s="18">
        <v>28.1</v>
      </c>
      <c r="S146" s="2">
        <f t="shared" si="42"/>
        <v>63.413028169014083</v>
      </c>
      <c r="T146" s="2">
        <f t="shared" si="53"/>
        <v>21.202608695652174</v>
      </c>
      <c r="U146" s="11">
        <f t="shared" si="48"/>
        <v>541.46273248496709</v>
      </c>
      <c r="V146" s="2">
        <f t="shared" si="45"/>
        <v>1.5668044077134986</v>
      </c>
      <c r="W146" s="7">
        <v>10709</v>
      </c>
      <c r="X146" s="7"/>
      <c r="Y146" s="7">
        <v>18146.810000000001</v>
      </c>
      <c r="Z146" s="2">
        <v>35.72206692913386</v>
      </c>
      <c r="AA146" s="7"/>
      <c r="AB146" s="7"/>
      <c r="AC146" s="7"/>
      <c r="AD146" s="7">
        <v>2600</v>
      </c>
      <c r="AE146" s="7">
        <v>7400</v>
      </c>
      <c r="AF146" s="7">
        <v>8200</v>
      </c>
      <c r="AG146" s="2">
        <f t="shared" si="47"/>
        <v>0.92191804407713496</v>
      </c>
      <c r="AJ146" s="7"/>
      <c r="AK146" s="2">
        <f t="shared" si="50"/>
        <v>5.0485436893203888</v>
      </c>
      <c r="AL146" s="2">
        <f t="shared" si="33"/>
        <v>14.368932038834952</v>
      </c>
      <c r="AM146" s="2">
        <f t="shared" si="34"/>
        <v>15.922330097087379</v>
      </c>
    </row>
    <row r="147" spans="1:39" x14ac:dyDescent="0.25">
      <c r="A147" s="22">
        <v>2616</v>
      </c>
      <c r="B147" s="7" t="s">
        <v>35</v>
      </c>
      <c r="C147" s="7">
        <v>26.6</v>
      </c>
      <c r="D147" s="32">
        <v>46156</v>
      </c>
      <c r="E147" s="13">
        <v>46195</v>
      </c>
      <c r="F147" s="7">
        <v>603</v>
      </c>
      <c r="G147" s="7">
        <v>4068</v>
      </c>
      <c r="H147" s="2">
        <f t="shared" si="39"/>
        <v>6.7462686567164178</v>
      </c>
      <c r="I147" s="7">
        <v>40</v>
      </c>
      <c r="J147" s="1">
        <f t="shared" si="52"/>
        <v>563</v>
      </c>
      <c r="K147" s="8">
        <v>557</v>
      </c>
      <c r="L147" s="2">
        <f t="shared" si="51"/>
        <v>39.953321364452421</v>
      </c>
      <c r="M147" s="7">
        <v>22654</v>
      </c>
      <c r="N147" s="7">
        <v>19000</v>
      </c>
      <c r="O147" s="20">
        <v>0.01</v>
      </c>
      <c r="P147" s="8">
        <v>16349</v>
      </c>
      <c r="Q147" s="18">
        <v>23.98</v>
      </c>
      <c r="R147" s="18">
        <v>27.68</v>
      </c>
      <c r="S147" s="2">
        <f t="shared" si="42"/>
        <v>66.553321364452415</v>
      </c>
      <c r="T147" s="2">
        <f t="shared" si="53"/>
        <v>20.933731343283583</v>
      </c>
      <c r="U147" s="11">
        <f t="shared" si="48"/>
        <v>542.11176834113189</v>
      </c>
      <c r="V147" s="2">
        <f t="shared" si="45"/>
        <v>1.5471052845859459</v>
      </c>
      <c r="W147" s="7">
        <v>10158</v>
      </c>
      <c r="X147" s="7"/>
      <c r="Y147" s="7">
        <v>18932.96</v>
      </c>
      <c r="Z147" s="2">
        <v>31.713500837520936</v>
      </c>
      <c r="AA147" s="7"/>
      <c r="AB147" s="7"/>
      <c r="AC147" s="7"/>
      <c r="AD147" s="7">
        <v>2500</v>
      </c>
      <c r="AE147" s="7">
        <v>8500</v>
      </c>
      <c r="AF147" s="7">
        <v>8000</v>
      </c>
      <c r="AG147" s="2">
        <f t="shared" si="47"/>
        <v>0.82713134109600195</v>
      </c>
      <c r="AJ147" s="7"/>
      <c r="AK147" s="2">
        <f t="shared" si="50"/>
        <v>4.4404973357015987</v>
      </c>
      <c r="AL147" s="2">
        <f t="shared" si="33"/>
        <v>15.097690941385435</v>
      </c>
      <c r="AM147" s="2">
        <f t="shared" si="34"/>
        <v>14.209591474245116</v>
      </c>
    </row>
    <row r="148" spans="1:39" x14ac:dyDescent="0.25">
      <c r="A148" s="22">
        <v>2617</v>
      </c>
      <c r="B148" s="7" t="s">
        <v>36</v>
      </c>
      <c r="C148" s="7">
        <v>27.3</v>
      </c>
      <c r="D148" s="32">
        <v>46163</v>
      </c>
      <c r="E148" s="13">
        <v>46202</v>
      </c>
      <c r="F148" s="7">
        <v>609</v>
      </c>
      <c r="G148" s="7">
        <v>4122</v>
      </c>
      <c r="H148" s="2">
        <f t="shared" si="39"/>
        <v>6.7684729064039413</v>
      </c>
      <c r="I148" s="7">
        <v>50</v>
      </c>
      <c r="J148" s="1">
        <f t="shared" si="52"/>
        <v>559</v>
      </c>
      <c r="K148" s="8">
        <v>552</v>
      </c>
      <c r="L148" s="2">
        <f t="shared" si="51"/>
        <v>40.369565217391305</v>
      </c>
      <c r="M148" s="7">
        <v>22784</v>
      </c>
      <c r="N148" s="7">
        <v>19300</v>
      </c>
      <c r="O148" s="20">
        <v>1.15E-2</v>
      </c>
      <c r="P148" s="8">
        <v>16277</v>
      </c>
      <c r="Q148" s="7">
        <v>21.94</v>
      </c>
      <c r="R148" s="18">
        <v>27.5</v>
      </c>
      <c r="S148" s="2">
        <f t="shared" si="42"/>
        <v>67.669565217391309</v>
      </c>
      <c r="T148" s="2">
        <f t="shared" si="53"/>
        <v>20.731527093596057</v>
      </c>
      <c r="U148" s="11">
        <f t="shared" si="48"/>
        <v>533.4884129213483</v>
      </c>
      <c r="V148" s="2">
        <f t="shared" si="45"/>
        <v>1.5878239407651171</v>
      </c>
      <c r="W148" s="7">
        <v>11429.5</v>
      </c>
      <c r="X148" s="7"/>
      <c r="Y148" s="7">
        <v>19251.88</v>
      </c>
      <c r="Z148" s="2">
        <v>31.979867109634554</v>
      </c>
      <c r="AA148" s="7"/>
      <c r="AB148" s="7"/>
      <c r="AC148" s="7"/>
      <c r="AD148" s="7">
        <v>2500</v>
      </c>
      <c r="AE148" s="7">
        <v>8000</v>
      </c>
      <c r="AF148" s="7">
        <v>8800</v>
      </c>
      <c r="AG148" s="2">
        <f t="shared" si="47"/>
        <v>0.94031262854792264</v>
      </c>
      <c r="AJ148" s="7"/>
      <c r="AK148" s="2">
        <f t="shared" si="50"/>
        <v>4.4722719141323797</v>
      </c>
      <c r="AL148" s="2">
        <f t="shared" si="33"/>
        <v>14.311270125223613</v>
      </c>
      <c r="AM148" s="2">
        <f t="shared" si="34"/>
        <v>15.742397137745975</v>
      </c>
    </row>
    <row r="149" spans="1:39" x14ac:dyDescent="0.25">
      <c r="A149" s="22">
        <v>2618</v>
      </c>
      <c r="B149" s="7" t="s">
        <v>37</v>
      </c>
      <c r="C149" s="7">
        <v>27.1</v>
      </c>
      <c r="D149" s="32">
        <v>46170</v>
      </c>
      <c r="E149" s="13">
        <v>46209</v>
      </c>
      <c r="F149" s="7">
        <v>672</v>
      </c>
      <c r="G149" s="7">
        <v>4310</v>
      </c>
      <c r="H149" s="2">
        <f t="shared" si="39"/>
        <v>6.4136904761904763</v>
      </c>
      <c r="I149" s="7">
        <v>140</v>
      </c>
      <c r="J149" s="1">
        <f t="shared" si="52"/>
        <v>532</v>
      </c>
      <c r="K149" s="8">
        <v>661</v>
      </c>
      <c r="L149" s="2">
        <f t="shared" si="51"/>
        <v>35.509833585476549</v>
      </c>
      <c r="M149" s="7">
        <v>24872</v>
      </c>
      <c r="N149" s="7">
        <v>20200</v>
      </c>
      <c r="O149" s="20">
        <v>1.6400000000000001E-2</v>
      </c>
      <c r="P149" s="8">
        <v>17077</v>
      </c>
      <c r="Q149" s="18">
        <v>21.84</v>
      </c>
      <c r="R149" s="18">
        <v>26.91</v>
      </c>
      <c r="S149" s="2">
        <f t="shared" si="42"/>
        <v>62.609833585476551</v>
      </c>
      <c r="T149" s="2">
        <f t="shared" si="53"/>
        <v>20.496309523809522</v>
      </c>
      <c r="U149" s="11">
        <f t="shared" si="48"/>
        <v>513.30813766484391</v>
      </c>
      <c r="V149" s="2">
        <f t="shared" si="45"/>
        <v>1.5822041199968668</v>
      </c>
      <c r="W149" s="7">
        <v>12277.2</v>
      </c>
      <c r="X149" s="7"/>
      <c r="Y149" s="7">
        <v>20118.32</v>
      </c>
      <c r="Z149" s="2">
        <v>30.436187594553704</v>
      </c>
      <c r="AA149" s="7"/>
      <c r="AB149" s="7"/>
      <c r="AC149" s="7"/>
      <c r="AD149" s="7">
        <v>3400</v>
      </c>
      <c r="AE149" s="7">
        <v>9000</v>
      </c>
      <c r="AF149" s="7">
        <v>7700</v>
      </c>
      <c r="AG149" s="2">
        <f t="shared" si="47"/>
        <v>0.96163546643690767</v>
      </c>
      <c r="AJ149" s="7"/>
      <c r="AK149" s="2">
        <f t="shared" si="50"/>
        <v>6.3909774436090228</v>
      </c>
      <c r="AL149" s="2">
        <f t="shared" si="33"/>
        <v>16.917293233082706</v>
      </c>
      <c r="AM149" s="2">
        <f t="shared" si="34"/>
        <v>14.473684210526315</v>
      </c>
    </row>
    <row r="150" spans="1:39" x14ac:dyDescent="0.25">
      <c r="A150" s="22">
        <v>2619</v>
      </c>
      <c r="B150" s="7" t="s">
        <v>38</v>
      </c>
      <c r="C150" s="7">
        <v>28</v>
      </c>
      <c r="D150" s="32">
        <v>46177</v>
      </c>
      <c r="E150" s="13">
        <v>46216</v>
      </c>
      <c r="F150" s="7">
        <v>662</v>
      </c>
      <c r="G150" s="7">
        <v>4686</v>
      </c>
      <c r="H150" s="2">
        <f t="shared" si="39"/>
        <v>7.0785498489425978</v>
      </c>
      <c r="I150" s="7">
        <v>90</v>
      </c>
      <c r="J150" s="1">
        <f t="shared" si="52"/>
        <v>572</v>
      </c>
      <c r="K150" s="8">
        <v>658</v>
      </c>
      <c r="L150" s="2">
        <f t="shared" si="51"/>
        <v>36.159574468085104</v>
      </c>
      <c r="M150" s="7">
        <v>24693</v>
      </c>
      <c r="N150" s="7">
        <v>20500</v>
      </c>
      <c r="O150" s="20">
        <v>6.0000000000000001E-3</v>
      </c>
      <c r="P150" s="8">
        <v>18091</v>
      </c>
      <c r="Q150" s="18">
        <v>23.17</v>
      </c>
      <c r="R150" s="18">
        <v>28.1</v>
      </c>
      <c r="S150" s="2">
        <f t="shared" si="42"/>
        <v>64.159574468085111</v>
      </c>
      <c r="T150" s="2">
        <f t="shared" si="53"/>
        <v>21.021450151057405</v>
      </c>
      <c r="U150" s="11">
        <f t="shared" si="48"/>
        <v>542.86639938444091</v>
      </c>
      <c r="V150" s="2">
        <f t="shared" si="45"/>
        <v>1.5292801193584484</v>
      </c>
      <c r="W150" s="7">
        <v>12307.5</v>
      </c>
      <c r="X150" s="7"/>
      <c r="Y150" s="7">
        <v>20481.8</v>
      </c>
      <c r="Z150" s="2">
        <v>31.127355623100303</v>
      </c>
      <c r="AA150" s="7"/>
      <c r="AB150" s="7"/>
      <c r="AC150" s="7"/>
      <c r="AD150" s="7">
        <v>3000</v>
      </c>
      <c r="AE150" s="7">
        <v>8000</v>
      </c>
      <c r="AF150" s="7">
        <v>9500</v>
      </c>
      <c r="AG150" s="2">
        <f t="shared" si="47"/>
        <v>0.91812756434166354</v>
      </c>
      <c r="AJ150" s="7"/>
      <c r="AK150" s="2">
        <f t="shared" si="50"/>
        <v>5.244755244755245</v>
      </c>
      <c r="AL150" s="2">
        <f t="shared" si="33"/>
        <v>13.986013986013987</v>
      </c>
      <c r="AM150" s="2">
        <f t="shared" si="34"/>
        <v>16.60839160839161</v>
      </c>
    </row>
    <row r="151" spans="1:39" x14ac:dyDescent="0.25">
      <c r="A151" s="22">
        <v>2620</v>
      </c>
      <c r="B151" s="7" t="s">
        <v>39</v>
      </c>
      <c r="C151" s="7">
        <v>27.3</v>
      </c>
      <c r="D151" s="32">
        <v>46184</v>
      </c>
      <c r="E151" s="13">
        <v>46223</v>
      </c>
      <c r="F151" s="7">
        <v>665</v>
      </c>
      <c r="G151" s="7">
        <v>4794</v>
      </c>
      <c r="H151" s="2">
        <f t="shared" si="39"/>
        <v>7.2090225563909778</v>
      </c>
      <c r="I151" s="7">
        <v>110</v>
      </c>
      <c r="J151" s="1">
        <f t="shared" si="52"/>
        <v>555</v>
      </c>
      <c r="K151" s="8">
        <v>552</v>
      </c>
      <c r="L151" s="2">
        <f t="shared" si="51"/>
        <v>34.416666666666664</v>
      </c>
      <c r="M151" s="7">
        <v>20098</v>
      </c>
      <c r="N151" s="7">
        <v>20100</v>
      </c>
      <c r="O151" s="20">
        <v>4.4999999999999997E-3</v>
      </c>
      <c r="P151" s="8">
        <v>17763</v>
      </c>
      <c r="Q151" s="7">
        <v>21.82</v>
      </c>
      <c r="R151" s="18">
        <v>27.83</v>
      </c>
      <c r="S151" s="2">
        <f t="shared" si="42"/>
        <v>61.716666666666669</v>
      </c>
      <c r="T151" s="2">
        <f t="shared" si="53"/>
        <v>20.620977443609021</v>
      </c>
      <c r="U151" s="11">
        <v>545</v>
      </c>
      <c r="V151" s="2">
        <f t="shared" si="45"/>
        <v>1.549849641452695</v>
      </c>
      <c r="W151" s="7">
        <v>12095.800000000001</v>
      </c>
      <c r="X151" s="7"/>
      <c r="Y151" s="7">
        <v>20094.599999999999</v>
      </c>
      <c r="Z151" s="2">
        <v>30.354380664652567</v>
      </c>
      <c r="AA151" s="7"/>
      <c r="AB151" s="7"/>
      <c r="AC151" s="7"/>
      <c r="AD151" s="7">
        <v>2800</v>
      </c>
      <c r="AE151" s="7">
        <v>8500</v>
      </c>
      <c r="AF151" s="7">
        <v>8800</v>
      </c>
      <c r="AG151" s="2">
        <f t="shared" si="47"/>
        <v>0.93267021358624425</v>
      </c>
      <c r="AJ151" s="7"/>
      <c r="AK151" s="2">
        <f t="shared" si="50"/>
        <v>5.045045045045045</v>
      </c>
      <c r="AL151" s="2">
        <f t="shared" si="33"/>
        <v>15.315315315315315</v>
      </c>
      <c r="AM151" s="2">
        <f t="shared" si="34"/>
        <v>15.855855855855856</v>
      </c>
    </row>
    <row r="152" spans="1:39" x14ac:dyDescent="0.25">
      <c r="A152" s="22">
        <v>2621</v>
      </c>
      <c r="B152" s="7" t="s">
        <v>40</v>
      </c>
      <c r="C152" s="7">
        <v>27.3</v>
      </c>
      <c r="D152" s="32">
        <v>46191</v>
      </c>
      <c r="E152" s="13">
        <v>46230</v>
      </c>
      <c r="F152" s="7">
        <v>678</v>
      </c>
      <c r="G152" s="7">
        <v>4459</v>
      </c>
      <c r="H152" s="2">
        <f t="shared" si="39"/>
        <v>6.5766961651917404</v>
      </c>
      <c r="I152" s="7">
        <v>45</v>
      </c>
      <c r="J152" s="1">
        <f t="shared" si="52"/>
        <v>633</v>
      </c>
      <c r="K152" s="8">
        <v>626</v>
      </c>
      <c r="L152" s="2">
        <f t="shared" si="51"/>
        <v>39.974440894568687</v>
      </c>
      <c r="M152" s="7">
        <v>25474</v>
      </c>
      <c r="N152" s="7">
        <v>21583</v>
      </c>
      <c r="O152" s="20">
        <v>1.0999999999999999E-2</v>
      </c>
      <c r="P152" s="8">
        <v>18035</v>
      </c>
      <c r="Q152" s="18">
        <v>20.49</v>
      </c>
      <c r="R152" s="18">
        <v>27.34</v>
      </c>
      <c r="S152" s="2">
        <f t="shared" si="42"/>
        <v>67.274440894568684</v>
      </c>
      <c r="T152" s="2">
        <f t="shared" si="53"/>
        <v>20.763303834808259</v>
      </c>
      <c r="U152" s="11">
        <f t="shared" si="48"/>
        <v>532.9355421213786</v>
      </c>
      <c r="V152" s="2">
        <f t="shared" si="45"/>
        <v>1.5897908073070124</v>
      </c>
      <c r="W152" s="7">
        <v>13037.406999999999</v>
      </c>
      <c r="X152" s="7"/>
      <c r="Y152" s="7">
        <v>21503.119999999999</v>
      </c>
      <c r="Z152" s="2">
        <v>34.350031948881785</v>
      </c>
      <c r="AA152" s="7"/>
      <c r="AB152" s="7"/>
      <c r="AC152" s="7"/>
      <c r="AD152" s="7">
        <v>3000</v>
      </c>
      <c r="AE152" s="7">
        <v>9000</v>
      </c>
      <c r="AF152" s="7">
        <v>9583</v>
      </c>
      <c r="AG152" s="2">
        <f t="shared" si="47"/>
        <v>0.96032756334708302</v>
      </c>
      <c r="AJ152" s="7"/>
      <c r="AK152" s="2">
        <f t="shared" si="50"/>
        <v>4.7393364928909953</v>
      </c>
      <c r="AL152" s="2">
        <f t="shared" si="33"/>
        <v>14.218009478672986</v>
      </c>
      <c r="AM152" s="2">
        <f t="shared" si="34"/>
        <v>15.139020537124802</v>
      </c>
    </row>
    <row r="153" spans="1:39" x14ac:dyDescent="0.25">
      <c r="A153" s="22">
        <v>2622</v>
      </c>
      <c r="B153" s="7" t="s">
        <v>35</v>
      </c>
      <c r="C153" s="7">
        <v>27.8</v>
      </c>
      <c r="D153" s="32">
        <v>46198</v>
      </c>
      <c r="E153" s="13">
        <v>46237</v>
      </c>
      <c r="F153" s="7">
        <v>674</v>
      </c>
      <c r="G153" s="7">
        <v>4525</v>
      </c>
      <c r="H153" s="2">
        <f t="shared" si="39"/>
        <v>6.7136498516320477</v>
      </c>
      <c r="I153" s="7">
        <v>53</v>
      </c>
      <c r="J153" s="1">
        <f t="shared" si="52"/>
        <v>621</v>
      </c>
      <c r="K153" s="8">
        <v>615</v>
      </c>
      <c r="L153" s="2">
        <f t="shared" si="51"/>
        <v>40.217886178861789</v>
      </c>
      <c r="M153" s="7">
        <v>25264</v>
      </c>
      <c r="N153" s="7">
        <v>20500</v>
      </c>
      <c r="O153" s="20">
        <v>8.8999999999999999E-3</v>
      </c>
      <c r="P153" s="8">
        <v>17717</v>
      </c>
      <c r="Q153" s="18">
        <v>18.190000000000001</v>
      </c>
      <c r="R153" s="18">
        <v>27.24</v>
      </c>
      <c r="S153" s="2">
        <f t="shared" si="42"/>
        <v>68.017886178861787</v>
      </c>
      <c r="T153" s="2">
        <f t="shared" si="53"/>
        <v>20.52635014836795</v>
      </c>
      <c r="U153" s="11">
        <f t="shared" si="48"/>
        <v>522.1659278024066</v>
      </c>
      <c r="V153" s="2">
        <f t="shared" si="45"/>
        <v>1.5539721043056398</v>
      </c>
      <c r="W153" s="7">
        <v>12062.5</v>
      </c>
      <c r="X153" s="7"/>
      <c r="Y153" s="7">
        <v>20456.580000000002</v>
      </c>
      <c r="Z153" s="2">
        <v>30.62362275449102</v>
      </c>
      <c r="AA153" s="7"/>
      <c r="AB153" s="7"/>
      <c r="AC153" s="7"/>
      <c r="AD153" s="7">
        <v>3000</v>
      </c>
      <c r="AE153" s="7">
        <v>9000</v>
      </c>
      <c r="AF153" s="7">
        <v>8500</v>
      </c>
      <c r="AG153" s="2">
        <f t="shared" si="47"/>
        <v>0.91437992722862338</v>
      </c>
      <c r="AJ153" s="7"/>
      <c r="AK153" s="2">
        <f t="shared" si="50"/>
        <v>4.8309178743961354</v>
      </c>
      <c r="AL153" s="2">
        <f t="shared" si="33"/>
        <v>14.492753623188406</v>
      </c>
      <c r="AM153" s="2">
        <f t="shared" si="34"/>
        <v>13.687600644122384</v>
      </c>
    </row>
    <row r="154" spans="1:39" x14ac:dyDescent="0.25">
      <c r="A154" s="22">
        <v>2623</v>
      </c>
      <c r="B154" s="7" t="s">
        <v>36</v>
      </c>
      <c r="C154" s="7">
        <v>27.2</v>
      </c>
      <c r="D154" s="32">
        <v>46205</v>
      </c>
      <c r="E154" s="13">
        <v>46244</v>
      </c>
      <c r="F154" s="7">
        <v>643</v>
      </c>
      <c r="G154" s="7">
        <v>4150</v>
      </c>
      <c r="H154" s="2">
        <f t="shared" ref="H154:H155" si="54">G154/F154</f>
        <v>6.4541213063763605</v>
      </c>
      <c r="I154" s="7">
        <v>0</v>
      </c>
      <c r="J154" s="1">
        <f t="shared" si="52"/>
        <v>643</v>
      </c>
      <c r="K154" s="8">
        <v>626</v>
      </c>
      <c r="L154" s="2">
        <f t="shared" si="51"/>
        <v>38.269968051118212</v>
      </c>
      <c r="M154" s="7">
        <v>23957</v>
      </c>
      <c r="N154" s="7">
        <v>19900</v>
      </c>
      <c r="O154" s="20">
        <v>2.6599999999999999E-2</v>
      </c>
      <c r="P154" s="8">
        <v>16652</v>
      </c>
      <c r="Q154" s="8">
        <v>0</v>
      </c>
      <c r="R154" s="18">
        <v>26.6</v>
      </c>
      <c r="S154" s="2">
        <f t="shared" ref="S154:S155" si="55">C154+L154</f>
        <v>65.469968051118215</v>
      </c>
      <c r="T154" s="2">
        <f t="shared" si="53"/>
        <v>20.14587869362364</v>
      </c>
      <c r="U154" s="11">
        <f t="shared" si="48"/>
        <v>521.85165087448354</v>
      </c>
      <c r="V154" s="2">
        <f t="shared" ref="V154:V155" si="56">N154/(P154-G154)</f>
        <v>1.5917453207486802</v>
      </c>
      <c r="W154" s="7"/>
      <c r="X154" s="7"/>
      <c r="Y154" s="7"/>
      <c r="AA154" s="7"/>
      <c r="AB154" s="7"/>
      <c r="AC154" s="7"/>
      <c r="AD154" s="7"/>
      <c r="AE154" s="7"/>
      <c r="AF154" s="7"/>
      <c r="AG154" s="1">
        <f t="shared" si="47"/>
        <v>0</v>
      </c>
      <c r="AJ154" s="7" t="s">
        <v>119</v>
      </c>
      <c r="AK154" s="2"/>
      <c r="AL154" s="2"/>
      <c r="AM154" s="2"/>
    </row>
    <row r="155" spans="1:39" x14ac:dyDescent="0.25">
      <c r="A155" s="22">
        <v>2624</v>
      </c>
      <c r="B155" s="1" t="s">
        <v>37</v>
      </c>
      <c r="C155" s="1">
        <v>27.6</v>
      </c>
      <c r="D155" s="13">
        <v>46212</v>
      </c>
      <c r="E155" s="13">
        <v>46251</v>
      </c>
      <c r="F155" s="1">
        <v>610</v>
      </c>
      <c r="G155" s="1">
        <v>4034</v>
      </c>
      <c r="H155" s="2">
        <f t="shared" si="54"/>
        <v>6.613114754098361</v>
      </c>
      <c r="I155" s="1">
        <v>84</v>
      </c>
      <c r="J155" s="1">
        <f t="shared" si="52"/>
        <v>526</v>
      </c>
      <c r="K155" s="11">
        <v>520</v>
      </c>
      <c r="L155" s="2">
        <f t="shared" si="51"/>
        <v>41.992307692307691</v>
      </c>
      <c r="M155" s="1">
        <v>22676</v>
      </c>
      <c r="N155" s="1">
        <v>18300</v>
      </c>
      <c r="O155" s="6">
        <v>9.9000000000000008E-3</v>
      </c>
      <c r="P155" s="11">
        <v>16096</v>
      </c>
      <c r="Q155" s="2">
        <v>21.5</v>
      </c>
      <c r="R155" s="2">
        <v>27.48</v>
      </c>
      <c r="S155" s="2">
        <f t="shared" si="55"/>
        <v>69.592307692307685</v>
      </c>
      <c r="T155" s="2">
        <f t="shared" si="53"/>
        <v>20.866885245901639</v>
      </c>
      <c r="U155" s="11">
        <f t="shared" si="48"/>
        <v>531.92802963485622</v>
      </c>
      <c r="V155" s="2">
        <f t="shared" si="56"/>
        <v>1.5171613331122533</v>
      </c>
      <c r="AG155" s="1">
        <f t="shared" si="47"/>
        <v>0</v>
      </c>
      <c r="AJ155" s="1" t="s">
        <v>120</v>
      </c>
      <c r="AK155" s="2"/>
      <c r="AL155" s="2"/>
      <c r="AM155" s="2"/>
    </row>
    <row r="156" spans="1:39" x14ac:dyDescent="0.25">
      <c r="AK156" s="2"/>
      <c r="AL156" s="2"/>
      <c r="AM156" s="2"/>
    </row>
    <row r="157" spans="1:39" x14ac:dyDescent="0.25">
      <c r="AK157" s="2"/>
      <c r="AL157" s="2"/>
      <c r="AM157" s="2"/>
    </row>
    <row r="158" spans="1:39" x14ac:dyDescent="0.25">
      <c r="AK158" s="2"/>
      <c r="AL158" s="2"/>
      <c r="AM158" s="2"/>
    </row>
    <row r="159" spans="1:39" x14ac:dyDescent="0.25">
      <c r="AK159" s="2"/>
      <c r="AL159" s="2"/>
      <c r="AM159" s="2"/>
    </row>
    <row r="160" spans="1:39" x14ac:dyDescent="0.25">
      <c r="AK160" s="2"/>
      <c r="AL160" s="2"/>
      <c r="AM160" s="2"/>
    </row>
    <row r="161" spans="37:39" x14ac:dyDescent="0.25">
      <c r="AK161" s="2"/>
      <c r="AL161" s="2"/>
      <c r="AM161" s="2"/>
    </row>
    <row r="162" spans="37:39" x14ac:dyDescent="0.25">
      <c r="AK162" s="2"/>
      <c r="AL162" s="2"/>
      <c r="AM162" s="2"/>
    </row>
    <row r="163" spans="37:39" x14ac:dyDescent="0.25">
      <c r="AK163" s="2"/>
      <c r="AL163" s="2"/>
      <c r="AM163" s="2"/>
    </row>
    <row r="164" spans="37:39" x14ac:dyDescent="0.25">
      <c r="AK164" s="2"/>
      <c r="AL164" s="2"/>
      <c r="AM164" s="2"/>
    </row>
    <row r="165" spans="37:39" x14ac:dyDescent="0.25">
      <c r="AK165" s="2"/>
      <c r="AL165" s="2"/>
      <c r="AM165" s="2"/>
    </row>
    <row r="166" spans="37:39" x14ac:dyDescent="0.25">
      <c r="AK166" s="2"/>
      <c r="AL166" s="2"/>
      <c r="AM166" s="2"/>
    </row>
    <row r="167" spans="37:39" x14ac:dyDescent="0.25">
      <c r="AK167" s="2"/>
      <c r="AL167" s="2"/>
      <c r="AM167" s="2"/>
    </row>
    <row r="168" spans="37:39" x14ac:dyDescent="0.25">
      <c r="AK168" s="2"/>
      <c r="AL168" s="2"/>
      <c r="AM168" s="2"/>
    </row>
    <row r="169" spans="37:39" x14ac:dyDescent="0.25">
      <c r="AK169" s="2"/>
      <c r="AL169" s="2"/>
      <c r="AM169" s="2"/>
    </row>
    <row r="170" spans="37:39" x14ac:dyDescent="0.25">
      <c r="AK170" s="2"/>
      <c r="AL170" s="2"/>
      <c r="AM170" s="2"/>
    </row>
    <row r="171" spans="37:39" x14ac:dyDescent="0.25">
      <c r="AK171" s="2"/>
      <c r="AL171" s="2"/>
      <c r="AM171" s="2"/>
    </row>
    <row r="172" spans="37:39" x14ac:dyDescent="0.25">
      <c r="AK172" s="2"/>
      <c r="AL172" s="2"/>
      <c r="AM172" s="2"/>
    </row>
    <row r="173" spans="37:39" x14ac:dyDescent="0.25">
      <c r="AK173" s="2"/>
      <c r="AL173" s="2"/>
      <c r="AM173" s="2"/>
    </row>
    <row r="174" spans="37:39" x14ac:dyDescent="0.25">
      <c r="AK174" s="2"/>
      <c r="AL174" s="2"/>
      <c r="AM174" s="2"/>
    </row>
    <row r="175" spans="37:39" x14ac:dyDescent="0.25">
      <c r="AK175" s="2"/>
      <c r="AL175" s="2"/>
      <c r="AM175" s="2"/>
    </row>
    <row r="176" spans="37:39" x14ac:dyDescent="0.25">
      <c r="AK176" s="2"/>
      <c r="AL176" s="2"/>
      <c r="AM176" s="2"/>
    </row>
    <row r="177" spans="37:39" x14ac:dyDescent="0.25">
      <c r="AK177" s="2"/>
      <c r="AL177" s="2"/>
      <c r="AM177" s="2"/>
    </row>
    <row r="178" spans="37:39" x14ac:dyDescent="0.25">
      <c r="AK178" s="2"/>
      <c r="AL178" s="2"/>
      <c r="AM178" s="2"/>
    </row>
    <row r="179" spans="37:39" x14ac:dyDescent="0.25">
      <c r="AK179" s="2"/>
      <c r="AL179" s="2"/>
      <c r="AM179" s="2"/>
    </row>
    <row r="180" spans="37:39" x14ac:dyDescent="0.25">
      <c r="AK180" s="2"/>
      <c r="AL180" s="2"/>
      <c r="AM180" s="2"/>
    </row>
    <row r="181" spans="37:39" x14ac:dyDescent="0.25">
      <c r="AK181" s="2"/>
      <c r="AL181" s="2"/>
      <c r="AM181" s="2"/>
    </row>
    <row r="182" spans="37:39" x14ac:dyDescent="0.25">
      <c r="AK182" s="2"/>
      <c r="AL182" s="2"/>
      <c r="AM182" s="2"/>
    </row>
    <row r="183" spans="37:39" x14ac:dyDescent="0.25">
      <c r="AK183" s="2"/>
      <c r="AL183" s="2"/>
      <c r="AM183" s="2"/>
    </row>
    <row r="184" spans="37:39" x14ac:dyDescent="0.25">
      <c r="AK184" s="2"/>
      <c r="AL184" s="2"/>
      <c r="AM184" s="2"/>
    </row>
    <row r="185" spans="37:39" x14ac:dyDescent="0.25">
      <c r="AK185" s="2"/>
      <c r="AL185" s="2"/>
      <c r="AM185" s="2"/>
    </row>
    <row r="186" spans="37:39" x14ac:dyDescent="0.25">
      <c r="AK186" s="2"/>
      <c r="AL186" s="2"/>
      <c r="AM186" s="2"/>
    </row>
    <row r="187" spans="37:39" x14ac:dyDescent="0.25">
      <c r="AK187" s="2"/>
      <c r="AL187" s="2"/>
      <c r="AM187" s="2"/>
    </row>
    <row r="188" spans="37:39" x14ac:dyDescent="0.25">
      <c r="AK188" s="2"/>
      <c r="AL188" s="2"/>
      <c r="AM188" s="2"/>
    </row>
    <row r="189" spans="37:39" x14ac:dyDescent="0.25">
      <c r="AK189" s="2"/>
      <c r="AL189" s="2"/>
      <c r="AM189" s="2"/>
    </row>
    <row r="190" spans="37:39" x14ac:dyDescent="0.25">
      <c r="AK190" s="2"/>
      <c r="AL190" s="2"/>
      <c r="AM190" s="2"/>
    </row>
    <row r="191" spans="37:39" x14ac:dyDescent="0.25">
      <c r="AK191" s="2"/>
      <c r="AL191" s="2"/>
      <c r="AM191" s="2"/>
    </row>
    <row r="192" spans="37:39" x14ac:dyDescent="0.25">
      <c r="AK192" s="2"/>
      <c r="AL192" s="2"/>
      <c r="AM192" s="2"/>
    </row>
    <row r="193" spans="37:39" x14ac:dyDescent="0.25">
      <c r="AK193" s="2"/>
      <c r="AL193" s="2"/>
      <c r="AM193" s="2"/>
    </row>
    <row r="194" spans="37:39" x14ac:dyDescent="0.25">
      <c r="AK194" s="2"/>
      <c r="AL194" s="2"/>
      <c r="AM194" s="2"/>
    </row>
    <row r="195" spans="37:39" x14ac:dyDescent="0.25">
      <c r="AK195" s="2"/>
      <c r="AL195" s="2"/>
      <c r="AM195" s="2"/>
    </row>
    <row r="196" spans="37:39" x14ac:dyDescent="0.25">
      <c r="AK196" s="2"/>
      <c r="AL196" s="2"/>
      <c r="AM196" s="2"/>
    </row>
    <row r="197" spans="37:39" x14ac:dyDescent="0.25">
      <c r="AK197" s="2"/>
      <c r="AL197" s="2"/>
      <c r="AM197" s="2"/>
    </row>
    <row r="198" spans="37:39" x14ac:dyDescent="0.25">
      <c r="AK198" s="2"/>
      <c r="AL198" s="2"/>
      <c r="AM198" s="2"/>
    </row>
    <row r="199" spans="37:39" x14ac:dyDescent="0.25">
      <c r="AK199" s="2"/>
      <c r="AL199" s="2"/>
      <c r="AM199" s="2"/>
    </row>
    <row r="200" spans="37:39" x14ac:dyDescent="0.25">
      <c r="AK200" s="2"/>
      <c r="AL200" s="2"/>
      <c r="AM200" s="2"/>
    </row>
    <row r="201" spans="37:39" x14ac:dyDescent="0.25">
      <c r="AK201" s="2"/>
      <c r="AL201" s="2"/>
      <c r="AM201" s="2"/>
    </row>
    <row r="202" spans="37:39" x14ac:dyDescent="0.25">
      <c r="AK202" s="2"/>
      <c r="AL202" s="2"/>
      <c r="AM202" s="2"/>
    </row>
    <row r="203" spans="37:39" x14ac:dyDescent="0.25">
      <c r="AK203" s="2"/>
      <c r="AL203" s="2"/>
      <c r="AM203" s="2"/>
    </row>
    <row r="204" spans="37:39" x14ac:dyDescent="0.25">
      <c r="AK204" s="2"/>
      <c r="AL204" s="2"/>
      <c r="AM204" s="2"/>
    </row>
    <row r="205" spans="37:39" x14ac:dyDescent="0.25">
      <c r="AK205" s="2"/>
      <c r="AL205" s="2"/>
      <c r="AM205" s="2"/>
    </row>
    <row r="206" spans="37:39" x14ac:dyDescent="0.25">
      <c r="AK206" s="2"/>
      <c r="AL206" s="2"/>
      <c r="AM206" s="2"/>
    </row>
    <row r="207" spans="37:39" x14ac:dyDescent="0.25">
      <c r="AK207" s="2"/>
      <c r="AL207" s="2"/>
      <c r="AM207" s="2"/>
    </row>
    <row r="208" spans="37:39" x14ac:dyDescent="0.25">
      <c r="AK208" s="2"/>
      <c r="AL208" s="2"/>
      <c r="AM208" s="2"/>
    </row>
    <row r="209" spans="37:39" x14ac:dyDescent="0.25">
      <c r="AK209" s="2"/>
      <c r="AL209" s="2"/>
      <c r="AM209" s="2"/>
    </row>
    <row r="210" spans="37:39" x14ac:dyDescent="0.25">
      <c r="AK210" s="2"/>
      <c r="AL210" s="2"/>
      <c r="AM210" s="2"/>
    </row>
    <row r="211" spans="37:39" x14ac:dyDescent="0.25">
      <c r="AK211" s="2"/>
      <c r="AL211" s="2"/>
      <c r="AM211" s="2"/>
    </row>
    <row r="212" spans="37:39" x14ac:dyDescent="0.25">
      <c r="AK212" s="2"/>
      <c r="AL212" s="2"/>
      <c r="AM212" s="2"/>
    </row>
    <row r="213" spans="37:39" x14ac:dyDescent="0.25">
      <c r="AK213" s="2"/>
      <c r="AL213" s="2"/>
      <c r="AM213" s="2"/>
    </row>
    <row r="214" spans="37:39" x14ac:dyDescent="0.25">
      <c r="AK214" s="2"/>
      <c r="AL214" s="2"/>
      <c r="AM214" s="2"/>
    </row>
    <row r="215" spans="37:39" x14ac:dyDescent="0.25">
      <c r="AK215" s="2"/>
      <c r="AL215" s="2"/>
      <c r="AM215" s="2"/>
    </row>
    <row r="216" spans="37:39" x14ac:dyDescent="0.25">
      <c r="AK216" s="2"/>
      <c r="AL216" s="2"/>
      <c r="AM216" s="2"/>
    </row>
    <row r="217" spans="37:39" x14ac:dyDescent="0.25">
      <c r="AK217" s="2"/>
      <c r="AL217" s="2"/>
      <c r="AM217" s="2"/>
    </row>
    <row r="218" spans="37:39" x14ac:dyDescent="0.25">
      <c r="AK218" s="2"/>
      <c r="AL218" s="2"/>
      <c r="AM218" s="2"/>
    </row>
    <row r="219" spans="37:39" x14ac:dyDescent="0.25">
      <c r="AK219" s="2"/>
      <c r="AL219" s="2"/>
      <c r="AM219" s="2"/>
    </row>
    <row r="220" spans="37:39" x14ac:dyDescent="0.25">
      <c r="AK220" s="2"/>
      <c r="AL220" s="2"/>
      <c r="AM220" s="2"/>
    </row>
    <row r="221" spans="37:39" x14ac:dyDescent="0.25">
      <c r="AK221" s="2"/>
      <c r="AL221" s="2"/>
      <c r="AM221" s="2"/>
    </row>
    <row r="222" spans="37:39" x14ac:dyDescent="0.25">
      <c r="AK222" s="2"/>
      <c r="AL222" s="2"/>
      <c r="AM222" s="2"/>
    </row>
    <row r="223" spans="37:39" x14ac:dyDescent="0.25">
      <c r="AK223" s="2"/>
      <c r="AL223" s="2"/>
      <c r="AM223" s="2"/>
    </row>
    <row r="224" spans="37:39" x14ac:dyDescent="0.25">
      <c r="AK224" s="2"/>
      <c r="AL224" s="2"/>
      <c r="AM224" s="2"/>
    </row>
    <row r="225" spans="37:39" x14ac:dyDescent="0.25">
      <c r="AK225" s="2"/>
      <c r="AL225" s="2"/>
      <c r="AM225" s="2"/>
    </row>
    <row r="226" spans="37:39" x14ac:dyDescent="0.25">
      <c r="AK226" s="2"/>
      <c r="AL226" s="2"/>
      <c r="AM226" s="2"/>
    </row>
    <row r="227" spans="37:39" x14ac:dyDescent="0.25">
      <c r="AK227" s="2"/>
      <c r="AL227" s="2"/>
      <c r="AM227" s="2"/>
    </row>
    <row r="228" spans="37:39" x14ac:dyDescent="0.25">
      <c r="AK228" s="2"/>
      <c r="AL228" s="2"/>
      <c r="AM228" s="2"/>
    </row>
    <row r="229" spans="37:39" x14ac:dyDescent="0.25">
      <c r="AK229" s="2"/>
      <c r="AL229" s="2"/>
      <c r="AM229" s="2"/>
    </row>
    <row r="230" spans="37:39" x14ac:dyDescent="0.25">
      <c r="AK230" s="2"/>
      <c r="AL230" s="2"/>
      <c r="AM230" s="2"/>
    </row>
    <row r="231" spans="37:39" x14ac:dyDescent="0.25">
      <c r="AK231" s="2"/>
      <c r="AL231" s="2"/>
      <c r="AM231" s="2"/>
    </row>
    <row r="232" spans="37:39" x14ac:dyDescent="0.25">
      <c r="AK232" s="2"/>
      <c r="AL232" s="2"/>
      <c r="AM232" s="2"/>
    </row>
    <row r="233" spans="37:39" x14ac:dyDescent="0.25">
      <c r="AK233" s="2"/>
      <c r="AL233" s="2"/>
      <c r="AM233" s="2"/>
    </row>
    <row r="234" spans="37:39" x14ac:dyDescent="0.25">
      <c r="AK234" s="2"/>
      <c r="AL234" s="2"/>
      <c r="AM234" s="2"/>
    </row>
    <row r="235" spans="37:39" x14ac:dyDescent="0.25">
      <c r="AK235" s="2"/>
      <c r="AL235" s="2"/>
      <c r="AM235" s="2"/>
    </row>
    <row r="236" spans="37:39" x14ac:dyDescent="0.25">
      <c r="AK236" s="2"/>
      <c r="AL236" s="2"/>
      <c r="AM236" s="2"/>
    </row>
    <row r="237" spans="37:39" x14ac:dyDescent="0.25">
      <c r="AK237" s="2"/>
      <c r="AL237" s="2"/>
      <c r="AM237" s="2"/>
    </row>
    <row r="238" spans="37:39" x14ac:dyDescent="0.25">
      <c r="AK238" s="2"/>
      <c r="AL238" s="2"/>
      <c r="AM238" s="2"/>
    </row>
    <row r="239" spans="37:39" x14ac:dyDescent="0.25">
      <c r="AK239" s="2"/>
      <c r="AL239" s="2"/>
      <c r="AM239" s="2"/>
    </row>
    <row r="240" spans="37:39" x14ac:dyDescent="0.25">
      <c r="AK240" s="2"/>
      <c r="AL240" s="2"/>
      <c r="AM240" s="2"/>
    </row>
    <row r="241" spans="37:39" x14ac:dyDescent="0.25">
      <c r="AK241" s="2"/>
      <c r="AL241" s="2"/>
      <c r="AM241" s="2"/>
    </row>
    <row r="242" spans="37:39" x14ac:dyDescent="0.25">
      <c r="AK242" s="2"/>
      <c r="AL242" s="2"/>
      <c r="AM242" s="2"/>
    </row>
    <row r="243" spans="37:39" x14ac:dyDescent="0.25">
      <c r="AK243" s="2"/>
      <c r="AL243" s="2"/>
      <c r="AM243" s="2"/>
    </row>
    <row r="244" spans="37:39" x14ac:dyDescent="0.25">
      <c r="AK244" s="2"/>
      <c r="AL244" s="2"/>
      <c r="AM244" s="2"/>
    </row>
    <row r="245" spans="37:39" x14ac:dyDescent="0.25">
      <c r="AK245" s="2"/>
      <c r="AL245" s="2"/>
      <c r="AM245" s="2"/>
    </row>
    <row r="246" spans="37:39" x14ac:dyDescent="0.25">
      <c r="AK246" s="2"/>
      <c r="AL246" s="2"/>
      <c r="AM246" s="2"/>
    </row>
    <row r="247" spans="37:39" x14ac:dyDescent="0.25">
      <c r="AK247" s="2"/>
      <c r="AL247" s="2"/>
      <c r="AM247" s="2"/>
    </row>
    <row r="248" spans="37:39" x14ac:dyDescent="0.25">
      <c r="AK248" s="2"/>
      <c r="AL248" s="2"/>
      <c r="AM248" s="2"/>
    </row>
    <row r="249" spans="37:39" x14ac:dyDescent="0.25">
      <c r="AK249" s="2"/>
      <c r="AL249" s="2"/>
      <c r="AM249" s="2"/>
    </row>
    <row r="250" spans="37:39" x14ac:dyDescent="0.25">
      <c r="AK250" s="2"/>
      <c r="AL250" s="2"/>
      <c r="AM250" s="2"/>
    </row>
    <row r="251" spans="37:39" x14ac:dyDescent="0.25">
      <c r="AK251" s="2"/>
      <c r="AL251" s="2"/>
      <c r="AM251" s="2"/>
    </row>
    <row r="252" spans="37:39" x14ac:dyDescent="0.25">
      <c r="AK252" s="2"/>
      <c r="AL252" s="2"/>
      <c r="AM252" s="2"/>
    </row>
    <row r="253" spans="37:39" x14ac:dyDescent="0.25">
      <c r="AK253" s="2"/>
      <c r="AL253" s="2"/>
      <c r="AM253" s="2"/>
    </row>
    <row r="254" spans="37:39" x14ac:dyDescent="0.25">
      <c r="AK254" s="2"/>
      <c r="AL254" s="2"/>
      <c r="AM254" s="2"/>
    </row>
    <row r="255" spans="37:39" x14ac:dyDescent="0.25">
      <c r="AK255" s="2"/>
      <c r="AL255" s="2"/>
      <c r="AM255" s="2"/>
    </row>
    <row r="256" spans="37:39" x14ac:dyDescent="0.25">
      <c r="AK256" s="2"/>
      <c r="AL256" s="2"/>
      <c r="AM256" s="2"/>
    </row>
    <row r="257" spans="37:39" x14ac:dyDescent="0.25">
      <c r="AK257" s="2"/>
      <c r="AL257" s="2"/>
      <c r="AM257" s="2"/>
    </row>
    <row r="258" spans="37:39" x14ac:dyDescent="0.25">
      <c r="AK258" s="2"/>
      <c r="AL258" s="2"/>
      <c r="AM258" s="2"/>
    </row>
    <row r="259" spans="37:39" x14ac:dyDescent="0.25">
      <c r="AK259" s="2"/>
      <c r="AL259" s="2"/>
      <c r="AM259" s="2"/>
    </row>
    <row r="260" spans="37:39" x14ac:dyDescent="0.25">
      <c r="AK260" s="2"/>
      <c r="AL260" s="2"/>
      <c r="AM260" s="2"/>
    </row>
    <row r="261" spans="37:39" x14ac:dyDescent="0.25">
      <c r="AK261" s="2"/>
      <c r="AL261" s="2"/>
      <c r="AM261" s="2"/>
    </row>
    <row r="262" spans="37:39" x14ac:dyDescent="0.25">
      <c r="AK262" s="2"/>
      <c r="AL262" s="2"/>
      <c r="AM262" s="2"/>
    </row>
    <row r="263" spans="37:39" x14ac:dyDescent="0.25">
      <c r="AK263" s="2"/>
      <c r="AL263" s="2"/>
      <c r="AM263" s="2"/>
    </row>
    <row r="264" spans="37:39" x14ac:dyDescent="0.25">
      <c r="AK264" s="2"/>
      <c r="AL264" s="2"/>
      <c r="AM264" s="2"/>
    </row>
    <row r="265" spans="37:39" x14ac:dyDescent="0.25">
      <c r="AK265" s="2"/>
      <c r="AL265" s="2"/>
      <c r="AM265" s="2"/>
    </row>
    <row r="266" spans="37:39" x14ac:dyDescent="0.25">
      <c r="AK266" s="2"/>
      <c r="AL266" s="2"/>
      <c r="AM266" s="2"/>
    </row>
    <row r="267" spans="37:39" x14ac:dyDescent="0.25">
      <c r="AK267" s="2"/>
      <c r="AL267" s="2"/>
      <c r="AM267" s="2"/>
    </row>
    <row r="268" spans="37:39" x14ac:dyDescent="0.25">
      <c r="AK268" s="2"/>
      <c r="AL268" s="2"/>
      <c r="AM268" s="2"/>
    </row>
    <row r="269" spans="37:39" x14ac:dyDescent="0.25">
      <c r="AK269" s="2"/>
      <c r="AL269" s="2"/>
      <c r="AM269" s="2"/>
    </row>
    <row r="270" spans="37:39" x14ac:dyDescent="0.25">
      <c r="AK270" s="2"/>
      <c r="AL270" s="2"/>
      <c r="AM270" s="2"/>
    </row>
    <row r="271" spans="37:39" x14ac:dyDescent="0.25">
      <c r="AK271" s="2"/>
      <c r="AL271" s="2"/>
      <c r="AM271" s="2"/>
    </row>
    <row r="272" spans="37:39" x14ac:dyDescent="0.25">
      <c r="AK272" s="2"/>
      <c r="AL272" s="2"/>
      <c r="AM272" s="2"/>
    </row>
    <row r="273" spans="37:39" x14ac:dyDescent="0.25">
      <c r="AK273" s="2"/>
      <c r="AL273" s="2"/>
      <c r="AM273" s="2"/>
    </row>
    <row r="274" spans="37:39" x14ac:dyDescent="0.25">
      <c r="AK274" s="2"/>
      <c r="AL274" s="2"/>
      <c r="AM274" s="2"/>
    </row>
    <row r="275" spans="37:39" x14ac:dyDescent="0.25">
      <c r="AK275" s="2"/>
      <c r="AL275" s="2"/>
      <c r="AM275" s="2"/>
    </row>
    <row r="276" spans="37:39" x14ac:dyDescent="0.25">
      <c r="AK276" s="2"/>
      <c r="AL276" s="2"/>
      <c r="AM276" s="2"/>
    </row>
    <row r="277" spans="37:39" x14ac:dyDescent="0.25">
      <c r="AK277" s="2"/>
      <c r="AL277" s="2"/>
      <c r="AM277" s="2"/>
    </row>
    <row r="278" spans="37:39" x14ac:dyDescent="0.25">
      <c r="AK278" s="2"/>
      <c r="AL278" s="2"/>
      <c r="AM278" s="2"/>
    </row>
    <row r="279" spans="37:39" x14ac:dyDescent="0.25">
      <c r="AK279" s="2"/>
      <c r="AL279" s="2"/>
      <c r="AM279" s="2"/>
    </row>
    <row r="280" spans="37:39" x14ac:dyDescent="0.25">
      <c r="AK280" s="2"/>
      <c r="AL280" s="2"/>
      <c r="AM280" s="2"/>
    </row>
    <row r="281" spans="37:39" x14ac:dyDescent="0.25">
      <c r="AK281" s="2"/>
      <c r="AL281" s="2"/>
      <c r="AM281" s="2"/>
    </row>
    <row r="282" spans="37:39" x14ac:dyDescent="0.25">
      <c r="AK282" s="2"/>
      <c r="AL282" s="2"/>
      <c r="AM282" s="2"/>
    </row>
    <row r="283" spans="37:39" x14ac:dyDescent="0.25">
      <c r="AK283" s="2"/>
      <c r="AL283" s="2"/>
      <c r="AM283" s="2"/>
    </row>
    <row r="284" spans="37:39" x14ac:dyDescent="0.25">
      <c r="AK284" s="2"/>
      <c r="AL284" s="2"/>
      <c r="AM284" s="2"/>
    </row>
    <row r="285" spans="37:39" x14ac:dyDescent="0.25">
      <c r="AK285" s="2"/>
      <c r="AL285" s="2"/>
      <c r="AM285" s="2"/>
    </row>
    <row r="286" spans="37:39" x14ac:dyDescent="0.25">
      <c r="AK286" s="2"/>
      <c r="AL286" s="2"/>
      <c r="AM286" s="2"/>
    </row>
    <row r="287" spans="37:39" x14ac:dyDescent="0.25">
      <c r="AK287" s="2"/>
      <c r="AL287" s="2"/>
      <c r="AM287" s="2"/>
    </row>
    <row r="288" spans="37:39" x14ac:dyDescent="0.25">
      <c r="AK288" s="2"/>
      <c r="AL288" s="2"/>
      <c r="AM288" s="2"/>
    </row>
    <row r="289" spans="37:39" x14ac:dyDescent="0.25">
      <c r="AK289" s="2"/>
      <c r="AL289" s="2"/>
      <c r="AM289" s="2"/>
    </row>
    <row r="290" spans="37:39" x14ac:dyDescent="0.25">
      <c r="AK290" s="2"/>
      <c r="AL290" s="2"/>
      <c r="AM290" s="2"/>
    </row>
    <row r="291" spans="37:39" x14ac:dyDescent="0.25">
      <c r="AK291" s="2"/>
      <c r="AL291" s="2"/>
      <c r="AM291" s="2"/>
    </row>
    <row r="292" spans="37:39" x14ac:dyDescent="0.25">
      <c r="AK292" s="2"/>
      <c r="AL292" s="2"/>
      <c r="AM292" s="2"/>
    </row>
    <row r="293" spans="37:39" x14ac:dyDescent="0.25">
      <c r="AK293" s="2"/>
      <c r="AL293" s="2"/>
      <c r="AM293" s="2"/>
    </row>
    <row r="294" spans="37:39" x14ac:dyDescent="0.25">
      <c r="AK294" s="2"/>
      <c r="AL294" s="2"/>
      <c r="AM294" s="2"/>
    </row>
    <row r="295" spans="37:39" x14ac:dyDescent="0.25">
      <c r="AK295" s="2"/>
      <c r="AL295" s="2"/>
      <c r="AM295" s="2"/>
    </row>
    <row r="296" spans="37:39" x14ac:dyDescent="0.25">
      <c r="AK296" s="2"/>
      <c r="AL296" s="2"/>
      <c r="AM296" s="2"/>
    </row>
    <row r="297" spans="37:39" x14ac:dyDescent="0.25">
      <c r="AK297" s="2"/>
      <c r="AL297" s="2"/>
      <c r="AM297" s="2"/>
    </row>
    <row r="298" spans="37:39" x14ac:dyDescent="0.25">
      <c r="AK298" s="2"/>
      <c r="AL298" s="2"/>
      <c r="AM298" s="2"/>
    </row>
    <row r="299" spans="37:39" x14ac:dyDescent="0.25">
      <c r="AK299" s="2"/>
      <c r="AL299" s="2"/>
      <c r="AM299" s="2"/>
    </row>
    <row r="300" spans="37:39" x14ac:dyDescent="0.25">
      <c r="AK300" s="2"/>
      <c r="AL300" s="2"/>
      <c r="AM300" s="2"/>
    </row>
    <row r="301" spans="37:39" x14ac:dyDescent="0.25">
      <c r="AK301" s="2"/>
      <c r="AL301" s="2"/>
      <c r="AM301" s="2"/>
    </row>
    <row r="302" spans="37:39" x14ac:dyDescent="0.25">
      <c r="AK302" s="2"/>
      <c r="AL302" s="2"/>
      <c r="AM302" s="2"/>
    </row>
    <row r="303" spans="37:39" x14ac:dyDescent="0.25">
      <c r="AK303" s="2"/>
      <c r="AL303" s="2"/>
      <c r="AM303" s="2"/>
    </row>
    <row r="304" spans="37:39" x14ac:dyDescent="0.25">
      <c r="AK304" s="2"/>
      <c r="AL304" s="2"/>
      <c r="AM304" s="2"/>
    </row>
    <row r="305" spans="37:39" x14ac:dyDescent="0.25">
      <c r="AK305" s="2"/>
      <c r="AL305" s="2"/>
      <c r="AM305" s="2"/>
    </row>
    <row r="306" spans="37:39" x14ac:dyDescent="0.25">
      <c r="AK306" s="2"/>
      <c r="AL306" s="2"/>
      <c r="AM306" s="2"/>
    </row>
    <row r="307" spans="37:39" x14ac:dyDescent="0.25">
      <c r="AK307" s="2"/>
      <c r="AL307" s="2"/>
      <c r="AM307" s="2"/>
    </row>
    <row r="308" spans="37:39" x14ac:dyDescent="0.25">
      <c r="AK308" s="2"/>
      <c r="AL308" s="2"/>
      <c r="AM308" s="2"/>
    </row>
    <row r="309" spans="37:39" x14ac:dyDescent="0.25">
      <c r="AK309" s="2"/>
      <c r="AL309" s="2"/>
      <c r="AM309" s="2"/>
    </row>
    <row r="310" spans="37:39" x14ac:dyDescent="0.25">
      <c r="AK310" s="2"/>
      <c r="AL310" s="2"/>
      <c r="AM310" s="2"/>
    </row>
    <row r="311" spans="37:39" x14ac:dyDescent="0.25">
      <c r="AK311" s="2"/>
      <c r="AL311" s="2"/>
      <c r="AM311" s="2"/>
    </row>
    <row r="312" spans="37:39" x14ac:dyDescent="0.25">
      <c r="AK312" s="2"/>
      <c r="AL312" s="2"/>
      <c r="AM312" s="2"/>
    </row>
    <row r="313" spans="37:39" x14ac:dyDescent="0.25">
      <c r="AK313" s="2"/>
      <c r="AL313" s="2"/>
      <c r="AM313" s="2"/>
    </row>
    <row r="314" spans="37:39" x14ac:dyDescent="0.25">
      <c r="AK314" s="2"/>
      <c r="AL314" s="2"/>
      <c r="AM314" s="2"/>
    </row>
    <row r="315" spans="37:39" x14ac:dyDescent="0.25">
      <c r="AK315" s="2"/>
      <c r="AL315" s="2"/>
      <c r="AM315" s="2"/>
    </row>
    <row r="316" spans="37:39" x14ac:dyDescent="0.25">
      <c r="AK316" s="2"/>
      <c r="AL316" s="2"/>
      <c r="AM316" s="2"/>
    </row>
    <row r="317" spans="37:39" x14ac:dyDescent="0.25">
      <c r="AK317" s="2"/>
      <c r="AL317" s="2"/>
      <c r="AM317" s="2"/>
    </row>
    <row r="318" spans="37:39" x14ac:dyDescent="0.25">
      <c r="AK318" s="2"/>
      <c r="AL318" s="2"/>
      <c r="AM318" s="2"/>
    </row>
    <row r="319" spans="37:39" x14ac:dyDescent="0.25">
      <c r="AK319" s="2"/>
      <c r="AL319" s="2"/>
      <c r="AM319" s="2"/>
    </row>
    <row r="320" spans="37:39" x14ac:dyDescent="0.25">
      <c r="AK320" s="2"/>
      <c r="AL320" s="2"/>
      <c r="AM320" s="2"/>
    </row>
    <row r="321" spans="37:39" x14ac:dyDescent="0.25">
      <c r="AK321" s="2"/>
      <c r="AL321" s="2"/>
      <c r="AM321" s="2"/>
    </row>
    <row r="322" spans="37:39" x14ac:dyDescent="0.25">
      <c r="AK322" s="2"/>
      <c r="AL322" s="2"/>
      <c r="AM322" s="2"/>
    </row>
    <row r="323" spans="37:39" x14ac:dyDescent="0.25">
      <c r="AK323" s="2"/>
      <c r="AL323" s="2"/>
      <c r="AM323" s="2"/>
    </row>
    <row r="324" spans="37:39" x14ac:dyDescent="0.25">
      <c r="AK324" s="2"/>
      <c r="AL324" s="2"/>
      <c r="AM324" s="2"/>
    </row>
    <row r="325" spans="37:39" x14ac:dyDescent="0.25">
      <c r="AK325" s="2"/>
      <c r="AL325" s="2"/>
      <c r="AM325" s="2"/>
    </row>
    <row r="326" spans="37:39" x14ac:dyDescent="0.25">
      <c r="AK326" s="2"/>
      <c r="AL326" s="2"/>
      <c r="AM326" s="2"/>
    </row>
    <row r="327" spans="37:39" x14ac:dyDescent="0.25">
      <c r="AK327" s="2"/>
      <c r="AL327" s="2"/>
      <c r="AM327" s="2"/>
    </row>
    <row r="328" spans="37:39" x14ac:dyDescent="0.25">
      <c r="AK328" s="2"/>
      <c r="AL328" s="2"/>
      <c r="AM328" s="2"/>
    </row>
    <row r="329" spans="37:39" x14ac:dyDescent="0.25">
      <c r="AK329" s="2"/>
      <c r="AL329" s="2"/>
      <c r="AM329" s="2"/>
    </row>
    <row r="330" spans="37:39" x14ac:dyDescent="0.25">
      <c r="AK330" s="2"/>
      <c r="AL330" s="2"/>
      <c r="AM330" s="2"/>
    </row>
    <row r="331" spans="37:39" x14ac:dyDescent="0.25">
      <c r="AK331" s="2"/>
      <c r="AL331" s="2"/>
      <c r="AM331" s="2"/>
    </row>
    <row r="332" spans="37:39" x14ac:dyDescent="0.25">
      <c r="AK332" s="2"/>
      <c r="AL332" s="2"/>
      <c r="AM332" s="2"/>
    </row>
    <row r="333" spans="37:39" x14ac:dyDescent="0.25">
      <c r="AK333" s="2"/>
      <c r="AL333" s="2"/>
      <c r="AM333" s="2"/>
    </row>
    <row r="334" spans="37:39" x14ac:dyDescent="0.25">
      <c r="AK334" s="2"/>
      <c r="AL334" s="2"/>
      <c r="AM334" s="2"/>
    </row>
    <row r="335" spans="37:39" x14ac:dyDescent="0.25">
      <c r="AK335" s="2"/>
      <c r="AL335" s="2"/>
      <c r="AM335" s="2"/>
    </row>
    <row r="336" spans="37:39" x14ac:dyDescent="0.25">
      <c r="AK336" s="2"/>
      <c r="AL336" s="2"/>
      <c r="AM336" s="2"/>
    </row>
    <row r="337" spans="37:39" x14ac:dyDescent="0.25">
      <c r="AK337" s="2"/>
      <c r="AL337" s="2"/>
      <c r="AM337" s="2"/>
    </row>
    <row r="338" spans="37:39" x14ac:dyDescent="0.25">
      <c r="AK338" s="2"/>
      <c r="AL338" s="2"/>
      <c r="AM338" s="2"/>
    </row>
    <row r="339" spans="37:39" x14ac:dyDescent="0.25">
      <c r="AK339" s="2"/>
      <c r="AL339" s="2"/>
      <c r="AM339" s="2"/>
    </row>
    <row r="340" spans="37:39" x14ac:dyDescent="0.25">
      <c r="AK340" s="2"/>
      <c r="AL340" s="2"/>
      <c r="AM340" s="2"/>
    </row>
    <row r="341" spans="37:39" x14ac:dyDescent="0.25">
      <c r="AK341" s="2"/>
      <c r="AL341" s="2"/>
      <c r="AM341" s="2"/>
    </row>
    <row r="342" spans="37:39" x14ac:dyDescent="0.25">
      <c r="AK342" s="2"/>
      <c r="AL342" s="2"/>
      <c r="AM342" s="2"/>
    </row>
    <row r="343" spans="37:39" x14ac:dyDescent="0.25">
      <c r="AK343" s="2"/>
      <c r="AL343" s="2"/>
      <c r="AM343" s="2"/>
    </row>
    <row r="344" spans="37:39" x14ac:dyDescent="0.25">
      <c r="AK344" s="2"/>
      <c r="AL344" s="2"/>
      <c r="AM344" s="2"/>
    </row>
    <row r="345" spans="37:39" x14ac:dyDescent="0.25">
      <c r="AK345" s="2"/>
      <c r="AL345" s="2"/>
      <c r="AM345" s="2"/>
    </row>
    <row r="346" spans="37:39" x14ac:dyDescent="0.25">
      <c r="AK346" s="2"/>
      <c r="AL346" s="2"/>
      <c r="AM346" s="2"/>
    </row>
    <row r="347" spans="37:39" x14ac:dyDescent="0.25">
      <c r="AK347" s="2"/>
      <c r="AL347" s="2"/>
      <c r="AM347" s="2"/>
    </row>
    <row r="348" spans="37:39" x14ac:dyDescent="0.25">
      <c r="AK348" s="2"/>
      <c r="AL348" s="2"/>
      <c r="AM348" s="2"/>
    </row>
    <row r="349" spans="37:39" x14ac:dyDescent="0.25">
      <c r="AK349" s="2"/>
      <c r="AL349" s="2"/>
      <c r="AM349" s="2"/>
    </row>
    <row r="350" spans="37:39" x14ac:dyDescent="0.25">
      <c r="AK350" s="2"/>
      <c r="AL350" s="2"/>
      <c r="AM350" s="2"/>
    </row>
    <row r="351" spans="37:39" x14ac:dyDescent="0.25">
      <c r="AK351" s="2"/>
      <c r="AL351" s="2"/>
      <c r="AM351" s="2"/>
    </row>
    <row r="352" spans="37:39" x14ac:dyDescent="0.25">
      <c r="AK352" s="2"/>
      <c r="AL352" s="2"/>
      <c r="AM352" s="2"/>
    </row>
    <row r="353" spans="37:39" x14ac:dyDescent="0.25">
      <c r="AK353" s="2"/>
      <c r="AL353" s="2"/>
      <c r="AM353" s="2"/>
    </row>
    <row r="354" spans="37:39" x14ac:dyDescent="0.25">
      <c r="AK354" s="2"/>
      <c r="AL354" s="2"/>
      <c r="AM354" s="2"/>
    </row>
    <row r="355" spans="37:39" x14ac:dyDescent="0.25">
      <c r="AK355" s="2"/>
      <c r="AL355" s="2"/>
      <c r="AM355" s="2"/>
    </row>
    <row r="356" spans="37:39" x14ac:dyDescent="0.25">
      <c r="AK356" s="2"/>
      <c r="AL356" s="2"/>
      <c r="AM356" s="2"/>
    </row>
    <row r="357" spans="37:39" x14ac:dyDescent="0.25">
      <c r="AK357" s="2"/>
      <c r="AL357" s="2"/>
      <c r="AM357" s="2"/>
    </row>
    <row r="358" spans="37:39" x14ac:dyDescent="0.25">
      <c r="AK358" s="2"/>
      <c r="AL358" s="2"/>
      <c r="AM358" s="2"/>
    </row>
    <row r="359" spans="37:39" x14ac:dyDescent="0.25">
      <c r="AK359" s="2"/>
      <c r="AL359" s="2"/>
      <c r="AM359" s="2"/>
    </row>
    <row r="360" spans="37:39" x14ac:dyDescent="0.25">
      <c r="AK360" s="2"/>
      <c r="AL360" s="2"/>
      <c r="AM360" s="2"/>
    </row>
    <row r="361" spans="37:39" x14ac:dyDescent="0.25">
      <c r="AK361" s="2"/>
      <c r="AL361" s="2"/>
      <c r="AM361" s="2"/>
    </row>
    <row r="362" spans="37:39" x14ac:dyDescent="0.25">
      <c r="AK362" s="2"/>
      <c r="AL362" s="2"/>
      <c r="AM362" s="2"/>
    </row>
    <row r="363" spans="37:39" x14ac:dyDescent="0.25">
      <c r="AK363" s="2"/>
      <c r="AL363" s="2"/>
      <c r="AM363" s="2"/>
    </row>
    <row r="364" spans="37:39" x14ac:dyDescent="0.25">
      <c r="AK364" s="2"/>
      <c r="AL364" s="2"/>
      <c r="AM364" s="2"/>
    </row>
    <row r="365" spans="37:39" x14ac:dyDescent="0.25">
      <c r="AK365" s="2"/>
      <c r="AL365" s="2"/>
      <c r="AM365" s="2"/>
    </row>
    <row r="366" spans="37:39" x14ac:dyDescent="0.25">
      <c r="AK366" s="2"/>
      <c r="AL366" s="2"/>
      <c r="AM366" s="2"/>
    </row>
    <row r="367" spans="37:39" x14ac:dyDescent="0.25">
      <c r="AK367" s="2"/>
      <c r="AL367" s="2"/>
      <c r="AM367" s="2"/>
    </row>
    <row r="368" spans="37:39" x14ac:dyDescent="0.25">
      <c r="AK368" s="2"/>
      <c r="AL368" s="2"/>
      <c r="AM368" s="2"/>
    </row>
    <row r="369" spans="37:39" x14ac:dyDescent="0.25">
      <c r="AK369" s="2"/>
      <c r="AL369" s="2"/>
      <c r="AM369" s="2"/>
    </row>
    <row r="370" spans="37:39" x14ac:dyDescent="0.25">
      <c r="AK370" s="2"/>
      <c r="AL370" s="2"/>
      <c r="AM370" s="2"/>
    </row>
    <row r="371" spans="37:39" x14ac:dyDescent="0.25">
      <c r="AK371" s="2"/>
      <c r="AL371" s="2"/>
      <c r="AM371" s="2"/>
    </row>
    <row r="372" spans="37:39" x14ac:dyDescent="0.25">
      <c r="AK372" s="2"/>
      <c r="AL372" s="2"/>
      <c r="AM372" s="2"/>
    </row>
    <row r="373" spans="37:39" x14ac:dyDescent="0.25">
      <c r="AK373" s="2"/>
      <c r="AL373" s="2"/>
      <c r="AM373" s="2"/>
    </row>
    <row r="374" spans="37:39" x14ac:dyDescent="0.25">
      <c r="AK374" s="2"/>
      <c r="AL374" s="2"/>
      <c r="AM374" s="2"/>
    </row>
    <row r="375" spans="37:39" x14ac:dyDescent="0.25">
      <c r="AK375" s="2"/>
      <c r="AL375" s="2"/>
      <c r="AM375" s="2"/>
    </row>
    <row r="376" spans="37:39" x14ac:dyDescent="0.25">
      <c r="AK376" s="2"/>
      <c r="AL376" s="2"/>
      <c r="AM376" s="2"/>
    </row>
    <row r="377" spans="37:39" x14ac:dyDescent="0.25">
      <c r="AK377" s="2"/>
      <c r="AL377" s="2"/>
      <c r="AM377" s="2"/>
    </row>
    <row r="378" spans="37:39" x14ac:dyDescent="0.25">
      <c r="AK378" s="2"/>
      <c r="AL378" s="2"/>
      <c r="AM378" s="2"/>
    </row>
    <row r="379" spans="37:39" x14ac:dyDescent="0.25">
      <c r="AK379" s="2"/>
      <c r="AL379" s="2"/>
      <c r="AM379" s="2"/>
    </row>
    <row r="380" spans="37:39" x14ac:dyDescent="0.25">
      <c r="AK380" s="2"/>
      <c r="AL380" s="2"/>
      <c r="AM380" s="2"/>
    </row>
    <row r="381" spans="37:39" x14ac:dyDescent="0.25">
      <c r="AK381" s="2"/>
      <c r="AL381" s="2"/>
      <c r="AM381" s="2"/>
    </row>
    <row r="382" spans="37:39" x14ac:dyDescent="0.25">
      <c r="AK382" s="2"/>
      <c r="AL382" s="2"/>
      <c r="AM382" s="2"/>
    </row>
    <row r="383" spans="37:39" x14ac:dyDescent="0.25">
      <c r="AK383" s="2"/>
      <c r="AL383" s="2"/>
      <c r="AM383" s="2"/>
    </row>
    <row r="384" spans="37:39" x14ac:dyDescent="0.25">
      <c r="AK384" s="2"/>
      <c r="AL384" s="2"/>
      <c r="AM384" s="2"/>
    </row>
    <row r="385" spans="37:39" x14ac:dyDescent="0.25">
      <c r="AK385" s="2"/>
      <c r="AL385" s="2"/>
      <c r="AM385" s="2"/>
    </row>
    <row r="386" spans="37:39" x14ac:dyDescent="0.25">
      <c r="AK386" s="2"/>
      <c r="AL386" s="2"/>
      <c r="AM386" s="2"/>
    </row>
    <row r="387" spans="37:39" x14ac:dyDescent="0.25">
      <c r="AK387" s="2"/>
      <c r="AL387" s="2"/>
      <c r="AM387" s="2"/>
    </row>
    <row r="388" spans="37:39" x14ac:dyDescent="0.25">
      <c r="AK388" s="2"/>
      <c r="AL388" s="2"/>
      <c r="AM388" s="2"/>
    </row>
    <row r="389" spans="37:39" x14ac:dyDescent="0.25">
      <c r="AK389" s="2"/>
      <c r="AL389" s="2"/>
      <c r="AM389" s="2"/>
    </row>
    <row r="390" spans="37:39" x14ac:dyDescent="0.25">
      <c r="AK390" s="2"/>
      <c r="AL390" s="2"/>
      <c r="AM390" s="2"/>
    </row>
    <row r="391" spans="37:39" x14ac:dyDescent="0.25">
      <c r="AK391" s="2"/>
      <c r="AL391" s="2"/>
      <c r="AM391" s="2"/>
    </row>
    <row r="392" spans="37:39" x14ac:dyDescent="0.25">
      <c r="AK392" s="2"/>
      <c r="AL392" s="2"/>
      <c r="AM392" s="2"/>
    </row>
    <row r="393" spans="37:39" x14ac:dyDescent="0.25">
      <c r="AK393" s="2"/>
      <c r="AL393" s="2"/>
      <c r="AM393" s="2"/>
    </row>
    <row r="394" spans="37:39" x14ac:dyDescent="0.25">
      <c r="AK394" s="2"/>
      <c r="AL394" s="2"/>
      <c r="AM394" s="2"/>
    </row>
    <row r="395" spans="37:39" x14ac:dyDescent="0.25">
      <c r="AK395" s="2"/>
      <c r="AL395" s="2"/>
      <c r="AM395" s="2"/>
    </row>
    <row r="396" spans="37:39" x14ac:dyDescent="0.25">
      <c r="AK396" s="2"/>
      <c r="AL396" s="2"/>
      <c r="AM396" s="2"/>
    </row>
    <row r="397" spans="37:39" x14ac:dyDescent="0.25">
      <c r="AK397" s="2"/>
      <c r="AL397" s="2"/>
      <c r="AM397" s="2"/>
    </row>
    <row r="398" spans="37:39" x14ac:dyDescent="0.25">
      <c r="AK398" s="2"/>
      <c r="AL398" s="2"/>
      <c r="AM398" s="2"/>
    </row>
    <row r="399" spans="37:39" x14ac:dyDescent="0.25">
      <c r="AK399" s="2"/>
      <c r="AL399" s="2"/>
      <c r="AM399" s="2"/>
    </row>
    <row r="400" spans="37:39" x14ac:dyDescent="0.25">
      <c r="AK400" s="2"/>
      <c r="AL400" s="2"/>
      <c r="AM400" s="2"/>
    </row>
    <row r="401" spans="37:39" x14ac:dyDescent="0.25">
      <c r="AK401" s="2"/>
      <c r="AL401" s="2"/>
      <c r="AM401" s="2"/>
    </row>
    <row r="402" spans="37:39" x14ac:dyDescent="0.25">
      <c r="AK402" s="2"/>
      <c r="AL402" s="2"/>
      <c r="AM402" s="2"/>
    </row>
    <row r="403" spans="37:39" x14ac:dyDescent="0.25">
      <c r="AK403" s="2"/>
      <c r="AL403" s="2"/>
      <c r="AM403" s="2"/>
    </row>
    <row r="404" spans="37:39" x14ac:dyDescent="0.25">
      <c r="AK404" s="2"/>
      <c r="AL404" s="2"/>
      <c r="AM404" s="2"/>
    </row>
    <row r="405" spans="37:39" x14ac:dyDescent="0.25">
      <c r="AK405" s="2"/>
      <c r="AL405" s="2"/>
      <c r="AM405" s="2"/>
    </row>
    <row r="406" spans="37:39" x14ac:dyDescent="0.25">
      <c r="AK406" s="2"/>
      <c r="AL406" s="2"/>
      <c r="AM406" s="2"/>
    </row>
    <row r="407" spans="37:39" x14ac:dyDescent="0.25">
      <c r="AK407" s="2"/>
      <c r="AL407" s="2"/>
      <c r="AM407" s="2"/>
    </row>
    <row r="408" spans="37:39" x14ac:dyDescent="0.25">
      <c r="AK408" s="2"/>
      <c r="AL408" s="2"/>
      <c r="AM408" s="2"/>
    </row>
    <row r="409" spans="37:39" x14ac:dyDescent="0.25">
      <c r="AK409" s="2"/>
      <c r="AL409" s="2"/>
      <c r="AM409" s="2"/>
    </row>
    <row r="410" spans="37:39" x14ac:dyDescent="0.25">
      <c r="AK410" s="2"/>
      <c r="AL410" s="2"/>
      <c r="AM410" s="2"/>
    </row>
    <row r="411" spans="37:39" x14ac:dyDescent="0.25">
      <c r="AK411" s="2"/>
      <c r="AL411" s="2"/>
      <c r="AM411" s="2"/>
    </row>
    <row r="412" spans="37:39" x14ac:dyDescent="0.25">
      <c r="AK412" s="2"/>
      <c r="AL412" s="2"/>
      <c r="AM412" s="2"/>
    </row>
    <row r="413" spans="37:39" x14ac:dyDescent="0.25">
      <c r="AK413" s="2"/>
      <c r="AL413" s="2"/>
      <c r="AM413" s="2"/>
    </row>
    <row r="414" spans="37:39" x14ac:dyDescent="0.25">
      <c r="AK414" s="2"/>
      <c r="AL414" s="2"/>
      <c r="AM414" s="2"/>
    </row>
    <row r="415" spans="37:39" x14ac:dyDescent="0.25">
      <c r="AK415" s="2"/>
      <c r="AL415" s="2"/>
      <c r="AM415" s="2"/>
    </row>
    <row r="416" spans="37:39" x14ac:dyDescent="0.25">
      <c r="AK416" s="2"/>
      <c r="AL416" s="2"/>
      <c r="AM416" s="2"/>
    </row>
    <row r="417" spans="37:39" x14ac:dyDescent="0.25">
      <c r="AK417" s="2"/>
      <c r="AL417" s="2"/>
      <c r="AM417" s="2"/>
    </row>
    <row r="418" spans="37:39" x14ac:dyDescent="0.25">
      <c r="AK418" s="2"/>
      <c r="AL418" s="2"/>
      <c r="AM418" s="2"/>
    </row>
    <row r="419" spans="37:39" x14ac:dyDescent="0.25">
      <c r="AK419" s="2"/>
      <c r="AL419" s="2"/>
      <c r="AM419" s="2"/>
    </row>
    <row r="420" spans="37:39" x14ac:dyDescent="0.25">
      <c r="AK420" s="2"/>
      <c r="AL420" s="2"/>
      <c r="AM420" s="2"/>
    </row>
    <row r="421" spans="37:39" x14ac:dyDescent="0.25">
      <c r="AK421" s="2"/>
      <c r="AL421" s="2"/>
      <c r="AM421" s="2"/>
    </row>
    <row r="422" spans="37:39" x14ac:dyDescent="0.25">
      <c r="AK422" s="2"/>
      <c r="AL422" s="2"/>
      <c r="AM422" s="2"/>
    </row>
    <row r="423" spans="37:39" x14ac:dyDescent="0.25">
      <c r="AK423" s="2"/>
      <c r="AL423" s="2"/>
      <c r="AM423" s="2"/>
    </row>
    <row r="424" spans="37:39" x14ac:dyDescent="0.25">
      <c r="AK424" s="2"/>
      <c r="AL424" s="2"/>
      <c r="AM424" s="2"/>
    </row>
    <row r="425" spans="37:39" x14ac:dyDescent="0.25">
      <c r="AK425" s="2"/>
      <c r="AL425" s="2"/>
      <c r="AM425" s="2"/>
    </row>
    <row r="426" spans="37:39" x14ac:dyDescent="0.25">
      <c r="AK426" s="2"/>
      <c r="AL426" s="2"/>
      <c r="AM426" s="2"/>
    </row>
    <row r="427" spans="37:39" x14ac:dyDescent="0.25">
      <c r="AK427" s="2"/>
      <c r="AL427" s="2"/>
      <c r="AM427" s="2"/>
    </row>
    <row r="428" spans="37:39" x14ac:dyDescent="0.25">
      <c r="AK428" s="2"/>
      <c r="AL428" s="2"/>
      <c r="AM428" s="2"/>
    </row>
    <row r="429" spans="37:39" x14ac:dyDescent="0.25">
      <c r="AK429" s="2"/>
      <c r="AL429" s="2"/>
      <c r="AM429" s="2"/>
    </row>
    <row r="430" spans="37:39" x14ac:dyDescent="0.25">
      <c r="AK430" s="2"/>
      <c r="AL430" s="2"/>
      <c r="AM430" s="2"/>
    </row>
    <row r="431" spans="37:39" x14ac:dyDescent="0.25">
      <c r="AK431" s="2"/>
      <c r="AL431" s="2"/>
      <c r="AM431" s="2"/>
    </row>
    <row r="432" spans="37:39" x14ac:dyDescent="0.25">
      <c r="AK432" s="2"/>
      <c r="AL432" s="2"/>
      <c r="AM432" s="2"/>
    </row>
    <row r="433" spans="37:39" x14ac:dyDescent="0.25">
      <c r="AK433" s="2"/>
      <c r="AL433" s="2"/>
      <c r="AM433" s="2"/>
    </row>
    <row r="434" spans="37:39" x14ac:dyDescent="0.25">
      <c r="AK434" s="2"/>
      <c r="AL434" s="2"/>
      <c r="AM434" s="2"/>
    </row>
    <row r="435" spans="37:39" x14ac:dyDescent="0.25">
      <c r="AK435" s="2"/>
      <c r="AL435" s="2"/>
      <c r="AM435" s="2"/>
    </row>
    <row r="436" spans="37:39" x14ac:dyDescent="0.25">
      <c r="AK436" s="2"/>
      <c r="AL436" s="2"/>
      <c r="AM436" s="2"/>
    </row>
    <row r="437" spans="37:39" x14ac:dyDescent="0.25">
      <c r="AK437" s="2"/>
      <c r="AL437" s="2"/>
      <c r="AM437" s="2"/>
    </row>
    <row r="438" spans="37:39" x14ac:dyDescent="0.25">
      <c r="AK438" s="2"/>
      <c r="AL438" s="2"/>
      <c r="AM438" s="2"/>
    </row>
    <row r="439" spans="37:39" x14ac:dyDescent="0.25">
      <c r="AK439" s="2"/>
      <c r="AL439" s="2"/>
      <c r="AM439" s="2"/>
    </row>
    <row r="440" spans="37:39" x14ac:dyDescent="0.25">
      <c r="AK440" s="2"/>
      <c r="AL440" s="2"/>
      <c r="AM440" s="2"/>
    </row>
    <row r="441" spans="37:39" x14ac:dyDescent="0.25">
      <c r="AK441" s="2"/>
      <c r="AL441" s="2"/>
      <c r="AM441" s="2"/>
    </row>
    <row r="442" spans="37:39" x14ac:dyDescent="0.25">
      <c r="AK442" s="2"/>
      <c r="AL442" s="2"/>
      <c r="AM442" s="2"/>
    </row>
    <row r="443" spans="37:39" x14ac:dyDescent="0.25">
      <c r="AK443" s="2"/>
      <c r="AL443" s="2"/>
      <c r="AM443" s="2"/>
    </row>
    <row r="444" spans="37:39" x14ac:dyDescent="0.25">
      <c r="AK444" s="2"/>
      <c r="AL444" s="2"/>
      <c r="AM444" s="2"/>
    </row>
    <row r="445" spans="37:39" x14ac:dyDescent="0.25">
      <c r="AK445" s="2"/>
      <c r="AL445" s="2"/>
      <c r="AM445" s="2"/>
    </row>
    <row r="446" spans="37:39" x14ac:dyDescent="0.25">
      <c r="AK446" s="2"/>
      <c r="AL446" s="2"/>
      <c r="AM446" s="2"/>
    </row>
    <row r="447" spans="37:39" x14ac:dyDescent="0.25">
      <c r="AK447" s="2"/>
      <c r="AL447" s="2"/>
      <c r="AM447" s="2"/>
    </row>
    <row r="448" spans="37:39" x14ac:dyDescent="0.25">
      <c r="AK448" s="2"/>
      <c r="AL448" s="2"/>
      <c r="AM448" s="2"/>
    </row>
    <row r="449" spans="37:39" x14ac:dyDescent="0.25">
      <c r="AK449" s="2"/>
      <c r="AL449" s="2"/>
      <c r="AM449" s="2"/>
    </row>
    <row r="450" spans="37:39" x14ac:dyDescent="0.25">
      <c r="AK450" s="2"/>
      <c r="AL450" s="2"/>
      <c r="AM450" s="2"/>
    </row>
    <row r="451" spans="37:39" x14ac:dyDescent="0.25">
      <c r="AK451" s="2"/>
      <c r="AL451" s="2"/>
      <c r="AM451" s="2"/>
    </row>
    <row r="452" spans="37:39" x14ac:dyDescent="0.25">
      <c r="AK452" s="2"/>
      <c r="AL452" s="2"/>
      <c r="AM452" s="2"/>
    </row>
    <row r="453" spans="37:39" x14ac:dyDescent="0.25">
      <c r="AK453" s="2"/>
      <c r="AL453" s="2"/>
      <c r="AM453" s="2"/>
    </row>
    <row r="454" spans="37:39" x14ac:dyDescent="0.25">
      <c r="AK454" s="2"/>
      <c r="AL454" s="2"/>
      <c r="AM454" s="2"/>
    </row>
    <row r="455" spans="37:39" x14ac:dyDescent="0.25">
      <c r="AK455" s="2"/>
      <c r="AL455" s="2"/>
      <c r="AM455" s="2"/>
    </row>
    <row r="456" spans="37:39" x14ac:dyDescent="0.25">
      <c r="AK456" s="2"/>
      <c r="AL456" s="2"/>
      <c r="AM456" s="2"/>
    </row>
    <row r="457" spans="37:39" x14ac:dyDescent="0.25">
      <c r="AK457" s="2"/>
      <c r="AL457" s="2"/>
      <c r="AM457" s="2"/>
    </row>
    <row r="458" spans="37:39" x14ac:dyDescent="0.25">
      <c r="AK458" s="2"/>
      <c r="AL458" s="2"/>
      <c r="AM458" s="2"/>
    </row>
    <row r="459" spans="37:39" x14ac:dyDescent="0.25">
      <c r="AK459" s="2"/>
      <c r="AL459" s="2"/>
      <c r="AM459" s="2"/>
    </row>
    <row r="460" spans="37:39" x14ac:dyDescent="0.25">
      <c r="AK460" s="2"/>
      <c r="AL460" s="2"/>
      <c r="AM460" s="2"/>
    </row>
    <row r="461" spans="37:39" x14ac:dyDescent="0.25">
      <c r="AK461" s="2"/>
      <c r="AL461" s="2"/>
      <c r="AM461" s="2"/>
    </row>
    <row r="462" spans="37:39" x14ac:dyDescent="0.25">
      <c r="AK462" s="2"/>
      <c r="AL462" s="2"/>
      <c r="AM462" s="2"/>
    </row>
    <row r="463" spans="37:39" x14ac:dyDescent="0.25">
      <c r="AK463" s="2"/>
      <c r="AL463" s="2"/>
      <c r="AM463" s="2"/>
    </row>
    <row r="464" spans="37:39" x14ac:dyDescent="0.25">
      <c r="AK464" s="2"/>
      <c r="AL464" s="2"/>
      <c r="AM464" s="2"/>
    </row>
    <row r="465" spans="37:39" x14ac:dyDescent="0.25">
      <c r="AK465" s="2"/>
      <c r="AL465" s="2"/>
      <c r="AM465" s="2"/>
    </row>
    <row r="466" spans="37:39" x14ac:dyDescent="0.25">
      <c r="AK466" s="2"/>
      <c r="AL466" s="2"/>
      <c r="AM466" s="2"/>
    </row>
    <row r="467" spans="37:39" x14ac:dyDescent="0.25">
      <c r="AK467" s="2"/>
      <c r="AL467" s="2"/>
      <c r="AM467" s="2"/>
    </row>
    <row r="468" spans="37:39" x14ac:dyDescent="0.25">
      <c r="AK468" s="2"/>
      <c r="AL468" s="2"/>
      <c r="AM468" s="2"/>
    </row>
    <row r="469" spans="37:39" x14ac:dyDescent="0.25">
      <c r="AK469" s="2"/>
      <c r="AL469" s="2"/>
      <c r="AM469" s="2"/>
    </row>
    <row r="470" spans="37:39" x14ac:dyDescent="0.25">
      <c r="AK470" s="2"/>
      <c r="AL470" s="2"/>
      <c r="AM470" s="2"/>
    </row>
    <row r="471" spans="37:39" x14ac:dyDescent="0.25">
      <c r="AK471" s="2"/>
      <c r="AL471" s="2"/>
      <c r="AM471" s="2"/>
    </row>
    <row r="472" spans="37:39" x14ac:dyDescent="0.25">
      <c r="AK472" s="2"/>
      <c r="AL472" s="2"/>
      <c r="AM472" s="2"/>
    </row>
    <row r="473" spans="37:39" x14ac:dyDescent="0.25">
      <c r="AK473" s="2"/>
      <c r="AL473" s="2"/>
      <c r="AM473" s="2"/>
    </row>
    <row r="474" spans="37:39" x14ac:dyDescent="0.25">
      <c r="AK474" s="2"/>
      <c r="AL474" s="2"/>
      <c r="AM474" s="2"/>
    </row>
    <row r="475" spans="37:39" x14ac:dyDescent="0.25">
      <c r="AK475" s="2"/>
      <c r="AL475" s="2"/>
      <c r="AM475" s="2"/>
    </row>
    <row r="476" spans="37:39" x14ac:dyDescent="0.25">
      <c r="AK476" s="2"/>
      <c r="AL476" s="2"/>
      <c r="AM476" s="2"/>
    </row>
    <row r="477" spans="37:39" x14ac:dyDescent="0.25">
      <c r="AK477" s="2"/>
      <c r="AL477" s="2"/>
      <c r="AM477" s="2"/>
    </row>
    <row r="478" spans="37:39" x14ac:dyDescent="0.25">
      <c r="AK478" s="2"/>
      <c r="AL478" s="2"/>
      <c r="AM478" s="2"/>
    </row>
    <row r="479" spans="37:39" x14ac:dyDescent="0.25">
      <c r="AK479" s="2"/>
      <c r="AL479" s="2"/>
      <c r="AM479" s="2"/>
    </row>
    <row r="480" spans="37:39" x14ac:dyDescent="0.25">
      <c r="AK480" s="2"/>
      <c r="AL480" s="2"/>
      <c r="AM480" s="2"/>
    </row>
    <row r="481" spans="37:39" x14ac:dyDescent="0.25">
      <c r="AK481" s="2"/>
      <c r="AL481" s="2"/>
      <c r="AM481" s="2"/>
    </row>
    <row r="482" spans="37:39" x14ac:dyDescent="0.25">
      <c r="AK482" s="2"/>
      <c r="AL482" s="2"/>
      <c r="AM482" s="2"/>
    </row>
    <row r="483" spans="37:39" x14ac:dyDescent="0.25">
      <c r="AK483" s="2"/>
      <c r="AL483" s="2"/>
      <c r="AM483" s="2"/>
    </row>
    <row r="484" spans="37:39" x14ac:dyDescent="0.25">
      <c r="AK484" s="2"/>
      <c r="AL484" s="2"/>
      <c r="AM484" s="2"/>
    </row>
    <row r="485" spans="37:39" x14ac:dyDescent="0.25">
      <c r="AK485" s="2"/>
      <c r="AL485" s="2"/>
      <c r="AM485" s="2"/>
    </row>
    <row r="486" spans="37:39" x14ac:dyDescent="0.25">
      <c r="AK486" s="2"/>
      <c r="AL486" s="2"/>
      <c r="AM486" s="2"/>
    </row>
    <row r="487" spans="37:39" x14ac:dyDescent="0.25">
      <c r="AK487" s="2"/>
      <c r="AL487" s="2"/>
      <c r="AM487" s="2"/>
    </row>
    <row r="488" spans="37:39" x14ac:dyDescent="0.25">
      <c r="AK488" s="2"/>
      <c r="AL488" s="2"/>
      <c r="AM488" s="2"/>
    </row>
    <row r="489" spans="37:39" x14ac:dyDescent="0.25">
      <c r="AK489" s="2"/>
      <c r="AL489" s="2"/>
      <c r="AM489" s="2"/>
    </row>
    <row r="490" spans="37:39" x14ac:dyDescent="0.25">
      <c r="AK490" s="2"/>
      <c r="AL490" s="2"/>
      <c r="AM490" s="2"/>
    </row>
    <row r="491" spans="37:39" x14ac:dyDescent="0.25">
      <c r="AK491" s="2"/>
      <c r="AL491" s="2"/>
      <c r="AM491" s="2"/>
    </row>
    <row r="492" spans="37:39" x14ac:dyDescent="0.25">
      <c r="AK492" s="2"/>
      <c r="AL492" s="2"/>
      <c r="AM492" s="2"/>
    </row>
    <row r="493" spans="37:39" x14ac:dyDescent="0.25">
      <c r="AK493" s="2"/>
      <c r="AL493" s="2"/>
      <c r="AM493" s="2"/>
    </row>
    <row r="494" spans="37:39" x14ac:dyDescent="0.25">
      <c r="AK494" s="2"/>
      <c r="AL494" s="2"/>
      <c r="AM494" s="2"/>
    </row>
    <row r="495" spans="37:39" x14ac:dyDescent="0.25">
      <c r="AK495" s="2"/>
      <c r="AL495" s="2"/>
      <c r="AM495" s="2"/>
    </row>
    <row r="496" spans="37:39" x14ac:dyDescent="0.25">
      <c r="AK496" s="2"/>
      <c r="AL496" s="2"/>
      <c r="AM496" s="2"/>
    </row>
    <row r="497" spans="37:39" x14ac:dyDescent="0.25">
      <c r="AK497" s="2"/>
      <c r="AL497" s="2"/>
      <c r="AM497" s="2"/>
    </row>
    <row r="498" spans="37:39" x14ac:dyDescent="0.25">
      <c r="AK498" s="2"/>
      <c r="AL498" s="2"/>
      <c r="AM498" s="2"/>
    </row>
    <row r="499" spans="37:39" x14ac:dyDescent="0.25">
      <c r="AK499" s="2"/>
      <c r="AL499" s="2"/>
      <c r="AM499" s="2"/>
    </row>
    <row r="500" spans="37:39" x14ac:dyDescent="0.25">
      <c r="AK500" s="2"/>
      <c r="AL500" s="2"/>
      <c r="AM500" s="2"/>
    </row>
    <row r="501" spans="37:39" x14ac:dyDescent="0.25">
      <c r="AK501" s="2"/>
      <c r="AL501" s="2"/>
      <c r="AM501" s="2"/>
    </row>
    <row r="502" spans="37:39" x14ac:dyDescent="0.25">
      <c r="AK502" s="2"/>
      <c r="AL502" s="2"/>
      <c r="AM502" s="2"/>
    </row>
    <row r="503" spans="37:39" x14ac:dyDescent="0.25">
      <c r="AK503" s="2"/>
      <c r="AL503" s="2"/>
      <c r="AM503" s="2"/>
    </row>
    <row r="504" spans="37:39" x14ac:dyDescent="0.25">
      <c r="AK504" s="2"/>
      <c r="AL504" s="2"/>
      <c r="AM504" s="2"/>
    </row>
    <row r="505" spans="37:39" x14ac:dyDescent="0.25">
      <c r="AK505" s="2"/>
      <c r="AL505" s="2"/>
      <c r="AM505" s="2"/>
    </row>
    <row r="506" spans="37:39" x14ac:dyDescent="0.25">
      <c r="AK506" s="2"/>
      <c r="AL506" s="2"/>
      <c r="AM506" s="2"/>
    </row>
    <row r="507" spans="37:39" x14ac:dyDescent="0.25">
      <c r="AK507" s="2"/>
      <c r="AL507" s="2"/>
      <c r="AM507" s="2"/>
    </row>
    <row r="508" spans="37:39" x14ac:dyDescent="0.25">
      <c r="AK508" s="2"/>
      <c r="AL508" s="2"/>
      <c r="AM508" s="2"/>
    </row>
    <row r="509" spans="37:39" x14ac:dyDescent="0.25">
      <c r="AK509" s="2"/>
      <c r="AL509" s="2"/>
      <c r="AM509" s="2"/>
    </row>
    <row r="510" spans="37:39" x14ac:dyDescent="0.25">
      <c r="AK510" s="2"/>
      <c r="AL510" s="2"/>
      <c r="AM510" s="2"/>
    </row>
    <row r="511" spans="37:39" x14ac:dyDescent="0.25">
      <c r="AK511" s="2"/>
      <c r="AL511" s="2"/>
      <c r="AM511" s="2"/>
    </row>
    <row r="512" spans="37:39" x14ac:dyDescent="0.25">
      <c r="AK512" s="2"/>
      <c r="AL512" s="2"/>
      <c r="AM512" s="2"/>
    </row>
    <row r="513" spans="37:39" x14ac:dyDescent="0.25">
      <c r="AK513" s="2"/>
      <c r="AL513" s="2"/>
      <c r="AM513" s="2"/>
    </row>
    <row r="514" spans="37:39" x14ac:dyDescent="0.25">
      <c r="AK514" s="2"/>
      <c r="AL514" s="2"/>
      <c r="AM514" s="2"/>
    </row>
    <row r="515" spans="37:39" x14ac:dyDescent="0.25">
      <c r="AK515" s="2"/>
      <c r="AL515" s="2"/>
      <c r="AM515" s="2"/>
    </row>
    <row r="516" spans="37:39" x14ac:dyDescent="0.25">
      <c r="AK516" s="2"/>
      <c r="AL516" s="2"/>
      <c r="AM516" s="2"/>
    </row>
    <row r="517" spans="37:39" x14ac:dyDescent="0.25">
      <c r="AK517" s="2"/>
      <c r="AL517" s="2"/>
      <c r="AM517" s="2"/>
    </row>
    <row r="518" spans="37:39" x14ac:dyDescent="0.25">
      <c r="AK518" s="2"/>
      <c r="AL518" s="2"/>
      <c r="AM518" s="2"/>
    </row>
    <row r="519" spans="37:39" x14ac:dyDescent="0.25">
      <c r="AK519" s="2"/>
      <c r="AL519" s="2"/>
      <c r="AM519" s="2"/>
    </row>
    <row r="520" spans="37:39" x14ac:dyDescent="0.25">
      <c r="AK520" s="2"/>
      <c r="AL520" s="2"/>
      <c r="AM520" s="2"/>
    </row>
    <row r="521" spans="37:39" x14ac:dyDescent="0.25">
      <c r="AK521" s="2"/>
      <c r="AL521" s="2"/>
      <c r="AM521" s="2"/>
    </row>
    <row r="522" spans="37:39" x14ac:dyDescent="0.25">
      <c r="AK522" s="2"/>
      <c r="AL522" s="2"/>
      <c r="AM522" s="2"/>
    </row>
    <row r="523" spans="37:39" x14ac:dyDescent="0.25">
      <c r="AK523" s="2"/>
      <c r="AL523" s="2"/>
      <c r="AM523" s="2"/>
    </row>
    <row r="524" spans="37:39" x14ac:dyDescent="0.25">
      <c r="AK524" s="2"/>
      <c r="AL524" s="2"/>
      <c r="AM524" s="2"/>
    </row>
    <row r="525" spans="37:39" x14ac:dyDescent="0.25">
      <c r="AK525" s="2"/>
      <c r="AL525" s="2"/>
      <c r="AM525" s="2"/>
    </row>
    <row r="526" spans="37:39" x14ac:dyDescent="0.25">
      <c r="AK526" s="2"/>
      <c r="AL526" s="2"/>
      <c r="AM526" s="2"/>
    </row>
    <row r="527" spans="37:39" x14ac:dyDescent="0.25">
      <c r="AK527" s="2"/>
      <c r="AL527" s="2"/>
      <c r="AM527" s="2"/>
    </row>
    <row r="528" spans="37:39" x14ac:dyDescent="0.25">
      <c r="AK528" s="2"/>
      <c r="AL528" s="2"/>
      <c r="AM528" s="2"/>
    </row>
    <row r="529" spans="37:39" x14ac:dyDescent="0.25">
      <c r="AK529" s="2"/>
      <c r="AL529" s="2"/>
      <c r="AM529" s="2"/>
    </row>
    <row r="530" spans="37:39" x14ac:dyDescent="0.25">
      <c r="AK530" s="2"/>
      <c r="AL530" s="2"/>
      <c r="AM530" s="2"/>
    </row>
    <row r="531" spans="37:39" x14ac:dyDescent="0.25">
      <c r="AK531" s="2"/>
      <c r="AL531" s="2"/>
      <c r="AM531" s="2"/>
    </row>
    <row r="532" spans="37:39" x14ac:dyDescent="0.25">
      <c r="AK532" s="2"/>
      <c r="AL532" s="2"/>
      <c r="AM532" s="2"/>
    </row>
    <row r="533" spans="37:39" x14ac:dyDescent="0.25">
      <c r="AK533" s="2"/>
      <c r="AL533" s="2"/>
      <c r="AM533" s="2"/>
    </row>
    <row r="534" spans="37:39" x14ac:dyDescent="0.25">
      <c r="AK534" s="2"/>
      <c r="AL534" s="2"/>
      <c r="AM534" s="2"/>
    </row>
    <row r="535" spans="37:39" x14ac:dyDescent="0.25">
      <c r="AK535" s="2"/>
      <c r="AL535" s="2"/>
      <c r="AM535" s="2"/>
    </row>
    <row r="536" spans="37:39" x14ac:dyDescent="0.25">
      <c r="AK536" s="2"/>
      <c r="AL536" s="2"/>
      <c r="AM536" s="2"/>
    </row>
    <row r="537" spans="37:39" x14ac:dyDescent="0.25">
      <c r="AK537" s="2"/>
      <c r="AL537" s="2"/>
      <c r="AM537" s="2"/>
    </row>
    <row r="538" spans="37:39" x14ac:dyDescent="0.25">
      <c r="AK538" s="2"/>
      <c r="AL538" s="2"/>
      <c r="AM538" s="2"/>
    </row>
    <row r="539" spans="37:39" x14ac:dyDescent="0.25">
      <c r="AK539" s="2"/>
      <c r="AL539" s="2"/>
      <c r="AM539" s="2"/>
    </row>
    <row r="540" spans="37:39" x14ac:dyDescent="0.25">
      <c r="AK540" s="2"/>
      <c r="AL540" s="2"/>
      <c r="AM540" s="2"/>
    </row>
    <row r="541" spans="37:39" x14ac:dyDescent="0.25">
      <c r="AK541" s="2"/>
      <c r="AL541" s="2"/>
      <c r="AM541" s="2"/>
    </row>
    <row r="542" spans="37:39" x14ac:dyDescent="0.25">
      <c r="AK542" s="2"/>
      <c r="AL542" s="2"/>
      <c r="AM542" s="2"/>
    </row>
    <row r="543" spans="37:39" x14ac:dyDescent="0.25">
      <c r="AK543" s="2"/>
      <c r="AL543" s="2"/>
      <c r="AM543" s="2"/>
    </row>
    <row r="544" spans="37:39" x14ac:dyDescent="0.25">
      <c r="AK544" s="2"/>
      <c r="AL544" s="2"/>
      <c r="AM544" s="2"/>
    </row>
    <row r="545" spans="37:39" x14ac:dyDescent="0.25">
      <c r="AK545" s="2"/>
      <c r="AL545" s="2"/>
      <c r="AM545" s="2"/>
    </row>
    <row r="546" spans="37:39" x14ac:dyDescent="0.25">
      <c r="AK546" s="2"/>
      <c r="AL546" s="2"/>
      <c r="AM546" s="2"/>
    </row>
    <row r="547" spans="37:39" x14ac:dyDescent="0.25">
      <c r="AK547" s="2"/>
      <c r="AL547" s="2"/>
      <c r="AM547" s="2"/>
    </row>
    <row r="548" spans="37:39" x14ac:dyDescent="0.25">
      <c r="AK548" s="2"/>
      <c r="AL548" s="2"/>
      <c r="AM548" s="2"/>
    </row>
    <row r="549" spans="37:39" x14ac:dyDescent="0.25">
      <c r="AK549" s="2"/>
      <c r="AL549" s="2"/>
      <c r="AM549" s="2"/>
    </row>
    <row r="550" spans="37:39" x14ac:dyDescent="0.25">
      <c r="AK550" s="2"/>
      <c r="AL550" s="2"/>
      <c r="AM550" s="2"/>
    </row>
    <row r="551" spans="37:39" x14ac:dyDescent="0.25">
      <c r="AK551" s="2"/>
      <c r="AL551" s="2"/>
      <c r="AM551" s="2"/>
    </row>
    <row r="552" spans="37:39" x14ac:dyDescent="0.25">
      <c r="AK552" s="2"/>
      <c r="AL552" s="2"/>
      <c r="AM552" s="2"/>
    </row>
    <row r="553" spans="37:39" x14ac:dyDescent="0.25">
      <c r="AK553" s="2"/>
      <c r="AL553" s="2"/>
      <c r="AM553" s="2"/>
    </row>
    <row r="554" spans="37:39" x14ac:dyDescent="0.25">
      <c r="AK554" s="2"/>
      <c r="AL554" s="2"/>
      <c r="AM554" s="2"/>
    </row>
    <row r="555" spans="37:39" x14ac:dyDescent="0.25">
      <c r="AK555" s="2"/>
      <c r="AL555" s="2"/>
      <c r="AM555" s="2"/>
    </row>
    <row r="556" spans="37:39" x14ac:dyDescent="0.25">
      <c r="AK556" s="2"/>
      <c r="AL556" s="2"/>
      <c r="AM556" s="2"/>
    </row>
    <row r="557" spans="37:39" x14ac:dyDescent="0.25">
      <c r="AK557" s="2"/>
      <c r="AL557" s="2"/>
      <c r="AM557" s="2"/>
    </row>
    <row r="558" spans="37:39" x14ac:dyDescent="0.25">
      <c r="AK558" s="2"/>
      <c r="AL558" s="2"/>
      <c r="AM558" s="2"/>
    </row>
    <row r="559" spans="37:39" x14ac:dyDescent="0.25">
      <c r="AK559" s="2"/>
      <c r="AL559" s="2"/>
      <c r="AM559" s="2"/>
    </row>
    <row r="560" spans="37:39" x14ac:dyDescent="0.25">
      <c r="AK560" s="2"/>
      <c r="AL560" s="2"/>
      <c r="AM560" s="2"/>
    </row>
    <row r="561" spans="37:39" x14ac:dyDescent="0.25">
      <c r="AK561" s="2"/>
      <c r="AL561" s="2"/>
      <c r="AM561" s="2"/>
    </row>
    <row r="562" spans="37:39" x14ac:dyDescent="0.25">
      <c r="AK562" s="2"/>
      <c r="AL562" s="2"/>
      <c r="AM562" s="2"/>
    </row>
    <row r="563" spans="37:39" x14ac:dyDescent="0.25">
      <c r="AK563" s="2"/>
      <c r="AL563" s="2"/>
      <c r="AM563" s="2"/>
    </row>
    <row r="564" spans="37:39" x14ac:dyDescent="0.25">
      <c r="AK564" s="2"/>
      <c r="AL564" s="2"/>
      <c r="AM564" s="2"/>
    </row>
    <row r="565" spans="37:39" x14ac:dyDescent="0.25">
      <c r="AK565" s="2"/>
      <c r="AL565" s="2"/>
      <c r="AM565" s="2"/>
    </row>
    <row r="566" spans="37:39" x14ac:dyDescent="0.25">
      <c r="AK566" s="2"/>
      <c r="AL566" s="2"/>
      <c r="AM566" s="2"/>
    </row>
    <row r="567" spans="37:39" x14ac:dyDescent="0.25">
      <c r="AK567" s="2"/>
      <c r="AL567" s="2"/>
      <c r="AM567" s="2"/>
    </row>
    <row r="568" spans="37:39" x14ac:dyDescent="0.25">
      <c r="AK568" s="2"/>
      <c r="AL568" s="2"/>
      <c r="AM568" s="2"/>
    </row>
    <row r="569" spans="37:39" x14ac:dyDescent="0.25">
      <c r="AK569" s="2"/>
      <c r="AL569" s="2"/>
      <c r="AM569" s="2"/>
    </row>
    <row r="570" spans="37:39" x14ac:dyDescent="0.25">
      <c r="AK570" s="2"/>
      <c r="AL570" s="2"/>
      <c r="AM570" s="2"/>
    </row>
    <row r="571" spans="37:39" x14ac:dyDescent="0.25">
      <c r="AK571" s="2"/>
      <c r="AL571" s="2"/>
      <c r="AM571" s="2"/>
    </row>
    <row r="572" spans="37:39" x14ac:dyDescent="0.25">
      <c r="AK572" s="2"/>
      <c r="AL572" s="2"/>
      <c r="AM572" s="2"/>
    </row>
    <row r="573" spans="37:39" x14ac:dyDescent="0.25">
      <c r="AK573" s="2"/>
      <c r="AL573" s="2"/>
      <c r="AM573" s="2"/>
    </row>
    <row r="574" spans="37:39" x14ac:dyDescent="0.25">
      <c r="AK574" s="2"/>
      <c r="AL574" s="2"/>
      <c r="AM574" s="2"/>
    </row>
    <row r="575" spans="37:39" x14ac:dyDescent="0.25">
      <c r="AK575" s="2"/>
      <c r="AL575" s="2"/>
      <c r="AM575" s="2"/>
    </row>
    <row r="576" spans="37:39" x14ac:dyDescent="0.25">
      <c r="AK576" s="2"/>
      <c r="AL576" s="2"/>
      <c r="AM576" s="2"/>
    </row>
    <row r="577" spans="37:39" x14ac:dyDescent="0.25">
      <c r="AK577" s="2"/>
      <c r="AL577" s="2"/>
      <c r="AM577" s="2"/>
    </row>
    <row r="578" spans="37:39" x14ac:dyDescent="0.25">
      <c r="AK578" s="2"/>
      <c r="AL578" s="2"/>
      <c r="AM578" s="2"/>
    </row>
    <row r="579" spans="37:39" x14ac:dyDescent="0.25">
      <c r="AK579" s="2"/>
      <c r="AL579" s="2"/>
      <c r="AM579" s="2"/>
    </row>
    <row r="580" spans="37:39" x14ac:dyDescent="0.25">
      <c r="AK580" s="2"/>
      <c r="AL580" s="2"/>
      <c r="AM580" s="2"/>
    </row>
    <row r="581" spans="37:39" x14ac:dyDescent="0.25">
      <c r="AK581" s="2"/>
      <c r="AL581" s="2"/>
      <c r="AM581" s="2"/>
    </row>
    <row r="582" spans="37:39" x14ac:dyDescent="0.25">
      <c r="AK582" s="2"/>
      <c r="AL582" s="2"/>
      <c r="AM582" s="2"/>
    </row>
    <row r="583" spans="37:39" x14ac:dyDescent="0.25">
      <c r="AK583" s="2"/>
      <c r="AL583" s="2"/>
      <c r="AM583" s="2"/>
    </row>
    <row r="584" spans="37:39" x14ac:dyDescent="0.25">
      <c r="AK584" s="2"/>
      <c r="AL584" s="2"/>
      <c r="AM584" s="2"/>
    </row>
    <row r="585" spans="37:39" x14ac:dyDescent="0.25">
      <c r="AK585" s="2"/>
      <c r="AL585" s="2"/>
      <c r="AM585" s="2"/>
    </row>
    <row r="586" spans="37:39" x14ac:dyDescent="0.25">
      <c r="AK586" s="2"/>
      <c r="AL586" s="2"/>
      <c r="AM586" s="2"/>
    </row>
    <row r="587" spans="37:39" x14ac:dyDescent="0.25">
      <c r="AK587" s="2"/>
      <c r="AL587" s="2"/>
      <c r="AM587" s="2"/>
    </row>
    <row r="588" spans="37:39" x14ac:dyDescent="0.25">
      <c r="AK588" s="2"/>
      <c r="AL588" s="2"/>
      <c r="AM588" s="2"/>
    </row>
    <row r="589" spans="37:39" x14ac:dyDescent="0.25">
      <c r="AK589" s="2"/>
      <c r="AL589" s="2"/>
      <c r="AM589" s="2"/>
    </row>
    <row r="590" spans="37:39" x14ac:dyDescent="0.25">
      <c r="AK590" s="2"/>
      <c r="AL590" s="2"/>
      <c r="AM590" s="2"/>
    </row>
    <row r="591" spans="37:39" x14ac:dyDescent="0.25">
      <c r="AK591" s="2"/>
      <c r="AL591" s="2"/>
      <c r="AM591" s="2"/>
    </row>
    <row r="592" spans="37:39" x14ac:dyDescent="0.25">
      <c r="AK592" s="2"/>
      <c r="AL592" s="2"/>
      <c r="AM592" s="2"/>
    </row>
    <row r="593" spans="37:39" x14ac:dyDescent="0.25">
      <c r="AK593" s="2"/>
      <c r="AL593" s="2"/>
      <c r="AM593" s="2"/>
    </row>
    <row r="594" spans="37:39" x14ac:dyDescent="0.25">
      <c r="AK594" s="2"/>
      <c r="AL594" s="2"/>
      <c r="AM594" s="2"/>
    </row>
    <row r="595" spans="37:39" x14ac:dyDescent="0.25">
      <c r="AK595" s="2"/>
      <c r="AL595" s="2"/>
      <c r="AM595" s="2"/>
    </row>
    <row r="596" spans="37:39" x14ac:dyDescent="0.25">
      <c r="AK596" s="2"/>
      <c r="AL596" s="2"/>
      <c r="AM596" s="2"/>
    </row>
    <row r="597" spans="37:39" x14ac:dyDescent="0.25">
      <c r="AK597" s="2"/>
      <c r="AL597" s="2"/>
      <c r="AM597" s="2"/>
    </row>
    <row r="598" spans="37:39" x14ac:dyDescent="0.25">
      <c r="AK598" s="2"/>
      <c r="AL598" s="2"/>
      <c r="AM598" s="2"/>
    </row>
    <row r="599" spans="37:39" x14ac:dyDescent="0.25">
      <c r="AK599" s="2"/>
      <c r="AL599" s="2"/>
      <c r="AM599" s="2"/>
    </row>
    <row r="600" spans="37:39" x14ac:dyDescent="0.25">
      <c r="AK600" s="2"/>
      <c r="AL600" s="2"/>
      <c r="AM600" s="2"/>
    </row>
    <row r="601" spans="37:39" x14ac:dyDescent="0.25">
      <c r="AK601" s="2"/>
      <c r="AL601" s="2"/>
      <c r="AM601" s="2"/>
    </row>
    <row r="602" spans="37:39" x14ac:dyDescent="0.25">
      <c r="AK602" s="2"/>
      <c r="AL602" s="2"/>
      <c r="AM602" s="2"/>
    </row>
    <row r="603" spans="37:39" x14ac:dyDescent="0.25">
      <c r="AK603" s="2"/>
      <c r="AL603" s="2"/>
      <c r="AM603" s="2"/>
    </row>
    <row r="604" spans="37:39" x14ac:dyDescent="0.25">
      <c r="AK604" s="2"/>
      <c r="AL604" s="2"/>
      <c r="AM604" s="2"/>
    </row>
    <row r="605" spans="37:39" x14ac:dyDescent="0.25">
      <c r="AK605" s="2"/>
      <c r="AL605" s="2"/>
      <c r="AM605" s="2"/>
    </row>
    <row r="606" spans="37:39" x14ac:dyDescent="0.25">
      <c r="AK606" s="2"/>
      <c r="AL606" s="2"/>
      <c r="AM606" s="2"/>
    </row>
    <row r="607" spans="37:39" x14ac:dyDescent="0.25">
      <c r="AK607" s="2"/>
      <c r="AL607" s="2"/>
      <c r="AM607" s="2"/>
    </row>
    <row r="608" spans="37:39" x14ac:dyDescent="0.25">
      <c r="AK608" s="2"/>
      <c r="AL608" s="2"/>
      <c r="AM608" s="2"/>
    </row>
    <row r="609" spans="37:39" x14ac:dyDescent="0.25">
      <c r="AK609" s="2"/>
      <c r="AL609" s="2"/>
      <c r="AM609" s="2"/>
    </row>
    <row r="610" spans="37:39" x14ac:dyDescent="0.25">
      <c r="AK610" s="2"/>
      <c r="AL610" s="2"/>
      <c r="AM610" s="2"/>
    </row>
    <row r="611" spans="37:39" x14ac:dyDescent="0.25">
      <c r="AK611" s="2"/>
      <c r="AL611" s="2"/>
      <c r="AM611" s="2"/>
    </row>
    <row r="612" spans="37:39" x14ac:dyDescent="0.25">
      <c r="AK612" s="2"/>
      <c r="AL612" s="2"/>
      <c r="AM612" s="2"/>
    </row>
    <row r="613" spans="37:39" x14ac:dyDescent="0.25">
      <c r="AK613" s="2"/>
      <c r="AL613" s="2"/>
      <c r="AM613" s="2"/>
    </row>
    <row r="614" spans="37:39" x14ac:dyDescent="0.25">
      <c r="AK614" s="2"/>
      <c r="AL614" s="2"/>
      <c r="AM614" s="2"/>
    </row>
    <row r="615" spans="37:39" x14ac:dyDescent="0.25">
      <c r="AK615" s="2"/>
      <c r="AL615" s="2"/>
      <c r="AM615" s="2"/>
    </row>
    <row r="616" spans="37:39" x14ac:dyDescent="0.25">
      <c r="AK616" s="2"/>
      <c r="AL616" s="2"/>
      <c r="AM616" s="2"/>
    </row>
    <row r="617" spans="37:39" x14ac:dyDescent="0.25">
      <c r="AK617" s="2"/>
      <c r="AL617" s="2"/>
      <c r="AM617" s="2"/>
    </row>
    <row r="618" spans="37:39" x14ac:dyDescent="0.25">
      <c r="AK618" s="2"/>
      <c r="AL618" s="2"/>
      <c r="AM618" s="2"/>
    </row>
    <row r="619" spans="37:39" x14ac:dyDescent="0.25">
      <c r="AK619" s="2"/>
      <c r="AL619" s="2"/>
      <c r="AM619" s="2"/>
    </row>
    <row r="620" spans="37:39" x14ac:dyDescent="0.25">
      <c r="AK620" s="2"/>
      <c r="AL620" s="2"/>
      <c r="AM620" s="2"/>
    </row>
    <row r="621" spans="37:39" x14ac:dyDescent="0.25">
      <c r="AK621" s="2"/>
      <c r="AL621" s="2"/>
      <c r="AM621" s="2"/>
    </row>
    <row r="622" spans="37:39" x14ac:dyDescent="0.25">
      <c r="AK622" s="2"/>
      <c r="AL622" s="2"/>
      <c r="AM622" s="2"/>
    </row>
    <row r="623" spans="37:39" x14ac:dyDescent="0.25">
      <c r="AK623" s="2"/>
      <c r="AL623" s="2"/>
      <c r="AM623" s="2"/>
    </row>
    <row r="624" spans="37:39" x14ac:dyDescent="0.25">
      <c r="AK624" s="2"/>
      <c r="AL624" s="2"/>
      <c r="AM624" s="2"/>
    </row>
    <row r="625" spans="37:39" x14ac:dyDescent="0.25">
      <c r="AK625" s="2"/>
      <c r="AL625" s="2"/>
      <c r="AM625" s="2"/>
    </row>
    <row r="626" spans="37:39" x14ac:dyDescent="0.25">
      <c r="AK626" s="2"/>
      <c r="AL626" s="2"/>
      <c r="AM626" s="2"/>
    </row>
    <row r="627" spans="37:39" x14ac:dyDescent="0.25">
      <c r="AK627" s="2"/>
      <c r="AL627" s="2"/>
      <c r="AM627" s="2"/>
    </row>
    <row r="628" spans="37:39" x14ac:dyDescent="0.25">
      <c r="AK628" s="2"/>
      <c r="AL628" s="2"/>
      <c r="AM628" s="2"/>
    </row>
    <row r="629" spans="37:39" x14ac:dyDescent="0.25">
      <c r="AK629" s="2"/>
      <c r="AL629" s="2"/>
      <c r="AM629" s="2"/>
    </row>
    <row r="630" spans="37:39" x14ac:dyDescent="0.25">
      <c r="AK630" s="2"/>
      <c r="AL630" s="2"/>
      <c r="AM630" s="2"/>
    </row>
    <row r="631" spans="37:39" x14ac:dyDescent="0.25">
      <c r="AK631" s="2"/>
      <c r="AL631" s="2"/>
      <c r="AM631" s="2"/>
    </row>
    <row r="632" spans="37:39" x14ac:dyDescent="0.25">
      <c r="AK632" s="2"/>
      <c r="AL632" s="2"/>
      <c r="AM632" s="2"/>
    </row>
    <row r="633" spans="37:39" x14ac:dyDescent="0.25">
      <c r="AK633" s="2"/>
      <c r="AL633" s="2"/>
      <c r="AM633" s="2"/>
    </row>
    <row r="634" spans="37:39" x14ac:dyDescent="0.25">
      <c r="AK634" s="2"/>
      <c r="AL634" s="2"/>
      <c r="AM634" s="2"/>
    </row>
    <row r="635" spans="37:39" x14ac:dyDescent="0.25">
      <c r="AK635" s="2"/>
      <c r="AL635" s="2"/>
      <c r="AM635" s="2"/>
    </row>
    <row r="636" spans="37:39" x14ac:dyDescent="0.25">
      <c r="AK636" s="2"/>
      <c r="AL636" s="2"/>
      <c r="AM636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703"/>
  <sheetViews>
    <sheetView zoomScale="90" zoomScaleNormal="90" workbookViewId="0">
      <pane ySplit="1" topLeftCell="A2" activePane="bottomLeft" state="frozen"/>
      <selection pane="bottomLeft" activeCell="R143" sqref="R132:R143"/>
    </sheetView>
  </sheetViews>
  <sheetFormatPr defaultColWidth="9.140625" defaultRowHeight="15" x14ac:dyDescent="0.25"/>
  <cols>
    <col min="1" max="1" width="10" style="1" customWidth="1"/>
    <col min="2" max="2" width="11.140625" style="1" bestFit="1" customWidth="1"/>
    <col min="3" max="3" width="11.5703125" style="1" bestFit="1" customWidth="1"/>
    <col min="4" max="4" width="12" style="1" customWidth="1"/>
    <col min="5" max="5" width="10.85546875" style="1" customWidth="1"/>
    <col min="6" max="6" width="12.140625" style="1" customWidth="1"/>
    <col min="7" max="7" width="12.5703125" style="2" customWidth="1"/>
    <col min="8" max="8" width="13.42578125" style="11" customWidth="1"/>
    <col min="9" max="9" width="13.42578125" style="1" customWidth="1"/>
    <col min="10" max="10" width="13.42578125" style="2" customWidth="1"/>
    <col min="11" max="13" width="13.42578125" style="11" customWidth="1"/>
    <col min="14" max="16" width="13.42578125" style="2" customWidth="1"/>
    <col min="17" max="17" width="11.85546875" style="11" customWidth="1"/>
    <col min="18" max="18" width="12.5703125" style="11" customWidth="1"/>
    <col min="19" max="19" width="13.42578125" style="11" customWidth="1"/>
    <col min="20" max="32" width="13.42578125" style="2" customWidth="1"/>
    <col min="33" max="35" width="13.5703125" style="1" customWidth="1"/>
    <col min="36" max="36" width="55.28515625" style="1" bestFit="1" customWidth="1"/>
    <col min="37" max="37" width="12.85546875" style="1" customWidth="1"/>
    <col min="38" max="38" width="12.42578125" style="1" customWidth="1"/>
    <col min="39" max="39" width="13.85546875" style="1" customWidth="1"/>
    <col min="40" max="40" width="12.140625" style="1" customWidth="1"/>
    <col min="41" max="41" width="11.85546875" style="1" customWidth="1"/>
    <col min="42" max="16384" width="9.140625" style="1"/>
  </cols>
  <sheetData>
    <row r="1" spans="1:45" s="3" customFormat="1" ht="45" x14ac:dyDescent="0.25">
      <c r="A1" s="3" t="s">
        <v>0</v>
      </c>
      <c r="B1" s="3" t="s">
        <v>9</v>
      </c>
      <c r="C1" s="3" t="s">
        <v>2</v>
      </c>
      <c r="D1" s="3" t="s">
        <v>15</v>
      </c>
      <c r="E1" s="3" t="s">
        <v>1</v>
      </c>
      <c r="F1" s="3" t="s">
        <v>4</v>
      </c>
      <c r="G1" s="4" t="s">
        <v>16</v>
      </c>
      <c r="H1" s="5" t="s">
        <v>10</v>
      </c>
      <c r="I1" s="3" t="s">
        <v>6</v>
      </c>
      <c r="J1" s="4" t="s">
        <v>3</v>
      </c>
      <c r="K1" s="5" t="s">
        <v>11</v>
      </c>
      <c r="L1" s="5" t="s">
        <v>12</v>
      </c>
      <c r="M1" s="5" t="s">
        <v>13</v>
      </c>
      <c r="N1" s="4" t="s">
        <v>17</v>
      </c>
      <c r="O1" s="4" t="s">
        <v>19</v>
      </c>
      <c r="P1" s="4" t="s">
        <v>33</v>
      </c>
      <c r="Q1" s="5" t="s">
        <v>5</v>
      </c>
      <c r="R1" s="5" t="s">
        <v>14</v>
      </c>
      <c r="S1" s="5" t="s">
        <v>7</v>
      </c>
      <c r="T1" s="4" t="s">
        <v>18</v>
      </c>
      <c r="U1" s="4" t="s">
        <v>8</v>
      </c>
      <c r="V1" s="4" t="s">
        <v>32</v>
      </c>
      <c r="W1" s="4" t="s">
        <v>83</v>
      </c>
      <c r="X1" s="4" t="s">
        <v>84</v>
      </c>
      <c r="Y1" s="4" t="s">
        <v>93</v>
      </c>
      <c r="Z1" s="4" t="s">
        <v>94</v>
      </c>
      <c r="AA1" s="4" t="s">
        <v>95</v>
      </c>
      <c r="AB1" s="4" t="s">
        <v>96</v>
      </c>
      <c r="AC1" s="4" t="s">
        <v>97</v>
      </c>
      <c r="AD1" s="4" t="s">
        <v>30</v>
      </c>
      <c r="AE1" s="4" t="s">
        <v>27</v>
      </c>
      <c r="AF1" s="4" t="s">
        <v>31</v>
      </c>
      <c r="AG1" s="3" t="s">
        <v>28</v>
      </c>
      <c r="AH1" s="3" t="s">
        <v>85</v>
      </c>
      <c r="AI1" s="3" t="s">
        <v>86</v>
      </c>
      <c r="AJ1" s="3" t="s">
        <v>26</v>
      </c>
      <c r="AK1" s="3" t="s">
        <v>92</v>
      </c>
      <c r="AL1" s="3" t="s">
        <v>98</v>
      </c>
      <c r="AM1" s="3" t="s">
        <v>99</v>
      </c>
      <c r="AN1" s="3" t="s">
        <v>100</v>
      </c>
      <c r="AO1" s="3" t="s">
        <v>101</v>
      </c>
    </row>
    <row r="2" spans="1:45" s="10" customFormat="1" x14ac:dyDescent="0.25">
      <c r="A2" s="22">
        <v>2314</v>
      </c>
      <c r="B2" s="7" t="s">
        <v>41</v>
      </c>
      <c r="C2" s="12">
        <v>45089</v>
      </c>
      <c r="D2" s="7">
        <v>66.599999999999994</v>
      </c>
      <c r="E2" s="7">
        <v>497</v>
      </c>
      <c r="F2" s="7">
        <v>13443.5</v>
      </c>
      <c r="G2" s="2">
        <f t="shared" ref="G2:G17" si="0">F2/E2</f>
        <v>27.049295774647888</v>
      </c>
      <c r="H2" s="8">
        <v>488</v>
      </c>
      <c r="I2" s="7">
        <v>39023</v>
      </c>
      <c r="J2" s="6">
        <f t="shared" ref="J2:J17" si="1">(1-(H2/E2))</f>
        <v>1.810865191146882E-2</v>
      </c>
      <c r="K2" s="8">
        <f>L2/0.78</f>
        <v>54768.615384615376</v>
      </c>
      <c r="L2" s="8">
        <v>42719.519999999997</v>
      </c>
      <c r="M2" s="9">
        <f t="shared" ref="M2:M17" si="2">(L2/K2)*100</f>
        <v>78</v>
      </c>
      <c r="N2" s="2">
        <f>K2/H2</f>
        <v>112.23076923076921</v>
      </c>
      <c r="O2" s="2">
        <f>L2/H2</f>
        <v>87.539999999999992</v>
      </c>
      <c r="P2" s="2">
        <f>(K2-F2)/E2</f>
        <v>83.14912552236494</v>
      </c>
      <c r="Q2" s="11">
        <f>((K2-F2)/I2)*1000</f>
        <v>1058.9938083851926</v>
      </c>
      <c r="R2" s="11">
        <f t="shared" ref="R2:R17" si="3">(I2/E2)+D2</f>
        <v>145.11710261569417</v>
      </c>
      <c r="S2" s="8">
        <v>109000</v>
      </c>
      <c r="T2" s="2">
        <f t="shared" ref="T2:T17" si="4">S2/I2</f>
        <v>2.7932245086231196</v>
      </c>
      <c r="U2" s="2">
        <f>S2/(K2-F2)</f>
        <v>2.6376211895727413</v>
      </c>
      <c r="V2" s="18">
        <v>37200.049999999996</v>
      </c>
      <c r="W2" s="18"/>
      <c r="X2" s="2">
        <f>W2/H2</f>
        <v>0</v>
      </c>
      <c r="Y2" s="18"/>
      <c r="Z2" s="18"/>
      <c r="AA2" s="18"/>
      <c r="AB2" s="18"/>
      <c r="AC2" s="18"/>
      <c r="AD2" s="18"/>
      <c r="AE2" s="18"/>
      <c r="AF2" s="18"/>
      <c r="AG2" s="2">
        <f t="shared" ref="AG2:AG33" si="5">V2/(K2-F2)</f>
        <v>0.90018018470793981</v>
      </c>
      <c r="AH2" s="2"/>
      <c r="AI2" s="2"/>
      <c r="AJ2" s="14"/>
      <c r="AK2" s="2">
        <f>Y2/E2</f>
        <v>0</v>
      </c>
      <c r="AL2" s="2">
        <f>Z2/E2</f>
        <v>0</v>
      </c>
      <c r="AM2" s="2">
        <f>AA2/E2</f>
        <v>0</v>
      </c>
      <c r="AN2" s="2">
        <f>AB2/E2</f>
        <v>0</v>
      </c>
      <c r="AO2" s="2">
        <f>AC2/E2</f>
        <v>0</v>
      </c>
      <c r="AP2" s="1"/>
      <c r="AQ2" s="1"/>
      <c r="AR2" s="1"/>
      <c r="AS2" s="1"/>
    </row>
    <row r="3" spans="1:45" s="10" customFormat="1" x14ac:dyDescent="0.25">
      <c r="A3" s="22">
        <v>2315</v>
      </c>
      <c r="B3" s="7" t="s">
        <v>42</v>
      </c>
      <c r="C3" s="12">
        <v>45096</v>
      </c>
      <c r="D3" s="7">
        <v>67.2</v>
      </c>
      <c r="E3" s="7">
        <v>491</v>
      </c>
      <c r="F3" s="7">
        <v>13328</v>
      </c>
      <c r="G3" s="2">
        <f t="shared" si="0"/>
        <v>27.144602851323828</v>
      </c>
      <c r="H3" s="8">
        <v>482</v>
      </c>
      <c r="I3" s="7">
        <v>38488</v>
      </c>
      <c r="J3" s="6">
        <f t="shared" si="1"/>
        <v>1.8329938900203624E-2</v>
      </c>
      <c r="K3" s="8">
        <f t="shared" ref="K3:K72" si="6">L3/0.78</f>
        <v>53977.820512820508</v>
      </c>
      <c r="L3" s="8">
        <v>42102.7</v>
      </c>
      <c r="M3" s="9">
        <f t="shared" si="2"/>
        <v>78</v>
      </c>
      <c r="N3" s="2">
        <f t="shared" ref="N3:N17" si="7">K3/H3</f>
        <v>111.98717948717947</v>
      </c>
      <c r="O3" s="2">
        <f t="shared" ref="O3:O17" si="8">L3/H3</f>
        <v>87.35</v>
      </c>
      <c r="P3" s="2">
        <f t="shared" ref="P3:P70" si="9">(K3-F3)/E3</f>
        <v>82.789858478249513</v>
      </c>
      <c r="Q3" s="11">
        <f t="shared" ref="Q3:Q17" si="10">((K3-F3)/I3)*1000</f>
        <v>1056.1686892751118</v>
      </c>
      <c r="R3" s="11">
        <f t="shared" si="3"/>
        <v>145.58696537678208</v>
      </c>
      <c r="S3" s="8">
        <v>97250</v>
      </c>
      <c r="T3" s="2">
        <f t="shared" si="4"/>
        <v>2.526761588027437</v>
      </c>
      <c r="U3" s="2">
        <f t="shared" ref="U3:U17" si="11">S3/(K3-F3)</f>
        <v>2.3923844871425302</v>
      </c>
      <c r="V3" s="18">
        <v>33469.19999999999</v>
      </c>
      <c r="W3" s="18"/>
      <c r="X3" s="2">
        <f t="shared" ref="X3:X66" si="12">W3/H3</f>
        <v>0</v>
      </c>
      <c r="Y3" s="18"/>
      <c r="Z3" s="18"/>
      <c r="AA3" s="18"/>
      <c r="AB3" s="18"/>
      <c r="AC3" s="18"/>
      <c r="AD3" s="18"/>
      <c r="AE3" s="18"/>
      <c r="AF3" s="18"/>
      <c r="AG3" s="2">
        <f t="shared" si="5"/>
        <v>0.8233541889673085</v>
      </c>
      <c r="AH3" s="2"/>
      <c r="AI3" s="2"/>
      <c r="AJ3" s="14"/>
      <c r="AK3" s="2">
        <f t="shared" ref="AK3:AK66" si="13">Y3/E3</f>
        <v>0</v>
      </c>
      <c r="AL3" s="2">
        <f t="shared" ref="AL3:AL66" si="14">Z3/E3</f>
        <v>0</v>
      </c>
      <c r="AM3" s="2">
        <f t="shared" ref="AM3:AM66" si="15">AA3/E3</f>
        <v>0</v>
      </c>
      <c r="AN3" s="2">
        <f t="shared" ref="AN3:AN66" si="16">AB3/E3</f>
        <v>0</v>
      </c>
      <c r="AO3" s="2">
        <f t="shared" ref="AO3:AO66" si="17">AC3/E3</f>
        <v>0</v>
      </c>
      <c r="AP3" s="1"/>
      <c r="AQ3" s="1"/>
      <c r="AR3" s="1"/>
      <c r="AS3" s="1"/>
    </row>
    <row r="4" spans="1:45" s="10" customFormat="1" x14ac:dyDescent="0.25">
      <c r="A4" s="22">
        <v>2316</v>
      </c>
      <c r="B4" s="7" t="s">
        <v>43</v>
      </c>
      <c r="C4" s="12">
        <v>45103</v>
      </c>
      <c r="D4" s="7">
        <v>66.900000000000006</v>
      </c>
      <c r="E4" s="7">
        <v>485</v>
      </c>
      <c r="F4" s="7">
        <v>13160</v>
      </c>
      <c r="G4" s="2">
        <f t="shared" si="0"/>
        <v>27.134020618556701</v>
      </c>
      <c r="H4" s="8">
        <v>474</v>
      </c>
      <c r="I4" s="7">
        <v>41811</v>
      </c>
      <c r="J4" s="6">
        <f t="shared" si="1"/>
        <v>2.2680412371134051E-2</v>
      </c>
      <c r="K4" s="8">
        <f t="shared" si="6"/>
        <v>54692.307692307688</v>
      </c>
      <c r="L4" s="8">
        <v>42660</v>
      </c>
      <c r="M4" s="9">
        <f t="shared" si="2"/>
        <v>78</v>
      </c>
      <c r="N4" s="2">
        <f t="shared" si="7"/>
        <v>115.38461538461537</v>
      </c>
      <c r="O4" s="2">
        <f t="shared" si="8"/>
        <v>90</v>
      </c>
      <c r="P4" s="2">
        <f t="shared" si="9"/>
        <v>85.633624107850906</v>
      </c>
      <c r="Q4" s="11">
        <f t="shared" si="10"/>
        <v>993.33447399745728</v>
      </c>
      <c r="R4" s="11">
        <f t="shared" si="3"/>
        <v>153.10824742268042</v>
      </c>
      <c r="S4" s="8">
        <v>108000</v>
      </c>
      <c r="T4" s="2">
        <f t="shared" si="4"/>
        <v>2.5830523068092131</v>
      </c>
      <c r="U4" s="2">
        <f t="shared" si="11"/>
        <v>2.6003852422581124</v>
      </c>
      <c r="V4" s="18">
        <v>37727.89</v>
      </c>
      <c r="W4" s="18"/>
      <c r="X4" s="2">
        <f t="shared" si="12"/>
        <v>0</v>
      </c>
      <c r="Y4" s="18"/>
      <c r="Z4" s="18"/>
      <c r="AA4" s="18"/>
      <c r="AB4" s="18"/>
      <c r="AC4" s="18"/>
      <c r="AD4" s="18"/>
      <c r="AE4" s="18"/>
      <c r="AF4" s="18"/>
      <c r="AG4" s="2">
        <f t="shared" si="5"/>
        <v>0.90839859608830942</v>
      </c>
      <c r="AH4" s="2"/>
      <c r="AI4" s="2"/>
      <c r="AJ4" s="14"/>
      <c r="AK4" s="2">
        <f t="shared" si="13"/>
        <v>0</v>
      </c>
      <c r="AL4" s="2">
        <f t="shared" si="14"/>
        <v>0</v>
      </c>
      <c r="AM4" s="2">
        <f t="shared" si="15"/>
        <v>0</v>
      </c>
      <c r="AN4" s="2">
        <f t="shared" si="16"/>
        <v>0</v>
      </c>
      <c r="AO4" s="2">
        <f t="shared" si="17"/>
        <v>0</v>
      </c>
      <c r="AP4" s="1"/>
      <c r="AQ4" s="1"/>
      <c r="AR4" s="1"/>
      <c r="AS4" s="1"/>
    </row>
    <row r="5" spans="1:45" s="10" customFormat="1" x14ac:dyDescent="0.25">
      <c r="A5" s="22">
        <v>2317</v>
      </c>
      <c r="B5" s="7" t="s">
        <v>44</v>
      </c>
      <c r="C5" s="12">
        <v>45110</v>
      </c>
      <c r="D5" s="7">
        <v>66.3</v>
      </c>
      <c r="E5" s="7">
        <v>486</v>
      </c>
      <c r="F5" s="7">
        <v>13409.5</v>
      </c>
      <c r="G5" s="2">
        <f t="shared" si="0"/>
        <v>27.59156378600823</v>
      </c>
      <c r="H5" s="8">
        <v>475</v>
      </c>
      <c r="I5" s="7">
        <v>38620</v>
      </c>
      <c r="J5" s="6">
        <f t="shared" si="1"/>
        <v>2.2633744855967031E-2</v>
      </c>
      <c r="K5" s="8">
        <f t="shared" si="6"/>
        <v>54807.692307692305</v>
      </c>
      <c r="L5" s="8">
        <v>42750</v>
      </c>
      <c r="M5" s="9">
        <f t="shared" si="2"/>
        <v>78</v>
      </c>
      <c r="N5" s="2">
        <f t="shared" si="7"/>
        <v>115.38461538461537</v>
      </c>
      <c r="O5" s="2">
        <f t="shared" si="8"/>
        <v>90</v>
      </c>
      <c r="P5" s="2">
        <f t="shared" si="9"/>
        <v>85.181465653687866</v>
      </c>
      <c r="Q5" s="11">
        <f t="shared" si="10"/>
        <v>1071.9366211209815</v>
      </c>
      <c r="R5" s="11">
        <f t="shared" si="3"/>
        <v>145.76502057613169</v>
      </c>
      <c r="S5" s="8">
        <v>111000</v>
      </c>
      <c r="T5" s="2">
        <f t="shared" si="4"/>
        <v>2.8741584671154841</v>
      </c>
      <c r="U5" s="2">
        <f t="shared" si="11"/>
        <v>2.6812764957221287</v>
      </c>
      <c r="V5" s="18">
        <v>38915.19999999999</v>
      </c>
      <c r="W5" s="18"/>
      <c r="X5" s="2">
        <f t="shared" si="12"/>
        <v>0</v>
      </c>
      <c r="Y5" s="18"/>
      <c r="Z5" s="18"/>
      <c r="AA5" s="18"/>
      <c r="AB5" s="18"/>
      <c r="AC5" s="18"/>
      <c r="AD5" s="18"/>
      <c r="AE5" s="18"/>
      <c r="AF5" s="18"/>
      <c r="AG5" s="2">
        <f t="shared" si="5"/>
        <v>0.94002172149843022</v>
      </c>
      <c r="AH5" s="2"/>
      <c r="AI5" s="2"/>
      <c r="AJ5" s="14"/>
      <c r="AK5" s="2">
        <f t="shared" si="13"/>
        <v>0</v>
      </c>
      <c r="AL5" s="2">
        <f t="shared" si="14"/>
        <v>0</v>
      </c>
      <c r="AM5" s="2">
        <f t="shared" si="15"/>
        <v>0</v>
      </c>
      <c r="AN5" s="2">
        <f t="shared" si="16"/>
        <v>0</v>
      </c>
      <c r="AO5" s="2">
        <f t="shared" si="17"/>
        <v>0</v>
      </c>
      <c r="AP5" s="1"/>
      <c r="AQ5" s="1"/>
      <c r="AR5" s="1"/>
      <c r="AS5" s="1"/>
    </row>
    <row r="6" spans="1:45" s="10" customFormat="1" x14ac:dyDescent="0.25">
      <c r="A6" s="22">
        <v>2318</v>
      </c>
      <c r="B6" s="7" t="s">
        <v>45</v>
      </c>
      <c r="C6" s="12">
        <v>45117</v>
      </c>
      <c r="D6" s="7">
        <v>66.599999999999994</v>
      </c>
      <c r="E6" s="7">
        <v>495</v>
      </c>
      <c r="F6" s="7">
        <v>14546</v>
      </c>
      <c r="G6" s="2">
        <f t="shared" si="0"/>
        <v>29.385858585858585</v>
      </c>
      <c r="H6" s="8">
        <v>486</v>
      </c>
      <c r="I6" s="7">
        <v>38747</v>
      </c>
      <c r="J6" s="6">
        <f t="shared" si="1"/>
        <v>1.8181818181818188E-2</v>
      </c>
      <c r="K6" s="8">
        <f t="shared" si="6"/>
        <v>54678.076923076922</v>
      </c>
      <c r="L6" s="8">
        <v>42648.9</v>
      </c>
      <c r="M6" s="9">
        <f t="shared" si="2"/>
        <v>78</v>
      </c>
      <c r="N6" s="2">
        <f t="shared" si="7"/>
        <v>112.50633111744223</v>
      </c>
      <c r="O6" s="2">
        <f t="shared" si="8"/>
        <v>87.754938271604942</v>
      </c>
      <c r="P6" s="2">
        <f t="shared" si="9"/>
        <v>81.074902874902875</v>
      </c>
      <c r="Q6" s="11">
        <f t="shared" si="10"/>
        <v>1035.7466880810623</v>
      </c>
      <c r="R6" s="11">
        <f t="shared" si="3"/>
        <v>144.87676767676766</v>
      </c>
      <c r="S6" s="8">
        <v>107503</v>
      </c>
      <c r="T6" s="2">
        <f t="shared" si="4"/>
        <v>2.774485766639998</v>
      </c>
      <c r="U6" s="2">
        <f t="shared" si="11"/>
        <v>2.6787300394658407</v>
      </c>
      <c r="V6" s="18">
        <v>37589.751199999992</v>
      </c>
      <c r="W6" s="18"/>
      <c r="X6" s="2">
        <f t="shared" si="12"/>
        <v>0</v>
      </c>
      <c r="Y6" s="18"/>
      <c r="Z6" s="18"/>
      <c r="AA6" s="18"/>
      <c r="AB6" s="18"/>
      <c r="AC6" s="18"/>
      <c r="AD6" s="18"/>
      <c r="AE6" s="18"/>
      <c r="AF6" s="18"/>
      <c r="AG6" s="2">
        <f t="shared" si="5"/>
        <v>0.93665103034787045</v>
      </c>
      <c r="AH6" s="2"/>
      <c r="AI6" s="2"/>
      <c r="AJ6" s="14"/>
      <c r="AK6" s="2">
        <f t="shared" si="13"/>
        <v>0</v>
      </c>
      <c r="AL6" s="2">
        <f t="shared" si="14"/>
        <v>0</v>
      </c>
      <c r="AM6" s="2">
        <f t="shared" si="15"/>
        <v>0</v>
      </c>
      <c r="AN6" s="2">
        <f t="shared" si="16"/>
        <v>0</v>
      </c>
      <c r="AO6" s="2">
        <f t="shared" si="17"/>
        <v>0</v>
      </c>
      <c r="AP6" s="1"/>
      <c r="AQ6" s="1"/>
      <c r="AR6" s="1"/>
      <c r="AS6" s="1"/>
    </row>
    <row r="7" spans="1:45" s="10" customFormat="1" x14ac:dyDescent="0.25">
      <c r="A7" s="22">
        <v>2319</v>
      </c>
      <c r="B7" s="7" t="s">
        <v>46</v>
      </c>
      <c r="C7" s="12">
        <v>45124</v>
      </c>
      <c r="D7" s="7">
        <v>66.900000000000006</v>
      </c>
      <c r="E7" s="7">
        <v>494</v>
      </c>
      <c r="F7" s="7">
        <v>14061</v>
      </c>
      <c r="G7" s="2">
        <f t="shared" si="0"/>
        <v>28.463562753036438</v>
      </c>
      <c r="H7" s="8">
        <v>485</v>
      </c>
      <c r="I7" s="7">
        <v>43835</v>
      </c>
      <c r="J7" s="6">
        <f t="shared" si="1"/>
        <v>1.8218623481781382E-2</v>
      </c>
      <c r="K7" s="8">
        <f t="shared" si="6"/>
        <v>48764.230769230766</v>
      </c>
      <c r="L7" s="8">
        <v>38036.1</v>
      </c>
      <c r="M7" s="9">
        <f t="shared" si="2"/>
        <v>78</v>
      </c>
      <c r="N7" s="2">
        <f t="shared" si="7"/>
        <v>100.54480570975416</v>
      </c>
      <c r="O7" s="2">
        <f t="shared" si="8"/>
        <v>78.424948453608238</v>
      </c>
      <c r="P7" s="2">
        <f t="shared" si="9"/>
        <v>70.249454998442843</v>
      </c>
      <c r="Q7" s="11">
        <f t="shared" si="10"/>
        <v>791.67858490317701</v>
      </c>
      <c r="R7" s="11">
        <f t="shared" si="3"/>
        <v>155.63481781376518</v>
      </c>
      <c r="S7" s="8">
        <v>112500</v>
      </c>
      <c r="T7" s="2">
        <f t="shared" si="4"/>
        <v>2.5664423405954144</v>
      </c>
      <c r="U7" s="2">
        <f t="shared" si="11"/>
        <v>3.2417731002655485</v>
      </c>
      <c r="V7" s="18">
        <v>39926.85</v>
      </c>
      <c r="W7" s="18"/>
      <c r="X7" s="2">
        <f t="shared" si="12"/>
        <v>0</v>
      </c>
      <c r="Y7" s="18"/>
      <c r="Z7" s="18"/>
      <c r="AA7" s="18"/>
      <c r="AB7" s="18"/>
      <c r="AC7" s="18"/>
      <c r="AD7" s="18"/>
      <c r="AE7" s="18"/>
      <c r="AF7" s="18"/>
      <c r="AG7" s="2">
        <f t="shared" si="5"/>
        <v>1.150522562740778</v>
      </c>
      <c r="AH7" s="2"/>
      <c r="AI7" s="2"/>
      <c r="AJ7" s="14"/>
      <c r="AK7" s="2">
        <f t="shared" si="13"/>
        <v>0</v>
      </c>
      <c r="AL7" s="2">
        <f t="shared" si="14"/>
        <v>0</v>
      </c>
      <c r="AM7" s="2">
        <f t="shared" si="15"/>
        <v>0</v>
      </c>
      <c r="AN7" s="2">
        <f t="shared" si="16"/>
        <v>0</v>
      </c>
      <c r="AO7" s="2">
        <f t="shared" si="17"/>
        <v>0</v>
      </c>
      <c r="AP7" s="1"/>
      <c r="AQ7" s="1"/>
      <c r="AR7" s="1"/>
      <c r="AS7" s="1"/>
    </row>
    <row r="8" spans="1:45" s="10" customFormat="1" x14ac:dyDescent="0.25">
      <c r="A8" s="22">
        <v>2320</v>
      </c>
      <c r="B8" s="7" t="s">
        <v>47</v>
      </c>
      <c r="C8" s="12">
        <v>45131</v>
      </c>
      <c r="D8" s="7">
        <v>67.7</v>
      </c>
      <c r="E8" s="7">
        <v>498</v>
      </c>
      <c r="F8" s="7">
        <v>14242.5</v>
      </c>
      <c r="G8" s="2">
        <f t="shared" si="0"/>
        <v>28.599397590361445</v>
      </c>
      <c r="H8" s="8">
        <v>491</v>
      </c>
      <c r="I8" s="7">
        <v>44606</v>
      </c>
      <c r="J8" s="6">
        <f t="shared" si="1"/>
        <v>1.4056224899598346E-2</v>
      </c>
      <c r="K8" s="8">
        <f t="shared" si="6"/>
        <v>55987.179487179485</v>
      </c>
      <c r="L8" s="8">
        <v>43670</v>
      </c>
      <c r="M8" s="9">
        <f t="shared" si="2"/>
        <v>78</v>
      </c>
      <c r="N8" s="2">
        <f t="shared" si="7"/>
        <v>114.02684213274844</v>
      </c>
      <c r="O8" s="2">
        <f t="shared" si="8"/>
        <v>88.940936863543783</v>
      </c>
      <c r="P8" s="2">
        <f t="shared" si="9"/>
        <v>83.824657604778082</v>
      </c>
      <c r="Q8" s="11">
        <f t="shared" si="10"/>
        <v>935.85346113032961</v>
      </c>
      <c r="R8" s="11">
        <f t="shared" si="3"/>
        <v>157.27028112449801</v>
      </c>
      <c r="S8" s="8">
        <v>105000</v>
      </c>
      <c r="T8" s="2">
        <f t="shared" si="4"/>
        <v>2.3539434156839887</v>
      </c>
      <c r="U8" s="2">
        <f t="shared" si="11"/>
        <v>2.5152906020573789</v>
      </c>
      <c r="V8" s="18">
        <v>37011.100000000006</v>
      </c>
      <c r="W8" s="18"/>
      <c r="X8" s="2">
        <f t="shared" si="12"/>
        <v>0</v>
      </c>
      <c r="Y8" s="18"/>
      <c r="Z8" s="18"/>
      <c r="AA8" s="18"/>
      <c r="AB8" s="18"/>
      <c r="AC8" s="18"/>
      <c r="AD8" s="18"/>
      <c r="AE8" s="18"/>
      <c r="AF8" s="18"/>
      <c r="AG8" s="2">
        <f t="shared" si="5"/>
        <v>0.88660640001719881</v>
      </c>
      <c r="AH8" s="2"/>
      <c r="AI8" s="2"/>
      <c r="AJ8" s="14"/>
      <c r="AK8" s="2">
        <f t="shared" si="13"/>
        <v>0</v>
      </c>
      <c r="AL8" s="2">
        <f t="shared" si="14"/>
        <v>0</v>
      </c>
      <c r="AM8" s="2">
        <f t="shared" si="15"/>
        <v>0</v>
      </c>
      <c r="AN8" s="2">
        <f t="shared" si="16"/>
        <v>0</v>
      </c>
      <c r="AO8" s="2">
        <f t="shared" si="17"/>
        <v>0</v>
      </c>
      <c r="AP8" s="1"/>
      <c r="AQ8" s="1"/>
      <c r="AR8" s="1"/>
      <c r="AS8" s="1"/>
    </row>
    <row r="9" spans="1:45" s="10" customFormat="1" x14ac:dyDescent="0.25">
      <c r="A9" s="22">
        <v>2321</v>
      </c>
      <c r="B9" s="7" t="s">
        <v>50</v>
      </c>
      <c r="C9" s="12">
        <v>45138</v>
      </c>
      <c r="D9" s="7">
        <v>66.5</v>
      </c>
      <c r="E9" s="7">
        <v>490</v>
      </c>
      <c r="F9" s="7">
        <v>14235</v>
      </c>
      <c r="G9" s="2">
        <f t="shared" si="0"/>
        <v>29.051020408163264</v>
      </c>
      <c r="H9" s="8">
        <v>479</v>
      </c>
      <c r="I9" s="7">
        <v>38417</v>
      </c>
      <c r="J9" s="6">
        <f t="shared" si="1"/>
        <v>2.2448979591836782E-2</v>
      </c>
      <c r="K9" s="8">
        <f t="shared" si="6"/>
        <v>54028.205128205125</v>
      </c>
      <c r="L9" s="8">
        <v>42142</v>
      </c>
      <c r="M9" s="9">
        <f t="shared" si="2"/>
        <v>78</v>
      </c>
      <c r="N9" s="2">
        <f t="shared" si="7"/>
        <v>112.79374765804828</v>
      </c>
      <c r="O9" s="2">
        <f t="shared" si="8"/>
        <v>87.979123173277657</v>
      </c>
      <c r="P9" s="2">
        <f t="shared" si="9"/>
        <v>81.210622710622701</v>
      </c>
      <c r="Q9" s="11">
        <f t="shared" si="10"/>
        <v>1035.82281615444</v>
      </c>
      <c r="R9" s="11">
        <f t="shared" si="3"/>
        <v>144.90204081632652</v>
      </c>
      <c r="S9" s="8">
        <v>104400</v>
      </c>
      <c r="T9" s="2">
        <f t="shared" ref="T9:T10" si="18">S9/I9</f>
        <v>2.717546919332587</v>
      </c>
      <c r="U9" s="2">
        <f t="shared" ref="U9" si="19">S9/(K9-F9)</f>
        <v>2.6235634868728397</v>
      </c>
      <c r="V9" s="18">
        <v>37997.99</v>
      </c>
      <c r="W9" s="18"/>
      <c r="X9" s="2">
        <f t="shared" si="12"/>
        <v>0</v>
      </c>
      <c r="Y9" s="18"/>
      <c r="Z9" s="18"/>
      <c r="AA9" s="18"/>
      <c r="AB9" s="18"/>
      <c r="AC9" s="18"/>
      <c r="AD9" s="18"/>
      <c r="AE9" s="18"/>
      <c r="AF9" s="18"/>
      <c r="AG9" s="2">
        <f t="shared" si="5"/>
        <v>0.95488639021608512</v>
      </c>
      <c r="AH9" s="2"/>
      <c r="AI9" s="2"/>
      <c r="AJ9" s="14" t="s">
        <v>51</v>
      </c>
      <c r="AK9" s="2">
        <f t="shared" si="13"/>
        <v>0</v>
      </c>
      <c r="AL9" s="2">
        <f t="shared" si="14"/>
        <v>0</v>
      </c>
      <c r="AM9" s="2">
        <f t="shared" si="15"/>
        <v>0</v>
      </c>
      <c r="AN9" s="2">
        <f>AB9/E9</f>
        <v>0</v>
      </c>
      <c r="AO9" s="2">
        <f t="shared" si="17"/>
        <v>0</v>
      </c>
      <c r="AP9" s="1"/>
      <c r="AQ9" s="1"/>
      <c r="AR9" s="1"/>
      <c r="AS9" s="1"/>
    </row>
    <row r="10" spans="1:45" s="10" customFormat="1" x14ac:dyDescent="0.25">
      <c r="A10" s="22">
        <v>2322</v>
      </c>
      <c r="B10" s="7" t="s">
        <v>52</v>
      </c>
      <c r="C10" s="12">
        <v>45145</v>
      </c>
      <c r="D10" s="7">
        <v>67.099999999999994</v>
      </c>
      <c r="E10" s="7">
        <v>498</v>
      </c>
      <c r="F10" s="7">
        <v>14312</v>
      </c>
      <c r="G10" s="2">
        <f t="shared" si="0"/>
        <v>28.738955823293171</v>
      </c>
      <c r="H10" s="8">
        <v>482</v>
      </c>
      <c r="I10" s="7">
        <v>38246</v>
      </c>
      <c r="J10" s="6">
        <f t="shared" si="1"/>
        <v>3.2128514056224855E-2</v>
      </c>
      <c r="K10" s="8">
        <f t="shared" si="6"/>
        <v>53321.794871794868</v>
      </c>
      <c r="L10" s="8">
        <v>41591</v>
      </c>
      <c r="M10" s="9">
        <f t="shared" si="2"/>
        <v>78</v>
      </c>
      <c r="N10" s="2">
        <f t="shared" si="7"/>
        <v>110.62613043940844</v>
      </c>
      <c r="O10" s="2">
        <f t="shared" si="8"/>
        <v>86.288381742738594</v>
      </c>
      <c r="P10" s="2">
        <f t="shared" si="9"/>
        <v>78.332921429306964</v>
      </c>
      <c r="Q10" s="11">
        <f t="shared" si="10"/>
        <v>1019.9705818071136</v>
      </c>
      <c r="R10" s="11">
        <f t="shared" si="3"/>
        <v>143.89919678714858</v>
      </c>
      <c r="S10" s="8">
        <v>103300</v>
      </c>
      <c r="T10" s="2">
        <f t="shared" si="18"/>
        <v>2.7009360455995397</v>
      </c>
      <c r="U10" s="2">
        <f>S10/(K10-F10)</f>
        <v>2.6480528887550925</v>
      </c>
      <c r="V10" s="18">
        <v>38079.529999999992</v>
      </c>
      <c r="W10" s="18"/>
      <c r="X10" s="2">
        <f t="shared" si="12"/>
        <v>0</v>
      </c>
      <c r="Y10" s="18"/>
      <c r="Z10" s="18"/>
      <c r="AA10" s="18"/>
      <c r="AB10" s="18"/>
      <c r="AC10" s="18"/>
      <c r="AD10" s="18"/>
      <c r="AE10" s="18"/>
      <c r="AF10" s="18"/>
      <c r="AG10" s="2">
        <f t="shared" si="5"/>
        <v>0.97615304374575207</v>
      </c>
      <c r="AH10" s="2"/>
      <c r="AI10" s="2"/>
      <c r="AJ10" s="14"/>
      <c r="AK10" s="2">
        <f t="shared" si="13"/>
        <v>0</v>
      </c>
      <c r="AL10" s="2">
        <f t="shared" si="14"/>
        <v>0</v>
      </c>
      <c r="AM10" s="2">
        <f t="shared" si="15"/>
        <v>0</v>
      </c>
      <c r="AN10" s="2">
        <f t="shared" si="16"/>
        <v>0</v>
      </c>
      <c r="AO10" s="2">
        <f t="shared" si="17"/>
        <v>0</v>
      </c>
      <c r="AP10" s="1"/>
      <c r="AQ10" s="1"/>
      <c r="AR10" s="1"/>
      <c r="AS10" s="1"/>
    </row>
    <row r="11" spans="1:45" s="10" customFormat="1" x14ac:dyDescent="0.25">
      <c r="A11" s="22">
        <v>2323</v>
      </c>
      <c r="B11" s="7" t="s">
        <v>53</v>
      </c>
      <c r="C11" s="12">
        <v>45152</v>
      </c>
      <c r="D11" s="7">
        <v>66.900000000000006</v>
      </c>
      <c r="E11" s="7">
        <v>493</v>
      </c>
      <c r="F11" s="7">
        <v>13670</v>
      </c>
      <c r="G11" s="2">
        <f t="shared" si="0"/>
        <v>27.728194726166329</v>
      </c>
      <c r="H11" s="8">
        <v>484</v>
      </c>
      <c r="I11" s="7">
        <v>38010</v>
      </c>
      <c r="J11" s="6">
        <f t="shared" si="1"/>
        <v>1.8255578093306246E-2</v>
      </c>
      <c r="K11" s="8">
        <f t="shared" si="6"/>
        <v>50906.025641025633</v>
      </c>
      <c r="L11" s="8">
        <v>39706.699999999997</v>
      </c>
      <c r="M11" s="9">
        <f t="shared" si="2"/>
        <v>78</v>
      </c>
      <c r="N11" s="2">
        <f t="shared" si="7"/>
        <v>105.17773892773891</v>
      </c>
      <c r="O11" s="2">
        <f t="shared" si="8"/>
        <v>82.038636363636357</v>
      </c>
      <c r="P11" s="2">
        <f t="shared" si="9"/>
        <v>75.529463774899867</v>
      </c>
      <c r="Q11" s="11">
        <f t="shared" si="10"/>
        <v>979.63761223429708</v>
      </c>
      <c r="R11" s="11">
        <f t="shared" si="3"/>
        <v>143.99939148073022</v>
      </c>
      <c r="S11" s="8">
        <v>103034.3</v>
      </c>
      <c r="T11" s="2">
        <f t="shared" si="4"/>
        <v>2.7107156011575904</v>
      </c>
      <c r="U11" s="2">
        <f t="shared" si="11"/>
        <v>2.7670595404918732</v>
      </c>
      <c r="V11" s="18">
        <v>38386.932209999992</v>
      </c>
      <c r="W11" s="18"/>
      <c r="X11" s="2">
        <f t="shared" si="12"/>
        <v>0</v>
      </c>
      <c r="Y11" s="18"/>
      <c r="Z11" s="18"/>
      <c r="AA11" s="18"/>
      <c r="AB11" s="18"/>
      <c r="AC11" s="18"/>
      <c r="AD11" s="18"/>
      <c r="AE11" s="18"/>
      <c r="AF11" s="18"/>
      <c r="AG11" s="2">
        <f t="shared" si="5"/>
        <v>1.0309084159536706</v>
      </c>
      <c r="AH11" s="2"/>
      <c r="AI11" s="2"/>
      <c r="AJ11" s="14"/>
      <c r="AK11" s="2">
        <f t="shared" si="13"/>
        <v>0</v>
      </c>
      <c r="AL11" s="2">
        <f t="shared" si="14"/>
        <v>0</v>
      </c>
      <c r="AM11" s="2">
        <f t="shared" si="15"/>
        <v>0</v>
      </c>
      <c r="AN11" s="2">
        <f t="shared" si="16"/>
        <v>0</v>
      </c>
      <c r="AO11" s="2">
        <f t="shared" si="17"/>
        <v>0</v>
      </c>
      <c r="AP11" s="1"/>
      <c r="AQ11" s="1"/>
      <c r="AR11" s="1"/>
      <c r="AS11" s="1"/>
    </row>
    <row r="12" spans="1:45" s="10" customFormat="1" x14ac:dyDescent="0.25">
      <c r="A12" s="22">
        <v>2324</v>
      </c>
      <c r="B12" s="7" t="s">
        <v>54</v>
      </c>
      <c r="C12" s="12">
        <v>45159</v>
      </c>
      <c r="D12" s="7">
        <v>67.400000000000006</v>
      </c>
      <c r="E12" s="7">
        <v>495</v>
      </c>
      <c r="F12" s="7">
        <v>14192.5</v>
      </c>
      <c r="G12" s="2">
        <f t="shared" si="0"/>
        <v>28.671717171717173</v>
      </c>
      <c r="H12" s="8">
        <v>481</v>
      </c>
      <c r="I12" s="7">
        <v>38299</v>
      </c>
      <c r="J12" s="6">
        <f t="shared" si="1"/>
        <v>2.8282828282828243E-2</v>
      </c>
      <c r="K12" s="8">
        <f t="shared" si="6"/>
        <v>53603.846153846149</v>
      </c>
      <c r="L12" s="8">
        <v>41811</v>
      </c>
      <c r="M12" s="9">
        <f t="shared" si="2"/>
        <v>78</v>
      </c>
      <c r="N12" s="2">
        <f t="shared" si="7"/>
        <v>111.44250759635374</v>
      </c>
      <c r="O12" s="2">
        <f t="shared" si="8"/>
        <v>86.92515592515592</v>
      </c>
      <c r="P12" s="2">
        <f t="shared" si="9"/>
        <v>79.618881118881106</v>
      </c>
      <c r="Q12" s="11">
        <f t="shared" si="10"/>
        <v>1029.0437388403391</v>
      </c>
      <c r="R12" s="11">
        <f t="shared" si="3"/>
        <v>144.77171717171717</v>
      </c>
      <c r="S12" s="8">
        <v>101150</v>
      </c>
      <c r="T12" s="2">
        <f t="shared" si="4"/>
        <v>2.6410611243113395</v>
      </c>
      <c r="U12" s="2">
        <f t="shared" si="11"/>
        <v>2.5665197936947095</v>
      </c>
      <c r="V12" s="18">
        <v>38601.844999999994</v>
      </c>
      <c r="W12" s="18"/>
      <c r="X12" s="2">
        <f t="shared" si="12"/>
        <v>0</v>
      </c>
      <c r="Y12" s="18"/>
      <c r="Z12" s="18"/>
      <c r="AA12" s="18"/>
      <c r="AB12" s="18"/>
      <c r="AC12" s="18"/>
      <c r="AD12" s="18"/>
      <c r="AE12" s="18"/>
      <c r="AF12" s="18"/>
      <c r="AG12" s="2">
        <f t="shared" si="5"/>
        <v>0.97946020035229997</v>
      </c>
      <c r="AH12" s="2"/>
      <c r="AI12" s="2"/>
      <c r="AJ12" s="14" t="s">
        <v>51</v>
      </c>
      <c r="AK12" s="2">
        <f t="shared" si="13"/>
        <v>0</v>
      </c>
      <c r="AL12" s="2">
        <f t="shared" si="14"/>
        <v>0</v>
      </c>
      <c r="AM12" s="2">
        <f t="shared" si="15"/>
        <v>0</v>
      </c>
      <c r="AN12" s="2">
        <f t="shared" si="16"/>
        <v>0</v>
      </c>
      <c r="AO12" s="2">
        <f t="shared" si="17"/>
        <v>0</v>
      </c>
      <c r="AP12" s="1"/>
      <c r="AQ12" s="1"/>
      <c r="AR12" s="1"/>
      <c r="AS12" s="1"/>
    </row>
    <row r="13" spans="1:45" s="10" customFormat="1" x14ac:dyDescent="0.25">
      <c r="A13" s="22">
        <v>2325</v>
      </c>
      <c r="B13" s="7" t="s">
        <v>55</v>
      </c>
      <c r="C13" s="12">
        <v>45166</v>
      </c>
      <c r="D13" s="7">
        <v>66.2</v>
      </c>
      <c r="E13" s="7">
        <v>504</v>
      </c>
      <c r="F13" s="7">
        <v>13910.5</v>
      </c>
      <c r="G13" s="2">
        <f t="shared" si="0"/>
        <v>27.600198412698411</v>
      </c>
      <c r="H13" s="8">
        <v>499</v>
      </c>
      <c r="I13" s="7">
        <v>39071</v>
      </c>
      <c r="J13" s="6">
        <f t="shared" si="1"/>
        <v>9.9206349206348854E-3</v>
      </c>
      <c r="K13" s="8">
        <f t="shared" si="6"/>
        <v>54679.615384615383</v>
      </c>
      <c r="L13" s="8">
        <v>42650.1</v>
      </c>
      <c r="M13" s="9">
        <f t="shared" si="2"/>
        <v>78</v>
      </c>
      <c r="N13" s="2">
        <f t="shared" si="7"/>
        <v>109.5783875443194</v>
      </c>
      <c r="O13" s="2">
        <f t="shared" si="8"/>
        <v>85.47114228456914</v>
      </c>
      <c r="P13" s="2">
        <f t="shared" si="9"/>
        <v>80.891101953601947</v>
      </c>
      <c r="Q13" s="11">
        <f t="shared" si="10"/>
        <v>1043.462296450446</v>
      </c>
      <c r="R13" s="11">
        <f t="shared" si="3"/>
        <v>143.72182539682541</v>
      </c>
      <c r="S13" s="8">
        <v>100861.5</v>
      </c>
      <c r="T13" s="2">
        <f t="shared" si="4"/>
        <v>2.5814926671956182</v>
      </c>
      <c r="U13" s="2">
        <f t="shared" si="11"/>
        <v>2.4739683225518565</v>
      </c>
      <c r="V13" s="18">
        <v>38237.875599999999</v>
      </c>
      <c r="W13" s="18"/>
      <c r="X13" s="2">
        <f t="shared" si="12"/>
        <v>0</v>
      </c>
      <c r="Y13" s="18"/>
      <c r="Z13" s="18"/>
      <c r="AA13" s="18"/>
      <c r="AB13" s="18"/>
      <c r="AC13" s="18"/>
      <c r="AD13" s="18"/>
      <c r="AE13" s="18"/>
      <c r="AF13" s="18"/>
      <c r="AG13" s="2">
        <f t="shared" si="5"/>
        <v>0.93791281069663412</v>
      </c>
      <c r="AH13" s="2"/>
      <c r="AI13" s="2"/>
      <c r="AJ13" s="14"/>
      <c r="AK13" s="2">
        <f t="shared" si="13"/>
        <v>0</v>
      </c>
      <c r="AL13" s="2">
        <f t="shared" si="14"/>
        <v>0</v>
      </c>
      <c r="AM13" s="2">
        <f t="shared" si="15"/>
        <v>0</v>
      </c>
      <c r="AN13" s="2">
        <f t="shared" si="16"/>
        <v>0</v>
      </c>
      <c r="AO13" s="2">
        <f t="shared" si="17"/>
        <v>0</v>
      </c>
      <c r="AP13" s="1"/>
      <c r="AQ13" s="1"/>
      <c r="AR13" s="1"/>
      <c r="AS13" s="1"/>
    </row>
    <row r="14" spans="1:45" s="10" customFormat="1" x14ac:dyDescent="0.25">
      <c r="A14" s="22">
        <v>2326</v>
      </c>
      <c r="B14" s="7" t="s">
        <v>41</v>
      </c>
      <c r="C14" s="12">
        <v>45173</v>
      </c>
      <c r="D14" s="7">
        <v>67.2</v>
      </c>
      <c r="E14" s="7">
        <v>502</v>
      </c>
      <c r="F14" s="7">
        <v>14994.5</v>
      </c>
      <c r="G14" s="2">
        <f t="shared" si="0"/>
        <v>29.869521912350599</v>
      </c>
      <c r="H14" s="8">
        <v>489</v>
      </c>
      <c r="I14" s="7">
        <v>44854</v>
      </c>
      <c r="J14" s="6">
        <f t="shared" si="1"/>
        <v>2.5896414342629459E-2</v>
      </c>
      <c r="K14" s="8">
        <f t="shared" si="6"/>
        <v>53917.948717948719</v>
      </c>
      <c r="L14" s="8">
        <v>42056</v>
      </c>
      <c r="M14" s="9">
        <f t="shared" si="2"/>
        <v>78</v>
      </c>
      <c r="N14" s="2">
        <f t="shared" si="7"/>
        <v>110.26165381993603</v>
      </c>
      <c r="O14" s="2">
        <f t="shared" si="8"/>
        <v>86.004089979550102</v>
      </c>
      <c r="P14" s="2">
        <f t="shared" si="9"/>
        <v>77.536750434160794</v>
      </c>
      <c r="Q14" s="11">
        <f t="shared" si="10"/>
        <v>867.7809942914505</v>
      </c>
      <c r="R14" s="11">
        <f t="shared" si="3"/>
        <v>156.55059760956175</v>
      </c>
      <c r="S14" s="8">
        <v>105000</v>
      </c>
      <c r="T14" s="2">
        <f t="shared" si="4"/>
        <v>2.340928345298078</v>
      </c>
      <c r="U14" s="2">
        <f t="shared" si="11"/>
        <v>2.6976026908833872</v>
      </c>
      <c r="V14" s="18">
        <v>40459.899999999994</v>
      </c>
      <c r="W14" s="18"/>
      <c r="X14" s="2">
        <f t="shared" si="12"/>
        <v>0</v>
      </c>
      <c r="Y14" s="18"/>
      <c r="Z14" s="18"/>
      <c r="AA14" s="18"/>
      <c r="AB14" s="18"/>
      <c r="AC14" s="18"/>
      <c r="AD14" s="18"/>
      <c r="AE14" s="18"/>
      <c r="AF14" s="18"/>
      <c r="AG14" s="2">
        <f t="shared" si="5"/>
        <v>1.0394736677416452</v>
      </c>
      <c r="AH14" s="2"/>
      <c r="AI14" s="2"/>
      <c r="AJ14" s="14" t="s">
        <v>59</v>
      </c>
      <c r="AK14" s="2">
        <f t="shared" si="13"/>
        <v>0</v>
      </c>
      <c r="AL14" s="2">
        <f t="shared" si="14"/>
        <v>0</v>
      </c>
      <c r="AM14" s="2">
        <f t="shared" si="15"/>
        <v>0</v>
      </c>
      <c r="AN14" s="2">
        <f t="shared" si="16"/>
        <v>0</v>
      </c>
      <c r="AO14" s="2">
        <f t="shared" si="17"/>
        <v>0</v>
      </c>
      <c r="AP14" s="1"/>
      <c r="AQ14" s="1"/>
      <c r="AR14" s="1"/>
      <c r="AS14" s="1"/>
    </row>
    <row r="15" spans="1:45" s="10" customFormat="1" x14ac:dyDescent="0.25">
      <c r="A15" s="22">
        <v>2327</v>
      </c>
      <c r="B15" s="7" t="s">
        <v>42</v>
      </c>
      <c r="C15" s="12">
        <v>45180</v>
      </c>
      <c r="D15" s="7">
        <v>66.5</v>
      </c>
      <c r="E15" s="7">
        <v>493</v>
      </c>
      <c r="F15" s="7">
        <v>14229.5</v>
      </c>
      <c r="G15" s="2">
        <v>28.6</v>
      </c>
      <c r="H15" s="8">
        <v>483</v>
      </c>
      <c r="I15" s="7">
        <v>38142</v>
      </c>
      <c r="J15" s="6">
        <f t="shared" si="1"/>
        <v>2.0283975659229236E-2</v>
      </c>
      <c r="K15" s="8">
        <f t="shared" si="6"/>
        <v>53509.230769230766</v>
      </c>
      <c r="L15" s="8">
        <v>41737.199999999997</v>
      </c>
      <c r="M15" s="9">
        <f t="shared" si="2"/>
        <v>78</v>
      </c>
      <c r="N15" s="2">
        <f t="shared" si="7"/>
        <v>110.78515687211339</v>
      </c>
      <c r="O15" s="2">
        <f t="shared" si="8"/>
        <v>86.412422360248442</v>
      </c>
      <c r="P15" s="2">
        <f t="shared" si="9"/>
        <v>79.67491028241534</v>
      </c>
      <c r="Q15" s="11">
        <f t="shared" si="10"/>
        <v>1029.8288178184355</v>
      </c>
      <c r="R15" s="11">
        <f t="shared" si="3"/>
        <v>143.86713995943205</v>
      </c>
      <c r="S15" s="8">
        <v>95886.5</v>
      </c>
      <c r="T15" s="2">
        <f t="shared" si="4"/>
        <v>2.5139347700697394</v>
      </c>
      <c r="U15" s="2">
        <v>2.4300000000000002</v>
      </c>
      <c r="V15" s="18">
        <v>36797.605600000003</v>
      </c>
      <c r="W15" s="18"/>
      <c r="X15" s="2">
        <f t="shared" si="12"/>
        <v>0</v>
      </c>
      <c r="Y15" s="18"/>
      <c r="Z15" s="18"/>
      <c r="AA15" s="18"/>
      <c r="AB15" s="18"/>
      <c r="AC15" s="18"/>
      <c r="AD15" s="18"/>
      <c r="AE15" s="18"/>
      <c r="AF15" s="18"/>
      <c r="AG15" s="2">
        <f t="shared" si="5"/>
        <v>0.93680900758171437</v>
      </c>
      <c r="AH15" s="2"/>
      <c r="AI15" s="2"/>
      <c r="AJ15" s="14"/>
      <c r="AK15" s="2">
        <f t="shared" si="13"/>
        <v>0</v>
      </c>
      <c r="AL15" s="2">
        <f t="shared" si="14"/>
        <v>0</v>
      </c>
      <c r="AM15" s="2">
        <f t="shared" si="15"/>
        <v>0</v>
      </c>
      <c r="AN15" s="2">
        <f t="shared" si="16"/>
        <v>0</v>
      </c>
      <c r="AO15" s="2">
        <f t="shared" si="17"/>
        <v>0</v>
      </c>
      <c r="AP15" s="1"/>
      <c r="AQ15" s="1"/>
      <c r="AR15" s="1"/>
      <c r="AS15" s="1"/>
    </row>
    <row r="16" spans="1:45" s="10" customFormat="1" x14ac:dyDescent="0.25">
      <c r="A16" s="22">
        <v>2328</v>
      </c>
      <c r="B16" s="7" t="s">
        <v>43</v>
      </c>
      <c r="C16" s="12">
        <v>45187</v>
      </c>
      <c r="D16" s="7">
        <v>66.5</v>
      </c>
      <c r="E16" s="7">
        <v>489</v>
      </c>
      <c r="F16" s="7">
        <v>14229.5</v>
      </c>
      <c r="G16" s="2">
        <f t="shared" si="0"/>
        <v>29.099182004089979</v>
      </c>
      <c r="H16" s="8">
        <v>469</v>
      </c>
      <c r="I16" s="7">
        <v>38062</v>
      </c>
      <c r="J16" s="6">
        <f t="shared" si="1"/>
        <v>4.0899795501022518E-2</v>
      </c>
      <c r="K16" s="8">
        <f t="shared" si="6"/>
        <v>53491.025641025641</v>
      </c>
      <c r="L16" s="8">
        <v>41723</v>
      </c>
      <c r="M16" s="9">
        <f t="shared" si="2"/>
        <v>78</v>
      </c>
      <c r="N16" s="2">
        <f t="shared" si="7"/>
        <v>114.05335957574763</v>
      </c>
      <c r="O16" s="2">
        <f t="shared" si="8"/>
        <v>88.961620469083158</v>
      </c>
      <c r="P16" s="2">
        <f t="shared" si="9"/>
        <v>80.289418488804998</v>
      </c>
      <c r="Q16" s="11">
        <f t="shared" si="10"/>
        <v>1031.5150449536452</v>
      </c>
      <c r="R16" s="11">
        <f t="shared" si="3"/>
        <v>144.33640081799592</v>
      </c>
      <c r="S16" s="8">
        <v>101000</v>
      </c>
      <c r="T16" s="2">
        <v>2.6410611243113395</v>
      </c>
      <c r="U16" s="2">
        <v>2.5724930030345492</v>
      </c>
      <c r="V16" s="18">
        <v>38781.599999999991</v>
      </c>
      <c r="W16" s="18"/>
      <c r="X16" s="2">
        <f t="shared" si="12"/>
        <v>0</v>
      </c>
      <c r="Y16" s="18"/>
      <c r="Z16" s="18"/>
      <c r="AA16" s="18"/>
      <c r="AB16" s="18"/>
      <c r="AC16" s="18"/>
      <c r="AD16" s="18"/>
      <c r="AE16" s="18"/>
      <c r="AF16" s="18"/>
      <c r="AG16" s="2">
        <f t="shared" si="5"/>
        <v>0.9877761846186599</v>
      </c>
      <c r="AH16" s="2"/>
      <c r="AI16" s="2"/>
      <c r="AJ16" s="14"/>
      <c r="AK16" s="2">
        <f t="shared" si="13"/>
        <v>0</v>
      </c>
      <c r="AL16" s="2">
        <f t="shared" si="14"/>
        <v>0</v>
      </c>
      <c r="AM16" s="2">
        <f t="shared" si="15"/>
        <v>0</v>
      </c>
      <c r="AN16" s="2">
        <f t="shared" si="16"/>
        <v>0</v>
      </c>
      <c r="AO16" s="2">
        <f t="shared" si="17"/>
        <v>0</v>
      </c>
      <c r="AP16" s="1"/>
      <c r="AQ16" s="1"/>
      <c r="AR16" s="1"/>
      <c r="AS16" s="1"/>
    </row>
    <row r="17" spans="1:45" s="10" customFormat="1" x14ac:dyDescent="0.25">
      <c r="A17" s="22">
        <v>2329</v>
      </c>
      <c r="B17" s="7" t="s">
        <v>44</v>
      </c>
      <c r="C17" s="12">
        <v>45194</v>
      </c>
      <c r="D17" s="7">
        <v>65.8</v>
      </c>
      <c r="E17" s="7">
        <v>486</v>
      </c>
      <c r="F17" s="7">
        <v>13409.5</v>
      </c>
      <c r="G17" s="2">
        <f t="shared" si="0"/>
        <v>27.59156378600823</v>
      </c>
      <c r="H17" s="8">
        <v>475</v>
      </c>
      <c r="I17" s="7">
        <v>37971</v>
      </c>
      <c r="J17" s="6">
        <f t="shared" si="1"/>
        <v>2.2633744855967031E-2</v>
      </c>
      <c r="K17" s="8">
        <f t="shared" si="6"/>
        <v>51681.538461538461</v>
      </c>
      <c r="L17" s="8">
        <v>40311.599999999999</v>
      </c>
      <c r="M17" s="9">
        <f t="shared" si="2"/>
        <v>78</v>
      </c>
      <c r="N17" s="2">
        <f t="shared" si="7"/>
        <v>108.80323886639675</v>
      </c>
      <c r="O17" s="2">
        <f t="shared" si="8"/>
        <v>84.866526315789471</v>
      </c>
      <c r="P17" s="2">
        <f t="shared" si="9"/>
        <v>78.749050332383661</v>
      </c>
      <c r="Q17" s="11">
        <f t="shared" si="10"/>
        <v>1007.9281151810187</v>
      </c>
      <c r="R17" s="11">
        <f t="shared" si="3"/>
        <v>143.92962962962963</v>
      </c>
      <c r="S17" s="8">
        <v>92363.5</v>
      </c>
      <c r="T17" s="2">
        <f t="shared" si="4"/>
        <v>2.4324747833873217</v>
      </c>
      <c r="U17" s="2">
        <f t="shared" si="11"/>
        <v>2.413341533736721</v>
      </c>
      <c r="V17" s="18">
        <v>35783.407449999999</v>
      </c>
      <c r="W17" s="18"/>
      <c r="X17" s="2">
        <f t="shared" si="12"/>
        <v>0</v>
      </c>
      <c r="Y17" s="18"/>
      <c r="Z17" s="18"/>
      <c r="AA17" s="18"/>
      <c r="AB17" s="18"/>
      <c r="AC17" s="18"/>
      <c r="AD17" s="18"/>
      <c r="AE17" s="18"/>
      <c r="AF17" s="18"/>
      <c r="AG17" s="2">
        <f t="shared" si="5"/>
        <v>0.93497521659214955</v>
      </c>
      <c r="AH17" s="2"/>
      <c r="AI17" s="2"/>
      <c r="AJ17" s="14"/>
      <c r="AK17" s="2">
        <f t="shared" si="13"/>
        <v>0</v>
      </c>
      <c r="AL17" s="2">
        <f t="shared" si="14"/>
        <v>0</v>
      </c>
      <c r="AM17" s="2">
        <f t="shared" si="15"/>
        <v>0</v>
      </c>
      <c r="AN17" s="2">
        <f t="shared" si="16"/>
        <v>0</v>
      </c>
      <c r="AO17" s="2">
        <f t="shared" si="17"/>
        <v>0</v>
      </c>
      <c r="AP17" s="1"/>
      <c r="AQ17" s="1"/>
      <c r="AR17" s="1"/>
      <c r="AS17" s="1"/>
    </row>
    <row r="18" spans="1:45" x14ac:dyDescent="0.25">
      <c r="A18" s="22">
        <v>2330</v>
      </c>
      <c r="B18" s="7" t="s">
        <v>45</v>
      </c>
      <c r="C18" s="12">
        <v>45201</v>
      </c>
      <c r="D18" s="7">
        <v>66.5</v>
      </c>
      <c r="E18" s="7">
        <v>490</v>
      </c>
      <c r="F18" s="7">
        <v>13269.5</v>
      </c>
      <c r="G18" s="2">
        <f t="shared" ref="G18:G91" si="20">F18/E18</f>
        <v>27.08061224489796</v>
      </c>
      <c r="H18" s="8">
        <v>479</v>
      </c>
      <c r="I18" s="7">
        <v>37854</v>
      </c>
      <c r="J18" s="6">
        <f t="shared" ref="J18:J51" si="21">(1-(H18/E18))</f>
        <v>2.2448979591836782E-2</v>
      </c>
      <c r="K18" s="8">
        <f t="shared" si="6"/>
        <v>51470.384615384617</v>
      </c>
      <c r="L18" s="8">
        <v>40146.9</v>
      </c>
      <c r="M18" s="9">
        <f t="shared" ref="M18:M86" si="22">(L18/K18)*100</f>
        <v>78</v>
      </c>
      <c r="N18" s="2">
        <f t="shared" ref="N18:N70" si="23">K18/H18</f>
        <v>107.45383009474868</v>
      </c>
      <c r="O18" s="2">
        <f t="shared" ref="O18:O68" si="24">L18/H18</f>
        <v>83.813987473903964</v>
      </c>
      <c r="P18" s="2">
        <f t="shared" si="9"/>
        <v>77.96098901098901</v>
      </c>
      <c r="Q18" s="11">
        <f t="shared" ref="Q18:Q60" si="25">((K18-F18)/I18)*1000</f>
        <v>1009.1637506045495</v>
      </c>
      <c r="R18" s="11">
        <f t="shared" ref="R18:R56" si="26">(I18/E18)+D18</f>
        <v>143.75306122448978</v>
      </c>
      <c r="S18" s="8">
        <v>99508.5</v>
      </c>
      <c r="T18" s="2">
        <v>2.58</v>
      </c>
      <c r="U18" s="2">
        <v>2.5977340296178602</v>
      </c>
      <c r="V18" s="18">
        <v>38449.568950000001</v>
      </c>
      <c r="W18" s="18"/>
      <c r="X18" s="2">
        <f t="shared" si="12"/>
        <v>0</v>
      </c>
      <c r="Y18" s="18"/>
      <c r="Z18" s="18"/>
      <c r="AA18" s="18"/>
      <c r="AB18" s="18"/>
      <c r="AC18" s="18"/>
      <c r="AD18" s="18"/>
      <c r="AE18" s="18"/>
      <c r="AF18" s="18"/>
      <c r="AG18" s="2">
        <f t="shared" si="5"/>
        <v>1.0065099103625268</v>
      </c>
      <c r="AH18" s="2"/>
      <c r="AI18" s="2"/>
      <c r="AJ18" s="14"/>
      <c r="AK18" s="2">
        <f t="shared" si="13"/>
        <v>0</v>
      </c>
      <c r="AL18" s="2">
        <f t="shared" si="14"/>
        <v>0</v>
      </c>
      <c r="AM18" s="2">
        <f t="shared" si="15"/>
        <v>0</v>
      </c>
      <c r="AN18" s="2">
        <f t="shared" si="16"/>
        <v>0</v>
      </c>
      <c r="AO18" s="2">
        <f t="shared" si="17"/>
        <v>0</v>
      </c>
    </row>
    <row r="19" spans="1:45" x14ac:dyDescent="0.25">
      <c r="A19" s="22">
        <v>2331</v>
      </c>
      <c r="B19" s="7" t="s">
        <v>46</v>
      </c>
      <c r="C19" s="12">
        <v>45574</v>
      </c>
      <c r="D19" s="7">
        <v>66.5</v>
      </c>
      <c r="E19" s="7">
        <v>488</v>
      </c>
      <c r="F19" s="7">
        <v>13351</v>
      </c>
      <c r="G19" s="2">
        <f t="shared" si="20"/>
        <v>27.358606557377048</v>
      </c>
      <c r="H19" s="8">
        <v>480</v>
      </c>
      <c r="I19" s="7">
        <v>38732</v>
      </c>
      <c r="J19" s="6">
        <f t="shared" si="21"/>
        <v>1.6393442622950838E-2</v>
      </c>
      <c r="K19" s="8">
        <f t="shared" si="6"/>
        <v>53351.282051282047</v>
      </c>
      <c r="L19" s="8">
        <v>41614</v>
      </c>
      <c r="M19" s="9">
        <f t="shared" si="22"/>
        <v>78</v>
      </c>
      <c r="N19" s="2">
        <f t="shared" si="23"/>
        <v>111.14850427350426</v>
      </c>
      <c r="O19" s="2">
        <f t="shared" si="24"/>
        <v>86.69583333333334</v>
      </c>
      <c r="P19" s="2">
        <f t="shared" si="9"/>
        <v>81.967791088692721</v>
      </c>
      <c r="Q19" s="11">
        <f t="shared" si="25"/>
        <v>1032.7450700010857</v>
      </c>
      <c r="R19" s="11">
        <f t="shared" si="26"/>
        <v>145.86885245901641</v>
      </c>
      <c r="S19" s="8">
        <v>97200</v>
      </c>
      <c r="T19" s="2">
        <f t="shared" ref="T19:T77" si="27">S19/I19</f>
        <v>2.5095528245378498</v>
      </c>
      <c r="U19" s="2">
        <f t="shared" ref="U19:U68" si="28">S19/(K19-F19)</f>
        <v>2.4299828655054356</v>
      </c>
      <c r="V19" s="18">
        <v>37653.400000000009</v>
      </c>
      <c r="W19" s="18"/>
      <c r="X19" s="2">
        <f t="shared" si="12"/>
        <v>0</v>
      </c>
      <c r="Y19" s="18"/>
      <c r="Z19" s="18"/>
      <c r="AA19" s="18"/>
      <c r="AB19" s="18"/>
      <c r="AC19" s="18"/>
      <c r="AD19" s="18"/>
      <c r="AE19" s="18"/>
      <c r="AF19" s="18"/>
      <c r="AG19" s="2">
        <f t="shared" si="5"/>
        <v>0.94132836242821394</v>
      </c>
      <c r="AH19" s="2"/>
      <c r="AI19" s="2"/>
      <c r="AJ19" s="14"/>
      <c r="AK19" s="2">
        <f t="shared" si="13"/>
        <v>0</v>
      </c>
      <c r="AL19" s="2">
        <f t="shared" si="14"/>
        <v>0</v>
      </c>
      <c r="AM19" s="2">
        <f t="shared" si="15"/>
        <v>0</v>
      </c>
      <c r="AN19" s="2">
        <f t="shared" si="16"/>
        <v>0</v>
      </c>
      <c r="AO19" s="2">
        <f t="shared" si="17"/>
        <v>0</v>
      </c>
    </row>
    <row r="20" spans="1:45" x14ac:dyDescent="0.25">
      <c r="A20" s="22">
        <v>2332</v>
      </c>
      <c r="B20" s="7" t="s">
        <v>47</v>
      </c>
      <c r="C20" s="12">
        <v>45581</v>
      </c>
      <c r="D20" s="7">
        <v>66</v>
      </c>
      <c r="E20" s="7">
        <v>482</v>
      </c>
      <c r="F20" s="7">
        <v>13496</v>
      </c>
      <c r="G20" s="2">
        <v>28</v>
      </c>
      <c r="H20" s="8">
        <v>467</v>
      </c>
      <c r="I20" s="7">
        <v>37606</v>
      </c>
      <c r="J20" s="6">
        <f t="shared" si="21"/>
        <v>3.1120331950207469E-2</v>
      </c>
      <c r="K20" s="8">
        <f t="shared" si="6"/>
        <v>51167.948717948719</v>
      </c>
      <c r="L20" s="8">
        <v>39911</v>
      </c>
      <c r="M20" s="9">
        <f t="shared" si="22"/>
        <v>78</v>
      </c>
      <c r="N20" s="2">
        <f t="shared" si="23"/>
        <v>109.5673420084555</v>
      </c>
      <c r="O20" s="2">
        <f t="shared" si="24"/>
        <v>85.462526766595289</v>
      </c>
      <c r="P20" s="2">
        <f t="shared" si="9"/>
        <v>78.157569954250448</v>
      </c>
      <c r="Q20" s="11">
        <f t="shared" si="25"/>
        <v>1001.7536754227707</v>
      </c>
      <c r="R20" s="11">
        <f t="shared" si="26"/>
        <v>144.02074688796682</v>
      </c>
      <c r="S20" s="8">
        <v>93100</v>
      </c>
      <c r="T20" s="2">
        <f t="shared" si="27"/>
        <v>2.4756687762591074</v>
      </c>
      <c r="U20" s="2">
        <f t="shared" si="28"/>
        <v>2.4713348570588467</v>
      </c>
      <c r="V20" s="18">
        <v>36286.369999999988</v>
      </c>
      <c r="W20" s="18"/>
      <c r="X20" s="2">
        <f t="shared" si="12"/>
        <v>0</v>
      </c>
      <c r="Y20" s="18"/>
      <c r="Z20" s="18"/>
      <c r="AA20" s="18"/>
      <c r="AB20" s="18"/>
      <c r="AC20" s="18"/>
      <c r="AD20" s="18"/>
      <c r="AE20" s="18"/>
      <c r="AF20" s="18"/>
      <c r="AG20" s="2">
        <f t="shared" si="5"/>
        <v>0.96321988203151876</v>
      </c>
      <c r="AH20" s="2"/>
      <c r="AI20" s="2"/>
      <c r="AJ20" s="14"/>
      <c r="AK20" s="2">
        <f t="shared" si="13"/>
        <v>0</v>
      </c>
      <c r="AL20" s="2">
        <f t="shared" si="14"/>
        <v>0</v>
      </c>
      <c r="AM20" s="2">
        <f t="shared" si="15"/>
        <v>0</v>
      </c>
      <c r="AN20" s="2">
        <f t="shared" si="16"/>
        <v>0</v>
      </c>
      <c r="AO20" s="2">
        <f t="shared" si="17"/>
        <v>0</v>
      </c>
    </row>
    <row r="21" spans="1:45" x14ac:dyDescent="0.25">
      <c r="A21" s="21">
        <v>2333</v>
      </c>
      <c r="B21" s="14" t="s">
        <v>50</v>
      </c>
      <c r="C21" s="23">
        <v>45588</v>
      </c>
      <c r="D21" s="14">
        <v>67</v>
      </c>
      <c r="E21" s="14">
        <v>489</v>
      </c>
      <c r="F21" s="14">
        <v>14119.5</v>
      </c>
      <c r="G21" s="2">
        <f t="shared" si="20"/>
        <v>28.874233128834355</v>
      </c>
      <c r="H21" s="16">
        <v>477</v>
      </c>
      <c r="I21" s="14">
        <v>37949</v>
      </c>
      <c r="J21" s="6">
        <f t="shared" si="21"/>
        <v>2.4539877300613466E-2</v>
      </c>
      <c r="K21" s="8">
        <f t="shared" si="6"/>
        <v>52064.48717948718</v>
      </c>
      <c r="L21" s="16">
        <v>40610.300000000003</v>
      </c>
      <c r="M21" s="9">
        <f t="shared" si="22"/>
        <v>78</v>
      </c>
      <c r="N21" s="2">
        <f t="shared" si="23"/>
        <v>109.1498683008117</v>
      </c>
      <c r="O21" s="2">
        <f t="shared" si="24"/>
        <v>85.136897274633128</v>
      </c>
      <c r="P21" s="2">
        <f t="shared" si="9"/>
        <v>77.597110796497304</v>
      </c>
      <c r="Q21" s="11">
        <f t="shared" si="25"/>
        <v>999.89425754268052</v>
      </c>
      <c r="R21" s="11">
        <f t="shared" si="26"/>
        <v>144.60531697341514</v>
      </c>
      <c r="S21" s="16">
        <v>98400</v>
      </c>
      <c r="T21" s="2">
        <f t="shared" si="27"/>
        <v>2.5929537010197898</v>
      </c>
      <c r="U21" s="2">
        <f t="shared" si="28"/>
        <v>2.5932279153119446</v>
      </c>
      <c r="V21" s="17">
        <v>38321.62999999999</v>
      </c>
      <c r="W21" s="17"/>
      <c r="X21" s="2">
        <f t="shared" si="12"/>
        <v>0</v>
      </c>
      <c r="Y21" s="18"/>
      <c r="Z21" s="18"/>
      <c r="AA21" s="18"/>
      <c r="AB21" s="18"/>
      <c r="AC21" s="18"/>
      <c r="AD21" s="17"/>
      <c r="AE21" s="17"/>
      <c r="AF21" s="17"/>
      <c r="AG21" s="2">
        <f t="shared" si="5"/>
        <v>1.0099260231326794</v>
      </c>
      <c r="AH21" s="2"/>
      <c r="AI21" s="2"/>
      <c r="AJ21" s="14"/>
      <c r="AK21" s="2">
        <f t="shared" si="13"/>
        <v>0</v>
      </c>
      <c r="AL21" s="2">
        <f t="shared" si="14"/>
        <v>0</v>
      </c>
      <c r="AM21" s="2">
        <f t="shared" si="15"/>
        <v>0</v>
      </c>
      <c r="AN21" s="2">
        <f t="shared" si="16"/>
        <v>0</v>
      </c>
      <c r="AO21" s="2">
        <f t="shared" si="17"/>
        <v>0</v>
      </c>
    </row>
    <row r="22" spans="1:45" x14ac:dyDescent="0.25">
      <c r="A22" s="21">
        <v>2334</v>
      </c>
      <c r="B22" s="14" t="s">
        <v>52</v>
      </c>
      <c r="C22" s="23">
        <v>45595</v>
      </c>
      <c r="D22" s="14">
        <v>67</v>
      </c>
      <c r="E22" s="14">
        <v>491</v>
      </c>
      <c r="F22" s="14">
        <v>13634</v>
      </c>
      <c r="G22" s="2">
        <f t="shared" si="20"/>
        <v>27.767820773930755</v>
      </c>
      <c r="H22" s="16">
        <v>475</v>
      </c>
      <c r="I22" s="14">
        <v>37990</v>
      </c>
      <c r="J22" s="6">
        <f t="shared" si="21"/>
        <v>3.258655804480648E-2</v>
      </c>
      <c r="K22" s="8">
        <f t="shared" si="6"/>
        <v>51917.051282051281</v>
      </c>
      <c r="L22" s="16">
        <v>40495.300000000003</v>
      </c>
      <c r="M22" s="9">
        <f t="shared" si="22"/>
        <v>78</v>
      </c>
      <c r="N22" s="2">
        <f t="shared" si="23"/>
        <v>109.29905533063427</v>
      </c>
      <c r="O22" s="2">
        <f t="shared" si="24"/>
        <v>85.253263157894736</v>
      </c>
      <c r="P22" s="2">
        <f t="shared" si="9"/>
        <v>77.969554545929284</v>
      </c>
      <c r="Q22" s="11">
        <f t="shared" si="25"/>
        <v>1007.7139058186701</v>
      </c>
      <c r="R22" s="11">
        <f t="shared" si="26"/>
        <v>144.37270875763747</v>
      </c>
      <c r="S22" s="16">
        <v>100550</v>
      </c>
      <c r="T22" s="2">
        <f t="shared" si="27"/>
        <v>2.6467491445117135</v>
      </c>
      <c r="U22" s="2">
        <f t="shared" si="28"/>
        <v>2.6264886583672631</v>
      </c>
      <c r="V22" s="17">
        <v>38872.829999999994</v>
      </c>
      <c r="W22" s="17"/>
      <c r="X22" s="2">
        <f t="shared" si="12"/>
        <v>0</v>
      </c>
      <c r="Y22" s="18"/>
      <c r="Z22" s="18"/>
      <c r="AA22" s="18"/>
      <c r="AB22" s="18"/>
      <c r="AC22" s="18"/>
      <c r="AD22" s="17"/>
      <c r="AE22" s="17"/>
      <c r="AF22" s="17"/>
      <c r="AG22" s="2">
        <f t="shared" si="5"/>
        <v>1.0154057395687586</v>
      </c>
      <c r="AH22" s="2"/>
      <c r="AI22" s="2"/>
      <c r="AJ22" s="14"/>
      <c r="AK22" s="2">
        <f t="shared" si="13"/>
        <v>0</v>
      </c>
      <c r="AL22" s="2">
        <f t="shared" si="14"/>
        <v>0</v>
      </c>
      <c r="AM22" s="2">
        <f t="shared" si="15"/>
        <v>0</v>
      </c>
      <c r="AN22" s="2">
        <f t="shared" si="16"/>
        <v>0</v>
      </c>
      <c r="AO22" s="2">
        <f t="shared" si="17"/>
        <v>0</v>
      </c>
    </row>
    <row r="23" spans="1:45" x14ac:dyDescent="0.25">
      <c r="A23" s="21">
        <v>2335</v>
      </c>
      <c r="B23" s="14" t="s">
        <v>60</v>
      </c>
      <c r="C23" s="23">
        <v>45602</v>
      </c>
      <c r="D23" s="14">
        <v>66</v>
      </c>
      <c r="E23" s="14">
        <v>463</v>
      </c>
      <c r="F23" s="14">
        <v>12214</v>
      </c>
      <c r="G23" s="2">
        <f t="shared" si="20"/>
        <v>26.38012958963283</v>
      </c>
      <c r="H23" s="16">
        <v>449</v>
      </c>
      <c r="I23" s="14">
        <v>35624</v>
      </c>
      <c r="J23" s="6">
        <f t="shared" si="21"/>
        <v>3.0237580993520474E-2</v>
      </c>
      <c r="K23" s="8">
        <f t="shared" si="6"/>
        <v>48926.282051282047</v>
      </c>
      <c r="L23" s="16">
        <v>38162.5</v>
      </c>
      <c r="M23" s="9">
        <f t="shared" si="22"/>
        <v>78</v>
      </c>
      <c r="N23" s="2">
        <f t="shared" si="23"/>
        <v>108.96722060419164</v>
      </c>
      <c r="O23" s="2">
        <f t="shared" si="24"/>
        <v>84.994432071269486</v>
      </c>
      <c r="P23" s="2">
        <f t="shared" si="9"/>
        <v>79.292185855900755</v>
      </c>
      <c r="Q23" s="11">
        <f t="shared" si="25"/>
        <v>1030.5491256254786</v>
      </c>
      <c r="R23" s="11">
        <f t="shared" si="26"/>
        <v>142.94168466522677</v>
      </c>
      <c r="S23" s="16">
        <v>94761.5</v>
      </c>
      <c r="T23" s="2">
        <f t="shared" si="27"/>
        <v>2.6600465977992367</v>
      </c>
      <c r="U23" s="2">
        <f t="shared" si="28"/>
        <v>2.5811933964669129</v>
      </c>
      <c r="V23" s="17">
        <v>33688.381950000003</v>
      </c>
      <c r="W23" s="17"/>
      <c r="X23" s="2">
        <f t="shared" si="12"/>
        <v>0</v>
      </c>
      <c r="Y23" s="18"/>
      <c r="Z23" s="18"/>
      <c r="AA23" s="18"/>
      <c r="AB23" s="18"/>
      <c r="AC23" s="18"/>
      <c r="AD23" s="17"/>
      <c r="AE23" s="17"/>
      <c r="AF23" s="17"/>
      <c r="AG23" s="2">
        <f t="shared" si="5"/>
        <v>0.91763246705671775</v>
      </c>
      <c r="AH23" s="2"/>
      <c r="AI23" s="2"/>
      <c r="AJ23" s="14"/>
      <c r="AK23" s="2">
        <f t="shared" si="13"/>
        <v>0</v>
      </c>
      <c r="AL23" s="2">
        <f t="shared" si="14"/>
        <v>0</v>
      </c>
      <c r="AM23" s="2">
        <f t="shared" si="15"/>
        <v>0</v>
      </c>
      <c r="AN23" s="2">
        <f t="shared" si="16"/>
        <v>0</v>
      </c>
      <c r="AO23" s="2">
        <f t="shared" si="17"/>
        <v>0</v>
      </c>
    </row>
    <row r="24" spans="1:45" x14ac:dyDescent="0.25">
      <c r="A24" s="21">
        <v>2336</v>
      </c>
      <c r="B24" s="14" t="s">
        <v>54</v>
      </c>
      <c r="C24" s="23">
        <v>45608</v>
      </c>
      <c r="D24" s="14">
        <v>67</v>
      </c>
      <c r="E24" s="14">
        <v>492</v>
      </c>
      <c r="F24" s="14">
        <v>12921</v>
      </c>
      <c r="G24" s="2">
        <f t="shared" si="20"/>
        <v>26.262195121951219</v>
      </c>
      <c r="H24" s="16">
        <v>478</v>
      </c>
      <c r="I24" s="14">
        <v>38641</v>
      </c>
      <c r="J24" s="6">
        <f t="shared" si="21"/>
        <v>2.8455284552845517E-2</v>
      </c>
      <c r="K24" s="8">
        <f t="shared" si="6"/>
        <v>53392.307692307688</v>
      </c>
      <c r="L24" s="16">
        <v>41646</v>
      </c>
      <c r="M24" s="9">
        <f t="shared" si="22"/>
        <v>78</v>
      </c>
      <c r="N24" s="2">
        <f t="shared" si="23"/>
        <v>111.69938847763115</v>
      </c>
      <c r="O24" s="2">
        <f t="shared" si="24"/>
        <v>87.125523012552307</v>
      </c>
      <c r="P24" s="2">
        <f t="shared" si="9"/>
        <v>82.258755472170094</v>
      </c>
      <c r="Q24" s="11">
        <f t="shared" si="25"/>
        <v>1047.3669856449803</v>
      </c>
      <c r="R24" s="11">
        <f t="shared" si="26"/>
        <v>145.53861788617886</v>
      </c>
      <c r="S24" s="16">
        <v>99146</v>
      </c>
      <c r="T24" s="2">
        <f t="shared" si="27"/>
        <v>2.5658238658419812</v>
      </c>
      <c r="U24" s="2">
        <f t="shared" si="28"/>
        <v>2.4497849378572099</v>
      </c>
      <c r="V24" s="17">
        <v>38390.942000000003</v>
      </c>
      <c r="W24" s="17"/>
      <c r="X24" s="2">
        <f t="shared" si="12"/>
        <v>0</v>
      </c>
      <c r="Y24" s="18"/>
      <c r="Z24" s="18"/>
      <c r="AA24" s="18"/>
      <c r="AB24" s="18"/>
      <c r="AC24" s="18"/>
      <c r="AD24" s="17"/>
      <c r="AE24" s="17"/>
      <c r="AF24" s="17"/>
      <c r="AG24" s="2">
        <f t="shared" si="5"/>
        <v>0.94859652897494351</v>
      </c>
      <c r="AH24" s="2"/>
      <c r="AI24" s="2"/>
      <c r="AJ24" s="14"/>
      <c r="AK24" s="2">
        <f t="shared" si="13"/>
        <v>0</v>
      </c>
      <c r="AL24" s="2">
        <f t="shared" si="14"/>
        <v>0</v>
      </c>
      <c r="AM24" s="2">
        <f t="shared" si="15"/>
        <v>0</v>
      </c>
      <c r="AN24" s="2">
        <f t="shared" si="16"/>
        <v>0</v>
      </c>
      <c r="AO24" s="2">
        <f t="shared" si="17"/>
        <v>0</v>
      </c>
    </row>
    <row r="25" spans="1:45" x14ac:dyDescent="0.25">
      <c r="A25" s="21">
        <v>2337</v>
      </c>
      <c r="B25" s="14" t="s">
        <v>55</v>
      </c>
      <c r="C25" s="23">
        <v>45614</v>
      </c>
      <c r="D25" s="14">
        <v>68</v>
      </c>
      <c r="E25" s="14">
        <v>503</v>
      </c>
      <c r="F25" s="14">
        <v>13260</v>
      </c>
      <c r="G25" s="2">
        <f t="shared" si="20"/>
        <v>26.36182902584493</v>
      </c>
      <c r="H25" s="16">
        <v>486</v>
      </c>
      <c r="I25" s="14">
        <v>39234</v>
      </c>
      <c r="J25" s="6">
        <f t="shared" si="21"/>
        <v>3.379721669980118E-2</v>
      </c>
      <c r="K25" s="8">
        <f t="shared" si="6"/>
        <v>53207.051282051281</v>
      </c>
      <c r="L25" s="16">
        <v>41501.5</v>
      </c>
      <c r="M25" s="9">
        <f t="shared" si="22"/>
        <v>78</v>
      </c>
      <c r="N25" s="2">
        <f t="shared" si="23"/>
        <v>109.47952938693679</v>
      </c>
      <c r="O25" s="2">
        <f t="shared" si="24"/>
        <v>85.394032921810705</v>
      </c>
      <c r="P25" s="2">
        <f t="shared" si="9"/>
        <v>79.417596982209304</v>
      </c>
      <c r="Q25" s="11">
        <f t="shared" si="25"/>
        <v>1018.1743202847347</v>
      </c>
      <c r="R25" s="11">
        <f t="shared" si="26"/>
        <v>146</v>
      </c>
      <c r="S25" s="16">
        <v>101404</v>
      </c>
      <c r="T25" s="2">
        <f t="shared" si="27"/>
        <v>2.5845949941377375</v>
      </c>
      <c r="U25" s="2">
        <f t="shared" si="28"/>
        <v>2.5384602053359093</v>
      </c>
      <c r="V25" s="17">
        <v>39163.997799999997</v>
      </c>
      <c r="W25" s="17"/>
      <c r="X25" s="2">
        <f t="shared" si="12"/>
        <v>0</v>
      </c>
      <c r="Y25" s="18"/>
      <c r="Z25" s="18"/>
      <c r="AA25" s="18"/>
      <c r="AB25" s="18"/>
      <c r="AC25" s="18"/>
      <c r="AD25" s="17"/>
      <c r="AE25" s="17"/>
      <c r="AF25" s="17"/>
      <c r="AG25" s="2">
        <f t="shared" si="5"/>
        <v>0.98039771505229678</v>
      </c>
      <c r="AH25" s="2"/>
      <c r="AI25" s="2"/>
      <c r="AJ25" s="14"/>
      <c r="AK25" s="2">
        <f t="shared" si="13"/>
        <v>0</v>
      </c>
      <c r="AL25" s="2">
        <f t="shared" si="14"/>
        <v>0</v>
      </c>
      <c r="AM25" s="2">
        <f t="shared" si="15"/>
        <v>0</v>
      </c>
      <c r="AN25" s="2">
        <f t="shared" si="16"/>
        <v>0</v>
      </c>
      <c r="AO25" s="2">
        <f t="shared" si="17"/>
        <v>0</v>
      </c>
    </row>
    <row r="26" spans="1:45" x14ac:dyDescent="0.25">
      <c r="A26" s="21">
        <v>2338</v>
      </c>
      <c r="B26" s="14" t="s">
        <v>41</v>
      </c>
      <c r="C26" s="23">
        <v>45623</v>
      </c>
      <c r="D26" s="14">
        <v>66</v>
      </c>
      <c r="E26" s="14">
        <v>496</v>
      </c>
      <c r="F26" s="14">
        <v>12800</v>
      </c>
      <c r="G26" s="2">
        <f t="shared" si="20"/>
        <v>25.806451612903224</v>
      </c>
      <c r="H26" s="16">
        <v>489</v>
      </c>
      <c r="I26" s="14">
        <v>38468</v>
      </c>
      <c r="J26" s="6">
        <f t="shared" si="21"/>
        <v>1.4112903225806495E-2</v>
      </c>
      <c r="K26" s="8">
        <f t="shared" si="6"/>
        <v>49069.679487179485</v>
      </c>
      <c r="L26" s="16">
        <v>38274.35</v>
      </c>
      <c r="M26" s="9">
        <f t="shared" si="22"/>
        <v>78</v>
      </c>
      <c r="N26" s="2">
        <f t="shared" si="23"/>
        <v>100.34699281631796</v>
      </c>
      <c r="O26" s="2">
        <f t="shared" si="24"/>
        <v>78.27065439672802</v>
      </c>
      <c r="P26" s="2">
        <f t="shared" si="9"/>
        <v>73.124353804797352</v>
      </c>
      <c r="Q26" s="11">
        <f t="shared" si="25"/>
        <v>942.85326731775717</v>
      </c>
      <c r="R26" s="11">
        <f t="shared" si="26"/>
        <v>143.55645161290323</v>
      </c>
      <c r="S26" s="16">
        <v>85150</v>
      </c>
      <c r="T26" s="2">
        <f t="shared" si="27"/>
        <v>2.2135281272746177</v>
      </c>
      <c r="U26" s="2">
        <f t="shared" si="28"/>
        <v>2.3476909971067874</v>
      </c>
      <c r="V26" s="17">
        <v>32912.199999999997</v>
      </c>
      <c r="W26" s="17"/>
      <c r="X26" s="2">
        <f t="shared" si="12"/>
        <v>0</v>
      </c>
      <c r="Y26" s="18"/>
      <c r="Z26" s="18"/>
      <c r="AA26" s="18"/>
      <c r="AB26" s="18"/>
      <c r="AC26" s="18"/>
      <c r="AD26" s="17"/>
      <c r="AE26" s="17"/>
      <c r="AF26" s="17"/>
      <c r="AG26" s="2">
        <f t="shared" si="5"/>
        <v>0.9074301307689725</v>
      </c>
      <c r="AH26" s="2"/>
      <c r="AI26" s="2"/>
      <c r="AJ26" s="14"/>
      <c r="AK26" s="2">
        <f t="shared" si="13"/>
        <v>0</v>
      </c>
      <c r="AL26" s="2">
        <f t="shared" si="14"/>
        <v>0</v>
      </c>
      <c r="AM26" s="2">
        <f t="shared" si="15"/>
        <v>0</v>
      </c>
      <c r="AN26" s="2">
        <f t="shared" si="16"/>
        <v>0</v>
      </c>
      <c r="AO26" s="2">
        <f t="shared" si="17"/>
        <v>0</v>
      </c>
    </row>
    <row r="27" spans="1:45" x14ac:dyDescent="0.25">
      <c r="A27" s="21">
        <v>2339</v>
      </c>
      <c r="B27" s="14" t="s">
        <v>42</v>
      </c>
      <c r="C27" s="23">
        <v>45630</v>
      </c>
      <c r="D27" s="14">
        <v>67</v>
      </c>
      <c r="E27" s="14">
        <v>487</v>
      </c>
      <c r="F27" s="14">
        <v>13365</v>
      </c>
      <c r="G27" s="2">
        <f t="shared" si="20"/>
        <v>27.4435318275154</v>
      </c>
      <c r="H27" s="16">
        <v>474</v>
      </c>
      <c r="I27" s="14">
        <v>37832</v>
      </c>
      <c r="J27" s="6">
        <f t="shared" si="21"/>
        <v>2.6694045174537995E-2</v>
      </c>
      <c r="K27" s="8">
        <f t="shared" si="6"/>
        <v>50766.615384615383</v>
      </c>
      <c r="L27" s="16">
        <v>39597.96</v>
      </c>
      <c r="M27" s="9">
        <f t="shared" si="22"/>
        <v>78</v>
      </c>
      <c r="N27" s="2">
        <f t="shared" si="23"/>
        <v>107.1025641025641</v>
      </c>
      <c r="O27" s="2">
        <f t="shared" si="24"/>
        <v>83.539999999999992</v>
      </c>
      <c r="P27" s="2">
        <f t="shared" si="9"/>
        <v>76.800031590586002</v>
      </c>
      <c r="Q27" s="11">
        <f t="shared" si="25"/>
        <v>988.62379426452162</v>
      </c>
      <c r="R27" s="11">
        <f t="shared" si="26"/>
        <v>144.68377823408625</v>
      </c>
      <c r="S27" s="16">
        <v>98000</v>
      </c>
      <c r="T27" s="2">
        <f t="shared" si="27"/>
        <v>2.5903996616620848</v>
      </c>
      <c r="U27" s="2">
        <f t="shared" si="28"/>
        <v>2.6202076833374126</v>
      </c>
      <c r="V27" s="17">
        <v>38439</v>
      </c>
      <c r="W27" s="17"/>
      <c r="X27" s="2">
        <f t="shared" si="12"/>
        <v>0</v>
      </c>
      <c r="Y27" s="18"/>
      <c r="Z27" s="18"/>
      <c r="AA27" s="18"/>
      <c r="AB27" s="18"/>
      <c r="AC27" s="18"/>
      <c r="AD27" s="17"/>
      <c r="AE27" s="17"/>
      <c r="AF27" s="17"/>
      <c r="AG27" s="2">
        <f t="shared" si="5"/>
        <v>1.0277363585694572</v>
      </c>
      <c r="AH27" s="2"/>
      <c r="AI27" s="2"/>
      <c r="AJ27" s="14"/>
      <c r="AK27" s="2">
        <f t="shared" si="13"/>
        <v>0</v>
      </c>
      <c r="AL27" s="2">
        <f t="shared" si="14"/>
        <v>0</v>
      </c>
      <c r="AM27" s="2">
        <f t="shared" si="15"/>
        <v>0</v>
      </c>
      <c r="AN27" s="2">
        <f t="shared" si="16"/>
        <v>0</v>
      </c>
      <c r="AO27" s="2">
        <f t="shared" si="17"/>
        <v>0</v>
      </c>
    </row>
    <row r="28" spans="1:45" x14ac:dyDescent="0.25">
      <c r="A28" s="21">
        <v>2340</v>
      </c>
      <c r="B28" s="14" t="s">
        <v>43</v>
      </c>
      <c r="C28" s="23">
        <v>45637</v>
      </c>
      <c r="D28" s="14">
        <v>67</v>
      </c>
      <c r="E28" s="14">
        <v>506</v>
      </c>
      <c r="F28" s="14">
        <v>13252.5</v>
      </c>
      <c r="G28" s="2">
        <f t="shared" si="20"/>
        <v>26.190711462450594</v>
      </c>
      <c r="H28" s="16">
        <v>496</v>
      </c>
      <c r="I28" s="14">
        <v>40763</v>
      </c>
      <c r="J28" s="6">
        <f t="shared" si="21"/>
        <v>1.9762845849802368E-2</v>
      </c>
      <c r="K28" s="8">
        <f t="shared" si="6"/>
        <v>54750.769230769227</v>
      </c>
      <c r="L28" s="16">
        <v>42705.599999999999</v>
      </c>
      <c r="M28" s="9">
        <f t="shared" si="22"/>
        <v>78</v>
      </c>
      <c r="N28" s="2">
        <f t="shared" si="23"/>
        <v>110.38461538461537</v>
      </c>
      <c r="O28" s="2">
        <f t="shared" si="24"/>
        <v>86.1</v>
      </c>
      <c r="P28" s="2">
        <f t="shared" si="9"/>
        <v>82.012389784128914</v>
      </c>
      <c r="Q28" s="11">
        <f t="shared" si="25"/>
        <v>1018.037662359719</v>
      </c>
      <c r="R28" s="11">
        <f t="shared" si="26"/>
        <v>147.55928853754941</v>
      </c>
      <c r="S28" s="16">
        <v>99000</v>
      </c>
      <c r="T28" s="2">
        <f t="shared" si="27"/>
        <v>2.4286730613546599</v>
      </c>
      <c r="U28" s="2">
        <f t="shared" si="28"/>
        <v>2.3856416625345824</v>
      </c>
      <c r="V28" s="17">
        <v>38300.599999999991</v>
      </c>
      <c r="W28" s="17">
        <v>97983.51</v>
      </c>
      <c r="X28" s="2">
        <f t="shared" si="12"/>
        <v>197.54739919354839</v>
      </c>
      <c r="Y28" s="18"/>
      <c r="Z28" s="18"/>
      <c r="AA28" s="18"/>
      <c r="AB28" s="18"/>
      <c r="AC28" s="18"/>
      <c r="AD28" s="17"/>
      <c r="AE28" s="17"/>
      <c r="AF28" s="17"/>
      <c r="AG28" s="2">
        <f t="shared" si="5"/>
        <v>0.92294451575830305</v>
      </c>
      <c r="AH28" s="2"/>
      <c r="AI28" s="2"/>
      <c r="AJ28" s="14"/>
      <c r="AK28" s="2">
        <f t="shared" si="13"/>
        <v>0</v>
      </c>
      <c r="AL28" s="2">
        <f t="shared" si="14"/>
        <v>0</v>
      </c>
      <c r="AM28" s="2">
        <f t="shared" si="15"/>
        <v>0</v>
      </c>
      <c r="AN28" s="2">
        <f t="shared" si="16"/>
        <v>0</v>
      </c>
      <c r="AO28" s="2">
        <f t="shared" si="17"/>
        <v>0</v>
      </c>
    </row>
    <row r="29" spans="1:45" s="11" customFormat="1" x14ac:dyDescent="0.25">
      <c r="A29" s="21">
        <v>2341</v>
      </c>
      <c r="B29" s="14" t="s">
        <v>44</v>
      </c>
      <c r="C29" s="23">
        <v>45644</v>
      </c>
      <c r="D29" s="14">
        <v>67</v>
      </c>
      <c r="E29" s="14">
        <v>507</v>
      </c>
      <c r="F29" s="14">
        <v>14741.7</v>
      </c>
      <c r="G29" s="2">
        <f t="shared" si="20"/>
        <v>29.076331360946746</v>
      </c>
      <c r="H29" s="16">
        <v>494</v>
      </c>
      <c r="I29" s="14">
        <v>39470</v>
      </c>
      <c r="J29" s="6">
        <f t="shared" si="21"/>
        <v>2.5641025641025661E-2</v>
      </c>
      <c r="K29" s="8">
        <f t="shared" si="6"/>
        <v>52186.666666666664</v>
      </c>
      <c r="L29" s="16">
        <v>40705.599999999999</v>
      </c>
      <c r="M29" s="9">
        <f t="shared" si="22"/>
        <v>78</v>
      </c>
      <c r="N29" s="2">
        <f t="shared" si="23"/>
        <v>105.64102564102564</v>
      </c>
      <c r="O29" s="2">
        <f t="shared" si="24"/>
        <v>82.399999999999991</v>
      </c>
      <c r="P29" s="2">
        <f t="shared" si="9"/>
        <v>73.855950032873096</v>
      </c>
      <c r="Q29" s="11">
        <f t="shared" si="25"/>
        <v>948.69436702981147</v>
      </c>
      <c r="R29" s="11">
        <f t="shared" si="26"/>
        <v>144.8500986193294</v>
      </c>
      <c r="S29" s="16">
        <v>91500</v>
      </c>
      <c r="T29" s="2">
        <f t="shared" si="27"/>
        <v>2.318216366860907</v>
      </c>
      <c r="U29" s="2">
        <f t="shared" si="28"/>
        <v>2.4435860983541184</v>
      </c>
      <c r="V29" s="17">
        <v>33731.299999999988</v>
      </c>
      <c r="W29" s="17">
        <v>90676.11</v>
      </c>
      <c r="X29" s="2">
        <f t="shared" si="12"/>
        <v>183.55487854251012</v>
      </c>
      <c r="Y29" s="18"/>
      <c r="Z29" s="18"/>
      <c r="AA29" s="18"/>
      <c r="AB29" s="18"/>
      <c r="AC29" s="18"/>
      <c r="AD29" s="17"/>
      <c r="AE29" s="17"/>
      <c r="AF29" s="17"/>
      <c r="AG29" s="2">
        <f t="shared" si="5"/>
        <v>0.90082334163292066</v>
      </c>
      <c r="AH29" s="2"/>
      <c r="AI29" s="2"/>
      <c r="AJ29" s="14"/>
      <c r="AK29" s="2">
        <f t="shared" si="13"/>
        <v>0</v>
      </c>
      <c r="AL29" s="2">
        <f t="shared" si="14"/>
        <v>0</v>
      </c>
      <c r="AM29" s="2">
        <f t="shared" si="15"/>
        <v>0</v>
      </c>
      <c r="AN29" s="2">
        <f t="shared" si="16"/>
        <v>0</v>
      </c>
      <c r="AO29" s="2">
        <f t="shared" si="17"/>
        <v>0</v>
      </c>
      <c r="AP29" s="1"/>
      <c r="AQ29" s="1"/>
      <c r="AR29" s="1"/>
      <c r="AS29" s="1"/>
    </row>
    <row r="30" spans="1:45" x14ac:dyDescent="0.25">
      <c r="A30" s="21">
        <v>2342</v>
      </c>
      <c r="B30" s="14" t="s">
        <v>45</v>
      </c>
      <c r="C30" s="23">
        <v>45651</v>
      </c>
      <c r="D30" s="14">
        <v>67</v>
      </c>
      <c r="E30" s="14">
        <v>486</v>
      </c>
      <c r="F30" s="14">
        <v>12994</v>
      </c>
      <c r="G30" s="2">
        <f t="shared" si="20"/>
        <v>26.736625514403293</v>
      </c>
      <c r="H30" s="16">
        <v>475</v>
      </c>
      <c r="I30" s="14">
        <v>38031</v>
      </c>
      <c r="J30" s="6">
        <f t="shared" si="21"/>
        <v>2.2633744855967031E-2</v>
      </c>
      <c r="K30" s="8">
        <f t="shared" si="6"/>
        <v>50588.589743589742</v>
      </c>
      <c r="L30" s="16">
        <v>39459.1</v>
      </c>
      <c r="M30" s="9">
        <f t="shared" si="22"/>
        <v>78</v>
      </c>
      <c r="N30" s="2">
        <f t="shared" si="23"/>
        <v>106.50229419703103</v>
      </c>
      <c r="O30" s="2">
        <f t="shared" si="24"/>
        <v>83.071789473684206</v>
      </c>
      <c r="P30" s="2">
        <f t="shared" si="9"/>
        <v>77.355122929196995</v>
      </c>
      <c r="Q30" s="11">
        <f t="shared" si="25"/>
        <v>988.52488084956337</v>
      </c>
      <c r="R30" s="11">
        <f t="shared" si="26"/>
        <v>145.25308641975309</v>
      </c>
      <c r="S30" s="16">
        <v>91000</v>
      </c>
      <c r="T30" s="2">
        <f t="shared" si="27"/>
        <v>2.3927848334253636</v>
      </c>
      <c r="U30" s="2">
        <f t="shared" si="28"/>
        <v>2.420561059999768</v>
      </c>
      <c r="V30" s="17">
        <v>35143.799999999988</v>
      </c>
      <c r="W30" s="17">
        <v>89891.37</v>
      </c>
      <c r="X30" s="2">
        <f t="shared" si="12"/>
        <v>189.2449894736842</v>
      </c>
      <c r="Y30" s="18"/>
      <c r="Z30" s="18"/>
      <c r="AA30" s="18"/>
      <c r="AB30" s="18"/>
      <c r="AC30" s="18"/>
      <c r="AD30" s="17"/>
      <c r="AE30" s="17"/>
      <c r="AF30" s="17"/>
      <c r="AG30" s="2">
        <f t="shared" si="5"/>
        <v>0.93481004154307501</v>
      </c>
      <c r="AH30" s="2"/>
      <c r="AI30" s="2"/>
      <c r="AJ30" s="14"/>
      <c r="AK30" s="2">
        <f t="shared" si="13"/>
        <v>0</v>
      </c>
      <c r="AL30" s="2">
        <f t="shared" si="14"/>
        <v>0</v>
      </c>
      <c r="AM30" s="2">
        <f t="shared" si="15"/>
        <v>0</v>
      </c>
      <c r="AN30" s="2">
        <f t="shared" si="16"/>
        <v>0</v>
      </c>
      <c r="AO30" s="2">
        <f t="shared" si="17"/>
        <v>0</v>
      </c>
    </row>
    <row r="31" spans="1:45" x14ac:dyDescent="0.25">
      <c r="A31" s="21">
        <v>2343</v>
      </c>
      <c r="B31" s="14" t="s">
        <v>46</v>
      </c>
      <c r="C31" s="23">
        <v>45292</v>
      </c>
      <c r="D31" s="14">
        <v>67</v>
      </c>
      <c r="E31" s="14">
        <v>504</v>
      </c>
      <c r="F31" s="14">
        <v>13329.5</v>
      </c>
      <c r="G31" s="2">
        <f t="shared" si="20"/>
        <v>26.447420634920636</v>
      </c>
      <c r="H31" s="16">
        <v>494</v>
      </c>
      <c r="I31" s="14">
        <v>39456</v>
      </c>
      <c r="J31" s="6">
        <f t="shared" si="21"/>
        <v>1.9841269841269882E-2</v>
      </c>
      <c r="K31" s="8">
        <f t="shared" si="6"/>
        <v>53230.769230769227</v>
      </c>
      <c r="L31" s="16">
        <v>41520</v>
      </c>
      <c r="M31" s="9">
        <f t="shared" si="22"/>
        <v>78</v>
      </c>
      <c r="N31" s="2">
        <f t="shared" si="23"/>
        <v>107.75459358455309</v>
      </c>
      <c r="O31" s="2">
        <f t="shared" si="24"/>
        <v>84.048582995951421</v>
      </c>
      <c r="P31" s="2">
        <f t="shared" si="9"/>
        <v>79.169184981684978</v>
      </c>
      <c r="Q31" s="11">
        <f t="shared" si="25"/>
        <v>1011.2852096200635</v>
      </c>
      <c r="R31" s="11">
        <f t="shared" si="26"/>
        <v>145.28571428571428</v>
      </c>
      <c r="S31" s="16">
        <v>101250</v>
      </c>
      <c r="T31" s="2">
        <v>2.5845949941377375</v>
      </c>
      <c r="U31" s="2">
        <v>2.5406446851707742</v>
      </c>
      <c r="V31" s="17">
        <v>39268.674999999988</v>
      </c>
      <c r="W31" s="17">
        <v>100153.99</v>
      </c>
      <c r="X31" s="2">
        <f t="shared" si="12"/>
        <v>202.74087044534414</v>
      </c>
      <c r="Y31" s="18"/>
      <c r="Z31" s="18"/>
      <c r="AA31" s="18"/>
      <c r="AB31" s="18"/>
      <c r="AC31" s="18"/>
      <c r="AD31" s="17"/>
      <c r="AE31" s="17"/>
      <c r="AF31" s="17"/>
      <c r="AG31" s="2">
        <f t="shared" si="5"/>
        <v>0.98414601232079546</v>
      </c>
      <c r="AH31" s="2"/>
      <c r="AI31" s="2"/>
      <c r="AJ31" s="14"/>
      <c r="AK31" s="2">
        <f t="shared" si="13"/>
        <v>0</v>
      </c>
      <c r="AL31" s="2">
        <f t="shared" si="14"/>
        <v>0</v>
      </c>
      <c r="AM31" s="2">
        <f t="shared" si="15"/>
        <v>0</v>
      </c>
      <c r="AN31" s="2">
        <f t="shared" si="16"/>
        <v>0</v>
      </c>
      <c r="AO31" s="2">
        <f t="shared" si="17"/>
        <v>0</v>
      </c>
    </row>
    <row r="32" spans="1:45" x14ac:dyDescent="0.25">
      <c r="A32" s="21">
        <v>2344</v>
      </c>
      <c r="B32" s="14" t="s">
        <v>47</v>
      </c>
      <c r="C32" s="23">
        <v>45299</v>
      </c>
      <c r="D32" s="14">
        <v>67</v>
      </c>
      <c r="E32" s="14">
        <v>494</v>
      </c>
      <c r="F32" s="14">
        <v>13288.5</v>
      </c>
      <c r="G32" s="2">
        <f t="shared" si="20"/>
        <v>26.899797570850204</v>
      </c>
      <c r="H32" s="16">
        <v>485</v>
      </c>
      <c r="I32" s="14">
        <v>38643</v>
      </c>
      <c r="J32" s="6">
        <f t="shared" si="21"/>
        <v>1.8218623481781382E-2</v>
      </c>
      <c r="K32" s="8">
        <f t="shared" si="6"/>
        <v>51545.256410256414</v>
      </c>
      <c r="L32" s="16">
        <v>40205.300000000003</v>
      </c>
      <c r="M32" s="9">
        <f t="shared" si="22"/>
        <v>78</v>
      </c>
      <c r="N32" s="2">
        <f t="shared" si="23"/>
        <v>106.27887919640497</v>
      </c>
      <c r="O32" s="2">
        <f t="shared" si="24"/>
        <v>82.897525773195881</v>
      </c>
      <c r="P32" s="2">
        <f t="shared" si="9"/>
        <v>77.442826741409746</v>
      </c>
      <c r="Q32" s="11">
        <f t="shared" si="25"/>
        <v>990.0048239074714</v>
      </c>
      <c r="R32" s="11">
        <f t="shared" si="26"/>
        <v>145.2246963562753</v>
      </c>
      <c r="S32" s="16">
        <v>98502.5</v>
      </c>
      <c r="T32" s="2">
        <f t="shared" si="27"/>
        <v>2.5490386357166885</v>
      </c>
      <c r="U32" s="2">
        <f t="shared" si="28"/>
        <v>2.5747739547933044</v>
      </c>
      <c r="V32" s="17">
        <v>38355.634749999997</v>
      </c>
      <c r="W32" s="17">
        <v>97830.14</v>
      </c>
      <c r="X32" s="2">
        <f t="shared" si="12"/>
        <v>201.71162886597938</v>
      </c>
      <c r="Y32" s="18"/>
      <c r="Z32" s="18"/>
      <c r="AA32" s="18"/>
      <c r="AB32" s="18"/>
      <c r="AC32" s="18"/>
      <c r="AD32" s="17"/>
      <c r="AE32" s="17"/>
      <c r="AF32" s="17"/>
      <c r="AG32" s="2">
        <f t="shared" si="5"/>
        <v>1.0025845980951242</v>
      </c>
      <c r="AH32" s="2"/>
      <c r="AI32" s="2"/>
      <c r="AJ32" s="14"/>
      <c r="AK32" s="2">
        <f t="shared" si="13"/>
        <v>0</v>
      </c>
      <c r="AL32" s="2">
        <f t="shared" si="14"/>
        <v>0</v>
      </c>
      <c r="AM32" s="2">
        <f t="shared" si="15"/>
        <v>0</v>
      </c>
      <c r="AN32" s="2">
        <f t="shared" si="16"/>
        <v>0</v>
      </c>
      <c r="AO32" s="2">
        <f t="shared" si="17"/>
        <v>0</v>
      </c>
    </row>
    <row r="33" spans="1:41" x14ac:dyDescent="0.25">
      <c r="A33" s="21">
        <v>2445</v>
      </c>
      <c r="B33" s="14" t="s">
        <v>50</v>
      </c>
      <c r="C33" s="23">
        <v>45306</v>
      </c>
      <c r="D33" s="14">
        <v>66</v>
      </c>
      <c r="E33" s="14">
        <v>509</v>
      </c>
      <c r="F33" s="14">
        <v>12806.5</v>
      </c>
      <c r="G33" s="2">
        <f t="shared" si="20"/>
        <v>25.160117878192533</v>
      </c>
      <c r="H33" s="16">
        <v>491</v>
      </c>
      <c r="I33" s="14">
        <v>40133</v>
      </c>
      <c r="J33" s="6">
        <v>2.35E-2</v>
      </c>
      <c r="K33" s="8">
        <f t="shared" si="6"/>
        <v>53817.230769230773</v>
      </c>
      <c r="L33" s="16">
        <v>41977.440000000002</v>
      </c>
      <c r="M33" s="9">
        <f t="shared" si="22"/>
        <v>78</v>
      </c>
      <c r="N33" s="2">
        <f t="shared" si="23"/>
        <v>109.60739464201787</v>
      </c>
      <c r="O33" s="2">
        <f t="shared" si="24"/>
        <v>85.49376782077394</v>
      </c>
      <c r="P33" s="2">
        <f t="shared" si="9"/>
        <v>80.571180293184227</v>
      </c>
      <c r="Q33" s="11">
        <f t="shared" si="25"/>
        <v>1021.8705496531726</v>
      </c>
      <c r="R33" s="11">
        <f t="shared" si="26"/>
        <v>144.84675834970531</v>
      </c>
      <c r="S33" s="16">
        <v>99355</v>
      </c>
      <c r="T33" s="2">
        <f t="shared" si="27"/>
        <v>2.4756434854110085</v>
      </c>
      <c r="U33" s="2">
        <f t="shared" si="28"/>
        <v>2.4226586099885674</v>
      </c>
      <c r="V33" s="17">
        <v>36497.299500000008</v>
      </c>
      <c r="W33" s="17">
        <v>98505.22</v>
      </c>
      <c r="X33" s="2">
        <f t="shared" si="12"/>
        <v>200.62162932790224</v>
      </c>
      <c r="Y33" s="18"/>
      <c r="Z33" s="18"/>
      <c r="AA33" s="18"/>
      <c r="AB33" s="18"/>
      <c r="AC33" s="18"/>
      <c r="AD33" s="17"/>
      <c r="AE33" s="17"/>
      <c r="AF33" s="17"/>
      <c r="AG33" s="2">
        <f t="shared" si="5"/>
        <v>0.88994511474013849</v>
      </c>
      <c r="AH33" s="2"/>
      <c r="AI33" s="2"/>
      <c r="AJ33" s="14"/>
      <c r="AK33" s="2">
        <f t="shared" si="13"/>
        <v>0</v>
      </c>
      <c r="AL33" s="2">
        <f t="shared" si="14"/>
        <v>0</v>
      </c>
      <c r="AM33" s="2">
        <f t="shared" si="15"/>
        <v>0</v>
      </c>
      <c r="AN33" s="2">
        <f t="shared" si="16"/>
        <v>0</v>
      </c>
      <c r="AO33" s="2">
        <f t="shared" si="17"/>
        <v>0</v>
      </c>
    </row>
    <row r="34" spans="1:41" x14ac:dyDescent="0.25">
      <c r="A34" s="21">
        <v>2446</v>
      </c>
      <c r="B34" s="14" t="s">
        <v>52</v>
      </c>
      <c r="C34" s="23">
        <v>45313</v>
      </c>
      <c r="D34" s="14">
        <v>67</v>
      </c>
      <c r="E34" s="14">
        <v>503</v>
      </c>
      <c r="F34" s="14">
        <v>13660.4</v>
      </c>
      <c r="G34" s="2">
        <f t="shared" si="20"/>
        <v>27.157852882703775</v>
      </c>
      <c r="H34" s="16">
        <v>493</v>
      </c>
      <c r="I34" s="14">
        <v>39318</v>
      </c>
      <c r="J34" s="6">
        <f t="shared" si="21"/>
        <v>1.9880715705765439E-2</v>
      </c>
      <c r="K34" s="8">
        <f t="shared" si="6"/>
        <v>51221.435897435898</v>
      </c>
      <c r="L34" s="16">
        <v>39952.720000000001</v>
      </c>
      <c r="M34" s="9">
        <f t="shared" si="22"/>
        <v>78</v>
      </c>
      <c r="N34" s="2">
        <f t="shared" si="23"/>
        <v>103.8974358974359</v>
      </c>
      <c r="O34" s="2">
        <f t="shared" si="24"/>
        <v>81.040000000000006</v>
      </c>
      <c r="P34" s="2">
        <f t="shared" si="9"/>
        <v>74.67402762909721</v>
      </c>
      <c r="Q34" s="11">
        <f t="shared" si="25"/>
        <v>955.31400115560041</v>
      </c>
      <c r="R34" s="11">
        <f t="shared" si="26"/>
        <v>145.16699801192843</v>
      </c>
      <c r="S34" s="16">
        <v>96692.5</v>
      </c>
      <c r="T34" s="2">
        <f t="shared" si="27"/>
        <v>2.4592425860928837</v>
      </c>
      <c r="U34" s="2">
        <f t="shared" si="28"/>
        <v>2.5742767122831327</v>
      </c>
      <c r="V34" s="17">
        <v>36768.325250000002</v>
      </c>
      <c r="W34" s="17">
        <v>95889.78</v>
      </c>
      <c r="X34" s="2">
        <f t="shared" si="12"/>
        <v>194.50259634888437</v>
      </c>
      <c r="Y34" s="18"/>
      <c r="Z34" s="18"/>
      <c r="AA34" s="18"/>
      <c r="AB34" s="18"/>
      <c r="AC34" s="18"/>
      <c r="AD34" s="17"/>
      <c r="AE34" s="17"/>
      <c r="AF34" s="17"/>
      <c r="AG34" s="2">
        <f t="shared" ref="AG34:AG87" si="29">V34/(K34-F34)</f>
        <v>0.97889539975413697</v>
      </c>
      <c r="AH34" s="2"/>
      <c r="AI34" s="2"/>
      <c r="AJ34" s="14"/>
      <c r="AK34" s="2">
        <f t="shared" si="13"/>
        <v>0</v>
      </c>
      <c r="AL34" s="2">
        <f t="shared" si="14"/>
        <v>0</v>
      </c>
      <c r="AM34" s="2">
        <f t="shared" si="15"/>
        <v>0</v>
      </c>
      <c r="AN34" s="2">
        <f t="shared" si="16"/>
        <v>0</v>
      </c>
      <c r="AO34" s="2">
        <f t="shared" si="17"/>
        <v>0</v>
      </c>
    </row>
    <row r="35" spans="1:41" x14ac:dyDescent="0.25">
      <c r="A35" s="21">
        <v>2447</v>
      </c>
      <c r="B35" s="14" t="s">
        <v>63</v>
      </c>
      <c r="C35" s="23">
        <v>45320</v>
      </c>
      <c r="D35" s="14">
        <v>67</v>
      </c>
      <c r="E35" s="14">
        <v>487</v>
      </c>
      <c r="F35" s="14">
        <v>13228</v>
      </c>
      <c r="G35" s="2">
        <f t="shared" si="20"/>
        <v>27.162217659137578</v>
      </c>
      <c r="H35" s="16">
        <v>479</v>
      </c>
      <c r="I35" s="14">
        <v>37590</v>
      </c>
      <c r="J35" s="6">
        <f t="shared" si="21"/>
        <v>1.6427104722792629E-2</v>
      </c>
      <c r="K35" s="8">
        <f t="shared" si="6"/>
        <v>51830.256410256407</v>
      </c>
      <c r="L35" s="16">
        <v>40427.599999999999</v>
      </c>
      <c r="M35" s="9">
        <f t="shared" si="22"/>
        <v>78</v>
      </c>
      <c r="N35" s="2">
        <f t="shared" si="23"/>
        <v>108.2051282051282</v>
      </c>
      <c r="O35" s="2">
        <f t="shared" si="24"/>
        <v>84.399999999999991</v>
      </c>
      <c r="P35" s="2">
        <f t="shared" si="9"/>
        <v>79.265413573421782</v>
      </c>
      <c r="Q35" s="11">
        <f t="shared" si="25"/>
        <v>1026.9288749735676</v>
      </c>
      <c r="R35" s="11">
        <f t="shared" si="26"/>
        <v>144.18685831622176</v>
      </c>
      <c r="S35" s="16">
        <v>95650</v>
      </c>
      <c r="T35" s="2">
        <f t="shared" si="27"/>
        <v>2.5445597233306732</v>
      </c>
      <c r="U35" s="2">
        <f t="shared" si="28"/>
        <v>2.4778344297662951</v>
      </c>
      <c r="V35" s="17">
        <v>33265.754999999997</v>
      </c>
      <c r="W35" s="17">
        <v>95152.56</v>
      </c>
      <c r="X35" s="2">
        <f t="shared" si="12"/>
        <v>198.64835073068892</v>
      </c>
      <c r="Y35" s="18"/>
      <c r="Z35" s="18"/>
      <c r="AA35" s="18"/>
      <c r="AB35" s="18"/>
      <c r="AC35" s="18"/>
      <c r="AD35" s="17"/>
      <c r="AE35" s="17"/>
      <c r="AF35" s="17"/>
      <c r="AG35" s="2">
        <f t="shared" si="29"/>
        <v>0.86175674930653712</v>
      </c>
      <c r="AH35" s="2"/>
      <c r="AI35" s="2"/>
      <c r="AJ35" s="14"/>
      <c r="AK35" s="2">
        <f t="shared" si="13"/>
        <v>0</v>
      </c>
      <c r="AL35" s="2">
        <f t="shared" si="14"/>
        <v>0</v>
      </c>
      <c r="AM35" s="2">
        <f t="shared" si="15"/>
        <v>0</v>
      </c>
      <c r="AN35" s="2">
        <f t="shared" si="16"/>
        <v>0</v>
      </c>
      <c r="AO35" s="2">
        <f t="shared" si="17"/>
        <v>0</v>
      </c>
    </row>
    <row r="36" spans="1:41" x14ac:dyDescent="0.25">
      <c r="A36" s="21">
        <v>2348</v>
      </c>
      <c r="B36" s="14" t="s">
        <v>54</v>
      </c>
      <c r="C36" s="23">
        <v>45327</v>
      </c>
      <c r="D36" s="14">
        <v>68</v>
      </c>
      <c r="E36" s="14">
        <v>500</v>
      </c>
      <c r="F36" s="14">
        <v>13243</v>
      </c>
      <c r="G36" s="2">
        <f t="shared" si="20"/>
        <v>26.486000000000001</v>
      </c>
      <c r="H36" s="16">
        <v>491</v>
      </c>
      <c r="I36" s="14">
        <v>39241</v>
      </c>
      <c r="J36" s="6">
        <f t="shared" si="21"/>
        <v>1.8000000000000016E-2</v>
      </c>
      <c r="K36" s="8">
        <f t="shared" si="6"/>
        <v>53165.384615384617</v>
      </c>
      <c r="L36" s="16">
        <v>41469</v>
      </c>
      <c r="M36" s="9">
        <f t="shared" si="22"/>
        <v>78</v>
      </c>
      <c r="N36" s="2">
        <f t="shared" si="23"/>
        <v>108.27980573398089</v>
      </c>
      <c r="O36" s="2">
        <f t="shared" si="24"/>
        <v>84.45824847250509</v>
      </c>
      <c r="P36" s="2">
        <f t="shared" si="9"/>
        <v>79.844769230769231</v>
      </c>
      <c r="Q36" s="11">
        <f t="shared" si="25"/>
        <v>1017.364099166296</v>
      </c>
      <c r="R36" s="11">
        <f t="shared" si="26"/>
        <v>146.482</v>
      </c>
      <c r="S36" s="16">
        <v>99125</v>
      </c>
      <c r="T36" s="2">
        <f t="shared" si="27"/>
        <v>2.5260569302515226</v>
      </c>
      <c r="U36" s="2">
        <f t="shared" si="28"/>
        <v>2.4829428641344453</v>
      </c>
      <c r="V36" s="17">
        <v>37957.57499999999</v>
      </c>
      <c r="W36" s="17">
        <v>98069.16</v>
      </c>
      <c r="X36" s="2">
        <f t="shared" si="12"/>
        <v>199.73352342158861</v>
      </c>
      <c r="Y36" s="18"/>
      <c r="Z36" s="18"/>
      <c r="AA36" s="18"/>
      <c r="AB36" s="18"/>
      <c r="AC36" s="18"/>
      <c r="AD36" s="17"/>
      <c r="AE36" s="17"/>
      <c r="AF36" s="17"/>
      <c r="AG36" s="2">
        <f t="shared" si="29"/>
        <v>0.9507842621548348</v>
      </c>
      <c r="AH36" s="2"/>
      <c r="AI36" s="2"/>
      <c r="AJ36" s="14"/>
      <c r="AK36" s="2">
        <f t="shared" si="13"/>
        <v>0</v>
      </c>
      <c r="AL36" s="2">
        <f t="shared" si="14"/>
        <v>0</v>
      </c>
      <c r="AM36" s="2">
        <f t="shared" si="15"/>
        <v>0</v>
      </c>
      <c r="AN36" s="2">
        <f t="shared" si="16"/>
        <v>0</v>
      </c>
      <c r="AO36" s="2">
        <f t="shared" si="17"/>
        <v>0</v>
      </c>
    </row>
    <row r="37" spans="1:41" x14ac:dyDescent="0.25">
      <c r="A37" s="21">
        <v>2349</v>
      </c>
      <c r="B37" s="14" t="s">
        <v>55</v>
      </c>
      <c r="C37" s="23">
        <v>45334</v>
      </c>
      <c r="D37" s="14">
        <v>68</v>
      </c>
      <c r="E37" s="14">
        <v>492</v>
      </c>
      <c r="F37" s="14">
        <v>12890</v>
      </c>
      <c r="G37" s="2">
        <f t="shared" si="20"/>
        <v>26.199186991869919</v>
      </c>
      <c r="H37" s="16">
        <v>482</v>
      </c>
      <c r="I37" s="14">
        <v>39081</v>
      </c>
      <c r="J37" s="6">
        <f t="shared" si="21"/>
        <v>2.0325203252032575E-2</v>
      </c>
      <c r="K37" s="8">
        <f t="shared" si="6"/>
        <v>52001.794871794875</v>
      </c>
      <c r="L37" s="16">
        <v>40561.4</v>
      </c>
      <c r="M37" s="9">
        <f t="shared" si="22"/>
        <v>78</v>
      </c>
      <c r="N37" s="2">
        <f t="shared" si="23"/>
        <v>107.88754122779019</v>
      </c>
      <c r="O37" s="2">
        <f t="shared" si="24"/>
        <v>84.152282157676353</v>
      </c>
      <c r="P37" s="2">
        <f t="shared" si="9"/>
        <v>79.495518032103405</v>
      </c>
      <c r="Q37" s="11">
        <f t="shared" si="25"/>
        <v>1000.7879755327365</v>
      </c>
      <c r="R37" s="11">
        <f t="shared" si="26"/>
        <v>147.4329268292683</v>
      </c>
      <c r="S37" s="16">
        <v>98531</v>
      </c>
      <c r="T37" s="2">
        <f t="shared" si="27"/>
        <v>2.5211995598884367</v>
      </c>
      <c r="U37" s="2">
        <f t="shared" si="28"/>
        <v>2.5192144805160748</v>
      </c>
      <c r="V37" s="17">
        <v>32904.313099999985</v>
      </c>
      <c r="W37" s="17">
        <v>98014.24</v>
      </c>
      <c r="X37" s="2">
        <f t="shared" si="12"/>
        <v>203.34904564315354</v>
      </c>
      <c r="Y37" s="18"/>
      <c r="Z37" s="18"/>
      <c r="AA37" s="18"/>
      <c r="AB37" s="18"/>
      <c r="AC37" s="18"/>
      <c r="AD37" s="17"/>
      <c r="AE37" s="17"/>
      <c r="AF37" s="17"/>
      <c r="AG37" s="2">
        <f t="shared" si="29"/>
        <v>0.84128875209786502</v>
      </c>
      <c r="AH37" s="2"/>
      <c r="AI37" s="2"/>
      <c r="AJ37" s="14"/>
      <c r="AK37" s="2">
        <f t="shared" si="13"/>
        <v>0</v>
      </c>
      <c r="AL37" s="2">
        <f t="shared" si="14"/>
        <v>0</v>
      </c>
      <c r="AM37" s="2">
        <f t="shared" si="15"/>
        <v>0</v>
      </c>
      <c r="AN37" s="2">
        <f t="shared" si="16"/>
        <v>0</v>
      </c>
      <c r="AO37" s="2">
        <f t="shared" si="17"/>
        <v>0</v>
      </c>
    </row>
    <row r="38" spans="1:41" x14ac:dyDescent="0.25">
      <c r="A38" s="21">
        <v>2350</v>
      </c>
      <c r="B38" s="14" t="s">
        <v>64</v>
      </c>
      <c r="C38" s="23">
        <v>45341</v>
      </c>
      <c r="D38" s="14">
        <v>67</v>
      </c>
      <c r="E38" s="14">
        <v>492</v>
      </c>
      <c r="F38" s="14">
        <v>12398.5</v>
      </c>
      <c r="G38" s="2">
        <f t="shared" si="20"/>
        <v>25.200203252032519</v>
      </c>
      <c r="H38" s="16">
        <v>486</v>
      </c>
      <c r="I38" s="14">
        <v>39075</v>
      </c>
      <c r="J38" s="6">
        <f t="shared" si="21"/>
        <v>1.2195121951219523E-2</v>
      </c>
      <c r="K38" s="8">
        <f t="shared" si="6"/>
        <v>53846.307692307695</v>
      </c>
      <c r="L38" s="16">
        <v>42000.12</v>
      </c>
      <c r="M38" s="9">
        <f t="shared" si="22"/>
        <v>78</v>
      </c>
      <c r="N38" s="2">
        <f t="shared" si="23"/>
        <v>110.7948717948718</v>
      </c>
      <c r="O38" s="2">
        <f t="shared" si="24"/>
        <v>86.42</v>
      </c>
      <c r="P38" s="2">
        <f t="shared" si="9"/>
        <v>84.243511569731083</v>
      </c>
      <c r="Q38" s="11">
        <f t="shared" si="25"/>
        <v>1060.7244451006447</v>
      </c>
      <c r="R38" s="11">
        <f t="shared" si="26"/>
        <v>146.42073170731709</v>
      </c>
      <c r="S38" s="16">
        <v>101244.5</v>
      </c>
      <c r="T38" s="2">
        <f t="shared" si="27"/>
        <v>2.5910300703774793</v>
      </c>
      <c r="U38" s="2">
        <f t="shared" si="28"/>
        <v>2.4426985560153036</v>
      </c>
      <c r="V38" s="17">
        <v>39054.177749999981</v>
      </c>
      <c r="W38" s="17">
        <v>100846.55</v>
      </c>
      <c r="X38" s="2">
        <f t="shared" si="12"/>
        <v>207.50318930041152</v>
      </c>
      <c r="Y38" s="18"/>
      <c r="Z38" s="18"/>
      <c r="AA38" s="18"/>
      <c r="AB38" s="18"/>
      <c r="AC38" s="18"/>
      <c r="AD38" s="17"/>
      <c r="AE38" s="17"/>
      <c r="AF38" s="17"/>
      <c r="AG38" s="2">
        <f t="shared" si="29"/>
        <v>0.94224954043222053</v>
      </c>
      <c r="AH38" s="2"/>
      <c r="AI38" s="2"/>
      <c r="AJ38" s="14" t="s">
        <v>72</v>
      </c>
      <c r="AK38" s="2">
        <f t="shared" si="13"/>
        <v>0</v>
      </c>
      <c r="AL38" s="2">
        <f t="shared" si="14"/>
        <v>0</v>
      </c>
      <c r="AM38" s="2">
        <f t="shared" si="15"/>
        <v>0</v>
      </c>
      <c r="AN38" s="2">
        <f t="shared" si="16"/>
        <v>0</v>
      </c>
      <c r="AO38" s="2">
        <f t="shared" si="17"/>
        <v>0</v>
      </c>
    </row>
    <row r="39" spans="1:41" x14ac:dyDescent="0.25">
      <c r="A39" s="21">
        <v>2351</v>
      </c>
      <c r="B39" s="14" t="s">
        <v>42</v>
      </c>
      <c r="C39" s="23">
        <v>45348</v>
      </c>
      <c r="D39" s="14">
        <v>67</v>
      </c>
      <c r="E39" s="14">
        <v>513</v>
      </c>
      <c r="F39" s="14">
        <v>12802.5</v>
      </c>
      <c r="G39" s="2">
        <f t="shared" si="20"/>
        <v>24.956140350877192</v>
      </c>
      <c r="H39" s="16">
        <v>506</v>
      </c>
      <c r="I39" s="14">
        <v>42288</v>
      </c>
      <c r="J39" s="6">
        <f t="shared" si="21"/>
        <v>1.3645224171540016E-2</v>
      </c>
      <c r="K39" s="8">
        <f t="shared" si="6"/>
        <v>53071.923076923071</v>
      </c>
      <c r="L39" s="16">
        <v>41396.1</v>
      </c>
      <c r="M39" s="9">
        <f t="shared" si="22"/>
        <v>78</v>
      </c>
      <c r="N39" s="2">
        <f t="shared" si="23"/>
        <v>104.88522347217999</v>
      </c>
      <c r="O39" s="2">
        <f t="shared" si="24"/>
        <v>81.810474308300385</v>
      </c>
      <c r="P39" s="2">
        <f t="shared" si="9"/>
        <v>78.497900734742828</v>
      </c>
      <c r="Q39" s="11">
        <f t="shared" si="25"/>
        <v>952.26596379405669</v>
      </c>
      <c r="R39" s="11">
        <f t="shared" si="26"/>
        <v>149.43274853801171</v>
      </c>
      <c r="S39" s="16">
        <v>103000</v>
      </c>
      <c r="T39" s="2">
        <f t="shared" si="27"/>
        <v>2.4356791524782446</v>
      </c>
      <c r="U39" s="2">
        <f t="shared" si="28"/>
        <v>2.5577719304110298</v>
      </c>
      <c r="V39" s="17">
        <v>39869.199999999983</v>
      </c>
      <c r="W39" s="17">
        <v>102368.51</v>
      </c>
      <c r="X39" s="2">
        <f t="shared" si="12"/>
        <v>202.30930830039526</v>
      </c>
      <c r="Y39" s="18"/>
      <c r="Z39" s="18"/>
      <c r="AA39" s="18"/>
      <c r="AB39" s="18"/>
      <c r="AC39" s="18"/>
      <c r="AD39" s="17"/>
      <c r="AE39" s="17"/>
      <c r="AF39" s="17"/>
      <c r="AG39" s="2">
        <f t="shared" si="29"/>
        <v>0.99006136551401347</v>
      </c>
      <c r="AH39" s="2"/>
      <c r="AI39" s="2"/>
      <c r="AJ39" s="14" t="s">
        <v>76</v>
      </c>
      <c r="AK39" s="2">
        <f t="shared" si="13"/>
        <v>0</v>
      </c>
      <c r="AL39" s="2">
        <f t="shared" si="14"/>
        <v>0</v>
      </c>
      <c r="AM39" s="2">
        <f t="shared" si="15"/>
        <v>0</v>
      </c>
      <c r="AN39" s="2">
        <f t="shared" si="16"/>
        <v>0</v>
      </c>
      <c r="AO39" s="2">
        <f t="shared" si="17"/>
        <v>0</v>
      </c>
    </row>
    <row r="40" spans="1:41" x14ac:dyDescent="0.25">
      <c r="A40" s="21">
        <v>2352</v>
      </c>
      <c r="B40" s="14" t="s">
        <v>43</v>
      </c>
      <c r="C40" s="23">
        <v>45355</v>
      </c>
      <c r="D40" s="14">
        <v>67</v>
      </c>
      <c r="E40" s="14">
        <v>495</v>
      </c>
      <c r="F40" s="14">
        <v>13913.84</v>
      </c>
      <c r="G40" s="2">
        <f t="shared" si="20"/>
        <v>28.108767676767677</v>
      </c>
      <c r="H40" s="16">
        <v>490</v>
      </c>
      <c r="I40" s="14">
        <v>39428</v>
      </c>
      <c r="J40" s="6">
        <f t="shared" si="21"/>
        <v>1.0101010101010055E-2</v>
      </c>
      <c r="K40" s="8">
        <f t="shared" si="6"/>
        <v>51803.307692307695</v>
      </c>
      <c r="L40" s="16">
        <v>40406.58</v>
      </c>
      <c r="M40" s="9">
        <f t="shared" si="22"/>
        <v>78</v>
      </c>
      <c r="N40" s="2">
        <f t="shared" si="23"/>
        <v>105.7210361067504</v>
      </c>
      <c r="O40" s="2">
        <f t="shared" si="24"/>
        <v>82.462408163265309</v>
      </c>
      <c r="P40" s="2">
        <f t="shared" si="9"/>
        <v>76.544379176379181</v>
      </c>
      <c r="Q40" s="11">
        <f t="shared" si="25"/>
        <v>960.97868753950718</v>
      </c>
      <c r="R40" s="11">
        <f t="shared" si="26"/>
        <v>146.65252525252527</v>
      </c>
      <c r="S40" s="16">
        <v>90000</v>
      </c>
      <c r="T40" s="2">
        <f t="shared" si="27"/>
        <v>2.282641777417064</v>
      </c>
      <c r="U40" s="2">
        <f t="shared" si="28"/>
        <v>2.3753302825701024</v>
      </c>
      <c r="V40" s="17">
        <v>35139.899999999994</v>
      </c>
      <c r="W40" s="17">
        <v>89640.84</v>
      </c>
      <c r="X40" s="2">
        <f t="shared" si="12"/>
        <v>182.94048979591835</v>
      </c>
      <c r="Y40" s="18"/>
      <c r="Z40" s="18"/>
      <c r="AA40" s="18"/>
      <c r="AB40" s="18"/>
      <c r="AC40" s="18"/>
      <c r="AD40" s="17"/>
      <c r="AE40" s="17"/>
      <c r="AF40" s="17"/>
      <c r="AG40" s="2">
        <f t="shared" si="29"/>
        <v>0.92743187329427923</v>
      </c>
      <c r="AH40" s="2"/>
      <c r="AI40" s="2"/>
      <c r="AJ40" s="14" t="s">
        <v>73</v>
      </c>
      <c r="AK40" s="2">
        <f t="shared" si="13"/>
        <v>0</v>
      </c>
      <c r="AL40" s="2">
        <f t="shared" si="14"/>
        <v>0</v>
      </c>
      <c r="AM40" s="2">
        <f t="shared" si="15"/>
        <v>0</v>
      </c>
      <c r="AN40" s="2">
        <f t="shared" si="16"/>
        <v>0</v>
      </c>
      <c r="AO40" s="2">
        <f t="shared" si="17"/>
        <v>0</v>
      </c>
    </row>
    <row r="41" spans="1:41" x14ac:dyDescent="0.25">
      <c r="A41" s="21">
        <v>2401</v>
      </c>
      <c r="B41" s="14" t="s">
        <v>44</v>
      </c>
      <c r="C41" s="23">
        <v>45362</v>
      </c>
      <c r="D41" s="14">
        <v>68</v>
      </c>
      <c r="E41" s="14">
        <v>504</v>
      </c>
      <c r="F41" s="14">
        <v>13145</v>
      </c>
      <c r="G41" s="2">
        <f t="shared" si="20"/>
        <v>26.081349206349206</v>
      </c>
      <c r="H41" s="16">
        <v>496</v>
      </c>
      <c r="I41" s="14">
        <v>40234</v>
      </c>
      <c r="J41" s="6">
        <f t="shared" si="21"/>
        <v>1.5873015873015928E-2</v>
      </c>
      <c r="K41" s="8">
        <f t="shared" si="6"/>
        <v>57103.589743589742</v>
      </c>
      <c r="L41" s="16">
        <v>44540.800000000003</v>
      </c>
      <c r="M41" s="9">
        <f t="shared" si="22"/>
        <v>78</v>
      </c>
      <c r="N41" s="2">
        <f t="shared" si="23"/>
        <v>115.12820512820512</v>
      </c>
      <c r="O41" s="2">
        <f t="shared" si="24"/>
        <v>89.800000000000011</v>
      </c>
      <c r="P41" s="2">
        <f t="shared" si="9"/>
        <v>87.219424094424099</v>
      </c>
      <c r="Q41" s="11">
        <f t="shared" si="25"/>
        <v>1092.573190425753</v>
      </c>
      <c r="R41" s="11">
        <f t="shared" si="26"/>
        <v>147.82936507936506</v>
      </c>
      <c r="S41" s="16">
        <v>107000</v>
      </c>
      <c r="T41" s="2">
        <f t="shared" si="27"/>
        <v>2.6594422627628376</v>
      </c>
      <c r="U41" s="2">
        <f t="shared" si="28"/>
        <v>2.4341090245189965</v>
      </c>
      <c r="V41" s="17">
        <v>41688.300000000017</v>
      </c>
      <c r="W41" s="17">
        <v>106454.59</v>
      </c>
      <c r="X41" s="2">
        <f t="shared" si="12"/>
        <v>214.62618951612902</v>
      </c>
      <c r="Y41" s="18"/>
      <c r="Z41" s="18"/>
      <c r="AA41" s="18"/>
      <c r="AB41" s="18"/>
      <c r="AC41" s="18"/>
      <c r="AD41" s="17"/>
      <c r="AE41" s="17"/>
      <c r="AF41" s="17"/>
      <c r="AG41" s="2">
        <f t="shared" si="29"/>
        <v>0.94835389950332083</v>
      </c>
      <c r="AH41" s="2"/>
      <c r="AI41" s="2"/>
      <c r="AJ41" s="14" t="s">
        <v>74</v>
      </c>
      <c r="AK41" s="2">
        <f t="shared" si="13"/>
        <v>0</v>
      </c>
      <c r="AL41" s="2">
        <f t="shared" si="14"/>
        <v>0</v>
      </c>
      <c r="AM41" s="2">
        <f t="shared" si="15"/>
        <v>0</v>
      </c>
      <c r="AN41" s="2">
        <f t="shared" si="16"/>
        <v>0</v>
      </c>
      <c r="AO41" s="2">
        <f t="shared" si="17"/>
        <v>0</v>
      </c>
    </row>
    <row r="42" spans="1:41" x14ac:dyDescent="0.25">
      <c r="A42" s="21">
        <v>2402</v>
      </c>
      <c r="B42" s="14" t="s">
        <v>45</v>
      </c>
      <c r="C42" s="23">
        <v>45369</v>
      </c>
      <c r="D42" s="14">
        <v>68</v>
      </c>
      <c r="E42" s="14">
        <v>498</v>
      </c>
      <c r="F42" s="14">
        <v>12201</v>
      </c>
      <c r="G42" s="2">
        <f t="shared" si="20"/>
        <v>24.5</v>
      </c>
      <c r="H42" s="16">
        <v>488</v>
      </c>
      <c r="I42" s="14">
        <v>38808</v>
      </c>
      <c r="J42" s="6">
        <f t="shared" si="21"/>
        <v>2.008032128514059E-2</v>
      </c>
      <c r="K42" s="8">
        <f t="shared" si="6"/>
        <v>49230.705128205125</v>
      </c>
      <c r="L42" s="16">
        <v>38399.949999999997</v>
      </c>
      <c r="M42" s="9">
        <f t="shared" si="22"/>
        <v>78</v>
      </c>
      <c r="N42" s="2">
        <f t="shared" si="23"/>
        <v>100.88259247583018</v>
      </c>
      <c r="O42" s="2">
        <f t="shared" si="24"/>
        <v>78.688422131147533</v>
      </c>
      <c r="P42" s="2">
        <f t="shared" si="9"/>
        <v>74.356837606837601</v>
      </c>
      <c r="Q42" s="11">
        <f t="shared" si="25"/>
        <v>954.17710596282018</v>
      </c>
      <c r="R42" s="11">
        <f t="shared" si="26"/>
        <v>145.92771084337349</v>
      </c>
      <c r="S42" s="16">
        <v>95800</v>
      </c>
      <c r="T42" s="2">
        <f t="shared" si="27"/>
        <v>2.468563182848897</v>
      </c>
      <c r="U42" s="2">
        <f t="shared" si="28"/>
        <v>2.5871121487011295</v>
      </c>
      <c r="V42" s="17">
        <v>37969.409999999996</v>
      </c>
      <c r="W42" s="17">
        <v>95250.63</v>
      </c>
      <c r="X42" s="2">
        <f t="shared" si="12"/>
        <v>195.18571721311477</v>
      </c>
      <c r="Y42" s="18"/>
      <c r="Z42" s="18"/>
      <c r="AA42" s="18"/>
      <c r="AB42" s="18"/>
      <c r="AC42" s="18"/>
      <c r="AD42" s="17"/>
      <c r="AE42" s="17"/>
      <c r="AF42" s="17"/>
      <c r="AG42" s="2">
        <f t="shared" si="29"/>
        <v>1.0253770552193544</v>
      </c>
      <c r="AH42" s="2"/>
      <c r="AI42" s="2"/>
      <c r="AJ42" s="14" t="s">
        <v>75</v>
      </c>
      <c r="AK42" s="2">
        <f t="shared" si="13"/>
        <v>0</v>
      </c>
      <c r="AL42" s="2">
        <f t="shared" si="14"/>
        <v>0</v>
      </c>
      <c r="AM42" s="2">
        <f t="shared" si="15"/>
        <v>0</v>
      </c>
      <c r="AN42" s="2">
        <f t="shared" si="16"/>
        <v>0</v>
      </c>
      <c r="AO42" s="2">
        <f t="shared" si="17"/>
        <v>0</v>
      </c>
    </row>
    <row r="43" spans="1:41" x14ac:dyDescent="0.25">
      <c r="A43" s="21">
        <v>2403</v>
      </c>
      <c r="B43" s="14" t="s">
        <v>46</v>
      </c>
      <c r="C43" s="23">
        <v>45376</v>
      </c>
      <c r="D43" s="14">
        <v>68</v>
      </c>
      <c r="E43" s="14">
        <v>496</v>
      </c>
      <c r="F43" s="14">
        <v>12658</v>
      </c>
      <c r="G43" s="2">
        <f t="shared" si="20"/>
        <v>25.52016129032258</v>
      </c>
      <c r="H43" s="16">
        <v>486</v>
      </c>
      <c r="I43" s="14">
        <v>39463</v>
      </c>
      <c r="J43" s="6">
        <f t="shared" si="21"/>
        <v>2.0161290322580627E-2</v>
      </c>
      <c r="K43" s="8">
        <f t="shared" si="6"/>
        <v>54210.256410256407</v>
      </c>
      <c r="L43" s="16">
        <v>42284</v>
      </c>
      <c r="M43" s="9">
        <f t="shared" si="22"/>
        <v>78</v>
      </c>
      <c r="N43" s="2">
        <f t="shared" si="23"/>
        <v>111.54373746966338</v>
      </c>
      <c r="O43" s="2">
        <f t="shared" si="24"/>
        <v>87.004115226337447</v>
      </c>
      <c r="P43" s="2">
        <f t="shared" si="9"/>
        <v>83.774710504549205</v>
      </c>
      <c r="Q43" s="11">
        <f t="shared" si="25"/>
        <v>1052.9421587374607</v>
      </c>
      <c r="R43" s="11">
        <f t="shared" si="26"/>
        <v>147.5625</v>
      </c>
      <c r="S43" s="16">
        <v>104900</v>
      </c>
      <c r="T43" s="2">
        <f t="shared" si="27"/>
        <v>2.6581861490510099</v>
      </c>
      <c r="U43" s="2">
        <f t="shared" si="28"/>
        <v>2.5245319764177085</v>
      </c>
      <c r="V43" s="17">
        <v>41822.93</v>
      </c>
      <c r="W43" s="17">
        <v>104153.48</v>
      </c>
      <c r="X43" s="2">
        <f t="shared" si="12"/>
        <v>214.30757201646091</v>
      </c>
      <c r="Y43" s="18"/>
      <c r="Z43" s="18"/>
      <c r="AA43" s="18"/>
      <c r="AB43" s="18"/>
      <c r="AC43" s="18"/>
      <c r="AD43" s="17"/>
      <c r="AE43" s="17"/>
      <c r="AF43" s="17"/>
      <c r="AG43" s="2">
        <f t="shared" si="29"/>
        <v>1.0065140527405096</v>
      </c>
      <c r="AH43" s="2"/>
      <c r="AI43" s="2"/>
      <c r="AJ43" s="14"/>
      <c r="AK43" s="2">
        <f t="shared" si="13"/>
        <v>0</v>
      </c>
      <c r="AL43" s="2">
        <f t="shared" si="14"/>
        <v>0</v>
      </c>
      <c r="AM43" s="2">
        <f t="shared" si="15"/>
        <v>0</v>
      </c>
      <c r="AN43" s="2">
        <f t="shared" si="16"/>
        <v>0</v>
      </c>
      <c r="AO43" s="2">
        <f t="shared" si="17"/>
        <v>0</v>
      </c>
    </row>
    <row r="44" spans="1:41" x14ac:dyDescent="0.25">
      <c r="A44" s="21">
        <v>2404</v>
      </c>
      <c r="B44" s="14" t="s">
        <v>47</v>
      </c>
      <c r="C44" s="23">
        <v>45383</v>
      </c>
      <c r="D44" s="14">
        <v>68</v>
      </c>
      <c r="E44" s="14">
        <v>495</v>
      </c>
      <c r="F44" s="14">
        <v>13263.5</v>
      </c>
      <c r="G44" s="2">
        <f t="shared" si="20"/>
        <v>26.794949494949496</v>
      </c>
      <c r="H44" s="16">
        <v>491</v>
      </c>
      <c r="I44" s="14">
        <v>39468</v>
      </c>
      <c r="J44" s="6">
        <f t="shared" si="21"/>
        <v>8.0808080808081328E-3</v>
      </c>
      <c r="K44" s="8">
        <f t="shared" si="6"/>
        <v>53418.282051282054</v>
      </c>
      <c r="L44" s="16">
        <v>41666.26</v>
      </c>
      <c r="M44" s="9">
        <f t="shared" si="22"/>
        <v>78</v>
      </c>
      <c r="N44" s="2">
        <f t="shared" si="23"/>
        <v>108.7948717948718</v>
      </c>
      <c r="O44" s="2">
        <f t="shared" si="24"/>
        <v>84.86</v>
      </c>
      <c r="P44" s="2">
        <f t="shared" si="9"/>
        <v>81.120771820771822</v>
      </c>
      <c r="Q44" s="11">
        <f t="shared" si="25"/>
        <v>1017.4009843742286</v>
      </c>
      <c r="R44" s="11">
        <f t="shared" si="26"/>
        <v>147.73333333333335</v>
      </c>
      <c r="S44" s="16">
        <v>101600</v>
      </c>
      <c r="T44" s="2">
        <f t="shared" si="27"/>
        <v>2.5742373568460524</v>
      </c>
      <c r="U44" s="2">
        <f t="shared" si="28"/>
        <v>2.5302092256470394</v>
      </c>
      <c r="V44" s="17">
        <v>40782.800000000003</v>
      </c>
      <c r="W44" s="17">
        <v>101174.33</v>
      </c>
      <c r="X44" s="2">
        <f t="shared" si="12"/>
        <v>206.05769857433808</v>
      </c>
      <c r="Y44" s="18"/>
      <c r="Z44" s="18"/>
      <c r="AA44" s="18"/>
      <c r="AB44" s="18"/>
      <c r="AC44" s="18"/>
      <c r="AD44" s="17"/>
      <c r="AE44" s="17"/>
      <c r="AF44" s="17"/>
      <c r="AG44" s="2">
        <f t="shared" si="29"/>
        <v>1.0156399292098237</v>
      </c>
      <c r="AH44" s="2"/>
      <c r="AI44" s="2"/>
      <c r="AJ44" s="14"/>
      <c r="AK44" s="2">
        <f t="shared" si="13"/>
        <v>0</v>
      </c>
      <c r="AL44" s="2">
        <f t="shared" si="14"/>
        <v>0</v>
      </c>
      <c r="AM44" s="2">
        <f t="shared" si="15"/>
        <v>0</v>
      </c>
      <c r="AN44" s="2">
        <f t="shared" si="16"/>
        <v>0</v>
      </c>
      <c r="AO44" s="2">
        <f t="shared" si="17"/>
        <v>0</v>
      </c>
    </row>
    <row r="45" spans="1:41" x14ac:dyDescent="0.25">
      <c r="A45" s="21">
        <v>2405</v>
      </c>
      <c r="B45" s="14" t="s">
        <v>50</v>
      </c>
      <c r="C45" s="23">
        <v>45390</v>
      </c>
      <c r="D45" s="14">
        <v>68</v>
      </c>
      <c r="E45" s="14">
        <v>492</v>
      </c>
      <c r="F45" s="14">
        <v>13342.5</v>
      </c>
      <c r="G45" s="2">
        <f t="shared" si="20"/>
        <v>27.118902439024389</v>
      </c>
      <c r="H45" s="16">
        <v>478</v>
      </c>
      <c r="I45" s="14">
        <v>38088</v>
      </c>
      <c r="J45" s="6">
        <f t="shared" si="21"/>
        <v>2.8455284552845517E-2</v>
      </c>
      <c r="K45" s="8">
        <f t="shared" si="6"/>
        <v>54338.076923076915</v>
      </c>
      <c r="L45" s="16">
        <v>42383.7</v>
      </c>
      <c r="M45" s="9">
        <f t="shared" si="22"/>
        <v>78</v>
      </c>
      <c r="N45" s="2">
        <f t="shared" si="23"/>
        <v>113.67798519472157</v>
      </c>
      <c r="O45" s="2">
        <f t="shared" si="24"/>
        <v>88.668828451882845</v>
      </c>
      <c r="P45" s="2">
        <f t="shared" si="9"/>
        <v>83.32434333958723</v>
      </c>
      <c r="Q45" s="11">
        <f t="shared" si="25"/>
        <v>1076.3383985264888</v>
      </c>
      <c r="R45" s="11">
        <f t="shared" si="26"/>
        <v>145.41463414634148</v>
      </c>
      <c r="S45" s="16">
        <v>96800</v>
      </c>
      <c r="T45" s="2">
        <f t="shared" si="27"/>
        <v>2.5414828817475321</v>
      </c>
      <c r="U45" s="2">
        <f t="shared" si="28"/>
        <v>2.3612303391078782</v>
      </c>
      <c r="V45" s="17">
        <v>39067.56</v>
      </c>
      <c r="W45" s="17">
        <v>95406.09</v>
      </c>
      <c r="X45" s="2">
        <f t="shared" si="12"/>
        <v>199.59433054393304</v>
      </c>
      <c r="Y45" s="18"/>
      <c r="Z45" s="18"/>
      <c r="AA45" s="18"/>
      <c r="AB45" s="18"/>
      <c r="AC45" s="18"/>
      <c r="AD45" s="17"/>
      <c r="AE45" s="17"/>
      <c r="AF45" s="17"/>
      <c r="AG45" s="2">
        <f t="shared" si="29"/>
        <v>0.95297012341856779</v>
      </c>
      <c r="AH45" s="2"/>
      <c r="AI45" s="2"/>
      <c r="AJ45" s="14"/>
      <c r="AK45" s="2">
        <f t="shared" si="13"/>
        <v>0</v>
      </c>
      <c r="AL45" s="2">
        <f t="shared" si="14"/>
        <v>0</v>
      </c>
      <c r="AM45" s="2">
        <f t="shared" si="15"/>
        <v>0</v>
      </c>
      <c r="AN45" s="2">
        <f t="shared" si="16"/>
        <v>0</v>
      </c>
      <c r="AO45" s="2">
        <f t="shared" si="17"/>
        <v>0</v>
      </c>
    </row>
    <row r="46" spans="1:41" x14ac:dyDescent="0.25">
      <c r="A46" s="21">
        <v>2406</v>
      </c>
      <c r="B46" s="14" t="s">
        <v>52</v>
      </c>
      <c r="C46" s="23">
        <v>45397</v>
      </c>
      <c r="D46" s="14">
        <v>68</v>
      </c>
      <c r="E46" s="14">
        <v>494</v>
      </c>
      <c r="F46" s="14">
        <v>13606</v>
      </c>
      <c r="G46" s="2">
        <f t="shared" si="20"/>
        <v>27.542510121457489</v>
      </c>
      <c r="H46" s="16">
        <v>486</v>
      </c>
      <c r="I46" s="14">
        <v>38826</v>
      </c>
      <c r="J46" s="6">
        <f t="shared" si="21"/>
        <v>1.619433198380571E-2</v>
      </c>
      <c r="K46" s="8">
        <f t="shared" si="6"/>
        <v>53750</v>
      </c>
      <c r="L46" s="16">
        <v>41925</v>
      </c>
      <c r="M46" s="9">
        <f t="shared" si="22"/>
        <v>78</v>
      </c>
      <c r="N46" s="2">
        <f t="shared" si="23"/>
        <v>110.59670781893004</v>
      </c>
      <c r="O46" s="2">
        <f t="shared" si="24"/>
        <v>86.26543209876543</v>
      </c>
      <c r="P46" s="2">
        <f t="shared" si="9"/>
        <v>81.263157894736835</v>
      </c>
      <c r="Q46" s="11">
        <f t="shared" si="25"/>
        <v>1033.9463246278267</v>
      </c>
      <c r="R46" s="11">
        <f t="shared" si="26"/>
        <v>146.59514170040484</v>
      </c>
      <c r="S46" s="16">
        <v>95750</v>
      </c>
      <c r="T46" s="2">
        <f t="shared" si="27"/>
        <v>2.4661309431824034</v>
      </c>
      <c r="U46" s="2">
        <f t="shared" si="28"/>
        <v>2.3851634117178158</v>
      </c>
      <c r="V46" s="17">
        <v>37629.469999999994</v>
      </c>
      <c r="W46" s="17">
        <v>94679.18</v>
      </c>
      <c r="X46" s="2">
        <f t="shared" si="12"/>
        <v>194.81312757201644</v>
      </c>
      <c r="Y46" s="18"/>
      <c r="Z46" s="18"/>
      <c r="AA46" s="18"/>
      <c r="AB46" s="18"/>
      <c r="AC46" s="18"/>
      <c r="AD46" s="17"/>
      <c r="AE46" s="17"/>
      <c r="AF46" s="17"/>
      <c r="AG46" s="2">
        <f t="shared" si="29"/>
        <v>0.93736224591470685</v>
      </c>
      <c r="AH46" s="2"/>
      <c r="AI46" s="2"/>
      <c r="AJ46" s="14"/>
      <c r="AK46" s="2">
        <f t="shared" si="13"/>
        <v>0</v>
      </c>
      <c r="AL46" s="2">
        <f t="shared" si="14"/>
        <v>0</v>
      </c>
      <c r="AM46" s="2">
        <f t="shared" si="15"/>
        <v>0</v>
      </c>
      <c r="AN46" s="2">
        <f t="shared" si="16"/>
        <v>0</v>
      </c>
      <c r="AO46" s="2">
        <f t="shared" si="17"/>
        <v>0</v>
      </c>
    </row>
    <row r="47" spans="1:41" x14ac:dyDescent="0.25">
      <c r="A47" s="21">
        <v>2407</v>
      </c>
      <c r="B47" s="14" t="s">
        <v>63</v>
      </c>
      <c r="C47" s="23">
        <v>45404</v>
      </c>
      <c r="D47" s="14">
        <v>68</v>
      </c>
      <c r="E47" s="14">
        <v>506</v>
      </c>
      <c r="F47" s="14">
        <v>14755.5</v>
      </c>
      <c r="G47" s="2">
        <f t="shared" si="20"/>
        <v>29.161067193675891</v>
      </c>
      <c r="H47" s="16">
        <v>489</v>
      </c>
      <c r="I47" s="14">
        <v>38934</v>
      </c>
      <c r="J47" s="6">
        <v>2.9600000000000001E-2</v>
      </c>
      <c r="K47" s="8">
        <f t="shared" si="6"/>
        <v>55525</v>
      </c>
      <c r="L47" s="16">
        <v>43309.5</v>
      </c>
      <c r="M47" s="9">
        <f t="shared" si="22"/>
        <v>78</v>
      </c>
      <c r="N47" s="2">
        <f t="shared" si="23"/>
        <v>113.5480572597137</v>
      </c>
      <c r="O47" s="2">
        <f t="shared" si="24"/>
        <v>88.567484662576689</v>
      </c>
      <c r="P47" s="2">
        <f t="shared" si="9"/>
        <v>80.572134387351781</v>
      </c>
      <c r="Q47" s="11">
        <f t="shared" si="25"/>
        <v>1047.1438845225255</v>
      </c>
      <c r="R47" s="11">
        <f t="shared" si="26"/>
        <v>144.94466403162056</v>
      </c>
      <c r="S47" s="16">
        <v>103000</v>
      </c>
      <c r="T47" s="2">
        <f t="shared" si="27"/>
        <v>2.6455026455026456</v>
      </c>
      <c r="U47" s="2">
        <f t="shared" si="28"/>
        <v>2.526398410576534</v>
      </c>
      <c r="V47" s="17">
        <v>38278.35</v>
      </c>
      <c r="W47" s="17">
        <v>101685.91</v>
      </c>
      <c r="X47" s="2">
        <f t="shared" si="12"/>
        <v>207.94664621676893</v>
      </c>
      <c r="Y47" s="18"/>
      <c r="Z47" s="18"/>
      <c r="AA47" s="18"/>
      <c r="AB47" s="18"/>
      <c r="AC47" s="18"/>
      <c r="AD47" s="17"/>
      <c r="AE47" s="17"/>
      <c r="AF47" s="17"/>
      <c r="AG47" s="2">
        <f t="shared" si="29"/>
        <v>0.93889672426691517</v>
      </c>
      <c r="AH47" s="2"/>
      <c r="AI47" s="2"/>
      <c r="AJ47" s="14"/>
      <c r="AK47" s="2">
        <f t="shared" si="13"/>
        <v>0</v>
      </c>
      <c r="AL47" s="2">
        <f t="shared" si="14"/>
        <v>0</v>
      </c>
      <c r="AM47" s="2">
        <f t="shared" si="15"/>
        <v>0</v>
      </c>
      <c r="AN47" s="2">
        <f t="shared" si="16"/>
        <v>0</v>
      </c>
      <c r="AO47" s="2">
        <f t="shared" si="17"/>
        <v>0</v>
      </c>
    </row>
    <row r="48" spans="1:41" x14ac:dyDescent="0.25">
      <c r="A48" s="21">
        <v>2408</v>
      </c>
      <c r="B48" s="14" t="s">
        <v>54</v>
      </c>
      <c r="C48" s="23">
        <v>45411</v>
      </c>
      <c r="D48" s="14">
        <v>68</v>
      </c>
      <c r="E48" s="14">
        <v>489</v>
      </c>
      <c r="F48" s="14">
        <v>13873.5</v>
      </c>
      <c r="G48" s="2">
        <f t="shared" si="20"/>
        <v>28.371165644171779</v>
      </c>
      <c r="H48" s="16">
        <v>475</v>
      </c>
      <c r="I48" s="14">
        <v>37998</v>
      </c>
      <c r="J48" s="6">
        <f t="shared" si="21"/>
        <v>2.8629856850715729E-2</v>
      </c>
      <c r="K48" s="8">
        <f t="shared" si="6"/>
        <v>55448.461538461539</v>
      </c>
      <c r="L48" s="16">
        <v>43249.8</v>
      </c>
      <c r="M48" s="9">
        <f t="shared" si="22"/>
        <v>78</v>
      </c>
      <c r="N48" s="2">
        <f t="shared" si="23"/>
        <v>116.73360323886639</v>
      </c>
      <c r="O48" s="2">
        <f t="shared" si="24"/>
        <v>91.05221052631579</v>
      </c>
      <c r="P48" s="2">
        <f t="shared" si="9"/>
        <v>85.020371244297621</v>
      </c>
      <c r="Q48" s="11">
        <f t="shared" si="25"/>
        <v>1094.1355213027407</v>
      </c>
      <c r="R48" s="11">
        <f t="shared" si="26"/>
        <v>145.70552147239263</v>
      </c>
      <c r="S48" s="16">
        <v>100500</v>
      </c>
      <c r="T48" s="2">
        <f t="shared" si="27"/>
        <v>2.6448760461076897</v>
      </c>
      <c r="U48" s="2">
        <f t="shared" si="28"/>
        <v>2.4173203361120645</v>
      </c>
      <c r="V48" s="17">
        <v>41539.659999999989</v>
      </c>
      <c r="W48" s="17">
        <v>98900.42</v>
      </c>
      <c r="X48" s="2">
        <f t="shared" si="12"/>
        <v>208.21141052631577</v>
      </c>
      <c r="Y48" s="18"/>
      <c r="Z48" s="18"/>
      <c r="AA48" s="18"/>
      <c r="AB48" s="18"/>
      <c r="AC48" s="18"/>
      <c r="AD48" s="17"/>
      <c r="AE48" s="17"/>
      <c r="AF48" s="17"/>
      <c r="AG48" s="2">
        <f t="shared" si="29"/>
        <v>0.99915089426050596</v>
      </c>
      <c r="AH48" s="2"/>
      <c r="AI48" s="2"/>
      <c r="AJ48" s="14"/>
      <c r="AK48" s="2">
        <f t="shared" si="13"/>
        <v>0</v>
      </c>
      <c r="AL48" s="2">
        <f t="shared" si="14"/>
        <v>0</v>
      </c>
      <c r="AM48" s="2">
        <f t="shared" si="15"/>
        <v>0</v>
      </c>
      <c r="AN48" s="2">
        <f t="shared" si="16"/>
        <v>0</v>
      </c>
      <c r="AO48" s="2">
        <f t="shared" si="17"/>
        <v>0</v>
      </c>
    </row>
    <row r="49" spans="1:41" x14ac:dyDescent="0.25">
      <c r="A49" s="21">
        <v>2409</v>
      </c>
      <c r="B49" s="14" t="s">
        <v>55</v>
      </c>
      <c r="C49" s="23">
        <v>45418</v>
      </c>
      <c r="D49" s="14">
        <v>68</v>
      </c>
      <c r="E49" s="14">
        <v>482</v>
      </c>
      <c r="F49" s="14">
        <v>14088</v>
      </c>
      <c r="G49" s="2">
        <f t="shared" si="20"/>
        <v>29.228215767634854</v>
      </c>
      <c r="H49" s="16">
        <v>468</v>
      </c>
      <c r="I49" s="14">
        <v>37246</v>
      </c>
      <c r="J49" s="6">
        <f t="shared" si="21"/>
        <v>2.9045643153526979E-2</v>
      </c>
      <c r="K49" s="8">
        <f t="shared" si="6"/>
        <v>54698.717948717946</v>
      </c>
      <c r="L49" s="16">
        <v>42665</v>
      </c>
      <c r="M49" s="9">
        <f t="shared" si="22"/>
        <v>78</v>
      </c>
      <c r="N49" s="2">
        <f t="shared" si="23"/>
        <v>116.87760245452553</v>
      </c>
      <c r="O49" s="2">
        <f t="shared" si="24"/>
        <v>91.164529914529908</v>
      </c>
      <c r="P49" s="2">
        <f t="shared" si="9"/>
        <v>84.254601553356736</v>
      </c>
      <c r="Q49" s="11">
        <f t="shared" si="25"/>
        <v>1090.3376993158445</v>
      </c>
      <c r="R49" s="11">
        <f t="shared" si="26"/>
        <v>145.27385892116183</v>
      </c>
      <c r="S49" s="16">
        <v>96150</v>
      </c>
      <c r="T49" s="2">
        <f t="shared" si="27"/>
        <v>2.581485260162165</v>
      </c>
      <c r="U49" s="2">
        <f t="shared" si="28"/>
        <v>2.3676015804846267</v>
      </c>
      <c r="V49" s="17">
        <v>40311.56749999999</v>
      </c>
      <c r="W49" s="17">
        <v>95107.46</v>
      </c>
      <c r="X49" s="2">
        <f t="shared" si="12"/>
        <v>203.22106837606839</v>
      </c>
      <c r="Y49" s="18"/>
      <c r="Z49" s="18"/>
      <c r="AA49" s="18"/>
      <c r="AB49" s="18"/>
      <c r="AC49" s="18"/>
      <c r="AD49" s="17"/>
      <c r="AE49" s="17"/>
      <c r="AF49" s="17"/>
      <c r="AG49" s="2">
        <f t="shared" si="29"/>
        <v>0.99263370696633058</v>
      </c>
      <c r="AH49" s="2"/>
      <c r="AI49" s="2"/>
      <c r="AJ49" s="14"/>
      <c r="AK49" s="2">
        <f t="shared" si="13"/>
        <v>0</v>
      </c>
      <c r="AL49" s="2">
        <f t="shared" si="14"/>
        <v>0</v>
      </c>
      <c r="AM49" s="2">
        <f t="shared" si="15"/>
        <v>0</v>
      </c>
      <c r="AN49" s="2">
        <f t="shared" si="16"/>
        <v>0</v>
      </c>
      <c r="AO49" s="2">
        <f t="shared" si="17"/>
        <v>0</v>
      </c>
    </row>
    <row r="50" spans="1:41" x14ac:dyDescent="0.25">
      <c r="A50" s="21">
        <v>2410</v>
      </c>
      <c r="B50" s="14" t="s">
        <v>41</v>
      </c>
      <c r="C50" s="23">
        <v>45425</v>
      </c>
      <c r="D50" s="14">
        <v>67</v>
      </c>
      <c r="E50" s="14">
        <v>493</v>
      </c>
      <c r="F50" s="14">
        <v>13430.5</v>
      </c>
      <c r="G50" s="2">
        <f t="shared" si="20"/>
        <v>27.24239350912779</v>
      </c>
      <c r="H50" s="16">
        <v>488</v>
      </c>
      <c r="I50" s="14">
        <v>38397</v>
      </c>
      <c r="J50" s="6">
        <f t="shared" si="21"/>
        <v>1.0141987829614618E-2</v>
      </c>
      <c r="K50" s="8">
        <f t="shared" si="6"/>
        <v>58372.307692307695</v>
      </c>
      <c r="L50" s="16">
        <v>45530.400000000001</v>
      </c>
      <c r="M50" s="9">
        <f t="shared" si="22"/>
        <v>78</v>
      </c>
      <c r="N50" s="2">
        <f t="shared" si="23"/>
        <v>119.61538461538463</v>
      </c>
      <c r="O50" s="2">
        <f t="shared" si="24"/>
        <v>93.3</v>
      </c>
      <c r="P50" s="2">
        <f t="shared" si="9"/>
        <v>91.159853331252933</v>
      </c>
      <c r="Q50" s="11">
        <f t="shared" si="25"/>
        <v>1170.4510168062009</v>
      </c>
      <c r="R50" s="11">
        <f t="shared" si="26"/>
        <v>144.8843813387424</v>
      </c>
      <c r="S50" s="16">
        <v>106500</v>
      </c>
      <c r="T50" s="2">
        <f t="shared" si="27"/>
        <v>2.7736541917337294</v>
      </c>
      <c r="U50" s="2">
        <f t="shared" si="28"/>
        <v>2.3697311138249719</v>
      </c>
      <c r="V50" s="17">
        <v>43524.597499999989</v>
      </c>
      <c r="W50" s="17">
        <v>103816.5</v>
      </c>
      <c r="X50" s="2">
        <f t="shared" si="12"/>
        <v>212.73872950819671</v>
      </c>
      <c r="Y50" s="18"/>
      <c r="Z50" s="18"/>
      <c r="AA50" s="18"/>
      <c r="AB50" s="18"/>
      <c r="AC50" s="18"/>
      <c r="AD50" s="17"/>
      <c r="AE50" s="17"/>
      <c r="AF50" s="17"/>
      <c r="AG50" s="30">
        <f t="shared" si="29"/>
        <v>0.96846566114984556</v>
      </c>
      <c r="AH50" s="30">
        <v>2.4</v>
      </c>
      <c r="AI50" s="30">
        <f>(AH50*O50)-(AG50*P50)</f>
        <v>135.63481237322515</v>
      </c>
      <c r="AJ50" s="14"/>
      <c r="AK50" s="2">
        <f t="shared" si="13"/>
        <v>0</v>
      </c>
      <c r="AL50" s="2">
        <f t="shared" si="14"/>
        <v>0</v>
      </c>
      <c r="AM50" s="2">
        <f t="shared" si="15"/>
        <v>0</v>
      </c>
      <c r="AN50" s="2">
        <f t="shared" si="16"/>
        <v>0</v>
      </c>
      <c r="AO50" s="2">
        <f t="shared" si="17"/>
        <v>0</v>
      </c>
    </row>
    <row r="51" spans="1:41" x14ac:dyDescent="0.25">
      <c r="A51" s="21">
        <v>2411</v>
      </c>
      <c r="B51" s="14" t="s">
        <v>42</v>
      </c>
      <c r="C51" s="23">
        <v>45432</v>
      </c>
      <c r="D51" s="14">
        <v>68</v>
      </c>
      <c r="E51" s="14">
        <v>496</v>
      </c>
      <c r="F51" s="14">
        <v>14251</v>
      </c>
      <c r="G51" s="2">
        <f t="shared" si="20"/>
        <v>28.731854838709676</v>
      </c>
      <c r="H51" s="16">
        <v>485</v>
      </c>
      <c r="I51" s="14">
        <v>38284</v>
      </c>
      <c r="J51" s="6">
        <f t="shared" si="21"/>
        <v>2.2177419354838745E-2</v>
      </c>
      <c r="K51" s="8">
        <f t="shared" si="6"/>
        <v>58205.128205128203</v>
      </c>
      <c r="L51" s="16">
        <v>45400</v>
      </c>
      <c r="M51" s="9">
        <f t="shared" si="22"/>
        <v>78</v>
      </c>
      <c r="N51" s="2">
        <f t="shared" si="23"/>
        <v>120.01057361882104</v>
      </c>
      <c r="O51" s="2">
        <f t="shared" si="24"/>
        <v>93.608247422680407</v>
      </c>
      <c r="P51" s="2">
        <f t="shared" si="9"/>
        <v>88.617193961952026</v>
      </c>
      <c r="Q51" s="11">
        <f t="shared" si="25"/>
        <v>1148.1069952232838</v>
      </c>
      <c r="R51" s="11">
        <f t="shared" si="26"/>
        <v>145.18548387096774</v>
      </c>
      <c r="S51" s="16">
        <v>107000</v>
      </c>
      <c r="T51" s="2">
        <f t="shared" si="27"/>
        <v>2.7949012642357118</v>
      </c>
      <c r="U51" s="2">
        <f t="shared" si="28"/>
        <v>2.434356097353243</v>
      </c>
      <c r="V51" s="17">
        <v>44719.114999999976</v>
      </c>
      <c r="W51" s="17">
        <v>105986.36</v>
      </c>
      <c r="X51" s="2">
        <f t="shared" si="12"/>
        <v>218.52857731958764</v>
      </c>
      <c r="Y51" s="18"/>
      <c r="Z51" s="18"/>
      <c r="AA51" s="18"/>
      <c r="AB51" s="18"/>
      <c r="AC51" s="18"/>
      <c r="AD51" s="17"/>
      <c r="AE51" s="17"/>
      <c r="AF51" s="17"/>
      <c r="AG51" s="30">
        <f t="shared" si="29"/>
        <v>1.0174042081167365</v>
      </c>
      <c r="AH51" s="30">
        <v>2.4500000000000002</v>
      </c>
      <c r="AI51" s="30">
        <f t="shared" ref="AI51:AI87" si="30">(AH51*O51)-(AG51*P51)</f>
        <v>139.18070013717997</v>
      </c>
      <c r="AJ51" s="14"/>
      <c r="AK51" s="2">
        <f t="shared" si="13"/>
        <v>0</v>
      </c>
      <c r="AL51" s="2">
        <f t="shared" si="14"/>
        <v>0</v>
      </c>
      <c r="AM51" s="2">
        <f t="shared" si="15"/>
        <v>0</v>
      </c>
      <c r="AN51" s="2">
        <f t="shared" si="16"/>
        <v>0</v>
      </c>
      <c r="AO51" s="2">
        <f t="shared" si="17"/>
        <v>0</v>
      </c>
    </row>
    <row r="52" spans="1:41" x14ac:dyDescent="0.25">
      <c r="A52" s="21">
        <v>2412</v>
      </c>
      <c r="B52" s="14" t="s">
        <v>43</v>
      </c>
      <c r="C52" s="23">
        <v>45439</v>
      </c>
      <c r="D52" s="14">
        <v>68</v>
      </c>
      <c r="E52" s="14">
        <v>500</v>
      </c>
      <c r="F52" s="14">
        <v>14511</v>
      </c>
      <c r="G52" s="2">
        <f t="shared" si="20"/>
        <v>29.021999999999998</v>
      </c>
      <c r="H52" s="16">
        <v>489</v>
      </c>
      <c r="I52" s="14">
        <v>41894</v>
      </c>
      <c r="J52" s="6">
        <f t="shared" ref="J52:J70" si="31">(1-(H52/E52))</f>
        <v>2.200000000000002E-2</v>
      </c>
      <c r="K52" s="8">
        <f t="shared" si="6"/>
        <v>59952.564102564102</v>
      </c>
      <c r="L52" s="16">
        <v>46763</v>
      </c>
      <c r="M52" s="9">
        <f t="shared" si="22"/>
        <v>78</v>
      </c>
      <c r="N52" s="2">
        <f t="shared" si="23"/>
        <v>122.60238057784071</v>
      </c>
      <c r="O52" s="2">
        <f t="shared" si="24"/>
        <v>95.62985685071574</v>
      </c>
      <c r="P52" s="2">
        <f t="shared" si="9"/>
        <v>90.883128205128202</v>
      </c>
      <c r="Q52" s="11">
        <f t="shared" si="25"/>
        <v>1084.6795269624315</v>
      </c>
      <c r="R52" s="11">
        <f t="shared" si="26"/>
        <v>151.78800000000001</v>
      </c>
      <c r="S52" s="16">
        <v>114270</v>
      </c>
      <c r="T52" s="2">
        <f t="shared" si="27"/>
        <v>2.7275982240893684</v>
      </c>
      <c r="U52" s="2">
        <f t="shared" si="28"/>
        <v>2.5146581605792959</v>
      </c>
      <c r="V52" s="17">
        <v>47782.435299999968</v>
      </c>
      <c r="W52" s="17">
        <v>113601.42</v>
      </c>
      <c r="X52" s="2">
        <f t="shared" si="12"/>
        <v>232.31374233128835</v>
      </c>
      <c r="Y52" s="18"/>
      <c r="Z52" s="18"/>
      <c r="AA52" s="18"/>
      <c r="AB52" s="18"/>
      <c r="AC52" s="18"/>
      <c r="AD52" s="17"/>
      <c r="AE52" s="17"/>
      <c r="AF52" s="17"/>
      <c r="AG52" s="30">
        <f t="shared" si="29"/>
        <v>1.0515138781788496</v>
      </c>
      <c r="AH52" s="30">
        <v>2.44</v>
      </c>
      <c r="AI52" s="30">
        <f t="shared" si="30"/>
        <v>137.77198011574646</v>
      </c>
      <c r="AJ52" s="14" t="s">
        <v>77</v>
      </c>
      <c r="AK52" s="2">
        <f t="shared" si="13"/>
        <v>0</v>
      </c>
      <c r="AL52" s="2">
        <f t="shared" si="14"/>
        <v>0</v>
      </c>
      <c r="AM52" s="2">
        <f t="shared" si="15"/>
        <v>0</v>
      </c>
      <c r="AN52" s="2">
        <f t="shared" si="16"/>
        <v>0</v>
      </c>
      <c r="AO52" s="2">
        <f t="shared" si="17"/>
        <v>0</v>
      </c>
    </row>
    <row r="53" spans="1:41" x14ac:dyDescent="0.25">
      <c r="A53" s="21">
        <v>2413</v>
      </c>
      <c r="B53" s="14" t="s">
        <v>44</v>
      </c>
      <c r="C53" s="23">
        <v>45446</v>
      </c>
      <c r="D53" s="14">
        <v>68</v>
      </c>
      <c r="E53" s="14">
        <v>492</v>
      </c>
      <c r="F53" s="14">
        <v>14719.5</v>
      </c>
      <c r="G53" s="2">
        <f t="shared" si="20"/>
        <v>29.917682926829269</v>
      </c>
      <c r="H53" s="16">
        <v>486</v>
      </c>
      <c r="I53" s="14">
        <v>42018</v>
      </c>
      <c r="J53" s="6">
        <f t="shared" si="31"/>
        <v>1.2195121951219523E-2</v>
      </c>
      <c r="K53" s="8">
        <f t="shared" si="6"/>
        <v>57696.923076923071</v>
      </c>
      <c r="L53" s="16">
        <v>45003.6</v>
      </c>
      <c r="M53" s="9">
        <f t="shared" si="22"/>
        <v>78</v>
      </c>
      <c r="N53" s="2">
        <f t="shared" si="23"/>
        <v>118.7179487179487</v>
      </c>
      <c r="O53" s="2">
        <f t="shared" si="24"/>
        <v>92.6</v>
      </c>
      <c r="P53" s="2">
        <f t="shared" si="9"/>
        <v>87.352485928705434</v>
      </c>
      <c r="Q53" s="11">
        <f t="shared" si="25"/>
        <v>1022.8336207559396</v>
      </c>
      <c r="R53" s="11">
        <f t="shared" si="26"/>
        <v>153.40243902439025</v>
      </c>
      <c r="S53" s="16">
        <v>108000</v>
      </c>
      <c r="T53" s="2">
        <f t="shared" si="27"/>
        <v>2.5703270027131229</v>
      </c>
      <c r="U53" s="2">
        <f t="shared" si="28"/>
        <v>2.5129473167038512</v>
      </c>
      <c r="V53" s="17">
        <v>44999.929999999971</v>
      </c>
      <c r="W53" s="17">
        <v>107534.85</v>
      </c>
      <c r="X53" s="2">
        <f t="shared" si="12"/>
        <v>221.26512345679012</v>
      </c>
      <c r="Y53" s="18"/>
      <c r="Z53" s="18"/>
      <c r="AA53" s="18"/>
      <c r="AB53" s="18"/>
      <c r="AC53" s="18"/>
      <c r="AD53" s="17"/>
      <c r="AE53" s="17"/>
      <c r="AF53" s="17"/>
      <c r="AG53" s="30">
        <f t="shared" si="29"/>
        <v>1.0470597531977877</v>
      </c>
      <c r="AH53" s="30">
        <v>2.44</v>
      </c>
      <c r="AI53" s="30">
        <f t="shared" si="30"/>
        <v>134.48072764227646</v>
      </c>
      <c r="AJ53" s="14" t="s">
        <v>79</v>
      </c>
      <c r="AK53" s="2">
        <f t="shared" si="13"/>
        <v>0</v>
      </c>
      <c r="AL53" s="2">
        <f t="shared" si="14"/>
        <v>0</v>
      </c>
      <c r="AM53" s="2">
        <f t="shared" si="15"/>
        <v>0</v>
      </c>
      <c r="AN53" s="2">
        <f t="shared" si="16"/>
        <v>0</v>
      </c>
      <c r="AO53" s="2">
        <f t="shared" si="17"/>
        <v>0</v>
      </c>
    </row>
    <row r="54" spans="1:41" x14ac:dyDescent="0.25">
      <c r="A54" s="21">
        <v>2414</v>
      </c>
      <c r="B54" s="14" t="s">
        <v>45</v>
      </c>
      <c r="C54" s="23">
        <v>45453</v>
      </c>
      <c r="D54" s="14">
        <v>66</v>
      </c>
      <c r="E54" s="14">
        <v>489</v>
      </c>
      <c r="F54" s="14">
        <v>13838.5</v>
      </c>
      <c r="G54" s="2">
        <f t="shared" si="20"/>
        <v>28.299591002044991</v>
      </c>
      <c r="H54" s="16">
        <v>484</v>
      </c>
      <c r="I54" s="14">
        <v>38437</v>
      </c>
      <c r="J54" s="6">
        <f t="shared" si="31"/>
        <v>1.0224948875255602E-2</v>
      </c>
      <c r="K54" s="8">
        <f t="shared" si="6"/>
        <v>57458.974358974359</v>
      </c>
      <c r="L54" s="16">
        <v>44818</v>
      </c>
      <c r="M54" s="9">
        <f t="shared" si="22"/>
        <v>78</v>
      </c>
      <c r="N54" s="2">
        <f t="shared" si="23"/>
        <v>118.71688917143463</v>
      </c>
      <c r="O54" s="2">
        <f t="shared" si="24"/>
        <v>92.599173553719012</v>
      </c>
      <c r="P54" s="2">
        <f t="shared" si="9"/>
        <v>89.203424046982335</v>
      </c>
      <c r="Q54" s="11">
        <f t="shared" si="25"/>
        <v>1134.856371698477</v>
      </c>
      <c r="R54" s="11">
        <f t="shared" si="26"/>
        <v>144.60327198364007</v>
      </c>
      <c r="S54" s="16">
        <v>106100</v>
      </c>
      <c r="T54" s="2">
        <f t="shared" si="27"/>
        <v>2.7603611103884278</v>
      </c>
      <c r="U54" s="2">
        <f t="shared" si="28"/>
        <v>2.4323440209946106</v>
      </c>
      <c r="V54" s="17">
        <v>44602.713499999983</v>
      </c>
      <c r="W54" s="17">
        <v>105656.21</v>
      </c>
      <c r="X54" s="2">
        <f t="shared" si="12"/>
        <v>218.29795454545456</v>
      </c>
      <c r="Y54" s="18"/>
      <c r="Z54" s="18"/>
      <c r="AA54" s="18"/>
      <c r="AB54" s="18"/>
      <c r="AC54" s="18"/>
      <c r="AD54" s="17"/>
      <c r="AE54" s="17"/>
      <c r="AF54" s="17"/>
      <c r="AG54" s="30">
        <f t="shared" si="29"/>
        <v>1.0225178463888838</v>
      </c>
      <c r="AH54" s="30">
        <v>2.4500000000000002</v>
      </c>
      <c r="AI54" s="30">
        <f t="shared" si="30"/>
        <v>135.65588215957683</v>
      </c>
      <c r="AJ54" s="14" t="s">
        <v>78</v>
      </c>
      <c r="AK54" s="2">
        <f t="shared" si="13"/>
        <v>0</v>
      </c>
      <c r="AL54" s="2">
        <f t="shared" si="14"/>
        <v>0</v>
      </c>
      <c r="AM54" s="2">
        <f t="shared" si="15"/>
        <v>0</v>
      </c>
      <c r="AN54" s="2">
        <f t="shared" si="16"/>
        <v>0</v>
      </c>
      <c r="AO54" s="2">
        <f t="shared" si="17"/>
        <v>0</v>
      </c>
    </row>
    <row r="55" spans="1:41" x14ac:dyDescent="0.25">
      <c r="A55" s="21">
        <v>2415</v>
      </c>
      <c r="B55" s="14" t="s">
        <v>46</v>
      </c>
      <c r="C55" s="23">
        <v>45460</v>
      </c>
      <c r="D55" s="14">
        <v>66</v>
      </c>
      <c r="E55" s="14">
        <v>502</v>
      </c>
      <c r="F55" s="14">
        <v>13570</v>
      </c>
      <c r="G55" s="2">
        <f t="shared" si="20"/>
        <v>27.031872509960159</v>
      </c>
      <c r="H55" s="16">
        <v>495</v>
      </c>
      <c r="I55" s="14">
        <v>39828</v>
      </c>
      <c r="J55" s="6">
        <f t="shared" si="31"/>
        <v>1.3944223107569709E-2</v>
      </c>
      <c r="K55" s="8">
        <f t="shared" si="6"/>
        <v>58520.51282051282</v>
      </c>
      <c r="L55" s="16">
        <v>45646</v>
      </c>
      <c r="M55" s="9">
        <f t="shared" si="22"/>
        <v>78</v>
      </c>
      <c r="N55" s="2">
        <f t="shared" si="23"/>
        <v>118.22325822325823</v>
      </c>
      <c r="O55" s="2">
        <f t="shared" si="24"/>
        <v>92.214141414141409</v>
      </c>
      <c r="P55" s="2">
        <f t="shared" si="9"/>
        <v>89.54285422412913</v>
      </c>
      <c r="Q55" s="11">
        <f t="shared" si="25"/>
        <v>1128.615868748439</v>
      </c>
      <c r="R55" s="11">
        <f t="shared" si="26"/>
        <v>145.33864541832668</v>
      </c>
      <c r="S55" s="16">
        <v>107600</v>
      </c>
      <c r="T55" s="2">
        <f t="shared" si="27"/>
        <v>2.7016169528974592</v>
      </c>
      <c r="U55" s="2">
        <f t="shared" si="28"/>
        <v>2.3937435470346307</v>
      </c>
      <c r="V55" s="17">
        <v>44855.248195633307</v>
      </c>
      <c r="W55" s="17">
        <v>107107.93</v>
      </c>
      <c r="X55" s="2">
        <f t="shared" si="12"/>
        <v>216.37965656565655</v>
      </c>
      <c r="Y55" s="18"/>
      <c r="Z55" s="18"/>
      <c r="AA55" s="18"/>
      <c r="AB55" s="18"/>
      <c r="AC55" s="18"/>
      <c r="AD55" s="17"/>
      <c r="AE55" s="17"/>
      <c r="AF55" s="17"/>
      <c r="AG55" s="30">
        <f t="shared" si="29"/>
        <v>0.99788067768526012</v>
      </c>
      <c r="AH55" s="30">
        <v>2.46</v>
      </c>
      <c r="AI55" s="30">
        <f t="shared" si="30"/>
        <v>137.49370382374144</v>
      </c>
      <c r="AJ55" s="14"/>
      <c r="AK55" s="2">
        <f t="shared" si="13"/>
        <v>0</v>
      </c>
      <c r="AL55" s="2">
        <f t="shared" si="14"/>
        <v>0</v>
      </c>
      <c r="AM55" s="2">
        <f t="shared" si="15"/>
        <v>0</v>
      </c>
      <c r="AN55" s="2">
        <f t="shared" si="16"/>
        <v>0</v>
      </c>
      <c r="AO55" s="2">
        <f t="shared" si="17"/>
        <v>0</v>
      </c>
    </row>
    <row r="56" spans="1:41" x14ac:dyDescent="0.25">
      <c r="A56" s="21">
        <v>2416</v>
      </c>
      <c r="B56" s="14" t="s">
        <v>47</v>
      </c>
      <c r="C56" s="23">
        <v>45467</v>
      </c>
      <c r="D56" s="14">
        <v>69</v>
      </c>
      <c r="E56" s="14">
        <v>495</v>
      </c>
      <c r="F56" s="14">
        <v>14233.5</v>
      </c>
      <c r="G56" s="2">
        <f t="shared" si="20"/>
        <v>28.754545454545454</v>
      </c>
      <c r="H56" s="16">
        <v>487</v>
      </c>
      <c r="I56" s="14">
        <v>39363</v>
      </c>
      <c r="J56" s="6">
        <f t="shared" si="31"/>
        <v>1.6161616161616155E-2</v>
      </c>
      <c r="K56" s="8">
        <f t="shared" si="6"/>
        <v>57425.641025641024</v>
      </c>
      <c r="L56" s="16">
        <v>44792</v>
      </c>
      <c r="M56" s="9">
        <f t="shared" si="22"/>
        <v>78</v>
      </c>
      <c r="N56" s="2">
        <f t="shared" si="23"/>
        <v>117.91712736271258</v>
      </c>
      <c r="O56" s="2">
        <f t="shared" si="24"/>
        <v>91.975359342915809</v>
      </c>
      <c r="P56" s="2">
        <f t="shared" si="9"/>
        <v>87.256850556850551</v>
      </c>
      <c r="Q56" s="11">
        <f t="shared" si="25"/>
        <v>1097.2776725768115</v>
      </c>
      <c r="R56" s="11">
        <f t="shared" si="26"/>
        <v>148.5212121212121</v>
      </c>
      <c r="S56" s="16">
        <v>102450</v>
      </c>
      <c r="T56" s="2">
        <f t="shared" si="27"/>
        <v>2.6026979650941238</v>
      </c>
      <c r="U56" s="2">
        <f t="shared" si="28"/>
        <v>2.3719592862780416</v>
      </c>
      <c r="V56" s="17">
        <v>42115.878978166562</v>
      </c>
      <c r="W56" s="17">
        <v>102650.09</v>
      </c>
      <c r="X56" s="2">
        <f t="shared" si="12"/>
        <v>210.78047227926078</v>
      </c>
      <c r="Y56" s="18"/>
      <c r="Z56" s="18"/>
      <c r="AA56" s="18"/>
      <c r="AB56" s="18"/>
      <c r="AC56" s="18"/>
      <c r="AD56" s="17"/>
      <c r="AE56" s="17"/>
      <c r="AF56" s="17"/>
      <c r="AG56" s="30">
        <f t="shared" si="29"/>
        <v>0.97508199357759229</v>
      </c>
      <c r="AH56" s="30">
        <v>2.42</v>
      </c>
      <c r="AI56" s="30">
        <f t="shared" si="30"/>
        <v>137.49778581558039</v>
      </c>
      <c r="AJ56" s="14"/>
      <c r="AK56" s="2">
        <f t="shared" si="13"/>
        <v>0</v>
      </c>
      <c r="AL56" s="2">
        <f t="shared" si="14"/>
        <v>0</v>
      </c>
      <c r="AM56" s="2">
        <f t="shared" si="15"/>
        <v>0</v>
      </c>
      <c r="AN56" s="2">
        <f t="shared" si="16"/>
        <v>0</v>
      </c>
      <c r="AO56" s="2">
        <f t="shared" si="17"/>
        <v>0</v>
      </c>
    </row>
    <row r="57" spans="1:41" x14ac:dyDescent="0.25">
      <c r="A57" s="21">
        <v>2417</v>
      </c>
      <c r="B57" s="14" t="s">
        <v>50</v>
      </c>
      <c r="C57" s="23">
        <v>45474</v>
      </c>
      <c r="D57" s="14">
        <v>67</v>
      </c>
      <c r="E57" s="14">
        <v>492</v>
      </c>
      <c r="F57" s="14">
        <v>14750.16</v>
      </c>
      <c r="G57" s="2">
        <f t="shared" si="20"/>
        <v>29.98</v>
      </c>
      <c r="H57" s="16">
        <v>484</v>
      </c>
      <c r="I57" s="14">
        <v>38075</v>
      </c>
      <c r="J57" s="6">
        <f t="shared" si="31"/>
        <v>1.6260162601625994E-2</v>
      </c>
      <c r="K57" s="8">
        <f t="shared" si="6"/>
        <v>58524.358974358969</v>
      </c>
      <c r="L57" s="16">
        <v>45649</v>
      </c>
      <c r="M57" s="9">
        <f t="shared" si="22"/>
        <v>78</v>
      </c>
      <c r="N57" s="2">
        <f t="shared" si="23"/>
        <v>120.91809705446067</v>
      </c>
      <c r="O57" s="2">
        <f t="shared" si="24"/>
        <v>94.316115702479337</v>
      </c>
      <c r="P57" s="2">
        <f t="shared" si="9"/>
        <v>88.971949134875942</v>
      </c>
      <c r="Q57" s="11">
        <f t="shared" si="25"/>
        <v>1149.6834924322775</v>
      </c>
      <c r="R57" s="11">
        <v>144.4</v>
      </c>
      <c r="S57" s="16">
        <v>105250</v>
      </c>
      <c r="T57" s="2">
        <f t="shared" si="27"/>
        <v>2.7642810242941565</v>
      </c>
      <c r="U57" s="2">
        <f t="shared" si="28"/>
        <v>2.4043843740384809</v>
      </c>
      <c r="V57" s="17">
        <v>40720.952065066485</v>
      </c>
      <c r="W57" s="17">
        <v>104711.21</v>
      </c>
      <c r="X57" s="2">
        <f t="shared" si="12"/>
        <v>216.34547520661158</v>
      </c>
      <c r="Y57" s="18"/>
      <c r="Z57" s="18"/>
      <c r="AA57" s="18"/>
      <c r="AB57" s="18"/>
      <c r="AC57" s="18"/>
      <c r="AD57" s="17"/>
      <c r="AE57" s="17"/>
      <c r="AF57" s="17"/>
      <c r="AG57" s="30">
        <f t="shared" si="29"/>
        <v>0.9302500792514572</v>
      </c>
      <c r="AH57" s="30">
        <v>2.4500000000000002</v>
      </c>
      <c r="AI57" s="30">
        <f t="shared" si="30"/>
        <v>148.30832073719944</v>
      </c>
      <c r="AJ57" s="14"/>
      <c r="AK57" s="2">
        <f t="shared" si="13"/>
        <v>0</v>
      </c>
      <c r="AL57" s="2">
        <f t="shared" si="14"/>
        <v>0</v>
      </c>
      <c r="AM57" s="2">
        <f t="shared" si="15"/>
        <v>0</v>
      </c>
      <c r="AN57" s="2">
        <f t="shared" si="16"/>
        <v>0</v>
      </c>
      <c r="AO57" s="2">
        <f t="shared" si="17"/>
        <v>0</v>
      </c>
    </row>
    <row r="58" spans="1:41" x14ac:dyDescent="0.25">
      <c r="A58" s="21">
        <v>2418</v>
      </c>
      <c r="B58" s="14" t="s">
        <v>52</v>
      </c>
      <c r="C58" s="23">
        <v>45481</v>
      </c>
      <c r="D58" s="14">
        <v>67</v>
      </c>
      <c r="E58" s="14">
        <v>489</v>
      </c>
      <c r="F58" s="14">
        <v>14063.64</v>
      </c>
      <c r="G58" s="2">
        <f t="shared" si="20"/>
        <v>28.759999999999998</v>
      </c>
      <c r="H58" s="16">
        <v>486</v>
      </c>
      <c r="I58" s="14">
        <v>38483</v>
      </c>
      <c r="J58" s="6">
        <f t="shared" si="31"/>
        <v>6.1349693251533388E-3</v>
      </c>
      <c r="K58" s="8">
        <f t="shared" si="6"/>
        <v>57023.076923076922</v>
      </c>
      <c r="L58" s="16">
        <v>44478</v>
      </c>
      <c r="M58" s="9">
        <f t="shared" si="22"/>
        <v>78</v>
      </c>
      <c r="N58" s="2">
        <f t="shared" si="23"/>
        <v>117.33143399810066</v>
      </c>
      <c r="O58" s="2">
        <f t="shared" si="24"/>
        <v>91.518518518518519</v>
      </c>
      <c r="P58" s="2">
        <f t="shared" si="9"/>
        <v>87.85160924964606</v>
      </c>
      <c r="Q58" s="11">
        <f t="shared" si="25"/>
        <v>1116.3224520717438</v>
      </c>
      <c r="R58" s="11">
        <v>145</v>
      </c>
      <c r="S58" s="16">
        <v>102250</v>
      </c>
      <c r="T58" s="2">
        <f t="shared" si="27"/>
        <v>2.6570173842995608</v>
      </c>
      <c r="U58" s="2">
        <f t="shared" si="28"/>
        <v>2.3801522394971943</v>
      </c>
      <c r="V58" s="17">
        <v>42846.899920905831</v>
      </c>
      <c r="W58" s="17">
        <v>102045.92</v>
      </c>
      <c r="X58" s="2">
        <f t="shared" si="12"/>
        <v>209.97102880658437</v>
      </c>
      <c r="Y58" s="18"/>
      <c r="Z58" s="18"/>
      <c r="AA58" s="18"/>
      <c r="AB58" s="18"/>
      <c r="AC58" s="18"/>
      <c r="AD58" s="17"/>
      <c r="AE58" s="17"/>
      <c r="AF58" s="17"/>
      <c r="AG58" s="30">
        <f t="shared" si="29"/>
        <v>0.99738038926411909</v>
      </c>
      <c r="AH58" s="30">
        <v>2.44</v>
      </c>
      <c r="AI58" s="30">
        <f t="shared" si="30"/>
        <v>135.68371295429392</v>
      </c>
      <c r="AJ58" s="14"/>
      <c r="AK58" s="2">
        <f t="shared" si="13"/>
        <v>0</v>
      </c>
      <c r="AL58" s="2">
        <f t="shared" si="14"/>
        <v>0</v>
      </c>
      <c r="AM58" s="2">
        <f t="shared" si="15"/>
        <v>0</v>
      </c>
      <c r="AN58" s="2">
        <f t="shared" si="16"/>
        <v>0</v>
      </c>
      <c r="AO58" s="2">
        <f t="shared" si="17"/>
        <v>0</v>
      </c>
    </row>
    <row r="59" spans="1:41" x14ac:dyDescent="0.25">
      <c r="A59" s="21">
        <v>2419</v>
      </c>
      <c r="B59" s="14" t="s">
        <v>63</v>
      </c>
      <c r="C59" s="23">
        <v>45488</v>
      </c>
      <c r="D59" s="14">
        <v>68</v>
      </c>
      <c r="E59" s="14">
        <v>502</v>
      </c>
      <c r="F59" s="14">
        <v>14281.5</v>
      </c>
      <c r="G59" s="2">
        <f t="shared" si="20"/>
        <v>28.449203187250998</v>
      </c>
      <c r="H59" s="16">
        <v>495</v>
      </c>
      <c r="I59" s="14">
        <v>38974</v>
      </c>
      <c r="J59" s="6">
        <f t="shared" si="31"/>
        <v>1.3944223107569709E-2</v>
      </c>
      <c r="K59" s="8">
        <f t="shared" si="6"/>
        <v>58648.717948717946</v>
      </c>
      <c r="L59" s="16">
        <v>45746</v>
      </c>
      <c r="M59" s="9">
        <f t="shared" si="22"/>
        <v>78</v>
      </c>
      <c r="N59" s="2">
        <f t="shared" si="23"/>
        <v>118.48225848225847</v>
      </c>
      <c r="O59" s="2">
        <f t="shared" si="24"/>
        <v>92.416161616161617</v>
      </c>
      <c r="P59" s="2">
        <f t="shared" si="9"/>
        <v>88.380912248442129</v>
      </c>
      <c r="Q59" s="11">
        <f t="shared" si="25"/>
        <v>1138.3798929726984</v>
      </c>
      <c r="R59" s="11">
        <v>146</v>
      </c>
      <c r="S59" s="16">
        <v>107300</v>
      </c>
      <c r="T59" s="2">
        <f t="shared" si="27"/>
        <v>2.7531174629240005</v>
      </c>
      <c r="U59" s="2">
        <f t="shared" si="28"/>
        <v>2.4184522934032779</v>
      </c>
      <c r="V59" s="17">
        <v>43355.9732496949</v>
      </c>
      <c r="W59" s="17">
        <v>105697.62</v>
      </c>
      <c r="X59" s="2">
        <f t="shared" si="12"/>
        <v>213.53054545454543</v>
      </c>
      <c r="Y59" s="18"/>
      <c r="Z59" s="18"/>
      <c r="AA59" s="18"/>
      <c r="AB59" s="18"/>
      <c r="AC59" s="18"/>
      <c r="AD59" s="17"/>
      <c r="AE59" s="17"/>
      <c r="AF59" s="17"/>
      <c r="AG59" s="30">
        <f t="shared" si="29"/>
        <v>0.97720738992037104</v>
      </c>
      <c r="AH59" s="30">
        <v>2.44</v>
      </c>
      <c r="AI59" s="30">
        <f t="shared" si="30"/>
        <v>139.12895376635285</v>
      </c>
      <c r="AJ59" s="14"/>
      <c r="AK59" s="2">
        <f t="shared" si="13"/>
        <v>0</v>
      </c>
      <c r="AL59" s="2">
        <f t="shared" si="14"/>
        <v>0</v>
      </c>
      <c r="AM59" s="2">
        <f t="shared" si="15"/>
        <v>0</v>
      </c>
      <c r="AN59" s="2">
        <f t="shared" si="16"/>
        <v>0</v>
      </c>
      <c r="AO59" s="2">
        <f t="shared" si="17"/>
        <v>0</v>
      </c>
    </row>
    <row r="60" spans="1:41" x14ac:dyDescent="0.25">
      <c r="A60" s="21">
        <v>2420</v>
      </c>
      <c r="B60" s="14" t="s">
        <v>54</v>
      </c>
      <c r="C60" s="23">
        <v>45495</v>
      </c>
      <c r="D60" s="14">
        <v>67</v>
      </c>
      <c r="E60" s="14">
        <v>532</v>
      </c>
      <c r="F60" s="14">
        <v>15102.5</v>
      </c>
      <c r="G60" s="2">
        <f t="shared" si="20"/>
        <v>28.388157894736842</v>
      </c>
      <c r="H60" s="16">
        <v>523</v>
      </c>
      <c r="I60" s="14">
        <v>41855</v>
      </c>
      <c r="J60" s="6">
        <f t="shared" si="31"/>
        <v>1.6917293233082664E-2</v>
      </c>
      <c r="K60" s="8">
        <f t="shared" si="6"/>
        <v>61304.98717948718</v>
      </c>
      <c r="L60" s="16">
        <v>47817.89</v>
      </c>
      <c r="M60" s="9">
        <f t="shared" si="22"/>
        <v>78</v>
      </c>
      <c r="N60" s="2">
        <f t="shared" si="23"/>
        <v>117.21794871794872</v>
      </c>
      <c r="O60" s="2">
        <f t="shared" si="24"/>
        <v>91.429999999999993</v>
      </c>
      <c r="P60" s="2">
        <f t="shared" si="9"/>
        <v>86.846780412569885</v>
      </c>
      <c r="Q60" s="11">
        <f t="shared" si="25"/>
        <v>1103.8701990081754</v>
      </c>
      <c r="R60" s="11">
        <f t="shared" ref="R60:R61" si="32">(I60/E60)+D60</f>
        <v>145.6748120300752</v>
      </c>
      <c r="S60" s="16">
        <v>110500</v>
      </c>
      <c r="T60" s="2">
        <f t="shared" si="27"/>
        <v>2.640066897622745</v>
      </c>
      <c r="U60" s="2">
        <f t="shared" si="28"/>
        <v>2.3916461373763318</v>
      </c>
      <c r="V60" s="17">
        <v>42201.919999999998</v>
      </c>
      <c r="W60" s="17">
        <v>109888.82</v>
      </c>
      <c r="X60" s="2">
        <f t="shared" si="12"/>
        <v>210.11246653919696</v>
      </c>
      <c r="Y60" s="18"/>
      <c r="Z60" s="18"/>
      <c r="AA60" s="18"/>
      <c r="AB60" s="18"/>
      <c r="AC60" s="18"/>
      <c r="AD60" s="17"/>
      <c r="AE60" s="17"/>
      <c r="AF60" s="17"/>
      <c r="AG60" s="30">
        <f t="shared" si="29"/>
        <v>0.91341229826122128</v>
      </c>
      <c r="AH60" s="30">
        <v>2.46</v>
      </c>
      <c r="AI60" s="30">
        <f t="shared" si="30"/>
        <v>145.59088270676688</v>
      </c>
      <c r="AJ60" s="14"/>
      <c r="AK60" s="2">
        <f t="shared" si="13"/>
        <v>0</v>
      </c>
      <c r="AL60" s="2">
        <f t="shared" si="14"/>
        <v>0</v>
      </c>
      <c r="AM60" s="2">
        <f t="shared" si="15"/>
        <v>0</v>
      </c>
      <c r="AN60" s="2">
        <f t="shared" si="16"/>
        <v>0</v>
      </c>
      <c r="AO60" s="2">
        <f t="shared" si="17"/>
        <v>0</v>
      </c>
    </row>
    <row r="61" spans="1:41" x14ac:dyDescent="0.25">
      <c r="A61" s="21">
        <v>2421</v>
      </c>
      <c r="B61" s="14" t="s">
        <v>55</v>
      </c>
      <c r="C61" s="23">
        <v>45502</v>
      </c>
      <c r="D61" s="14">
        <v>68</v>
      </c>
      <c r="E61" s="14">
        <v>498</v>
      </c>
      <c r="F61" s="14">
        <v>14477</v>
      </c>
      <c r="G61" s="2">
        <f t="shared" si="20"/>
        <v>29.070281124497992</v>
      </c>
      <c r="H61" s="16">
        <v>487</v>
      </c>
      <c r="I61" s="14">
        <v>39081</v>
      </c>
      <c r="J61" s="6">
        <f t="shared" si="31"/>
        <v>2.2088353413654671E-2</v>
      </c>
      <c r="K61" s="8">
        <f t="shared" si="6"/>
        <v>59907.948717948711</v>
      </c>
      <c r="L61" s="16">
        <v>46728.2</v>
      </c>
      <c r="M61" s="9">
        <f t="shared" si="22"/>
        <v>78</v>
      </c>
      <c r="N61" s="2">
        <f t="shared" si="23"/>
        <v>123.01426841467908</v>
      </c>
      <c r="O61" s="2">
        <f t="shared" si="24"/>
        <v>95.951129363449681</v>
      </c>
      <c r="P61" s="2">
        <f t="shared" si="9"/>
        <v>91.22680465451549</v>
      </c>
      <c r="Q61" s="11">
        <f t="shared" ref="Q61:Q70" si="33">((K61-F61)/I61)*1000</f>
        <v>1162.4817358293981</v>
      </c>
      <c r="R61" s="11">
        <f t="shared" si="32"/>
        <v>146.47590361445782</v>
      </c>
      <c r="S61" s="16">
        <v>109500</v>
      </c>
      <c r="T61" s="2">
        <f t="shared" si="27"/>
        <v>2.8018730329316037</v>
      </c>
      <c r="U61" s="2">
        <f t="shared" si="28"/>
        <v>2.4102512293946239</v>
      </c>
      <c r="V61" s="17">
        <v>41047.050000000003</v>
      </c>
      <c r="W61" s="17">
        <v>108522.45</v>
      </c>
      <c r="X61" s="2">
        <f t="shared" si="12"/>
        <v>222.83870636550307</v>
      </c>
      <c r="Y61" s="18"/>
      <c r="Z61" s="18"/>
      <c r="AA61" s="18"/>
      <c r="AB61" s="18"/>
      <c r="AC61" s="18"/>
      <c r="AD61" s="17"/>
      <c r="AE61" s="17"/>
      <c r="AF61" s="17"/>
      <c r="AG61" s="30">
        <f t="shared" si="29"/>
        <v>0.90350413447965849</v>
      </c>
      <c r="AH61" s="30">
        <v>2.4500000000000002</v>
      </c>
      <c r="AI61" s="30">
        <f t="shared" si="30"/>
        <v>152.65647175972884</v>
      </c>
      <c r="AJ61" s="14"/>
      <c r="AK61" s="2">
        <f t="shared" si="13"/>
        <v>0</v>
      </c>
      <c r="AL61" s="2">
        <f t="shared" si="14"/>
        <v>0</v>
      </c>
      <c r="AM61" s="2">
        <f t="shared" si="15"/>
        <v>0</v>
      </c>
      <c r="AN61" s="2">
        <f t="shared" si="16"/>
        <v>0</v>
      </c>
      <c r="AO61" s="2">
        <f t="shared" si="17"/>
        <v>0</v>
      </c>
    </row>
    <row r="62" spans="1:41" x14ac:dyDescent="0.25">
      <c r="A62" s="21">
        <v>2422</v>
      </c>
      <c r="B62" s="14" t="s">
        <v>41</v>
      </c>
      <c r="C62" s="23">
        <v>45509</v>
      </c>
      <c r="D62" s="14">
        <v>68</v>
      </c>
      <c r="E62" s="14">
        <v>512</v>
      </c>
      <c r="F62" s="14">
        <v>15403.5</v>
      </c>
      <c r="G62" s="2">
        <f t="shared" si="20"/>
        <v>30.0849609375</v>
      </c>
      <c r="H62" s="16">
        <v>502</v>
      </c>
      <c r="I62" s="14">
        <v>40128</v>
      </c>
      <c r="J62" s="6">
        <f t="shared" si="31"/>
        <v>1.953125E-2</v>
      </c>
      <c r="K62" s="8">
        <f t="shared" si="6"/>
        <v>62232.307692307688</v>
      </c>
      <c r="L62" s="16">
        <v>48541.2</v>
      </c>
      <c r="M62" s="9">
        <f t="shared" si="22"/>
        <v>78</v>
      </c>
      <c r="N62" s="2">
        <f t="shared" si="23"/>
        <v>123.96874042292369</v>
      </c>
      <c r="O62" s="2">
        <f t="shared" si="24"/>
        <v>96.695617529880465</v>
      </c>
      <c r="P62" s="2">
        <f t="shared" si="9"/>
        <v>91.462515024038453</v>
      </c>
      <c r="Q62" s="11">
        <f t="shared" si="33"/>
        <v>1166.9858376272848</v>
      </c>
      <c r="R62" s="11">
        <v>148</v>
      </c>
      <c r="S62" s="16">
        <v>112500</v>
      </c>
      <c r="T62" s="2">
        <f t="shared" si="27"/>
        <v>2.8035287081339715</v>
      </c>
      <c r="U62" s="2">
        <f t="shared" si="28"/>
        <v>2.4023673790541493</v>
      </c>
      <c r="V62" s="17">
        <v>47451.42</v>
      </c>
      <c r="W62" s="17">
        <v>111447.46</v>
      </c>
      <c r="X62" s="2">
        <f t="shared" si="12"/>
        <v>222.0068924302789</v>
      </c>
      <c r="Y62" s="18"/>
      <c r="Z62" s="18"/>
      <c r="AA62" s="18"/>
      <c r="AB62" s="18"/>
      <c r="AC62" s="18"/>
      <c r="AD62" s="17"/>
      <c r="AE62" s="17"/>
      <c r="AF62" s="17"/>
      <c r="AG62" s="30">
        <f t="shared" si="29"/>
        <v>1.0132954977582012</v>
      </c>
      <c r="AH62" s="30">
        <v>2.4500000000000002</v>
      </c>
      <c r="AI62" s="30">
        <f t="shared" si="30"/>
        <v>144.22570826070717</v>
      </c>
      <c r="AJ62" s="14"/>
      <c r="AK62" s="2">
        <f t="shared" si="13"/>
        <v>0</v>
      </c>
      <c r="AL62" s="2">
        <f t="shared" si="14"/>
        <v>0</v>
      </c>
      <c r="AM62" s="2">
        <f t="shared" si="15"/>
        <v>0</v>
      </c>
      <c r="AN62" s="2">
        <f t="shared" si="16"/>
        <v>0</v>
      </c>
      <c r="AO62" s="2">
        <f t="shared" si="17"/>
        <v>0</v>
      </c>
    </row>
    <row r="63" spans="1:41" x14ac:dyDescent="0.25">
      <c r="A63" s="21">
        <v>2423</v>
      </c>
      <c r="B63" s="14" t="s">
        <v>42</v>
      </c>
      <c r="C63" s="23">
        <v>45516</v>
      </c>
      <c r="D63" s="14">
        <v>68</v>
      </c>
      <c r="E63" s="14">
        <v>507</v>
      </c>
      <c r="F63" s="14">
        <v>14133</v>
      </c>
      <c r="G63" s="2">
        <f t="shared" si="20"/>
        <v>27.875739644970412</v>
      </c>
      <c r="H63" s="16">
        <v>497</v>
      </c>
      <c r="I63" s="14">
        <v>39873</v>
      </c>
      <c r="J63" s="6">
        <f t="shared" si="31"/>
        <v>1.9723865877712021E-2</v>
      </c>
      <c r="K63" s="8">
        <f t="shared" si="6"/>
        <v>59159.615384615383</v>
      </c>
      <c r="L63" s="16">
        <v>46144.5</v>
      </c>
      <c r="M63" s="9">
        <f t="shared" si="22"/>
        <v>78</v>
      </c>
      <c r="N63" s="2">
        <f t="shared" si="23"/>
        <v>119.03343135737502</v>
      </c>
      <c r="O63" s="2">
        <f t="shared" si="24"/>
        <v>92.84607645875252</v>
      </c>
      <c r="P63" s="2">
        <f t="shared" si="9"/>
        <v>88.809892277347899</v>
      </c>
      <c r="Q63" s="11">
        <f t="shared" si="33"/>
        <v>1129.2507557649383</v>
      </c>
      <c r="R63" s="11">
        <f t="shared" ref="R63" si="34">(I63/E63)+D63</f>
        <v>146.64497041420117</v>
      </c>
      <c r="S63" s="16">
        <v>109100</v>
      </c>
      <c r="T63" s="2">
        <f t="shared" si="27"/>
        <v>2.7361873949790585</v>
      </c>
      <c r="U63" s="2">
        <f t="shared" si="28"/>
        <v>2.4230113471348571</v>
      </c>
      <c r="V63" s="17">
        <v>45774.82</v>
      </c>
      <c r="W63" s="17">
        <v>108124.11</v>
      </c>
      <c r="X63" s="2">
        <f t="shared" si="12"/>
        <v>217.5535412474849</v>
      </c>
      <c r="Y63" s="18"/>
      <c r="Z63" s="18"/>
      <c r="AA63" s="18"/>
      <c r="AB63" s="18"/>
      <c r="AC63" s="18"/>
      <c r="AD63" s="17"/>
      <c r="AE63" s="17"/>
      <c r="AF63" s="17"/>
      <c r="AG63" s="30">
        <f t="shared" si="29"/>
        <v>1.016616941091252</v>
      </c>
      <c r="AH63" s="30">
        <v>2.44</v>
      </c>
      <c r="AI63" s="30">
        <f t="shared" si="30"/>
        <v>136.25878553371513</v>
      </c>
      <c r="AJ63" s="14"/>
      <c r="AK63" s="2">
        <f t="shared" si="13"/>
        <v>0</v>
      </c>
      <c r="AL63" s="2">
        <f t="shared" si="14"/>
        <v>0</v>
      </c>
      <c r="AM63" s="2">
        <f t="shared" si="15"/>
        <v>0</v>
      </c>
      <c r="AN63" s="2">
        <f t="shared" si="16"/>
        <v>0</v>
      </c>
      <c r="AO63" s="2">
        <f t="shared" si="17"/>
        <v>0</v>
      </c>
    </row>
    <row r="64" spans="1:41" x14ac:dyDescent="0.25">
      <c r="A64" s="21">
        <v>2424</v>
      </c>
      <c r="B64" s="14" t="s">
        <v>43</v>
      </c>
      <c r="C64" s="23">
        <v>45523</v>
      </c>
      <c r="D64" s="14">
        <v>68</v>
      </c>
      <c r="E64" s="14">
        <v>521</v>
      </c>
      <c r="F64" s="14">
        <v>15128</v>
      </c>
      <c r="G64" s="2">
        <f t="shared" si="20"/>
        <v>29.036468330134358</v>
      </c>
      <c r="H64" s="16">
        <v>513</v>
      </c>
      <c r="I64" s="14">
        <v>40894</v>
      </c>
      <c r="J64" s="6">
        <f t="shared" si="31"/>
        <v>1.5355086372360827E-2</v>
      </c>
      <c r="K64" s="8">
        <f t="shared" si="6"/>
        <v>60968.076923076922</v>
      </c>
      <c r="L64" s="16">
        <v>47555.1</v>
      </c>
      <c r="M64" s="9">
        <f t="shared" si="22"/>
        <v>78</v>
      </c>
      <c r="N64" s="2">
        <f t="shared" si="23"/>
        <v>118.84615384615384</v>
      </c>
      <c r="O64" s="2">
        <f t="shared" si="24"/>
        <v>92.7</v>
      </c>
      <c r="P64" s="2">
        <f t="shared" si="9"/>
        <v>87.984792558688909</v>
      </c>
      <c r="Q64" s="11">
        <f t="shared" si="33"/>
        <v>1120.9487192027418</v>
      </c>
      <c r="R64" s="11">
        <v>148</v>
      </c>
      <c r="S64" s="16">
        <v>108650</v>
      </c>
      <c r="T64" s="2">
        <f t="shared" si="27"/>
        <v>2.6568689783342299</v>
      </c>
      <c r="U64" s="2">
        <v>2.39</v>
      </c>
      <c r="V64" s="17">
        <v>45226.143476884245</v>
      </c>
      <c r="W64" s="17">
        <v>107830.39</v>
      </c>
      <c r="X64" s="2">
        <f t="shared" si="12"/>
        <v>210.19569200779728</v>
      </c>
      <c r="Y64" s="18"/>
      <c r="Z64" s="18"/>
      <c r="AA64" s="18"/>
      <c r="AB64" s="18"/>
      <c r="AC64" s="18"/>
      <c r="AD64" s="17"/>
      <c r="AE64" s="17"/>
      <c r="AF64" s="17"/>
      <c r="AG64" s="30">
        <f t="shared" si="29"/>
        <v>0.98660705898851553</v>
      </c>
      <c r="AH64" s="22">
        <v>2.4500000000000002</v>
      </c>
      <c r="AI64" s="30">
        <f t="shared" si="30"/>
        <v>140.30858257795734</v>
      </c>
      <c r="AJ64" s="14"/>
      <c r="AK64" s="2">
        <f t="shared" si="13"/>
        <v>0</v>
      </c>
      <c r="AL64" s="2">
        <f t="shared" si="14"/>
        <v>0</v>
      </c>
      <c r="AM64" s="2">
        <f t="shared" si="15"/>
        <v>0</v>
      </c>
      <c r="AN64" s="2">
        <f t="shared" si="16"/>
        <v>0</v>
      </c>
      <c r="AO64" s="2">
        <f t="shared" si="17"/>
        <v>0</v>
      </c>
    </row>
    <row r="65" spans="1:41" x14ac:dyDescent="0.25">
      <c r="A65" s="21">
        <v>2425</v>
      </c>
      <c r="B65" s="14" t="s">
        <v>44</v>
      </c>
      <c r="C65" s="23">
        <v>45530</v>
      </c>
      <c r="D65" s="14">
        <v>68</v>
      </c>
      <c r="E65" s="14">
        <v>515</v>
      </c>
      <c r="F65" s="14">
        <v>14537</v>
      </c>
      <c r="G65" s="2">
        <f t="shared" si="20"/>
        <v>28.227184466019416</v>
      </c>
      <c r="H65" s="16">
        <v>509</v>
      </c>
      <c r="I65" s="14">
        <v>40410</v>
      </c>
      <c r="J65" s="6">
        <f t="shared" si="31"/>
        <v>1.1650485436893177E-2</v>
      </c>
      <c r="K65" s="8">
        <f t="shared" si="6"/>
        <v>58424.064102564094</v>
      </c>
      <c r="L65" s="16">
        <v>45570.77</v>
      </c>
      <c r="M65" s="9">
        <f t="shared" si="22"/>
        <v>78</v>
      </c>
      <c r="N65" s="2">
        <f t="shared" si="23"/>
        <v>114.78205128205127</v>
      </c>
      <c r="O65" s="2">
        <f t="shared" si="24"/>
        <v>89.529999999999987</v>
      </c>
      <c r="P65" s="2">
        <f t="shared" si="9"/>
        <v>85.21760019915358</v>
      </c>
      <c r="Q65" s="11">
        <f t="shared" si="33"/>
        <v>1086.0446449533308</v>
      </c>
      <c r="R65" s="11">
        <v>148</v>
      </c>
      <c r="S65" s="16">
        <v>105500</v>
      </c>
      <c r="T65" s="2">
        <f t="shared" si="27"/>
        <v>2.6107399158624105</v>
      </c>
      <c r="U65" s="2">
        <f t="shared" si="28"/>
        <v>2.4038974161827373</v>
      </c>
      <c r="V65" s="17">
        <v>42108.466982387814</v>
      </c>
      <c r="W65" s="17">
        <v>105077.73</v>
      </c>
      <c r="X65" s="2">
        <f t="shared" si="12"/>
        <v>206.43954813359528</v>
      </c>
      <c r="Y65" s="18"/>
      <c r="Z65" s="18"/>
      <c r="AA65" s="18"/>
      <c r="AB65" s="18"/>
      <c r="AC65" s="18"/>
      <c r="AD65" s="17"/>
      <c r="AE65" s="17"/>
      <c r="AF65" s="17"/>
      <c r="AG65" s="30">
        <f t="shared" si="29"/>
        <v>0.95947331733059893</v>
      </c>
      <c r="AH65" s="22">
        <v>2.46</v>
      </c>
      <c r="AI65" s="30">
        <f t="shared" si="30"/>
        <v>138.47978644196536</v>
      </c>
      <c r="AJ65" s="14"/>
      <c r="AK65" s="2">
        <f t="shared" si="13"/>
        <v>0</v>
      </c>
      <c r="AL65" s="2">
        <f t="shared" si="14"/>
        <v>0</v>
      </c>
      <c r="AM65" s="2">
        <f t="shared" si="15"/>
        <v>0</v>
      </c>
      <c r="AN65" s="2">
        <f t="shared" si="16"/>
        <v>0</v>
      </c>
      <c r="AO65" s="2">
        <f t="shared" si="17"/>
        <v>0</v>
      </c>
    </row>
    <row r="66" spans="1:41" x14ac:dyDescent="0.25">
      <c r="A66" s="21">
        <v>2426</v>
      </c>
      <c r="B66" s="14" t="s">
        <v>45</v>
      </c>
      <c r="C66" s="23">
        <v>45537</v>
      </c>
      <c r="D66" s="14">
        <v>67</v>
      </c>
      <c r="E66" s="14">
        <v>519</v>
      </c>
      <c r="F66" s="14">
        <v>14746</v>
      </c>
      <c r="G66" s="2">
        <f t="shared" si="20"/>
        <v>28.412331406551061</v>
      </c>
      <c r="H66" s="16">
        <v>506</v>
      </c>
      <c r="I66" s="14">
        <v>40436</v>
      </c>
      <c r="J66" s="6">
        <f t="shared" si="31"/>
        <v>2.5048169556840083E-2</v>
      </c>
      <c r="K66" s="8">
        <f t="shared" si="6"/>
        <v>58066.538461538461</v>
      </c>
      <c r="L66" s="16">
        <v>45291.9</v>
      </c>
      <c r="M66" s="9">
        <f t="shared" si="22"/>
        <v>78</v>
      </c>
      <c r="N66" s="2">
        <f t="shared" si="23"/>
        <v>114.75600486470051</v>
      </c>
      <c r="O66" s="2">
        <f t="shared" si="24"/>
        <v>89.509683794466412</v>
      </c>
      <c r="P66" s="2">
        <f t="shared" si="9"/>
        <v>83.469245590632866</v>
      </c>
      <c r="Q66" s="11">
        <f t="shared" si="33"/>
        <v>1071.3359002259981</v>
      </c>
      <c r="R66" s="11">
        <v>147</v>
      </c>
      <c r="S66" s="16">
        <v>108200</v>
      </c>
      <c r="T66" s="2">
        <f t="shared" si="27"/>
        <v>2.6758334157681274</v>
      </c>
      <c r="U66" s="2">
        <f t="shared" si="28"/>
        <v>2.4976605518434143</v>
      </c>
      <c r="V66" s="17">
        <v>44138.0388321477</v>
      </c>
      <c r="W66" s="17">
        <v>107204.91</v>
      </c>
      <c r="X66" s="2">
        <f t="shared" si="12"/>
        <v>211.86741106719367</v>
      </c>
      <c r="Y66" s="18"/>
      <c r="Z66" s="18"/>
      <c r="AA66" s="18"/>
      <c r="AB66" s="18"/>
      <c r="AC66" s="18"/>
      <c r="AD66" s="17"/>
      <c r="AE66" s="17"/>
      <c r="AF66" s="17"/>
      <c r="AG66" s="30">
        <f t="shared" si="29"/>
        <v>1.0188709651274312</v>
      </c>
      <c r="AH66" s="22">
        <v>2.4700000000000002</v>
      </c>
      <c r="AI66" s="30">
        <f t="shared" si="30"/>
        <v>136.04452815894535</v>
      </c>
      <c r="AJ66" s="14"/>
      <c r="AK66" s="2">
        <f t="shared" si="13"/>
        <v>0</v>
      </c>
      <c r="AL66" s="2">
        <f t="shared" si="14"/>
        <v>0</v>
      </c>
      <c r="AM66" s="2">
        <f t="shared" si="15"/>
        <v>0</v>
      </c>
      <c r="AN66" s="2">
        <f t="shared" si="16"/>
        <v>0</v>
      </c>
      <c r="AO66" s="2">
        <f t="shared" si="17"/>
        <v>0</v>
      </c>
    </row>
    <row r="67" spans="1:41" x14ac:dyDescent="0.25">
      <c r="A67" s="21">
        <v>2427</v>
      </c>
      <c r="B67" s="14" t="s">
        <v>46</v>
      </c>
      <c r="C67" s="23">
        <v>45544</v>
      </c>
      <c r="D67" s="14">
        <v>67</v>
      </c>
      <c r="E67" s="14">
        <v>496</v>
      </c>
      <c r="F67" s="14">
        <v>13978</v>
      </c>
      <c r="G67" s="2">
        <f t="shared" si="20"/>
        <v>28.181451612903224</v>
      </c>
      <c r="H67" s="16">
        <v>484</v>
      </c>
      <c r="I67" s="14">
        <v>38727</v>
      </c>
      <c r="J67" s="6">
        <f t="shared" si="31"/>
        <v>2.4193548387096753E-2</v>
      </c>
      <c r="K67" s="8">
        <f t="shared" si="6"/>
        <v>54294.871794871789</v>
      </c>
      <c r="L67" s="16">
        <v>42350</v>
      </c>
      <c r="M67" s="9">
        <f t="shared" si="22"/>
        <v>78</v>
      </c>
      <c r="N67" s="2">
        <f t="shared" si="23"/>
        <v>112.17948717948717</v>
      </c>
      <c r="O67" s="2">
        <f t="shared" si="24"/>
        <v>87.5</v>
      </c>
      <c r="P67" s="2">
        <f t="shared" si="9"/>
        <v>81.284015715467319</v>
      </c>
      <c r="Q67" s="11">
        <f t="shared" si="33"/>
        <v>1041.0533166749758</v>
      </c>
      <c r="R67" s="11">
        <v>147</v>
      </c>
      <c r="S67" s="16">
        <v>99950</v>
      </c>
      <c r="T67" s="2">
        <f t="shared" si="27"/>
        <v>2.5808867198595293</v>
      </c>
      <c r="U67" s="2">
        <f t="shared" si="28"/>
        <v>2.4791109912628042</v>
      </c>
      <c r="V67" s="17">
        <v>42012.854812046629</v>
      </c>
      <c r="W67" s="17">
        <v>98910.32</v>
      </c>
      <c r="X67" s="2">
        <f t="shared" ref="X67:X91" si="35">W67/H67</f>
        <v>204.3601652892562</v>
      </c>
      <c r="Y67" s="18"/>
      <c r="Z67" s="18"/>
      <c r="AA67" s="18"/>
      <c r="AB67" s="18"/>
      <c r="AC67" s="18"/>
      <c r="AD67" s="17"/>
      <c r="AE67" s="17"/>
      <c r="AF67" s="17"/>
      <c r="AG67" s="30">
        <f t="shared" si="29"/>
        <v>1.0420663345560099</v>
      </c>
      <c r="AH67" s="22">
        <v>2.46</v>
      </c>
      <c r="AI67" s="30">
        <f t="shared" si="30"/>
        <v>130.54666368538986</v>
      </c>
      <c r="AJ67" s="14"/>
      <c r="AK67" s="2">
        <f t="shared" ref="AK67:AK101" si="36">Y67/E67</f>
        <v>0</v>
      </c>
      <c r="AL67" s="2">
        <f t="shared" ref="AL67:AL101" si="37">Z67/E67</f>
        <v>0</v>
      </c>
      <c r="AM67" s="2">
        <f t="shared" ref="AM67:AM101" si="38">AA67/E67</f>
        <v>0</v>
      </c>
      <c r="AN67" s="2">
        <f t="shared" ref="AN67:AN101" si="39">AB67/E67</f>
        <v>0</v>
      </c>
      <c r="AO67" s="2">
        <f t="shared" ref="AO67:AO101" si="40">AC67/E67</f>
        <v>0</v>
      </c>
    </row>
    <row r="68" spans="1:41" x14ac:dyDescent="0.25">
      <c r="A68" s="22">
        <v>2428</v>
      </c>
      <c r="B68" s="7" t="s">
        <v>47</v>
      </c>
      <c r="C68" s="12">
        <v>45551</v>
      </c>
      <c r="D68" s="7">
        <v>68</v>
      </c>
      <c r="E68" s="7">
        <v>516</v>
      </c>
      <c r="F68" s="7">
        <v>14928</v>
      </c>
      <c r="G68" s="2">
        <f t="shared" si="20"/>
        <v>28.930232558139537</v>
      </c>
      <c r="H68" s="8">
        <v>507</v>
      </c>
      <c r="I68" s="7">
        <v>40394</v>
      </c>
      <c r="J68" s="6">
        <f t="shared" si="31"/>
        <v>1.744186046511631E-2</v>
      </c>
      <c r="K68" s="8">
        <f>L68/0.78</f>
        <v>56465.499999999993</v>
      </c>
      <c r="L68" s="8">
        <v>44043.09</v>
      </c>
      <c r="M68" s="11">
        <f t="shared" si="22"/>
        <v>78</v>
      </c>
      <c r="N68" s="2">
        <f t="shared" si="23"/>
        <v>111.37179487179486</v>
      </c>
      <c r="O68" s="2">
        <f t="shared" si="24"/>
        <v>86.86999999999999</v>
      </c>
      <c r="P68" s="2">
        <f t="shared" si="9"/>
        <v>80.499031007751924</v>
      </c>
      <c r="Q68" s="11">
        <f t="shared" si="33"/>
        <v>1028.3086597019358</v>
      </c>
      <c r="R68" s="11">
        <v>148</v>
      </c>
      <c r="S68" s="8">
        <v>101100</v>
      </c>
      <c r="T68" s="2">
        <f t="shared" si="27"/>
        <v>2.5028469574689312</v>
      </c>
      <c r="U68" s="2">
        <f t="shared" si="28"/>
        <v>2.4339452302136628</v>
      </c>
      <c r="V68" s="18">
        <v>42782.719105448763</v>
      </c>
      <c r="W68" s="18">
        <v>100513.49</v>
      </c>
      <c r="X68" s="2">
        <f t="shared" si="35"/>
        <v>198.25145956607497</v>
      </c>
      <c r="Y68" s="18"/>
      <c r="Z68" s="18"/>
      <c r="AA68" s="18"/>
      <c r="AB68" s="18"/>
      <c r="AC68" s="18"/>
      <c r="AD68" s="18"/>
      <c r="AE68" s="18"/>
      <c r="AF68" s="18"/>
      <c r="AG68" s="30">
        <f t="shared" si="29"/>
        <v>1.0299781909226307</v>
      </c>
      <c r="AH68" s="22">
        <v>2.46</v>
      </c>
      <c r="AI68" s="30">
        <f t="shared" si="30"/>
        <v>130.78795367161089</v>
      </c>
      <c r="AJ68" s="7"/>
      <c r="AK68" s="2">
        <f t="shared" si="36"/>
        <v>0</v>
      </c>
      <c r="AL68" s="2">
        <f t="shared" si="37"/>
        <v>0</v>
      </c>
      <c r="AM68" s="2">
        <f t="shared" si="38"/>
        <v>0</v>
      </c>
      <c r="AN68" s="2">
        <f t="shared" si="39"/>
        <v>0</v>
      </c>
      <c r="AO68" s="2">
        <f t="shared" si="40"/>
        <v>0</v>
      </c>
    </row>
    <row r="69" spans="1:41" x14ac:dyDescent="0.25">
      <c r="A69" s="22">
        <v>2429</v>
      </c>
      <c r="B69" s="7" t="s">
        <v>50</v>
      </c>
      <c r="C69" s="12">
        <v>45558</v>
      </c>
      <c r="D69" s="7">
        <v>68</v>
      </c>
      <c r="E69" s="7">
        <v>503</v>
      </c>
      <c r="F69" s="7">
        <v>15164</v>
      </c>
      <c r="G69" s="2">
        <f t="shared" si="20"/>
        <v>30.147117296222664</v>
      </c>
      <c r="H69" s="8">
        <v>491</v>
      </c>
      <c r="I69" s="7">
        <v>39352</v>
      </c>
      <c r="J69" s="31">
        <f t="shared" si="31"/>
        <v>2.3856858846918461E-2</v>
      </c>
      <c r="K69" s="8">
        <f t="shared" si="6"/>
        <v>56553.717948717946</v>
      </c>
      <c r="L69" s="8">
        <v>44111.9</v>
      </c>
      <c r="M69" s="11">
        <f t="shared" si="22"/>
        <v>78</v>
      </c>
      <c r="N69" s="2">
        <f t="shared" si="23"/>
        <v>115.18068828659459</v>
      </c>
      <c r="O69" s="2">
        <f>L69/H69</f>
        <v>89.840936863543789</v>
      </c>
      <c r="P69" s="2">
        <f t="shared" si="9"/>
        <v>82.285721568027725</v>
      </c>
      <c r="Q69" s="11">
        <f t="shared" si="33"/>
        <v>1051.7818141064733</v>
      </c>
      <c r="R69" s="11">
        <v>148</v>
      </c>
      <c r="S69" s="8">
        <v>101050</v>
      </c>
      <c r="T69" s="2">
        <f t="shared" si="27"/>
        <v>2.567849156332588</v>
      </c>
      <c r="U69" s="2">
        <f>S69/(K69-F69)</f>
        <v>2.4414276058899804</v>
      </c>
      <c r="V69" s="18">
        <v>43154.701590247962</v>
      </c>
      <c r="W69" s="18">
        <v>99795.6</v>
      </c>
      <c r="X69" s="2">
        <f t="shared" si="35"/>
        <v>203.24969450101835</v>
      </c>
      <c r="Y69" s="18"/>
      <c r="Z69" s="18"/>
      <c r="AA69" s="18"/>
      <c r="AB69" s="18"/>
      <c r="AC69" s="18"/>
      <c r="AD69" s="18"/>
      <c r="AE69" s="18"/>
      <c r="AF69" s="18"/>
      <c r="AG69" s="30">
        <f t="shared" si="29"/>
        <v>1.0426430458819951</v>
      </c>
      <c r="AH69" s="22">
        <v>2.46</v>
      </c>
      <c r="AI69" s="30">
        <f t="shared" si="30"/>
        <v>135.2140693160315</v>
      </c>
      <c r="AJ69" s="7"/>
      <c r="AK69" s="2">
        <f t="shared" si="36"/>
        <v>0</v>
      </c>
      <c r="AL69" s="2">
        <f t="shared" si="37"/>
        <v>0</v>
      </c>
      <c r="AM69" s="2">
        <f t="shared" si="38"/>
        <v>0</v>
      </c>
      <c r="AN69" s="2">
        <f t="shared" si="39"/>
        <v>0</v>
      </c>
      <c r="AO69" s="2">
        <f t="shared" si="40"/>
        <v>0</v>
      </c>
    </row>
    <row r="70" spans="1:41" x14ac:dyDescent="0.25">
      <c r="A70" s="22">
        <v>2430</v>
      </c>
      <c r="B70" s="7" t="s">
        <v>52</v>
      </c>
      <c r="C70" s="12">
        <v>45565</v>
      </c>
      <c r="D70" s="7">
        <v>67</v>
      </c>
      <c r="E70" s="7">
        <v>484</v>
      </c>
      <c r="F70" s="7">
        <v>14314</v>
      </c>
      <c r="G70" s="2">
        <f t="shared" si="20"/>
        <v>29.574380165289256</v>
      </c>
      <c r="H70" s="8">
        <v>477</v>
      </c>
      <c r="I70" s="7">
        <v>38018</v>
      </c>
      <c r="J70" s="6">
        <f t="shared" si="31"/>
        <v>1.4462809917355379E-2</v>
      </c>
      <c r="K70" s="8">
        <f t="shared" si="6"/>
        <v>54915.897435897437</v>
      </c>
      <c r="L70" s="8">
        <v>42834.400000000001</v>
      </c>
      <c r="M70" s="11">
        <f t="shared" si="22"/>
        <v>78</v>
      </c>
      <c r="N70" s="2">
        <f t="shared" si="23"/>
        <v>115.12766758049777</v>
      </c>
      <c r="O70" s="2">
        <f>L70/H70</f>
        <v>89.79958071278827</v>
      </c>
      <c r="P70" s="2">
        <f t="shared" si="9"/>
        <v>83.888217842763297</v>
      </c>
      <c r="Q70" s="11">
        <f t="shared" si="33"/>
        <v>1067.965106946642</v>
      </c>
      <c r="R70" s="11">
        <v>147</v>
      </c>
      <c r="S70" s="8">
        <v>98550</v>
      </c>
      <c r="T70" s="2">
        <f t="shared" si="27"/>
        <v>2.5921931716555315</v>
      </c>
      <c r="U70" s="2">
        <f>S70/(K70-F70)</f>
        <v>2.4272264653540252</v>
      </c>
      <c r="V70" s="18">
        <v>42147.61147321629</v>
      </c>
      <c r="W70" s="18">
        <v>97820.11</v>
      </c>
      <c r="X70" s="2">
        <f t="shared" si="35"/>
        <v>205.07360587002097</v>
      </c>
      <c r="Y70" s="18"/>
      <c r="Z70" s="18"/>
      <c r="AA70" s="18"/>
      <c r="AB70" s="18"/>
      <c r="AC70" s="18"/>
      <c r="AD70" s="18"/>
      <c r="AE70" s="18"/>
      <c r="AF70" s="18"/>
      <c r="AG70" s="30">
        <f t="shared" si="29"/>
        <v>1.0380699951217609</v>
      </c>
      <c r="AH70" s="22">
        <v>2.46</v>
      </c>
      <c r="AI70" s="30">
        <f t="shared" si="30"/>
        <v>133.82512666664863</v>
      </c>
      <c r="AJ70" s="7"/>
      <c r="AK70" s="2">
        <f t="shared" si="36"/>
        <v>0</v>
      </c>
      <c r="AL70" s="2">
        <f t="shared" si="37"/>
        <v>0</v>
      </c>
      <c r="AM70" s="2">
        <f t="shared" si="38"/>
        <v>0</v>
      </c>
      <c r="AN70" s="2">
        <f t="shared" si="39"/>
        <v>0</v>
      </c>
      <c r="AO70" s="2">
        <f t="shared" si="40"/>
        <v>0</v>
      </c>
    </row>
    <row r="71" spans="1:41" x14ac:dyDescent="0.25">
      <c r="A71" s="22">
        <v>2431</v>
      </c>
      <c r="B71" s="7" t="s">
        <v>87</v>
      </c>
      <c r="C71" s="12">
        <v>45572</v>
      </c>
      <c r="D71" s="7">
        <v>67</v>
      </c>
      <c r="E71" s="7">
        <v>493</v>
      </c>
      <c r="F71" s="7">
        <v>14388</v>
      </c>
      <c r="G71" s="2">
        <f t="shared" si="20"/>
        <v>29.184584178498987</v>
      </c>
      <c r="H71" s="8">
        <v>486</v>
      </c>
      <c r="I71" s="7">
        <v>42717</v>
      </c>
      <c r="J71" s="6">
        <f>(1-(H71/E71))</f>
        <v>1.4198782961460488E-2</v>
      </c>
      <c r="K71" s="8">
        <f t="shared" si="6"/>
        <v>60750</v>
      </c>
      <c r="L71" s="8">
        <v>47385</v>
      </c>
      <c r="M71" s="11">
        <f t="shared" si="22"/>
        <v>78</v>
      </c>
      <c r="N71" s="2">
        <f>K71/H71</f>
        <v>125</v>
      </c>
      <c r="O71" s="2">
        <f>L71/H71</f>
        <v>97.5</v>
      </c>
      <c r="P71" s="2">
        <f t="shared" ref="P71:P86" si="41">(K71-F71)/E71</f>
        <v>94.040567951318465</v>
      </c>
      <c r="Q71" s="11">
        <f t="shared" ref="Q71:Q80" si="42">((K71-F71)/I71)*1000</f>
        <v>1085.3290259147411</v>
      </c>
      <c r="R71" s="11">
        <v>155</v>
      </c>
      <c r="S71" s="8">
        <v>112700</v>
      </c>
      <c r="T71" s="2">
        <f t="shared" si="27"/>
        <v>2.6382938876793784</v>
      </c>
      <c r="U71" s="2">
        <f>S71/(K71-F71)</f>
        <v>2.4308701091411069</v>
      </c>
      <c r="V71" s="18">
        <v>47755.289538586905</v>
      </c>
      <c r="W71" s="18">
        <v>111710.85</v>
      </c>
      <c r="X71" s="2">
        <f t="shared" si="35"/>
        <v>229.85771604938273</v>
      </c>
      <c r="Y71" s="18"/>
      <c r="Z71" s="18"/>
      <c r="AA71" s="18"/>
      <c r="AB71" s="18"/>
      <c r="AC71" s="18"/>
      <c r="AD71" s="18"/>
      <c r="AE71" s="18"/>
      <c r="AF71" s="18"/>
      <c r="AG71" s="30">
        <f t="shared" si="29"/>
        <v>1.0300524036621999</v>
      </c>
      <c r="AH71" s="22">
        <v>2.4500000000000002</v>
      </c>
      <c r="AI71" s="30">
        <f t="shared" si="30"/>
        <v>142.00828693998602</v>
      </c>
      <c r="AJ71" s="7"/>
      <c r="AK71" s="2">
        <f t="shared" si="36"/>
        <v>0</v>
      </c>
      <c r="AL71" s="2">
        <f t="shared" si="37"/>
        <v>0</v>
      </c>
      <c r="AM71" s="2">
        <f t="shared" si="38"/>
        <v>0</v>
      </c>
      <c r="AN71" s="2">
        <f t="shared" si="39"/>
        <v>0</v>
      </c>
      <c r="AO71" s="2">
        <f t="shared" si="40"/>
        <v>0</v>
      </c>
    </row>
    <row r="72" spans="1:41" x14ac:dyDescent="0.25">
      <c r="A72" s="22">
        <v>2432</v>
      </c>
      <c r="B72" s="7" t="s">
        <v>54</v>
      </c>
      <c r="C72" s="12">
        <v>45579</v>
      </c>
      <c r="D72" s="7">
        <v>67</v>
      </c>
      <c r="E72" s="7">
        <v>502</v>
      </c>
      <c r="F72" s="7">
        <v>14623</v>
      </c>
      <c r="G72" s="2">
        <f>F72/E72</f>
        <v>29.129482071713149</v>
      </c>
      <c r="H72" s="8">
        <v>493</v>
      </c>
      <c r="I72" s="7">
        <v>42732</v>
      </c>
      <c r="J72" s="6">
        <f t="shared" ref="J72:J116" si="43">(1-(H72/E72))</f>
        <v>1.7928286852589626E-2</v>
      </c>
      <c r="K72" s="8">
        <f t="shared" si="6"/>
        <v>61625</v>
      </c>
      <c r="L72" s="8">
        <v>48067.5</v>
      </c>
      <c r="M72" s="11">
        <f t="shared" si="22"/>
        <v>78</v>
      </c>
      <c r="N72" s="2">
        <f t="shared" ref="N72:N91" si="44">K72/H72</f>
        <v>125</v>
      </c>
      <c r="O72" s="2">
        <f t="shared" ref="O72:O91" si="45">L72/H72</f>
        <v>97.5</v>
      </c>
      <c r="P72" s="2">
        <f t="shared" si="41"/>
        <v>93.629482071713142</v>
      </c>
      <c r="Q72" s="11">
        <f t="shared" si="42"/>
        <v>1099.9251146681643</v>
      </c>
      <c r="R72" s="11">
        <f t="shared" ref="R72:R78" si="46">(I72/E72)+D72</f>
        <v>152.1235059760956</v>
      </c>
      <c r="S72" s="8">
        <v>112500</v>
      </c>
      <c r="T72" s="2">
        <f t="shared" si="27"/>
        <v>2.6326874473462509</v>
      </c>
      <c r="U72" s="2">
        <f>S72/(K72-F72)</f>
        <v>2.3935151695672525</v>
      </c>
      <c r="V72" s="18">
        <v>47936.597728604676</v>
      </c>
      <c r="W72" s="18">
        <v>111783.35</v>
      </c>
      <c r="X72" s="2">
        <f t="shared" si="35"/>
        <v>226.74107505070995</v>
      </c>
      <c r="Y72" s="18"/>
      <c r="Z72" s="18"/>
      <c r="AA72" s="18"/>
      <c r="AB72" s="18"/>
      <c r="AC72" s="18"/>
      <c r="AD72" s="18"/>
      <c r="AE72" s="18"/>
      <c r="AF72" s="18"/>
      <c r="AG72" s="30">
        <f t="shared" si="29"/>
        <v>1.0198842119187412</v>
      </c>
      <c r="AH72" s="22">
        <v>2.46</v>
      </c>
      <c r="AI72" s="30">
        <f t="shared" si="30"/>
        <v>144.35876946493093</v>
      </c>
      <c r="AJ72" s="14" t="s">
        <v>88</v>
      </c>
      <c r="AK72" s="2">
        <f t="shared" si="36"/>
        <v>0</v>
      </c>
      <c r="AL72" s="2">
        <f t="shared" si="37"/>
        <v>0</v>
      </c>
      <c r="AM72" s="2">
        <f t="shared" si="38"/>
        <v>0</v>
      </c>
      <c r="AN72" s="2">
        <f t="shared" si="39"/>
        <v>0</v>
      </c>
      <c r="AO72" s="2">
        <f t="shared" si="40"/>
        <v>0</v>
      </c>
    </row>
    <row r="73" spans="1:41" x14ac:dyDescent="0.25">
      <c r="A73" s="22">
        <v>2433</v>
      </c>
      <c r="B73" s="7" t="s">
        <v>55</v>
      </c>
      <c r="C73" s="12">
        <v>45586</v>
      </c>
      <c r="D73" s="7">
        <v>66</v>
      </c>
      <c r="E73" s="7">
        <v>510</v>
      </c>
      <c r="F73" s="7">
        <v>14852</v>
      </c>
      <c r="G73" s="2">
        <f>F73/E73</f>
        <v>29.12156862745098</v>
      </c>
      <c r="H73" s="8">
        <v>500</v>
      </c>
      <c r="I73" s="7">
        <v>40943</v>
      </c>
      <c r="J73" s="6">
        <f t="shared" si="43"/>
        <v>1.9607843137254943E-2</v>
      </c>
      <c r="K73" s="8">
        <f t="shared" ref="K73:K143" si="47">L73/0.78</f>
        <v>61217.948717948719</v>
      </c>
      <c r="L73" s="8">
        <v>47750</v>
      </c>
      <c r="M73" s="11">
        <f t="shared" si="22"/>
        <v>78</v>
      </c>
      <c r="N73" s="2">
        <f t="shared" si="44"/>
        <v>122.43589743589743</v>
      </c>
      <c r="O73" s="2">
        <f t="shared" si="45"/>
        <v>95.5</v>
      </c>
      <c r="P73" s="2">
        <f t="shared" si="41"/>
        <v>90.913624937154353</v>
      </c>
      <c r="Q73" s="11">
        <f t="shared" si="42"/>
        <v>1132.4511813484289</v>
      </c>
      <c r="R73" s="11">
        <f t="shared" si="46"/>
        <v>146.28039215686275</v>
      </c>
      <c r="S73" s="8">
        <v>111500</v>
      </c>
      <c r="T73" s="2">
        <f t="shared" si="27"/>
        <v>2.7232982439000564</v>
      </c>
      <c r="U73" s="2">
        <f>S73/(K73-F73)</f>
        <v>2.4047820239433007</v>
      </c>
      <c r="V73" s="18">
        <v>44343.867636882191</v>
      </c>
      <c r="W73" s="18">
        <v>110513.4</v>
      </c>
      <c r="X73" s="2">
        <f t="shared" si="35"/>
        <v>221.02679999999998</v>
      </c>
      <c r="Y73" s="18"/>
      <c r="Z73" s="18"/>
      <c r="AA73" s="18"/>
      <c r="AB73" s="18"/>
      <c r="AC73" s="18"/>
      <c r="AD73" s="18"/>
      <c r="AE73" s="18"/>
      <c r="AF73" s="18"/>
      <c r="AG73" s="30">
        <f t="shared" si="29"/>
        <v>0.95638866157215585</v>
      </c>
      <c r="AH73" s="22">
        <v>2.46</v>
      </c>
      <c r="AI73" s="30">
        <f t="shared" si="30"/>
        <v>147.981239927682</v>
      </c>
      <c r="AJ73" s="14" t="s">
        <v>88</v>
      </c>
      <c r="AK73" s="2">
        <f t="shared" si="36"/>
        <v>0</v>
      </c>
      <c r="AL73" s="2">
        <f t="shared" si="37"/>
        <v>0</v>
      </c>
      <c r="AM73" s="2">
        <f t="shared" si="38"/>
        <v>0</v>
      </c>
      <c r="AN73" s="2">
        <f t="shared" si="39"/>
        <v>0</v>
      </c>
      <c r="AO73" s="2">
        <f t="shared" si="40"/>
        <v>0</v>
      </c>
    </row>
    <row r="74" spans="1:41" x14ac:dyDescent="0.25">
      <c r="A74" s="22">
        <v>2434</v>
      </c>
      <c r="B74" s="7" t="s">
        <v>41</v>
      </c>
      <c r="C74" s="12">
        <v>45593</v>
      </c>
      <c r="D74" s="7">
        <v>67</v>
      </c>
      <c r="E74" s="7">
        <v>504</v>
      </c>
      <c r="F74" s="7">
        <v>14249</v>
      </c>
      <c r="G74" s="2">
        <f t="shared" si="20"/>
        <v>28.271825396825395</v>
      </c>
      <c r="H74" s="8">
        <v>496</v>
      </c>
      <c r="I74" s="7">
        <v>39480</v>
      </c>
      <c r="J74" s="6">
        <f t="shared" si="43"/>
        <v>1.5873015873015928E-2</v>
      </c>
      <c r="K74" s="8">
        <f t="shared" si="47"/>
        <v>59380</v>
      </c>
      <c r="L74" s="8">
        <v>46316.4</v>
      </c>
      <c r="M74" s="11">
        <f t="shared" si="22"/>
        <v>78</v>
      </c>
      <c r="N74" s="2">
        <f t="shared" si="44"/>
        <v>119.71774193548387</v>
      </c>
      <c r="O74" s="2">
        <f t="shared" si="45"/>
        <v>93.379838709677429</v>
      </c>
      <c r="P74" s="2">
        <f t="shared" si="41"/>
        <v>89.545634920634924</v>
      </c>
      <c r="Q74" s="11">
        <f t="shared" si="42"/>
        <v>1143.1357649442755</v>
      </c>
      <c r="R74" s="11">
        <f t="shared" si="46"/>
        <v>145.33333333333331</v>
      </c>
      <c r="S74" s="8">
        <v>110000</v>
      </c>
      <c r="T74" s="2">
        <f t="shared" si="27"/>
        <v>2.7862208713272545</v>
      </c>
      <c r="U74" s="2">
        <f t="shared" ref="U74:U77" si="48">S74/(K74-F74)</f>
        <v>2.4373490505417563</v>
      </c>
      <c r="V74" s="18">
        <v>45218.629158194948</v>
      </c>
      <c r="W74" s="18">
        <v>109347.93</v>
      </c>
      <c r="X74" s="2">
        <f t="shared" si="35"/>
        <v>220.45953629032257</v>
      </c>
      <c r="Y74" s="18"/>
      <c r="Z74" s="18"/>
      <c r="AA74" s="18"/>
      <c r="AB74" s="18"/>
      <c r="AC74" s="18"/>
      <c r="AD74" s="18"/>
      <c r="AE74" s="18"/>
      <c r="AF74" s="18"/>
      <c r="AG74" s="30">
        <f t="shared" si="29"/>
        <v>1.0019416622320567</v>
      </c>
      <c r="AH74" s="22">
        <v>2.46</v>
      </c>
      <c r="AI74" s="30">
        <f t="shared" si="30"/>
        <v>139.99490092780061</v>
      </c>
      <c r="AJ74" s="14" t="s">
        <v>88</v>
      </c>
      <c r="AK74" s="2">
        <f t="shared" si="36"/>
        <v>0</v>
      </c>
      <c r="AL74" s="2">
        <f t="shared" si="37"/>
        <v>0</v>
      </c>
      <c r="AM74" s="2">
        <f t="shared" si="38"/>
        <v>0</v>
      </c>
      <c r="AN74" s="2">
        <f t="shared" si="39"/>
        <v>0</v>
      </c>
      <c r="AO74" s="2">
        <f t="shared" si="40"/>
        <v>0</v>
      </c>
    </row>
    <row r="75" spans="1:41" x14ac:dyDescent="0.25">
      <c r="A75" s="22">
        <v>2435</v>
      </c>
      <c r="B75" s="7" t="s">
        <v>42</v>
      </c>
      <c r="C75" s="12">
        <v>45600</v>
      </c>
      <c r="D75" s="7">
        <v>67</v>
      </c>
      <c r="E75" s="7">
        <v>511</v>
      </c>
      <c r="F75" s="7">
        <v>14770</v>
      </c>
      <c r="G75" s="2">
        <f t="shared" si="20"/>
        <v>28.904109589041095</v>
      </c>
      <c r="H75" s="8">
        <v>503</v>
      </c>
      <c r="I75" s="7">
        <v>40551</v>
      </c>
      <c r="J75" s="6">
        <f t="shared" si="43"/>
        <v>1.5655577299412915E-2</v>
      </c>
      <c r="K75" s="8">
        <f t="shared" si="47"/>
        <v>58812.307692307688</v>
      </c>
      <c r="L75" s="8">
        <v>45873.599999999999</v>
      </c>
      <c r="M75" s="11">
        <f t="shared" si="22"/>
        <v>78</v>
      </c>
      <c r="N75" s="2">
        <f t="shared" si="44"/>
        <v>116.92307692307692</v>
      </c>
      <c r="O75" s="2">
        <f t="shared" si="45"/>
        <v>91.2</v>
      </c>
      <c r="P75" s="2">
        <f t="shared" si="41"/>
        <v>86.18846906518138</v>
      </c>
      <c r="Q75" s="11">
        <f t="shared" si="42"/>
        <v>1086.0967101257106</v>
      </c>
      <c r="R75" s="11">
        <f t="shared" si="46"/>
        <v>146.35616438356163</v>
      </c>
      <c r="S75" s="8">
        <v>108000</v>
      </c>
      <c r="T75" s="2">
        <f t="shared" si="27"/>
        <v>2.6633128652807576</v>
      </c>
      <c r="U75" s="2">
        <f t="shared" si="48"/>
        <v>2.4521875818705792</v>
      </c>
      <c r="V75" s="18">
        <v>46715.140000000007</v>
      </c>
      <c r="W75" s="18">
        <v>107321.3</v>
      </c>
      <c r="X75" s="2">
        <f t="shared" si="35"/>
        <v>213.3624254473161</v>
      </c>
      <c r="Y75" s="18"/>
      <c r="Z75" s="18"/>
      <c r="AA75" s="18"/>
      <c r="AB75" s="18"/>
      <c r="AC75" s="18"/>
      <c r="AD75" s="18"/>
      <c r="AE75" s="18"/>
      <c r="AF75" s="18"/>
      <c r="AG75" s="30">
        <f t="shared" si="29"/>
        <v>1.0606878351235702</v>
      </c>
      <c r="AH75" s="22">
        <v>2.4500000000000002</v>
      </c>
      <c r="AI75" s="30">
        <f t="shared" si="30"/>
        <v>132.020939334638</v>
      </c>
      <c r="AJ75" s="14" t="s">
        <v>88</v>
      </c>
      <c r="AK75" s="2">
        <f t="shared" si="36"/>
        <v>0</v>
      </c>
      <c r="AL75" s="2">
        <f t="shared" si="37"/>
        <v>0</v>
      </c>
      <c r="AM75" s="2">
        <f t="shared" si="38"/>
        <v>0</v>
      </c>
      <c r="AN75" s="2">
        <f t="shared" si="39"/>
        <v>0</v>
      </c>
      <c r="AO75" s="2">
        <f t="shared" si="40"/>
        <v>0</v>
      </c>
    </row>
    <row r="76" spans="1:41" x14ac:dyDescent="0.25">
      <c r="A76" s="22">
        <v>2436</v>
      </c>
      <c r="B76" s="7" t="s">
        <v>43</v>
      </c>
      <c r="C76" s="12">
        <v>45972</v>
      </c>
      <c r="D76" s="7">
        <v>67</v>
      </c>
      <c r="E76" s="7">
        <v>521</v>
      </c>
      <c r="F76" s="7">
        <v>15015</v>
      </c>
      <c r="G76" s="2">
        <f t="shared" si="20"/>
        <v>28.81957773512476</v>
      </c>
      <c r="H76" s="8">
        <v>514</v>
      </c>
      <c r="I76" s="7">
        <v>40933</v>
      </c>
      <c r="J76" s="6">
        <f t="shared" si="43"/>
        <v>1.3435700575815779E-2</v>
      </c>
      <c r="K76" s="8">
        <f t="shared" si="47"/>
        <v>59815.102564102563</v>
      </c>
      <c r="L76" s="8">
        <v>46655.78</v>
      </c>
      <c r="M76" s="11">
        <f t="shared" si="22"/>
        <v>78</v>
      </c>
      <c r="N76" s="2">
        <f t="shared" si="44"/>
        <v>116.37179487179488</v>
      </c>
      <c r="O76" s="2">
        <f t="shared" si="45"/>
        <v>90.77</v>
      </c>
      <c r="P76" s="2">
        <f t="shared" si="41"/>
        <v>85.988680545302429</v>
      </c>
      <c r="Q76" s="11">
        <f t="shared" si="42"/>
        <v>1094.4739590086865</v>
      </c>
      <c r="R76" s="11">
        <f t="shared" si="46"/>
        <v>145.5662188099808</v>
      </c>
      <c r="S76" s="8">
        <v>107200</v>
      </c>
      <c r="T76" s="2">
        <f t="shared" si="27"/>
        <v>2.618913834803215</v>
      </c>
      <c r="U76" s="2">
        <f t="shared" si="48"/>
        <v>2.3928516647168849</v>
      </c>
      <c r="V76" s="18">
        <v>46311.739000000009</v>
      </c>
      <c r="W76" s="18">
        <v>106486.8</v>
      </c>
      <c r="X76" s="2">
        <f t="shared" si="35"/>
        <v>207.17276264591439</v>
      </c>
      <c r="Y76" s="18"/>
      <c r="Z76" s="18"/>
      <c r="AA76" s="18"/>
      <c r="AB76" s="18"/>
      <c r="AC76" s="18"/>
      <c r="AD76" s="18"/>
      <c r="AE76" s="18"/>
      <c r="AF76" s="18"/>
      <c r="AG76" s="30">
        <f t="shared" si="29"/>
        <v>1.0337418074821259</v>
      </c>
      <c r="AH76" s="22">
        <v>2.46</v>
      </c>
      <c r="AI76" s="30">
        <f t="shared" si="30"/>
        <v>134.40410595009592</v>
      </c>
      <c r="AJ76" s="7"/>
      <c r="AK76" s="2">
        <f t="shared" si="36"/>
        <v>0</v>
      </c>
      <c r="AL76" s="2">
        <f t="shared" si="37"/>
        <v>0</v>
      </c>
      <c r="AM76" s="2">
        <f t="shared" si="38"/>
        <v>0</v>
      </c>
      <c r="AN76" s="2">
        <f t="shared" si="39"/>
        <v>0</v>
      </c>
      <c r="AO76" s="2">
        <f t="shared" si="40"/>
        <v>0</v>
      </c>
    </row>
    <row r="77" spans="1:41" x14ac:dyDescent="0.25">
      <c r="A77" s="22">
        <v>2437</v>
      </c>
      <c r="B77" s="7" t="s">
        <v>44</v>
      </c>
      <c r="C77" s="12">
        <v>45979</v>
      </c>
      <c r="D77" s="7">
        <v>67</v>
      </c>
      <c r="E77" s="7">
        <v>529</v>
      </c>
      <c r="F77" s="7">
        <v>14998</v>
      </c>
      <c r="G77" s="2">
        <f t="shared" si="20"/>
        <v>28.351606805293006</v>
      </c>
      <c r="H77" s="8">
        <v>522</v>
      </c>
      <c r="I77" s="7">
        <v>41511</v>
      </c>
      <c r="J77" s="6">
        <f t="shared" si="43"/>
        <v>1.3232514177693777E-2</v>
      </c>
      <c r="K77" s="8">
        <f t="shared" si="47"/>
        <v>61100.769230769227</v>
      </c>
      <c r="L77" s="8">
        <v>47658.6</v>
      </c>
      <c r="M77" s="11">
        <f t="shared" si="22"/>
        <v>78</v>
      </c>
      <c r="N77" s="2">
        <f t="shared" si="44"/>
        <v>117.05128205128204</v>
      </c>
      <c r="O77" s="2">
        <f t="shared" si="45"/>
        <v>91.3</v>
      </c>
      <c r="P77" s="2">
        <f t="shared" si="41"/>
        <v>87.150792496728215</v>
      </c>
      <c r="Q77" s="11">
        <f t="shared" si="42"/>
        <v>1110.6157218753879</v>
      </c>
      <c r="R77" s="11">
        <f t="shared" si="46"/>
        <v>145.47069943289225</v>
      </c>
      <c r="S77" s="8">
        <v>111000</v>
      </c>
      <c r="T77" s="2">
        <f t="shared" si="27"/>
        <v>2.6739900267399004</v>
      </c>
      <c r="U77" s="2">
        <f t="shared" si="48"/>
        <v>2.4076644820267763</v>
      </c>
      <c r="V77" s="18">
        <v>47282.095000000008</v>
      </c>
      <c r="W77" s="18">
        <v>110121.11</v>
      </c>
      <c r="X77" s="2">
        <f t="shared" si="35"/>
        <v>210.95998084291188</v>
      </c>
      <c r="Y77" s="18"/>
      <c r="Z77" s="18"/>
      <c r="AA77" s="18"/>
      <c r="AB77" s="18"/>
      <c r="AC77" s="18"/>
      <c r="AD77" s="18"/>
      <c r="AE77" s="18"/>
      <c r="AF77" s="18"/>
      <c r="AG77" s="30">
        <f t="shared" si="29"/>
        <v>1.0255803672731159</v>
      </c>
      <c r="AH77" s="22">
        <v>2.4500000000000002</v>
      </c>
      <c r="AI77" s="30">
        <f t="shared" si="30"/>
        <v>134.30485822306235</v>
      </c>
      <c r="AJ77" s="7"/>
      <c r="AK77" s="2">
        <f t="shared" si="36"/>
        <v>0</v>
      </c>
      <c r="AL77" s="2">
        <f t="shared" si="37"/>
        <v>0</v>
      </c>
      <c r="AM77" s="2">
        <f t="shared" si="38"/>
        <v>0</v>
      </c>
      <c r="AN77" s="2">
        <f t="shared" si="39"/>
        <v>0</v>
      </c>
      <c r="AO77" s="2">
        <f t="shared" si="40"/>
        <v>0</v>
      </c>
    </row>
    <row r="78" spans="1:41" x14ac:dyDescent="0.25">
      <c r="A78" s="22">
        <v>2438</v>
      </c>
      <c r="B78" s="7" t="s">
        <v>45</v>
      </c>
      <c r="C78" s="12">
        <v>45986</v>
      </c>
      <c r="D78" s="7">
        <v>67</v>
      </c>
      <c r="E78" s="7">
        <v>524</v>
      </c>
      <c r="F78" s="7">
        <v>15247</v>
      </c>
      <c r="G78" s="2">
        <f t="shared" si="20"/>
        <v>29.097328244274809</v>
      </c>
      <c r="H78" s="8">
        <v>505</v>
      </c>
      <c r="I78" s="7">
        <v>40878</v>
      </c>
      <c r="J78" s="6">
        <f t="shared" si="43"/>
        <v>3.6259541984732802E-2</v>
      </c>
      <c r="K78" s="8">
        <f t="shared" si="47"/>
        <v>59483.846153846156</v>
      </c>
      <c r="L78" s="8">
        <v>46397.4</v>
      </c>
      <c r="M78" s="11">
        <f t="shared" si="22"/>
        <v>78</v>
      </c>
      <c r="N78" s="2">
        <f t="shared" si="44"/>
        <v>117.7897943640518</v>
      </c>
      <c r="O78" s="2">
        <f t="shared" si="45"/>
        <v>91.876039603960393</v>
      </c>
      <c r="P78" s="2">
        <f t="shared" si="41"/>
        <v>84.421462125660597</v>
      </c>
      <c r="Q78" s="11">
        <f t="shared" si="42"/>
        <v>1082.1675755625556</v>
      </c>
      <c r="R78" s="11">
        <f t="shared" si="46"/>
        <v>145.0114503816794</v>
      </c>
      <c r="S78" s="8">
        <v>109450</v>
      </c>
      <c r="T78" s="2">
        <f t="shared" ref="T78:T85" si="49">S78/I78</f>
        <v>2.6774793287342824</v>
      </c>
      <c r="U78" s="2">
        <f t="shared" ref="U78:U88" si="50">S78/(K78-F78)</f>
        <v>2.4741818080646309</v>
      </c>
      <c r="V78" s="18">
        <v>43691.171999999991</v>
      </c>
      <c r="W78" s="18">
        <v>107425.45999999999</v>
      </c>
      <c r="X78" s="2">
        <f t="shared" si="35"/>
        <v>212.72368316831682</v>
      </c>
      <c r="Y78" s="18"/>
      <c r="Z78" s="18"/>
      <c r="AA78" s="18"/>
      <c r="AB78" s="18"/>
      <c r="AC78" s="18"/>
      <c r="AD78" s="18"/>
      <c r="AE78" s="18"/>
      <c r="AF78" s="18"/>
      <c r="AG78" s="30">
        <f t="shared" si="29"/>
        <v>0.98766471389148247</v>
      </c>
      <c r="AH78" s="22">
        <v>2.42</v>
      </c>
      <c r="AI78" s="30">
        <f t="shared" si="30"/>
        <v>138.95991660494295</v>
      </c>
      <c r="AJ78" s="7"/>
      <c r="AK78" s="2">
        <f t="shared" si="36"/>
        <v>0</v>
      </c>
      <c r="AL78" s="2">
        <f t="shared" si="37"/>
        <v>0</v>
      </c>
      <c r="AM78" s="2">
        <f t="shared" si="38"/>
        <v>0</v>
      </c>
      <c r="AN78" s="2">
        <f t="shared" si="39"/>
        <v>0</v>
      </c>
      <c r="AO78" s="2">
        <f t="shared" si="40"/>
        <v>0</v>
      </c>
    </row>
    <row r="79" spans="1:41" x14ac:dyDescent="0.25">
      <c r="A79" s="22">
        <v>2439</v>
      </c>
      <c r="B79" s="7" t="s">
        <v>46</v>
      </c>
      <c r="C79" s="12">
        <v>45993</v>
      </c>
      <c r="D79" s="7">
        <v>67</v>
      </c>
      <c r="E79" s="7">
        <v>531</v>
      </c>
      <c r="F79" s="7">
        <v>15273</v>
      </c>
      <c r="G79" s="2">
        <f t="shared" si="20"/>
        <v>28.762711864406779</v>
      </c>
      <c r="H79" s="8">
        <v>520</v>
      </c>
      <c r="I79" s="7">
        <v>41732</v>
      </c>
      <c r="J79" s="6">
        <f t="shared" si="43"/>
        <v>2.0715630885122405E-2</v>
      </c>
      <c r="K79" s="8">
        <f t="shared" si="47"/>
        <v>61819.999999999993</v>
      </c>
      <c r="L79" s="8">
        <v>48219.6</v>
      </c>
      <c r="M79" s="11">
        <f t="shared" si="22"/>
        <v>78</v>
      </c>
      <c r="N79" s="2">
        <f t="shared" si="44"/>
        <v>118.88461538461537</v>
      </c>
      <c r="O79" s="2">
        <f t="shared" si="45"/>
        <v>92.73</v>
      </c>
      <c r="P79" s="2">
        <f t="shared" si="41"/>
        <v>87.659133709981148</v>
      </c>
      <c r="Q79" s="11">
        <f t="shared" si="42"/>
        <v>1115.3790855937889</v>
      </c>
      <c r="R79" s="11">
        <f t="shared" ref="R79:R84" si="51">(I79/E79)+D79</f>
        <v>145.59133709981168</v>
      </c>
      <c r="S79" s="8">
        <v>112500</v>
      </c>
      <c r="T79" s="2">
        <f t="shared" si="49"/>
        <v>2.6957730278922649</v>
      </c>
      <c r="U79" s="2">
        <f t="shared" si="50"/>
        <v>2.4169119384707933</v>
      </c>
      <c r="V79" s="18">
        <v>45958.139999999985</v>
      </c>
      <c r="W79" s="18">
        <v>110998.97</v>
      </c>
      <c r="X79" s="2">
        <f t="shared" si="35"/>
        <v>213.4595576923077</v>
      </c>
      <c r="Y79" s="18"/>
      <c r="Z79" s="18"/>
      <c r="AA79" s="18"/>
      <c r="AB79" s="18"/>
      <c r="AC79" s="18"/>
      <c r="AD79" s="18"/>
      <c r="AE79" s="18"/>
      <c r="AF79" s="18"/>
      <c r="AG79" s="30">
        <f t="shared" si="29"/>
        <v>0.98734913098588506</v>
      </c>
      <c r="AH79" s="22">
        <v>2.4500000000000002</v>
      </c>
      <c r="AI79" s="30">
        <f t="shared" si="30"/>
        <v>140.63833050847464</v>
      </c>
      <c r="AJ79" s="7"/>
      <c r="AK79" s="2">
        <f t="shared" si="36"/>
        <v>0</v>
      </c>
      <c r="AL79" s="2">
        <f t="shared" si="37"/>
        <v>0</v>
      </c>
      <c r="AM79" s="2">
        <f t="shared" si="38"/>
        <v>0</v>
      </c>
      <c r="AN79" s="2">
        <f t="shared" si="39"/>
        <v>0</v>
      </c>
      <c r="AO79" s="2">
        <f t="shared" si="40"/>
        <v>0</v>
      </c>
    </row>
    <row r="80" spans="1:41" x14ac:dyDescent="0.25">
      <c r="A80" s="22">
        <v>2440</v>
      </c>
      <c r="B80" s="7" t="s">
        <v>47</v>
      </c>
      <c r="C80" s="12">
        <v>46000</v>
      </c>
      <c r="D80" s="7">
        <v>68</v>
      </c>
      <c r="E80" s="7">
        <v>538</v>
      </c>
      <c r="F80" s="7">
        <v>14930</v>
      </c>
      <c r="G80" s="2">
        <f t="shared" si="20"/>
        <v>27.750929368029741</v>
      </c>
      <c r="H80" s="8">
        <v>528</v>
      </c>
      <c r="I80" s="7">
        <v>42742</v>
      </c>
      <c r="J80" s="6">
        <f t="shared" si="43"/>
        <v>1.8587360594795488E-2</v>
      </c>
      <c r="K80" s="8">
        <f t="shared" si="47"/>
        <v>60544</v>
      </c>
      <c r="L80" s="8">
        <v>47224.32</v>
      </c>
      <c r="M80" s="11">
        <f t="shared" si="22"/>
        <v>78</v>
      </c>
      <c r="N80" s="2">
        <f t="shared" si="44"/>
        <v>114.66666666666667</v>
      </c>
      <c r="O80" s="2">
        <f t="shared" si="45"/>
        <v>89.44</v>
      </c>
      <c r="P80" s="2">
        <f t="shared" si="41"/>
        <v>84.784386617100367</v>
      </c>
      <c r="Q80" s="11">
        <f t="shared" si="42"/>
        <v>1067.1938608394553</v>
      </c>
      <c r="R80" s="11">
        <f t="shared" si="51"/>
        <v>147.4460966542751</v>
      </c>
      <c r="S80" s="8">
        <v>109500</v>
      </c>
      <c r="T80" s="2">
        <f t="shared" si="49"/>
        <v>2.5618829254597353</v>
      </c>
      <c r="U80" s="2">
        <f t="shared" si="50"/>
        <v>2.4005787696759766</v>
      </c>
      <c r="V80" s="18">
        <v>45705.199999999983</v>
      </c>
      <c r="W80" s="18">
        <v>108356.6</v>
      </c>
      <c r="X80" s="2">
        <f t="shared" si="35"/>
        <v>205.22083333333333</v>
      </c>
      <c r="Y80" s="18"/>
      <c r="Z80" s="18"/>
      <c r="AA80" s="18"/>
      <c r="AB80" s="18"/>
      <c r="AC80" s="18"/>
      <c r="AD80" s="18"/>
      <c r="AE80" s="18"/>
      <c r="AF80" s="18"/>
      <c r="AG80" s="30">
        <f t="shared" si="29"/>
        <v>1.0019993861533736</v>
      </c>
      <c r="AH80" s="22">
        <v>2.46</v>
      </c>
      <c r="AI80" s="30">
        <f t="shared" si="30"/>
        <v>135.06849665427512</v>
      </c>
      <c r="AJ80" s="7"/>
      <c r="AK80" s="2">
        <f t="shared" si="36"/>
        <v>0</v>
      </c>
      <c r="AL80" s="2">
        <f t="shared" si="37"/>
        <v>0</v>
      </c>
      <c r="AM80" s="2">
        <f t="shared" si="38"/>
        <v>0</v>
      </c>
      <c r="AN80" s="2">
        <f t="shared" si="39"/>
        <v>0</v>
      </c>
      <c r="AO80" s="2">
        <f t="shared" si="40"/>
        <v>0</v>
      </c>
    </row>
    <row r="81" spans="1:41" x14ac:dyDescent="0.25">
      <c r="A81" s="22">
        <v>2441</v>
      </c>
      <c r="B81" s="7" t="s">
        <v>50</v>
      </c>
      <c r="C81" s="12">
        <v>46007</v>
      </c>
      <c r="D81" s="7">
        <v>67</v>
      </c>
      <c r="E81" s="7">
        <v>542</v>
      </c>
      <c r="F81" s="7">
        <v>14220</v>
      </c>
      <c r="G81" s="2">
        <f t="shared" si="20"/>
        <v>26.236162361623617</v>
      </c>
      <c r="H81" s="8">
        <v>529</v>
      </c>
      <c r="I81" s="7">
        <v>42472</v>
      </c>
      <c r="J81" s="6">
        <f t="shared" si="43"/>
        <v>2.3985239852398532E-2</v>
      </c>
      <c r="K81" s="8">
        <f t="shared" si="47"/>
        <v>60414.743589743586</v>
      </c>
      <c r="L81" s="8">
        <v>47123.5</v>
      </c>
      <c r="M81" s="11">
        <v>78</v>
      </c>
      <c r="N81" s="2">
        <f t="shared" si="44"/>
        <v>114.20556444185934</v>
      </c>
      <c r="O81" s="2">
        <f t="shared" si="45"/>
        <v>89.080340264650289</v>
      </c>
      <c r="P81" s="2">
        <f t="shared" si="41"/>
        <v>85.230154224619156</v>
      </c>
      <c r="Q81" s="11">
        <f t="shared" ref="Q81:Q91" si="52">((K81-F81)/I81)*1000</f>
        <v>1087.6517138289598</v>
      </c>
      <c r="R81" s="11">
        <f t="shared" si="51"/>
        <v>145.36162361623616</v>
      </c>
      <c r="S81" s="8">
        <v>113000</v>
      </c>
      <c r="T81" s="2">
        <f t="shared" si="49"/>
        <v>2.6605763797325297</v>
      </c>
      <c r="U81" s="2">
        <f t="shared" si="50"/>
        <v>2.4461657586749519</v>
      </c>
      <c r="V81" s="18">
        <v>48336.19999999999</v>
      </c>
      <c r="W81" s="18">
        <v>112321.38</v>
      </c>
      <c r="X81" s="2">
        <f t="shared" si="35"/>
        <v>212.3277504725898</v>
      </c>
      <c r="Y81" s="18"/>
      <c r="Z81" s="18"/>
      <c r="AA81" s="18"/>
      <c r="AB81" s="18"/>
      <c r="AC81" s="18"/>
      <c r="AD81" s="18"/>
      <c r="AE81" s="18"/>
      <c r="AF81" s="18"/>
      <c r="AG81" s="30">
        <f t="shared" si="29"/>
        <v>1.046357144641276</v>
      </c>
      <c r="AH81" s="22">
        <v>2.44</v>
      </c>
      <c r="AI81" s="30">
        <f t="shared" si="30"/>
        <v>128.17484943393862</v>
      </c>
      <c r="AJ81" s="7"/>
      <c r="AK81" s="2">
        <f t="shared" si="36"/>
        <v>0</v>
      </c>
      <c r="AL81" s="2">
        <f t="shared" si="37"/>
        <v>0</v>
      </c>
      <c r="AM81" s="2">
        <f t="shared" si="38"/>
        <v>0</v>
      </c>
      <c r="AN81" s="2">
        <f t="shared" si="39"/>
        <v>0</v>
      </c>
      <c r="AO81" s="2">
        <f t="shared" si="40"/>
        <v>0</v>
      </c>
    </row>
    <row r="82" spans="1:41" x14ac:dyDescent="0.25">
      <c r="A82" s="22">
        <v>2442</v>
      </c>
      <c r="B82" s="7" t="s">
        <v>52</v>
      </c>
      <c r="C82" s="12">
        <v>46014</v>
      </c>
      <c r="D82" s="7">
        <v>67</v>
      </c>
      <c r="E82" s="7">
        <v>564</v>
      </c>
      <c r="F82" s="7">
        <v>14685</v>
      </c>
      <c r="G82" s="2">
        <f t="shared" si="20"/>
        <v>26.037234042553191</v>
      </c>
      <c r="H82" s="8">
        <v>556</v>
      </c>
      <c r="I82" s="7">
        <v>44338</v>
      </c>
      <c r="J82" s="6">
        <f t="shared" si="43"/>
        <v>1.4184397163120588E-2</v>
      </c>
      <c r="K82" s="8">
        <f t="shared" si="47"/>
        <v>61388.102564102563</v>
      </c>
      <c r="L82" s="8">
        <v>47882.720000000001</v>
      </c>
      <c r="M82" s="11">
        <f t="shared" si="22"/>
        <v>78</v>
      </c>
      <c r="N82" s="2">
        <f t="shared" si="44"/>
        <v>110.41025641025641</v>
      </c>
      <c r="O82" s="2">
        <f t="shared" si="45"/>
        <v>86.12</v>
      </c>
      <c r="P82" s="2">
        <f t="shared" si="41"/>
        <v>82.806919439898167</v>
      </c>
      <c r="Q82" s="11">
        <f t="shared" si="52"/>
        <v>1053.3425631310065</v>
      </c>
      <c r="R82" s="11">
        <f t="shared" si="51"/>
        <v>145.61347517730496</v>
      </c>
      <c r="S82" s="8">
        <v>111700</v>
      </c>
      <c r="T82" s="2">
        <f t="shared" si="49"/>
        <v>2.5192836844241961</v>
      </c>
      <c r="U82" s="2">
        <f t="shared" si="50"/>
        <v>2.3917040596325618</v>
      </c>
      <c r="V82" s="18">
        <v>47854.635999999999</v>
      </c>
      <c r="W82" s="18">
        <v>110787.34</v>
      </c>
      <c r="X82" s="2">
        <f t="shared" si="35"/>
        <v>199.25780575539568</v>
      </c>
      <c r="Y82" s="18"/>
      <c r="Z82" s="18"/>
      <c r="AA82" s="18"/>
      <c r="AB82" s="18"/>
      <c r="AC82" s="18"/>
      <c r="AD82" s="18"/>
      <c r="AE82" s="18"/>
      <c r="AF82" s="18"/>
      <c r="AG82" s="30">
        <f t="shared" si="29"/>
        <v>1.024656465473935</v>
      </c>
      <c r="AH82" s="22">
        <v>2.44</v>
      </c>
      <c r="AI82" s="30">
        <f t="shared" si="30"/>
        <v>125.28415460992908</v>
      </c>
      <c r="AJ82" s="7"/>
      <c r="AK82" s="2">
        <f t="shared" si="36"/>
        <v>0</v>
      </c>
      <c r="AL82" s="2">
        <f t="shared" si="37"/>
        <v>0</v>
      </c>
      <c r="AM82" s="2">
        <f t="shared" si="38"/>
        <v>0</v>
      </c>
      <c r="AN82" s="2">
        <f t="shared" si="39"/>
        <v>0</v>
      </c>
      <c r="AO82" s="2">
        <f t="shared" si="40"/>
        <v>0</v>
      </c>
    </row>
    <row r="83" spans="1:41" x14ac:dyDescent="0.25">
      <c r="A83" s="22">
        <v>2443</v>
      </c>
      <c r="B83" s="7" t="s">
        <v>87</v>
      </c>
      <c r="C83" s="12">
        <v>46021</v>
      </c>
      <c r="D83" s="7">
        <v>67</v>
      </c>
      <c r="E83" s="7">
        <v>560</v>
      </c>
      <c r="F83" s="7">
        <v>15164</v>
      </c>
      <c r="G83" s="2">
        <f t="shared" si="20"/>
        <v>27.078571428571429</v>
      </c>
      <c r="H83" s="8">
        <v>553</v>
      </c>
      <c r="I83" s="7">
        <v>43770</v>
      </c>
      <c r="J83" s="6">
        <f t="shared" si="43"/>
        <v>1.2499999999999956E-2</v>
      </c>
      <c r="K83" s="8">
        <f t="shared" si="47"/>
        <v>61720.41025641025</v>
      </c>
      <c r="L83" s="8">
        <v>48141.919999999998</v>
      </c>
      <c r="M83" s="11">
        <f t="shared" si="22"/>
        <v>78</v>
      </c>
      <c r="N83" s="2">
        <f t="shared" si="44"/>
        <v>111.61014512913246</v>
      </c>
      <c r="O83" s="2">
        <f t="shared" si="45"/>
        <v>87.055913200723325</v>
      </c>
      <c r="P83" s="2">
        <f t="shared" si="41"/>
        <v>83.136446886446876</v>
      </c>
      <c r="Q83" s="11">
        <f t="shared" si="52"/>
        <v>1063.6602754491716</v>
      </c>
      <c r="R83" s="11">
        <f t="shared" si="51"/>
        <v>145.16071428571428</v>
      </c>
      <c r="S83" s="8">
        <v>111100</v>
      </c>
      <c r="T83" s="2">
        <f t="shared" si="49"/>
        <v>2.5382682202421751</v>
      </c>
      <c r="U83" s="2">
        <f t="shared" si="50"/>
        <v>2.3863523709863967</v>
      </c>
      <c r="V83" s="18">
        <v>48071.01999999999</v>
      </c>
      <c r="W83" s="18">
        <v>110957.75</v>
      </c>
      <c r="X83" s="2">
        <f t="shared" si="35"/>
        <v>200.64692585895116</v>
      </c>
      <c r="Y83" s="18"/>
      <c r="Z83" s="18"/>
      <c r="AA83" s="18"/>
      <c r="AB83" s="18"/>
      <c r="AC83" s="18"/>
      <c r="AD83" s="18"/>
      <c r="AE83" s="18"/>
      <c r="AF83" s="18"/>
      <c r="AG83" s="30">
        <f t="shared" si="29"/>
        <v>1.0325327862532356</v>
      </c>
      <c r="AH83" s="22">
        <v>2.44</v>
      </c>
      <c r="AI83" s="30">
        <f t="shared" si="30"/>
        <v>126.57532106690779</v>
      </c>
      <c r="AJ83" s="7"/>
      <c r="AK83" s="2">
        <f t="shared" si="36"/>
        <v>0</v>
      </c>
      <c r="AL83" s="2">
        <f t="shared" si="37"/>
        <v>0</v>
      </c>
      <c r="AM83" s="2">
        <f t="shared" si="38"/>
        <v>0</v>
      </c>
      <c r="AN83" s="2">
        <f t="shared" si="39"/>
        <v>0</v>
      </c>
      <c r="AO83" s="2">
        <f t="shared" si="40"/>
        <v>0</v>
      </c>
    </row>
    <row r="84" spans="1:41" x14ac:dyDescent="0.25">
      <c r="A84" s="22">
        <v>2444</v>
      </c>
      <c r="B84" s="7" t="s">
        <v>54</v>
      </c>
      <c r="C84" s="12">
        <v>45663</v>
      </c>
      <c r="D84" s="7">
        <v>67</v>
      </c>
      <c r="E84" s="7">
        <v>550</v>
      </c>
      <c r="F84" s="7">
        <v>15345</v>
      </c>
      <c r="G84" s="2">
        <f t="shared" si="20"/>
        <v>27.9</v>
      </c>
      <c r="H84" s="8">
        <v>542</v>
      </c>
      <c r="I84" s="7">
        <v>43377</v>
      </c>
      <c r="J84" s="6">
        <f t="shared" si="43"/>
        <v>1.4545454545454528E-2</v>
      </c>
      <c r="K84" s="8">
        <f t="shared" si="47"/>
        <v>61370.256410256414</v>
      </c>
      <c r="L84" s="8">
        <v>47868.800000000003</v>
      </c>
      <c r="M84" s="11">
        <f t="shared" si="22"/>
        <v>78</v>
      </c>
      <c r="N84" s="2">
        <f t="shared" si="44"/>
        <v>113.22925536947677</v>
      </c>
      <c r="O84" s="2">
        <f t="shared" si="45"/>
        <v>88.318819188191881</v>
      </c>
      <c r="P84" s="2">
        <f t="shared" si="41"/>
        <v>83.682284382284394</v>
      </c>
      <c r="Q84" s="11">
        <f t="shared" si="52"/>
        <v>1061.0520877482631</v>
      </c>
      <c r="R84" s="11">
        <f t="shared" si="51"/>
        <v>145.86727272727273</v>
      </c>
      <c r="S84" s="8">
        <v>109700</v>
      </c>
      <c r="T84" s="2">
        <f t="shared" si="49"/>
        <v>2.5289900177513429</v>
      </c>
      <c r="U84" s="2">
        <f t="shared" si="50"/>
        <v>2.3834739566068794</v>
      </c>
      <c r="V84" s="18">
        <v>47081.990000000005</v>
      </c>
      <c r="W84" s="18">
        <v>108836</v>
      </c>
      <c r="X84" s="2">
        <f t="shared" si="35"/>
        <v>200.80442804428046</v>
      </c>
      <c r="Y84" s="18"/>
      <c r="Z84" s="18"/>
      <c r="AA84" s="18"/>
      <c r="AB84" s="18"/>
      <c r="AC84" s="18"/>
      <c r="AD84" s="18"/>
      <c r="AE84" s="18"/>
      <c r="AF84" s="18"/>
      <c r="AG84" s="30">
        <f t="shared" si="29"/>
        <v>1.0229598631743442</v>
      </c>
      <c r="AH84" s="22">
        <v>2.4500000000000002</v>
      </c>
      <c r="AI84" s="30">
        <f t="shared" si="30"/>
        <v>130.77748882925192</v>
      </c>
      <c r="AJ84" s="7"/>
      <c r="AK84" s="2">
        <f t="shared" si="36"/>
        <v>0</v>
      </c>
      <c r="AL84" s="2">
        <f t="shared" si="37"/>
        <v>0</v>
      </c>
      <c r="AM84" s="2">
        <f t="shared" si="38"/>
        <v>0</v>
      </c>
      <c r="AN84" s="2">
        <f t="shared" si="39"/>
        <v>0</v>
      </c>
      <c r="AO84" s="2">
        <f t="shared" si="40"/>
        <v>0</v>
      </c>
    </row>
    <row r="85" spans="1:41" x14ac:dyDescent="0.25">
      <c r="A85" s="22">
        <v>2445</v>
      </c>
      <c r="B85" s="7" t="s">
        <v>55</v>
      </c>
      <c r="C85" s="12">
        <v>45670</v>
      </c>
      <c r="D85" s="7">
        <v>67</v>
      </c>
      <c r="E85" s="7">
        <v>515</v>
      </c>
      <c r="F85" s="7">
        <v>14575</v>
      </c>
      <c r="G85" s="2">
        <f t="shared" si="20"/>
        <v>28.300970873786408</v>
      </c>
      <c r="H85" s="8">
        <v>508</v>
      </c>
      <c r="I85" s="7">
        <v>40964</v>
      </c>
      <c r="J85" s="6">
        <f t="shared" si="43"/>
        <v>1.3592233009708687E-2</v>
      </c>
      <c r="K85" s="8">
        <f t="shared" si="47"/>
        <v>58055.282051282054</v>
      </c>
      <c r="L85" s="8">
        <v>45283.12</v>
      </c>
      <c r="M85" s="11">
        <f t="shared" si="22"/>
        <v>78</v>
      </c>
      <c r="N85" s="2">
        <f t="shared" si="44"/>
        <v>114.28205128205128</v>
      </c>
      <c r="O85" s="2">
        <f t="shared" si="45"/>
        <v>89.14</v>
      </c>
      <c r="P85" s="2">
        <f t="shared" si="41"/>
        <v>84.427732138411756</v>
      </c>
      <c r="Q85" s="11">
        <f t="shared" si="52"/>
        <v>1061.4266685695256</v>
      </c>
      <c r="R85" s="11">
        <f>(I85/E85)+D85</f>
        <v>146.54174757281555</v>
      </c>
      <c r="S85" s="8">
        <v>104000</v>
      </c>
      <c r="T85" s="2">
        <f t="shared" si="49"/>
        <v>2.538814568889757</v>
      </c>
      <c r="U85" s="2">
        <f t="shared" si="50"/>
        <v>2.3918888078356768</v>
      </c>
      <c r="V85" s="18">
        <v>45069.140000000014</v>
      </c>
      <c r="W85" s="18">
        <v>103289.05</v>
      </c>
      <c r="X85" s="2">
        <f t="shared" si="35"/>
        <v>203.32490157480316</v>
      </c>
      <c r="Y85" s="18"/>
      <c r="Z85" s="18"/>
      <c r="AA85" s="18"/>
      <c r="AB85" s="18"/>
      <c r="AC85" s="18"/>
      <c r="AD85" s="18"/>
      <c r="AE85" s="18"/>
      <c r="AF85" s="18"/>
      <c r="AG85" s="30">
        <f t="shared" si="29"/>
        <v>1.0365420340844158</v>
      </c>
      <c r="AH85" s="22">
        <v>2.44</v>
      </c>
      <c r="AI85" s="30">
        <f t="shared" si="30"/>
        <v>129.98870679611647</v>
      </c>
      <c r="AJ85" s="7"/>
      <c r="AK85" s="2">
        <f t="shared" si="36"/>
        <v>0</v>
      </c>
      <c r="AL85" s="2">
        <f t="shared" si="37"/>
        <v>0</v>
      </c>
      <c r="AM85" s="2">
        <f t="shared" si="38"/>
        <v>0</v>
      </c>
      <c r="AN85" s="2">
        <f t="shared" si="39"/>
        <v>0</v>
      </c>
      <c r="AO85" s="2">
        <f t="shared" si="40"/>
        <v>0</v>
      </c>
    </row>
    <row r="86" spans="1:41" x14ac:dyDescent="0.25">
      <c r="A86" s="22">
        <v>2446</v>
      </c>
      <c r="B86" s="7" t="s">
        <v>41</v>
      </c>
      <c r="C86" s="12">
        <v>45677</v>
      </c>
      <c r="D86" s="7">
        <v>67</v>
      </c>
      <c r="E86" s="7">
        <v>552</v>
      </c>
      <c r="F86" s="7">
        <v>15227</v>
      </c>
      <c r="G86" s="2">
        <f t="shared" si="20"/>
        <v>27.585144927536231</v>
      </c>
      <c r="H86" s="8">
        <v>541</v>
      </c>
      <c r="I86" s="7">
        <v>43401</v>
      </c>
      <c r="J86" s="6">
        <f t="shared" si="43"/>
        <v>1.9927536231884035E-2</v>
      </c>
      <c r="K86" s="8">
        <f t="shared" si="47"/>
        <v>59356.410256410258</v>
      </c>
      <c r="L86" s="8">
        <v>46298</v>
      </c>
      <c r="M86" s="11">
        <f t="shared" si="22"/>
        <v>78</v>
      </c>
      <c r="N86" s="2">
        <f t="shared" si="44"/>
        <v>109.71610028911323</v>
      </c>
      <c r="O86" s="2">
        <f t="shared" si="45"/>
        <v>85.578558225508317</v>
      </c>
      <c r="P86" s="2">
        <f t="shared" si="41"/>
        <v>79.944583797844672</v>
      </c>
      <c r="Q86" s="11">
        <f t="shared" si="52"/>
        <v>1016.7832597500117</v>
      </c>
      <c r="R86" s="11">
        <f>(I86/E86)+D86</f>
        <v>145.625</v>
      </c>
      <c r="S86" s="8">
        <v>108100</v>
      </c>
      <c r="T86" s="2">
        <f t="shared" ref="T86:T96" si="53">S86/I86</f>
        <v>2.4907260201377848</v>
      </c>
      <c r="U86" s="2">
        <f t="shared" si="50"/>
        <v>2.4496135201420994</v>
      </c>
      <c r="V86" s="18">
        <v>46709.630000000012</v>
      </c>
      <c r="W86" s="18">
        <v>106579.56999999999</v>
      </c>
      <c r="X86" s="2">
        <f t="shared" si="35"/>
        <v>197.00475046210718</v>
      </c>
      <c r="Y86" s="18"/>
      <c r="Z86" s="18"/>
      <c r="AA86" s="18"/>
      <c r="AB86" s="18"/>
      <c r="AC86" s="18"/>
      <c r="AD86" s="18"/>
      <c r="AE86" s="18"/>
      <c r="AF86" s="18"/>
      <c r="AG86" s="30">
        <f t="shared" si="29"/>
        <v>1.0584693910160503</v>
      </c>
      <c r="AH86" s="22">
        <v>2.46</v>
      </c>
      <c r="AI86" s="30">
        <f t="shared" si="30"/>
        <v>125.90435830721421</v>
      </c>
      <c r="AJ86" s="7"/>
      <c r="AK86" s="2">
        <f t="shared" si="36"/>
        <v>0</v>
      </c>
      <c r="AL86" s="2">
        <f t="shared" si="37"/>
        <v>0</v>
      </c>
      <c r="AM86" s="2">
        <f t="shared" si="38"/>
        <v>0</v>
      </c>
      <c r="AN86" s="2">
        <f t="shared" si="39"/>
        <v>0</v>
      </c>
      <c r="AO86" s="2">
        <f t="shared" si="40"/>
        <v>0</v>
      </c>
    </row>
    <row r="87" spans="1:41" x14ac:dyDescent="0.25">
      <c r="A87" s="22">
        <v>2447</v>
      </c>
      <c r="B87" s="7" t="s">
        <v>42</v>
      </c>
      <c r="C87" s="12">
        <v>45684</v>
      </c>
      <c r="D87" s="7">
        <v>67</v>
      </c>
      <c r="E87" s="7">
        <v>507</v>
      </c>
      <c r="F87" s="7">
        <v>14051</v>
      </c>
      <c r="G87" s="2">
        <f t="shared" si="20"/>
        <v>27.714003944773175</v>
      </c>
      <c r="H87" s="8">
        <v>499</v>
      </c>
      <c r="I87" s="7">
        <v>39906</v>
      </c>
      <c r="J87" s="6">
        <f t="shared" si="43"/>
        <v>1.5779092702169595E-2</v>
      </c>
      <c r="K87" s="8">
        <f t="shared" si="47"/>
        <v>57237.230769230766</v>
      </c>
      <c r="L87" s="8">
        <v>44645.04</v>
      </c>
      <c r="M87" s="11">
        <f>(L87/K87)*100</f>
        <v>78</v>
      </c>
      <c r="N87" s="2">
        <f t="shared" si="44"/>
        <v>114.70386927701556</v>
      </c>
      <c r="O87" s="2">
        <f t="shared" si="45"/>
        <v>89.469018036072143</v>
      </c>
      <c r="P87" s="2">
        <f>(K87-F87)/E87</f>
        <v>85.179942345622806</v>
      </c>
      <c r="Q87" s="11">
        <f t="shared" si="52"/>
        <v>1082.1989367320896</v>
      </c>
      <c r="R87" s="11">
        <f>(I87/E87)+D87</f>
        <v>145.71005917159763</v>
      </c>
      <c r="S87" s="8">
        <v>103500</v>
      </c>
      <c r="T87" s="2">
        <f t="shared" si="53"/>
        <v>2.5935949481281009</v>
      </c>
      <c r="U87" s="2">
        <f t="shared" si="50"/>
        <v>2.3965972060183001</v>
      </c>
      <c r="V87" s="18">
        <v>44969.950000000004</v>
      </c>
      <c r="W87" s="18">
        <v>102424.75</v>
      </c>
      <c r="X87" s="2">
        <f t="shared" si="35"/>
        <v>205.26002004008015</v>
      </c>
      <c r="Y87" s="18"/>
      <c r="Z87" s="18"/>
      <c r="AA87" s="18"/>
      <c r="AB87" s="18"/>
      <c r="AC87" s="18"/>
      <c r="AD87" s="18"/>
      <c r="AE87" s="18"/>
      <c r="AF87" s="18"/>
      <c r="AG87" s="30">
        <f t="shared" si="29"/>
        <v>1.041302961592103</v>
      </c>
      <c r="AH87" s="22">
        <v>2.46</v>
      </c>
      <c r="AI87" s="30">
        <f t="shared" si="30"/>
        <v>131.39565813599586</v>
      </c>
      <c r="AJ87" s="7"/>
      <c r="AK87" s="2">
        <f t="shared" si="36"/>
        <v>0</v>
      </c>
      <c r="AL87" s="2">
        <f t="shared" si="37"/>
        <v>0</v>
      </c>
      <c r="AM87" s="2">
        <f t="shared" si="38"/>
        <v>0</v>
      </c>
      <c r="AN87" s="2">
        <f t="shared" si="39"/>
        <v>0</v>
      </c>
      <c r="AO87" s="2">
        <f t="shared" si="40"/>
        <v>0</v>
      </c>
    </row>
    <row r="88" spans="1:41" x14ac:dyDescent="0.25">
      <c r="A88" s="22">
        <v>2448</v>
      </c>
      <c r="B88" s="7" t="s">
        <v>43</v>
      </c>
      <c r="C88" s="12">
        <v>45691</v>
      </c>
      <c r="D88" s="7">
        <v>67</v>
      </c>
      <c r="E88" s="7">
        <v>537</v>
      </c>
      <c r="F88" s="7">
        <v>14205</v>
      </c>
      <c r="G88" s="2">
        <f t="shared" si="20"/>
        <v>26.452513966480446</v>
      </c>
      <c r="H88" s="8">
        <v>527</v>
      </c>
      <c r="I88" s="7">
        <v>46342</v>
      </c>
      <c r="J88" s="6">
        <f t="shared" si="43"/>
        <v>1.8621973929236479E-2</v>
      </c>
      <c r="K88" s="8">
        <f t="shared" si="47"/>
        <v>58429.435897435891</v>
      </c>
      <c r="L88" s="8">
        <v>45574.96</v>
      </c>
      <c r="M88" s="11">
        <f t="shared" ref="M88:M91" si="54">(L88/K88)*100</f>
        <v>78</v>
      </c>
      <c r="N88" s="2">
        <f t="shared" si="44"/>
        <v>110.87179487179486</v>
      </c>
      <c r="O88" s="2">
        <f t="shared" si="45"/>
        <v>86.48</v>
      </c>
      <c r="P88" s="2">
        <f t="shared" ref="P88:P91" si="55">(K88-F88)/E88</f>
        <v>82.354629231724189</v>
      </c>
      <c r="Q88" s="11">
        <f t="shared" si="52"/>
        <v>954.30572477311921</v>
      </c>
      <c r="R88" s="11">
        <f t="shared" ref="R88:R91" si="56">(I88/E88)+D88</f>
        <v>153.29795158286777</v>
      </c>
      <c r="S88" s="8">
        <v>106200</v>
      </c>
      <c r="T88" s="2">
        <f t="shared" si="53"/>
        <v>2.2916576755427043</v>
      </c>
      <c r="U88" s="2">
        <f t="shared" si="50"/>
        <v>2.4013873290842227</v>
      </c>
      <c r="V88" s="18">
        <v>47082.48000000001</v>
      </c>
      <c r="W88" s="18">
        <v>105103.99</v>
      </c>
      <c r="X88" s="2">
        <f t="shared" si="35"/>
        <v>199.43831119544592</v>
      </c>
      <c r="Y88" s="18"/>
      <c r="Z88" s="18"/>
      <c r="AA88" s="18"/>
      <c r="AB88" s="18"/>
      <c r="AC88" s="18"/>
      <c r="AD88" s="18"/>
      <c r="AE88" s="18"/>
      <c r="AF88" s="18"/>
      <c r="AG88" s="30">
        <f t="shared" ref="AG88:AG91" si="57">V88/(K88-F88)</f>
        <v>1.0646259029553802</v>
      </c>
      <c r="AH88" s="22">
        <v>2.46</v>
      </c>
      <c r="AI88" s="30">
        <f t="shared" ref="AI88:AI102" si="58">(AH88*O88)-(AG88*P88)</f>
        <v>125.06392849162009</v>
      </c>
      <c r="AJ88" s="7" t="s">
        <v>89</v>
      </c>
      <c r="AK88" s="2">
        <f t="shared" si="36"/>
        <v>0</v>
      </c>
      <c r="AL88" s="2">
        <f t="shared" si="37"/>
        <v>0</v>
      </c>
      <c r="AM88" s="2">
        <f t="shared" si="38"/>
        <v>0</v>
      </c>
      <c r="AN88" s="2">
        <f t="shared" si="39"/>
        <v>0</v>
      </c>
      <c r="AO88" s="2">
        <f t="shared" si="40"/>
        <v>0</v>
      </c>
    </row>
    <row r="89" spans="1:41" x14ac:dyDescent="0.25">
      <c r="A89" s="22">
        <v>2449</v>
      </c>
      <c r="B89" s="7" t="s">
        <v>44</v>
      </c>
      <c r="C89" s="12">
        <v>45698</v>
      </c>
      <c r="D89" s="7">
        <v>67</v>
      </c>
      <c r="E89" s="7">
        <v>564</v>
      </c>
      <c r="F89" s="7">
        <v>14597</v>
      </c>
      <c r="G89" s="2">
        <f t="shared" si="20"/>
        <v>25.881205673758867</v>
      </c>
      <c r="H89" s="8">
        <v>552</v>
      </c>
      <c r="I89" s="7">
        <v>44220</v>
      </c>
      <c r="J89" s="6">
        <f t="shared" si="43"/>
        <v>2.1276595744680882E-2</v>
      </c>
      <c r="K89" s="8">
        <f t="shared" si="47"/>
        <v>61201.230769230766</v>
      </c>
      <c r="L89" s="8">
        <v>47736.959999999999</v>
      </c>
      <c r="M89" s="11">
        <f t="shared" si="54"/>
        <v>78</v>
      </c>
      <c r="N89" s="2">
        <f t="shared" si="44"/>
        <v>110.87179487179486</v>
      </c>
      <c r="O89" s="2">
        <f t="shared" si="45"/>
        <v>86.48</v>
      </c>
      <c r="P89" s="2">
        <f t="shared" si="55"/>
        <v>82.631614839061641</v>
      </c>
      <c r="Q89" s="11">
        <f t="shared" si="52"/>
        <v>1053.9174755592667</v>
      </c>
      <c r="R89" s="11">
        <f t="shared" si="56"/>
        <v>145.40425531914894</v>
      </c>
      <c r="S89" s="8">
        <v>112800</v>
      </c>
      <c r="T89" s="2">
        <f t="shared" si="53"/>
        <v>2.5508819538670284</v>
      </c>
      <c r="U89" s="2">
        <f t="shared" ref="U89:U104" si="59">S89/(K89-F89)</f>
        <v>2.4203811142930243</v>
      </c>
      <c r="V89" s="18">
        <v>47387.87</v>
      </c>
      <c r="W89" s="18">
        <v>111416.38</v>
      </c>
      <c r="X89" s="2">
        <f t="shared" si="35"/>
        <v>201.84126811594203</v>
      </c>
      <c r="Y89" s="18"/>
      <c r="Z89" s="18"/>
      <c r="AA89" s="18"/>
      <c r="AB89" s="18"/>
      <c r="AC89" s="18"/>
      <c r="AD89" s="18"/>
      <c r="AE89" s="18"/>
      <c r="AF89" s="18"/>
      <c r="AG89" s="30">
        <f t="shared" si="57"/>
        <v>1.0168147659093349</v>
      </c>
      <c r="AH89" s="22">
        <v>2.46</v>
      </c>
      <c r="AI89" s="30">
        <f t="shared" si="58"/>
        <v>128.71975390070924</v>
      </c>
      <c r="AJ89" s="7"/>
      <c r="AK89" s="2">
        <f t="shared" si="36"/>
        <v>0</v>
      </c>
      <c r="AL89" s="2">
        <f t="shared" si="37"/>
        <v>0</v>
      </c>
      <c r="AM89" s="2">
        <f t="shared" si="38"/>
        <v>0</v>
      </c>
      <c r="AN89" s="2">
        <f t="shared" si="39"/>
        <v>0</v>
      </c>
      <c r="AO89" s="2">
        <f t="shared" si="40"/>
        <v>0</v>
      </c>
    </row>
    <row r="90" spans="1:41" x14ac:dyDescent="0.25">
      <c r="A90" s="22">
        <v>2450</v>
      </c>
      <c r="B90" s="7" t="s">
        <v>45</v>
      </c>
      <c r="C90" s="12">
        <v>45705</v>
      </c>
      <c r="D90" s="7">
        <v>67</v>
      </c>
      <c r="E90" s="7">
        <v>528</v>
      </c>
      <c r="F90" s="7">
        <v>13470</v>
      </c>
      <c r="G90" s="2">
        <f t="shared" si="20"/>
        <v>25.511363636363637</v>
      </c>
      <c r="H90" s="8">
        <v>521</v>
      </c>
      <c r="I90" s="7">
        <v>41446</v>
      </c>
      <c r="J90" s="6">
        <f t="shared" si="43"/>
        <v>1.3257575757575801E-2</v>
      </c>
      <c r="K90" s="8">
        <f t="shared" si="47"/>
        <v>55947.38461538461</v>
      </c>
      <c r="L90" s="8">
        <v>43638.96</v>
      </c>
      <c r="M90" s="11">
        <f t="shared" si="54"/>
        <v>78</v>
      </c>
      <c r="N90" s="2">
        <f t="shared" si="44"/>
        <v>107.38461538461537</v>
      </c>
      <c r="O90" s="2">
        <f t="shared" si="45"/>
        <v>83.76</v>
      </c>
      <c r="P90" s="2">
        <f t="shared" si="55"/>
        <v>80.449592074592061</v>
      </c>
      <c r="Q90" s="11">
        <f t="shared" si="52"/>
        <v>1024.8850218449213</v>
      </c>
      <c r="R90" s="11">
        <f t="shared" si="56"/>
        <v>145.49621212121212</v>
      </c>
      <c r="S90" s="8">
        <v>101200</v>
      </c>
      <c r="T90" s="2">
        <f t="shared" si="53"/>
        <v>2.4417314095449503</v>
      </c>
      <c r="U90" s="2">
        <f t="shared" si="59"/>
        <v>2.3824442327682065</v>
      </c>
      <c r="V90" s="18">
        <v>43577.3</v>
      </c>
      <c r="W90" s="18">
        <v>100574.88</v>
      </c>
      <c r="X90" s="2">
        <f t="shared" si="35"/>
        <v>193.04199616122841</v>
      </c>
      <c r="Y90" s="18"/>
      <c r="Z90" s="18"/>
      <c r="AA90" s="18"/>
      <c r="AB90" s="18"/>
      <c r="AC90" s="18"/>
      <c r="AD90" s="18"/>
      <c r="AE90" s="18"/>
      <c r="AF90" s="18"/>
      <c r="AG90" s="30">
        <f t="shared" si="57"/>
        <v>1.025894140954644</v>
      </c>
      <c r="AH90" s="22">
        <v>2.46</v>
      </c>
      <c r="AI90" s="30">
        <f t="shared" si="58"/>
        <v>123.51683484848483</v>
      </c>
      <c r="AJ90" s="7"/>
      <c r="AK90" s="2">
        <f t="shared" si="36"/>
        <v>0</v>
      </c>
      <c r="AL90" s="2">
        <f t="shared" si="37"/>
        <v>0</v>
      </c>
      <c r="AM90" s="2">
        <f t="shared" si="38"/>
        <v>0</v>
      </c>
      <c r="AN90" s="2">
        <f t="shared" si="39"/>
        <v>0</v>
      </c>
      <c r="AO90" s="2">
        <f t="shared" si="40"/>
        <v>0</v>
      </c>
    </row>
    <row r="91" spans="1:41" x14ac:dyDescent="0.25">
      <c r="A91" s="22">
        <v>2451</v>
      </c>
      <c r="B91" s="7" t="s">
        <v>46</v>
      </c>
      <c r="C91" s="12">
        <v>45712</v>
      </c>
      <c r="D91" s="7">
        <v>67</v>
      </c>
      <c r="E91" s="7">
        <v>488</v>
      </c>
      <c r="F91" s="7">
        <v>12858</v>
      </c>
      <c r="G91" s="2">
        <f t="shared" si="20"/>
        <v>26.348360655737704</v>
      </c>
      <c r="H91" s="8">
        <v>482</v>
      </c>
      <c r="I91" s="7">
        <v>38385</v>
      </c>
      <c r="J91" s="6">
        <f t="shared" si="43"/>
        <v>1.2295081967213073E-2</v>
      </c>
      <c r="K91" s="8">
        <f t="shared" si="47"/>
        <v>55170.461538461539</v>
      </c>
      <c r="L91" s="8">
        <v>43032.959999999999</v>
      </c>
      <c r="M91" s="11">
        <f t="shared" si="54"/>
        <v>78</v>
      </c>
      <c r="N91" s="2">
        <f t="shared" si="44"/>
        <v>114.46153846153847</v>
      </c>
      <c r="O91" s="2">
        <f t="shared" si="45"/>
        <v>89.28</v>
      </c>
      <c r="P91" s="2">
        <f t="shared" si="55"/>
        <v>86.705863808322832</v>
      </c>
      <c r="Q91" s="11">
        <f t="shared" si="52"/>
        <v>1102.3176120479754</v>
      </c>
      <c r="R91" s="11">
        <f t="shared" si="56"/>
        <v>145.65778688524591</v>
      </c>
      <c r="S91" s="8">
        <v>101650</v>
      </c>
      <c r="T91" s="2">
        <f t="shared" si="53"/>
        <v>2.6481698580174546</v>
      </c>
      <c r="U91" s="2">
        <f t="shared" si="59"/>
        <v>2.4023655515196469</v>
      </c>
      <c r="V91" s="18">
        <v>44449.014999999999</v>
      </c>
      <c r="W91" s="18">
        <v>100952.78</v>
      </c>
      <c r="X91" s="2">
        <f t="shared" si="35"/>
        <v>209.44560165975105</v>
      </c>
      <c r="Y91" s="18"/>
      <c r="Z91" s="18"/>
      <c r="AA91" s="18"/>
      <c r="AB91" s="18"/>
      <c r="AC91" s="18"/>
      <c r="AD91" s="18"/>
      <c r="AE91" s="18"/>
      <c r="AF91" s="18"/>
      <c r="AG91" s="18">
        <f t="shared" si="57"/>
        <v>1.0504946624198725</v>
      </c>
      <c r="AH91" s="7">
        <v>2.46</v>
      </c>
      <c r="AI91" s="18">
        <f t="shared" si="58"/>
        <v>128.54475286885247</v>
      </c>
      <c r="AJ91" s="7"/>
      <c r="AK91" s="2">
        <f t="shared" si="36"/>
        <v>0</v>
      </c>
      <c r="AL91" s="2">
        <f t="shared" si="37"/>
        <v>0</v>
      </c>
      <c r="AM91" s="2">
        <f t="shared" si="38"/>
        <v>0</v>
      </c>
      <c r="AN91" s="2">
        <f t="shared" si="39"/>
        <v>0</v>
      </c>
      <c r="AO91" s="2">
        <f t="shared" si="40"/>
        <v>0</v>
      </c>
    </row>
    <row r="92" spans="1:41" x14ac:dyDescent="0.25">
      <c r="A92" s="22">
        <v>2452</v>
      </c>
      <c r="B92" s="7" t="s">
        <v>47</v>
      </c>
      <c r="C92" s="12">
        <v>45719</v>
      </c>
      <c r="D92" s="7">
        <v>67</v>
      </c>
      <c r="E92" s="7">
        <v>484</v>
      </c>
      <c r="F92" s="7">
        <v>13112</v>
      </c>
      <c r="G92" s="2">
        <f t="shared" ref="G92:G155" si="60">F92/E92</f>
        <v>27.09090909090909</v>
      </c>
      <c r="H92" s="8">
        <v>478</v>
      </c>
      <c r="I92" s="7">
        <v>37985</v>
      </c>
      <c r="J92" s="6">
        <f t="shared" si="43"/>
        <v>1.2396694214875992E-2</v>
      </c>
      <c r="K92" s="8">
        <f t="shared" si="47"/>
        <v>55644.102564102563</v>
      </c>
      <c r="L92" s="8">
        <v>43402.400000000001</v>
      </c>
      <c r="M92" s="11">
        <f t="shared" ref="M92:M155" si="61">(L92/K92)*100</f>
        <v>78</v>
      </c>
      <c r="N92" s="2">
        <f t="shared" ref="N92:N155" si="62">K92/H92</f>
        <v>116.41025641025641</v>
      </c>
      <c r="O92" s="2">
        <f>L92/H92</f>
        <v>90.8</v>
      </c>
      <c r="P92" s="2">
        <f t="shared" ref="P92:P155" si="63">(K92-F92)/E92</f>
        <v>87.876244967154051</v>
      </c>
      <c r="Q92" s="11">
        <f t="shared" ref="Q92:Q155" si="64">((K92-F92)/I92)*1000</f>
        <v>1119.7078468896291</v>
      </c>
      <c r="R92" s="11">
        <f t="shared" ref="R92:R155" si="65">(I92/E92)+D92</f>
        <v>145.48140495867767</v>
      </c>
      <c r="S92" s="8">
        <v>101650</v>
      </c>
      <c r="T92" s="2">
        <f t="shared" si="53"/>
        <v>2.676056338028169</v>
      </c>
      <c r="U92" s="2">
        <f t="shared" si="59"/>
        <v>2.3899594393857551</v>
      </c>
      <c r="V92" s="18">
        <v>45851.11500000002</v>
      </c>
      <c r="W92" s="18">
        <v>100695.11</v>
      </c>
      <c r="X92" s="2">
        <f t="shared" ref="X92:X142" si="66">W92/H92</f>
        <v>210.65922594142259</v>
      </c>
      <c r="Y92" s="18"/>
      <c r="Z92" s="18"/>
      <c r="AA92" s="18"/>
      <c r="AB92" s="18"/>
      <c r="AC92" s="18"/>
      <c r="AD92" s="18"/>
      <c r="AE92" s="18"/>
      <c r="AF92" s="18"/>
      <c r="AG92" s="18">
        <f t="shared" ref="AG92:AG155" si="67">V92/(K92-F92)</f>
        <v>1.078035465820087</v>
      </c>
      <c r="AH92" s="7">
        <v>2.46</v>
      </c>
      <c r="AI92" s="18">
        <f t="shared" ref="AI92" si="68">(AH92*O92)-(AG92*P92)</f>
        <v>128.634291322314</v>
      </c>
      <c r="AJ92" s="7"/>
      <c r="AK92" s="2">
        <f t="shared" si="36"/>
        <v>0</v>
      </c>
      <c r="AL92" s="2">
        <f t="shared" si="37"/>
        <v>0</v>
      </c>
      <c r="AM92" s="2">
        <f t="shared" si="38"/>
        <v>0</v>
      </c>
      <c r="AN92" s="2">
        <f t="shared" si="39"/>
        <v>0</v>
      </c>
      <c r="AO92" s="2">
        <f t="shared" si="40"/>
        <v>0</v>
      </c>
    </row>
    <row r="93" spans="1:41" x14ac:dyDescent="0.25">
      <c r="A93" s="22">
        <v>2501</v>
      </c>
      <c r="B93" s="7" t="s">
        <v>50</v>
      </c>
      <c r="C93" s="12">
        <v>45726</v>
      </c>
      <c r="D93" s="7">
        <v>67</v>
      </c>
      <c r="E93" s="7">
        <v>623</v>
      </c>
      <c r="F93" s="7">
        <v>16328</v>
      </c>
      <c r="G93" s="2">
        <f t="shared" si="60"/>
        <v>26.208667736757626</v>
      </c>
      <c r="H93" s="8">
        <v>612</v>
      </c>
      <c r="I93" s="7">
        <v>48767</v>
      </c>
      <c r="J93" s="6">
        <f t="shared" si="43"/>
        <v>1.7656500802568198E-2</v>
      </c>
      <c r="K93" s="8">
        <f t="shared" si="47"/>
        <v>69979.717948717953</v>
      </c>
      <c r="L93" s="8">
        <v>54584.18</v>
      </c>
      <c r="M93" s="11">
        <f t="shared" si="61"/>
        <v>77.999999999999986</v>
      </c>
      <c r="N93" s="2">
        <f t="shared" si="62"/>
        <v>114.34594436065025</v>
      </c>
      <c r="O93" s="2">
        <f t="shared" ref="O93:O155" si="69">L93/H93</f>
        <v>89.189836601307192</v>
      </c>
      <c r="P93" s="2">
        <f t="shared" si="63"/>
        <v>86.118327365518383</v>
      </c>
      <c r="Q93" s="11">
        <f t="shared" si="64"/>
        <v>1100.1644134090257</v>
      </c>
      <c r="R93" s="11">
        <f t="shared" si="65"/>
        <v>145.27768860353132</v>
      </c>
      <c r="S93" s="8">
        <v>130000</v>
      </c>
      <c r="T93" s="2">
        <f t="shared" si="53"/>
        <v>2.6657370763015975</v>
      </c>
      <c r="U93" s="2">
        <f t="shared" si="59"/>
        <v>2.4230351789342182</v>
      </c>
      <c r="V93" s="18">
        <v>55695.850000000006</v>
      </c>
      <c r="W93" s="18">
        <v>129104.56999999999</v>
      </c>
      <c r="X93" s="2">
        <f t="shared" si="66"/>
        <v>210.95517973856207</v>
      </c>
      <c r="Y93" s="18"/>
      <c r="Z93" s="18"/>
      <c r="AA93" s="18"/>
      <c r="AB93" s="18"/>
      <c r="AC93" s="18"/>
      <c r="AD93" s="18"/>
      <c r="AE93" s="18"/>
      <c r="AF93" s="18"/>
      <c r="AG93" s="18">
        <f t="shared" si="67"/>
        <v>1.0381000297741798</v>
      </c>
      <c r="AH93" s="7">
        <v>2.46</v>
      </c>
      <c r="AI93" s="18">
        <f t="shared" si="58"/>
        <v>130.00755983696848</v>
      </c>
      <c r="AJ93" s="7"/>
      <c r="AK93" s="2">
        <f t="shared" si="36"/>
        <v>0</v>
      </c>
      <c r="AL93" s="2">
        <f t="shared" si="37"/>
        <v>0</v>
      </c>
      <c r="AM93" s="2">
        <f t="shared" si="38"/>
        <v>0</v>
      </c>
      <c r="AN93" s="2">
        <f t="shared" si="39"/>
        <v>0</v>
      </c>
      <c r="AO93" s="2">
        <f t="shared" si="40"/>
        <v>0</v>
      </c>
    </row>
    <row r="94" spans="1:41" x14ac:dyDescent="0.25">
      <c r="A94" s="22">
        <v>2502</v>
      </c>
      <c r="B94" s="7" t="s">
        <v>52</v>
      </c>
      <c r="C94" s="12">
        <v>45733</v>
      </c>
      <c r="D94" s="7">
        <v>68</v>
      </c>
      <c r="E94" s="7">
        <v>532</v>
      </c>
      <c r="F94" s="7">
        <v>14799</v>
      </c>
      <c r="G94" s="2">
        <f t="shared" si="60"/>
        <v>27.81766917293233</v>
      </c>
      <c r="H94" s="8">
        <v>523</v>
      </c>
      <c r="I94" s="7">
        <v>41852</v>
      </c>
      <c r="J94" s="6">
        <f t="shared" si="43"/>
        <v>1.6917293233082664E-2</v>
      </c>
      <c r="K94" s="8">
        <f t="shared" si="47"/>
        <v>61412.269230769227</v>
      </c>
      <c r="L94" s="8">
        <v>47901.57</v>
      </c>
      <c r="M94" s="11">
        <f t="shared" si="61"/>
        <v>78</v>
      </c>
      <c r="N94" s="2">
        <f t="shared" si="62"/>
        <v>117.42307692307692</v>
      </c>
      <c r="O94" s="2">
        <f t="shared" si="69"/>
        <v>91.59</v>
      </c>
      <c r="P94" s="2">
        <f t="shared" si="63"/>
        <v>87.618927125506062</v>
      </c>
      <c r="Q94" s="11">
        <f t="shared" si="64"/>
        <v>1113.7644373212565</v>
      </c>
      <c r="R94" s="11">
        <f t="shared" si="65"/>
        <v>146.66917293233081</v>
      </c>
      <c r="S94" s="8">
        <v>111750</v>
      </c>
      <c r="T94" s="2">
        <f t="shared" si="53"/>
        <v>2.6701232915989679</v>
      </c>
      <c r="U94" s="2">
        <f t="shared" si="59"/>
        <v>2.3973860199926564</v>
      </c>
      <c r="V94" s="18">
        <v>47885.15</v>
      </c>
      <c r="W94" s="18">
        <v>110568.45999999999</v>
      </c>
      <c r="X94" s="2">
        <f t="shared" si="66"/>
        <v>211.41196940726576</v>
      </c>
      <c r="Y94" s="18"/>
      <c r="Z94" s="18"/>
      <c r="AA94" s="18"/>
      <c r="AB94" s="18"/>
      <c r="AC94" s="18"/>
      <c r="AD94" s="18"/>
      <c r="AE94" s="18"/>
      <c r="AF94" s="18"/>
      <c r="AG94" s="18">
        <f t="shared" si="67"/>
        <v>1.027285809174509</v>
      </c>
      <c r="AH94" s="7">
        <v>2.46</v>
      </c>
      <c r="AI94" s="18">
        <f t="shared" si="58"/>
        <v>135.30171954887217</v>
      </c>
      <c r="AJ94" s="7"/>
      <c r="AK94" s="2">
        <f t="shared" si="36"/>
        <v>0</v>
      </c>
      <c r="AL94" s="2">
        <f t="shared" si="37"/>
        <v>0</v>
      </c>
      <c r="AM94" s="2">
        <f t="shared" si="38"/>
        <v>0</v>
      </c>
      <c r="AN94" s="2">
        <f t="shared" si="39"/>
        <v>0</v>
      </c>
      <c r="AO94" s="2">
        <f t="shared" si="40"/>
        <v>0</v>
      </c>
    </row>
    <row r="95" spans="1:41" x14ac:dyDescent="0.25">
      <c r="A95" s="22">
        <v>2503</v>
      </c>
      <c r="B95" s="7" t="s">
        <v>87</v>
      </c>
      <c r="C95" s="12">
        <v>45740</v>
      </c>
      <c r="D95" s="7">
        <v>67</v>
      </c>
      <c r="E95" s="7">
        <v>487</v>
      </c>
      <c r="F95" s="7">
        <v>13538</v>
      </c>
      <c r="G95" s="2">
        <f t="shared" si="60"/>
        <v>27.798767967145789</v>
      </c>
      <c r="H95" s="8">
        <v>477</v>
      </c>
      <c r="I95" s="7">
        <v>38054</v>
      </c>
      <c r="J95" s="6">
        <f t="shared" si="43"/>
        <v>2.0533880903490731E-2</v>
      </c>
      <c r="K95" s="8">
        <f t="shared" si="47"/>
        <v>54090.576923076922</v>
      </c>
      <c r="L95" s="8">
        <v>42190.65</v>
      </c>
      <c r="M95" s="11">
        <f t="shared" si="61"/>
        <v>78</v>
      </c>
      <c r="N95" s="2">
        <f t="shared" si="62"/>
        <v>113.3974358974359</v>
      </c>
      <c r="O95" s="2">
        <f t="shared" si="69"/>
        <v>88.45</v>
      </c>
      <c r="P95" s="2">
        <f t="shared" si="63"/>
        <v>83.270178486810934</v>
      </c>
      <c r="Q95" s="11">
        <f>((K95-F95)/I95)*1000</f>
        <v>1065.6587197949473</v>
      </c>
      <c r="R95" s="11">
        <f t="shared" si="65"/>
        <v>145.13963039014374</v>
      </c>
      <c r="S95" s="8">
        <v>99000</v>
      </c>
      <c r="T95" s="2">
        <f t="shared" si="53"/>
        <v>2.6015661954065274</v>
      </c>
      <c r="U95" s="2">
        <f t="shared" si="59"/>
        <v>2.4412751916552775</v>
      </c>
      <c r="V95" s="18">
        <v>45158.05</v>
      </c>
      <c r="W95" s="18">
        <v>97691.01</v>
      </c>
      <c r="X95" s="2">
        <f t="shared" si="66"/>
        <v>204.80295597484275</v>
      </c>
      <c r="Y95" s="18"/>
      <c r="Z95" s="18"/>
      <c r="AA95" s="18"/>
      <c r="AB95" s="18"/>
      <c r="AC95" s="18"/>
      <c r="AD95" s="18"/>
      <c r="AE95" s="18"/>
      <c r="AF95" s="18"/>
      <c r="AG95" s="18">
        <f t="shared" si="67"/>
        <v>1.1135679511972587</v>
      </c>
      <c r="AH95" s="7">
        <v>2.46</v>
      </c>
      <c r="AI95" s="18">
        <f t="shared" si="58"/>
        <v>124.85999794661191</v>
      </c>
      <c r="AJ95" s="7"/>
      <c r="AK95" s="2">
        <f t="shared" si="36"/>
        <v>0</v>
      </c>
      <c r="AL95" s="2">
        <f t="shared" si="37"/>
        <v>0</v>
      </c>
      <c r="AM95" s="2">
        <f t="shared" si="38"/>
        <v>0</v>
      </c>
      <c r="AN95" s="2">
        <f t="shared" si="39"/>
        <v>0</v>
      </c>
      <c r="AO95" s="2">
        <f t="shared" si="40"/>
        <v>0</v>
      </c>
    </row>
    <row r="96" spans="1:41" x14ac:dyDescent="0.25">
      <c r="A96" s="22">
        <v>2504</v>
      </c>
      <c r="B96" s="7" t="s">
        <v>54</v>
      </c>
      <c r="C96" s="12">
        <v>45747</v>
      </c>
      <c r="D96" s="7">
        <v>66</v>
      </c>
      <c r="E96" s="7">
        <v>520</v>
      </c>
      <c r="F96" s="7">
        <v>14048</v>
      </c>
      <c r="G96" s="2">
        <f t="shared" si="60"/>
        <v>27.015384615384615</v>
      </c>
      <c r="H96" s="8">
        <v>513</v>
      </c>
      <c r="I96" s="7">
        <v>40871</v>
      </c>
      <c r="J96" s="6">
        <f t="shared" si="43"/>
        <v>1.3461538461538414E-2</v>
      </c>
      <c r="K96" s="8">
        <f t="shared" si="47"/>
        <v>60829.961538461539</v>
      </c>
      <c r="L96" s="8">
        <v>47447.37</v>
      </c>
      <c r="M96" s="11">
        <f t="shared" si="61"/>
        <v>78</v>
      </c>
      <c r="N96" s="2">
        <f t="shared" si="62"/>
        <v>118.57692307692308</v>
      </c>
      <c r="O96" s="2">
        <f t="shared" si="69"/>
        <v>92.490000000000009</v>
      </c>
      <c r="P96" s="2">
        <f t="shared" si="63"/>
        <v>89.965310650887574</v>
      </c>
      <c r="Q96" s="11">
        <f t="shared" si="64"/>
        <v>1144.6248327288672</v>
      </c>
      <c r="R96" s="11">
        <f t="shared" si="65"/>
        <v>144.59807692307692</v>
      </c>
      <c r="S96" s="8">
        <v>113000</v>
      </c>
      <c r="T96" s="2">
        <f t="shared" si="53"/>
        <v>2.7647965550145579</v>
      </c>
      <c r="U96" s="2">
        <f t="shared" si="59"/>
        <v>2.415460923054662</v>
      </c>
      <c r="V96" s="18">
        <v>50151.450000000019</v>
      </c>
      <c r="W96" s="18">
        <v>112277.95</v>
      </c>
      <c r="X96" s="2">
        <f t="shared" si="66"/>
        <v>218.86539961013645</v>
      </c>
      <c r="Y96" s="18"/>
      <c r="Z96" s="18"/>
      <c r="AA96" s="18"/>
      <c r="AB96" s="18"/>
      <c r="AC96" s="18"/>
      <c r="AD96" s="18"/>
      <c r="AE96" s="18"/>
      <c r="AF96" s="18"/>
      <c r="AG96" s="18">
        <f t="shared" si="67"/>
        <v>1.0720253779604405</v>
      </c>
      <c r="AH96" s="7">
        <v>2.46</v>
      </c>
      <c r="AI96" s="18">
        <f t="shared" si="58"/>
        <v>131.08030384615381</v>
      </c>
      <c r="AJ96" s="7"/>
      <c r="AK96" s="2">
        <f t="shared" si="36"/>
        <v>0</v>
      </c>
      <c r="AL96" s="2">
        <f t="shared" si="37"/>
        <v>0</v>
      </c>
      <c r="AM96" s="2">
        <f t="shared" si="38"/>
        <v>0</v>
      </c>
      <c r="AN96" s="2">
        <f t="shared" si="39"/>
        <v>0</v>
      </c>
      <c r="AO96" s="2">
        <f t="shared" si="40"/>
        <v>0</v>
      </c>
    </row>
    <row r="97" spans="1:41" x14ac:dyDescent="0.25">
      <c r="A97" s="22">
        <v>2505</v>
      </c>
      <c r="B97" s="7" t="s">
        <v>55</v>
      </c>
      <c r="C97" s="12">
        <v>45754</v>
      </c>
      <c r="D97" s="7">
        <v>66</v>
      </c>
      <c r="E97" s="7">
        <v>521</v>
      </c>
      <c r="F97" s="7">
        <v>15291</v>
      </c>
      <c r="G97" s="2">
        <f t="shared" si="60"/>
        <v>29.349328214971209</v>
      </c>
      <c r="H97" s="8">
        <v>513</v>
      </c>
      <c r="I97" s="7">
        <v>40880</v>
      </c>
      <c r="J97" s="6">
        <f t="shared" si="43"/>
        <v>1.5355086372360827E-2</v>
      </c>
      <c r="K97" s="8">
        <f t="shared" si="47"/>
        <v>58613.538461538454</v>
      </c>
      <c r="L97" s="8">
        <v>45718.559999999998</v>
      </c>
      <c r="M97" s="11">
        <f t="shared" si="61"/>
        <v>78</v>
      </c>
      <c r="N97" s="2">
        <f t="shared" si="62"/>
        <v>114.25641025641023</v>
      </c>
      <c r="O97" s="2">
        <f t="shared" si="69"/>
        <v>89.11999999999999</v>
      </c>
      <c r="P97" s="2">
        <f t="shared" si="63"/>
        <v>83.152664993355955</v>
      </c>
      <c r="Q97" s="11">
        <f t="shared" si="64"/>
        <v>1059.7489838928193</v>
      </c>
      <c r="R97" s="11">
        <f t="shared" si="65"/>
        <v>144.46449136276391</v>
      </c>
      <c r="S97" s="8">
        <v>103000</v>
      </c>
      <c r="T97" s="2">
        <f>S97/I97</f>
        <v>2.519569471624266</v>
      </c>
      <c r="U97" s="2">
        <f t="shared" si="59"/>
        <v>2.377515345538741</v>
      </c>
      <c r="V97" s="18">
        <v>46435.450000000012</v>
      </c>
      <c r="W97" s="18">
        <v>102269.26</v>
      </c>
      <c r="X97" s="2">
        <f t="shared" si="66"/>
        <v>199.35528265107212</v>
      </c>
      <c r="Y97" s="18"/>
      <c r="Z97" s="18"/>
      <c r="AA97" s="18"/>
      <c r="AB97" s="18"/>
      <c r="AC97" s="18"/>
      <c r="AD97" s="18"/>
      <c r="AE97" s="18"/>
      <c r="AF97" s="18"/>
      <c r="AG97" s="18">
        <f t="shared" si="67"/>
        <v>1.0718543199223007</v>
      </c>
      <c r="AH97" s="7">
        <v>2.4500000000000002</v>
      </c>
      <c r="AI97" s="18">
        <f t="shared" si="58"/>
        <v>129.21645681381955</v>
      </c>
      <c r="AJ97" s="7"/>
      <c r="AK97" s="2">
        <f t="shared" si="36"/>
        <v>0</v>
      </c>
      <c r="AL97" s="2">
        <f t="shared" si="37"/>
        <v>0</v>
      </c>
      <c r="AM97" s="2">
        <f t="shared" si="38"/>
        <v>0</v>
      </c>
      <c r="AN97" s="2">
        <f t="shared" si="39"/>
        <v>0</v>
      </c>
      <c r="AO97" s="2">
        <f t="shared" si="40"/>
        <v>0</v>
      </c>
    </row>
    <row r="98" spans="1:41" x14ac:dyDescent="0.25">
      <c r="A98" s="22">
        <v>2506</v>
      </c>
      <c r="B98" s="7" t="s">
        <v>41</v>
      </c>
      <c r="C98" s="12">
        <v>45761</v>
      </c>
      <c r="D98" s="7">
        <v>67</v>
      </c>
      <c r="E98" s="7">
        <v>522</v>
      </c>
      <c r="F98" s="7">
        <v>14360</v>
      </c>
      <c r="G98" s="2">
        <f t="shared" si="60"/>
        <v>27.509578544061302</v>
      </c>
      <c r="H98" s="8">
        <v>516</v>
      </c>
      <c r="I98" s="7">
        <v>41011</v>
      </c>
      <c r="J98" s="6">
        <f t="shared" si="43"/>
        <v>1.1494252873563204E-2</v>
      </c>
      <c r="K98" s="8">
        <f t="shared" si="47"/>
        <v>60335.256410256407</v>
      </c>
      <c r="L98" s="8">
        <v>47061.5</v>
      </c>
      <c r="M98" s="11">
        <f t="shared" si="61"/>
        <v>78</v>
      </c>
      <c r="N98" s="2">
        <f t="shared" si="62"/>
        <v>116.92879149274498</v>
      </c>
      <c r="O98" s="2">
        <f t="shared" si="69"/>
        <v>91.204457364341081</v>
      </c>
      <c r="P98" s="2">
        <f t="shared" si="63"/>
        <v>88.075203851065908</v>
      </c>
      <c r="Q98" s="11">
        <f t="shared" si="64"/>
        <v>1121.0469486297923</v>
      </c>
      <c r="R98" s="11">
        <f t="shared" si="65"/>
        <v>145.56513409961684</v>
      </c>
      <c r="S98" s="8">
        <v>109500</v>
      </c>
      <c r="T98" s="2">
        <f>S98/I98</f>
        <v>2.6700153617322182</v>
      </c>
      <c r="U98" s="2">
        <f t="shared" si="59"/>
        <v>2.3817159174249252</v>
      </c>
      <c r="V98" s="18">
        <v>49065.230000000018</v>
      </c>
      <c r="W98" s="18">
        <v>108992.42</v>
      </c>
      <c r="X98" s="2">
        <f t="shared" si="66"/>
        <v>211.22562015503877</v>
      </c>
      <c r="Y98" s="7">
        <v>12500</v>
      </c>
      <c r="Z98" s="7">
        <v>22000</v>
      </c>
      <c r="AA98" s="7">
        <v>15000</v>
      </c>
      <c r="AB98" s="7">
        <v>18000</v>
      </c>
      <c r="AC98" s="7">
        <v>42000</v>
      </c>
      <c r="AD98" s="18"/>
      <c r="AE98" s="18"/>
      <c r="AF98" s="18"/>
      <c r="AG98" s="18">
        <f t="shared" si="67"/>
        <v>1.0672094911699999</v>
      </c>
      <c r="AH98" s="18">
        <v>2.5</v>
      </c>
      <c r="AI98" s="18">
        <f t="shared" si="58"/>
        <v>134.01644992426264</v>
      </c>
      <c r="AJ98" s="7"/>
      <c r="AK98" s="2">
        <f t="shared" si="36"/>
        <v>23.946360153256705</v>
      </c>
      <c r="AL98" s="2">
        <f t="shared" si="37"/>
        <v>42.145593869731798</v>
      </c>
      <c r="AM98" s="2">
        <f t="shared" si="38"/>
        <v>28.735632183908045</v>
      </c>
      <c r="AN98" s="2">
        <f t="shared" si="39"/>
        <v>34.482758620689658</v>
      </c>
      <c r="AO98" s="2">
        <f t="shared" si="40"/>
        <v>80.459770114942529</v>
      </c>
    </row>
    <row r="99" spans="1:41" x14ac:dyDescent="0.25">
      <c r="A99" s="22">
        <v>2507</v>
      </c>
      <c r="B99" s="7" t="s">
        <v>42</v>
      </c>
      <c r="C99" s="12">
        <v>45768</v>
      </c>
      <c r="D99" s="7">
        <v>67</v>
      </c>
      <c r="E99" s="7">
        <v>527</v>
      </c>
      <c r="F99" s="7">
        <v>14316</v>
      </c>
      <c r="G99" s="2">
        <f t="shared" si="60"/>
        <v>27.165085388994306</v>
      </c>
      <c r="H99" s="8">
        <v>518</v>
      </c>
      <c r="I99" s="7">
        <v>41273</v>
      </c>
      <c r="J99" s="6">
        <f t="shared" si="43"/>
        <v>1.7077798861480087E-2</v>
      </c>
      <c r="K99" s="8">
        <f t="shared" si="47"/>
        <v>58859.38461538461</v>
      </c>
      <c r="L99" s="8">
        <v>45910.32</v>
      </c>
      <c r="M99" s="11">
        <f t="shared" si="61"/>
        <v>78</v>
      </c>
      <c r="N99" s="2">
        <f t="shared" si="62"/>
        <v>113.62815562815561</v>
      </c>
      <c r="O99" s="2">
        <f t="shared" si="69"/>
        <v>88.629961389961395</v>
      </c>
      <c r="P99" s="2">
        <f t="shared" si="63"/>
        <v>84.522551452342711</v>
      </c>
      <c r="Q99" s="11">
        <f t="shared" si="64"/>
        <v>1079.2378701665643</v>
      </c>
      <c r="R99" s="11">
        <f t="shared" si="65"/>
        <v>145.31688804554079</v>
      </c>
      <c r="S99" s="8">
        <v>107000</v>
      </c>
      <c r="T99" s="2">
        <f t="shared" ref="T99:T155" si="70">S99/I99</f>
        <v>2.5924938821990162</v>
      </c>
      <c r="U99" s="2">
        <f t="shared" si="59"/>
        <v>2.4021524391086309</v>
      </c>
      <c r="V99" s="18">
        <v>47975.88</v>
      </c>
      <c r="W99" s="18">
        <v>106134.22</v>
      </c>
      <c r="X99" s="2">
        <f t="shared" si="66"/>
        <v>204.89231660231661</v>
      </c>
      <c r="Y99" s="7">
        <v>15000</v>
      </c>
      <c r="Z99" s="7">
        <v>15000</v>
      </c>
      <c r="AA99" s="7">
        <v>19500</v>
      </c>
      <c r="AB99" s="7">
        <v>20000</v>
      </c>
      <c r="AC99" s="7">
        <v>37500</v>
      </c>
      <c r="AD99" s="18"/>
      <c r="AE99" s="18"/>
      <c r="AF99" s="18"/>
      <c r="AG99" s="18">
        <f t="shared" si="67"/>
        <v>1.0770595996297474</v>
      </c>
      <c r="AH99" s="7">
        <v>2.48</v>
      </c>
      <c r="AI99" s="18">
        <f t="shared" si="58"/>
        <v>128.76647882015928</v>
      </c>
      <c r="AJ99" s="7"/>
      <c r="AK99" s="2">
        <f t="shared" si="36"/>
        <v>28.462998102466795</v>
      </c>
      <c r="AL99" s="2">
        <f t="shared" si="37"/>
        <v>28.462998102466795</v>
      </c>
      <c r="AM99" s="2">
        <f t="shared" si="38"/>
        <v>37.001897533206829</v>
      </c>
      <c r="AN99" s="2">
        <f t="shared" si="39"/>
        <v>37.950664136622393</v>
      </c>
      <c r="AO99" s="2">
        <f t="shared" si="40"/>
        <v>71.157495256166982</v>
      </c>
    </row>
    <row r="100" spans="1:41" x14ac:dyDescent="0.25">
      <c r="A100" s="22">
        <v>2508</v>
      </c>
      <c r="B100" s="7" t="s">
        <v>43</v>
      </c>
      <c r="C100" s="12">
        <v>45775</v>
      </c>
      <c r="D100" s="7">
        <v>67</v>
      </c>
      <c r="E100" s="7">
        <v>513</v>
      </c>
      <c r="F100" s="7">
        <v>13601</v>
      </c>
      <c r="G100" s="2">
        <f t="shared" si="60"/>
        <v>26.512670565302145</v>
      </c>
      <c r="H100" s="8">
        <v>511</v>
      </c>
      <c r="I100" s="7">
        <v>40455</v>
      </c>
      <c r="J100" s="6">
        <f t="shared" si="43"/>
        <v>3.8986354775828458E-3</v>
      </c>
      <c r="K100" s="8">
        <f t="shared" si="47"/>
        <v>60108.01282051282</v>
      </c>
      <c r="L100" s="8">
        <v>46884.25</v>
      </c>
      <c r="M100" s="11">
        <f t="shared" si="61"/>
        <v>78</v>
      </c>
      <c r="N100" s="2">
        <f t="shared" si="62"/>
        <v>117.62820512820512</v>
      </c>
      <c r="O100" s="2">
        <f t="shared" si="69"/>
        <v>91.75</v>
      </c>
      <c r="P100" s="2">
        <f t="shared" si="63"/>
        <v>90.65694506922577</v>
      </c>
      <c r="Q100" s="11">
        <f t="shared" si="64"/>
        <v>1149.5986360280019</v>
      </c>
      <c r="R100" s="11">
        <f t="shared" si="65"/>
        <v>145.85964912280701</v>
      </c>
      <c r="S100" s="8">
        <v>110500</v>
      </c>
      <c r="T100" s="2">
        <f t="shared" si="70"/>
        <v>2.7314299839327649</v>
      </c>
      <c r="U100" s="2">
        <f t="shared" si="59"/>
        <v>2.375985755663538</v>
      </c>
      <c r="V100" s="18">
        <v>49203.68</v>
      </c>
      <c r="W100" s="18">
        <v>110310.15</v>
      </c>
      <c r="X100" s="2">
        <f t="shared" si="66"/>
        <v>215.87113502935421</v>
      </c>
      <c r="Y100" s="7">
        <v>14000</v>
      </c>
      <c r="Z100" s="7">
        <v>18000</v>
      </c>
      <c r="AA100" s="7">
        <v>22000</v>
      </c>
      <c r="AB100" s="7">
        <v>11000</v>
      </c>
      <c r="AC100" s="7">
        <v>45500</v>
      </c>
      <c r="AD100" s="18"/>
      <c r="AE100" s="18"/>
      <c r="AF100" s="18"/>
      <c r="AG100" s="18">
        <f t="shared" si="67"/>
        <v>1.0579840977939088</v>
      </c>
      <c r="AH100" s="18">
        <v>2.5</v>
      </c>
      <c r="AI100" s="18">
        <f t="shared" si="58"/>
        <v>133.46139376218321</v>
      </c>
      <c r="AJ100" s="7"/>
      <c r="AK100" s="2">
        <f t="shared" si="36"/>
        <v>27.290448343079923</v>
      </c>
      <c r="AL100" s="2">
        <f t="shared" si="37"/>
        <v>35.087719298245617</v>
      </c>
      <c r="AM100" s="2">
        <f t="shared" si="38"/>
        <v>42.884990253411303</v>
      </c>
      <c r="AN100" s="2">
        <f t="shared" si="39"/>
        <v>21.442495126705651</v>
      </c>
      <c r="AO100" s="2">
        <f t="shared" si="40"/>
        <v>88.693957115009752</v>
      </c>
    </row>
    <row r="101" spans="1:41" x14ac:dyDescent="0.25">
      <c r="A101" s="22">
        <v>2509</v>
      </c>
      <c r="B101" s="7" t="s">
        <v>44</v>
      </c>
      <c r="C101" s="12">
        <v>45782</v>
      </c>
      <c r="D101" s="7">
        <v>67</v>
      </c>
      <c r="E101" s="7">
        <v>494</v>
      </c>
      <c r="F101" s="7">
        <v>13691</v>
      </c>
      <c r="G101" s="2">
        <f t="shared" si="60"/>
        <v>27.714574898785425</v>
      </c>
      <c r="H101" s="8">
        <v>486</v>
      </c>
      <c r="I101" s="7">
        <v>38699</v>
      </c>
      <c r="J101" s="6">
        <f t="shared" si="43"/>
        <v>1.619433198380571E-2</v>
      </c>
      <c r="K101" s="8">
        <f t="shared" si="47"/>
        <v>57715.615384615383</v>
      </c>
      <c r="L101" s="8">
        <v>45018.18</v>
      </c>
      <c r="M101" s="11">
        <f t="shared" si="61"/>
        <v>78</v>
      </c>
      <c r="N101" s="2">
        <f t="shared" si="62"/>
        <v>118.75641025641025</v>
      </c>
      <c r="O101" s="2">
        <f t="shared" si="69"/>
        <v>92.63</v>
      </c>
      <c r="P101" s="2">
        <f t="shared" si="63"/>
        <v>89.118654624727498</v>
      </c>
      <c r="Q101" s="11">
        <f t="shared" si="64"/>
        <v>1137.6163566142634</v>
      </c>
      <c r="R101" s="11">
        <f t="shared" si="65"/>
        <v>145.33805668016194</v>
      </c>
      <c r="S101" s="8">
        <v>106650</v>
      </c>
      <c r="T101" s="2">
        <f t="shared" si="70"/>
        <v>2.7558851649913434</v>
      </c>
      <c r="U101" s="2">
        <f t="shared" si="59"/>
        <v>2.4225083869164106</v>
      </c>
      <c r="V101" s="18">
        <v>46974.973999999973</v>
      </c>
      <c r="W101" s="18">
        <v>106004.39</v>
      </c>
      <c r="X101" s="2">
        <f t="shared" si="66"/>
        <v>218.11602880658435</v>
      </c>
      <c r="Y101" s="7">
        <v>15000</v>
      </c>
      <c r="Z101" s="7">
        <v>13500</v>
      </c>
      <c r="AA101" s="7">
        <v>16500</v>
      </c>
      <c r="AB101" s="7">
        <v>18050</v>
      </c>
      <c r="AC101" s="7">
        <v>43600</v>
      </c>
      <c r="AD101" s="18"/>
      <c r="AE101" s="18"/>
      <c r="AF101" s="18"/>
      <c r="AG101" s="18">
        <f t="shared" si="67"/>
        <v>1.0670161133631528</v>
      </c>
      <c r="AH101" s="7">
        <v>2.4900000000000002</v>
      </c>
      <c r="AI101" s="18">
        <f t="shared" si="58"/>
        <v>135.55765951417013</v>
      </c>
      <c r="AJ101" s="7"/>
      <c r="AK101" s="2">
        <f t="shared" si="36"/>
        <v>30.364372469635626</v>
      </c>
      <c r="AL101" s="2">
        <f t="shared" si="37"/>
        <v>27.327935222672064</v>
      </c>
      <c r="AM101" s="2">
        <f t="shared" si="38"/>
        <v>33.400809716599191</v>
      </c>
      <c r="AN101" s="2">
        <f t="shared" si="39"/>
        <v>36.53846153846154</v>
      </c>
      <c r="AO101" s="2">
        <f t="shared" si="40"/>
        <v>88.259109311740886</v>
      </c>
    </row>
    <row r="102" spans="1:41" x14ac:dyDescent="0.25">
      <c r="A102" s="22">
        <v>2510</v>
      </c>
      <c r="B102" s="7" t="s">
        <v>45</v>
      </c>
      <c r="C102" s="12">
        <v>45789</v>
      </c>
      <c r="D102" s="7">
        <v>66</v>
      </c>
      <c r="E102" s="7">
        <v>489</v>
      </c>
      <c r="F102" s="7">
        <v>13664</v>
      </c>
      <c r="G102" s="2">
        <f t="shared" si="60"/>
        <v>27.942740286298569</v>
      </c>
      <c r="H102" s="8">
        <v>482</v>
      </c>
      <c r="I102" s="7">
        <v>38396</v>
      </c>
      <c r="J102" s="6">
        <f t="shared" si="43"/>
        <v>1.4314928425357865E-2</v>
      </c>
      <c r="K102" s="8">
        <f t="shared" si="47"/>
        <v>57605.179487179485</v>
      </c>
      <c r="L102" s="8">
        <v>44932.04</v>
      </c>
      <c r="M102" s="11">
        <f t="shared" si="61"/>
        <v>78</v>
      </c>
      <c r="N102" s="2">
        <f t="shared" si="62"/>
        <v>119.51282051282051</v>
      </c>
      <c r="O102" s="2">
        <f t="shared" si="69"/>
        <v>93.22</v>
      </c>
      <c r="P102" s="2">
        <f t="shared" si="63"/>
        <v>89.85926275496827</v>
      </c>
      <c r="Q102" s="11">
        <f>((K102-F102)/I102)*1000</f>
        <v>1144.4207596410952</v>
      </c>
      <c r="R102" s="11">
        <f>(I102/E102)+D102</f>
        <v>144.51942740286299</v>
      </c>
      <c r="S102" s="8">
        <v>105000</v>
      </c>
      <c r="T102" s="2">
        <f t="shared" si="70"/>
        <v>2.7346598604021253</v>
      </c>
      <c r="U102" s="2">
        <f t="shared" si="59"/>
        <v>2.389558068886962</v>
      </c>
      <c r="V102" s="18">
        <v>45876.07</v>
      </c>
      <c r="W102" s="18">
        <v>104310.64</v>
      </c>
      <c r="X102" s="2">
        <f t="shared" si="66"/>
        <v>216.41211618257262</v>
      </c>
      <c r="Y102" s="7">
        <v>12000</v>
      </c>
      <c r="Z102" s="7">
        <v>13500</v>
      </c>
      <c r="AA102" s="7">
        <v>14500</v>
      </c>
      <c r="AB102" s="7">
        <v>12000</v>
      </c>
      <c r="AC102" s="7">
        <v>53000</v>
      </c>
      <c r="AD102" s="18"/>
      <c r="AE102" s="18"/>
      <c r="AF102" s="18"/>
      <c r="AG102" s="18">
        <f t="shared" si="67"/>
        <v>1.0440336498792675</v>
      </c>
      <c r="AH102" s="7">
        <v>2.52</v>
      </c>
      <c r="AI102" s="18">
        <f t="shared" si="58"/>
        <v>141.09830593047036</v>
      </c>
      <c r="AJ102" s="7"/>
      <c r="AK102" s="2">
        <f t="shared" ref="AK102:AK142" si="71">Y102/E102</f>
        <v>24.539877300613497</v>
      </c>
      <c r="AL102" s="2">
        <f t="shared" ref="AL102:AL142" si="72">Z102/E102</f>
        <v>27.607361963190183</v>
      </c>
      <c r="AM102" s="2">
        <f t="shared" ref="AM102:AM142" si="73">AA102/E102</f>
        <v>29.652351738241308</v>
      </c>
      <c r="AN102" s="2">
        <f t="shared" ref="AN102:AN142" si="74">AB102/E102</f>
        <v>24.539877300613497</v>
      </c>
      <c r="AO102" s="2">
        <f t="shared" ref="AO102:AO142" si="75">AC102/E102</f>
        <v>108.38445807770961</v>
      </c>
    </row>
    <row r="103" spans="1:41" x14ac:dyDescent="0.25">
      <c r="A103" s="22">
        <v>2511</v>
      </c>
      <c r="B103" s="7" t="s">
        <v>46</v>
      </c>
      <c r="C103" s="12">
        <v>45796</v>
      </c>
      <c r="D103" s="7">
        <v>66</v>
      </c>
      <c r="E103" s="7">
        <v>518</v>
      </c>
      <c r="F103" s="7">
        <v>14001</v>
      </c>
      <c r="G103" s="2">
        <f t="shared" si="60"/>
        <v>27.02895752895753</v>
      </c>
      <c r="H103" s="8">
        <v>510</v>
      </c>
      <c r="I103" s="7">
        <v>40575</v>
      </c>
      <c r="J103" s="6">
        <f t="shared" si="43"/>
        <v>1.5444015444015413E-2</v>
      </c>
      <c r="K103" s="8">
        <f t="shared" si="47"/>
        <v>60039.858974358969</v>
      </c>
      <c r="L103" s="8">
        <v>46831.09</v>
      </c>
      <c r="M103" s="11">
        <f t="shared" si="61"/>
        <v>78</v>
      </c>
      <c r="N103" s="2">
        <f t="shared" si="62"/>
        <v>117.72521367521367</v>
      </c>
      <c r="O103" s="2">
        <f t="shared" si="69"/>
        <v>91.825666666666663</v>
      </c>
      <c r="P103" s="2">
        <f t="shared" si="63"/>
        <v>88.878106128106111</v>
      </c>
      <c r="Q103" s="11">
        <f t="shared" si="64"/>
        <v>1134.6607264167337</v>
      </c>
      <c r="R103" s="11">
        <f t="shared" si="65"/>
        <v>144.33011583011583</v>
      </c>
      <c r="S103" s="8">
        <v>111150</v>
      </c>
      <c r="T103" s="2">
        <f t="shared" si="70"/>
        <v>2.7393715341959335</v>
      </c>
      <c r="U103" s="2">
        <f t="shared" si="59"/>
        <v>2.4142648726786264</v>
      </c>
      <c r="V103" s="18">
        <v>43284.041999999987</v>
      </c>
      <c r="W103" s="18">
        <v>112177.19</v>
      </c>
      <c r="X103" s="2">
        <f>W103/H103</f>
        <v>219.95527450980393</v>
      </c>
      <c r="Y103" s="7">
        <v>12000</v>
      </c>
      <c r="Z103" s="7">
        <v>9000</v>
      </c>
      <c r="AA103" s="7">
        <v>19000</v>
      </c>
      <c r="AB103" s="7">
        <v>20150</v>
      </c>
      <c r="AC103" s="7">
        <v>52500</v>
      </c>
      <c r="AD103" s="18"/>
      <c r="AE103" s="18"/>
      <c r="AF103" s="18"/>
      <c r="AG103" s="18">
        <f t="shared" si="67"/>
        <v>0.94016322220554471</v>
      </c>
      <c r="AH103" s="7">
        <v>2.52</v>
      </c>
      <c r="AI103" s="18">
        <f>(AH103*O103)-(AG103*P103)</f>
        <v>147.8407533590734</v>
      </c>
      <c r="AJ103" s="7"/>
      <c r="AK103" s="2">
        <f t="shared" si="71"/>
        <v>23.166023166023166</v>
      </c>
      <c r="AL103" s="2">
        <f t="shared" si="72"/>
        <v>17.374517374517374</v>
      </c>
      <c r="AM103" s="2">
        <f t="shared" si="73"/>
        <v>36.679536679536682</v>
      </c>
      <c r="AN103" s="2">
        <f t="shared" si="74"/>
        <v>38.899613899613897</v>
      </c>
      <c r="AO103" s="2">
        <f t="shared" si="75"/>
        <v>101.35135135135135</v>
      </c>
    </row>
    <row r="104" spans="1:41" x14ac:dyDescent="0.25">
      <c r="A104" s="22">
        <v>2512</v>
      </c>
      <c r="B104" s="7" t="s">
        <v>47</v>
      </c>
      <c r="C104" s="12">
        <v>45803</v>
      </c>
      <c r="D104" s="7">
        <v>66</v>
      </c>
      <c r="E104" s="7">
        <v>511</v>
      </c>
      <c r="F104" s="7">
        <v>14113</v>
      </c>
      <c r="G104" s="2">
        <f t="shared" si="60"/>
        <v>27.61839530332681</v>
      </c>
      <c r="H104" s="8">
        <v>499</v>
      </c>
      <c r="I104" s="7">
        <v>40429</v>
      </c>
      <c r="J104" s="6">
        <f t="shared" si="43"/>
        <v>2.3483365949119372E-2</v>
      </c>
      <c r="K104" s="8">
        <f t="shared" si="47"/>
        <v>61936.538461538461</v>
      </c>
      <c r="L104" s="8">
        <v>48310.5</v>
      </c>
      <c r="M104" s="11">
        <f t="shared" si="61"/>
        <v>78</v>
      </c>
      <c r="N104" s="2">
        <f t="shared" si="62"/>
        <v>124.12131956220132</v>
      </c>
      <c r="O104" s="2">
        <f t="shared" si="69"/>
        <v>96.81462925851703</v>
      </c>
      <c r="P104" s="2">
        <f t="shared" si="63"/>
        <v>93.588137889507749</v>
      </c>
      <c r="Q104" s="11">
        <f t="shared" si="64"/>
        <v>1182.901839311842</v>
      </c>
      <c r="R104" s="11">
        <f t="shared" si="65"/>
        <v>145.11741682974559</v>
      </c>
      <c r="S104" s="8">
        <v>117500</v>
      </c>
      <c r="T104" s="2">
        <f t="shared" si="70"/>
        <v>2.9063296148804074</v>
      </c>
      <c r="U104" s="2">
        <f t="shared" si="59"/>
        <v>2.4569491045606768</v>
      </c>
      <c r="V104" s="18">
        <v>43798.486000000004</v>
      </c>
      <c r="W104" s="18">
        <v>116765.24</v>
      </c>
      <c r="X104" s="2">
        <f t="shared" si="66"/>
        <v>233.99847695390784</v>
      </c>
      <c r="Y104" s="7">
        <v>13500</v>
      </c>
      <c r="Z104" s="7">
        <v>18000</v>
      </c>
      <c r="AA104" s="7">
        <v>20000</v>
      </c>
      <c r="AB104" s="7">
        <v>15000</v>
      </c>
      <c r="AC104" s="7">
        <v>51000</v>
      </c>
      <c r="AD104" s="18"/>
      <c r="AE104" s="18"/>
      <c r="AF104" s="18"/>
      <c r="AG104" s="18">
        <f t="shared" si="67"/>
        <v>0.91583532730904971</v>
      </c>
      <c r="AH104" s="7">
        <v>2.52</v>
      </c>
      <c r="AI104" s="18">
        <f t="shared" ref="AI104:AI126" si="76">(AH104*O104)-(AG104*P104)</f>
        <v>158.2615428351811</v>
      </c>
      <c r="AJ104" s="7"/>
      <c r="AK104" s="2">
        <f t="shared" si="71"/>
        <v>26.418786692759294</v>
      </c>
      <c r="AL104" s="2">
        <f t="shared" si="72"/>
        <v>35.225048923679061</v>
      </c>
      <c r="AM104" s="2">
        <f t="shared" si="73"/>
        <v>39.138943248532293</v>
      </c>
      <c r="AN104" s="2">
        <f t="shared" si="74"/>
        <v>29.354207436399218</v>
      </c>
      <c r="AO104" s="2">
        <f t="shared" si="75"/>
        <v>99.804305283757344</v>
      </c>
    </row>
    <row r="105" spans="1:41" x14ac:dyDescent="0.25">
      <c r="A105" s="22">
        <v>2513</v>
      </c>
      <c r="B105" s="7" t="s">
        <v>104</v>
      </c>
      <c r="C105" s="12">
        <v>45810</v>
      </c>
      <c r="D105" s="7">
        <v>66</v>
      </c>
      <c r="E105" s="7">
        <v>528</v>
      </c>
      <c r="F105" s="7">
        <v>15311</v>
      </c>
      <c r="G105" s="2">
        <f t="shared" si="60"/>
        <v>28.998106060606062</v>
      </c>
      <c r="H105" s="8">
        <v>514</v>
      </c>
      <c r="I105" s="7">
        <v>41042</v>
      </c>
      <c r="J105" s="6">
        <f t="shared" si="43"/>
        <v>2.6515151515151492E-2</v>
      </c>
      <c r="K105" s="8">
        <f t="shared" si="47"/>
        <v>59603.397435897437</v>
      </c>
      <c r="L105" s="8">
        <v>46490.65</v>
      </c>
      <c r="M105" s="11">
        <f t="shared" si="61"/>
        <v>78</v>
      </c>
      <c r="N105" s="2">
        <f t="shared" si="62"/>
        <v>115.95991719046194</v>
      </c>
      <c r="O105" s="2">
        <f t="shared" si="69"/>
        <v>90.44873540856031</v>
      </c>
      <c r="P105" s="2">
        <f t="shared" si="63"/>
        <v>83.887116355866354</v>
      </c>
      <c r="Q105" s="11">
        <f t="shared" si="64"/>
        <v>1079.196857752971</v>
      </c>
      <c r="R105" s="11">
        <f t="shared" si="65"/>
        <v>143.73106060606062</v>
      </c>
      <c r="S105" s="8">
        <v>109256.9</v>
      </c>
      <c r="T105" s="2">
        <f t="shared" si="70"/>
        <v>2.6620754349203253</v>
      </c>
      <c r="U105" s="2">
        <f>S105/(K105-F105)</f>
        <v>2.4667190381401913</v>
      </c>
      <c r="V105" s="18">
        <v>41937.163834200015</v>
      </c>
      <c r="W105" s="18">
        <v>108405.81</v>
      </c>
      <c r="X105" s="2">
        <f t="shared" si="66"/>
        <v>210.90624513618675</v>
      </c>
      <c r="Y105" s="7">
        <v>13500</v>
      </c>
      <c r="Z105" s="7">
        <v>18000</v>
      </c>
      <c r="AA105" s="7">
        <v>17000</v>
      </c>
      <c r="AB105" s="7">
        <v>13000</v>
      </c>
      <c r="AC105" s="7">
        <v>47756.9</v>
      </c>
      <c r="AD105" s="18"/>
      <c r="AE105" s="18"/>
      <c r="AF105" s="18"/>
      <c r="AG105" s="18">
        <f t="shared" si="67"/>
        <v>0.94682533034916305</v>
      </c>
      <c r="AH105" s="7">
        <v>2.52</v>
      </c>
      <c r="AI105" s="18">
        <f t="shared" si="76"/>
        <v>148.50436657389014</v>
      </c>
      <c r="AJ105" s="7"/>
      <c r="AK105" s="2">
        <f t="shared" si="71"/>
        <v>25.568181818181817</v>
      </c>
      <c r="AL105" s="2">
        <f t="shared" si="72"/>
        <v>34.090909090909093</v>
      </c>
      <c r="AM105" s="2">
        <f t="shared" si="73"/>
        <v>32.196969696969695</v>
      </c>
      <c r="AN105" s="2">
        <f t="shared" si="74"/>
        <v>24.621212121212121</v>
      </c>
      <c r="AO105" s="2">
        <f t="shared" si="75"/>
        <v>90.448674242424246</v>
      </c>
    </row>
    <row r="106" spans="1:41" x14ac:dyDescent="0.25">
      <c r="A106" s="22">
        <v>2514</v>
      </c>
      <c r="B106" s="7" t="s">
        <v>52</v>
      </c>
      <c r="C106" s="12">
        <v>45817</v>
      </c>
      <c r="D106" s="7">
        <v>67</v>
      </c>
      <c r="E106" s="7">
        <v>521</v>
      </c>
      <c r="F106" s="7">
        <v>15009</v>
      </c>
      <c r="G106" s="2">
        <f t="shared" si="60"/>
        <v>28.808061420345489</v>
      </c>
      <c r="H106" s="8">
        <v>514</v>
      </c>
      <c r="I106" s="7">
        <v>40867</v>
      </c>
      <c r="J106" s="6">
        <f t="shared" si="43"/>
        <v>1.3435700575815779E-2</v>
      </c>
      <c r="K106" s="8">
        <f t="shared" si="47"/>
        <v>61897.461538461532</v>
      </c>
      <c r="L106" s="8">
        <v>48280.02</v>
      </c>
      <c r="M106" s="11">
        <f t="shared" si="61"/>
        <v>78</v>
      </c>
      <c r="N106" s="2">
        <f t="shared" si="62"/>
        <v>120.42307692307691</v>
      </c>
      <c r="O106" s="2">
        <f t="shared" si="69"/>
        <v>93.929999999999993</v>
      </c>
      <c r="P106" s="2">
        <f t="shared" si="63"/>
        <v>89.99704709877453</v>
      </c>
      <c r="Q106" s="11">
        <f t="shared" si="64"/>
        <v>1147.3428815049192</v>
      </c>
      <c r="R106" s="11">
        <f t="shared" si="65"/>
        <v>145.43953934740881</v>
      </c>
      <c r="S106" s="8">
        <v>112050</v>
      </c>
      <c r="T106" s="2">
        <f t="shared" si="70"/>
        <v>2.7418210291922578</v>
      </c>
      <c r="U106" s="2">
        <f t="shared" ref="U106:U155" si="77">S106/(K106-F106)</f>
        <v>2.3897137232384549</v>
      </c>
      <c r="V106" s="18">
        <v>48668.998500000002</v>
      </c>
      <c r="W106" s="18">
        <v>111506.41</v>
      </c>
      <c r="X106" s="2">
        <f t="shared" si="66"/>
        <v>216.93854085603112</v>
      </c>
      <c r="Y106" s="7">
        <v>12000</v>
      </c>
      <c r="Z106" s="7">
        <v>23050</v>
      </c>
      <c r="AA106" s="7">
        <v>11000</v>
      </c>
      <c r="AB106" s="7">
        <v>16000</v>
      </c>
      <c r="AC106" s="7">
        <v>50000</v>
      </c>
      <c r="AD106" s="18"/>
      <c r="AE106" s="18"/>
      <c r="AF106" s="18"/>
      <c r="AG106" s="18">
        <f t="shared" si="67"/>
        <v>1.0379738831925192</v>
      </c>
      <c r="AH106" s="7">
        <v>2.5299999999999998</v>
      </c>
      <c r="AI106" s="18">
        <f t="shared" si="76"/>
        <v>144.22831554702492</v>
      </c>
      <c r="AJ106" s="7"/>
      <c r="AK106" s="2">
        <f t="shared" si="71"/>
        <v>23.032629558541267</v>
      </c>
      <c r="AL106" s="2">
        <f t="shared" si="72"/>
        <v>44.241842610364685</v>
      </c>
      <c r="AM106" s="2">
        <f t="shared" si="73"/>
        <v>21.113243761996163</v>
      </c>
      <c r="AN106" s="2">
        <f t="shared" si="74"/>
        <v>30.710172744721689</v>
      </c>
      <c r="AO106" s="2">
        <f t="shared" si="75"/>
        <v>95.969289827255281</v>
      </c>
    </row>
    <row r="107" spans="1:41" x14ac:dyDescent="0.25">
      <c r="A107" s="22">
        <v>2515</v>
      </c>
      <c r="B107" s="7" t="s">
        <v>87</v>
      </c>
      <c r="C107" s="12">
        <v>45824</v>
      </c>
      <c r="D107" s="7">
        <v>66</v>
      </c>
      <c r="E107" s="7">
        <v>487</v>
      </c>
      <c r="F107" s="7">
        <v>13955</v>
      </c>
      <c r="G107" s="2">
        <f t="shared" si="60"/>
        <v>28.655030800821354</v>
      </c>
      <c r="H107" s="8">
        <v>477</v>
      </c>
      <c r="I107" s="7">
        <v>38495</v>
      </c>
      <c r="J107" s="6">
        <f t="shared" si="43"/>
        <v>2.0533880903490731E-2</v>
      </c>
      <c r="K107" s="8">
        <f t="shared" si="47"/>
        <v>55686.128205128203</v>
      </c>
      <c r="L107" s="8">
        <v>43435.18</v>
      </c>
      <c r="M107" s="11">
        <f t="shared" si="61"/>
        <v>78</v>
      </c>
      <c r="N107" s="2">
        <f t="shared" si="62"/>
        <v>116.74240713863355</v>
      </c>
      <c r="O107" s="2">
        <f t="shared" si="69"/>
        <v>91.059077568134171</v>
      </c>
      <c r="P107" s="2">
        <f t="shared" si="63"/>
        <v>85.690201653240663</v>
      </c>
      <c r="Q107" s="11">
        <f t="shared" si="64"/>
        <v>1084.0661957430368</v>
      </c>
      <c r="R107" s="11">
        <f t="shared" si="65"/>
        <v>145.04517453798769</v>
      </c>
      <c r="S107" s="8">
        <v>101600</v>
      </c>
      <c r="T107" s="2">
        <f t="shared" si="70"/>
        <v>2.6393038056890505</v>
      </c>
      <c r="U107" s="2">
        <f t="shared" si="77"/>
        <v>2.4346334347968743</v>
      </c>
      <c r="V107" s="18">
        <v>40377.071799999998</v>
      </c>
      <c r="W107" s="18">
        <v>100874.62</v>
      </c>
      <c r="X107" s="2">
        <f t="shared" si="66"/>
        <v>211.47719077568132</v>
      </c>
      <c r="Y107" s="7">
        <v>15000</v>
      </c>
      <c r="Z107" s="7">
        <v>17000</v>
      </c>
      <c r="AA107" s="7">
        <v>18000</v>
      </c>
      <c r="AB107" s="7">
        <v>14000</v>
      </c>
      <c r="AC107" s="7">
        <v>37600</v>
      </c>
      <c r="AD107" s="18"/>
      <c r="AE107" s="18"/>
      <c r="AF107" s="18"/>
      <c r="AG107" s="18">
        <f t="shared" si="67"/>
        <v>0.96755284452238199</v>
      </c>
      <c r="AH107" s="7">
        <v>2.5299999999999998</v>
      </c>
      <c r="AI107" s="18">
        <f t="shared" si="76"/>
        <v>147.46966789008991</v>
      </c>
      <c r="AJ107" s="7"/>
      <c r="AK107" s="2">
        <f t="shared" si="71"/>
        <v>30.800821355236138</v>
      </c>
      <c r="AL107" s="2">
        <f t="shared" si="72"/>
        <v>34.907597535934293</v>
      </c>
      <c r="AM107" s="2">
        <f t="shared" si="73"/>
        <v>36.960985626283367</v>
      </c>
      <c r="AN107" s="2">
        <f t="shared" si="74"/>
        <v>28.747433264887064</v>
      </c>
      <c r="AO107" s="2">
        <f t="shared" si="75"/>
        <v>77.207392197125259</v>
      </c>
    </row>
    <row r="108" spans="1:41" x14ac:dyDescent="0.25">
      <c r="A108" s="22">
        <v>2516</v>
      </c>
      <c r="B108" s="7" t="s">
        <v>54</v>
      </c>
      <c r="C108" s="12">
        <v>45831</v>
      </c>
      <c r="D108" s="7">
        <v>66</v>
      </c>
      <c r="E108" s="7">
        <v>511</v>
      </c>
      <c r="F108" s="7">
        <v>13562</v>
      </c>
      <c r="G108" s="2">
        <f t="shared" si="60"/>
        <v>26.540117416829744</v>
      </c>
      <c r="H108" s="8">
        <v>500</v>
      </c>
      <c r="I108" s="7">
        <v>40158</v>
      </c>
      <c r="J108" s="6">
        <f t="shared" si="43"/>
        <v>2.1526418786692814E-2</v>
      </c>
      <c r="K108" s="8">
        <f t="shared" si="47"/>
        <v>58677.051282051281</v>
      </c>
      <c r="L108" s="8">
        <v>45768.1</v>
      </c>
      <c r="M108" s="11">
        <f t="shared" si="61"/>
        <v>78</v>
      </c>
      <c r="N108" s="2">
        <f t="shared" si="62"/>
        <v>117.35410256410256</v>
      </c>
      <c r="O108" s="2">
        <f t="shared" si="69"/>
        <v>91.536199999999994</v>
      </c>
      <c r="P108" s="2">
        <f t="shared" si="63"/>
        <v>88.287771589141457</v>
      </c>
      <c r="Q108" s="11">
        <f t="shared" si="64"/>
        <v>1123.4386991894835</v>
      </c>
      <c r="R108" s="11">
        <f t="shared" si="65"/>
        <v>144.58708414872797</v>
      </c>
      <c r="S108" s="8">
        <v>109000</v>
      </c>
      <c r="T108" s="2">
        <f t="shared" si="70"/>
        <v>2.7142785995318492</v>
      </c>
      <c r="U108" s="2">
        <f t="shared" si="77"/>
        <v>2.4160451313365772</v>
      </c>
      <c r="V108" s="18">
        <v>46891.670999999995</v>
      </c>
      <c r="W108" s="18">
        <v>107530.69</v>
      </c>
      <c r="X108" s="2">
        <f t="shared" si="66"/>
        <v>215.06138000000001</v>
      </c>
      <c r="Y108" s="7">
        <v>11000</v>
      </c>
      <c r="Z108" s="7">
        <v>13500</v>
      </c>
      <c r="AA108" s="7">
        <v>15000</v>
      </c>
      <c r="AB108" s="7">
        <v>17000</v>
      </c>
      <c r="AC108" s="7">
        <v>52500</v>
      </c>
      <c r="AD108" s="18"/>
      <c r="AE108" s="18"/>
      <c r="AF108" s="18"/>
      <c r="AG108" s="18">
        <f t="shared" si="67"/>
        <v>1.0393797561448308</v>
      </c>
      <c r="AH108" s="7">
        <v>2.5</v>
      </c>
      <c r="AI108" s="18">
        <f t="shared" si="76"/>
        <v>137.07597749510762</v>
      </c>
      <c r="AJ108" s="7"/>
      <c r="AK108" s="2">
        <f t="shared" si="71"/>
        <v>21.526418786692759</v>
      </c>
      <c r="AL108" s="2">
        <f t="shared" si="72"/>
        <v>26.418786692759294</v>
      </c>
      <c r="AM108" s="2">
        <f t="shared" si="73"/>
        <v>29.354207436399218</v>
      </c>
      <c r="AN108" s="2">
        <f t="shared" si="74"/>
        <v>33.268101761252446</v>
      </c>
      <c r="AO108" s="2">
        <f t="shared" si="75"/>
        <v>102.73972602739725</v>
      </c>
    </row>
    <row r="109" spans="1:41" x14ac:dyDescent="0.25">
      <c r="A109" s="22">
        <v>2517</v>
      </c>
      <c r="B109" s="7" t="s">
        <v>55</v>
      </c>
      <c r="C109" s="12">
        <v>45838</v>
      </c>
      <c r="D109" s="7">
        <v>66</v>
      </c>
      <c r="E109" s="7">
        <v>519</v>
      </c>
      <c r="F109" s="7">
        <v>14623</v>
      </c>
      <c r="G109" s="2">
        <f t="shared" si="60"/>
        <v>28.175337186897881</v>
      </c>
      <c r="H109" s="8">
        <v>508</v>
      </c>
      <c r="I109" s="7">
        <v>40646</v>
      </c>
      <c r="J109" s="6">
        <f t="shared" si="43"/>
        <v>2.1194605009633882E-2</v>
      </c>
      <c r="K109" s="8">
        <f t="shared" si="47"/>
        <v>57931.538461538461</v>
      </c>
      <c r="L109" s="8">
        <v>45186.6</v>
      </c>
      <c r="M109" s="11">
        <f t="shared" si="61"/>
        <v>78</v>
      </c>
      <c r="N109" s="2">
        <f t="shared" si="62"/>
        <v>114.03846153846153</v>
      </c>
      <c r="O109" s="2">
        <f t="shared" si="69"/>
        <v>88.95</v>
      </c>
      <c r="P109" s="2">
        <f t="shared" si="63"/>
        <v>83.44612420334964</v>
      </c>
      <c r="Q109" s="11">
        <f t="shared" si="64"/>
        <v>1065.505546955136</v>
      </c>
      <c r="R109" s="11">
        <f t="shared" si="65"/>
        <v>144.3159922928709</v>
      </c>
      <c r="S109" s="8">
        <v>104500</v>
      </c>
      <c r="T109" s="2">
        <f t="shared" si="70"/>
        <v>2.5709786940904396</v>
      </c>
      <c r="U109" s="2">
        <f t="shared" si="77"/>
        <v>2.4129191081524164</v>
      </c>
      <c r="V109" s="18">
        <v>44489.245500000005</v>
      </c>
      <c r="W109" s="18">
        <v>103359.5</v>
      </c>
      <c r="X109" s="2">
        <f t="shared" si="66"/>
        <v>203.46358267716536</v>
      </c>
      <c r="Y109" s="7">
        <v>14000</v>
      </c>
      <c r="Z109" s="7">
        <v>13500</v>
      </c>
      <c r="AA109" s="7">
        <v>21000</v>
      </c>
      <c r="AB109" s="7">
        <v>15500</v>
      </c>
      <c r="AC109" s="7">
        <v>40500</v>
      </c>
      <c r="AD109" s="18"/>
      <c r="AE109" s="18"/>
      <c r="AF109" s="18"/>
      <c r="AG109" s="18">
        <f t="shared" si="67"/>
        <v>1.0272626849208986</v>
      </c>
      <c r="AH109" s="7">
        <v>2.5099999999999998</v>
      </c>
      <c r="AI109" s="18">
        <f t="shared" si="76"/>
        <v>137.54341040462427</v>
      </c>
      <c r="AJ109" s="7"/>
      <c r="AK109" s="2">
        <f t="shared" si="71"/>
        <v>26.97495183044316</v>
      </c>
      <c r="AL109" s="2">
        <f t="shared" si="72"/>
        <v>26.01156069364162</v>
      </c>
      <c r="AM109" s="2">
        <f t="shared" si="73"/>
        <v>40.462427745664741</v>
      </c>
      <c r="AN109" s="2">
        <f t="shared" si="74"/>
        <v>29.865125240847785</v>
      </c>
      <c r="AO109" s="2">
        <f t="shared" si="75"/>
        <v>78.034682080924853</v>
      </c>
    </row>
    <row r="110" spans="1:41" x14ac:dyDescent="0.25">
      <c r="A110" s="22">
        <v>2518</v>
      </c>
      <c r="B110" s="7" t="s">
        <v>41</v>
      </c>
      <c r="C110" s="12">
        <v>45845</v>
      </c>
      <c r="D110" s="7">
        <v>66</v>
      </c>
      <c r="E110" s="7">
        <v>518</v>
      </c>
      <c r="F110" s="7">
        <v>13756</v>
      </c>
      <c r="G110" s="2">
        <f t="shared" si="60"/>
        <v>26.555984555984555</v>
      </c>
      <c r="H110" s="8">
        <v>514</v>
      </c>
      <c r="I110" s="7">
        <v>40860</v>
      </c>
      <c r="J110" s="6">
        <f t="shared" si="43"/>
        <v>7.7220077220077066E-3</v>
      </c>
      <c r="K110" s="8">
        <f t="shared" si="47"/>
        <v>58740.974358974359</v>
      </c>
      <c r="L110" s="8">
        <v>45817.96</v>
      </c>
      <c r="M110" s="11">
        <f t="shared" si="61"/>
        <v>78</v>
      </c>
      <c r="N110" s="2">
        <f t="shared" si="62"/>
        <v>114.28205128205128</v>
      </c>
      <c r="O110" s="2">
        <f t="shared" si="69"/>
        <v>89.14</v>
      </c>
      <c r="P110" s="2">
        <f t="shared" si="63"/>
        <v>86.843579843579846</v>
      </c>
      <c r="Q110" s="11">
        <f t="shared" si="64"/>
        <v>1100.9538511741155</v>
      </c>
      <c r="R110" s="11">
        <f t="shared" si="65"/>
        <v>144.88030888030886</v>
      </c>
      <c r="S110" s="8">
        <v>107840</v>
      </c>
      <c r="T110" s="2">
        <f t="shared" si="70"/>
        <v>2.6392559960841897</v>
      </c>
      <c r="U110" s="2">
        <f t="shared" si="77"/>
        <v>2.3972448920266256</v>
      </c>
      <c r="V110" s="18">
        <v>47369.348819999992</v>
      </c>
      <c r="W110" s="18">
        <v>106833.99</v>
      </c>
      <c r="X110" s="2">
        <f t="shared" si="66"/>
        <v>207.84822957198443</v>
      </c>
      <c r="Y110" s="7">
        <v>16000</v>
      </c>
      <c r="Z110" s="7">
        <v>18000</v>
      </c>
      <c r="AA110" s="7">
        <v>13650</v>
      </c>
      <c r="AB110" s="7">
        <v>18000</v>
      </c>
      <c r="AC110" s="7">
        <v>42190</v>
      </c>
      <c r="AD110" s="18"/>
      <c r="AE110" s="18"/>
      <c r="AF110" s="18"/>
      <c r="AG110" s="18">
        <f t="shared" si="67"/>
        <v>1.0530037972679194</v>
      </c>
      <c r="AH110" s="7">
        <v>2.52</v>
      </c>
      <c r="AI110" s="18">
        <f t="shared" si="76"/>
        <v>133.18618065637068</v>
      </c>
      <c r="AJ110" s="7"/>
      <c r="AK110" s="2">
        <f t="shared" si="71"/>
        <v>30.888030888030887</v>
      </c>
      <c r="AL110" s="2">
        <f t="shared" si="72"/>
        <v>34.749034749034749</v>
      </c>
      <c r="AM110" s="2">
        <f t="shared" si="73"/>
        <v>26.351351351351351</v>
      </c>
      <c r="AN110" s="2">
        <f t="shared" si="74"/>
        <v>34.749034749034749</v>
      </c>
      <c r="AO110" s="2">
        <f t="shared" si="75"/>
        <v>81.447876447876453</v>
      </c>
    </row>
    <row r="111" spans="1:41" x14ac:dyDescent="0.25">
      <c r="A111" s="22">
        <v>2519</v>
      </c>
      <c r="B111" s="7" t="s">
        <v>42</v>
      </c>
      <c r="C111" s="12">
        <v>45852</v>
      </c>
      <c r="D111" s="7">
        <v>66</v>
      </c>
      <c r="E111" s="7">
        <v>528</v>
      </c>
      <c r="F111" s="7">
        <v>14314</v>
      </c>
      <c r="G111" s="2">
        <f t="shared" si="60"/>
        <v>27.109848484848484</v>
      </c>
      <c r="H111" s="8">
        <v>523</v>
      </c>
      <c r="I111" s="7">
        <v>41527</v>
      </c>
      <c r="J111" s="6">
        <f t="shared" si="43"/>
        <v>9.4696969696970168E-3</v>
      </c>
      <c r="K111" s="8">
        <f t="shared" si="47"/>
        <v>58937.179487179485</v>
      </c>
      <c r="L111" s="8">
        <v>45971</v>
      </c>
      <c r="M111" s="11">
        <f t="shared" si="61"/>
        <v>78</v>
      </c>
      <c r="N111" s="2">
        <f t="shared" si="62"/>
        <v>112.69059175368926</v>
      </c>
      <c r="O111" s="2">
        <f t="shared" si="69"/>
        <v>87.898661567877625</v>
      </c>
      <c r="P111" s="2">
        <f t="shared" si="63"/>
        <v>84.513597513597503</v>
      </c>
      <c r="Q111" s="11">
        <f t="shared" si="64"/>
        <v>1074.5582268687717</v>
      </c>
      <c r="R111" s="11">
        <f t="shared" si="65"/>
        <v>144.64962121212122</v>
      </c>
      <c r="S111" s="8">
        <v>106810</v>
      </c>
      <c r="T111" s="2">
        <f t="shared" si="70"/>
        <v>2.5720615503166613</v>
      </c>
      <c r="U111" s="2">
        <f t="shared" si="77"/>
        <v>2.3935990493614909</v>
      </c>
      <c r="V111" s="18">
        <v>46711.683279999997</v>
      </c>
      <c r="W111" s="18">
        <v>106360.9</v>
      </c>
      <c r="X111" s="2">
        <f t="shared" si="66"/>
        <v>203.36692160611852</v>
      </c>
      <c r="Y111" s="7">
        <v>12000</v>
      </c>
      <c r="Z111" s="7">
        <v>23500</v>
      </c>
      <c r="AA111" s="7">
        <v>18500</v>
      </c>
      <c r="AB111" s="7">
        <v>16000</v>
      </c>
      <c r="AC111" s="7">
        <v>36810</v>
      </c>
      <c r="AD111" s="18"/>
      <c r="AE111" s="18"/>
      <c r="AF111" s="18"/>
      <c r="AG111" s="18">
        <f t="shared" si="67"/>
        <v>1.0468031148121248</v>
      </c>
      <c r="AH111" s="7">
        <v>2.5499999999999998</v>
      </c>
      <c r="AI111" s="18">
        <f t="shared" si="76"/>
        <v>135.6724898768758</v>
      </c>
      <c r="AJ111" s="7"/>
      <c r="AK111" s="2">
        <f t="shared" si="71"/>
        <v>22.727272727272727</v>
      </c>
      <c r="AL111" s="2">
        <f t="shared" si="72"/>
        <v>44.507575757575758</v>
      </c>
      <c r="AM111" s="2">
        <f t="shared" si="73"/>
        <v>35.037878787878789</v>
      </c>
      <c r="AN111" s="2">
        <f t="shared" si="74"/>
        <v>30.303030303030305</v>
      </c>
      <c r="AO111" s="2">
        <f t="shared" si="75"/>
        <v>69.715909090909093</v>
      </c>
    </row>
    <row r="112" spans="1:41" x14ac:dyDescent="0.25">
      <c r="A112" s="22">
        <v>2520</v>
      </c>
      <c r="B112" s="7" t="s">
        <v>43</v>
      </c>
      <c r="C112" s="12">
        <v>45859</v>
      </c>
      <c r="D112" s="7">
        <v>66</v>
      </c>
      <c r="E112" s="7">
        <v>512</v>
      </c>
      <c r="F112" s="7">
        <v>14120</v>
      </c>
      <c r="G112" s="2">
        <f t="shared" si="60"/>
        <v>27.578125</v>
      </c>
      <c r="H112" s="8">
        <v>500</v>
      </c>
      <c r="I112" s="7">
        <v>40099</v>
      </c>
      <c r="J112" s="6">
        <f t="shared" si="43"/>
        <v>2.34375E-2</v>
      </c>
      <c r="K112" s="8">
        <f t="shared" si="47"/>
        <v>58442.307692307688</v>
      </c>
      <c r="L112" s="8">
        <v>45585</v>
      </c>
      <c r="M112" s="11">
        <f t="shared" si="61"/>
        <v>78</v>
      </c>
      <c r="N112" s="2">
        <f t="shared" si="62"/>
        <v>116.88461538461537</v>
      </c>
      <c r="O112" s="2">
        <f t="shared" si="69"/>
        <v>91.17</v>
      </c>
      <c r="P112" s="2">
        <f t="shared" si="63"/>
        <v>86.567007211538453</v>
      </c>
      <c r="Q112" s="11">
        <f t="shared" si="64"/>
        <v>1105.3220203074311</v>
      </c>
      <c r="R112" s="11">
        <f t="shared" si="65"/>
        <v>144.318359375</v>
      </c>
      <c r="S112" s="8">
        <v>107500</v>
      </c>
      <c r="T112" s="2">
        <f t="shared" si="70"/>
        <v>2.6808648594728046</v>
      </c>
      <c r="U112" s="2">
        <f t="shared" si="77"/>
        <v>2.4254152276158907</v>
      </c>
      <c r="V112" s="18">
        <v>46768.152500000011</v>
      </c>
      <c r="W112" s="18">
        <v>106354.14</v>
      </c>
      <c r="X112" s="2">
        <f t="shared" si="66"/>
        <v>212.70828</v>
      </c>
      <c r="Y112" s="7">
        <v>11000</v>
      </c>
      <c r="Z112" s="7">
        <v>12500</v>
      </c>
      <c r="AA112" s="7">
        <v>21000</v>
      </c>
      <c r="AB112" s="7">
        <v>12000</v>
      </c>
      <c r="AC112" s="7">
        <v>51000</v>
      </c>
      <c r="AD112" s="18"/>
      <c r="AE112" s="18"/>
      <c r="AF112" s="18"/>
      <c r="AG112" s="18">
        <f t="shared" si="67"/>
        <v>1.0551831557298812</v>
      </c>
      <c r="AH112" s="7">
        <v>2.52</v>
      </c>
      <c r="AI112" s="18">
        <f t="shared" si="76"/>
        <v>138.40435214843748</v>
      </c>
      <c r="AJ112" s="7"/>
      <c r="AK112" s="2">
        <f t="shared" si="71"/>
        <v>21.484375</v>
      </c>
      <c r="AL112" s="2">
        <f t="shared" si="72"/>
        <v>24.4140625</v>
      </c>
      <c r="AM112" s="2">
        <f t="shared" si="73"/>
        <v>41.015625</v>
      </c>
      <c r="AN112" s="2">
        <f t="shared" si="74"/>
        <v>23.4375</v>
      </c>
      <c r="AO112" s="2">
        <f t="shared" si="75"/>
        <v>99.609375</v>
      </c>
    </row>
    <row r="113" spans="1:41" x14ac:dyDescent="0.25">
      <c r="A113" s="22">
        <v>2521</v>
      </c>
      <c r="B113" s="7" t="s">
        <v>44</v>
      </c>
      <c r="C113" s="12">
        <v>45866</v>
      </c>
      <c r="D113" s="7">
        <v>65</v>
      </c>
      <c r="E113" s="7">
        <v>515</v>
      </c>
      <c r="F113" s="7">
        <v>13839</v>
      </c>
      <c r="G113" s="2">
        <f t="shared" si="60"/>
        <v>26.871844660194174</v>
      </c>
      <c r="H113" s="8">
        <v>514</v>
      </c>
      <c r="I113" s="7">
        <v>40612</v>
      </c>
      <c r="J113" s="6">
        <f t="shared" si="43"/>
        <v>1.9417475728155109E-3</v>
      </c>
      <c r="K113" s="8">
        <f t="shared" si="47"/>
        <v>58665.38461538461</v>
      </c>
      <c r="L113" s="8">
        <v>45759</v>
      </c>
      <c r="M113" s="11">
        <f t="shared" si="61"/>
        <v>78</v>
      </c>
      <c r="N113" s="2">
        <f t="shared" si="62"/>
        <v>114.13498952409458</v>
      </c>
      <c r="O113" s="2">
        <f t="shared" si="69"/>
        <v>89.025291828793769</v>
      </c>
      <c r="P113" s="2">
        <f t="shared" si="63"/>
        <v>87.041523525018661</v>
      </c>
      <c r="Q113" s="11">
        <f t="shared" si="64"/>
        <v>1103.7719052345269</v>
      </c>
      <c r="R113" s="11">
        <f t="shared" si="65"/>
        <v>143.85825242718448</v>
      </c>
      <c r="S113" s="8">
        <v>106500</v>
      </c>
      <c r="T113" s="2">
        <f t="shared" si="70"/>
        <v>2.6223776223776225</v>
      </c>
      <c r="U113" s="2">
        <f t="shared" si="77"/>
        <v>2.3758329143378818</v>
      </c>
      <c r="V113" s="18">
        <v>45877.637000000017</v>
      </c>
      <c r="W113" s="18">
        <v>106375.27</v>
      </c>
      <c r="X113" s="2">
        <f t="shared" si="66"/>
        <v>206.95577821011673</v>
      </c>
      <c r="Y113" s="7">
        <v>11000</v>
      </c>
      <c r="Z113" s="7">
        <v>15000</v>
      </c>
      <c r="AA113" s="7">
        <v>13500</v>
      </c>
      <c r="AB113" s="7">
        <v>21000</v>
      </c>
      <c r="AC113" s="7">
        <v>46000</v>
      </c>
      <c r="AD113" s="18"/>
      <c r="AE113" s="18"/>
      <c r="AF113" s="18"/>
      <c r="AG113" s="18">
        <f t="shared" si="67"/>
        <v>1.0234516433487837</v>
      </c>
      <c r="AH113" s="7">
        <v>2.5499999999999998</v>
      </c>
      <c r="AI113" s="18">
        <f t="shared" si="76"/>
        <v>137.93170387216193</v>
      </c>
      <c r="AJ113" s="7"/>
      <c r="AK113" s="2">
        <f t="shared" si="71"/>
        <v>21.359223300970875</v>
      </c>
      <c r="AL113" s="2">
        <f t="shared" si="72"/>
        <v>29.126213592233011</v>
      </c>
      <c r="AM113" s="2">
        <f t="shared" si="73"/>
        <v>26.21359223300971</v>
      </c>
      <c r="AN113" s="2">
        <f t="shared" si="74"/>
        <v>40.776699029126213</v>
      </c>
      <c r="AO113" s="2">
        <f t="shared" si="75"/>
        <v>89.320388349514559</v>
      </c>
    </row>
    <row r="114" spans="1:41" x14ac:dyDescent="0.25">
      <c r="A114" s="22">
        <v>2522</v>
      </c>
      <c r="B114" s="7" t="s">
        <v>45</v>
      </c>
      <c r="C114" s="12">
        <v>45873</v>
      </c>
      <c r="D114" s="7">
        <v>65</v>
      </c>
      <c r="E114" s="7">
        <v>516</v>
      </c>
      <c r="F114" s="7">
        <v>14700</v>
      </c>
      <c r="G114" s="2">
        <f t="shared" si="60"/>
        <v>28.488372093023255</v>
      </c>
      <c r="H114" s="8">
        <v>507</v>
      </c>
      <c r="I114" s="7">
        <v>40838</v>
      </c>
      <c r="J114" s="6">
        <f t="shared" si="43"/>
        <v>1.744186046511631E-2</v>
      </c>
      <c r="K114" s="8">
        <f t="shared" si="47"/>
        <v>57994.102564102563</v>
      </c>
      <c r="L114" s="8">
        <v>45235.4</v>
      </c>
      <c r="M114" s="11">
        <f t="shared" si="61"/>
        <v>78</v>
      </c>
      <c r="N114" s="2">
        <f t="shared" si="62"/>
        <v>114.38679006726343</v>
      </c>
      <c r="O114" s="2">
        <f t="shared" si="69"/>
        <v>89.221696252465492</v>
      </c>
      <c r="P114" s="2">
        <f t="shared" si="63"/>
        <v>83.903299542834418</v>
      </c>
      <c r="Q114" s="11">
        <f t="shared" si="64"/>
        <v>1060.1425771120662</v>
      </c>
      <c r="R114" s="11">
        <f t="shared" si="65"/>
        <v>144.14341085271317</v>
      </c>
      <c r="S114" s="8">
        <v>104700</v>
      </c>
      <c r="T114" s="2">
        <f t="shared" si="70"/>
        <v>2.5637886282384055</v>
      </c>
      <c r="U114" s="2">
        <f t="shared" si="77"/>
        <v>2.4183432338152291</v>
      </c>
      <c r="V114" s="18">
        <v>45712.461800000019</v>
      </c>
      <c r="W114" s="18">
        <v>103954.49</v>
      </c>
      <c r="X114" s="2">
        <f t="shared" si="66"/>
        <v>205.03844181459567</v>
      </c>
      <c r="Y114" s="7">
        <v>13000</v>
      </c>
      <c r="Z114" s="7">
        <v>18000</v>
      </c>
      <c r="AA114" s="7">
        <v>17000</v>
      </c>
      <c r="AB114" s="7">
        <v>13000</v>
      </c>
      <c r="AC114" s="7">
        <v>43700</v>
      </c>
      <c r="AD114" s="18"/>
      <c r="AE114" s="18"/>
      <c r="AF114" s="18"/>
      <c r="AG114" s="18">
        <f t="shared" si="67"/>
        <v>1.05585886050685</v>
      </c>
      <c r="AH114" s="7">
        <v>2.54</v>
      </c>
      <c r="AI114" s="18">
        <f t="shared" si="76"/>
        <v>138.03306623320032</v>
      </c>
      <c r="AJ114" s="7"/>
      <c r="AK114" s="2">
        <f t="shared" si="71"/>
        <v>25.193798449612402</v>
      </c>
      <c r="AL114" s="2">
        <f t="shared" si="72"/>
        <v>34.883720930232556</v>
      </c>
      <c r="AM114" s="2">
        <f t="shared" si="73"/>
        <v>32.945736434108525</v>
      </c>
      <c r="AN114" s="2">
        <f t="shared" si="74"/>
        <v>25.193798449612402</v>
      </c>
      <c r="AO114" s="2">
        <f t="shared" si="75"/>
        <v>84.689922480620154</v>
      </c>
    </row>
    <row r="115" spans="1:41" x14ac:dyDescent="0.25">
      <c r="A115" s="22">
        <v>2523</v>
      </c>
      <c r="B115" s="7" t="s">
        <v>46</v>
      </c>
      <c r="C115" s="12">
        <v>45880</v>
      </c>
      <c r="D115" s="7">
        <v>65</v>
      </c>
      <c r="E115" s="7">
        <v>510</v>
      </c>
      <c r="F115" s="7">
        <v>13047</v>
      </c>
      <c r="G115" s="2">
        <f t="shared" si="60"/>
        <v>25.58235294117647</v>
      </c>
      <c r="H115" s="8">
        <v>504</v>
      </c>
      <c r="I115" s="7">
        <v>40094</v>
      </c>
      <c r="J115" s="6">
        <f t="shared" si="43"/>
        <v>1.1764705882352899E-2</v>
      </c>
      <c r="K115" s="8">
        <f t="shared" si="47"/>
        <v>56861.538461538461</v>
      </c>
      <c r="L115" s="8">
        <v>44352</v>
      </c>
      <c r="M115" s="11">
        <f t="shared" si="61"/>
        <v>78</v>
      </c>
      <c r="N115" s="2">
        <f t="shared" si="62"/>
        <v>112.82051282051282</v>
      </c>
      <c r="O115" s="2">
        <f t="shared" si="69"/>
        <v>88</v>
      </c>
      <c r="P115" s="2">
        <f t="shared" si="63"/>
        <v>85.910859728506793</v>
      </c>
      <c r="Q115" s="11">
        <f t="shared" si="64"/>
        <v>1092.7953923664004</v>
      </c>
      <c r="R115" s="11">
        <f t="shared" si="65"/>
        <v>143.61568627450981</v>
      </c>
      <c r="S115" s="8">
        <v>104800</v>
      </c>
      <c r="T115" s="2">
        <f t="shared" si="70"/>
        <v>2.6138574350276849</v>
      </c>
      <c r="U115" s="2">
        <f t="shared" si="77"/>
        <v>2.3919001244757183</v>
      </c>
      <c r="V115" s="18">
        <v>45108.327200000022</v>
      </c>
      <c r="W115" s="18">
        <v>104190.02</v>
      </c>
      <c r="X115" s="2">
        <f t="shared" si="66"/>
        <v>206.72623015873017</v>
      </c>
      <c r="Y115" s="7">
        <v>15000</v>
      </c>
      <c r="Z115" s="7">
        <v>14000</v>
      </c>
      <c r="AA115" s="7">
        <v>16500</v>
      </c>
      <c r="AB115" s="7">
        <v>24500</v>
      </c>
      <c r="AC115" s="7">
        <v>34800</v>
      </c>
      <c r="AD115" s="18"/>
      <c r="AE115" s="18"/>
      <c r="AF115" s="18"/>
      <c r="AG115" s="18">
        <f t="shared" si="67"/>
        <v>1.0295287542420943</v>
      </c>
      <c r="AH115" s="7">
        <v>2.5499999999999998</v>
      </c>
      <c r="AI115" s="18">
        <f t="shared" si="76"/>
        <v>135.95229960784309</v>
      </c>
      <c r="AJ115" s="7"/>
      <c r="AK115" s="2">
        <f t="shared" si="71"/>
        <v>29.411764705882351</v>
      </c>
      <c r="AL115" s="2">
        <f t="shared" si="72"/>
        <v>27.450980392156861</v>
      </c>
      <c r="AM115" s="2">
        <f t="shared" si="73"/>
        <v>32.352941176470587</v>
      </c>
      <c r="AN115" s="2">
        <f t="shared" si="74"/>
        <v>48.03921568627451</v>
      </c>
      <c r="AO115" s="2">
        <f t="shared" si="75"/>
        <v>68.235294117647058</v>
      </c>
    </row>
    <row r="116" spans="1:41" x14ac:dyDescent="0.25">
      <c r="A116" s="22">
        <v>2524</v>
      </c>
      <c r="B116" s="7" t="s">
        <v>47</v>
      </c>
      <c r="C116" s="12">
        <v>45887</v>
      </c>
      <c r="D116" s="7">
        <v>65</v>
      </c>
      <c r="E116" s="7">
        <v>501</v>
      </c>
      <c r="F116" s="7">
        <v>14240</v>
      </c>
      <c r="G116" s="2">
        <f t="shared" si="60"/>
        <v>28.423153692614772</v>
      </c>
      <c r="H116" s="8">
        <v>490</v>
      </c>
      <c r="I116" s="7">
        <v>39169</v>
      </c>
      <c r="J116" s="6">
        <f t="shared" si="43"/>
        <v>2.1956087824351322E-2</v>
      </c>
      <c r="K116" s="8">
        <f t="shared" si="47"/>
        <v>56350</v>
      </c>
      <c r="L116" s="8">
        <v>43953</v>
      </c>
      <c r="M116" s="11">
        <f t="shared" si="61"/>
        <v>78</v>
      </c>
      <c r="N116" s="2">
        <f t="shared" si="62"/>
        <v>115</v>
      </c>
      <c r="O116" s="2">
        <f t="shared" si="69"/>
        <v>89.7</v>
      </c>
      <c r="P116" s="2">
        <f t="shared" si="63"/>
        <v>84.051896207584832</v>
      </c>
      <c r="Q116" s="11">
        <f t="shared" si="64"/>
        <v>1075.0848885598305</v>
      </c>
      <c r="R116" s="11">
        <f t="shared" si="65"/>
        <v>143.18163672654691</v>
      </c>
      <c r="S116" s="8">
        <v>102000</v>
      </c>
      <c r="T116" s="2">
        <f t="shared" si="70"/>
        <v>2.6041001812657969</v>
      </c>
      <c r="U116" s="2">
        <f t="shared" si="77"/>
        <v>2.4222274994063167</v>
      </c>
      <c r="V116" s="18">
        <v>44394.72300000002</v>
      </c>
      <c r="W116" s="18">
        <v>102139.26</v>
      </c>
      <c r="X116" s="2">
        <f t="shared" si="66"/>
        <v>208.44746938775509</v>
      </c>
      <c r="Y116" s="7">
        <v>14000</v>
      </c>
      <c r="Z116" s="7">
        <v>17000</v>
      </c>
      <c r="AA116" s="7">
        <v>15000</v>
      </c>
      <c r="AB116" s="7">
        <v>18000</v>
      </c>
      <c r="AC116" s="7">
        <v>39000</v>
      </c>
      <c r="AD116" s="18"/>
      <c r="AE116" s="18"/>
      <c r="AF116" s="18"/>
      <c r="AG116" s="18">
        <f t="shared" si="67"/>
        <v>1.0542560674424133</v>
      </c>
      <c r="AH116" s="7">
        <v>2.5499999999999998</v>
      </c>
      <c r="AI116" s="18">
        <f t="shared" si="76"/>
        <v>140.1227784431137</v>
      </c>
      <c r="AJ116" s="7"/>
      <c r="AK116" s="2">
        <f t="shared" si="71"/>
        <v>27.944111776447105</v>
      </c>
      <c r="AL116" s="2">
        <f t="shared" si="72"/>
        <v>33.932135728542917</v>
      </c>
      <c r="AM116" s="2">
        <f t="shared" si="73"/>
        <v>29.940119760479043</v>
      </c>
      <c r="AN116" s="2">
        <f t="shared" si="74"/>
        <v>35.928143712574851</v>
      </c>
      <c r="AO116" s="2">
        <f t="shared" si="75"/>
        <v>77.844311377245504</v>
      </c>
    </row>
    <row r="117" spans="1:41" x14ac:dyDescent="0.25">
      <c r="A117" s="22">
        <v>2525</v>
      </c>
      <c r="B117" s="7" t="s">
        <v>50</v>
      </c>
      <c r="C117" s="12">
        <v>45894</v>
      </c>
      <c r="D117" s="7">
        <v>65</v>
      </c>
      <c r="E117" s="7">
        <v>499</v>
      </c>
      <c r="F117" s="7">
        <v>13606</v>
      </c>
      <c r="G117" s="2">
        <f t="shared" si="60"/>
        <v>27.266533066132265</v>
      </c>
      <c r="H117" s="8">
        <v>489</v>
      </c>
      <c r="I117" s="7">
        <v>38944</v>
      </c>
      <c r="J117" s="6">
        <f>(1-(H117/E117))</f>
        <v>2.0040080160320661E-2</v>
      </c>
      <c r="K117" s="8">
        <f t="shared" si="47"/>
        <v>54310.346153846149</v>
      </c>
      <c r="L117" s="8">
        <v>42362.07</v>
      </c>
      <c r="M117" s="11">
        <f t="shared" si="61"/>
        <v>78</v>
      </c>
      <c r="N117" s="2">
        <f t="shared" si="62"/>
        <v>111.06410256410255</v>
      </c>
      <c r="O117" s="2">
        <f t="shared" si="69"/>
        <v>86.63</v>
      </c>
      <c r="P117" s="2">
        <f t="shared" si="63"/>
        <v>81.571835979651595</v>
      </c>
      <c r="Q117" s="11">
        <f t="shared" si="64"/>
        <v>1045.2019862840527</v>
      </c>
      <c r="R117" s="11">
        <f t="shared" si="65"/>
        <v>143.04408817635272</v>
      </c>
      <c r="S117" s="8">
        <v>99300</v>
      </c>
      <c r="T117" s="2">
        <f t="shared" si="70"/>
        <v>2.5498151191454395</v>
      </c>
      <c r="U117" s="2">
        <f t="shared" si="77"/>
        <v>2.4395429329508382</v>
      </c>
      <c r="V117" s="18">
        <v>42701.295000000006</v>
      </c>
      <c r="W117" s="18">
        <v>98670.55</v>
      </c>
      <c r="X117" s="2">
        <f t="shared" si="66"/>
        <v>201.78026584867075</v>
      </c>
      <c r="Y117" s="7">
        <v>14000</v>
      </c>
      <c r="Z117" s="7">
        <v>12000</v>
      </c>
      <c r="AA117" s="7">
        <v>18000</v>
      </c>
      <c r="AB117" s="7">
        <v>17300</v>
      </c>
      <c r="AC117" s="7">
        <v>38000</v>
      </c>
      <c r="AD117" s="18"/>
      <c r="AE117" s="18"/>
      <c r="AF117" s="18"/>
      <c r="AG117" s="18">
        <f t="shared" si="67"/>
        <v>1.0490598433544711</v>
      </c>
      <c r="AH117" s="7">
        <v>2.56</v>
      </c>
      <c r="AI117" s="18">
        <f t="shared" si="76"/>
        <v>136.19906252505007</v>
      </c>
      <c r="AJ117" s="7"/>
      <c r="AK117" s="2">
        <f t="shared" si="71"/>
        <v>28.056112224448899</v>
      </c>
      <c r="AL117" s="2">
        <f t="shared" si="72"/>
        <v>24.048096192384769</v>
      </c>
      <c r="AM117" s="2">
        <f t="shared" si="73"/>
        <v>36.072144288577157</v>
      </c>
      <c r="AN117" s="2">
        <f t="shared" si="74"/>
        <v>34.669338677354709</v>
      </c>
      <c r="AO117" s="2">
        <f t="shared" si="75"/>
        <v>76.152304609218433</v>
      </c>
    </row>
    <row r="118" spans="1:41" x14ac:dyDescent="0.25">
      <c r="A118" s="22">
        <v>2526</v>
      </c>
      <c r="B118" s="7" t="s">
        <v>52</v>
      </c>
      <c r="C118" s="12">
        <v>45901</v>
      </c>
      <c r="D118" s="7">
        <v>65</v>
      </c>
      <c r="E118" s="7">
        <v>506</v>
      </c>
      <c r="F118" s="7">
        <v>14349</v>
      </c>
      <c r="G118" s="2">
        <f t="shared" si="60"/>
        <v>28.357707509881422</v>
      </c>
      <c r="H118" s="8">
        <v>494</v>
      </c>
      <c r="I118" s="7">
        <v>39516</v>
      </c>
      <c r="J118" s="6">
        <v>1.9800000000000002E-2</v>
      </c>
      <c r="K118" s="8">
        <f t="shared" si="47"/>
        <v>56018.205128205125</v>
      </c>
      <c r="L118" s="8">
        <v>43694.2</v>
      </c>
      <c r="M118" s="11">
        <f t="shared" si="61"/>
        <v>78</v>
      </c>
      <c r="N118" s="2">
        <f t="shared" si="62"/>
        <v>113.39717637288487</v>
      </c>
      <c r="O118" s="2">
        <f t="shared" si="69"/>
        <v>88.449797570850194</v>
      </c>
      <c r="P118" s="2">
        <f t="shared" si="63"/>
        <v>82.350207763251234</v>
      </c>
      <c r="Q118" s="11">
        <f t="shared" si="64"/>
        <v>1054.4894505568664</v>
      </c>
      <c r="R118" s="11">
        <f t="shared" si="65"/>
        <v>143.09486166007906</v>
      </c>
      <c r="S118" s="8">
        <v>100300</v>
      </c>
      <c r="T118" s="2">
        <f t="shared" si="70"/>
        <v>2.5382123696730439</v>
      </c>
      <c r="U118" s="2">
        <f t="shared" si="77"/>
        <v>2.4070533549033013</v>
      </c>
      <c r="V118" s="18">
        <v>42617.602999999996</v>
      </c>
      <c r="W118" s="18">
        <v>99597.69</v>
      </c>
      <c r="X118" s="2">
        <f t="shared" si="66"/>
        <v>201.61475708502024</v>
      </c>
      <c r="Y118" s="7">
        <v>11000</v>
      </c>
      <c r="Z118" s="7">
        <v>18000</v>
      </c>
      <c r="AA118" s="7">
        <v>18000</v>
      </c>
      <c r="AB118" s="7">
        <v>20550</v>
      </c>
      <c r="AC118" s="7">
        <v>32750</v>
      </c>
      <c r="AD118" s="18"/>
      <c r="AE118" s="18"/>
      <c r="AF118" s="18"/>
      <c r="AG118" s="18">
        <f t="shared" si="67"/>
        <v>1.0227601623039582</v>
      </c>
      <c r="AH118" s="7">
        <v>2.5499999999999998</v>
      </c>
      <c r="AI118" s="18">
        <f t="shared" si="76"/>
        <v>141.32247194796048</v>
      </c>
      <c r="AJ118" s="7"/>
      <c r="AK118" s="2">
        <f t="shared" si="71"/>
        <v>21.739130434782609</v>
      </c>
      <c r="AL118" s="2">
        <f t="shared" si="72"/>
        <v>35.573122529644266</v>
      </c>
      <c r="AM118" s="2">
        <f t="shared" si="73"/>
        <v>35.573122529644266</v>
      </c>
      <c r="AN118" s="2">
        <f t="shared" si="74"/>
        <v>40.612648221343875</v>
      </c>
      <c r="AO118" s="2">
        <f t="shared" si="75"/>
        <v>64.723320158102766</v>
      </c>
    </row>
    <row r="119" spans="1:41" x14ac:dyDescent="0.25">
      <c r="A119" s="22">
        <v>2527</v>
      </c>
      <c r="B119" s="7" t="s">
        <v>87</v>
      </c>
      <c r="C119" s="12">
        <v>45908</v>
      </c>
      <c r="D119" s="7">
        <v>66</v>
      </c>
      <c r="E119" s="7">
        <v>508</v>
      </c>
      <c r="F119" s="7">
        <v>13731</v>
      </c>
      <c r="G119" s="2">
        <f t="shared" si="60"/>
        <v>27.029527559055119</v>
      </c>
      <c r="H119" s="8">
        <v>500</v>
      </c>
      <c r="I119" s="7">
        <v>39854</v>
      </c>
      <c r="J119" s="6">
        <f t="shared" ref="J119:J155" si="78">(1-(H119/E119))</f>
        <v>1.5748031496062964E-2</v>
      </c>
      <c r="K119" s="8">
        <f t="shared" si="47"/>
        <v>56949.641025641024</v>
      </c>
      <c r="L119" s="8">
        <v>44420.72</v>
      </c>
      <c r="M119" s="11">
        <f t="shared" si="61"/>
        <v>78</v>
      </c>
      <c r="N119" s="2">
        <f t="shared" si="62"/>
        <v>113.89928205128204</v>
      </c>
      <c r="O119" s="2">
        <f t="shared" si="69"/>
        <v>88.841440000000006</v>
      </c>
      <c r="P119" s="2">
        <f t="shared" si="63"/>
        <v>85.076065011104376</v>
      </c>
      <c r="Q119" s="11">
        <f t="shared" si="64"/>
        <v>1084.4241738756716</v>
      </c>
      <c r="R119" s="11">
        <f t="shared" si="65"/>
        <v>144.45275590551182</v>
      </c>
      <c r="S119" s="8">
        <v>103500</v>
      </c>
      <c r="T119" s="2">
        <f t="shared" si="70"/>
        <v>2.5969789732523711</v>
      </c>
      <c r="U119" s="2">
        <f t="shared" si="77"/>
        <v>2.3947999646401392</v>
      </c>
      <c r="V119" s="18">
        <v>44642.763500000001</v>
      </c>
      <c r="W119" s="18">
        <v>102741.58</v>
      </c>
      <c r="X119" s="2">
        <f t="shared" si="66"/>
        <v>205.48316</v>
      </c>
      <c r="Y119" s="7">
        <v>15000</v>
      </c>
      <c r="Z119" s="7">
        <v>14500</v>
      </c>
      <c r="AA119" s="7">
        <v>17000</v>
      </c>
      <c r="AB119" s="7">
        <v>13500</v>
      </c>
      <c r="AC119" s="7">
        <v>43500</v>
      </c>
      <c r="AD119" s="18"/>
      <c r="AE119" s="18"/>
      <c r="AF119" s="18"/>
      <c r="AG119" s="18">
        <f t="shared" si="67"/>
        <v>1.0329515792390156</v>
      </c>
      <c r="AH119" s="7">
        <v>2.56</v>
      </c>
      <c r="AI119" s="18">
        <f t="shared" si="76"/>
        <v>139.55463069133859</v>
      </c>
      <c r="AJ119" s="7"/>
      <c r="AK119" s="2">
        <f t="shared" si="71"/>
        <v>29.527559055118111</v>
      </c>
      <c r="AL119" s="2">
        <f t="shared" si="72"/>
        <v>28.543307086614174</v>
      </c>
      <c r="AM119" s="2">
        <f t="shared" si="73"/>
        <v>33.464566929133859</v>
      </c>
      <c r="AN119" s="2">
        <f t="shared" si="74"/>
        <v>26.5748031496063</v>
      </c>
      <c r="AO119" s="2">
        <f t="shared" si="75"/>
        <v>85.629921259842519</v>
      </c>
    </row>
    <row r="120" spans="1:41" x14ac:dyDescent="0.25">
      <c r="A120" s="22">
        <v>2528</v>
      </c>
      <c r="B120" s="7" t="s">
        <v>54</v>
      </c>
      <c r="C120" s="12">
        <v>45915</v>
      </c>
      <c r="D120" s="7">
        <v>67</v>
      </c>
      <c r="E120" s="7">
        <v>513</v>
      </c>
      <c r="F120" s="7">
        <v>14312</v>
      </c>
      <c r="G120" s="2">
        <f t="shared" si="60"/>
        <v>27.898635477582847</v>
      </c>
      <c r="H120" s="8">
        <v>505</v>
      </c>
      <c r="I120" s="7">
        <v>40319</v>
      </c>
      <c r="J120" s="6">
        <f t="shared" si="78"/>
        <v>1.5594541910331383E-2</v>
      </c>
      <c r="K120" s="8">
        <f t="shared" si="47"/>
        <v>58660.256410256407</v>
      </c>
      <c r="L120" s="8">
        <v>45755</v>
      </c>
      <c r="M120" s="11">
        <f t="shared" si="61"/>
        <v>78</v>
      </c>
      <c r="N120" s="2">
        <f t="shared" si="62"/>
        <v>116.15892358466616</v>
      </c>
      <c r="O120" s="2">
        <f t="shared" si="69"/>
        <v>90.603960396039611</v>
      </c>
      <c r="P120" s="2">
        <f t="shared" si="63"/>
        <v>86.448842904983252</v>
      </c>
      <c r="Q120" s="11">
        <f t="shared" si="64"/>
        <v>1099.9344331520228</v>
      </c>
      <c r="R120" s="11">
        <f t="shared" si="65"/>
        <v>145.59454191033137</v>
      </c>
      <c r="S120" s="8">
        <v>106500</v>
      </c>
      <c r="T120" s="2">
        <f t="shared" si="70"/>
        <v>2.6414345593888737</v>
      </c>
      <c r="U120" s="2">
        <f t="shared" si="77"/>
        <v>2.4014472861072793</v>
      </c>
      <c r="V120" s="18">
        <v>45167.053999999996</v>
      </c>
      <c r="W120" s="18">
        <v>105548.17</v>
      </c>
      <c r="X120" s="2">
        <f t="shared" si="66"/>
        <v>209.00627722772276</v>
      </c>
      <c r="Y120" s="7">
        <v>12000</v>
      </c>
      <c r="Z120" s="7">
        <v>12000</v>
      </c>
      <c r="AA120" s="7">
        <v>15000</v>
      </c>
      <c r="AB120" s="7">
        <v>18500</v>
      </c>
      <c r="AC120" s="7">
        <v>49000</v>
      </c>
      <c r="AD120" s="18"/>
      <c r="AE120" s="18"/>
      <c r="AF120" s="18"/>
      <c r="AG120" s="18">
        <f t="shared" si="67"/>
        <v>1.0184629037536237</v>
      </c>
      <c r="AH120" s="7">
        <v>2.5499999999999998</v>
      </c>
      <c r="AI120" s="18">
        <f t="shared" si="76"/>
        <v>142.99515943875087</v>
      </c>
      <c r="AJ120" s="7"/>
      <c r="AK120" s="2">
        <f t="shared" si="71"/>
        <v>23.391812865497077</v>
      </c>
      <c r="AL120" s="2">
        <f t="shared" si="72"/>
        <v>23.391812865497077</v>
      </c>
      <c r="AM120" s="2">
        <f t="shared" si="73"/>
        <v>29.239766081871345</v>
      </c>
      <c r="AN120" s="2">
        <f t="shared" si="74"/>
        <v>36.062378167641327</v>
      </c>
      <c r="AO120" s="2">
        <f t="shared" si="75"/>
        <v>95.516569200779728</v>
      </c>
    </row>
    <row r="121" spans="1:41" x14ac:dyDescent="0.25">
      <c r="A121" s="22">
        <v>2529</v>
      </c>
      <c r="B121" s="7" t="s">
        <v>55</v>
      </c>
      <c r="C121" s="12">
        <v>45922</v>
      </c>
      <c r="D121" s="7">
        <v>66</v>
      </c>
      <c r="E121" s="7">
        <v>516</v>
      </c>
      <c r="F121" s="7">
        <v>14179</v>
      </c>
      <c r="G121" s="2">
        <f t="shared" si="60"/>
        <v>27.478682170542637</v>
      </c>
      <c r="H121" s="8">
        <v>506</v>
      </c>
      <c r="I121" s="7">
        <v>40443</v>
      </c>
      <c r="J121" s="6">
        <f t="shared" si="78"/>
        <v>1.9379844961240345E-2</v>
      </c>
      <c r="K121" s="8">
        <f t="shared" si="47"/>
        <v>56613.615384615383</v>
      </c>
      <c r="L121" s="8">
        <v>44158.62</v>
      </c>
      <c r="M121" s="11">
        <f t="shared" si="61"/>
        <v>78</v>
      </c>
      <c r="N121" s="2">
        <f t="shared" si="62"/>
        <v>111.88461538461539</v>
      </c>
      <c r="O121" s="2">
        <f t="shared" si="69"/>
        <v>87.27000000000001</v>
      </c>
      <c r="P121" s="2">
        <f t="shared" si="63"/>
        <v>82.23762671437089</v>
      </c>
      <c r="Q121" s="11">
        <f t="shared" si="64"/>
        <v>1049.2449962815663</v>
      </c>
      <c r="R121" s="11">
        <f t="shared" si="65"/>
        <v>144.37790697674419</v>
      </c>
      <c r="S121" s="8">
        <v>102900</v>
      </c>
      <c r="T121" s="2">
        <f t="shared" si="70"/>
        <v>2.5443216378606928</v>
      </c>
      <c r="U121" s="2">
        <f t="shared" si="77"/>
        <v>2.424907096891145</v>
      </c>
      <c r="V121" s="18">
        <v>43885.546199999997</v>
      </c>
      <c r="W121" s="18">
        <v>101895.72</v>
      </c>
      <c r="X121" s="2">
        <f t="shared" si="66"/>
        <v>201.37494071146244</v>
      </c>
      <c r="Y121" s="7">
        <v>12000</v>
      </c>
      <c r="Z121" s="7">
        <v>14400</v>
      </c>
      <c r="AA121" s="7">
        <v>12000</v>
      </c>
      <c r="AB121" s="7">
        <v>16000</v>
      </c>
      <c r="AC121" s="7">
        <v>48500</v>
      </c>
      <c r="AD121" s="18"/>
      <c r="AE121" s="18"/>
      <c r="AF121" s="18"/>
      <c r="AG121" s="18">
        <f t="shared" si="67"/>
        <v>1.0341921519079127</v>
      </c>
      <c r="AH121" s="7">
        <v>2.5499999999999998</v>
      </c>
      <c r="AI121" s="18">
        <f t="shared" si="76"/>
        <v>137.48899186046512</v>
      </c>
      <c r="AJ121" s="7"/>
      <c r="AK121" s="2">
        <f t="shared" si="71"/>
        <v>23.255813953488371</v>
      </c>
      <c r="AL121" s="2">
        <f t="shared" si="72"/>
        <v>27.906976744186046</v>
      </c>
      <c r="AM121" s="2">
        <f t="shared" si="73"/>
        <v>23.255813953488371</v>
      </c>
      <c r="AN121" s="2">
        <f t="shared" si="74"/>
        <v>31.007751937984494</v>
      </c>
      <c r="AO121" s="2">
        <f t="shared" si="75"/>
        <v>93.992248062015506</v>
      </c>
    </row>
    <row r="122" spans="1:41" x14ac:dyDescent="0.25">
      <c r="A122" s="22">
        <v>2530</v>
      </c>
      <c r="B122" s="7" t="s">
        <v>41</v>
      </c>
      <c r="C122" s="12">
        <v>45929</v>
      </c>
      <c r="D122" s="7">
        <v>66</v>
      </c>
      <c r="E122" s="7">
        <v>531</v>
      </c>
      <c r="F122" s="7">
        <v>15441</v>
      </c>
      <c r="G122" s="2">
        <f t="shared" si="60"/>
        <v>29.07909604519774</v>
      </c>
      <c r="H122" s="8">
        <v>521</v>
      </c>
      <c r="I122" s="7">
        <v>41534</v>
      </c>
      <c r="J122" s="6">
        <f t="shared" si="78"/>
        <v>1.883239171374762E-2</v>
      </c>
      <c r="K122" s="8">
        <f t="shared" si="47"/>
        <v>59500</v>
      </c>
      <c r="L122" s="8">
        <v>46410</v>
      </c>
      <c r="M122" s="11">
        <f t="shared" si="61"/>
        <v>78</v>
      </c>
      <c r="N122" s="2">
        <f t="shared" si="62"/>
        <v>114.20345489443378</v>
      </c>
      <c r="O122" s="2">
        <f t="shared" si="69"/>
        <v>89.078694817658345</v>
      </c>
      <c r="P122" s="2">
        <f t="shared" si="63"/>
        <v>82.973634651600747</v>
      </c>
      <c r="Q122" s="11">
        <f t="shared" si="64"/>
        <v>1060.7935667164249</v>
      </c>
      <c r="R122" s="11">
        <f t="shared" si="65"/>
        <v>144.21845574387947</v>
      </c>
      <c r="S122" s="8">
        <v>106100</v>
      </c>
      <c r="T122" s="2">
        <f t="shared" si="70"/>
        <v>2.5545336350941397</v>
      </c>
      <c r="U122" s="2">
        <f t="shared" si="77"/>
        <v>2.4081345468576227</v>
      </c>
      <c r="V122" s="18">
        <v>45159.676699999996</v>
      </c>
      <c r="W122" s="18">
        <v>105271.81</v>
      </c>
      <c r="X122" s="2">
        <f t="shared" si="66"/>
        <v>202.05721689059502</v>
      </c>
      <c r="Y122" s="7">
        <v>11100</v>
      </c>
      <c r="Z122" s="7">
        <v>15000</v>
      </c>
      <c r="AA122" s="7">
        <v>13000</v>
      </c>
      <c r="AB122" s="7">
        <v>18000</v>
      </c>
      <c r="AC122" s="7">
        <v>49000</v>
      </c>
      <c r="AD122" s="18"/>
      <c r="AE122" s="18"/>
      <c r="AF122" s="18"/>
      <c r="AG122" s="18">
        <f>V122/(K122-F122)</f>
        <v>1.0249818811139608</v>
      </c>
      <c r="AH122" s="7">
        <v>2.5499999999999998</v>
      </c>
      <c r="AI122" s="18">
        <f t="shared" si="76"/>
        <v>142.10419965696852</v>
      </c>
      <c r="AK122" s="2">
        <f t="shared" si="71"/>
        <v>20.903954802259886</v>
      </c>
      <c r="AL122" s="2">
        <f t="shared" si="72"/>
        <v>28.248587570621471</v>
      </c>
      <c r="AM122" s="2">
        <f t="shared" si="73"/>
        <v>24.482109227871941</v>
      </c>
      <c r="AN122" s="2">
        <f t="shared" si="74"/>
        <v>33.898305084745765</v>
      </c>
      <c r="AO122" s="2">
        <f t="shared" si="75"/>
        <v>92.27871939736346</v>
      </c>
    </row>
    <row r="123" spans="1:41" x14ac:dyDescent="0.25">
      <c r="A123" s="22">
        <v>2531</v>
      </c>
      <c r="B123" s="7" t="s">
        <v>42</v>
      </c>
      <c r="C123" s="12">
        <v>45936</v>
      </c>
      <c r="D123" s="7">
        <v>66</v>
      </c>
      <c r="E123" s="7">
        <v>517</v>
      </c>
      <c r="F123" s="7">
        <v>14544</v>
      </c>
      <c r="G123" s="2">
        <f t="shared" si="60"/>
        <v>28.131528046421664</v>
      </c>
      <c r="H123" s="8">
        <v>512</v>
      </c>
      <c r="I123" s="7">
        <v>37624</v>
      </c>
      <c r="J123" s="6">
        <f t="shared" si="78"/>
        <v>9.6711798839458352E-3</v>
      </c>
      <c r="K123" s="8">
        <f t="shared" si="47"/>
        <v>57257.102564102563</v>
      </c>
      <c r="L123" s="8">
        <v>44660.54</v>
      </c>
      <c r="M123" s="11">
        <f t="shared" si="61"/>
        <v>78</v>
      </c>
      <c r="N123" s="2">
        <f t="shared" si="62"/>
        <v>111.83027844551282</v>
      </c>
      <c r="O123" s="2">
        <f t="shared" si="69"/>
        <v>87.227617187500002</v>
      </c>
      <c r="P123" s="2">
        <f t="shared" si="63"/>
        <v>82.617219659772843</v>
      </c>
      <c r="Q123" s="11">
        <f t="shared" si="64"/>
        <v>1135.2621349166109</v>
      </c>
      <c r="R123" s="11">
        <f t="shared" si="65"/>
        <v>138.77369439071566</v>
      </c>
      <c r="S123" s="8">
        <v>95600</v>
      </c>
      <c r="T123" s="2">
        <f t="shared" si="70"/>
        <v>2.5409313204337658</v>
      </c>
      <c r="U123" s="2">
        <f t="shared" si="77"/>
        <v>2.2381890862768947</v>
      </c>
      <c r="V123" s="18">
        <v>41263.860999999997</v>
      </c>
      <c r="W123" s="18">
        <v>95969.62</v>
      </c>
      <c r="X123" s="2">
        <f t="shared" si="66"/>
        <v>187.44066406249999</v>
      </c>
      <c r="Y123" s="7">
        <v>12000</v>
      </c>
      <c r="Z123" s="7">
        <v>12000</v>
      </c>
      <c r="AA123" s="7">
        <v>21000</v>
      </c>
      <c r="AB123" s="7">
        <v>16500</v>
      </c>
      <c r="AC123" s="7">
        <v>35000</v>
      </c>
      <c r="AD123" s="18"/>
      <c r="AE123" s="18"/>
      <c r="AF123" s="18"/>
      <c r="AG123" s="18">
        <f t="shared" si="67"/>
        <v>0.96607032790634706</v>
      </c>
      <c r="AH123" s="7">
        <v>2.54</v>
      </c>
      <c r="AI123" s="18">
        <f t="shared" si="76"/>
        <v>141.74410316882256</v>
      </c>
      <c r="AJ123" s="1" t="s">
        <v>106</v>
      </c>
      <c r="AK123" s="2">
        <f t="shared" si="71"/>
        <v>23.210831721470019</v>
      </c>
      <c r="AL123" s="2">
        <f t="shared" si="72"/>
        <v>23.210831721470019</v>
      </c>
      <c r="AM123" s="2">
        <f t="shared" si="73"/>
        <v>40.618955512572533</v>
      </c>
      <c r="AN123" s="2">
        <f t="shared" si="74"/>
        <v>31.914893617021278</v>
      </c>
      <c r="AO123" s="2">
        <f t="shared" si="75"/>
        <v>67.698259187620891</v>
      </c>
    </row>
    <row r="124" spans="1:41" x14ac:dyDescent="0.25">
      <c r="A124" s="22">
        <v>2532</v>
      </c>
      <c r="B124" s="7" t="s">
        <v>43</v>
      </c>
      <c r="C124" s="12">
        <v>45943</v>
      </c>
      <c r="D124" s="7">
        <v>66</v>
      </c>
      <c r="E124" s="7">
        <v>518</v>
      </c>
      <c r="F124" s="7">
        <v>14843</v>
      </c>
      <c r="G124" s="2">
        <f t="shared" si="60"/>
        <v>28.654440154440156</v>
      </c>
      <c r="H124" s="8">
        <v>509</v>
      </c>
      <c r="I124" s="7">
        <v>39998</v>
      </c>
      <c r="J124" s="6">
        <f t="shared" si="78"/>
        <v>1.737451737451734E-2</v>
      </c>
      <c r="K124" s="8">
        <f t="shared" si="47"/>
        <v>58842.820512820515</v>
      </c>
      <c r="L124" s="8">
        <v>45897.4</v>
      </c>
      <c r="M124" s="11">
        <f t="shared" si="61"/>
        <v>78</v>
      </c>
      <c r="N124" s="2">
        <f t="shared" si="62"/>
        <v>115.60475542793814</v>
      </c>
      <c r="O124" s="2">
        <f t="shared" si="69"/>
        <v>90.171709233791745</v>
      </c>
      <c r="P124" s="2">
        <f t="shared" si="63"/>
        <v>84.941738441738451</v>
      </c>
      <c r="Q124" s="11">
        <f t="shared" si="64"/>
        <v>1100.0505153462802</v>
      </c>
      <c r="R124" s="11">
        <f t="shared" si="65"/>
        <v>143.2162162162162</v>
      </c>
      <c r="S124" s="8">
        <v>103450</v>
      </c>
      <c r="T124" s="2">
        <f t="shared" si="70"/>
        <v>2.5863793189659483</v>
      </c>
      <c r="U124" s="2">
        <f t="shared" si="77"/>
        <v>2.3511459545580897</v>
      </c>
      <c r="V124" s="18">
        <v>44472.925999999999</v>
      </c>
      <c r="W124" s="18">
        <v>102932.46</v>
      </c>
      <c r="X124" s="2">
        <f t="shared" si="66"/>
        <v>202.22487229862477</v>
      </c>
      <c r="Y124" s="7">
        <v>14000</v>
      </c>
      <c r="Z124" s="7">
        <v>12000</v>
      </c>
      <c r="AA124" s="7">
        <v>15750</v>
      </c>
      <c r="AB124" s="7">
        <v>15000</v>
      </c>
      <c r="AC124" s="7">
        <v>46700</v>
      </c>
      <c r="AD124" s="18"/>
      <c r="AE124" s="18"/>
      <c r="AF124" s="18"/>
      <c r="AG124" s="18">
        <f t="shared" si="67"/>
        <v>1.0107524412978375</v>
      </c>
      <c r="AH124" s="18">
        <v>2.6</v>
      </c>
      <c r="AI124" s="18">
        <f t="shared" si="76"/>
        <v>148.59137450978903</v>
      </c>
      <c r="AJ124" s="37" t="s">
        <v>107</v>
      </c>
      <c r="AK124" s="2">
        <f t="shared" si="71"/>
        <v>27.027027027027028</v>
      </c>
      <c r="AL124" s="2">
        <f t="shared" si="72"/>
        <v>23.166023166023166</v>
      </c>
      <c r="AM124" s="2">
        <f t="shared" si="73"/>
        <v>30.405405405405407</v>
      </c>
      <c r="AN124" s="2">
        <f t="shared" si="74"/>
        <v>28.957528957528957</v>
      </c>
      <c r="AO124" s="2">
        <f t="shared" si="75"/>
        <v>90.154440154440152</v>
      </c>
    </row>
    <row r="125" spans="1:41" x14ac:dyDescent="0.25">
      <c r="A125" s="22">
        <v>2533</v>
      </c>
      <c r="B125" s="7" t="s">
        <v>44</v>
      </c>
      <c r="C125" s="12">
        <v>45950</v>
      </c>
      <c r="D125" s="7">
        <v>66</v>
      </c>
      <c r="E125" s="7">
        <v>514</v>
      </c>
      <c r="F125" s="7">
        <v>14309</v>
      </c>
      <c r="G125" s="2">
        <f t="shared" si="60"/>
        <v>27.838521400778209</v>
      </c>
      <c r="H125" s="8">
        <v>506</v>
      </c>
      <c r="I125" s="7">
        <v>40327</v>
      </c>
      <c r="J125" s="6">
        <f t="shared" si="78"/>
        <v>1.5564202334630295E-2</v>
      </c>
      <c r="K125" s="8">
        <f t="shared" si="47"/>
        <v>57482.051282051281</v>
      </c>
      <c r="L125" s="8">
        <v>44836</v>
      </c>
      <c r="M125" s="11">
        <f t="shared" si="61"/>
        <v>78</v>
      </c>
      <c r="N125" s="2">
        <f t="shared" si="62"/>
        <v>113.60089186176143</v>
      </c>
      <c r="O125" s="2">
        <f t="shared" si="69"/>
        <v>88.608695652173907</v>
      </c>
      <c r="P125" s="2">
        <f>(K125-F125)/E125</f>
        <v>83.994263194652305</v>
      </c>
      <c r="Q125" s="11">
        <f t="shared" si="64"/>
        <v>1070.5743368475532</v>
      </c>
      <c r="R125" s="11">
        <f t="shared" si="65"/>
        <v>144.45719844357978</v>
      </c>
      <c r="S125" s="8">
        <v>105300</v>
      </c>
      <c r="T125" s="2">
        <f t="shared" si="70"/>
        <v>2.6111538175415974</v>
      </c>
      <c r="U125" s="2">
        <f t="shared" si="77"/>
        <v>2.4390214931085334</v>
      </c>
      <c r="V125" s="18">
        <v>45493.303999999996</v>
      </c>
      <c r="W125" s="18">
        <v>104721.83</v>
      </c>
      <c r="X125" s="2">
        <f t="shared" si="66"/>
        <v>206.96013833992095</v>
      </c>
      <c r="Y125" s="7">
        <v>12000</v>
      </c>
      <c r="Z125" s="7">
        <v>16500</v>
      </c>
      <c r="AA125" s="7">
        <v>16500</v>
      </c>
      <c r="AB125" s="7">
        <v>15000</v>
      </c>
      <c r="AC125" s="7">
        <v>45300</v>
      </c>
      <c r="AD125" s="18"/>
      <c r="AE125" s="18"/>
      <c r="AF125" s="18"/>
      <c r="AG125" s="18">
        <f t="shared" si="67"/>
        <v>1.0537430792831948</v>
      </c>
      <c r="AH125" s="18">
        <v>2.6</v>
      </c>
      <c r="AI125" s="18">
        <f t="shared" si="76"/>
        <v>141.87423515479611</v>
      </c>
      <c r="AJ125" s="37" t="s">
        <v>107</v>
      </c>
      <c r="AK125" s="2">
        <f t="shared" si="71"/>
        <v>23.346303501945524</v>
      </c>
      <c r="AL125" s="2">
        <f t="shared" si="72"/>
        <v>32.101167315175097</v>
      </c>
      <c r="AM125" s="2">
        <f t="shared" si="73"/>
        <v>32.101167315175097</v>
      </c>
      <c r="AN125" s="2">
        <f t="shared" si="74"/>
        <v>29.182879377431906</v>
      </c>
      <c r="AO125" s="2">
        <f t="shared" si="75"/>
        <v>88.132295719844365</v>
      </c>
    </row>
    <row r="126" spans="1:41" x14ac:dyDescent="0.25">
      <c r="A126" s="22">
        <v>2534</v>
      </c>
      <c r="B126" s="7" t="s">
        <v>45</v>
      </c>
      <c r="C126" s="12">
        <v>46322</v>
      </c>
      <c r="D126" s="7">
        <v>67</v>
      </c>
      <c r="E126" s="7">
        <v>552</v>
      </c>
      <c r="F126" s="7">
        <v>14921</v>
      </c>
      <c r="G126" s="2">
        <f t="shared" si="60"/>
        <v>27.030797101449274</v>
      </c>
      <c r="H126" s="8">
        <v>550</v>
      </c>
      <c r="I126" s="7">
        <v>43510</v>
      </c>
      <c r="J126" s="6">
        <f t="shared" si="78"/>
        <v>3.6231884057971175E-3</v>
      </c>
      <c r="K126" s="8">
        <f t="shared" si="47"/>
        <v>60172.038461538461</v>
      </c>
      <c r="L126" s="8">
        <v>46934.19</v>
      </c>
      <c r="M126" s="11">
        <f t="shared" si="61"/>
        <v>78</v>
      </c>
      <c r="N126" s="2">
        <f t="shared" si="62"/>
        <v>109.40370629370629</v>
      </c>
      <c r="O126" s="2">
        <f t="shared" si="69"/>
        <v>85.334890909090916</v>
      </c>
      <c r="P126" s="2">
        <f t="shared" si="63"/>
        <v>81.976518952062435</v>
      </c>
      <c r="Q126" s="11">
        <f t="shared" si="64"/>
        <v>1040.0146739034351</v>
      </c>
      <c r="R126" s="11">
        <f t="shared" si="65"/>
        <v>145.82246376811594</v>
      </c>
      <c r="S126" s="8">
        <v>107300</v>
      </c>
      <c r="T126" s="2">
        <f t="shared" si="70"/>
        <v>2.4660997471845554</v>
      </c>
      <c r="U126" s="2">
        <f t="shared" si="77"/>
        <v>2.3712163001784066</v>
      </c>
      <c r="V126" s="18">
        <v>46529.369999999995</v>
      </c>
      <c r="W126" s="18">
        <v>107190.13</v>
      </c>
      <c r="X126" s="2">
        <f t="shared" si="66"/>
        <v>194.89114545454547</v>
      </c>
      <c r="Y126" s="7">
        <v>16000</v>
      </c>
      <c r="Z126" s="7">
        <v>19500</v>
      </c>
      <c r="AA126" s="7">
        <v>16500</v>
      </c>
      <c r="AB126" s="7">
        <v>12000</v>
      </c>
      <c r="AC126" s="7">
        <v>43300</v>
      </c>
      <c r="AD126" s="18"/>
      <c r="AE126" s="18"/>
      <c r="AF126" s="18"/>
      <c r="AG126" s="18">
        <f t="shared" si="67"/>
        <v>1.0282497724234123</v>
      </c>
      <c r="AH126" s="18">
        <v>2.6</v>
      </c>
      <c r="AI126" s="18">
        <f t="shared" si="76"/>
        <v>137.57837940711462</v>
      </c>
      <c r="AJ126" s="37" t="s">
        <v>108</v>
      </c>
      <c r="AK126" s="2">
        <f t="shared" si="71"/>
        <v>28.985507246376812</v>
      </c>
      <c r="AL126" s="2">
        <f t="shared" si="72"/>
        <v>35.326086956521742</v>
      </c>
      <c r="AM126" s="2">
        <f t="shared" si="73"/>
        <v>29.891304347826086</v>
      </c>
      <c r="AN126" s="2">
        <f t="shared" si="74"/>
        <v>21.739130434782609</v>
      </c>
      <c r="AO126" s="2">
        <f t="shared" si="75"/>
        <v>78.44202898550725</v>
      </c>
    </row>
    <row r="127" spans="1:41" x14ac:dyDescent="0.25">
      <c r="A127" s="22">
        <v>2535</v>
      </c>
      <c r="B127" s="7" t="s">
        <v>46</v>
      </c>
      <c r="C127" s="12">
        <v>46329</v>
      </c>
      <c r="D127" s="7">
        <v>66</v>
      </c>
      <c r="E127" s="7">
        <v>511</v>
      </c>
      <c r="F127" s="7">
        <v>14155</v>
      </c>
      <c r="G127" s="2">
        <f t="shared" si="60"/>
        <v>27.700587084148729</v>
      </c>
      <c r="H127" s="8">
        <v>502</v>
      </c>
      <c r="I127" s="7">
        <v>39994</v>
      </c>
      <c r="J127" s="6">
        <f t="shared" si="78"/>
        <v>1.7612524461839585E-2</v>
      </c>
      <c r="K127" s="8">
        <f t="shared" si="47"/>
        <v>57292.358974358976</v>
      </c>
      <c r="L127" s="8">
        <v>44688.04</v>
      </c>
      <c r="M127" s="11">
        <f t="shared" si="61"/>
        <v>78</v>
      </c>
      <c r="N127" s="2">
        <f t="shared" si="62"/>
        <v>114.12820512820514</v>
      </c>
      <c r="O127" s="2">
        <f t="shared" si="69"/>
        <v>89.02</v>
      </c>
      <c r="P127" s="2">
        <f t="shared" si="63"/>
        <v>84.417532239450054</v>
      </c>
      <c r="Q127" s="11">
        <f t="shared" si="64"/>
        <v>1078.5957637235329</v>
      </c>
      <c r="R127" s="11">
        <f t="shared" si="65"/>
        <v>144.26614481409001</v>
      </c>
      <c r="S127" s="8">
        <v>101300</v>
      </c>
      <c r="T127" s="2">
        <f t="shared" si="70"/>
        <v>2.5328799319897985</v>
      </c>
      <c r="U127" s="2">
        <v>2.36</v>
      </c>
      <c r="V127" s="18">
        <v>43632.7</v>
      </c>
      <c r="W127" s="18">
        <v>100551.59</v>
      </c>
      <c r="X127" s="2">
        <f t="shared" si="66"/>
        <v>200.30197211155377</v>
      </c>
      <c r="Y127" s="7">
        <v>12000</v>
      </c>
      <c r="Z127" s="7">
        <v>12000</v>
      </c>
      <c r="AA127" s="7">
        <v>18000</v>
      </c>
      <c r="AB127" s="7">
        <v>12000</v>
      </c>
      <c r="AC127" s="7">
        <v>47300</v>
      </c>
      <c r="AD127" s="18"/>
      <c r="AE127" s="18"/>
      <c r="AF127" s="18"/>
      <c r="AG127" s="18">
        <f t="shared" si="67"/>
        <v>1.0114828778909588</v>
      </c>
      <c r="AH127" s="18">
        <v>2.9</v>
      </c>
      <c r="AI127" s="18">
        <f>(AH127*O127)-(AG127*P127)</f>
        <v>172.77111154598822</v>
      </c>
      <c r="AJ127" s="1" t="s">
        <v>105</v>
      </c>
      <c r="AK127" s="2">
        <f t="shared" si="71"/>
        <v>23.483365949119374</v>
      </c>
      <c r="AL127" s="2">
        <f t="shared" si="72"/>
        <v>23.483365949119374</v>
      </c>
      <c r="AM127" s="2">
        <f t="shared" si="73"/>
        <v>35.225048923679061</v>
      </c>
      <c r="AN127" s="2">
        <f t="shared" si="74"/>
        <v>23.483365949119374</v>
      </c>
      <c r="AO127" s="2">
        <f t="shared" si="75"/>
        <v>92.563600782778863</v>
      </c>
    </row>
    <row r="128" spans="1:41" x14ac:dyDescent="0.25">
      <c r="A128" s="22">
        <v>2536</v>
      </c>
      <c r="B128" s="7" t="s">
        <v>47</v>
      </c>
      <c r="C128" s="12">
        <v>46336</v>
      </c>
      <c r="D128" s="7">
        <v>66</v>
      </c>
      <c r="E128" s="7">
        <v>517</v>
      </c>
      <c r="F128" s="7">
        <v>14362</v>
      </c>
      <c r="G128" s="2">
        <f t="shared" si="60"/>
        <v>27.779497098646036</v>
      </c>
      <c r="H128" s="8">
        <v>512</v>
      </c>
      <c r="I128" s="7">
        <v>40657</v>
      </c>
      <c r="J128" s="6">
        <f t="shared" si="78"/>
        <v>9.6711798839458352E-3</v>
      </c>
      <c r="K128" s="8">
        <f t="shared" si="47"/>
        <v>58255.89743589743</v>
      </c>
      <c r="L128" s="8">
        <v>45439.6</v>
      </c>
      <c r="M128" s="11">
        <f t="shared" si="61"/>
        <v>78</v>
      </c>
      <c r="N128" s="2">
        <f t="shared" si="62"/>
        <v>113.78104967948717</v>
      </c>
      <c r="O128" s="2">
        <f t="shared" si="69"/>
        <v>88.749218749999997</v>
      </c>
      <c r="P128" s="2">
        <f t="shared" si="63"/>
        <v>84.901155582006638</v>
      </c>
      <c r="Q128" s="11">
        <f t="shared" si="64"/>
        <v>1079.6147634084518</v>
      </c>
      <c r="R128" s="11">
        <f t="shared" si="65"/>
        <v>144.64023210831721</v>
      </c>
      <c r="S128" s="8">
        <v>104600</v>
      </c>
      <c r="T128" s="2">
        <f t="shared" si="70"/>
        <v>2.5727427011338762</v>
      </c>
      <c r="U128" s="2">
        <f t="shared" si="77"/>
        <v>2.3830191919675769</v>
      </c>
      <c r="V128" s="18">
        <v>44782.8</v>
      </c>
      <c r="W128" s="18">
        <v>104140.46</v>
      </c>
      <c r="X128" s="2">
        <f t="shared" si="66"/>
        <v>203.39933593750001</v>
      </c>
      <c r="Y128" s="7">
        <v>9600</v>
      </c>
      <c r="Z128" s="7">
        <v>12000</v>
      </c>
      <c r="AA128" s="7">
        <v>21000</v>
      </c>
      <c r="AB128" s="7">
        <v>16000</v>
      </c>
      <c r="AC128" s="7">
        <v>46000</v>
      </c>
      <c r="AD128" s="18"/>
      <c r="AE128" s="18"/>
      <c r="AF128" s="18"/>
      <c r="AG128" s="18">
        <f t="shared" si="67"/>
        <v>1.0202511651055988</v>
      </c>
      <c r="AH128" s="18">
        <v>2.6</v>
      </c>
      <c r="AI128" s="18">
        <f>(AH128*O128)-(AG128*P128)</f>
        <v>144.12746584864601</v>
      </c>
      <c r="AJ128" s="1" t="s">
        <v>109</v>
      </c>
      <c r="AK128" s="2">
        <f t="shared" si="71"/>
        <v>18.568665377176014</v>
      </c>
      <c r="AL128" s="2">
        <f t="shared" si="72"/>
        <v>23.210831721470019</v>
      </c>
      <c r="AM128" s="2">
        <f t="shared" si="73"/>
        <v>40.618955512572533</v>
      </c>
      <c r="AN128" s="2">
        <f t="shared" si="74"/>
        <v>30.947775628626694</v>
      </c>
      <c r="AO128" s="2">
        <f t="shared" si="75"/>
        <v>88.974854932301739</v>
      </c>
    </row>
    <row r="129" spans="1:41" x14ac:dyDescent="0.25">
      <c r="A129" s="22">
        <v>2537</v>
      </c>
      <c r="B129" s="7" t="s">
        <v>50</v>
      </c>
      <c r="C129" s="12">
        <v>46343</v>
      </c>
      <c r="D129" s="7">
        <v>66</v>
      </c>
      <c r="E129" s="7">
        <v>518</v>
      </c>
      <c r="F129" s="7">
        <v>14010</v>
      </c>
      <c r="G129" s="2">
        <f t="shared" si="60"/>
        <v>27.046332046332047</v>
      </c>
      <c r="H129" s="8">
        <v>503</v>
      </c>
      <c r="I129" s="7">
        <v>40160</v>
      </c>
      <c r="J129" s="6">
        <f t="shared" si="78"/>
        <v>2.8957528957529011E-2</v>
      </c>
      <c r="K129" s="8">
        <f t="shared" si="47"/>
        <v>54556.153846153851</v>
      </c>
      <c r="L129" s="8">
        <v>42553.8</v>
      </c>
      <c r="M129" s="11">
        <f t="shared" si="61"/>
        <v>78</v>
      </c>
      <c r="N129" s="2">
        <f t="shared" si="62"/>
        <v>108.46153846153847</v>
      </c>
      <c r="O129" s="2">
        <f t="shared" si="69"/>
        <v>84.600000000000009</v>
      </c>
      <c r="P129" s="2">
        <f t="shared" si="63"/>
        <v>78.274428274428288</v>
      </c>
      <c r="Q129" s="11">
        <f t="shared" si="64"/>
        <v>1009.6153846153848</v>
      </c>
      <c r="R129" s="11">
        <f t="shared" si="65"/>
        <v>143.52895752895753</v>
      </c>
      <c r="S129" s="8">
        <v>98850</v>
      </c>
      <c r="T129" s="2">
        <f t="shared" si="70"/>
        <v>2.4614043824701195</v>
      </c>
      <c r="U129" s="2">
        <f t="shared" si="77"/>
        <v>2.437962435970404</v>
      </c>
      <c r="V129" s="18">
        <v>42721.9</v>
      </c>
      <c r="W129" s="18">
        <v>97919.360000000001</v>
      </c>
      <c r="X129" s="2">
        <f t="shared" si="66"/>
        <v>194.67069582504971</v>
      </c>
      <c r="Y129" s="7">
        <v>11750</v>
      </c>
      <c r="Z129" s="7">
        <v>13000</v>
      </c>
      <c r="AA129" s="7">
        <v>15500</v>
      </c>
      <c r="AB129" s="7">
        <v>13000</v>
      </c>
      <c r="AC129" s="7">
        <v>45600</v>
      </c>
      <c r="AD129" s="18"/>
      <c r="AE129" s="18"/>
      <c r="AF129" s="18"/>
      <c r="AG129" s="18">
        <f t="shared" si="67"/>
        <v>1.0536609751470307</v>
      </c>
      <c r="AH129" s="7">
        <v>2.59</v>
      </c>
      <c r="AI129" s="18">
        <f t="shared" ref="AI129:AI155" si="79">(AH129*O129)-(AG129*P129)</f>
        <v>136.63928957528958</v>
      </c>
      <c r="AK129" s="2">
        <f t="shared" si="71"/>
        <v>22.683397683397683</v>
      </c>
      <c r="AL129" s="2">
        <f t="shared" si="72"/>
        <v>25.096525096525095</v>
      </c>
      <c r="AM129" s="2">
        <f t="shared" si="73"/>
        <v>29.922779922779924</v>
      </c>
      <c r="AN129" s="2">
        <f t="shared" si="74"/>
        <v>25.096525096525095</v>
      </c>
      <c r="AO129" s="2">
        <f t="shared" si="75"/>
        <v>88.030888030888036</v>
      </c>
    </row>
    <row r="130" spans="1:41" x14ac:dyDescent="0.25">
      <c r="A130" s="22">
        <v>2538</v>
      </c>
      <c r="B130" s="7" t="s">
        <v>52</v>
      </c>
      <c r="C130" s="12">
        <v>46350</v>
      </c>
      <c r="D130" s="7">
        <v>66</v>
      </c>
      <c r="E130" s="7">
        <v>540</v>
      </c>
      <c r="F130" s="7">
        <v>15457</v>
      </c>
      <c r="G130" s="2">
        <f t="shared" si="60"/>
        <v>28.624074074074073</v>
      </c>
      <c r="H130" s="8">
        <v>533</v>
      </c>
      <c r="I130" s="7">
        <v>42407</v>
      </c>
      <c r="J130" s="6">
        <f t="shared" si="78"/>
        <v>1.2962962962962954E-2</v>
      </c>
      <c r="K130" s="8">
        <f t="shared" si="47"/>
        <v>59887.179487179485</v>
      </c>
      <c r="L130" s="8">
        <v>46712</v>
      </c>
      <c r="M130" s="11">
        <f t="shared" si="61"/>
        <v>78</v>
      </c>
      <c r="N130" s="2">
        <f t="shared" si="62"/>
        <v>112.35868571703467</v>
      </c>
      <c r="O130" s="2">
        <f t="shared" si="69"/>
        <v>87.639774859287058</v>
      </c>
      <c r="P130" s="2">
        <f t="shared" si="63"/>
        <v>82.278110161443493</v>
      </c>
      <c r="Q130" s="11">
        <f t="shared" si="64"/>
        <v>1047.7086209158745</v>
      </c>
      <c r="R130" s="11">
        <f t="shared" si="65"/>
        <v>144.53148148148148</v>
      </c>
      <c r="S130" s="8">
        <v>105700</v>
      </c>
      <c r="T130" s="2">
        <f t="shared" si="70"/>
        <v>2.4925130285094443</v>
      </c>
      <c r="U130" s="2">
        <f t="shared" si="77"/>
        <v>2.3790135718560439</v>
      </c>
      <c r="V130" s="18">
        <v>45966.899999999994</v>
      </c>
      <c r="W130" s="18">
        <v>105064</v>
      </c>
      <c r="X130" s="2">
        <f t="shared" si="66"/>
        <v>197.11819887429644</v>
      </c>
      <c r="Y130" s="7">
        <v>16000</v>
      </c>
      <c r="Z130" s="7">
        <v>16050</v>
      </c>
      <c r="AA130" s="7">
        <v>12000</v>
      </c>
      <c r="AB130" s="7">
        <v>20150</v>
      </c>
      <c r="AC130" s="7">
        <v>41500</v>
      </c>
      <c r="AD130" s="18"/>
      <c r="AE130" s="18"/>
      <c r="AF130" s="18"/>
      <c r="AG130" s="18">
        <f t="shared" si="67"/>
        <v>1.0345873127355683</v>
      </c>
      <c r="AH130" s="7">
        <v>2.59</v>
      </c>
      <c r="AI130" s="18">
        <f t="shared" si="79"/>
        <v>141.86312799666459</v>
      </c>
      <c r="AJ130" s="38"/>
      <c r="AK130" s="2">
        <f t="shared" si="71"/>
        <v>29.62962962962963</v>
      </c>
      <c r="AL130" s="2">
        <f t="shared" si="72"/>
        <v>29.722222222222221</v>
      </c>
      <c r="AM130" s="2">
        <f t="shared" si="73"/>
        <v>22.222222222222221</v>
      </c>
      <c r="AN130" s="2">
        <f t="shared" si="74"/>
        <v>37.314814814814817</v>
      </c>
      <c r="AO130" s="2">
        <f t="shared" si="75"/>
        <v>76.851851851851848</v>
      </c>
    </row>
    <row r="131" spans="1:41" x14ac:dyDescent="0.25">
      <c r="A131" s="22">
        <v>2539</v>
      </c>
      <c r="B131" s="7" t="s">
        <v>87</v>
      </c>
      <c r="C131" s="12">
        <v>46357</v>
      </c>
      <c r="D131" s="7">
        <v>66</v>
      </c>
      <c r="E131" s="7">
        <v>515</v>
      </c>
      <c r="F131" s="7">
        <v>14420</v>
      </c>
      <c r="G131" s="2">
        <f t="shared" si="60"/>
        <v>28</v>
      </c>
      <c r="H131" s="8">
        <v>504</v>
      </c>
      <c r="I131" s="7">
        <v>40301</v>
      </c>
      <c r="J131" s="6">
        <f t="shared" si="78"/>
        <v>2.1359223300970842E-2</v>
      </c>
      <c r="K131" s="8">
        <f t="shared" si="47"/>
        <v>58625.538461538454</v>
      </c>
      <c r="L131" s="8">
        <v>45727.92</v>
      </c>
      <c r="M131" s="11">
        <f t="shared" si="61"/>
        <v>78</v>
      </c>
      <c r="N131" s="2">
        <f t="shared" si="62"/>
        <v>116.3205128205128</v>
      </c>
      <c r="O131" s="2">
        <f t="shared" si="69"/>
        <v>90.72999999999999</v>
      </c>
      <c r="P131" s="2">
        <f t="shared" si="63"/>
        <v>85.835997012696026</v>
      </c>
      <c r="Q131" s="11">
        <f t="shared" si="64"/>
        <v>1096.8844063804484</v>
      </c>
      <c r="R131" s="11">
        <f t="shared" si="65"/>
        <v>144.25436893203883</v>
      </c>
      <c r="S131" s="8">
        <v>106500</v>
      </c>
      <c r="T131" s="2">
        <f t="shared" si="70"/>
        <v>2.642614327187911</v>
      </c>
      <c r="U131" s="2">
        <f t="shared" si="77"/>
        <v>2.4092003786507785</v>
      </c>
      <c r="V131" s="18">
        <v>46657</v>
      </c>
      <c r="W131" s="18">
        <v>105398.88</v>
      </c>
      <c r="X131" s="2">
        <f t="shared" si="66"/>
        <v>209.12476190476193</v>
      </c>
      <c r="Y131" s="7">
        <v>18000</v>
      </c>
      <c r="Z131" s="7">
        <v>19000</v>
      </c>
      <c r="AA131" s="7">
        <v>20500</v>
      </c>
      <c r="AB131" s="7">
        <v>18000</v>
      </c>
      <c r="AC131" s="7">
        <v>31000</v>
      </c>
      <c r="AD131" s="18"/>
      <c r="AE131" s="18"/>
      <c r="AF131" s="18"/>
      <c r="AG131" s="18">
        <f t="shared" si="67"/>
        <v>1.0554559818470364</v>
      </c>
      <c r="AH131" s="7">
        <v>2.6</v>
      </c>
      <c r="AI131" s="18">
        <f t="shared" si="79"/>
        <v>145.3018834951456</v>
      </c>
      <c r="AJ131" s="1" t="s">
        <v>117</v>
      </c>
      <c r="AK131" s="2">
        <f t="shared" si="71"/>
        <v>34.95145631067961</v>
      </c>
      <c r="AL131" s="2">
        <f t="shared" si="72"/>
        <v>36.893203883495147</v>
      </c>
      <c r="AM131" s="2">
        <f t="shared" si="73"/>
        <v>39.805825242718448</v>
      </c>
      <c r="AN131" s="2">
        <f t="shared" si="74"/>
        <v>34.95145631067961</v>
      </c>
      <c r="AO131" s="2">
        <f t="shared" si="75"/>
        <v>60.194174757281552</v>
      </c>
    </row>
    <row r="132" spans="1:41" x14ac:dyDescent="0.25">
      <c r="A132" s="22">
        <v>2540</v>
      </c>
      <c r="B132" s="7" t="s">
        <v>54</v>
      </c>
      <c r="C132" s="12">
        <v>46364</v>
      </c>
      <c r="D132" s="7">
        <v>66</v>
      </c>
      <c r="E132" s="7">
        <v>527</v>
      </c>
      <c r="F132" s="7">
        <v>14708</v>
      </c>
      <c r="G132" s="2">
        <f t="shared" si="60"/>
        <v>27.908918406072107</v>
      </c>
      <c r="H132" s="8">
        <v>519</v>
      </c>
      <c r="I132" s="7">
        <v>41357</v>
      </c>
      <c r="J132" s="6">
        <f t="shared" si="78"/>
        <v>1.5180265654648917E-2</v>
      </c>
      <c r="K132" s="8">
        <f t="shared" si="47"/>
        <v>57545.384615384617</v>
      </c>
      <c r="L132" s="8">
        <v>44885.4</v>
      </c>
      <c r="M132" s="11">
        <f t="shared" si="61"/>
        <v>78</v>
      </c>
      <c r="N132" s="2">
        <f t="shared" si="62"/>
        <v>110.87742700459464</v>
      </c>
      <c r="O132" s="2">
        <f t="shared" si="69"/>
        <v>86.484393063583823</v>
      </c>
      <c r="P132" s="2">
        <f t="shared" si="63"/>
        <v>81.285359801488838</v>
      </c>
      <c r="Q132" s="11">
        <f t="shared" si="64"/>
        <v>1035.7952611500982</v>
      </c>
      <c r="R132" s="11">
        <f t="shared" si="65"/>
        <v>144.4762808349146</v>
      </c>
      <c r="S132" s="8">
        <v>104500</v>
      </c>
      <c r="T132" s="2">
        <f t="shared" si="70"/>
        <v>2.5267790216891939</v>
      </c>
      <c r="U132" s="2">
        <f t="shared" si="77"/>
        <v>2.4394579860150909</v>
      </c>
      <c r="V132" s="18">
        <v>46357</v>
      </c>
      <c r="W132" s="18">
        <v>103722.76</v>
      </c>
      <c r="X132" s="2">
        <f t="shared" si="66"/>
        <v>199.8511753371869</v>
      </c>
      <c r="Y132" s="7">
        <v>22000</v>
      </c>
      <c r="Z132" s="7">
        <v>14500</v>
      </c>
      <c r="AA132" s="7">
        <v>15000</v>
      </c>
      <c r="AB132" s="7">
        <v>12000</v>
      </c>
      <c r="AC132" s="7">
        <v>41000</v>
      </c>
      <c r="AD132" s="18"/>
      <c r="AE132" s="18"/>
      <c r="AF132" s="18"/>
      <c r="AG132" s="18">
        <f t="shared" si="67"/>
        <v>1.0821622378727422</v>
      </c>
      <c r="AH132" s="7">
        <v>2.59</v>
      </c>
      <c r="AI132" s="18">
        <f t="shared" si="79"/>
        <v>136.03063116561191</v>
      </c>
      <c r="AK132" s="2">
        <f t="shared" si="71"/>
        <v>41.745730550284627</v>
      </c>
      <c r="AL132" s="2">
        <f t="shared" si="72"/>
        <v>27.514231499051235</v>
      </c>
      <c r="AM132" s="2">
        <f t="shared" si="73"/>
        <v>28.462998102466795</v>
      </c>
      <c r="AN132" s="2">
        <f t="shared" si="74"/>
        <v>22.770398481973434</v>
      </c>
      <c r="AO132" s="2">
        <f t="shared" si="75"/>
        <v>77.7988614800759</v>
      </c>
    </row>
    <row r="133" spans="1:41" x14ac:dyDescent="0.25">
      <c r="A133" s="22">
        <v>2541</v>
      </c>
      <c r="B133" s="7" t="s">
        <v>55</v>
      </c>
      <c r="C133" s="12">
        <v>46371</v>
      </c>
      <c r="D133" s="7">
        <v>66</v>
      </c>
      <c r="E133" s="7">
        <v>583</v>
      </c>
      <c r="F133" s="7">
        <v>15508</v>
      </c>
      <c r="G133" s="2">
        <f t="shared" si="60"/>
        <v>26.600343053173241</v>
      </c>
      <c r="H133" s="8">
        <v>578</v>
      </c>
      <c r="I133" s="7">
        <v>46486</v>
      </c>
      <c r="J133" s="6">
        <f t="shared" si="78"/>
        <v>8.5763293310463506E-3</v>
      </c>
      <c r="K133" s="8">
        <f t="shared" si="47"/>
        <v>62690.769230769234</v>
      </c>
      <c r="L133" s="8">
        <v>48898.8</v>
      </c>
      <c r="M133" s="11">
        <f t="shared" si="61"/>
        <v>78</v>
      </c>
      <c r="N133" s="2">
        <f t="shared" si="62"/>
        <v>108.46153846153847</v>
      </c>
      <c r="O133" s="2">
        <f t="shared" si="69"/>
        <v>84.600000000000009</v>
      </c>
      <c r="P133" s="2">
        <f t="shared" si="63"/>
        <v>80.930993534767126</v>
      </c>
      <c r="Q133" s="11">
        <f t="shared" si="64"/>
        <v>1014.9887972888447</v>
      </c>
      <c r="R133" s="11">
        <f t="shared" si="65"/>
        <v>145.73584905660377</v>
      </c>
      <c r="S133" s="8">
        <v>112000</v>
      </c>
      <c r="T133" s="2">
        <f t="shared" si="70"/>
        <v>2.4093275394742504</v>
      </c>
      <c r="U133" s="2">
        <f t="shared" si="77"/>
        <v>2.3737479131886476</v>
      </c>
      <c r="V133" s="18">
        <v>43192</v>
      </c>
      <c r="W133" s="18">
        <v>111483.43</v>
      </c>
      <c r="X133" s="2">
        <f t="shared" si="66"/>
        <v>192.87790657439444</v>
      </c>
      <c r="Y133" s="7">
        <v>18000</v>
      </c>
      <c r="Z133" s="7">
        <v>13500</v>
      </c>
      <c r="AA133" s="7">
        <v>19000</v>
      </c>
      <c r="AB133" s="7">
        <v>24000</v>
      </c>
      <c r="AC133" s="7">
        <v>37500</v>
      </c>
      <c r="AD133" s="18"/>
      <c r="AE133" s="18"/>
      <c r="AF133" s="18"/>
      <c r="AG133" s="18">
        <f t="shared" si="67"/>
        <v>0.91541892737896491</v>
      </c>
      <c r="AH133" s="7">
        <v>2.59</v>
      </c>
      <c r="AI133" s="18">
        <f t="shared" si="79"/>
        <v>145.02823670668954</v>
      </c>
      <c r="AK133" s="2">
        <f t="shared" si="71"/>
        <v>30.874785591766724</v>
      </c>
      <c r="AL133" s="2">
        <f t="shared" si="72"/>
        <v>23.156089193825043</v>
      </c>
      <c r="AM133" s="2">
        <f t="shared" si="73"/>
        <v>32.590051457975989</v>
      </c>
      <c r="AN133" s="2">
        <f t="shared" si="74"/>
        <v>41.166380789022298</v>
      </c>
      <c r="AO133" s="2">
        <f t="shared" si="75"/>
        <v>64.322469982847338</v>
      </c>
    </row>
    <row r="134" spans="1:41" x14ac:dyDescent="0.25">
      <c r="A134" s="22">
        <v>2542</v>
      </c>
      <c r="B134" s="7" t="s">
        <v>41</v>
      </c>
      <c r="C134" s="12">
        <v>46378</v>
      </c>
      <c r="D134" s="7">
        <v>67</v>
      </c>
      <c r="E134" s="7">
        <v>563</v>
      </c>
      <c r="F134" s="7">
        <v>14632</v>
      </c>
      <c r="G134" s="2">
        <f t="shared" si="60"/>
        <v>25.989342806394315</v>
      </c>
      <c r="H134" s="8">
        <v>552</v>
      </c>
      <c r="I134" s="7">
        <v>44624</v>
      </c>
      <c r="J134" s="6">
        <f t="shared" si="78"/>
        <v>1.9538188277087087E-2</v>
      </c>
      <c r="K134" s="8">
        <f t="shared" si="47"/>
        <v>60068.923076923078</v>
      </c>
      <c r="L134" s="8">
        <v>46853.760000000002</v>
      </c>
      <c r="M134" s="11">
        <f t="shared" si="61"/>
        <v>78</v>
      </c>
      <c r="N134" s="2">
        <f t="shared" si="62"/>
        <v>108.82051282051282</v>
      </c>
      <c r="O134" s="2">
        <f t="shared" si="69"/>
        <v>84.88000000000001</v>
      </c>
      <c r="P134" s="2">
        <f t="shared" si="63"/>
        <v>80.705014346222157</v>
      </c>
      <c r="Q134" s="11">
        <f t="shared" si="64"/>
        <v>1018.2171718564692</v>
      </c>
      <c r="R134" s="11">
        <f t="shared" si="65"/>
        <v>146.26110124333925</v>
      </c>
      <c r="S134" s="8">
        <v>110500</v>
      </c>
      <c r="T134" s="2">
        <f t="shared" si="70"/>
        <v>2.4762459662961636</v>
      </c>
      <c r="U134" s="2">
        <f t="shared" si="77"/>
        <v>2.4319428455339609</v>
      </c>
      <c r="V134" s="18">
        <v>47645</v>
      </c>
      <c r="W134" s="18">
        <v>109475</v>
      </c>
      <c r="X134" s="2">
        <f t="shared" si="66"/>
        <v>198.32427536231884</v>
      </c>
      <c r="Y134" s="7">
        <v>12000</v>
      </c>
      <c r="Z134" s="7">
        <v>15000</v>
      </c>
      <c r="AA134" s="7">
        <v>17500</v>
      </c>
      <c r="AB134" s="7">
        <v>17000</v>
      </c>
      <c r="AC134" s="7">
        <v>49000</v>
      </c>
      <c r="AD134" s="18"/>
      <c r="AE134" s="18"/>
      <c r="AF134" s="18"/>
      <c r="AG134" s="18">
        <f t="shared" si="67"/>
        <v>1.0485965328096432</v>
      </c>
      <c r="AH134" s="7">
        <v>2.58</v>
      </c>
      <c r="AI134" s="18">
        <f t="shared" si="79"/>
        <v>134.36340177619894</v>
      </c>
      <c r="AK134" s="2">
        <f t="shared" si="71"/>
        <v>21.314387211367674</v>
      </c>
      <c r="AL134" s="2">
        <f t="shared" si="72"/>
        <v>26.642984014209592</v>
      </c>
      <c r="AM134" s="2">
        <f t="shared" si="73"/>
        <v>31.083481349911189</v>
      </c>
      <c r="AN134" s="2">
        <f t="shared" si="74"/>
        <v>30.195381882770871</v>
      </c>
      <c r="AO134" s="2">
        <f t="shared" si="75"/>
        <v>87.033747779751337</v>
      </c>
    </row>
    <row r="135" spans="1:41" x14ac:dyDescent="0.25">
      <c r="A135" s="22">
        <v>2543</v>
      </c>
      <c r="B135" s="7" t="s">
        <v>42</v>
      </c>
      <c r="C135" s="12">
        <v>46385</v>
      </c>
      <c r="D135" s="7">
        <v>66</v>
      </c>
      <c r="E135" s="7">
        <v>599</v>
      </c>
      <c r="F135" s="7">
        <v>14909</v>
      </c>
      <c r="G135" s="2">
        <f t="shared" si="60"/>
        <v>24.889816360601003</v>
      </c>
      <c r="H135" s="8">
        <v>589</v>
      </c>
      <c r="I135" s="7">
        <v>47097</v>
      </c>
      <c r="J135" s="6">
        <f t="shared" si="78"/>
        <v>1.6694490818030094E-2</v>
      </c>
      <c r="K135" s="8">
        <f t="shared" si="47"/>
        <v>62381.153846153851</v>
      </c>
      <c r="L135" s="8">
        <v>48657.3</v>
      </c>
      <c r="M135" s="11">
        <f t="shared" si="61"/>
        <v>78</v>
      </c>
      <c r="N135" s="2">
        <f t="shared" si="62"/>
        <v>105.91027817683167</v>
      </c>
      <c r="O135" s="2">
        <f t="shared" si="69"/>
        <v>82.610016977928694</v>
      </c>
      <c r="P135" s="2">
        <f t="shared" si="63"/>
        <v>79.25234364967254</v>
      </c>
      <c r="Q135" s="11">
        <f t="shared" si="64"/>
        <v>1007.9655571725133</v>
      </c>
      <c r="R135" s="11">
        <f t="shared" si="65"/>
        <v>144.62604340567611</v>
      </c>
      <c r="S135" s="8">
        <v>114000</v>
      </c>
      <c r="T135" s="2">
        <f t="shared" si="70"/>
        <v>2.420536339894261</v>
      </c>
      <c r="U135" s="2">
        <v>2.41</v>
      </c>
      <c r="V135" s="18">
        <v>50119</v>
      </c>
      <c r="W135" s="18">
        <v>112752.79</v>
      </c>
      <c r="X135" s="2">
        <f t="shared" si="66"/>
        <v>191.430882852292</v>
      </c>
      <c r="Y135" s="7">
        <v>19000</v>
      </c>
      <c r="Z135" s="7">
        <v>17500</v>
      </c>
      <c r="AA135" s="7">
        <v>23500</v>
      </c>
      <c r="AB135" s="7">
        <v>15000</v>
      </c>
      <c r="AC135" s="7">
        <v>39000</v>
      </c>
      <c r="AD135" s="18"/>
      <c r="AE135" s="18"/>
      <c r="AF135" s="18"/>
      <c r="AG135" s="18">
        <f t="shared" si="67"/>
        <v>1.0557557628925782</v>
      </c>
      <c r="AH135" s="7">
        <v>2.6</v>
      </c>
      <c r="AI135" s="18">
        <f t="shared" si="79"/>
        <v>131.1149256117298</v>
      </c>
      <c r="AK135" s="2">
        <f t="shared" si="71"/>
        <v>31.719532554257096</v>
      </c>
      <c r="AL135" s="2">
        <f t="shared" si="72"/>
        <v>29.215358931552586</v>
      </c>
      <c r="AM135" s="2">
        <f t="shared" si="73"/>
        <v>39.232053422370619</v>
      </c>
      <c r="AN135" s="2">
        <f t="shared" si="74"/>
        <v>25.041736227045075</v>
      </c>
      <c r="AO135" s="2">
        <f t="shared" si="75"/>
        <v>65.108514190317194</v>
      </c>
    </row>
    <row r="136" spans="1:41" x14ac:dyDescent="0.25">
      <c r="A136" s="22">
        <v>2544</v>
      </c>
      <c r="B136" s="7" t="s">
        <v>43</v>
      </c>
      <c r="C136" s="12">
        <v>46027</v>
      </c>
      <c r="D136" s="7">
        <v>66</v>
      </c>
      <c r="E136" s="7">
        <v>546</v>
      </c>
      <c r="F136" s="7">
        <v>15095</v>
      </c>
      <c r="G136" s="2">
        <f t="shared" si="60"/>
        <v>27.646520146520146</v>
      </c>
      <c r="H136" s="8">
        <v>535</v>
      </c>
      <c r="I136" s="7">
        <v>42870</v>
      </c>
      <c r="J136" s="6">
        <f t="shared" si="78"/>
        <v>2.0146520146520186E-2</v>
      </c>
      <c r="K136" s="8">
        <f t="shared" si="47"/>
        <v>59330.769230769227</v>
      </c>
      <c r="L136" s="8">
        <v>46278</v>
      </c>
      <c r="M136" s="11">
        <f t="shared" si="61"/>
        <v>78</v>
      </c>
      <c r="N136" s="2">
        <f t="shared" si="62"/>
        <v>110.89863407620416</v>
      </c>
      <c r="O136" s="2">
        <f t="shared" si="69"/>
        <v>86.500934579439246</v>
      </c>
      <c r="P136" s="2">
        <f t="shared" si="63"/>
        <v>81.017892364046205</v>
      </c>
      <c r="Q136" s="11">
        <f t="shared" si="64"/>
        <v>1031.8583912005886</v>
      </c>
      <c r="R136" s="11">
        <f t="shared" si="65"/>
        <v>144.5164835164835</v>
      </c>
      <c r="S136" s="8">
        <v>107500</v>
      </c>
      <c r="T136" s="2">
        <f t="shared" si="70"/>
        <v>2.5075810590156284</v>
      </c>
      <c r="U136" s="2">
        <f t="shared" si="77"/>
        <v>2.430160068861781</v>
      </c>
      <c r="V136" s="18">
        <v>47016.5</v>
      </c>
      <c r="W136" s="18">
        <v>106152.29</v>
      </c>
      <c r="X136" s="2">
        <f t="shared" si="66"/>
        <v>198.4154953271028</v>
      </c>
      <c r="Y136" s="7">
        <v>15000</v>
      </c>
      <c r="Z136" s="7">
        <v>15000</v>
      </c>
      <c r="AA136" s="7">
        <v>19500</v>
      </c>
      <c r="AB136" s="7">
        <v>14000</v>
      </c>
      <c r="AC136" s="7">
        <v>44000</v>
      </c>
      <c r="AD136" s="18"/>
      <c r="AE136" s="18"/>
      <c r="AF136" s="18"/>
      <c r="AG136" s="18">
        <f t="shared" si="67"/>
        <v>1.0628615895594411</v>
      </c>
      <c r="AH136" s="7">
        <v>2.58</v>
      </c>
      <c r="AI136" s="18">
        <f t="shared" si="79"/>
        <v>137.06160535414739</v>
      </c>
      <c r="AK136" s="2">
        <f t="shared" si="71"/>
        <v>27.472527472527471</v>
      </c>
      <c r="AL136" s="2">
        <f t="shared" si="72"/>
        <v>27.472527472527471</v>
      </c>
      <c r="AM136" s="2">
        <f t="shared" si="73"/>
        <v>35.714285714285715</v>
      </c>
      <c r="AN136" s="2">
        <f t="shared" si="74"/>
        <v>25.641025641025642</v>
      </c>
      <c r="AO136" s="2">
        <f t="shared" si="75"/>
        <v>80.586080586080584</v>
      </c>
    </row>
    <row r="137" spans="1:41" x14ac:dyDescent="0.25">
      <c r="A137" s="22">
        <v>2545</v>
      </c>
      <c r="B137" s="7" t="s">
        <v>44</v>
      </c>
      <c r="C137" s="12">
        <v>46034</v>
      </c>
      <c r="D137" s="7">
        <v>66</v>
      </c>
      <c r="E137" s="7">
        <v>512</v>
      </c>
      <c r="F137" s="7">
        <v>14042</v>
      </c>
      <c r="G137" s="2">
        <f t="shared" si="60"/>
        <v>27.42578125</v>
      </c>
      <c r="H137" s="8">
        <v>504</v>
      </c>
      <c r="I137" s="7">
        <v>42632</v>
      </c>
      <c r="J137" s="6">
        <f t="shared" si="78"/>
        <v>1.5625E-2</v>
      </c>
      <c r="K137" s="8">
        <f t="shared" si="47"/>
        <v>59678.769230769234</v>
      </c>
      <c r="L137" s="8">
        <v>46549.440000000002</v>
      </c>
      <c r="M137" s="11">
        <f t="shared" si="61"/>
        <v>78</v>
      </c>
      <c r="N137" s="2">
        <f t="shared" si="62"/>
        <v>118.41025641025642</v>
      </c>
      <c r="O137" s="2">
        <f t="shared" si="69"/>
        <v>92.36</v>
      </c>
      <c r="P137" s="2">
        <f t="shared" si="63"/>
        <v>89.13431490384616</v>
      </c>
      <c r="Q137" s="11">
        <f t="shared" si="64"/>
        <v>1070.481545101549</v>
      </c>
      <c r="R137" s="11">
        <f t="shared" si="65"/>
        <v>149.265625</v>
      </c>
      <c r="S137" s="8">
        <v>109000</v>
      </c>
      <c r="T137" s="2">
        <f t="shared" si="70"/>
        <v>2.5567648714580598</v>
      </c>
      <c r="U137" s="2">
        <f t="shared" si="77"/>
        <v>2.3884249879483139</v>
      </c>
      <c r="V137" s="18"/>
      <c r="W137" s="18">
        <v>108356.01</v>
      </c>
      <c r="X137" s="2">
        <f t="shared" si="66"/>
        <v>214.99208333333331</v>
      </c>
      <c r="Y137" s="7">
        <v>13000</v>
      </c>
      <c r="Z137" s="7">
        <v>18000</v>
      </c>
      <c r="AA137" s="7">
        <v>18500</v>
      </c>
      <c r="AB137" s="7">
        <v>19000</v>
      </c>
      <c r="AC137" s="7">
        <v>40500</v>
      </c>
      <c r="AD137" s="18"/>
      <c r="AE137" s="18"/>
      <c r="AF137" s="18"/>
      <c r="AG137" s="18">
        <f t="shared" si="67"/>
        <v>0</v>
      </c>
      <c r="AH137" s="7">
        <v>2.58</v>
      </c>
      <c r="AI137" s="18">
        <f t="shared" si="79"/>
        <v>238.28880000000001</v>
      </c>
      <c r="AJ137" s="1" t="s">
        <v>114</v>
      </c>
      <c r="AK137" s="2">
        <f t="shared" si="71"/>
        <v>25.390625</v>
      </c>
      <c r="AL137" s="2">
        <f t="shared" si="72"/>
        <v>35.15625</v>
      </c>
      <c r="AM137" s="2">
        <f t="shared" si="73"/>
        <v>36.1328125</v>
      </c>
      <c r="AN137" s="2">
        <f t="shared" si="74"/>
        <v>37.109375</v>
      </c>
      <c r="AO137" s="2">
        <f t="shared" si="75"/>
        <v>79.1015625</v>
      </c>
    </row>
    <row r="138" spans="1:41" x14ac:dyDescent="0.25">
      <c r="A138" s="22">
        <v>2546</v>
      </c>
      <c r="B138" s="7" t="s">
        <v>45</v>
      </c>
      <c r="C138" s="12">
        <v>46041</v>
      </c>
      <c r="D138" s="7">
        <v>66</v>
      </c>
      <c r="E138" s="7">
        <v>508</v>
      </c>
      <c r="F138" s="7">
        <v>13614</v>
      </c>
      <c r="G138" s="2">
        <f t="shared" si="60"/>
        <v>26.799212598425196</v>
      </c>
      <c r="H138" s="8">
        <v>502</v>
      </c>
      <c r="I138" s="7">
        <v>39876</v>
      </c>
      <c r="J138" s="6">
        <f t="shared" si="78"/>
        <v>1.1811023622047223E-2</v>
      </c>
      <c r="K138" s="8">
        <f t="shared" si="47"/>
        <v>59441.923076923071</v>
      </c>
      <c r="L138" s="8">
        <v>46364.7</v>
      </c>
      <c r="M138" s="11">
        <f t="shared" si="61"/>
        <v>78</v>
      </c>
      <c r="N138" s="2">
        <f t="shared" si="62"/>
        <v>118.41020533251607</v>
      </c>
      <c r="O138" s="2">
        <f t="shared" si="69"/>
        <v>92.359960159362544</v>
      </c>
      <c r="P138" s="2">
        <f t="shared" si="63"/>
        <v>90.212447001817068</v>
      </c>
      <c r="Q138" s="11">
        <f t="shared" si="64"/>
        <v>1149.2607853576856</v>
      </c>
      <c r="R138" s="11">
        <f t="shared" si="65"/>
        <v>144.49606299212599</v>
      </c>
      <c r="S138" s="8">
        <v>110000</v>
      </c>
      <c r="T138" s="2">
        <f t="shared" si="70"/>
        <v>2.7585515096800082</v>
      </c>
      <c r="U138" s="2">
        <f t="shared" si="77"/>
        <v>2.4002833341446181</v>
      </c>
      <c r="V138" s="18"/>
      <c r="W138" s="18">
        <v>109511.76</v>
      </c>
      <c r="X138" s="2">
        <f t="shared" si="66"/>
        <v>218.15091633466133</v>
      </c>
      <c r="Y138" s="7">
        <v>15000</v>
      </c>
      <c r="Z138" s="7">
        <v>16000</v>
      </c>
      <c r="AA138" s="7">
        <v>18000</v>
      </c>
      <c r="AB138" s="7">
        <v>19000</v>
      </c>
      <c r="AC138" s="7">
        <v>42000</v>
      </c>
      <c r="AD138" s="18"/>
      <c r="AE138" s="18"/>
      <c r="AF138" s="18"/>
      <c r="AG138" s="18">
        <f t="shared" si="67"/>
        <v>0</v>
      </c>
      <c r="AH138" s="7">
        <v>2.59</v>
      </c>
      <c r="AI138" s="18">
        <f t="shared" si="79"/>
        <v>239.21229681274897</v>
      </c>
      <c r="AK138" s="2">
        <f t="shared" si="71"/>
        <v>29.527559055118111</v>
      </c>
      <c r="AL138" s="2">
        <f t="shared" si="72"/>
        <v>31.496062992125985</v>
      </c>
      <c r="AM138" s="2">
        <f t="shared" si="73"/>
        <v>35.433070866141733</v>
      </c>
      <c r="AN138" s="2">
        <f t="shared" si="74"/>
        <v>37.401574803149607</v>
      </c>
      <c r="AO138" s="2">
        <f t="shared" si="75"/>
        <v>82.677165354330711</v>
      </c>
    </row>
    <row r="139" spans="1:41" x14ac:dyDescent="0.25">
      <c r="A139" s="22">
        <v>2547</v>
      </c>
      <c r="B139" s="7" t="s">
        <v>46</v>
      </c>
      <c r="C139" s="12">
        <v>46048</v>
      </c>
      <c r="D139" s="7">
        <v>66</v>
      </c>
      <c r="E139" s="7">
        <v>496</v>
      </c>
      <c r="F139" s="7">
        <v>13516</v>
      </c>
      <c r="G139" s="2">
        <f t="shared" si="60"/>
        <v>27.25</v>
      </c>
      <c r="H139" s="8">
        <v>490</v>
      </c>
      <c r="I139" s="7">
        <v>38965</v>
      </c>
      <c r="J139" s="6">
        <f t="shared" si="78"/>
        <v>1.2096774193548376E-2</v>
      </c>
      <c r="K139" s="8">
        <f t="shared" si="47"/>
        <v>53992.307692307688</v>
      </c>
      <c r="L139" s="8">
        <v>42114</v>
      </c>
      <c r="M139" s="11">
        <f t="shared" si="61"/>
        <v>78</v>
      </c>
      <c r="N139" s="2">
        <f t="shared" si="62"/>
        <v>110.1883830455259</v>
      </c>
      <c r="O139" s="2">
        <f t="shared" si="69"/>
        <v>85.946938775510205</v>
      </c>
      <c r="P139" s="2">
        <f t="shared" si="63"/>
        <v>81.605459057071954</v>
      </c>
      <c r="Q139" s="11">
        <f t="shared" si="64"/>
        <v>1038.7862874966684</v>
      </c>
      <c r="R139" s="11">
        <f t="shared" si="65"/>
        <v>144.55846774193549</v>
      </c>
      <c r="S139" s="8">
        <v>97000</v>
      </c>
      <c r="T139" s="2">
        <f t="shared" si="70"/>
        <v>2.4894135762864109</v>
      </c>
      <c r="U139" s="2">
        <f t="shared" si="77"/>
        <v>2.3964636482500685</v>
      </c>
      <c r="V139" s="18"/>
      <c r="W139" s="18">
        <v>96451.31</v>
      </c>
      <c r="X139" s="2">
        <f t="shared" si="66"/>
        <v>196.83940816326529</v>
      </c>
      <c r="Y139" s="7">
        <v>14000</v>
      </c>
      <c r="Z139" s="7">
        <v>22000</v>
      </c>
      <c r="AA139" s="7">
        <v>16000</v>
      </c>
      <c r="AB139" s="7">
        <v>14000</v>
      </c>
      <c r="AC139" s="7">
        <v>31000</v>
      </c>
      <c r="AD139" s="18"/>
      <c r="AE139" s="18"/>
      <c r="AF139" s="18"/>
      <c r="AG139" s="18">
        <f t="shared" si="67"/>
        <v>0</v>
      </c>
      <c r="AH139" s="7">
        <v>2.6</v>
      </c>
      <c r="AI139" s="18">
        <f t="shared" si="79"/>
        <v>223.46204081632655</v>
      </c>
      <c r="AK139" s="2">
        <f t="shared" si="71"/>
        <v>28.225806451612904</v>
      </c>
      <c r="AL139" s="2">
        <f t="shared" si="72"/>
        <v>44.354838709677416</v>
      </c>
      <c r="AM139" s="2">
        <f t="shared" si="73"/>
        <v>32.258064516129032</v>
      </c>
      <c r="AN139" s="2">
        <f t="shared" si="74"/>
        <v>28.225806451612904</v>
      </c>
      <c r="AO139" s="2">
        <f t="shared" si="75"/>
        <v>62.5</v>
      </c>
    </row>
    <row r="140" spans="1:41" x14ac:dyDescent="0.25">
      <c r="A140" s="22">
        <v>2548</v>
      </c>
      <c r="B140" s="7" t="s">
        <v>47</v>
      </c>
      <c r="C140" s="12">
        <v>46055</v>
      </c>
      <c r="D140" s="7">
        <v>65</v>
      </c>
      <c r="E140" s="7">
        <v>530</v>
      </c>
      <c r="F140" s="7">
        <v>14151</v>
      </c>
      <c r="G140" s="2">
        <f t="shared" si="60"/>
        <v>26.7</v>
      </c>
      <c r="H140" s="8">
        <v>523</v>
      </c>
      <c r="I140" s="7">
        <v>41589</v>
      </c>
      <c r="J140" s="6">
        <f t="shared" si="78"/>
        <v>1.3207547169811318E-2</v>
      </c>
      <c r="K140" s="8">
        <f t="shared" si="47"/>
        <v>58341.320512820515</v>
      </c>
      <c r="L140" s="8">
        <v>45506.23</v>
      </c>
      <c r="M140" s="11">
        <f t="shared" si="61"/>
        <v>78</v>
      </c>
      <c r="N140" s="2">
        <f t="shared" si="62"/>
        <v>111.55128205128206</v>
      </c>
      <c r="O140" s="2">
        <f t="shared" si="69"/>
        <v>87.01</v>
      </c>
      <c r="P140" s="2">
        <f t="shared" si="63"/>
        <v>83.377963231736828</v>
      </c>
      <c r="Q140" s="11">
        <f t="shared" si="64"/>
        <v>1062.5482823059108</v>
      </c>
      <c r="R140" s="11">
        <f t="shared" si="65"/>
        <v>143.46981132075473</v>
      </c>
      <c r="S140" s="8">
        <v>104500</v>
      </c>
      <c r="T140" s="2">
        <f t="shared" si="70"/>
        <v>2.5126836423092644</v>
      </c>
      <c r="U140" s="2">
        <v>2.37</v>
      </c>
      <c r="V140" s="18"/>
      <c r="W140" s="18">
        <v>103930.52</v>
      </c>
      <c r="X140" s="2">
        <f t="shared" si="66"/>
        <v>198.71992351816445</v>
      </c>
      <c r="Y140" s="7">
        <v>13500</v>
      </c>
      <c r="Z140" s="7">
        <v>15000</v>
      </c>
      <c r="AA140" s="7">
        <v>15000</v>
      </c>
      <c r="AB140" s="7">
        <v>17000</v>
      </c>
      <c r="AC140" s="7">
        <v>44000</v>
      </c>
      <c r="AD140" s="18"/>
      <c r="AE140" s="18"/>
      <c r="AF140" s="18"/>
      <c r="AG140" s="18">
        <f t="shared" si="67"/>
        <v>0</v>
      </c>
      <c r="AH140" s="7">
        <v>2.59</v>
      </c>
      <c r="AI140" s="18">
        <f t="shared" si="79"/>
        <v>225.35589999999999</v>
      </c>
      <c r="AK140" s="2">
        <f t="shared" si="71"/>
        <v>25.471698113207548</v>
      </c>
      <c r="AL140" s="2">
        <f t="shared" si="72"/>
        <v>28.30188679245283</v>
      </c>
      <c r="AM140" s="2">
        <f t="shared" si="73"/>
        <v>28.30188679245283</v>
      </c>
      <c r="AN140" s="2">
        <f t="shared" si="74"/>
        <v>32.075471698113205</v>
      </c>
      <c r="AO140" s="2">
        <f t="shared" si="75"/>
        <v>83.018867924528308</v>
      </c>
    </row>
    <row r="141" spans="1:41" x14ac:dyDescent="0.25">
      <c r="A141" s="22">
        <v>2549</v>
      </c>
      <c r="B141" s="7" t="s">
        <v>50</v>
      </c>
      <c r="C141" s="12">
        <v>46062</v>
      </c>
      <c r="D141" s="7">
        <v>66</v>
      </c>
      <c r="E141" s="7">
        <v>520</v>
      </c>
      <c r="F141" s="7">
        <v>14158</v>
      </c>
      <c r="G141" s="2">
        <f t="shared" si="60"/>
        <v>27.226923076923075</v>
      </c>
      <c r="H141" s="8">
        <v>513</v>
      </c>
      <c r="I141" s="7">
        <v>40449</v>
      </c>
      <c r="J141" s="6">
        <f t="shared" si="78"/>
        <v>1.3461538461538414E-2</v>
      </c>
      <c r="K141" s="8">
        <f t="shared" si="47"/>
        <v>58425.641025641024</v>
      </c>
      <c r="L141" s="8">
        <v>45572</v>
      </c>
      <c r="M141" s="11">
        <f t="shared" si="61"/>
        <v>78</v>
      </c>
      <c r="N141" s="2">
        <f t="shared" si="62"/>
        <v>113.89013845154196</v>
      </c>
      <c r="O141" s="2">
        <f t="shared" si="69"/>
        <v>88.834307992202724</v>
      </c>
      <c r="P141" s="2">
        <f t="shared" si="63"/>
        <v>85.130078895463512</v>
      </c>
      <c r="Q141" s="11">
        <f t="shared" si="64"/>
        <v>1094.4063147578684</v>
      </c>
      <c r="R141" s="11">
        <f t="shared" si="65"/>
        <v>143.78653846153844</v>
      </c>
      <c r="S141" s="8">
        <v>107500</v>
      </c>
      <c r="T141" s="2">
        <f t="shared" si="70"/>
        <v>2.6576676802887587</v>
      </c>
      <c r="U141" s="2">
        <f t="shared" si="77"/>
        <v>2.4284104033854677</v>
      </c>
      <c r="V141" s="18"/>
      <c r="W141" s="18">
        <v>106707.87</v>
      </c>
      <c r="X141" s="2">
        <f t="shared" si="66"/>
        <v>208.0075438596491</v>
      </c>
      <c r="Y141" s="7">
        <v>18500</v>
      </c>
      <c r="Z141" s="7">
        <v>17000</v>
      </c>
      <c r="AA141" s="7">
        <v>21000</v>
      </c>
      <c r="AB141" s="7">
        <v>11000</v>
      </c>
      <c r="AC141" s="7">
        <v>40000</v>
      </c>
      <c r="AD141" s="18"/>
      <c r="AE141" s="18"/>
      <c r="AF141" s="18"/>
      <c r="AG141" s="18">
        <f t="shared" si="67"/>
        <v>0</v>
      </c>
      <c r="AH141" s="7">
        <v>2.59</v>
      </c>
      <c r="AI141" s="18">
        <f t="shared" si="79"/>
        <v>230.08085769980505</v>
      </c>
      <c r="AK141" s="2">
        <f t="shared" si="71"/>
        <v>35.57692307692308</v>
      </c>
      <c r="AL141" s="2">
        <f t="shared" si="72"/>
        <v>32.692307692307693</v>
      </c>
      <c r="AM141" s="2">
        <f t="shared" si="73"/>
        <v>40.384615384615387</v>
      </c>
      <c r="AN141" s="2">
        <f t="shared" si="74"/>
        <v>21.153846153846153</v>
      </c>
      <c r="AO141" s="2">
        <f t="shared" si="75"/>
        <v>76.92307692307692</v>
      </c>
    </row>
    <row r="142" spans="1:41" x14ac:dyDescent="0.25">
      <c r="A142" s="22">
        <v>2550</v>
      </c>
      <c r="B142" s="7" t="s">
        <v>52</v>
      </c>
      <c r="C142" s="12">
        <v>46069</v>
      </c>
      <c r="D142" s="7">
        <v>67</v>
      </c>
      <c r="E142" s="7">
        <v>534</v>
      </c>
      <c r="F142" s="7">
        <v>14190</v>
      </c>
      <c r="G142" s="2">
        <f t="shared" si="60"/>
        <v>26.573033707865168</v>
      </c>
      <c r="H142" s="8">
        <v>527</v>
      </c>
      <c r="I142" s="7">
        <v>42265</v>
      </c>
      <c r="J142" s="6">
        <f t="shared" si="78"/>
        <v>1.310861423220977E-2</v>
      </c>
      <c r="K142" s="8">
        <f t="shared" si="47"/>
        <v>59638.461538461539</v>
      </c>
      <c r="L142" s="8">
        <v>46518</v>
      </c>
      <c r="M142" s="11">
        <f t="shared" si="61"/>
        <v>78</v>
      </c>
      <c r="N142" s="2">
        <f t="shared" si="62"/>
        <v>113.16596117355131</v>
      </c>
      <c r="O142" s="2">
        <f t="shared" si="69"/>
        <v>88.269449715370015</v>
      </c>
      <c r="P142" s="2">
        <f t="shared" si="63"/>
        <v>85.109478536444826</v>
      </c>
      <c r="Q142" s="11">
        <f t="shared" si="64"/>
        <v>1075.3214607467537</v>
      </c>
      <c r="R142" s="11">
        <f t="shared" si="65"/>
        <v>146.14794007490639</v>
      </c>
      <c r="S142" s="8">
        <v>109500</v>
      </c>
      <c r="T142" s="2">
        <f t="shared" si="70"/>
        <v>2.5907961670412871</v>
      </c>
      <c r="U142" s="2">
        <f t="shared" si="77"/>
        <v>2.4093224785471286</v>
      </c>
      <c r="V142" s="18"/>
      <c r="W142" s="18">
        <v>109306</v>
      </c>
      <c r="X142" s="2">
        <f t="shared" si="66"/>
        <v>207.41176470588235</v>
      </c>
      <c r="Y142" s="7">
        <v>16000</v>
      </c>
      <c r="Z142" s="7">
        <v>16000</v>
      </c>
      <c r="AA142" s="7">
        <v>18000</v>
      </c>
      <c r="AB142" s="7">
        <v>15000</v>
      </c>
      <c r="AC142" s="7">
        <v>44500</v>
      </c>
      <c r="AD142" s="18"/>
      <c r="AE142" s="18"/>
      <c r="AF142" s="18"/>
      <c r="AG142" s="18">
        <f t="shared" si="67"/>
        <v>0</v>
      </c>
      <c r="AH142" s="7">
        <v>2.6</v>
      </c>
      <c r="AI142" s="18">
        <f t="shared" si="79"/>
        <v>229.50056925996205</v>
      </c>
      <c r="AK142" s="2">
        <f t="shared" si="71"/>
        <v>29.962546816479399</v>
      </c>
      <c r="AL142" s="2">
        <f t="shared" si="72"/>
        <v>29.962546816479399</v>
      </c>
      <c r="AM142" s="2">
        <f t="shared" si="73"/>
        <v>33.707865168539328</v>
      </c>
      <c r="AN142" s="2">
        <f t="shared" si="74"/>
        <v>28.089887640449437</v>
      </c>
      <c r="AO142" s="2">
        <f t="shared" si="75"/>
        <v>83.333333333333329</v>
      </c>
    </row>
    <row r="143" spans="1:41" x14ac:dyDescent="0.25">
      <c r="A143" s="22">
        <v>2551</v>
      </c>
      <c r="B143" s="7" t="s">
        <v>87</v>
      </c>
      <c r="C143" s="12">
        <v>46076</v>
      </c>
      <c r="D143" s="7">
        <v>66</v>
      </c>
      <c r="E143" s="7">
        <v>636</v>
      </c>
      <c r="F143" s="7">
        <v>16250</v>
      </c>
      <c r="G143" s="2">
        <f t="shared" si="60"/>
        <v>25.550314465408807</v>
      </c>
      <c r="H143" s="8">
        <v>622</v>
      </c>
      <c r="I143" s="7">
        <v>49760</v>
      </c>
      <c r="J143" s="6">
        <f t="shared" si="78"/>
        <v>2.2012578616352196E-2</v>
      </c>
      <c r="K143" s="8">
        <f t="shared" si="47"/>
        <v>68125.897435897423</v>
      </c>
      <c r="L143" s="8">
        <v>53138.2</v>
      </c>
      <c r="M143" s="11">
        <f t="shared" si="61"/>
        <v>78.000000000000014</v>
      </c>
      <c r="N143" s="2">
        <f t="shared" si="62"/>
        <v>109.52716629565502</v>
      </c>
      <c r="O143" s="2">
        <f t="shared" si="69"/>
        <v>85.431189710610923</v>
      </c>
      <c r="P143" s="2">
        <f t="shared" si="63"/>
        <v>81.565876471536825</v>
      </c>
      <c r="Q143" s="11">
        <f t="shared" si="64"/>
        <v>1042.522054579932</v>
      </c>
      <c r="R143" s="11">
        <f t="shared" si="65"/>
        <v>144.23899371069183</v>
      </c>
      <c r="S143" s="8">
        <v>125400</v>
      </c>
      <c r="T143" s="2">
        <f t="shared" si="70"/>
        <v>2.520096463022508</v>
      </c>
      <c r="U143" s="2">
        <f t="shared" si="77"/>
        <v>2.4173075782439359</v>
      </c>
      <c r="V143" s="18"/>
      <c r="W143" s="18"/>
      <c r="Y143" s="18"/>
      <c r="Z143" s="18"/>
      <c r="AA143" s="18"/>
      <c r="AB143" s="18"/>
      <c r="AC143" s="18"/>
      <c r="AD143" s="18"/>
      <c r="AE143" s="18"/>
      <c r="AF143" s="18"/>
      <c r="AG143" s="7">
        <f t="shared" si="67"/>
        <v>0</v>
      </c>
      <c r="AH143" s="7">
        <v>2.59</v>
      </c>
      <c r="AI143" s="18">
        <f t="shared" si="79"/>
        <v>221.26678135048229</v>
      </c>
      <c r="AJ143" s="1" t="s">
        <v>118</v>
      </c>
      <c r="AK143" s="2"/>
      <c r="AL143" s="2"/>
      <c r="AM143" s="2"/>
      <c r="AN143" s="2"/>
      <c r="AO143" s="2"/>
    </row>
    <row r="144" spans="1:41" x14ac:dyDescent="0.25">
      <c r="A144" s="22">
        <v>2552</v>
      </c>
      <c r="B144" s="7" t="s">
        <v>54</v>
      </c>
      <c r="C144" s="12">
        <v>46083</v>
      </c>
      <c r="D144" s="7">
        <v>66</v>
      </c>
      <c r="E144" s="7">
        <v>578</v>
      </c>
      <c r="F144" s="7">
        <v>14906</v>
      </c>
      <c r="G144" s="2">
        <f t="shared" si="60"/>
        <v>25.788927335640139</v>
      </c>
      <c r="H144" s="8">
        <v>571</v>
      </c>
      <c r="I144" s="7">
        <v>45430</v>
      </c>
      <c r="J144" s="6">
        <f t="shared" si="78"/>
        <v>1.2110726643598579E-2</v>
      </c>
      <c r="K144" s="8">
        <f t="shared" ref="K144:K155" si="80">L144/0.78</f>
        <v>63300.474358974359</v>
      </c>
      <c r="L144" s="8">
        <v>49374.37</v>
      </c>
      <c r="M144" s="11">
        <f t="shared" si="61"/>
        <v>78</v>
      </c>
      <c r="N144" s="2">
        <f t="shared" si="62"/>
        <v>110.85897435897436</v>
      </c>
      <c r="O144" s="2">
        <f t="shared" si="69"/>
        <v>86.47</v>
      </c>
      <c r="P144" s="2">
        <f t="shared" si="63"/>
        <v>83.72746428888297</v>
      </c>
      <c r="Q144" s="11">
        <f t="shared" si="64"/>
        <v>1065.2536728807916</v>
      </c>
      <c r="R144" s="11">
        <f t="shared" si="65"/>
        <v>144.598615916955</v>
      </c>
      <c r="S144" s="8">
        <v>114000</v>
      </c>
      <c r="T144" s="2">
        <f t="shared" si="70"/>
        <v>2.5093550517279333</v>
      </c>
      <c r="U144" s="2">
        <f t="shared" si="77"/>
        <v>2.3556408352405138</v>
      </c>
      <c r="V144" s="18"/>
      <c r="W144" s="18"/>
      <c r="Y144" s="18"/>
      <c r="Z144" s="18"/>
      <c r="AA144" s="18"/>
      <c r="AB144" s="18"/>
      <c r="AC144" s="18"/>
      <c r="AD144" s="18"/>
      <c r="AE144" s="18"/>
      <c r="AF144" s="18"/>
      <c r="AG144" s="7">
        <f t="shared" si="67"/>
        <v>0</v>
      </c>
      <c r="AH144" s="7">
        <v>2.59</v>
      </c>
      <c r="AI144" s="18">
        <f t="shared" si="79"/>
        <v>223.95729999999998</v>
      </c>
      <c r="AK144" s="2"/>
      <c r="AL144" s="2"/>
      <c r="AM144" s="2"/>
      <c r="AN144" s="2"/>
      <c r="AO144" s="2"/>
    </row>
    <row r="145" spans="1:41" x14ac:dyDescent="0.25">
      <c r="A145" s="22">
        <v>2601</v>
      </c>
      <c r="B145" s="7" t="s">
        <v>55</v>
      </c>
      <c r="C145" s="12">
        <v>46090</v>
      </c>
      <c r="D145" s="7">
        <v>65</v>
      </c>
      <c r="E145" s="7">
        <v>559</v>
      </c>
      <c r="F145" s="7">
        <v>14534</v>
      </c>
      <c r="G145" s="2">
        <f t="shared" si="60"/>
        <v>26</v>
      </c>
      <c r="H145" s="8">
        <v>555</v>
      </c>
      <c r="I145" s="7">
        <v>44484</v>
      </c>
      <c r="J145" s="6">
        <f t="shared" si="78"/>
        <v>7.1556350626118537E-3</v>
      </c>
      <c r="K145" s="8">
        <f t="shared" si="80"/>
        <v>64158.461538461532</v>
      </c>
      <c r="L145" s="8">
        <v>50043.6</v>
      </c>
      <c r="M145" s="11">
        <f t="shared" si="61"/>
        <v>78</v>
      </c>
      <c r="N145" s="2">
        <f t="shared" si="62"/>
        <v>115.60083160083158</v>
      </c>
      <c r="O145" s="2">
        <f t="shared" si="69"/>
        <v>90.168648648648642</v>
      </c>
      <c r="P145" s="2">
        <f t="shared" si="63"/>
        <v>88.773634236961598</v>
      </c>
      <c r="Q145" s="11">
        <f t="shared" si="64"/>
        <v>1115.5575384062029</v>
      </c>
      <c r="R145" s="11">
        <f t="shared" si="65"/>
        <v>144.5778175313059</v>
      </c>
      <c r="S145" s="8">
        <v>118200</v>
      </c>
      <c r="T145" s="2">
        <f t="shared" si="70"/>
        <v>2.6571351497167521</v>
      </c>
      <c r="U145" s="2">
        <f t="shared" si="77"/>
        <v>2.3818898248072449</v>
      </c>
      <c r="V145" s="18"/>
      <c r="W145" s="18"/>
      <c r="Y145" s="18"/>
      <c r="Z145" s="18"/>
      <c r="AA145" s="18"/>
      <c r="AB145" s="18"/>
      <c r="AC145" s="18"/>
      <c r="AD145" s="18"/>
      <c r="AE145" s="18"/>
      <c r="AF145" s="18"/>
      <c r="AG145" s="7">
        <f t="shared" si="67"/>
        <v>0</v>
      </c>
      <c r="AH145" s="7">
        <v>2.58</v>
      </c>
      <c r="AI145" s="18">
        <f t="shared" si="79"/>
        <v>232.63511351351349</v>
      </c>
      <c r="AK145" s="2"/>
      <c r="AL145" s="2"/>
      <c r="AM145" s="2"/>
      <c r="AN145" s="2"/>
      <c r="AO145" s="2"/>
    </row>
    <row r="146" spans="1:41" x14ac:dyDescent="0.25">
      <c r="A146" s="22">
        <v>2602</v>
      </c>
      <c r="B146" s="7" t="s">
        <v>41</v>
      </c>
      <c r="C146" s="12">
        <v>46097</v>
      </c>
      <c r="D146" s="7">
        <v>66</v>
      </c>
      <c r="E146" s="7">
        <v>566</v>
      </c>
      <c r="F146" s="7">
        <v>15480</v>
      </c>
      <c r="G146" s="2">
        <f t="shared" si="60"/>
        <v>27.349823321554769</v>
      </c>
      <c r="H146" s="8">
        <v>559</v>
      </c>
      <c r="I146" s="7">
        <v>44423</v>
      </c>
      <c r="J146" s="6">
        <f t="shared" si="78"/>
        <v>1.2367491166077715E-2</v>
      </c>
      <c r="K146" s="8">
        <f t="shared" si="80"/>
        <v>63528.205128205125</v>
      </c>
      <c r="L146" s="8">
        <v>49552</v>
      </c>
      <c r="M146" s="11">
        <f t="shared" si="61"/>
        <v>78</v>
      </c>
      <c r="N146" s="2">
        <f t="shared" si="62"/>
        <v>113.64616302004495</v>
      </c>
      <c r="O146" s="2">
        <f t="shared" si="69"/>
        <v>88.644007155635066</v>
      </c>
      <c r="P146" s="2">
        <f t="shared" si="63"/>
        <v>84.890821781281133</v>
      </c>
      <c r="Q146" s="11">
        <f t="shared" si="64"/>
        <v>1081.6064905162893</v>
      </c>
      <c r="R146" s="11">
        <f t="shared" si="65"/>
        <v>144.48586572438163</v>
      </c>
      <c r="S146" s="8">
        <v>113000</v>
      </c>
      <c r="T146" s="2">
        <f t="shared" si="70"/>
        <v>2.5437273484456249</v>
      </c>
      <c r="U146" s="2">
        <f t="shared" si="77"/>
        <v>2.3518048114073475</v>
      </c>
      <c r="V146" s="18"/>
      <c r="W146" s="18"/>
      <c r="Y146" s="18"/>
      <c r="Z146" s="18"/>
      <c r="AA146" s="18"/>
      <c r="AB146" s="18"/>
      <c r="AC146" s="18"/>
      <c r="AD146" s="18"/>
      <c r="AE146" s="18"/>
      <c r="AF146" s="18"/>
      <c r="AG146" s="7">
        <f t="shared" si="67"/>
        <v>0</v>
      </c>
      <c r="AH146" s="7"/>
      <c r="AI146" s="7">
        <f t="shared" si="79"/>
        <v>0</v>
      </c>
      <c r="AK146" s="2"/>
      <c r="AL146" s="2"/>
      <c r="AM146" s="2"/>
      <c r="AN146" s="2"/>
      <c r="AO146" s="2"/>
    </row>
    <row r="147" spans="1:41" x14ac:dyDescent="0.25">
      <c r="A147" s="22">
        <v>2603</v>
      </c>
      <c r="B147" s="7" t="s">
        <v>42</v>
      </c>
      <c r="C147" s="12">
        <v>46104</v>
      </c>
      <c r="D147" s="7">
        <v>66</v>
      </c>
      <c r="E147" s="7">
        <v>583</v>
      </c>
      <c r="F147" s="7">
        <v>15613</v>
      </c>
      <c r="G147" s="2">
        <f t="shared" si="60"/>
        <v>26.780445969125214</v>
      </c>
      <c r="H147" s="8">
        <v>574</v>
      </c>
      <c r="I147" s="7">
        <v>45687</v>
      </c>
      <c r="J147" s="6">
        <f t="shared" si="78"/>
        <v>1.5437392795883409E-2</v>
      </c>
      <c r="K147" s="8">
        <f t="shared" si="80"/>
        <v>65643.589743589735</v>
      </c>
      <c r="L147" s="8">
        <v>51202</v>
      </c>
      <c r="M147" s="11">
        <f t="shared" si="61"/>
        <v>78.000000000000014</v>
      </c>
      <c r="N147" s="2">
        <f t="shared" si="62"/>
        <v>114.36165460555704</v>
      </c>
      <c r="O147" s="2">
        <f t="shared" si="69"/>
        <v>89.2020905923345</v>
      </c>
      <c r="P147" s="2">
        <f t="shared" si="63"/>
        <v>85.815762853498683</v>
      </c>
      <c r="Q147" s="11">
        <f t="shared" si="64"/>
        <v>1095.0727722019335</v>
      </c>
      <c r="R147" s="11">
        <f t="shared" si="65"/>
        <v>144.36535162950258</v>
      </c>
      <c r="S147" s="8">
        <v>118000</v>
      </c>
      <c r="T147" s="2">
        <f t="shared" si="70"/>
        <v>2.5827916037384813</v>
      </c>
      <c r="U147" s="2">
        <f t="shared" si="77"/>
        <v>2.3585570468938752</v>
      </c>
      <c r="V147" s="18"/>
      <c r="W147" s="18"/>
      <c r="Y147" s="18"/>
      <c r="Z147" s="18"/>
      <c r="AA147" s="18"/>
      <c r="AB147" s="18"/>
      <c r="AC147" s="18"/>
      <c r="AD147" s="18"/>
      <c r="AE147" s="18"/>
      <c r="AF147" s="18"/>
      <c r="AG147" s="7">
        <f t="shared" si="67"/>
        <v>0</v>
      </c>
      <c r="AH147" s="7"/>
      <c r="AI147" s="7">
        <f t="shared" si="79"/>
        <v>0</v>
      </c>
      <c r="AK147" s="2"/>
      <c r="AL147" s="2"/>
      <c r="AM147" s="2"/>
      <c r="AN147" s="2"/>
      <c r="AO147" s="2"/>
    </row>
    <row r="148" spans="1:41" x14ac:dyDescent="0.25">
      <c r="A148" s="22">
        <v>2604</v>
      </c>
      <c r="B148" s="7" t="s">
        <v>43</v>
      </c>
      <c r="C148" s="12">
        <v>46111</v>
      </c>
      <c r="D148" s="7">
        <v>66</v>
      </c>
      <c r="E148" s="7">
        <v>565</v>
      </c>
      <c r="F148" s="7">
        <v>14973</v>
      </c>
      <c r="G148" s="2">
        <f t="shared" si="60"/>
        <v>26.500884955752213</v>
      </c>
      <c r="H148" s="8">
        <v>557</v>
      </c>
      <c r="I148" s="7">
        <v>44460</v>
      </c>
      <c r="J148" s="6">
        <f t="shared" si="78"/>
        <v>1.415929203539823E-2</v>
      </c>
      <c r="K148" s="8">
        <f t="shared" si="80"/>
        <v>65817.435897435891</v>
      </c>
      <c r="L148" s="8">
        <v>51337.599999999999</v>
      </c>
      <c r="M148" s="11">
        <f t="shared" si="61"/>
        <v>78</v>
      </c>
      <c r="N148" s="2">
        <f t="shared" si="62"/>
        <v>118.16415780509136</v>
      </c>
      <c r="O148" s="2">
        <f t="shared" si="69"/>
        <v>92.16804308797127</v>
      </c>
      <c r="P148" s="2">
        <f t="shared" si="63"/>
        <v>89.990152030859988</v>
      </c>
      <c r="Q148" s="11">
        <f t="shared" si="64"/>
        <v>1143.5995478505599</v>
      </c>
      <c r="R148" s="11">
        <f t="shared" si="65"/>
        <v>144.69026548672565</v>
      </c>
      <c r="S148" s="8">
        <v>121000</v>
      </c>
      <c r="T148" s="2">
        <f t="shared" si="70"/>
        <v>2.7215474583895638</v>
      </c>
      <c r="U148" s="2">
        <f t="shared" si="77"/>
        <v>2.3798080923561211</v>
      </c>
      <c r="V148" s="18"/>
      <c r="W148" s="18"/>
      <c r="Y148" s="18"/>
      <c r="Z148" s="18"/>
      <c r="AA148" s="18"/>
      <c r="AB148" s="18"/>
      <c r="AC148" s="18"/>
      <c r="AD148" s="18"/>
      <c r="AE148" s="18"/>
      <c r="AF148" s="18"/>
      <c r="AG148" s="7">
        <f t="shared" si="67"/>
        <v>0</v>
      </c>
      <c r="AH148" s="7"/>
      <c r="AI148" s="7">
        <f t="shared" si="79"/>
        <v>0</v>
      </c>
      <c r="AK148" s="2"/>
      <c r="AL148" s="2"/>
      <c r="AM148" s="2"/>
      <c r="AN148" s="2"/>
      <c r="AO148" s="2"/>
    </row>
    <row r="149" spans="1:41" x14ac:dyDescent="0.25">
      <c r="A149" s="22">
        <v>2605</v>
      </c>
      <c r="B149" s="7" t="s">
        <v>44</v>
      </c>
      <c r="C149" s="12">
        <v>46118</v>
      </c>
      <c r="D149" s="7">
        <v>67</v>
      </c>
      <c r="E149" s="7">
        <v>577</v>
      </c>
      <c r="F149" s="7">
        <v>15637</v>
      </c>
      <c r="G149" s="2">
        <f t="shared" si="60"/>
        <v>27.100519930675908</v>
      </c>
      <c r="H149" s="8">
        <v>564</v>
      </c>
      <c r="I149" s="7">
        <v>45121</v>
      </c>
      <c r="J149" s="6">
        <f t="shared" si="78"/>
        <v>2.2530329289428108E-2</v>
      </c>
      <c r="K149" s="8">
        <f t="shared" si="80"/>
        <v>64244.871794871789</v>
      </c>
      <c r="L149" s="8">
        <v>50111</v>
      </c>
      <c r="M149" s="11">
        <f t="shared" si="61"/>
        <v>78</v>
      </c>
      <c r="N149" s="2">
        <f t="shared" si="62"/>
        <v>113.909347154028</v>
      </c>
      <c r="O149" s="2">
        <f t="shared" si="69"/>
        <v>88.849290780141843</v>
      </c>
      <c r="P149" s="2">
        <f t="shared" si="63"/>
        <v>84.242412122828057</v>
      </c>
      <c r="Q149" s="11">
        <f t="shared" si="64"/>
        <v>1077.2782472656145</v>
      </c>
      <c r="R149" s="11">
        <f t="shared" si="65"/>
        <v>145.19930675909879</v>
      </c>
      <c r="S149" s="8">
        <v>117600</v>
      </c>
      <c r="T149" s="2">
        <f t="shared" si="70"/>
        <v>2.606325214423439</v>
      </c>
      <c r="U149" s="2">
        <f t="shared" si="77"/>
        <v>2.4193612198509582</v>
      </c>
      <c r="V149" s="18"/>
      <c r="W149" s="18"/>
      <c r="Y149" s="18"/>
      <c r="Z149" s="18"/>
      <c r="AA149" s="18"/>
      <c r="AB149" s="18"/>
      <c r="AC149" s="18"/>
      <c r="AD149" s="18"/>
      <c r="AE149" s="18"/>
      <c r="AF149" s="18"/>
      <c r="AG149" s="7">
        <f t="shared" si="67"/>
        <v>0</v>
      </c>
      <c r="AH149" s="7"/>
      <c r="AI149" s="7">
        <f t="shared" si="79"/>
        <v>0</v>
      </c>
      <c r="AK149" s="2"/>
      <c r="AL149" s="2"/>
      <c r="AM149" s="2"/>
      <c r="AN149" s="2"/>
      <c r="AO149" s="2"/>
    </row>
    <row r="150" spans="1:41" x14ac:dyDescent="0.25">
      <c r="A150" s="22">
        <v>2606</v>
      </c>
      <c r="B150" s="7" t="s">
        <v>45</v>
      </c>
      <c r="C150" s="12">
        <v>46125</v>
      </c>
      <c r="D150" s="7">
        <v>67</v>
      </c>
      <c r="E150" s="7">
        <v>563</v>
      </c>
      <c r="F150" s="7">
        <v>15145</v>
      </c>
      <c r="G150" s="2">
        <f t="shared" si="60"/>
        <v>26.900532859680283</v>
      </c>
      <c r="H150" s="8">
        <v>556</v>
      </c>
      <c r="I150" s="7">
        <v>44138</v>
      </c>
      <c r="J150" s="6">
        <f t="shared" si="78"/>
        <v>1.243339253996445E-2</v>
      </c>
      <c r="K150" s="8">
        <f t="shared" si="80"/>
        <v>62898.717948717946</v>
      </c>
      <c r="L150" s="8">
        <v>49061</v>
      </c>
      <c r="M150" s="11">
        <f t="shared" si="61"/>
        <v>78</v>
      </c>
      <c r="N150" s="2">
        <f t="shared" si="62"/>
        <v>113.12719055524811</v>
      </c>
      <c r="O150" s="2">
        <f t="shared" si="69"/>
        <v>88.239208633093526</v>
      </c>
      <c r="P150" s="2">
        <f t="shared" si="63"/>
        <v>84.820102928451064</v>
      </c>
      <c r="Q150" s="11">
        <f t="shared" si="64"/>
        <v>1081.9184817780133</v>
      </c>
      <c r="R150" s="11">
        <f t="shared" si="65"/>
        <v>145.39786856127887</v>
      </c>
      <c r="S150" s="8">
        <v>114000</v>
      </c>
      <c r="T150" s="2">
        <f t="shared" si="70"/>
        <v>2.5828084643617744</v>
      </c>
      <c r="U150" s="2">
        <f t="shared" si="77"/>
        <v>2.387248677106629</v>
      </c>
      <c r="V150" s="18"/>
      <c r="W150" s="18"/>
      <c r="Y150" s="18"/>
      <c r="Z150" s="18"/>
      <c r="AA150" s="18"/>
      <c r="AB150" s="18"/>
      <c r="AC150" s="18"/>
      <c r="AD150" s="18"/>
      <c r="AE150" s="18"/>
      <c r="AF150" s="18"/>
      <c r="AG150" s="7">
        <f t="shared" si="67"/>
        <v>0</v>
      </c>
      <c r="AH150" s="7"/>
      <c r="AI150" s="7">
        <f t="shared" si="79"/>
        <v>0</v>
      </c>
      <c r="AK150" s="2"/>
      <c r="AL150" s="2"/>
      <c r="AM150" s="2"/>
      <c r="AN150" s="2"/>
      <c r="AO150" s="2"/>
    </row>
    <row r="151" spans="1:41" x14ac:dyDescent="0.25">
      <c r="A151" s="22">
        <v>2607</v>
      </c>
      <c r="B151" s="7" t="s">
        <v>46</v>
      </c>
      <c r="C151" s="12">
        <v>46132</v>
      </c>
      <c r="D151" s="7">
        <v>67</v>
      </c>
      <c r="E151" s="7">
        <v>553</v>
      </c>
      <c r="F151" s="7">
        <v>15048</v>
      </c>
      <c r="G151" s="2">
        <f t="shared" si="60"/>
        <v>27.211573236889691</v>
      </c>
      <c r="H151" s="8">
        <v>545</v>
      </c>
      <c r="I151" s="7">
        <v>43384</v>
      </c>
      <c r="J151" s="6">
        <f t="shared" si="78"/>
        <v>1.446654611211573E-2</v>
      </c>
      <c r="K151" s="8">
        <f t="shared" si="80"/>
        <v>62653.846153846149</v>
      </c>
      <c r="L151" s="8">
        <v>48870</v>
      </c>
      <c r="M151" s="11">
        <f t="shared" si="61"/>
        <v>78</v>
      </c>
      <c r="N151" s="2">
        <f t="shared" si="62"/>
        <v>114.96118560338743</v>
      </c>
      <c r="O151" s="2">
        <f t="shared" si="69"/>
        <v>89.669724770642205</v>
      </c>
      <c r="P151" s="2">
        <f t="shared" si="63"/>
        <v>86.086521073862841</v>
      </c>
      <c r="Q151" s="11">
        <f t="shared" si="64"/>
        <v>1097.3134370700293</v>
      </c>
      <c r="R151" s="11">
        <f t="shared" si="65"/>
        <v>145.45207956600362</v>
      </c>
      <c r="S151" s="8">
        <v>115000</v>
      </c>
      <c r="T151" s="2">
        <f t="shared" si="70"/>
        <v>2.650746819103817</v>
      </c>
      <c r="U151" s="2">
        <f t="shared" si="77"/>
        <v>2.4156696979685757</v>
      </c>
      <c r="V151" s="18"/>
      <c r="W151" s="18"/>
      <c r="Y151" s="18"/>
      <c r="Z151" s="18"/>
      <c r="AA151" s="18"/>
      <c r="AB151" s="18"/>
      <c r="AC151" s="18"/>
      <c r="AD151" s="18"/>
      <c r="AE151" s="18"/>
      <c r="AF151" s="18"/>
      <c r="AG151" s="7">
        <f t="shared" si="67"/>
        <v>0</v>
      </c>
      <c r="AH151" s="7"/>
      <c r="AI151" s="7">
        <f t="shared" si="79"/>
        <v>0</v>
      </c>
      <c r="AK151" s="2"/>
      <c r="AL151" s="2"/>
      <c r="AM151" s="2"/>
      <c r="AN151" s="2"/>
      <c r="AO151" s="2"/>
    </row>
    <row r="152" spans="1:41" x14ac:dyDescent="0.25">
      <c r="A152" s="22">
        <v>2608</v>
      </c>
      <c r="B152" s="1" t="s">
        <v>47</v>
      </c>
      <c r="C152" s="39">
        <v>46139</v>
      </c>
      <c r="D152" s="1">
        <v>66</v>
      </c>
      <c r="E152" s="1">
        <v>531</v>
      </c>
      <c r="F152" s="1">
        <v>14082</v>
      </c>
      <c r="G152" s="2">
        <f t="shared" si="60"/>
        <v>26.519774011299436</v>
      </c>
      <c r="H152" s="11">
        <v>517</v>
      </c>
      <c r="I152" s="1">
        <v>41302</v>
      </c>
      <c r="J152" s="6">
        <f t="shared" si="78"/>
        <v>2.6365348399246757E-2</v>
      </c>
      <c r="K152" s="11">
        <f t="shared" si="80"/>
        <v>58792.307692307688</v>
      </c>
      <c r="L152" s="11">
        <v>45858</v>
      </c>
      <c r="M152" s="11">
        <f t="shared" si="61"/>
        <v>78</v>
      </c>
      <c r="N152" s="2">
        <f t="shared" si="62"/>
        <v>113.71819669692009</v>
      </c>
      <c r="O152" s="2">
        <f t="shared" si="69"/>
        <v>88.700193423597682</v>
      </c>
      <c r="P152" s="2">
        <f t="shared" si="63"/>
        <v>84.200202810372289</v>
      </c>
      <c r="Q152" s="11">
        <f t="shared" si="64"/>
        <v>1082.5216137791799</v>
      </c>
      <c r="R152" s="11">
        <f t="shared" si="65"/>
        <v>143.78154425612053</v>
      </c>
      <c r="S152" s="11">
        <v>112500</v>
      </c>
      <c r="T152" s="2">
        <f t="shared" si="70"/>
        <v>2.7238390392717058</v>
      </c>
      <c r="U152" s="2">
        <f t="shared" si="77"/>
        <v>2.5161982953509261</v>
      </c>
      <c r="AG152" s="1">
        <f t="shared" si="67"/>
        <v>0</v>
      </c>
      <c r="AI152" s="1">
        <f t="shared" si="79"/>
        <v>0</v>
      </c>
      <c r="AK152" s="2"/>
      <c r="AL152" s="2"/>
      <c r="AM152" s="2"/>
      <c r="AN152" s="2"/>
      <c r="AO152" s="2"/>
    </row>
    <row r="153" spans="1:41" x14ac:dyDescent="0.25">
      <c r="A153" s="22">
        <v>2609</v>
      </c>
      <c r="B153" s="1" t="s">
        <v>50</v>
      </c>
      <c r="C153" s="39">
        <v>46146</v>
      </c>
      <c r="D153" s="1">
        <v>67</v>
      </c>
      <c r="E153" s="1">
        <v>622</v>
      </c>
      <c r="F153" s="1">
        <v>16110</v>
      </c>
      <c r="G153" s="2">
        <f t="shared" si="60"/>
        <v>25.90032154340836</v>
      </c>
      <c r="H153" s="11">
        <v>617</v>
      </c>
      <c r="I153" s="1">
        <v>48906</v>
      </c>
      <c r="J153" s="6">
        <f t="shared" si="78"/>
        <v>8.0385852090032461E-3</v>
      </c>
      <c r="K153" s="11">
        <f t="shared" si="80"/>
        <v>68835.897435897437</v>
      </c>
      <c r="L153" s="11">
        <v>53692</v>
      </c>
      <c r="M153" s="11">
        <f t="shared" si="61"/>
        <v>78</v>
      </c>
      <c r="N153" s="2">
        <f t="shared" si="62"/>
        <v>111.56547396417737</v>
      </c>
      <c r="O153" s="2">
        <f t="shared" si="69"/>
        <v>87.021069692058347</v>
      </c>
      <c r="P153" s="2">
        <f t="shared" si="63"/>
        <v>84.768323851925146</v>
      </c>
      <c r="Q153" s="11">
        <f t="shared" si="64"/>
        <v>1078.1069283093575</v>
      </c>
      <c r="R153" s="11">
        <f t="shared" si="65"/>
        <v>145.62700964630227</v>
      </c>
      <c r="S153" s="11">
        <v>126000</v>
      </c>
      <c r="T153" s="2">
        <f t="shared" si="70"/>
        <v>2.5763709974236289</v>
      </c>
      <c r="U153" s="2">
        <f t="shared" si="77"/>
        <v>2.3897175036837832</v>
      </c>
      <c r="AG153" s="1">
        <f t="shared" si="67"/>
        <v>0</v>
      </c>
      <c r="AI153" s="1">
        <f t="shared" si="79"/>
        <v>0</v>
      </c>
      <c r="AK153" s="2"/>
      <c r="AL153" s="2"/>
      <c r="AM153" s="2"/>
      <c r="AN153" s="2"/>
      <c r="AO153" s="2"/>
    </row>
    <row r="154" spans="1:41" x14ac:dyDescent="0.25">
      <c r="A154" s="22">
        <v>2610</v>
      </c>
      <c r="B154" s="1" t="s">
        <v>52</v>
      </c>
      <c r="C154" s="39">
        <v>46153</v>
      </c>
      <c r="D154" s="1">
        <v>67</v>
      </c>
      <c r="E154" s="1">
        <v>605</v>
      </c>
      <c r="F154" s="1">
        <v>15851</v>
      </c>
      <c r="G154" s="2">
        <f t="shared" si="60"/>
        <v>26.2</v>
      </c>
      <c r="H154" s="11">
        <v>597</v>
      </c>
      <c r="I154" s="1">
        <v>47519</v>
      </c>
      <c r="J154" s="6">
        <f t="shared" si="78"/>
        <v>1.3223140495867813E-2</v>
      </c>
      <c r="K154" s="11">
        <f t="shared" si="80"/>
        <v>66985.897435897437</v>
      </c>
      <c r="L154" s="11">
        <v>52249</v>
      </c>
      <c r="M154" s="11">
        <f t="shared" si="61"/>
        <v>78</v>
      </c>
      <c r="N154" s="2">
        <f t="shared" si="62"/>
        <v>112.20418330971096</v>
      </c>
      <c r="O154" s="2">
        <f t="shared" si="69"/>
        <v>87.519262981574542</v>
      </c>
      <c r="P154" s="2">
        <f t="shared" si="63"/>
        <v>84.520491629582537</v>
      </c>
      <c r="Q154" s="11">
        <f t="shared" si="64"/>
        <v>1076.0937190575862</v>
      </c>
      <c r="R154" s="11">
        <f t="shared" si="65"/>
        <v>145.54380165289257</v>
      </c>
      <c r="S154" s="11">
        <v>123000</v>
      </c>
      <c r="T154" s="2">
        <f t="shared" si="70"/>
        <v>2.5884383088869716</v>
      </c>
      <c r="U154" s="2">
        <f t="shared" si="77"/>
        <v>2.4054023019053172</v>
      </c>
      <c r="AG154" s="1">
        <f t="shared" si="67"/>
        <v>0</v>
      </c>
      <c r="AI154" s="1">
        <f t="shared" si="79"/>
        <v>0</v>
      </c>
      <c r="AK154" s="2"/>
      <c r="AL154" s="2"/>
      <c r="AM154" s="2"/>
      <c r="AN154" s="2"/>
      <c r="AO154" s="2"/>
    </row>
    <row r="155" spans="1:41" x14ac:dyDescent="0.25">
      <c r="A155" s="22">
        <v>2611</v>
      </c>
      <c r="B155" s="7" t="s">
        <v>87</v>
      </c>
      <c r="C155" s="39">
        <v>46160</v>
      </c>
      <c r="D155" s="1">
        <v>66</v>
      </c>
      <c r="E155" s="1">
        <v>564</v>
      </c>
      <c r="F155" s="1">
        <v>14495</v>
      </c>
      <c r="G155" s="2">
        <f t="shared" si="60"/>
        <v>25.700354609929079</v>
      </c>
      <c r="H155" s="11">
        <v>554</v>
      </c>
      <c r="I155" s="1">
        <v>42877</v>
      </c>
      <c r="J155" s="6">
        <f t="shared" si="78"/>
        <v>1.7730496453900679E-2</v>
      </c>
      <c r="K155" s="11">
        <f t="shared" si="80"/>
        <v>61132.051282051281</v>
      </c>
      <c r="L155" s="11">
        <v>47683</v>
      </c>
      <c r="M155" s="11">
        <f t="shared" si="61"/>
        <v>78</v>
      </c>
      <c r="N155" s="2">
        <f t="shared" si="62"/>
        <v>110.34666296399148</v>
      </c>
      <c r="O155" s="2">
        <f t="shared" si="69"/>
        <v>86.070397111913351</v>
      </c>
      <c r="P155" s="2">
        <f t="shared" si="63"/>
        <v>82.689807237679574</v>
      </c>
      <c r="Q155" s="11">
        <f t="shared" si="64"/>
        <v>1087.6938984082674</v>
      </c>
      <c r="R155" s="11">
        <f t="shared" si="65"/>
        <v>142.02304964539007</v>
      </c>
      <c r="S155" s="11">
        <v>113000</v>
      </c>
      <c r="T155" s="2">
        <f t="shared" si="70"/>
        <v>2.6354455768827112</v>
      </c>
      <c r="U155" s="2">
        <f t="shared" si="77"/>
        <v>2.4229662230701354</v>
      </c>
      <c r="AG155" s="1">
        <f t="shared" si="67"/>
        <v>0</v>
      </c>
      <c r="AI155" s="1">
        <f t="shared" si="79"/>
        <v>0</v>
      </c>
      <c r="AK155" s="2"/>
      <c r="AL155" s="2"/>
      <c r="AM155" s="2"/>
      <c r="AN155" s="2"/>
      <c r="AO155" s="2"/>
    </row>
    <row r="156" spans="1:41" x14ac:dyDescent="0.25">
      <c r="AK156" s="2"/>
      <c r="AL156" s="2"/>
      <c r="AM156" s="2"/>
      <c r="AN156" s="2"/>
      <c r="AO156" s="2"/>
    </row>
    <row r="157" spans="1:41" x14ac:dyDescent="0.25">
      <c r="AK157" s="2"/>
      <c r="AL157" s="2"/>
      <c r="AM157" s="2"/>
      <c r="AN157" s="2"/>
      <c r="AO157" s="2"/>
    </row>
    <row r="158" spans="1:41" x14ac:dyDescent="0.25">
      <c r="AK158" s="2"/>
      <c r="AL158" s="2"/>
      <c r="AM158" s="2"/>
      <c r="AN158" s="2"/>
      <c r="AO158" s="2"/>
    </row>
    <row r="159" spans="1:41" x14ac:dyDescent="0.25">
      <c r="AK159" s="2"/>
      <c r="AL159" s="2"/>
      <c r="AM159" s="2"/>
      <c r="AN159" s="2"/>
      <c r="AO159" s="2"/>
    </row>
    <row r="160" spans="1:41" x14ac:dyDescent="0.25">
      <c r="AK160" s="2"/>
      <c r="AL160" s="2"/>
      <c r="AM160" s="2"/>
      <c r="AN160" s="2"/>
      <c r="AO160" s="2"/>
    </row>
    <row r="161" spans="37:41" x14ac:dyDescent="0.25">
      <c r="AK161" s="2"/>
      <c r="AL161" s="2"/>
      <c r="AM161" s="2"/>
      <c r="AN161" s="2"/>
      <c r="AO161" s="2"/>
    </row>
    <row r="162" spans="37:41" x14ac:dyDescent="0.25">
      <c r="AK162" s="2"/>
      <c r="AL162" s="2"/>
      <c r="AM162" s="2"/>
      <c r="AN162" s="2"/>
      <c r="AO162" s="2"/>
    </row>
    <row r="163" spans="37:41" x14ac:dyDescent="0.25">
      <c r="AK163" s="2"/>
      <c r="AL163" s="2"/>
      <c r="AM163" s="2"/>
      <c r="AN163" s="2"/>
      <c r="AO163" s="2"/>
    </row>
    <row r="164" spans="37:41" x14ac:dyDescent="0.25">
      <c r="AK164" s="2"/>
      <c r="AL164" s="2"/>
      <c r="AM164" s="2"/>
      <c r="AN164" s="2"/>
      <c r="AO164" s="2"/>
    </row>
    <row r="165" spans="37:41" x14ac:dyDescent="0.25">
      <c r="AK165" s="2"/>
      <c r="AL165" s="2"/>
      <c r="AM165" s="2"/>
      <c r="AN165" s="2"/>
      <c r="AO165" s="2"/>
    </row>
    <row r="166" spans="37:41" x14ac:dyDescent="0.25">
      <c r="AK166" s="2"/>
      <c r="AL166" s="2"/>
      <c r="AM166" s="2"/>
      <c r="AN166" s="2"/>
      <c r="AO166" s="2"/>
    </row>
    <row r="167" spans="37:41" x14ac:dyDescent="0.25">
      <c r="AK167" s="2"/>
      <c r="AL167" s="2"/>
      <c r="AM167" s="2"/>
      <c r="AN167" s="2"/>
      <c r="AO167" s="2"/>
    </row>
    <row r="168" spans="37:41" x14ac:dyDescent="0.25">
      <c r="AK168" s="2"/>
      <c r="AL168" s="2"/>
      <c r="AM168" s="2"/>
      <c r="AN168" s="2"/>
      <c r="AO168" s="2"/>
    </row>
    <row r="169" spans="37:41" x14ac:dyDescent="0.25">
      <c r="AK169" s="2"/>
      <c r="AL169" s="2"/>
      <c r="AM169" s="2"/>
      <c r="AN169" s="2"/>
      <c r="AO169" s="2"/>
    </row>
    <row r="170" spans="37:41" x14ac:dyDescent="0.25">
      <c r="AK170" s="2"/>
      <c r="AL170" s="2"/>
      <c r="AM170" s="2"/>
      <c r="AN170" s="2"/>
      <c r="AO170" s="2"/>
    </row>
    <row r="171" spans="37:41" x14ac:dyDescent="0.25">
      <c r="AK171" s="2"/>
      <c r="AL171" s="2"/>
      <c r="AM171" s="2"/>
      <c r="AN171" s="2"/>
      <c r="AO171" s="2"/>
    </row>
    <row r="172" spans="37:41" x14ac:dyDescent="0.25">
      <c r="AK172" s="2"/>
      <c r="AL172" s="2"/>
      <c r="AM172" s="2"/>
      <c r="AN172" s="2"/>
      <c r="AO172" s="2"/>
    </row>
    <row r="173" spans="37:41" x14ac:dyDescent="0.25">
      <c r="AK173" s="2"/>
      <c r="AL173" s="2"/>
      <c r="AM173" s="2"/>
      <c r="AN173" s="2"/>
      <c r="AO173" s="2"/>
    </row>
    <row r="174" spans="37:41" x14ac:dyDescent="0.25">
      <c r="AK174" s="2"/>
      <c r="AL174" s="2"/>
      <c r="AM174" s="2"/>
      <c r="AN174" s="2"/>
      <c r="AO174" s="2"/>
    </row>
    <row r="175" spans="37:41" x14ac:dyDescent="0.25">
      <c r="AK175" s="2"/>
      <c r="AL175" s="2"/>
      <c r="AM175" s="2"/>
      <c r="AN175" s="2"/>
      <c r="AO175" s="2"/>
    </row>
    <row r="176" spans="37:41" x14ac:dyDescent="0.25">
      <c r="AK176" s="2"/>
      <c r="AL176" s="2"/>
      <c r="AM176" s="2"/>
      <c r="AN176" s="2"/>
      <c r="AO176" s="2"/>
    </row>
    <row r="177" spans="37:41" x14ac:dyDescent="0.25">
      <c r="AK177" s="2"/>
      <c r="AL177" s="2"/>
      <c r="AM177" s="2"/>
      <c r="AN177" s="2"/>
      <c r="AO177" s="2"/>
    </row>
    <row r="178" spans="37:41" x14ac:dyDescent="0.25">
      <c r="AK178" s="2"/>
      <c r="AL178" s="2"/>
      <c r="AM178" s="2"/>
      <c r="AN178" s="2"/>
      <c r="AO178" s="2"/>
    </row>
    <row r="179" spans="37:41" x14ac:dyDescent="0.25">
      <c r="AK179" s="2"/>
      <c r="AL179" s="2"/>
      <c r="AM179" s="2"/>
      <c r="AN179" s="2"/>
      <c r="AO179" s="2"/>
    </row>
    <row r="180" spans="37:41" x14ac:dyDescent="0.25">
      <c r="AK180" s="2"/>
      <c r="AL180" s="2"/>
      <c r="AM180" s="2"/>
      <c r="AN180" s="2"/>
      <c r="AO180" s="2"/>
    </row>
    <row r="181" spans="37:41" x14ac:dyDescent="0.25">
      <c r="AK181" s="2"/>
      <c r="AL181" s="2"/>
      <c r="AM181" s="2"/>
      <c r="AN181" s="2"/>
      <c r="AO181" s="2"/>
    </row>
    <row r="182" spans="37:41" x14ac:dyDescent="0.25">
      <c r="AK182" s="2"/>
      <c r="AL182" s="2"/>
      <c r="AM182" s="2"/>
      <c r="AN182" s="2"/>
      <c r="AO182" s="2"/>
    </row>
    <row r="183" spans="37:41" x14ac:dyDescent="0.25">
      <c r="AK183" s="2"/>
      <c r="AL183" s="2"/>
      <c r="AM183" s="2"/>
      <c r="AN183" s="2"/>
      <c r="AO183" s="2"/>
    </row>
    <row r="184" spans="37:41" x14ac:dyDescent="0.25">
      <c r="AK184" s="2"/>
      <c r="AL184" s="2"/>
      <c r="AM184" s="2"/>
      <c r="AN184" s="2"/>
      <c r="AO184" s="2"/>
    </row>
    <row r="185" spans="37:41" x14ac:dyDescent="0.25">
      <c r="AK185" s="2"/>
      <c r="AL185" s="2"/>
      <c r="AM185" s="2"/>
      <c r="AN185" s="2"/>
      <c r="AO185" s="2"/>
    </row>
    <row r="186" spans="37:41" x14ac:dyDescent="0.25">
      <c r="AK186" s="2"/>
      <c r="AL186" s="2"/>
      <c r="AM186" s="2"/>
      <c r="AN186" s="2"/>
      <c r="AO186" s="2"/>
    </row>
    <row r="187" spans="37:41" x14ac:dyDescent="0.25">
      <c r="AK187" s="2"/>
      <c r="AL187" s="2"/>
      <c r="AM187" s="2"/>
      <c r="AN187" s="2"/>
      <c r="AO187" s="2"/>
    </row>
    <row r="188" spans="37:41" x14ac:dyDescent="0.25">
      <c r="AK188" s="2"/>
      <c r="AL188" s="2"/>
      <c r="AM188" s="2"/>
      <c r="AN188" s="2"/>
      <c r="AO188" s="2"/>
    </row>
    <row r="189" spans="37:41" x14ac:dyDescent="0.25">
      <c r="AK189" s="2"/>
      <c r="AL189" s="2"/>
      <c r="AM189" s="2"/>
      <c r="AN189" s="2"/>
      <c r="AO189" s="2"/>
    </row>
    <row r="190" spans="37:41" x14ac:dyDescent="0.25">
      <c r="AK190" s="2"/>
      <c r="AL190" s="2"/>
      <c r="AM190" s="2"/>
      <c r="AN190" s="2"/>
      <c r="AO190" s="2"/>
    </row>
    <row r="191" spans="37:41" x14ac:dyDescent="0.25">
      <c r="AK191" s="2"/>
      <c r="AL191" s="2"/>
      <c r="AM191" s="2"/>
      <c r="AN191" s="2"/>
      <c r="AO191" s="2"/>
    </row>
    <row r="192" spans="37:41" x14ac:dyDescent="0.25">
      <c r="AK192" s="2"/>
      <c r="AL192" s="2"/>
      <c r="AM192" s="2"/>
      <c r="AN192" s="2"/>
      <c r="AO192" s="2"/>
    </row>
    <row r="193" spans="37:41" x14ac:dyDescent="0.25">
      <c r="AK193" s="2"/>
      <c r="AL193" s="2"/>
      <c r="AM193" s="2"/>
      <c r="AN193" s="2"/>
      <c r="AO193" s="2"/>
    </row>
    <row r="194" spans="37:41" x14ac:dyDescent="0.25">
      <c r="AK194" s="2"/>
      <c r="AL194" s="2"/>
      <c r="AM194" s="2"/>
      <c r="AN194" s="2"/>
      <c r="AO194" s="2"/>
    </row>
    <row r="195" spans="37:41" x14ac:dyDescent="0.25">
      <c r="AK195" s="2"/>
      <c r="AL195" s="2"/>
      <c r="AM195" s="2"/>
      <c r="AN195" s="2"/>
      <c r="AO195" s="2"/>
    </row>
    <row r="196" spans="37:41" x14ac:dyDescent="0.25">
      <c r="AK196" s="2"/>
      <c r="AL196" s="2"/>
      <c r="AM196" s="2"/>
      <c r="AN196" s="2"/>
      <c r="AO196" s="2"/>
    </row>
    <row r="197" spans="37:41" x14ac:dyDescent="0.25">
      <c r="AK197" s="2"/>
      <c r="AL197" s="2"/>
      <c r="AM197" s="2"/>
      <c r="AN197" s="2"/>
      <c r="AO197" s="2"/>
    </row>
    <row r="198" spans="37:41" x14ac:dyDescent="0.25">
      <c r="AK198" s="2"/>
      <c r="AL198" s="2"/>
      <c r="AM198" s="2"/>
      <c r="AN198" s="2"/>
      <c r="AO198" s="2"/>
    </row>
    <row r="199" spans="37:41" x14ac:dyDescent="0.25">
      <c r="AK199" s="2"/>
      <c r="AL199" s="2"/>
      <c r="AM199" s="2"/>
      <c r="AN199" s="2"/>
      <c r="AO199" s="2"/>
    </row>
    <row r="200" spans="37:41" x14ac:dyDescent="0.25">
      <c r="AK200" s="2"/>
      <c r="AL200" s="2"/>
      <c r="AM200" s="2"/>
      <c r="AN200" s="2"/>
      <c r="AO200" s="2"/>
    </row>
    <row r="201" spans="37:41" x14ac:dyDescent="0.25">
      <c r="AK201" s="2"/>
      <c r="AL201" s="2"/>
      <c r="AM201" s="2"/>
      <c r="AN201" s="2"/>
      <c r="AO201" s="2"/>
    </row>
    <row r="202" spans="37:41" x14ac:dyDescent="0.25">
      <c r="AK202" s="2"/>
      <c r="AL202" s="2"/>
      <c r="AM202" s="2"/>
      <c r="AN202" s="2"/>
      <c r="AO202" s="2"/>
    </row>
    <row r="203" spans="37:41" x14ac:dyDescent="0.25">
      <c r="AK203" s="2"/>
      <c r="AL203" s="2"/>
      <c r="AM203" s="2"/>
      <c r="AN203" s="2"/>
      <c r="AO203" s="2"/>
    </row>
    <row r="204" spans="37:41" x14ac:dyDescent="0.25">
      <c r="AK204" s="2"/>
      <c r="AL204" s="2"/>
      <c r="AM204" s="2"/>
      <c r="AN204" s="2"/>
      <c r="AO204" s="2"/>
    </row>
    <row r="205" spans="37:41" x14ac:dyDescent="0.25">
      <c r="AK205" s="2"/>
      <c r="AL205" s="2"/>
      <c r="AM205" s="2"/>
      <c r="AN205" s="2"/>
      <c r="AO205" s="2"/>
    </row>
    <row r="206" spans="37:41" x14ac:dyDescent="0.25">
      <c r="AK206" s="2"/>
      <c r="AL206" s="2"/>
      <c r="AM206" s="2"/>
      <c r="AN206" s="2"/>
      <c r="AO206" s="2"/>
    </row>
    <row r="207" spans="37:41" x14ac:dyDescent="0.25">
      <c r="AK207" s="2"/>
      <c r="AL207" s="2"/>
      <c r="AM207" s="2"/>
      <c r="AN207" s="2"/>
      <c r="AO207" s="2"/>
    </row>
    <row r="208" spans="37:41" x14ac:dyDescent="0.25">
      <c r="AK208" s="2"/>
      <c r="AL208" s="2"/>
      <c r="AM208" s="2"/>
      <c r="AN208" s="2"/>
      <c r="AO208" s="2"/>
    </row>
    <row r="209" spans="37:41" x14ac:dyDescent="0.25">
      <c r="AK209" s="2"/>
      <c r="AL209" s="2"/>
      <c r="AM209" s="2"/>
      <c r="AN209" s="2"/>
      <c r="AO209" s="2"/>
    </row>
    <row r="210" spans="37:41" x14ac:dyDescent="0.25">
      <c r="AK210" s="2"/>
      <c r="AL210" s="2"/>
      <c r="AM210" s="2"/>
      <c r="AN210" s="2"/>
      <c r="AO210" s="2"/>
    </row>
    <row r="211" spans="37:41" x14ac:dyDescent="0.25">
      <c r="AK211" s="2"/>
      <c r="AL211" s="2"/>
      <c r="AM211" s="2"/>
      <c r="AN211" s="2"/>
      <c r="AO211" s="2"/>
    </row>
    <row r="212" spans="37:41" x14ac:dyDescent="0.25">
      <c r="AK212" s="2"/>
      <c r="AL212" s="2"/>
      <c r="AM212" s="2"/>
      <c r="AN212" s="2"/>
      <c r="AO212" s="2"/>
    </row>
    <row r="213" spans="37:41" x14ac:dyDescent="0.25">
      <c r="AK213" s="2"/>
      <c r="AL213" s="2"/>
      <c r="AM213" s="2"/>
      <c r="AN213" s="2"/>
      <c r="AO213" s="2"/>
    </row>
    <row r="214" spans="37:41" x14ac:dyDescent="0.25">
      <c r="AK214" s="2"/>
      <c r="AL214" s="2"/>
      <c r="AM214" s="2"/>
      <c r="AN214" s="2"/>
      <c r="AO214" s="2"/>
    </row>
    <row r="215" spans="37:41" x14ac:dyDescent="0.25">
      <c r="AK215" s="2"/>
      <c r="AL215" s="2"/>
      <c r="AM215" s="2"/>
      <c r="AN215" s="2"/>
      <c r="AO215" s="2"/>
    </row>
    <row r="216" spans="37:41" x14ac:dyDescent="0.25">
      <c r="AK216" s="2"/>
      <c r="AL216" s="2"/>
      <c r="AM216" s="2"/>
      <c r="AN216" s="2"/>
      <c r="AO216" s="2"/>
    </row>
    <row r="217" spans="37:41" x14ac:dyDescent="0.25">
      <c r="AK217" s="2"/>
      <c r="AL217" s="2"/>
      <c r="AM217" s="2"/>
      <c r="AN217" s="2"/>
      <c r="AO217" s="2"/>
    </row>
    <row r="218" spans="37:41" x14ac:dyDescent="0.25">
      <c r="AK218" s="2"/>
      <c r="AL218" s="2"/>
      <c r="AM218" s="2"/>
      <c r="AN218" s="2"/>
      <c r="AO218" s="2"/>
    </row>
    <row r="219" spans="37:41" x14ac:dyDescent="0.25">
      <c r="AK219" s="2"/>
      <c r="AL219" s="2"/>
      <c r="AM219" s="2"/>
      <c r="AN219" s="2"/>
      <c r="AO219" s="2"/>
    </row>
    <row r="220" spans="37:41" x14ac:dyDescent="0.25">
      <c r="AK220" s="2"/>
      <c r="AL220" s="2"/>
      <c r="AM220" s="2"/>
      <c r="AN220" s="2"/>
      <c r="AO220" s="2"/>
    </row>
    <row r="221" spans="37:41" x14ac:dyDescent="0.25">
      <c r="AK221" s="2"/>
      <c r="AL221" s="2"/>
      <c r="AM221" s="2"/>
      <c r="AN221" s="2"/>
      <c r="AO221" s="2"/>
    </row>
    <row r="222" spans="37:41" x14ac:dyDescent="0.25">
      <c r="AK222" s="2"/>
      <c r="AL222" s="2"/>
      <c r="AM222" s="2"/>
      <c r="AN222" s="2"/>
      <c r="AO222" s="2"/>
    </row>
    <row r="223" spans="37:41" x14ac:dyDescent="0.25">
      <c r="AK223" s="2"/>
      <c r="AL223" s="2"/>
      <c r="AM223" s="2"/>
      <c r="AN223" s="2"/>
      <c r="AO223" s="2"/>
    </row>
    <row r="224" spans="37:41" x14ac:dyDescent="0.25">
      <c r="AK224" s="2"/>
      <c r="AL224" s="2"/>
      <c r="AM224" s="2"/>
      <c r="AN224" s="2"/>
      <c r="AO224" s="2"/>
    </row>
    <row r="225" spans="37:41" x14ac:dyDescent="0.25">
      <c r="AK225" s="2"/>
      <c r="AL225" s="2"/>
      <c r="AM225" s="2"/>
      <c r="AN225" s="2"/>
      <c r="AO225" s="2"/>
    </row>
    <row r="226" spans="37:41" x14ac:dyDescent="0.25">
      <c r="AK226" s="2"/>
      <c r="AL226" s="2"/>
      <c r="AM226" s="2"/>
      <c r="AN226" s="2"/>
      <c r="AO226" s="2"/>
    </row>
    <row r="227" spans="37:41" x14ac:dyDescent="0.25">
      <c r="AK227" s="2"/>
      <c r="AL227" s="2"/>
      <c r="AM227" s="2"/>
      <c r="AN227" s="2"/>
      <c r="AO227" s="2"/>
    </row>
    <row r="228" spans="37:41" x14ac:dyDescent="0.25">
      <c r="AK228" s="2"/>
      <c r="AL228" s="2"/>
      <c r="AM228" s="2"/>
      <c r="AN228" s="2"/>
      <c r="AO228" s="2"/>
    </row>
    <row r="229" spans="37:41" x14ac:dyDescent="0.25">
      <c r="AK229" s="2"/>
      <c r="AL229" s="2"/>
      <c r="AM229" s="2"/>
      <c r="AN229" s="2"/>
      <c r="AO229" s="2"/>
    </row>
    <row r="230" spans="37:41" x14ac:dyDescent="0.25">
      <c r="AK230" s="2"/>
      <c r="AL230" s="2"/>
      <c r="AM230" s="2"/>
      <c r="AN230" s="2"/>
      <c r="AO230" s="2"/>
    </row>
    <row r="231" spans="37:41" x14ac:dyDescent="0.25">
      <c r="AK231" s="2"/>
      <c r="AL231" s="2"/>
      <c r="AM231" s="2"/>
      <c r="AN231" s="2"/>
      <c r="AO231" s="2"/>
    </row>
    <row r="232" spans="37:41" x14ac:dyDescent="0.25">
      <c r="AK232" s="2"/>
      <c r="AL232" s="2"/>
      <c r="AM232" s="2"/>
      <c r="AN232" s="2"/>
      <c r="AO232" s="2"/>
    </row>
    <row r="233" spans="37:41" x14ac:dyDescent="0.25">
      <c r="AK233" s="2"/>
      <c r="AL233" s="2"/>
      <c r="AM233" s="2"/>
      <c r="AN233" s="2"/>
      <c r="AO233" s="2"/>
    </row>
    <row r="234" spans="37:41" x14ac:dyDescent="0.25">
      <c r="AK234" s="2"/>
      <c r="AL234" s="2"/>
      <c r="AM234" s="2"/>
      <c r="AN234" s="2"/>
      <c r="AO234" s="2"/>
    </row>
    <row r="235" spans="37:41" x14ac:dyDescent="0.25">
      <c r="AK235" s="2"/>
      <c r="AL235" s="2"/>
      <c r="AM235" s="2"/>
      <c r="AN235" s="2"/>
      <c r="AO235" s="2"/>
    </row>
    <row r="236" spans="37:41" x14ac:dyDescent="0.25">
      <c r="AK236" s="2"/>
      <c r="AL236" s="2"/>
      <c r="AM236" s="2"/>
      <c r="AN236" s="2"/>
      <c r="AO236" s="2"/>
    </row>
    <row r="237" spans="37:41" x14ac:dyDescent="0.25">
      <c r="AK237" s="2"/>
      <c r="AL237" s="2"/>
      <c r="AM237" s="2"/>
      <c r="AN237" s="2"/>
      <c r="AO237" s="2"/>
    </row>
    <row r="238" spans="37:41" x14ac:dyDescent="0.25">
      <c r="AK238" s="2"/>
      <c r="AL238" s="2"/>
      <c r="AM238" s="2"/>
      <c r="AN238" s="2"/>
      <c r="AO238" s="2"/>
    </row>
    <row r="239" spans="37:41" x14ac:dyDescent="0.25">
      <c r="AK239" s="2"/>
      <c r="AL239" s="2"/>
      <c r="AM239" s="2"/>
      <c r="AN239" s="2"/>
      <c r="AO239" s="2"/>
    </row>
    <row r="240" spans="37:41" x14ac:dyDescent="0.25">
      <c r="AK240" s="2"/>
      <c r="AL240" s="2"/>
      <c r="AM240" s="2"/>
      <c r="AN240" s="2"/>
      <c r="AO240" s="2"/>
    </row>
    <row r="241" spans="37:41" x14ac:dyDescent="0.25">
      <c r="AK241" s="2"/>
      <c r="AL241" s="2"/>
      <c r="AM241" s="2"/>
      <c r="AN241" s="2"/>
      <c r="AO241" s="2"/>
    </row>
    <row r="242" spans="37:41" x14ac:dyDescent="0.25">
      <c r="AK242" s="2"/>
      <c r="AL242" s="2"/>
      <c r="AM242" s="2"/>
      <c r="AN242" s="2"/>
      <c r="AO242" s="2"/>
    </row>
    <row r="243" spans="37:41" x14ac:dyDescent="0.25">
      <c r="AK243" s="2"/>
      <c r="AL243" s="2"/>
      <c r="AM243" s="2"/>
      <c r="AN243" s="2"/>
      <c r="AO243" s="2"/>
    </row>
    <row r="244" spans="37:41" x14ac:dyDescent="0.25">
      <c r="AK244" s="2"/>
      <c r="AL244" s="2"/>
      <c r="AM244" s="2"/>
      <c r="AN244" s="2"/>
      <c r="AO244" s="2"/>
    </row>
    <row r="245" spans="37:41" x14ac:dyDescent="0.25">
      <c r="AK245" s="2"/>
      <c r="AL245" s="2"/>
      <c r="AM245" s="2"/>
      <c r="AN245" s="2"/>
      <c r="AO245" s="2"/>
    </row>
    <row r="246" spans="37:41" x14ac:dyDescent="0.25">
      <c r="AK246" s="2"/>
      <c r="AL246" s="2"/>
      <c r="AM246" s="2"/>
      <c r="AN246" s="2"/>
      <c r="AO246" s="2"/>
    </row>
    <row r="247" spans="37:41" x14ac:dyDescent="0.25">
      <c r="AK247" s="2"/>
      <c r="AL247" s="2"/>
      <c r="AM247" s="2"/>
      <c r="AN247" s="2"/>
      <c r="AO247" s="2"/>
    </row>
    <row r="248" spans="37:41" x14ac:dyDescent="0.25">
      <c r="AK248" s="2"/>
      <c r="AL248" s="2"/>
      <c r="AM248" s="2"/>
      <c r="AN248" s="2"/>
      <c r="AO248" s="2"/>
    </row>
    <row r="249" spans="37:41" x14ac:dyDescent="0.25">
      <c r="AK249" s="2"/>
      <c r="AL249" s="2"/>
      <c r="AM249" s="2"/>
      <c r="AN249" s="2"/>
      <c r="AO249" s="2"/>
    </row>
    <row r="250" spans="37:41" x14ac:dyDescent="0.25">
      <c r="AK250" s="2"/>
      <c r="AL250" s="2"/>
      <c r="AM250" s="2"/>
      <c r="AN250" s="2"/>
      <c r="AO250" s="2"/>
    </row>
    <row r="251" spans="37:41" x14ac:dyDescent="0.25">
      <c r="AK251" s="2"/>
      <c r="AL251" s="2"/>
      <c r="AM251" s="2"/>
      <c r="AN251" s="2"/>
      <c r="AO251" s="2"/>
    </row>
    <row r="252" spans="37:41" x14ac:dyDescent="0.25">
      <c r="AK252" s="2"/>
      <c r="AL252" s="2"/>
      <c r="AM252" s="2"/>
      <c r="AN252" s="2"/>
      <c r="AO252" s="2"/>
    </row>
    <row r="253" spans="37:41" x14ac:dyDescent="0.25">
      <c r="AK253" s="2"/>
      <c r="AL253" s="2"/>
      <c r="AM253" s="2"/>
      <c r="AN253" s="2"/>
      <c r="AO253" s="2"/>
    </row>
    <row r="254" spans="37:41" x14ac:dyDescent="0.25">
      <c r="AK254" s="2"/>
      <c r="AL254" s="2"/>
      <c r="AM254" s="2"/>
      <c r="AN254" s="2"/>
      <c r="AO254" s="2"/>
    </row>
    <row r="255" spans="37:41" x14ac:dyDescent="0.25">
      <c r="AK255" s="2"/>
      <c r="AL255" s="2"/>
      <c r="AM255" s="2"/>
      <c r="AN255" s="2"/>
      <c r="AO255" s="2"/>
    </row>
    <row r="256" spans="37:41" x14ac:dyDescent="0.25">
      <c r="AK256" s="2"/>
      <c r="AL256" s="2"/>
      <c r="AM256" s="2"/>
      <c r="AN256" s="2"/>
      <c r="AO256" s="2"/>
    </row>
    <row r="257" spans="37:41" x14ac:dyDescent="0.25">
      <c r="AK257" s="2"/>
      <c r="AL257" s="2"/>
      <c r="AM257" s="2"/>
      <c r="AN257" s="2"/>
      <c r="AO257" s="2"/>
    </row>
    <row r="258" spans="37:41" x14ac:dyDescent="0.25">
      <c r="AK258" s="2"/>
      <c r="AL258" s="2"/>
      <c r="AM258" s="2"/>
      <c r="AN258" s="2"/>
      <c r="AO258" s="2"/>
    </row>
    <row r="259" spans="37:41" x14ac:dyDescent="0.25">
      <c r="AK259" s="2"/>
      <c r="AL259" s="2"/>
      <c r="AM259" s="2"/>
      <c r="AN259" s="2"/>
      <c r="AO259" s="2"/>
    </row>
    <row r="260" spans="37:41" x14ac:dyDescent="0.25">
      <c r="AK260" s="2"/>
      <c r="AL260" s="2"/>
      <c r="AM260" s="2"/>
      <c r="AN260" s="2"/>
      <c r="AO260" s="2"/>
    </row>
    <row r="261" spans="37:41" x14ac:dyDescent="0.25">
      <c r="AK261" s="2"/>
      <c r="AL261" s="2"/>
      <c r="AM261" s="2"/>
      <c r="AN261" s="2"/>
      <c r="AO261" s="2"/>
    </row>
    <row r="262" spans="37:41" x14ac:dyDescent="0.25">
      <c r="AK262" s="2"/>
      <c r="AL262" s="2"/>
      <c r="AM262" s="2"/>
      <c r="AN262" s="2"/>
      <c r="AO262" s="2"/>
    </row>
    <row r="263" spans="37:41" x14ac:dyDescent="0.25">
      <c r="AK263" s="2"/>
      <c r="AL263" s="2"/>
      <c r="AM263" s="2"/>
      <c r="AN263" s="2"/>
      <c r="AO263" s="2"/>
    </row>
    <row r="264" spans="37:41" x14ac:dyDescent="0.25">
      <c r="AK264" s="2"/>
      <c r="AL264" s="2"/>
      <c r="AM264" s="2"/>
      <c r="AN264" s="2"/>
      <c r="AO264" s="2"/>
    </row>
    <row r="265" spans="37:41" x14ac:dyDescent="0.25">
      <c r="AK265" s="2"/>
      <c r="AL265" s="2"/>
      <c r="AM265" s="2"/>
      <c r="AN265" s="2"/>
      <c r="AO265" s="2"/>
    </row>
    <row r="266" spans="37:41" x14ac:dyDescent="0.25">
      <c r="AK266" s="2"/>
      <c r="AL266" s="2"/>
      <c r="AM266" s="2"/>
      <c r="AN266" s="2"/>
      <c r="AO266" s="2"/>
    </row>
    <row r="267" spans="37:41" x14ac:dyDescent="0.25">
      <c r="AK267" s="2"/>
      <c r="AL267" s="2"/>
      <c r="AM267" s="2"/>
      <c r="AN267" s="2"/>
      <c r="AO267" s="2"/>
    </row>
    <row r="268" spans="37:41" x14ac:dyDescent="0.25">
      <c r="AK268" s="2"/>
      <c r="AL268" s="2"/>
      <c r="AM268" s="2"/>
      <c r="AN268" s="2"/>
      <c r="AO268" s="2"/>
    </row>
    <row r="269" spans="37:41" x14ac:dyDescent="0.25">
      <c r="AK269" s="2"/>
      <c r="AL269" s="2"/>
      <c r="AM269" s="2"/>
      <c r="AN269" s="2"/>
      <c r="AO269" s="2"/>
    </row>
    <row r="270" spans="37:41" x14ac:dyDescent="0.25">
      <c r="AK270" s="2"/>
      <c r="AL270" s="2"/>
      <c r="AM270" s="2"/>
      <c r="AN270" s="2"/>
      <c r="AO270" s="2"/>
    </row>
    <row r="271" spans="37:41" x14ac:dyDescent="0.25">
      <c r="AK271" s="2"/>
      <c r="AL271" s="2"/>
      <c r="AM271" s="2"/>
      <c r="AN271" s="2"/>
      <c r="AO271" s="2"/>
    </row>
    <row r="272" spans="37:41" x14ac:dyDescent="0.25">
      <c r="AK272" s="2"/>
      <c r="AL272" s="2"/>
      <c r="AM272" s="2"/>
      <c r="AN272" s="2"/>
      <c r="AO272" s="2"/>
    </row>
    <row r="273" spans="37:41" x14ac:dyDescent="0.25">
      <c r="AK273" s="2"/>
      <c r="AL273" s="2"/>
      <c r="AM273" s="2"/>
      <c r="AN273" s="2"/>
      <c r="AO273" s="2"/>
    </row>
    <row r="274" spans="37:41" x14ac:dyDescent="0.25">
      <c r="AK274" s="2"/>
      <c r="AL274" s="2"/>
      <c r="AM274" s="2"/>
      <c r="AN274" s="2"/>
      <c r="AO274" s="2"/>
    </row>
    <row r="275" spans="37:41" x14ac:dyDescent="0.25">
      <c r="AK275" s="2"/>
      <c r="AL275" s="2"/>
      <c r="AM275" s="2"/>
      <c r="AN275" s="2"/>
      <c r="AO275" s="2"/>
    </row>
    <row r="276" spans="37:41" x14ac:dyDescent="0.25">
      <c r="AK276" s="2"/>
      <c r="AL276" s="2"/>
      <c r="AM276" s="2"/>
      <c r="AN276" s="2"/>
      <c r="AO276" s="2"/>
    </row>
    <row r="277" spans="37:41" x14ac:dyDescent="0.25">
      <c r="AK277" s="2"/>
      <c r="AL277" s="2"/>
      <c r="AM277" s="2"/>
      <c r="AN277" s="2"/>
      <c r="AO277" s="2"/>
    </row>
    <row r="278" spans="37:41" x14ac:dyDescent="0.25">
      <c r="AK278" s="2"/>
      <c r="AL278" s="2"/>
      <c r="AM278" s="2"/>
      <c r="AN278" s="2"/>
      <c r="AO278" s="2"/>
    </row>
    <row r="279" spans="37:41" x14ac:dyDescent="0.25">
      <c r="AK279" s="2"/>
      <c r="AL279" s="2"/>
      <c r="AM279" s="2"/>
      <c r="AN279" s="2"/>
      <c r="AO279" s="2"/>
    </row>
    <row r="280" spans="37:41" x14ac:dyDescent="0.25">
      <c r="AK280" s="2"/>
      <c r="AL280" s="2"/>
      <c r="AM280" s="2"/>
      <c r="AN280" s="2"/>
      <c r="AO280" s="2"/>
    </row>
    <row r="281" spans="37:41" x14ac:dyDescent="0.25">
      <c r="AK281" s="2"/>
      <c r="AL281" s="2"/>
      <c r="AM281" s="2"/>
      <c r="AN281" s="2"/>
      <c r="AO281" s="2"/>
    </row>
    <row r="282" spans="37:41" x14ac:dyDescent="0.25">
      <c r="AK282" s="2"/>
      <c r="AL282" s="2"/>
      <c r="AM282" s="2"/>
      <c r="AN282" s="2"/>
      <c r="AO282" s="2"/>
    </row>
    <row r="283" spans="37:41" x14ac:dyDescent="0.25">
      <c r="AK283" s="2"/>
      <c r="AL283" s="2"/>
      <c r="AM283" s="2"/>
      <c r="AN283" s="2"/>
      <c r="AO283" s="2"/>
    </row>
    <row r="284" spans="37:41" x14ac:dyDescent="0.25">
      <c r="AK284" s="2"/>
      <c r="AL284" s="2"/>
      <c r="AM284" s="2"/>
      <c r="AN284" s="2"/>
      <c r="AO284" s="2"/>
    </row>
    <row r="285" spans="37:41" x14ac:dyDescent="0.25">
      <c r="AK285" s="2"/>
      <c r="AL285" s="2"/>
      <c r="AM285" s="2"/>
      <c r="AN285" s="2"/>
      <c r="AO285" s="2"/>
    </row>
    <row r="286" spans="37:41" x14ac:dyDescent="0.25">
      <c r="AK286" s="2"/>
      <c r="AL286" s="2"/>
      <c r="AM286" s="2"/>
      <c r="AN286" s="2"/>
      <c r="AO286" s="2"/>
    </row>
    <row r="287" spans="37:41" x14ac:dyDescent="0.25">
      <c r="AK287" s="2"/>
      <c r="AL287" s="2"/>
      <c r="AM287" s="2"/>
      <c r="AN287" s="2"/>
      <c r="AO287" s="2"/>
    </row>
    <row r="288" spans="37:41" x14ac:dyDescent="0.25">
      <c r="AK288" s="2"/>
      <c r="AL288" s="2"/>
      <c r="AM288" s="2"/>
      <c r="AN288" s="2"/>
      <c r="AO288" s="2"/>
    </row>
    <row r="289" spans="37:41" x14ac:dyDescent="0.25">
      <c r="AK289" s="2"/>
      <c r="AL289" s="2"/>
      <c r="AM289" s="2"/>
      <c r="AN289" s="2"/>
      <c r="AO289" s="2"/>
    </row>
    <row r="290" spans="37:41" x14ac:dyDescent="0.25">
      <c r="AK290" s="2"/>
      <c r="AL290" s="2"/>
      <c r="AM290" s="2"/>
      <c r="AN290" s="2"/>
      <c r="AO290" s="2"/>
    </row>
    <row r="291" spans="37:41" x14ac:dyDescent="0.25">
      <c r="AK291" s="2"/>
      <c r="AL291" s="2"/>
      <c r="AM291" s="2"/>
      <c r="AN291" s="2"/>
      <c r="AO291" s="2"/>
    </row>
    <row r="292" spans="37:41" x14ac:dyDescent="0.25">
      <c r="AK292" s="2"/>
      <c r="AL292" s="2"/>
      <c r="AM292" s="2"/>
      <c r="AN292" s="2"/>
      <c r="AO292" s="2"/>
    </row>
    <row r="293" spans="37:41" x14ac:dyDescent="0.25">
      <c r="AK293" s="2"/>
      <c r="AL293" s="2"/>
      <c r="AM293" s="2"/>
      <c r="AN293" s="2"/>
      <c r="AO293" s="2"/>
    </row>
    <row r="294" spans="37:41" x14ac:dyDescent="0.25">
      <c r="AK294" s="2"/>
      <c r="AL294" s="2"/>
      <c r="AM294" s="2"/>
      <c r="AN294" s="2"/>
      <c r="AO294" s="2"/>
    </row>
    <row r="295" spans="37:41" x14ac:dyDescent="0.25">
      <c r="AK295" s="2"/>
      <c r="AL295" s="2"/>
      <c r="AM295" s="2"/>
      <c r="AN295" s="2"/>
      <c r="AO295" s="2"/>
    </row>
    <row r="296" spans="37:41" x14ac:dyDescent="0.25">
      <c r="AK296" s="2"/>
      <c r="AL296" s="2"/>
      <c r="AM296" s="2"/>
      <c r="AN296" s="2"/>
      <c r="AO296" s="2"/>
    </row>
    <row r="297" spans="37:41" x14ac:dyDescent="0.25">
      <c r="AK297" s="2"/>
      <c r="AL297" s="2"/>
      <c r="AM297" s="2"/>
      <c r="AN297" s="2"/>
      <c r="AO297" s="2"/>
    </row>
    <row r="298" spans="37:41" x14ac:dyDescent="0.25">
      <c r="AK298" s="2"/>
      <c r="AL298" s="2"/>
      <c r="AM298" s="2"/>
      <c r="AN298" s="2"/>
      <c r="AO298" s="2"/>
    </row>
    <row r="299" spans="37:41" x14ac:dyDescent="0.25">
      <c r="AK299" s="2"/>
      <c r="AL299" s="2"/>
      <c r="AM299" s="2"/>
      <c r="AN299" s="2"/>
      <c r="AO299" s="2"/>
    </row>
    <row r="300" spans="37:41" x14ac:dyDescent="0.25">
      <c r="AK300" s="2"/>
      <c r="AL300" s="2"/>
      <c r="AM300" s="2"/>
      <c r="AN300" s="2"/>
      <c r="AO300" s="2"/>
    </row>
    <row r="301" spans="37:41" x14ac:dyDescent="0.25">
      <c r="AK301" s="2"/>
      <c r="AL301" s="2"/>
      <c r="AM301" s="2"/>
      <c r="AN301" s="2"/>
      <c r="AO301" s="2"/>
    </row>
    <row r="302" spans="37:41" x14ac:dyDescent="0.25">
      <c r="AK302" s="2"/>
      <c r="AL302" s="2"/>
      <c r="AM302" s="2"/>
      <c r="AN302" s="2"/>
      <c r="AO302" s="2"/>
    </row>
    <row r="303" spans="37:41" x14ac:dyDescent="0.25">
      <c r="AK303" s="2"/>
      <c r="AL303" s="2"/>
      <c r="AM303" s="2"/>
      <c r="AN303" s="2"/>
      <c r="AO303" s="2"/>
    </row>
    <row r="304" spans="37:41" x14ac:dyDescent="0.25">
      <c r="AK304" s="2"/>
      <c r="AL304" s="2"/>
      <c r="AM304" s="2"/>
      <c r="AN304" s="2"/>
      <c r="AO304" s="2"/>
    </row>
    <row r="305" spans="37:41" x14ac:dyDescent="0.25">
      <c r="AK305" s="2"/>
      <c r="AL305" s="2"/>
      <c r="AM305" s="2"/>
      <c r="AN305" s="2"/>
      <c r="AO305" s="2"/>
    </row>
    <row r="306" spans="37:41" x14ac:dyDescent="0.25">
      <c r="AK306" s="2"/>
      <c r="AL306" s="2"/>
      <c r="AM306" s="2"/>
      <c r="AN306" s="2"/>
      <c r="AO306" s="2"/>
    </row>
    <row r="307" spans="37:41" x14ac:dyDescent="0.25">
      <c r="AK307" s="2"/>
      <c r="AL307" s="2"/>
      <c r="AM307" s="2"/>
      <c r="AN307" s="2"/>
      <c r="AO307" s="2"/>
    </row>
    <row r="308" spans="37:41" x14ac:dyDescent="0.25">
      <c r="AK308" s="2"/>
      <c r="AL308" s="2"/>
      <c r="AM308" s="2"/>
      <c r="AN308" s="2"/>
      <c r="AO308" s="2"/>
    </row>
    <row r="309" spans="37:41" x14ac:dyDescent="0.25">
      <c r="AK309" s="2"/>
      <c r="AL309" s="2"/>
      <c r="AM309" s="2"/>
      <c r="AN309" s="2"/>
      <c r="AO309" s="2"/>
    </row>
    <row r="310" spans="37:41" x14ac:dyDescent="0.25">
      <c r="AK310" s="2"/>
      <c r="AL310" s="2"/>
      <c r="AM310" s="2"/>
      <c r="AN310" s="2"/>
      <c r="AO310" s="2"/>
    </row>
    <row r="311" spans="37:41" x14ac:dyDescent="0.25">
      <c r="AK311" s="2"/>
      <c r="AL311" s="2"/>
      <c r="AM311" s="2"/>
      <c r="AN311" s="2"/>
      <c r="AO311" s="2"/>
    </row>
    <row r="312" spans="37:41" x14ac:dyDescent="0.25">
      <c r="AK312" s="2"/>
      <c r="AL312" s="2"/>
      <c r="AM312" s="2"/>
      <c r="AN312" s="2"/>
      <c r="AO312" s="2"/>
    </row>
    <row r="313" spans="37:41" x14ac:dyDescent="0.25">
      <c r="AK313" s="2"/>
      <c r="AL313" s="2"/>
      <c r="AM313" s="2"/>
      <c r="AN313" s="2"/>
      <c r="AO313" s="2"/>
    </row>
    <row r="314" spans="37:41" x14ac:dyDescent="0.25">
      <c r="AK314" s="2"/>
      <c r="AL314" s="2"/>
      <c r="AM314" s="2"/>
      <c r="AN314" s="2"/>
      <c r="AO314" s="2"/>
    </row>
    <row r="315" spans="37:41" x14ac:dyDescent="0.25">
      <c r="AK315" s="2"/>
      <c r="AL315" s="2"/>
      <c r="AM315" s="2"/>
      <c r="AN315" s="2"/>
      <c r="AO315" s="2"/>
    </row>
    <row r="316" spans="37:41" x14ac:dyDescent="0.25">
      <c r="AK316" s="2"/>
      <c r="AL316" s="2"/>
      <c r="AM316" s="2"/>
      <c r="AN316" s="2"/>
      <c r="AO316" s="2"/>
    </row>
    <row r="317" spans="37:41" x14ac:dyDescent="0.25">
      <c r="AK317" s="2"/>
      <c r="AL317" s="2"/>
      <c r="AM317" s="2"/>
      <c r="AN317" s="2"/>
      <c r="AO317" s="2"/>
    </row>
    <row r="318" spans="37:41" x14ac:dyDescent="0.25">
      <c r="AK318" s="2"/>
      <c r="AL318" s="2"/>
      <c r="AM318" s="2"/>
      <c r="AN318" s="2"/>
      <c r="AO318" s="2"/>
    </row>
    <row r="319" spans="37:41" x14ac:dyDescent="0.25">
      <c r="AK319" s="2"/>
      <c r="AL319" s="2"/>
      <c r="AM319" s="2"/>
      <c r="AN319" s="2"/>
      <c r="AO319" s="2"/>
    </row>
    <row r="320" spans="37:41" x14ac:dyDescent="0.25">
      <c r="AK320" s="2"/>
      <c r="AL320" s="2"/>
      <c r="AM320" s="2"/>
      <c r="AN320" s="2"/>
      <c r="AO320" s="2"/>
    </row>
    <row r="321" spans="37:41" x14ac:dyDescent="0.25">
      <c r="AK321" s="2"/>
      <c r="AL321" s="2"/>
      <c r="AM321" s="2"/>
      <c r="AN321" s="2"/>
      <c r="AO321" s="2"/>
    </row>
    <row r="322" spans="37:41" x14ac:dyDescent="0.25">
      <c r="AK322" s="2"/>
      <c r="AL322" s="2"/>
      <c r="AM322" s="2"/>
      <c r="AN322" s="2"/>
      <c r="AO322" s="2"/>
    </row>
    <row r="323" spans="37:41" x14ac:dyDescent="0.25">
      <c r="AK323" s="2"/>
      <c r="AL323" s="2"/>
      <c r="AM323" s="2"/>
      <c r="AN323" s="2"/>
      <c r="AO323" s="2"/>
    </row>
    <row r="324" spans="37:41" x14ac:dyDescent="0.25">
      <c r="AK324" s="2"/>
      <c r="AL324" s="2"/>
      <c r="AM324" s="2"/>
      <c r="AN324" s="2"/>
      <c r="AO324" s="2"/>
    </row>
    <row r="325" spans="37:41" x14ac:dyDescent="0.25">
      <c r="AK325" s="2"/>
      <c r="AL325" s="2"/>
      <c r="AM325" s="2"/>
      <c r="AN325" s="2"/>
      <c r="AO325" s="2"/>
    </row>
    <row r="326" spans="37:41" x14ac:dyDescent="0.25">
      <c r="AK326" s="2"/>
      <c r="AL326" s="2"/>
      <c r="AM326" s="2"/>
      <c r="AN326" s="2"/>
      <c r="AO326" s="2"/>
    </row>
    <row r="327" spans="37:41" x14ac:dyDescent="0.25">
      <c r="AK327" s="2"/>
      <c r="AL327" s="2"/>
      <c r="AM327" s="2"/>
      <c r="AN327" s="2"/>
      <c r="AO327" s="2"/>
    </row>
    <row r="328" spans="37:41" x14ac:dyDescent="0.25">
      <c r="AK328" s="2"/>
      <c r="AL328" s="2"/>
      <c r="AM328" s="2"/>
      <c r="AN328" s="2"/>
      <c r="AO328" s="2"/>
    </row>
    <row r="329" spans="37:41" x14ac:dyDescent="0.25">
      <c r="AK329" s="2"/>
      <c r="AL329" s="2"/>
      <c r="AM329" s="2"/>
      <c r="AN329" s="2"/>
      <c r="AO329" s="2"/>
    </row>
    <row r="330" spans="37:41" x14ac:dyDescent="0.25">
      <c r="AK330" s="2"/>
      <c r="AL330" s="2"/>
      <c r="AM330" s="2"/>
      <c r="AN330" s="2"/>
      <c r="AO330" s="2"/>
    </row>
    <row r="331" spans="37:41" x14ac:dyDescent="0.25">
      <c r="AK331" s="2"/>
      <c r="AL331" s="2"/>
      <c r="AM331" s="2"/>
      <c r="AN331" s="2"/>
      <c r="AO331" s="2"/>
    </row>
    <row r="332" spans="37:41" x14ac:dyDescent="0.25">
      <c r="AK332" s="2"/>
      <c r="AL332" s="2"/>
      <c r="AM332" s="2"/>
      <c r="AN332" s="2"/>
      <c r="AO332" s="2"/>
    </row>
    <row r="333" spans="37:41" x14ac:dyDescent="0.25">
      <c r="AK333" s="2"/>
      <c r="AL333" s="2"/>
      <c r="AM333" s="2"/>
      <c r="AN333" s="2"/>
      <c r="AO333" s="2"/>
    </row>
    <row r="334" spans="37:41" x14ac:dyDescent="0.25">
      <c r="AK334" s="2"/>
      <c r="AL334" s="2"/>
      <c r="AM334" s="2"/>
      <c r="AN334" s="2"/>
      <c r="AO334" s="2"/>
    </row>
    <row r="335" spans="37:41" x14ac:dyDescent="0.25">
      <c r="AK335" s="2"/>
      <c r="AL335" s="2"/>
      <c r="AM335" s="2"/>
      <c r="AN335" s="2"/>
      <c r="AO335" s="2"/>
    </row>
    <row r="336" spans="37:41" x14ac:dyDescent="0.25">
      <c r="AK336" s="2"/>
      <c r="AL336" s="2"/>
      <c r="AM336" s="2"/>
      <c r="AN336" s="2"/>
      <c r="AO336" s="2"/>
    </row>
    <row r="337" spans="37:41" x14ac:dyDescent="0.25">
      <c r="AK337" s="2"/>
      <c r="AL337" s="2"/>
      <c r="AM337" s="2"/>
      <c r="AN337" s="2"/>
      <c r="AO337" s="2"/>
    </row>
    <row r="338" spans="37:41" x14ac:dyDescent="0.25">
      <c r="AK338" s="2"/>
      <c r="AL338" s="2"/>
      <c r="AM338" s="2"/>
      <c r="AN338" s="2"/>
      <c r="AO338" s="2"/>
    </row>
    <row r="339" spans="37:41" x14ac:dyDescent="0.25">
      <c r="AK339" s="2"/>
      <c r="AL339" s="2"/>
      <c r="AM339" s="2"/>
      <c r="AN339" s="2"/>
      <c r="AO339" s="2"/>
    </row>
    <row r="340" spans="37:41" x14ac:dyDescent="0.25">
      <c r="AK340" s="2"/>
      <c r="AL340" s="2"/>
      <c r="AM340" s="2"/>
      <c r="AN340" s="2"/>
      <c r="AO340" s="2"/>
    </row>
    <row r="341" spans="37:41" x14ac:dyDescent="0.25">
      <c r="AK341" s="2"/>
      <c r="AL341" s="2"/>
      <c r="AM341" s="2"/>
      <c r="AN341" s="2"/>
      <c r="AO341" s="2"/>
    </row>
    <row r="342" spans="37:41" x14ac:dyDescent="0.25">
      <c r="AK342" s="2"/>
      <c r="AL342" s="2"/>
      <c r="AM342" s="2"/>
      <c r="AN342" s="2"/>
      <c r="AO342" s="2"/>
    </row>
    <row r="343" spans="37:41" x14ac:dyDescent="0.25">
      <c r="AK343" s="2"/>
      <c r="AL343" s="2"/>
      <c r="AM343" s="2"/>
      <c r="AN343" s="2"/>
      <c r="AO343" s="2"/>
    </row>
    <row r="344" spans="37:41" x14ac:dyDescent="0.25">
      <c r="AK344" s="2"/>
      <c r="AL344" s="2"/>
      <c r="AM344" s="2"/>
      <c r="AN344" s="2"/>
      <c r="AO344" s="2"/>
    </row>
    <row r="345" spans="37:41" x14ac:dyDescent="0.25">
      <c r="AK345" s="2"/>
      <c r="AL345" s="2"/>
      <c r="AM345" s="2"/>
      <c r="AN345" s="2"/>
      <c r="AO345" s="2"/>
    </row>
    <row r="346" spans="37:41" x14ac:dyDescent="0.25">
      <c r="AK346" s="2"/>
      <c r="AL346" s="2"/>
      <c r="AM346" s="2"/>
      <c r="AN346" s="2"/>
      <c r="AO346" s="2"/>
    </row>
    <row r="347" spans="37:41" x14ac:dyDescent="0.25">
      <c r="AK347" s="2"/>
      <c r="AL347" s="2"/>
      <c r="AM347" s="2"/>
      <c r="AN347" s="2"/>
      <c r="AO347" s="2"/>
    </row>
    <row r="348" spans="37:41" x14ac:dyDescent="0.25">
      <c r="AK348" s="2"/>
      <c r="AL348" s="2"/>
      <c r="AM348" s="2"/>
      <c r="AN348" s="2"/>
      <c r="AO348" s="2"/>
    </row>
    <row r="349" spans="37:41" x14ac:dyDescent="0.25">
      <c r="AK349" s="2"/>
      <c r="AL349" s="2"/>
      <c r="AM349" s="2"/>
      <c r="AN349" s="2"/>
      <c r="AO349" s="2"/>
    </row>
    <row r="350" spans="37:41" x14ac:dyDescent="0.25">
      <c r="AK350" s="2"/>
      <c r="AL350" s="2"/>
      <c r="AM350" s="2"/>
      <c r="AN350" s="2"/>
      <c r="AO350" s="2"/>
    </row>
    <row r="351" spans="37:41" x14ac:dyDescent="0.25">
      <c r="AK351" s="2"/>
      <c r="AL351" s="2"/>
      <c r="AM351" s="2"/>
      <c r="AN351" s="2"/>
      <c r="AO351" s="2"/>
    </row>
    <row r="352" spans="37:41" x14ac:dyDescent="0.25">
      <c r="AK352" s="2"/>
      <c r="AL352" s="2"/>
      <c r="AM352" s="2"/>
      <c r="AN352" s="2"/>
      <c r="AO352" s="2"/>
    </row>
    <row r="353" spans="37:41" x14ac:dyDescent="0.25">
      <c r="AK353" s="2"/>
      <c r="AL353" s="2"/>
      <c r="AM353" s="2"/>
      <c r="AN353" s="2"/>
      <c r="AO353" s="2"/>
    </row>
    <row r="354" spans="37:41" x14ac:dyDescent="0.25">
      <c r="AK354" s="2"/>
      <c r="AL354" s="2"/>
      <c r="AM354" s="2"/>
      <c r="AN354" s="2"/>
      <c r="AO354" s="2"/>
    </row>
    <row r="355" spans="37:41" x14ac:dyDescent="0.25">
      <c r="AK355" s="2"/>
      <c r="AL355" s="2"/>
      <c r="AM355" s="2"/>
      <c r="AN355" s="2"/>
      <c r="AO355" s="2"/>
    </row>
    <row r="356" spans="37:41" x14ac:dyDescent="0.25">
      <c r="AK356" s="2"/>
      <c r="AL356" s="2"/>
      <c r="AM356" s="2"/>
      <c r="AN356" s="2"/>
      <c r="AO356" s="2"/>
    </row>
    <row r="357" spans="37:41" x14ac:dyDescent="0.25">
      <c r="AK357" s="2"/>
      <c r="AL357" s="2"/>
      <c r="AM357" s="2"/>
      <c r="AN357" s="2"/>
      <c r="AO357" s="2"/>
    </row>
    <row r="358" spans="37:41" x14ac:dyDescent="0.25">
      <c r="AK358" s="2"/>
      <c r="AL358" s="2"/>
      <c r="AM358" s="2"/>
      <c r="AN358" s="2"/>
      <c r="AO358" s="2"/>
    </row>
    <row r="359" spans="37:41" x14ac:dyDescent="0.25">
      <c r="AK359" s="2"/>
      <c r="AL359" s="2"/>
      <c r="AM359" s="2"/>
      <c r="AN359" s="2"/>
      <c r="AO359" s="2"/>
    </row>
    <row r="360" spans="37:41" x14ac:dyDescent="0.25">
      <c r="AK360" s="2"/>
      <c r="AL360" s="2"/>
      <c r="AM360" s="2"/>
      <c r="AN360" s="2"/>
      <c r="AO360" s="2"/>
    </row>
    <row r="361" spans="37:41" x14ac:dyDescent="0.25">
      <c r="AK361" s="2"/>
      <c r="AL361" s="2"/>
      <c r="AM361" s="2"/>
      <c r="AN361" s="2"/>
      <c r="AO361" s="2"/>
    </row>
    <row r="362" spans="37:41" x14ac:dyDescent="0.25">
      <c r="AK362" s="2"/>
      <c r="AL362" s="2"/>
      <c r="AM362" s="2"/>
      <c r="AN362" s="2"/>
      <c r="AO362" s="2"/>
    </row>
    <row r="363" spans="37:41" x14ac:dyDescent="0.25">
      <c r="AK363" s="2"/>
      <c r="AL363" s="2"/>
      <c r="AM363" s="2"/>
      <c r="AN363" s="2"/>
      <c r="AO363" s="2"/>
    </row>
    <row r="364" spans="37:41" x14ac:dyDescent="0.25">
      <c r="AK364" s="2"/>
      <c r="AL364" s="2"/>
      <c r="AM364" s="2"/>
      <c r="AN364" s="2"/>
      <c r="AO364" s="2"/>
    </row>
    <row r="365" spans="37:41" x14ac:dyDescent="0.25">
      <c r="AK365" s="2"/>
      <c r="AL365" s="2"/>
      <c r="AM365" s="2"/>
      <c r="AN365" s="2"/>
      <c r="AO365" s="2"/>
    </row>
    <row r="366" spans="37:41" x14ac:dyDescent="0.25">
      <c r="AK366" s="2"/>
      <c r="AL366" s="2"/>
      <c r="AM366" s="2"/>
      <c r="AN366" s="2"/>
      <c r="AO366" s="2"/>
    </row>
    <row r="367" spans="37:41" x14ac:dyDescent="0.25">
      <c r="AK367" s="2"/>
      <c r="AL367" s="2"/>
      <c r="AM367" s="2"/>
      <c r="AN367" s="2"/>
      <c r="AO367" s="2"/>
    </row>
    <row r="368" spans="37:41" x14ac:dyDescent="0.25">
      <c r="AK368" s="2"/>
      <c r="AL368" s="2"/>
      <c r="AM368" s="2"/>
      <c r="AN368" s="2"/>
      <c r="AO368" s="2"/>
    </row>
    <row r="369" spans="37:41" x14ac:dyDescent="0.25">
      <c r="AK369" s="2"/>
      <c r="AL369" s="2"/>
      <c r="AM369" s="2"/>
      <c r="AN369" s="2"/>
      <c r="AO369" s="2"/>
    </row>
    <row r="370" spans="37:41" x14ac:dyDescent="0.25">
      <c r="AK370" s="2"/>
      <c r="AL370" s="2"/>
      <c r="AM370" s="2"/>
      <c r="AN370" s="2"/>
      <c r="AO370" s="2"/>
    </row>
    <row r="371" spans="37:41" x14ac:dyDescent="0.25">
      <c r="AK371" s="2"/>
      <c r="AL371" s="2"/>
      <c r="AM371" s="2"/>
      <c r="AN371" s="2"/>
      <c r="AO371" s="2"/>
    </row>
    <row r="372" spans="37:41" x14ac:dyDescent="0.25">
      <c r="AK372" s="2"/>
      <c r="AL372" s="2"/>
      <c r="AM372" s="2"/>
      <c r="AN372" s="2"/>
      <c r="AO372" s="2"/>
    </row>
    <row r="373" spans="37:41" x14ac:dyDescent="0.25">
      <c r="AK373" s="2"/>
      <c r="AL373" s="2"/>
      <c r="AM373" s="2"/>
      <c r="AN373" s="2"/>
      <c r="AO373" s="2"/>
    </row>
    <row r="374" spans="37:41" x14ac:dyDescent="0.25">
      <c r="AK374" s="2"/>
      <c r="AL374" s="2"/>
      <c r="AM374" s="2"/>
      <c r="AN374" s="2"/>
      <c r="AO374" s="2"/>
    </row>
    <row r="375" spans="37:41" x14ac:dyDescent="0.25">
      <c r="AK375" s="2"/>
      <c r="AL375" s="2"/>
      <c r="AM375" s="2"/>
      <c r="AN375" s="2"/>
      <c r="AO375" s="2"/>
    </row>
    <row r="376" spans="37:41" x14ac:dyDescent="0.25">
      <c r="AK376" s="2"/>
      <c r="AL376" s="2"/>
      <c r="AM376" s="2"/>
      <c r="AN376" s="2"/>
      <c r="AO376" s="2"/>
    </row>
    <row r="377" spans="37:41" x14ac:dyDescent="0.25">
      <c r="AK377" s="2"/>
      <c r="AL377" s="2"/>
      <c r="AM377" s="2"/>
      <c r="AN377" s="2"/>
      <c r="AO377" s="2"/>
    </row>
    <row r="378" spans="37:41" x14ac:dyDescent="0.25">
      <c r="AK378" s="2"/>
      <c r="AL378" s="2"/>
      <c r="AM378" s="2"/>
      <c r="AN378" s="2"/>
      <c r="AO378" s="2"/>
    </row>
    <row r="379" spans="37:41" x14ac:dyDescent="0.25">
      <c r="AK379" s="2"/>
      <c r="AL379" s="2"/>
      <c r="AM379" s="2"/>
      <c r="AN379" s="2"/>
      <c r="AO379" s="2"/>
    </row>
    <row r="380" spans="37:41" x14ac:dyDescent="0.25">
      <c r="AK380" s="2"/>
      <c r="AL380" s="2"/>
      <c r="AM380" s="2"/>
      <c r="AN380" s="2"/>
      <c r="AO380" s="2"/>
    </row>
    <row r="381" spans="37:41" x14ac:dyDescent="0.25">
      <c r="AK381" s="2"/>
      <c r="AL381" s="2"/>
      <c r="AM381" s="2"/>
      <c r="AN381" s="2"/>
      <c r="AO381" s="2"/>
    </row>
    <row r="382" spans="37:41" x14ac:dyDescent="0.25">
      <c r="AK382" s="2"/>
      <c r="AL382" s="2"/>
      <c r="AM382" s="2"/>
      <c r="AN382" s="2"/>
      <c r="AO382" s="2"/>
    </row>
    <row r="383" spans="37:41" x14ac:dyDescent="0.25">
      <c r="AK383" s="2"/>
      <c r="AL383" s="2"/>
      <c r="AM383" s="2"/>
      <c r="AN383" s="2"/>
      <c r="AO383" s="2"/>
    </row>
    <row r="384" spans="37:41" x14ac:dyDescent="0.25">
      <c r="AK384" s="2"/>
      <c r="AL384" s="2"/>
      <c r="AM384" s="2"/>
      <c r="AN384" s="2"/>
      <c r="AO384" s="2"/>
    </row>
    <row r="385" spans="37:41" x14ac:dyDescent="0.25">
      <c r="AK385" s="2"/>
      <c r="AL385" s="2"/>
      <c r="AM385" s="2"/>
      <c r="AN385" s="2"/>
      <c r="AO385" s="2"/>
    </row>
    <row r="386" spans="37:41" x14ac:dyDescent="0.25">
      <c r="AK386" s="2"/>
      <c r="AL386" s="2"/>
      <c r="AM386" s="2"/>
      <c r="AN386" s="2"/>
      <c r="AO386" s="2"/>
    </row>
    <row r="387" spans="37:41" x14ac:dyDescent="0.25">
      <c r="AK387" s="2"/>
      <c r="AL387" s="2"/>
      <c r="AM387" s="2"/>
      <c r="AN387" s="2"/>
      <c r="AO387" s="2"/>
    </row>
    <row r="388" spans="37:41" x14ac:dyDescent="0.25">
      <c r="AK388" s="2"/>
      <c r="AL388" s="2"/>
      <c r="AM388" s="2"/>
      <c r="AN388" s="2"/>
      <c r="AO388" s="2"/>
    </row>
    <row r="389" spans="37:41" x14ac:dyDescent="0.25">
      <c r="AK389" s="2"/>
      <c r="AL389" s="2"/>
      <c r="AM389" s="2"/>
      <c r="AN389" s="2"/>
      <c r="AO389" s="2"/>
    </row>
    <row r="390" spans="37:41" x14ac:dyDescent="0.25">
      <c r="AK390" s="2"/>
      <c r="AL390" s="2"/>
      <c r="AM390" s="2"/>
      <c r="AN390" s="2"/>
      <c r="AO390" s="2"/>
    </row>
    <row r="391" spans="37:41" x14ac:dyDescent="0.25">
      <c r="AK391" s="2"/>
      <c r="AL391" s="2"/>
      <c r="AM391" s="2"/>
      <c r="AN391" s="2"/>
      <c r="AO391" s="2"/>
    </row>
    <row r="392" spans="37:41" x14ac:dyDescent="0.25">
      <c r="AK392" s="2"/>
      <c r="AL392" s="2"/>
      <c r="AM392" s="2"/>
      <c r="AN392" s="2"/>
      <c r="AO392" s="2"/>
    </row>
    <row r="393" spans="37:41" x14ac:dyDescent="0.25">
      <c r="AK393" s="2"/>
      <c r="AL393" s="2"/>
      <c r="AM393" s="2"/>
      <c r="AN393" s="2"/>
      <c r="AO393" s="2"/>
    </row>
    <row r="394" spans="37:41" x14ac:dyDescent="0.25">
      <c r="AK394" s="2"/>
      <c r="AL394" s="2"/>
      <c r="AM394" s="2"/>
      <c r="AN394" s="2"/>
      <c r="AO394" s="2"/>
    </row>
    <row r="395" spans="37:41" x14ac:dyDescent="0.25">
      <c r="AK395" s="2"/>
      <c r="AL395" s="2"/>
      <c r="AM395" s="2"/>
      <c r="AN395" s="2"/>
      <c r="AO395" s="2"/>
    </row>
    <row r="396" spans="37:41" x14ac:dyDescent="0.25">
      <c r="AK396" s="2"/>
      <c r="AL396" s="2"/>
      <c r="AM396" s="2"/>
      <c r="AN396" s="2"/>
      <c r="AO396" s="2"/>
    </row>
    <row r="397" spans="37:41" x14ac:dyDescent="0.25">
      <c r="AK397" s="2"/>
      <c r="AL397" s="2"/>
      <c r="AM397" s="2"/>
      <c r="AN397" s="2"/>
      <c r="AO397" s="2"/>
    </row>
    <row r="398" spans="37:41" x14ac:dyDescent="0.25">
      <c r="AK398" s="2"/>
      <c r="AL398" s="2"/>
      <c r="AM398" s="2"/>
      <c r="AN398" s="2"/>
      <c r="AO398" s="2"/>
    </row>
    <row r="399" spans="37:41" x14ac:dyDescent="0.25">
      <c r="AK399" s="2"/>
      <c r="AL399" s="2"/>
      <c r="AM399" s="2"/>
      <c r="AN399" s="2"/>
      <c r="AO399" s="2"/>
    </row>
    <row r="400" spans="37:41" x14ac:dyDescent="0.25">
      <c r="AK400" s="2"/>
      <c r="AL400" s="2"/>
      <c r="AM400" s="2"/>
      <c r="AN400" s="2"/>
      <c r="AO400" s="2"/>
    </row>
    <row r="401" spans="37:41" x14ac:dyDescent="0.25">
      <c r="AK401" s="2"/>
      <c r="AL401" s="2"/>
      <c r="AM401" s="2"/>
      <c r="AN401" s="2"/>
      <c r="AO401" s="2"/>
    </row>
    <row r="402" spans="37:41" x14ac:dyDescent="0.25">
      <c r="AK402" s="2"/>
      <c r="AL402" s="2"/>
      <c r="AM402" s="2"/>
      <c r="AN402" s="2"/>
      <c r="AO402" s="2"/>
    </row>
    <row r="403" spans="37:41" x14ac:dyDescent="0.25">
      <c r="AK403" s="2"/>
      <c r="AL403" s="2"/>
      <c r="AM403" s="2"/>
      <c r="AN403" s="2"/>
      <c r="AO403" s="2"/>
    </row>
    <row r="404" spans="37:41" x14ac:dyDescent="0.25">
      <c r="AK404" s="2"/>
      <c r="AL404" s="2"/>
      <c r="AM404" s="2"/>
      <c r="AN404" s="2"/>
      <c r="AO404" s="2"/>
    </row>
    <row r="405" spans="37:41" x14ac:dyDescent="0.25">
      <c r="AK405" s="2"/>
      <c r="AL405" s="2"/>
      <c r="AM405" s="2"/>
      <c r="AN405" s="2"/>
      <c r="AO405" s="2"/>
    </row>
    <row r="406" spans="37:41" x14ac:dyDescent="0.25">
      <c r="AK406" s="2"/>
      <c r="AL406" s="2"/>
      <c r="AM406" s="2"/>
      <c r="AN406" s="2"/>
      <c r="AO406" s="2"/>
    </row>
    <row r="407" spans="37:41" x14ac:dyDescent="0.25">
      <c r="AK407" s="2"/>
      <c r="AL407" s="2"/>
      <c r="AM407" s="2"/>
      <c r="AN407" s="2"/>
      <c r="AO407" s="2"/>
    </row>
    <row r="408" spans="37:41" x14ac:dyDescent="0.25">
      <c r="AK408" s="2"/>
      <c r="AL408" s="2"/>
      <c r="AM408" s="2"/>
      <c r="AN408" s="2"/>
      <c r="AO408" s="2"/>
    </row>
    <row r="409" spans="37:41" x14ac:dyDescent="0.25">
      <c r="AK409" s="2"/>
      <c r="AL409" s="2"/>
      <c r="AM409" s="2"/>
      <c r="AN409" s="2"/>
      <c r="AO409" s="2"/>
    </row>
    <row r="410" spans="37:41" x14ac:dyDescent="0.25">
      <c r="AK410" s="2"/>
      <c r="AL410" s="2"/>
      <c r="AM410" s="2"/>
      <c r="AN410" s="2"/>
      <c r="AO410" s="2"/>
    </row>
    <row r="411" spans="37:41" x14ac:dyDescent="0.25">
      <c r="AK411" s="2"/>
      <c r="AL411" s="2"/>
      <c r="AM411" s="2"/>
      <c r="AN411" s="2"/>
      <c r="AO411" s="2"/>
    </row>
    <row r="412" spans="37:41" x14ac:dyDescent="0.25">
      <c r="AK412" s="2"/>
      <c r="AL412" s="2"/>
      <c r="AM412" s="2"/>
      <c r="AN412" s="2"/>
      <c r="AO412" s="2"/>
    </row>
    <row r="413" spans="37:41" x14ac:dyDescent="0.25">
      <c r="AK413" s="2"/>
      <c r="AL413" s="2"/>
      <c r="AM413" s="2"/>
      <c r="AN413" s="2"/>
      <c r="AO413" s="2"/>
    </row>
    <row r="414" spans="37:41" x14ac:dyDescent="0.25">
      <c r="AK414" s="2"/>
      <c r="AL414" s="2"/>
      <c r="AM414" s="2"/>
      <c r="AN414" s="2"/>
      <c r="AO414" s="2"/>
    </row>
    <row r="415" spans="37:41" x14ac:dyDescent="0.25">
      <c r="AK415" s="2"/>
      <c r="AL415" s="2"/>
      <c r="AM415" s="2"/>
      <c r="AN415" s="2"/>
      <c r="AO415" s="2"/>
    </row>
    <row r="416" spans="37:41" x14ac:dyDescent="0.25">
      <c r="AK416" s="2"/>
      <c r="AL416" s="2"/>
      <c r="AM416" s="2"/>
      <c r="AN416" s="2"/>
      <c r="AO416" s="2"/>
    </row>
    <row r="417" spans="37:41" x14ac:dyDescent="0.25">
      <c r="AK417" s="2"/>
      <c r="AL417" s="2"/>
      <c r="AM417" s="2"/>
      <c r="AN417" s="2"/>
      <c r="AO417" s="2"/>
    </row>
    <row r="418" spans="37:41" x14ac:dyDescent="0.25">
      <c r="AK418" s="2"/>
      <c r="AL418" s="2"/>
      <c r="AM418" s="2"/>
      <c r="AN418" s="2"/>
      <c r="AO418" s="2"/>
    </row>
    <row r="419" spans="37:41" x14ac:dyDescent="0.25">
      <c r="AK419" s="2"/>
      <c r="AL419" s="2"/>
      <c r="AM419" s="2"/>
      <c r="AN419" s="2"/>
      <c r="AO419" s="2"/>
    </row>
    <row r="420" spans="37:41" x14ac:dyDescent="0.25">
      <c r="AK420" s="2"/>
      <c r="AL420" s="2"/>
      <c r="AM420" s="2"/>
      <c r="AN420" s="2"/>
      <c r="AO420" s="2"/>
    </row>
    <row r="421" spans="37:41" x14ac:dyDescent="0.25">
      <c r="AK421" s="2"/>
      <c r="AL421" s="2"/>
      <c r="AM421" s="2"/>
      <c r="AN421" s="2"/>
      <c r="AO421" s="2"/>
    </row>
    <row r="422" spans="37:41" x14ac:dyDescent="0.25">
      <c r="AK422" s="2"/>
      <c r="AL422" s="2"/>
      <c r="AM422" s="2"/>
      <c r="AN422" s="2"/>
      <c r="AO422" s="2"/>
    </row>
    <row r="423" spans="37:41" x14ac:dyDescent="0.25">
      <c r="AK423" s="2"/>
      <c r="AL423" s="2"/>
      <c r="AM423" s="2"/>
      <c r="AN423" s="2"/>
      <c r="AO423" s="2"/>
    </row>
    <row r="424" spans="37:41" x14ac:dyDescent="0.25">
      <c r="AK424" s="2"/>
      <c r="AL424" s="2"/>
      <c r="AM424" s="2"/>
      <c r="AN424" s="2"/>
      <c r="AO424" s="2"/>
    </row>
    <row r="425" spans="37:41" x14ac:dyDescent="0.25">
      <c r="AK425" s="2"/>
      <c r="AL425" s="2"/>
      <c r="AM425" s="2"/>
      <c r="AN425" s="2"/>
      <c r="AO425" s="2"/>
    </row>
    <row r="426" spans="37:41" x14ac:dyDescent="0.25">
      <c r="AK426" s="2"/>
      <c r="AL426" s="2"/>
      <c r="AM426" s="2"/>
      <c r="AN426" s="2"/>
      <c r="AO426" s="2"/>
    </row>
    <row r="427" spans="37:41" x14ac:dyDescent="0.25">
      <c r="AK427" s="2"/>
      <c r="AL427" s="2"/>
      <c r="AM427" s="2"/>
      <c r="AN427" s="2"/>
      <c r="AO427" s="2"/>
    </row>
    <row r="428" spans="37:41" x14ac:dyDescent="0.25">
      <c r="AK428" s="2"/>
      <c r="AL428" s="2"/>
      <c r="AM428" s="2"/>
      <c r="AN428" s="2"/>
      <c r="AO428" s="2"/>
    </row>
    <row r="429" spans="37:41" x14ac:dyDescent="0.25">
      <c r="AK429" s="2"/>
      <c r="AL429" s="2"/>
      <c r="AM429" s="2"/>
      <c r="AN429" s="2"/>
      <c r="AO429" s="2"/>
    </row>
    <row r="430" spans="37:41" x14ac:dyDescent="0.25">
      <c r="AK430" s="2"/>
      <c r="AL430" s="2"/>
      <c r="AM430" s="2"/>
      <c r="AN430" s="2"/>
      <c r="AO430" s="2"/>
    </row>
    <row r="431" spans="37:41" x14ac:dyDescent="0.25">
      <c r="AK431" s="2"/>
      <c r="AL431" s="2"/>
      <c r="AM431" s="2"/>
      <c r="AN431" s="2"/>
      <c r="AO431" s="2"/>
    </row>
    <row r="432" spans="37:41" x14ac:dyDescent="0.25">
      <c r="AK432" s="2"/>
      <c r="AL432" s="2"/>
      <c r="AM432" s="2"/>
      <c r="AN432" s="2"/>
      <c r="AO432" s="2"/>
    </row>
    <row r="433" spans="37:41" x14ac:dyDescent="0.25">
      <c r="AK433" s="2"/>
      <c r="AL433" s="2"/>
      <c r="AM433" s="2"/>
      <c r="AN433" s="2"/>
      <c r="AO433" s="2"/>
    </row>
    <row r="434" spans="37:41" x14ac:dyDescent="0.25">
      <c r="AK434" s="2"/>
      <c r="AL434" s="2"/>
      <c r="AM434" s="2"/>
      <c r="AN434" s="2"/>
      <c r="AO434" s="2"/>
    </row>
    <row r="435" spans="37:41" x14ac:dyDescent="0.25">
      <c r="AK435" s="2"/>
      <c r="AL435" s="2"/>
      <c r="AM435" s="2"/>
      <c r="AN435" s="2"/>
      <c r="AO435" s="2"/>
    </row>
    <row r="436" spans="37:41" x14ac:dyDescent="0.25">
      <c r="AK436" s="2"/>
      <c r="AL436" s="2"/>
      <c r="AM436" s="2"/>
      <c r="AN436" s="2"/>
      <c r="AO436" s="2"/>
    </row>
    <row r="437" spans="37:41" x14ac:dyDescent="0.25">
      <c r="AK437" s="2"/>
      <c r="AL437" s="2"/>
      <c r="AM437" s="2"/>
      <c r="AN437" s="2"/>
      <c r="AO437" s="2"/>
    </row>
    <row r="438" spans="37:41" x14ac:dyDescent="0.25">
      <c r="AK438" s="2"/>
      <c r="AL438" s="2"/>
      <c r="AM438" s="2"/>
      <c r="AN438" s="2"/>
      <c r="AO438" s="2"/>
    </row>
    <row r="439" spans="37:41" x14ac:dyDescent="0.25">
      <c r="AK439" s="2"/>
      <c r="AL439" s="2"/>
      <c r="AM439" s="2"/>
      <c r="AN439" s="2"/>
      <c r="AO439" s="2"/>
    </row>
    <row r="440" spans="37:41" x14ac:dyDescent="0.25">
      <c r="AK440" s="2"/>
      <c r="AL440" s="2"/>
      <c r="AM440" s="2"/>
      <c r="AN440" s="2"/>
      <c r="AO440" s="2"/>
    </row>
    <row r="441" spans="37:41" x14ac:dyDescent="0.25">
      <c r="AK441" s="2"/>
      <c r="AL441" s="2"/>
      <c r="AM441" s="2"/>
      <c r="AN441" s="2"/>
      <c r="AO441" s="2"/>
    </row>
    <row r="442" spans="37:41" x14ac:dyDescent="0.25">
      <c r="AK442" s="2"/>
      <c r="AL442" s="2"/>
      <c r="AM442" s="2"/>
      <c r="AN442" s="2"/>
      <c r="AO442" s="2"/>
    </row>
    <row r="443" spans="37:41" x14ac:dyDescent="0.25">
      <c r="AK443" s="2"/>
      <c r="AL443" s="2"/>
      <c r="AM443" s="2"/>
      <c r="AN443" s="2"/>
      <c r="AO443" s="2"/>
    </row>
    <row r="444" spans="37:41" x14ac:dyDescent="0.25">
      <c r="AK444" s="2"/>
      <c r="AL444" s="2"/>
      <c r="AM444" s="2"/>
      <c r="AN444" s="2"/>
      <c r="AO444" s="2"/>
    </row>
    <row r="445" spans="37:41" x14ac:dyDescent="0.25">
      <c r="AK445" s="2"/>
      <c r="AL445" s="2"/>
      <c r="AM445" s="2"/>
      <c r="AN445" s="2"/>
      <c r="AO445" s="2"/>
    </row>
    <row r="446" spans="37:41" x14ac:dyDescent="0.25">
      <c r="AK446" s="2"/>
      <c r="AL446" s="2"/>
      <c r="AM446" s="2"/>
      <c r="AN446" s="2"/>
      <c r="AO446" s="2"/>
    </row>
    <row r="447" spans="37:41" x14ac:dyDescent="0.25">
      <c r="AK447" s="2"/>
      <c r="AL447" s="2"/>
      <c r="AM447" s="2"/>
      <c r="AN447" s="2"/>
      <c r="AO447" s="2"/>
    </row>
    <row r="448" spans="37:41" x14ac:dyDescent="0.25">
      <c r="AK448" s="2"/>
      <c r="AL448" s="2"/>
      <c r="AM448" s="2"/>
      <c r="AN448" s="2"/>
      <c r="AO448" s="2"/>
    </row>
    <row r="449" spans="37:41" x14ac:dyDescent="0.25">
      <c r="AK449" s="2"/>
      <c r="AL449" s="2"/>
      <c r="AM449" s="2"/>
      <c r="AN449" s="2"/>
      <c r="AO449" s="2"/>
    </row>
    <row r="450" spans="37:41" x14ac:dyDescent="0.25">
      <c r="AK450" s="2"/>
      <c r="AL450" s="2"/>
      <c r="AM450" s="2"/>
      <c r="AN450" s="2"/>
      <c r="AO450" s="2"/>
    </row>
    <row r="451" spans="37:41" x14ac:dyDescent="0.25">
      <c r="AK451" s="2"/>
      <c r="AL451" s="2"/>
      <c r="AM451" s="2"/>
      <c r="AN451" s="2"/>
      <c r="AO451" s="2"/>
    </row>
    <row r="452" spans="37:41" x14ac:dyDescent="0.25">
      <c r="AK452" s="2"/>
      <c r="AL452" s="2"/>
      <c r="AM452" s="2"/>
      <c r="AN452" s="2"/>
      <c r="AO452" s="2"/>
    </row>
    <row r="453" spans="37:41" x14ac:dyDescent="0.25">
      <c r="AK453" s="2"/>
      <c r="AL453" s="2"/>
      <c r="AM453" s="2"/>
      <c r="AN453" s="2"/>
      <c r="AO453" s="2"/>
    </row>
    <row r="454" spans="37:41" x14ac:dyDescent="0.25">
      <c r="AK454" s="2"/>
      <c r="AL454" s="2"/>
      <c r="AM454" s="2"/>
      <c r="AN454" s="2"/>
      <c r="AO454" s="2"/>
    </row>
    <row r="455" spans="37:41" x14ac:dyDescent="0.25">
      <c r="AK455" s="2"/>
      <c r="AL455" s="2"/>
      <c r="AM455" s="2"/>
      <c r="AN455" s="2"/>
      <c r="AO455" s="2"/>
    </row>
    <row r="456" spans="37:41" x14ac:dyDescent="0.25">
      <c r="AK456" s="2"/>
      <c r="AL456" s="2"/>
      <c r="AM456" s="2"/>
      <c r="AN456" s="2"/>
      <c r="AO456" s="2"/>
    </row>
    <row r="457" spans="37:41" x14ac:dyDescent="0.25">
      <c r="AK457" s="2"/>
      <c r="AL457" s="2"/>
      <c r="AM457" s="2"/>
      <c r="AN457" s="2"/>
      <c r="AO457" s="2"/>
    </row>
    <row r="458" spans="37:41" x14ac:dyDescent="0.25">
      <c r="AK458" s="2"/>
      <c r="AL458" s="2"/>
      <c r="AM458" s="2"/>
      <c r="AN458" s="2"/>
      <c r="AO458" s="2"/>
    </row>
    <row r="459" spans="37:41" x14ac:dyDescent="0.25">
      <c r="AK459" s="2"/>
      <c r="AL459" s="2"/>
      <c r="AM459" s="2"/>
      <c r="AN459" s="2"/>
      <c r="AO459" s="2"/>
    </row>
    <row r="460" spans="37:41" x14ac:dyDescent="0.25">
      <c r="AK460" s="2"/>
      <c r="AL460" s="2"/>
      <c r="AM460" s="2"/>
      <c r="AN460" s="2"/>
      <c r="AO460" s="2"/>
    </row>
    <row r="461" spans="37:41" x14ac:dyDescent="0.25">
      <c r="AK461" s="2"/>
      <c r="AL461" s="2"/>
      <c r="AM461" s="2"/>
      <c r="AN461" s="2"/>
      <c r="AO461" s="2"/>
    </row>
    <row r="462" spans="37:41" x14ac:dyDescent="0.25">
      <c r="AK462" s="2"/>
      <c r="AL462" s="2"/>
      <c r="AM462" s="2"/>
      <c r="AN462" s="2"/>
      <c r="AO462" s="2"/>
    </row>
    <row r="463" spans="37:41" x14ac:dyDescent="0.25">
      <c r="AK463" s="2"/>
      <c r="AL463" s="2"/>
      <c r="AM463" s="2"/>
      <c r="AN463" s="2"/>
      <c r="AO463" s="2"/>
    </row>
    <row r="464" spans="37:41" x14ac:dyDescent="0.25">
      <c r="AK464" s="2"/>
      <c r="AL464" s="2"/>
      <c r="AM464" s="2"/>
      <c r="AN464" s="2"/>
      <c r="AO464" s="2"/>
    </row>
    <row r="465" spans="37:41" x14ac:dyDescent="0.25">
      <c r="AK465" s="2"/>
      <c r="AL465" s="2"/>
      <c r="AM465" s="2"/>
      <c r="AN465" s="2"/>
      <c r="AO465" s="2"/>
    </row>
    <row r="466" spans="37:41" x14ac:dyDescent="0.25">
      <c r="AK466" s="2"/>
      <c r="AL466" s="2"/>
      <c r="AM466" s="2"/>
      <c r="AN466" s="2"/>
      <c r="AO466" s="2"/>
    </row>
    <row r="467" spans="37:41" x14ac:dyDescent="0.25">
      <c r="AK467" s="2"/>
      <c r="AL467" s="2"/>
      <c r="AM467" s="2"/>
      <c r="AN467" s="2"/>
      <c r="AO467" s="2"/>
    </row>
    <row r="468" spans="37:41" x14ac:dyDescent="0.25">
      <c r="AK468" s="2"/>
      <c r="AL468" s="2"/>
      <c r="AM468" s="2"/>
      <c r="AN468" s="2"/>
      <c r="AO468" s="2"/>
    </row>
    <row r="469" spans="37:41" x14ac:dyDescent="0.25">
      <c r="AK469" s="2"/>
      <c r="AL469" s="2"/>
      <c r="AM469" s="2"/>
      <c r="AN469" s="2"/>
      <c r="AO469" s="2"/>
    </row>
    <row r="470" spans="37:41" x14ac:dyDescent="0.25">
      <c r="AK470" s="2"/>
      <c r="AL470" s="2"/>
      <c r="AM470" s="2"/>
      <c r="AN470" s="2"/>
      <c r="AO470" s="2"/>
    </row>
    <row r="471" spans="37:41" x14ac:dyDescent="0.25">
      <c r="AK471" s="2"/>
      <c r="AL471" s="2"/>
      <c r="AM471" s="2"/>
      <c r="AN471" s="2"/>
      <c r="AO471" s="2"/>
    </row>
    <row r="472" spans="37:41" x14ac:dyDescent="0.25">
      <c r="AK472" s="2"/>
      <c r="AL472" s="2"/>
      <c r="AM472" s="2"/>
      <c r="AN472" s="2"/>
      <c r="AO472" s="2"/>
    </row>
    <row r="473" spans="37:41" x14ac:dyDescent="0.25">
      <c r="AK473" s="2"/>
      <c r="AL473" s="2"/>
      <c r="AM473" s="2"/>
      <c r="AN473" s="2"/>
      <c r="AO473" s="2"/>
    </row>
    <row r="474" spans="37:41" x14ac:dyDescent="0.25">
      <c r="AK474" s="2"/>
      <c r="AL474" s="2"/>
      <c r="AM474" s="2"/>
      <c r="AN474" s="2"/>
      <c r="AO474" s="2"/>
    </row>
    <row r="475" spans="37:41" x14ac:dyDescent="0.25">
      <c r="AK475" s="2"/>
      <c r="AL475" s="2"/>
      <c r="AM475" s="2"/>
      <c r="AN475" s="2"/>
      <c r="AO475" s="2"/>
    </row>
    <row r="476" spans="37:41" x14ac:dyDescent="0.25">
      <c r="AK476" s="2"/>
      <c r="AL476" s="2"/>
      <c r="AM476" s="2"/>
      <c r="AN476" s="2"/>
      <c r="AO476" s="2"/>
    </row>
    <row r="477" spans="37:41" x14ac:dyDescent="0.25">
      <c r="AK477" s="2"/>
      <c r="AL477" s="2"/>
      <c r="AM477" s="2"/>
      <c r="AN477" s="2"/>
      <c r="AO477" s="2"/>
    </row>
    <row r="478" spans="37:41" x14ac:dyDescent="0.25">
      <c r="AK478" s="2"/>
      <c r="AL478" s="2"/>
      <c r="AM478" s="2"/>
      <c r="AN478" s="2"/>
      <c r="AO478" s="2"/>
    </row>
    <row r="479" spans="37:41" x14ac:dyDescent="0.25">
      <c r="AK479" s="2"/>
      <c r="AL479" s="2"/>
      <c r="AM479" s="2"/>
      <c r="AN479" s="2"/>
      <c r="AO479" s="2"/>
    </row>
    <row r="480" spans="37:41" x14ac:dyDescent="0.25">
      <c r="AK480" s="2"/>
      <c r="AL480" s="2"/>
      <c r="AM480" s="2"/>
      <c r="AN480" s="2"/>
      <c r="AO480" s="2"/>
    </row>
    <row r="481" spans="37:41" x14ac:dyDescent="0.25">
      <c r="AK481" s="2"/>
      <c r="AL481" s="2"/>
      <c r="AM481" s="2"/>
      <c r="AN481" s="2"/>
      <c r="AO481" s="2"/>
    </row>
    <row r="482" spans="37:41" x14ac:dyDescent="0.25">
      <c r="AK482" s="2"/>
      <c r="AL482" s="2"/>
      <c r="AM482" s="2"/>
      <c r="AN482" s="2"/>
      <c r="AO482" s="2"/>
    </row>
    <row r="483" spans="37:41" x14ac:dyDescent="0.25">
      <c r="AK483" s="2"/>
      <c r="AL483" s="2"/>
      <c r="AM483" s="2"/>
      <c r="AN483" s="2"/>
      <c r="AO483" s="2"/>
    </row>
    <row r="484" spans="37:41" x14ac:dyDescent="0.25">
      <c r="AK484" s="2"/>
      <c r="AL484" s="2"/>
      <c r="AM484" s="2"/>
      <c r="AN484" s="2"/>
      <c r="AO484" s="2"/>
    </row>
    <row r="485" spans="37:41" x14ac:dyDescent="0.25">
      <c r="AK485" s="2"/>
      <c r="AL485" s="2"/>
      <c r="AM485" s="2"/>
      <c r="AN485" s="2"/>
      <c r="AO485" s="2"/>
    </row>
    <row r="486" spans="37:41" x14ac:dyDescent="0.25">
      <c r="AK486" s="2"/>
      <c r="AL486" s="2"/>
      <c r="AM486" s="2"/>
      <c r="AN486" s="2"/>
      <c r="AO486" s="2"/>
    </row>
    <row r="487" spans="37:41" x14ac:dyDescent="0.25">
      <c r="AK487" s="2"/>
      <c r="AL487" s="2"/>
      <c r="AM487" s="2"/>
      <c r="AN487" s="2"/>
      <c r="AO487" s="2"/>
    </row>
    <row r="488" spans="37:41" x14ac:dyDescent="0.25">
      <c r="AK488" s="2"/>
      <c r="AL488" s="2"/>
      <c r="AM488" s="2"/>
      <c r="AN488" s="2"/>
      <c r="AO488" s="2"/>
    </row>
    <row r="489" spans="37:41" x14ac:dyDescent="0.25">
      <c r="AK489" s="2"/>
      <c r="AL489" s="2"/>
      <c r="AM489" s="2"/>
      <c r="AN489" s="2"/>
      <c r="AO489" s="2"/>
    </row>
    <row r="490" spans="37:41" x14ac:dyDescent="0.25">
      <c r="AK490" s="2"/>
      <c r="AL490" s="2"/>
      <c r="AM490" s="2"/>
      <c r="AN490" s="2"/>
      <c r="AO490" s="2"/>
    </row>
    <row r="491" spans="37:41" x14ac:dyDescent="0.25">
      <c r="AK491" s="2"/>
      <c r="AL491" s="2"/>
      <c r="AM491" s="2"/>
      <c r="AN491" s="2"/>
      <c r="AO491" s="2"/>
    </row>
    <row r="492" spans="37:41" x14ac:dyDescent="0.25">
      <c r="AK492" s="2"/>
      <c r="AL492" s="2"/>
      <c r="AM492" s="2"/>
      <c r="AN492" s="2"/>
      <c r="AO492" s="2"/>
    </row>
    <row r="493" spans="37:41" x14ac:dyDescent="0.25">
      <c r="AK493" s="2"/>
      <c r="AL493" s="2"/>
      <c r="AM493" s="2"/>
      <c r="AN493" s="2"/>
      <c r="AO493" s="2"/>
    </row>
    <row r="494" spans="37:41" x14ac:dyDescent="0.25">
      <c r="AK494" s="2"/>
      <c r="AL494" s="2"/>
      <c r="AM494" s="2"/>
      <c r="AN494" s="2"/>
      <c r="AO494" s="2"/>
    </row>
    <row r="495" spans="37:41" x14ac:dyDescent="0.25">
      <c r="AK495" s="2"/>
      <c r="AL495" s="2"/>
      <c r="AM495" s="2"/>
      <c r="AN495" s="2"/>
      <c r="AO495" s="2"/>
    </row>
    <row r="496" spans="37:41" x14ac:dyDescent="0.25">
      <c r="AK496" s="2"/>
      <c r="AL496" s="2"/>
      <c r="AM496" s="2"/>
      <c r="AN496" s="2"/>
      <c r="AO496" s="2"/>
    </row>
    <row r="497" spans="37:41" x14ac:dyDescent="0.25">
      <c r="AK497" s="2"/>
      <c r="AL497" s="2"/>
      <c r="AM497" s="2"/>
      <c r="AN497" s="2"/>
      <c r="AO497" s="2"/>
    </row>
    <row r="498" spans="37:41" x14ac:dyDescent="0.25">
      <c r="AK498" s="2"/>
      <c r="AL498" s="2"/>
      <c r="AM498" s="2"/>
      <c r="AN498" s="2"/>
      <c r="AO498" s="2"/>
    </row>
    <row r="499" spans="37:41" x14ac:dyDescent="0.25">
      <c r="AK499" s="2"/>
      <c r="AL499" s="2"/>
      <c r="AM499" s="2"/>
      <c r="AN499" s="2"/>
      <c r="AO499" s="2"/>
    </row>
    <row r="500" spans="37:41" x14ac:dyDescent="0.25">
      <c r="AK500" s="2"/>
      <c r="AL500" s="2"/>
      <c r="AM500" s="2"/>
      <c r="AN500" s="2"/>
      <c r="AO500" s="2"/>
    </row>
    <row r="501" spans="37:41" x14ac:dyDescent="0.25">
      <c r="AK501" s="2"/>
      <c r="AL501" s="2"/>
      <c r="AM501" s="2"/>
      <c r="AN501" s="2"/>
      <c r="AO501" s="2"/>
    </row>
    <row r="502" spans="37:41" x14ac:dyDescent="0.25">
      <c r="AK502" s="2"/>
      <c r="AL502" s="2"/>
      <c r="AM502" s="2"/>
      <c r="AN502" s="2"/>
      <c r="AO502" s="2"/>
    </row>
    <row r="503" spans="37:41" x14ac:dyDescent="0.25">
      <c r="AK503" s="2"/>
      <c r="AL503" s="2"/>
      <c r="AM503" s="2"/>
      <c r="AN503" s="2"/>
      <c r="AO503" s="2"/>
    </row>
    <row r="504" spans="37:41" x14ac:dyDescent="0.25">
      <c r="AK504" s="2"/>
      <c r="AL504" s="2"/>
      <c r="AM504" s="2"/>
      <c r="AN504" s="2"/>
      <c r="AO504" s="2"/>
    </row>
    <row r="505" spans="37:41" x14ac:dyDescent="0.25">
      <c r="AK505" s="2"/>
      <c r="AL505" s="2"/>
      <c r="AM505" s="2"/>
      <c r="AN505" s="2"/>
      <c r="AO505" s="2"/>
    </row>
    <row r="506" spans="37:41" x14ac:dyDescent="0.25">
      <c r="AK506" s="2"/>
      <c r="AL506" s="2"/>
      <c r="AM506" s="2"/>
      <c r="AN506" s="2"/>
      <c r="AO506" s="2"/>
    </row>
    <row r="507" spans="37:41" x14ac:dyDescent="0.25">
      <c r="AK507" s="2"/>
      <c r="AL507" s="2"/>
      <c r="AM507" s="2"/>
      <c r="AN507" s="2"/>
      <c r="AO507" s="2"/>
    </row>
    <row r="508" spans="37:41" x14ac:dyDescent="0.25">
      <c r="AK508" s="2"/>
      <c r="AL508" s="2"/>
      <c r="AM508" s="2"/>
      <c r="AN508" s="2"/>
      <c r="AO508" s="2"/>
    </row>
    <row r="509" spans="37:41" x14ac:dyDescent="0.25">
      <c r="AK509" s="2"/>
      <c r="AL509" s="2"/>
      <c r="AM509" s="2"/>
      <c r="AN509" s="2"/>
      <c r="AO509" s="2"/>
    </row>
    <row r="510" spans="37:41" x14ac:dyDescent="0.25">
      <c r="AK510" s="2"/>
      <c r="AL510" s="2"/>
      <c r="AM510" s="2"/>
      <c r="AN510" s="2"/>
      <c r="AO510" s="2"/>
    </row>
    <row r="511" spans="37:41" x14ac:dyDescent="0.25">
      <c r="AK511" s="2"/>
      <c r="AL511" s="2"/>
      <c r="AM511" s="2"/>
      <c r="AN511" s="2"/>
      <c r="AO511" s="2"/>
    </row>
    <row r="512" spans="37:41" x14ac:dyDescent="0.25">
      <c r="AK512" s="2"/>
      <c r="AL512" s="2"/>
      <c r="AM512" s="2"/>
      <c r="AN512" s="2"/>
      <c r="AO512" s="2"/>
    </row>
    <row r="513" spans="37:41" x14ac:dyDescent="0.25">
      <c r="AK513" s="2"/>
      <c r="AL513" s="2"/>
      <c r="AM513" s="2"/>
      <c r="AN513" s="2"/>
      <c r="AO513" s="2"/>
    </row>
    <row r="514" spans="37:41" x14ac:dyDescent="0.25">
      <c r="AK514" s="2"/>
      <c r="AL514" s="2"/>
      <c r="AM514" s="2"/>
      <c r="AN514" s="2"/>
      <c r="AO514" s="2"/>
    </row>
    <row r="515" spans="37:41" x14ac:dyDescent="0.25">
      <c r="AK515" s="2"/>
      <c r="AL515" s="2"/>
      <c r="AM515" s="2"/>
      <c r="AN515" s="2"/>
      <c r="AO515" s="2"/>
    </row>
    <row r="516" spans="37:41" x14ac:dyDescent="0.25">
      <c r="AK516" s="2"/>
      <c r="AL516" s="2"/>
      <c r="AM516" s="2"/>
      <c r="AN516" s="2"/>
      <c r="AO516" s="2"/>
    </row>
    <row r="517" spans="37:41" x14ac:dyDescent="0.25">
      <c r="AK517" s="2"/>
      <c r="AL517" s="2"/>
      <c r="AM517" s="2"/>
      <c r="AN517" s="2"/>
      <c r="AO517" s="2"/>
    </row>
    <row r="518" spans="37:41" x14ac:dyDescent="0.25">
      <c r="AK518" s="2"/>
      <c r="AL518" s="2"/>
      <c r="AM518" s="2"/>
      <c r="AN518" s="2"/>
      <c r="AO518" s="2"/>
    </row>
    <row r="519" spans="37:41" x14ac:dyDescent="0.25">
      <c r="AK519" s="2"/>
      <c r="AL519" s="2"/>
      <c r="AM519" s="2"/>
      <c r="AN519" s="2"/>
      <c r="AO519" s="2"/>
    </row>
    <row r="520" spans="37:41" x14ac:dyDescent="0.25">
      <c r="AK520" s="2"/>
      <c r="AL520" s="2"/>
      <c r="AM520" s="2"/>
      <c r="AN520" s="2"/>
      <c r="AO520" s="2"/>
    </row>
    <row r="521" spans="37:41" x14ac:dyDescent="0.25">
      <c r="AK521" s="2"/>
      <c r="AL521" s="2"/>
      <c r="AM521" s="2"/>
      <c r="AN521" s="2"/>
      <c r="AO521" s="2"/>
    </row>
    <row r="522" spans="37:41" x14ac:dyDescent="0.25">
      <c r="AK522" s="2"/>
      <c r="AL522" s="2"/>
      <c r="AM522" s="2"/>
      <c r="AN522" s="2"/>
      <c r="AO522" s="2"/>
    </row>
    <row r="523" spans="37:41" x14ac:dyDescent="0.25">
      <c r="AK523" s="2"/>
      <c r="AL523" s="2"/>
      <c r="AM523" s="2"/>
      <c r="AN523" s="2"/>
      <c r="AO523" s="2"/>
    </row>
    <row r="524" spans="37:41" x14ac:dyDescent="0.25">
      <c r="AK524" s="2"/>
      <c r="AL524" s="2"/>
      <c r="AM524" s="2"/>
      <c r="AN524" s="2"/>
      <c r="AO524" s="2"/>
    </row>
    <row r="525" spans="37:41" x14ac:dyDescent="0.25">
      <c r="AK525" s="2"/>
      <c r="AL525" s="2"/>
      <c r="AM525" s="2"/>
      <c r="AN525" s="2"/>
      <c r="AO525" s="2"/>
    </row>
    <row r="526" spans="37:41" x14ac:dyDescent="0.25">
      <c r="AK526" s="2"/>
      <c r="AL526" s="2"/>
      <c r="AM526" s="2"/>
      <c r="AN526" s="2"/>
      <c r="AO526" s="2"/>
    </row>
    <row r="527" spans="37:41" x14ac:dyDescent="0.25">
      <c r="AK527" s="2"/>
      <c r="AL527" s="2"/>
      <c r="AM527" s="2"/>
      <c r="AN527" s="2"/>
      <c r="AO527" s="2"/>
    </row>
    <row r="528" spans="37:41" x14ac:dyDescent="0.25">
      <c r="AK528" s="2"/>
      <c r="AL528" s="2"/>
      <c r="AM528" s="2"/>
      <c r="AN528" s="2"/>
      <c r="AO528" s="2"/>
    </row>
    <row r="529" spans="37:41" x14ac:dyDescent="0.25">
      <c r="AK529" s="2"/>
      <c r="AL529" s="2"/>
      <c r="AM529" s="2"/>
      <c r="AN529" s="2"/>
      <c r="AO529" s="2"/>
    </row>
    <row r="530" spans="37:41" x14ac:dyDescent="0.25">
      <c r="AK530" s="2"/>
      <c r="AL530" s="2"/>
      <c r="AM530" s="2"/>
      <c r="AN530" s="2"/>
      <c r="AO530" s="2"/>
    </row>
    <row r="531" spans="37:41" x14ac:dyDescent="0.25">
      <c r="AK531" s="2"/>
      <c r="AL531" s="2"/>
      <c r="AM531" s="2"/>
      <c r="AN531" s="2"/>
      <c r="AO531" s="2"/>
    </row>
    <row r="532" spans="37:41" x14ac:dyDescent="0.25">
      <c r="AK532" s="2"/>
      <c r="AL532" s="2"/>
      <c r="AM532" s="2"/>
      <c r="AN532" s="2"/>
      <c r="AO532" s="2"/>
    </row>
    <row r="533" spans="37:41" x14ac:dyDescent="0.25">
      <c r="AK533" s="2"/>
      <c r="AL533" s="2"/>
      <c r="AM533" s="2"/>
      <c r="AN533" s="2"/>
      <c r="AO533" s="2"/>
    </row>
    <row r="534" spans="37:41" x14ac:dyDescent="0.25">
      <c r="AK534" s="2"/>
      <c r="AL534" s="2"/>
      <c r="AM534" s="2"/>
      <c r="AN534" s="2"/>
      <c r="AO534" s="2"/>
    </row>
    <row r="535" spans="37:41" x14ac:dyDescent="0.25">
      <c r="AK535" s="2"/>
      <c r="AL535" s="2"/>
      <c r="AM535" s="2"/>
      <c r="AN535" s="2"/>
      <c r="AO535" s="2"/>
    </row>
    <row r="536" spans="37:41" x14ac:dyDescent="0.25">
      <c r="AK536" s="2"/>
      <c r="AL536" s="2"/>
      <c r="AM536" s="2"/>
      <c r="AN536" s="2"/>
      <c r="AO536" s="2"/>
    </row>
    <row r="537" spans="37:41" x14ac:dyDescent="0.25">
      <c r="AK537" s="2"/>
      <c r="AL537" s="2"/>
      <c r="AM537" s="2"/>
      <c r="AN537" s="2"/>
      <c r="AO537" s="2"/>
    </row>
    <row r="538" spans="37:41" x14ac:dyDescent="0.25">
      <c r="AK538" s="2"/>
      <c r="AL538" s="2"/>
      <c r="AM538" s="2"/>
      <c r="AN538" s="2"/>
      <c r="AO538" s="2"/>
    </row>
    <row r="539" spans="37:41" x14ac:dyDescent="0.25">
      <c r="AK539" s="2"/>
      <c r="AL539" s="2"/>
      <c r="AM539" s="2"/>
      <c r="AN539" s="2"/>
      <c r="AO539" s="2"/>
    </row>
    <row r="540" spans="37:41" x14ac:dyDescent="0.25">
      <c r="AK540" s="2"/>
      <c r="AL540" s="2"/>
      <c r="AM540" s="2"/>
      <c r="AN540" s="2"/>
      <c r="AO540" s="2"/>
    </row>
    <row r="541" spans="37:41" x14ac:dyDescent="0.25">
      <c r="AK541" s="2"/>
      <c r="AL541" s="2"/>
      <c r="AM541" s="2"/>
      <c r="AN541" s="2"/>
      <c r="AO541" s="2"/>
    </row>
    <row r="542" spans="37:41" x14ac:dyDescent="0.25">
      <c r="AK542" s="2"/>
      <c r="AL542" s="2"/>
      <c r="AM542" s="2"/>
      <c r="AN542" s="2"/>
      <c r="AO542" s="2"/>
    </row>
    <row r="543" spans="37:41" x14ac:dyDescent="0.25">
      <c r="AK543" s="2"/>
      <c r="AL543" s="2"/>
      <c r="AM543" s="2"/>
      <c r="AN543" s="2"/>
      <c r="AO543" s="2"/>
    </row>
    <row r="544" spans="37:41" x14ac:dyDescent="0.25">
      <c r="AK544" s="2"/>
      <c r="AL544" s="2"/>
      <c r="AM544" s="2"/>
      <c r="AN544" s="2"/>
      <c r="AO544" s="2"/>
    </row>
    <row r="545" spans="37:41" x14ac:dyDescent="0.25">
      <c r="AK545" s="2"/>
      <c r="AL545" s="2"/>
      <c r="AM545" s="2"/>
      <c r="AN545" s="2"/>
      <c r="AO545" s="2"/>
    </row>
    <row r="546" spans="37:41" x14ac:dyDescent="0.25">
      <c r="AK546" s="2"/>
      <c r="AL546" s="2"/>
      <c r="AM546" s="2"/>
      <c r="AN546" s="2"/>
      <c r="AO546" s="2"/>
    </row>
    <row r="547" spans="37:41" x14ac:dyDescent="0.25">
      <c r="AK547" s="2"/>
      <c r="AL547" s="2"/>
      <c r="AM547" s="2"/>
      <c r="AN547" s="2"/>
      <c r="AO547" s="2"/>
    </row>
    <row r="548" spans="37:41" x14ac:dyDescent="0.25">
      <c r="AK548" s="2"/>
      <c r="AL548" s="2"/>
      <c r="AM548" s="2"/>
      <c r="AN548" s="2"/>
      <c r="AO548" s="2"/>
    </row>
    <row r="549" spans="37:41" x14ac:dyDescent="0.25">
      <c r="AK549" s="2"/>
      <c r="AL549" s="2"/>
      <c r="AM549" s="2"/>
      <c r="AN549" s="2"/>
      <c r="AO549" s="2"/>
    </row>
    <row r="550" spans="37:41" x14ac:dyDescent="0.25">
      <c r="AK550" s="2"/>
      <c r="AL550" s="2"/>
      <c r="AM550" s="2"/>
      <c r="AN550" s="2"/>
      <c r="AO550" s="2"/>
    </row>
    <row r="551" spans="37:41" x14ac:dyDescent="0.25">
      <c r="AK551" s="2"/>
      <c r="AL551" s="2"/>
      <c r="AM551" s="2"/>
      <c r="AN551" s="2"/>
      <c r="AO551" s="2"/>
    </row>
    <row r="552" spans="37:41" x14ac:dyDescent="0.25">
      <c r="AK552" s="2"/>
      <c r="AL552" s="2"/>
      <c r="AM552" s="2"/>
      <c r="AN552" s="2"/>
      <c r="AO552" s="2"/>
    </row>
    <row r="553" spans="37:41" x14ac:dyDescent="0.25">
      <c r="AK553" s="2"/>
      <c r="AL553" s="2"/>
      <c r="AM553" s="2"/>
      <c r="AN553" s="2"/>
      <c r="AO553" s="2"/>
    </row>
    <row r="554" spans="37:41" x14ac:dyDescent="0.25">
      <c r="AK554" s="2"/>
      <c r="AL554" s="2"/>
      <c r="AM554" s="2"/>
      <c r="AN554" s="2"/>
      <c r="AO554" s="2"/>
    </row>
    <row r="555" spans="37:41" x14ac:dyDescent="0.25">
      <c r="AK555" s="2"/>
      <c r="AL555" s="2"/>
      <c r="AM555" s="2"/>
      <c r="AN555" s="2"/>
      <c r="AO555" s="2"/>
    </row>
    <row r="556" spans="37:41" x14ac:dyDescent="0.25">
      <c r="AK556" s="2"/>
      <c r="AL556" s="2"/>
      <c r="AM556" s="2"/>
      <c r="AN556" s="2"/>
      <c r="AO556" s="2"/>
    </row>
    <row r="557" spans="37:41" x14ac:dyDescent="0.25">
      <c r="AK557" s="2"/>
      <c r="AL557" s="2"/>
      <c r="AM557" s="2"/>
      <c r="AN557" s="2"/>
      <c r="AO557" s="2"/>
    </row>
    <row r="558" spans="37:41" x14ac:dyDescent="0.25">
      <c r="AK558" s="2"/>
      <c r="AL558" s="2"/>
      <c r="AM558" s="2"/>
      <c r="AN558" s="2"/>
      <c r="AO558" s="2"/>
    </row>
    <row r="559" spans="37:41" x14ac:dyDescent="0.25">
      <c r="AK559" s="2"/>
      <c r="AL559" s="2"/>
      <c r="AM559" s="2"/>
      <c r="AN559" s="2"/>
      <c r="AO559" s="2"/>
    </row>
    <row r="560" spans="37:41" x14ac:dyDescent="0.25">
      <c r="AK560" s="2"/>
      <c r="AL560" s="2"/>
      <c r="AM560" s="2"/>
      <c r="AN560" s="2"/>
      <c r="AO560" s="2"/>
    </row>
    <row r="561" spans="37:41" x14ac:dyDescent="0.25">
      <c r="AK561" s="2"/>
      <c r="AL561" s="2"/>
      <c r="AM561" s="2"/>
      <c r="AN561" s="2"/>
      <c r="AO561" s="2"/>
    </row>
    <row r="562" spans="37:41" x14ac:dyDescent="0.25">
      <c r="AK562" s="2"/>
      <c r="AL562" s="2"/>
      <c r="AM562" s="2"/>
      <c r="AN562" s="2"/>
      <c r="AO562" s="2"/>
    </row>
    <row r="563" spans="37:41" x14ac:dyDescent="0.25">
      <c r="AK563" s="2"/>
      <c r="AL563" s="2"/>
      <c r="AM563" s="2"/>
      <c r="AN563" s="2"/>
      <c r="AO563" s="2"/>
    </row>
    <row r="564" spans="37:41" x14ac:dyDescent="0.25">
      <c r="AK564" s="2"/>
      <c r="AL564" s="2"/>
      <c r="AM564" s="2"/>
      <c r="AN564" s="2"/>
      <c r="AO564" s="2"/>
    </row>
    <row r="565" spans="37:41" x14ac:dyDescent="0.25">
      <c r="AK565" s="2"/>
      <c r="AL565" s="2"/>
      <c r="AM565" s="2"/>
      <c r="AN565" s="2"/>
      <c r="AO565" s="2"/>
    </row>
    <row r="566" spans="37:41" x14ac:dyDescent="0.25">
      <c r="AK566" s="2"/>
      <c r="AL566" s="2"/>
      <c r="AM566" s="2"/>
      <c r="AN566" s="2"/>
      <c r="AO566" s="2"/>
    </row>
    <row r="567" spans="37:41" x14ac:dyDescent="0.25">
      <c r="AK567" s="2"/>
      <c r="AL567" s="2"/>
      <c r="AM567" s="2"/>
      <c r="AN567" s="2"/>
      <c r="AO567" s="2"/>
    </row>
    <row r="568" spans="37:41" x14ac:dyDescent="0.25">
      <c r="AK568" s="2"/>
      <c r="AL568" s="2"/>
      <c r="AM568" s="2"/>
      <c r="AN568" s="2"/>
      <c r="AO568" s="2"/>
    </row>
    <row r="569" spans="37:41" x14ac:dyDescent="0.25">
      <c r="AK569" s="2"/>
      <c r="AL569" s="2"/>
      <c r="AM569" s="2"/>
      <c r="AN569" s="2"/>
      <c r="AO569" s="2"/>
    </row>
    <row r="570" spans="37:41" x14ac:dyDescent="0.25">
      <c r="AK570" s="2"/>
      <c r="AL570" s="2"/>
      <c r="AM570" s="2"/>
      <c r="AN570" s="2"/>
      <c r="AO570" s="2"/>
    </row>
    <row r="571" spans="37:41" x14ac:dyDescent="0.25">
      <c r="AK571" s="2"/>
      <c r="AL571" s="2"/>
      <c r="AM571" s="2"/>
      <c r="AN571" s="2"/>
      <c r="AO571" s="2"/>
    </row>
    <row r="572" spans="37:41" x14ac:dyDescent="0.25">
      <c r="AK572" s="2"/>
      <c r="AL572" s="2"/>
      <c r="AM572" s="2"/>
      <c r="AN572" s="2"/>
      <c r="AO572" s="2"/>
    </row>
    <row r="573" spans="37:41" x14ac:dyDescent="0.25">
      <c r="AK573" s="2"/>
      <c r="AL573" s="2"/>
      <c r="AM573" s="2"/>
      <c r="AN573" s="2"/>
      <c r="AO573" s="2"/>
    </row>
    <row r="574" spans="37:41" x14ac:dyDescent="0.25">
      <c r="AK574" s="2"/>
      <c r="AL574" s="2"/>
      <c r="AM574" s="2"/>
      <c r="AN574" s="2"/>
      <c r="AO574" s="2"/>
    </row>
    <row r="575" spans="37:41" x14ac:dyDescent="0.25">
      <c r="AK575" s="2"/>
      <c r="AL575" s="2"/>
      <c r="AM575" s="2"/>
      <c r="AN575" s="2"/>
      <c r="AO575" s="2"/>
    </row>
    <row r="576" spans="37:41" x14ac:dyDescent="0.25">
      <c r="AK576" s="2"/>
      <c r="AL576" s="2"/>
      <c r="AM576" s="2"/>
      <c r="AN576" s="2"/>
      <c r="AO576" s="2"/>
    </row>
    <row r="577" spans="37:41" x14ac:dyDescent="0.25">
      <c r="AK577" s="2"/>
      <c r="AL577" s="2"/>
      <c r="AM577" s="2"/>
      <c r="AN577" s="2"/>
      <c r="AO577" s="2"/>
    </row>
    <row r="578" spans="37:41" x14ac:dyDescent="0.25">
      <c r="AK578" s="2"/>
      <c r="AL578" s="2"/>
      <c r="AM578" s="2"/>
      <c r="AN578" s="2"/>
      <c r="AO578" s="2"/>
    </row>
    <row r="579" spans="37:41" x14ac:dyDescent="0.25">
      <c r="AK579" s="2"/>
      <c r="AL579" s="2"/>
      <c r="AM579" s="2"/>
      <c r="AN579" s="2"/>
      <c r="AO579" s="2"/>
    </row>
    <row r="580" spans="37:41" x14ac:dyDescent="0.25">
      <c r="AK580" s="2"/>
      <c r="AL580" s="2"/>
      <c r="AM580" s="2"/>
      <c r="AN580" s="2"/>
      <c r="AO580" s="2"/>
    </row>
    <row r="581" spans="37:41" x14ac:dyDescent="0.25">
      <c r="AK581" s="2"/>
      <c r="AL581" s="2"/>
      <c r="AM581" s="2"/>
      <c r="AN581" s="2"/>
      <c r="AO581" s="2"/>
    </row>
    <row r="582" spans="37:41" x14ac:dyDescent="0.25">
      <c r="AK582" s="2"/>
      <c r="AL582" s="2"/>
      <c r="AM582" s="2"/>
      <c r="AN582" s="2"/>
      <c r="AO582" s="2"/>
    </row>
    <row r="583" spans="37:41" x14ac:dyDescent="0.25">
      <c r="AK583" s="2"/>
      <c r="AL583" s="2"/>
      <c r="AM583" s="2"/>
      <c r="AN583" s="2"/>
      <c r="AO583" s="2"/>
    </row>
    <row r="584" spans="37:41" x14ac:dyDescent="0.25">
      <c r="AK584" s="2"/>
      <c r="AL584" s="2"/>
      <c r="AM584" s="2"/>
      <c r="AN584" s="2"/>
      <c r="AO584" s="2"/>
    </row>
    <row r="585" spans="37:41" x14ac:dyDescent="0.25">
      <c r="AK585" s="2"/>
      <c r="AL585" s="2"/>
      <c r="AM585" s="2"/>
      <c r="AN585" s="2"/>
      <c r="AO585" s="2"/>
    </row>
    <row r="586" spans="37:41" x14ac:dyDescent="0.25">
      <c r="AK586" s="2"/>
      <c r="AL586" s="2"/>
      <c r="AM586" s="2"/>
      <c r="AN586" s="2"/>
      <c r="AO586" s="2"/>
    </row>
    <row r="587" spans="37:41" x14ac:dyDescent="0.25">
      <c r="AK587" s="2"/>
      <c r="AL587" s="2"/>
      <c r="AM587" s="2"/>
      <c r="AN587" s="2"/>
      <c r="AO587" s="2"/>
    </row>
    <row r="588" spans="37:41" x14ac:dyDescent="0.25">
      <c r="AK588" s="2"/>
      <c r="AL588" s="2"/>
      <c r="AM588" s="2"/>
      <c r="AN588" s="2"/>
      <c r="AO588" s="2"/>
    </row>
    <row r="589" spans="37:41" x14ac:dyDescent="0.25">
      <c r="AK589" s="2"/>
      <c r="AL589" s="2"/>
      <c r="AM589" s="2"/>
      <c r="AN589" s="2"/>
      <c r="AO589" s="2"/>
    </row>
    <row r="590" spans="37:41" x14ac:dyDescent="0.25">
      <c r="AK590" s="2"/>
      <c r="AL590" s="2"/>
      <c r="AM590" s="2"/>
      <c r="AN590" s="2"/>
      <c r="AO590" s="2"/>
    </row>
    <row r="591" spans="37:41" x14ac:dyDescent="0.25">
      <c r="AK591" s="2"/>
      <c r="AL591" s="2"/>
      <c r="AM591" s="2"/>
      <c r="AN591" s="2"/>
      <c r="AO591" s="2"/>
    </row>
    <row r="592" spans="37:41" x14ac:dyDescent="0.25">
      <c r="AK592" s="2"/>
      <c r="AL592" s="2"/>
      <c r="AM592" s="2"/>
      <c r="AN592" s="2"/>
      <c r="AO592" s="2"/>
    </row>
    <row r="593" spans="37:41" x14ac:dyDescent="0.25">
      <c r="AK593" s="2"/>
      <c r="AL593" s="2"/>
      <c r="AM593" s="2"/>
      <c r="AN593" s="2"/>
      <c r="AO593" s="2"/>
    </row>
    <row r="594" spans="37:41" x14ac:dyDescent="0.25">
      <c r="AK594" s="2"/>
      <c r="AL594" s="2"/>
      <c r="AM594" s="2"/>
      <c r="AN594" s="2"/>
      <c r="AO594" s="2"/>
    </row>
    <row r="595" spans="37:41" x14ac:dyDescent="0.25">
      <c r="AK595" s="2"/>
      <c r="AL595" s="2"/>
      <c r="AM595" s="2"/>
      <c r="AN595" s="2"/>
      <c r="AO595" s="2"/>
    </row>
    <row r="596" spans="37:41" x14ac:dyDescent="0.25">
      <c r="AK596" s="2"/>
      <c r="AL596" s="2"/>
      <c r="AM596" s="2"/>
      <c r="AN596" s="2"/>
      <c r="AO596" s="2"/>
    </row>
    <row r="597" spans="37:41" x14ac:dyDescent="0.25">
      <c r="AK597" s="2"/>
      <c r="AL597" s="2"/>
      <c r="AM597" s="2"/>
      <c r="AN597" s="2"/>
      <c r="AO597" s="2"/>
    </row>
    <row r="598" spans="37:41" x14ac:dyDescent="0.25">
      <c r="AK598" s="2"/>
      <c r="AL598" s="2"/>
      <c r="AM598" s="2"/>
      <c r="AN598" s="2"/>
      <c r="AO598" s="2"/>
    </row>
    <row r="599" spans="37:41" x14ac:dyDescent="0.25">
      <c r="AK599" s="2"/>
      <c r="AL599" s="2"/>
      <c r="AM599" s="2"/>
      <c r="AN599" s="2"/>
      <c r="AO599" s="2"/>
    </row>
    <row r="600" spans="37:41" x14ac:dyDescent="0.25">
      <c r="AK600" s="2"/>
      <c r="AL600" s="2"/>
      <c r="AM600" s="2"/>
      <c r="AN600" s="2"/>
      <c r="AO600" s="2"/>
    </row>
    <row r="601" spans="37:41" x14ac:dyDescent="0.25">
      <c r="AK601" s="2"/>
      <c r="AL601" s="2"/>
      <c r="AM601" s="2"/>
      <c r="AN601" s="2"/>
      <c r="AO601" s="2"/>
    </row>
    <row r="602" spans="37:41" x14ac:dyDescent="0.25">
      <c r="AK602" s="2"/>
      <c r="AL602" s="2"/>
      <c r="AM602" s="2"/>
      <c r="AN602" s="2"/>
      <c r="AO602" s="2"/>
    </row>
    <row r="603" spans="37:41" x14ac:dyDescent="0.25">
      <c r="AK603" s="2"/>
      <c r="AL603" s="2"/>
      <c r="AM603" s="2"/>
      <c r="AN603" s="2"/>
      <c r="AO603" s="2"/>
    </row>
    <row r="604" spans="37:41" x14ac:dyDescent="0.25">
      <c r="AK604" s="2"/>
      <c r="AL604" s="2"/>
      <c r="AM604" s="2"/>
      <c r="AN604" s="2"/>
      <c r="AO604" s="2"/>
    </row>
    <row r="605" spans="37:41" x14ac:dyDescent="0.25">
      <c r="AK605" s="2"/>
      <c r="AL605" s="2"/>
      <c r="AM605" s="2"/>
      <c r="AN605" s="2"/>
      <c r="AO605" s="2"/>
    </row>
    <row r="606" spans="37:41" x14ac:dyDescent="0.25">
      <c r="AK606" s="2"/>
      <c r="AL606" s="2"/>
      <c r="AM606" s="2"/>
      <c r="AN606" s="2"/>
      <c r="AO606" s="2"/>
    </row>
    <row r="607" spans="37:41" x14ac:dyDescent="0.25">
      <c r="AK607" s="2"/>
      <c r="AL607" s="2"/>
      <c r="AM607" s="2"/>
      <c r="AN607" s="2"/>
      <c r="AO607" s="2"/>
    </row>
    <row r="608" spans="37:41" x14ac:dyDescent="0.25">
      <c r="AK608" s="2"/>
      <c r="AL608" s="2"/>
      <c r="AM608" s="2"/>
      <c r="AN608" s="2"/>
      <c r="AO608" s="2"/>
    </row>
    <row r="609" spans="37:41" x14ac:dyDescent="0.25">
      <c r="AK609" s="2"/>
      <c r="AL609" s="2"/>
      <c r="AM609" s="2"/>
      <c r="AN609" s="2"/>
      <c r="AO609" s="2"/>
    </row>
    <row r="610" spans="37:41" x14ac:dyDescent="0.25">
      <c r="AK610" s="2"/>
      <c r="AL610" s="2"/>
      <c r="AM610" s="2"/>
      <c r="AN610" s="2"/>
      <c r="AO610" s="2"/>
    </row>
    <row r="611" spans="37:41" x14ac:dyDescent="0.25">
      <c r="AK611" s="2"/>
      <c r="AL611" s="2"/>
      <c r="AM611" s="2"/>
      <c r="AN611" s="2"/>
      <c r="AO611" s="2"/>
    </row>
    <row r="612" spans="37:41" x14ac:dyDescent="0.25">
      <c r="AK612" s="2"/>
      <c r="AL612" s="2"/>
      <c r="AM612" s="2"/>
      <c r="AN612" s="2"/>
      <c r="AO612" s="2"/>
    </row>
    <row r="613" spans="37:41" x14ac:dyDescent="0.25">
      <c r="AK613" s="2"/>
      <c r="AL613" s="2"/>
      <c r="AM613" s="2"/>
      <c r="AN613" s="2"/>
      <c r="AO613" s="2"/>
    </row>
    <row r="614" spans="37:41" x14ac:dyDescent="0.25">
      <c r="AK614" s="2"/>
      <c r="AL614" s="2"/>
      <c r="AM614" s="2"/>
      <c r="AN614" s="2"/>
      <c r="AO614" s="2"/>
    </row>
    <row r="615" spans="37:41" x14ac:dyDescent="0.25">
      <c r="AK615" s="2"/>
      <c r="AL615" s="2"/>
      <c r="AM615" s="2"/>
      <c r="AN615" s="2"/>
      <c r="AO615" s="2"/>
    </row>
    <row r="616" spans="37:41" x14ac:dyDescent="0.25">
      <c r="AK616" s="2"/>
      <c r="AL616" s="2"/>
      <c r="AM616" s="2"/>
      <c r="AN616" s="2"/>
      <c r="AO616" s="2"/>
    </row>
    <row r="617" spans="37:41" x14ac:dyDescent="0.25">
      <c r="AK617" s="2"/>
      <c r="AL617" s="2"/>
      <c r="AM617" s="2"/>
      <c r="AN617" s="2"/>
      <c r="AO617" s="2"/>
    </row>
    <row r="618" spans="37:41" x14ac:dyDescent="0.25">
      <c r="AK618" s="2"/>
      <c r="AL618" s="2"/>
      <c r="AM618" s="2"/>
      <c r="AN618" s="2"/>
      <c r="AO618" s="2"/>
    </row>
    <row r="619" spans="37:41" x14ac:dyDescent="0.25">
      <c r="AK619" s="2"/>
      <c r="AL619" s="2"/>
      <c r="AM619" s="2"/>
      <c r="AN619" s="2"/>
      <c r="AO619" s="2"/>
    </row>
    <row r="620" spans="37:41" x14ac:dyDescent="0.25">
      <c r="AK620" s="2"/>
      <c r="AL620" s="2"/>
      <c r="AM620" s="2"/>
      <c r="AN620" s="2"/>
      <c r="AO620" s="2"/>
    </row>
    <row r="621" spans="37:41" x14ac:dyDescent="0.25">
      <c r="AK621" s="2"/>
      <c r="AL621" s="2"/>
      <c r="AM621" s="2"/>
      <c r="AN621" s="2"/>
      <c r="AO621" s="2"/>
    </row>
    <row r="622" spans="37:41" x14ac:dyDescent="0.25">
      <c r="AK622" s="2"/>
      <c r="AL622" s="2"/>
      <c r="AM622" s="2"/>
      <c r="AN622" s="2"/>
      <c r="AO622" s="2"/>
    </row>
    <row r="623" spans="37:41" x14ac:dyDescent="0.25">
      <c r="AK623" s="2"/>
      <c r="AL623" s="2"/>
      <c r="AM623" s="2"/>
      <c r="AN623" s="2"/>
      <c r="AO623" s="2"/>
    </row>
    <row r="624" spans="37:41" x14ac:dyDescent="0.25">
      <c r="AK624" s="2"/>
      <c r="AL624" s="2"/>
      <c r="AM624" s="2"/>
      <c r="AN624" s="2"/>
      <c r="AO624" s="2"/>
    </row>
    <row r="625" spans="37:41" x14ac:dyDescent="0.25">
      <c r="AK625" s="2"/>
      <c r="AL625" s="2"/>
      <c r="AM625" s="2"/>
      <c r="AN625" s="2"/>
      <c r="AO625" s="2"/>
    </row>
    <row r="626" spans="37:41" x14ac:dyDescent="0.25">
      <c r="AK626" s="2"/>
      <c r="AL626" s="2"/>
      <c r="AM626" s="2"/>
      <c r="AN626" s="2"/>
      <c r="AO626" s="2"/>
    </row>
    <row r="627" spans="37:41" x14ac:dyDescent="0.25">
      <c r="AK627" s="2"/>
      <c r="AL627" s="2"/>
      <c r="AM627" s="2"/>
      <c r="AN627" s="2"/>
      <c r="AO627" s="2"/>
    </row>
    <row r="628" spans="37:41" x14ac:dyDescent="0.25">
      <c r="AK628" s="2"/>
      <c r="AL628" s="2"/>
      <c r="AM628" s="2"/>
      <c r="AN628" s="2"/>
      <c r="AO628" s="2"/>
    </row>
    <row r="629" spans="37:41" x14ac:dyDescent="0.25">
      <c r="AK629" s="2"/>
      <c r="AL629" s="2"/>
      <c r="AM629" s="2"/>
      <c r="AN629" s="2"/>
      <c r="AO629" s="2"/>
    </row>
    <row r="630" spans="37:41" x14ac:dyDescent="0.25">
      <c r="AK630" s="2"/>
      <c r="AL630" s="2"/>
      <c r="AM630" s="2"/>
      <c r="AN630" s="2"/>
      <c r="AO630" s="2"/>
    </row>
    <row r="631" spans="37:41" x14ac:dyDescent="0.25">
      <c r="AK631" s="2"/>
      <c r="AL631" s="2"/>
      <c r="AM631" s="2"/>
      <c r="AN631" s="2"/>
      <c r="AO631" s="2"/>
    </row>
    <row r="632" spans="37:41" x14ac:dyDescent="0.25">
      <c r="AK632" s="2"/>
      <c r="AL632" s="2"/>
      <c r="AM632" s="2"/>
      <c r="AN632" s="2"/>
      <c r="AO632" s="2"/>
    </row>
    <row r="633" spans="37:41" x14ac:dyDescent="0.25">
      <c r="AK633" s="2"/>
      <c r="AL633" s="2"/>
      <c r="AM633" s="2"/>
      <c r="AN633" s="2"/>
      <c r="AO633" s="2"/>
    </row>
    <row r="634" spans="37:41" x14ac:dyDescent="0.25">
      <c r="AK634" s="2"/>
      <c r="AL634" s="2"/>
      <c r="AM634" s="2"/>
      <c r="AN634" s="2"/>
      <c r="AO634" s="2"/>
    </row>
    <row r="635" spans="37:41" x14ac:dyDescent="0.25">
      <c r="AK635" s="2"/>
      <c r="AL635" s="2"/>
      <c r="AM635" s="2"/>
      <c r="AN635" s="2"/>
      <c r="AO635" s="2"/>
    </row>
    <row r="636" spans="37:41" x14ac:dyDescent="0.25">
      <c r="AK636" s="2"/>
      <c r="AL636" s="2"/>
      <c r="AM636" s="2"/>
      <c r="AN636" s="2"/>
      <c r="AO636" s="2"/>
    </row>
    <row r="637" spans="37:41" x14ac:dyDescent="0.25">
      <c r="AK637" s="2"/>
      <c r="AL637" s="2"/>
      <c r="AM637" s="2"/>
      <c r="AN637" s="2"/>
      <c r="AO637" s="2"/>
    </row>
    <row r="638" spans="37:41" x14ac:dyDescent="0.25">
      <c r="AK638" s="2"/>
      <c r="AL638" s="2"/>
      <c r="AM638" s="2"/>
      <c r="AN638" s="2"/>
      <c r="AO638" s="2"/>
    </row>
    <row r="639" spans="37:41" x14ac:dyDescent="0.25">
      <c r="AK639" s="2"/>
      <c r="AL639" s="2"/>
      <c r="AM639" s="2"/>
      <c r="AN639" s="2"/>
      <c r="AO639" s="2"/>
    </row>
    <row r="640" spans="37:41" x14ac:dyDescent="0.25">
      <c r="AK640" s="2"/>
      <c r="AL640" s="2"/>
      <c r="AM640" s="2"/>
      <c r="AN640" s="2"/>
      <c r="AO640" s="2"/>
    </row>
    <row r="641" spans="37:41" x14ac:dyDescent="0.25">
      <c r="AK641" s="2"/>
      <c r="AL641" s="2"/>
      <c r="AM641" s="2"/>
      <c r="AN641" s="2"/>
      <c r="AO641" s="2"/>
    </row>
    <row r="642" spans="37:41" x14ac:dyDescent="0.25">
      <c r="AK642" s="2"/>
      <c r="AL642" s="2"/>
      <c r="AM642" s="2"/>
      <c r="AN642" s="2"/>
      <c r="AO642" s="2"/>
    </row>
    <row r="643" spans="37:41" x14ac:dyDescent="0.25">
      <c r="AK643" s="2"/>
      <c r="AL643" s="2"/>
      <c r="AM643" s="2"/>
      <c r="AN643" s="2"/>
      <c r="AO643" s="2"/>
    </row>
    <row r="644" spans="37:41" x14ac:dyDescent="0.25">
      <c r="AK644" s="2"/>
      <c r="AL644" s="2"/>
      <c r="AM644" s="2"/>
      <c r="AN644" s="2"/>
      <c r="AO644" s="2"/>
    </row>
    <row r="645" spans="37:41" x14ac:dyDescent="0.25">
      <c r="AK645" s="2"/>
      <c r="AL645" s="2"/>
      <c r="AM645" s="2"/>
      <c r="AN645" s="2"/>
      <c r="AO645" s="2"/>
    </row>
    <row r="646" spans="37:41" x14ac:dyDescent="0.25">
      <c r="AK646" s="2"/>
      <c r="AL646" s="2"/>
      <c r="AM646" s="2"/>
      <c r="AN646" s="2"/>
      <c r="AO646" s="2"/>
    </row>
    <row r="647" spans="37:41" x14ac:dyDescent="0.25">
      <c r="AK647" s="2"/>
      <c r="AL647" s="2"/>
      <c r="AM647" s="2"/>
      <c r="AN647" s="2"/>
      <c r="AO647" s="2"/>
    </row>
    <row r="648" spans="37:41" x14ac:dyDescent="0.25">
      <c r="AK648" s="2"/>
      <c r="AL648" s="2"/>
      <c r="AM648" s="2"/>
      <c r="AN648" s="2"/>
      <c r="AO648" s="2"/>
    </row>
    <row r="649" spans="37:41" x14ac:dyDescent="0.25">
      <c r="AK649" s="2"/>
      <c r="AL649" s="2"/>
      <c r="AM649" s="2"/>
      <c r="AN649" s="2"/>
      <c r="AO649" s="2"/>
    </row>
    <row r="650" spans="37:41" x14ac:dyDescent="0.25">
      <c r="AK650" s="2"/>
      <c r="AL650" s="2"/>
      <c r="AM650" s="2"/>
      <c r="AN650" s="2"/>
      <c r="AO650" s="2"/>
    </row>
    <row r="651" spans="37:41" x14ac:dyDescent="0.25">
      <c r="AK651" s="2"/>
      <c r="AL651" s="2"/>
      <c r="AM651" s="2"/>
      <c r="AN651" s="2"/>
      <c r="AO651" s="2"/>
    </row>
    <row r="652" spans="37:41" x14ac:dyDescent="0.25">
      <c r="AK652" s="2"/>
      <c r="AL652" s="2"/>
      <c r="AM652" s="2"/>
      <c r="AN652" s="2"/>
      <c r="AO652" s="2"/>
    </row>
    <row r="653" spans="37:41" x14ac:dyDescent="0.25">
      <c r="AK653" s="2"/>
      <c r="AL653" s="2"/>
      <c r="AM653" s="2"/>
      <c r="AN653" s="2"/>
      <c r="AO653" s="2"/>
    </row>
    <row r="654" spans="37:41" x14ac:dyDescent="0.25">
      <c r="AK654" s="2"/>
      <c r="AL654" s="2"/>
      <c r="AM654" s="2"/>
      <c r="AN654" s="2"/>
      <c r="AO654" s="2"/>
    </row>
    <row r="655" spans="37:41" x14ac:dyDescent="0.25">
      <c r="AK655" s="2"/>
      <c r="AL655" s="2"/>
      <c r="AM655" s="2"/>
      <c r="AN655" s="2"/>
      <c r="AO655" s="2"/>
    </row>
    <row r="656" spans="37:41" x14ac:dyDescent="0.25">
      <c r="AK656" s="2"/>
      <c r="AL656" s="2"/>
      <c r="AM656" s="2"/>
      <c r="AN656" s="2"/>
      <c r="AO656" s="2"/>
    </row>
    <row r="657" spans="37:41" x14ac:dyDescent="0.25">
      <c r="AK657" s="2"/>
      <c r="AL657" s="2"/>
      <c r="AM657" s="2"/>
      <c r="AN657" s="2"/>
      <c r="AO657" s="2"/>
    </row>
    <row r="658" spans="37:41" x14ac:dyDescent="0.25">
      <c r="AK658" s="2"/>
      <c r="AL658" s="2"/>
      <c r="AM658" s="2"/>
      <c r="AN658" s="2"/>
      <c r="AO658" s="2"/>
    </row>
    <row r="659" spans="37:41" x14ac:dyDescent="0.25">
      <c r="AK659" s="2"/>
      <c r="AL659" s="2"/>
      <c r="AM659" s="2"/>
      <c r="AN659" s="2"/>
      <c r="AO659" s="2"/>
    </row>
    <row r="660" spans="37:41" x14ac:dyDescent="0.25">
      <c r="AK660" s="2"/>
      <c r="AL660" s="2"/>
      <c r="AM660" s="2"/>
      <c r="AN660" s="2"/>
      <c r="AO660" s="2"/>
    </row>
    <row r="661" spans="37:41" x14ac:dyDescent="0.25">
      <c r="AK661" s="2"/>
      <c r="AL661" s="2"/>
      <c r="AM661" s="2"/>
      <c r="AN661" s="2"/>
      <c r="AO661" s="2"/>
    </row>
    <row r="662" spans="37:41" x14ac:dyDescent="0.25">
      <c r="AK662" s="2"/>
      <c r="AL662" s="2"/>
      <c r="AM662" s="2"/>
      <c r="AN662" s="2"/>
      <c r="AO662" s="2"/>
    </row>
    <row r="663" spans="37:41" x14ac:dyDescent="0.25">
      <c r="AK663" s="2"/>
      <c r="AL663" s="2"/>
      <c r="AM663" s="2"/>
      <c r="AN663" s="2"/>
      <c r="AO663" s="2"/>
    </row>
    <row r="664" spans="37:41" x14ac:dyDescent="0.25">
      <c r="AK664" s="2"/>
      <c r="AL664" s="2"/>
      <c r="AM664" s="2"/>
      <c r="AN664" s="2"/>
      <c r="AO664" s="2"/>
    </row>
    <row r="665" spans="37:41" x14ac:dyDescent="0.25">
      <c r="AK665" s="2"/>
      <c r="AL665" s="2"/>
      <c r="AM665" s="2"/>
      <c r="AN665" s="2"/>
      <c r="AO665" s="2"/>
    </row>
    <row r="666" spans="37:41" x14ac:dyDescent="0.25">
      <c r="AK666" s="2"/>
      <c r="AL666" s="2"/>
      <c r="AM666" s="2"/>
      <c r="AN666" s="2"/>
      <c r="AO666" s="2"/>
    </row>
    <row r="667" spans="37:41" x14ac:dyDescent="0.25">
      <c r="AK667" s="2"/>
      <c r="AL667" s="2"/>
      <c r="AM667" s="2"/>
      <c r="AN667" s="2"/>
      <c r="AO667" s="2"/>
    </row>
    <row r="668" spans="37:41" x14ac:dyDescent="0.25">
      <c r="AK668" s="2"/>
      <c r="AL668" s="2"/>
      <c r="AM668" s="2"/>
      <c r="AN668" s="2"/>
      <c r="AO668" s="2"/>
    </row>
    <row r="669" spans="37:41" x14ac:dyDescent="0.25">
      <c r="AK669" s="2"/>
      <c r="AL669" s="2"/>
      <c r="AM669" s="2"/>
      <c r="AN669" s="2"/>
      <c r="AO669" s="2"/>
    </row>
    <row r="670" spans="37:41" x14ac:dyDescent="0.25">
      <c r="AK670" s="2"/>
      <c r="AL670" s="2"/>
      <c r="AM670" s="2"/>
      <c r="AN670" s="2"/>
      <c r="AO670" s="2"/>
    </row>
    <row r="671" spans="37:41" x14ac:dyDescent="0.25">
      <c r="AK671" s="2"/>
      <c r="AL671" s="2"/>
      <c r="AM671" s="2"/>
      <c r="AN671" s="2"/>
      <c r="AO671" s="2"/>
    </row>
    <row r="672" spans="37:41" x14ac:dyDescent="0.25">
      <c r="AK672" s="2"/>
      <c r="AL672" s="2"/>
      <c r="AM672" s="2"/>
      <c r="AN672" s="2"/>
      <c r="AO672" s="2"/>
    </row>
    <row r="673" spans="37:41" x14ac:dyDescent="0.25">
      <c r="AK673" s="2"/>
      <c r="AL673" s="2"/>
      <c r="AM673" s="2"/>
      <c r="AN673" s="2"/>
      <c r="AO673" s="2"/>
    </row>
    <row r="674" spans="37:41" x14ac:dyDescent="0.25">
      <c r="AK674" s="2"/>
      <c r="AL674" s="2"/>
      <c r="AM674" s="2"/>
      <c r="AN674" s="2"/>
      <c r="AO674" s="2"/>
    </row>
    <row r="675" spans="37:41" x14ac:dyDescent="0.25">
      <c r="AK675" s="2"/>
      <c r="AL675" s="2"/>
      <c r="AM675" s="2"/>
      <c r="AN675" s="2"/>
      <c r="AO675" s="2"/>
    </row>
    <row r="676" spans="37:41" x14ac:dyDescent="0.25">
      <c r="AK676" s="2"/>
      <c r="AL676" s="2"/>
      <c r="AM676" s="2"/>
      <c r="AN676" s="2"/>
      <c r="AO676" s="2"/>
    </row>
    <row r="677" spans="37:41" x14ac:dyDescent="0.25">
      <c r="AK677" s="2"/>
      <c r="AL677" s="2"/>
      <c r="AM677" s="2"/>
      <c r="AN677" s="2"/>
      <c r="AO677" s="2"/>
    </row>
    <row r="678" spans="37:41" x14ac:dyDescent="0.25">
      <c r="AK678" s="2"/>
      <c r="AL678" s="2"/>
      <c r="AM678" s="2"/>
      <c r="AN678" s="2"/>
      <c r="AO678" s="2"/>
    </row>
    <row r="679" spans="37:41" x14ac:dyDescent="0.25">
      <c r="AK679" s="2"/>
      <c r="AL679" s="2"/>
      <c r="AM679" s="2"/>
      <c r="AN679" s="2"/>
      <c r="AO679" s="2"/>
    </row>
    <row r="680" spans="37:41" x14ac:dyDescent="0.25">
      <c r="AK680" s="2"/>
      <c r="AL680" s="2"/>
      <c r="AM680" s="2"/>
      <c r="AN680" s="2"/>
      <c r="AO680" s="2"/>
    </row>
    <row r="681" spans="37:41" x14ac:dyDescent="0.25">
      <c r="AK681" s="2"/>
      <c r="AL681" s="2"/>
      <c r="AM681" s="2"/>
      <c r="AN681" s="2"/>
      <c r="AO681" s="2"/>
    </row>
    <row r="682" spans="37:41" x14ac:dyDescent="0.25">
      <c r="AK682" s="2"/>
      <c r="AL682" s="2"/>
      <c r="AM682" s="2"/>
      <c r="AN682" s="2"/>
      <c r="AO682" s="2"/>
    </row>
    <row r="683" spans="37:41" x14ac:dyDescent="0.25">
      <c r="AK683" s="2"/>
      <c r="AL683" s="2"/>
      <c r="AM683" s="2"/>
      <c r="AN683" s="2"/>
      <c r="AO683" s="2"/>
    </row>
    <row r="684" spans="37:41" x14ac:dyDescent="0.25">
      <c r="AK684" s="2"/>
      <c r="AL684" s="2"/>
      <c r="AM684" s="2"/>
      <c r="AN684" s="2"/>
      <c r="AO684" s="2"/>
    </row>
    <row r="685" spans="37:41" x14ac:dyDescent="0.25">
      <c r="AK685" s="2"/>
      <c r="AL685" s="2"/>
      <c r="AM685" s="2"/>
      <c r="AN685" s="2"/>
      <c r="AO685" s="2"/>
    </row>
    <row r="686" spans="37:41" x14ac:dyDescent="0.25">
      <c r="AK686" s="2"/>
      <c r="AL686" s="2"/>
      <c r="AM686" s="2"/>
      <c r="AN686" s="2"/>
      <c r="AO686" s="2"/>
    </row>
    <row r="687" spans="37:41" x14ac:dyDescent="0.25">
      <c r="AK687" s="2"/>
      <c r="AL687" s="2"/>
      <c r="AM687" s="2"/>
      <c r="AN687" s="2"/>
      <c r="AO687" s="2"/>
    </row>
    <row r="688" spans="37:41" x14ac:dyDescent="0.25">
      <c r="AK688" s="2"/>
      <c r="AL688" s="2"/>
      <c r="AM688" s="2"/>
      <c r="AN688" s="2"/>
      <c r="AO688" s="2"/>
    </row>
    <row r="689" spans="37:41" x14ac:dyDescent="0.25">
      <c r="AK689" s="2"/>
      <c r="AL689" s="2"/>
      <c r="AM689" s="2"/>
      <c r="AN689" s="2"/>
      <c r="AO689" s="2"/>
    </row>
    <row r="690" spans="37:41" x14ac:dyDescent="0.25">
      <c r="AK690" s="2"/>
      <c r="AL690" s="2"/>
      <c r="AM690" s="2"/>
      <c r="AN690" s="2"/>
      <c r="AO690" s="2"/>
    </row>
    <row r="691" spans="37:41" x14ac:dyDescent="0.25">
      <c r="AK691" s="2"/>
      <c r="AL691" s="2"/>
      <c r="AM691" s="2"/>
      <c r="AN691" s="2"/>
      <c r="AO691" s="2"/>
    </row>
    <row r="692" spans="37:41" x14ac:dyDescent="0.25">
      <c r="AK692" s="2"/>
      <c r="AL692" s="2"/>
      <c r="AM692" s="2"/>
      <c r="AN692" s="2"/>
      <c r="AO692" s="2"/>
    </row>
    <row r="693" spans="37:41" x14ac:dyDescent="0.25">
      <c r="AK693" s="2"/>
      <c r="AL693" s="2"/>
      <c r="AM693" s="2"/>
      <c r="AN693" s="2"/>
      <c r="AO693" s="2"/>
    </row>
    <row r="694" spans="37:41" x14ac:dyDescent="0.25">
      <c r="AK694" s="2"/>
      <c r="AL694" s="2"/>
      <c r="AM694" s="2"/>
      <c r="AN694" s="2"/>
      <c r="AO694" s="2"/>
    </row>
    <row r="695" spans="37:41" x14ac:dyDescent="0.25">
      <c r="AK695" s="2"/>
      <c r="AL695" s="2"/>
      <c r="AM695" s="2"/>
      <c r="AN695" s="2"/>
      <c r="AO695" s="2"/>
    </row>
    <row r="696" spans="37:41" x14ac:dyDescent="0.25">
      <c r="AK696" s="2"/>
      <c r="AL696" s="2"/>
      <c r="AM696" s="2"/>
      <c r="AN696" s="2"/>
      <c r="AO696" s="2"/>
    </row>
    <row r="697" spans="37:41" x14ac:dyDescent="0.25">
      <c r="AK697" s="2"/>
      <c r="AL697" s="2"/>
      <c r="AM697" s="2"/>
      <c r="AN697" s="2"/>
      <c r="AO697" s="2"/>
    </row>
    <row r="698" spans="37:41" x14ac:dyDescent="0.25">
      <c r="AK698" s="2"/>
      <c r="AL698" s="2"/>
      <c r="AM698" s="2"/>
      <c r="AN698" s="2"/>
      <c r="AO698" s="2"/>
    </row>
    <row r="699" spans="37:41" x14ac:dyDescent="0.25">
      <c r="AK699" s="2"/>
      <c r="AL699" s="2"/>
      <c r="AM699" s="2"/>
      <c r="AN699" s="2"/>
      <c r="AO699" s="2"/>
    </row>
    <row r="700" spans="37:41" x14ac:dyDescent="0.25">
      <c r="AK700" s="2"/>
      <c r="AL700" s="2"/>
      <c r="AM700" s="2"/>
      <c r="AN700" s="2"/>
      <c r="AO700" s="2"/>
    </row>
    <row r="701" spans="37:41" x14ac:dyDescent="0.25">
      <c r="AK701" s="2"/>
      <c r="AL701" s="2"/>
      <c r="AM701" s="2"/>
      <c r="AN701" s="2"/>
      <c r="AO701" s="2"/>
    </row>
    <row r="702" spans="37:41" x14ac:dyDescent="0.25">
      <c r="AK702" s="2"/>
      <c r="AL702" s="2"/>
      <c r="AM702" s="2"/>
      <c r="AN702" s="2"/>
      <c r="AO702" s="2"/>
    </row>
    <row r="703" spans="37:41" x14ac:dyDescent="0.25">
      <c r="AK703" s="2"/>
      <c r="AL703" s="2"/>
      <c r="AM703" s="2"/>
      <c r="AN703" s="2"/>
      <c r="AO703" s="2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4" sqref="K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6" zoomScale="87" zoomScaleNormal="87" workbookViewId="0">
      <selection activeCell="J11" sqref="J10:J11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3B382D70-012A-4246-BE1C-369B3FB0D707}"/>
</file>

<file path=customXml/itemProps2.xml><?xml version="1.0" encoding="utf-8"?>
<ds:datastoreItem xmlns:ds="http://schemas.openxmlformats.org/officeDocument/2006/customXml" ds:itemID="{39BD7DFA-918A-449B-B649-EFB38A3449CC}"/>
</file>

<file path=customXml/itemProps3.xml><?xml version="1.0" encoding="utf-8"?>
<ds:datastoreItem xmlns:ds="http://schemas.openxmlformats.org/officeDocument/2006/customXml" ds:itemID="{BF100FD8-CF0E-42B7-AE4C-9E5EBA064F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Weaner</vt:lpstr>
      <vt:lpstr>Grower</vt:lpstr>
      <vt:lpstr>Weaner Graphs</vt:lpstr>
      <vt:lpstr>Grower 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Hansman</dc:creator>
  <cp:lastModifiedBy>Colcom</cp:lastModifiedBy>
  <cp:lastPrinted>2015-07-28T06:57:21Z</cp:lastPrinted>
  <dcterms:created xsi:type="dcterms:W3CDTF">2011-06-10T08:55:21Z</dcterms:created>
  <dcterms:modified xsi:type="dcterms:W3CDTF">2026-08-21T20:18:10Z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