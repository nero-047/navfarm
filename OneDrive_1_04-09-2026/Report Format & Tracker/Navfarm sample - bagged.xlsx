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.GRASMERE\Dropbox\Triple C Pigs Production Folder\3. FEED ORDERS - good\Weekly bagged\"/>
    </mc:Choice>
  </mc:AlternateContent>
  <xr:revisionPtr revIDLastSave="2" documentId="8_{AFB73028-7CCB-4628-8CAA-FB3EAB405B14}" xr6:coauthVersionLast="47" xr6:coauthVersionMax="47" xr10:uidLastSave="{E180FEBA-96F7-4119-8021-7B478242B59A}"/>
  <bookViews>
    <workbookView xWindow="-120" yWindow="-120" windowWidth="20730" windowHeight="11040" firstSheet="1" activeTab="1" xr2:uid="{701CEAEA-6FEC-4EAA-A2FB-5AF31DB4487C}"/>
  </bookViews>
  <sheets>
    <sheet name="GRASMERE BAGGED FEED ORDER" sheetId="1" r:id="rId1"/>
    <sheet name="RICHLANDS BAGGED FEED ORDER" sheetId="2" r:id="rId2"/>
    <sheet name="LIONSHEAD BAGGED FEED ORDER " sheetId="3" r:id="rId3"/>
    <sheet name="LIONSHEAD EXT BAGGED FEED ORDER" sheetId="4" r:id="rId4"/>
    <sheet name="PORTA BAGGED FEED ORDER" sheetId="5" r:id="rId5"/>
    <sheet name="VILLA FRANCA BAGGED FEED ORDER " sheetId="6" r:id="rId6"/>
    <sheet name="LEARIG BAGGED FEED ORDER" sheetId="7" r:id="rId7"/>
    <sheet name="MULTIPLIER BAGGED FEED ORDER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8" l="1"/>
  <c r="I42" i="8" s="1"/>
  <c r="S8" i="8" s="1"/>
  <c r="U8" i="8" s="1"/>
  <c r="H41" i="8"/>
  <c r="I41" i="8" s="1"/>
  <c r="S9" i="8" s="1"/>
  <c r="U9" i="8" s="1"/>
  <c r="H40" i="8"/>
  <c r="I40" i="8" s="1"/>
  <c r="H36" i="8"/>
  <c r="I36" i="8" s="1"/>
  <c r="H35" i="8"/>
  <c r="I35" i="8" s="1"/>
  <c r="V31" i="8"/>
  <c r="T31" i="8"/>
  <c r="O31" i="8"/>
  <c r="P31" i="8" s="1"/>
  <c r="H31" i="8"/>
  <c r="I31" i="8" s="1"/>
  <c r="S10" i="8" s="1"/>
  <c r="U10" i="8" s="1"/>
  <c r="U30" i="8"/>
  <c r="O30" i="8"/>
  <c r="P30" i="8" s="1"/>
  <c r="H30" i="8"/>
  <c r="I30" i="8" s="1"/>
  <c r="S29" i="8" s="1"/>
  <c r="U29" i="8" s="1"/>
  <c r="O29" i="8"/>
  <c r="P29" i="8" s="1"/>
  <c r="H29" i="8"/>
  <c r="I29" i="8" s="1"/>
  <c r="U6" i="8" s="1"/>
  <c r="U28" i="8"/>
  <c r="O28" i="8"/>
  <c r="P28" i="8" s="1"/>
  <c r="H28" i="8"/>
  <c r="I28" i="8" s="1"/>
  <c r="U27" i="8"/>
  <c r="O27" i="8"/>
  <c r="P27" i="8" s="1"/>
  <c r="O26" i="8"/>
  <c r="P26" i="8" s="1"/>
  <c r="O25" i="8"/>
  <c r="P25" i="8" s="1"/>
  <c r="O24" i="8"/>
  <c r="P24" i="8" s="1"/>
  <c r="H24" i="8"/>
  <c r="I24" i="8" s="1"/>
  <c r="O23" i="8"/>
  <c r="P23" i="8" s="1"/>
  <c r="S13" i="8" s="1"/>
  <c r="U13" i="8" s="1"/>
  <c r="H23" i="8"/>
  <c r="I23" i="8" s="1"/>
  <c r="O22" i="8"/>
  <c r="P22" i="8" s="1"/>
  <c r="H22" i="8"/>
  <c r="I22" i="8" s="1"/>
  <c r="O21" i="8"/>
  <c r="P21" i="8" s="1"/>
  <c r="H21" i="8"/>
  <c r="I21" i="8" s="1"/>
  <c r="O20" i="8"/>
  <c r="P20" i="8" s="1"/>
  <c r="H20" i="8"/>
  <c r="I20" i="8" s="1"/>
  <c r="O19" i="8"/>
  <c r="P19" i="8" s="1"/>
  <c r="H19" i="8"/>
  <c r="I19" i="8" s="1"/>
  <c r="O18" i="8"/>
  <c r="P18" i="8" s="1"/>
  <c r="H18" i="8"/>
  <c r="I18" i="8" s="1"/>
  <c r="O17" i="8"/>
  <c r="P17" i="8" s="1"/>
  <c r="S12" i="8" s="1"/>
  <c r="U12" i="8" s="1"/>
  <c r="H17" i="8"/>
  <c r="I17" i="8" s="1"/>
  <c r="S21" i="8" s="1"/>
  <c r="U21" i="8" s="1"/>
  <c r="O16" i="8"/>
  <c r="P16" i="8" s="1"/>
  <c r="H16" i="8"/>
  <c r="I16" i="8" s="1"/>
  <c r="O15" i="8"/>
  <c r="P15" i="8" s="1"/>
  <c r="H15" i="8"/>
  <c r="I15" i="8" s="1"/>
  <c r="S20" i="8" s="1"/>
  <c r="U20" i="8" s="1"/>
  <c r="O14" i="8"/>
  <c r="P14" i="8" s="1"/>
  <c r="H14" i="8"/>
  <c r="I14" i="8" s="1"/>
  <c r="O13" i="8"/>
  <c r="P13" i="8" s="1"/>
  <c r="H13" i="8"/>
  <c r="I13" i="8" s="1"/>
  <c r="O12" i="8"/>
  <c r="P12" i="8" s="1"/>
  <c r="H12" i="8"/>
  <c r="I12" i="8" s="1"/>
  <c r="O11" i="8"/>
  <c r="P11" i="8" s="1"/>
  <c r="O10" i="8"/>
  <c r="P10" i="8" s="1"/>
  <c r="O9" i="8"/>
  <c r="P9" i="8" s="1"/>
  <c r="H9" i="8"/>
  <c r="I9" i="8" s="1"/>
  <c r="O8" i="8"/>
  <c r="P8" i="8" s="1"/>
  <c r="H8" i="8"/>
  <c r="I8" i="8" s="1"/>
  <c r="O7" i="8"/>
  <c r="P7" i="8" s="1"/>
  <c r="H7" i="8"/>
  <c r="I7" i="8" s="1"/>
  <c r="S18" i="8" s="1"/>
  <c r="U18" i="8" s="1"/>
  <c r="O6" i="8"/>
  <c r="P6" i="8" s="1"/>
  <c r="H6" i="8"/>
  <c r="I6" i="8" s="1"/>
  <c r="S17" i="8" s="1"/>
  <c r="U17" i="8" s="1"/>
  <c r="O5" i="8"/>
  <c r="P5" i="8" s="1"/>
  <c r="H5" i="8"/>
  <c r="I5" i="8" s="1"/>
  <c r="S16" i="8" s="1"/>
  <c r="U16" i="8" s="1"/>
  <c r="G42" i="7"/>
  <c r="H42" i="7" s="1"/>
  <c r="R8" i="7" s="1"/>
  <c r="T8" i="7" s="1"/>
  <c r="G41" i="7"/>
  <c r="H41" i="7" s="1"/>
  <c r="R9" i="7" s="1"/>
  <c r="T9" i="7" s="1"/>
  <c r="G40" i="7"/>
  <c r="H40" i="7" s="1"/>
  <c r="G36" i="7"/>
  <c r="H36" i="7" s="1"/>
  <c r="G35" i="7"/>
  <c r="H35" i="7" s="1"/>
  <c r="U31" i="7"/>
  <c r="S31" i="7"/>
  <c r="N31" i="7"/>
  <c r="O31" i="7" s="1"/>
  <c r="G31" i="7"/>
  <c r="H31" i="7" s="1"/>
  <c r="R10" i="7" s="1"/>
  <c r="T10" i="7" s="1"/>
  <c r="T30" i="7"/>
  <c r="N30" i="7"/>
  <c r="O30" i="7" s="1"/>
  <c r="G30" i="7"/>
  <c r="H30" i="7" s="1"/>
  <c r="R29" i="7" s="1"/>
  <c r="T29" i="7" s="1"/>
  <c r="N29" i="7"/>
  <c r="O29" i="7" s="1"/>
  <c r="G29" i="7"/>
  <c r="H29" i="7" s="1"/>
  <c r="R6" i="7" s="1"/>
  <c r="T6" i="7" s="1"/>
  <c r="T28" i="7"/>
  <c r="N28" i="7"/>
  <c r="O28" i="7" s="1"/>
  <c r="G28" i="7"/>
  <c r="H28" i="7" s="1"/>
  <c r="R5" i="7" s="1"/>
  <c r="T27" i="7"/>
  <c r="N27" i="7"/>
  <c r="O27" i="7" s="1"/>
  <c r="N26" i="7"/>
  <c r="O26" i="7" s="1"/>
  <c r="R14" i="7" s="1"/>
  <c r="T14" i="7" s="1"/>
  <c r="N25" i="7"/>
  <c r="O25" i="7" s="1"/>
  <c r="N24" i="7"/>
  <c r="O24" i="7" s="1"/>
  <c r="G24" i="7"/>
  <c r="H24" i="7" s="1"/>
  <c r="N23" i="7"/>
  <c r="O23" i="7" s="1"/>
  <c r="R13" i="7" s="1"/>
  <c r="T13" i="7" s="1"/>
  <c r="G23" i="7"/>
  <c r="H23" i="7" s="1"/>
  <c r="N22" i="7"/>
  <c r="O22" i="7" s="1"/>
  <c r="G22" i="7"/>
  <c r="H22" i="7" s="1"/>
  <c r="N21" i="7"/>
  <c r="O21" i="7" s="1"/>
  <c r="G21" i="7"/>
  <c r="H21" i="7" s="1"/>
  <c r="N20" i="7"/>
  <c r="O20" i="7" s="1"/>
  <c r="G20" i="7"/>
  <c r="H20" i="7" s="1"/>
  <c r="N19" i="7"/>
  <c r="O19" i="7" s="1"/>
  <c r="G19" i="7"/>
  <c r="H19" i="7" s="1"/>
  <c r="R22" i="7" s="1"/>
  <c r="T22" i="7" s="1"/>
  <c r="N18" i="7"/>
  <c r="O18" i="7" s="1"/>
  <c r="G18" i="7"/>
  <c r="H18" i="7" s="1"/>
  <c r="N17" i="7"/>
  <c r="O17" i="7" s="1"/>
  <c r="R12" i="7" s="1"/>
  <c r="T12" i="7" s="1"/>
  <c r="G17" i="7"/>
  <c r="H17" i="7" s="1"/>
  <c r="R21" i="7" s="1"/>
  <c r="T21" i="7" s="1"/>
  <c r="N16" i="7"/>
  <c r="O16" i="7" s="1"/>
  <c r="G16" i="7"/>
  <c r="H16" i="7" s="1"/>
  <c r="N15" i="7"/>
  <c r="O15" i="7" s="1"/>
  <c r="G15" i="7"/>
  <c r="H15" i="7" s="1"/>
  <c r="N14" i="7"/>
  <c r="O14" i="7" s="1"/>
  <c r="G14" i="7"/>
  <c r="H14" i="7" s="1"/>
  <c r="N13" i="7"/>
  <c r="O13" i="7" s="1"/>
  <c r="G13" i="7"/>
  <c r="H13" i="7" s="1"/>
  <c r="N12" i="7"/>
  <c r="O12" i="7" s="1"/>
  <c r="G12" i="7"/>
  <c r="H12" i="7" s="1"/>
  <c r="N11" i="7"/>
  <c r="O11" i="7" s="1"/>
  <c r="N10" i="7"/>
  <c r="O10" i="7" s="1"/>
  <c r="N9" i="7"/>
  <c r="O9" i="7" s="1"/>
  <c r="G9" i="7"/>
  <c r="H9" i="7" s="1"/>
  <c r="N8" i="7"/>
  <c r="O8" i="7" s="1"/>
  <c r="G8" i="7"/>
  <c r="H8" i="7" s="1"/>
  <c r="N7" i="7"/>
  <c r="O7" i="7" s="1"/>
  <c r="G7" i="7"/>
  <c r="H7" i="7" s="1"/>
  <c r="R18" i="7" s="1"/>
  <c r="T18" i="7" s="1"/>
  <c r="N6" i="7"/>
  <c r="O6" i="7" s="1"/>
  <c r="G6" i="7"/>
  <c r="H6" i="7" s="1"/>
  <c r="R17" i="7" s="1"/>
  <c r="T17" i="7" s="1"/>
  <c r="N5" i="7"/>
  <c r="O5" i="7" s="1"/>
  <c r="G5" i="7"/>
  <c r="H5" i="7" s="1"/>
  <c r="R16" i="7" s="1"/>
  <c r="T16" i="7" s="1"/>
  <c r="F41" i="2"/>
  <c r="G41" i="2" s="1"/>
  <c r="Q7" i="2" s="1"/>
  <c r="S7" i="2" s="1"/>
  <c r="F40" i="2"/>
  <c r="G40" i="2" s="1"/>
  <c r="Q8" i="2" s="1"/>
  <c r="S8" i="2" s="1"/>
  <c r="F39" i="2"/>
  <c r="G39" i="2" s="1"/>
  <c r="F35" i="2"/>
  <c r="G35" i="2" s="1"/>
  <c r="F34" i="2"/>
  <c r="G34" i="2" s="1"/>
  <c r="T30" i="2"/>
  <c r="R30" i="2"/>
  <c r="M30" i="2"/>
  <c r="N30" i="2" s="1"/>
  <c r="F30" i="2"/>
  <c r="G30" i="2" s="1"/>
  <c r="Q9" i="2" s="1"/>
  <c r="S9" i="2" s="1"/>
  <c r="S29" i="2"/>
  <c r="M29" i="2"/>
  <c r="N29" i="2" s="1"/>
  <c r="F29" i="2"/>
  <c r="G29" i="2" s="1"/>
  <c r="Q28" i="2" s="1"/>
  <c r="S28" i="2" s="1"/>
  <c r="M28" i="2"/>
  <c r="N28" i="2" s="1"/>
  <c r="F28" i="2"/>
  <c r="G28" i="2" s="1"/>
  <c r="Q5" i="2" s="1"/>
  <c r="S5" i="2" s="1"/>
  <c r="S27" i="2"/>
  <c r="M27" i="2"/>
  <c r="N27" i="2" s="1"/>
  <c r="F27" i="2"/>
  <c r="G27" i="2" s="1"/>
  <c r="Q4" i="2" s="1"/>
  <c r="S26" i="2"/>
  <c r="M26" i="2"/>
  <c r="N26" i="2" s="1"/>
  <c r="M25" i="2"/>
  <c r="N25" i="2" s="1"/>
  <c r="Q13" i="2" s="1"/>
  <c r="S13" i="2" s="1"/>
  <c r="M24" i="2"/>
  <c r="N24" i="2" s="1"/>
  <c r="M23" i="2"/>
  <c r="N23" i="2" s="1"/>
  <c r="F23" i="2"/>
  <c r="G23" i="2" s="1"/>
  <c r="M22" i="2"/>
  <c r="N22" i="2" s="1"/>
  <c r="Q12" i="2" s="1"/>
  <c r="S12" i="2" s="1"/>
  <c r="F22" i="2"/>
  <c r="G22" i="2" s="1"/>
  <c r="M21" i="2"/>
  <c r="N21" i="2" s="1"/>
  <c r="F21" i="2"/>
  <c r="G21" i="2" s="1"/>
  <c r="M20" i="2"/>
  <c r="N20" i="2" s="1"/>
  <c r="F20" i="2"/>
  <c r="G20" i="2" s="1"/>
  <c r="Q22" i="2" s="1"/>
  <c r="S22" i="2" s="1"/>
  <c r="M19" i="2"/>
  <c r="N19" i="2" s="1"/>
  <c r="F19" i="2"/>
  <c r="G19" i="2" s="1"/>
  <c r="M18" i="2"/>
  <c r="N18" i="2" s="1"/>
  <c r="F18" i="2"/>
  <c r="G18" i="2" s="1"/>
  <c r="M17" i="2"/>
  <c r="N17" i="2" s="1"/>
  <c r="F17" i="2"/>
  <c r="G17" i="2" s="1"/>
  <c r="M16" i="2"/>
  <c r="N16" i="2" s="1"/>
  <c r="Q11" i="2" s="1"/>
  <c r="S11" i="2" s="1"/>
  <c r="G16" i="2"/>
  <c r="F16" i="2"/>
  <c r="M15" i="2"/>
  <c r="N15" i="2" s="1"/>
  <c r="F15" i="2"/>
  <c r="G15" i="2" s="1"/>
  <c r="M14" i="2"/>
  <c r="N14" i="2" s="1"/>
  <c r="F14" i="2"/>
  <c r="G14" i="2" s="1"/>
  <c r="Q19" i="2" s="1"/>
  <c r="S19" i="2" s="1"/>
  <c r="M13" i="2"/>
  <c r="N13" i="2" s="1"/>
  <c r="F13" i="2"/>
  <c r="G13" i="2" s="1"/>
  <c r="M12" i="2"/>
  <c r="N12" i="2" s="1"/>
  <c r="F12" i="2"/>
  <c r="G12" i="2" s="1"/>
  <c r="M11" i="2"/>
  <c r="N11" i="2" s="1"/>
  <c r="F11" i="2"/>
  <c r="G11" i="2" s="1"/>
  <c r="M10" i="2"/>
  <c r="N10" i="2" s="1"/>
  <c r="M9" i="2"/>
  <c r="N9" i="2" s="1"/>
  <c r="M8" i="2"/>
  <c r="N8" i="2" s="1"/>
  <c r="F8" i="2"/>
  <c r="G8" i="2" s="1"/>
  <c r="M7" i="2"/>
  <c r="N7" i="2" s="1"/>
  <c r="F7" i="2"/>
  <c r="G7" i="2" s="1"/>
  <c r="M6" i="2"/>
  <c r="N6" i="2" s="1"/>
  <c r="F6" i="2"/>
  <c r="G6" i="2" s="1"/>
  <c r="Q17" i="2" s="1"/>
  <c r="S17" i="2" s="1"/>
  <c r="M5" i="2"/>
  <c r="N5" i="2" s="1"/>
  <c r="F5" i="2"/>
  <c r="G5" i="2" s="1"/>
  <c r="Q16" i="2" s="1"/>
  <c r="S16" i="2" s="1"/>
  <c r="M4" i="2"/>
  <c r="N4" i="2" s="1"/>
  <c r="F4" i="2"/>
  <c r="G4" i="2" s="1"/>
  <c r="Q15" i="2" s="1"/>
  <c r="S15" i="2" s="1"/>
  <c r="G41" i="3"/>
  <c r="H41" i="3" s="1"/>
  <c r="R7" i="3" s="1"/>
  <c r="T7" i="3" s="1"/>
  <c r="G40" i="3"/>
  <c r="H40" i="3" s="1"/>
  <c r="R8" i="3" s="1"/>
  <c r="T8" i="3" s="1"/>
  <c r="G39" i="3"/>
  <c r="H39" i="3" s="1"/>
  <c r="G35" i="3"/>
  <c r="H35" i="3" s="1"/>
  <c r="G34" i="3"/>
  <c r="H34" i="3" s="1"/>
  <c r="U30" i="3"/>
  <c r="S30" i="3"/>
  <c r="N30" i="3"/>
  <c r="O30" i="3" s="1"/>
  <c r="G30" i="3"/>
  <c r="H30" i="3" s="1"/>
  <c r="R9" i="3" s="1"/>
  <c r="T9" i="3" s="1"/>
  <c r="T29" i="3"/>
  <c r="N29" i="3"/>
  <c r="O29" i="3" s="1"/>
  <c r="G29" i="3"/>
  <c r="H29" i="3" s="1"/>
  <c r="R28" i="3" s="1"/>
  <c r="T28" i="3" s="1"/>
  <c r="N28" i="3"/>
  <c r="O28" i="3" s="1"/>
  <c r="G28" i="3"/>
  <c r="H28" i="3" s="1"/>
  <c r="R5" i="3" s="1"/>
  <c r="T5" i="3" s="1"/>
  <c r="T27" i="3"/>
  <c r="N27" i="3"/>
  <c r="O27" i="3" s="1"/>
  <c r="G27" i="3"/>
  <c r="H27" i="3" s="1"/>
  <c r="R4" i="3" s="1"/>
  <c r="T26" i="3"/>
  <c r="N26" i="3"/>
  <c r="O26" i="3" s="1"/>
  <c r="R14" i="3" s="1"/>
  <c r="T14" i="3" s="1"/>
  <c r="N25" i="3"/>
  <c r="O25" i="3" s="1"/>
  <c r="N24" i="3"/>
  <c r="O24" i="3" s="1"/>
  <c r="R13" i="3" s="1"/>
  <c r="T13" i="3" s="1"/>
  <c r="N23" i="3"/>
  <c r="O23" i="3" s="1"/>
  <c r="G23" i="3"/>
  <c r="H23" i="3" s="1"/>
  <c r="N22" i="3"/>
  <c r="O22" i="3" s="1"/>
  <c r="R12" i="3" s="1"/>
  <c r="T12" i="3" s="1"/>
  <c r="G22" i="3"/>
  <c r="H22" i="3" s="1"/>
  <c r="N21" i="3"/>
  <c r="O21" i="3" s="1"/>
  <c r="G21" i="3"/>
  <c r="H21" i="3" s="1"/>
  <c r="N20" i="3"/>
  <c r="O20" i="3" s="1"/>
  <c r="G20" i="3"/>
  <c r="H20" i="3" s="1"/>
  <c r="R22" i="3" s="1"/>
  <c r="T22" i="3" s="1"/>
  <c r="N19" i="3"/>
  <c r="O19" i="3" s="1"/>
  <c r="G19" i="3"/>
  <c r="H19" i="3" s="1"/>
  <c r="N18" i="3"/>
  <c r="O18" i="3" s="1"/>
  <c r="G18" i="3"/>
  <c r="H18" i="3" s="1"/>
  <c r="N17" i="3"/>
  <c r="O17" i="3" s="1"/>
  <c r="G17" i="3"/>
  <c r="H17" i="3" s="1"/>
  <c r="N16" i="3"/>
  <c r="O16" i="3" s="1"/>
  <c r="G16" i="3"/>
  <c r="H16" i="3" s="1"/>
  <c r="N15" i="3"/>
  <c r="O15" i="3" s="1"/>
  <c r="G15" i="3"/>
  <c r="H15" i="3" s="1"/>
  <c r="R20" i="3" s="1"/>
  <c r="T20" i="3" s="1"/>
  <c r="N14" i="3"/>
  <c r="O14" i="3" s="1"/>
  <c r="G14" i="3"/>
  <c r="H14" i="3" s="1"/>
  <c r="N13" i="3"/>
  <c r="O13" i="3" s="1"/>
  <c r="G13" i="3"/>
  <c r="H13" i="3" s="1"/>
  <c r="R19" i="3" s="1"/>
  <c r="T19" i="3" s="1"/>
  <c r="N12" i="3"/>
  <c r="O12" i="3" s="1"/>
  <c r="G12" i="3"/>
  <c r="H12" i="3" s="1"/>
  <c r="N11" i="3"/>
  <c r="O11" i="3" s="1"/>
  <c r="G11" i="3"/>
  <c r="H11" i="3" s="1"/>
  <c r="N10" i="3"/>
  <c r="O10" i="3" s="1"/>
  <c r="N9" i="3"/>
  <c r="O9" i="3" s="1"/>
  <c r="N8" i="3"/>
  <c r="O8" i="3" s="1"/>
  <c r="G8" i="3"/>
  <c r="H8" i="3" s="1"/>
  <c r="N7" i="3"/>
  <c r="O7" i="3" s="1"/>
  <c r="G7" i="3"/>
  <c r="H7" i="3" s="1"/>
  <c r="N6" i="3"/>
  <c r="O6" i="3" s="1"/>
  <c r="G6" i="3"/>
  <c r="H6" i="3" s="1"/>
  <c r="R17" i="3" s="1"/>
  <c r="T17" i="3" s="1"/>
  <c r="N5" i="3"/>
  <c r="O5" i="3" s="1"/>
  <c r="G5" i="3"/>
  <c r="H5" i="3" s="1"/>
  <c r="R16" i="3" s="1"/>
  <c r="T16" i="3" s="1"/>
  <c r="N4" i="3"/>
  <c r="O4" i="3" s="1"/>
  <c r="G4" i="3"/>
  <c r="H4" i="3" s="1"/>
  <c r="R15" i="3" s="1"/>
  <c r="T15" i="3" s="1"/>
  <c r="F41" i="4"/>
  <c r="G41" i="4" s="1"/>
  <c r="Q7" i="4" s="1"/>
  <c r="S7" i="4" s="1"/>
  <c r="F40" i="4"/>
  <c r="G40" i="4" s="1"/>
  <c r="Q8" i="4" s="1"/>
  <c r="S8" i="4" s="1"/>
  <c r="F39" i="4"/>
  <c r="G39" i="4" s="1"/>
  <c r="F35" i="4"/>
  <c r="G35" i="4" s="1"/>
  <c r="F34" i="4"/>
  <c r="G34" i="4" s="1"/>
  <c r="T30" i="4"/>
  <c r="R30" i="4"/>
  <c r="M30" i="4"/>
  <c r="N30" i="4" s="1"/>
  <c r="F30" i="4"/>
  <c r="G30" i="4" s="1"/>
  <c r="Q9" i="4" s="1"/>
  <c r="S9" i="4" s="1"/>
  <c r="S29" i="4"/>
  <c r="M29" i="4"/>
  <c r="N29" i="4" s="1"/>
  <c r="F29" i="4"/>
  <c r="G29" i="4" s="1"/>
  <c r="Q28" i="4" s="1"/>
  <c r="S28" i="4" s="1"/>
  <c r="M28" i="4"/>
  <c r="N28" i="4" s="1"/>
  <c r="F28" i="4"/>
  <c r="G28" i="4" s="1"/>
  <c r="Q5" i="4" s="1"/>
  <c r="S5" i="4" s="1"/>
  <c r="S27" i="4"/>
  <c r="M27" i="4"/>
  <c r="N27" i="4" s="1"/>
  <c r="F27" i="4"/>
  <c r="G27" i="4" s="1"/>
  <c r="Q4" i="4" s="1"/>
  <c r="S26" i="4"/>
  <c r="M26" i="4"/>
  <c r="N26" i="4" s="1"/>
  <c r="M25" i="4"/>
  <c r="N25" i="4" s="1"/>
  <c r="M24" i="4"/>
  <c r="N24" i="4" s="1"/>
  <c r="Q13" i="4" s="1"/>
  <c r="S13" i="4" s="1"/>
  <c r="M23" i="4"/>
  <c r="N23" i="4" s="1"/>
  <c r="F23" i="4"/>
  <c r="G23" i="4" s="1"/>
  <c r="M22" i="4"/>
  <c r="N22" i="4" s="1"/>
  <c r="F22" i="4"/>
  <c r="G22" i="4" s="1"/>
  <c r="M21" i="4"/>
  <c r="N21" i="4" s="1"/>
  <c r="F21" i="4"/>
  <c r="G21" i="4" s="1"/>
  <c r="M20" i="4"/>
  <c r="N20" i="4" s="1"/>
  <c r="F20" i="4"/>
  <c r="G20" i="4" s="1"/>
  <c r="Q22" i="4" s="1"/>
  <c r="S22" i="4" s="1"/>
  <c r="M19" i="4"/>
  <c r="N19" i="4" s="1"/>
  <c r="F19" i="4"/>
  <c r="G19" i="4" s="1"/>
  <c r="M18" i="4"/>
  <c r="N18" i="4" s="1"/>
  <c r="F18" i="4"/>
  <c r="G18" i="4" s="1"/>
  <c r="M17" i="4"/>
  <c r="N17" i="4" s="1"/>
  <c r="F17" i="4"/>
  <c r="G17" i="4" s="1"/>
  <c r="M16" i="4"/>
  <c r="N16" i="4" s="1"/>
  <c r="F16" i="4"/>
  <c r="G16" i="4" s="1"/>
  <c r="M15" i="4"/>
  <c r="N15" i="4" s="1"/>
  <c r="F15" i="4"/>
  <c r="G15" i="4" s="1"/>
  <c r="M14" i="4"/>
  <c r="N14" i="4" s="1"/>
  <c r="F14" i="4"/>
  <c r="G14" i="4" s="1"/>
  <c r="M13" i="4"/>
  <c r="N13" i="4" s="1"/>
  <c r="F13" i="4"/>
  <c r="G13" i="4" s="1"/>
  <c r="M12" i="4"/>
  <c r="N12" i="4" s="1"/>
  <c r="F12" i="4"/>
  <c r="G12" i="4" s="1"/>
  <c r="M11" i="4"/>
  <c r="N11" i="4" s="1"/>
  <c r="F11" i="4"/>
  <c r="G11" i="4" s="1"/>
  <c r="M10" i="4"/>
  <c r="N10" i="4" s="1"/>
  <c r="M9" i="4"/>
  <c r="N9" i="4" s="1"/>
  <c r="M8" i="4"/>
  <c r="N8" i="4" s="1"/>
  <c r="F8" i="4"/>
  <c r="G8" i="4" s="1"/>
  <c r="M7" i="4"/>
  <c r="N7" i="4" s="1"/>
  <c r="F7" i="4"/>
  <c r="G7" i="4" s="1"/>
  <c r="M6" i="4"/>
  <c r="N6" i="4" s="1"/>
  <c r="F6" i="4"/>
  <c r="G6" i="4" s="1"/>
  <c r="Q17" i="4" s="1"/>
  <c r="S17" i="4" s="1"/>
  <c r="M5" i="4"/>
  <c r="N5" i="4" s="1"/>
  <c r="F5" i="4"/>
  <c r="G5" i="4" s="1"/>
  <c r="Q16" i="4" s="1"/>
  <c r="S16" i="4" s="1"/>
  <c r="M4" i="4"/>
  <c r="N4" i="4" s="1"/>
  <c r="F4" i="4"/>
  <c r="G4" i="4" s="1"/>
  <c r="Q15" i="4" s="1"/>
  <c r="S15" i="4" s="1"/>
  <c r="F41" i="5"/>
  <c r="G41" i="5" s="1"/>
  <c r="Q7" i="5" s="1"/>
  <c r="S7" i="5" s="1"/>
  <c r="F40" i="5"/>
  <c r="G40" i="5" s="1"/>
  <c r="Q8" i="5" s="1"/>
  <c r="S8" i="5" s="1"/>
  <c r="F39" i="5"/>
  <c r="G39" i="5" s="1"/>
  <c r="F35" i="5"/>
  <c r="G35" i="5" s="1"/>
  <c r="F34" i="5"/>
  <c r="G34" i="5" s="1"/>
  <c r="T30" i="5"/>
  <c r="R30" i="5"/>
  <c r="M30" i="5"/>
  <c r="N30" i="5" s="1"/>
  <c r="F30" i="5"/>
  <c r="G30" i="5" s="1"/>
  <c r="Q9" i="5" s="1"/>
  <c r="S9" i="5" s="1"/>
  <c r="S29" i="5"/>
  <c r="M29" i="5"/>
  <c r="N29" i="5" s="1"/>
  <c r="F29" i="5"/>
  <c r="G29" i="5" s="1"/>
  <c r="Q28" i="5" s="1"/>
  <c r="S28" i="5" s="1"/>
  <c r="M28" i="5"/>
  <c r="N28" i="5" s="1"/>
  <c r="F28" i="5"/>
  <c r="G28" i="5" s="1"/>
  <c r="Q5" i="5" s="1"/>
  <c r="S5" i="5" s="1"/>
  <c r="S27" i="5"/>
  <c r="M27" i="5"/>
  <c r="N27" i="5" s="1"/>
  <c r="F27" i="5"/>
  <c r="G27" i="5" s="1"/>
  <c r="Q4" i="5" s="1"/>
  <c r="S26" i="5"/>
  <c r="M26" i="5"/>
  <c r="N26" i="5" s="1"/>
  <c r="M25" i="5"/>
  <c r="N25" i="5" s="1"/>
  <c r="Q13" i="5" s="1"/>
  <c r="S13" i="5" s="1"/>
  <c r="M24" i="5"/>
  <c r="N24" i="5" s="1"/>
  <c r="M23" i="5"/>
  <c r="N23" i="5" s="1"/>
  <c r="F23" i="5"/>
  <c r="G23" i="5" s="1"/>
  <c r="M22" i="5"/>
  <c r="N22" i="5" s="1"/>
  <c r="Q12" i="5" s="1"/>
  <c r="S12" i="5" s="1"/>
  <c r="F22" i="5"/>
  <c r="G22" i="5" s="1"/>
  <c r="M21" i="5"/>
  <c r="N21" i="5" s="1"/>
  <c r="F21" i="5"/>
  <c r="G21" i="5" s="1"/>
  <c r="M20" i="5"/>
  <c r="N20" i="5" s="1"/>
  <c r="F20" i="5"/>
  <c r="G20" i="5" s="1"/>
  <c r="M19" i="5"/>
  <c r="N19" i="5" s="1"/>
  <c r="F19" i="5"/>
  <c r="G19" i="5" s="1"/>
  <c r="M18" i="5"/>
  <c r="N18" i="5" s="1"/>
  <c r="F18" i="5"/>
  <c r="G18" i="5" s="1"/>
  <c r="Q21" i="5" s="1"/>
  <c r="S21" i="5" s="1"/>
  <c r="M17" i="5"/>
  <c r="N17" i="5" s="1"/>
  <c r="F17" i="5"/>
  <c r="G17" i="5" s="1"/>
  <c r="M16" i="5"/>
  <c r="N16" i="5" s="1"/>
  <c r="Q11" i="5" s="1"/>
  <c r="S11" i="5" s="1"/>
  <c r="F16" i="5"/>
  <c r="G16" i="5" s="1"/>
  <c r="Q20" i="5" s="1"/>
  <c r="S20" i="5" s="1"/>
  <c r="M15" i="5"/>
  <c r="N15" i="5" s="1"/>
  <c r="F15" i="5"/>
  <c r="G15" i="5" s="1"/>
  <c r="M14" i="5"/>
  <c r="N14" i="5" s="1"/>
  <c r="F14" i="5"/>
  <c r="G14" i="5" s="1"/>
  <c r="Q19" i="5" s="1"/>
  <c r="S19" i="5" s="1"/>
  <c r="M13" i="5"/>
  <c r="N13" i="5" s="1"/>
  <c r="F13" i="5"/>
  <c r="G13" i="5" s="1"/>
  <c r="M12" i="5"/>
  <c r="N12" i="5" s="1"/>
  <c r="F12" i="5"/>
  <c r="G12" i="5" s="1"/>
  <c r="Q18" i="5" s="1"/>
  <c r="S18" i="5" s="1"/>
  <c r="M11" i="5"/>
  <c r="N11" i="5" s="1"/>
  <c r="F11" i="5"/>
  <c r="G11" i="5" s="1"/>
  <c r="M10" i="5"/>
  <c r="N10" i="5" s="1"/>
  <c r="M9" i="5"/>
  <c r="N9" i="5" s="1"/>
  <c r="M8" i="5"/>
  <c r="N8" i="5" s="1"/>
  <c r="F8" i="5"/>
  <c r="G8" i="5" s="1"/>
  <c r="M7" i="5"/>
  <c r="N7" i="5" s="1"/>
  <c r="F7" i="5"/>
  <c r="G7" i="5" s="1"/>
  <c r="M6" i="5"/>
  <c r="N6" i="5" s="1"/>
  <c r="F6" i="5"/>
  <c r="G6" i="5" s="1"/>
  <c r="Q17" i="5" s="1"/>
  <c r="S17" i="5" s="1"/>
  <c r="M5" i="5"/>
  <c r="N5" i="5" s="1"/>
  <c r="F5" i="5"/>
  <c r="G5" i="5" s="1"/>
  <c r="Q16" i="5" s="1"/>
  <c r="S16" i="5" s="1"/>
  <c r="M4" i="5"/>
  <c r="N4" i="5" s="1"/>
  <c r="F4" i="5"/>
  <c r="G4" i="5" s="1"/>
  <c r="Q15" i="5" s="1"/>
  <c r="S15" i="5" s="1"/>
  <c r="F41" i="6"/>
  <c r="G41" i="6" s="1"/>
  <c r="Q7" i="6" s="1"/>
  <c r="S7" i="6" s="1"/>
  <c r="F40" i="6"/>
  <c r="G40" i="6" s="1"/>
  <c r="Q8" i="6" s="1"/>
  <c r="S8" i="6" s="1"/>
  <c r="F39" i="6"/>
  <c r="G39" i="6" s="1"/>
  <c r="F35" i="6"/>
  <c r="G35" i="6" s="1"/>
  <c r="F34" i="6"/>
  <c r="G34" i="6" s="1"/>
  <c r="T30" i="6"/>
  <c r="R30" i="6"/>
  <c r="M30" i="6"/>
  <c r="N30" i="6" s="1"/>
  <c r="F30" i="6"/>
  <c r="G30" i="6" s="1"/>
  <c r="Q9" i="6" s="1"/>
  <c r="S9" i="6" s="1"/>
  <c r="S29" i="6"/>
  <c r="M29" i="6"/>
  <c r="N29" i="6" s="1"/>
  <c r="F29" i="6"/>
  <c r="G29" i="6" s="1"/>
  <c r="Q28" i="6" s="1"/>
  <c r="S28" i="6" s="1"/>
  <c r="M28" i="6"/>
  <c r="N28" i="6" s="1"/>
  <c r="F28" i="6"/>
  <c r="G28" i="6" s="1"/>
  <c r="Q5" i="6" s="1"/>
  <c r="S5" i="6" s="1"/>
  <c r="S27" i="6"/>
  <c r="M27" i="6"/>
  <c r="N27" i="6" s="1"/>
  <c r="F27" i="6"/>
  <c r="G27" i="6" s="1"/>
  <c r="Q4" i="6" s="1"/>
  <c r="S26" i="6"/>
  <c r="M26" i="6"/>
  <c r="N26" i="6" s="1"/>
  <c r="M25" i="6"/>
  <c r="N25" i="6" s="1"/>
  <c r="M24" i="6"/>
  <c r="N24" i="6" s="1"/>
  <c r="Q13" i="6" s="1"/>
  <c r="S13" i="6" s="1"/>
  <c r="M23" i="6"/>
  <c r="N23" i="6" s="1"/>
  <c r="F23" i="6"/>
  <c r="G23" i="6" s="1"/>
  <c r="M22" i="6"/>
  <c r="N22" i="6" s="1"/>
  <c r="F22" i="6"/>
  <c r="G22" i="6" s="1"/>
  <c r="M21" i="6"/>
  <c r="N21" i="6" s="1"/>
  <c r="F21" i="6"/>
  <c r="G21" i="6" s="1"/>
  <c r="M20" i="6"/>
  <c r="N20" i="6" s="1"/>
  <c r="F20" i="6"/>
  <c r="G20" i="6" s="1"/>
  <c r="M19" i="6"/>
  <c r="N19" i="6" s="1"/>
  <c r="F19" i="6"/>
  <c r="G19" i="6" s="1"/>
  <c r="M18" i="6"/>
  <c r="N18" i="6" s="1"/>
  <c r="F18" i="6"/>
  <c r="G18" i="6" s="1"/>
  <c r="M17" i="6"/>
  <c r="N17" i="6" s="1"/>
  <c r="F17" i="6"/>
  <c r="G17" i="6" s="1"/>
  <c r="M16" i="6"/>
  <c r="N16" i="6" s="1"/>
  <c r="F16" i="6"/>
  <c r="G16" i="6" s="1"/>
  <c r="M15" i="6"/>
  <c r="N15" i="6" s="1"/>
  <c r="F15" i="6"/>
  <c r="G15" i="6" s="1"/>
  <c r="Q20" i="6" s="1"/>
  <c r="S20" i="6" s="1"/>
  <c r="M14" i="6"/>
  <c r="N14" i="6" s="1"/>
  <c r="F14" i="6"/>
  <c r="G14" i="6" s="1"/>
  <c r="M13" i="6"/>
  <c r="N13" i="6" s="1"/>
  <c r="F13" i="6"/>
  <c r="G13" i="6" s="1"/>
  <c r="M12" i="6"/>
  <c r="N12" i="6" s="1"/>
  <c r="F12" i="6"/>
  <c r="G12" i="6" s="1"/>
  <c r="M11" i="6"/>
  <c r="N11" i="6" s="1"/>
  <c r="F11" i="6"/>
  <c r="G11" i="6" s="1"/>
  <c r="M10" i="6"/>
  <c r="N10" i="6" s="1"/>
  <c r="M9" i="6"/>
  <c r="N9" i="6" s="1"/>
  <c r="M8" i="6"/>
  <c r="N8" i="6" s="1"/>
  <c r="F8" i="6"/>
  <c r="G8" i="6" s="1"/>
  <c r="M7" i="6"/>
  <c r="N7" i="6" s="1"/>
  <c r="F7" i="6"/>
  <c r="G7" i="6" s="1"/>
  <c r="M6" i="6"/>
  <c r="N6" i="6" s="1"/>
  <c r="F6" i="6"/>
  <c r="G6" i="6" s="1"/>
  <c r="Q17" i="6" s="1"/>
  <c r="S17" i="6" s="1"/>
  <c r="M5" i="6"/>
  <c r="N5" i="6" s="1"/>
  <c r="F5" i="6"/>
  <c r="G5" i="6" s="1"/>
  <c r="Q16" i="6" s="1"/>
  <c r="S16" i="6" s="1"/>
  <c r="M4" i="6"/>
  <c r="N4" i="6" s="1"/>
  <c r="F4" i="6"/>
  <c r="G4" i="6" s="1"/>
  <c r="Q15" i="6" s="1"/>
  <c r="S15" i="6" s="1"/>
  <c r="F4" i="1"/>
  <c r="F41" i="1"/>
  <c r="G41" i="1" s="1"/>
  <c r="Q7" i="1" s="1"/>
  <c r="S7" i="1" s="1"/>
  <c r="F40" i="1"/>
  <c r="G40" i="1" s="1"/>
  <c r="Q8" i="1" s="1"/>
  <c r="S8" i="1" s="1"/>
  <c r="F39" i="1"/>
  <c r="G39" i="1" s="1"/>
  <c r="F35" i="1"/>
  <c r="G35" i="1" s="1"/>
  <c r="F34" i="1"/>
  <c r="G34" i="1" s="1"/>
  <c r="T30" i="1"/>
  <c r="R30" i="1"/>
  <c r="M30" i="1"/>
  <c r="N30" i="1" s="1"/>
  <c r="F30" i="1"/>
  <c r="G30" i="1" s="1"/>
  <c r="Q9" i="1" s="1"/>
  <c r="S9" i="1" s="1"/>
  <c r="S29" i="1"/>
  <c r="M29" i="1"/>
  <c r="N29" i="1" s="1"/>
  <c r="F29" i="1"/>
  <c r="G29" i="1" s="1"/>
  <c r="Q28" i="1" s="1"/>
  <c r="S28" i="1" s="1"/>
  <c r="M28" i="1"/>
  <c r="N28" i="1" s="1"/>
  <c r="F28" i="1"/>
  <c r="G28" i="1" s="1"/>
  <c r="Q5" i="1" s="1"/>
  <c r="S5" i="1" s="1"/>
  <c r="S27" i="1"/>
  <c r="M27" i="1"/>
  <c r="N27" i="1" s="1"/>
  <c r="F27" i="1"/>
  <c r="G27" i="1" s="1"/>
  <c r="Q4" i="1" s="1"/>
  <c r="S26" i="1"/>
  <c r="M26" i="1"/>
  <c r="N26" i="1" s="1"/>
  <c r="Q14" i="1" s="1"/>
  <c r="S14" i="1" s="1"/>
  <c r="M25" i="1"/>
  <c r="N25" i="1" s="1"/>
  <c r="M24" i="1"/>
  <c r="N24" i="1" s="1"/>
  <c r="Q13" i="1" s="1"/>
  <c r="S13" i="1" s="1"/>
  <c r="M23" i="1"/>
  <c r="N23" i="1" s="1"/>
  <c r="F23" i="1"/>
  <c r="G23" i="1" s="1"/>
  <c r="M22" i="1"/>
  <c r="N22" i="1" s="1"/>
  <c r="Q12" i="1" s="1"/>
  <c r="S12" i="1" s="1"/>
  <c r="F22" i="1"/>
  <c r="G22" i="1" s="1"/>
  <c r="M21" i="1"/>
  <c r="N21" i="1" s="1"/>
  <c r="F21" i="1"/>
  <c r="G21" i="1" s="1"/>
  <c r="M20" i="1"/>
  <c r="N20" i="1" s="1"/>
  <c r="F20" i="1"/>
  <c r="G20" i="1" s="1"/>
  <c r="M19" i="1"/>
  <c r="N19" i="1" s="1"/>
  <c r="F19" i="1"/>
  <c r="G19" i="1" s="1"/>
  <c r="M18" i="1"/>
  <c r="N18" i="1" s="1"/>
  <c r="F18" i="1"/>
  <c r="G18" i="1" s="1"/>
  <c r="M17" i="1"/>
  <c r="N17" i="1" s="1"/>
  <c r="F17" i="1"/>
  <c r="G17" i="1" s="1"/>
  <c r="Q21" i="1" s="1"/>
  <c r="S21" i="1" s="1"/>
  <c r="M16" i="1"/>
  <c r="N16" i="1" s="1"/>
  <c r="Q11" i="1" s="1"/>
  <c r="S11" i="1" s="1"/>
  <c r="F16" i="1"/>
  <c r="G16" i="1" s="1"/>
  <c r="M15" i="1"/>
  <c r="N15" i="1" s="1"/>
  <c r="F15" i="1"/>
  <c r="G15" i="1" s="1"/>
  <c r="M14" i="1"/>
  <c r="N14" i="1" s="1"/>
  <c r="F14" i="1"/>
  <c r="G14" i="1" s="1"/>
  <c r="M13" i="1"/>
  <c r="N13" i="1" s="1"/>
  <c r="F13" i="1"/>
  <c r="G13" i="1" s="1"/>
  <c r="Q19" i="1" s="1"/>
  <c r="S19" i="1" s="1"/>
  <c r="M12" i="1"/>
  <c r="N12" i="1" s="1"/>
  <c r="F12" i="1"/>
  <c r="G12" i="1" s="1"/>
  <c r="M11" i="1"/>
  <c r="N11" i="1" s="1"/>
  <c r="F11" i="1"/>
  <c r="G11" i="1" s="1"/>
  <c r="M10" i="1"/>
  <c r="N10" i="1" s="1"/>
  <c r="M9" i="1"/>
  <c r="N9" i="1" s="1"/>
  <c r="M8" i="1"/>
  <c r="N8" i="1" s="1"/>
  <c r="F8" i="1"/>
  <c r="G8" i="1" s="1"/>
  <c r="M7" i="1"/>
  <c r="N7" i="1" s="1"/>
  <c r="F7" i="1"/>
  <c r="G7" i="1" s="1"/>
  <c r="M6" i="1"/>
  <c r="N6" i="1" s="1"/>
  <c r="F6" i="1"/>
  <c r="G6" i="1" s="1"/>
  <c r="Q17" i="1" s="1"/>
  <c r="S17" i="1" s="1"/>
  <c r="M5" i="1"/>
  <c r="N5" i="1" s="1"/>
  <c r="F5" i="1"/>
  <c r="G5" i="1" s="1"/>
  <c r="Q16" i="1" s="1"/>
  <c r="S16" i="1" s="1"/>
  <c r="M4" i="1"/>
  <c r="N4" i="1" s="1"/>
  <c r="G4" i="1"/>
  <c r="Q15" i="1" s="1"/>
  <c r="S15" i="1" s="1"/>
  <c r="Q20" i="2" l="1"/>
  <c r="S20" i="2" s="1"/>
  <c r="R6" i="3"/>
  <c r="T6" i="3" s="1"/>
  <c r="Q6" i="4"/>
  <c r="S6" i="4" s="1"/>
  <c r="S14" i="8"/>
  <c r="U14" i="8" s="1"/>
  <c r="S22" i="8"/>
  <c r="U22" i="8" s="1"/>
  <c r="R23" i="7"/>
  <c r="T23" i="7" s="1"/>
  <c r="R20" i="7"/>
  <c r="T20" i="7" s="1"/>
  <c r="Q21" i="2"/>
  <c r="S21" i="2" s="1"/>
  <c r="Q20" i="4"/>
  <c r="S20" i="4" s="1"/>
  <c r="Q22" i="5"/>
  <c r="S22" i="5" s="1"/>
  <c r="S23" i="8"/>
  <c r="U23" i="8" s="1"/>
  <c r="S19" i="8"/>
  <c r="U19" i="8" s="1"/>
  <c r="R19" i="7"/>
  <c r="T19" i="7" s="1"/>
  <c r="Q18" i="2"/>
  <c r="S18" i="2" s="1"/>
  <c r="Q6" i="1"/>
  <c r="S6" i="1" s="1"/>
  <c r="S15" i="8"/>
  <c r="U15" i="8" s="1"/>
  <c r="U5" i="8"/>
  <c r="S7" i="8"/>
  <c r="U7" i="8" s="1"/>
  <c r="S11" i="8"/>
  <c r="U11" i="8" s="1"/>
  <c r="T5" i="7"/>
  <c r="R7" i="7"/>
  <c r="T7" i="7" s="1"/>
  <c r="R15" i="7"/>
  <c r="T15" i="7" s="1"/>
  <c r="R11" i="7"/>
  <c r="T11" i="7" s="1"/>
  <c r="S4" i="2"/>
  <c r="Q14" i="2"/>
  <c r="S14" i="2" s="1"/>
  <c r="Q6" i="2"/>
  <c r="S6" i="2" s="1"/>
  <c r="Q10" i="2"/>
  <c r="S10" i="2" s="1"/>
  <c r="T4" i="3"/>
  <c r="R21" i="3"/>
  <c r="T21" i="3" s="1"/>
  <c r="R18" i="3"/>
  <c r="T18" i="3" s="1"/>
  <c r="R10" i="3"/>
  <c r="T10" i="3" s="1"/>
  <c r="R11" i="3"/>
  <c r="T11" i="3" s="1"/>
  <c r="Q10" i="4"/>
  <c r="S10" i="4" s="1"/>
  <c r="Q21" i="4"/>
  <c r="S21" i="4" s="1"/>
  <c r="Q14" i="4"/>
  <c r="S14" i="4" s="1"/>
  <c r="Q19" i="4"/>
  <c r="S19" i="4" s="1"/>
  <c r="Q12" i="4"/>
  <c r="S12" i="4" s="1"/>
  <c r="S4" i="4"/>
  <c r="Q11" i="4"/>
  <c r="S11" i="4" s="1"/>
  <c r="Q18" i="4"/>
  <c r="S18" i="4" s="1"/>
  <c r="S4" i="5"/>
  <c r="Q6" i="5"/>
  <c r="S6" i="5" s="1"/>
  <c r="Q14" i="5"/>
  <c r="S14" i="5" s="1"/>
  <c r="Q10" i="5"/>
  <c r="S10" i="5" s="1"/>
  <c r="Q22" i="6"/>
  <c r="S22" i="6" s="1"/>
  <c r="Q10" i="6"/>
  <c r="S10" i="6" s="1"/>
  <c r="Q21" i="6"/>
  <c r="S21" i="6" s="1"/>
  <c r="Q14" i="6"/>
  <c r="S14" i="6" s="1"/>
  <c r="Q6" i="6"/>
  <c r="S6" i="6" s="1"/>
  <c r="S4" i="6"/>
  <c r="Q11" i="6"/>
  <c r="S11" i="6" s="1"/>
  <c r="Q18" i="6"/>
  <c r="S18" i="6" s="1"/>
  <c r="Q19" i="6"/>
  <c r="S19" i="6" s="1"/>
  <c r="Q12" i="6"/>
  <c r="S12" i="6" s="1"/>
  <c r="Q10" i="1"/>
  <c r="S4" i="1"/>
  <c r="Q18" i="1"/>
  <c r="S18" i="1" s="1"/>
  <c r="Q20" i="1"/>
  <c r="S20" i="1" s="1"/>
  <c r="Q22" i="1"/>
  <c r="S22" i="1" s="1"/>
  <c r="S10" i="1" l="1"/>
  <c r="S30" i="1" s="1"/>
  <c r="Q30" i="1"/>
  <c r="U31" i="8"/>
  <c r="S31" i="8"/>
  <c r="T31" i="7"/>
  <c r="R31" i="7"/>
  <c r="S30" i="2"/>
  <c r="Q30" i="2"/>
  <c r="T30" i="3"/>
  <c r="R30" i="3"/>
  <c r="S30" i="4"/>
  <c r="Q30" i="4"/>
  <c r="S30" i="5"/>
  <c r="Q30" i="5"/>
  <c r="S30" i="6"/>
  <c r="Q30" i="6"/>
</calcChain>
</file>

<file path=xl/sharedStrings.xml><?xml version="1.0" encoding="utf-8"?>
<sst xmlns="http://schemas.openxmlformats.org/spreadsheetml/2006/main" count="1144" uniqueCount="76">
  <si>
    <t>Weaners</t>
  </si>
  <si>
    <t>GILTS</t>
  </si>
  <si>
    <t>FEED ORDER NEED</t>
  </si>
  <si>
    <t>AGE</t>
  </si>
  <si>
    <t>DIET</t>
  </si>
  <si>
    <t>INTAKE</t>
  </si>
  <si>
    <t>NOP</t>
  </si>
  <si>
    <t>TOTAL</t>
  </si>
  <si>
    <t>9 DAYS</t>
  </si>
  <si>
    <t>NEED</t>
  </si>
  <si>
    <t>HAVE</t>
  </si>
  <si>
    <t>DEF</t>
  </si>
  <si>
    <t>ORDER</t>
  </si>
  <si>
    <t>STATUS</t>
  </si>
  <si>
    <t>under sow</t>
  </si>
  <si>
    <t>creep 1</t>
  </si>
  <si>
    <t xml:space="preserve">creep 2 </t>
  </si>
  <si>
    <t>DRY SOW</t>
  </si>
  <si>
    <t>4 to 5</t>
  </si>
  <si>
    <t>creep 2</t>
  </si>
  <si>
    <t>DRY GILT</t>
  </si>
  <si>
    <t>6 to 7</t>
  </si>
  <si>
    <t>creep 3</t>
  </si>
  <si>
    <t>SUPER FLUSH</t>
  </si>
  <si>
    <t>W1</t>
  </si>
  <si>
    <t>Creep 3</t>
  </si>
  <si>
    <t>LACTATE GILT</t>
  </si>
  <si>
    <t>LACTATE SOW</t>
  </si>
  <si>
    <t>90+ DS</t>
  </si>
  <si>
    <t>Growers</t>
  </si>
  <si>
    <t>GILT R1</t>
  </si>
  <si>
    <t>R1</t>
  </si>
  <si>
    <t>GILT R2</t>
  </si>
  <si>
    <t>GILT R3</t>
  </si>
  <si>
    <t>G1</t>
  </si>
  <si>
    <t>GILT 4</t>
  </si>
  <si>
    <t>GILT 5</t>
  </si>
  <si>
    <t>G2</t>
  </si>
  <si>
    <t>R2</t>
  </si>
  <si>
    <t>G3</t>
  </si>
  <si>
    <t>WEAN 1</t>
  </si>
  <si>
    <t>R3</t>
  </si>
  <si>
    <t>GROWER 1</t>
  </si>
  <si>
    <t>FINISHER</t>
  </si>
  <si>
    <t>GROWER 2</t>
  </si>
  <si>
    <t>OTC</t>
  </si>
  <si>
    <t>GROWER 3</t>
  </si>
  <si>
    <t>R4</t>
  </si>
  <si>
    <t>DRY SOW &amp; DRY GILT</t>
  </si>
  <si>
    <t>R5</t>
  </si>
  <si>
    <t>OTHER</t>
  </si>
  <si>
    <t>10 DAYS</t>
  </si>
  <si>
    <t>G 5 FLUSH</t>
  </si>
  <si>
    <t>DEXTROSE</t>
  </si>
  <si>
    <t>DS</t>
  </si>
  <si>
    <t>NOSILAC</t>
  </si>
  <si>
    <t>DG</t>
  </si>
  <si>
    <t>TRANSITION DIET</t>
  </si>
  <si>
    <t>active</t>
  </si>
  <si>
    <t>TRANSITION</t>
  </si>
  <si>
    <t>A I BOAR</t>
  </si>
  <si>
    <t>12WKS+</t>
  </si>
  <si>
    <t>30+</t>
  </si>
  <si>
    <t xml:space="preserve">  </t>
  </si>
  <si>
    <t>PRIORITY :</t>
  </si>
  <si>
    <t xml:space="preserve">FINISHER </t>
  </si>
  <si>
    <t>SERVICE LINE</t>
  </si>
  <si>
    <t>7 DAYS</t>
  </si>
  <si>
    <t>SOW FLUSH</t>
  </si>
  <si>
    <t>GILT FLUSH</t>
  </si>
  <si>
    <t>FARROWING</t>
  </si>
  <si>
    <t>PIGLETS</t>
  </si>
  <si>
    <t>EARLY WEAN</t>
  </si>
  <si>
    <t>SOWS</t>
  </si>
  <si>
    <t>LAC S</t>
  </si>
  <si>
    <t>LAC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</si>
</sst>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6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right"/>
    </xf>
    <xf numFmtId="0" fontId="2" fillId="0" borderId="15" xfId="0" applyFont="1" applyBorder="1"/>
    <xf numFmtId="0" fontId="2" fillId="0" borderId="16" xfId="0" applyFont="1" applyBorder="1"/>
    <xf numFmtId="0" fontId="2" fillId="6" borderId="17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/>
    <xf numFmtId="0" fontId="7" fillId="0" borderId="15" xfId="0" applyFont="1" applyBorder="1"/>
    <xf numFmtId="0" fontId="1" fillId="6" borderId="21" xfId="0" applyFont="1" applyFill="1" applyBorder="1" applyAlignment="1">
      <alignment horizontal="center"/>
    </xf>
    <xf numFmtId="0" fontId="2" fillId="0" borderId="19" xfId="0" applyFont="1" applyBorder="1" applyAlignment="1">
      <alignment horizontal="right"/>
    </xf>
    <xf numFmtId="0" fontId="2" fillId="0" borderId="19" xfId="0" applyFont="1" applyBorder="1"/>
    <xf numFmtId="0" fontId="2" fillId="0" borderId="22" xfId="0" applyFont="1" applyBorder="1"/>
    <xf numFmtId="0" fontId="7" fillId="0" borderId="23" xfId="0" applyFont="1" applyBorder="1"/>
    <xf numFmtId="0" fontId="6" fillId="6" borderId="17" xfId="0" applyFont="1" applyFill="1" applyBorder="1" applyAlignment="1">
      <alignment horizontal="center"/>
    </xf>
    <xf numFmtId="0" fontId="2" fillId="0" borderId="20" xfId="0" applyFont="1" applyBorder="1"/>
    <xf numFmtId="0" fontId="1" fillId="6" borderId="24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7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8" fillId="0" borderId="0" xfId="0" applyFont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2" fillId="7" borderId="30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7" fillId="0" borderId="0" xfId="0" applyFont="1"/>
    <xf numFmtId="0" fontId="2" fillId="7" borderId="30" xfId="0" applyFont="1" applyFill="1" applyBorder="1"/>
    <xf numFmtId="0" fontId="1" fillId="2" borderId="1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7" fillId="0" borderId="31" xfId="0" applyFont="1" applyBorder="1"/>
    <xf numFmtId="0" fontId="2" fillId="7" borderId="31" xfId="0" applyFont="1" applyFill="1" applyBorder="1"/>
    <xf numFmtId="0" fontId="8" fillId="0" borderId="32" xfId="0" applyFont="1" applyBorder="1" applyAlignment="1">
      <alignment horizontal="center"/>
    </xf>
    <xf numFmtId="0" fontId="7" fillId="7" borderId="15" xfId="0" applyFont="1" applyFill="1" applyBorder="1"/>
    <xf numFmtId="0" fontId="7" fillId="7" borderId="19" xfId="0" applyFont="1" applyFill="1" applyBorder="1"/>
    <xf numFmtId="0" fontId="7" fillId="0" borderId="15" xfId="0" applyFont="1" applyBorder="1" applyAlignment="1">
      <alignment horizontal="right"/>
    </xf>
    <xf numFmtId="0" fontId="2" fillId="6" borderId="33" xfId="0" applyFont="1" applyFill="1" applyBorder="1" applyAlignment="1">
      <alignment horizontal="center"/>
    </xf>
    <xf numFmtId="0" fontId="7" fillId="0" borderId="19" xfId="0" applyFont="1" applyBorder="1" applyAlignment="1">
      <alignment horizontal="right"/>
    </xf>
    <xf numFmtId="0" fontId="2" fillId="6" borderId="34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6" fillId="7" borderId="36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/>
    <xf numFmtId="0" fontId="1" fillId="6" borderId="38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7" fillId="7" borderId="27" xfId="0" applyFont="1" applyFill="1" applyBorder="1" applyAlignment="1">
      <alignment horizontal="right"/>
    </xf>
    <xf numFmtId="0" fontId="2" fillId="0" borderId="27" xfId="0" applyFont="1" applyBorder="1"/>
    <xf numFmtId="0" fontId="2" fillId="0" borderId="39" xfId="0" applyFont="1" applyBorder="1"/>
    <xf numFmtId="0" fontId="2" fillId="5" borderId="19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7" borderId="19" xfId="0" applyFont="1" applyFill="1" applyBorder="1"/>
    <xf numFmtId="0" fontId="1" fillId="0" borderId="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/>
    <xf numFmtId="0" fontId="2" fillId="7" borderId="0" xfId="0" applyFont="1" applyFill="1" applyAlignment="1">
      <alignment horizontal="right"/>
    </xf>
    <xf numFmtId="0" fontId="1" fillId="7" borderId="0" xfId="0" applyFont="1" applyFill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left"/>
    </xf>
    <xf numFmtId="0" fontId="2" fillId="4" borderId="14" xfId="0" applyFont="1" applyFill="1" applyBorder="1"/>
    <xf numFmtId="0" fontId="2" fillId="4" borderId="21" xfId="0" applyFont="1" applyFill="1" applyBorder="1"/>
    <xf numFmtId="0" fontId="2" fillId="0" borderId="36" xfId="0" applyFont="1" applyBorder="1"/>
    <xf numFmtId="0" fontId="2" fillId="4" borderId="38" xfId="0" applyFont="1" applyFill="1" applyBorder="1"/>
    <xf numFmtId="0" fontId="2" fillId="7" borderId="27" xfId="0" applyFont="1" applyFill="1" applyBorder="1"/>
    <xf numFmtId="0" fontId="2" fillId="7" borderId="27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4" borderId="46" xfId="0" applyFont="1" applyFill="1" applyBorder="1" applyAlignment="1">
      <alignment horizontal="center"/>
    </xf>
    <xf numFmtId="0" fontId="2" fillId="5" borderId="47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3" fillId="3" borderId="48" xfId="0" applyFont="1" applyFill="1" applyBorder="1" applyAlignment="1">
      <alignment horizontal="center"/>
    </xf>
    <xf numFmtId="0" fontId="2" fillId="5" borderId="49" xfId="0" applyFont="1" applyFill="1" applyBorder="1" applyAlignment="1">
      <alignment horizontal="center"/>
    </xf>
    <xf numFmtId="0" fontId="4" fillId="5" borderId="43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1" fillId="6" borderId="50" xfId="0" applyFont="1" applyFill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1" fillId="6" borderId="46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53" xfId="0" applyFont="1" applyFill="1" applyBorder="1" applyAlignment="1">
      <alignment horizontal="center"/>
    </xf>
    <xf numFmtId="0" fontId="2" fillId="0" borderId="54" xfId="0" applyFont="1" applyBorder="1"/>
    <xf numFmtId="0" fontId="1" fillId="4" borderId="3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B03A-6D14-44E8-B85F-3C833CF72F18}">
  <dimension ref="B1:U42"/>
  <sheetViews>
    <sheetView topLeftCell="A2" workbookViewId="0">
      <selection activeCell="A21" sqref="A21"/>
    </sheetView>
  </sheetViews>
  <sheetFormatPr defaultRowHeight="15"/>
  <cols>
    <col min="2" max="2" width="17.140625" customWidth="1"/>
    <col min="3" max="3" width="15.42578125" customWidth="1"/>
    <col min="16" max="16" width="14.42578125" customWidth="1"/>
  </cols>
  <sheetData>
    <row r="1" spans="2:21" ht="15.75" thickBot="1"/>
    <row r="2" spans="2:21" ht="17.25" thickTop="1" thickBot="1">
      <c r="B2" s="1" t="s">
        <v>0</v>
      </c>
      <c r="C2" s="2"/>
      <c r="D2" s="2"/>
      <c r="E2" s="2"/>
      <c r="F2" s="2"/>
      <c r="G2" s="2"/>
      <c r="H2" s="2"/>
      <c r="I2" s="3" t="s">
        <v>1</v>
      </c>
      <c r="J2" s="2"/>
      <c r="K2" s="2"/>
      <c r="L2" s="2"/>
      <c r="M2" s="2"/>
      <c r="N2" s="2"/>
      <c r="O2" s="2"/>
      <c r="P2" s="4" t="s">
        <v>2</v>
      </c>
      <c r="Q2" s="5"/>
      <c r="R2" s="2"/>
      <c r="S2" s="2"/>
      <c r="T2" s="2"/>
      <c r="U2" s="2"/>
    </row>
    <row r="3" spans="2:21" ht="17.25" thickTop="1" thickBot="1"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9"/>
      <c r="I3" s="6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8" t="s">
        <v>8</v>
      </c>
      <c r="O3" s="2"/>
      <c r="P3" s="10" t="s">
        <v>4</v>
      </c>
      <c r="Q3" s="11" t="s">
        <v>9</v>
      </c>
      <c r="R3" s="12" t="s">
        <v>10</v>
      </c>
      <c r="S3" s="12" t="s">
        <v>11</v>
      </c>
      <c r="T3" s="12" t="s">
        <v>12</v>
      </c>
      <c r="U3" s="13" t="s">
        <v>13</v>
      </c>
    </row>
    <row r="4" spans="2:21" ht="15.75">
      <c r="B4" s="14" t="s">
        <v>14</v>
      </c>
      <c r="C4" s="15" t="s">
        <v>15</v>
      </c>
      <c r="D4" s="16">
        <v>0.1</v>
      </c>
      <c r="E4" s="17"/>
      <c r="F4" s="18">
        <f>E4*D4</f>
        <v>0</v>
      </c>
      <c r="G4" s="19">
        <f>F4*9</f>
        <v>0</v>
      </c>
      <c r="H4" s="9"/>
      <c r="I4" s="20">
        <v>4</v>
      </c>
      <c r="J4" s="21" t="s">
        <v>16</v>
      </c>
      <c r="K4" s="21">
        <v>0.35</v>
      </c>
      <c r="L4" s="22"/>
      <c r="M4" s="23">
        <f>L4*K4</f>
        <v>0</v>
      </c>
      <c r="N4" s="24">
        <f>M4*9</f>
        <v>0</v>
      </c>
      <c r="O4" s="2"/>
      <c r="P4" s="25" t="s">
        <v>17</v>
      </c>
      <c r="Q4" s="26">
        <f>G27</f>
        <v>0</v>
      </c>
      <c r="R4" s="27"/>
      <c r="S4" s="28">
        <f t="shared" ref="S4:S5" si="0">Q4-R4</f>
        <v>0</v>
      </c>
      <c r="T4" s="29"/>
      <c r="U4" s="30"/>
    </row>
    <row r="5" spans="2:21">
      <c r="B5" s="20" t="s">
        <v>18</v>
      </c>
      <c r="C5" s="28" t="s">
        <v>19</v>
      </c>
      <c r="D5" s="21">
        <v>4</v>
      </c>
      <c r="E5" s="31"/>
      <c r="F5" s="23">
        <f>E5*D5</f>
        <v>0</v>
      </c>
      <c r="G5" s="24">
        <f>F5</f>
        <v>0</v>
      </c>
      <c r="H5" s="9"/>
      <c r="I5" s="32">
        <v>5</v>
      </c>
      <c r="J5" s="28" t="s">
        <v>16</v>
      </c>
      <c r="K5" s="28">
        <v>0.45</v>
      </c>
      <c r="L5" s="33"/>
      <c r="M5" s="34">
        <f t="shared" ref="M5:M30" si="1">L5*K5</f>
        <v>0</v>
      </c>
      <c r="N5" s="35">
        <f t="shared" ref="N5:N30" si="2">M5*9</f>
        <v>0</v>
      </c>
      <c r="O5" s="2"/>
      <c r="P5" s="25" t="s">
        <v>20</v>
      </c>
      <c r="Q5" s="26">
        <f>G28</f>
        <v>0</v>
      </c>
      <c r="R5" s="27"/>
      <c r="S5" s="28">
        <f t="shared" si="0"/>
        <v>0</v>
      </c>
      <c r="T5" s="29"/>
      <c r="U5" s="30"/>
    </row>
    <row r="6" spans="2:21">
      <c r="B6" s="20" t="s">
        <v>21</v>
      </c>
      <c r="C6" s="28" t="s">
        <v>22</v>
      </c>
      <c r="D6" s="28">
        <v>13</v>
      </c>
      <c r="E6" s="31"/>
      <c r="F6" s="34">
        <f>E6*D6</f>
        <v>0</v>
      </c>
      <c r="G6" s="35">
        <f>F6</f>
        <v>0</v>
      </c>
      <c r="H6" s="9"/>
      <c r="I6" s="32">
        <v>6</v>
      </c>
      <c r="J6" s="28" t="s">
        <v>22</v>
      </c>
      <c r="K6" s="28">
        <v>0.9</v>
      </c>
      <c r="L6" s="33"/>
      <c r="M6" s="34">
        <f t="shared" si="1"/>
        <v>0</v>
      </c>
      <c r="N6" s="35">
        <f t="shared" si="2"/>
        <v>0</v>
      </c>
      <c r="O6" s="2"/>
      <c r="P6" s="25" t="s">
        <v>23</v>
      </c>
      <c r="Q6" s="26">
        <f>G34+N30</f>
        <v>0</v>
      </c>
      <c r="R6" s="27"/>
      <c r="S6" s="28">
        <f>Q6-R6</f>
        <v>0</v>
      </c>
      <c r="T6" s="29"/>
      <c r="U6" s="30"/>
    </row>
    <row r="7" spans="2:21">
      <c r="B7" s="32">
        <v>8</v>
      </c>
      <c r="C7" s="28" t="s">
        <v>24</v>
      </c>
      <c r="D7" s="28">
        <v>1.3</v>
      </c>
      <c r="E7" s="36"/>
      <c r="F7" s="34">
        <f t="shared" ref="F7:F8" si="3">E7*D7</f>
        <v>0</v>
      </c>
      <c r="G7" s="35">
        <f>F7*9</f>
        <v>0</v>
      </c>
      <c r="H7" s="9"/>
      <c r="I7" s="32">
        <v>7</v>
      </c>
      <c r="J7" s="28" t="s">
        <v>25</v>
      </c>
      <c r="K7" s="28">
        <v>1</v>
      </c>
      <c r="L7" s="33"/>
      <c r="M7" s="34">
        <f t="shared" si="1"/>
        <v>0</v>
      </c>
      <c r="N7" s="35">
        <f t="shared" si="2"/>
        <v>0</v>
      </c>
      <c r="O7" s="2"/>
      <c r="P7" s="37" t="s">
        <v>26</v>
      </c>
      <c r="Q7" s="26">
        <f>G41</f>
        <v>0</v>
      </c>
      <c r="R7" s="29"/>
      <c r="S7" s="28">
        <f>Q7-R7</f>
        <v>0</v>
      </c>
      <c r="T7" s="29"/>
      <c r="U7" s="38"/>
    </row>
    <row r="8" spans="2:21" ht="15.75" thickBot="1">
      <c r="B8" s="39">
        <v>9</v>
      </c>
      <c r="C8" s="40" t="s">
        <v>24</v>
      </c>
      <c r="D8" s="41">
        <v>1.3</v>
      </c>
      <c r="E8" s="42"/>
      <c r="F8" s="43">
        <f t="shared" si="3"/>
        <v>0</v>
      </c>
      <c r="G8" s="44">
        <f>F8*9</f>
        <v>0</v>
      </c>
      <c r="H8" s="45"/>
      <c r="I8" s="32">
        <v>8</v>
      </c>
      <c r="J8" s="28" t="s">
        <v>24</v>
      </c>
      <c r="K8" s="28">
        <v>1.6</v>
      </c>
      <c r="L8" s="33"/>
      <c r="M8" s="34">
        <f t="shared" si="1"/>
        <v>0</v>
      </c>
      <c r="N8" s="35">
        <f t="shared" si="2"/>
        <v>0</v>
      </c>
      <c r="O8" s="2"/>
      <c r="P8" s="37" t="s">
        <v>27</v>
      </c>
      <c r="Q8" s="26">
        <f>G40</f>
        <v>0</v>
      </c>
      <c r="R8" s="27"/>
      <c r="S8" s="28">
        <f t="shared" ref="S8:S22" si="4">Q8-R8</f>
        <v>0</v>
      </c>
      <c r="T8" s="29"/>
      <c r="U8" s="38"/>
    </row>
    <row r="9" spans="2:21" ht="15.75" thickBot="1">
      <c r="B9" s="46"/>
      <c r="C9" s="47"/>
      <c r="D9" s="48"/>
      <c r="E9" s="49"/>
      <c r="F9" s="50"/>
      <c r="G9" s="50"/>
      <c r="H9" s="45"/>
      <c r="I9" s="32">
        <v>9</v>
      </c>
      <c r="J9" s="28" t="s">
        <v>24</v>
      </c>
      <c r="K9" s="28">
        <v>1.6</v>
      </c>
      <c r="L9" s="33"/>
      <c r="M9" s="34">
        <f t="shared" si="1"/>
        <v>0</v>
      </c>
      <c r="N9" s="35">
        <f t="shared" si="2"/>
        <v>0</v>
      </c>
      <c r="O9" s="2"/>
      <c r="P9" s="25" t="s">
        <v>28</v>
      </c>
      <c r="Q9" s="26">
        <f>G30</f>
        <v>0</v>
      </c>
      <c r="R9" s="29"/>
      <c r="S9" s="28">
        <f t="shared" si="4"/>
        <v>0</v>
      </c>
      <c r="T9" s="29"/>
      <c r="U9" s="38"/>
    </row>
    <row r="10" spans="2:21" ht="15.75" thickBot="1">
      <c r="B10" s="51" t="s">
        <v>29</v>
      </c>
      <c r="C10" s="52"/>
      <c r="D10" s="52"/>
      <c r="E10" s="53"/>
      <c r="F10" s="54"/>
      <c r="G10" s="54"/>
      <c r="H10" s="55"/>
      <c r="I10" s="32">
        <v>10</v>
      </c>
      <c r="J10" s="28" t="s">
        <v>24</v>
      </c>
      <c r="K10" s="28">
        <v>1.6</v>
      </c>
      <c r="L10" s="33"/>
      <c r="M10" s="34">
        <f t="shared" si="1"/>
        <v>0</v>
      </c>
      <c r="N10" s="35">
        <f t="shared" si="2"/>
        <v>0</v>
      </c>
      <c r="O10" s="2"/>
      <c r="P10" s="25" t="s">
        <v>30</v>
      </c>
      <c r="Q10" s="26">
        <f>N11+N12+N13+N14+N15</f>
        <v>0</v>
      </c>
      <c r="R10" s="27"/>
      <c r="S10" s="28">
        <f t="shared" si="4"/>
        <v>0</v>
      </c>
      <c r="T10" s="29"/>
      <c r="U10" s="30"/>
    </row>
    <row r="11" spans="2:21">
      <c r="B11" s="32">
        <v>10</v>
      </c>
      <c r="C11" s="28" t="s">
        <v>24</v>
      </c>
      <c r="D11" s="28">
        <v>1.7</v>
      </c>
      <c r="E11" s="56"/>
      <c r="F11" s="34">
        <f t="shared" ref="F11:F18" si="5">E11*D11</f>
        <v>0</v>
      </c>
      <c r="G11" s="35">
        <f t="shared" ref="G11:G23" si="6">F11*9</f>
        <v>0</v>
      </c>
      <c r="H11" s="45"/>
      <c r="I11" s="32">
        <v>11</v>
      </c>
      <c r="J11" s="28" t="s">
        <v>31</v>
      </c>
      <c r="K11" s="28">
        <v>1.8</v>
      </c>
      <c r="L11" s="33"/>
      <c r="M11" s="34">
        <f t="shared" si="1"/>
        <v>0</v>
      </c>
      <c r="N11" s="35">
        <f t="shared" si="2"/>
        <v>0</v>
      </c>
      <c r="O11" s="2"/>
      <c r="P11" s="25" t="s">
        <v>32</v>
      </c>
      <c r="Q11" s="26">
        <f>N16+N17+N18+N19+N20+N21</f>
        <v>0</v>
      </c>
      <c r="R11" s="27"/>
      <c r="S11" s="28">
        <f t="shared" si="4"/>
        <v>0</v>
      </c>
      <c r="T11" s="29"/>
      <c r="U11" s="30"/>
    </row>
    <row r="12" spans="2:21">
      <c r="B12" s="32">
        <v>11</v>
      </c>
      <c r="C12" s="28" t="s">
        <v>24</v>
      </c>
      <c r="D12" s="28">
        <v>1.9</v>
      </c>
      <c r="E12" s="57"/>
      <c r="F12" s="34">
        <f t="shared" si="5"/>
        <v>0</v>
      </c>
      <c r="G12" s="35">
        <f t="shared" si="6"/>
        <v>0</v>
      </c>
      <c r="H12" s="45"/>
      <c r="I12" s="32">
        <v>12</v>
      </c>
      <c r="J12" s="28" t="s">
        <v>31</v>
      </c>
      <c r="K12" s="28">
        <v>1.9</v>
      </c>
      <c r="L12" s="34"/>
      <c r="M12" s="34">
        <f>L12*K12</f>
        <v>0</v>
      </c>
      <c r="N12" s="35">
        <f t="shared" si="2"/>
        <v>0</v>
      </c>
      <c r="O12" s="2"/>
      <c r="P12" s="25" t="s">
        <v>33</v>
      </c>
      <c r="Q12" s="26">
        <f>N22+N23</f>
        <v>0</v>
      </c>
      <c r="R12" s="29"/>
      <c r="S12" s="28">
        <f t="shared" si="4"/>
        <v>0</v>
      </c>
      <c r="T12" s="29"/>
      <c r="U12" s="30"/>
    </row>
    <row r="13" spans="2:21">
      <c r="B13" s="32">
        <v>12</v>
      </c>
      <c r="C13" s="28" t="s">
        <v>34</v>
      </c>
      <c r="D13" s="28">
        <v>2.1</v>
      </c>
      <c r="E13" s="57"/>
      <c r="F13" s="34">
        <f t="shared" si="5"/>
        <v>0</v>
      </c>
      <c r="G13" s="35">
        <f t="shared" si="6"/>
        <v>0</v>
      </c>
      <c r="H13" s="45"/>
      <c r="I13" s="32">
        <v>13</v>
      </c>
      <c r="J13" s="28" t="s">
        <v>31</v>
      </c>
      <c r="K13" s="28">
        <v>2.1</v>
      </c>
      <c r="L13" s="34"/>
      <c r="M13" s="34">
        <f t="shared" si="1"/>
        <v>0</v>
      </c>
      <c r="N13" s="35">
        <f t="shared" si="2"/>
        <v>0</v>
      </c>
      <c r="O13" s="2"/>
      <c r="P13" s="25" t="s">
        <v>35</v>
      </c>
      <c r="Q13" s="26">
        <f>N24+N25</f>
        <v>0</v>
      </c>
      <c r="R13" s="29"/>
      <c r="S13" s="28">
        <f>Q13-R13</f>
        <v>0</v>
      </c>
      <c r="T13" s="29"/>
      <c r="U13" s="30"/>
    </row>
    <row r="14" spans="2:21">
      <c r="B14" s="32">
        <v>13</v>
      </c>
      <c r="C14" s="28" t="s">
        <v>34</v>
      </c>
      <c r="D14" s="28">
        <v>2.2999999999999998</v>
      </c>
      <c r="E14" s="57"/>
      <c r="F14" s="34">
        <f t="shared" si="5"/>
        <v>0</v>
      </c>
      <c r="G14" s="35">
        <f t="shared" si="6"/>
        <v>0</v>
      </c>
      <c r="H14" s="45"/>
      <c r="I14" s="32">
        <v>14</v>
      </c>
      <c r="J14" s="28" t="s">
        <v>31</v>
      </c>
      <c r="K14" s="28">
        <v>2.2999999999999998</v>
      </c>
      <c r="L14" s="34"/>
      <c r="M14" s="34">
        <f t="shared" si="1"/>
        <v>0</v>
      </c>
      <c r="N14" s="35">
        <f t="shared" si="2"/>
        <v>0</v>
      </c>
      <c r="O14" s="2"/>
      <c r="P14" s="25" t="s">
        <v>36</v>
      </c>
      <c r="Q14" s="26">
        <f>N26+N27+N28+N29</f>
        <v>0</v>
      </c>
      <c r="R14" s="29"/>
      <c r="S14" s="28">
        <f>Q14-R14</f>
        <v>0</v>
      </c>
      <c r="T14" s="29"/>
      <c r="U14" s="30"/>
    </row>
    <row r="15" spans="2:21">
      <c r="B15" s="32">
        <v>14</v>
      </c>
      <c r="C15" s="28" t="s">
        <v>37</v>
      </c>
      <c r="D15" s="28">
        <v>2.5</v>
      </c>
      <c r="E15" s="58"/>
      <c r="F15" s="34">
        <f t="shared" si="5"/>
        <v>0</v>
      </c>
      <c r="G15" s="35">
        <f t="shared" si="6"/>
        <v>0</v>
      </c>
      <c r="H15" s="45"/>
      <c r="I15" s="32">
        <v>15</v>
      </c>
      <c r="J15" s="28" t="s">
        <v>31</v>
      </c>
      <c r="K15" s="28">
        <v>2.4</v>
      </c>
      <c r="L15" s="34"/>
      <c r="M15" s="34">
        <f t="shared" si="1"/>
        <v>0</v>
      </c>
      <c r="N15" s="35">
        <f t="shared" si="2"/>
        <v>0</v>
      </c>
      <c r="O15" s="2"/>
      <c r="P15" s="59" t="s">
        <v>15</v>
      </c>
      <c r="Q15" s="26">
        <f>G4</f>
        <v>0</v>
      </c>
      <c r="R15" s="29"/>
      <c r="S15" s="28">
        <f t="shared" ref="S15:S18" si="7">Q15-R15</f>
        <v>0</v>
      </c>
      <c r="T15" s="29"/>
      <c r="U15" s="38"/>
    </row>
    <row r="16" spans="2:21">
      <c r="B16" s="32">
        <v>15</v>
      </c>
      <c r="C16" s="28" t="s">
        <v>37</v>
      </c>
      <c r="D16" s="28">
        <v>2.7</v>
      </c>
      <c r="E16" s="60"/>
      <c r="F16" s="34">
        <f t="shared" si="5"/>
        <v>0</v>
      </c>
      <c r="G16" s="35">
        <f t="shared" si="6"/>
        <v>0</v>
      </c>
      <c r="H16" s="45"/>
      <c r="I16" s="32">
        <v>16</v>
      </c>
      <c r="J16" s="28" t="s">
        <v>38</v>
      </c>
      <c r="K16" s="28">
        <v>2.5</v>
      </c>
      <c r="L16" s="34"/>
      <c r="M16" s="34">
        <f t="shared" si="1"/>
        <v>0</v>
      </c>
      <c r="N16" s="35">
        <f>M16*18</f>
        <v>0</v>
      </c>
      <c r="O16" s="2"/>
      <c r="P16" s="25" t="s">
        <v>19</v>
      </c>
      <c r="Q16" s="26">
        <f>G5</f>
        <v>0</v>
      </c>
      <c r="R16" s="27"/>
      <c r="S16" s="28">
        <f t="shared" si="7"/>
        <v>0</v>
      </c>
      <c r="T16" s="29"/>
      <c r="U16" s="38"/>
    </row>
    <row r="17" spans="2:21">
      <c r="B17" s="32">
        <v>16</v>
      </c>
      <c r="C17" s="28" t="s">
        <v>39</v>
      </c>
      <c r="D17" s="28">
        <v>2.9</v>
      </c>
      <c r="E17" s="60"/>
      <c r="F17" s="34">
        <f t="shared" si="5"/>
        <v>0</v>
      </c>
      <c r="G17" s="35">
        <f t="shared" si="6"/>
        <v>0</v>
      </c>
      <c r="H17" s="45"/>
      <c r="I17" s="32">
        <v>17</v>
      </c>
      <c r="J17" s="28" t="s">
        <v>38</v>
      </c>
      <c r="K17" s="28">
        <v>2.6</v>
      </c>
      <c r="L17" s="34"/>
      <c r="M17" s="34">
        <f t="shared" si="1"/>
        <v>0</v>
      </c>
      <c r="N17" s="35">
        <f>M17*18</f>
        <v>0</v>
      </c>
      <c r="O17" s="2"/>
      <c r="P17" s="25" t="s">
        <v>22</v>
      </c>
      <c r="Q17" s="26">
        <f>G6</f>
        <v>0</v>
      </c>
      <c r="R17" s="27"/>
      <c r="S17" s="28">
        <f t="shared" si="7"/>
        <v>0</v>
      </c>
      <c r="T17" s="29"/>
      <c r="U17" s="38"/>
    </row>
    <row r="18" spans="2:21">
      <c r="B18" s="32">
        <v>17</v>
      </c>
      <c r="C18" s="28" t="s">
        <v>39</v>
      </c>
      <c r="D18" s="28">
        <v>2.9</v>
      </c>
      <c r="E18" s="60"/>
      <c r="F18" s="34">
        <f t="shared" si="5"/>
        <v>0</v>
      </c>
      <c r="G18" s="35">
        <f t="shared" si="6"/>
        <v>0</v>
      </c>
      <c r="H18" s="45"/>
      <c r="I18" s="32">
        <v>18</v>
      </c>
      <c r="J18" s="28" t="s">
        <v>38</v>
      </c>
      <c r="K18" s="28">
        <v>2.7</v>
      </c>
      <c r="L18" s="34"/>
      <c r="M18" s="34">
        <f t="shared" si="1"/>
        <v>0</v>
      </c>
      <c r="N18" s="35">
        <f>M18*18</f>
        <v>0</v>
      </c>
      <c r="O18" s="2"/>
      <c r="P18" s="25" t="s">
        <v>40</v>
      </c>
      <c r="Q18" s="26">
        <f>G7+G8+G11+G12+N8+N9+N10</f>
        <v>0</v>
      </c>
      <c r="R18" s="27"/>
      <c r="S18" s="28">
        <f t="shared" si="7"/>
        <v>0</v>
      </c>
      <c r="T18" s="29"/>
      <c r="U18" s="30"/>
    </row>
    <row r="19" spans="2:21">
      <c r="B19" s="32">
        <v>18</v>
      </c>
      <c r="C19" s="28" t="s">
        <v>39</v>
      </c>
      <c r="D19" s="28">
        <v>3.1</v>
      </c>
      <c r="E19" s="60"/>
      <c r="F19" s="34">
        <f>D19*E19</f>
        <v>0</v>
      </c>
      <c r="G19" s="35">
        <f t="shared" si="6"/>
        <v>0</v>
      </c>
      <c r="H19" s="45"/>
      <c r="I19" s="32">
        <v>19</v>
      </c>
      <c r="J19" s="28" t="s">
        <v>41</v>
      </c>
      <c r="K19" s="28">
        <v>2.8</v>
      </c>
      <c r="L19" s="34"/>
      <c r="M19" s="34">
        <f>L19*K19</f>
        <v>0</v>
      </c>
      <c r="N19" s="35">
        <f>M19*9</f>
        <v>0</v>
      </c>
      <c r="O19" s="2"/>
      <c r="P19" s="25" t="s">
        <v>42</v>
      </c>
      <c r="Q19" s="26">
        <f>G13+G14</f>
        <v>0</v>
      </c>
      <c r="R19" s="29"/>
      <c r="S19" s="28">
        <f t="shared" si="4"/>
        <v>0</v>
      </c>
      <c r="T19" s="29"/>
      <c r="U19" s="30"/>
    </row>
    <row r="20" spans="2:21">
      <c r="B20" s="32">
        <v>19</v>
      </c>
      <c r="C20" s="28" t="s">
        <v>43</v>
      </c>
      <c r="D20" s="28">
        <v>3.1</v>
      </c>
      <c r="E20" s="60"/>
      <c r="F20" s="34">
        <f>D20*E20</f>
        <v>0</v>
      </c>
      <c r="G20" s="35">
        <f t="shared" si="6"/>
        <v>0</v>
      </c>
      <c r="H20" s="45"/>
      <c r="I20" s="32">
        <v>20</v>
      </c>
      <c r="J20" s="28" t="s">
        <v>41</v>
      </c>
      <c r="K20" s="28">
        <v>2.9</v>
      </c>
      <c r="L20" s="34"/>
      <c r="M20" s="34">
        <f t="shared" si="1"/>
        <v>0</v>
      </c>
      <c r="N20" s="35">
        <f>M20*18</f>
        <v>0</v>
      </c>
      <c r="O20" s="2"/>
      <c r="P20" s="25" t="s">
        <v>44</v>
      </c>
      <c r="Q20" s="26">
        <f>G15+G16</f>
        <v>0</v>
      </c>
      <c r="R20" s="27"/>
      <c r="S20" s="28">
        <f>Q20-R20</f>
        <v>0</v>
      </c>
      <c r="T20" s="29"/>
      <c r="U20" s="30" t="s">
        <v>45</v>
      </c>
    </row>
    <row r="21" spans="2:21">
      <c r="B21" s="32">
        <v>20</v>
      </c>
      <c r="C21" s="28" t="s">
        <v>43</v>
      </c>
      <c r="D21" s="28">
        <v>3.1</v>
      </c>
      <c r="E21" s="60"/>
      <c r="F21" s="34">
        <f>D21*E21</f>
        <v>0</v>
      </c>
      <c r="G21" s="35">
        <f t="shared" si="6"/>
        <v>0</v>
      </c>
      <c r="H21" s="45"/>
      <c r="I21" s="32">
        <v>21</v>
      </c>
      <c r="J21" s="28" t="s">
        <v>41</v>
      </c>
      <c r="K21" s="28">
        <v>2.9</v>
      </c>
      <c r="L21" s="34"/>
      <c r="M21" s="34">
        <f t="shared" si="1"/>
        <v>0</v>
      </c>
      <c r="N21" s="35">
        <f>M21*18</f>
        <v>0</v>
      </c>
      <c r="O21" s="2"/>
      <c r="P21" s="25" t="s">
        <v>46</v>
      </c>
      <c r="Q21" s="26">
        <f>G17+G18+G19</f>
        <v>0</v>
      </c>
      <c r="R21" s="27"/>
      <c r="S21" s="28">
        <f t="shared" si="4"/>
        <v>0</v>
      </c>
      <c r="T21" s="29"/>
      <c r="U21" s="30"/>
    </row>
    <row r="22" spans="2:21" ht="15.75" thickBot="1">
      <c r="B22" s="32">
        <v>21</v>
      </c>
      <c r="C22" s="28" t="s">
        <v>43</v>
      </c>
      <c r="D22" s="28">
        <v>3.1</v>
      </c>
      <c r="E22" s="60"/>
      <c r="F22" s="34">
        <f>D22*E22</f>
        <v>0</v>
      </c>
      <c r="G22" s="35">
        <f t="shared" si="6"/>
        <v>0</v>
      </c>
      <c r="H22" s="45"/>
      <c r="I22" s="32">
        <v>22</v>
      </c>
      <c r="J22" s="28" t="s">
        <v>47</v>
      </c>
      <c r="K22" s="28">
        <v>3</v>
      </c>
      <c r="L22" s="34"/>
      <c r="M22" s="34">
        <f t="shared" si="1"/>
        <v>0</v>
      </c>
      <c r="N22" s="35">
        <f>M22*9</f>
        <v>0</v>
      </c>
      <c r="O22" s="2"/>
      <c r="P22" s="61" t="s">
        <v>43</v>
      </c>
      <c r="Q22" s="62">
        <f>G20+G21+G22+G23</f>
        <v>0</v>
      </c>
      <c r="R22" s="63"/>
      <c r="S22" s="64">
        <f t="shared" si="4"/>
        <v>0</v>
      </c>
      <c r="T22" s="65"/>
      <c r="U22" s="66"/>
    </row>
    <row r="23" spans="2:21" ht="16.5" thickTop="1" thickBot="1">
      <c r="B23" s="67">
        <v>22</v>
      </c>
      <c r="C23" s="68" t="s">
        <v>43</v>
      </c>
      <c r="D23" s="68">
        <v>3.1</v>
      </c>
      <c r="E23" s="69"/>
      <c r="F23" s="70">
        <f>D23*E23</f>
        <v>0</v>
      </c>
      <c r="G23" s="71">
        <f t="shared" si="6"/>
        <v>0</v>
      </c>
      <c r="H23" s="45"/>
      <c r="I23" s="32">
        <v>23</v>
      </c>
      <c r="J23" s="72" t="s">
        <v>47</v>
      </c>
      <c r="K23" s="73">
        <v>3</v>
      </c>
      <c r="L23" s="74"/>
      <c r="M23" s="34">
        <f t="shared" si="1"/>
        <v>0</v>
      </c>
      <c r="N23" s="35">
        <f>M23*9</f>
        <v>0</v>
      </c>
      <c r="O23" s="2"/>
      <c r="P23" s="75"/>
      <c r="Q23" s="76"/>
      <c r="R23" s="76"/>
      <c r="S23" s="77"/>
      <c r="T23" s="77"/>
      <c r="U23" s="78"/>
    </row>
    <row r="24" spans="2:21" ht="15.75" thickBot="1">
      <c r="B24" s="2"/>
      <c r="C24" s="2"/>
      <c r="D24" s="2"/>
      <c r="E24" s="79"/>
      <c r="F24" s="2"/>
      <c r="G24" s="2"/>
      <c r="H24" s="45"/>
      <c r="I24" s="32">
        <v>24</v>
      </c>
      <c r="J24" s="73" t="s">
        <v>47</v>
      </c>
      <c r="K24" s="73">
        <v>3.1</v>
      </c>
      <c r="L24" s="74"/>
      <c r="M24" s="34">
        <f t="shared" si="1"/>
        <v>0</v>
      </c>
      <c r="N24" s="35">
        <f>M24*9</f>
        <v>0</v>
      </c>
      <c r="O24" s="2"/>
      <c r="P24" s="80"/>
      <c r="Q24" s="9"/>
      <c r="R24" s="9"/>
      <c r="S24" s="9"/>
      <c r="T24" s="9"/>
      <c r="U24" s="2"/>
    </row>
    <row r="25" spans="2:21" ht="15.75" thickBot="1">
      <c r="B25" s="95" t="s">
        <v>48</v>
      </c>
      <c r="C25" s="2"/>
      <c r="D25" s="2"/>
      <c r="E25" s="2"/>
      <c r="F25" s="2"/>
      <c r="G25" s="2"/>
      <c r="H25" s="45"/>
      <c r="I25" s="32">
        <v>25</v>
      </c>
      <c r="J25" s="73" t="s">
        <v>49</v>
      </c>
      <c r="K25" s="73">
        <v>3.1</v>
      </c>
      <c r="L25" s="74"/>
      <c r="M25" s="34">
        <f t="shared" si="1"/>
        <v>0</v>
      </c>
      <c r="N25" s="35">
        <f t="shared" si="2"/>
        <v>0</v>
      </c>
      <c r="O25" s="2"/>
      <c r="P25" s="81" t="s">
        <v>50</v>
      </c>
      <c r="Q25" s="82" t="s">
        <v>9</v>
      </c>
      <c r="R25" s="82" t="s">
        <v>10</v>
      </c>
      <c r="S25" s="82" t="s">
        <v>11</v>
      </c>
      <c r="T25" s="82"/>
      <c r="U25" s="83" t="s">
        <v>13</v>
      </c>
    </row>
    <row r="26" spans="2:21" ht="16.5" thickBot="1">
      <c r="B26" s="117" t="s">
        <v>3</v>
      </c>
      <c r="C26" s="118" t="s">
        <v>4</v>
      </c>
      <c r="D26" s="118" t="s">
        <v>5</v>
      </c>
      <c r="E26" s="118" t="s">
        <v>6</v>
      </c>
      <c r="F26" s="118" t="s">
        <v>7</v>
      </c>
      <c r="G26" s="119" t="s">
        <v>51</v>
      </c>
      <c r="H26" s="45"/>
      <c r="I26" s="32">
        <v>26</v>
      </c>
      <c r="J26" s="73" t="s">
        <v>52</v>
      </c>
      <c r="K26" s="73">
        <v>3.1</v>
      </c>
      <c r="L26" s="74"/>
      <c r="M26" s="34">
        <f t="shared" si="1"/>
        <v>0</v>
      </c>
      <c r="N26" s="35">
        <f t="shared" si="2"/>
        <v>0</v>
      </c>
      <c r="O26" s="2"/>
      <c r="P26" s="84" t="s">
        <v>53</v>
      </c>
      <c r="Q26" s="15"/>
      <c r="R26" s="15"/>
      <c r="S26" s="15">
        <f>Q26-R26</f>
        <v>0</v>
      </c>
      <c r="T26" s="15"/>
      <c r="U26" s="19"/>
    </row>
    <row r="27" spans="2:21" ht="15.75" thickBot="1">
      <c r="B27" s="120" t="s">
        <v>54</v>
      </c>
      <c r="C27" s="28" t="s">
        <v>54</v>
      </c>
      <c r="D27" s="28">
        <v>2.6</v>
      </c>
      <c r="E27" s="29"/>
      <c r="F27" s="34">
        <f>E27*D27</f>
        <v>0</v>
      </c>
      <c r="G27" s="35">
        <f>F27*10</f>
        <v>0</v>
      </c>
      <c r="H27" s="45"/>
      <c r="I27" s="32">
        <v>27</v>
      </c>
      <c r="J27" s="73" t="s">
        <v>49</v>
      </c>
      <c r="K27" s="73">
        <v>3.3</v>
      </c>
      <c r="L27" s="74"/>
      <c r="M27" s="34">
        <f t="shared" si="1"/>
        <v>0</v>
      </c>
      <c r="N27" s="35">
        <f t="shared" si="2"/>
        <v>0</v>
      </c>
      <c r="O27" s="2"/>
      <c r="P27" s="85" t="s">
        <v>55</v>
      </c>
      <c r="Q27" s="28"/>
      <c r="R27" s="27"/>
      <c r="S27" s="15">
        <f t="shared" ref="S27:S29" si="8">Q27-R27</f>
        <v>0</v>
      </c>
      <c r="T27" s="23"/>
      <c r="U27" s="24"/>
    </row>
    <row r="28" spans="2:21" ht="15.75" thickBot="1">
      <c r="B28" s="120" t="s">
        <v>56</v>
      </c>
      <c r="C28" s="28" t="s">
        <v>56</v>
      </c>
      <c r="D28" s="28">
        <v>2.5</v>
      </c>
      <c r="E28" s="29"/>
      <c r="F28" s="34">
        <f>E28*D28</f>
        <v>0</v>
      </c>
      <c r="G28" s="35">
        <f t="shared" ref="G28" si="9">F28*10</f>
        <v>0</v>
      </c>
      <c r="H28" s="45"/>
      <c r="I28" s="32">
        <v>28</v>
      </c>
      <c r="J28" s="73" t="s">
        <v>49</v>
      </c>
      <c r="K28" s="73">
        <v>3.3</v>
      </c>
      <c r="L28" s="74"/>
      <c r="M28" s="34">
        <f t="shared" si="1"/>
        <v>0</v>
      </c>
      <c r="N28" s="35">
        <f t="shared" si="2"/>
        <v>0</v>
      </c>
      <c r="O28" s="2"/>
      <c r="P28" s="86" t="s">
        <v>57</v>
      </c>
      <c r="Q28" s="28">
        <f>G29</f>
        <v>0</v>
      </c>
      <c r="R28" s="28"/>
      <c r="S28" s="15">
        <f t="shared" si="8"/>
        <v>0</v>
      </c>
      <c r="T28" s="9"/>
      <c r="U28" s="35"/>
    </row>
    <row r="29" spans="2:21" ht="15.75" thickBot="1">
      <c r="B29" s="121" t="s">
        <v>58</v>
      </c>
      <c r="C29" s="64" t="s">
        <v>59</v>
      </c>
      <c r="D29" s="64">
        <v>2.5</v>
      </c>
      <c r="E29" s="65"/>
      <c r="F29" s="87">
        <f>E29*D29</f>
        <v>0</v>
      </c>
      <c r="G29" s="122">
        <f>F29*5</f>
        <v>0</v>
      </c>
      <c r="H29" s="45"/>
      <c r="I29" s="32">
        <v>29</v>
      </c>
      <c r="J29" s="73" t="s">
        <v>52</v>
      </c>
      <c r="K29" s="73">
        <v>6</v>
      </c>
      <c r="L29" s="74"/>
      <c r="M29" s="34">
        <f t="shared" si="1"/>
        <v>0</v>
      </c>
      <c r="N29" s="35">
        <f t="shared" si="2"/>
        <v>0</v>
      </c>
      <c r="O29" s="2"/>
      <c r="P29" s="88" t="s">
        <v>60</v>
      </c>
      <c r="Q29" s="68"/>
      <c r="R29" s="89"/>
      <c r="S29" s="15">
        <f t="shared" si="8"/>
        <v>0</v>
      </c>
      <c r="T29" s="28"/>
      <c r="U29" s="71"/>
    </row>
    <row r="30" spans="2:21" ht="15.75" thickBot="1">
      <c r="B30" s="123" t="s">
        <v>61</v>
      </c>
      <c r="C30" s="68" t="s">
        <v>28</v>
      </c>
      <c r="D30" s="68">
        <v>2.6</v>
      </c>
      <c r="E30" s="116"/>
      <c r="F30" s="70">
        <f>E30*D30</f>
        <v>0</v>
      </c>
      <c r="G30" s="71">
        <f>F30*5</f>
        <v>0</v>
      </c>
      <c r="H30" s="2"/>
      <c r="I30" s="67" t="s">
        <v>62</v>
      </c>
      <c r="J30" s="90" t="s">
        <v>49</v>
      </c>
      <c r="K30" s="90">
        <v>6</v>
      </c>
      <c r="L30" s="89"/>
      <c r="M30" s="70">
        <f t="shared" si="1"/>
        <v>0</v>
      </c>
      <c r="N30" s="71">
        <f t="shared" si="2"/>
        <v>0</v>
      </c>
      <c r="O30" s="2"/>
      <c r="P30" s="91" t="s">
        <v>7</v>
      </c>
      <c r="Q30" s="92">
        <f>SUM(Q4:Q29)</f>
        <v>0</v>
      </c>
      <c r="R30" s="92">
        <f>SUM(R4:R29)</f>
        <v>0</v>
      </c>
      <c r="S30" s="92">
        <f>SUM(S4:S29)</f>
        <v>0</v>
      </c>
      <c r="T30" s="92">
        <f>SUM(T4:T29)</f>
        <v>0</v>
      </c>
      <c r="U30" s="93"/>
    </row>
    <row r="31" spans="2:21">
      <c r="B31" s="94"/>
      <c r="C31" s="9"/>
      <c r="D31" s="9"/>
      <c r="E31" s="9"/>
      <c r="F31" s="2"/>
      <c r="G31" s="2"/>
      <c r="H31" s="45" t="s">
        <v>63</v>
      </c>
      <c r="I31" s="2"/>
      <c r="J31" s="2"/>
      <c r="K31" s="2"/>
      <c r="L31" s="2"/>
      <c r="M31" s="2"/>
      <c r="N31" s="2"/>
      <c r="O31" s="2"/>
      <c r="P31" s="2"/>
      <c r="Q31" s="95" t="s">
        <v>64</v>
      </c>
      <c r="R31" s="2" t="s">
        <v>65</v>
      </c>
      <c r="S31" s="2"/>
      <c r="T31" s="2"/>
      <c r="U31" s="2"/>
    </row>
    <row r="32" spans="2:21" ht="15.75" thickBot="1">
      <c r="B32" s="95" t="s">
        <v>66</v>
      </c>
      <c r="C32" s="2"/>
      <c r="D32" s="2"/>
      <c r="E32" s="2"/>
      <c r="F32" s="2"/>
      <c r="G32" s="2"/>
      <c r="H32" s="45"/>
      <c r="I32" s="2"/>
      <c r="J32" s="2"/>
      <c r="K32" s="2"/>
      <c r="L32" s="2"/>
      <c r="M32" s="2"/>
      <c r="N32" s="2"/>
      <c r="O32" s="2"/>
      <c r="P32" s="95"/>
      <c r="Q32" s="2"/>
      <c r="R32" s="9"/>
      <c r="S32" s="2"/>
      <c r="T32" s="2"/>
      <c r="U32" s="2"/>
    </row>
    <row r="33" spans="2:21" ht="16.5" thickBot="1">
      <c r="B33" s="96" t="s">
        <v>3</v>
      </c>
      <c r="C33" s="97" t="s">
        <v>4</v>
      </c>
      <c r="D33" s="7" t="s">
        <v>5</v>
      </c>
      <c r="E33" s="7" t="s">
        <v>6</v>
      </c>
      <c r="F33" s="7" t="s">
        <v>7</v>
      </c>
      <c r="G33" s="8" t="s">
        <v>67</v>
      </c>
      <c r="H33" s="45"/>
      <c r="I33" s="2"/>
      <c r="J33" s="2"/>
      <c r="K33" s="2"/>
      <c r="L33" s="2"/>
      <c r="M33" s="2"/>
      <c r="N33" s="2"/>
      <c r="O33" s="2"/>
      <c r="P33" s="95"/>
      <c r="Q33" s="2"/>
      <c r="R33" s="2"/>
      <c r="S33" s="2"/>
      <c r="T33" s="2"/>
      <c r="U33" s="2"/>
    </row>
    <row r="34" spans="2:21">
      <c r="B34" s="98" t="s">
        <v>54</v>
      </c>
      <c r="C34" s="99" t="s">
        <v>68</v>
      </c>
      <c r="D34" s="100">
        <v>5</v>
      </c>
      <c r="E34" s="101"/>
      <c r="F34" s="21">
        <f>E34*D34</f>
        <v>0</v>
      </c>
      <c r="G34" s="102">
        <f>F34*16</f>
        <v>0</v>
      </c>
      <c r="H34" s="45"/>
      <c r="I34" s="2"/>
      <c r="J34" s="2"/>
      <c r="K34" s="2"/>
      <c r="L34" s="2"/>
      <c r="M34" s="2"/>
      <c r="N34" s="2"/>
      <c r="O34" s="2"/>
      <c r="P34" s="95"/>
      <c r="Q34" s="2"/>
      <c r="R34" s="2"/>
      <c r="S34" s="2"/>
      <c r="T34" s="2"/>
      <c r="U34" s="2"/>
    </row>
    <row r="35" spans="2:21" ht="15.75" thickBot="1">
      <c r="B35" s="103" t="s">
        <v>54</v>
      </c>
      <c r="C35" s="104" t="s">
        <v>69</v>
      </c>
      <c r="D35" s="105">
        <v>4</v>
      </c>
      <c r="E35" s="68"/>
      <c r="F35" s="68">
        <f>E35*D35</f>
        <v>0</v>
      </c>
      <c r="G35" s="106">
        <f>F35*8</f>
        <v>0</v>
      </c>
      <c r="H35" s="45"/>
      <c r="I35" s="2"/>
      <c r="J35" s="2"/>
      <c r="K35" s="2"/>
      <c r="L35" s="2"/>
      <c r="M35" s="2"/>
      <c r="N35" s="2"/>
      <c r="O35" s="2"/>
      <c r="P35" s="95"/>
      <c r="Q35" s="2"/>
      <c r="R35" s="2"/>
      <c r="S35" s="2"/>
      <c r="T35" s="2"/>
      <c r="U35" s="2"/>
    </row>
    <row r="36" spans="2:21">
      <c r="B36" s="2"/>
      <c r="C36" s="9"/>
      <c r="D36" s="2"/>
      <c r="E36" s="2"/>
      <c r="F36" s="2"/>
      <c r="G36" s="2"/>
      <c r="H36" s="4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 ht="15.75" thickBot="1">
      <c r="B37" s="95" t="s">
        <v>70</v>
      </c>
      <c r="C37" s="2"/>
      <c r="D37" s="2"/>
      <c r="E37" s="2"/>
      <c r="F37" s="2"/>
      <c r="G37" s="2"/>
      <c r="H37" s="4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 ht="16.5" thickBot="1">
      <c r="B38" s="96" t="s">
        <v>3</v>
      </c>
      <c r="C38" s="107" t="s">
        <v>4</v>
      </c>
      <c r="D38" s="97" t="s">
        <v>5</v>
      </c>
      <c r="E38" s="7" t="s">
        <v>6</v>
      </c>
      <c r="F38" s="7" t="s">
        <v>7</v>
      </c>
      <c r="G38" s="8" t="s">
        <v>51</v>
      </c>
      <c r="H38" s="4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 ht="15.75">
      <c r="B39" s="98" t="s">
        <v>71</v>
      </c>
      <c r="C39" s="108" t="s">
        <v>72</v>
      </c>
      <c r="D39" s="109">
        <v>0.35</v>
      </c>
      <c r="E39" s="110"/>
      <c r="F39" s="23">
        <f t="shared" ref="F39:F41" si="10">E39*D39</f>
        <v>0</v>
      </c>
      <c r="G39" s="24">
        <f>F39*10</f>
        <v>0</v>
      </c>
      <c r="H39" s="4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>
      <c r="B40" s="111" t="s">
        <v>73</v>
      </c>
      <c r="C40" s="112" t="s">
        <v>74</v>
      </c>
      <c r="D40" s="26">
        <v>8</v>
      </c>
      <c r="E40" s="29"/>
      <c r="F40" s="34">
        <f t="shared" si="10"/>
        <v>0</v>
      </c>
      <c r="G40" s="35">
        <f>F40*10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 ht="15.75" thickBot="1">
      <c r="B41" s="113" t="s">
        <v>1</v>
      </c>
      <c r="C41" s="114" t="s">
        <v>75</v>
      </c>
      <c r="D41" s="115">
        <v>8</v>
      </c>
      <c r="E41" s="116"/>
      <c r="F41" s="70">
        <f t="shared" si="10"/>
        <v>0</v>
      </c>
      <c r="G41" s="71">
        <f>F41*10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C310-CA5F-41E4-A790-7C30AD52DA18}">
  <dimension ref="B1:U42"/>
  <sheetViews>
    <sheetView tabSelected="1" workbookViewId="0">
      <selection activeCell="C4" sqref="C4"/>
    </sheetView>
  </sheetViews>
  <sheetFormatPr defaultRowHeight="15"/>
  <cols>
    <col min="2" max="2" width="14.85546875" customWidth="1"/>
    <col min="16" max="16" width="16" customWidth="1"/>
  </cols>
  <sheetData>
    <row r="1" spans="2:21" ht="15.75" thickBot="1"/>
    <row r="2" spans="2:21" ht="17.25" thickTop="1" thickBot="1">
      <c r="B2" s="1" t="s">
        <v>0</v>
      </c>
      <c r="C2" s="2"/>
      <c r="D2" s="2"/>
      <c r="E2" s="2"/>
      <c r="F2" s="2"/>
      <c r="G2" s="2"/>
      <c r="H2" s="2"/>
      <c r="I2" s="3" t="s">
        <v>1</v>
      </c>
      <c r="J2" s="2"/>
      <c r="K2" s="2"/>
      <c r="L2" s="2"/>
      <c r="M2" s="2"/>
      <c r="N2" s="2"/>
      <c r="O2" s="2"/>
      <c r="P2" s="4" t="s">
        <v>2</v>
      </c>
      <c r="Q2" s="5"/>
      <c r="R2" s="2"/>
      <c r="S2" s="2"/>
      <c r="T2" s="2"/>
      <c r="U2" s="2"/>
    </row>
    <row r="3" spans="2:21" ht="17.25" thickTop="1" thickBot="1"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9"/>
      <c r="I3" s="6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8" t="s">
        <v>8</v>
      </c>
      <c r="O3" s="2"/>
      <c r="P3" s="10" t="s">
        <v>4</v>
      </c>
      <c r="Q3" s="11" t="s">
        <v>9</v>
      </c>
      <c r="R3" s="12" t="s">
        <v>10</v>
      </c>
      <c r="S3" s="12" t="s">
        <v>11</v>
      </c>
      <c r="T3" s="12" t="s">
        <v>12</v>
      </c>
      <c r="U3" s="13" t="s">
        <v>13</v>
      </c>
    </row>
    <row r="4" spans="2:21" ht="15.75">
      <c r="B4" s="14" t="s">
        <v>14</v>
      </c>
      <c r="C4" s="15" t="s">
        <v>15</v>
      </c>
      <c r="D4" s="16">
        <v>0.1</v>
      </c>
      <c r="E4" s="17"/>
      <c r="F4" s="18">
        <f>E4*D4</f>
        <v>0</v>
      </c>
      <c r="G4" s="19">
        <f>F4*9</f>
        <v>0</v>
      </c>
      <c r="H4" s="9"/>
      <c r="I4" s="20">
        <v>4</v>
      </c>
      <c r="J4" s="21" t="s">
        <v>16</v>
      </c>
      <c r="K4" s="21">
        <v>0.35</v>
      </c>
      <c r="L4" s="22"/>
      <c r="M4" s="23">
        <f>L4*K4</f>
        <v>0</v>
      </c>
      <c r="N4" s="24">
        <f>M4*9</f>
        <v>0</v>
      </c>
      <c r="O4" s="2"/>
      <c r="P4" s="25" t="s">
        <v>17</v>
      </c>
      <c r="Q4" s="26">
        <f>G27</f>
        <v>0</v>
      </c>
      <c r="R4" s="27"/>
      <c r="S4" s="28">
        <f t="shared" ref="S4:S5" si="0">Q4-R4</f>
        <v>0</v>
      </c>
      <c r="T4" s="29"/>
      <c r="U4" s="30"/>
    </row>
    <row r="5" spans="2:21">
      <c r="B5" s="20" t="s">
        <v>18</v>
      </c>
      <c r="C5" s="28" t="s">
        <v>19</v>
      </c>
      <c r="D5" s="21">
        <v>4</v>
      </c>
      <c r="E5" s="31"/>
      <c r="F5" s="23">
        <f>E5*D5</f>
        <v>0</v>
      </c>
      <c r="G5" s="24">
        <f>F5</f>
        <v>0</v>
      </c>
      <c r="H5" s="9"/>
      <c r="I5" s="32">
        <v>5</v>
      </c>
      <c r="J5" s="28" t="s">
        <v>16</v>
      </c>
      <c r="K5" s="28">
        <v>0.45</v>
      </c>
      <c r="L5" s="33"/>
      <c r="M5" s="34">
        <f t="shared" ref="M5:M30" si="1">L5*K5</f>
        <v>0</v>
      </c>
      <c r="N5" s="35">
        <f t="shared" ref="N5:N30" si="2">M5*9</f>
        <v>0</v>
      </c>
      <c r="O5" s="2"/>
      <c r="P5" s="25" t="s">
        <v>20</v>
      </c>
      <c r="Q5" s="26">
        <f>G28</f>
        <v>0</v>
      </c>
      <c r="R5" s="27"/>
      <c r="S5" s="28">
        <f t="shared" si="0"/>
        <v>0</v>
      </c>
      <c r="T5" s="29"/>
      <c r="U5" s="30"/>
    </row>
    <row r="6" spans="2:21">
      <c r="B6" s="20" t="s">
        <v>21</v>
      </c>
      <c r="C6" s="28" t="s">
        <v>22</v>
      </c>
      <c r="D6" s="28">
        <v>13</v>
      </c>
      <c r="E6" s="31"/>
      <c r="F6" s="34">
        <f>E6*D6</f>
        <v>0</v>
      </c>
      <c r="G6" s="35">
        <f>F6</f>
        <v>0</v>
      </c>
      <c r="H6" s="9"/>
      <c r="I6" s="32">
        <v>6</v>
      </c>
      <c r="J6" s="28" t="s">
        <v>22</v>
      </c>
      <c r="K6" s="28">
        <v>0.9</v>
      </c>
      <c r="L6" s="33"/>
      <c r="M6" s="34">
        <f t="shared" si="1"/>
        <v>0</v>
      </c>
      <c r="N6" s="35">
        <f t="shared" si="2"/>
        <v>0</v>
      </c>
      <c r="O6" s="2"/>
      <c r="P6" s="25" t="s">
        <v>23</v>
      </c>
      <c r="Q6" s="26">
        <f>G34+N30</f>
        <v>0</v>
      </c>
      <c r="R6" s="27"/>
      <c r="S6" s="28">
        <f>Q6-R6</f>
        <v>0</v>
      </c>
      <c r="T6" s="29"/>
      <c r="U6" s="30"/>
    </row>
    <row r="7" spans="2:21">
      <c r="B7" s="32">
        <v>8</v>
      </c>
      <c r="C7" s="28" t="s">
        <v>24</v>
      </c>
      <c r="D7" s="28">
        <v>1.3</v>
      </c>
      <c r="E7" s="36"/>
      <c r="F7" s="34">
        <f t="shared" ref="F7:F8" si="3">E7*D7</f>
        <v>0</v>
      </c>
      <c r="G7" s="35">
        <f>F7*9</f>
        <v>0</v>
      </c>
      <c r="H7" s="9"/>
      <c r="I7" s="32">
        <v>7</v>
      </c>
      <c r="J7" s="28" t="s">
        <v>25</v>
      </c>
      <c r="K7" s="28">
        <v>1</v>
      </c>
      <c r="L7" s="33"/>
      <c r="M7" s="34">
        <f t="shared" si="1"/>
        <v>0</v>
      </c>
      <c r="N7" s="35">
        <f t="shared" si="2"/>
        <v>0</v>
      </c>
      <c r="O7" s="2"/>
      <c r="P7" s="37" t="s">
        <v>26</v>
      </c>
      <c r="Q7" s="26">
        <f>G41</f>
        <v>0</v>
      </c>
      <c r="R7" s="29"/>
      <c r="S7" s="28">
        <f>Q7-R7</f>
        <v>0</v>
      </c>
      <c r="T7" s="29"/>
      <c r="U7" s="38"/>
    </row>
    <row r="8" spans="2:21" ht="15.75" thickBot="1">
      <c r="B8" s="39">
        <v>9</v>
      </c>
      <c r="C8" s="40" t="s">
        <v>24</v>
      </c>
      <c r="D8" s="41">
        <v>1.3</v>
      </c>
      <c r="E8" s="42"/>
      <c r="F8" s="43">
        <f t="shared" si="3"/>
        <v>0</v>
      </c>
      <c r="G8" s="44">
        <f>F8*9</f>
        <v>0</v>
      </c>
      <c r="H8" s="45"/>
      <c r="I8" s="32">
        <v>8</v>
      </c>
      <c r="J8" s="28" t="s">
        <v>24</v>
      </c>
      <c r="K8" s="28">
        <v>1.6</v>
      </c>
      <c r="L8" s="33"/>
      <c r="M8" s="34">
        <f t="shared" si="1"/>
        <v>0</v>
      </c>
      <c r="N8" s="35">
        <f t="shared" si="2"/>
        <v>0</v>
      </c>
      <c r="O8" s="2"/>
      <c r="P8" s="37" t="s">
        <v>27</v>
      </c>
      <c r="Q8" s="26">
        <f>G40</f>
        <v>0</v>
      </c>
      <c r="R8" s="27"/>
      <c r="S8" s="28">
        <f t="shared" ref="S8:S22" si="4">Q8-R8</f>
        <v>0</v>
      </c>
      <c r="T8" s="29"/>
      <c r="U8" s="38"/>
    </row>
    <row r="9" spans="2:21" ht="15.75" thickBot="1">
      <c r="B9" s="46"/>
      <c r="C9" s="47"/>
      <c r="D9" s="48"/>
      <c r="E9" s="49"/>
      <c r="F9" s="50"/>
      <c r="G9" s="50"/>
      <c r="H9" s="45"/>
      <c r="I9" s="32">
        <v>9</v>
      </c>
      <c r="J9" s="28" t="s">
        <v>24</v>
      </c>
      <c r="K9" s="28">
        <v>1.6</v>
      </c>
      <c r="L9" s="33"/>
      <c r="M9" s="34">
        <f t="shared" si="1"/>
        <v>0</v>
      </c>
      <c r="N9" s="35">
        <f t="shared" si="2"/>
        <v>0</v>
      </c>
      <c r="O9" s="2"/>
      <c r="P9" s="25" t="s">
        <v>28</v>
      </c>
      <c r="Q9" s="26">
        <f>G30</f>
        <v>0</v>
      </c>
      <c r="R9" s="29"/>
      <c r="S9" s="28">
        <f t="shared" si="4"/>
        <v>0</v>
      </c>
      <c r="T9" s="29"/>
      <c r="U9" s="38"/>
    </row>
    <row r="10" spans="2:21" ht="15.75" thickBot="1">
      <c r="B10" s="51" t="s">
        <v>29</v>
      </c>
      <c r="C10" s="52"/>
      <c r="D10" s="52"/>
      <c r="E10" s="53"/>
      <c r="F10" s="54"/>
      <c r="G10" s="54"/>
      <c r="H10" s="55"/>
      <c r="I10" s="32">
        <v>10</v>
      </c>
      <c r="J10" s="28" t="s">
        <v>24</v>
      </c>
      <c r="K10" s="28">
        <v>1.6</v>
      </c>
      <c r="L10" s="33"/>
      <c r="M10" s="34">
        <f t="shared" si="1"/>
        <v>0</v>
      </c>
      <c r="N10" s="35">
        <f t="shared" si="2"/>
        <v>0</v>
      </c>
      <c r="O10" s="2"/>
      <c r="P10" s="25" t="s">
        <v>30</v>
      </c>
      <c r="Q10" s="26">
        <f>N11+N12+N13+N14+N15</f>
        <v>210.60000000000002</v>
      </c>
      <c r="R10" s="27">
        <v>1000</v>
      </c>
      <c r="S10" s="28">
        <f t="shared" si="4"/>
        <v>-789.4</v>
      </c>
      <c r="T10" s="29">
        <v>0</v>
      </c>
      <c r="U10" s="30"/>
    </row>
    <row r="11" spans="2:21">
      <c r="B11" s="32">
        <v>10</v>
      </c>
      <c r="C11" s="28" t="s">
        <v>24</v>
      </c>
      <c r="D11" s="28">
        <v>1.7</v>
      </c>
      <c r="E11" s="56"/>
      <c r="F11" s="34">
        <f t="shared" ref="F11:F18" si="5">E11*D11</f>
        <v>0</v>
      </c>
      <c r="G11" s="35">
        <f t="shared" ref="G11:G23" si="6">F11*9</f>
        <v>0</v>
      </c>
      <c r="H11" s="45"/>
      <c r="I11" s="32">
        <v>11</v>
      </c>
      <c r="J11" s="28" t="s">
        <v>31</v>
      </c>
      <c r="K11" s="28">
        <v>1.8</v>
      </c>
      <c r="L11" s="33">
        <v>13</v>
      </c>
      <c r="M11" s="34">
        <f t="shared" si="1"/>
        <v>23.400000000000002</v>
      </c>
      <c r="N11" s="35">
        <f t="shared" si="2"/>
        <v>210.60000000000002</v>
      </c>
      <c r="O11" s="2"/>
      <c r="P11" s="25" t="s">
        <v>32</v>
      </c>
      <c r="Q11" s="26">
        <f>N16+N17+N18+N19+N20+N21</f>
        <v>0</v>
      </c>
      <c r="R11" s="27"/>
      <c r="S11" s="28">
        <f t="shared" si="4"/>
        <v>0</v>
      </c>
      <c r="T11" s="29"/>
      <c r="U11" s="30"/>
    </row>
    <row r="12" spans="2:21">
      <c r="B12" s="32">
        <v>11</v>
      </c>
      <c r="C12" s="28" t="s">
        <v>24</v>
      </c>
      <c r="D12" s="28">
        <v>1.9</v>
      </c>
      <c r="E12" s="57"/>
      <c r="F12" s="34">
        <f t="shared" si="5"/>
        <v>0</v>
      </c>
      <c r="G12" s="35">
        <f t="shared" si="6"/>
        <v>0</v>
      </c>
      <c r="H12" s="45"/>
      <c r="I12" s="32">
        <v>12</v>
      </c>
      <c r="J12" s="28" t="s">
        <v>31</v>
      </c>
      <c r="K12" s="28">
        <v>1.9</v>
      </c>
      <c r="L12" s="34"/>
      <c r="M12" s="34">
        <f>L12*K12</f>
        <v>0</v>
      </c>
      <c r="N12" s="35">
        <f t="shared" si="2"/>
        <v>0</v>
      </c>
      <c r="O12" s="2"/>
      <c r="P12" s="25" t="s">
        <v>33</v>
      </c>
      <c r="Q12" s="26">
        <f>N22+N23</f>
        <v>0</v>
      </c>
      <c r="R12" s="29"/>
      <c r="S12" s="28">
        <f t="shared" si="4"/>
        <v>0</v>
      </c>
      <c r="T12" s="29"/>
      <c r="U12" s="30"/>
    </row>
    <row r="13" spans="2:21">
      <c r="B13" s="32">
        <v>12</v>
      </c>
      <c r="C13" s="28" t="s">
        <v>34</v>
      </c>
      <c r="D13" s="28">
        <v>2.1</v>
      </c>
      <c r="E13" s="57"/>
      <c r="F13" s="34">
        <f t="shared" si="5"/>
        <v>0</v>
      </c>
      <c r="G13" s="35">
        <f t="shared" si="6"/>
        <v>0</v>
      </c>
      <c r="H13" s="45"/>
      <c r="I13" s="32">
        <v>13</v>
      </c>
      <c r="J13" s="28" t="s">
        <v>31</v>
      </c>
      <c r="K13" s="28">
        <v>2.1</v>
      </c>
      <c r="L13" s="34"/>
      <c r="M13" s="34">
        <f t="shared" si="1"/>
        <v>0</v>
      </c>
      <c r="N13" s="35">
        <f t="shared" si="2"/>
        <v>0</v>
      </c>
      <c r="O13" s="2"/>
      <c r="P13" s="25" t="s">
        <v>35</v>
      </c>
      <c r="Q13" s="26">
        <f>N24+N25</f>
        <v>0</v>
      </c>
      <c r="R13" s="29"/>
      <c r="S13" s="28">
        <f>Q13-R13</f>
        <v>0</v>
      </c>
      <c r="T13" s="29"/>
      <c r="U13" s="30"/>
    </row>
    <row r="14" spans="2:21">
      <c r="B14" s="32">
        <v>13</v>
      </c>
      <c r="C14" s="28" t="s">
        <v>34</v>
      </c>
      <c r="D14" s="28">
        <v>2.2999999999999998</v>
      </c>
      <c r="E14" s="57"/>
      <c r="F14" s="34">
        <f t="shared" si="5"/>
        <v>0</v>
      </c>
      <c r="G14" s="35">
        <f t="shared" si="6"/>
        <v>0</v>
      </c>
      <c r="H14" s="45"/>
      <c r="I14" s="32">
        <v>14</v>
      </c>
      <c r="J14" s="28" t="s">
        <v>31</v>
      </c>
      <c r="K14" s="28">
        <v>2.2999999999999998</v>
      </c>
      <c r="L14" s="34"/>
      <c r="M14" s="34">
        <f t="shared" si="1"/>
        <v>0</v>
      </c>
      <c r="N14" s="35">
        <f t="shared" si="2"/>
        <v>0</v>
      </c>
      <c r="O14" s="2"/>
      <c r="P14" s="25" t="s">
        <v>36</v>
      </c>
      <c r="Q14" s="26">
        <f>N26+N27+N28+N29</f>
        <v>0</v>
      </c>
      <c r="R14" s="29"/>
      <c r="S14" s="28">
        <f>Q14-R14</f>
        <v>0</v>
      </c>
      <c r="T14" s="29"/>
      <c r="U14" s="30"/>
    </row>
    <row r="15" spans="2:21">
      <c r="B15" s="32">
        <v>14</v>
      </c>
      <c r="C15" s="28" t="s">
        <v>37</v>
      </c>
      <c r="D15" s="28">
        <v>2.5</v>
      </c>
      <c r="E15" s="58">
        <v>500</v>
      </c>
      <c r="F15" s="34">
        <f t="shared" si="5"/>
        <v>1250</v>
      </c>
      <c r="G15" s="35">
        <f t="shared" si="6"/>
        <v>11250</v>
      </c>
      <c r="H15" s="45"/>
      <c r="I15" s="32">
        <v>15</v>
      </c>
      <c r="J15" s="28" t="s">
        <v>31</v>
      </c>
      <c r="K15" s="28">
        <v>2.4</v>
      </c>
      <c r="L15" s="34"/>
      <c r="M15" s="34">
        <f t="shared" si="1"/>
        <v>0</v>
      </c>
      <c r="N15" s="35">
        <f t="shared" si="2"/>
        <v>0</v>
      </c>
      <c r="O15" s="2"/>
      <c r="P15" s="59" t="s">
        <v>15</v>
      </c>
      <c r="Q15" s="26">
        <f>G4</f>
        <v>0</v>
      </c>
      <c r="R15" s="29"/>
      <c r="S15" s="28">
        <f t="shared" ref="S15:S18" si="7">Q15-R15</f>
        <v>0</v>
      </c>
      <c r="T15" s="29"/>
      <c r="U15" s="38"/>
    </row>
    <row r="16" spans="2:21">
      <c r="B16" s="32">
        <v>15</v>
      </c>
      <c r="C16" s="28" t="s">
        <v>37</v>
      </c>
      <c r="D16" s="28">
        <v>2.7</v>
      </c>
      <c r="E16" s="60"/>
      <c r="F16" s="34">
        <f t="shared" si="5"/>
        <v>0</v>
      </c>
      <c r="G16" s="35">
        <f t="shared" si="6"/>
        <v>0</v>
      </c>
      <c r="H16" s="45"/>
      <c r="I16" s="32">
        <v>16</v>
      </c>
      <c r="J16" s="28" t="s">
        <v>38</v>
      </c>
      <c r="K16" s="28">
        <v>2.5</v>
      </c>
      <c r="L16" s="34"/>
      <c r="M16" s="34">
        <f t="shared" si="1"/>
        <v>0</v>
      </c>
      <c r="N16" s="35">
        <f>M16*18</f>
        <v>0</v>
      </c>
      <c r="O16" s="2"/>
      <c r="P16" s="25" t="s">
        <v>19</v>
      </c>
      <c r="Q16" s="26">
        <f>G5</f>
        <v>0</v>
      </c>
      <c r="R16" s="27"/>
      <c r="S16" s="28">
        <f t="shared" si="7"/>
        <v>0</v>
      </c>
      <c r="T16" s="29"/>
      <c r="U16" s="38"/>
    </row>
    <row r="17" spans="2:21">
      <c r="B17" s="32">
        <v>16</v>
      </c>
      <c r="C17" s="28" t="s">
        <v>39</v>
      </c>
      <c r="D17" s="28">
        <v>2.9</v>
      </c>
      <c r="E17" s="60"/>
      <c r="F17" s="34">
        <f t="shared" si="5"/>
        <v>0</v>
      </c>
      <c r="G17" s="35">
        <f t="shared" si="6"/>
        <v>0</v>
      </c>
      <c r="H17" s="45"/>
      <c r="I17" s="32">
        <v>17</v>
      </c>
      <c r="J17" s="28" t="s">
        <v>38</v>
      </c>
      <c r="K17" s="28">
        <v>2.6</v>
      </c>
      <c r="L17" s="34"/>
      <c r="M17" s="34">
        <f t="shared" si="1"/>
        <v>0</v>
      </c>
      <c r="N17" s="35">
        <f>M17*18</f>
        <v>0</v>
      </c>
      <c r="O17" s="2"/>
      <c r="P17" s="25" t="s">
        <v>22</v>
      </c>
      <c r="Q17" s="26">
        <f>G6</f>
        <v>0</v>
      </c>
      <c r="R17" s="27"/>
      <c r="S17" s="28">
        <f t="shared" si="7"/>
        <v>0</v>
      </c>
      <c r="T17" s="29"/>
      <c r="U17" s="38"/>
    </row>
    <row r="18" spans="2:21">
      <c r="B18" s="32">
        <v>17</v>
      </c>
      <c r="C18" s="28" t="s">
        <v>39</v>
      </c>
      <c r="D18" s="28">
        <v>2.9</v>
      </c>
      <c r="E18" s="60"/>
      <c r="F18" s="34">
        <f t="shared" si="5"/>
        <v>0</v>
      </c>
      <c r="G18" s="35">
        <f t="shared" si="6"/>
        <v>0</v>
      </c>
      <c r="H18" s="45"/>
      <c r="I18" s="32">
        <v>18</v>
      </c>
      <c r="J18" s="28" t="s">
        <v>38</v>
      </c>
      <c r="K18" s="28">
        <v>2.7</v>
      </c>
      <c r="L18" s="34"/>
      <c r="M18" s="34">
        <f t="shared" si="1"/>
        <v>0</v>
      </c>
      <c r="N18" s="35">
        <f>M18*18</f>
        <v>0</v>
      </c>
      <c r="O18" s="2"/>
      <c r="P18" s="25" t="s">
        <v>40</v>
      </c>
      <c r="Q18" s="26">
        <f>G7+G8+G11+G12+N8+N9+N10</f>
        <v>0</v>
      </c>
      <c r="R18" s="27"/>
      <c r="S18" s="28">
        <f t="shared" si="7"/>
        <v>0</v>
      </c>
      <c r="T18" s="29"/>
      <c r="U18" s="30"/>
    </row>
    <row r="19" spans="2:21">
      <c r="B19" s="32">
        <v>18</v>
      </c>
      <c r="C19" s="28" t="s">
        <v>39</v>
      </c>
      <c r="D19" s="28">
        <v>3.1</v>
      </c>
      <c r="E19" s="60"/>
      <c r="F19" s="34">
        <f>D19*E19</f>
        <v>0</v>
      </c>
      <c r="G19" s="35">
        <f t="shared" si="6"/>
        <v>0</v>
      </c>
      <c r="H19" s="45"/>
      <c r="I19" s="32">
        <v>19</v>
      </c>
      <c r="J19" s="28" t="s">
        <v>41</v>
      </c>
      <c r="K19" s="28">
        <v>2.8</v>
      </c>
      <c r="L19" s="34"/>
      <c r="M19" s="34">
        <f>L19*K19</f>
        <v>0</v>
      </c>
      <c r="N19" s="35">
        <f>M19*9</f>
        <v>0</v>
      </c>
      <c r="O19" s="2"/>
      <c r="P19" s="25" t="s">
        <v>42</v>
      </c>
      <c r="Q19" s="26">
        <f>G13+G14</f>
        <v>0</v>
      </c>
      <c r="R19" s="29"/>
      <c r="S19" s="28">
        <f t="shared" si="4"/>
        <v>0</v>
      </c>
      <c r="T19" s="29"/>
      <c r="U19" s="30"/>
    </row>
    <row r="20" spans="2:21">
      <c r="B20" s="32">
        <v>19</v>
      </c>
      <c r="C20" s="28" t="s">
        <v>43</v>
      </c>
      <c r="D20" s="28">
        <v>3.1</v>
      </c>
      <c r="E20" s="60"/>
      <c r="F20" s="34">
        <f>D20*E20</f>
        <v>0</v>
      </c>
      <c r="G20" s="35">
        <f t="shared" si="6"/>
        <v>0</v>
      </c>
      <c r="H20" s="45"/>
      <c r="I20" s="32">
        <v>20</v>
      </c>
      <c r="J20" s="28" t="s">
        <v>41</v>
      </c>
      <c r="K20" s="28">
        <v>2.9</v>
      </c>
      <c r="L20" s="34"/>
      <c r="M20" s="34">
        <f t="shared" si="1"/>
        <v>0</v>
      </c>
      <c r="N20" s="35">
        <f>M20*18</f>
        <v>0</v>
      </c>
      <c r="O20" s="2"/>
      <c r="P20" s="25" t="s">
        <v>44</v>
      </c>
      <c r="Q20" s="26">
        <f>G15+G16</f>
        <v>11250</v>
      </c>
      <c r="R20" s="27">
        <v>8000</v>
      </c>
      <c r="S20" s="28">
        <f>Q20-R20</f>
        <v>3250</v>
      </c>
      <c r="T20" s="29">
        <v>4000</v>
      </c>
      <c r="U20" s="30" t="s">
        <v>45</v>
      </c>
    </row>
    <row r="21" spans="2:21">
      <c r="B21" s="32">
        <v>20</v>
      </c>
      <c r="C21" s="28" t="s">
        <v>43</v>
      </c>
      <c r="D21" s="28">
        <v>3.1</v>
      </c>
      <c r="E21" s="60"/>
      <c r="F21" s="34">
        <f>D21*E21</f>
        <v>0</v>
      </c>
      <c r="G21" s="35">
        <f t="shared" si="6"/>
        <v>0</v>
      </c>
      <c r="H21" s="45"/>
      <c r="I21" s="32">
        <v>21</v>
      </c>
      <c r="J21" s="28" t="s">
        <v>41</v>
      </c>
      <c r="K21" s="28">
        <v>2.9</v>
      </c>
      <c r="L21" s="34"/>
      <c r="M21" s="34">
        <f t="shared" si="1"/>
        <v>0</v>
      </c>
      <c r="N21" s="35">
        <f>M21*18</f>
        <v>0</v>
      </c>
      <c r="O21" s="2"/>
      <c r="P21" s="25" t="s">
        <v>46</v>
      </c>
      <c r="Q21" s="26">
        <f>G17+G18+G19</f>
        <v>0</v>
      </c>
      <c r="R21" s="27"/>
      <c r="S21" s="28">
        <f t="shared" si="4"/>
        <v>0</v>
      </c>
      <c r="T21" s="29"/>
      <c r="U21" s="30"/>
    </row>
    <row r="22" spans="2:21" ht="15.75" thickBot="1">
      <c r="B22" s="32">
        <v>21</v>
      </c>
      <c r="C22" s="28" t="s">
        <v>43</v>
      </c>
      <c r="D22" s="28">
        <v>3.1</v>
      </c>
      <c r="E22" s="60"/>
      <c r="F22" s="34">
        <f>D22*E22</f>
        <v>0</v>
      </c>
      <c r="G22" s="35">
        <f t="shared" si="6"/>
        <v>0</v>
      </c>
      <c r="H22" s="45"/>
      <c r="I22" s="32">
        <v>22</v>
      </c>
      <c r="J22" s="28" t="s">
        <v>47</v>
      </c>
      <c r="K22" s="28">
        <v>3</v>
      </c>
      <c r="L22" s="34"/>
      <c r="M22" s="34">
        <f t="shared" si="1"/>
        <v>0</v>
      </c>
      <c r="N22" s="35">
        <f>M22*9</f>
        <v>0</v>
      </c>
      <c r="O22" s="2"/>
      <c r="P22" s="61" t="s">
        <v>43</v>
      </c>
      <c r="Q22" s="62">
        <f>G20+G21+G22+G23</f>
        <v>0</v>
      </c>
      <c r="R22" s="63"/>
      <c r="S22" s="64">
        <f t="shared" si="4"/>
        <v>0</v>
      </c>
      <c r="T22" s="65"/>
      <c r="U22" s="66"/>
    </row>
    <row r="23" spans="2:21" ht="16.5" thickTop="1" thickBot="1">
      <c r="B23" s="67">
        <v>22</v>
      </c>
      <c r="C23" s="68" t="s">
        <v>43</v>
      </c>
      <c r="D23" s="68">
        <v>3.1</v>
      </c>
      <c r="E23" s="69"/>
      <c r="F23" s="70">
        <f>D23*E23</f>
        <v>0</v>
      </c>
      <c r="G23" s="71">
        <f t="shared" si="6"/>
        <v>0</v>
      </c>
      <c r="H23" s="45"/>
      <c r="I23" s="32">
        <v>23</v>
      </c>
      <c r="J23" s="72" t="s">
        <v>47</v>
      </c>
      <c r="K23" s="73">
        <v>3</v>
      </c>
      <c r="L23" s="74"/>
      <c r="M23" s="34">
        <f t="shared" si="1"/>
        <v>0</v>
      </c>
      <c r="N23" s="35">
        <f>M23*9</f>
        <v>0</v>
      </c>
      <c r="O23" s="2"/>
      <c r="P23" s="75"/>
      <c r="Q23" s="76"/>
      <c r="R23" s="76"/>
      <c r="S23" s="77"/>
      <c r="T23" s="77"/>
      <c r="U23" s="78"/>
    </row>
    <row r="24" spans="2:21" ht="15.75" thickBot="1">
      <c r="B24" s="2"/>
      <c r="C24" s="2"/>
      <c r="D24" s="2"/>
      <c r="E24" s="79"/>
      <c r="F24" s="2"/>
      <c r="G24" s="2"/>
      <c r="H24" s="45"/>
      <c r="I24" s="32">
        <v>24</v>
      </c>
      <c r="J24" s="73" t="s">
        <v>47</v>
      </c>
      <c r="K24" s="73">
        <v>3.1</v>
      </c>
      <c r="L24" s="74"/>
      <c r="M24" s="34">
        <f t="shared" si="1"/>
        <v>0</v>
      </c>
      <c r="N24" s="35">
        <f>M24*9</f>
        <v>0</v>
      </c>
      <c r="O24" s="2"/>
      <c r="P24" s="80"/>
      <c r="Q24" s="9"/>
      <c r="R24" s="9"/>
      <c r="S24" s="9"/>
      <c r="T24" s="9"/>
      <c r="U24" s="2"/>
    </row>
    <row r="25" spans="2:21" ht="15.75" thickBot="1">
      <c r="B25" s="95" t="s">
        <v>48</v>
      </c>
      <c r="C25" s="2"/>
      <c r="D25" s="2"/>
      <c r="E25" s="2"/>
      <c r="F25" s="2"/>
      <c r="G25" s="2"/>
      <c r="H25" s="45"/>
      <c r="I25" s="32">
        <v>25</v>
      </c>
      <c r="J25" s="73" t="s">
        <v>49</v>
      </c>
      <c r="K25" s="73">
        <v>3.1</v>
      </c>
      <c r="L25" s="74"/>
      <c r="M25" s="34">
        <f t="shared" si="1"/>
        <v>0</v>
      </c>
      <c r="N25" s="35">
        <f t="shared" si="2"/>
        <v>0</v>
      </c>
      <c r="O25" s="2"/>
      <c r="P25" s="81" t="s">
        <v>50</v>
      </c>
      <c r="Q25" s="82" t="s">
        <v>9</v>
      </c>
      <c r="R25" s="82" t="s">
        <v>10</v>
      </c>
      <c r="S25" s="82" t="s">
        <v>11</v>
      </c>
      <c r="T25" s="82"/>
      <c r="U25" s="83" t="s">
        <v>13</v>
      </c>
    </row>
    <row r="26" spans="2:21" ht="16.5" thickBot="1">
      <c r="B26" s="117" t="s">
        <v>3</v>
      </c>
      <c r="C26" s="118" t="s">
        <v>4</v>
      </c>
      <c r="D26" s="118" t="s">
        <v>5</v>
      </c>
      <c r="E26" s="118" t="s">
        <v>6</v>
      </c>
      <c r="F26" s="118" t="s">
        <v>7</v>
      </c>
      <c r="G26" s="119" t="s">
        <v>51</v>
      </c>
      <c r="H26" s="45"/>
      <c r="I26" s="32">
        <v>26</v>
      </c>
      <c r="J26" s="73" t="s">
        <v>52</v>
      </c>
      <c r="K26" s="73">
        <v>3.1</v>
      </c>
      <c r="L26" s="74"/>
      <c r="M26" s="34">
        <f t="shared" si="1"/>
        <v>0</v>
      </c>
      <c r="N26" s="35">
        <f t="shared" si="2"/>
        <v>0</v>
      </c>
      <c r="O26" s="2"/>
      <c r="P26" s="84" t="s">
        <v>53</v>
      </c>
      <c r="Q26" s="15"/>
      <c r="R26" s="15"/>
      <c r="S26" s="15">
        <f>Q26-R26</f>
        <v>0</v>
      </c>
      <c r="T26" s="15"/>
      <c r="U26" s="19"/>
    </row>
    <row r="27" spans="2:21" ht="15.75" thickBot="1">
      <c r="B27" s="120" t="s">
        <v>54</v>
      </c>
      <c r="C27" s="28" t="s">
        <v>54</v>
      </c>
      <c r="D27" s="28">
        <v>2.6</v>
      </c>
      <c r="E27" s="29"/>
      <c r="F27" s="34">
        <f>E27*D27</f>
        <v>0</v>
      </c>
      <c r="G27" s="35">
        <f>F27*10</f>
        <v>0</v>
      </c>
      <c r="H27" s="45"/>
      <c r="I27" s="32">
        <v>27</v>
      </c>
      <c r="J27" s="73" t="s">
        <v>49</v>
      </c>
      <c r="K27" s="73">
        <v>3.3</v>
      </c>
      <c r="L27" s="74"/>
      <c r="M27" s="34">
        <f t="shared" si="1"/>
        <v>0</v>
      </c>
      <c r="N27" s="35">
        <f t="shared" si="2"/>
        <v>0</v>
      </c>
      <c r="O27" s="2"/>
      <c r="P27" s="85" t="s">
        <v>55</v>
      </c>
      <c r="Q27" s="28"/>
      <c r="R27" s="27"/>
      <c r="S27" s="15">
        <f t="shared" ref="S27:S29" si="8">Q27-R27</f>
        <v>0</v>
      </c>
      <c r="T27" s="23"/>
      <c r="U27" s="24"/>
    </row>
    <row r="28" spans="2:21" ht="15.75" thickBot="1">
      <c r="B28" s="120" t="s">
        <v>56</v>
      </c>
      <c r="C28" s="28" t="s">
        <v>56</v>
      </c>
      <c r="D28" s="28">
        <v>2.5</v>
      </c>
      <c r="E28" s="29"/>
      <c r="F28" s="34">
        <f>E28*D28</f>
        <v>0</v>
      </c>
      <c r="G28" s="35">
        <f t="shared" ref="G28" si="9">F28*10</f>
        <v>0</v>
      </c>
      <c r="H28" s="45"/>
      <c r="I28" s="32">
        <v>28</v>
      </c>
      <c r="J28" s="73" t="s">
        <v>49</v>
      </c>
      <c r="K28" s="73">
        <v>3.3</v>
      </c>
      <c r="L28" s="74"/>
      <c r="M28" s="34">
        <f t="shared" si="1"/>
        <v>0</v>
      </c>
      <c r="N28" s="35">
        <f t="shared" si="2"/>
        <v>0</v>
      </c>
      <c r="O28" s="2"/>
      <c r="P28" s="86" t="s">
        <v>57</v>
      </c>
      <c r="Q28" s="28">
        <f>G29</f>
        <v>0</v>
      </c>
      <c r="R28" s="28"/>
      <c r="S28" s="15">
        <f t="shared" si="8"/>
        <v>0</v>
      </c>
      <c r="T28" s="9"/>
      <c r="U28" s="35"/>
    </row>
    <row r="29" spans="2:21" ht="15.75" thickBot="1">
      <c r="B29" s="121" t="s">
        <v>58</v>
      </c>
      <c r="C29" s="64" t="s">
        <v>59</v>
      </c>
      <c r="D29" s="64">
        <v>2.5</v>
      </c>
      <c r="E29" s="65"/>
      <c r="F29" s="87">
        <f>E29*D29</f>
        <v>0</v>
      </c>
      <c r="G29" s="122">
        <f>F29*5</f>
        <v>0</v>
      </c>
      <c r="H29" s="45"/>
      <c r="I29" s="32">
        <v>29</v>
      </c>
      <c r="J29" s="73" t="s">
        <v>52</v>
      </c>
      <c r="K29" s="73">
        <v>6</v>
      </c>
      <c r="L29" s="74"/>
      <c r="M29" s="34">
        <f t="shared" si="1"/>
        <v>0</v>
      </c>
      <c r="N29" s="35">
        <f t="shared" si="2"/>
        <v>0</v>
      </c>
      <c r="O29" s="2"/>
      <c r="P29" s="88" t="s">
        <v>60</v>
      </c>
      <c r="Q29" s="68"/>
      <c r="R29" s="89"/>
      <c r="S29" s="15">
        <f t="shared" si="8"/>
        <v>0</v>
      </c>
      <c r="T29" s="28"/>
      <c r="U29" s="71"/>
    </row>
    <row r="30" spans="2:21" ht="15.75" thickBot="1">
      <c r="B30" s="123" t="s">
        <v>61</v>
      </c>
      <c r="C30" s="68" t="s">
        <v>28</v>
      </c>
      <c r="D30" s="68">
        <v>2.6</v>
      </c>
      <c r="E30" s="116"/>
      <c r="F30" s="70">
        <f>E30*D30</f>
        <v>0</v>
      </c>
      <c r="G30" s="71">
        <f>F30*5</f>
        <v>0</v>
      </c>
      <c r="H30" s="2"/>
      <c r="I30" s="67" t="s">
        <v>62</v>
      </c>
      <c r="J30" s="90" t="s">
        <v>49</v>
      </c>
      <c r="K30" s="90">
        <v>6</v>
      </c>
      <c r="L30" s="89"/>
      <c r="M30" s="70">
        <f t="shared" si="1"/>
        <v>0</v>
      </c>
      <c r="N30" s="71">
        <f t="shared" si="2"/>
        <v>0</v>
      </c>
      <c r="O30" s="2"/>
      <c r="P30" s="91" t="s">
        <v>7</v>
      </c>
      <c r="Q30" s="92">
        <f>SUM(Q4:Q29)</f>
        <v>11460.6</v>
      </c>
      <c r="R30" s="92">
        <f>SUM(R4:R29)</f>
        <v>9000</v>
      </c>
      <c r="S30" s="92">
        <f>SUM(S4:S29)</f>
        <v>2460.6</v>
      </c>
      <c r="T30" s="92">
        <f>SUM(T4:T29)</f>
        <v>4000</v>
      </c>
      <c r="U30" s="93"/>
    </row>
    <row r="31" spans="2:21">
      <c r="B31" s="94"/>
      <c r="C31" s="9"/>
      <c r="D31" s="9"/>
      <c r="E31" s="9"/>
      <c r="F31" s="2"/>
      <c r="G31" s="2"/>
      <c r="H31" s="45" t="s">
        <v>63</v>
      </c>
      <c r="I31" s="2"/>
      <c r="J31" s="2"/>
      <c r="K31" s="2"/>
      <c r="L31" s="2"/>
      <c r="M31" s="2"/>
      <c r="N31" s="2"/>
      <c r="O31" s="2"/>
      <c r="P31" s="2"/>
      <c r="Q31" s="95" t="s">
        <v>64</v>
      </c>
      <c r="R31" s="2" t="s">
        <v>65</v>
      </c>
      <c r="S31" s="2"/>
      <c r="T31" s="2"/>
      <c r="U31" s="2"/>
    </row>
    <row r="32" spans="2:21" ht="15.75" thickBot="1">
      <c r="B32" s="95" t="s">
        <v>66</v>
      </c>
      <c r="C32" s="2"/>
      <c r="D32" s="2"/>
      <c r="E32" s="2"/>
      <c r="F32" s="2"/>
      <c r="G32" s="2"/>
      <c r="H32" s="45"/>
      <c r="I32" s="2"/>
      <c r="J32" s="2"/>
      <c r="K32" s="2"/>
      <c r="L32" s="2"/>
      <c r="M32" s="2"/>
      <c r="N32" s="2"/>
      <c r="O32" s="2"/>
      <c r="P32" s="95"/>
      <c r="Q32" s="2"/>
      <c r="R32" s="9"/>
      <c r="S32" s="2"/>
      <c r="T32" s="2"/>
      <c r="U32" s="2"/>
    </row>
    <row r="33" spans="2:21" ht="16.5" thickBot="1">
      <c r="B33" s="96" t="s">
        <v>3</v>
      </c>
      <c r="C33" s="97" t="s">
        <v>4</v>
      </c>
      <c r="D33" s="7" t="s">
        <v>5</v>
      </c>
      <c r="E33" s="7" t="s">
        <v>6</v>
      </c>
      <c r="F33" s="7" t="s">
        <v>7</v>
      </c>
      <c r="G33" s="8" t="s">
        <v>67</v>
      </c>
      <c r="H33" s="45"/>
      <c r="I33" s="2"/>
      <c r="J33" s="2"/>
      <c r="K33" s="2"/>
      <c r="L33" s="2"/>
      <c r="M33" s="2"/>
      <c r="N33" s="2"/>
      <c r="O33" s="2"/>
      <c r="P33" s="95"/>
      <c r="Q33" s="2"/>
      <c r="R33" s="2"/>
      <c r="S33" s="2"/>
      <c r="T33" s="2"/>
      <c r="U33" s="2"/>
    </row>
    <row r="34" spans="2:21">
      <c r="B34" s="98" t="s">
        <v>54</v>
      </c>
      <c r="C34" s="99" t="s">
        <v>68</v>
      </c>
      <c r="D34" s="100">
        <v>5</v>
      </c>
      <c r="E34" s="101"/>
      <c r="F34" s="21">
        <f>E34*D34</f>
        <v>0</v>
      </c>
      <c r="G34" s="102">
        <f>F34*16</f>
        <v>0</v>
      </c>
      <c r="H34" s="45"/>
      <c r="I34" s="2"/>
      <c r="J34" s="2"/>
      <c r="K34" s="2"/>
      <c r="L34" s="2"/>
      <c r="M34" s="2"/>
      <c r="N34" s="2"/>
      <c r="O34" s="2"/>
      <c r="P34" s="95"/>
      <c r="Q34" s="2"/>
      <c r="R34" s="2"/>
      <c r="S34" s="2"/>
      <c r="T34" s="2"/>
      <c r="U34" s="2"/>
    </row>
    <row r="35" spans="2:21" ht="15.75" thickBot="1">
      <c r="B35" s="103" t="s">
        <v>54</v>
      </c>
      <c r="C35" s="104" t="s">
        <v>69</v>
      </c>
      <c r="D35" s="105">
        <v>4</v>
      </c>
      <c r="E35" s="68"/>
      <c r="F35" s="68">
        <f>E35*D35</f>
        <v>0</v>
      </c>
      <c r="G35" s="106">
        <f>F35*8</f>
        <v>0</v>
      </c>
      <c r="H35" s="45"/>
      <c r="I35" s="2"/>
      <c r="J35" s="2"/>
      <c r="K35" s="2"/>
      <c r="L35" s="2"/>
      <c r="M35" s="2"/>
      <c r="N35" s="2"/>
      <c r="O35" s="2"/>
      <c r="P35" s="95"/>
      <c r="Q35" s="2"/>
      <c r="R35" s="2"/>
      <c r="S35" s="2"/>
      <c r="T35" s="2"/>
      <c r="U35" s="2"/>
    </row>
    <row r="36" spans="2:21">
      <c r="B36" s="2"/>
      <c r="C36" s="9"/>
      <c r="D36" s="2"/>
      <c r="E36" s="2"/>
      <c r="F36" s="2"/>
      <c r="G36" s="2"/>
      <c r="H36" s="4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 ht="15.75" thickBot="1">
      <c r="B37" s="95" t="s">
        <v>70</v>
      </c>
      <c r="C37" s="2"/>
      <c r="D37" s="2"/>
      <c r="E37" s="2"/>
      <c r="F37" s="2"/>
      <c r="G37" s="2"/>
      <c r="H37" s="4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 ht="16.5" thickBot="1">
      <c r="B38" s="96" t="s">
        <v>3</v>
      </c>
      <c r="C38" s="107" t="s">
        <v>4</v>
      </c>
      <c r="D38" s="97" t="s">
        <v>5</v>
      </c>
      <c r="E38" s="7" t="s">
        <v>6</v>
      </c>
      <c r="F38" s="7" t="s">
        <v>7</v>
      </c>
      <c r="G38" s="8" t="s">
        <v>51</v>
      </c>
      <c r="H38" s="4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 ht="15.75">
      <c r="B39" s="98" t="s">
        <v>71</v>
      </c>
      <c r="C39" s="108" t="s">
        <v>72</v>
      </c>
      <c r="D39" s="109">
        <v>0.35</v>
      </c>
      <c r="E39" s="110"/>
      <c r="F39" s="23">
        <f t="shared" ref="F39:F41" si="10">E39*D39</f>
        <v>0</v>
      </c>
      <c r="G39" s="24">
        <f>F39*10</f>
        <v>0</v>
      </c>
      <c r="H39" s="4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>
      <c r="B40" s="111" t="s">
        <v>73</v>
      </c>
      <c r="C40" s="112" t="s">
        <v>74</v>
      </c>
      <c r="D40" s="26">
        <v>8</v>
      </c>
      <c r="E40" s="29"/>
      <c r="F40" s="34">
        <f t="shared" si="10"/>
        <v>0</v>
      </c>
      <c r="G40" s="35">
        <f>F40*10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 ht="15.75" thickBot="1">
      <c r="B41" s="113" t="s">
        <v>1</v>
      </c>
      <c r="C41" s="114" t="s">
        <v>75</v>
      </c>
      <c r="D41" s="115">
        <v>8</v>
      </c>
      <c r="E41" s="116"/>
      <c r="F41" s="70">
        <f t="shared" si="10"/>
        <v>0</v>
      </c>
      <c r="G41" s="71">
        <f>F41*10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A6CB-DBB7-49AC-B387-A6D460DBCEBF}">
  <dimension ref="C1:V42"/>
  <sheetViews>
    <sheetView workbookViewId="0">
      <selection activeCell="C2" sqref="C2:V42"/>
    </sheetView>
  </sheetViews>
  <sheetFormatPr defaultRowHeight="15"/>
  <sheetData>
    <row r="1" spans="3:22" ht="15.75" thickBot="1"/>
    <row r="2" spans="3:22" ht="17.25" thickTop="1" thickBot="1">
      <c r="C2" s="1" t="s">
        <v>0</v>
      </c>
      <c r="D2" s="2"/>
      <c r="E2" s="2"/>
      <c r="F2" s="2"/>
      <c r="G2" s="2"/>
      <c r="H2" s="2"/>
      <c r="I2" s="2"/>
      <c r="J2" s="3" t="s">
        <v>1</v>
      </c>
      <c r="K2" s="2"/>
      <c r="L2" s="2"/>
      <c r="M2" s="2"/>
      <c r="N2" s="2"/>
      <c r="O2" s="2"/>
      <c r="P2" s="2"/>
      <c r="Q2" s="4" t="s">
        <v>2</v>
      </c>
      <c r="R2" s="5"/>
      <c r="S2" s="2"/>
      <c r="T2" s="2"/>
      <c r="U2" s="2"/>
      <c r="V2" s="2"/>
    </row>
    <row r="3" spans="3:22" ht="17.25" thickTop="1" thickBot="1">
      <c r="C3" s="6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9"/>
      <c r="J3" s="6" t="s">
        <v>3</v>
      </c>
      <c r="K3" s="7" t="s">
        <v>4</v>
      </c>
      <c r="L3" s="7" t="s">
        <v>5</v>
      </c>
      <c r="M3" s="7" t="s">
        <v>6</v>
      </c>
      <c r="N3" s="7" t="s">
        <v>7</v>
      </c>
      <c r="O3" s="8" t="s">
        <v>8</v>
      </c>
      <c r="P3" s="2"/>
      <c r="Q3" s="10" t="s">
        <v>4</v>
      </c>
      <c r="R3" s="11" t="s">
        <v>9</v>
      </c>
      <c r="S3" s="12" t="s">
        <v>10</v>
      </c>
      <c r="T3" s="12" t="s">
        <v>11</v>
      </c>
      <c r="U3" s="12" t="s">
        <v>12</v>
      </c>
      <c r="V3" s="13" t="s">
        <v>13</v>
      </c>
    </row>
    <row r="4" spans="3:22" ht="15.75">
      <c r="C4" s="14" t="s">
        <v>14</v>
      </c>
      <c r="D4" s="15" t="s">
        <v>15</v>
      </c>
      <c r="E4" s="16">
        <v>0.1</v>
      </c>
      <c r="F4" s="17"/>
      <c r="G4" s="18">
        <f>F4*E4</f>
        <v>0</v>
      </c>
      <c r="H4" s="19">
        <f>G4*9</f>
        <v>0</v>
      </c>
      <c r="I4" s="9"/>
      <c r="J4" s="20">
        <v>4</v>
      </c>
      <c r="K4" s="21" t="s">
        <v>16</v>
      </c>
      <c r="L4" s="21">
        <v>0.35</v>
      </c>
      <c r="M4" s="22"/>
      <c r="N4" s="23">
        <f>M4*L4</f>
        <v>0</v>
      </c>
      <c r="O4" s="24">
        <f>N4*9</f>
        <v>0</v>
      </c>
      <c r="P4" s="2"/>
      <c r="Q4" s="25" t="s">
        <v>17</v>
      </c>
      <c r="R4" s="26">
        <f>H27</f>
        <v>0</v>
      </c>
      <c r="S4" s="27"/>
      <c r="T4" s="28">
        <f t="shared" ref="T4:T5" si="0">R4-S4</f>
        <v>0</v>
      </c>
      <c r="U4" s="29"/>
      <c r="V4" s="30"/>
    </row>
    <row r="5" spans="3:22">
      <c r="C5" s="20" t="s">
        <v>18</v>
      </c>
      <c r="D5" s="28" t="s">
        <v>19</v>
      </c>
      <c r="E5" s="21">
        <v>4</v>
      </c>
      <c r="F5" s="31"/>
      <c r="G5" s="23">
        <f>F5*E5</f>
        <v>0</v>
      </c>
      <c r="H5" s="24">
        <f>G5</f>
        <v>0</v>
      </c>
      <c r="I5" s="9"/>
      <c r="J5" s="32">
        <v>5</v>
      </c>
      <c r="K5" s="28" t="s">
        <v>16</v>
      </c>
      <c r="L5" s="28">
        <v>0.45</v>
      </c>
      <c r="M5" s="33"/>
      <c r="N5" s="34">
        <f t="shared" ref="N5:N30" si="1">M5*L5</f>
        <v>0</v>
      </c>
      <c r="O5" s="35">
        <f t="shared" ref="O5:O30" si="2">N5*9</f>
        <v>0</v>
      </c>
      <c r="P5" s="2"/>
      <c r="Q5" s="25" t="s">
        <v>20</v>
      </c>
      <c r="R5" s="26">
        <f>H28</f>
        <v>0</v>
      </c>
      <c r="S5" s="27"/>
      <c r="T5" s="28">
        <f t="shared" si="0"/>
        <v>0</v>
      </c>
      <c r="U5" s="29"/>
      <c r="V5" s="30"/>
    </row>
    <row r="6" spans="3:22">
      <c r="C6" s="20" t="s">
        <v>21</v>
      </c>
      <c r="D6" s="28" t="s">
        <v>22</v>
      </c>
      <c r="E6" s="28">
        <v>13</v>
      </c>
      <c r="F6" s="31"/>
      <c r="G6" s="34">
        <f>F6*E6</f>
        <v>0</v>
      </c>
      <c r="H6" s="35">
        <f>G6</f>
        <v>0</v>
      </c>
      <c r="I6" s="9"/>
      <c r="J6" s="32">
        <v>6</v>
      </c>
      <c r="K6" s="28" t="s">
        <v>22</v>
      </c>
      <c r="L6" s="28">
        <v>0.9</v>
      </c>
      <c r="M6" s="33"/>
      <c r="N6" s="34">
        <f t="shared" si="1"/>
        <v>0</v>
      </c>
      <c r="O6" s="35">
        <f t="shared" si="2"/>
        <v>0</v>
      </c>
      <c r="P6" s="2"/>
      <c r="Q6" s="25" t="s">
        <v>23</v>
      </c>
      <c r="R6" s="26">
        <f>H34+O30</f>
        <v>0</v>
      </c>
      <c r="S6" s="27"/>
      <c r="T6" s="28">
        <f>R6-S6</f>
        <v>0</v>
      </c>
      <c r="U6" s="29"/>
      <c r="V6" s="30"/>
    </row>
    <row r="7" spans="3:22">
      <c r="C7" s="32">
        <v>8</v>
      </c>
      <c r="D7" s="28" t="s">
        <v>24</v>
      </c>
      <c r="E7" s="28">
        <v>1.3</v>
      </c>
      <c r="F7" s="36"/>
      <c r="G7" s="34">
        <f t="shared" ref="G7:G8" si="3">F7*E7</f>
        <v>0</v>
      </c>
      <c r="H7" s="35">
        <f>G7*9</f>
        <v>0</v>
      </c>
      <c r="I7" s="9"/>
      <c r="J7" s="32">
        <v>7</v>
      </c>
      <c r="K7" s="28" t="s">
        <v>25</v>
      </c>
      <c r="L7" s="28">
        <v>1</v>
      </c>
      <c r="M7" s="33"/>
      <c r="N7" s="34">
        <f t="shared" si="1"/>
        <v>0</v>
      </c>
      <c r="O7" s="35">
        <f t="shared" si="2"/>
        <v>0</v>
      </c>
      <c r="P7" s="2"/>
      <c r="Q7" s="37" t="s">
        <v>26</v>
      </c>
      <c r="R7" s="26">
        <f>H41</f>
        <v>0</v>
      </c>
      <c r="S7" s="29"/>
      <c r="T7" s="28">
        <f>R7-S7</f>
        <v>0</v>
      </c>
      <c r="U7" s="29"/>
      <c r="V7" s="38"/>
    </row>
    <row r="8" spans="3:22" ht="15.75" thickBot="1">
      <c r="C8" s="39">
        <v>9</v>
      </c>
      <c r="D8" s="40" t="s">
        <v>24</v>
      </c>
      <c r="E8" s="41">
        <v>1.3</v>
      </c>
      <c r="F8" s="42"/>
      <c r="G8" s="43">
        <f t="shared" si="3"/>
        <v>0</v>
      </c>
      <c r="H8" s="44">
        <f>G8*9</f>
        <v>0</v>
      </c>
      <c r="I8" s="45"/>
      <c r="J8" s="32">
        <v>8</v>
      </c>
      <c r="K8" s="28" t="s">
        <v>24</v>
      </c>
      <c r="L8" s="28">
        <v>1.6</v>
      </c>
      <c r="M8" s="33"/>
      <c r="N8" s="34">
        <f t="shared" si="1"/>
        <v>0</v>
      </c>
      <c r="O8" s="35">
        <f t="shared" si="2"/>
        <v>0</v>
      </c>
      <c r="P8" s="2"/>
      <c r="Q8" s="37" t="s">
        <v>27</v>
      </c>
      <c r="R8" s="26">
        <f>H40</f>
        <v>0</v>
      </c>
      <c r="S8" s="27"/>
      <c r="T8" s="28">
        <f t="shared" ref="T8:T22" si="4">R8-S8</f>
        <v>0</v>
      </c>
      <c r="U8" s="29"/>
      <c r="V8" s="38"/>
    </row>
    <row r="9" spans="3:22" ht="15.75" thickBot="1">
      <c r="C9" s="46"/>
      <c r="D9" s="47"/>
      <c r="E9" s="48"/>
      <c r="F9" s="49"/>
      <c r="G9" s="50"/>
      <c r="H9" s="50"/>
      <c r="I9" s="45"/>
      <c r="J9" s="32">
        <v>9</v>
      </c>
      <c r="K9" s="28" t="s">
        <v>24</v>
      </c>
      <c r="L9" s="28">
        <v>1.6</v>
      </c>
      <c r="M9" s="33"/>
      <c r="N9" s="34">
        <f t="shared" si="1"/>
        <v>0</v>
      </c>
      <c r="O9" s="35">
        <f t="shared" si="2"/>
        <v>0</v>
      </c>
      <c r="P9" s="2"/>
      <c r="Q9" s="25" t="s">
        <v>28</v>
      </c>
      <c r="R9" s="26">
        <f>H30</f>
        <v>0</v>
      </c>
      <c r="S9" s="29"/>
      <c r="T9" s="28">
        <f t="shared" si="4"/>
        <v>0</v>
      </c>
      <c r="U9" s="29"/>
      <c r="V9" s="38"/>
    </row>
    <row r="10" spans="3:22" ht="15.75" thickBot="1">
      <c r="C10" s="51" t="s">
        <v>29</v>
      </c>
      <c r="D10" s="52"/>
      <c r="E10" s="52"/>
      <c r="F10" s="53"/>
      <c r="G10" s="54"/>
      <c r="H10" s="54"/>
      <c r="I10" s="55"/>
      <c r="J10" s="32">
        <v>10</v>
      </c>
      <c r="K10" s="28" t="s">
        <v>24</v>
      </c>
      <c r="L10" s="28">
        <v>1.6</v>
      </c>
      <c r="M10" s="33"/>
      <c r="N10" s="34">
        <f t="shared" si="1"/>
        <v>0</v>
      </c>
      <c r="O10" s="35">
        <f t="shared" si="2"/>
        <v>0</v>
      </c>
      <c r="P10" s="2"/>
      <c r="Q10" s="25" t="s">
        <v>30</v>
      </c>
      <c r="R10" s="26">
        <f>O11+O12+O13+O14+O15</f>
        <v>0</v>
      </c>
      <c r="S10" s="27"/>
      <c r="T10" s="28">
        <f t="shared" si="4"/>
        <v>0</v>
      </c>
      <c r="U10" s="29"/>
      <c r="V10" s="30"/>
    </row>
    <row r="11" spans="3:22">
      <c r="C11" s="32">
        <v>10</v>
      </c>
      <c r="D11" s="28" t="s">
        <v>24</v>
      </c>
      <c r="E11" s="28">
        <v>1.7</v>
      </c>
      <c r="F11" s="56"/>
      <c r="G11" s="34">
        <f t="shared" ref="G11:G18" si="5">F11*E11</f>
        <v>0</v>
      </c>
      <c r="H11" s="35">
        <f t="shared" ref="H11:H23" si="6">G11*9</f>
        <v>0</v>
      </c>
      <c r="I11" s="45"/>
      <c r="J11" s="32">
        <v>11</v>
      </c>
      <c r="K11" s="28" t="s">
        <v>31</v>
      </c>
      <c r="L11" s="28">
        <v>1.8</v>
      </c>
      <c r="M11" s="33"/>
      <c r="N11" s="34">
        <f t="shared" si="1"/>
        <v>0</v>
      </c>
      <c r="O11" s="35">
        <f t="shared" si="2"/>
        <v>0</v>
      </c>
      <c r="P11" s="2"/>
      <c r="Q11" s="25" t="s">
        <v>32</v>
      </c>
      <c r="R11" s="26">
        <f>O16+O17+O18+O19+O20+O21</f>
        <v>0</v>
      </c>
      <c r="S11" s="27"/>
      <c r="T11" s="28">
        <f t="shared" si="4"/>
        <v>0</v>
      </c>
      <c r="U11" s="29"/>
      <c r="V11" s="30"/>
    </row>
    <row r="12" spans="3:22">
      <c r="C12" s="32">
        <v>11</v>
      </c>
      <c r="D12" s="28" t="s">
        <v>24</v>
      </c>
      <c r="E12" s="28">
        <v>1.9</v>
      </c>
      <c r="F12" s="57"/>
      <c r="G12" s="34">
        <f t="shared" si="5"/>
        <v>0</v>
      </c>
      <c r="H12" s="35">
        <f t="shared" si="6"/>
        <v>0</v>
      </c>
      <c r="I12" s="45"/>
      <c r="J12" s="32">
        <v>12</v>
      </c>
      <c r="K12" s="28" t="s">
        <v>31</v>
      </c>
      <c r="L12" s="28">
        <v>1.9</v>
      </c>
      <c r="M12" s="34"/>
      <c r="N12" s="34">
        <f>M12*L12</f>
        <v>0</v>
      </c>
      <c r="O12" s="35">
        <f t="shared" si="2"/>
        <v>0</v>
      </c>
      <c r="P12" s="2"/>
      <c r="Q12" s="25" t="s">
        <v>33</v>
      </c>
      <c r="R12" s="26">
        <f>O22+O23</f>
        <v>0</v>
      </c>
      <c r="S12" s="29"/>
      <c r="T12" s="28">
        <f t="shared" si="4"/>
        <v>0</v>
      </c>
      <c r="U12" s="29"/>
      <c r="V12" s="30"/>
    </row>
    <row r="13" spans="3:22">
      <c r="C13" s="32">
        <v>12</v>
      </c>
      <c r="D13" s="28" t="s">
        <v>34</v>
      </c>
      <c r="E13" s="28">
        <v>2.1</v>
      </c>
      <c r="F13" s="57"/>
      <c r="G13" s="34">
        <f t="shared" si="5"/>
        <v>0</v>
      </c>
      <c r="H13" s="35">
        <f t="shared" si="6"/>
        <v>0</v>
      </c>
      <c r="I13" s="45"/>
      <c r="J13" s="32">
        <v>13</v>
      </c>
      <c r="K13" s="28" t="s">
        <v>31</v>
      </c>
      <c r="L13" s="28">
        <v>2.1</v>
      </c>
      <c r="M13" s="34"/>
      <c r="N13" s="34">
        <f t="shared" si="1"/>
        <v>0</v>
      </c>
      <c r="O13" s="35">
        <f t="shared" si="2"/>
        <v>0</v>
      </c>
      <c r="P13" s="2"/>
      <c r="Q13" s="25" t="s">
        <v>35</v>
      </c>
      <c r="R13" s="26">
        <f>O24+O25</f>
        <v>0</v>
      </c>
      <c r="S13" s="29"/>
      <c r="T13" s="28">
        <f>R13-S13</f>
        <v>0</v>
      </c>
      <c r="U13" s="29"/>
      <c r="V13" s="30"/>
    </row>
    <row r="14" spans="3:22">
      <c r="C14" s="32">
        <v>13</v>
      </c>
      <c r="D14" s="28" t="s">
        <v>34</v>
      </c>
      <c r="E14" s="28">
        <v>2.2999999999999998</v>
      </c>
      <c r="F14" s="57"/>
      <c r="G14" s="34">
        <f t="shared" si="5"/>
        <v>0</v>
      </c>
      <c r="H14" s="35">
        <f t="shared" si="6"/>
        <v>0</v>
      </c>
      <c r="I14" s="45"/>
      <c r="J14" s="32">
        <v>14</v>
      </c>
      <c r="K14" s="28" t="s">
        <v>31</v>
      </c>
      <c r="L14" s="28">
        <v>2.2999999999999998</v>
      </c>
      <c r="M14" s="34"/>
      <c r="N14" s="34">
        <f t="shared" si="1"/>
        <v>0</v>
      </c>
      <c r="O14" s="35">
        <f t="shared" si="2"/>
        <v>0</v>
      </c>
      <c r="P14" s="2"/>
      <c r="Q14" s="25" t="s">
        <v>36</v>
      </c>
      <c r="R14" s="26">
        <f>O26+O27+O28+O29</f>
        <v>0</v>
      </c>
      <c r="S14" s="29"/>
      <c r="T14" s="28">
        <f>R14-S14</f>
        <v>0</v>
      </c>
      <c r="U14" s="29"/>
      <c r="V14" s="30"/>
    </row>
    <row r="15" spans="3:22">
      <c r="C15" s="32">
        <v>14</v>
      </c>
      <c r="D15" s="28" t="s">
        <v>37</v>
      </c>
      <c r="E15" s="28">
        <v>2.5</v>
      </c>
      <c r="F15" s="58"/>
      <c r="G15" s="34">
        <f t="shared" si="5"/>
        <v>0</v>
      </c>
      <c r="H15" s="35">
        <f t="shared" si="6"/>
        <v>0</v>
      </c>
      <c r="I15" s="45"/>
      <c r="J15" s="32">
        <v>15</v>
      </c>
      <c r="K15" s="28" t="s">
        <v>31</v>
      </c>
      <c r="L15" s="28">
        <v>2.4</v>
      </c>
      <c r="M15" s="34"/>
      <c r="N15" s="34">
        <f t="shared" si="1"/>
        <v>0</v>
      </c>
      <c r="O15" s="35">
        <f t="shared" si="2"/>
        <v>0</v>
      </c>
      <c r="P15" s="2"/>
      <c r="Q15" s="59" t="s">
        <v>15</v>
      </c>
      <c r="R15" s="26">
        <f>H4</f>
        <v>0</v>
      </c>
      <c r="S15" s="29"/>
      <c r="T15" s="28">
        <f t="shared" ref="T15:T18" si="7">R15-S15</f>
        <v>0</v>
      </c>
      <c r="U15" s="29"/>
      <c r="V15" s="38"/>
    </row>
    <row r="16" spans="3:22">
      <c r="C16" s="32">
        <v>15</v>
      </c>
      <c r="D16" s="28" t="s">
        <v>37</v>
      </c>
      <c r="E16" s="28">
        <v>2.7</v>
      </c>
      <c r="F16" s="60"/>
      <c r="G16" s="34">
        <f t="shared" si="5"/>
        <v>0</v>
      </c>
      <c r="H16" s="35">
        <f t="shared" si="6"/>
        <v>0</v>
      </c>
      <c r="I16" s="45"/>
      <c r="J16" s="32">
        <v>16</v>
      </c>
      <c r="K16" s="28" t="s">
        <v>38</v>
      </c>
      <c r="L16" s="28">
        <v>2.5</v>
      </c>
      <c r="M16" s="34"/>
      <c r="N16" s="34">
        <f t="shared" si="1"/>
        <v>0</v>
      </c>
      <c r="O16" s="35">
        <f>N16*18</f>
        <v>0</v>
      </c>
      <c r="P16" s="2"/>
      <c r="Q16" s="25" t="s">
        <v>19</v>
      </c>
      <c r="R16" s="26">
        <f>H5</f>
        <v>0</v>
      </c>
      <c r="S16" s="27"/>
      <c r="T16" s="28">
        <f t="shared" si="7"/>
        <v>0</v>
      </c>
      <c r="U16" s="29"/>
      <c r="V16" s="38"/>
    </row>
    <row r="17" spans="3:22">
      <c r="C17" s="32">
        <v>16</v>
      </c>
      <c r="D17" s="28" t="s">
        <v>39</v>
      </c>
      <c r="E17" s="28">
        <v>2.9</v>
      </c>
      <c r="F17" s="60"/>
      <c r="G17" s="34">
        <f t="shared" si="5"/>
        <v>0</v>
      </c>
      <c r="H17" s="35">
        <f t="shared" si="6"/>
        <v>0</v>
      </c>
      <c r="I17" s="45"/>
      <c r="J17" s="32">
        <v>17</v>
      </c>
      <c r="K17" s="28" t="s">
        <v>38</v>
      </c>
      <c r="L17" s="28">
        <v>2.6</v>
      </c>
      <c r="M17" s="34"/>
      <c r="N17" s="34">
        <f t="shared" si="1"/>
        <v>0</v>
      </c>
      <c r="O17" s="35">
        <f>N17*18</f>
        <v>0</v>
      </c>
      <c r="P17" s="2"/>
      <c r="Q17" s="25" t="s">
        <v>22</v>
      </c>
      <c r="R17" s="26">
        <f>H6</f>
        <v>0</v>
      </c>
      <c r="S17" s="27"/>
      <c r="T17" s="28">
        <f t="shared" si="7"/>
        <v>0</v>
      </c>
      <c r="U17" s="29"/>
      <c r="V17" s="38"/>
    </row>
    <row r="18" spans="3:22">
      <c r="C18" s="32">
        <v>17</v>
      </c>
      <c r="D18" s="28" t="s">
        <v>39</v>
      </c>
      <c r="E18" s="28">
        <v>2.9</v>
      </c>
      <c r="F18" s="60"/>
      <c r="G18" s="34">
        <f t="shared" si="5"/>
        <v>0</v>
      </c>
      <c r="H18" s="35">
        <f t="shared" si="6"/>
        <v>0</v>
      </c>
      <c r="I18" s="45"/>
      <c r="J18" s="32">
        <v>18</v>
      </c>
      <c r="K18" s="28" t="s">
        <v>38</v>
      </c>
      <c r="L18" s="28">
        <v>2.7</v>
      </c>
      <c r="M18" s="34"/>
      <c r="N18" s="34">
        <f t="shared" si="1"/>
        <v>0</v>
      </c>
      <c r="O18" s="35">
        <f>N18*18</f>
        <v>0</v>
      </c>
      <c r="P18" s="2"/>
      <c r="Q18" s="25" t="s">
        <v>40</v>
      </c>
      <c r="R18" s="26">
        <f>H7+H8+H11+H12+O8+O9+O10</f>
        <v>0</v>
      </c>
      <c r="S18" s="27"/>
      <c r="T18" s="28">
        <f t="shared" si="7"/>
        <v>0</v>
      </c>
      <c r="U18" s="29"/>
      <c r="V18" s="30"/>
    </row>
    <row r="19" spans="3:22">
      <c r="C19" s="32">
        <v>18</v>
      </c>
      <c r="D19" s="28" t="s">
        <v>39</v>
      </c>
      <c r="E19" s="28">
        <v>3.1</v>
      </c>
      <c r="F19" s="60"/>
      <c r="G19" s="34">
        <f>E19*F19</f>
        <v>0</v>
      </c>
      <c r="H19" s="35">
        <f t="shared" si="6"/>
        <v>0</v>
      </c>
      <c r="I19" s="45"/>
      <c r="J19" s="32">
        <v>19</v>
      </c>
      <c r="K19" s="28" t="s">
        <v>41</v>
      </c>
      <c r="L19" s="28">
        <v>2.8</v>
      </c>
      <c r="M19" s="34"/>
      <c r="N19" s="34">
        <f>M19*L19</f>
        <v>0</v>
      </c>
      <c r="O19" s="35">
        <f>N19*9</f>
        <v>0</v>
      </c>
      <c r="P19" s="2"/>
      <c r="Q19" s="25" t="s">
        <v>42</v>
      </c>
      <c r="R19" s="26">
        <f>H13+H14</f>
        <v>0</v>
      </c>
      <c r="S19" s="29"/>
      <c r="T19" s="28">
        <f t="shared" si="4"/>
        <v>0</v>
      </c>
      <c r="U19" s="29"/>
      <c r="V19" s="30"/>
    </row>
    <row r="20" spans="3:22">
      <c r="C20" s="32">
        <v>19</v>
      </c>
      <c r="D20" s="28" t="s">
        <v>43</v>
      </c>
      <c r="E20" s="28">
        <v>3.1</v>
      </c>
      <c r="F20" s="60"/>
      <c r="G20" s="34">
        <f>E20*F20</f>
        <v>0</v>
      </c>
      <c r="H20" s="35">
        <f t="shared" si="6"/>
        <v>0</v>
      </c>
      <c r="I20" s="45"/>
      <c r="J20" s="32">
        <v>20</v>
      </c>
      <c r="K20" s="28" t="s">
        <v>41</v>
      </c>
      <c r="L20" s="28">
        <v>2.9</v>
      </c>
      <c r="M20" s="34"/>
      <c r="N20" s="34">
        <f t="shared" si="1"/>
        <v>0</v>
      </c>
      <c r="O20" s="35">
        <f>N20*18</f>
        <v>0</v>
      </c>
      <c r="P20" s="2"/>
      <c r="Q20" s="25" t="s">
        <v>44</v>
      </c>
      <c r="R20" s="26">
        <f>H15+H16</f>
        <v>0</v>
      </c>
      <c r="S20" s="27"/>
      <c r="T20" s="28">
        <f>R20-S20</f>
        <v>0</v>
      </c>
      <c r="U20" s="29"/>
      <c r="V20" s="30" t="s">
        <v>45</v>
      </c>
    </row>
    <row r="21" spans="3:22">
      <c r="C21" s="32">
        <v>20</v>
      </c>
      <c r="D21" s="28" t="s">
        <v>43</v>
      </c>
      <c r="E21" s="28">
        <v>3.1</v>
      </c>
      <c r="F21" s="60"/>
      <c r="G21" s="34">
        <f>E21*F21</f>
        <v>0</v>
      </c>
      <c r="H21" s="35">
        <f t="shared" si="6"/>
        <v>0</v>
      </c>
      <c r="I21" s="45"/>
      <c r="J21" s="32">
        <v>21</v>
      </c>
      <c r="K21" s="28" t="s">
        <v>41</v>
      </c>
      <c r="L21" s="28">
        <v>2.9</v>
      </c>
      <c r="M21" s="34"/>
      <c r="N21" s="34">
        <f t="shared" si="1"/>
        <v>0</v>
      </c>
      <c r="O21" s="35">
        <f>N21*18</f>
        <v>0</v>
      </c>
      <c r="P21" s="2"/>
      <c r="Q21" s="25" t="s">
        <v>46</v>
      </c>
      <c r="R21" s="26">
        <f>H17+H18+H19</f>
        <v>0</v>
      </c>
      <c r="S21" s="27"/>
      <c r="T21" s="28">
        <f t="shared" si="4"/>
        <v>0</v>
      </c>
      <c r="U21" s="29"/>
      <c r="V21" s="30"/>
    </row>
    <row r="22" spans="3:22" ht="15.75" thickBot="1">
      <c r="C22" s="32">
        <v>21</v>
      </c>
      <c r="D22" s="28" t="s">
        <v>43</v>
      </c>
      <c r="E22" s="28">
        <v>3.1</v>
      </c>
      <c r="F22" s="60"/>
      <c r="G22" s="34">
        <f>E22*F22</f>
        <v>0</v>
      </c>
      <c r="H22" s="35">
        <f t="shared" si="6"/>
        <v>0</v>
      </c>
      <c r="I22" s="45"/>
      <c r="J22" s="32">
        <v>22</v>
      </c>
      <c r="K22" s="28" t="s">
        <v>47</v>
      </c>
      <c r="L22" s="28">
        <v>3</v>
      </c>
      <c r="M22" s="34"/>
      <c r="N22" s="34">
        <f t="shared" si="1"/>
        <v>0</v>
      </c>
      <c r="O22" s="35">
        <f>N22*9</f>
        <v>0</v>
      </c>
      <c r="P22" s="2"/>
      <c r="Q22" s="61" t="s">
        <v>43</v>
      </c>
      <c r="R22" s="62">
        <f>H20+H21+H22+H23</f>
        <v>0</v>
      </c>
      <c r="S22" s="63"/>
      <c r="T22" s="64">
        <f t="shared" si="4"/>
        <v>0</v>
      </c>
      <c r="U22" s="65"/>
      <c r="V22" s="66"/>
    </row>
    <row r="23" spans="3:22" ht="16.5" thickTop="1" thickBot="1">
      <c r="C23" s="67">
        <v>22</v>
      </c>
      <c r="D23" s="68" t="s">
        <v>43</v>
      </c>
      <c r="E23" s="68">
        <v>3.1</v>
      </c>
      <c r="F23" s="69"/>
      <c r="G23" s="70">
        <f>E23*F23</f>
        <v>0</v>
      </c>
      <c r="H23" s="71">
        <f t="shared" si="6"/>
        <v>0</v>
      </c>
      <c r="I23" s="45"/>
      <c r="J23" s="32">
        <v>23</v>
      </c>
      <c r="K23" s="72" t="s">
        <v>47</v>
      </c>
      <c r="L23" s="73">
        <v>3</v>
      </c>
      <c r="M23" s="74"/>
      <c r="N23" s="34">
        <f t="shared" si="1"/>
        <v>0</v>
      </c>
      <c r="O23" s="35">
        <f>N23*9</f>
        <v>0</v>
      </c>
      <c r="P23" s="2"/>
      <c r="Q23" s="75"/>
      <c r="R23" s="76"/>
      <c r="S23" s="76"/>
      <c r="T23" s="77"/>
      <c r="U23" s="77"/>
      <c r="V23" s="78"/>
    </row>
    <row r="24" spans="3:22" ht="15.75" thickBot="1">
      <c r="C24" s="2"/>
      <c r="D24" s="2"/>
      <c r="E24" s="2"/>
      <c r="F24" s="79"/>
      <c r="G24" s="2"/>
      <c r="H24" s="2"/>
      <c r="I24" s="45"/>
      <c r="J24" s="32">
        <v>24</v>
      </c>
      <c r="K24" s="73" t="s">
        <v>47</v>
      </c>
      <c r="L24" s="73">
        <v>3.1</v>
      </c>
      <c r="M24" s="74"/>
      <c r="N24" s="34">
        <f t="shared" si="1"/>
        <v>0</v>
      </c>
      <c r="O24" s="35">
        <f>N24*9</f>
        <v>0</v>
      </c>
      <c r="P24" s="2"/>
      <c r="Q24" s="80"/>
      <c r="R24" s="9"/>
      <c r="S24" s="9"/>
      <c r="T24" s="9"/>
      <c r="U24" s="9"/>
      <c r="V24" s="2"/>
    </row>
    <row r="25" spans="3:22" ht="15.75" thickBot="1">
      <c r="C25" s="95" t="s">
        <v>48</v>
      </c>
      <c r="D25" s="2"/>
      <c r="E25" s="2"/>
      <c r="F25" s="2"/>
      <c r="G25" s="2"/>
      <c r="H25" s="2"/>
      <c r="I25" s="45"/>
      <c r="J25" s="32">
        <v>25</v>
      </c>
      <c r="K25" s="73" t="s">
        <v>49</v>
      </c>
      <c r="L25" s="73">
        <v>3.1</v>
      </c>
      <c r="M25" s="74"/>
      <c r="N25" s="34">
        <f t="shared" si="1"/>
        <v>0</v>
      </c>
      <c r="O25" s="35">
        <f t="shared" si="2"/>
        <v>0</v>
      </c>
      <c r="P25" s="2"/>
      <c r="Q25" s="81" t="s">
        <v>50</v>
      </c>
      <c r="R25" s="82" t="s">
        <v>9</v>
      </c>
      <c r="S25" s="82" t="s">
        <v>10</v>
      </c>
      <c r="T25" s="82" t="s">
        <v>11</v>
      </c>
      <c r="U25" s="82"/>
      <c r="V25" s="83" t="s">
        <v>13</v>
      </c>
    </row>
    <row r="26" spans="3:22" ht="16.5" thickBot="1">
      <c r="C26" s="117" t="s">
        <v>3</v>
      </c>
      <c r="D26" s="118" t="s">
        <v>4</v>
      </c>
      <c r="E26" s="118" t="s">
        <v>5</v>
      </c>
      <c r="F26" s="118" t="s">
        <v>6</v>
      </c>
      <c r="G26" s="118" t="s">
        <v>7</v>
      </c>
      <c r="H26" s="119" t="s">
        <v>51</v>
      </c>
      <c r="I26" s="45"/>
      <c r="J26" s="32">
        <v>26</v>
      </c>
      <c r="K26" s="73" t="s">
        <v>52</v>
      </c>
      <c r="L26" s="73">
        <v>3.1</v>
      </c>
      <c r="M26" s="74"/>
      <c r="N26" s="34">
        <f t="shared" si="1"/>
        <v>0</v>
      </c>
      <c r="O26" s="35">
        <f t="shared" si="2"/>
        <v>0</v>
      </c>
      <c r="P26" s="2"/>
      <c r="Q26" s="84" t="s">
        <v>53</v>
      </c>
      <c r="R26" s="15"/>
      <c r="S26" s="15"/>
      <c r="T26" s="15">
        <f>R26-S26</f>
        <v>0</v>
      </c>
      <c r="U26" s="15"/>
      <c r="V26" s="19"/>
    </row>
    <row r="27" spans="3:22" ht="15.75" thickBot="1">
      <c r="C27" s="120" t="s">
        <v>54</v>
      </c>
      <c r="D27" s="28" t="s">
        <v>54</v>
      </c>
      <c r="E27" s="28">
        <v>2.6</v>
      </c>
      <c r="F27" s="29"/>
      <c r="G27" s="34">
        <f>F27*E27</f>
        <v>0</v>
      </c>
      <c r="H27" s="35">
        <f>G27*10</f>
        <v>0</v>
      </c>
      <c r="I27" s="45"/>
      <c r="J27" s="32">
        <v>27</v>
      </c>
      <c r="K27" s="73" t="s">
        <v>49</v>
      </c>
      <c r="L27" s="73">
        <v>3.3</v>
      </c>
      <c r="M27" s="74"/>
      <c r="N27" s="34">
        <f t="shared" si="1"/>
        <v>0</v>
      </c>
      <c r="O27" s="35">
        <f t="shared" si="2"/>
        <v>0</v>
      </c>
      <c r="P27" s="2"/>
      <c r="Q27" s="85" t="s">
        <v>55</v>
      </c>
      <c r="R27" s="28"/>
      <c r="S27" s="27"/>
      <c r="T27" s="15">
        <f t="shared" ref="T27:T29" si="8">R27-S27</f>
        <v>0</v>
      </c>
      <c r="U27" s="23"/>
      <c r="V27" s="24"/>
    </row>
    <row r="28" spans="3:22" ht="15.75" thickBot="1">
      <c r="C28" s="120" t="s">
        <v>56</v>
      </c>
      <c r="D28" s="28" t="s">
        <v>56</v>
      </c>
      <c r="E28" s="28">
        <v>2.5</v>
      </c>
      <c r="F28" s="29"/>
      <c r="G28" s="34">
        <f>F28*E28</f>
        <v>0</v>
      </c>
      <c r="H28" s="35">
        <f t="shared" ref="H28" si="9">G28*10</f>
        <v>0</v>
      </c>
      <c r="I28" s="45"/>
      <c r="J28" s="32">
        <v>28</v>
      </c>
      <c r="K28" s="73" t="s">
        <v>49</v>
      </c>
      <c r="L28" s="73">
        <v>3.3</v>
      </c>
      <c r="M28" s="74"/>
      <c r="N28" s="34">
        <f t="shared" si="1"/>
        <v>0</v>
      </c>
      <c r="O28" s="35">
        <f t="shared" si="2"/>
        <v>0</v>
      </c>
      <c r="P28" s="2"/>
      <c r="Q28" s="86" t="s">
        <v>57</v>
      </c>
      <c r="R28" s="28">
        <f>H29</f>
        <v>0</v>
      </c>
      <c r="S28" s="28"/>
      <c r="T28" s="15">
        <f t="shared" si="8"/>
        <v>0</v>
      </c>
      <c r="U28" s="9"/>
      <c r="V28" s="35"/>
    </row>
    <row r="29" spans="3:22" ht="15.75" thickBot="1">
      <c r="C29" s="121" t="s">
        <v>58</v>
      </c>
      <c r="D29" s="64" t="s">
        <v>59</v>
      </c>
      <c r="E29" s="64">
        <v>2.5</v>
      </c>
      <c r="F29" s="65"/>
      <c r="G29" s="87">
        <f>F29*E29</f>
        <v>0</v>
      </c>
      <c r="H29" s="122">
        <f>G29*5</f>
        <v>0</v>
      </c>
      <c r="I29" s="45"/>
      <c r="J29" s="32">
        <v>29</v>
      </c>
      <c r="K29" s="73" t="s">
        <v>52</v>
      </c>
      <c r="L29" s="73">
        <v>6</v>
      </c>
      <c r="M29" s="74"/>
      <c r="N29" s="34">
        <f t="shared" si="1"/>
        <v>0</v>
      </c>
      <c r="O29" s="35">
        <f t="shared" si="2"/>
        <v>0</v>
      </c>
      <c r="P29" s="2"/>
      <c r="Q29" s="88" t="s">
        <v>60</v>
      </c>
      <c r="R29" s="68"/>
      <c r="S29" s="89"/>
      <c r="T29" s="15">
        <f t="shared" si="8"/>
        <v>0</v>
      </c>
      <c r="U29" s="28"/>
      <c r="V29" s="71"/>
    </row>
    <row r="30" spans="3:22" ht="15.75" thickBot="1">
      <c r="C30" s="123" t="s">
        <v>61</v>
      </c>
      <c r="D30" s="68" t="s">
        <v>28</v>
      </c>
      <c r="E30" s="68">
        <v>2.6</v>
      </c>
      <c r="F30" s="116"/>
      <c r="G30" s="70">
        <f>F30*E30</f>
        <v>0</v>
      </c>
      <c r="H30" s="71">
        <f>G30*5</f>
        <v>0</v>
      </c>
      <c r="I30" s="2"/>
      <c r="J30" s="67" t="s">
        <v>62</v>
      </c>
      <c r="K30" s="90" t="s">
        <v>49</v>
      </c>
      <c r="L30" s="90">
        <v>6</v>
      </c>
      <c r="M30" s="89"/>
      <c r="N30" s="70">
        <f t="shared" si="1"/>
        <v>0</v>
      </c>
      <c r="O30" s="71">
        <f t="shared" si="2"/>
        <v>0</v>
      </c>
      <c r="P30" s="2"/>
      <c r="Q30" s="91" t="s">
        <v>7</v>
      </c>
      <c r="R30" s="92">
        <f>SUM(R4:R29)</f>
        <v>0</v>
      </c>
      <c r="S30" s="92">
        <f>SUM(S4:S29)</f>
        <v>0</v>
      </c>
      <c r="T30" s="92">
        <f>SUM(T4:T29)</f>
        <v>0</v>
      </c>
      <c r="U30" s="92">
        <f>SUM(U4:U29)</f>
        <v>0</v>
      </c>
      <c r="V30" s="93"/>
    </row>
    <row r="31" spans="3:22">
      <c r="C31" s="94"/>
      <c r="D31" s="9"/>
      <c r="E31" s="9"/>
      <c r="F31" s="9"/>
      <c r="G31" s="2"/>
      <c r="H31" s="2"/>
      <c r="I31" s="45" t="s">
        <v>63</v>
      </c>
      <c r="J31" s="2"/>
      <c r="K31" s="2"/>
      <c r="L31" s="2"/>
      <c r="M31" s="2"/>
      <c r="N31" s="2"/>
      <c r="O31" s="2"/>
      <c r="P31" s="2"/>
      <c r="Q31" s="2"/>
      <c r="R31" s="95" t="s">
        <v>64</v>
      </c>
      <c r="S31" s="2" t="s">
        <v>65</v>
      </c>
      <c r="T31" s="2"/>
      <c r="U31" s="2"/>
      <c r="V31" s="2"/>
    </row>
    <row r="32" spans="3:22" ht="15.75" thickBot="1">
      <c r="C32" s="95" t="s">
        <v>66</v>
      </c>
      <c r="D32" s="2"/>
      <c r="E32" s="2"/>
      <c r="F32" s="2"/>
      <c r="G32" s="2"/>
      <c r="H32" s="2"/>
      <c r="I32" s="45"/>
      <c r="J32" s="2"/>
      <c r="K32" s="2"/>
      <c r="L32" s="2"/>
      <c r="M32" s="2"/>
      <c r="N32" s="2"/>
      <c r="O32" s="2"/>
      <c r="P32" s="2"/>
      <c r="Q32" s="95"/>
      <c r="R32" s="2"/>
      <c r="S32" s="9"/>
      <c r="T32" s="2"/>
      <c r="U32" s="2"/>
      <c r="V32" s="2"/>
    </row>
    <row r="33" spans="3:22" ht="16.5" thickBot="1">
      <c r="C33" s="96" t="s">
        <v>3</v>
      </c>
      <c r="D33" s="97" t="s">
        <v>4</v>
      </c>
      <c r="E33" s="7" t="s">
        <v>5</v>
      </c>
      <c r="F33" s="7" t="s">
        <v>6</v>
      </c>
      <c r="G33" s="7" t="s">
        <v>7</v>
      </c>
      <c r="H33" s="8" t="s">
        <v>67</v>
      </c>
      <c r="I33" s="45"/>
      <c r="J33" s="2"/>
      <c r="K33" s="2"/>
      <c r="L33" s="2"/>
      <c r="M33" s="2"/>
      <c r="N33" s="2"/>
      <c r="O33" s="2"/>
      <c r="P33" s="2"/>
      <c r="Q33" s="95"/>
      <c r="R33" s="2"/>
      <c r="S33" s="2"/>
      <c r="T33" s="2"/>
      <c r="U33" s="2"/>
      <c r="V33" s="2"/>
    </row>
    <row r="34" spans="3:22">
      <c r="C34" s="98" t="s">
        <v>54</v>
      </c>
      <c r="D34" s="99" t="s">
        <v>68</v>
      </c>
      <c r="E34" s="100">
        <v>5</v>
      </c>
      <c r="F34" s="101"/>
      <c r="G34" s="21">
        <f>F34*E34</f>
        <v>0</v>
      </c>
      <c r="H34" s="102">
        <f>G34*16</f>
        <v>0</v>
      </c>
      <c r="I34" s="45"/>
      <c r="J34" s="2"/>
      <c r="K34" s="2"/>
      <c r="L34" s="2"/>
      <c r="M34" s="2"/>
      <c r="N34" s="2"/>
      <c r="O34" s="2"/>
      <c r="P34" s="2"/>
      <c r="Q34" s="95"/>
      <c r="R34" s="2"/>
      <c r="S34" s="2"/>
      <c r="T34" s="2"/>
      <c r="U34" s="2"/>
      <c r="V34" s="2"/>
    </row>
    <row r="35" spans="3:22" ht="15.75" thickBot="1">
      <c r="C35" s="103" t="s">
        <v>54</v>
      </c>
      <c r="D35" s="104" t="s">
        <v>69</v>
      </c>
      <c r="E35" s="105">
        <v>4</v>
      </c>
      <c r="F35" s="68"/>
      <c r="G35" s="68">
        <f>F35*E35</f>
        <v>0</v>
      </c>
      <c r="H35" s="106">
        <f>G35*8</f>
        <v>0</v>
      </c>
      <c r="I35" s="45"/>
      <c r="J35" s="2"/>
      <c r="K35" s="2"/>
      <c r="L35" s="2"/>
      <c r="M35" s="2"/>
      <c r="N35" s="2"/>
      <c r="O35" s="2"/>
      <c r="P35" s="2"/>
      <c r="Q35" s="95"/>
      <c r="R35" s="2"/>
      <c r="S35" s="2"/>
      <c r="T35" s="2"/>
      <c r="U35" s="2"/>
      <c r="V35" s="2"/>
    </row>
    <row r="36" spans="3:22">
      <c r="C36" s="2"/>
      <c r="D36" s="9"/>
      <c r="E36" s="2"/>
      <c r="F36" s="2"/>
      <c r="G36" s="2"/>
      <c r="H36" s="2"/>
      <c r="I36" s="4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3:22" ht="15.75" thickBot="1">
      <c r="C37" s="95" t="s">
        <v>70</v>
      </c>
      <c r="D37" s="2"/>
      <c r="E37" s="2"/>
      <c r="F37" s="2"/>
      <c r="G37" s="2"/>
      <c r="H37" s="2"/>
      <c r="I37" s="4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3:22" ht="16.5" thickBot="1">
      <c r="C38" s="96" t="s">
        <v>3</v>
      </c>
      <c r="D38" s="107" t="s">
        <v>4</v>
      </c>
      <c r="E38" s="97" t="s">
        <v>5</v>
      </c>
      <c r="F38" s="7" t="s">
        <v>6</v>
      </c>
      <c r="G38" s="7" t="s">
        <v>7</v>
      </c>
      <c r="H38" s="8" t="s">
        <v>51</v>
      </c>
      <c r="I38" s="4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3:22" ht="15.75">
      <c r="C39" s="98" t="s">
        <v>71</v>
      </c>
      <c r="D39" s="108" t="s">
        <v>72</v>
      </c>
      <c r="E39" s="109">
        <v>0.35</v>
      </c>
      <c r="F39" s="110"/>
      <c r="G39" s="23">
        <f t="shared" ref="G39:G41" si="10">F39*E39</f>
        <v>0</v>
      </c>
      <c r="H39" s="24">
        <f>G39*10</f>
        <v>0</v>
      </c>
      <c r="I39" s="4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3:22">
      <c r="C40" s="111" t="s">
        <v>73</v>
      </c>
      <c r="D40" s="112" t="s">
        <v>74</v>
      </c>
      <c r="E40" s="26">
        <v>8</v>
      </c>
      <c r="F40" s="29"/>
      <c r="G40" s="34">
        <f t="shared" si="10"/>
        <v>0</v>
      </c>
      <c r="H40" s="35">
        <f>G40*10</f>
        <v>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3:22" ht="15.75" thickBot="1">
      <c r="C41" s="113" t="s">
        <v>1</v>
      </c>
      <c r="D41" s="114" t="s">
        <v>75</v>
      </c>
      <c r="E41" s="115">
        <v>8</v>
      </c>
      <c r="F41" s="116"/>
      <c r="G41" s="70">
        <f t="shared" si="10"/>
        <v>0</v>
      </c>
      <c r="H41" s="71">
        <f>G41*10</f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3:2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F88B-FCD2-4014-8A29-239F240DFB1C}">
  <dimension ref="B1:U42"/>
  <sheetViews>
    <sheetView workbookViewId="0">
      <selection activeCell="E44" sqref="E44"/>
    </sheetView>
  </sheetViews>
  <sheetFormatPr defaultRowHeight="15"/>
  <cols>
    <col min="2" max="2" width="15.85546875" customWidth="1"/>
    <col min="3" max="3" width="14.7109375" customWidth="1"/>
    <col min="16" max="16" width="14.85546875" customWidth="1"/>
  </cols>
  <sheetData>
    <row r="1" spans="2:21" ht="15.75" thickBot="1"/>
    <row r="2" spans="2:21" ht="17.25" thickTop="1" thickBot="1">
      <c r="B2" s="1" t="s">
        <v>0</v>
      </c>
      <c r="C2" s="2"/>
      <c r="D2" s="2"/>
      <c r="E2" s="2"/>
      <c r="F2" s="2"/>
      <c r="G2" s="2"/>
      <c r="H2" s="2"/>
      <c r="I2" s="3" t="s">
        <v>1</v>
      </c>
      <c r="J2" s="2"/>
      <c r="K2" s="2"/>
      <c r="L2" s="2"/>
      <c r="M2" s="2"/>
      <c r="N2" s="2"/>
      <c r="O2" s="2"/>
      <c r="P2" s="4" t="s">
        <v>2</v>
      </c>
      <c r="Q2" s="5"/>
      <c r="R2" s="2"/>
      <c r="S2" s="2"/>
      <c r="T2" s="2"/>
      <c r="U2" s="2"/>
    </row>
    <row r="3" spans="2:21" ht="17.25" thickTop="1" thickBot="1"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9"/>
      <c r="I3" s="6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8" t="s">
        <v>8</v>
      </c>
      <c r="O3" s="2"/>
      <c r="P3" s="10" t="s">
        <v>4</v>
      </c>
      <c r="Q3" s="11" t="s">
        <v>9</v>
      </c>
      <c r="R3" s="12" t="s">
        <v>10</v>
      </c>
      <c r="S3" s="12" t="s">
        <v>11</v>
      </c>
      <c r="T3" s="12" t="s">
        <v>12</v>
      </c>
      <c r="U3" s="13" t="s">
        <v>13</v>
      </c>
    </row>
    <row r="4" spans="2:21" ht="15.75">
      <c r="B4" s="14" t="s">
        <v>14</v>
      </c>
      <c r="C4" s="15" t="s">
        <v>15</v>
      </c>
      <c r="D4" s="16">
        <v>0.1</v>
      </c>
      <c r="E4" s="17"/>
      <c r="F4" s="18">
        <f>E4*D4</f>
        <v>0</v>
      </c>
      <c r="G4" s="19">
        <f>F4*9</f>
        <v>0</v>
      </c>
      <c r="H4" s="9"/>
      <c r="I4" s="20">
        <v>4</v>
      </c>
      <c r="J4" s="21" t="s">
        <v>16</v>
      </c>
      <c r="K4" s="21">
        <v>0.35</v>
      </c>
      <c r="L4" s="22"/>
      <c r="M4" s="23">
        <f>L4*K4</f>
        <v>0</v>
      </c>
      <c r="N4" s="24">
        <f>M4*9</f>
        <v>0</v>
      </c>
      <c r="O4" s="2"/>
      <c r="P4" s="25" t="s">
        <v>17</v>
      </c>
      <c r="Q4" s="26">
        <f>G27</f>
        <v>0</v>
      </c>
      <c r="R4" s="27"/>
      <c r="S4" s="28">
        <f t="shared" ref="S4:S5" si="0">Q4-R4</f>
        <v>0</v>
      </c>
      <c r="T4" s="29"/>
      <c r="U4" s="30"/>
    </row>
    <row r="5" spans="2:21">
      <c r="B5" s="20" t="s">
        <v>18</v>
      </c>
      <c r="C5" s="28" t="s">
        <v>19</v>
      </c>
      <c r="D5" s="21">
        <v>4</v>
      </c>
      <c r="E5" s="31"/>
      <c r="F5" s="23">
        <f>E5*D5</f>
        <v>0</v>
      </c>
      <c r="G5" s="24">
        <f>F5</f>
        <v>0</v>
      </c>
      <c r="H5" s="9"/>
      <c r="I5" s="32">
        <v>5</v>
      </c>
      <c r="J5" s="28" t="s">
        <v>16</v>
      </c>
      <c r="K5" s="28">
        <v>0.45</v>
      </c>
      <c r="L5" s="33"/>
      <c r="M5" s="34">
        <f t="shared" ref="M5:M30" si="1">L5*K5</f>
        <v>0</v>
      </c>
      <c r="N5" s="35">
        <f t="shared" ref="N5:N30" si="2">M5*9</f>
        <v>0</v>
      </c>
      <c r="O5" s="2"/>
      <c r="P5" s="25" t="s">
        <v>20</v>
      </c>
      <c r="Q5" s="26">
        <f>G28</f>
        <v>0</v>
      </c>
      <c r="R5" s="27"/>
      <c r="S5" s="28">
        <f t="shared" si="0"/>
        <v>0</v>
      </c>
      <c r="T5" s="29"/>
      <c r="U5" s="30"/>
    </row>
    <row r="6" spans="2:21">
      <c r="B6" s="20" t="s">
        <v>21</v>
      </c>
      <c r="C6" s="28" t="s">
        <v>22</v>
      </c>
      <c r="D6" s="28">
        <v>13</v>
      </c>
      <c r="E6" s="31"/>
      <c r="F6" s="34">
        <f>E6*D6</f>
        <v>0</v>
      </c>
      <c r="G6" s="35">
        <f>F6</f>
        <v>0</v>
      </c>
      <c r="H6" s="9"/>
      <c r="I6" s="32">
        <v>6</v>
      </c>
      <c r="J6" s="28" t="s">
        <v>22</v>
      </c>
      <c r="K6" s="28">
        <v>0.9</v>
      </c>
      <c r="L6" s="33"/>
      <c r="M6" s="34">
        <f t="shared" si="1"/>
        <v>0</v>
      </c>
      <c r="N6" s="35">
        <f t="shared" si="2"/>
        <v>0</v>
      </c>
      <c r="O6" s="2"/>
      <c r="P6" s="25" t="s">
        <v>23</v>
      </c>
      <c r="Q6" s="26">
        <f>G34+N30</f>
        <v>0</v>
      </c>
      <c r="R6" s="27"/>
      <c r="S6" s="28">
        <f>Q6-R6</f>
        <v>0</v>
      </c>
      <c r="T6" s="29"/>
      <c r="U6" s="30"/>
    </row>
    <row r="7" spans="2:21">
      <c r="B7" s="32">
        <v>8</v>
      </c>
      <c r="C7" s="28" t="s">
        <v>24</v>
      </c>
      <c r="D7" s="28">
        <v>1.3</v>
      </c>
      <c r="E7" s="36"/>
      <c r="F7" s="34">
        <f t="shared" ref="F7:F8" si="3">E7*D7</f>
        <v>0</v>
      </c>
      <c r="G7" s="35">
        <f>F7*9</f>
        <v>0</v>
      </c>
      <c r="H7" s="9"/>
      <c r="I7" s="32">
        <v>7</v>
      </c>
      <c r="J7" s="28" t="s">
        <v>25</v>
      </c>
      <c r="K7" s="28">
        <v>1</v>
      </c>
      <c r="L7" s="33"/>
      <c r="M7" s="34">
        <f t="shared" si="1"/>
        <v>0</v>
      </c>
      <c r="N7" s="35">
        <f t="shared" si="2"/>
        <v>0</v>
      </c>
      <c r="O7" s="2"/>
      <c r="P7" s="37" t="s">
        <v>26</v>
      </c>
      <c r="Q7" s="26">
        <f>G41</f>
        <v>0</v>
      </c>
      <c r="R7" s="29"/>
      <c r="S7" s="28">
        <f>Q7-R7</f>
        <v>0</v>
      </c>
      <c r="T7" s="29"/>
      <c r="U7" s="38"/>
    </row>
    <row r="8" spans="2:21" ht="15.75" thickBot="1">
      <c r="B8" s="39">
        <v>9</v>
      </c>
      <c r="C8" s="40" t="s">
        <v>24</v>
      </c>
      <c r="D8" s="41">
        <v>1.3</v>
      </c>
      <c r="E8" s="42"/>
      <c r="F8" s="43">
        <f t="shared" si="3"/>
        <v>0</v>
      </c>
      <c r="G8" s="44">
        <f>F8*9</f>
        <v>0</v>
      </c>
      <c r="H8" s="45"/>
      <c r="I8" s="32">
        <v>8</v>
      </c>
      <c r="J8" s="28" t="s">
        <v>24</v>
      </c>
      <c r="K8" s="28">
        <v>1.6</v>
      </c>
      <c r="L8" s="33"/>
      <c r="M8" s="34">
        <f t="shared" si="1"/>
        <v>0</v>
      </c>
      <c r="N8" s="35">
        <f t="shared" si="2"/>
        <v>0</v>
      </c>
      <c r="O8" s="2"/>
      <c r="P8" s="37" t="s">
        <v>27</v>
      </c>
      <c r="Q8" s="26">
        <f>G40</f>
        <v>0</v>
      </c>
      <c r="R8" s="27"/>
      <c r="S8" s="28">
        <f t="shared" ref="S8:S22" si="4">Q8-R8</f>
        <v>0</v>
      </c>
      <c r="T8" s="29"/>
      <c r="U8" s="38"/>
    </row>
    <row r="9" spans="2:21" ht="15.75" thickBot="1">
      <c r="B9" s="46"/>
      <c r="C9" s="47"/>
      <c r="D9" s="48"/>
      <c r="E9" s="49"/>
      <c r="F9" s="50"/>
      <c r="G9" s="50"/>
      <c r="H9" s="45"/>
      <c r="I9" s="32">
        <v>9</v>
      </c>
      <c r="J9" s="28" t="s">
        <v>24</v>
      </c>
      <c r="K9" s="28">
        <v>1.6</v>
      </c>
      <c r="L9" s="33"/>
      <c r="M9" s="34">
        <f t="shared" si="1"/>
        <v>0</v>
      </c>
      <c r="N9" s="35">
        <f t="shared" si="2"/>
        <v>0</v>
      </c>
      <c r="O9" s="2"/>
      <c r="P9" s="25" t="s">
        <v>28</v>
      </c>
      <c r="Q9" s="26">
        <f>G30</f>
        <v>0</v>
      </c>
      <c r="R9" s="29"/>
      <c r="S9" s="28">
        <f t="shared" si="4"/>
        <v>0</v>
      </c>
      <c r="T9" s="29"/>
      <c r="U9" s="38"/>
    </row>
    <row r="10" spans="2:21" ht="15.75" thickBot="1">
      <c r="B10" s="51" t="s">
        <v>29</v>
      </c>
      <c r="C10" s="52"/>
      <c r="D10" s="52"/>
      <c r="E10" s="53"/>
      <c r="F10" s="54"/>
      <c r="G10" s="54"/>
      <c r="H10" s="55"/>
      <c r="I10" s="32">
        <v>10</v>
      </c>
      <c r="J10" s="28" t="s">
        <v>24</v>
      </c>
      <c r="K10" s="28">
        <v>1.6</v>
      </c>
      <c r="L10" s="33"/>
      <c r="M10" s="34">
        <f t="shared" si="1"/>
        <v>0</v>
      </c>
      <c r="N10" s="35">
        <f t="shared" si="2"/>
        <v>0</v>
      </c>
      <c r="O10" s="2"/>
      <c r="P10" s="25" t="s">
        <v>30</v>
      </c>
      <c r="Q10" s="26">
        <f>N11+N12+N13+N14+N15</f>
        <v>0</v>
      </c>
      <c r="R10" s="27"/>
      <c r="S10" s="28">
        <f t="shared" si="4"/>
        <v>0</v>
      </c>
      <c r="T10" s="29"/>
      <c r="U10" s="30"/>
    </row>
    <row r="11" spans="2:21">
      <c r="B11" s="32">
        <v>10</v>
      </c>
      <c r="C11" s="28" t="s">
        <v>24</v>
      </c>
      <c r="D11" s="28">
        <v>1.7</v>
      </c>
      <c r="E11" s="56"/>
      <c r="F11" s="34">
        <f t="shared" ref="F11:F18" si="5">E11*D11</f>
        <v>0</v>
      </c>
      <c r="G11" s="35">
        <f t="shared" ref="G11:G23" si="6">F11*9</f>
        <v>0</v>
      </c>
      <c r="H11" s="45"/>
      <c r="I11" s="32">
        <v>11</v>
      </c>
      <c r="J11" s="28" t="s">
        <v>31</v>
      </c>
      <c r="K11" s="28">
        <v>1.8</v>
      </c>
      <c r="L11" s="33"/>
      <c r="M11" s="34">
        <f t="shared" si="1"/>
        <v>0</v>
      </c>
      <c r="N11" s="35">
        <f t="shared" si="2"/>
        <v>0</v>
      </c>
      <c r="O11" s="2"/>
      <c r="P11" s="25" t="s">
        <v>32</v>
      </c>
      <c r="Q11" s="26">
        <f>N16+N17+N18+N19+N20+N21</f>
        <v>0</v>
      </c>
      <c r="R11" s="27"/>
      <c r="S11" s="28">
        <f t="shared" si="4"/>
        <v>0</v>
      </c>
      <c r="T11" s="29"/>
      <c r="U11" s="30"/>
    </row>
    <row r="12" spans="2:21">
      <c r="B12" s="32">
        <v>11</v>
      </c>
      <c r="C12" s="28" t="s">
        <v>24</v>
      </c>
      <c r="D12" s="28">
        <v>1.9</v>
      </c>
      <c r="E12" s="57"/>
      <c r="F12" s="34">
        <f t="shared" si="5"/>
        <v>0</v>
      </c>
      <c r="G12" s="35">
        <f t="shared" si="6"/>
        <v>0</v>
      </c>
      <c r="H12" s="45"/>
      <c r="I12" s="32">
        <v>12</v>
      </c>
      <c r="J12" s="28" t="s">
        <v>31</v>
      </c>
      <c r="K12" s="28">
        <v>1.9</v>
      </c>
      <c r="L12" s="34"/>
      <c r="M12" s="34">
        <f>L12*K12</f>
        <v>0</v>
      </c>
      <c r="N12" s="35">
        <f t="shared" si="2"/>
        <v>0</v>
      </c>
      <c r="O12" s="2"/>
      <c r="P12" s="25" t="s">
        <v>33</v>
      </c>
      <c r="Q12" s="26">
        <f>N22+N23</f>
        <v>0</v>
      </c>
      <c r="R12" s="29"/>
      <c r="S12" s="28">
        <f t="shared" si="4"/>
        <v>0</v>
      </c>
      <c r="T12" s="29"/>
      <c r="U12" s="30"/>
    </row>
    <row r="13" spans="2:21">
      <c r="B13" s="32">
        <v>12</v>
      </c>
      <c r="C13" s="28" t="s">
        <v>34</v>
      </c>
      <c r="D13" s="28">
        <v>2.1</v>
      </c>
      <c r="E13" s="57"/>
      <c r="F13" s="34">
        <f t="shared" si="5"/>
        <v>0</v>
      </c>
      <c r="G13" s="35">
        <f t="shared" si="6"/>
        <v>0</v>
      </c>
      <c r="H13" s="45"/>
      <c r="I13" s="32">
        <v>13</v>
      </c>
      <c r="J13" s="28" t="s">
        <v>31</v>
      </c>
      <c r="K13" s="28">
        <v>2.1</v>
      </c>
      <c r="L13" s="34"/>
      <c r="M13" s="34">
        <f t="shared" si="1"/>
        <v>0</v>
      </c>
      <c r="N13" s="35">
        <f t="shared" si="2"/>
        <v>0</v>
      </c>
      <c r="O13" s="2"/>
      <c r="P13" s="25" t="s">
        <v>35</v>
      </c>
      <c r="Q13" s="26">
        <f>N24+N25</f>
        <v>0</v>
      </c>
      <c r="R13" s="29"/>
      <c r="S13" s="28">
        <f>Q13-R13</f>
        <v>0</v>
      </c>
      <c r="T13" s="29"/>
      <c r="U13" s="30"/>
    </row>
    <row r="14" spans="2:21">
      <c r="B14" s="32">
        <v>13</v>
      </c>
      <c r="C14" s="28" t="s">
        <v>34</v>
      </c>
      <c r="D14" s="28">
        <v>2.2999999999999998</v>
      </c>
      <c r="E14" s="57"/>
      <c r="F14" s="34">
        <f t="shared" si="5"/>
        <v>0</v>
      </c>
      <c r="G14" s="35">
        <f t="shared" si="6"/>
        <v>0</v>
      </c>
      <c r="H14" s="45"/>
      <c r="I14" s="32">
        <v>14</v>
      </c>
      <c r="J14" s="28" t="s">
        <v>31</v>
      </c>
      <c r="K14" s="28">
        <v>2.2999999999999998</v>
      </c>
      <c r="L14" s="34"/>
      <c r="M14" s="34">
        <f t="shared" si="1"/>
        <v>0</v>
      </c>
      <c r="N14" s="35">
        <f t="shared" si="2"/>
        <v>0</v>
      </c>
      <c r="O14" s="2"/>
      <c r="P14" s="25" t="s">
        <v>36</v>
      </c>
      <c r="Q14" s="26">
        <f>N26+N27+N28+N29</f>
        <v>0</v>
      </c>
      <c r="R14" s="29"/>
      <c r="S14" s="28">
        <f>Q14-R14</f>
        <v>0</v>
      </c>
      <c r="T14" s="29"/>
      <c r="U14" s="30"/>
    </row>
    <row r="15" spans="2:21">
      <c r="B15" s="32">
        <v>14</v>
      </c>
      <c r="C15" s="28" t="s">
        <v>37</v>
      </c>
      <c r="D15" s="28">
        <v>2.5</v>
      </c>
      <c r="E15" s="58"/>
      <c r="F15" s="34">
        <f t="shared" si="5"/>
        <v>0</v>
      </c>
      <c r="G15" s="35">
        <f t="shared" si="6"/>
        <v>0</v>
      </c>
      <c r="H15" s="45"/>
      <c r="I15" s="32">
        <v>15</v>
      </c>
      <c r="J15" s="28" t="s">
        <v>31</v>
      </c>
      <c r="K15" s="28">
        <v>2.4</v>
      </c>
      <c r="L15" s="34"/>
      <c r="M15" s="34">
        <f t="shared" si="1"/>
        <v>0</v>
      </c>
      <c r="N15" s="35">
        <f t="shared" si="2"/>
        <v>0</v>
      </c>
      <c r="O15" s="2"/>
      <c r="P15" s="59" t="s">
        <v>15</v>
      </c>
      <c r="Q15" s="26">
        <f>G4</f>
        <v>0</v>
      </c>
      <c r="R15" s="29"/>
      <c r="S15" s="28">
        <f t="shared" ref="S15:S18" si="7">Q15-R15</f>
        <v>0</v>
      </c>
      <c r="T15" s="29"/>
      <c r="U15" s="38"/>
    </row>
    <row r="16" spans="2:21">
      <c r="B16" s="32">
        <v>15</v>
      </c>
      <c r="C16" s="28" t="s">
        <v>37</v>
      </c>
      <c r="D16" s="28">
        <v>2.7</v>
      </c>
      <c r="E16" s="60"/>
      <c r="F16" s="34">
        <f t="shared" si="5"/>
        <v>0</v>
      </c>
      <c r="G16" s="35">
        <f t="shared" si="6"/>
        <v>0</v>
      </c>
      <c r="H16" s="45"/>
      <c r="I16" s="32">
        <v>16</v>
      </c>
      <c r="J16" s="28" t="s">
        <v>38</v>
      </c>
      <c r="K16" s="28">
        <v>2.5</v>
      </c>
      <c r="L16" s="34"/>
      <c r="M16" s="34">
        <f t="shared" si="1"/>
        <v>0</v>
      </c>
      <c r="N16" s="35">
        <f>M16*18</f>
        <v>0</v>
      </c>
      <c r="O16" s="2"/>
      <c r="P16" s="25" t="s">
        <v>19</v>
      </c>
      <c r="Q16" s="26">
        <f>G5</f>
        <v>0</v>
      </c>
      <c r="R16" s="27"/>
      <c r="S16" s="28">
        <f t="shared" si="7"/>
        <v>0</v>
      </c>
      <c r="T16" s="29"/>
      <c r="U16" s="38"/>
    </row>
    <row r="17" spans="2:21">
      <c r="B17" s="32">
        <v>16</v>
      </c>
      <c r="C17" s="28" t="s">
        <v>39</v>
      </c>
      <c r="D17" s="28">
        <v>2.9</v>
      </c>
      <c r="E17" s="60"/>
      <c r="F17" s="34">
        <f t="shared" si="5"/>
        <v>0</v>
      </c>
      <c r="G17" s="35">
        <f t="shared" si="6"/>
        <v>0</v>
      </c>
      <c r="H17" s="45"/>
      <c r="I17" s="32">
        <v>17</v>
      </c>
      <c r="J17" s="28" t="s">
        <v>38</v>
      </c>
      <c r="K17" s="28">
        <v>2.6</v>
      </c>
      <c r="L17" s="34"/>
      <c r="M17" s="34">
        <f t="shared" si="1"/>
        <v>0</v>
      </c>
      <c r="N17" s="35">
        <f>M17*18</f>
        <v>0</v>
      </c>
      <c r="O17" s="2"/>
      <c r="P17" s="25" t="s">
        <v>22</v>
      </c>
      <c r="Q17" s="26">
        <f>G6</f>
        <v>0</v>
      </c>
      <c r="R17" s="27"/>
      <c r="S17" s="28">
        <f t="shared" si="7"/>
        <v>0</v>
      </c>
      <c r="T17" s="29"/>
      <c r="U17" s="38"/>
    </row>
    <row r="18" spans="2:21">
      <c r="B18" s="32">
        <v>17</v>
      </c>
      <c r="C18" s="28" t="s">
        <v>39</v>
      </c>
      <c r="D18" s="28">
        <v>2.9</v>
      </c>
      <c r="E18" s="60"/>
      <c r="F18" s="34">
        <f t="shared" si="5"/>
        <v>0</v>
      </c>
      <c r="G18" s="35">
        <f t="shared" si="6"/>
        <v>0</v>
      </c>
      <c r="H18" s="45"/>
      <c r="I18" s="32">
        <v>18</v>
      </c>
      <c r="J18" s="28" t="s">
        <v>38</v>
      </c>
      <c r="K18" s="28">
        <v>2.7</v>
      </c>
      <c r="L18" s="34"/>
      <c r="M18" s="34">
        <f t="shared" si="1"/>
        <v>0</v>
      </c>
      <c r="N18" s="35">
        <f>M18*18</f>
        <v>0</v>
      </c>
      <c r="O18" s="2"/>
      <c r="P18" s="25" t="s">
        <v>40</v>
      </c>
      <c r="Q18" s="26">
        <f>G7+G8+G11+G12+N8+N9+N10</f>
        <v>0</v>
      </c>
      <c r="R18" s="27"/>
      <c r="S18" s="28">
        <f t="shared" si="7"/>
        <v>0</v>
      </c>
      <c r="T18" s="29"/>
      <c r="U18" s="30"/>
    </row>
    <row r="19" spans="2:21">
      <c r="B19" s="32">
        <v>18</v>
      </c>
      <c r="C19" s="28" t="s">
        <v>39</v>
      </c>
      <c r="D19" s="28">
        <v>3.1</v>
      </c>
      <c r="E19" s="60"/>
      <c r="F19" s="34">
        <f>D19*E19</f>
        <v>0</v>
      </c>
      <c r="G19" s="35">
        <f t="shared" si="6"/>
        <v>0</v>
      </c>
      <c r="H19" s="45"/>
      <c r="I19" s="32">
        <v>19</v>
      </c>
      <c r="J19" s="28" t="s">
        <v>41</v>
      </c>
      <c r="K19" s="28">
        <v>2.8</v>
      </c>
      <c r="L19" s="34"/>
      <c r="M19" s="34">
        <f>L19*K19</f>
        <v>0</v>
      </c>
      <c r="N19" s="35">
        <f>M19*9</f>
        <v>0</v>
      </c>
      <c r="O19" s="2"/>
      <c r="P19" s="25" t="s">
        <v>42</v>
      </c>
      <c r="Q19" s="26">
        <f>G13+G14</f>
        <v>0</v>
      </c>
      <c r="R19" s="29"/>
      <c r="S19" s="28">
        <f t="shared" si="4"/>
        <v>0</v>
      </c>
      <c r="T19" s="29"/>
      <c r="U19" s="30"/>
    </row>
    <row r="20" spans="2:21">
      <c r="B20" s="32">
        <v>19</v>
      </c>
      <c r="C20" s="28" t="s">
        <v>43</v>
      </c>
      <c r="D20" s="28">
        <v>3.1</v>
      </c>
      <c r="E20" s="60"/>
      <c r="F20" s="34">
        <f>D20*E20</f>
        <v>0</v>
      </c>
      <c r="G20" s="35">
        <f t="shared" si="6"/>
        <v>0</v>
      </c>
      <c r="H20" s="45"/>
      <c r="I20" s="32">
        <v>20</v>
      </c>
      <c r="J20" s="28" t="s">
        <v>41</v>
      </c>
      <c r="K20" s="28">
        <v>2.9</v>
      </c>
      <c r="L20" s="34"/>
      <c r="M20" s="34">
        <f t="shared" si="1"/>
        <v>0</v>
      </c>
      <c r="N20" s="35">
        <f>M20*18</f>
        <v>0</v>
      </c>
      <c r="O20" s="2"/>
      <c r="P20" s="25" t="s">
        <v>44</v>
      </c>
      <c r="Q20" s="26">
        <f>G15+G16</f>
        <v>0</v>
      </c>
      <c r="R20" s="27"/>
      <c r="S20" s="28">
        <f>Q20-R20</f>
        <v>0</v>
      </c>
      <c r="T20" s="29"/>
      <c r="U20" s="30" t="s">
        <v>45</v>
      </c>
    </row>
    <row r="21" spans="2:21">
      <c r="B21" s="32">
        <v>20</v>
      </c>
      <c r="C21" s="28" t="s">
        <v>43</v>
      </c>
      <c r="D21" s="28">
        <v>3.1</v>
      </c>
      <c r="E21" s="60"/>
      <c r="F21" s="34">
        <f>D21*E21</f>
        <v>0</v>
      </c>
      <c r="G21" s="35">
        <f t="shared" si="6"/>
        <v>0</v>
      </c>
      <c r="H21" s="45"/>
      <c r="I21" s="32">
        <v>21</v>
      </c>
      <c r="J21" s="28" t="s">
        <v>41</v>
      </c>
      <c r="K21" s="28">
        <v>2.9</v>
      </c>
      <c r="L21" s="34"/>
      <c r="M21" s="34">
        <f t="shared" si="1"/>
        <v>0</v>
      </c>
      <c r="N21" s="35">
        <f>M21*18</f>
        <v>0</v>
      </c>
      <c r="O21" s="2"/>
      <c r="P21" s="25" t="s">
        <v>46</v>
      </c>
      <c r="Q21" s="26">
        <f>G17+G18+G19</f>
        <v>0</v>
      </c>
      <c r="R21" s="27"/>
      <c r="S21" s="28">
        <f t="shared" si="4"/>
        <v>0</v>
      </c>
      <c r="T21" s="29"/>
      <c r="U21" s="30"/>
    </row>
    <row r="22" spans="2:21" ht="15.75" thickBot="1">
      <c r="B22" s="32">
        <v>21</v>
      </c>
      <c r="C22" s="28" t="s">
        <v>43</v>
      </c>
      <c r="D22" s="28">
        <v>3.1</v>
      </c>
      <c r="E22" s="60"/>
      <c r="F22" s="34">
        <f>D22*E22</f>
        <v>0</v>
      </c>
      <c r="G22" s="35">
        <f t="shared" si="6"/>
        <v>0</v>
      </c>
      <c r="H22" s="45"/>
      <c r="I22" s="32">
        <v>22</v>
      </c>
      <c r="J22" s="28" t="s">
        <v>47</v>
      </c>
      <c r="K22" s="28">
        <v>3</v>
      </c>
      <c r="L22" s="34"/>
      <c r="M22" s="34">
        <f t="shared" si="1"/>
        <v>0</v>
      </c>
      <c r="N22" s="35">
        <f>M22*9</f>
        <v>0</v>
      </c>
      <c r="O22" s="2"/>
      <c r="P22" s="61" t="s">
        <v>43</v>
      </c>
      <c r="Q22" s="62">
        <f>G20+G21+G22+G23</f>
        <v>0</v>
      </c>
      <c r="R22" s="63"/>
      <c r="S22" s="64">
        <f t="shared" si="4"/>
        <v>0</v>
      </c>
      <c r="T22" s="65"/>
      <c r="U22" s="66"/>
    </row>
    <row r="23" spans="2:21" ht="16.5" thickTop="1" thickBot="1">
      <c r="B23" s="67">
        <v>22</v>
      </c>
      <c r="C23" s="68" t="s">
        <v>43</v>
      </c>
      <c r="D23" s="68">
        <v>3.1</v>
      </c>
      <c r="E23" s="69"/>
      <c r="F23" s="70">
        <f>D23*E23</f>
        <v>0</v>
      </c>
      <c r="G23" s="71">
        <f t="shared" si="6"/>
        <v>0</v>
      </c>
      <c r="H23" s="45"/>
      <c r="I23" s="32">
        <v>23</v>
      </c>
      <c r="J23" s="72" t="s">
        <v>47</v>
      </c>
      <c r="K23" s="73">
        <v>3</v>
      </c>
      <c r="L23" s="74"/>
      <c r="M23" s="34">
        <f t="shared" si="1"/>
        <v>0</v>
      </c>
      <c r="N23" s="35">
        <f>M23*9</f>
        <v>0</v>
      </c>
      <c r="O23" s="2"/>
      <c r="P23" s="75"/>
      <c r="Q23" s="76"/>
      <c r="R23" s="76"/>
      <c r="S23" s="77"/>
      <c r="T23" s="77"/>
      <c r="U23" s="78"/>
    </row>
    <row r="24" spans="2:21" ht="15.75" thickBot="1">
      <c r="B24" s="2"/>
      <c r="C24" s="2"/>
      <c r="D24" s="2"/>
      <c r="E24" s="79"/>
      <c r="F24" s="2"/>
      <c r="G24" s="2"/>
      <c r="H24" s="45"/>
      <c r="I24" s="32">
        <v>24</v>
      </c>
      <c r="J24" s="73" t="s">
        <v>47</v>
      </c>
      <c r="K24" s="73">
        <v>3.1</v>
      </c>
      <c r="L24" s="74"/>
      <c r="M24" s="34">
        <f t="shared" si="1"/>
        <v>0</v>
      </c>
      <c r="N24" s="35">
        <f>M24*9</f>
        <v>0</v>
      </c>
      <c r="O24" s="2"/>
      <c r="P24" s="80"/>
      <c r="Q24" s="9"/>
      <c r="R24" s="9"/>
      <c r="S24" s="9"/>
      <c r="T24" s="9"/>
      <c r="U24" s="2"/>
    </row>
    <row r="25" spans="2:21" ht="15.75" thickBot="1">
      <c r="B25" s="95" t="s">
        <v>48</v>
      </c>
      <c r="C25" s="2"/>
      <c r="D25" s="2"/>
      <c r="E25" s="2"/>
      <c r="F25" s="2"/>
      <c r="G25" s="2"/>
      <c r="H25" s="45"/>
      <c r="I25" s="32">
        <v>25</v>
      </c>
      <c r="J25" s="73" t="s">
        <v>49</v>
      </c>
      <c r="K25" s="73">
        <v>3.1</v>
      </c>
      <c r="L25" s="74"/>
      <c r="M25" s="34">
        <f t="shared" si="1"/>
        <v>0</v>
      </c>
      <c r="N25" s="35">
        <f t="shared" si="2"/>
        <v>0</v>
      </c>
      <c r="O25" s="2"/>
      <c r="P25" s="81" t="s">
        <v>50</v>
      </c>
      <c r="Q25" s="82" t="s">
        <v>9</v>
      </c>
      <c r="R25" s="82" t="s">
        <v>10</v>
      </c>
      <c r="S25" s="82" t="s">
        <v>11</v>
      </c>
      <c r="T25" s="82"/>
      <c r="U25" s="83" t="s">
        <v>13</v>
      </c>
    </row>
    <row r="26" spans="2:21" ht="16.5" thickBot="1">
      <c r="B26" s="117" t="s">
        <v>3</v>
      </c>
      <c r="C26" s="118" t="s">
        <v>4</v>
      </c>
      <c r="D26" s="118" t="s">
        <v>5</v>
      </c>
      <c r="E26" s="118" t="s">
        <v>6</v>
      </c>
      <c r="F26" s="118" t="s">
        <v>7</v>
      </c>
      <c r="G26" s="119" t="s">
        <v>51</v>
      </c>
      <c r="H26" s="45"/>
      <c r="I26" s="32">
        <v>26</v>
      </c>
      <c r="J26" s="73" t="s">
        <v>52</v>
      </c>
      <c r="K26" s="73">
        <v>3.1</v>
      </c>
      <c r="L26" s="74"/>
      <c r="M26" s="34">
        <f t="shared" si="1"/>
        <v>0</v>
      </c>
      <c r="N26" s="35">
        <f t="shared" si="2"/>
        <v>0</v>
      </c>
      <c r="O26" s="2"/>
      <c r="P26" s="84" t="s">
        <v>53</v>
      </c>
      <c r="Q26" s="15"/>
      <c r="R26" s="15"/>
      <c r="S26" s="15">
        <f>Q26-R26</f>
        <v>0</v>
      </c>
      <c r="T26" s="15"/>
      <c r="U26" s="19"/>
    </row>
    <row r="27" spans="2:21" ht="15.75" thickBot="1">
      <c r="B27" s="120" t="s">
        <v>54</v>
      </c>
      <c r="C27" s="28" t="s">
        <v>54</v>
      </c>
      <c r="D27" s="28">
        <v>2.6</v>
      </c>
      <c r="E27" s="29"/>
      <c r="F27" s="34">
        <f>E27*D27</f>
        <v>0</v>
      </c>
      <c r="G27" s="35">
        <f>F27*10</f>
        <v>0</v>
      </c>
      <c r="H27" s="45"/>
      <c r="I27" s="32">
        <v>27</v>
      </c>
      <c r="J27" s="73" t="s">
        <v>49</v>
      </c>
      <c r="K27" s="73">
        <v>3.3</v>
      </c>
      <c r="L27" s="74"/>
      <c r="M27" s="34">
        <f t="shared" si="1"/>
        <v>0</v>
      </c>
      <c r="N27" s="35">
        <f t="shared" si="2"/>
        <v>0</v>
      </c>
      <c r="O27" s="2"/>
      <c r="P27" s="85" t="s">
        <v>55</v>
      </c>
      <c r="Q27" s="28"/>
      <c r="R27" s="27"/>
      <c r="S27" s="15">
        <f t="shared" ref="S27:S29" si="8">Q27-R27</f>
        <v>0</v>
      </c>
      <c r="T27" s="23"/>
      <c r="U27" s="24"/>
    </row>
    <row r="28" spans="2:21" ht="15.75" thickBot="1">
      <c r="B28" s="120" t="s">
        <v>56</v>
      </c>
      <c r="C28" s="28" t="s">
        <v>56</v>
      </c>
      <c r="D28" s="28">
        <v>2.5</v>
      </c>
      <c r="E28" s="29"/>
      <c r="F28" s="34">
        <f>E28*D28</f>
        <v>0</v>
      </c>
      <c r="G28" s="35">
        <f t="shared" ref="G28" si="9">F28*10</f>
        <v>0</v>
      </c>
      <c r="H28" s="45"/>
      <c r="I28" s="32">
        <v>28</v>
      </c>
      <c r="J28" s="73" t="s">
        <v>49</v>
      </c>
      <c r="K28" s="73">
        <v>3.3</v>
      </c>
      <c r="L28" s="74"/>
      <c r="M28" s="34">
        <f t="shared" si="1"/>
        <v>0</v>
      </c>
      <c r="N28" s="35">
        <f t="shared" si="2"/>
        <v>0</v>
      </c>
      <c r="O28" s="2"/>
      <c r="P28" s="86" t="s">
        <v>57</v>
      </c>
      <c r="Q28" s="28">
        <f>G29</f>
        <v>0</v>
      </c>
      <c r="R28" s="28"/>
      <c r="S28" s="15">
        <f t="shared" si="8"/>
        <v>0</v>
      </c>
      <c r="T28" s="9"/>
      <c r="U28" s="35"/>
    </row>
    <row r="29" spans="2:21" ht="15.75" thickBot="1">
      <c r="B29" s="121" t="s">
        <v>58</v>
      </c>
      <c r="C29" s="64" t="s">
        <v>59</v>
      </c>
      <c r="D29" s="64">
        <v>2.5</v>
      </c>
      <c r="E29" s="65"/>
      <c r="F29" s="87">
        <f>E29*D29</f>
        <v>0</v>
      </c>
      <c r="G29" s="122">
        <f>F29*5</f>
        <v>0</v>
      </c>
      <c r="H29" s="45"/>
      <c r="I29" s="32">
        <v>29</v>
      </c>
      <c r="J29" s="73" t="s">
        <v>52</v>
      </c>
      <c r="K29" s="73">
        <v>6</v>
      </c>
      <c r="L29" s="74"/>
      <c r="M29" s="34">
        <f t="shared" si="1"/>
        <v>0</v>
      </c>
      <c r="N29" s="35">
        <f t="shared" si="2"/>
        <v>0</v>
      </c>
      <c r="O29" s="2"/>
      <c r="P29" s="88" t="s">
        <v>60</v>
      </c>
      <c r="Q29" s="68"/>
      <c r="R29" s="89"/>
      <c r="S29" s="15">
        <f t="shared" si="8"/>
        <v>0</v>
      </c>
      <c r="T29" s="28"/>
      <c r="U29" s="71"/>
    </row>
    <row r="30" spans="2:21" ht="15.75" thickBot="1">
      <c r="B30" s="123" t="s">
        <v>61</v>
      </c>
      <c r="C30" s="68" t="s">
        <v>28</v>
      </c>
      <c r="D30" s="68">
        <v>2.6</v>
      </c>
      <c r="E30" s="116"/>
      <c r="F30" s="70">
        <f>E30*D30</f>
        <v>0</v>
      </c>
      <c r="G30" s="71">
        <f>F30*5</f>
        <v>0</v>
      </c>
      <c r="H30" s="2"/>
      <c r="I30" s="67" t="s">
        <v>62</v>
      </c>
      <c r="J30" s="90" t="s">
        <v>49</v>
      </c>
      <c r="K30" s="90">
        <v>6</v>
      </c>
      <c r="L30" s="89"/>
      <c r="M30" s="70">
        <f t="shared" si="1"/>
        <v>0</v>
      </c>
      <c r="N30" s="71">
        <f t="shared" si="2"/>
        <v>0</v>
      </c>
      <c r="O30" s="2"/>
      <c r="P30" s="91" t="s">
        <v>7</v>
      </c>
      <c r="Q30" s="92">
        <f>SUM(Q4:Q29)</f>
        <v>0</v>
      </c>
      <c r="R30" s="92">
        <f>SUM(R4:R29)</f>
        <v>0</v>
      </c>
      <c r="S30" s="92">
        <f>SUM(S4:S29)</f>
        <v>0</v>
      </c>
      <c r="T30" s="92">
        <f>SUM(T4:T29)</f>
        <v>0</v>
      </c>
      <c r="U30" s="93"/>
    </row>
    <row r="31" spans="2:21">
      <c r="B31" s="94"/>
      <c r="C31" s="9"/>
      <c r="D31" s="9"/>
      <c r="E31" s="9"/>
      <c r="F31" s="2"/>
      <c r="G31" s="2"/>
      <c r="H31" s="45" t="s">
        <v>63</v>
      </c>
      <c r="I31" s="2"/>
      <c r="J31" s="2"/>
      <c r="K31" s="2"/>
      <c r="L31" s="2"/>
      <c r="M31" s="2"/>
      <c r="N31" s="2"/>
      <c r="O31" s="2"/>
      <c r="P31" s="2"/>
      <c r="Q31" s="95" t="s">
        <v>64</v>
      </c>
      <c r="R31" s="2" t="s">
        <v>65</v>
      </c>
      <c r="S31" s="2"/>
      <c r="T31" s="2"/>
      <c r="U31" s="2"/>
    </row>
    <row r="32" spans="2:21" ht="15.75" thickBot="1">
      <c r="B32" s="95" t="s">
        <v>66</v>
      </c>
      <c r="C32" s="2"/>
      <c r="D32" s="2"/>
      <c r="E32" s="2"/>
      <c r="F32" s="2"/>
      <c r="G32" s="2"/>
      <c r="H32" s="45"/>
      <c r="I32" s="2"/>
      <c r="J32" s="2"/>
      <c r="K32" s="2"/>
      <c r="L32" s="2"/>
      <c r="M32" s="2"/>
      <c r="N32" s="2"/>
      <c r="O32" s="2"/>
      <c r="P32" s="95"/>
      <c r="Q32" s="2"/>
      <c r="R32" s="9"/>
      <c r="S32" s="2"/>
      <c r="T32" s="2"/>
      <c r="U32" s="2"/>
    </row>
    <row r="33" spans="2:21" ht="16.5" thickBot="1">
      <c r="B33" s="96" t="s">
        <v>3</v>
      </c>
      <c r="C33" s="97" t="s">
        <v>4</v>
      </c>
      <c r="D33" s="7" t="s">
        <v>5</v>
      </c>
      <c r="E33" s="7" t="s">
        <v>6</v>
      </c>
      <c r="F33" s="7" t="s">
        <v>7</v>
      </c>
      <c r="G33" s="8" t="s">
        <v>67</v>
      </c>
      <c r="H33" s="45"/>
      <c r="I33" s="2"/>
      <c r="J33" s="2"/>
      <c r="K33" s="2"/>
      <c r="L33" s="2"/>
      <c r="M33" s="2"/>
      <c r="N33" s="2"/>
      <c r="O33" s="2"/>
      <c r="P33" s="95"/>
      <c r="Q33" s="2"/>
      <c r="R33" s="2"/>
      <c r="S33" s="2"/>
      <c r="T33" s="2"/>
      <c r="U33" s="2"/>
    </row>
    <row r="34" spans="2:21">
      <c r="B34" s="98" t="s">
        <v>54</v>
      </c>
      <c r="C34" s="99" t="s">
        <v>68</v>
      </c>
      <c r="D34" s="100">
        <v>5</v>
      </c>
      <c r="E34" s="101"/>
      <c r="F34" s="21">
        <f>E34*D34</f>
        <v>0</v>
      </c>
      <c r="G34" s="102">
        <f>F34*16</f>
        <v>0</v>
      </c>
      <c r="H34" s="45"/>
      <c r="I34" s="2"/>
      <c r="J34" s="2"/>
      <c r="K34" s="2"/>
      <c r="L34" s="2"/>
      <c r="M34" s="2"/>
      <c r="N34" s="2"/>
      <c r="O34" s="2"/>
      <c r="P34" s="95"/>
      <c r="Q34" s="2"/>
      <c r="R34" s="2"/>
      <c r="S34" s="2"/>
      <c r="T34" s="2"/>
      <c r="U34" s="2"/>
    </row>
    <row r="35" spans="2:21" ht="15.75" thickBot="1">
      <c r="B35" s="103" t="s">
        <v>54</v>
      </c>
      <c r="C35" s="104" t="s">
        <v>69</v>
      </c>
      <c r="D35" s="105">
        <v>4</v>
      </c>
      <c r="E35" s="68"/>
      <c r="F35" s="68">
        <f>E35*D35</f>
        <v>0</v>
      </c>
      <c r="G35" s="106">
        <f>F35*8</f>
        <v>0</v>
      </c>
      <c r="H35" s="45"/>
      <c r="I35" s="2"/>
      <c r="J35" s="2"/>
      <c r="K35" s="2"/>
      <c r="L35" s="2"/>
      <c r="M35" s="2"/>
      <c r="N35" s="2"/>
      <c r="O35" s="2"/>
      <c r="P35" s="95"/>
      <c r="Q35" s="2"/>
      <c r="R35" s="2"/>
      <c r="S35" s="2"/>
      <c r="T35" s="2"/>
      <c r="U35" s="2"/>
    </row>
    <row r="36" spans="2:21">
      <c r="B36" s="2"/>
      <c r="C36" s="9"/>
      <c r="D36" s="2"/>
      <c r="E36" s="2"/>
      <c r="F36" s="2"/>
      <c r="G36" s="2"/>
      <c r="H36" s="4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 ht="15.75" thickBot="1">
      <c r="B37" s="95" t="s">
        <v>70</v>
      </c>
      <c r="C37" s="2"/>
      <c r="D37" s="2"/>
      <c r="E37" s="2"/>
      <c r="F37" s="2"/>
      <c r="G37" s="2"/>
      <c r="H37" s="4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 ht="16.5" thickBot="1">
      <c r="B38" s="96" t="s">
        <v>3</v>
      </c>
      <c r="C38" s="107" t="s">
        <v>4</v>
      </c>
      <c r="D38" s="97" t="s">
        <v>5</v>
      </c>
      <c r="E38" s="7" t="s">
        <v>6</v>
      </c>
      <c r="F38" s="7" t="s">
        <v>7</v>
      </c>
      <c r="G38" s="8" t="s">
        <v>51</v>
      </c>
      <c r="H38" s="4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 ht="15.75">
      <c r="B39" s="98" t="s">
        <v>71</v>
      </c>
      <c r="C39" s="108" t="s">
        <v>72</v>
      </c>
      <c r="D39" s="109">
        <v>0.35</v>
      </c>
      <c r="E39" s="110"/>
      <c r="F39" s="23">
        <f t="shared" ref="F39:F41" si="10">E39*D39</f>
        <v>0</v>
      </c>
      <c r="G39" s="24">
        <f>F39*10</f>
        <v>0</v>
      </c>
      <c r="H39" s="4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>
      <c r="B40" s="111" t="s">
        <v>73</v>
      </c>
      <c r="C40" s="112" t="s">
        <v>74</v>
      </c>
      <c r="D40" s="26">
        <v>8</v>
      </c>
      <c r="E40" s="29"/>
      <c r="F40" s="34">
        <f t="shared" si="10"/>
        <v>0</v>
      </c>
      <c r="G40" s="35">
        <f>F40*10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 ht="15.75" thickBot="1">
      <c r="B41" s="113" t="s">
        <v>1</v>
      </c>
      <c r="C41" s="114" t="s">
        <v>75</v>
      </c>
      <c r="D41" s="115">
        <v>8</v>
      </c>
      <c r="E41" s="116"/>
      <c r="F41" s="70">
        <f t="shared" si="10"/>
        <v>0</v>
      </c>
      <c r="G41" s="71">
        <f>F41*10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7FF0-2175-4253-AF8D-4653AC564D07}">
  <dimension ref="B1:U42"/>
  <sheetViews>
    <sheetView workbookViewId="0">
      <selection activeCell="B2" sqref="B2:U42"/>
    </sheetView>
  </sheetViews>
  <sheetFormatPr defaultRowHeight="15"/>
  <cols>
    <col min="2" max="2" width="22.5703125" customWidth="1"/>
    <col min="3" max="3" width="13.28515625" customWidth="1"/>
    <col min="16" max="16" width="15.85546875" customWidth="1"/>
  </cols>
  <sheetData>
    <row r="1" spans="2:21" ht="15.75" thickBot="1"/>
    <row r="2" spans="2:21" ht="17.25" thickTop="1" thickBot="1">
      <c r="B2" s="1" t="s">
        <v>0</v>
      </c>
      <c r="C2" s="2"/>
      <c r="D2" s="2"/>
      <c r="E2" s="2"/>
      <c r="F2" s="2"/>
      <c r="G2" s="2"/>
      <c r="H2" s="2"/>
      <c r="I2" s="3" t="s">
        <v>1</v>
      </c>
      <c r="J2" s="2"/>
      <c r="K2" s="2"/>
      <c r="L2" s="2"/>
      <c r="M2" s="2"/>
      <c r="N2" s="2"/>
      <c r="O2" s="2"/>
      <c r="P2" s="4" t="s">
        <v>2</v>
      </c>
      <c r="Q2" s="5"/>
      <c r="R2" s="2"/>
      <c r="S2" s="2"/>
      <c r="T2" s="2"/>
      <c r="U2" s="2"/>
    </row>
    <row r="3" spans="2:21" ht="17.25" thickTop="1" thickBot="1"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9"/>
      <c r="I3" s="6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8" t="s">
        <v>8</v>
      </c>
      <c r="O3" s="2"/>
      <c r="P3" s="10" t="s">
        <v>4</v>
      </c>
      <c r="Q3" s="11" t="s">
        <v>9</v>
      </c>
      <c r="R3" s="12" t="s">
        <v>10</v>
      </c>
      <c r="S3" s="12" t="s">
        <v>11</v>
      </c>
      <c r="T3" s="12" t="s">
        <v>12</v>
      </c>
      <c r="U3" s="13" t="s">
        <v>13</v>
      </c>
    </row>
    <row r="4" spans="2:21" ht="15.75">
      <c r="B4" s="14" t="s">
        <v>14</v>
      </c>
      <c r="C4" s="15" t="s">
        <v>15</v>
      </c>
      <c r="D4" s="16">
        <v>0.1</v>
      </c>
      <c r="E4" s="17"/>
      <c r="F4" s="18">
        <f>E4*D4</f>
        <v>0</v>
      </c>
      <c r="G4" s="19">
        <f>F4*9</f>
        <v>0</v>
      </c>
      <c r="H4" s="9"/>
      <c r="I4" s="20">
        <v>4</v>
      </c>
      <c r="J4" s="21" t="s">
        <v>16</v>
      </c>
      <c r="K4" s="21">
        <v>0.35</v>
      </c>
      <c r="L4" s="22"/>
      <c r="M4" s="23">
        <f>L4*K4</f>
        <v>0</v>
      </c>
      <c r="N4" s="24">
        <f>M4*9</f>
        <v>0</v>
      </c>
      <c r="O4" s="2"/>
      <c r="P4" s="25" t="s">
        <v>17</v>
      </c>
      <c r="Q4" s="26">
        <f>G27</f>
        <v>0</v>
      </c>
      <c r="R4" s="27"/>
      <c r="S4" s="28">
        <f t="shared" ref="S4:S5" si="0">Q4-R4</f>
        <v>0</v>
      </c>
      <c r="T4" s="29"/>
      <c r="U4" s="30"/>
    </row>
    <row r="5" spans="2:21">
      <c r="B5" s="20" t="s">
        <v>18</v>
      </c>
      <c r="C5" s="28" t="s">
        <v>19</v>
      </c>
      <c r="D5" s="21">
        <v>4</v>
      </c>
      <c r="E5" s="31"/>
      <c r="F5" s="23">
        <f>E5*D5</f>
        <v>0</v>
      </c>
      <c r="G5" s="24">
        <f>F5</f>
        <v>0</v>
      </c>
      <c r="H5" s="9"/>
      <c r="I5" s="32">
        <v>5</v>
      </c>
      <c r="J5" s="28" t="s">
        <v>16</v>
      </c>
      <c r="K5" s="28">
        <v>0.45</v>
      </c>
      <c r="L5" s="33"/>
      <c r="M5" s="34">
        <f t="shared" ref="M5:M30" si="1">L5*K5</f>
        <v>0</v>
      </c>
      <c r="N5" s="35">
        <f t="shared" ref="N5:N30" si="2">M5*9</f>
        <v>0</v>
      </c>
      <c r="O5" s="2"/>
      <c r="P5" s="25" t="s">
        <v>20</v>
      </c>
      <c r="Q5" s="26">
        <f>G28</f>
        <v>0</v>
      </c>
      <c r="R5" s="27"/>
      <c r="S5" s="28">
        <f t="shared" si="0"/>
        <v>0</v>
      </c>
      <c r="T5" s="29"/>
      <c r="U5" s="30"/>
    </row>
    <row r="6" spans="2:21">
      <c r="B6" s="20" t="s">
        <v>21</v>
      </c>
      <c r="C6" s="28" t="s">
        <v>22</v>
      </c>
      <c r="D6" s="28">
        <v>13</v>
      </c>
      <c r="E6" s="31"/>
      <c r="F6" s="34">
        <f>E6*D6</f>
        <v>0</v>
      </c>
      <c r="G6" s="35">
        <f>F6</f>
        <v>0</v>
      </c>
      <c r="H6" s="9"/>
      <c r="I6" s="32">
        <v>6</v>
      </c>
      <c r="J6" s="28" t="s">
        <v>22</v>
      </c>
      <c r="K6" s="28">
        <v>0.9</v>
      </c>
      <c r="L6" s="33"/>
      <c r="M6" s="34">
        <f t="shared" si="1"/>
        <v>0</v>
      </c>
      <c r="N6" s="35">
        <f t="shared" si="2"/>
        <v>0</v>
      </c>
      <c r="O6" s="2"/>
      <c r="P6" s="25" t="s">
        <v>23</v>
      </c>
      <c r="Q6" s="26">
        <f>G34+N30</f>
        <v>0</v>
      </c>
      <c r="R6" s="27"/>
      <c r="S6" s="28">
        <f>Q6-R6</f>
        <v>0</v>
      </c>
      <c r="T6" s="29"/>
      <c r="U6" s="30"/>
    </row>
    <row r="7" spans="2:21">
      <c r="B7" s="32">
        <v>8</v>
      </c>
      <c r="C7" s="28" t="s">
        <v>24</v>
      </c>
      <c r="D7" s="28">
        <v>1.3</v>
      </c>
      <c r="E7" s="36"/>
      <c r="F7" s="34">
        <f t="shared" ref="F7:F8" si="3">E7*D7</f>
        <v>0</v>
      </c>
      <c r="G7" s="35">
        <f>F7*9</f>
        <v>0</v>
      </c>
      <c r="H7" s="9"/>
      <c r="I7" s="32">
        <v>7</v>
      </c>
      <c r="J7" s="28" t="s">
        <v>25</v>
      </c>
      <c r="K7" s="28">
        <v>1</v>
      </c>
      <c r="L7" s="33"/>
      <c r="M7" s="34">
        <f t="shared" si="1"/>
        <v>0</v>
      </c>
      <c r="N7" s="35">
        <f t="shared" si="2"/>
        <v>0</v>
      </c>
      <c r="O7" s="2"/>
      <c r="P7" s="37" t="s">
        <v>26</v>
      </c>
      <c r="Q7" s="26">
        <f>G41</f>
        <v>0</v>
      </c>
      <c r="R7" s="29"/>
      <c r="S7" s="28">
        <f>Q7-R7</f>
        <v>0</v>
      </c>
      <c r="T7" s="29"/>
      <c r="U7" s="38"/>
    </row>
    <row r="8" spans="2:21" ht="15.75" thickBot="1">
      <c r="B8" s="39">
        <v>9</v>
      </c>
      <c r="C8" s="40" t="s">
        <v>24</v>
      </c>
      <c r="D8" s="41">
        <v>1.3</v>
      </c>
      <c r="E8" s="42"/>
      <c r="F8" s="43">
        <f t="shared" si="3"/>
        <v>0</v>
      </c>
      <c r="G8" s="44">
        <f>F8*9</f>
        <v>0</v>
      </c>
      <c r="H8" s="45"/>
      <c r="I8" s="32">
        <v>8</v>
      </c>
      <c r="J8" s="28" t="s">
        <v>24</v>
      </c>
      <c r="K8" s="28">
        <v>1.6</v>
      </c>
      <c r="L8" s="33"/>
      <c r="M8" s="34">
        <f t="shared" si="1"/>
        <v>0</v>
      </c>
      <c r="N8" s="35">
        <f t="shared" si="2"/>
        <v>0</v>
      </c>
      <c r="O8" s="2"/>
      <c r="P8" s="37" t="s">
        <v>27</v>
      </c>
      <c r="Q8" s="26">
        <f>G40</f>
        <v>0</v>
      </c>
      <c r="R8" s="27"/>
      <c r="S8" s="28">
        <f t="shared" ref="S8:S22" si="4">Q8-R8</f>
        <v>0</v>
      </c>
      <c r="T8" s="29"/>
      <c r="U8" s="38"/>
    </row>
    <row r="9" spans="2:21" ht="15.75" thickBot="1">
      <c r="B9" s="46"/>
      <c r="C9" s="47"/>
      <c r="D9" s="48"/>
      <c r="E9" s="49"/>
      <c r="F9" s="50"/>
      <c r="G9" s="50"/>
      <c r="H9" s="45"/>
      <c r="I9" s="32">
        <v>9</v>
      </c>
      <c r="J9" s="28" t="s">
        <v>24</v>
      </c>
      <c r="K9" s="28">
        <v>1.6</v>
      </c>
      <c r="L9" s="33"/>
      <c r="M9" s="34">
        <f t="shared" si="1"/>
        <v>0</v>
      </c>
      <c r="N9" s="35">
        <f t="shared" si="2"/>
        <v>0</v>
      </c>
      <c r="O9" s="2"/>
      <c r="P9" s="25" t="s">
        <v>28</v>
      </c>
      <c r="Q9" s="26">
        <f>G30</f>
        <v>0</v>
      </c>
      <c r="R9" s="29"/>
      <c r="S9" s="28">
        <f t="shared" si="4"/>
        <v>0</v>
      </c>
      <c r="T9" s="29"/>
      <c r="U9" s="38"/>
    </row>
    <row r="10" spans="2:21" ht="15.75" thickBot="1">
      <c r="B10" s="51" t="s">
        <v>29</v>
      </c>
      <c r="C10" s="52"/>
      <c r="D10" s="52"/>
      <c r="E10" s="53"/>
      <c r="F10" s="54"/>
      <c r="G10" s="54"/>
      <c r="H10" s="55"/>
      <c r="I10" s="32">
        <v>10</v>
      </c>
      <c r="J10" s="28" t="s">
        <v>24</v>
      </c>
      <c r="K10" s="28">
        <v>1.6</v>
      </c>
      <c r="L10" s="33"/>
      <c r="M10" s="34">
        <f t="shared" si="1"/>
        <v>0</v>
      </c>
      <c r="N10" s="35">
        <f t="shared" si="2"/>
        <v>0</v>
      </c>
      <c r="O10" s="2"/>
      <c r="P10" s="25" t="s">
        <v>30</v>
      </c>
      <c r="Q10" s="26">
        <f>N11+N12+N13+N14+N15</f>
        <v>0</v>
      </c>
      <c r="R10" s="27"/>
      <c r="S10" s="28">
        <f t="shared" si="4"/>
        <v>0</v>
      </c>
      <c r="T10" s="29"/>
      <c r="U10" s="30"/>
    </row>
    <row r="11" spans="2:21">
      <c r="B11" s="32">
        <v>10</v>
      </c>
      <c r="C11" s="28" t="s">
        <v>24</v>
      </c>
      <c r="D11" s="28">
        <v>1.7</v>
      </c>
      <c r="E11" s="56"/>
      <c r="F11" s="34">
        <f t="shared" ref="F11:F18" si="5">E11*D11</f>
        <v>0</v>
      </c>
      <c r="G11" s="35">
        <f t="shared" ref="G11:G23" si="6">F11*9</f>
        <v>0</v>
      </c>
      <c r="H11" s="45"/>
      <c r="I11" s="32">
        <v>11</v>
      </c>
      <c r="J11" s="28" t="s">
        <v>31</v>
      </c>
      <c r="K11" s="28">
        <v>1.8</v>
      </c>
      <c r="L11" s="33"/>
      <c r="M11" s="34">
        <f t="shared" si="1"/>
        <v>0</v>
      </c>
      <c r="N11" s="35">
        <f t="shared" si="2"/>
        <v>0</v>
      </c>
      <c r="O11" s="2"/>
      <c r="P11" s="25" t="s">
        <v>32</v>
      </c>
      <c r="Q11" s="26">
        <f>N16+N17+N18+N19+N20+N21</f>
        <v>0</v>
      </c>
      <c r="R11" s="27"/>
      <c r="S11" s="28">
        <f t="shared" si="4"/>
        <v>0</v>
      </c>
      <c r="T11" s="29"/>
      <c r="U11" s="30"/>
    </row>
    <row r="12" spans="2:21">
      <c r="B12" s="32">
        <v>11</v>
      </c>
      <c r="C12" s="28" t="s">
        <v>24</v>
      </c>
      <c r="D12" s="28">
        <v>1.9</v>
      </c>
      <c r="E12" s="57"/>
      <c r="F12" s="34">
        <f t="shared" si="5"/>
        <v>0</v>
      </c>
      <c r="G12" s="35">
        <f t="shared" si="6"/>
        <v>0</v>
      </c>
      <c r="H12" s="45"/>
      <c r="I12" s="32">
        <v>12</v>
      </c>
      <c r="J12" s="28" t="s">
        <v>31</v>
      </c>
      <c r="K12" s="28">
        <v>1.9</v>
      </c>
      <c r="L12" s="34"/>
      <c r="M12" s="34">
        <f>L12*K12</f>
        <v>0</v>
      </c>
      <c r="N12" s="35">
        <f t="shared" si="2"/>
        <v>0</v>
      </c>
      <c r="O12" s="2"/>
      <c r="P12" s="25" t="s">
        <v>33</v>
      </c>
      <c r="Q12" s="26">
        <f>N22+N23</f>
        <v>0</v>
      </c>
      <c r="R12" s="29"/>
      <c r="S12" s="28">
        <f t="shared" si="4"/>
        <v>0</v>
      </c>
      <c r="T12" s="29"/>
      <c r="U12" s="30"/>
    </row>
    <row r="13" spans="2:21">
      <c r="B13" s="32">
        <v>12</v>
      </c>
      <c r="C13" s="28" t="s">
        <v>34</v>
      </c>
      <c r="D13" s="28">
        <v>2.1</v>
      </c>
      <c r="E13" s="57"/>
      <c r="F13" s="34">
        <f t="shared" si="5"/>
        <v>0</v>
      </c>
      <c r="G13" s="35">
        <f t="shared" si="6"/>
        <v>0</v>
      </c>
      <c r="H13" s="45"/>
      <c r="I13" s="32">
        <v>13</v>
      </c>
      <c r="J13" s="28" t="s">
        <v>31</v>
      </c>
      <c r="K13" s="28">
        <v>2.1</v>
      </c>
      <c r="L13" s="34"/>
      <c r="M13" s="34">
        <f t="shared" si="1"/>
        <v>0</v>
      </c>
      <c r="N13" s="35">
        <f t="shared" si="2"/>
        <v>0</v>
      </c>
      <c r="O13" s="2"/>
      <c r="P13" s="25" t="s">
        <v>35</v>
      </c>
      <c r="Q13" s="26">
        <f>N24+N25</f>
        <v>0</v>
      </c>
      <c r="R13" s="29"/>
      <c r="S13" s="28">
        <f>Q13-R13</f>
        <v>0</v>
      </c>
      <c r="T13" s="29"/>
      <c r="U13" s="30"/>
    </row>
    <row r="14" spans="2:21">
      <c r="B14" s="32">
        <v>13</v>
      </c>
      <c r="C14" s="28" t="s">
        <v>34</v>
      </c>
      <c r="D14" s="28">
        <v>2.2999999999999998</v>
      </c>
      <c r="E14" s="57"/>
      <c r="F14" s="34">
        <f t="shared" si="5"/>
        <v>0</v>
      </c>
      <c r="G14" s="35">
        <f t="shared" si="6"/>
        <v>0</v>
      </c>
      <c r="H14" s="45"/>
      <c r="I14" s="32">
        <v>14</v>
      </c>
      <c r="J14" s="28" t="s">
        <v>31</v>
      </c>
      <c r="K14" s="28">
        <v>2.2999999999999998</v>
      </c>
      <c r="L14" s="34"/>
      <c r="M14" s="34">
        <f t="shared" si="1"/>
        <v>0</v>
      </c>
      <c r="N14" s="35">
        <f t="shared" si="2"/>
        <v>0</v>
      </c>
      <c r="O14" s="2"/>
      <c r="P14" s="25" t="s">
        <v>36</v>
      </c>
      <c r="Q14" s="26">
        <f>N26+N27+N28+N29</f>
        <v>0</v>
      </c>
      <c r="R14" s="29"/>
      <c r="S14" s="28">
        <f>Q14-R14</f>
        <v>0</v>
      </c>
      <c r="T14" s="29"/>
      <c r="U14" s="30"/>
    </row>
    <row r="15" spans="2:21">
      <c r="B15" s="32">
        <v>14</v>
      </c>
      <c r="C15" s="28" t="s">
        <v>37</v>
      </c>
      <c r="D15" s="28">
        <v>2.5</v>
      </c>
      <c r="E15" s="58"/>
      <c r="F15" s="34">
        <f t="shared" si="5"/>
        <v>0</v>
      </c>
      <c r="G15" s="35">
        <f t="shared" si="6"/>
        <v>0</v>
      </c>
      <c r="H15" s="45"/>
      <c r="I15" s="32">
        <v>15</v>
      </c>
      <c r="J15" s="28" t="s">
        <v>31</v>
      </c>
      <c r="K15" s="28">
        <v>2.4</v>
      </c>
      <c r="L15" s="34"/>
      <c r="M15" s="34">
        <f t="shared" si="1"/>
        <v>0</v>
      </c>
      <c r="N15" s="35">
        <f t="shared" si="2"/>
        <v>0</v>
      </c>
      <c r="O15" s="2"/>
      <c r="P15" s="59" t="s">
        <v>15</v>
      </c>
      <c r="Q15" s="26">
        <f>G4</f>
        <v>0</v>
      </c>
      <c r="R15" s="29"/>
      <c r="S15" s="28">
        <f t="shared" ref="S15:S18" si="7">Q15-R15</f>
        <v>0</v>
      </c>
      <c r="T15" s="29"/>
      <c r="U15" s="38"/>
    </row>
    <row r="16" spans="2:21">
      <c r="B16" s="32">
        <v>15</v>
      </c>
      <c r="C16" s="28" t="s">
        <v>37</v>
      </c>
      <c r="D16" s="28">
        <v>2.7</v>
      </c>
      <c r="E16" s="60"/>
      <c r="F16" s="34">
        <f t="shared" si="5"/>
        <v>0</v>
      </c>
      <c r="G16" s="35">
        <f t="shared" si="6"/>
        <v>0</v>
      </c>
      <c r="H16" s="45"/>
      <c r="I16" s="32">
        <v>16</v>
      </c>
      <c r="J16" s="28" t="s">
        <v>38</v>
      </c>
      <c r="K16" s="28">
        <v>2.5</v>
      </c>
      <c r="L16" s="34"/>
      <c r="M16" s="34">
        <f t="shared" si="1"/>
        <v>0</v>
      </c>
      <c r="N16" s="35">
        <f>M16*18</f>
        <v>0</v>
      </c>
      <c r="O16" s="2"/>
      <c r="P16" s="25" t="s">
        <v>19</v>
      </c>
      <c r="Q16" s="26">
        <f>G5</f>
        <v>0</v>
      </c>
      <c r="R16" s="27"/>
      <c r="S16" s="28">
        <f t="shared" si="7"/>
        <v>0</v>
      </c>
      <c r="T16" s="29"/>
      <c r="U16" s="38"/>
    </row>
    <row r="17" spans="2:21">
      <c r="B17" s="32">
        <v>16</v>
      </c>
      <c r="C17" s="28" t="s">
        <v>39</v>
      </c>
      <c r="D17" s="28">
        <v>2.9</v>
      </c>
      <c r="E17" s="60"/>
      <c r="F17" s="34">
        <f t="shared" si="5"/>
        <v>0</v>
      </c>
      <c r="G17" s="35">
        <f t="shared" si="6"/>
        <v>0</v>
      </c>
      <c r="H17" s="45"/>
      <c r="I17" s="32">
        <v>17</v>
      </c>
      <c r="J17" s="28" t="s">
        <v>38</v>
      </c>
      <c r="K17" s="28">
        <v>2.6</v>
      </c>
      <c r="L17" s="34"/>
      <c r="M17" s="34">
        <f t="shared" si="1"/>
        <v>0</v>
      </c>
      <c r="N17" s="35">
        <f>M17*18</f>
        <v>0</v>
      </c>
      <c r="O17" s="2"/>
      <c r="P17" s="25" t="s">
        <v>22</v>
      </c>
      <c r="Q17" s="26">
        <f>G6</f>
        <v>0</v>
      </c>
      <c r="R17" s="27"/>
      <c r="S17" s="28">
        <f t="shared" si="7"/>
        <v>0</v>
      </c>
      <c r="T17" s="29"/>
      <c r="U17" s="38"/>
    </row>
    <row r="18" spans="2:21">
      <c r="B18" s="32">
        <v>17</v>
      </c>
      <c r="C18" s="28" t="s">
        <v>39</v>
      </c>
      <c r="D18" s="28">
        <v>2.9</v>
      </c>
      <c r="E18" s="60"/>
      <c r="F18" s="34">
        <f t="shared" si="5"/>
        <v>0</v>
      </c>
      <c r="G18" s="35">
        <f t="shared" si="6"/>
        <v>0</v>
      </c>
      <c r="H18" s="45"/>
      <c r="I18" s="32">
        <v>18</v>
      </c>
      <c r="J18" s="28" t="s">
        <v>38</v>
      </c>
      <c r="K18" s="28">
        <v>2.7</v>
      </c>
      <c r="L18" s="34"/>
      <c r="M18" s="34">
        <f t="shared" si="1"/>
        <v>0</v>
      </c>
      <c r="N18" s="35">
        <f>M18*18</f>
        <v>0</v>
      </c>
      <c r="O18" s="2"/>
      <c r="P18" s="25" t="s">
        <v>40</v>
      </c>
      <c r="Q18" s="26">
        <f>G7+G8+G11+G12+N8+N9+N10</f>
        <v>0</v>
      </c>
      <c r="R18" s="27"/>
      <c r="S18" s="28">
        <f t="shared" si="7"/>
        <v>0</v>
      </c>
      <c r="T18" s="29"/>
      <c r="U18" s="30"/>
    </row>
    <row r="19" spans="2:21">
      <c r="B19" s="32">
        <v>18</v>
      </c>
      <c r="C19" s="28" t="s">
        <v>39</v>
      </c>
      <c r="D19" s="28">
        <v>3.1</v>
      </c>
      <c r="E19" s="60"/>
      <c r="F19" s="34">
        <f>D19*E19</f>
        <v>0</v>
      </c>
      <c r="G19" s="35">
        <f t="shared" si="6"/>
        <v>0</v>
      </c>
      <c r="H19" s="45"/>
      <c r="I19" s="32">
        <v>19</v>
      </c>
      <c r="J19" s="28" t="s">
        <v>41</v>
      </c>
      <c r="K19" s="28">
        <v>2.8</v>
      </c>
      <c r="L19" s="34"/>
      <c r="M19" s="34">
        <f>L19*K19</f>
        <v>0</v>
      </c>
      <c r="N19" s="35">
        <f>M19*9</f>
        <v>0</v>
      </c>
      <c r="O19" s="2"/>
      <c r="P19" s="25" t="s">
        <v>42</v>
      </c>
      <c r="Q19" s="26">
        <f>G13+G14</f>
        <v>0</v>
      </c>
      <c r="R19" s="29"/>
      <c r="S19" s="28">
        <f t="shared" si="4"/>
        <v>0</v>
      </c>
      <c r="T19" s="29"/>
      <c r="U19" s="30"/>
    </row>
    <row r="20" spans="2:21">
      <c r="B20" s="32">
        <v>19</v>
      </c>
      <c r="C20" s="28" t="s">
        <v>43</v>
      </c>
      <c r="D20" s="28">
        <v>3.1</v>
      </c>
      <c r="E20" s="60"/>
      <c r="F20" s="34">
        <f>D20*E20</f>
        <v>0</v>
      </c>
      <c r="G20" s="35">
        <f t="shared" si="6"/>
        <v>0</v>
      </c>
      <c r="H20" s="45"/>
      <c r="I20" s="32">
        <v>20</v>
      </c>
      <c r="J20" s="28" t="s">
        <v>41</v>
      </c>
      <c r="K20" s="28">
        <v>2.9</v>
      </c>
      <c r="L20" s="34"/>
      <c r="M20" s="34">
        <f t="shared" si="1"/>
        <v>0</v>
      </c>
      <c r="N20" s="35">
        <f>M20*18</f>
        <v>0</v>
      </c>
      <c r="O20" s="2"/>
      <c r="P20" s="25" t="s">
        <v>44</v>
      </c>
      <c r="Q20" s="26">
        <f>G15+G16</f>
        <v>0</v>
      </c>
      <c r="R20" s="27"/>
      <c r="S20" s="28">
        <f>Q20-R20</f>
        <v>0</v>
      </c>
      <c r="T20" s="29"/>
      <c r="U20" s="30" t="s">
        <v>45</v>
      </c>
    </row>
    <row r="21" spans="2:21">
      <c r="B21" s="32">
        <v>20</v>
      </c>
      <c r="C21" s="28" t="s">
        <v>43</v>
      </c>
      <c r="D21" s="28">
        <v>3.1</v>
      </c>
      <c r="E21" s="60"/>
      <c r="F21" s="34">
        <f>D21*E21</f>
        <v>0</v>
      </c>
      <c r="G21" s="35">
        <f t="shared" si="6"/>
        <v>0</v>
      </c>
      <c r="H21" s="45"/>
      <c r="I21" s="32">
        <v>21</v>
      </c>
      <c r="J21" s="28" t="s">
        <v>41</v>
      </c>
      <c r="K21" s="28">
        <v>2.9</v>
      </c>
      <c r="L21" s="34"/>
      <c r="M21" s="34">
        <f t="shared" si="1"/>
        <v>0</v>
      </c>
      <c r="N21" s="35">
        <f>M21*18</f>
        <v>0</v>
      </c>
      <c r="O21" s="2"/>
      <c r="P21" s="25" t="s">
        <v>46</v>
      </c>
      <c r="Q21" s="26">
        <f>G17+G18+G19</f>
        <v>0</v>
      </c>
      <c r="R21" s="27"/>
      <c r="S21" s="28">
        <f t="shared" si="4"/>
        <v>0</v>
      </c>
      <c r="T21" s="29"/>
      <c r="U21" s="30"/>
    </row>
    <row r="22" spans="2:21" ht="15.75" thickBot="1">
      <c r="B22" s="32">
        <v>21</v>
      </c>
      <c r="C22" s="28" t="s">
        <v>43</v>
      </c>
      <c r="D22" s="28">
        <v>3.1</v>
      </c>
      <c r="E22" s="60"/>
      <c r="F22" s="34">
        <f>D22*E22</f>
        <v>0</v>
      </c>
      <c r="G22" s="35">
        <f t="shared" si="6"/>
        <v>0</v>
      </c>
      <c r="H22" s="45"/>
      <c r="I22" s="32">
        <v>22</v>
      </c>
      <c r="J22" s="28" t="s">
        <v>47</v>
      </c>
      <c r="K22" s="28">
        <v>3</v>
      </c>
      <c r="L22" s="34"/>
      <c r="M22" s="34">
        <f t="shared" si="1"/>
        <v>0</v>
      </c>
      <c r="N22" s="35">
        <f>M22*9</f>
        <v>0</v>
      </c>
      <c r="O22" s="2"/>
      <c r="P22" s="61" t="s">
        <v>43</v>
      </c>
      <c r="Q22" s="62">
        <f>G20+G21+G22+G23</f>
        <v>0</v>
      </c>
      <c r="R22" s="63"/>
      <c r="S22" s="64">
        <f t="shared" si="4"/>
        <v>0</v>
      </c>
      <c r="T22" s="65"/>
      <c r="U22" s="66"/>
    </row>
    <row r="23" spans="2:21" ht="16.5" thickTop="1" thickBot="1">
      <c r="B23" s="67">
        <v>22</v>
      </c>
      <c r="C23" s="68" t="s">
        <v>43</v>
      </c>
      <c r="D23" s="68">
        <v>3.1</v>
      </c>
      <c r="E23" s="69"/>
      <c r="F23" s="70">
        <f>D23*E23</f>
        <v>0</v>
      </c>
      <c r="G23" s="71">
        <f t="shared" si="6"/>
        <v>0</v>
      </c>
      <c r="H23" s="45"/>
      <c r="I23" s="32">
        <v>23</v>
      </c>
      <c r="J23" s="72" t="s">
        <v>47</v>
      </c>
      <c r="K23" s="73">
        <v>3</v>
      </c>
      <c r="L23" s="74"/>
      <c r="M23" s="34">
        <f t="shared" si="1"/>
        <v>0</v>
      </c>
      <c r="N23" s="35">
        <f>M23*9</f>
        <v>0</v>
      </c>
      <c r="O23" s="2"/>
      <c r="P23" s="75"/>
      <c r="Q23" s="76"/>
      <c r="R23" s="76"/>
      <c r="S23" s="77"/>
      <c r="T23" s="77"/>
      <c r="U23" s="78"/>
    </row>
    <row r="24" spans="2:21" ht="15.75" thickBot="1">
      <c r="B24" s="2"/>
      <c r="C24" s="2"/>
      <c r="D24" s="2"/>
      <c r="E24" s="79"/>
      <c r="F24" s="2"/>
      <c r="G24" s="2"/>
      <c r="H24" s="45"/>
      <c r="I24" s="32">
        <v>24</v>
      </c>
      <c r="J24" s="73" t="s">
        <v>47</v>
      </c>
      <c r="K24" s="73">
        <v>3.1</v>
      </c>
      <c r="L24" s="74"/>
      <c r="M24" s="34">
        <f t="shared" si="1"/>
        <v>0</v>
      </c>
      <c r="N24" s="35">
        <f>M24*9</f>
        <v>0</v>
      </c>
      <c r="O24" s="2"/>
      <c r="P24" s="80"/>
      <c r="Q24" s="9"/>
      <c r="R24" s="9"/>
      <c r="S24" s="9"/>
      <c r="T24" s="9"/>
      <c r="U24" s="2"/>
    </row>
    <row r="25" spans="2:21" ht="15.75" thickBot="1">
      <c r="B25" s="95" t="s">
        <v>48</v>
      </c>
      <c r="C25" s="2"/>
      <c r="D25" s="2"/>
      <c r="E25" s="2"/>
      <c r="F25" s="2"/>
      <c r="G25" s="2"/>
      <c r="H25" s="45"/>
      <c r="I25" s="32">
        <v>25</v>
      </c>
      <c r="J25" s="73" t="s">
        <v>49</v>
      </c>
      <c r="K25" s="73">
        <v>3.1</v>
      </c>
      <c r="L25" s="74"/>
      <c r="M25" s="34">
        <f t="shared" si="1"/>
        <v>0</v>
      </c>
      <c r="N25" s="35">
        <f t="shared" si="2"/>
        <v>0</v>
      </c>
      <c r="O25" s="2"/>
      <c r="P25" s="81" t="s">
        <v>50</v>
      </c>
      <c r="Q25" s="82" t="s">
        <v>9</v>
      </c>
      <c r="R25" s="82" t="s">
        <v>10</v>
      </c>
      <c r="S25" s="82" t="s">
        <v>11</v>
      </c>
      <c r="T25" s="82"/>
      <c r="U25" s="83" t="s">
        <v>13</v>
      </c>
    </row>
    <row r="26" spans="2:21" ht="16.5" thickBot="1">
      <c r="B26" s="117" t="s">
        <v>3</v>
      </c>
      <c r="C26" s="118" t="s">
        <v>4</v>
      </c>
      <c r="D26" s="118" t="s">
        <v>5</v>
      </c>
      <c r="E26" s="118" t="s">
        <v>6</v>
      </c>
      <c r="F26" s="118" t="s">
        <v>7</v>
      </c>
      <c r="G26" s="119" t="s">
        <v>51</v>
      </c>
      <c r="H26" s="45"/>
      <c r="I26" s="32">
        <v>26</v>
      </c>
      <c r="J26" s="73" t="s">
        <v>52</v>
      </c>
      <c r="K26" s="73">
        <v>3.1</v>
      </c>
      <c r="L26" s="74"/>
      <c r="M26" s="34">
        <f t="shared" si="1"/>
        <v>0</v>
      </c>
      <c r="N26" s="35">
        <f t="shared" si="2"/>
        <v>0</v>
      </c>
      <c r="O26" s="2"/>
      <c r="P26" s="84" t="s">
        <v>53</v>
      </c>
      <c r="Q26" s="15"/>
      <c r="R26" s="15"/>
      <c r="S26" s="15">
        <f>Q26-R26</f>
        <v>0</v>
      </c>
      <c r="T26" s="15"/>
      <c r="U26" s="19"/>
    </row>
    <row r="27" spans="2:21" ht="15.75" thickBot="1">
      <c r="B27" s="120" t="s">
        <v>54</v>
      </c>
      <c r="C27" s="28" t="s">
        <v>54</v>
      </c>
      <c r="D27" s="28">
        <v>2.6</v>
      </c>
      <c r="E27" s="29"/>
      <c r="F27" s="34">
        <f>E27*D27</f>
        <v>0</v>
      </c>
      <c r="G27" s="35">
        <f>F27*10</f>
        <v>0</v>
      </c>
      <c r="H27" s="45"/>
      <c r="I27" s="32">
        <v>27</v>
      </c>
      <c r="J27" s="73" t="s">
        <v>49</v>
      </c>
      <c r="K27" s="73">
        <v>3.3</v>
      </c>
      <c r="L27" s="74"/>
      <c r="M27" s="34">
        <f t="shared" si="1"/>
        <v>0</v>
      </c>
      <c r="N27" s="35">
        <f t="shared" si="2"/>
        <v>0</v>
      </c>
      <c r="O27" s="2"/>
      <c r="P27" s="85" t="s">
        <v>55</v>
      </c>
      <c r="Q27" s="28"/>
      <c r="R27" s="27"/>
      <c r="S27" s="15">
        <f t="shared" ref="S27:S29" si="8">Q27-R27</f>
        <v>0</v>
      </c>
      <c r="T27" s="23"/>
      <c r="U27" s="24"/>
    </row>
    <row r="28" spans="2:21" ht="15.75" thickBot="1">
      <c r="B28" s="120" t="s">
        <v>56</v>
      </c>
      <c r="C28" s="28" t="s">
        <v>56</v>
      </c>
      <c r="D28" s="28">
        <v>2.5</v>
      </c>
      <c r="E28" s="29"/>
      <c r="F28" s="34">
        <f>E28*D28</f>
        <v>0</v>
      </c>
      <c r="G28" s="35">
        <f t="shared" ref="G28" si="9">F28*10</f>
        <v>0</v>
      </c>
      <c r="H28" s="45"/>
      <c r="I28" s="32">
        <v>28</v>
      </c>
      <c r="J28" s="73" t="s">
        <v>49</v>
      </c>
      <c r="K28" s="73">
        <v>3.3</v>
      </c>
      <c r="L28" s="74"/>
      <c r="M28" s="34">
        <f t="shared" si="1"/>
        <v>0</v>
      </c>
      <c r="N28" s="35">
        <f t="shared" si="2"/>
        <v>0</v>
      </c>
      <c r="O28" s="2"/>
      <c r="P28" s="86" t="s">
        <v>57</v>
      </c>
      <c r="Q28" s="28">
        <f>G29</f>
        <v>0</v>
      </c>
      <c r="R28" s="28"/>
      <c r="S28" s="15">
        <f t="shared" si="8"/>
        <v>0</v>
      </c>
      <c r="T28" s="9"/>
      <c r="U28" s="35"/>
    </row>
    <row r="29" spans="2:21" ht="15.75" thickBot="1">
      <c r="B29" s="121" t="s">
        <v>58</v>
      </c>
      <c r="C29" s="64" t="s">
        <v>59</v>
      </c>
      <c r="D29" s="64">
        <v>2.5</v>
      </c>
      <c r="E29" s="65"/>
      <c r="F29" s="87">
        <f>E29*D29</f>
        <v>0</v>
      </c>
      <c r="G29" s="122">
        <f>F29*5</f>
        <v>0</v>
      </c>
      <c r="H29" s="45"/>
      <c r="I29" s="32">
        <v>29</v>
      </c>
      <c r="J29" s="73" t="s">
        <v>52</v>
      </c>
      <c r="K29" s="73">
        <v>6</v>
      </c>
      <c r="L29" s="74"/>
      <c r="M29" s="34">
        <f t="shared" si="1"/>
        <v>0</v>
      </c>
      <c r="N29" s="35">
        <f t="shared" si="2"/>
        <v>0</v>
      </c>
      <c r="O29" s="2"/>
      <c r="P29" s="88" t="s">
        <v>60</v>
      </c>
      <c r="Q29" s="68"/>
      <c r="R29" s="89"/>
      <c r="S29" s="15">
        <f t="shared" si="8"/>
        <v>0</v>
      </c>
      <c r="T29" s="28"/>
      <c r="U29" s="71"/>
    </row>
    <row r="30" spans="2:21" ht="15.75" thickBot="1">
      <c r="B30" s="123" t="s">
        <v>61</v>
      </c>
      <c r="C30" s="68" t="s">
        <v>28</v>
      </c>
      <c r="D30" s="68">
        <v>2.6</v>
      </c>
      <c r="E30" s="116"/>
      <c r="F30" s="70">
        <f>E30*D30</f>
        <v>0</v>
      </c>
      <c r="G30" s="71">
        <f>F30*5</f>
        <v>0</v>
      </c>
      <c r="H30" s="2"/>
      <c r="I30" s="67" t="s">
        <v>62</v>
      </c>
      <c r="J30" s="90" t="s">
        <v>49</v>
      </c>
      <c r="K30" s="90">
        <v>6</v>
      </c>
      <c r="L30" s="89"/>
      <c r="M30" s="70">
        <f t="shared" si="1"/>
        <v>0</v>
      </c>
      <c r="N30" s="71">
        <f t="shared" si="2"/>
        <v>0</v>
      </c>
      <c r="O30" s="2"/>
      <c r="P30" s="91" t="s">
        <v>7</v>
      </c>
      <c r="Q30" s="92">
        <f>SUM(Q4:Q29)</f>
        <v>0</v>
      </c>
      <c r="R30" s="92">
        <f>SUM(R4:R29)</f>
        <v>0</v>
      </c>
      <c r="S30" s="92">
        <f>SUM(S4:S29)</f>
        <v>0</v>
      </c>
      <c r="T30" s="92">
        <f>SUM(T4:T29)</f>
        <v>0</v>
      </c>
      <c r="U30" s="93"/>
    </row>
    <row r="31" spans="2:21">
      <c r="B31" s="94"/>
      <c r="C31" s="9"/>
      <c r="D31" s="9"/>
      <c r="E31" s="9"/>
      <c r="F31" s="2"/>
      <c r="G31" s="2"/>
      <c r="H31" s="45" t="s">
        <v>63</v>
      </c>
      <c r="I31" s="2"/>
      <c r="J31" s="2"/>
      <c r="K31" s="2"/>
      <c r="L31" s="2"/>
      <c r="M31" s="2"/>
      <c r="N31" s="2"/>
      <c r="O31" s="2"/>
      <c r="P31" s="2"/>
      <c r="Q31" s="95" t="s">
        <v>64</v>
      </c>
      <c r="R31" s="2" t="s">
        <v>65</v>
      </c>
      <c r="S31" s="2"/>
      <c r="T31" s="2"/>
      <c r="U31" s="2"/>
    </row>
    <row r="32" spans="2:21" ht="15.75" thickBot="1">
      <c r="B32" s="95" t="s">
        <v>66</v>
      </c>
      <c r="C32" s="2"/>
      <c r="D32" s="2"/>
      <c r="E32" s="2"/>
      <c r="F32" s="2"/>
      <c r="G32" s="2"/>
      <c r="H32" s="45"/>
      <c r="I32" s="2"/>
      <c r="J32" s="2"/>
      <c r="K32" s="2"/>
      <c r="L32" s="2"/>
      <c r="M32" s="2"/>
      <c r="N32" s="2"/>
      <c r="O32" s="2"/>
      <c r="P32" s="95"/>
      <c r="Q32" s="2"/>
      <c r="R32" s="9"/>
      <c r="S32" s="2"/>
      <c r="T32" s="2"/>
      <c r="U32" s="2"/>
    </row>
    <row r="33" spans="2:21" ht="16.5" thickBot="1">
      <c r="B33" s="96" t="s">
        <v>3</v>
      </c>
      <c r="C33" s="97" t="s">
        <v>4</v>
      </c>
      <c r="D33" s="7" t="s">
        <v>5</v>
      </c>
      <c r="E33" s="7" t="s">
        <v>6</v>
      </c>
      <c r="F33" s="7" t="s">
        <v>7</v>
      </c>
      <c r="G33" s="8" t="s">
        <v>67</v>
      </c>
      <c r="H33" s="45"/>
      <c r="I33" s="2"/>
      <c r="J33" s="2"/>
      <c r="K33" s="2"/>
      <c r="L33" s="2"/>
      <c r="M33" s="2"/>
      <c r="N33" s="2"/>
      <c r="O33" s="2"/>
      <c r="P33" s="95"/>
      <c r="Q33" s="2"/>
      <c r="R33" s="2"/>
      <c r="S33" s="2"/>
      <c r="T33" s="2"/>
      <c r="U33" s="2"/>
    </row>
    <row r="34" spans="2:21">
      <c r="B34" s="98" t="s">
        <v>54</v>
      </c>
      <c r="C34" s="99" t="s">
        <v>68</v>
      </c>
      <c r="D34" s="100">
        <v>5</v>
      </c>
      <c r="E34" s="101"/>
      <c r="F34" s="21">
        <f>E34*D34</f>
        <v>0</v>
      </c>
      <c r="G34" s="102">
        <f>F34*16</f>
        <v>0</v>
      </c>
      <c r="H34" s="45"/>
      <c r="I34" s="2"/>
      <c r="J34" s="2"/>
      <c r="K34" s="2"/>
      <c r="L34" s="2"/>
      <c r="M34" s="2"/>
      <c r="N34" s="2"/>
      <c r="O34" s="2"/>
      <c r="P34" s="95"/>
      <c r="Q34" s="2"/>
      <c r="R34" s="2"/>
      <c r="S34" s="2"/>
      <c r="T34" s="2"/>
      <c r="U34" s="2"/>
    </row>
    <row r="35" spans="2:21" ht="15.75" thickBot="1">
      <c r="B35" s="103" t="s">
        <v>54</v>
      </c>
      <c r="C35" s="104" t="s">
        <v>69</v>
      </c>
      <c r="D35" s="105">
        <v>4</v>
      </c>
      <c r="E35" s="68"/>
      <c r="F35" s="68">
        <f>E35*D35</f>
        <v>0</v>
      </c>
      <c r="G35" s="106">
        <f>F35*8</f>
        <v>0</v>
      </c>
      <c r="H35" s="45"/>
      <c r="I35" s="2"/>
      <c r="J35" s="2"/>
      <c r="K35" s="2"/>
      <c r="L35" s="2"/>
      <c r="M35" s="2"/>
      <c r="N35" s="2"/>
      <c r="O35" s="2"/>
      <c r="P35" s="95"/>
      <c r="Q35" s="2"/>
      <c r="R35" s="2"/>
      <c r="S35" s="2"/>
      <c r="T35" s="2"/>
      <c r="U35" s="2"/>
    </row>
    <row r="36" spans="2:21">
      <c r="B36" s="2"/>
      <c r="C36" s="9"/>
      <c r="D36" s="2"/>
      <c r="E36" s="2"/>
      <c r="F36" s="2"/>
      <c r="G36" s="2"/>
      <c r="H36" s="4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 ht="15.75" thickBot="1">
      <c r="B37" s="95" t="s">
        <v>70</v>
      </c>
      <c r="C37" s="2"/>
      <c r="D37" s="2"/>
      <c r="E37" s="2"/>
      <c r="F37" s="2"/>
      <c r="G37" s="2"/>
      <c r="H37" s="4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 ht="16.5" thickBot="1">
      <c r="B38" s="96" t="s">
        <v>3</v>
      </c>
      <c r="C38" s="107" t="s">
        <v>4</v>
      </c>
      <c r="D38" s="97" t="s">
        <v>5</v>
      </c>
      <c r="E38" s="7" t="s">
        <v>6</v>
      </c>
      <c r="F38" s="7" t="s">
        <v>7</v>
      </c>
      <c r="G38" s="8" t="s">
        <v>51</v>
      </c>
      <c r="H38" s="4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 ht="15.75">
      <c r="B39" s="98" t="s">
        <v>71</v>
      </c>
      <c r="C39" s="108" t="s">
        <v>72</v>
      </c>
      <c r="D39" s="109">
        <v>0.35</v>
      </c>
      <c r="E39" s="110"/>
      <c r="F39" s="23">
        <f t="shared" ref="F39:F41" si="10">E39*D39</f>
        <v>0</v>
      </c>
      <c r="G39" s="24">
        <f>F39*10</f>
        <v>0</v>
      </c>
      <c r="H39" s="4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>
      <c r="B40" s="111" t="s">
        <v>73</v>
      </c>
      <c r="C40" s="112" t="s">
        <v>74</v>
      </c>
      <c r="D40" s="26">
        <v>8</v>
      </c>
      <c r="E40" s="29"/>
      <c r="F40" s="34">
        <f t="shared" si="10"/>
        <v>0</v>
      </c>
      <c r="G40" s="35">
        <f>F40*10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 ht="15.75" thickBot="1">
      <c r="B41" s="113" t="s">
        <v>1</v>
      </c>
      <c r="C41" s="114" t="s">
        <v>75</v>
      </c>
      <c r="D41" s="115">
        <v>8</v>
      </c>
      <c r="E41" s="116"/>
      <c r="F41" s="70">
        <f t="shared" si="10"/>
        <v>0</v>
      </c>
      <c r="G41" s="71">
        <f>F41*10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B923-7C1F-4F10-865E-F1B1C926F4FA}">
  <dimension ref="B1:U42"/>
  <sheetViews>
    <sheetView workbookViewId="0">
      <selection activeCell="G49" sqref="G49"/>
    </sheetView>
  </sheetViews>
  <sheetFormatPr defaultRowHeight="15"/>
  <cols>
    <col min="2" max="2" width="18.7109375" customWidth="1"/>
    <col min="3" max="3" width="13.5703125" customWidth="1"/>
    <col min="16" max="16" width="19.28515625" customWidth="1"/>
  </cols>
  <sheetData>
    <row r="1" spans="2:21" ht="15.75" thickBot="1"/>
    <row r="2" spans="2:21" ht="17.25" thickTop="1" thickBot="1">
      <c r="B2" s="1" t="s">
        <v>0</v>
      </c>
      <c r="C2" s="2"/>
      <c r="D2" s="2"/>
      <c r="E2" s="2"/>
      <c r="F2" s="2"/>
      <c r="G2" s="2"/>
      <c r="H2" s="2"/>
      <c r="I2" s="3" t="s">
        <v>1</v>
      </c>
      <c r="J2" s="2"/>
      <c r="K2" s="2"/>
      <c r="L2" s="2"/>
      <c r="M2" s="2"/>
      <c r="N2" s="2"/>
      <c r="O2" s="2"/>
      <c r="P2" s="4" t="s">
        <v>2</v>
      </c>
      <c r="Q2" s="5"/>
      <c r="R2" s="2"/>
      <c r="S2" s="2"/>
      <c r="T2" s="2"/>
      <c r="U2" s="2"/>
    </row>
    <row r="3" spans="2:21" ht="17.25" thickTop="1" thickBot="1"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9"/>
      <c r="I3" s="6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8" t="s">
        <v>8</v>
      </c>
      <c r="O3" s="2"/>
      <c r="P3" s="10" t="s">
        <v>4</v>
      </c>
      <c r="Q3" s="11" t="s">
        <v>9</v>
      </c>
      <c r="R3" s="12" t="s">
        <v>10</v>
      </c>
      <c r="S3" s="12" t="s">
        <v>11</v>
      </c>
      <c r="T3" s="12" t="s">
        <v>12</v>
      </c>
      <c r="U3" s="13" t="s">
        <v>13</v>
      </c>
    </row>
    <row r="4" spans="2:21" ht="15.75">
      <c r="B4" s="14" t="s">
        <v>14</v>
      </c>
      <c r="C4" s="15" t="s">
        <v>15</v>
      </c>
      <c r="D4" s="16">
        <v>0.1</v>
      </c>
      <c r="E4" s="17"/>
      <c r="F4" s="18">
        <f>E4*D4</f>
        <v>0</v>
      </c>
      <c r="G4" s="19">
        <f>F4*9</f>
        <v>0</v>
      </c>
      <c r="H4" s="9"/>
      <c r="I4" s="20">
        <v>4</v>
      </c>
      <c r="J4" s="21" t="s">
        <v>16</v>
      </c>
      <c r="K4" s="21">
        <v>0.35</v>
      </c>
      <c r="L4" s="22"/>
      <c r="M4" s="23">
        <f>L4*K4</f>
        <v>0</v>
      </c>
      <c r="N4" s="24">
        <f>M4*9</f>
        <v>0</v>
      </c>
      <c r="O4" s="2"/>
      <c r="P4" s="25" t="s">
        <v>17</v>
      </c>
      <c r="Q4" s="26">
        <f>G27</f>
        <v>0</v>
      </c>
      <c r="R4" s="27"/>
      <c r="S4" s="28">
        <f t="shared" ref="S4:S5" si="0">Q4-R4</f>
        <v>0</v>
      </c>
      <c r="T4" s="29"/>
      <c r="U4" s="30"/>
    </row>
    <row r="5" spans="2:21">
      <c r="B5" s="20" t="s">
        <v>18</v>
      </c>
      <c r="C5" s="28" t="s">
        <v>19</v>
      </c>
      <c r="D5" s="21">
        <v>4</v>
      </c>
      <c r="E5" s="31"/>
      <c r="F5" s="23">
        <f>E5*D5</f>
        <v>0</v>
      </c>
      <c r="G5" s="24">
        <f>F5</f>
        <v>0</v>
      </c>
      <c r="H5" s="9"/>
      <c r="I5" s="32">
        <v>5</v>
      </c>
      <c r="J5" s="28" t="s">
        <v>16</v>
      </c>
      <c r="K5" s="28">
        <v>0.45</v>
      </c>
      <c r="L5" s="33"/>
      <c r="M5" s="34">
        <f t="shared" ref="M5:M30" si="1">L5*K5</f>
        <v>0</v>
      </c>
      <c r="N5" s="35">
        <f t="shared" ref="N5:N30" si="2">M5*9</f>
        <v>0</v>
      </c>
      <c r="O5" s="2"/>
      <c r="P5" s="25" t="s">
        <v>20</v>
      </c>
      <c r="Q5" s="26">
        <f>G28</f>
        <v>0</v>
      </c>
      <c r="R5" s="27"/>
      <c r="S5" s="28">
        <f t="shared" si="0"/>
        <v>0</v>
      </c>
      <c r="T5" s="29"/>
      <c r="U5" s="30"/>
    </row>
    <row r="6" spans="2:21">
      <c r="B6" s="20" t="s">
        <v>21</v>
      </c>
      <c r="C6" s="28" t="s">
        <v>22</v>
      </c>
      <c r="D6" s="28">
        <v>13</v>
      </c>
      <c r="E6" s="31"/>
      <c r="F6" s="34">
        <f>E6*D6</f>
        <v>0</v>
      </c>
      <c r="G6" s="35">
        <f>F6</f>
        <v>0</v>
      </c>
      <c r="H6" s="9"/>
      <c r="I6" s="32">
        <v>6</v>
      </c>
      <c r="J6" s="28" t="s">
        <v>22</v>
      </c>
      <c r="K6" s="28">
        <v>0.9</v>
      </c>
      <c r="L6" s="33"/>
      <c r="M6" s="34">
        <f t="shared" si="1"/>
        <v>0</v>
      </c>
      <c r="N6" s="35">
        <f t="shared" si="2"/>
        <v>0</v>
      </c>
      <c r="O6" s="2"/>
      <c r="P6" s="25" t="s">
        <v>23</v>
      </c>
      <c r="Q6" s="26">
        <f>G34+N30</f>
        <v>0</v>
      </c>
      <c r="R6" s="27"/>
      <c r="S6" s="28">
        <f>Q6-R6</f>
        <v>0</v>
      </c>
      <c r="T6" s="29"/>
      <c r="U6" s="30"/>
    </row>
    <row r="7" spans="2:21">
      <c r="B7" s="32">
        <v>8</v>
      </c>
      <c r="C7" s="28" t="s">
        <v>24</v>
      </c>
      <c r="D7" s="28">
        <v>1.3</v>
      </c>
      <c r="E7" s="36"/>
      <c r="F7" s="34">
        <f t="shared" ref="F7:F8" si="3">E7*D7</f>
        <v>0</v>
      </c>
      <c r="G7" s="35">
        <f>F7*9</f>
        <v>0</v>
      </c>
      <c r="H7" s="9"/>
      <c r="I7" s="32">
        <v>7</v>
      </c>
      <c r="J7" s="28" t="s">
        <v>25</v>
      </c>
      <c r="K7" s="28">
        <v>1</v>
      </c>
      <c r="L7" s="33"/>
      <c r="M7" s="34">
        <f t="shared" si="1"/>
        <v>0</v>
      </c>
      <c r="N7" s="35">
        <f t="shared" si="2"/>
        <v>0</v>
      </c>
      <c r="O7" s="2"/>
      <c r="P7" s="37" t="s">
        <v>26</v>
      </c>
      <c r="Q7" s="26">
        <f>G41</f>
        <v>0</v>
      </c>
      <c r="R7" s="29"/>
      <c r="S7" s="28">
        <f>Q7-R7</f>
        <v>0</v>
      </c>
      <c r="T7" s="29"/>
      <c r="U7" s="38"/>
    </row>
    <row r="8" spans="2:21" ht="15.75" thickBot="1">
      <c r="B8" s="39">
        <v>9</v>
      </c>
      <c r="C8" s="40" t="s">
        <v>24</v>
      </c>
      <c r="D8" s="41">
        <v>1.3</v>
      </c>
      <c r="E8" s="42"/>
      <c r="F8" s="43">
        <f t="shared" si="3"/>
        <v>0</v>
      </c>
      <c r="G8" s="44">
        <f>F8*9</f>
        <v>0</v>
      </c>
      <c r="H8" s="45"/>
      <c r="I8" s="32">
        <v>8</v>
      </c>
      <c r="J8" s="28" t="s">
        <v>24</v>
      </c>
      <c r="K8" s="28">
        <v>1.6</v>
      </c>
      <c r="L8" s="33"/>
      <c r="M8" s="34">
        <f t="shared" si="1"/>
        <v>0</v>
      </c>
      <c r="N8" s="35">
        <f t="shared" si="2"/>
        <v>0</v>
      </c>
      <c r="O8" s="2"/>
      <c r="P8" s="37" t="s">
        <v>27</v>
      </c>
      <c r="Q8" s="26">
        <f>G40</f>
        <v>0</v>
      </c>
      <c r="R8" s="27"/>
      <c r="S8" s="28">
        <f t="shared" ref="S8:S22" si="4">Q8-R8</f>
        <v>0</v>
      </c>
      <c r="T8" s="29"/>
      <c r="U8" s="38"/>
    </row>
    <row r="9" spans="2:21" ht="15.75" thickBot="1">
      <c r="B9" s="46"/>
      <c r="C9" s="47"/>
      <c r="D9" s="48"/>
      <c r="E9" s="49"/>
      <c r="F9" s="50"/>
      <c r="G9" s="50"/>
      <c r="H9" s="45"/>
      <c r="I9" s="32">
        <v>9</v>
      </c>
      <c r="J9" s="28" t="s">
        <v>24</v>
      </c>
      <c r="K9" s="28">
        <v>1.6</v>
      </c>
      <c r="L9" s="33"/>
      <c r="M9" s="34">
        <f t="shared" si="1"/>
        <v>0</v>
      </c>
      <c r="N9" s="35">
        <f t="shared" si="2"/>
        <v>0</v>
      </c>
      <c r="O9" s="2"/>
      <c r="P9" s="25" t="s">
        <v>28</v>
      </c>
      <c r="Q9" s="26">
        <f>G30</f>
        <v>0</v>
      </c>
      <c r="R9" s="29"/>
      <c r="S9" s="28">
        <f t="shared" si="4"/>
        <v>0</v>
      </c>
      <c r="T9" s="29"/>
      <c r="U9" s="38"/>
    </row>
    <row r="10" spans="2:21" ht="15.75" thickBot="1">
      <c r="B10" s="51" t="s">
        <v>29</v>
      </c>
      <c r="C10" s="52"/>
      <c r="D10" s="52"/>
      <c r="E10" s="53"/>
      <c r="F10" s="54"/>
      <c r="G10" s="54"/>
      <c r="H10" s="55"/>
      <c r="I10" s="32">
        <v>10</v>
      </c>
      <c r="J10" s="28" t="s">
        <v>24</v>
      </c>
      <c r="K10" s="28">
        <v>1.6</v>
      </c>
      <c r="L10" s="33"/>
      <c r="M10" s="34">
        <f t="shared" si="1"/>
        <v>0</v>
      </c>
      <c r="N10" s="35">
        <f t="shared" si="2"/>
        <v>0</v>
      </c>
      <c r="O10" s="2"/>
      <c r="P10" s="25" t="s">
        <v>30</v>
      </c>
      <c r="Q10" s="26">
        <f>N11+N12+N13+N14+N15</f>
        <v>0</v>
      </c>
      <c r="R10" s="27"/>
      <c r="S10" s="28">
        <f t="shared" si="4"/>
        <v>0</v>
      </c>
      <c r="T10" s="29"/>
      <c r="U10" s="30"/>
    </row>
    <row r="11" spans="2:21">
      <c r="B11" s="32">
        <v>10</v>
      </c>
      <c r="C11" s="28" t="s">
        <v>24</v>
      </c>
      <c r="D11" s="28">
        <v>1.7</v>
      </c>
      <c r="E11" s="56"/>
      <c r="F11" s="34">
        <f t="shared" ref="F11:F18" si="5">E11*D11</f>
        <v>0</v>
      </c>
      <c r="G11" s="35">
        <f t="shared" ref="G11:G23" si="6">F11*9</f>
        <v>0</v>
      </c>
      <c r="H11" s="45"/>
      <c r="I11" s="32">
        <v>11</v>
      </c>
      <c r="J11" s="28" t="s">
        <v>31</v>
      </c>
      <c r="K11" s="28">
        <v>1.8</v>
      </c>
      <c r="L11" s="33"/>
      <c r="M11" s="34">
        <f t="shared" si="1"/>
        <v>0</v>
      </c>
      <c r="N11" s="35">
        <f t="shared" si="2"/>
        <v>0</v>
      </c>
      <c r="O11" s="2"/>
      <c r="P11" s="25" t="s">
        <v>32</v>
      </c>
      <c r="Q11" s="26">
        <f>N16+N17+N18+N19+N20+N21</f>
        <v>0</v>
      </c>
      <c r="R11" s="27"/>
      <c r="S11" s="28">
        <f t="shared" si="4"/>
        <v>0</v>
      </c>
      <c r="T11" s="29"/>
      <c r="U11" s="30"/>
    </row>
    <row r="12" spans="2:21">
      <c r="B12" s="32">
        <v>11</v>
      </c>
      <c r="C12" s="28" t="s">
        <v>24</v>
      </c>
      <c r="D12" s="28">
        <v>1.9</v>
      </c>
      <c r="E12" s="57"/>
      <c r="F12" s="34">
        <f t="shared" si="5"/>
        <v>0</v>
      </c>
      <c r="G12" s="35">
        <f t="shared" si="6"/>
        <v>0</v>
      </c>
      <c r="H12" s="45"/>
      <c r="I12" s="32">
        <v>12</v>
      </c>
      <c r="J12" s="28" t="s">
        <v>31</v>
      </c>
      <c r="K12" s="28">
        <v>1.9</v>
      </c>
      <c r="L12" s="34"/>
      <c r="M12" s="34">
        <f>L12*K12</f>
        <v>0</v>
      </c>
      <c r="N12" s="35">
        <f t="shared" si="2"/>
        <v>0</v>
      </c>
      <c r="O12" s="2"/>
      <c r="P12" s="25" t="s">
        <v>33</v>
      </c>
      <c r="Q12" s="26">
        <f>N22+N23</f>
        <v>0</v>
      </c>
      <c r="R12" s="29"/>
      <c r="S12" s="28">
        <f t="shared" si="4"/>
        <v>0</v>
      </c>
      <c r="T12" s="29"/>
      <c r="U12" s="30"/>
    </row>
    <row r="13" spans="2:21">
      <c r="B13" s="32">
        <v>12</v>
      </c>
      <c r="C13" s="28" t="s">
        <v>34</v>
      </c>
      <c r="D13" s="28">
        <v>2.1</v>
      </c>
      <c r="E13" s="57"/>
      <c r="F13" s="34">
        <f t="shared" si="5"/>
        <v>0</v>
      </c>
      <c r="G13" s="35">
        <f t="shared" si="6"/>
        <v>0</v>
      </c>
      <c r="H13" s="45"/>
      <c r="I13" s="32">
        <v>13</v>
      </c>
      <c r="J13" s="28" t="s">
        <v>31</v>
      </c>
      <c r="K13" s="28">
        <v>2.1</v>
      </c>
      <c r="L13" s="34"/>
      <c r="M13" s="34">
        <f t="shared" si="1"/>
        <v>0</v>
      </c>
      <c r="N13" s="35">
        <f t="shared" si="2"/>
        <v>0</v>
      </c>
      <c r="O13" s="2"/>
      <c r="P13" s="25" t="s">
        <v>35</v>
      </c>
      <c r="Q13" s="26">
        <f>N24+N25</f>
        <v>0</v>
      </c>
      <c r="R13" s="29"/>
      <c r="S13" s="28">
        <f>Q13-R13</f>
        <v>0</v>
      </c>
      <c r="T13" s="29"/>
      <c r="U13" s="30"/>
    </row>
    <row r="14" spans="2:21">
      <c r="B14" s="32">
        <v>13</v>
      </c>
      <c r="C14" s="28" t="s">
        <v>34</v>
      </c>
      <c r="D14" s="28">
        <v>2.2999999999999998</v>
      </c>
      <c r="E14" s="57"/>
      <c r="F14" s="34">
        <f t="shared" si="5"/>
        <v>0</v>
      </c>
      <c r="G14" s="35">
        <f t="shared" si="6"/>
        <v>0</v>
      </c>
      <c r="H14" s="45"/>
      <c r="I14" s="32">
        <v>14</v>
      </c>
      <c r="J14" s="28" t="s">
        <v>31</v>
      </c>
      <c r="K14" s="28">
        <v>2.2999999999999998</v>
      </c>
      <c r="L14" s="34"/>
      <c r="M14" s="34">
        <f t="shared" si="1"/>
        <v>0</v>
      </c>
      <c r="N14" s="35">
        <f t="shared" si="2"/>
        <v>0</v>
      </c>
      <c r="O14" s="2"/>
      <c r="P14" s="25" t="s">
        <v>36</v>
      </c>
      <c r="Q14" s="26">
        <f>N26+N27+N28+N29</f>
        <v>0</v>
      </c>
      <c r="R14" s="29"/>
      <c r="S14" s="28">
        <f>Q14-R14</f>
        <v>0</v>
      </c>
      <c r="T14" s="29"/>
      <c r="U14" s="30"/>
    </row>
    <row r="15" spans="2:21">
      <c r="B15" s="32">
        <v>14</v>
      </c>
      <c r="C15" s="28" t="s">
        <v>37</v>
      </c>
      <c r="D15" s="28">
        <v>2.5</v>
      </c>
      <c r="E15" s="58"/>
      <c r="F15" s="34">
        <f t="shared" si="5"/>
        <v>0</v>
      </c>
      <c r="G15" s="35">
        <f t="shared" si="6"/>
        <v>0</v>
      </c>
      <c r="H15" s="45"/>
      <c r="I15" s="32">
        <v>15</v>
      </c>
      <c r="J15" s="28" t="s">
        <v>31</v>
      </c>
      <c r="K15" s="28">
        <v>2.4</v>
      </c>
      <c r="L15" s="34"/>
      <c r="M15" s="34">
        <f t="shared" si="1"/>
        <v>0</v>
      </c>
      <c r="N15" s="35">
        <f t="shared" si="2"/>
        <v>0</v>
      </c>
      <c r="O15" s="2"/>
      <c r="P15" s="59" t="s">
        <v>15</v>
      </c>
      <c r="Q15" s="26">
        <f>G4</f>
        <v>0</v>
      </c>
      <c r="R15" s="29"/>
      <c r="S15" s="28">
        <f t="shared" ref="S15:S18" si="7">Q15-R15</f>
        <v>0</v>
      </c>
      <c r="T15" s="29"/>
      <c r="U15" s="38"/>
    </row>
    <row r="16" spans="2:21">
      <c r="B16" s="32">
        <v>15</v>
      </c>
      <c r="C16" s="28" t="s">
        <v>37</v>
      </c>
      <c r="D16" s="28">
        <v>2.7</v>
      </c>
      <c r="E16" s="60"/>
      <c r="F16" s="34">
        <f t="shared" si="5"/>
        <v>0</v>
      </c>
      <c r="G16" s="35">
        <f t="shared" si="6"/>
        <v>0</v>
      </c>
      <c r="H16" s="45"/>
      <c r="I16" s="32">
        <v>16</v>
      </c>
      <c r="J16" s="28" t="s">
        <v>38</v>
      </c>
      <c r="K16" s="28">
        <v>2.5</v>
      </c>
      <c r="L16" s="34"/>
      <c r="M16" s="34">
        <f t="shared" si="1"/>
        <v>0</v>
      </c>
      <c r="N16" s="35">
        <f>M16*18</f>
        <v>0</v>
      </c>
      <c r="O16" s="2"/>
      <c r="P16" s="25" t="s">
        <v>19</v>
      </c>
      <c r="Q16" s="26">
        <f>G5</f>
        <v>0</v>
      </c>
      <c r="R16" s="27"/>
      <c r="S16" s="28">
        <f t="shared" si="7"/>
        <v>0</v>
      </c>
      <c r="T16" s="29"/>
      <c r="U16" s="38"/>
    </row>
    <row r="17" spans="2:21">
      <c r="B17" s="32">
        <v>16</v>
      </c>
      <c r="C17" s="28" t="s">
        <v>39</v>
      </c>
      <c r="D17" s="28">
        <v>2.9</v>
      </c>
      <c r="E17" s="60"/>
      <c r="F17" s="34">
        <f t="shared" si="5"/>
        <v>0</v>
      </c>
      <c r="G17" s="35">
        <f t="shared" si="6"/>
        <v>0</v>
      </c>
      <c r="H17" s="45"/>
      <c r="I17" s="32">
        <v>17</v>
      </c>
      <c r="J17" s="28" t="s">
        <v>38</v>
      </c>
      <c r="K17" s="28">
        <v>2.6</v>
      </c>
      <c r="L17" s="34"/>
      <c r="M17" s="34">
        <f t="shared" si="1"/>
        <v>0</v>
      </c>
      <c r="N17" s="35">
        <f>M17*18</f>
        <v>0</v>
      </c>
      <c r="O17" s="2"/>
      <c r="P17" s="25" t="s">
        <v>22</v>
      </c>
      <c r="Q17" s="26">
        <f>G6</f>
        <v>0</v>
      </c>
      <c r="R17" s="27"/>
      <c r="S17" s="28">
        <f t="shared" si="7"/>
        <v>0</v>
      </c>
      <c r="T17" s="29"/>
      <c r="U17" s="38"/>
    </row>
    <row r="18" spans="2:21">
      <c r="B18" s="32">
        <v>17</v>
      </c>
      <c r="C18" s="28" t="s">
        <v>39</v>
      </c>
      <c r="D18" s="28">
        <v>2.9</v>
      </c>
      <c r="E18" s="60"/>
      <c r="F18" s="34">
        <f t="shared" si="5"/>
        <v>0</v>
      </c>
      <c r="G18" s="35">
        <f t="shared" si="6"/>
        <v>0</v>
      </c>
      <c r="H18" s="45"/>
      <c r="I18" s="32">
        <v>18</v>
      </c>
      <c r="J18" s="28" t="s">
        <v>38</v>
      </c>
      <c r="K18" s="28">
        <v>2.7</v>
      </c>
      <c r="L18" s="34"/>
      <c r="M18" s="34">
        <f t="shared" si="1"/>
        <v>0</v>
      </c>
      <c r="N18" s="35">
        <f>M18*18</f>
        <v>0</v>
      </c>
      <c r="O18" s="2"/>
      <c r="P18" s="25" t="s">
        <v>40</v>
      </c>
      <c r="Q18" s="26">
        <f>G7+G8+G11+G12+N8+N9+N10</f>
        <v>0</v>
      </c>
      <c r="R18" s="27"/>
      <c r="S18" s="28">
        <f t="shared" si="7"/>
        <v>0</v>
      </c>
      <c r="T18" s="29"/>
      <c r="U18" s="30"/>
    </row>
    <row r="19" spans="2:21">
      <c r="B19" s="32">
        <v>18</v>
      </c>
      <c r="C19" s="28" t="s">
        <v>39</v>
      </c>
      <c r="D19" s="28">
        <v>3.1</v>
      </c>
      <c r="E19" s="60"/>
      <c r="F19" s="34">
        <f>D19*E19</f>
        <v>0</v>
      </c>
      <c r="G19" s="35">
        <f t="shared" si="6"/>
        <v>0</v>
      </c>
      <c r="H19" s="45"/>
      <c r="I19" s="32">
        <v>19</v>
      </c>
      <c r="J19" s="28" t="s">
        <v>41</v>
      </c>
      <c r="K19" s="28">
        <v>2.8</v>
      </c>
      <c r="L19" s="34"/>
      <c r="M19" s="34">
        <f>L19*K19</f>
        <v>0</v>
      </c>
      <c r="N19" s="35">
        <f>M19*9</f>
        <v>0</v>
      </c>
      <c r="O19" s="2"/>
      <c r="P19" s="25" t="s">
        <v>42</v>
      </c>
      <c r="Q19" s="26">
        <f>G13+G14</f>
        <v>0</v>
      </c>
      <c r="R19" s="29"/>
      <c r="S19" s="28">
        <f t="shared" si="4"/>
        <v>0</v>
      </c>
      <c r="T19" s="29"/>
      <c r="U19" s="30"/>
    </row>
    <row r="20" spans="2:21">
      <c r="B20" s="32">
        <v>19</v>
      </c>
      <c r="C20" s="28" t="s">
        <v>43</v>
      </c>
      <c r="D20" s="28">
        <v>3.1</v>
      </c>
      <c r="E20" s="60"/>
      <c r="F20" s="34">
        <f>D20*E20</f>
        <v>0</v>
      </c>
      <c r="G20" s="35">
        <f t="shared" si="6"/>
        <v>0</v>
      </c>
      <c r="H20" s="45"/>
      <c r="I20" s="32">
        <v>20</v>
      </c>
      <c r="J20" s="28" t="s">
        <v>41</v>
      </c>
      <c r="K20" s="28">
        <v>2.9</v>
      </c>
      <c r="L20" s="34"/>
      <c r="M20" s="34">
        <f t="shared" si="1"/>
        <v>0</v>
      </c>
      <c r="N20" s="35">
        <f>M20*18</f>
        <v>0</v>
      </c>
      <c r="O20" s="2"/>
      <c r="P20" s="25" t="s">
        <v>44</v>
      </c>
      <c r="Q20" s="26">
        <f>G15+G16</f>
        <v>0</v>
      </c>
      <c r="R20" s="27"/>
      <c r="S20" s="28">
        <f>Q20-R20</f>
        <v>0</v>
      </c>
      <c r="T20" s="29"/>
      <c r="U20" s="30" t="s">
        <v>45</v>
      </c>
    </row>
    <row r="21" spans="2:21">
      <c r="B21" s="32">
        <v>20</v>
      </c>
      <c r="C21" s="28" t="s">
        <v>43</v>
      </c>
      <c r="D21" s="28">
        <v>3.1</v>
      </c>
      <c r="E21" s="60"/>
      <c r="F21" s="34">
        <f>D21*E21</f>
        <v>0</v>
      </c>
      <c r="G21" s="35">
        <f t="shared" si="6"/>
        <v>0</v>
      </c>
      <c r="H21" s="45"/>
      <c r="I21" s="32">
        <v>21</v>
      </c>
      <c r="J21" s="28" t="s">
        <v>41</v>
      </c>
      <c r="K21" s="28">
        <v>2.9</v>
      </c>
      <c r="L21" s="34"/>
      <c r="M21" s="34">
        <f t="shared" si="1"/>
        <v>0</v>
      </c>
      <c r="N21" s="35">
        <f>M21*18</f>
        <v>0</v>
      </c>
      <c r="O21" s="2"/>
      <c r="P21" s="25" t="s">
        <v>46</v>
      </c>
      <c r="Q21" s="26">
        <f>G17+G18+G19</f>
        <v>0</v>
      </c>
      <c r="R21" s="27"/>
      <c r="S21" s="28">
        <f t="shared" si="4"/>
        <v>0</v>
      </c>
      <c r="T21" s="29"/>
      <c r="U21" s="30"/>
    </row>
    <row r="22" spans="2:21" ht="15.75" thickBot="1">
      <c r="B22" s="32">
        <v>21</v>
      </c>
      <c r="C22" s="28" t="s">
        <v>43</v>
      </c>
      <c r="D22" s="28">
        <v>3.1</v>
      </c>
      <c r="E22" s="60"/>
      <c r="F22" s="34">
        <f>D22*E22</f>
        <v>0</v>
      </c>
      <c r="G22" s="35">
        <f t="shared" si="6"/>
        <v>0</v>
      </c>
      <c r="H22" s="45"/>
      <c r="I22" s="32">
        <v>22</v>
      </c>
      <c r="J22" s="28" t="s">
        <v>47</v>
      </c>
      <c r="K22" s="28">
        <v>3</v>
      </c>
      <c r="L22" s="34"/>
      <c r="M22" s="34">
        <f t="shared" si="1"/>
        <v>0</v>
      </c>
      <c r="N22" s="35">
        <f>M22*9</f>
        <v>0</v>
      </c>
      <c r="O22" s="2"/>
      <c r="P22" s="61" t="s">
        <v>43</v>
      </c>
      <c r="Q22" s="62">
        <f>G20+G21+G22+G23</f>
        <v>0</v>
      </c>
      <c r="R22" s="63"/>
      <c r="S22" s="64">
        <f t="shared" si="4"/>
        <v>0</v>
      </c>
      <c r="T22" s="65"/>
      <c r="U22" s="66"/>
    </row>
    <row r="23" spans="2:21" ht="16.5" thickTop="1" thickBot="1">
      <c r="B23" s="67">
        <v>22</v>
      </c>
      <c r="C23" s="68" t="s">
        <v>43</v>
      </c>
      <c r="D23" s="68">
        <v>3.1</v>
      </c>
      <c r="E23" s="69"/>
      <c r="F23" s="70">
        <f>D23*E23</f>
        <v>0</v>
      </c>
      <c r="G23" s="71">
        <f t="shared" si="6"/>
        <v>0</v>
      </c>
      <c r="H23" s="45"/>
      <c r="I23" s="32">
        <v>23</v>
      </c>
      <c r="J23" s="72" t="s">
        <v>47</v>
      </c>
      <c r="K23" s="73">
        <v>3</v>
      </c>
      <c r="L23" s="74"/>
      <c r="M23" s="34">
        <f t="shared" si="1"/>
        <v>0</v>
      </c>
      <c r="N23" s="35">
        <f>M23*9</f>
        <v>0</v>
      </c>
      <c r="O23" s="2"/>
      <c r="P23" s="75"/>
      <c r="Q23" s="76"/>
      <c r="R23" s="76"/>
      <c r="S23" s="77"/>
      <c r="T23" s="77"/>
      <c r="U23" s="78"/>
    </row>
    <row r="24" spans="2:21" ht="15.75" thickBot="1">
      <c r="B24" s="2"/>
      <c r="C24" s="2"/>
      <c r="D24" s="2"/>
      <c r="E24" s="79"/>
      <c r="F24" s="2"/>
      <c r="G24" s="2"/>
      <c r="H24" s="45"/>
      <c r="I24" s="32">
        <v>24</v>
      </c>
      <c r="J24" s="73" t="s">
        <v>47</v>
      </c>
      <c r="K24" s="73">
        <v>3.1</v>
      </c>
      <c r="L24" s="74"/>
      <c r="M24" s="34">
        <f t="shared" si="1"/>
        <v>0</v>
      </c>
      <c r="N24" s="35">
        <f>M24*9</f>
        <v>0</v>
      </c>
      <c r="O24" s="2"/>
      <c r="P24" s="80"/>
      <c r="Q24" s="9"/>
      <c r="R24" s="9"/>
      <c r="S24" s="9"/>
      <c r="T24" s="9"/>
      <c r="U24" s="2"/>
    </row>
    <row r="25" spans="2:21" ht="15.75" thickBot="1">
      <c r="B25" s="95" t="s">
        <v>48</v>
      </c>
      <c r="C25" s="2"/>
      <c r="D25" s="2"/>
      <c r="E25" s="2"/>
      <c r="F25" s="2"/>
      <c r="G25" s="2"/>
      <c r="H25" s="45"/>
      <c r="I25" s="32">
        <v>25</v>
      </c>
      <c r="J25" s="73" t="s">
        <v>49</v>
      </c>
      <c r="K25" s="73">
        <v>3.1</v>
      </c>
      <c r="L25" s="74"/>
      <c r="M25" s="34">
        <f t="shared" si="1"/>
        <v>0</v>
      </c>
      <c r="N25" s="35">
        <f t="shared" si="2"/>
        <v>0</v>
      </c>
      <c r="O25" s="2"/>
      <c r="P25" s="81" t="s">
        <v>50</v>
      </c>
      <c r="Q25" s="82" t="s">
        <v>9</v>
      </c>
      <c r="R25" s="82" t="s">
        <v>10</v>
      </c>
      <c r="S25" s="82" t="s">
        <v>11</v>
      </c>
      <c r="T25" s="82"/>
      <c r="U25" s="83" t="s">
        <v>13</v>
      </c>
    </row>
    <row r="26" spans="2:21" ht="16.5" thickBot="1">
      <c r="B26" s="117" t="s">
        <v>3</v>
      </c>
      <c r="C26" s="118" t="s">
        <v>4</v>
      </c>
      <c r="D26" s="118" t="s">
        <v>5</v>
      </c>
      <c r="E26" s="118" t="s">
        <v>6</v>
      </c>
      <c r="F26" s="118" t="s">
        <v>7</v>
      </c>
      <c r="G26" s="119" t="s">
        <v>51</v>
      </c>
      <c r="H26" s="45"/>
      <c r="I26" s="32">
        <v>26</v>
      </c>
      <c r="J26" s="73" t="s">
        <v>52</v>
      </c>
      <c r="K26" s="73">
        <v>3.1</v>
      </c>
      <c r="L26" s="74"/>
      <c r="M26" s="34">
        <f t="shared" si="1"/>
        <v>0</v>
      </c>
      <c r="N26" s="35">
        <f t="shared" si="2"/>
        <v>0</v>
      </c>
      <c r="O26" s="2"/>
      <c r="P26" s="84" t="s">
        <v>53</v>
      </c>
      <c r="Q26" s="15"/>
      <c r="R26" s="15"/>
      <c r="S26" s="15">
        <f>Q26-R26</f>
        <v>0</v>
      </c>
      <c r="T26" s="15"/>
      <c r="U26" s="19"/>
    </row>
    <row r="27" spans="2:21" ht="15.75" thickBot="1">
      <c r="B27" s="120" t="s">
        <v>54</v>
      </c>
      <c r="C27" s="28" t="s">
        <v>54</v>
      </c>
      <c r="D27" s="28">
        <v>2.6</v>
      </c>
      <c r="E27" s="29"/>
      <c r="F27" s="34">
        <f>E27*D27</f>
        <v>0</v>
      </c>
      <c r="G27" s="35">
        <f>F27*10</f>
        <v>0</v>
      </c>
      <c r="H27" s="45"/>
      <c r="I27" s="32">
        <v>27</v>
      </c>
      <c r="J27" s="73" t="s">
        <v>49</v>
      </c>
      <c r="K27" s="73">
        <v>3.3</v>
      </c>
      <c r="L27" s="74"/>
      <c r="M27" s="34">
        <f t="shared" si="1"/>
        <v>0</v>
      </c>
      <c r="N27" s="35">
        <f t="shared" si="2"/>
        <v>0</v>
      </c>
      <c r="O27" s="2"/>
      <c r="P27" s="85" t="s">
        <v>55</v>
      </c>
      <c r="Q27" s="28"/>
      <c r="R27" s="27"/>
      <c r="S27" s="15">
        <f t="shared" ref="S27:S29" si="8">Q27-R27</f>
        <v>0</v>
      </c>
      <c r="T27" s="23"/>
      <c r="U27" s="24"/>
    </row>
    <row r="28" spans="2:21" ht="15.75" thickBot="1">
      <c r="B28" s="120" t="s">
        <v>56</v>
      </c>
      <c r="C28" s="28" t="s">
        <v>56</v>
      </c>
      <c r="D28" s="28">
        <v>2.5</v>
      </c>
      <c r="E28" s="29"/>
      <c r="F28" s="34">
        <f>E28*D28</f>
        <v>0</v>
      </c>
      <c r="G28" s="35">
        <f t="shared" ref="G28" si="9">F28*10</f>
        <v>0</v>
      </c>
      <c r="H28" s="45"/>
      <c r="I28" s="32">
        <v>28</v>
      </c>
      <c r="J28" s="73" t="s">
        <v>49</v>
      </c>
      <c r="K28" s="73">
        <v>3.3</v>
      </c>
      <c r="L28" s="74"/>
      <c r="M28" s="34">
        <f t="shared" si="1"/>
        <v>0</v>
      </c>
      <c r="N28" s="35">
        <f t="shared" si="2"/>
        <v>0</v>
      </c>
      <c r="O28" s="2"/>
      <c r="P28" s="86" t="s">
        <v>57</v>
      </c>
      <c r="Q28" s="28">
        <f>G29</f>
        <v>0</v>
      </c>
      <c r="R28" s="28"/>
      <c r="S28" s="15">
        <f t="shared" si="8"/>
        <v>0</v>
      </c>
      <c r="T28" s="9"/>
      <c r="U28" s="35"/>
    </row>
    <row r="29" spans="2:21" ht="15.75" thickBot="1">
      <c r="B29" s="121" t="s">
        <v>58</v>
      </c>
      <c r="C29" s="64" t="s">
        <v>59</v>
      </c>
      <c r="D29" s="64">
        <v>2.5</v>
      </c>
      <c r="E29" s="65"/>
      <c r="F29" s="87">
        <f>E29*D29</f>
        <v>0</v>
      </c>
      <c r="G29" s="122">
        <f>F29*5</f>
        <v>0</v>
      </c>
      <c r="H29" s="45"/>
      <c r="I29" s="32">
        <v>29</v>
      </c>
      <c r="J29" s="73" t="s">
        <v>52</v>
      </c>
      <c r="K29" s="73">
        <v>6</v>
      </c>
      <c r="L29" s="74"/>
      <c r="M29" s="34">
        <f t="shared" si="1"/>
        <v>0</v>
      </c>
      <c r="N29" s="35">
        <f t="shared" si="2"/>
        <v>0</v>
      </c>
      <c r="O29" s="2"/>
      <c r="P29" s="88" t="s">
        <v>60</v>
      </c>
      <c r="Q29" s="68"/>
      <c r="R29" s="89"/>
      <c r="S29" s="15">
        <f t="shared" si="8"/>
        <v>0</v>
      </c>
      <c r="T29" s="28"/>
      <c r="U29" s="71"/>
    </row>
    <row r="30" spans="2:21" ht="15.75" thickBot="1">
      <c r="B30" s="123" t="s">
        <v>61</v>
      </c>
      <c r="C30" s="68" t="s">
        <v>28</v>
      </c>
      <c r="D30" s="68">
        <v>2.6</v>
      </c>
      <c r="E30" s="116"/>
      <c r="F30" s="70">
        <f>E30*D30</f>
        <v>0</v>
      </c>
      <c r="G30" s="71">
        <f>F30*5</f>
        <v>0</v>
      </c>
      <c r="H30" s="2"/>
      <c r="I30" s="67" t="s">
        <v>62</v>
      </c>
      <c r="J30" s="90" t="s">
        <v>49</v>
      </c>
      <c r="K30" s="90">
        <v>6</v>
      </c>
      <c r="L30" s="89"/>
      <c r="M30" s="70">
        <f t="shared" si="1"/>
        <v>0</v>
      </c>
      <c r="N30" s="71">
        <f t="shared" si="2"/>
        <v>0</v>
      </c>
      <c r="O30" s="2"/>
      <c r="P30" s="91" t="s">
        <v>7</v>
      </c>
      <c r="Q30" s="92">
        <f>SUM(Q4:Q29)</f>
        <v>0</v>
      </c>
      <c r="R30" s="92">
        <f>SUM(R4:R29)</f>
        <v>0</v>
      </c>
      <c r="S30" s="92">
        <f>SUM(S4:S29)</f>
        <v>0</v>
      </c>
      <c r="T30" s="92">
        <f>SUM(T4:T29)</f>
        <v>0</v>
      </c>
      <c r="U30" s="93"/>
    </row>
    <row r="31" spans="2:21">
      <c r="B31" s="94"/>
      <c r="C31" s="9"/>
      <c r="D31" s="9"/>
      <c r="E31" s="9"/>
      <c r="F31" s="2"/>
      <c r="G31" s="2"/>
      <c r="H31" s="45" t="s">
        <v>63</v>
      </c>
      <c r="I31" s="2"/>
      <c r="J31" s="2"/>
      <c r="K31" s="2"/>
      <c r="L31" s="2"/>
      <c r="M31" s="2"/>
      <c r="N31" s="2"/>
      <c r="O31" s="2"/>
      <c r="P31" s="2"/>
      <c r="Q31" s="95" t="s">
        <v>64</v>
      </c>
      <c r="R31" s="2" t="s">
        <v>65</v>
      </c>
      <c r="S31" s="2"/>
      <c r="T31" s="2"/>
      <c r="U31" s="2"/>
    </row>
    <row r="32" spans="2:21" ht="15.75" thickBot="1">
      <c r="B32" s="95" t="s">
        <v>66</v>
      </c>
      <c r="C32" s="2"/>
      <c r="D32" s="2"/>
      <c r="E32" s="2"/>
      <c r="F32" s="2"/>
      <c r="G32" s="2"/>
      <c r="H32" s="45"/>
      <c r="I32" s="2"/>
      <c r="J32" s="2"/>
      <c r="K32" s="2"/>
      <c r="L32" s="2"/>
      <c r="M32" s="2"/>
      <c r="N32" s="2"/>
      <c r="O32" s="2"/>
      <c r="P32" s="95"/>
      <c r="Q32" s="2"/>
      <c r="R32" s="9"/>
      <c r="S32" s="2"/>
      <c r="T32" s="2"/>
      <c r="U32" s="2"/>
    </row>
    <row r="33" spans="2:21" ht="16.5" thickBot="1">
      <c r="B33" s="96" t="s">
        <v>3</v>
      </c>
      <c r="C33" s="97" t="s">
        <v>4</v>
      </c>
      <c r="D33" s="7" t="s">
        <v>5</v>
      </c>
      <c r="E33" s="7" t="s">
        <v>6</v>
      </c>
      <c r="F33" s="7" t="s">
        <v>7</v>
      </c>
      <c r="G33" s="8" t="s">
        <v>67</v>
      </c>
      <c r="H33" s="45"/>
      <c r="I33" s="2"/>
      <c r="J33" s="2"/>
      <c r="K33" s="2"/>
      <c r="L33" s="2"/>
      <c r="M33" s="2"/>
      <c r="N33" s="2"/>
      <c r="O33" s="2"/>
      <c r="P33" s="95"/>
      <c r="Q33" s="2"/>
      <c r="R33" s="2"/>
      <c r="S33" s="2"/>
      <c r="T33" s="2"/>
      <c r="U33" s="2"/>
    </row>
    <row r="34" spans="2:21">
      <c r="B34" s="98" t="s">
        <v>54</v>
      </c>
      <c r="C34" s="99" t="s">
        <v>68</v>
      </c>
      <c r="D34" s="100">
        <v>5</v>
      </c>
      <c r="E34" s="101"/>
      <c r="F34" s="21">
        <f>E34*D34</f>
        <v>0</v>
      </c>
      <c r="G34" s="102">
        <f>F34*16</f>
        <v>0</v>
      </c>
      <c r="H34" s="45"/>
      <c r="I34" s="2"/>
      <c r="J34" s="2"/>
      <c r="K34" s="2"/>
      <c r="L34" s="2"/>
      <c r="M34" s="2"/>
      <c r="N34" s="2"/>
      <c r="O34" s="2"/>
      <c r="P34" s="95"/>
      <c r="Q34" s="2"/>
      <c r="R34" s="2"/>
      <c r="S34" s="2"/>
      <c r="T34" s="2"/>
      <c r="U34" s="2"/>
    </row>
    <row r="35" spans="2:21" ht="15.75" thickBot="1">
      <c r="B35" s="103" t="s">
        <v>54</v>
      </c>
      <c r="C35" s="104" t="s">
        <v>69</v>
      </c>
      <c r="D35" s="105">
        <v>4</v>
      </c>
      <c r="E35" s="68"/>
      <c r="F35" s="68">
        <f>E35*D35</f>
        <v>0</v>
      </c>
      <c r="G35" s="106">
        <f>F35*8</f>
        <v>0</v>
      </c>
      <c r="H35" s="45"/>
      <c r="I35" s="2"/>
      <c r="J35" s="2"/>
      <c r="K35" s="2"/>
      <c r="L35" s="2"/>
      <c r="M35" s="2"/>
      <c r="N35" s="2"/>
      <c r="O35" s="2"/>
      <c r="P35" s="95"/>
      <c r="Q35" s="2"/>
      <c r="R35" s="2"/>
      <c r="S35" s="2"/>
      <c r="T35" s="2"/>
      <c r="U35" s="2"/>
    </row>
    <row r="36" spans="2:21">
      <c r="B36" s="2"/>
      <c r="C36" s="9"/>
      <c r="D36" s="2"/>
      <c r="E36" s="2"/>
      <c r="F36" s="2"/>
      <c r="G36" s="2"/>
      <c r="H36" s="4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 ht="15.75" thickBot="1">
      <c r="B37" s="95" t="s">
        <v>70</v>
      </c>
      <c r="C37" s="2"/>
      <c r="D37" s="2"/>
      <c r="E37" s="2"/>
      <c r="F37" s="2"/>
      <c r="G37" s="2"/>
      <c r="H37" s="4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 ht="16.5" thickBot="1">
      <c r="B38" s="96" t="s">
        <v>3</v>
      </c>
      <c r="C38" s="107" t="s">
        <v>4</v>
      </c>
      <c r="D38" s="97" t="s">
        <v>5</v>
      </c>
      <c r="E38" s="7" t="s">
        <v>6</v>
      </c>
      <c r="F38" s="7" t="s">
        <v>7</v>
      </c>
      <c r="G38" s="8" t="s">
        <v>51</v>
      </c>
      <c r="H38" s="4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 ht="15.75">
      <c r="B39" s="98" t="s">
        <v>71</v>
      </c>
      <c r="C39" s="108" t="s">
        <v>72</v>
      </c>
      <c r="D39" s="109">
        <v>0.35</v>
      </c>
      <c r="E39" s="110"/>
      <c r="F39" s="23">
        <f t="shared" ref="F39:F41" si="10">E39*D39</f>
        <v>0</v>
      </c>
      <c r="G39" s="24">
        <f>F39*10</f>
        <v>0</v>
      </c>
      <c r="H39" s="4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>
      <c r="B40" s="111" t="s">
        <v>73</v>
      </c>
      <c r="C40" s="112" t="s">
        <v>74</v>
      </c>
      <c r="D40" s="26">
        <v>8</v>
      </c>
      <c r="E40" s="29"/>
      <c r="F40" s="34">
        <f t="shared" si="10"/>
        <v>0</v>
      </c>
      <c r="G40" s="35">
        <f>F40*10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 ht="15.75" thickBot="1">
      <c r="B41" s="113" t="s">
        <v>1</v>
      </c>
      <c r="C41" s="114" t="s">
        <v>75</v>
      </c>
      <c r="D41" s="115">
        <v>8</v>
      </c>
      <c r="E41" s="116"/>
      <c r="F41" s="70">
        <f t="shared" si="10"/>
        <v>0</v>
      </c>
      <c r="G41" s="71">
        <f>F41*10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pageMargins left="0.7" right="0.7" top="0.75" bottom="0.75" header="0.3" footer="0.3"/>
  <ignoredErrors>
    <ignoredError sqref="N1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F347-7475-40F9-832C-CE11B7A9F6E6}">
  <dimension ref="C2:V43"/>
  <sheetViews>
    <sheetView workbookViewId="0">
      <selection activeCell="B2" sqref="B2:V43"/>
    </sheetView>
  </sheetViews>
  <sheetFormatPr defaultRowHeight="15"/>
  <sheetData>
    <row r="2" spans="3:22" ht="15.75" thickBot="1"/>
    <row r="3" spans="3:22" ht="17.25" thickTop="1" thickBot="1">
      <c r="C3" s="1" t="s">
        <v>0</v>
      </c>
      <c r="D3" s="2"/>
      <c r="E3" s="2"/>
      <c r="F3" s="2"/>
      <c r="G3" s="2"/>
      <c r="H3" s="2"/>
      <c r="I3" s="2"/>
      <c r="J3" s="3" t="s">
        <v>1</v>
      </c>
      <c r="K3" s="2"/>
      <c r="L3" s="2"/>
      <c r="M3" s="2"/>
      <c r="N3" s="2"/>
      <c r="O3" s="2"/>
      <c r="P3" s="2"/>
      <c r="Q3" s="4" t="s">
        <v>2</v>
      </c>
      <c r="R3" s="5"/>
      <c r="S3" s="2"/>
      <c r="T3" s="2"/>
      <c r="U3" s="2"/>
      <c r="V3" s="2"/>
    </row>
    <row r="4" spans="3:22" ht="17.25" thickTop="1" thickBot="1">
      <c r="C4" s="6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8" t="s">
        <v>8</v>
      </c>
      <c r="I4" s="9"/>
      <c r="J4" s="6" t="s">
        <v>3</v>
      </c>
      <c r="K4" s="7" t="s">
        <v>4</v>
      </c>
      <c r="L4" s="7" t="s">
        <v>5</v>
      </c>
      <c r="M4" s="7" t="s">
        <v>6</v>
      </c>
      <c r="N4" s="7" t="s">
        <v>7</v>
      </c>
      <c r="O4" s="8" t="s">
        <v>8</v>
      </c>
      <c r="P4" s="2"/>
      <c r="Q4" s="10" t="s">
        <v>4</v>
      </c>
      <c r="R4" s="11" t="s">
        <v>9</v>
      </c>
      <c r="S4" s="12" t="s">
        <v>10</v>
      </c>
      <c r="T4" s="12" t="s">
        <v>11</v>
      </c>
      <c r="U4" s="12" t="s">
        <v>12</v>
      </c>
      <c r="V4" s="13" t="s">
        <v>13</v>
      </c>
    </row>
    <row r="5" spans="3:22" ht="15.75">
      <c r="C5" s="14" t="s">
        <v>14</v>
      </c>
      <c r="D5" s="15" t="s">
        <v>15</v>
      </c>
      <c r="E5" s="16">
        <v>0.1</v>
      </c>
      <c r="F5" s="17"/>
      <c r="G5" s="18">
        <f>F5*E5</f>
        <v>0</v>
      </c>
      <c r="H5" s="19">
        <f>G5*9</f>
        <v>0</v>
      </c>
      <c r="I5" s="9"/>
      <c r="J5" s="20">
        <v>4</v>
      </c>
      <c r="K5" s="21" t="s">
        <v>16</v>
      </c>
      <c r="L5" s="21">
        <v>0.35</v>
      </c>
      <c r="M5" s="22"/>
      <c r="N5" s="23">
        <f>M5*L5</f>
        <v>0</v>
      </c>
      <c r="O5" s="24">
        <f>N5*9</f>
        <v>0</v>
      </c>
      <c r="P5" s="2"/>
      <c r="Q5" s="25" t="s">
        <v>17</v>
      </c>
      <c r="R5" s="26">
        <f>H28</f>
        <v>0</v>
      </c>
      <c r="S5" s="27"/>
      <c r="T5" s="28">
        <f t="shared" ref="T5:T6" si="0">R5-S5</f>
        <v>0</v>
      </c>
      <c r="U5" s="29"/>
      <c r="V5" s="30"/>
    </row>
    <row r="6" spans="3:22">
      <c r="C6" s="20" t="s">
        <v>18</v>
      </c>
      <c r="D6" s="28" t="s">
        <v>19</v>
      </c>
      <c r="E6" s="21">
        <v>4</v>
      </c>
      <c r="F6" s="31"/>
      <c r="G6" s="23">
        <f>F6*E6</f>
        <v>0</v>
      </c>
      <c r="H6" s="24">
        <f>G6</f>
        <v>0</v>
      </c>
      <c r="I6" s="9"/>
      <c r="J6" s="32">
        <v>5</v>
      </c>
      <c r="K6" s="28" t="s">
        <v>16</v>
      </c>
      <c r="L6" s="28">
        <v>0.45</v>
      </c>
      <c r="M6" s="33"/>
      <c r="N6" s="34">
        <f t="shared" ref="N6:N31" si="1">M6*L6</f>
        <v>0</v>
      </c>
      <c r="O6" s="35">
        <f t="shared" ref="O6:O31" si="2">N6*9</f>
        <v>0</v>
      </c>
      <c r="P6" s="2"/>
      <c r="Q6" s="25" t="s">
        <v>20</v>
      </c>
      <c r="R6" s="26">
        <f>H29</f>
        <v>0</v>
      </c>
      <c r="S6" s="27"/>
      <c r="T6" s="28">
        <f t="shared" si="0"/>
        <v>0</v>
      </c>
      <c r="U6" s="29"/>
      <c r="V6" s="30"/>
    </row>
    <row r="7" spans="3:22">
      <c r="C7" s="20" t="s">
        <v>21</v>
      </c>
      <c r="D7" s="28" t="s">
        <v>22</v>
      </c>
      <c r="E7" s="28">
        <v>13</v>
      </c>
      <c r="F7" s="31"/>
      <c r="G7" s="34">
        <f>F7*E7</f>
        <v>0</v>
      </c>
      <c r="H7" s="35">
        <f>G7</f>
        <v>0</v>
      </c>
      <c r="I7" s="9"/>
      <c r="J7" s="32">
        <v>6</v>
      </c>
      <c r="K7" s="28" t="s">
        <v>22</v>
      </c>
      <c r="L7" s="28">
        <v>0.9</v>
      </c>
      <c r="M7" s="33"/>
      <c r="N7" s="34">
        <f t="shared" si="1"/>
        <v>0</v>
      </c>
      <c r="O7" s="35">
        <f t="shared" si="2"/>
        <v>0</v>
      </c>
      <c r="P7" s="2"/>
      <c r="Q7" s="25" t="s">
        <v>23</v>
      </c>
      <c r="R7" s="26">
        <f>H35+O31</f>
        <v>0</v>
      </c>
      <c r="S7" s="27"/>
      <c r="T7" s="28">
        <f>R7-S7</f>
        <v>0</v>
      </c>
      <c r="U7" s="29"/>
      <c r="V7" s="30"/>
    </row>
    <row r="8" spans="3:22">
      <c r="C8" s="32">
        <v>8</v>
      </c>
      <c r="D8" s="28" t="s">
        <v>24</v>
      </c>
      <c r="E8" s="28">
        <v>1.3</v>
      </c>
      <c r="F8" s="36"/>
      <c r="G8" s="34">
        <f t="shared" ref="G8:G9" si="3">F8*E8</f>
        <v>0</v>
      </c>
      <c r="H8" s="35">
        <f>G8*9</f>
        <v>0</v>
      </c>
      <c r="I8" s="9"/>
      <c r="J8" s="32">
        <v>7</v>
      </c>
      <c r="K8" s="28" t="s">
        <v>25</v>
      </c>
      <c r="L8" s="28">
        <v>1</v>
      </c>
      <c r="M8" s="33"/>
      <c r="N8" s="34">
        <f t="shared" si="1"/>
        <v>0</v>
      </c>
      <c r="O8" s="35">
        <f t="shared" si="2"/>
        <v>0</v>
      </c>
      <c r="P8" s="2"/>
      <c r="Q8" s="37" t="s">
        <v>26</v>
      </c>
      <c r="R8" s="26">
        <f>H42</f>
        <v>0</v>
      </c>
      <c r="S8" s="29"/>
      <c r="T8" s="28">
        <f>R8-S8</f>
        <v>0</v>
      </c>
      <c r="U8" s="29"/>
      <c r="V8" s="38"/>
    </row>
    <row r="9" spans="3:22" ht="15.75" thickBot="1">
      <c r="C9" s="39">
        <v>9</v>
      </c>
      <c r="D9" s="40" t="s">
        <v>24</v>
      </c>
      <c r="E9" s="41">
        <v>1.3</v>
      </c>
      <c r="F9" s="42"/>
      <c r="G9" s="43">
        <f t="shared" si="3"/>
        <v>0</v>
      </c>
      <c r="H9" s="44">
        <f>G9*9</f>
        <v>0</v>
      </c>
      <c r="I9" s="45"/>
      <c r="J9" s="32">
        <v>8</v>
      </c>
      <c r="K9" s="28" t="s">
        <v>24</v>
      </c>
      <c r="L9" s="28">
        <v>1.6</v>
      </c>
      <c r="M9" s="33"/>
      <c r="N9" s="34">
        <f t="shared" si="1"/>
        <v>0</v>
      </c>
      <c r="O9" s="35">
        <f t="shared" si="2"/>
        <v>0</v>
      </c>
      <c r="P9" s="2"/>
      <c r="Q9" s="37" t="s">
        <v>27</v>
      </c>
      <c r="R9" s="26">
        <f>H41</f>
        <v>0</v>
      </c>
      <c r="S9" s="27"/>
      <c r="T9" s="28">
        <f t="shared" ref="T9:T23" si="4">R9-S9</f>
        <v>0</v>
      </c>
      <c r="U9" s="29"/>
      <c r="V9" s="38"/>
    </row>
    <row r="10" spans="3:22" ht="15.75" thickBot="1">
      <c r="C10" s="46"/>
      <c r="D10" s="47"/>
      <c r="E10" s="48"/>
      <c r="F10" s="49"/>
      <c r="G10" s="50"/>
      <c r="H10" s="50"/>
      <c r="I10" s="45"/>
      <c r="J10" s="32">
        <v>9</v>
      </c>
      <c r="K10" s="28" t="s">
        <v>24</v>
      </c>
      <c r="L10" s="28">
        <v>1.6</v>
      </c>
      <c r="M10" s="33"/>
      <c r="N10" s="34">
        <f t="shared" si="1"/>
        <v>0</v>
      </c>
      <c r="O10" s="35">
        <f t="shared" si="2"/>
        <v>0</v>
      </c>
      <c r="P10" s="2"/>
      <c r="Q10" s="25" t="s">
        <v>28</v>
      </c>
      <c r="R10" s="26">
        <f>H31</f>
        <v>0</v>
      </c>
      <c r="S10" s="29"/>
      <c r="T10" s="28">
        <f t="shared" si="4"/>
        <v>0</v>
      </c>
      <c r="U10" s="29"/>
      <c r="V10" s="38"/>
    </row>
    <row r="11" spans="3:22" ht="15.75" thickBot="1">
      <c r="C11" s="51" t="s">
        <v>29</v>
      </c>
      <c r="D11" s="52"/>
      <c r="E11" s="52"/>
      <c r="F11" s="53"/>
      <c r="G11" s="54"/>
      <c r="H11" s="54"/>
      <c r="I11" s="55"/>
      <c r="J11" s="32">
        <v>10</v>
      </c>
      <c r="K11" s="28" t="s">
        <v>24</v>
      </c>
      <c r="L11" s="28">
        <v>1.6</v>
      </c>
      <c r="M11" s="33"/>
      <c r="N11" s="34">
        <f t="shared" si="1"/>
        <v>0</v>
      </c>
      <c r="O11" s="35">
        <f t="shared" si="2"/>
        <v>0</v>
      </c>
      <c r="P11" s="2"/>
      <c r="Q11" s="25" t="s">
        <v>30</v>
      </c>
      <c r="R11" s="26">
        <f>O12+O13+O14+O15+O16</f>
        <v>0</v>
      </c>
      <c r="S11" s="27"/>
      <c r="T11" s="28">
        <f t="shared" si="4"/>
        <v>0</v>
      </c>
      <c r="U11" s="29"/>
      <c r="V11" s="30"/>
    </row>
    <row r="12" spans="3:22">
      <c r="C12" s="32">
        <v>10</v>
      </c>
      <c r="D12" s="28" t="s">
        <v>24</v>
      </c>
      <c r="E12" s="28">
        <v>1.7</v>
      </c>
      <c r="F12" s="56"/>
      <c r="G12" s="34">
        <f t="shared" ref="G12:G19" si="5">F12*E12</f>
        <v>0</v>
      </c>
      <c r="H12" s="35">
        <f t="shared" ref="H12:H24" si="6">G12*9</f>
        <v>0</v>
      </c>
      <c r="I12" s="45"/>
      <c r="J12" s="32">
        <v>11</v>
      </c>
      <c r="K12" s="28" t="s">
        <v>31</v>
      </c>
      <c r="L12" s="28">
        <v>1.8</v>
      </c>
      <c r="M12" s="33"/>
      <c r="N12" s="34">
        <f t="shared" si="1"/>
        <v>0</v>
      </c>
      <c r="O12" s="35">
        <f t="shared" si="2"/>
        <v>0</v>
      </c>
      <c r="P12" s="2"/>
      <c r="Q12" s="25" t="s">
        <v>32</v>
      </c>
      <c r="R12" s="26">
        <f>O17+O18+O19+O20+O21+O22</f>
        <v>0</v>
      </c>
      <c r="S12" s="27"/>
      <c r="T12" s="28">
        <f t="shared" si="4"/>
        <v>0</v>
      </c>
      <c r="U12" s="29"/>
      <c r="V12" s="30"/>
    </row>
    <row r="13" spans="3:22">
      <c r="C13" s="32">
        <v>11</v>
      </c>
      <c r="D13" s="28" t="s">
        <v>24</v>
      </c>
      <c r="E13" s="28">
        <v>1.9</v>
      </c>
      <c r="F13" s="57"/>
      <c r="G13" s="34">
        <f t="shared" si="5"/>
        <v>0</v>
      </c>
      <c r="H13" s="35">
        <f t="shared" si="6"/>
        <v>0</v>
      </c>
      <c r="I13" s="45"/>
      <c r="J13" s="32">
        <v>12</v>
      </c>
      <c r="K13" s="28" t="s">
        <v>31</v>
      </c>
      <c r="L13" s="28">
        <v>1.9</v>
      </c>
      <c r="M13" s="34"/>
      <c r="N13" s="34">
        <f>M13*L13</f>
        <v>0</v>
      </c>
      <c r="O13" s="35">
        <f t="shared" si="2"/>
        <v>0</v>
      </c>
      <c r="P13" s="2"/>
      <c r="Q13" s="25" t="s">
        <v>33</v>
      </c>
      <c r="R13" s="26">
        <f>O23+O24</f>
        <v>0</v>
      </c>
      <c r="S13" s="29"/>
      <c r="T13" s="28">
        <f t="shared" si="4"/>
        <v>0</v>
      </c>
      <c r="U13" s="29"/>
      <c r="V13" s="30"/>
    </row>
    <row r="14" spans="3:22">
      <c r="C14" s="32">
        <v>12</v>
      </c>
      <c r="D14" s="28" t="s">
        <v>34</v>
      </c>
      <c r="E14" s="28">
        <v>2.1</v>
      </c>
      <c r="F14" s="57"/>
      <c r="G14" s="34">
        <f t="shared" si="5"/>
        <v>0</v>
      </c>
      <c r="H14" s="35">
        <f t="shared" si="6"/>
        <v>0</v>
      </c>
      <c r="I14" s="45"/>
      <c r="J14" s="32">
        <v>13</v>
      </c>
      <c r="K14" s="28" t="s">
        <v>31</v>
      </c>
      <c r="L14" s="28">
        <v>2.1</v>
      </c>
      <c r="M14" s="34"/>
      <c r="N14" s="34">
        <f t="shared" si="1"/>
        <v>0</v>
      </c>
      <c r="O14" s="35">
        <f t="shared" si="2"/>
        <v>0</v>
      </c>
      <c r="P14" s="2"/>
      <c r="Q14" s="25" t="s">
        <v>35</v>
      </c>
      <c r="R14" s="26">
        <f>O25+O26</f>
        <v>0</v>
      </c>
      <c r="S14" s="29"/>
      <c r="T14" s="28">
        <f>R14-S14</f>
        <v>0</v>
      </c>
      <c r="U14" s="29"/>
      <c r="V14" s="30"/>
    </row>
    <row r="15" spans="3:22">
      <c r="C15" s="32">
        <v>13</v>
      </c>
      <c r="D15" s="28" t="s">
        <v>34</v>
      </c>
      <c r="E15" s="28">
        <v>2.2999999999999998</v>
      </c>
      <c r="F15" s="57"/>
      <c r="G15" s="34">
        <f t="shared" si="5"/>
        <v>0</v>
      </c>
      <c r="H15" s="35">
        <f t="shared" si="6"/>
        <v>0</v>
      </c>
      <c r="I15" s="45"/>
      <c r="J15" s="32">
        <v>14</v>
      </c>
      <c r="K15" s="28" t="s">
        <v>31</v>
      </c>
      <c r="L15" s="28">
        <v>2.2999999999999998</v>
      </c>
      <c r="M15" s="34"/>
      <c r="N15" s="34">
        <f t="shared" si="1"/>
        <v>0</v>
      </c>
      <c r="O15" s="35">
        <f t="shared" si="2"/>
        <v>0</v>
      </c>
      <c r="P15" s="2"/>
      <c r="Q15" s="25" t="s">
        <v>36</v>
      </c>
      <c r="R15" s="26">
        <f>O27+O28+O29+O30</f>
        <v>0</v>
      </c>
      <c r="S15" s="29"/>
      <c r="T15" s="28">
        <f>R15-S15</f>
        <v>0</v>
      </c>
      <c r="U15" s="29"/>
      <c r="V15" s="30"/>
    </row>
    <row r="16" spans="3:22">
      <c r="C16" s="32">
        <v>14</v>
      </c>
      <c r="D16" s="28" t="s">
        <v>37</v>
      </c>
      <c r="E16" s="28">
        <v>2.5</v>
      </c>
      <c r="F16" s="58"/>
      <c r="G16" s="34">
        <f t="shared" si="5"/>
        <v>0</v>
      </c>
      <c r="H16" s="35">
        <f t="shared" si="6"/>
        <v>0</v>
      </c>
      <c r="I16" s="45"/>
      <c r="J16" s="32">
        <v>15</v>
      </c>
      <c r="K16" s="28" t="s">
        <v>31</v>
      </c>
      <c r="L16" s="28">
        <v>2.4</v>
      </c>
      <c r="M16" s="34"/>
      <c r="N16" s="34">
        <f t="shared" si="1"/>
        <v>0</v>
      </c>
      <c r="O16" s="35">
        <f t="shared" si="2"/>
        <v>0</v>
      </c>
      <c r="P16" s="2"/>
      <c r="Q16" s="59" t="s">
        <v>15</v>
      </c>
      <c r="R16" s="26">
        <f>H5</f>
        <v>0</v>
      </c>
      <c r="S16" s="29"/>
      <c r="T16" s="28">
        <f t="shared" ref="T16:T19" si="7">R16-S16</f>
        <v>0</v>
      </c>
      <c r="U16" s="29"/>
      <c r="V16" s="38"/>
    </row>
    <row r="17" spans="3:22">
      <c r="C17" s="32">
        <v>15</v>
      </c>
      <c r="D17" s="28" t="s">
        <v>37</v>
      </c>
      <c r="E17" s="28">
        <v>2.7</v>
      </c>
      <c r="F17" s="60"/>
      <c r="G17" s="34">
        <f t="shared" si="5"/>
        <v>0</v>
      </c>
      <c r="H17" s="35">
        <f t="shared" si="6"/>
        <v>0</v>
      </c>
      <c r="I17" s="45"/>
      <c r="J17" s="32">
        <v>16</v>
      </c>
      <c r="K17" s="28" t="s">
        <v>38</v>
      </c>
      <c r="L17" s="28">
        <v>2.5</v>
      </c>
      <c r="M17" s="34"/>
      <c r="N17" s="34">
        <f t="shared" si="1"/>
        <v>0</v>
      </c>
      <c r="O17" s="35">
        <f>N17*18</f>
        <v>0</v>
      </c>
      <c r="P17" s="2"/>
      <c r="Q17" s="25" t="s">
        <v>19</v>
      </c>
      <c r="R17" s="26">
        <f>H6</f>
        <v>0</v>
      </c>
      <c r="S17" s="27"/>
      <c r="T17" s="28">
        <f t="shared" si="7"/>
        <v>0</v>
      </c>
      <c r="U17" s="29"/>
      <c r="V17" s="38"/>
    </row>
    <row r="18" spans="3:22">
      <c r="C18" s="32">
        <v>16</v>
      </c>
      <c r="D18" s="28" t="s">
        <v>39</v>
      </c>
      <c r="E18" s="28">
        <v>2.9</v>
      </c>
      <c r="F18" s="60"/>
      <c r="G18" s="34">
        <f t="shared" si="5"/>
        <v>0</v>
      </c>
      <c r="H18" s="35">
        <f t="shared" si="6"/>
        <v>0</v>
      </c>
      <c r="I18" s="45"/>
      <c r="J18" s="32">
        <v>17</v>
      </c>
      <c r="K18" s="28" t="s">
        <v>38</v>
      </c>
      <c r="L18" s="28">
        <v>2.6</v>
      </c>
      <c r="M18" s="34"/>
      <c r="N18" s="34">
        <f t="shared" si="1"/>
        <v>0</v>
      </c>
      <c r="O18" s="35">
        <f>N18*18</f>
        <v>0</v>
      </c>
      <c r="P18" s="2"/>
      <c r="Q18" s="25" t="s">
        <v>22</v>
      </c>
      <c r="R18" s="26">
        <f>H7</f>
        <v>0</v>
      </c>
      <c r="S18" s="27"/>
      <c r="T18" s="28">
        <f t="shared" si="7"/>
        <v>0</v>
      </c>
      <c r="U18" s="29"/>
      <c r="V18" s="38"/>
    </row>
    <row r="19" spans="3:22">
      <c r="C19" s="32">
        <v>17</v>
      </c>
      <c r="D19" s="28" t="s">
        <v>39</v>
      </c>
      <c r="E19" s="28">
        <v>2.9</v>
      </c>
      <c r="F19" s="60"/>
      <c r="G19" s="34">
        <f t="shared" si="5"/>
        <v>0</v>
      </c>
      <c r="H19" s="35">
        <f t="shared" si="6"/>
        <v>0</v>
      </c>
      <c r="I19" s="45"/>
      <c r="J19" s="32">
        <v>18</v>
      </c>
      <c r="K19" s="28" t="s">
        <v>38</v>
      </c>
      <c r="L19" s="28">
        <v>2.7</v>
      </c>
      <c r="M19" s="34"/>
      <c r="N19" s="34">
        <f t="shared" si="1"/>
        <v>0</v>
      </c>
      <c r="O19" s="35">
        <f>N19*18</f>
        <v>0</v>
      </c>
      <c r="P19" s="2"/>
      <c r="Q19" s="25" t="s">
        <v>40</v>
      </c>
      <c r="R19" s="26">
        <f>H8+H9+H12+H13+O9+O10+O11</f>
        <v>0</v>
      </c>
      <c r="S19" s="27"/>
      <c r="T19" s="28">
        <f t="shared" si="7"/>
        <v>0</v>
      </c>
      <c r="U19" s="29"/>
      <c r="V19" s="30"/>
    </row>
    <row r="20" spans="3:22">
      <c r="C20" s="32">
        <v>18</v>
      </c>
      <c r="D20" s="28" t="s">
        <v>39</v>
      </c>
      <c r="E20" s="28">
        <v>3.1</v>
      </c>
      <c r="F20" s="60"/>
      <c r="G20" s="34">
        <f>E20*F20</f>
        <v>0</v>
      </c>
      <c r="H20" s="35">
        <f t="shared" si="6"/>
        <v>0</v>
      </c>
      <c r="I20" s="45"/>
      <c r="J20" s="32">
        <v>19</v>
      </c>
      <c r="K20" s="28" t="s">
        <v>41</v>
      </c>
      <c r="L20" s="28">
        <v>2.8</v>
      </c>
      <c r="M20" s="34"/>
      <c r="N20" s="34">
        <f>M20*L20</f>
        <v>0</v>
      </c>
      <c r="O20" s="35">
        <f>N20*9</f>
        <v>0</v>
      </c>
      <c r="P20" s="2"/>
      <c r="Q20" s="25" t="s">
        <v>42</v>
      </c>
      <c r="R20" s="26">
        <f>H14+H15</f>
        <v>0</v>
      </c>
      <c r="S20" s="29"/>
      <c r="T20" s="28">
        <f t="shared" si="4"/>
        <v>0</v>
      </c>
      <c r="U20" s="29"/>
      <c r="V20" s="30"/>
    </row>
    <row r="21" spans="3:22">
      <c r="C21" s="32">
        <v>19</v>
      </c>
      <c r="D21" s="28" t="s">
        <v>43</v>
      </c>
      <c r="E21" s="28">
        <v>3.1</v>
      </c>
      <c r="F21" s="60"/>
      <c r="G21" s="34">
        <f>E21*F21</f>
        <v>0</v>
      </c>
      <c r="H21" s="35">
        <f t="shared" si="6"/>
        <v>0</v>
      </c>
      <c r="I21" s="45"/>
      <c r="J21" s="32">
        <v>20</v>
      </c>
      <c r="K21" s="28" t="s">
        <v>41</v>
      </c>
      <c r="L21" s="28">
        <v>2.9</v>
      </c>
      <c r="M21" s="34"/>
      <c r="N21" s="34">
        <f t="shared" si="1"/>
        <v>0</v>
      </c>
      <c r="O21" s="35">
        <f>N21*18</f>
        <v>0</v>
      </c>
      <c r="P21" s="2"/>
      <c r="Q21" s="25" t="s">
        <v>44</v>
      </c>
      <c r="R21" s="26">
        <f>H16+H17</f>
        <v>0</v>
      </c>
      <c r="S21" s="27"/>
      <c r="T21" s="28">
        <f>R21-S21</f>
        <v>0</v>
      </c>
      <c r="U21" s="29"/>
      <c r="V21" s="30" t="s">
        <v>45</v>
      </c>
    </row>
    <row r="22" spans="3:22">
      <c r="C22" s="32">
        <v>20</v>
      </c>
      <c r="D22" s="28" t="s">
        <v>43</v>
      </c>
      <c r="E22" s="28">
        <v>3.1</v>
      </c>
      <c r="F22" s="60"/>
      <c r="G22" s="34">
        <f>E22*F22</f>
        <v>0</v>
      </c>
      <c r="H22" s="35">
        <f t="shared" si="6"/>
        <v>0</v>
      </c>
      <c r="I22" s="45"/>
      <c r="J22" s="32">
        <v>21</v>
      </c>
      <c r="K22" s="28" t="s">
        <v>41</v>
      </c>
      <c r="L22" s="28">
        <v>2.9</v>
      </c>
      <c r="M22" s="34"/>
      <c r="N22" s="34">
        <f t="shared" si="1"/>
        <v>0</v>
      </c>
      <c r="O22" s="35">
        <f>N22*18</f>
        <v>0</v>
      </c>
      <c r="P22" s="2"/>
      <c r="Q22" s="25" t="s">
        <v>46</v>
      </c>
      <c r="R22" s="26">
        <f>H18+H19+H20</f>
        <v>0</v>
      </c>
      <c r="S22" s="27"/>
      <c r="T22" s="28">
        <f t="shared" si="4"/>
        <v>0</v>
      </c>
      <c r="U22" s="29"/>
      <c r="V22" s="30"/>
    </row>
    <row r="23" spans="3:22" ht="15.75" thickBot="1">
      <c r="C23" s="32">
        <v>21</v>
      </c>
      <c r="D23" s="28" t="s">
        <v>43</v>
      </c>
      <c r="E23" s="28">
        <v>3.1</v>
      </c>
      <c r="F23" s="60"/>
      <c r="G23" s="34">
        <f>E23*F23</f>
        <v>0</v>
      </c>
      <c r="H23" s="35">
        <f t="shared" si="6"/>
        <v>0</v>
      </c>
      <c r="I23" s="45"/>
      <c r="J23" s="32">
        <v>22</v>
      </c>
      <c r="K23" s="28" t="s">
        <v>47</v>
      </c>
      <c r="L23" s="28">
        <v>3</v>
      </c>
      <c r="M23" s="34"/>
      <c r="N23" s="34">
        <f t="shared" si="1"/>
        <v>0</v>
      </c>
      <c r="O23" s="35">
        <f>N23*9</f>
        <v>0</v>
      </c>
      <c r="P23" s="2"/>
      <c r="Q23" s="61" t="s">
        <v>43</v>
      </c>
      <c r="R23" s="62">
        <f>H21+H22+H23+H24</f>
        <v>0</v>
      </c>
      <c r="S23" s="63"/>
      <c r="T23" s="64">
        <f t="shared" si="4"/>
        <v>0</v>
      </c>
      <c r="U23" s="65"/>
      <c r="V23" s="66"/>
    </row>
    <row r="24" spans="3:22" ht="16.5" thickTop="1" thickBot="1">
      <c r="C24" s="67">
        <v>22</v>
      </c>
      <c r="D24" s="68" t="s">
        <v>43</v>
      </c>
      <c r="E24" s="68">
        <v>3.1</v>
      </c>
      <c r="F24" s="69"/>
      <c r="G24" s="70">
        <f>E24*F24</f>
        <v>0</v>
      </c>
      <c r="H24" s="71">
        <f t="shared" si="6"/>
        <v>0</v>
      </c>
      <c r="I24" s="45"/>
      <c r="J24" s="32">
        <v>23</v>
      </c>
      <c r="K24" s="72" t="s">
        <v>47</v>
      </c>
      <c r="L24" s="73">
        <v>3</v>
      </c>
      <c r="M24" s="74"/>
      <c r="N24" s="34">
        <f t="shared" si="1"/>
        <v>0</v>
      </c>
      <c r="O24" s="35">
        <f>N24*9</f>
        <v>0</v>
      </c>
      <c r="P24" s="2"/>
      <c r="Q24" s="75"/>
      <c r="R24" s="76"/>
      <c r="S24" s="76"/>
      <c r="T24" s="77"/>
      <c r="U24" s="77"/>
      <c r="V24" s="78"/>
    </row>
    <row r="25" spans="3:22" ht="15.75" thickBot="1">
      <c r="C25" s="2"/>
      <c r="D25" s="2"/>
      <c r="E25" s="2"/>
      <c r="F25" s="79"/>
      <c r="G25" s="2"/>
      <c r="H25" s="2"/>
      <c r="I25" s="45"/>
      <c r="J25" s="32">
        <v>24</v>
      </c>
      <c r="K25" s="73" t="s">
        <v>47</v>
      </c>
      <c r="L25" s="73">
        <v>3.1</v>
      </c>
      <c r="M25" s="74"/>
      <c r="N25" s="34">
        <f t="shared" si="1"/>
        <v>0</v>
      </c>
      <c r="O25" s="35">
        <f>N25*9</f>
        <v>0</v>
      </c>
      <c r="P25" s="2"/>
      <c r="Q25" s="80"/>
      <c r="R25" s="9"/>
      <c r="S25" s="9"/>
      <c r="T25" s="9"/>
      <c r="U25" s="9"/>
      <c r="V25" s="2"/>
    </row>
    <row r="26" spans="3:22" ht="15.75" thickBot="1">
      <c r="C26" s="95" t="s">
        <v>48</v>
      </c>
      <c r="D26" s="2"/>
      <c r="E26" s="2"/>
      <c r="F26" s="2"/>
      <c r="G26" s="2"/>
      <c r="H26" s="2"/>
      <c r="I26" s="45"/>
      <c r="J26" s="32">
        <v>25</v>
      </c>
      <c r="K26" s="73" t="s">
        <v>49</v>
      </c>
      <c r="L26" s="73">
        <v>3.1</v>
      </c>
      <c r="M26" s="74"/>
      <c r="N26" s="34">
        <f t="shared" si="1"/>
        <v>0</v>
      </c>
      <c r="O26" s="35">
        <f t="shared" si="2"/>
        <v>0</v>
      </c>
      <c r="P26" s="2"/>
      <c r="Q26" s="81" t="s">
        <v>50</v>
      </c>
      <c r="R26" s="82" t="s">
        <v>9</v>
      </c>
      <c r="S26" s="82" t="s">
        <v>10</v>
      </c>
      <c r="T26" s="82" t="s">
        <v>11</v>
      </c>
      <c r="U26" s="82"/>
      <c r="V26" s="83" t="s">
        <v>13</v>
      </c>
    </row>
    <row r="27" spans="3:22" ht="16.5" thickBot="1">
      <c r="C27" s="117" t="s">
        <v>3</v>
      </c>
      <c r="D27" s="118" t="s">
        <v>4</v>
      </c>
      <c r="E27" s="118" t="s">
        <v>5</v>
      </c>
      <c r="F27" s="118" t="s">
        <v>6</v>
      </c>
      <c r="G27" s="118" t="s">
        <v>7</v>
      </c>
      <c r="H27" s="119" t="s">
        <v>51</v>
      </c>
      <c r="I27" s="45"/>
      <c r="J27" s="32">
        <v>26</v>
      </c>
      <c r="K27" s="73" t="s">
        <v>52</v>
      </c>
      <c r="L27" s="73">
        <v>3.1</v>
      </c>
      <c r="M27" s="74"/>
      <c r="N27" s="34">
        <f t="shared" si="1"/>
        <v>0</v>
      </c>
      <c r="O27" s="35">
        <f t="shared" si="2"/>
        <v>0</v>
      </c>
      <c r="P27" s="2"/>
      <c r="Q27" s="84" t="s">
        <v>53</v>
      </c>
      <c r="R27" s="15"/>
      <c r="S27" s="15"/>
      <c r="T27" s="15">
        <f>R27-S27</f>
        <v>0</v>
      </c>
      <c r="U27" s="15"/>
      <c r="V27" s="19"/>
    </row>
    <row r="28" spans="3:22" ht="15.75" thickBot="1">
      <c r="C28" s="120" t="s">
        <v>54</v>
      </c>
      <c r="D28" s="28" t="s">
        <v>54</v>
      </c>
      <c r="E28" s="28">
        <v>2.6</v>
      </c>
      <c r="F28" s="29"/>
      <c r="G28" s="34">
        <f>F28*E28</f>
        <v>0</v>
      </c>
      <c r="H28" s="35">
        <f>G28*10</f>
        <v>0</v>
      </c>
      <c r="I28" s="45"/>
      <c r="J28" s="32">
        <v>27</v>
      </c>
      <c r="K28" s="73" t="s">
        <v>49</v>
      </c>
      <c r="L28" s="73">
        <v>3.3</v>
      </c>
      <c r="M28" s="74"/>
      <c r="N28" s="34">
        <f t="shared" si="1"/>
        <v>0</v>
      </c>
      <c r="O28" s="35">
        <f t="shared" si="2"/>
        <v>0</v>
      </c>
      <c r="P28" s="2"/>
      <c r="Q28" s="85" t="s">
        <v>55</v>
      </c>
      <c r="R28" s="28"/>
      <c r="S28" s="27"/>
      <c r="T28" s="15">
        <f t="shared" ref="T28:T30" si="8">R28-S28</f>
        <v>0</v>
      </c>
      <c r="U28" s="23"/>
      <c r="V28" s="24"/>
    </row>
    <row r="29" spans="3:22" ht="15.75" thickBot="1">
      <c r="C29" s="120" t="s">
        <v>56</v>
      </c>
      <c r="D29" s="28" t="s">
        <v>56</v>
      </c>
      <c r="E29" s="28">
        <v>2.5</v>
      </c>
      <c r="F29" s="29"/>
      <c r="G29" s="34">
        <f>F29*E29</f>
        <v>0</v>
      </c>
      <c r="H29" s="35">
        <f t="shared" ref="H29" si="9">G29*10</f>
        <v>0</v>
      </c>
      <c r="I29" s="45"/>
      <c r="J29" s="32">
        <v>28</v>
      </c>
      <c r="K29" s="73" t="s">
        <v>49</v>
      </c>
      <c r="L29" s="73">
        <v>3.3</v>
      </c>
      <c r="M29" s="74"/>
      <c r="N29" s="34">
        <f t="shared" si="1"/>
        <v>0</v>
      </c>
      <c r="O29" s="35">
        <f t="shared" si="2"/>
        <v>0</v>
      </c>
      <c r="P29" s="2"/>
      <c r="Q29" s="86" t="s">
        <v>57</v>
      </c>
      <c r="R29" s="28">
        <f>H30</f>
        <v>0</v>
      </c>
      <c r="S29" s="28"/>
      <c r="T29" s="15">
        <f t="shared" si="8"/>
        <v>0</v>
      </c>
      <c r="U29" s="9"/>
      <c r="V29" s="35"/>
    </row>
    <row r="30" spans="3:22" ht="15.75" thickBot="1">
      <c r="C30" s="121" t="s">
        <v>58</v>
      </c>
      <c r="D30" s="64" t="s">
        <v>59</v>
      </c>
      <c r="E30" s="64">
        <v>2.5</v>
      </c>
      <c r="F30" s="65"/>
      <c r="G30" s="87">
        <f>F30*E30</f>
        <v>0</v>
      </c>
      <c r="H30" s="122">
        <f>G30*5</f>
        <v>0</v>
      </c>
      <c r="I30" s="45"/>
      <c r="J30" s="32">
        <v>29</v>
      </c>
      <c r="K30" s="73" t="s">
        <v>52</v>
      </c>
      <c r="L30" s="73">
        <v>6</v>
      </c>
      <c r="M30" s="74"/>
      <c r="N30" s="34">
        <f t="shared" si="1"/>
        <v>0</v>
      </c>
      <c r="O30" s="35">
        <f t="shared" si="2"/>
        <v>0</v>
      </c>
      <c r="P30" s="2"/>
      <c r="Q30" s="88" t="s">
        <v>60</v>
      </c>
      <c r="R30" s="68"/>
      <c r="S30" s="89"/>
      <c r="T30" s="15">
        <f t="shared" si="8"/>
        <v>0</v>
      </c>
      <c r="U30" s="28"/>
      <c r="V30" s="71"/>
    </row>
    <row r="31" spans="3:22" ht="15.75" thickBot="1">
      <c r="C31" s="123" t="s">
        <v>61</v>
      </c>
      <c r="D31" s="68" t="s">
        <v>28</v>
      </c>
      <c r="E31" s="68">
        <v>2.6</v>
      </c>
      <c r="F31" s="116"/>
      <c r="G31" s="70">
        <f>F31*E31</f>
        <v>0</v>
      </c>
      <c r="H31" s="71">
        <f>G31*5</f>
        <v>0</v>
      </c>
      <c r="I31" s="2"/>
      <c r="J31" s="67" t="s">
        <v>62</v>
      </c>
      <c r="K31" s="90" t="s">
        <v>49</v>
      </c>
      <c r="L31" s="90">
        <v>6</v>
      </c>
      <c r="M31" s="89"/>
      <c r="N31" s="70">
        <f t="shared" si="1"/>
        <v>0</v>
      </c>
      <c r="O31" s="71">
        <f t="shared" si="2"/>
        <v>0</v>
      </c>
      <c r="P31" s="2"/>
      <c r="Q31" s="91" t="s">
        <v>7</v>
      </c>
      <c r="R31" s="92">
        <f>SUM(R5:R30)</f>
        <v>0</v>
      </c>
      <c r="S31" s="92">
        <f>SUM(S5:S30)</f>
        <v>0</v>
      </c>
      <c r="T31" s="92">
        <f>SUM(T5:T30)</f>
        <v>0</v>
      </c>
      <c r="U31" s="92">
        <f>SUM(U5:U30)</f>
        <v>0</v>
      </c>
      <c r="V31" s="93"/>
    </row>
    <row r="32" spans="3:22">
      <c r="C32" s="94"/>
      <c r="D32" s="9"/>
      <c r="E32" s="9"/>
      <c r="F32" s="9"/>
      <c r="G32" s="2"/>
      <c r="H32" s="2"/>
      <c r="I32" s="45" t="s">
        <v>63</v>
      </c>
      <c r="J32" s="2"/>
      <c r="K32" s="2"/>
      <c r="L32" s="2"/>
      <c r="M32" s="2"/>
      <c r="N32" s="2"/>
      <c r="O32" s="2"/>
      <c r="P32" s="2"/>
      <c r="Q32" s="2"/>
      <c r="R32" s="95" t="s">
        <v>64</v>
      </c>
      <c r="S32" s="2" t="s">
        <v>65</v>
      </c>
      <c r="T32" s="2"/>
      <c r="U32" s="2"/>
      <c r="V32" s="2"/>
    </row>
    <row r="33" spans="3:22" ht="15.75" thickBot="1">
      <c r="C33" s="95" t="s">
        <v>66</v>
      </c>
      <c r="D33" s="2"/>
      <c r="E33" s="2"/>
      <c r="F33" s="2"/>
      <c r="G33" s="2"/>
      <c r="H33" s="2"/>
      <c r="I33" s="45"/>
      <c r="J33" s="2"/>
      <c r="K33" s="2"/>
      <c r="L33" s="2"/>
      <c r="M33" s="2"/>
      <c r="N33" s="2"/>
      <c r="O33" s="2"/>
      <c r="P33" s="2"/>
      <c r="Q33" s="95"/>
      <c r="R33" s="2"/>
      <c r="S33" s="9"/>
      <c r="T33" s="2"/>
      <c r="U33" s="2"/>
      <c r="V33" s="2"/>
    </row>
    <row r="34" spans="3:22" ht="16.5" thickBot="1">
      <c r="C34" s="96" t="s">
        <v>3</v>
      </c>
      <c r="D34" s="97" t="s">
        <v>4</v>
      </c>
      <c r="E34" s="7" t="s">
        <v>5</v>
      </c>
      <c r="F34" s="7" t="s">
        <v>6</v>
      </c>
      <c r="G34" s="7" t="s">
        <v>7</v>
      </c>
      <c r="H34" s="8" t="s">
        <v>67</v>
      </c>
      <c r="I34" s="45"/>
      <c r="J34" s="2"/>
      <c r="K34" s="2"/>
      <c r="L34" s="2"/>
      <c r="M34" s="2"/>
      <c r="N34" s="2"/>
      <c r="O34" s="2"/>
      <c r="P34" s="2"/>
      <c r="Q34" s="95"/>
      <c r="R34" s="2"/>
      <c r="S34" s="2"/>
      <c r="T34" s="2"/>
      <c r="U34" s="2"/>
      <c r="V34" s="2"/>
    </row>
    <row r="35" spans="3:22">
      <c r="C35" s="98" t="s">
        <v>54</v>
      </c>
      <c r="D35" s="99" t="s">
        <v>68</v>
      </c>
      <c r="E35" s="100">
        <v>5</v>
      </c>
      <c r="F35" s="101"/>
      <c r="G35" s="21">
        <f>F35*E35</f>
        <v>0</v>
      </c>
      <c r="H35" s="102">
        <f>G35*16</f>
        <v>0</v>
      </c>
      <c r="I35" s="45"/>
      <c r="J35" s="2"/>
      <c r="K35" s="2"/>
      <c r="L35" s="2"/>
      <c r="M35" s="2"/>
      <c r="N35" s="2"/>
      <c r="O35" s="2"/>
      <c r="P35" s="2"/>
      <c r="Q35" s="95"/>
      <c r="R35" s="2"/>
      <c r="S35" s="2"/>
      <c r="T35" s="2"/>
      <c r="U35" s="2"/>
      <c r="V35" s="2"/>
    </row>
    <row r="36" spans="3:22" ht="15.75" thickBot="1">
      <c r="C36" s="103" t="s">
        <v>54</v>
      </c>
      <c r="D36" s="104" t="s">
        <v>69</v>
      </c>
      <c r="E36" s="105">
        <v>4</v>
      </c>
      <c r="F36" s="68"/>
      <c r="G36" s="68">
        <f>F36*E36</f>
        <v>0</v>
      </c>
      <c r="H36" s="106">
        <f>G36*8</f>
        <v>0</v>
      </c>
      <c r="I36" s="45"/>
      <c r="J36" s="2"/>
      <c r="K36" s="2"/>
      <c r="L36" s="2"/>
      <c r="M36" s="2"/>
      <c r="N36" s="2"/>
      <c r="O36" s="2"/>
      <c r="P36" s="2"/>
      <c r="Q36" s="95"/>
      <c r="R36" s="2"/>
      <c r="S36" s="2"/>
      <c r="T36" s="2"/>
      <c r="U36" s="2"/>
      <c r="V36" s="2"/>
    </row>
    <row r="37" spans="3:22">
      <c r="C37" s="2"/>
      <c r="D37" s="9"/>
      <c r="E37" s="2"/>
      <c r="F37" s="2"/>
      <c r="G37" s="2"/>
      <c r="H37" s="2"/>
      <c r="I37" s="4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3:22" ht="15.75" thickBot="1">
      <c r="C38" s="95" t="s">
        <v>70</v>
      </c>
      <c r="D38" s="2"/>
      <c r="E38" s="2"/>
      <c r="F38" s="2"/>
      <c r="G38" s="2"/>
      <c r="H38" s="2"/>
      <c r="I38" s="4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3:22" ht="16.5" thickBot="1">
      <c r="C39" s="96" t="s">
        <v>3</v>
      </c>
      <c r="D39" s="107" t="s">
        <v>4</v>
      </c>
      <c r="E39" s="97" t="s">
        <v>5</v>
      </c>
      <c r="F39" s="7" t="s">
        <v>6</v>
      </c>
      <c r="G39" s="7" t="s">
        <v>7</v>
      </c>
      <c r="H39" s="8" t="s">
        <v>51</v>
      </c>
      <c r="I39" s="4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3:22" ht="15.75">
      <c r="C40" s="98" t="s">
        <v>71</v>
      </c>
      <c r="D40" s="108" t="s">
        <v>72</v>
      </c>
      <c r="E40" s="109">
        <v>0.35</v>
      </c>
      <c r="F40" s="110"/>
      <c r="G40" s="23">
        <f t="shared" ref="G40:G42" si="10">F40*E40</f>
        <v>0</v>
      </c>
      <c r="H40" s="24">
        <f>G40*10</f>
        <v>0</v>
      </c>
      <c r="I40" s="4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3:22">
      <c r="C41" s="111" t="s">
        <v>73</v>
      </c>
      <c r="D41" s="112" t="s">
        <v>74</v>
      </c>
      <c r="E41" s="26">
        <v>8</v>
      </c>
      <c r="F41" s="29"/>
      <c r="G41" s="34">
        <f t="shared" si="10"/>
        <v>0</v>
      </c>
      <c r="H41" s="35">
        <f>G41*10</f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3:22" ht="15.75" thickBot="1">
      <c r="C42" s="113" t="s">
        <v>1</v>
      </c>
      <c r="D42" s="114" t="s">
        <v>75</v>
      </c>
      <c r="E42" s="115">
        <v>8</v>
      </c>
      <c r="F42" s="116"/>
      <c r="G42" s="70">
        <f t="shared" si="10"/>
        <v>0</v>
      </c>
      <c r="H42" s="71">
        <f>G42*10</f>
        <v>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3:2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3FD9-8B9F-4548-9646-0332A3B87336}">
  <dimension ref="D2:W43"/>
  <sheetViews>
    <sheetView workbookViewId="0">
      <selection activeCell="G19" sqref="G19"/>
    </sheetView>
  </sheetViews>
  <sheetFormatPr defaultRowHeight="15"/>
  <cols>
    <col min="4" max="4" width="14.28515625" customWidth="1"/>
    <col min="5" max="5" width="16" customWidth="1"/>
    <col min="18" max="18" width="17.85546875" customWidth="1"/>
  </cols>
  <sheetData>
    <row r="2" spans="4:23" ht="15.75" thickBot="1"/>
    <row r="3" spans="4:23" ht="17.25" thickTop="1" thickBot="1">
      <c r="D3" s="1" t="s">
        <v>0</v>
      </c>
      <c r="E3" s="2"/>
      <c r="F3" s="2"/>
      <c r="G3" s="2"/>
      <c r="H3" s="2"/>
      <c r="I3" s="2"/>
      <c r="J3" s="2"/>
      <c r="K3" s="3" t="s">
        <v>1</v>
      </c>
      <c r="L3" s="2"/>
      <c r="M3" s="2"/>
      <c r="N3" s="2"/>
      <c r="O3" s="2"/>
      <c r="P3" s="2"/>
      <c r="Q3" s="2"/>
      <c r="R3" s="4" t="s">
        <v>2</v>
      </c>
      <c r="S3" s="5"/>
      <c r="T3" s="2"/>
      <c r="U3" s="2"/>
      <c r="V3" s="2"/>
      <c r="W3" s="2"/>
    </row>
    <row r="4" spans="4:23" ht="17.25" thickTop="1" thickBot="1">
      <c r="D4" s="6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 t="s">
        <v>8</v>
      </c>
      <c r="J4" s="9"/>
      <c r="K4" s="6" t="s">
        <v>3</v>
      </c>
      <c r="L4" s="7" t="s">
        <v>4</v>
      </c>
      <c r="M4" s="7" t="s">
        <v>5</v>
      </c>
      <c r="N4" s="7" t="s">
        <v>6</v>
      </c>
      <c r="O4" s="7" t="s">
        <v>7</v>
      </c>
      <c r="P4" s="8" t="s">
        <v>8</v>
      </c>
      <c r="Q4" s="2"/>
      <c r="R4" s="10" t="s">
        <v>4</v>
      </c>
      <c r="S4" s="11" t="s">
        <v>9</v>
      </c>
      <c r="T4" s="12" t="s">
        <v>10</v>
      </c>
      <c r="U4" s="12" t="s">
        <v>11</v>
      </c>
      <c r="V4" s="12" t="s">
        <v>12</v>
      </c>
      <c r="W4" s="13" t="s">
        <v>13</v>
      </c>
    </row>
    <row r="5" spans="4:23" ht="15.75">
      <c r="D5" s="14" t="s">
        <v>14</v>
      </c>
      <c r="E5" s="15" t="s">
        <v>15</v>
      </c>
      <c r="F5" s="16">
        <v>0.1</v>
      </c>
      <c r="G5" s="17"/>
      <c r="H5" s="18">
        <f>G5*F5</f>
        <v>0</v>
      </c>
      <c r="I5" s="19">
        <f>H5*9</f>
        <v>0</v>
      </c>
      <c r="J5" s="9"/>
      <c r="K5" s="20">
        <v>4</v>
      </c>
      <c r="L5" s="21" t="s">
        <v>16</v>
      </c>
      <c r="M5" s="21">
        <v>0.35</v>
      </c>
      <c r="N5" s="22"/>
      <c r="O5" s="23">
        <f>N5*M5</f>
        <v>0</v>
      </c>
      <c r="P5" s="24">
        <f>O5*9</f>
        <v>0</v>
      </c>
      <c r="Q5" s="2"/>
      <c r="R5" s="25" t="s">
        <v>17</v>
      </c>
      <c r="S5" s="26">
        <v>12</v>
      </c>
      <c r="T5" s="27">
        <v>8</v>
      </c>
      <c r="U5" s="28">
        <f t="shared" ref="U5:U6" si="0">S5-T5</f>
        <v>4</v>
      </c>
      <c r="V5" s="29">
        <v>4</v>
      </c>
      <c r="W5" s="30">
        <v>3</v>
      </c>
    </row>
    <row r="6" spans="4:23">
      <c r="D6" s="20" t="s">
        <v>18</v>
      </c>
      <c r="E6" s="28" t="s">
        <v>19</v>
      </c>
      <c r="F6" s="21">
        <v>4</v>
      </c>
      <c r="G6" s="31"/>
      <c r="H6" s="23">
        <f>G6*F6</f>
        <v>0</v>
      </c>
      <c r="I6" s="24">
        <f>H6</f>
        <v>0</v>
      </c>
      <c r="J6" s="9"/>
      <c r="K6" s="32">
        <v>5</v>
      </c>
      <c r="L6" s="28" t="s">
        <v>16</v>
      </c>
      <c r="M6" s="28">
        <v>0.45</v>
      </c>
      <c r="N6" s="33"/>
      <c r="O6" s="34">
        <f t="shared" ref="O6:O31" si="1">N6*M6</f>
        <v>0</v>
      </c>
      <c r="P6" s="35">
        <f t="shared" ref="P6:P31" si="2">O6*9</f>
        <v>0</v>
      </c>
      <c r="Q6" s="2"/>
      <c r="R6" s="25" t="s">
        <v>20</v>
      </c>
      <c r="S6" s="26">
        <v>1</v>
      </c>
      <c r="T6" s="27">
        <v>0</v>
      </c>
      <c r="U6" s="28">
        <f t="shared" si="0"/>
        <v>1</v>
      </c>
      <c r="V6" s="29">
        <v>1</v>
      </c>
      <c r="W6" s="30">
        <v>1</v>
      </c>
    </row>
    <row r="7" spans="4:23">
      <c r="D7" s="20" t="s">
        <v>21</v>
      </c>
      <c r="E7" s="28" t="s">
        <v>22</v>
      </c>
      <c r="F7" s="28">
        <v>13</v>
      </c>
      <c r="G7" s="31"/>
      <c r="H7" s="34">
        <f>G7*F7</f>
        <v>0</v>
      </c>
      <c r="I7" s="35">
        <f>H7</f>
        <v>0</v>
      </c>
      <c r="J7" s="9"/>
      <c r="K7" s="32">
        <v>6</v>
      </c>
      <c r="L7" s="28" t="s">
        <v>22</v>
      </c>
      <c r="M7" s="28">
        <v>0.9</v>
      </c>
      <c r="N7" s="33"/>
      <c r="O7" s="34">
        <f t="shared" si="1"/>
        <v>0</v>
      </c>
      <c r="P7" s="35">
        <f t="shared" si="2"/>
        <v>0</v>
      </c>
      <c r="Q7" s="2"/>
      <c r="R7" s="25" t="s">
        <v>23</v>
      </c>
      <c r="S7" s="26">
        <f>I35+P31</f>
        <v>0</v>
      </c>
      <c r="T7" s="27"/>
      <c r="U7" s="28">
        <f>S7-T7</f>
        <v>0</v>
      </c>
      <c r="V7" s="29"/>
      <c r="W7" s="30"/>
    </row>
    <row r="8" spans="4:23">
      <c r="D8" s="32">
        <v>8</v>
      </c>
      <c r="E8" s="28" t="s">
        <v>24</v>
      </c>
      <c r="F8" s="28">
        <v>1.3</v>
      </c>
      <c r="G8" s="36"/>
      <c r="H8" s="34">
        <f t="shared" ref="H8:H9" si="3">G8*F8</f>
        <v>0</v>
      </c>
      <c r="I8" s="35">
        <f>H8*9</f>
        <v>0</v>
      </c>
      <c r="J8" s="9"/>
      <c r="K8" s="32">
        <v>7</v>
      </c>
      <c r="L8" s="28" t="s">
        <v>25</v>
      </c>
      <c r="M8" s="28">
        <v>1</v>
      </c>
      <c r="N8" s="33"/>
      <c r="O8" s="34">
        <f t="shared" si="1"/>
        <v>0</v>
      </c>
      <c r="P8" s="35">
        <f t="shared" si="2"/>
        <v>0</v>
      </c>
      <c r="Q8" s="2"/>
      <c r="R8" s="37" t="s">
        <v>26</v>
      </c>
      <c r="S8" s="26">
        <f>I42</f>
        <v>0</v>
      </c>
      <c r="T8" s="29"/>
      <c r="U8" s="28">
        <f>S8-T8</f>
        <v>0</v>
      </c>
      <c r="V8" s="29"/>
      <c r="W8" s="38"/>
    </row>
    <row r="9" spans="4:23" ht="15.75" thickBot="1">
      <c r="D9" s="39">
        <v>9</v>
      </c>
      <c r="E9" s="40" t="s">
        <v>24</v>
      </c>
      <c r="F9" s="41">
        <v>1.3</v>
      </c>
      <c r="G9" s="42"/>
      <c r="H9" s="43">
        <f t="shared" si="3"/>
        <v>0</v>
      </c>
      <c r="I9" s="44">
        <f>H9*9</f>
        <v>0</v>
      </c>
      <c r="J9" s="45"/>
      <c r="K9" s="32">
        <v>8</v>
      </c>
      <c r="L9" s="28" t="s">
        <v>24</v>
      </c>
      <c r="M9" s="28">
        <v>1.6</v>
      </c>
      <c r="N9" s="33"/>
      <c r="O9" s="34">
        <f t="shared" si="1"/>
        <v>0</v>
      </c>
      <c r="P9" s="35">
        <f t="shared" si="2"/>
        <v>0</v>
      </c>
      <c r="Q9" s="2"/>
      <c r="R9" s="37" t="s">
        <v>27</v>
      </c>
      <c r="S9" s="26">
        <f>I41</f>
        <v>0</v>
      </c>
      <c r="T9" s="27"/>
      <c r="U9" s="28">
        <f t="shared" ref="U9:U23" si="4">S9-T9</f>
        <v>0</v>
      </c>
      <c r="V9" s="29"/>
      <c r="W9" s="38"/>
    </row>
    <row r="10" spans="4:23" ht="15.75" thickBot="1">
      <c r="D10" s="46"/>
      <c r="E10" s="47"/>
      <c r="F10" s="48"/>
      <c r="G10" s="49"/>
      <c r="H10" s="50"/>
      <c r="I10" s="50"/>
      <c r="J10" s="45"/>
      <c r="K10" s="32">
        <v>9</v>
      </c>
      <c r="L10" s="28" t="s">
        <v>24</v>
      </c>
      <c r="M10" s="28">
        <v>1.6</v>
      </c>
      <c r="N10" s="33"/>
      <c r="O10" s="34">
        <f t="shared" si="1"/>
        <v>0</v>
      </c>
      <c r="P10" s="35">
        <f t="shared" si="2"/>
        <v>0</v>
      </c>
      <c r="Q10" s="2"/>
      <c r="R10" s="25" t="s">
        <v>28</v>
      </c>
      <c r="S10" s="26">
        <f>I31</f>
        <v>0</v>
      </c>
      <c r="T10" s="29"/>
      <c r="U10" s="28">
        <f t="shared" si="4"/>
        <v>0</v>
      </c>
      <c r="V10" s="29"/>
      <c r="W10" s="38"/>
    </row>
    <row r="11" spans="4:23" ht="15.75" thickBot="1">
      <c r="D11" s="51" t="s">
        <v>29</v>
      </c>
      <c r="E11" s="52"/>
      <c r="F11" s="52"/>
      <c r="G11" s="53"/>
      <c r="H11" s="54"/>
      <c r="I11" s="54"/>
      <c r="J11" s="55"/>
      <c r="K11" s="32">
        <v>10</v>
      </c>
      <c r="L11" s="28" t="s">
        <v>24</v>
      </c>
      <c r="M11" s="28">
        <v>1.6</v>
      </c>
      <c r="N11" s="33"/>
      <c r="O11" s="34">
        <f t="shared" si="1"/>
        <v>0</v>
      </c>
      <c r="P11" s="35">
        <f t="shared" si="2"/>
        <v>0</v>
      </c>
      <c r="Q11" s="2"/>
      <c r="R11" s="25" t="s">
        <v>30</v>
      </c>
      <c r="S11" s="26">
        <f>P12+P13+P14+P15+P16</f>
        <v>0</v>
      </c>
      <c r="T11" s="27"/>
      <c r="U11" s="28">
        <f t="shared" si="4"/>
        <v>0</v>
      </c>
      <c r="V11" s="29"/>
      <c r="W11" s="30"/>
    </row>
    <row r="12" spans="4:23">
      <c r="D12" s="32">
        <v>10</v>
      </c>
      <c r="E12" s="28" t="s">
        <v>24</v>
      </c>
      <c r="F12" s="28">
        <v>1.7</v>
      </c>
      <c r="G12" s="56"/>
      <c r="H12" s="34">
        <f t="shared" ref="H12:H19" si="5">G12*F12</f>
        <v>0</v>
      </c>
      <c r="I12" s="35">
        <f t="shared" ref="I12:I24" si="6">H12*9</f>
        <v>0</v>
      </c>
      <c r="J12" s="45"/>
      <c r="K12" s="32">
        <v>11</v>
      </c>
      <c r="L12" s="28" t="s">
        <v>31</v>
      </c>
      <c r="M12" s="28">
        <v>1.8</v>
      </c>
      <c r="N12" s="33"/>
      <c r="O12" s="34">
        <f t="shared" si="1"/>
        <v>0</v>
      </c>
      <c r="P12" s="35">
        <f t="shared" si="2"/>
        <v>0</v>
      </c>
      <c r="Q12" s="2"/>
      <c r="R12" s="25" t="s">
        <v>32</v>
      </c>
      <c r="S12" s="26">
        <f>P17+P18+P19+P20+P21+P22</f>
        <v>0</v>
      </c>
      <c r="T12" s="27"/>
      <c r="U12" s="28">
        <f t="shared" si="4"/>
        <v>0</v>
      </c>
      <c r="V12" s="29"/>
      <c r="W12" s="30"/>
    </row>
    <row r="13" spans="4:23">
      <c r="D13" s="32">
        <v>11</v>
      </c>
      <c r="E13" s="28" t="s">
        <v>24</v>
      </c>
      <c r="F13" s="28">
        <v>1.9</v>
      </c>
      <c r="G13" s="57"/>
      <c r="H13" s="34">
        <f t="shared" si="5"/>
        <v>0</v>
      </c>
      <c r="I13" s="35">
        <f t="shared" si="6"/>
        <v>0</v>
      </c>
      <c r="J13" s="45"/>
      <c r="K13" s="32">
        <v>12</v>
      </c>
      <c r="L13" s="28" t="s">
        <v>31</v>
      </c>
      <c r="M13" s="28">
        <v>1.9</v>
      </c>
      <c r="N13" s="34"/>
      <c r="O13" s="34">
        <f>N13*M13</f>
        <v>0</v>
      </c>
      <c r="P13" s="35">
        <f t="shared" si="2"/>
        <v>0</v>
      </c>
      <c r="Q13" s="2"/>
      <c r="R13" s="25" t="s">
        <v>33</v>
      </c>
      <c r="S13" s="26">
        <f>P23+P24</f>
        <v>0</v>
      </c>
      <c r="T13" s="29"/>
      <c r="U13" s="28">
        <f t="shared" si="4"/>
        <v>0</v>
      </c>
      <c r="V13" s="29"/>
      <c r="W13" s="30"/>
    </row>
    <row r="14" spans="4:23">
      <c r="D14" s="32">
        <v>12</v>
      </c>
      <c r="E14" s="28" t="s">
        <v>34</v>
      </c>
      <c r="F14" s="28">
        <v>2.1</v>
      </c>
      <c r="G14" s="57"/>
      <c r="H14" s="34">
        <f t="shared" si="5"/>
        <v>0</v>
      </c>
      <c r="I14" s="35">
        <f t="shared" si="6"/>
        <v>0</v>
      </c>
      <c r="J14" s="45"/>
      <c r="K14" s="32">
        <v>13</v>
      </c>
      <c r="L14" s="28" t="s">
        <v>31</v>
      </c>
      <c r="M14" s="28">
        <v>2.1</v>
      </c>
      <c r="N14" s="34"/>
      <c r="O14" s="34">
        <f t="shared" si="1"/>
        <v>0</v>
      </c>
      <c r="P14" s="35">
        <f t="shared" si="2"/>
        <v>0</v>
      </c>
      <c r="Q14" s="2"/>
      <c r="R14" s="25" t="s">
        <v>35</v>
      </c>
      <c r="S14" s="26">
        <f>P25+P26</f>
        <v>0</v>
      </c>
      <c r="T14" s="29"/>
      <c r="U14" s="28">
        <f>S14-T14</f>
        <v>0</v>
      </c>
      <c r="V14" s="29"/>
      <c r="W14" s="30"/>
    </row>
    <row r="15" spans="4:23">
      <c r="D15" s="32">
        <v>13</v>
      </c>
      <c r="E15" s="28" t="s">
        <v>34</v>
      </c>
      <c r="F15" s="28">
        <v>2.2999999999999998</v>
      </c>
      <c r="G15" s="57"/>
      <c r="H15" s="34">
        <f t="shared" si="5"/>
        <v>0</v>
      </c>
      <c r="I15" s="35">
        <f t="shared" si="6"/>
        <v>0</v>
      </c>
      <c r="J15" s="45"/>
      <c r="K15" s="32">
        <v>14</v>
      </c>
      <c r="L15" s="28" t="s">
        <v>31</v>
      </c>
      <c r="M15" s="28">
        <v>2.2999999999999998</v>
      </c>
      <c r="N15" s="34"/>
      <c r="O15" s="34">
        <f t="shared" si="1"/>
        <v>0</v>
      </c>
      <c r="P15" s="35">
        <f t="shared" si="2"/>
        <v>0</v>
      </c>
      <c r="Q15" s="2"/>
      <c r="R15" s="25" t="s">
        <v>36</v>
      </c>
      <c r="S15" s="26">
        <f>P27+P28+P29+P30</f>
        <v>0</v>
      </c>
      <c r="T15" s="29"/>
      <c r="U15" s="28">
        <f>S15-T15</f>
        <v>0</v>
      </c>
      <c r="V15" s="29"/>
      <c r="W15" s="30"/>
    </row>
    <row r="16" spans="4:23">
      <c r="D16" s="32">
        <v>14</v>
      </c>
      <c r="E16" s="28" t="s">
        <v>37</v>
      </c>
      <c r="F16" s="28">
        <v>2.5</v>
      </c>
      <c r="G16" s="58"/>
      <c r="H16" s="34">
        <f t="shared" si="5"/>
        <v>0</v>
      </c>
      <c r="I16" s="35">
        <f t="shared" si="6"/>
        <v>0</v>
      </c>
      <c r="J16" s="45"/>
      <c r="K16" s="32">
        <v>15</v>
      </c>
      <c r="L16" s="28" t="s">
        <v>31</v>
      </c>
      <c r="M16" s="28">
        <v>2.4</v>
      </c>
      <c r="N16" s="34"/>
      <c r="O16" s="34">
        <f t="shared" si="1"/>
        <v>0</v>
      </c>
      <c r="P16" s="35">
        <f t="shared" si="2"/>
        <v>0</v>
      </c>
      <c r="Q16" s="2"/>
      <c r="R16" s="59" t="s">
        <v>15</v>
      </c>
      <c r="S16" s="26">
        <f>I5</f>
        <v>0</v>
      </c>
      <c r="T16" s="29"/>
      <c r="U16" s="28">
        <f t="shared" ref="U16:U19" si="7">S16-T16</f>
        <v>0</v>
      </c>
      <c r="V16" s="29"/>
      <c r="W16" s="38"/>
    </row>
    <row r="17" spans="4:23">
      <c r="D17" s="32">
        <v>15</v>
      </c>
      <c r="E17" s="28" t="s">
        <v>37</v>
      </c>
      <c r="F17" s="28">
        <v>2.7</v>
      </c>
      <c r="G17" s="60"/>
      <c r="H17" s="34">
        <f t="shared" si="5"/>
        <v>0</v>
      </c>
      <c r="I17" s="35">
        <f t="shared" si="6"/>
        <v>0</v>
      </c>
      <c r="J17" s="45"/>
      <c r="K17" s="32">
        <v>16</v>
      </c>
      <c r="L17" s="28" t="s">
        <v>38</v>
      </c>
      <c r="M17" s="28">
        <v>2.5</v>
      </c>
      <c r="N17" s="34"/>
      <c r="O17" s="34">
        <f t="shared" si="1"/>
        <v>0</v>
      </c>
      <c r="P17" s="35">
        <f>O17*18</f>
        <v>0</v>
      </c>
      <c r="Q17" s="2"/>
      <c r="R17" s="25" t="s">
        <v>19</v>
      </c>
      <c r="S17" s="26">
        <f>I6</f>
        <v>0</v>
      </c>
      <c r="T17" s="27"/>
      <c r="U17" s="28">
        <f t="shared" si="7"/>
        <v>0</v>
      </c>
      <c r="V17" s="29"/>
      <c r="W17" s="38"/>
    </row>
    <row r="18" spans="4:23">
      <c r="D18" s="32">
        <v>16</v>
      </c>
      <c r="E18" s="28" t="s">
        <v>39</v>
      </c>
      <c r="F18" s="28">
        <v>2.9</v>
      </c>
      <c r="G18" s="60"/>
      <c r="H18" s="34">
        <f t="shared" si="5"/>
        <v>0</v>
      </c>
      <c r="I18" s="35">
        <f t="shared" si="6"/>
        <v>0</v>
      </c>
      <c r="J18" s="45"/>
      <c r="K18" s="32">
        <v>17</v>
      </c>
      <c r="L18" s="28" t="s">
        <v>38</v>
      </c>
      <c r="M18" s="28">
        <v>2.6</v>
      </c>
      <c r="N18" s="34"/>
      <c r="O18" s="34">
        <f t="shared" si="1"/>
        <v>0</v>
      </c>
      <c r="P18" s="35">
        <f>O18*18</f>
        <v>0</v>
      </c>
      <c r="Q18" s="2"/>
      <c r="R18" s="25" t="s">
        <v>22</v>
      </c>
      <c r="S18" s="26">
        <f>I7</f>
        <v>0</v>
      </c>
      <c r="T18" s="27"/>
      <c r="U18" s="28">
        <f t="shared" si="7"/>
        <v>0</v>
      </c>
      <c r="V18" s="29"/>
      <c r="W18" s="38"/>
    </row>
    <row r="19" spans="4:23">
      <c r="D19" s="32">
        <v>17</v>
      </c>
      <c r="E19" s="28" t="s">
        <v>39</v>
      </c>
      <c r="F19" s="28">
        <v>2.9</v>
      </c>
      <c r="G19" s="60"/>
      <c r="H19" s="34">
        <f t="shared" si="5"/>
        <v>0</v>
      </c>
      <c r="I19" s="35">
        <f t="shared" si="6"/>
        <v>0</v>
      </c>
      <c r="J19" s="45"/>
      <c r="K19" s="32">
        <v>18</v>
      </c>
      <c r="L19" s="28" t="s">
        <v>38</v>
      </c>
      <c r="M19" s="28">
        <v>2.7</v>
      </c>
      <c r="N19" s="34"/>
      <c r="O19" s="34">
        <f t="shared" si="1"/>
        <v>0</v>
      </c>
      <c r="P19" s="35">
        <f>O19*18</f>
        <v>0</v>
      </c>
      <c r="Q19" s="2"/>
      <c r="R19" s="25" t="s">
        <v>40</v>
      </c>
      <c r="S19" s="26">
        <f>I8+I9+I12+I13+P9+P10+P11</f>
        <v>0</v>
      </c>
      <c r="T19" s="27"/>
      <c r="U19" s="28">
        <f t="shared" si="7"/>
        <v>0</v>
      </c>
      <c r="V19" s="29"/>
      <c r="W19" s="30"/>
    </row>
    <row r="20" spans="4:23">
      <c r="D20" s="32">
        <v>18</v>
      </c>
      <c r="E20" s="28" t="s">
        <v>39</v>
      </c>
      <c r="F20" s="28">
        <v>3.1</v>
      </c>
      <c r="G20" s="60"/>
      <c r="H20" s="34">
        <f>F20*G20</f>
        <v>0</v>
      </c>
      <c r="I20" s="35">
        <f t="shared" si="6"/>
        <v>0</v>
      </c>
      <c r="J20" s="45"/>
      <c r="K20" s="32">
        <v>19</v>
      </c>
      <c r="L20" s="28" t="s">
        <v>41</v>
      </c>
      <c r="M20" s="28">
        <v>2.8</v>
      </c>
      <c r="N20" s="34"/>
      <c r="O20" s="34">
        <f>N20*M20</f>
        <v>0</v>
      </c>
      <c r="P20" s="35">
        <f>O20*9</f>
        <v>0</v>
      </c>
      <c r="Q20" s="2"/>
      <c r="R20" s="25" t="s">
        <v>42</v>
      </c>
      <c r="S20" s="26">
        <f>I14+I15</f>
        <v>0</v>
      </c>
      <c r="T20" s="29"/>
      <c r="U20" s="28">
        <f t="shared" si="4"/>
        <v>0</v>
      </c>
      <c r="V20" s="29"/>
      <c r="W20" s="30"/>
    </row>
    <row r="21" spans="4:23">
      <c r="D21" s="32">
        <v>19</v>
      </c>
      <c r="E21" s="28" t="s">
        <v>43</v>
      </c>
      <c r="F21" s="28">
        <v>3.1</v>
      </c>
      <c r="G21" s="60"/>
      <c r="H21" s="34">
        <f>F21*G21</f>
        <v>0</v>
      </c>
      <c r="I21" s="35">
        <f t="shared" si="6"/>
        <v>0</v>
      </c>
      <c r="J21" s="45"/>
      <c r="K21" s="32">
        <v>20</v>
      </c>
      <c r="L21" s="28" t="s">
        <v>41</v>
      </c>
      <c r="M21" s="28">
        <v>2.9</v>
      </c>
      <c r="N21" s="34"/>
      <c r="O21" s="34">
        <f t="shared" si="1"/>
        <v>0</v>
      </c>
      <c r="P21" s="35">
        <f>O21*18</f>
        <v>0</v>
      </c>
      <c r="Q21" s="2"/>
      <c r="R21" s="25" t="s">
        <v>44</v>
      </c>
      <c r="S21" s="26">
        <f>I16+I17</f>
        <v>0</v>
      </c>
      <c r="T21" s="27"/>
      <c r="U21" s="28">
        <f>S21-T21</f>
        <v>0</v>
      </c>
      <c r="V21" s="29"/>
      <c r="W21" s="30" t="s">
        <v>45</v>
      </c>
    </row>
    <row r="22" spans="4:23">
      <c r="D22" s="32">
        <v>20</v>
      </c>
      <c r="E22" s="28" t="s">
        <v>43</v>
      </c>
      <c r="F22" s="28">
        <v>3.1</v>
      </c>
      <c r="G22" s="60"/>
      <c r="H22" s="34">
        <f>F22*G22</f>
        <v>0</v>
      </c>
      <c r="I22" s="35">
        <f t="shared" si="6"/>
        <v>0</v>
      </c>
      <c r="J22" s="45"/>
      <c r="K22" s="32">
        <v>21</v>
      </c>
      <c r="L22" s="28" t="s">
        <v>41</v>
      </c>
      <c r="M22" s="28">
        <v>2.9</v>
      </c>
      <c r="N22" s="34"/>
      <c r="O22" s="34">
        <f t="shared" si="1"/>
        <v>0</v>
      </c>
      <c r="P22" s="35">
        <f>O22*18</f>
        <v>0</v>
      </c>
      <c r="Q22" s="2"/>
      <c r="R22" s="25" t="s">
        <v>46</v>
      </c>
      <c r="S22" s="26">
        <f>I18+I19+I20</f>
        <v>0</v>
      </c>
      <c r="T22" s="27"/>
      <c r="U22" s="28">
        <f t="shared" si="4"/>
        <v>0</v>
      </c>
      <c r="V22" s="29"/>
      <c r="W22" s="30"/>
    </row>
    <row r="23" spans="4:23" ht="15.75" thickBot="1">
      <c r="D23" s="32">
        <v>21</v>
      </c>
      <c r="E23" s="28" t="s">
        <v>43</v>
      </c>
      <c r="F23" s="28">
        <v>3.1</v>
      </c>
      <c r="G23" s="60"/>
      <c r="H23" s="34">
        <f>F23*G23</f>
        <v>0</v>
      </c>
      <c r="I23" s="35">
        <f t="shared" si="6"/>
        <v>0</v>
      </c>
      <c r="J23" s="45"/>
      <c r="K23" s="32">
        <v>22</v>
      </c>
      <c r="L23" s="28" t="s">
        <v>47</v>
      </c>
      <c r="M23" s="28">
        <v>3</v>
      </c>
      <c r="N23" s="34"/>
      <c r="O23" s="34">
        <f t="shared" si="1"/>
        <v>0</v>
      </c>
      <c r="P23" s="35">
        <f>O23*9</f>
        <v>0</v>
      </c>
      <c r="Q23" s="2"/>
      <c r="R23" s="61" t="s">
        <v>43</v>
      </c>
      <c r="S23" s="62">
        <f>I21+I22+I23+I24</f>
        <v>0</v>
      </c>
      <c r="T23" s="63"/>
      <c r="U23" s="64">
        <f t="shared" si="4"/>
        <v>0</v>
      </c>
      <c r="V23" s="65"/>
      <c r="W23" s="66"/>
    </row>
    <row r="24" spans="4:23" ht="16.5" thickTop="1" thickBot="1">
      <c r="D24" s="67">
        <v>22</v>
      </c>
      <c r="E24" s="68" t="s">
        <v>43</v>
      </c>
      <c r="F24" s="68">
        <v>3.1</v>
      </c>
      <c r="G24" s="69"/>
      <c r="H24" s="70">
        <f>F24*G24</f>
        <v>0</v>
      </c>
      <c r="I24" s="71">
        <f t="shared" si="6"/>
        <v>0</v>
      </c>
      <c r="J24" s="45"/>
      <c r="K24" s="32">
        <v>23</v>
      </c>
      <c r="L24" s="72" t="s">
        <v>47</v>
      </c>
      <c r="M24" s="73">
        <v>3</v>
      </c>
      <c r="N24" s="74"/>
      <c r="O24" s="34">
        <f t="shared" si="1"/>
        <v>0</v>
      </c>
      <c r="P24" s="35">
        <f>O24*9</f>
        <v>0</v>
      </c>
      <c r="Q24" s="2"/>
      <c r="R24" s="75"/>
      <c r="S24" s="76"/>
      <c r="T24" s="76"/>
      <c r="U24" s="77"/>
      <c r="V24" s="77"/>
      <c r="W24" s="78"/>
    </row>
    <row r="25" spans="4:23" ht="15.75" thickBot="1">
      <c r="D25" s="2"/>
      <c r="E25" s="2"/>
      <c r="F25" s="2"/>
      <c r="G25" s="79"/>
      <c r="H25" s="2"/>
      <c r="I25" s="2"/>
      <c r="J25" s="45"/>
      <c r="K25" s="32">
        <v>24</v>
      </c>
      <c r="L25" s="73" t="s">
        <v>47</v>
      </c>
      <c r="M25" s="73">
        <v>3.1</v>
      </c>
      <c r="N25" s="74"/>
      <c r="O25" s="34">
        <f t="shared" si="1"/>
        <v>0</v>
      </c>
      <c r="P25" s="35">
        <f>O25*9</f>
        <v>0</v>
      </c>
      <c r="Q25" s="2"/>
      <c r="R25" s="80"/>
      <c r="S25" s="9"/>
      <c r="T25" s="9"/>
      <c r="U25" s="9"/>
      <c r="V25" s="9"/>
      <c r="W25" s="2"/>
    </row>
    <row r="26" spans="4:23" ht="15.75" thickBot="1">
      <c r="D26" s="95" t="s">
        <v>48</v>
      </c>
      <c r="E26" s="2"/>
      <c r="F26" s="2"/>
      <c r="G26" s="2"/>
      <c r="H26" s="2"/>
      <c r="I26" s="2"/>
      <c r="J26" s="45"/>
      <c r="K26" s="32">
        <v>25</v>
      </c>
      <c r="L26" s="73" t="s">
        <v>49</v>
      </c>
      <c r="M26" s="73">
        <v>3.1</v>
      </c>
      <c r="N26" s="74"/>
      <c r="O26" s="34">
        <f t="shared" si="1"/>
        <v>0</v>
      </c>
      <c r="P26" s="35">
        <f t="shared" si="2"/>
        <v>0</v>
      </c>
      <c r="Q26" s="2"/>
      <c r="R26" s="81" t="s">
        <v>50</v>
      </c>
      <c r="S26" s="82" t="s">
        <v>9</v>
      </c>
      <c r="T26" s="82" t="s">
        <v>10</v>
      </c>
      <c r="U26" s="82" t="s">
        <v>11</v>
      </c>
      <c r="V26" s="82"/>
      <c r="W26" s="83" t="s">
        <v>13</v>
      </c>
    </row>
    <row r="27" spans="4:23" ht="16.5" thickBot="1">
      <c r="D27" s="117" t="s">
        <v>3</v>
      </c>
      <c r="E27" s="118" t="s">
        <v>4</v>
      </c>
      <c r="F27" s="118" t="s">
        <v>5</v>
      </c>
      <c r="G27" s="118" t="s">
        <v>6</v>
      </c>
      <c r="H27" s="118" t="s">
        <v>7</v>
      </c>
      <c r="I27" s="119" t="s">
        <v>51</v>
      </c>
      <c r="J27" s="45"/>
      <c r="K27" s="32">
        <v>26</v>
      </c>
      <c r="L27" s="73" t="s">
        <v>52</v>
      </c>
      <c r="M27" s="73">
        <v>3.1</v>
      </c>
      <c r="N27" s="74"/>
      <c r="O27" s="34">
        <f t="shared" si="1"/>
        <v>0</v>
      </c>
      <c r="P27" s="35">
        <f t="shared" si="2"/>
        <v>0</v>
      </c>
      <c r="Q27" s="2"/>
      <c r="R27" s="84" t="s">
        <v>53</v>
      </c>
      <c r="S27" s="15"/>
      <c r="T27" s="15"/>
      <c r="U27" s="15">
        <f>S27-T27</f>
        <v>0</v>
      </c>
      <c r="V27" s="15"/>
      <c r="W27" s="19"/>
    </row>
    <row r="28" spans="4:23" ht="15.75" thickBot="1">
      <c r="D28" s="120" t="s">
        <v>54</v>
      </c>
      <c r="E28" s="28" t="s">
        <v>54</v>
      </c>
      <c r="F28" s="28">
        <v>2.6</v>
      </c>
      <c r="G28" s="29"/>
      <c r="H28" s="34">
        <f>G28*F28</f>
        <v>0</v>
      </c>
      <c r="I28" s="35">
        <f>H28*10</f>
        <v>0</v>
      </c>
      <c r="J28" s="45"/>
      <c r="K28" s="32">
        <v>27</v>
      </c>
      <c r="L28" s="73" t="s">
        <v>49</v>
      </c>
      <c r="M28" s="73">
        <v>3.3</v>
      </c>
      <c r="N28" s="74"/>
      <c r="O28" s="34">
        <f t="shared" si="1"/>
        <v>0</v>
      </c>
      <c r="P28" s="35">
        <f t="shared" si="2"/>
        <v>0</v>
      </c>
      <c r="Q28" s="2"/>
      <c r="R28" s="85" t="s">
        <v>55</v>
      </c>
      <c r="S28" s="28"/>
      <c r="T28" s="27"/>
      <c r="U28" s="15">
        <f t="shared" ref="U28:U30" si="8">S28-T28</f>
        <v>0</v>
      </c>
      <c r="V28" s="23"/>
      <c r="W28" s="24"/>
    </row>
    <row r="29" spans="4:23" ht="15.75" thickBot="1">
      <c r="D29" s="120" t="s">
        <v>56</v>
      </c>
      <c r="E29" s="28" t="s">
        <v>56</v>
      </c>
      <c r="F29" s="28">
        <v>2.5</v>
      </c>
      <c r="G29" s="29"/>
      <c r="H29" s="34">
        <f>G29*F29</f>
        <v>0</v>
      </c>
      <c r="I29" s="35">
        <f t="shared" ref="I29" si="9">H29*10</f>
        <v>0</v>
      </c>
      <c r="J29" s="45"/>
      <c r="K29" s="32">
        <v>28</v>
      </c>
      <c r="L29" s="73" t="s">
        <v>49</v>
      </c>
      <c r="M29" s="73">
        <v>3.3</v>
      </c>
      <c r="N29" s="74"/>
      <c r="O29" s="34">
        <f t="shared" si="1"/>
        <v>0</v>
      </c>
      <c r="P29" s="35">
        <f t="shared" si="2"/>
        <v>0</v>
      </c>
      <c r="Q29" s="2"/>
      <c r="R29" s="86" t="s">
        <v>57</v>
      </c>
      <c r="S29" s="28">
        <f>I30</f>
        <v>0</v>
      </c>
      <c r="T29" s="28"/>
      <c r="U29" s="15">
        <f t="shared" si="8"/>
        <v>0</v>
      </c>
      <c r="V29" s="9"/>
      <c r="W29" s="35"/>
    </row>
    <row r="30" spans="4:23" ht="15.75" thickBot="1">
      <c r="D30" s="121" t="s">
        <v>58</v>
      </c>
      <c r="E30" s="64" t="s">
        <v>59</v>
      </c>
      <c r="F30" s="64">
        <v>2.5</v>
      </c>
      <c r="G30" s="65"/>
      <c r="H30" s="87">
        <f>G30*F30</f>
        <v>0</v>
      </c>
      <c r="I30" s="122">
        <f>H30*5</f>
        <v>0</v>
      </c>
      <c r="J30" s="45"/>
      <c r="K30" s="32">
        <v>29</v>
      </c>
      <c r="L30" s="73" t="s">
        <v>52</v>
      </c>
      <c r="M30" s="73">
        <v>6</v>
      </c>
      <c r="N30" s="74"/>
      <c r="O30" s="34">
        <f t="shared" si="1"/>
        <v>0</v>
      </c>
      <c r="P30" s="35">
        <f t="shared" si="2"/>
        <v>0</v>
      </c>
      <c r="Q30" s="2"/>
      <c r="R30" s="88" t="s">
        <v>60</v>
      </c>
      <c r="S30" s="68"/>
      <c r="T30" s="89"/>
      <c r="U30" s="15">
        <f t="shared" si="8"/>
        <v>0</v>
      </c>
      <c r="V30" s="28"/>
      <c r="W30" s="71"/>
    </row>
    <row r="31" spans="4:23" ht="15.75" thickBot="1">
      <c r="D31" s="123" t="s">
        <v>61</v>
      </c>
      <c r="E31" s="68" t="s">
        <v>28</v>
      </c>
      <c r="F31" s="68">
        <v>2.6</v>
      </c>
      <c r="G31" s="116"/>
      <c r="H31" s="70">
        <f>G31*F31</f>
        <v>0</v>
      </c>
      <c r="I31" s="71">
        <f>H31*5</f>
        <v>0</v>
      </c>
      <c r="J31" s="2"/>
      <c r="K31" s="67" t="s">
        <v>62</v>
      </c>
      <c r="L31" s="90" t="s">
        <v>49</v>
      </c>
      <c r="M31" s="90">
        <v>6</v>
      </c>
      <c r="N31" s="89"/>
      <c r="O31" s="70">
        <f t="shared" si="1"/>
        <v>0</v>
      </c>
      <c r="P31" s="71">
        <f t="shared" si="2"/>
        <v>0</v>
      </c>
      <c r="Q31" s="2"/>
      <c r="R31" s="91" t="s">
        <v>7</v>
      </c>
      <c r="S31" s="92">
        <f>SUM(S5:S30)</f>
        <v>13</v>
      </c>
      <c r="T31" s="92">
        <f>SUM(T5:T30)</f>
        <v>8</v>
      </c>
      <c r="U31" s="92">
        <f>SUM(U5:U30)</f>
        <v>5</v>
      </c>
      <c r="V31" s="92">
        <f>SUM(V5:V30)</f>
        <v>5</v>
      </c>
      <c r="W31" s="93"/>
    </row>
    <row r="32" spans="4:23">
      <c r="D32" s="94"/>
      <c r="E32" s="9"/>
      <c r="F32" s="9"/>
      <c r="G32" s="9"/>
      <c r="H32" s="2"/>
      <c r="I32" s="2"/>
      <c r="J32" s="45" t="s">
        <v>63</v>
      </c>
      <c r="K32" s="2"/>
      <c r="L32" s="2"/>
      <c r="M32" s="2"/>
      <c r="N32" s="2"/>
      <c r="O32" s="2"/>
      <c r="P32" s="2"/>
      <c r="Q32" s="2"/>
      <c r="R32" s="2"/>
      <c r="S32" s="95" t="s">
        <v>64</v>
      </c>
      <c r="T32" s="2" t="s">
        <v>65</v>
      </c>
      <c r="U32" s="2"/>
      <c r="V32" s="2"/>
      <c r="W32" s="2"/>
    </row>
    <row r="33" spans="4:23" ht="15.75" thickBot="1">
      <c r="D33" s="95" t="s">
        <v>66</v>
      </c>
      <c r="E33" s="2"/>
      <c r="F33" s="2"/>
      <c r="G33" s="2"/>
      <c r="H33" s="2"/>
      <c r="I33" s="2"/>
      <c r="J33" s="45"/>
      <c r="K33" s="2"/>
      <c r="L33" s="2"/>
      <c r="M33" s="2"/>
      <c r="N33" s="2"/>
      <c r="O33" s="2"/>
      <c r="P33" s="2"/>
      <c r="Q33" s="2"/>
      <c r="R33" s="95"/>
      <c r="S33" s="2"/>
      <c r="T33" s="9"/>
      <c r="U33" s="2"/>
      <c r="V33" s="2"/>
      <c r="W33" s="2"/>
    </row>
    <row r="34" spans="4:23" ht="16.5" thickBot="1">
      <c r="D34" s="96" t="s">
        <v>3</v>
      </c>
      <c r="E34" s="97" t="s">
        <v>4</v>
      </c>
      <c r="F34" s="7" t="s">
        <v>5</v>
      </c>
      <c r="G34" s="7" t="s">
        <v>6</v>
      </c>
      <c r="H34" s="7" t="s">
        <v>7</v>
      </c>
      <c r="I34" s="8" t="s">
        <v>67</v>
      </c>
      <c r="J34" s="45"/>
      <c r="K34" s="2"/>
      <c r="L34" s="2"/>
      <c r="M34" s="2"/>
      <c r="N34" s="2"/>
      <c r="O34" s="2"/>
      <c r="P34" s="2"/>
      <c r="Q34" s="2"/>
      <c r="R34" s="95"/>
      <c r="S34" s="2"/>
      <c r="T34" s="2"/>
      <c r="U34" s="2"/>
      <c r="V34" s="2"/>
      <c r="W34" s="2"/>
    </row>
    <row r="35" spans="4:23">
      <c r="D35" s="98" t="s">
        <v>54</v>
      </c>
      <c r="E35" s="99" t="s">
        <v>68</v>
      </c>
      <c r="F35" s="100">
        <v>5</v>
      </c>
      <c r="G35" s="101"/>
      <c r="H35" s="21">
        <f>G35*F35</f>
        <v>0</v>
      </c>
      <c r="I35" s="102">
        <f>H35*16</f>
        <v>0</v>
      </c>
      <c r="J35" s="45"/>
      <c r="K35" s="2"/>
      <c r="L35" s="2"/>
      <c r="M35" s="2"/>
      <c r="N35" s="2"/>
      <c r="O35" s="2"/>
      <c r="P35" s="2"/>
      <c r="Q35" s="2"/>
      <c r="R35" s="95"/>
      <c r="S35" s="2"/>
      <c r="T35" s="2"/>
      <c r="U35" s="2"/>
      <c r="V35" s="2"/>
      <c r="W35" s="2"/>
    </row>
    <row r="36" spans="4:23" ht="15.75" thickBot="1">
      <c r="D36" s="103" t="s">
        <v>54</v>
      </c>
      <c r="E36" s="104" t="s">
        <v>69</v>
      </c>
      <c r="F36" s="105">
        <v>4</v>
      </c>
      <c r="G36" s="68"/>
      <c r="H36" s="68">
        <f>G36*F36</f>
        <v>0</v>
      </c>
      <c r="I36" s="106">
        <f>H36*8</f>
        <v>0</v>
      </c>
      <c r="J36" s="45"/>
      <c r="K36" s="2"/>
      <c r="L36" s="2"/>
      <c r="M36" s="2"/>
      <c r="N36" s="2"/>
      <c r="O36" s="2"/>
      <c r="P36" s="2"/>
      <c r="Q36" s="2"/>
      <c r="R36" s="95"/>
      <c r="S36" s="2"/>
      <c r="T36" s="2"/>
      <c r="U36" s="2"/>
      <c r="V36" s="2"/>
      <c r="W36" s="2"/>
    </row>
    <row r="37" spans="4:23">
      <c r="D37" s="2"/>
      <c r="E37" s="9"/>
      <c r="F37" s="2"/>
      <c r="G37" s="2"/>
      <c r="H37" s="2"/>
      <c r="I37" s="2"/>
      <c r="J37" s="4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4:23" ht="15.75" thickBot="1">
      <c r="D38" s="95" t="s">
        <v>70</v>
      </c>
      <c r="E38" s="2"/>
      <c r="F38" s="2"/>
      <c r="G38" s="2"/>
      <c r="H38" s="2"/>
      <c r="I38" s="2"/>
      <c r="J38" s="4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4:23" ht="16.5" thickBot="1">
      <c r="D39" s="96" t="s">
        <v>3</v>
      </c>
      <c r="E39" s="107" t="s">
        <v>4</v>
      </c>
      <c r="F39" s="97" t="s">
        <v>5</v>
      </c>
      <c r="G39" s="7" t="s">
        <v>6</v>
      </c>
      <c r="H39" s="7" t="s">
        <v>7</v>
      </c>
      <c r="I39" s="8" t="s">
        <v>51</v>
      </c>
      <c r="J39" s="4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4:23" ht="15.75">
      <c r="D40" s="98" t="s">
        <v>71</v>
      </c>
      <c r="E40" s="108" t="s">
        <v>72</v>
      </c>
      <c r="F40" s="109">
        <v>0.35</v>
      </c>
      <c r="G40" s="110"/>
      <c r="H40" s="23">
        <f t="shared" ref="H40:H42" si="10">G40*F40</f>
        <v>0</v>
      </c>
      <c r="I40" s="24">
        <f>H40*10</f>
        <v>0</v>
      </c>
      <c r="J40" s="4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4:23">
      <c r="D41" s="111" t="s">
        <v>73</v>
      </c>
      <c r="E41" s="112" t="s">
        <v>74</v>
      </c>
      <c r="F41" s="26">
        <v>8</v>
      </c>
      <c r="G41" s="29"/>
      <c r="H41" s="34">
        <f t="shared" si="10"/>
        <v>0</v>
      </c>
      <c r="I41" s="35">
        <f>H41*10</f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4:23" ht="15.75" thickBot="1">
      <c r="D42" s="113" t="s">
        <v>1</v>
      </c>
      <c r="E42" s="114" t="s">
        <v>75</v>
      </c>
      <c r="F42" s="115">
        <v>8</v>
      </c>
      <c r="G42" s="116"/>
      <c r="H42" s="70">
        <f t="shared" si="10"/>
        <v>0</v>
      </c>
      <c r="I42" s="71">
        <f>H42*10</f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4:23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7A7DE6-6014-4971-9029-3DBE0070DF0D}"/>
</file>

<file path=customXml/itemProps2.xml><?xml version="1.0" encoding="utf-8"?>
<ds:datastoreItem xmlns:ds="http://schemas.openxmlformats.org/officeDocument/2006/customXml" ds:itemID="{5C94C82A-222F-4DD4-A62E-8A611478E8AE}"/>
</file>

<file path=customXml/itemProps3.xml><?xml version="1.0" encoding="utf-8"?>
<ds:datastoreItem xmlns:ds="http://schemas.openxmlformats.org/officeDocument/2006/customXml" ds:itemID="{9C790E53-E582-4F48-8648-7462F0B113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Archibald Gwebere</dc:creator>
  <cp:keywords/>
  <dc:description/>
  <cp:lastModifiedBy>Paul Young</cp:lastModifiedBy>
  <cp:revision/>
  <dcterms:created xsi:type="dcterms:W3CDTF">2025-07-07T14:02:32Z</dcterms:created>
  <dcterms:modified xsi:type="dcterms:W3CDTF">2026-08-19T19:05:12Z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